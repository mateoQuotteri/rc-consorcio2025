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NOVIEMBRE\"/>
    </mc:Choice>
  </mc:AlternateContent>
  <xr:revisionPtr revIDLastSave="0" documentId="13_ncr:1_{DED7D1DA-81FD-4846-AB3C-F6041B1712F8}"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sheetId="6" r:id="rId3"/>
    <sheet name="A RECUPERAR NOVIEMBRE" sheetId="7" r:id="rId4"/>
  </sheets>
  <definedNames>
    <definedName name="_xlnm.Print_Area" localSheetId="1">PRORRATEO!$B$1:$S$167</definedName>
    <definedName name="_xlnm.Print_Area" localSheetId="0">RESUMEN!$A$1:$E$193</definedName>
  </definedNames>
  <calcPr calcId="181029"/>
</workbook>
</file>

<file path=xl/calcChain.xml><?xml version="1.0" encoding="utf-8"?>
<calcChain xmlns="http://schemas.openxmlformats.org/spreadsheetml/2006/main">
  <c r="O43" i="2" l="1"/>
  <c r="F43" i="2"/>
  <c r="O23" i="2" l="1"/>
  <c r="O55" i="2"/>
  <c r="O71" i="2"/>
  <c r="O66" i="2"/>
  <c r="O101" i="2"/>
  <c r="B155" i="1"/>
  <c r="F97" i="2"/>
  <c r="F16" i="2" l="1"/>
  <c r="D104" i="1"/>
  <c r="F44" i="2"/>
  <c r="F126" i="2"/>
  <c r="F130" i="2"/>
  <c r="F65" i="2"/>
  <c r="F102" i="2"/>
  <c r="F51" i="2"/>
  <c r="F8" i="2" s="1"/>
  <c r="P149" i="2"/>
  <c r="H149" i="2"/>
  <c r="G149" i="2"/>
  <c r="F128" i="2"/>
  <c r="F31" i="2"/>
  <c r="F101" i="2"/>
  <c r="F60" i="2"/>
  <c r="F119" i="2"/>
  <c r="F135" i="2"/>
  <c r="F62" i="2"/>
  <c r="F58" i="2"/>
  <c r="F36" i="2"/>
  <c r="F110" i="2"/>
  <c r="F108" i="2"/>
  <c r="F18" i="2"/>
  <c r="F81" i="2"/>
  <c r="F48" i="2"/>
  <c r="F21" i="2"/>
  <c r="F83" i="2"/>
  <c r="F140" i="2"/>
  <c r="F122" i="2"/>
  <c r="F125" i="2"/>
  <c r="F124" i="2"/>
  <c r="F120" i="2"/>
  <c r="F5" i="2"/>
  <c r="F7" i="2"/>
  <c r="F9" i="2"/>
  <c r="F10" i="2"/>
  <c r="F14" i="2"/>
  <c r="F15" i="2"/>
  <c r="F17" i="2"/>
  <c r="F19" i="2"/>
  <c r="F20" i="2"/>
  <c r="F23" i="2"/>
  <c r="F24" i="2"/>
  <c r="F25" i="2"/>
  <c r="F26" i="2"/>
  <c r="F27" i="2"/>
  <c r="F28" i="2"/>
  <c r="F33" i="2"/>
  <c r="F34" i="2"/>
  <c r="F37" i="2"/>
  <c r="F45" i="2"/>
  <c r="F46" i="2"/>
  <c r="F47" i="2"/>
  <c r="F49" i="2"/>
  <c r="F52" i="2"/>
  <c r="F53" i="2"/>
  <c r="F54" i="2"/>
  <c r="F56" i="2"/>
  <c r="F61" i="2"/>
  <c r="F66" i="2"/>
  <c r="F67" i="2"/>
  <c r="F69" i="2"/>
  <c r="F70" i="2"/>
  <c r="F73" i="2"/>
  <c r="F78" i="2"/>
  <c r="F79" i="2"/>
  <c r="F80" i="2"/>
  <c r="F84" i="2"/>
  <c r="F87" i="2"/>
  <c r="F89" i="2"/>
  <c r="F90" i="2"/>
  <c r="F91" i="2"/>
  <c r="F95" i="2"/>
  <c r="F98" i="2"/>
  <c r="F103" i="2"/>
  <c r="F104" i="2"/>
  <c r="F105" i="2"/>
  <c r="F109" i="2"/>
  <c r="F112" i="2"/>
  <c r="F115" i="2"/>
  <c r="F118" i="2"/>
  <c r="F121" i="2"/>
  <c r="F127" i="2"/>
  <c r="F129" i="2"/>
  <c r="F131" i="2"/>
  <c r="F133" i="2"/>
  <c r="F136" i="2"/>
  <c r="F137" i="2"/>
  <c r="F138" i="2"/>
  <c r="F139" i="2"/>
  <c r="F141" i="2"/>
  <c r="F142" i="2"/>
  <c r="B176" i="1"/>
  <c r="E124" i="1"/>
  <c r="E97" i="1"/>
  <c r="E133" i="1" l="1"/>
  <c r="E134" i="1" s="1"/>
  <c r="E135" i="1" s="1"/>
  <c r="D131" i="1"/>
  <c r="E131" i="1"/>
  <c r="H21" i="6"/>
  <c r="D11" i="6"/>
  <c r="D20" i="6" s="1"/>
  <c r="D29" i="6" s="1"/>
  <c r="D38" i="6" s="1"/>
  <c r="D47" i="6" s="1"/>
  <c r="D56" i="6" s="1"/>
  <c r="D65" i="6" s="1"/>
  <c r="D74" i="6" s="1"/>
  <c r="E102" i="1" l="1"/>
  <c r="B154" i="1"/>
  <c r="B171" i="1" l="1"/>
  <c r="G11" i="7"/>
  <c r="E106" i="1"/>
  <c r="D27" i="1"/>
  <c r="E43" i="1"/>
  <c r="E118" i="1"/>
  <c r="E36" i="1" l="1"/>
  <c r="E48" i="1"/>
  <c r="R149" i="2" l="1"/>
  <c r="S149" i="2"/>
  <c r="M149" i="2"/>
  <c r="L149" i="2"/>
  <c r="I149" i="2"/>
  <c r="E67" i="1" l="1"/>
  <c r="E136" i="1" l="1"/>
  <c r="E140" i="1" s="1"/>
  <c r="B192" i="1"/>
  <c r="F156" i="2"/>
  <c r="F152" i="2"/>
  <c r="F157" i="2" l="1"/>
  <c r="F155" i="2"/>
  <c r="F154" i="2"/>
  <c r="F153" i="2"/>
  <c r="F151" i="2"/>
  <c r="F150" i="2"/>
  <c r="F148" i="2"/>
  <c r="E116" i="1" l="1"/>
  <c r="F160" i="2" l="1"/>
  <c r="W2" i="2"/>
  <c r="G2" i="2" s="1"/>
  <c r="K149" i="2" s="1"/>
  <c r="S37" i="2" l="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50" i="2"/>
  <c r="S151" i="2"/>
  <c r="S152" i="2"/>
  <c r="S153" i="2"/>
  <c r="S154" i="2"/>
  <c r="S155" i="2"/>
  <c r="S156" i="2"/>
  <c r="S157" i="2"/>
  <c r="S5" i="2"/>
  <c r="B177" i="1"/>
  <c r="G97" i="2" l="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50" i="2"/>
  <c r="J151" i="2"/>
  <c r="J152" i="2"/>
  <c r="J153" i="2"/>
  <c r="J154" i="2"/>
  <c r="J155" i="2"/>
  <c r="J156" i="2"/>
  <c r="J157" i="2"/>
  <c r="J5" i="2"/>
  <c r="D29" i="1"/>
  <c r="E30" i="1" s="1"/>
  <c r="L150" i="2"/>
  <c r="L151" i="2"/>
  <c r="L152" i="2"/>
  <c r="L153" i="2"/>
  <c r="L154" i="2"/>
  <c r="L155" i="2"/>
  <c r="L156" i="2"/>
  <c r="L157"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K150" i="2" l="1"/>
  <c r="K151" i="2"/>
  <c r="K152" i="2"/>
  <c r="K153" i="2"/>
  <c r="K154" i="2"/>
  <c r="K155" i="2"/>
  <c r="K156" i="2"/>
  <c r="K157"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50" i="2"/>
  <c r="M151" i="2"/>
  <c r="M152" i="2"/>
  <c r="M153" i="2"/>
  <c r="M154" i="2"/>
  <c r="M155" i="2"/>
  <c r="M156" i="2"/>
  <c r="M157"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N66" i="2" s="1"/>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H97" i="2"/>
  <c r="I97" i="2"/>
  <c r="G98" i="2"/>
  <c r="H98" i="2" s="1"/>
  <c r="I98" i="2"/>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50" i="2"/>
  <c r="G151" i="2"/>
  <c r="H151" i="2" s="1"/>
  <c r="I151" i="2"/>
  <c r="I152" i="2"/>
  <c r="G153" i="2"/>
  <c r="H153" i="2" s="1"/>
  <c r="I153" i="2"/>
  <c r="G154" i="2"/>
  <c r="H154" i="2" s="1"/>
  <c r="I154" i="2"/>
  <c r="G155" i="2"/>
  <c r="H155" i="2" s="1"/>
  <c r="I155" i="2"/>
  <c r="I156" i="2"/>
  <c r="B160" i="1"/>
  <c r="E34" i="1"/>
  <c r="E128" i="1"/>
  <c r="B163" i="1" s="1"/>
  <c r="A34" i="1"/>
  <c r="A35" i="1" s="1"/>
  <c r="B145" i="1"/>
  <c r="R37" i="2"/>
  <c r="R146" i="2"/>
  <c r="R147" i="2"/>
  <c r="R148" i="2"/>
  <c r="R150" i="2"/>
  <c r="R151" i="2"/>
  <c r="R152" i="2"/>
  <c r="R153" i="2"/>
  <c r="R154" i="2"/>
  <c r="R155" i="2"/>
  <c r="R156" i="2"/>
  <c r="R157" i="2"/>
  <c r="I157" i="2"/>
  <c r="G157" i="2"/>
  <c r="H157" i="2" s="1"/>
  <c r="B72" i="2"/>
  <c r="D160" i="2"/>
  <c r="B6" i="2"/>
  <c r="E35" i="1" l="1"/>
  <c r="E109" i="1" s="1"/>
  <c r="N13" i="2"/>
  <c r="N20" i="2"/>
  <c r="N148" i="2"/>
  <c r="N17" i="2"/>
  <c r="B73" i="2"/>
  <c r="S72" i="2"/>
  <c r="B7" i="2"/>
  <c r="S6" i="2"/>
  <c r="G17" i="2"/>
  <c r="H17" i="2" s="1"/>
  <c r="G122" i="2"/>
  <c r="H122" i="2" s="1"/>
  <c r="G139" i="2"/>
  <c r="H139" i="2" s="1"/>
  <c r="N55" i="2"/>
  <c r="N72" i="2"/>
  <c r="N60" i="2"/>
  <c r="K160" i="2"/>
  <c r="N52" i="2"/>
  <c r="L160" i="2"/>
  <c r="G152" i="2"/>
  <c r="H152" i="2" s="1"/>
  <c r="G124" i="2"/>
  <c r="H124" i="2" s="1"/>
  <c r="G36" i="2"/>
  <c r="H36" i="2" s="1"/>
  <c r="G156" i="2"/>
  <c r="H156" i="2" s="1"/>
  <c r="G150" i="2"/>
  <c r="H150" i="2" s="1"/>
  <c r="B161" i="1"/>
  <c r="R73" i="2"/>
  <c r="R72" i="2"/>
  <c r="R6" i="2"/>
  <c r="B8" i="2" l="1"/>
  <c r="S7" i="2"/>
  <c r="R7" i="2"/>
  <c r="B74" i="2"/>
  <c r="S73" i="2"/>
  <c r="N160" i="2"/>
  <c r="B75" i="2" l="1"/>
  <c r="S74" i="2"/>
  <c r="R74" i="2"/>
  <c r="B9" i="2"/>
  <c r="S8" i="2"/>
  <c r="R8" i="2"/>
  <c r="M160" i="2"/>
  <c r="B153" i="1"/>
  <c r="B10" i="2" l="1"/>
  <c r="S9" i="2"/>
  <c r="R9" i="2"/>
  <c r="B76" i="2"/>
  <c r="S75" i="2"/>
  <c r="R75" i="2"/>
  <c r="P148" i="2"/>
  <c r="P151" i="2"/>
  <c r="P150" i="2"/>
  <c r="P152" i="2"/>
  <c r="P153" i="2"/>
  <c r="P154" i="2"/>
  <c r="P156" i="2"/>
  <c r="P155" i="2"/>
  <c r="P157" i="2"/>
  <c r="B77" i="2" l="1"/>
  <c r="S76" i="2"/>
  <c r="R76" i="2"/>
  <c r="P76" i="2" s="1"/>
  <c r="B11" i="2"/>
  <c r="S10" i="2"/>
  <c r="R10" i="2"/>
  <c r="P10" i="2" s="1"/>
  <c r="P6" i="2"/>
  <c r="P7" i="2"/>
  <c r="P37" i="2"/>
  <c r="P74"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52" i="1"/>
  <c r="E160" i="2"/>
  <c r="B14" i="2" l="1"/>
  <c r="S13" i="2"/>
  <c r="R13" i="2"/>
  <c r="P13" i="2" s="1"/>
  <c r="B80" i="2"/>
  <c r="S79" i="2"/>
  <c r="R79" i="2"/>
  <c r="P79" i="2" s="1"/>
  <c r="P47" i="2"/>
  <c r="P42" i="2"/>
  <c r="P59" i="2"/>
  <c r="P55" i="2"/>
  <c r="P50" i="2"/>
  <c r="P45" i="2"/>
  <c r="P41" i="2"/>
  <c r="P39" i="2"/>
  <c r="P46" i="2"/>
  <c r="P38" i="2"/>
  <c r="P71" i="2"/>
  <c r="P62" i="2"/>
  <c r="P49" i="2"/>
  <c r="P44" i="2"/>
  <c r="P40" i="2"/>
  <c r="B144" i="1"/>
  <c r="G160" i="2"/>
  <c r="P67" i="2"/>
  <c r="P68" i="2"/>
  <c r="P70" i="2"/>
  <c r="P69" i="2"/>
  <c r="P54" i="2"/>
  <c r="P65" i="2"/>
  <c r="P61" i="2"/>
  <c r="P57" i="2"/>
  <c r="P53" i="2"/>
  <c r="P58" i="2"/>
  <c r="P64" i="2"/>
  <c r="P60" i="2"/>
  <c r="P56" i="2"/>
  <c r="P52" i="2"/>
  <c r="P66" i="2"/>
  <c r="P63" i="2"/>
  <c r="P51" i="2"/>
  <c r="I160" i="2"/>
  <c r="B81" i="2" l="1"/>
  <c r="S80" i="2"/>
  <c r="R80" i="2"/>
  <c r="P80" i="2" s="1"/>
  <c r="B15" i="2"/>
  <c r="S14" i="2"/>
  <c r="R14" i="2"/>
  <c r="P14" i="2" s="1"/>
  <c r="B162" i="1"/>
  <c r="B164" i="1" s="1"/>
  <c r="B143" i="1"/>
  <c r="B146" i="1" s="1"/>
  <c r="J160" i="2"/>
  <c r="B173" i="1" l="1"/>
  <c r="B16" i="2"/>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R122" i="2"/>
  <c r="P122" i="2" s="1"/>
  <c r="B124" i="2" l="1"/>
  <c r="S123" i="2"/>
  <c r="R123" i="2"/>
  <c r="P123" i="2" s="1"/>
  <c r="B125" i="2" l="1"/>
  <c r="S124" i="2"/>
  <c r="R124" i="2"/>
  <c r="P124" i="2" s="1"/>
  <c r="B126" i="2" l="1"/>
  <c r="S125" i="2"/>
  <c r="R125" i="2"/>
  <c r="P125" i="2"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B145" i="2" l="1"/>
  <c r="S144" i="2"/>
  <c r="R144" i="2"/>
  <c r="R145" i="2" l="1"/>
  <c r="S145" i="2"/>
  <c r="P43" i="2"/>
  <c r="P160" i="2" s="1"/>
  <c r="O160" i="2"/>
</calcChain>
</file>

<file path=xl/sharedStrings.xml><?xml version="1.0" encoding="utf-8"?>
<sst xmlns="http://schemas.openxmlformats.org/spreadsheetml/2006/main" count="584" uniqueCount="448">
  <si>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</si>
  <si>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</si>
  <si>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</si>
  <si>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</si>
  <si>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</si>
  <si>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</si>
  <si>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</si>
  <si>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</si>
  <si>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</si>
  <si>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</si>
  <si>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</si>
  <si>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</si>
  <si>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</si>
  <si>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</si>
  <si>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</si>
  <si>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</si>
  <si>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</si>
  <si>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</si>
  <si>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</si>
  <si>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</si>
  <si>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</si>
  <si>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</si>
  <si>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</si>
  <si>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</si>
  <si>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</si>
  <si>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</si>
  <si>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</si>
  <si>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</si>
  <si>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</si>
  <si>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</si>
  <si>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</si>
  <si>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</si>
  <si>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</si>
  <si>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</si>
  <si>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</si>
  <si>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</si>
  <si>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</si>
  <si>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</si>
  <si>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</si>
  <si>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</si>
  <si>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</si>
  <si>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</si>
  <si>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</si>
  <si>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</si>
  <si>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</si>
  <si>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</si>
  <si>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</si>
  <si>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</si>
  <si>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</si>
  <si>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</si>
  <si>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</si>
  <si>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</si>
  <si>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</si>
  <si>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</si>
  <si>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</si>
  <si>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</si>
  <si>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</si>
  <si>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</si>
  <si>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</si>
  <si>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</si>
  <si>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</si>
  <si>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</si>
  <si>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</si>
  <si>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</si>
  <si>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</si>
  <si>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</si>
  <si>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</si>
  <si>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</si>
  <si>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</si>
  <si>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</si>
  <si>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</si>
  <si>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</si>
  <si>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</si>
  <si>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</si>
  <si>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</si>
  <si>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</si>
  <si>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</si>
  <si>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</si>
  <si>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</si>
  <si>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</si>
  <si>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</si>
  <si>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</si>
  <si>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</si>
  <si>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</si>
  <si>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</si>
  <si>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</si>
  <si>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</si>
  <si>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</si>
  <si>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</si>
  <si>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</si>
  <si>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</si>
  <si>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</si>
  <si>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</si>
  <si>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</si>
  <si>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</si>
  <si>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</si>
  <si>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</si>
  <si>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</si>
  <si>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</si>
  <si>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</si>
  <si>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</si>
  <si>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</si>
  <si>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</si>
  <si>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</si>
  <si>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</si>
  <si>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</si>
  <si>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</si>
  <si>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</si>
  <si>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</si>
  <si>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</si>
  <si>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</si>
  <si>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</si>
  <si>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</si>
  <si>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</si>
  <si>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</si>
  <si>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</si>
  <si>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</si>
  <si>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</si>
  <si>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</si>
  <si>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</si>
  <si>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</si>
  <si>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</si>
  <si>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</si>
  <si>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</si>
  <si>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</si>
  <si>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</si>
  <si>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</si>
  <si>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</si>
  <si>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</si>
  <si>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</si>
  <si>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</si>
  <si>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</si>
  <si>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</si>
  <si>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</si>
  <si>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</si>
  <si>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</si>
  <si>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</si>
  <si>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</si>
  <si>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</si>
  <si>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</si>
  <si>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</si>
  <si>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</si>
  <si>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</si>
  <si>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</si>
  <si>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</si>
  <si>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</si>
  <si>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</si>
  <si>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</si>
  <si>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</si>
  <si>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</si>
  <si>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</si>
  <si>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</si>
  <si>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</si>
  <si>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</si>
  <si>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</si>
  <si>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</si>
  <si>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</si>
  <si>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</si>
  <si>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</si>
  <si>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</si>
  <si>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</si>
  <si>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</si>
  <si>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</si>
  <si>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</si>
  <si>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</si>
  <si>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</si>
  <si>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</si>
  <si>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</si>
  <si>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</si>
  <si>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</si>
  <si>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</si>
  <si>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</si>
  <si>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</si>
  <si>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</si>
  <si>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</si>
  <si>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</si>
  <si>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</si>
  <si>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</si>
  <si>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</si>
  <si>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</si>
  <si>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</si>
  <si>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</si>
  <si>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</si>
  <si>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</si>
  <si>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</si>
  <si>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</si>
  <si>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</si>
  <si>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</si>
  <si>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</si>
  <si>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</si>
  <si>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</si>
  <si>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</si>
  <si>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</si>
  <si>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</si>
  <si>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</si>
  <si>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</si>
  <si>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</si>
  <si>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</si>
  <si>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</si>
  <si>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</si>
  <si>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</si>
  <si>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</si>
  <si>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</si>
  <si>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</si>
  <si>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</si>
  <si>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</si>
  <si>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</si>
  <si>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</si>
  <si>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</si>
  <si>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</si>
  <si>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</si>
  <si>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</si>
  <si>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</si>
  <si>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</si>
  <si>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</si>
  <si>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</si>
  <si>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</si>
  <si>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</si>
  <si>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</si>
  <si>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</si>
  <si>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</si>
  <si>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</si>
  <si>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</si>
  <si>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</si>
  <si>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</si>
  <si>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</si>
  <si>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</si>
  <si>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</si>
  <si>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</si>
  <si>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</si>
  <si>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Ines / Jorge o Ayestaran Melanie que es la inquilina</t>
  </si>
  <si>
    <t>Andrea Juarez Cecilia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</si>
  <si>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</si>
  <si>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</si>
  <si>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</si>
  <si>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</si>
  <si>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</si>
  <si>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</si>
  <si>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</si>
  <si>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</si>
  <si>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</si>
  <si>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</si>
  <si>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</si>
  <si>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RESUMEN CAJA GENERAL</t>
  </si>
  <si>
    <t xml:space="preserve"> </t>
  </si>
  <si>
    <t>Santiago Roman Ramirez</t>
  </si>
  <si>
    <t>Ezequiel De la calle</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</si>
  <si>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</si>
  <si>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</si>
  <si>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</si>
  <si>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</si>
  <si>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</si>
  <si>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</si>
  <si>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Honorarios arquitectura - Srta. Burgos Oros Johanna Melanie - Fc. 00000085</t>
  </si>
  <si>
    <t>Edesur (Cuit.: 30-65511652-1) - Periodo liquidado 2do tramo bimestre 3 del 2025</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</si>
  <si>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</si>
  <si>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</si>
  <si>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</si>
  <si>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</si>
  <si>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</si>
  <si>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</si>
  <si>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</si>
  <si>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</si>
  <si>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</si>
  <si>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</si>
  <si>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</si>
  <si>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</si>
  <si>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</si>
  <si>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</si>
  <si>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</si>
  <si>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</si>
  <si>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</si>
  <si>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</si>
  <si>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</si>
  <si>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</si>
  <si>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</si>
  <si>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</si>
  <si>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</si>
  <si>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</si>
  <si>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</si>
  <si>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</si>
  <si>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PAGOS UNIVERSALES SA/  GLOBAL TT S.A. / GLOBAT</t>
  </si>
  <si>
    <t>Federacion patronal -  Poliza nro. 1-2195343-0 - Riesgo integral de barrios privados</t>
  </si>
  <si>
    <t>Federacion patronal -  Poliza nro. 1-77459-6 - Seguro de vida obligatorio Sr. Maximiliano Abbruzzese</t>
  </si>
  <si>
    <t>Debito autom.</t>
  </si>
  <si>
    <t>Cafrathela SA - Carolina Carena</t>
  </si>
  <si>
    <t>Diego Soto y Hernan Soto</t>
  </si>
  <si>
    <t>Cecilia Labala</t>
  </si>
  <si>
    <t>Montenievas SRL</t>
  </si>
  <si>
    <t>Ordinarios:</t>
  </si>
  <si>
    <t>QUIENES EN LA COLUMNA DENOMINADA "DEUDA O SALDO A FAVOR" OBSERVEN UN NÚMERO NEGATIVO, SIGNIFICA QUE EN EXPENSAS ANTERIORES ABONARON DE MÁS Y CUENTAN CON DINERO A FAVOR. EL MONTO A ABONAR FIGURA EN LA COLUMNA DENOMINADA "TOTAL".</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</si>
  <si>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</si>
  <si>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</si>
  <si>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</si>
  <si>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</si>
  <si>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</si>
  <si>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</si>
  <si>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 xml:space="preserve">Gastos a recuperar por la administracion - abonados en efectivo </t>
  </si>
  <si>
    <t>CUIT: 30-71618269-6</t>
  </si>
  <si>
    <t>ADMINISTRADORA: CAROLINA CANCIANI MP:1148</t>
  </si>
  <si>
    <t>Covelia SA - Recoleccion de ramas - CUIT: 30707242961</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</si>
  <si>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</si>
  <si>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</si>
  <si>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</si>
  <si>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</si>
  <si>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</si>
  <si>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</si>
  <si>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</si>
  <si>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</si>
  <si>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Transf 16/10</t>
  </si>
  <si>
    <t>Transf 14/10</t>
  </si>
  <si>
    <t>Valeria Reggi</t>
  </si>
  <si>
    <t>Cerradura electrica y 100 juegos de llaves (envio incluido)</t>
  </si>
  <si>
    <t>Envio garrafas</t>
  </si>
  <si>
    <t>2 garrafas</t>
  </si>
  <si>
    <t>Estos gastos se debitaron de la tarjeta de Carolina terminada en 5813</t>
  </si>
  <si>
    <t>MONTO</t>
  </si>
  <si>
    <t>GASTO</t>
  </si>
  <si>
    <t>CAJA DEL SUM</t>
  </si>
  <si>
    <t>Saldo inicial</t>
  </si>
  <si>
    <t>Ingreso que corresponde a CAJA SUM</t>
  </si>
  <si>
    <t>Gastos recuperados por administracion - meses anteriores en efectivo</t>
  </si>
  <si>
    <t>GASTOS PENDIENTES A PASAR EN NOVEIEMBRE: LIBRERÍA Y ARTICULOS DE LIMPIEZA</t>
  </si>
  <si>
    <t>Deposita - pamela - manda por whatsapp</t>
  </si>
  <si>
    <t>ADRIAN CLAUDIO GIARMAN / JOSEFINA GIORDANI / Milagros Anahi Sanchez / Leonardo Alexis Fama / Maria Antonella Rodriguez / Raul Alejandro Davalos/ Agustina navarro</t>
  </si>
  <si>
    <t>Deposita, tambien paga el lote 132 - Santiago Jorge Claps</t>
  </si>
  <si>
    <t>Rodolfo manuel Petenello</t>
  </si>
  <si>
    <t>Ramirez Francisco - Fc. 00000518 - Alquiler de volquetes</t>
  </si>
  <si>
    <t>Fondo de reserva (30 Millones) + Fondo juicio (10 Millones):</t>
  </si>
  <si>
    <t>VTO 31/12</t>
  </si>
  <si>
    <t xml:space="preserve">PERÍODO: NOVIEMBRE </t>
  </si>
  <si>
    <t>Sueldo intendencia - Maximiliano Abbruzzese - NOVIEMBRE</t>
  </si>
  <si>
    <t>Deducciones mes de NOVIEMBRE</t>
  </si>
  <si>
    <t>Redondeo mes de NOVIEMBRE</t>
  </si>
  <si>
    <t>ARCA - Mes de OCTUBRE</t>
  </si>
  <si>
    <t>Sindicatos mes de OCTUBRE</t>
  </si>
  <si>
    <t>GOLD (Cuit.: 33-71225773-9) - Fc.0000403 (Servicio de Seguridad OCTUBRE 2025)</t>
  </si>
  <si>
    <t>Soto</t>
  </si>
  <si>
    <t>Josefina</t>
  </si>
  <si>
    <t>Sergio ferraris</t>
  </si>
  <si>
    <t>Transfirio $ 197.429,09 el 01/12</t>
  </si>
  <si>
    <t>Recaudaciones y pagos -  Suzel Valiña &lt;valisule@gmail.com&gt; - Paga 118 , 120 y 121 - Pagos Rep. SA / AGIL PAGOS / Agro Fuel S.A</t>
  </si>
  <si>
    <t>Recaudaciones y pagos -  Suzel Valiña &lt;valisule@gmail.com&gt; - Paga 118 , 120 y 121 - Pagos Rep. SA / AGIL PAGOS  / Agro Fuel S.A</t>
  </si>
  <si>
    <t>Transfirio $ 171.400 el 01/12</t>
  </si>
  <si>
    <t>Transfirio $ 760.211,67 el 01/12 - Hay que quitarle los punitorios ya que tan solo pago el 01/12</t>
  </si>
  <si>
    <t>Transfirio $ 300.000 el 01/12</t>
  </si>
  <si>
    <t>$782.000 (DEPOSITO 1/12)</t>
  </si>
  <si>
    <t>$705.000 (TRANSFERENCIA 2/12)</t>
  </si>
  <si>
    <t>Deposiot el 3/12 $780.000</t>
  </si>
  <si>
    <t>Sotelo Diego - CUIT:20244952071 - Fc. 000025 - Armado de tablero aut-man para iluminacion interna, interruptores contactor y fotocontrol.  Armado de tablero para canchas de tenis automatizados con horarios.</t>
  </si>
  <si>
    <t>Electro DRF - Compra de cables subterraneos y flexibles - Fc. 00040383</t>
  </si>
  <si>
    <t xml:space="preserve">Matias Krayacich - CUIT: 20228429725 - Fc. 00001217 - Visita por falla en motor de porton acceso vehiculos - Se ajusta base </t>
  </si>
  <si>
    <t>Zaffalon Hernan - CUIT: 20432565441 - Fc. 0000625 - Asistencia de guardias en urgencia desde el 25/11 al 27/11 - Instalacion de cañeria y bomba en pozo nueva e interaccion de tecnico de PLC + Modificacion de tablero</t>
  </si>
  <si>
    <t>Transf 28/11</t>
  </si>
  <si>
    <t>Transf 26/11</t>
  </si>
  <si>
    <t>Transf 25/11</t>
  </si>
  <si>
    <t>OMS (Cuit.: 30-71568933-9) - Fc.00002739 - Cambio de correa en equipo soplador Repicky</t>
  </si>
  <si>
    <t>OMS (Cuit.: 30-71568933-9) - Fc.00002802 - Anticipo 50% (1 camion) - Limpieza de planta de tratamiento y estacion de bombeo</t>
  </si>
  <si>
    <t>Ramirez Francisco - Fc. 00000522 - Alquiler de volquetes</t>
  </si>
  <si>
    <t>Alfa Andamios - CUIT: 30710990693 - Fc. 000008477 - bastidor, rienda corta para andamio, rienda larga para andamio</t>
  </si>
  <si>
    <t>Alfa Andamios - CUIT: 30710990693 - Fc. 000008477 - Horquilla giratoria con freno y rueda de fundicion y goma - Tornillon regulador electrogalvanizado</t>
  </si>
  <si>
    <t>Pelex S.A - Fc. 000000016 - 4 cuota de 6 etapa 2 - Obra paredon Perimetal</t>
  </si>
  <si>
    <t>Transf 13/11</t>
  </si>
  <si>
    <t>Transf 11/11</t>
  </si>
  <si>
    <t>OMS (Cuit.: 30-71568933-9) - Fc.00002767 (Abono mantenimiento planta de tratamiento)</t>
  </si>
  <si>
    <t>Recicla Brown- CUIT: 30-71633401-1 - Servicio de recoleccion de residuos solidos urbanos con frecuencia de un retiro a la semana correspondiente al mes de OCTUBRE - Fc. 0000000070</t>
  </si>
  <si>
    <t>Vazquez (Cuit.: 30-55987767-7) - Fc. 00000219  (Prestación servicio de contenedores - OCTUBRE + Servicio de descarga)</t>
  </si>
  <si>
    <t>OfGold - CUIT: 30715667386 - Fc. 000039580 - Llaveros para gimnasio y cerradura electrica</t>
  </si>
  <si>
    <t>Julio Nuñez - 2 garradas de 10kg - CUIT: 20218382240 - Fc. 0000101</t>
  </si>
  <si>
    <t>Envio de garrafas</t>
  </si>
  <si>
    <t>El imperio RYL - Articulos de limpieza - Fc. 000009376</t>
  </si>
  <si>
    <t>Transf 05/11</t>
  </si>
  <si>
    <t>Transf 06/11</t>
  </si>
  <si>
    <t>Cerrajeria Vision - Cotrafrente con instalacion y ajuste de cerradura en puerta Gym - Fc. 00007815 - CUIT: 23138302539</t>
  </si>
  <si>
    <t>Transf 12/11</t>
  </si>
  <si>
    <t>Pinsur - Trabajo de pintura, colocacion de placas en la pared y colocacion de paneles en el piso - Anticipo del 50% - Fc. 0000279 - CUIT: 20210522728</t>
  </si>
  <si>
    <t>Grey Brick - Fc. 0000007595 - Certificacion de obra pavimento correspondiente a NOVIEMBRE</t>
  </si>
  <si>
    <t>Axin (Cuit.: 30-70858249-9)  - Cuota 48</t>
  </si>
  <si>
    <t>Axin (Cuit.: 30-70858249-9) - Cuota 2 de 3 - Servidor Lenovo - Trabajo aprobado por Sra. Mabel</t>
  </si>
  <si>
    <t>Honorarios administracion - Mes de NOVIEMBRE Fc. 00000230</t>
  </si>
  <si>
    <t>Transf 04/11</t>
  </si>
  <si>
    <t>Evento 04/10 - UF 82 - 19 a 02hs</t>
  </si>
  <si>
    <t>Evento 05/10 - UF 51 - 11 a 17hs</t>
  </si>
  <si>
    <t>Evento 31/10 - UF 93 - 19 a 02hs</t>
  </si>
  <si>
    <t>Evento 12/10 - UF 14 - 11 a 17hs</t>
  </si>
  <si>
    <t>Armella Cristian - CUIT: 20371419234 - Fc. 00037 - Mantenimiento espacios comunes</t>
  </si>
  <si>
    <t>Ramirez Francisco - Fc. 00000514 - Alquiler de volquetes</t>
  </si>
  <si>
    <t>Palubinskas Fernando Nestor - Bidones de Agua cimes de 20lts - Fc. 01384</t>
  </si>
  <si>
    <t>Batista Da Silva Ramon - Fc. 000000058 - CUIT:20218630783 - Colocacion de aislantes y limpieza de aire SUM - Cambio de reflector y fotocelula en altura- Colocacion de fotocelular - Control universal</t>
  </si>
  <si>
    <t>Armella Cristian - CUIT: 20371419234 - Fc. 00040 - Extracciones de aroboles de raiz - 50%</t>
  </si>
  <si>
    <t>Covelia SA - Servicio de recoleccion de residuos domiciliarios correspondientes al mes de OCTUBRE  - CUIT: 30707242961 -Fc. 00004428</t>
  </si>
  <si>
    <t>Alonso Bado Javier - Alquiler mensual vehiculo electrico abierto con seguro incluido - Mes de NOVIEMBRE - Fc. 0001190</t>
  </si>
  <si>
    <t>Gustavo Padron - Honorarios por trabajo de control, calculo y actualizacion de expensas para el lote 128 - Fc. 00000128 - CUIT: 20200271220</t>
  </si>
  <si>
    <t>Transfirio el 4/12 $324.000</t>
  </si>
  <si>
    <t>Transfirio el 4/12 $555.450 y $204.761,79</t>
  </si>
  <si>
    <t>Debito 03/11</t>
  </si>
  <si>
    <t>GOLD (Cuit.: 33-71225773-9) - Fc.0000403 - Evento en hallowen - 16 a 21hs</t>
  </si>
  <si>
    <t>Transf 03/11</t>
  </si>
  <si>
    <t>Flow (Cuit: 30-63945373-8) - (Servicio de WIFI 2025)</t>
  </si>
  <si>
    <t>Debito 04/11</t>
  </si>
  <si>
    <t>Debito 05/11</t>
  </si>
  <si>
    <t>Electro DRF -  Fc. 00039630 - Compra de material electrico para puesta a punto pilar 3</t>
  </si>
  <si>
    <t>El imperio RYL - Articulos de limpieza - Fc. 000006976 - Mes de octubre</t>
  </si>
  <si>
    <t>El imperio RYL - Articulos de limpieza - Fc. 000008666 - Mes de octubre</t>
  </si>
  <si>
    <t>Rumbo Librería - Fc. 000025790 - CUIT: 23171438134 - Compra articulos de librería</t>
  </si>
  <si>
    <t>A recuperar por Adm.</t>
  </si>
  <si>
    <t>Transf 07/11</t>
  </si>
  <si>
    <t>Debito 07/11</t>
  </si>
  <si>
    <t>Batista Da Silva Ramon - Fc. 000000061 - CUIT:20218630783 - Colocacion de cerradura magnetica en Gym  - Materiales y mano de obra</t>
  </si>
  <si>
    <t>Servicio Polad - Mes de OCTUBRE - Valor de la hora $6.262,83 (762hs en total)</t>
  </si>
  <si>
    <t>Debito 12/11</t>
  </si>
  <si>
    <t>nos transferimos dinero de mas</t>
  </si>
  <si>
    <t>Servicios arquitectura - Srita. Melanie Burgos Oros - Lotes 9 - 13 - 16 - 48 - 51 - 56 - 68 - 86 - 146 - 62 - 128</t>
  </si>
  <si>
    <t>Transf 14/11</t>
  </si>
  <si>
    <t>Debito 17/11</t>
  </si>
  <si>
    <t xml:space="preserve">Pintureria gianonni - Pinturas para el gimnasio </t>
  </si>
  <si>
    <t>Transf 17/11</t>
  </si>
  <si>
    <t>Grey Brick - Fc. 0000000935 - Anticipo 20% trabajo de desmonte de suelo existente, nivelacion, compactacion, retiro total de escombros y limpieza de obra 467m2 pavimento a trabajar</t>
  </si>
  <si>
    <t>Transf 19/11</t>
  </si>
  <si>
    <t>Armella Cristian - CUIT: 20371419234 - Fc. 0047 - Fumigacion mes de Septiembre: Dia 24 - Mes de ocubre dias: 1, 15 y 29 - Mes de noviembre dia: 13</t>
  </si>
  <si>
    <t>Armella Cristian - CUIT: 20371419234 - Fc. 0047 - Fumigacion 22/11</t>
  </si>
  <si>
    <t>Valiente Margio Jose - CUIT: 30716182696 - Fc. 0000003 - Servicio de asesoramiento y asistencia tecnica en materia de seguridad, higiene y medioambiente - OCTUBRE</t>
  </si>
  <si>
    <t>Compr de adhesivo De contacto Fortex lata x 18LT - Para piso de gimnasio</t>
  </si>
  <si>
    <t xml:space="preserve">OMS (Cuit.: 30-71568933-9) - Fc.00002781 - Analisis de efluentes liquidos con cadena de custodia en OPDS </t>
  </si>
  <si>
    <t xml:space="preserve">Zaffalon Hernan - CUIT: 20432565441 - Fc. 0000622 - Compra de cañeria termofusion tigre para armado de pozo </t>
  </si>
  <si>
    <t>Zaffalon Hernan - CUIT: 20432565441 - Fc. 0000623 - Bomba sumergible 5hp Pedrolo cuerpo y motor</t>
  </si>
  <si>
    <t>Transf 27/11</t>
  </si>
  <si>
    <t>Gabriel Demetrio Muzyka - Trabajo de herreria - Reparacion de porton entrada - Cambio de ruedas - Repuesto y mano de obra</t>
  </si>
  <si>
    <t>Gabriel Demetrio Muzyka - Trabajo de herreria - Reparacion de porton puesto 2 - Arco - Fabricacion de base motro de entrada -Rehacer platea de concreto y amurar la base de nuevo anclaje - Mano de obra y materiales</t>
  </si>
  <si>
    <t>Flete para entrega de andamios - Pagado por Adm.</t>
  </si>
  <si>
    <t>Lemak SRL - CUIT:30715203173 - Fc. 00000560 - Provision de cerramientos - Compra espejo concavo 50cm puesto 1</t>
  </si>
  <si>
    <t>Gabriel Demetrio Muzyka - Trabajo de herreria - Reparacion de la escalera en puesto 1 - Respiracion del generador y tope porton</t>
  </si>
  <si>
    <t>Federacion patronal -  Poliza nro. 83885707</t>
  </si>
  <si>
    <t>Punitorios mal cobrados 136</t>
  </si>
  <si>
    <t>Sandirs SRL - SANDIS SRL</t>
  </si>
  <si>
    <t>QUERCIA LUCIO - QAM SRL - FLEBO TDR SRL - Grupo Logistico Srl</t>
  </si>
  <si>
    <t>Medizin Servicios - ProlijoLimp SA - COBRO EXPRESS BUENOS AIRES SA</t>
  </si>
  <si>
    <t>Multa mal cobrada Lote 58</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</si>
  <si>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</si>
  <si>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</si>
  <si>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</si>
  <si>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</si>
  <si>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</si>
  <si>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Punitorios mal cobrados lote 93</t>
  </si>
  <si>
    <t>Ingresos ya identificados meses anteriores - Laprida SRL - Depositos que no se identificaban desde el inicio de gestion</t>
  </si>
  <si>
    <t>TOTAL AL 30/11</t>
  </si>
  <si>
    <t>Aclaración sobre la columna “Gastos Particulares”
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Ante cualquier duda o consulta sobre los importes allí detallados, quedamos a disposición.</t>
  </si>
  <si>
    <t>Multa mal cobrada Lote 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</si>
</sst>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sz val="12"/>
      <color theme="1"/>
      <name val="Calibri"/>
      <family val="2"/>
      <scheme val="minor"/>
    </font>
    <font>
      <sz val="12"/>
      <name val="Calibri"/>
      <family val="2"/>
      <scheme val="minor"/>
    </font>
    <font>
      <b/>
      <sz val="12"/>
      <name val="Calibri"/>
      <family val="2"/>
      <scheme val="minor"/>
    </font>
    <font>
      <b/>
      <sz val="10"/>
      <color theme="0"/>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rgb="FFA50021"/>
        <bgColor indexed="64"/>
      </patternFill>
    </fill>
    <fill>
      <patternFill patternType="solid">
        <fgColor theme="2"/>
        <bgColor indexed="64"/>
      </patternFill>
    </fill>
    <fill>
      <patternFill patternType="solid">
        <fgColor rgb="FFFF0000"/>
        <bgColor indexed="64"/>
      </patternFill>
    </fill>
    <fill>
      <patternFill patternType="solid">
        <fgColor theme="2" tint="-0.749992370372631"/>
        <bgColor indexed="64"/>
      </patternFill>
    </fill>
    <fill>
      <patternFill patternType="solid">
        <fgColor rgb="FF000000"/>
        <bgColor indexed="64"/>
      </patternFill>
    </fill>
    <fill>
      <patternFill patternType="solid">
        <fgColor rgb="FF0070C0"/>
        <bgColor indexed="64"/>
      </patternFill>
    </fill>
    <fill>
      <patternFill patternType="solid">
        <fgColor theme="7" tint="0.39997558519241921"/>
        <bgColor indexed="64"/>
      </patternFill>
    </fill>
    <fill>
      <patternFill patternType="solid">
        <fgColor rgb="FF9999FF"/>
        <bgColor indexed="64"/>
      </patternFill>
    </fill>
    <fill>
      <patternFill patternType="solid">
        <fgColor theme="6" tint="0.39997558519241921"/>
        <bgColor indexed="64"/>
      </patternFill>
    </fill>
    <fill>
      <patternFill patternType="solid">
        <fgColor rgb="FFFFFF99"/>
        <bgColor indexed="64"/>
      </patternFill>
    </fill>
    <fill>
      <patternFill patternType="solid">
        <fgColor theme="9"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335">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2" fillId="2" borderId="1" xfId="1" applyFont="1" applyFill="1" applyBorder="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8" fontId="17" fillId="10" borderId="1" xfId="0" applyNumberFormat="1" applyFont="1" applyFill="1" applyBorder="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44" fontId="6" fillId="12" borderId="6" xfId="1" applyFont="1" applyFill="1" applyBorder="1"/>
    <xf numFmtId="8" fontId="6" fillId="12" borderId="6" xfId="0" applyNumberFormat="1" applyFont="1" applyFill="1" applyBorder="1"/>
    <xf numFmtId="44" fontId="4" fillId="12" borderId="6" xfId="1" applyFont="1" applyFill="1" applyBorder="1"/>
    <xf numFmtId="0" fontId="10" fillId="12" borderId="1" xfId="0" applyFont="1" applyFill="1" applyBorder="1"/>
    <xf numFmtId="8" fontId="6" fillId="12" borderId="22" xfId="0" applyNumberFormat="1" applyFont="1" applyFill="1" applyBorder="1"/>
    <xf numFmtId="0" fontId="5" fillId="7" borderId="25" xfId="0" applyFont="1" applyFill="1" applyBorder="1"/>
    <xf numFmtId="44" fontId="5" fillId="7" borderId="26"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2" xfId="0" applyFont="1" applyFill="1" applyBorder="1"/>
    <xf numFmtId="0" fontId="4" fillId="13" borderId="15" xfId="0" applyFont="1" applyFill="1" applyBorder="1"/>
    <xf numFmtId="0" fontId="13" fillId="2" borderId="1" xfId="0" applyFont="1" applyFill="1" applyBorder="1" applyAlignment="1">
      <alignment wrapText="1"/>
    </xf>
    <xf numFmtId="0" fontId="5" fillId="7" borderId="25" xfId="0" applyFont="1" applyFill="1" applyBorder="1" applyAlignment="1">
      <alignment horizontal="left" vertical="center" wrapText="1"/>
    </xf>
    <xf numFmtId="44" fontId="6" fillId="12" borderId="21" xfId="1" applyFont="1" applyFill="1" applyBorder="1"/>
    <xf numFmtId="165" fontId="6" fillId="12" borderId="2" xfId="1" applyNumberFormat="1" applyFont="1" applyFill="1" applyBorder="1"/>
    <xf numFmtId="8" fontId="6" fillId="12" borderId="5" xfId="0"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2" fillId="14" borderId="27" xfId="0" applyFont="1" applyFill="1" applyBorder="1"/>
    <xf numFmtId="0" fontId="2" fillId="14" borderId="24"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5" xfId="0"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6" fillId="2" borderId="1" xfId="1" applyFont="1" applyFill="1" applyBorder="1"/>
    <xf numFmtId="44" fontId="2" fillId="15" borderId="15" xfId="1" applyFont="1" applyFill="1" applyBorder="1"/>
    <xf numFmtId="0" fontId="13" fillId="4" borderId="21" xfId="0" applyFont="1" applyFill="1" applyBorder="1"/>
    <xf numFmtId="44" fontId="13" fillId="4" borderId="25" xfId="0" applyNumberFormat="1" applyFont="1" applyFill="1" applyBorder="1"/>
    <xf numFmtId="165" fontId="13" fillId="4" borderId="31" xfId="0" applyNumberFormat="1" applyFont="1" applyFill="1" applyBorder="1"/>
    <xf numFmtId="165" fontId="13" fillId="4" borderId="26" xfId="0" applyNumberFormat="1" applyFont="1" applyFill="1" applyBorder="1"/>
    <xf numFmtId="165" fontId="13" fillId="4" borderId="21" xfId="0" applyNumberFormat="1" applyFont="1" applyFill="1" applyBorder="1"/>
    <xf numFmtId="44" fontId="13" fillId="4" borderId="21" xfId="0" applyNumberFormat="1" applyFont="1" applyFill="1" applyBorder="1"/>
    <xf numFmtId="44" fontId="13" fillId="0" borderId="1" xfId="1" applyFont="1" applyBorder="1"/>
    <xf numFmtId="0" fontId="13" fillId="4" borderId="26" xfId="0" applyFont="1" applyFill="1" applyBorder="1"/>
    <xf numFmtId="165" fontId="13" fillId="2" borderId="1" xfId="1" applyNumberFormat="1" applyFont="1" applyFill="1" applyBorder="1"/>
    <xf numFmtId="165" fontId="13" fillId="4" borderId="21" xfId="0" applyNumberFormat="1" applyFont="1" applyFill="1" applyBorder="1" applyAlignment="1">
      <alignment horizontal="left"/>
    </xf>
    <xf numFmtId="0" fontId="2" fillId="0" borderId="1" xfId="0" applyFont="1" applyBorder="1"/>
    <xf numFmtId="44" fontId="2" fillId="0" borderId="1" xfId="1" applyFont="1" applyBorder="1"/>
    <xf numFmtId="169" fontId="24" fillId="3" borderId="0" xfId="0" applyNumberFormat="1" applyFont="1" applyFill="1"/>
    <xf numFmtId="169" fontId="24" fillId="3" borderId="8" xfId="0" applyNumberFormat="1" applyFont="1" applyFill="1" applyBorder="1" applyAlignment="1">
      <alignment horizontal="center"/>
    </xf>
    <xf numFmtId="169" fontId="24" fillId="3" borderId="8" xfId="0" applyNumberFormat="1" applyFont="1" applyFill="1" applyBorder="1" applyAlignment="1">
      <alignment horizontal="left"/>
    </xf>
    <xf numFmtId="1" fontId="13"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0" fontId="13" fillId="17" borderId="1" xfId="0" applyFont="1" applyFill="1" applyBorder="1"/>
    <xf numFmtId="0" fontId="13" fillId="8" borderId="1" xfId="0" applyFont="1" applyFill="1" applyBorder="1"/>
    <xf numFmtId="0" fontId="13" fillId="5" borderId="1" xfId="0" applyFont="1" applyFill="1" applyBorder="1"/>
    <xf numFmtId="0" fontId="2" fillId="14" borderId="1" xfId="0" applyFont="1" applyFill="1" applyBorder="1"/>
    <xf numFmtId="0" fontId="13" fillId="12" borderId="1" xfId="0" applyFont="1" applyFill="1" applyBorder="1"/>
    <xf numFmtId="0" fontId="13" fillId="18" borderId="1" xfId="0" applyFont="1" applyFill="1" applyBorder="1"/>
    <xf numFmtId="166" fontId="6" fillId="12" borderId="21" xfId="1" applyNumberFormat="1" applyFont="1" applyFill="1" applyBorder="1"/>
    <xf numFmtId="172" fontId="6" fillId="12" borderId="21"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0" fontId="0" fillId="14" borderId="1" xfId="0" applyFill="1" applyBorder="1"/>
    <xf numFmtId="44" fontId="2" fillId="14" borderId="1" xfId="1" applyFont="1" applyFill="1" applyBorder="1"/>
    <xf numFmtId="168" fontId="0" fillId="0" borderId="0" xfId="0" applyNumberFormat="1"/>
    <xf numFmtId="43" fontId="18" fillId="2" borderId="1" xfId="1" applyNumberFormat="1" applyFont="1" applyFill="1" applyBorder="1"/>
    <xf numFmtId="43" fontId="18" fillId="2" borderId="1" xfId="4" applyFont="1" applyFill="1" applyBorder="1"/>
    <xf numFmtId="43" fontId="18" fillId="0" borderId="1" xfId="1" applyNumberFormat="1" applyFont="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5"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7" xfId="0" applyFont="1" applyFill="1" applyBorder="1"/>
    <xf numFmtId="0" fontId="6" fillId="13" borderId="24" xfId="0" applyFont="1" applyFill="1" applyBorder="1"/>
    <xf numFmtId="165" fontId="6" fillId="13" borderId="28"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8" fillId="15" borderId="26" xfId="1" applyFont="1" applyFill="1" applyBorder="1"/>
    <xf numFmtId="44" fontId="5" fillId="6" borderId="3" xfId="1" applyFont="1" applyFill="1" applyBorder="1"/>
    <xf numFmtId="0" fontId="8" fillId="15" borderId="14" xfId="0" applyFont="1" applyFill="1" applyBorder="1"/>
    <xf numFmtId="0" fontId="8" fillId="15" borderId="25" xfId="0" applyFont="1" applyFill="1" applyBorder="1"/>
    <xf numFmtId="0" fontId="13" fillId="19" borderId="1" xfId="0" applyFont="1" applyFill="1" applyBorder="1"/>
    <xf numFmtId="0" fontId="13" fillId="20" borderId="1" xfId="0" applyFont="1" applyFill="1" applyBorder="1"/>
    <xf numFmtId="0" fontId="13" fillId="21" borderId="1" xfId="0" applyFont="1" applyFill="1" applyBorder="1"/>
    <xf numFmtId="0" fontId="13" fillId="22" borderId="1" xfId="0" applyFont="1" applyFill="1" applyBorder="1"/>
    <xf numFmtId="0" fontId="13" fillId="23" borderId="1" xfId="0" applyFont="1" applyFill="1" applyBorder="1"/>
    <xf numFmtId="0" fontId="2" fillId="0" borderId="0" xfId="0" applyFont="1"/>
    <xf numFmtId="0" fontId="13" fillId="11" borderId="1" xfId="0" applyFont="1" applyFill="1" applyBorder="1"/>
    <xf numFmtId="0" fontId="18" fillId="24" borderId="1" xfId="0" applyFont="1" applyFill="1" applyBorder="1"/>
    <xf numFmtId="0" fontId="13" fillId="25" borderId="1" xfId="0" applyFont="1" applyFill="1" applyBorder="1"/>
    <xf numFmtId="0" fontId="13" fillId="4" borderId="1" xfId="0" applyFont="1" applyFill="1" applyBorder="1"/>
    <xf numFmtId="0" fontId="13" fillId="26" borderId="1" xfId="0" applyFont="1" applyFill="1" applyBorder="1"/>
    <xf numFmtId="44" fontId="2" fillId="0" borderId="13" xfId="0" applyNumberFormat="1" applyFont="1" applyBorder="1"/>
    <xf numFmtId="0" fontId="0" fillId="0" borderId="17" xfId="0" applyBorder="1"/>
    <xf numFmtId="44" fontId="0" fillId="0" borderId="17" xfId="1" applyFont="1" applyBorder="1"/>
    <xf numFmtId="0" fontId="2" fillId="27" borderId="11" xfId="0" applyFont="1" applyFill="1" applyBorder="1" applyAlignment="1">
      <alignment horizontal="center"/>
    </xf>
    <xf numFmtId="44" fontId="2" fillId="0" borderId="0" xfId="1" applyFont="1"/>
    <xf numFmtId="0" fontId="0" fillId="0" borderId="32" xfId="0" applyBorder="1"/>
    <xf numFmtId="44" fontId="0" fillId="0" borderId="33" xfId="1" applyFont="1" applyBorder="1"/>
    <xf numFmtId="0" fontId="0" fillId="0" borderId="36" xfId="0" applyBorder="1"/>
    <xf numFmtId="0" fontId="2" fillId="28" borderId="13" xfId="0" applyFont="1" applyFill="1" applyBorder="1"/>
    <xf numFmtId="44" fontId="0" fillId="0" borderId="37" xfId="1" applyFont="1" applyBorder="1"/>
    <xf numFmtId="44" fontId="2" fillId="28" borderId="13" xfId="1" applyFont="1" applyFill="1" applyBorder="1"/>
    <xf numFmtId="8" fontId="2" fillId="2" borderId="0" xfId="0" applyNumberFormat="1" applyFont="1" applyFill="1"/>
    <xf numFmtId="0" fontId="26"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0" fontId="18" fillId="2" borderId="1" xfId="0" applyFont="1" applyFill="1" applyBorder="1"/>
    <xf numFmtId="44" fontId="0" fillId="2" borderId="1" xfId="1" applyFont="1" applyFill="1" applyBorder="1"/>
    <xf numFmtId="168" fontId="4" fillId="2" borderId="1" xfId="0" applyNumberFormat="1" applyFont="1" applyFill="1" applyBorder="1"/>
    <xf numFmtId="44" fontId="4" fillId="14" borderId="1" xfId="1" applyFont="1" applyFill="1" applyBorder="1"/>
    <xf numFmtId="0" fontId="13" fillId="28" borderId="1" xfId="0" applyFont="1" applyFill="1" applyBorder="1"/>
    <xf numFmtId="0" fontId="0" fillId="2" borderId="14" xfId="0" applyFill="1" applyBorder="1"/>
    <xf numFmtId="0" fontId="0" fillId="2" borderId="16" xfId="0" applyFill="1" applyBorder="1"/>
    <xf numFmtId="16" fontId="0" fillId="2" borderId="0" xfId="0" applyNumberFormat="1" applyFill="1"/>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7" xfId="0" applyFont="1" applyFill="1" applyBorder="1" applyAlignment="1">
      <alignment vertical="center" wrapText="1"/>
    </xf>
    <xf numFmtId="0" fontId="4" fillId="2" borderId="6" xfId="0" applyFont="1" applyFill="1" applyBorder="1" applyAlignment="1">
      <alignment horizontal="left" vertical="center"/>
    </xf>
    <xf numFmtId="166" fontId="6" fillId="12" borderId="2" xfId="1" applyNumberFormat="1" applyFont="1" applyFill="1" applyBorder="1"/>
    <xf numFmtId="44" fontId="20" fillId="0" borderId="3" xfId="1" applyFont="1" applyBorder="1" applyAlignment="1">
      <alignment vertical="center" wrapText="1"/>
    </xf>
    <xf numFmtId="44" fontId="2" fillId="14" borderId="28" xfId="0" applyNumberFormat="1" applyFont="1" applyFill="1" applyBorder="1" applyAlignment="1">
      <alignment vertical="center"/>
    </xf>
    <xf numFmtId="0" fontId="2" fillId="14" borderId="9" xfId="0" applyFont="1" applyFill="1" applyBorder="1" applyAlignment="1">
      <alignment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wrapText="1"/>
    </xf>
    <xf numFmtId="0" fontId="4" fillId="2" borderId="7" xfId="0" applyFont="1" applyFill="1" applyBorder="1" applyAlignment="1">
      <alignment horizontal="left" wrapText="1"/>
    </xf>
    <xf numFmtId="0" fontId="15" fillId="8" borderId="14" xfId="0" quotePrefix="1"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15" fillId="8" borderId="25" xfId="0" applyFont="1" applyFill="1" applyBorder="1" applyAlignment="1">
      <alignment horizontal="center" vertical="center" wrapText="1"/>
    </xf>
    <xf numFmtId="0" fontId="15" fillId="8" borderId="26" xfId="0" applyFont="1" applyFill="1" applyBorder="1" applyAlignment="1">
      <alignment horizontal="center"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28" borderId="34" xfId="0" applyFont="1" applyFill="1" applyBorder="1" applyAlignment="1">
      <alignment horizontal="left"/>
    </xf>
    <xf numFmtId="0" fontId="2" fillId="28" borderId="35" xfId="0" applyFont="1" applyFill="1" applyBorder="1" applyAlignment="1">
      <alignment horizontal="left"/>
    </xf>
    <xf numFmtId="0" fontId="4" fillId="2" borderId="23" xfId="0" applyFont="1" applyFill="1" applyBorder="1" applyAlignment="1">
      <alignment horizontal="left" vertical="center" wrapText="1"/>
    </xf>
    <xf numFmtId="0" fontId="16" fillId="8" borderId="0" xfId="0" applyFont="1" applyFill="1" applyAlignment="1">
      <alignment horizontal="center" vertical="center"/>
    </xf>
    <xf numFmtId="0" fontId="25" fillId="7" borderId="0" xfId="0" applyFont="1" applyFill="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15" fillId="8" borderId="14" xfId="0" applyFont="1" applyFill="1" applyBorder="1" applyAlignment="1">
      <alignment horizontal="left" vertical="center" wrapText="1"/>
    </xf>
    <xf numFmtId="0" fontId="15" fillId="8" borderId="12"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5" fillId="8" borderId="0" xfId="0" applyFont="1" applyFill="1" applyAlignment="1">
      <alignment horizontal="left" vertical="center" wrapText="1"/>
    </xf>
    <xf numFmtId="0" fontId="15" fillId="8" borderId="17" xfId="0" applyFont="1" applyFill="1" applyBorder="1" applyAlignment="1">
      <alignment horizontal="left" vertical="center" wrapText="1"/>
    </xf>
    <xf numFmtId="0" fontId="15" fillId="8" borderId="25"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8" borderId="26" xfId="0" applyFont="1" applyFill="1" applyBorder="1" applyAlignment="1">
      <alignment horizontal="left" vertical="center" wrapText="1"/>
    </xf>
    <xf numFmtId="44" fontId="9" fillId="0" borderId="1" xfId="1" applyFont="1" applyBorder="1"/>
    <xf numFmtId="44" fontId="13" fillId="4" borderId="25" xfId="0" applyNumberFormat="1" applyFont="1" applyFill="1" applyBorder="1" applyAlignment="1">
      <alignment horizontal="center"/>
    </xf>
    <xf numFmtId="44" fontId="13" fillId="4" borderId="26" xfId="0" applyNumberFormat="1" applyFont="1" applyFill="1" applyBorder="1" applyAlignment="1">
      <alignment horizontal="center"/>
    </xf>
    <xf numFmtId="44" fontId="18" fillId="0" borderId="1" xfId="1" applyFont="1" applyBorder="1" applyAlignment="1">
      <alignment horizontal="center"/>
    </xf>
    <xf numFmtId="44" fontId="9" fillId="2" borderId="1" xfId="1" applyFont="1" applyFill="1" applyBorder="1"/>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5" fillId="3" borderId="8" xfId="0" applyNumberFormat="1" applyFont="1" applyFill="1" applyBorder="1" applyAlignment="1">
      <alignment horizontal="center"/>
    </xf>
    <xf numFmtId="169" fontId="25" fillId="3" borderId="0" xfId="1" applyNumberFormat="1" applyFont="1" applyFill="1" applyAlignment="1">
      <alignment horizontal="center"/>
    </xf>
    <xf numFmtId="169" fontId="25" fillId="3" borderId="8" xfId="1" applyNumberFormat="1" applyFont="1" applyFill="1" applyBorder="1" applyAlignment="1">
      <alignment horizontal="center" vertical="center"/>
    </xf>
    <xf numFmtId="44" fontId="23" fillId="3" borderId="8" xfId="1" applyFont="1" applyFill="1" applyBorder="1" applyAlignment="1">
      <alignment horizontal="left"/>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30" xfId="0" applyFont="1" applyFill="1" applyBorder="1" applyAlignment="1">
      <alignment horizontal="center" vertical="center" wrapText="1"/>
    </xf>
    <xf numFmtId="169" fontId="24" fillId="3" borderId="0" xfId="0" applyNumberFormat="1" applyFont="1" applyFill="1" applyAlignment="1">
      <alignment horizontal="left"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6" xfId="0" applyNumberFormat="1" applyFill="1" applyBorder="1" applyAlignment="1">
      <alignment horizontal="center" vertical="center" wrapText="1"/>
    </xf>
    <xf numFmtId="0" fontId="0" fillId="0" borderId="16" xfId="0" applyBorder="1"/>
    <xf numFmtId="0" fontId="0" fillId="0" borderId="0" xfId="0"/>
    <xf numFmtId="0" fontId="0" fillId="0" borderId="9" xfId="0" applyBorder="1"/>
    <xf numFmtId="0" fontId="0" fillId="0" borderId="10" xfId="0" applyBorder="1"/>
    <xf numFmtId="0" fontId="0" fillId="8" borderId="14"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16" xfId="0" applyFill="1" applyBorder="1" applyAlignment="1">
      <alignment horizontal="center" vertical="center" wrapText="1"/>
    </xf>
    <xf numFmtId="0" fontId="0" fillId="8" borderId="0" xfId="0" applyFill="1" applyAlignment="1">
      <alignment horizontal="center" vertical="center" wrapText="1"/>
    </xf>
    <xf numFmtId="0" fontId="0" fillId="8" borderId="17" xfId="0" applyFill="1" applyBorder="1" applyAlignment="1">
      <alignment horizontal="center" vertical="center" wrapText="1"/>
    </xf>
    <xf numFmtId="0" fontId="0" fillId="8" borderId="25" xfId="0" applyFill="1" applyBorder="1" applyAlignment="1">
      <alignment horizontal="center" vertical="center" wrapText="1"/>
    </xf>
    <xf numFmtId="0" fontId="0" fillId="8" borderId="8" xfId="0" applyFill="1" applyBorder="1" applyAlignment="1">
      <alignment horizontal="center" vertical="center" wrapText="1"/>
    </xf>
    <xf numFmtId="0" fontId="0" fillId="8" borderId="26" xfId="0" applyFill="1" applyBorder="1" applyAlignment="1">
      <alignment horizontal="center" vertical="center" wrapText="1"/>
    </xf>
    <xf numFmtId="0" fontId="2" fillId="27" borderId="9" xfId="0" applyFont="1" applyFill="1" applyBorder="1" applyAlignment="1">
      <alignment horizontal="center"/>
    </xf>
    <xf numFmtId="0" fontId="2" fillId="27" borderId="10" xfId="0" applyFont="1" applyFill="1" applyBorder="1" applyAlignment="1">
      <alignment horizontal="center"/>
    </xf>
    <xf numFmtId="0" fontId="2" fillId="27" borderId="11" xfId="0" applyFont="1" applyFill="1" applyBorder="1" applyAlignment="1">
      <alignment horizontal="center"/>
    </xf>
    <xf numFmtId="0" fontId="0" fillId="0" borderId="14" xfId="0" applyBorder="1"/>
    <xf numFmtId="0" fontId="0" fillId="0" borderId="12" xfId="0" applyBorder="1"/>
    <xf numFmtId="8" fontId="4"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2" borderId="1" xfId="1" applyFont="1" applyFill="1" applyBorder="1"/>
    <xf numFmtId="168" fontId="4" fillId="2" borderId="1" xfId="1" applyNumberFormat="1" applyFont="1" applyFill="1" applyBorder="1"/>
    <xf numFmtId="44" fontId="4" fillId="2" borderId="6" xfId="1" applyFont="1" applyFill="1" applyBorder="1"/>
    <xf numFmtId="166" fontId="0" fillId="2" borderId="0" xfId="0" applyNumberFormat="1" applyFill="1"/>
    <xf numFmtId="167" fontId="0" fillId="2" borderId="0" xfId="0" applyNumberFormat="1" applyFill="1"/>
    <xf numFmtId="44" fontId="2" fillId="29" borderId="13" xfId="1" applyFont="1" applyFill="1" applyBorder="1"/>
    <xf numFmtId="0" fontId="6" fillId="29" borderId="13" xfId="0" applyFont="1" applyFill="1" applyBorder="1" applyAlignment="1">
      <alignment horizontal="left" vertical="center" wrapText="1"/>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5" fontId="18" fillId="18" borderId="1" xfId="1" applyNumberFormat="1" applyFont="1" applyFill="1" applyBorder="1"/>
    <xf numFmtId="44" fontId="18" fillId="2" borderId="1" xfId="1" applyFont="1" applyFill="1" applyBorder="1"/>
    <xf numFmtId="165" fontId="18" fillId="21" borderId="1" xfId="1" applyNumberFormat="1" applyFont="1" applyFill="1" applyBorder="1"/>
    <xf numFmtId="166" fontId="6" fillId="5" borderId="26" xfId="0" applyNumberFormat="1" applyFont="1" applyFill="1" applyBorder="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FF99"/>
      <color rgb="FF000000"/>
      <color rgb="FFCC6600"/>
      <color rgb="FF9999FF"/>
      <color rgb="FF800000"/>
      <color rgb="FFCCFFCC"/>
      <color rgb="FFA50021"/>
      <color rgb="FF00CCFF"/>
      <color rgb="FFFF00FF"/>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3"/>
  <sheetViews>
    <sheetView tabSelected="1" topLeftCell="A116" zoomScale="90" zoomScaleNormal="90" workbookViewId="0">
      <selection activeCell="E109" sqref="E109"/>
    </sheetView>
  </sheetViews>
  <sheetFormatPr baseColWidth="10" defaultColWidth="10.85546875"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6.42578125" bestFit="1" customWidth="1"/>
    <col min="7" max="8" width="15.42578125" bestFit="1" customWidth="1"/>
    <col min="9" max="9" width="14.140625" bestFit="1" customWidth="1"/>
    <col min="11" max="11" width="18" customWidth="1"/>
    <col min="12" max="12" width="18.28515625" customWidth="1"/>
  </cols>
  <sheetData>
    <row r="1" spans="1:5" ht="15.75" thickBot="1" x14ac:dyDescent="0.3">
      <c r="A1" s="258"/>
      <c r="B1" s="253" t="s">
        <v>158</v>
      </c>
      <c r="C1" s="254"/>
      <c r="D1" s="254"/>
      <c r="E1" s="255"/>
    </row>
    <row r="2" spans="1:5" ht="15.75" thickBot="1" x14ac:dyDescent="0.3">
      <c r="A2" s="259"/>
      <c r="B2" s="253" t="s">
        <v>160</v>
      </c>
      <c r="C2" s="254"/>
      <c r="D2" s="254"/>
      <c r="E2" s="255"/>
    </row>
    <row r="3" spans="1:5" ht="32.25" customHeight="1" thickBot="1" x14ac:dyDescent="0.3">
      <c r="A3" s="259"/>
      <c r="B3" s="250" t="s">
        <v>156</v>
      </c>
      <c r="C3" s="251"/>
      <c r="D3" s="251"/>
      <c r="E3" s="252"/>
    </row>
    <row r="4" spans="1:5" ht="15.75" thickBot="1" x14ac:dyDescent="0.3">
      <c r="A4" s="259"/>
      <c r="B4" s="68" t="s">
        <v>157</v>
      </c>
      <c r="C4" s="67"/>
      <c r="D4" s="67"/>
      <c r="E4" s="67"/>
    </row>
    <row r="5" spans="1:5" ht="16.899999999999999" customHeight="1" thickBot="1" x14ac:dyDescent="0.3">
      <c r="A5" s="259"/>
      <c r="B5" s="71" t="s">
        <v>330</v>
      </c>
      <c r="C5" s="69"/>
      <c r="D5" s="69"/>
      <c r="E5" s="70"/>
    </row>
    <row r="6" spans="1:5" ht="16.899999999999999" customHeight="1" thickBot="1" x14ac:dyDescent="0.3">
      <c r="A6" s="259"/>
      <c r="B6" s="72" t="s">
        <v>299</v>
      </c>
      <c r="C6" s="69"/>
      <c r="D6" s="69"/>
      <c r="E6" s="70"/>
    </row>
    <row r="7" spans="1:5" ht="16.899999999999999" customHeight="1" thickBot="1" x14ac:dyDescent="0.3">
      <c r="A7" s="259"/>
      <c r="B7" s="72" t="s">
        <v>298</v>
      </c>
      <c r="C7" s="69"/>
      <c r="D7" s="69"/>
      <c r="E7" s="70"/>
    </row>
    <row r="8" spans="1:5" ht="15.75" thickBot="1" x14ac:dyDescent="0.3">
      <c r="A8" s="260"/>
      <c r="B8" s="256" t="s">
        <v>159</v>
      </c>
      <c r="C8" s="256"/>
      <c r="D8" s="256"/>
      <c r="E8" s="257"/>
    </row>
    <row r="10" spans="1:5" ht="14.45" customHeight="1" x14ac:dyDescent="0.25">
      <c r="A10" s="248" t="s">
        <v>329</v>
      </c>
      <c r="B10" s="248"/>
      <c r="C10" s="248"/>
      <c r="D10" s="248"/>
      <c r="E10" s="248"/>
    </row>
    <row r="11" spans="1:5" ht="14.45" customHeight="1" x14ac:dyDescent="0.25">
      <c r="A11" s="248"/>
      <c r="B11" s="248"/>
      <c r="C11" s="248"/>
      <c r="D11" s="248"/>
      <c r="E11" s="248"/>
    </row>
    <row r="12" spans="1:5" ht="14.45" customHeight="1" x14ac:dyDescent="0.25">
      <c r="A12" s="248"/>
      <c r="B12" s="248"/>
      <c r="C12" s="248"/>
      <c r="D12" s="248"/>
      <c r="E12" s="248"/>
    </row>
    <row r="13" spans="1:5" x14ac:dyDescent="0.25">
      <c r="A13" s="46"/>
      <c r="B13" s="46"/>
      <c r="C13" s="46"/>
      <c r="D13" s="46"/>
      <c r="E13" s="46"/>
    </row>
    <row r="14" spans="1:5" ht="14.45" hidden="1" customHeight="1" x14ac:dyDescent="0.25">
      <c r="A14" s="46"/>
      <c r="B14" s="46"/>
      <c r="C14" s="46"/>
      <c r="D14" s="46"/>
      <c r="E14" s="46"/>
    </row>
    <row r="15" spans="1:5" ht="15" customHeight="1" x14ac:dyDescent="0.25">
      <c r="A15" s="249" t="s">
        <v>250</v>
      </c>
      <c r="B15" s="249"/>
      <c r="C15" s="249"/>
      <c r="D15" s="249"/>
      <c r="E15" s="249"/>
    </row>
    <row r="16" spans="1:5" ht="15" customHeight="1" x14ac:dyDescent="0.25">
      <c r="A16" s="249"/>
      <c r="B16" s="249"/>
      <c r="C16" s="249"/>
      <c r="D16" s="249"/>
      <c r="E16" s="249"/>
    </row>
    <row r="17" spans="1:8" ht="15" customHeight="1" x14ac:dyDescent="0.25">
      <c r="A17" s="249"/>
      <c r="B17" s="249"/>
      <c r="C17" s="249"/>
      <c r="D17" s="249"/>
      <c r="E17" s="249"/>
    </row>
    <row r="18" spans="1:8" ht="243" customHeight="1" x14ac:dyDescent="0.25">
      <c r="A18" s="249"/>
      <c r="B18" s="249"/>
      <c r="C18" s="249"/>
      <c r="D18" s="249"/>
      <c r="E18" s="249"/>
    </row>
    <row r="19" spans="1:8" ht="14.25" customHeight="1" thickBot="1" x14ac:dyDescent="0.3">
      <c r="A19" s="46"/>
      <c r="B19" s="46"/>
      <c r="C19" s="46"/>
      <c r="D19" s="46"/>
      <c r="E19" s="46"/>
    </row>
    <row r="20" spans="1:8" ht="14.45" hidden="1" customHeight="1" x14ac:dyDescent="0.25">
      <c r="A20" s="151"/>
      <c r="B20" s="46"/>
      <c r="C20" s="46"/>
      <c r="D20" s="46"/>
      <c r="E20" s="46"/>
    </row>
    <row r="21" spans="1:8" ht="15" hidden="1" customHeight="1" thickBot="1" x14ac:dyDescent="0.3">
      <c r="A21" s="46"/>
      <c r="B21" s="46"/>
      <c r="C21" s="46"/>
      <c r="D21" s="46"/>
      <c r="E21" s="46"/>
    </row>
    <row r="22" spans="1:8" x14ac:dyDescent="0.25">
      <c r="A22" s="152" t="s">
        <v>5</v>
      </c>
      <c r="B22" s="153"/>
      <c r="C22" s="154"/>
      <c r="D22" s="155"/>
      <c r="E22" s="156"/>
    </row>
    <row r="23" spans="1:8" x14ac:dyDescent="0.25">
      <c r="A23" s="12" t="s">
        <v>18</v>
      </c>
      <c r="B23" s="12"/>
      <c r="C23" s="12"/>
      <c r="D23" s="12"/>
      <c r="E23" s="12"/>
    </row>
    <row r="24" spans="1:8" ht="20.25" customHeight="1" x14ac:dyDescent="0.25">
      <c r="A24" s="233" t="s">
        <v>331</v>
      </c>
      <c r="B24" s="234"/>
      <c r="C24" s="38"/>
      <c r="D24" s="319">
        <v>1848429.77</v>
      </c>
      <c r="E24" s="38"/>
      <c r="G24" s="119"/>
    </row>
    <row r="25" spans="1:8" x14ac:dyDescent="0.25">
      <c r="A25" s="38" t="s">
        <v>332</v>
      </c>
      <c r="B25" s="38"/>
      <c r="C25" s="38"/>
      <c r="D25" s="319">
        <v>-402033.47</v>
      </c>
      <c r="E25" s="38"/>
      <c r="G25" s="4"/>
    </row>
    <row r="26" spans="1:8" x14ac:dyDescent="0.25">
      <c r="A26" s="38" t="s">
        <v>333</v>
      </c>
      <c r="B26" s="38"/>
      <c r="C26" s="38"/>
      <c r="D26" s="319">
        <v>0.7</v>
      </c>
      <c r="E26" s="38"/>
      <c r="G26" s="4"/>
    </row>
    <row r="27" spans="1:8" x14ac:dyDescent="0.25">
      <c r="A27" s="157" t="s">
        <v>19</v>
      </c>
      <c r="B27" s="157"/>
      <c r="C27" s="157"/>
      <c r="D27" s="48">
        <f>SUM(D24:D26)</f>
        <v>1446397</v>
      </c>
      <c r="E27" s="130"/>
      <c r="F27" s="4"/>
      <c r="G27" s="4"/>
      <c r="H27" s="119"/>
    </row>
    <row r="28" spans="1:8" ht="32.25" customHeight="1" x14ac:dyDescent="0.25">
      <c r="A28" s="233" t="s">
        <v>253</v>
      </c>
      <c r="B28" s="234"/>
      <c r="C28" s="38"/>
      <c r="D28" s="319">
        <v>920000</v>
      </c>
      <c r="E28" s="38" t="s">
        <v>362</v>
      </c>
      <c r="G28" s="4"/>
    </row>
    <row r="29" spans="1:8" x14ac:dyDescent="0.25">
      <c r="A29" s="157" t="s">
        <v>19</v>
      </c>
      <c r="B29" s="157"/>
      <c r="C29" s="157"/>
      <c r="D29" s="48">
        <f>SUM(D28:D28)</f>
        <v>920000</v>
      </c>
      <c r="E29" s="39"/>
      <c r="G29" s="4"/>
    </row>
    <row r="30" spans="1:8" ht="18" customHeight="1" thickBot="1" x14ac:dyDescent="0.3">
      <c r="A30" s="158" t="s">
        <v>171</v>
      </c>
      <c r="B30" s="158"/>
      <c r="C30" s="158"/>
      <c r="D30" s="61"/>
      <c r="E30" s="139">
        <f>D27+D29</f>
        <v>2366397</v>
      </c>
      <c r="F30" s="4"/>
    </row>
    <row r="31" spans="1:8" x14ac:dyDescent="0.25">
      <c r="A31" s="12" t="s">
        <v>177</v>
      </c>
      <c r="B31" s="13"/>
      <c r="C31" s="13"/>
      <c r="D31" s="15"/>
      <c r="E31" s="30"/>
    </row>
    <row r="32" spans="1:8" s="19" customFormat="1" ht="15" customHeight="1" x14ac:dyDescent="0.25">
      <c r="A32" s="38" t="s">
        <v>334</v>
      </c>
      <c r="B32" s="38"/>
      <c r="C32" s="159"/>
      <c r="D32" s="320">
        <v>874294.32</v>
      </c>
      <c r="E32" s="124" t="s">
        <v>407</v>
      </c>
      <c r="G32" s="57"/>
    </row>
    <row r="33" spans="1:9" s="19" customFormat="1" ht="15" customHeight="1" x14ac:dyDescent="0.25">
      <c r="A33" s="160" t="s">
        <v>335</v>
      </c>
      <c r="B33" s="38" t="s">
        <v>11</v>
      </c>
      <c r="C33" s="159"/>
      <c r="D33" s="320">
        <v>85752.9</v>
      </c>
      <c r="E33" s="124" t="s">
        <v>410</v>
      </c>
      <c r="G33" s="57"/>
    </row>
    <row r="34" spans="1:9" s="19" customFormat="1" ht="15" customHeight="1" x14ac:dyDescent="0.25">
      <c r="A34" s="160" t="str">
        <f>A33</f>
        <v>Sindicatos mes de OCTUBRE</v>
      </c>
      <c r="B34" s="38" t="s">
        <v>20</v>
      </c>
      <c r="C34" s="159"/>
      <c r="D34" s="320">
        <v>149717.31</v>
      </c>
      <c r="E34" s="124" t="str">
        <f>E33</f>
        <v>Debito 12/11</v>
      </c>
      <c r="G34" s="57"/>
    </row>
    <row r="35" spans="1:9" ht="15" customHeight="1" x14ac:dyDescent="0.25">
      <c r="A35" s="160" t="str">
        <f>A34</f>
        <v>Sindicatos mes de OCTUBRE</v>
      </c>
      <c r="B35" s="38" t="s">
        <v>10</v>
      </c>
      <c r="C35" s="159"/>
      <c r="D35" s="321">
        <v>9528.1</v>
      </c>
      <c r="E35" s="124" t="str">
        <f>E34</f>
        <v>Debito 12/11</v>
      </c>
      <c r="H35" s="51"/>
    </row>
    <row r="36" spans="1:9" ht="15.75" thickBot="1" x14ac:dyDescent="0.3">
      <c r="A36" s="158" t="s">
        <v>150</v>
      </c>
      <c r="B36" s="158"/>
      <c r="C36" s="158"/>
      <c r="D36" s="60"/>
      <c r="E36" s="138">
        <f>SUM(D32:D35)</f>
        <v>1119292.6300000001</v>
      </c>
    </row>
    <row r="37" spans="1:9" x14ac:dyDescent="0.25">
      <c r="A37" s="12" t="s">
        <v>170</v>
      </c>
      <c r="B37" s="161"/>
      <c r="C37" s="161"/>
      <c r="D37" s="18"/>
      <c r="E37" s="41"/>
    </row>
    <row r="38" spans="1:9" ht="31.9" customHeight="1" x14ac:dyDescent="0.25">
      <c r="A38" s="231" t="s">
        <v>282</v>
      </c>
      <c r="B38" s="232"/>
      <c r="C38" s="38"/>
      <c r="D38" s="322">
        <v>148964</v>
      </c>
      <c r="E38" s="125" t="s">
        <v>399</v>
      </c>
    </row>
    <row r="39" spans="1:9" ht="31.9" customHeight="1" x14ac:dyDescent="0.25">
      <c r="A39" s="231" t="s">
        <v>283</v>
      </c>
      <c r="B39" s="232"/>
      <c r="C39" s="38"/>
      <c r="D39" s="322">
        <v>5619</v>
      </c>
      <c r="E39" s="125" t="s">
        <v>395</v>
      </c>
    </row>
    <row r="40" spans="1:9" ht="31.9" customHeight="1" x14ac:dyDescent="0.25">
      <c r="A40" s="231" t="s">
        <v>432</v>
      </c>
      <c r="B40" s="232"/>
      <c r="C40" s="38"/>
      <c r="D40" s="322">
        <v>12189.12</v>
      </c>
      <c r="E40" s="125" t="s">
        <v>395</v>
      </c>
    </row>
    <row r="41" spans="1:9" ht="31.9" customHeight="1" x14ac:dyDescent="0.25">
      <c r="A41" s="231" t="s">
        <v>178</v>
      </c>
      <c r="B41" s="232"/>
      <c r="C41" s="38"/>
      <c r="D41" s="322">
        <v>14585.38</v>
      </c>
      <c r="E41" s="125" t="s">
        <v>414</v>
      </c>
    </row>
    <row r="42" spans="1:9" ht="31.9" customHeight="1" x14ac:dyDescent="0.25">
      <c r="A42" s="231" t="s">
        <v>178</v>
      </c>
      <c r="B42" s="232"/>
      <c r="C42" s="38"/>
      <c r="D42" s="322">
        <v>18195</v>
      </c>
      <c r="E42" s="125" t="s">
        <v>400</v>
      </c>
    </row>
    <row r="43" spans="1:9" ht="15" customHeight="1" thickBot="1" x14ac:dyDescent="0.3">
      <c r="A43" s="158" t="s">
        <v>151</v>
      </c>
      <c r="B43" s="162"/>
      <c r="C43" s="162"/>
      <c r="D43" s="62"/>
      <c r="E43" s="77">
        <f>SUM(D38:D42)</f>
        <v>199552.5</v>
      </c>
    </row>
    <row r="44" spans="1:9" ht="15" customHeight="1" thickBot="1" x14ac:dyDescent="0.3">
      <c r="A44" s="98" t="s">
        <v>179</v>
      </c>
      <c r="B44" s="13"/>
      <c r="C44" s="13"/>
      <c r="D44" s="17"/>
      <c r="E44" s="43"/>
    </row>
    <row r="45" spans="1:9" ht="42.75" customHeight="1" x14ac:dyDescent="0.25">
      <c r="A45" s="231" t="s">
        <v>336</v>
      </c>
      <c r="B45" s="247"/>
      <c r="C45" s="163"/>
      <c r="D45" s="322">
        <v>44803488.799999997</v>
      </c>
      <c r="E45" s="42" t="s">
        <v>380</v>
      </c>
      <c r="G45" t="s">
        <v>244</v>
      </c>
      <c r="I45" s="55"/>
    </row>
    <row r="46" spans="1:9" ht="36.75" customHeight="1" x14ac:dyDescent="0.25">
      <c r="A46" s="231" t="s">
        <v>396</v>
      </c>
      <c r="B46" s="247"/>
      <c r="C46" s="163"/>
      <c r="D46" s="322">
        <v>65121.35</v>
      </c>
      <c r="E46" s="42" t="s">
        <v>380</v>
      </c>
      <c r="I46" s="55"/>
    </row>
    <row r="47" spans="1:9" ht="41.25" customHeight="1" x14ac:dyDescent="0.25">
      <c r="A47" s="231" t="s">
        <v>409</v>
      </c>
      <c r="B47" s="247"/>
      <c r="C47" s="163"/>
      <c r="D47" s="322">
        <v>4773199</v>
      </c>
      <c r="E47" s="125" t="s">
        <v>363</v>
      </c>
      <c r="F47" s="24"/>
    </row>
    <row r="48" spans="1:9" ht="17.45" customHeight="1" x14ac:dyDescent="0.25">
      <c r="A48" s="158" t="s">
        <v>180</v>
      </c>
      <c r="B48" s="63"/>
      <c r="C48" s="63"/>
      <c r="D48" s="63"/>
      <c r="E48" s="78">
        <f>SUM(D45:D47)</f>
        <v>49641809.149999999</v>
      </c>
    </row>
    <row r="49" spans="1:8" ht="17.45" customHeight="1" x14ac:dyDescent="0.25">
      <c r="A49" s="98" t="s">
        <v>181</v>
      </c>
      <c r="B49" s="98"/>
      <c r="C49" s="98" t="s">
        <v>179</v>
      </c>
      <c r="D49" s="98"/>
      <c r="E49" s="98"/>
    </row>
    <row r="50" spans="1:8" ht="35.1" customHeight="1" x14ac:dyDescent="0.25">
      <c r="A50" s="231" t="s">
        <v>364</v>
      </c>
      <c r="B50" s="247"/>
      <c r="C50" s="163"/>
      <c r="D50" s="322">
        <v>1110121.05</v>
      </c>
      <c r="E50" s="45" t="s">
        <v>363</v>
      </c>
    </row>
    <row r="51" spans="1:8" ht="35.1" customHeight="1" x14ac:dyDescent="0.25">
      <c r="A51" s="231" t="s">
        <v>423</v>
      </c>
      <c r="B51" s="247"/>
      <c r="C51" s="163"/>
      <c r="D51" s="322">
        <v>569184</v>
      </c>
      <c r="E51" s="45" t="s">
        <v>355</v>
      </c>
    </row>
    <row r="52" spans="1:8" ht="35.1" customHeight="1" x14ac:dyDescent="0.25">
      <c r="A52" s="231" t="s">
        <v>357</v>
      </c>
      <c r="B52" s="247"/>
      <c r="C52" s="163"/>
      <c r="D52" s="322">
        <v>1512500</v>
      </c>
      <c r="E52" s="45" t="s">
        <v>355</v>
      </c>
    </row>
    <row r="53" spans="1:8" ht="35.1" customHeight="1" x14ac:dyDescent="0.25">
      <c r="A53" s="231" t="s">
        <v>356</v>
      </c>
      <c r="B53" s="247"/>
      <c r="C53" s="163"/>
      <c r="D53" s="322">
        <v>154644</v>
      </c>
      <c r="E53" s="45" t="s">
        <v>355</v>
      </c>
    </row>
    <row r="54" spans="1:8" ht="49.5" customHeight="1" x14ac:dyDescent="0.25">
      <c r="A54" s="231" t="s">
        <v>419</v>
      </c>
      <c r="B54" s="232"/>
      <c r="C54" s="164"/>
      <c r="D54" s="322">
        <v>600000</v>
      </c>
      <c r="E54" s="45" t="s">
        <v>355</v>
      </c>
      <c r="G54" s="51"/>
    </row>
    <row r="55" spans="1:8" ht="35.1" customHeight="1" x14ac:dyDescent="0.25">
      <c r="A55" s="231" t="s">
        <v>420</v>
      </c>
      <c r="B55" s="232"/>
      <c r="C55" s="164"/>
      <c r="D55" s="322">
        <v>120000</v>
      </c>
      <c r="E55" s="45" t="s">
        <v>355</v>
      </c>
    </row>
    <row r="56" spans="1:8" ht="35.1" customHeight="1" x14ac:dyDescent="0.25">
      <c r="A56" s="231" t="s">
        <v>385</v>
      </c>
      <c r="B56" s="232"/>
      <c r="C56" s="164"/>
      <c r="D56" s="322">
        <v>5500000</v>
      </c>
      <c r="E56" s="45" t="s">
        <v>397</v>
      </c>
    </row>
    <row r="57" spans="1:8" ht="35.1" customHeight="1" x14ac:dyDescent="0.25">
      <c r="A57" s="231" t="s">
        <v>389</v>
      </c>
      <c r="B57" s="232"/>
      <c r="C57" s="164"/>
      <c r="D57" s="322">
        <v>2400000</v>
      </c>
      <c r="E57" s="45" t="s">
        <v>372</v>
      </c>
    </row>
    <row r="58" spans="1:8" ht="60" customHeight="1" x14ac:dyDescent="0.25">
      <c r="A58" s="231" t="s">
        <v>365</v>
      </c>
      <c r="B58" s="232"/>
      <c r="C58" s="164"/>
      <c r="D58" s="322">
        <v>228690</v>
      </c>
      <c r="E58" s="143" t="s">
        <v>362</v>
      </c>
    </row>
    <row r="59" spans="1:8" ht="44.25" customHeight="1" x14ac:dyDescent="0.25">
      <c r="A59" s="231" t="s">
        <v>366</v>
      </c>
      <c r="B59" s="232"/>
      <c r="C59" s="164"/>
      <c r="D59" s="322">
        <v>317233.38</v>
      </c>
      <c r="E59" s="45" t="s">
        <v>309</v>
      </c>
    </row>
    <row r="60" spans="1:8" ht="35.1" customHeight="1" x14ac:dyDescent="0.25">
      <c r="A60" s="233" t="s">
        <v>358</v>
      </c>
      <c r="B60" s="234"/>
      <c r="C60" s="38"/>
      <c r="D60" s="323">
        <v>90000</v>
      </c>
      <c r="E60" s="45" t="s">
        <v>355</v>
      </c>
    </row>
    <row r="61" spans="1:8" ht="35.1" customHeight="1" x14ac:dyDescent="0.25">
      <c r="A61" s="233" t="s">
        <v>327</v>
      </c>
      <c r="B61" s="234"/>
      <c r="C61" s="38"/>
      <c r="D61" s="323">
        <v>90000</v>
      </c>
      <c r="E61" s="45" t="s">
        <v>362</v>
      </c>
    </row>
    <row r="62" spans="1:8" ht="35.1" customHeight="1" x14ac:dyDescent="0.25">
      <c r="A62" s="233" t="s">
        <v>386</v>
      </c>
      <c r="B62" s="234"/>
      <c r="C62" s="38"/>
      <c r="D62" s="323">
        <v>90000</v>
      </c>
      <c r="E62" s="126" t="s">
        <v>372</v>
      </c>
      <c r="G62" s="146"/>
      <c r="H62" s="146"/>
    </row>
    <row r="63" spans="1:8" ht="48" customHeight="1" x14ac:dyDescent="0.25">
      <c r="A63" s="233" t="s">
        <v>421</v>
      </c>
      <c r="B63" s="234"/>
      <c r="C63" s="38"/>
      <c r="D63" s="323">
        <v>943800</v>
      </c>
      <c r="E63" s="126" t="s">
        <v>355</v>
      </c>
      <c r="G63" s="146"/>
      <c r="H63" s="146"/>
    </row>
    <row r="64" spans="1:8" ht="35.1" customHeight="1" x14ac:dyDescent="0.25">
      <c r="A64" s="231" t="s">
        <v>391</v>
      </c>
      <c r="B64" s="232"/>
      <c r="C64" s="38"/>
      <c r="D64" s="322">
        <v>820380</v>
      </c>
      <c r="E64" s="126" t="s">
        <v>371</v>
      </c>
      <c r="G64" s="146"/>
      <c r="H64" s="146"/>
    </row>
    <row r="65" spans="1:8" ht="48" customHeight="1" x14ac:dyDescent="0.25">
      <c r="A65" s="231" t="s">
        <v>390</v>
      </c>
      <c r="B65" s="232"/>
      <c r="C65" s="38"/>
      <c r="D65" s="322">
        <v>2144590.69</v>
      </c>
      <c r="E65" s="126" t="s">
        <v>371</v>
      </c>
      <c r="G65" s="146"/>
      <c r="H65" s="146"/>
    </row>
    <row r="66" spans="1:8" ht="35.1" customHeight="1" x14ac:dyDescent="0.25">
      <c r="A66" s="231" t="s">
        <v>300</v>
      </c>
      <c r="B66" s="232"/>
      <c r="C66" s="38"/>
      <c r="D66" s="322">
        <v>350000</v>
      </c>
      <c r="E66" s="126" t="s">
        <v>355</v>
      </c>
      <c r="G66" s="146"/>
      <c r="H66" s="146"/>
    </row>
    <row r="67" spans="1:8" ht="15.75" thickBot="1" x14ac:dyDescent="0.3">
      <c r="A67" s="158" t="s">
        <v>182</v>
      </c>
      <c r="B67" s="63"/>
      <c r="C67" s="63"/>
      <c r="D67" s="63"/>
      <c r="E67" s="227">
        <f>SUM(D50:D66)</f>
        <v>17041143.120000001</v>
      </c>
    </row>
    <row r="68" spans="1:8" ht="15.75" thickBot="1" x14ac:dyDescent="0.3">
      <c r="A68" s="12" t="s">
        <v>183</v>
      </c>
      <c r="B68" s="165"/>
      <c r="C68" s="13"/>
      <c r="D68" s="10"/>
      <c r="E68" s="43"/>
    </row>
    <row r="69" spans="1:8" ht="35.1" customHeight="1" x14ac:dyDescent="0.25">
      <c r="A69" s="231" t="s">
        <v>367</v>
      </c>
      <c r="B69" s="232"/>
      <c r="C69" s="38"/>
      <c r="D69" s="323">
        <v>208419</v>
      </c>
      <c r="E69" s="228" t="s">
        <v>405</v>
      </c>
    </row>
    <row r="70" spans="1:8" ht="35.1" customHeight="1" x14ac:dyDescent="0.25">
      <c r="A70" s="233" t="s">
        <v>368</v>
      </c>
      <c r="B70" s="234"/>
      <c r="C70" s="38"/>
      <c r="D70" s="323">
        <v>319000</v>
      </c>
      <c r="E70" s="228" t="s">
        <v>405</v>
      </c>
    </row>
    <row r="71" spans="1:8" ht="35.1" customHeight="1" x14ac:dyDescent="0.25">
      <c r="A71" s="223" t="s">
        <v>369</v>
      </c>
      <c r="B71" s="224"/>
      <c r="C71" s="38"/>
      <c r="D71" s="323">
        <v>15000</v>
      </c>
      <c r="E71" s="228" t="s">
        <v>405</v>
      </c>
    </row>
    <row r="72" spans="1:8" ht="46.5" customHeight="1" x14ac:dyDescent="0.25">
      <c r="A72" s="233" t="s">
        <v>408</v>
      </c>
      <c r="B72" s="234"/>
      <c r="C72" s="38"/>
      <c r="D72" s="323">
        <v>130000</v>
      </c>
      <c r="E72" s="45" t="s">
        <v>363</v>
      </c>
    </row>
    <row r="73" spans="1:8" ht="63.6" customHeight="1" x14ac:dyDescent="0.25">
      <c r="A73" s="233" t="s">
        <v>388</v>
      </c>
      <c r="B73" s="234"/>
      <c r="C73" s="38"/>
      <c r="D73" s="323">
        <v>180000</v>
      </c>
      <c r="E73" s="45" t="s">
        <v>372</v>
      </c>
    </row>
    <row r="74" spans="1:8" ht="46.5" customHeight="1" x14ac:dyDescent="0.25">
      <c r="A74" s="233" t="s">
        <v>422</v>
      </c>
      <c r="B74" s="234"/>
      <c r="C74" s="38"/>
      <c r="D74" s="323">
        <v>218552.2</v>
      </c>
      <c r="E74" s="45" t="s">
        <v>355</v>
      </c>
    </row>
    <row r="75" spans="1:8" ht="72" customHeight="1" x14ac:dyDescent="0.25">
      <c r="A75" s="233" t="s">
        <v>349</v>
      </c>
      <c r="B75" s="234"/>
      <c r="C75" s="38"/>
      <c r="D75" s="323">
        <v>641300</v>
      </c>
      <c r="E75" s="45" t="s">
        <v>353</v>
      </c>
    </row>
    <row r="76" spans="1:8" ht="35.1" customHeight="1" x14ac:dyDescent="0.25">
      <c r="A76" s="231" t="s">
        <v>350</v>
      </c>
      <c r="B76" s="232"/>
      <c r="C76" s="38"/>
      <c r="D76" s="323">
        <v>81472.149999999994</v>
      </c>
      <c r="E76" s="45" t="s">
        <v>355</v>
      </c>
    </row>
    <row r="77" spans="1:8" ht="35.1" customHeight="1" x14ac:dyDescent="0.25">
      <c r="A77" s="231" t="s">
        <v>401</v>
      </c>
      <c r="B77" s="232"/>
      <c r="C77" s="38"/>
      <c r="D77" s="323">
        <v>555638.18999999994</v>
      </c>
      <c r="E77" s="45" t="s">
        <v>371</v>
      </c>
    </row>
    <row r="78" spans="1:8" ht="35.1" customHeight="1" x14ac:dyDescent="0.25">
      <c r="A78" s="231" t="s">
        <v>429</v>
      </c>
      <c r="B78" s="232"/>
      <c r="C78" s="38"/>
      <c r="D78" s="323">
        <v>35000</v>
      </c>
      <c r="E78" s="45" t="s">
        <v>353</v>
      </c>
    </row>
    <row r="79" spans="1:8" ht="35.1" customHeight="1" x14ac:dyDescent="0.25">
      <c r="A79" s="231" t="s">
        <v>359</v>
      </c>
      <c r="B79" s="232"/>
      <c r="C79" s="38"/>
      <c r="D79" s="323">
        <v>959555.17</v>
      </c>
      <c r="E79" s="45" t="s">
        <v>413</v>
      </c>
    </row>
    <row r="80" spans="1:8" ht="55.15" customHeight="1" x14ac:dyDescent="0.25">
      <c r="A80" s="231" t="s">
        <v>360</v>
      </c>
      <c r="B80" s="232"/>
      <c r="C80" s="225"/>
      <c r="D80" s="323">
        <v>482338.43</v>
      </c>
      <c r="E80" s="45" t="s">
        <v>413</v>
      </c>
    </row>
    <row r="81" spans="1:5" ht="35.1" customHeight="1" x14ac:dyDescent="0.25">
      <c r="A81" s="231" t="s">
        <v>351</v>
      </c>
      <c r="B81" s="232"/>
      <c r="C81" s="160"/>
      <c r="D81" s="323">
        <v>45000</v>
      </c>
      <c r="E81" s="45" t="s">
        <v>354</v>
      </c>
    </row>
    <row r="82" spans="1:5" ht="35.1" customHeight="1" x14ac:dyDescent="0.25">
      <c r="A82" s="231" t="s">
        <v>430</v>
      </c>
      <c r="B82" s="232"/>
      <c r="C82" s="160"/>
      <c r="D82" s="323">
        <v>390000</v>
      </c>
      <c r="E82" s="45" t="s">
        <v>355</v>
      </c>
    </row>
    <row r="83" spans="1:5" ht="35.1" customHeight="1" x14ac:dyDescent="0.25">
      <c r="A83" s="231" t="s">
        <v>427</v>
      </c>
      <c r="B83" s="232"/>
      <c r="C83" s="160"/>
      <c r="D83" s="323">
        <v>161300</v>
      </c>
      <c r="E83" s="45" t="s">
        <v>426</v>
      </c>
    </row>
    <row r="84" spans="1:5" ht="63.75" customHeight="1" x14ac:dyDescent="0.25">
      <c r="A84" s="231" t="s">
        <v>428</v>
      </c>
      <c r="B84" s="232"/>
      <c r="C84" s="160"/>
      <c r="D84" s="323">
        <v>430000</v>
      </c>
      <c r="E84" s="45" t="s">
        <v>353</v>
      </c>
    </row>
    <row r="85" spans="1:5" ht="35.1" customHeight="1" x14ac:dyDescent="0.25">
      <c r="A85" s="231" t="s">
        <v>431</v>
      </c>
      <c r="B85" s="232"/>
      <c r="C85" s="160"/>
      <c r="D85" s="323">
        <v>150000</v>
      </c>
      <c r="E85" s="143" t="s">
        <v>406</v>
      </c>
    </row>
    <row r="86" spans="1:5" ht="35.1" customHeight="1" x14ac:dyDescent="0.25">
      <c r="A86" s="226" t="s">
        <v>415</v>
      </c>
      <c r="B86" s="222"/>
      <c r="C86" s="160"/>
      <c r="D86" s="323">
        <v>198150.42</v>
      </c>
      <c r="E86" s="143" t="s">
        <v>416</v>
      </c>
    </row>
    <row r="87" spans="1:5" ht="49.9" customHeight="1" x14ac:dyDescent="0.25">
      <c r="A87" s="231" t="s">
        <v>375</v>
      </c>
      <c r="B87" s="232"/>
      <c r="C87" s="160"/>
      <c r="D87" s="323">
        <v>800000</v>
      </c>
      <c r="E87" s="143" t="s">
        <v>374</v>
      </c>
    </row>
    <row r="88" spans="1:5" ht="35.1" customHeight="1" x14ac:dyDescent="0.25">
      <c r="A88" s="231" t="s">
        <v>370</v>
      </c>
      <c r="B88" s="232"/>
      <c r="C88" s="160"/>
      <c r="D88" s="323">
        <v>327700</v>
      </c>
      <c r="E88" s="143" t="s">
        <v>371</v>
      </c>
    </row>
    <row r="89" spans="1:5" ht="35.1" customHeight="1" x14ac:dyDescent="0.25">
      <c r="A89" s="231" t="s">
        <v>402</v>
      </c>
      <c r="B89" s="232"/>
      <c r="C89" s="160"/>
      <c r="D89" s="323">
        <v>150000</v>
      </c>
      <c r="E89" s="143" t="s">
        <v>372</v>
      </c>
    </row>
    <row r="90" spans="1:5" ht="35.1" customHeight="1" x14ac:dyDescent="0.25">
      <c r="A90" s="231" t="s">
        <v>403</v>
      </c>
      <c r="B90" s="232"/>
      <c r="C90" s="160"/>
      <c r="D90" s="323">
        <v>227100</v>
      </c>
      <c r="E90" s="143" t="s">
        <v>372</v>
      </c>
    </row>
    <row r="91" spans="1:5" ht="45" customHeight="1" x14ac:dyDescent="0.25">
      <c r="A91" s="231" t="s">
        <v>404</v>
      </c>
      <c r="B91" s="232"/>
      <c r="C91" s="160"/>
      <c r="D91" s="323">
        <v>17294.72</v>
      </c>
      <c r="E91" s="143" t="s">
        <v>372</v>
      </c>
    </row>
    <row r="92" spans="1:5" ht="45" customHeight="1" x14ac:dyDescent="0.25">
      <c r="A92" s="233" t="s">
        <v>424</v>
      </c>
      <c r="B92" s="234"/>
      <c r="C92" s="160"/>
      <c r="D92" s="323">
        <v>905000</v>
      </c>
      <c r="E92" s="143" t="s">
        <v>354</v>
      </c>
    </row>
    <row r="93" spans="1:5" ht="45" customHeight="1" x14ac:dyDescent="0.25">
      <c r="A93" s="233" t="s">
        <v>425</v>
      </c>
      <c r="B93" s="234"/>
      <c r="C93" s="160"/>
      <c r="D93" s="323">
        <v>1970000</v>
      </c>
      <c r="E93" s="143" t="s">
        <v>354</v>
      </c>
    </row>
    <row r="94" spans="1:5" ht="61.15" customHeight="1" x14ac:dyDescent="0.25">
      <c r="A94" s="233" t="s">
        <v>352</v>
      </c>
      <c r="B94" s="234"/>
      <c r="C94" s="38"/>
      <c r="D94" s="323">
        <v>1800000</v>
      </c>
      <c r="E94" s="143" t="s">
        <v>353</v>
      </c>
    </row>
    <row r="95" spans="1:5" ht="35.1" customHeight="1" x14ac:dyDescent="0.25">
      <c r="A95" s="231" t="s">
        <v>373</v>
      </c>
      <c r="B95" s="232"/>
      <c r="C95" s="160"/>
      <c r="D95" s="323">
        <v>45000</v>
      </c>
      <c r="E95" s="127" t="s">
        <v>374</v>
      </c>
    </row>
    <row r="96" spans="1:5" ht="35.1" customHeight="1" x14ac:dyDescent="0.25">
      <c r="A96" s="231" t="s">
        <v>387</v>
      </c>
      <c r="B96" s="232"/>
      <c r="C96" s="160"/>
      <c r="D96" s="323">
        <v>268400</v>
      </c>
      <c r="E96" s="127" t="s">
        <v>372</v>
      </c>
    </row>
    <row r="97" spans="1:8" ht="15.75" thickBot="1" x14ac:dyDescent="0.3">
      <c r="A97" s="166" t="s">
        <v>184</v>
      </c>
      <c r="B97" s="166"/>
      <c r="C97" s="166"/>
      <c r="D97" s="64"/>
      <c r="E97" s="138">
        <f>SUM(D69:D96)</f>
        <v>11711220.280000001</v>
      </c>
    </row>
    <row r="98" spans="1:8" x14ac:dyDescent="0.25">
      <c r="A98" s="12" t="s">
        <v>12</v>
      </c>
      <c r="B98" s="12"/>
      <c r="C98" s="12"/>
      <c r="D98" s="14"/>
      <c r="E98" s="40"/>
    </row>
    <row r="99" spans="1:8" ht="35.1" customHeight="1" x14ac:dyDescent="0.25">
      <c r="A99" s="231" t="s">
        <v>379</v>
      </c>
      <c r="B99" s="232"/>
      <c r="C99" s="38"/>
      <c r="D99" s="216">
        <v>2800000</v>
      </c>
      <c r="E99" s="143" t="s">
        <v>353</v>
      </c>
      <c r="H99" t="s">
        <v>411</v>
      </c>
    </row>
    <row r="100" spans="1:8" ht="43.9" customHeight="1" x14ac:dyDescent="0.25">
      <c r="A100" s="231" t="s">
        <v>392</v>
      </c>
      <c r="B100" s="232"/>
      <c r="C100" s="38"/>
      <c r="D100" s="216">
        <v>370000</v>
      </c>
      <c r="E100" s="143" t="s">
        <v>363</v>
      </c>
    </row>
    <row r="101" spans="1:8" ht="35.1" customHeight="1" x14ac:dyDescent="0.25">
      <c r="A101" s="231" t="s">
        <v>321</v>
      </c>
      <c r="B101" s="232"/>
      <c r="C101" s="38"/>
      <c r="D101" s="216">
        <v>0</v>
      </c>
      <c r="E101" s="143" t="s">
        <v>310</v>
      </c>
    </row>
    <row r="102" spans="1:8" ht="15.75" thickBot="1" x14ac:dyDescent="0.3">
      <c r="A102" s="158" t="s">
        <v>152</v>
      </c>
      <c r="B102" s="158"/>
      <c r="C102" s="158"/>
      <c r="D102" s="60"/>
      <c r="E102" s="139">
        <f>SUM(D99:D101)</f>
        <v>3170000</v>
      </c>
    </row>
    <row r="103" spans="1:8" ht="15.75" thickBot="1" x14ac:dyDescent="0.3">
      <c r="A103" s="12" t="s">
        <v>7</v>
      </c>
      <c r="B103" s="165"/>
      <c r="C103" s="13"/>
      <c r="D103" s="10"/>
      <c r="E103" s="43"/>
    </row>
    <row r="104" spans="1:8" x14ac:dyDescent="0.25">
      <c r="A104" s="38" t="s">
        <v>22</v>
      </c>
      <c r="B104" s="38"/>
      <c r="C104" s="38"/>
      <c r="D104" s="322">
        <f>1413450.9+1485*2+311.85*2</f>
        <v>1417044.5999999999</v>
      </c>
      <c r="E104" s="45"/>
    </row>
    <row r="105" spans="1:8" x14ac:dyDescent="0.25">
      <c r="A105" s="38" t="s">
        <v>23</v>
      </c>
      <c r="B105" s="38"/>
      <c r="C105" s="38"/>
      <c r="D105" s="322">
        <v>44400</v>
      </c>
      <c r="E105" s="44"/>
    </row>
    <row r="106" spans="1:8" x14ac:dyDescent="0.25">
      <c r="A106" s="167" t="s">
        <v>153</v>
      </c>
      <c r="B106" s="167"/>
      <c r="C106" s="167"/>
      <c r="D106" s="79"/>
      <c r="E106" s="142">
        <f>SUM(D104:D105)</f>
        <v>1461444.5999999999</v>
      </c>
    </row>
    <row r="107" spans="1:8" x14ac:dyDescent="0.25">
      <c r="A107" s="38"/>
      <c r="B107" s="38"/>
      <c r="C107" s="38"/>
      <c r="D107" s="38"/>
      <c r="E107" s="81"/>
    </row>
    <row r="108" spans="1:8" x14ac:dyDescent="0.25">
      <c r="A108" s="38"/>
      <c r="B108" s="38"/>
      <c r="C108" s="38"/>
      <c r="D108" s="38"/>
      <c r="E108" s="81"/>
      <c r="F108" s="24"/>
      <c r="G108" s="56"/>
    </row>
    <row r="109" spans="1:8" ht="15.75" thickBot="1" x14ac:dyDescent="0.3">
      <c r="A109" s="168" t="s">
        <v>8</v>
      </c>
      <c r="B109" s="169"/>
      <c r="C109" s="80"/>
      <c r="D109" s="80"/>
      <c r="E109" s="334">
        <f>(SUM(E30:E107))</f>
        <v>86710859.280000001</v>
      </c>
      <c r="F109" s="55"/>
    </row>
    <row r="110" spans="1:8" x14ac:dyDescent="0.25">
      <c r="A110" s="46"/>
      <c r="B110" s="46"/>
      <c r="C110" s="46"/>
      <c r="D110" s="46"/>
      <c r="E110" s="46"/>
    </row>
    <row r="111" spans="1:8" x14ac:dyDescent="0.25">
      <c r="A111" s="46"/>
      <c r="B111" s="46"/>
      <c r="C111" s="46"/>
      <c r="D111" s="46"/>
      <c r="E111" s="46"/>
    </row>
    <row r="112" spans="1:8" x14ac:dyDescent="0.25">
      <c r="A112" s="170" t="s">
        <v>9</v>
      </c>
      <c r="B112" s="59"/>
      <c r="C112" s="59"/>
      <c r="D112" s="59"/>
      <c r="E112" s="59"/>
    </row>
    <row r="113" spans="1:8" ht="31.5" customHeight="1" x14ac:dyDescent="0.25">
      <c r="A113" s="235" t="s">
        <v>254</v>
      </c>
      <c r="B113" s="236"/>
      <c r="C113" s="38"/>
      <c r="D113" s="322">
        <v>269449.71999999997</v>
      </c>
      <c r="E113" s="38" t="s">
        <v>284</v>
      </c>
    </row>
    <row r="114" spans="1:8" ht="30" customHeight="1" x14ac:dyDescent="0.25">
      <c r="A114" s="233" t="s">
        <v>377</v>
      </c>
      <c r="B114" s="234"/>
      <c r="C114" s="38"/>
      <c r="D114" s="322">
        <v>1041097.35</v>
      </c>
      <c r="E114" s="127" t="s">
        <v>363</v>
      </c>
    </row>
    <row r="115" spans="1:8" ht="30" customHeight="1" x14ac:dyDescent="0.25">
      <c r="A115" s="233" t="s">
        <v>378</v>
      </c>
      <c r="B115" s="234"/>
      <c r="C115" s="38"/>
      <c r="D115" s="322">
        <v>669281.25</v>
      </c>
      <c r="E115" s="127" t="s">
        <v>363</v>
      </c>
      <c r="H115" s="24"/>
    </row>
    <row r="116" spans="1:8" ht="38.25" customHeight="1" x14ac:dyDescent="0.25">
      <c r="A116" s="233" t="s">
        <v>194</v>
      </c>
      <c r="B116" s="234"/>
      <c r="C116" s="38"/>
      <c r="D116" s="322">
        <v>5630.72</v>
      </c>
      <c r="E116" s="38" t="str">
        <f>E113</f>
        <v>Debito autom.</v>
      </c>
    </row>
    <row r="117" spans="1:8" ht="33.75" customHeight="1" x14ac:dyDescent="0.25">
      <c r="A117" s="233" t="s">
        <v>398</v>
      </c>
      <c r="B117" s="234"/>
      <c r="C117" s="38"/>
      <c r="D117" s="322">
        <v>114311.24</v>
      </c>
      <c r="E117" s="38" t="s">
        <v>284</v>
      </c>
    </row>
    <row r="118" spans="1:8" x14ac:dyDescent="0.25">
      <c r="A118" s="170" t="s">
        <v>4</v>
      </c>
      <c r="B118" s="59"/>
      <c r="C118" s="59"/>
      <c r="D118" s="59"/>
      <c r="E118" s="140">
        <f>SUM(D113:D117)</f>
        <v>2099770.2799999998</v>
      </c>
    </row>
    <row r="119" spans="1:8" ht="15.75" thickBot="1" x14ac:dyDescent="0.3">
      <c r="A119" s="46"/>
      <c r="B119" s="46"/>
      <c r="C119" s="46"/>
      <c r="D119" s="46"/>
      <c r="E119" s="46"/>
    </row>
    <row r="120" spans="1:8" x14ac:dyDescent="0.25">
      <c r="A120" s="171" t="s">
        <v>21</v>
      </c>
      <c r="B120" s="172"/>
      <c r="C120" s="173"/>
      <c r="D120" s="73"/>
      <c r="E120" s="74"/>
    </row>
    <row r="121" spans="1:8" ht="43.5" customHeight="1" x14ac:dyDescent="0.25">
      <c r="A121" s="231" t="s">
        <v>361</v>
      </c>
      <c r="B121" s="232"/>
      <c r="C121" s="164"/>
      <c r="D121" s="322">
        <v>16863793.07</v>
      </c>
      <c r="E121" s="44" t="s">
        <v>362</v>
      </c>
    </row>
    <row r="122" spans="1:8" ht="45" customHeight="1" x14ac:dyDescent="0.25">
      <c r="A122" s="233" t="s">
        <v>376</v>
      </c>
      <c r="B122" s="234"/>
      <c r="C122" s="38"/>
      <c r="D122" s="324">
        <v>8035496.3799999999</v>
      </c>
      <c r="E122" s="126" t="s">
        <v>372</v>
      </c>
    </row>
    <row r="123" spans="1:8" ht="43.5" customHeight="1" thickBot="1" x14ac:dyDescent="0.3">
      <c r="A123" s="233" t="s">
        <v>417</v>
      </c>
      <c r="B123" s="234"/>
      <c r="C123" s="38"/>
      <c r="D123" s="323">
        <v>6774355.29</v>
      </c>
      <c r="E123" s="126" t="s">
        <v>418</v>
      </c>
    </row>
    <row r="124" spans="1:8" ht="15.75" thickBot="1" x14ac:dyDescent="0.3">
      <c r="A124" s="174" t="s">
        <v>4</v>
      </c>
      <c r="B124" s="175"/>
      <c r="C124" s="175"/>
      <c r="D124" s="176"/>
      <c r="E124" s="141">
        <f>SUM(D121:D123)</f>
        <v>31673644.739999998</v>
      </c>
    </row>
    <row r="125" spans="1:8" ht="15" customHeight="1" x14ac:dyDescent="0.25">
      <c r="A125" s="46"/>
      <c r="B125" s="46"/>
      <c r="C125" s="46"/>
      <c r="D125" s="46"/>
      <c r="E125" s="46"/>
    </row>
    <row r="126" spans="1:8" ht="15.75" hidden="1" thickBot="1" x14ac:dyDescent="0.3">
      <c r="A126" s="46"/>
      <c r="B126" s="46"/>
      <c r="C126" s="46"/>
      <c r="D126" s="46"/>
      <c r="E126" s="46"/>
    </row>
    <row r="127" spans="1:8" ht="15.75" thickBot="1" x14ac:dyDescent="0.3">
      <c r="A127" s="46"/>
      <c r="B127" s="46"/>
      <c r="C127" s="46"/>
      <c r="D127" s="46"/>
      <c r="E127" s="46"/>
    </row>
    <row r="128" spans="1:8" ht="15.75" thickBot="1" x14ac:dyDescent="0.3">
      <c r="A128" s="174" t="s">
        <v>13</v>
      </c>
      <c r="B128" s="177"/>
      <c r="C128" s="178"/>
      <c r="D128" s="178"/>
      <c r="E128" s="179">
        <f>E124</f>
        <v>31673644.739999998</v>
      </c>
    </row>
    <row r="129" spans="1:7" ht="15.75" thickBot="1" x14ac:dyDescent="0.3">
      <c r="A129" s="46"/>
      <c r="B129" s="46"/>
      <c r="C129" s="46"/>
      <c r="D129" s="46"/>
      <c r="E129" s="46"/>
    </row>
    <row r="130" spans="1:7" x14ac:dyDescent="0.25">
      <c r="A130" s="180" t="s">
        <v>192</v>
      </c>
      <c r="B130" s="181"/>
      <c r="C130" s="182"/>
      <c r="D130" s="82"/>
      <c r="E130" s="83"/>
    </row>
    <row r="131" spans="1:7" ht="30" customHeight="1" x14ac:dyDescent="0.25">
      <c r="A131" s="244" t="s">
        <v>412</v>
      </c>
      <c r="B131" s="244"/>
      <c r="C131" s="38"/>
      <c r="D131" s="322">
        <f>1737920-920000</f>
        <v>817920</v>
      </c>
      <c r="E131" s="42" t="str">
        <f>E28</f>
        <v>Transf 13/11</v>
      </c>
    </row>
    <row r="132" spans="1:7" ht="30" customHeight="1" x14ac:dyDescent="0.25">
      <c r="A132" s="231" t="s">
        <v>381</v>
      </c>
      <c r="B132" s="232"/>
      <c r="C132" s="160"/>
      <c r="D132" s="322">
        <v>91169.89</v>
      </c>
      <c r="E132" s="42" t="s">
        <v>380</v>
      </c>
      <c r="G132" s="51"/>
    </row>
    <row r="133" spans="1:7" ht="30" customHeight="1" x14ac:dyDescent="0.25">
      <c r="A133" s="231" t="s">
        <v>382</v>
      </c>
      <c r="B133" s="247"/>
      <c r="C133" s="232"/>
      <c r="D133" s="322">
        <v>78145.62</v>
      </c>
      <c r="E133" s="42" t="str">
        <f t="shared" ref="E133:E135" si="0">E132</f>
        <v>Transf 04/11</v>
      </c>
      <c r="G133" s="51"/>
    </row>
    <row r="134" spans="1:7" ht="30" customHeight="1" x14ac:dyDescent="0.25">
      <c r="A134" s="231" t="s">
        <v>384</v>
      </c>
      <c r="B134" s="247"/>
      <c r="C134" s="232"/>
      <c r="D134" s="322">
        <v>78145.62</v>
      </c>
      <c r="E134" s="42" t="str">
        <f t="shared" si="0"/>
        <v>Transf 04/11</v>
      </c>
      <c r="G134" s="51"/>
    </row>
    <row r="135" spans="1:7" ht="30" customHeight="1" x14ac:dyDescent="0.25">
      <c r="A135" s="231" t="s">
        <v>383</v>
      </c>
      <c r="B135" s="232"/>
      <c r="C135" s="160"/>
      <c r="D135" s="322">
        <v>91169.89</v>
      </c>
      <c r="E135" s="42" t="str">
        <f t="shared" si="0"/>
        <v>Transf 04/11</v>
      </c>
    </row>
    <row r="136" spans="1:7" x14ac:dyDescent="0.25">
      <c r="A136" s="135" t="s">
        <v>4</v>
      </c>
      <c r="B136" s="144"/>
      <c r="C136" s="144"/>
      <c r="D136" s="217"/>
      <c r="E136" s="145">
        <f>SUM(D131:D135)</f>
        <v>1156551.0199999998</v>
      </c>
    </row>
    <row r="137" spans="1:7" x14ac:dyDescent="0.25">
      <c r="D137" s="46"/>
    </row>
    <row r="138" spans="1:7" x14ac:dyDescent="0.25">
      <c r="D138" s="46"/>
    </row>
    <row r="139" spans="1:7" ht="15.75" thickBot="1" x14ac:dyDescent="0.3"/>
    <row r="140" spans="1:7" ht="17.25" customHeight="1" thickBot="1" x14ac:dyDescent="0.3">
      <c r="A140" s="230" t="s">
        <v>193</v>
      </c>
      <c r="B140" s="84"/>
      <c r="C140" s="85"/>
      <c r="D140" s="85"/>
      <c r="E140" s="229">
        <f>E136</f>
        <v>1156551.0199999998</v>
      </c>
    </row>
    <row r="142" spans="1:7" ht="15.75" thickBot="1" x14ac:dyDescent="0.3"/>
    <row r="143" spans="1:7" ht="15.75" thickBot="1" x14ac:dyDescent="0.3">
      <c r="A143" s="36" t="s">
        <v>185</v>
      </c>
      <c r="B143" s="37">
        <f>E109</f>
        <v>86710859.280000001</v>
      </c>
    </row>
    <row r="144" spans="1:7" ht="15.75" thickBot="1" x14ac:dyDescent="0.3">
      <c r="A144" s="36" t="s">
        <v>21</v>
      </c>
      <c r="B144" s="37">
        <f>E128</f>
        <v>31673644.739999998</v>
      </c>
    </row>
    <row r="145" spans="1:3" ht="15.75" thickBot="1" x14ac:dyDescent="0.3">
      <c r="A145" s="65" t="s">
        <v>154</v>
      </c>
      <c r="B145" s="66">
        <f>E118</f>
        <v>2099770.2799999998</v>
      </c>
    </row>
    <row r="146" spans="1:3" ht="34.5" customHeight="1" thickBot="1" x14ac:dyDescent="0.3">
      <c r="A146" s="76" t="s">
        <v>234</v>
      </c>
      <c r="B146" s="66">
        <f>B145+B143</f>
        <v>88810629.560000002</v>
      </c>
    </row>
    <row r="147" spans="1:3" ht="34.5" customHeight="1" x14ac:dyDescent="0.25">
      <c r="A147" s="237"/>
      <c r="B147" s="238"/>
    </row>
    <row r="148" spans="1:3" ht="34.5" customHeight="1" x14ac:dyDescent="0.25">
      <c r="A148" s="239"/>
      <c r="B148" s="240"/>
    </row>
    <row r="149" spans="1:3" ht="34.5" customHeight="1" thickBot="1" x14ac:dyDescent="0.3">
      <c r="A149" s="241"/>
      <c r="B149" s="242"/>
    </row>
    <row r="150" spans="1:3" x14ac:dyDescent="0.25">
      <c r="A150" s="210" t="s">
        <v>243</v>
      </c>
      <c r="B150" s="184"/>
      <c r="C150" s="5"/>
    </row>
    <row r="151" spans="1:3" x14ac:dyDescent="0.25">
      <c r="A151" s="11" t="s">
        <v>237</v>
      </c>
      <c r="B151" s="99">
        <v>81604808.559999973</v>
      </c>
      <c r="C151" s="7"/>
    </row>
    <row r="152" spans="1:3" x14ac:dyDescent="0.25">
      <c r="A152" s="6" t="s">
        <v>238</v>
      </c>
      <c r="B152" s="21">
        <f>PRORRATEO!F160</f>
        <v>118137264.97999999</v>
      </c>
      <c r="C152" s="5"/>
    </row>
    <row r="153" spans="1:3" ht="36.75" customHeight="1" x14ac:dyDescent="0.25">
      <c r="A153" s="9" t="s">
        <v>249</v>
      </c>
      <c r="B153" s="44">
        <f>B192</f>
        <v>0</v>
      </c>
      <c r="C153" s="5"/>
    </row>
    <row r="154" spans="1:3" ht="16.5" customHeight="1" x14ac:dyDescent="0.25">
      <c r="A154" s="213" t="s">
        <v>320</v>
      </c>
      <c r="B154" s="27">
        <f>-B168</f>
        <v>-648000</v>
      </c>
      <c r="C154" s="5"/>
    </row>
    <row r="155" spans="1:3" ht="42.75" customHeight="1" x14ac:dyDescent="0.25">
      <c r="A155" s="49" t="s">
        <v>444</v>
      </c>
      <c r="B155" s="27">
        <f>-290000-648000</f>
        <v>-938000</v>
      </c>
      <c r="C155" s="5"/>
    </row>
    <row r="156" spans="1:3" ht="16.5" customHeight="1" x14ac:dyDescent="0.25">
      <c r="A156" s="213" t="s">
        <v>437</v>
      </c>
      <c r="B156" s="27">
        <v>-155200</v>
      </c>
      <c r="C156" s="5"/>
    </row>
    <row r="157" spans="1:3" ht="16.5" customHeight="1" x14ac:dyDescent="0.25">
      <c r="A157" s="213" t="s">
        <v>447</v>
      </c>
      <c r="B157" s="27">
        <v>-155200</v>
      </c>
      <c r="C157" s="5"/>
    </row>
    <row r="158" spans="1:3" ht="16.5" customHeight="1" x14ac:dyDescent="0.25">
      <c r="A158" s="213" t="s">
        <v>443</v>
      </c>
      <c r="B158" s="27">
        <v>-4292</v>
      </c>
      <c r="C158" s="5"/>
    </row>
    <row r="159" spans="1:3" ht="20.100000000000001" customHeight="1" x14ac:dyDescent="0.25">
      <c r="A159" s="213" t="s">
        <v>433</v>
      </c>
      <c r="B159" s="27">
        <v>-51140</v>
      </c>
      <c r="C159" s="5"/>
    </row>
    <row r="160" spans="1:3" ht="18" customHeight="1" x14ac:dyDescent="0.25">
      <c r="A160" s="49" t="s">
        <v>191</v>
      </c>
      <c r="B160" s="27">
        <f>-E140</f>
        <v>-1156551.0199999998</v>
      </c>
      <c r="C160" s="5"/>
    </row>
    <row r="161" spans="1:6" ht="18" customHeight="1" x14ac:dyDescent="0.25">
      <c r="A161" s="20" t="s">
        <v>155</v>
      </c>
      <c r="B161" s="27">
        <f>-E118</f>
        <v>-2099770.2799999998</v>
      </c>
      <c r="C161" s="5"/>
      <c r="D161" s="22"/>
    </row>
    <row r="162" spans="1:6" ht="18" customHeight="1" x14ac:dyDescent="0.25">
      <c r="A162" s="20" t="s">
        <v>14</v>
      </c>
      <c r="B162" s="27">
        <f>-E109</f>
        <v>-86710859.280000001</v>
      </c>
      <c r="C162" s="5"/>
      <c r="D162" s="55"/>
      <c r="E162" s="55"/>
    </row>
    <row r="163" spans="1:6" ht="18" customHeight="1" x14ac:dyDescent="0.25">
      <c r="A163" s="9" t="s">
        <v>270</v>
      </c>
      <c r="B163" s="27">
        <f>-E128</f>
        <v>-31673644.739999998</v>
      </c>
      <c r="C163" s="5"/>
      <c r="E163" s="55"/>
    </row>
    <row r="164" spans="1:6" x14ac:dyDescent="0.25">
      <c r="A164" s="211" t="s">
        <v>4</v>
      </c>
      <c r="B164" s="54">
        <f>SUM(B151:B163)</f>
        <v>76149416.219999954</v>
      </c>
      <c r="C164" s="8"/>
      <c r="D164" s="24"/>
      <c r="E164" s="55"/>
      <c r="F164" s="55"/>
    </row>
    <row r="165" spans="1:6" ht="15.75" thickBot="1" x14ac:dyDescent="0.3">
      <c r="A165" s="212"/>
      <c r="B165" s="22"/>
      <c r="C165" s="8"/>
      <c r="D165" s="24"/>
      <c r="E165" s="52"/>
      <c r="F165" s="123"/>
    </row>
    <row r="166" spans="1:6" x14ac:dyDescent="0.25">
      <c r="A166" s="245" t="s">
        <v>318</v>
      </c>
      <c r="B166" s="246"/>
      <c r="C166" s="8"/>
      <c r="D166" s="24"/>
      <c r="E166" s="52"/>
      <c r="F166" s="123"/>
    </row>
    <row r="167" spans="1:6" x14ac:dyDescent="0.25">
      <c r="A167" s="203" t="s">
        <v>319</v>
      </c>
      <c r="B167" s="204">
        <v>0</v>
      </c>
      <c r="C167" s="8"/>
      <c r="D167" s="24"/>
      <c r="E167" s="52"/>
      <c r="F167" s="123"/>
    </row>
    <row r="168" spans="1:6" x14ac:dyDescent="0.25">
      <c r="A168" s="203" t="s">
        <v>320</v>
      </c>
      <c r="B168" s="204">
        <v>648000</v>
      </c>
      <c r="C168" s="8"/>
      <c r="D168" s="24"/>
      <c r="E168" s="52"/>
      <c r="F168" s="123"/>
    </row>
    <row r="169" spans="1:6" x14ac:dyDescent="0.25">
      <c r="A169" s="203"/>
      <c r="B169" s="204"/>
      <c r="C169" s="8"/>
      <c r="D169" s="24"/>
      <c r="E169" s="52"/>
      <c r="F169" s="123"/>
    </row>
    <row r="170" spans="1:6" ht="15.75" thickBot="1" x14ac:dyDescent="0.3">
      <c r="A170" s="205"/>
      <c r="B170" s="207"/>
      <c r="C170" s="8"/>
      <c r="D170" s="24"/>
      <c r="E170" s="52"/>
      <c r="F170" s="123"/>
    </row>
    <row r="171" spans="1:6" ht="15.75" thickBot="1" x14ac:dyDescent="0.3">
      <c r="A171" s="206" t="s">
        <v>4</v>
      </c>
      <c r="B171" s="208">
        <f>SUM(B167:B170)</f>
        <v>648000</v>
      </c>
      <c r="C171" s="8"/>
      <c r="D171" s="24"/>
      <c r="E171" s="52"/>
      <c r="F171" s="123"/>
    </row>
    <row r="172" spans="1:6" ht="15.75" thickBot="1" x14ac:dyDescent="0.3">
      <c r="A172" s="192"/>
      <c r="B172" s="202"/>
      <c r="C172" s="8"/>
      <c r="D172" s="24"/>
      <c r="E172" s="52"/>
      <c r="F172" s="123"/>
    </row>
    <row r="173" spans="1:6" ht="33" customHeight="1" thickBot="1" x14ac:dyDescent="0.3">
      <c r="A173" s="328" t="s">
        <v>442</v>
      </c>
      <c r="B173" s="327">
        <f>B171+B164</f>
        <v>76797416.219999954</v>
      </c>
      <c r="C173" s="8"/>
      <c r="D173" s="24"/>
      <c r="E173" s="52"/>
      <c r="F173" s="123"/>
    </row>
    <row r="174" spans="1:6" x14ac:dyDescent="0.25">
      <c r="B174" s="22"/>
      <c r="C174" s="8"/>
      <c r="D174" s="24"/>
      <c r="E174" s="52"/>
      <c r="F174" s="123"/>
    </row>
    <row r="175" spans="1:6" x14ac:dyDescent="0.25">
      <c r="A175" s="117" t="s">
        <v>242</v>
      </c>
      <c r="B175" s="118">
        <v>0</v>
      </c>
      <c r="C175" s="8"/>
      <c r="D175" s="24"/>
      <c r="E175" s="52"/>
      <c r="F175" s="53"/>
    </row>
    <row r="176" spans="1:6" ht="72.75" customHeight="1" x14ac:dyDescent="0.25">
      <c r="A176" s="150" t="s">
        <v>297</v>
      </c>
      <c r="B176" s="215">
        <f>-D78</f>
        <v>-35000</v>
      </c>
      <c r="C176" s="8"/>
      <c r="D176" s="24"/>
      <c r="E176" s="52"/>
      <c r="F176" s="53"/>
    </row>
    <row r="177" spans="1:15" x14ac:dyDescent="0.25">
      <c r="A177" s="117" t="s">
        <v>4</v>
      </c>
      <c r="B177" s="118">
        <f>SUM(B175:B176)</f>
        <v>-35000</v>
      </c>
      <c r="C177" s="8"/>
      <c r="D177" s="24"/>
      <c r="E177" s="52"/>
      <c r="F177" s="53"/>
    </row>
    <row r="178" spans="1:15" ht="15.75" thickBot="1" x14ac:dyDescent="0.3">
      <c r="B178" s="22"/>
      <c r="C178" s="8"/>
      <c r="D178" s="24"/>
      <c r="E178" s="52"/>
      <c r="F178" s="53"/>
    </row>
    <row r="179" spans="1:15" x14ac:dyDescent="0.25">
      <c r="A179" s="185" t="s">
        <v>235</v>
      </c>
      <c r="B179" s="100"/>
      <c r="C179" s="8"/>
      <c r="D179" s="122"/>
      <c r="E179" s="325"/>
      <c r="F179" s="326"/>
      <c r="G179" s="51"/>
      <c r="H179" s="51"/>
      <c r="I179" s="51"/>
      <c r="J179" s="51"/>
      <c r="K179" s="51"/>
      <c r="L179" s="51"/>
      <c r="M179" s="51"/>
      <c r="N179" s="51"/>
      <c r="O179" s="51"/>
    </row>
    <row r="180" spans="1:15" x14ac:dyDescent="0.25">
      <c r="A180" s="111" t="s">
        <v>241</v>
      </c>
      <c r="B180" s="112">
        <v>30000000</v>
      </c>
      <c r="C180" s="8"/>
      <c r="D180" s="122"/>
      <c r="E180" s="325"/>
      <c r="F180" s="326"/>
      <c r="G180" s="51"/>
      <c r="H180" s="51"/>
      <c r="I180" s="51"/>
      <c r="J180" s="51"/>
      <c r="K180" s="51"/>
      <c r="L180" s="51"/>
      <c r="M180" s="51"/>
      <c r="N180" s="51"/>
      <c r="O180" s="51"/>
    </row>
    <row r="181" spans="1:15" x14ac:dyDescent="0.25">
      <c r="A181" s="1"/>
      <c r="B181" s="16"/>
      <c r="C181" s="8"/>
      <c r="D181" s="122"/>
      <c r="E181" s="325"/>
      <c r="F181" s="326"/>
      <c r="G181" s="51"/>
      <c r="H181" s="51"/>
      <c r="I181" s="51"/>
      <c r="J181" s="51"/>
      <c r="K181" s="51"/>
      <c r="L181" s="51"/>
      <c r="M181" s="51"/>
      <c r="N181" s="51"/>
      <c r="O181" s="51"/>
    </row>
    <row r="182" spans="1:15" x14ac:dyDescent="0.25">
      <c r="A182" s="1"/>
      <c r="B182" s="16"/>
      <c r="C182" s="8"/>
      <c r="D182" s="122"/>
      <c r="E182" s="325"/>
      <c r="F182" s="326"/>
      <c r="G182" s="51"/>
      <c r="H182" s="51"/>
      <c r="I182" s="51"/>
      <c r="J182" s="51"/>
      <c r="K182" s="51"/>
      <c r="L182" s="51"/>
      <c r="M182" s="51"/>
      <c r="N182" s="51"/>
      <c r="O182" s="51"/>
    </row>
    <row r="183" spans="1:15" ht="15.75" thickBot="1" x14ac:dyDescent="0.3">
      <c r="A183" s="186" t="s">
        <v>445</v>
      </c>
      <c r="B183" s="183">
        <v>36801449.93</v>
      </c>
      <c r="C183" s="8"/>
      <c r="D183" s="122"/>
      <c r="E183" s="325"/>
      <c r="F183" s="326"/>
      <c r="G183" s="51"/>
      <c r="H183" s="51"/>
      <c r="I183" s="51"/>
      <c r="J183" s="51"/>
      <c r="K183" s="51"/>
      <c r="L183" s="51"/>
      <c r="M183" s="51"/>
      <c r="N183" s="51"/>
      <c r="O183" s="51"/>
    </row>
    <row r="184" spans="1:15" x14ac:dyDescent="0.25">
      <c r="B184" s="22"/>
      <c r="C184" s="8"/>
      <c r="D184" s="122"/>
      <c r="E184" s="325"/>
      <c r="F184" s="326"/>
      <c r="G184" s="51"/>
      <c r="H184" s="51"/>
      <c r="I184" s="51"/>
      <c r="J184" s="51"/>
      <c r="K184" s="51"/>
      <c r="L184" s="51"/>
      <c r="M184" s="51"/>
      <c r="N184" s="51"/>
      <c r="O184" s="51"/>
    </row>
    <row r="185" spans="1:15" x14ac:dyDescent="0.25">
      <c r="B185" s="22"/>
      <c r="C185" s="8"/>
      <c r="D185" s="24"/>
      <c r="E185" s="52"/>
      <c r="F185" s="53"/>
    </row>
    <row r="186" spans="1:15" x14ac:dyDescent="0.25">
      <c r="B186" s="22"/>
      <c r="C186" s="8"/>
      <c r="D186" s="24"/>
      <c r="E186" s="52"/>
      <c r="F186" s="53"/>
    </row>
    <row r="187" spans="1:15" x14ac:dyDescent="0.25">
      <c r="A187" s="243" t="s">
        <v>17</v>
      </c>
      <c r="B187" s="243"/>
      <c r="C187" s="243"/>
    </row>
    <row r="188" spans="1:15" x14ac:dyDescent="0.25">
      <c r="A188" s="243"/>
      <c r="B188" s="243"/>
      <c r="C188" s="243"/>
    </row>
    <row r="189" spans="1:15" ht="33.75" customHeight="1" x14ac:dyDescent="0.25">
      <c r="A189" s="97"/>
      <c r="B189" s="58"/>
      <c r="C189" s="96"/>
    </row>
    <row r="190" spans="1:15" ht="33.75" customHeight="1" x14ac:dyDescent="0.25">
      <c r="A190" s="97"/>
      <c r="B190" s="58"/>
      <c r="C190" s="96"/>
    </row>
    <row r="191" spans="1:15" ht="33.75" customHeight="1" x14ac:dyDescent="0.25">
      <c r="A191" s="97"/>
      <c r="B191" s="58"/>
      <c r="C191" s="96"/>
    </row>
    <row r="192" spans="1:15" x14ac:dyDescent="0.25">
      <c r="A192" s="25" t="s">
        <v>4</v>
      </c>
      <c r="B192" s="47">
        <f>SUM(B189:B191)</f>
        <v>0</v>
      </c>
      <c r="C192" s="26"/>
    </row>
    <row r="193" spans="13:13" x14ac:dyDescent="0.25">
      <c r="M193" s="3"/>
    </row>
  </sheetData>
  <mergeCells count="79">
    <mergeCell ref="A92:B92"/>
    <mergeCell ref="A93:B93"/>
    <mergeCell ref="A83:B83"/>
    <mergeCell ref="A84:B84"/>
    <mergeCell ref="A78:B78"/>
    <mergeCell ref="A90:B90"/>
    <mergeCell ref="A89:B89"/>
    <mergeCell ref="A87:B87"/>
    <mergeCell ref="A88:B88"/>
    <mergeCell ref="A28:B28"/>
    <mergeCell ref="A50:B50"/>
    <mergeCell ref="A53:B53"/>
    <mergeCell ref="A52:B52"/>
    <mergeCell ref="A40:B40"/>
    <mergeCell ref="A46:B46"/>
    <mergeCell ref="A38:B38"/>
    <mergeCell ref="A42:B42"/>
    <mergeCell ref="A47:B47"/>
    <mergeCell ref="A55:B55"/>
    <mergeCell ref="A39:B39"/>
    <mergeCell ref="A41:B41"/>
    <mergeCell ref="B3:E3"/>
    <mergeCell ref="B1:E1"/>
    <mergeCell ref="B2:E2"/>
    <mergeCell ref="B8:E8"/>
    <mergeCell ref="A1:A8"/>
    <mergeCell ref="A10:E12"/>
    <mergeCell ref="A51:B51"/>
    <mergeCell ref="A65:B65"/>
    <mergeCell ref="A63:B63"/>
    <mergeCell ref="A15:E18"/>
    <mergeCell ref="A58:B58"/>
    <mergeCell ref="A64:B64"/>
    <mergeCell ref="A62:B62"/>
    <mergeCell ref="A61:B61"/>
    <mergeCell ref="A60:B60"/>
    <mergeCell ref="A45:B45"/>
    <mergeCell ref="A56:B56"/>
    <mergeCell ref="A54:B54"/>
    <mergeCell ref="A59:B59"/>
    <mergeCell ref="A57:B57"/>
    <mergeCell ref="A24:B24"/>
    <mergeCell ref="A72:B72"/>
    <mergeCell ref="A76:B76"/>
    <mergeCell ref="A82:B82"/>
    <mergeCell ref="A77:B77"/>
    <mergeCell ref="A75:B75"/>
    <mergeCell ref="A80:B80"/>
    <mergeCell ref="A147:B149"/>
    <mergeCell ref="A187:C188"/>
    <mergeCell ref="A131:B131"/>
    <mergeCell ref="A123:B123"/>
    <mergeCell ref="A122:B122"/>
    <mergeCell ref="A135:B135"/>
    <mergeCell ref="A166:B166"/>
    <mergeCell ref="A132:B132"/>
    <mergeCell ref="A133:C133"/>
    <mergeCell ref="A134:C134"/>
    <mergeCell ref="A66:B66"/>
    <mergeCell ref="A99:B99"/>
    <mergeCell ref="A113:B113"/>
    <mergeCell ref="A70:B70"/>
    <mergeCell ref="A79:B79"/>
    <mergeCell ref="A73:B73"/>
    <mergeCell ref="A100:B100"/>
    <mergeCell ref="A74:B74"/>
    <mergeCell ref="A96:B96"/>
    <mergeCell ref="A95:B95"/>
    <mergeCell ref="A94:B94"/>
    <mergeCell ref="A101:B101"/>
    <mergeCell ref="A91:B91"/>
    <mergeCell ref="A69:B69"/>
    <mergeCell ref="A81:B81"/>
    <mergeCell ref="A85:B85"/>
    <mergeCell ref="A121:B121"/>
    <mergeCell ref="A116:B116"/>
    <mergeCell ref="A117:B117"/>
    <mergeCell ref="A114:B114"/>
    <mergeCell ref="A115:B11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7"/>
  <sheetViews>
    <sheetView topLeftCell="B133" zoomScale="80" zoomScaleNormal="80" workbookViewId="0">
      <selection activeCell="C144" sqref="C144"/>
    </sheetView>
  </sheetViews>
  <sheetFormatPr baseColWidth="10" defaultColWidth="10.85546875"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3.28515625" customWidth="1"/>
    <col min="10" max="10" width="6" hidden="1" customWidth="1"/>
    <col min="11" max="11" width="14" customWidth="1"/>
    <col min="12" max="12" width="13" customWidth="1"/>
    <col min="13" max="13" width="15" customWidth="1"/>
    <col min="14" max="15" width="12.7109375" customWidth="1"/>
    <col min="16" max="16" width="14.7109375" customWidth="1"/>
    <col min="17" max="17" width="5" customWidth="1"/>
    <col min="18" max="18" width="8" hidden="1" customWidth="1"/>
    <col min="19" max="19" width="10.28515625" customWidth="1"/>
    <col min="20" max="20" width="13" bestFit="1" customWidth="1"/>
    <col min="23" max="23" width="16" bestFit="1" customWidth="1"/>
    <col min="24" max="24" width="11.85546875" bestFit="1" customWidth="1"/>
  </cols>
  <sheetData>
    <row r="1" spans="1:23" ht="123" customHeight="1" x14ac:dyDescent="0.25">
      <c r="A1" s="2"/>
      <c r="B1" s="2"/>
      <c r="C1" s="329" t="s">
        <v>446</v>
      </c>
      <c r="D1" s="330"/>
      <c r="E1" s="330"/>
      <c r="F1" s="330"/>
      <c r="G1" s="330"/>
      <c r="H1" s="330"/>
      <c r="I1" s="330"/>
      <c r="J1" s="330"/>
      <c r="K1" s="330"/>
      <c r="L1" s="330"/>
      <c r="M1" s="113"/>
      <c r="N1" s="285" t="s">
        <v>328</v>
      </c>
      <c r="O1" s="285"/>
      <c r="P1" s="278">
        <v>40000000</v>
      </c>
      <c r="Q1" s="278"/>
      <c r="R1" s="4"/>
      <c r="S1" s="2"/>
      <c r="U1" t="s">
        <v>244</v>
      </c>
    </row>
    <row r="2" spans="1:23" ht="30" customHeight="1" thickBot="1" x14ac:dyDescent="0.3">
      <c r="A2" s="2"/>
      <c r="B2" s="2"/>
      <c r="C2" s="280" t="s">
        <v>233</v>
      </c>
      <c r="D2" s="280"/>
      <c r="E2" s="280"/>
      <c r="F2" s="113"/>
      <c r="G2" s="277">
        <f>W2</f>
        <v>24559200</v>
      </c>
      <c r="H2" s="277"/>
      <c r="I2" s="113" t="s">
        <v>289</v>
      </c>
      <c r="J2" s="113"/>
      <c r="K2" s="277">
        <v>72000000</v>
      </c>
      <c r="L2" s="277"/>
      <c r="M2" s="114"/>
      <c r="N2" s="115" t="s">
        <v>273</v>
      </c>
      <c r="O2" s="114"/>
      <c r="P2" s="279">
        <v>0</v>
      </c>
      <c r="Q2" s="279"/>
      <c r="S2" s="2"/>
      <c r="T2" t="s">
        <v>236</v>
      </c>
      <c r="W2" s="55">
        <f>((K2+P2)*D144)+((K2+P2)*D145)</f>
        <v>24559200</v>
      </c>
    </row>
    <row r="3" spans="1:23" ht="43.5" customHeight="1" x14ac:dyDescent="0.25">
      <c r="A3" s="286" t="s">
        <v>0</v>
      </c>
      <c r="B3" s="288" t="s">
        <v>1</v>
      </c>
      <c r="C3" s="288" t="s">
        <v>2</v>
      </c>
      <c r="D3" s="288" t="s">
        <v>6</v>
      </c>
      <c r="E3" s="275" t="s">
        <v>186</v>
      </c>
      <c r="F3" s="288" t="s">
        <v>3</v>
      </c>
      <c r="G3" s="290" t="s">
        <v>16</v>
      </c>
      <c r="H3" s="275" t="s">
        <v>239</v>
      </c>
      <c r="I3" s="275" t="s">
        <v>15</v>
      </c>
      <c r="J3" s="275"/>
      <c r="K3" s="275" t="s">
        <v>187</v>
      </c>
      <c r="L3" s="275" t="s">
        <v>149</v>
      </c>
      <c r="M3" s="275" t="s">
        <v>189</v>
      </c>
      <c r="N3" s="275" t="s">
        <v>188</v>
      </c>
      <c r="O3" s="275" t="s">
        <v>269</v>
      </c>
      <c r="P3" s="281" t="s">
        <v>240</v>
      </c>
      <c r="Q3" s="282"/>
      <c r="S3" s="275" t="s">
        <v>271</v>
      </c>
      <c r="T3" s="24"/>
    </row>
    <row r="4" spans="1:23" ht="44.25" customHeight="1" x14ac:dyDescent="0.25">
      <c r="A4" s="287"/>
      <c r="B4" s="289"/>
      <c r="C4" s="289"/>
      <c r="D4" s="289"/>
      <c r="E4" s="276"/>
      <c r="F4" s="289"/>
      <c r="G4" s="291"/>
      <c r="H4" s="276"/>
      <c r="I4" s="276"/>
      <c r="J4" s="276"/>
      <c r="K4" s="276"/>
      <c r="L4" s="276"/>
      <c r="M4" s="276"/>
      <c r="N4" s="276"/>
      <c r="O4" s="276"/>
      <c r="P4" s="283"/>
      <c r="Q4" s="284"/>
      <c r="S4" s="276"/>
    </row>
    <row r="5" spans="1:23" ht="24.6" customHeight="1" x14ac:dyDescent="0.25">
      <c r="A5" s="29"/>
      <c r="B5" s="28">
        <v>1</v>
      </c>
      <c r="C5" s="28" t="s">
        <v>24</v>
      </c>
      <c r="D5" s="120">
        <v>4.5999999999999999E-3</v>
      </c>
      <c r="E5" s="148">
        <v>767411.01</v>
      </c>
      <c r="F5" s="147">
        <f>E5</f>
        <v>767411.01</v>
      </c>
      <c r="G5" s="87">
        <f t="shared" ref="G5:G68" si="0">E5-F5</f>
        <v>0</v>
      </c>
      <c r="H5" s="33">
        <f>IF(G5&gt;0,G5*3.087%,0)</f>
        <v>0</v>
      </c>
      <c r="I5" s="34">
        <f>K$2*D5</f>
        <v>331200</v>
      </c>
      <c r="J5" s="34">
        <f t="shared" ref="J5:J36" si="1">P$2*D5</f>
        <v>0</v>
      </c>
      <c r="K5" s="34">
        <f>G$2*0.675675676%</f>
        <v>165940.54062019198</v>
      </c>
      <c r="L5" s="34">
        <f>P$1*0.675675676%</f>
        <v>270270.27039999998</v>
      </c>
      <c r="M5" s="109">
        <f>G$1*D5</f>
        <v>0</v>
      </c>
      <c r="N5" s="109">
        <v>0</v>
      </c>
      <c r="O5" s="109"/>
      <c r="P5" s="270">
        <f t="shared" ref="P5:P36" si="2">ROUND(SUM(G5:O5),0) + R5</f>
        <v>767411.01</v>
      </c>
      <c r="Q5" s="270"/>
      <c r="R5" s="24">
        <f t="shared" ref="R5:R36" si="3">ROUND(0.001+B5/100,2)</f>
        <v>0.01</v>
      </c>
      <c r="S5" s="1">
        <f>B5</f>
        <v>1</v>
      </c>
      <c r="T5" t="s">
        <v>220</v>
      </c>
    </row>
    <row r="6" spans="1:23" ht="24.6" customHeight="1" x14ac:dyDescent="0.25">
      <c r="A6" s="29"/>
      <c r="B6" s="28">
        <f>B5+1</f>
        <v>2</v>
      </c>
      <c r="C6" s="28" t="s">
        <v>25</v>
      </c>
      <c r="D6" s="120">
        <v>4.5999999999999999E-3</v>
      </c>
      <c r="E6" s="148">
        <v>2312087.02</v>
      </c>
      <c r="F6" s="147"/>
      <c r="G6" s="87">
        <f t="shared" si="0"/>
        <v>2312087.02</v>
      </c>
      <c r="H6" s="33">
        <f>IF(G6&gt;0,G6*3.087%,0)</f>
        <v>71374.126307400002</v>
      </c>
      <c r="I6" s="34">
        <f t="shared" ref="I6:I37" si="4">K$2*D6</f>
        <v>331200</v>
      </c>
      <c r="J6" s="34">
        <f t="shared" si="1"/>
        <v>0</v>
      </c>
      <c r="K6" s="34">
        <f t="shared" ref="K6:K69" si="5">G$2*0.675675676%</f>
        <v>165940.54062019198</v>
      </c>
      <c r="L6" s="34">
        <f t="shared" ref="L6:L69" si="6">P$1*0.675675676%</f>
        <v>270270.27039999998</v>
      </c>
      <c r="M6" s="109">
        <f t="shared" ref="M6:M69" si="7">G$1*D6</f>
        <v>0</v>
      </c>
      <c r="N6" s="109">
        <v>0</v>
      </c>
      <c r="O6" s="109"/>
      <c r="P6" s="270">
        <f t="shared" si="2"/>
        <v>3150872.02</v>
      </c>
      <c r="Q6" s="270"/>
      <c r="R6" s="24">
        <f t="shared" si="3"/>
        <v>0.02</v>
      </c>
      <c r="S6" s="1">
        <f t="shared" ref="S6:S69" si="8">B6</f>
        <v>2</v>
      </c>
    </row>
    <row r="7" spans="1:23" ht="24.6" customHeight="1" x14ac:dyDescent="0.25">
      <c r="A7" s="29"/>
      <c r="B7" s="28">
        <f t="shared" ref="B7:B36" si="9">B6+1</f>
        <v>3</v>
      </c>
      <c r="C7" s="28" t="s">
        <v>26</v>
      </c>
      <c r="D7" s="120">
        <v>4.5999999999999999E-3</v>
      </c>
      <c r="E7" s="148">
        <v>767411.03</v>
      </c>
      <c r="F7" s="147">
        <f>E7</f>
        <v>767411.03</v>
      </c>
      <c r="G7" s="87">
        <f t="shared" si="0"/>
        <v>0</v>
      </c>
      <c r="H7" s="33">
        <f t="shared" ref="H7:H70" si="10">IF(G7&gt;0,G7*3.087%,0)</f>
        <v>0</v>
      </c>
      <c r="I7" s="34">
        <f t="shared" si="4"/>
        <v>331200</v>
      </c>
      <c r="J7" s="34">
        <f t="shared" si="1"/>
        <v>0</v>
      </c>
      <c r="K7" s="34">
        <f t="shared" si="5"/>
        <v>165940.54062019198</v>
      </c>
      <c r="L7" s="34">
        <f t="shared" si="6"/>
        <v>270270.27039999998</v>
      </c>
      <c r="M7" s="109">
        <f t="shared" si="7"/>
        <v>0</v>
      </c>
      <c r="N7" s="109">
        <v>0</v>
      </c>
      <c r="O7" s="109"/>
      <c r="P7" s="270">
        <f t="shared" si="2"/>
        <v>767411.03</v>
      </c>
      <c r="Q7" s="270"/>
      <c r="R7" s="24">
        <f t="shared" si="3"/>
        <v>0.03</v>
      </c>
      <c r="S7" s="1">
        <f t="shared" si="8"/>
        <v>3</v>
      </c>
      <c r="U7" t="s">
        <v>205</v>
      </c>
    </row>
    <row r="8" spans="1:23" ht="24.6" customHeight="1" x14ac:dyDescent="0.25">
      <c r="A8" s="29"/>
      <c r="B8" s="28">
        <f t="shared" si="9"/>
        <v>4</v>
      </c>
      <c r="C8" s="28" t="s">
        <v>169</v>
      </c>
      <c r="D8" s="120">
        <v>4.7000000000000002E-3</v>
      </c>
      <c r="E8" s="148">
        <v>1524311.04</v>
      </c>
      <c r="F8" s="147">
        <f>3015000-F51</f>
        <v>1525257.53</v>
      </c>
      <c r="G8" s="87">
        <f t="shared" si="0"/>
        <v>-946.48999999999069</v>
      </c>
      <c r="H8" s="33">
        <f t="shared" si="10"/>
        <v>0</v>
      </c>
      <c r="I8" s="34">
        <f t="shared" si="4"/>
        <v>338400</v>
      </c>
      <c r="J8" s="34">
        <f t="shared" si="1"/>
        <v>0</v>
      </c>
      <c r="K8" s="34">
        <f t="shared" si="5"/>
        <v>165940.54062019198</v>
      </c>
      <c r="L8" s="34">
        <f t="shared" si="6"/>
        <v>270270.27039999998</v>
      </c>
      <c r="M8" s="109">
        <f t="shared" si="7"/>
        <v>0</v>
      </c>
      <c r="N8" s="109">
        <v>0</v>
      </c>
      <c r="O8" s="109"/>
      <c r="P8" s="270">
        <f t="shared" si="2"/>
        <v>773664.04</v>
      </c>
      <c r="Q8" s="270"/>
      <c r="R8" s="24">
        <f t="shared" si="3"/>
        <v>0.04</v>
      </c>
      <c r="S8" s="1">
        <f t="shared" si="8"/>
        <v>4</v>
      </c>
      <c r="T8" s="192"/>
      <c r="U8" t="s">
        <v>439</v>
      </c>
    </row>
    <row r="9" spans="1:23" ht="24.6" customHeight="1" x14ac:dyDescent="0.25">
      <c r="A9" s="29"/>
      <c r="B9" s="28">
        <f t="shared" si="9"/>
        <v>5</v>
      </c>
      <c r="C9" s="28" t="s">
        <v>27</v>
      </c>
      <c r="D9" s="120">
        <v>4.7000000000000002E-3</v>
      </c>
      <c r="E9" s="148">
        <v>774611.05</v>
      </c>
      <c r="F9" s="147">
        <f>E9</f>
        <v>774611.05</v>
      </c>
      <c r="G9" s="87">
        <f t="shared" si="0"/>
        <v>0</v>
      </c>
      <c r="H9" s="33">
        <f t="shared" si="10"/>
        <v>0</v>
      </c>
      <c r="I9" s="34">
        <f t="shared" si="4"/>
        <v>338400</v>
      </c>
      <c r="J9" s="34">
        <f t="shared" si="1"/>
        <v>0</v>
      </c>
      <c r="K9" s="34">
        <f t="shared" si="5"/>
        <v>165940.54062019198</v>
      </c>
      <c r="L9" s="34">
        <f t="shared" si="6"/>
        <v>270270.27039999998</v>
      </c>
      <c r="M9" s="109">
        <f t="shared" si="7"/>
        <v>0</v>
      </c>
      <c r="N9" s="109">
        <v>0</v>
      </c>
      <c r="O9" s="109"/>
      <c r="P9" s="270">
        <f t="shared" si="2"/>
        <v>774611.05</v>
      </c>
      <c r="Q9" s="270"/>
      <c r="R9" s="24">
        <f t="shared" si="3"/>
        <v>0.05</v>
      </c>
      <c r="S9" s="1">
        <f t="shared" si="8"/>
        <v>5</v>
      </c>
      <c r="T9" s="192"/>
    </row>
    <row r="10" spans="1:23" ht="24.6" customHeight="1" x14ac:dyDescent="0.25">
      <c r="A10" s="29"/>
      <c r="B10" s="28">
        <f t="shared" si="9"/>
        <v>6</v>
      </c>
      <c r="C10" s="28" t="s">
        <v>28</v>
      </c>
      <c r="D10" s="120">
        <v>4.4999999999999997E-3</v>
      </c>
      <c r="E10" s="148">
        <v>760211.06</v>
      </c>
      <c r="F10" s="147">
        <f>E10</f>
        <v>760211.06</v>
      </c>
      <c r="G10" s="87">
        <f t="shared" si="0"/>
        <v>0</v>
      </c>
      <c r="H10" s="33">
        <f t="shared" si="10"/>
        <v>0</v>
      </c>
      <c r="I10" s="34">
        <f t="shared" si="4"/>
        <v>324000</v>
      </c>
      <c r="J10" s="34">
        <f t="shared" si="1"/>
        <v>0</v>
      </c>
      <c r="K10" s="34">
        <f t="shared" si="5"/>
        <v>165940.54062019198</v>
      </c>
      <c r="L10" s="34">
        <f t="shared" si="6"/>
        <v>270270.27039999998</v>
      </c>
      <c r="M10" s="109">
        <f t="shared" si="7"/>
        <v>0</v>
      </c>
      <c r="N10" s="109">
        <v>0</v>
      </c>
      <c r="O10" s="109"/>
      <c r="P10" s="270">
        <f t="shared" si="2"/>
        <v>760211.06</v>
      </c>
      <c r="Q10" s="270"/>
      <c r="R10" s="24">
        <f t="shared" si="3"/>
        <v>0.06</v>
      </c>
      <c r="S10" s="1">
        <f t="shared" si="8"/>
        <v>6</v>
      </c>
      <c r="U10" t="s">
        <v>198</v>
      </c>
    </row>
    <row r="11" spans="1:23" ht="24.6" customHeight="1" x14ac:dyDescent="0.25">
      <c r="A11" s="29"/>
      <c r="B11" s="28">
        <f t="shared" si="9"/>
        <v>7</v>
      </c>
      <c r="C11" s="28" t="s">
        <v>29</v>
      </c>
      <c r="D11" s="120">
        <v>4.3E-3</v>
      </c>
      <c r="E11" s="148">
        <v>749849.07</v>
      </c>
      <c r="F11" s="147">
        <v>750000.07</v>
      </c>
      <c r="G11" s="87">
        <f t="shared" si="0"/>
        <v>-151</v>
      </c>
      <c r="H11" s="33">
        <f t="shared" si="10"/>
        <v>0</v>
      </c>
      <c r="I11" s="34">
        <f t="shared" si="4"/>
        <v>309600</v>
      </c>
      <c r="J11" s="34">
        <f t="shared" si="1"/>
        <v>0</v>
      </c>
      <c r="K11" s="34">
        <f t="shared" si="5"/>
        <v>165940.54062019198</v>
      </c>
      <c r="L11" s="34">
        <f t="shared" si="6"/>
        <v>270270.27039999998</v>
      </c>
      <c r="M11" s="109">
        <f t="shared" si="7"/>
        <v>0</v>
      </c>
      <c r="N11" s="109">
        <v>0</v>
      </c>
      <c r="O11" s="109"/>
      <c r="P11" s="270">
        <f t="shared" si="2"/>
        <v>745660.07</v>
      </c>
      <c r="Q11" s="270"/>
      <c r="R11" s="24">
        <f t="shared" si="3"/>
        <v>7.0000000000000007E-2</v>
      </c>
      <c r="S11" s="1">
        <f t="shared" si="8"/>
        <v>7</v>
      </c>
      <c r="T11" t="s">
        <v>259</v>
      </c>
    </row>
    <row r="12" spans="1:23" ht="24.6" customHeight="1" x14ac:dyDescent="0.25">
      <c r="A12" s="193"/>
      <c r="B12" s="28">
        <f t="shared" si="9"/>
        <v>8</v>
      </c>
      <c r="C12" s="28" t="s">
        <v>30</v>
      </c>
      <c r="D12" s="120">
        <v>4.7000000000000002E-3</v>
      </c>
      <c r="E12" s="148">
        <v>774655.08</v>
      </c>
      <c r="F12" s="147">
        <v>775000</v>
      </c>
      <c r="G12" s="87">
        <f t="shared" si="0"/>
        <v>-344.92000000004191</v>
      </c>
      <c r="H12" s="33">
        <f t="shared" si="10"/>
        <v>0</v>
      </c>
      <c r="I12" s="34">
        <f t="shared" si="4"/>
        <v>338400</v>
      </c>
      <c r="J12" s="34">
        <f t="shared" si="1"/>
        <v>0</v>
      </c>
      <c r="K12" s="34">
        <f t="shared" si="5"/>
        <v>165940.54062019198</v>
      </c>
      <c r="L12" s="34">
        <f t="shared" si="6"/>
        <v>270270.27039999998</v>
      </c>
      <c r="M12" s="109">
        <f t="shared" si="7"/>
        <v>0</v>
      </c>
      <c r="N12" s="109">
        <v>0</v>
      </c>
      <c r="O12" s="109"/>
      <c r="P12" s="270">
        <f t="shared" si="2"/>
        <v>774266.08</v>
      </c>
      <c r="Q12" s="270"/>
      <c r="R12" s="24">
        <f t="shared" si="3"/>
        <v>0.08</v>
      </c>
      <c r="S12" s="1">
        <f t="shared" si="8"/>
        <v>8</v>
      </c>
      <c r="T12" t="s">
        <v>294</v>
      </c>
    </row>
    <row r="13" spans="1:23" ht="24.6" customHeight="1" x14ac:dyDescent="0.25">
      <c r="A13" s="29"/>
      <c r="B13" s="28">
        <f t="shared" si="9"/>
        <v>9</v>
      </c>
      <c r="C13" s="28" t="s">
        <v>31</v>
      </c>
      <c r="D13" s="120">
        <v>4.7000000000000002E-3</v>
      </c>
      <c r="E13" s="148">
        <v>2197429.09</v>
      </c>
      <c r="F13" s="147">
        <v>2000000</v>
      </c>
      <c r="G13" s="87">
        <f t="shared" si="0"/>
        <v>197429.08999999985</v>
      </c>
      <c r="H13" s="33">
        <f t="shared" si="10"/>
        <v>6094.6360082999954</v>
      </c>
      <c r="I13" s="34">
        <f t="shared" si="4"/>
        <v>338400</v>
      </c>
      <c r="J13" s="34">
        <f t="shared" si="1"/>
        <v>0</v>
      </c>
      <c r="K13" s="34">
        <f t="shared" si="5"/>
        <v>165940.54062019198</v>
      </c>
      <c r="L13" s="34">
        <f t="shared" si="6"/>
        <v>270270.27039999998</v>
      </c>
      <c r="M13" s="109">
        <v>59274</v>
      </c>
      <c r="N13" s="109">
        <f>(I13+K13)/2</f>
        <v>252170.27031009598</v>
      </c>
      <c r="O13" s="109"/>
      <c r="P13" s="270">
        <f t="shared" si="2"/>
        <v>1289579.0900000001</v>
      </c>
      <c r="Q13" s="270"/>
      <c r="R13" s="24">
        <f t="shared" si="3"/>
        <v>0.09</v>
      </c>
      <c r="S13" s="1">
        <f t="shared" si="8"/>
        <v>9</v>
      </c>
    </row>
    <row r="14" spans="1:23" ht="24.6" customHeight="1" x14ac:dyDescent="0.25">
      <c r="A14" s="29"/>
      <c r="B14" s="28">
        <f t="shared" si="9"/>
        <v>10</v>
      </c>
      <c r="C14" s="28" t="s">
        <v>32</v>
      </c>
      <c r="D14" s="120">
        <v>4.7000000000000002E-3</v>
      </c>
      <c r="E14" s="148">
        <v>774611.1</v>
      </c>
      <c r="F14" s="147">
        <f>E14</f>
        <v>774611.1</v>
      </c>
      <c r="G14" s="87">
        <f t="shared" si="0"/>
        <v>0</v>
      </c>
      <c r="H14" s="33">
        <f t="shared" si="10"/>
        <v>0</v>
      </c>
      <c r="I14" s="34">
        <f t="shared" si="4"/>
        <v>338400</v>
      </c>
      <c r="J14" s="34">
        <f t="shared" si="1"/>
        <v>0</v>
      </c>
      <c r="K14" s="34">
        <f t="shared" si="5"/>
        <v>165940.54062019198</v>
      </c>
      <c r="L14" s="34">
        <f t="shared" si="6"/>
        <v>270270.27039999998</v>
      </c>
      <c r="M14" s="109">
        <f t="shared" si="7"/>
        <v>0</v>
      </c>
      <c r="N14" s="109">
        <v>0</v>
      </c>
      <c r="O14" s="109"/>
      <c r="P14" s="270">
        <f t="shared" si="2"/>
        <v>774611.1</v>
      </c>
      <c r="Q14" s="270"/>
      <c r="R14" s="24">
        <f t="shared" si="3"/>
        <v>0.1</v>
      </c>
      <c r="S14" s="1">
        <f t="shared" si="8"/>
        <v>10</v>
      </c>
      <c r="T14" t="s">
        <v>248</v>
      </c>
    </row>
    <row r="15" spans="1:23" ht="24.6" customHeight="1" x14ac:dyDescent="0.25">
      <c r="A15" s="29"/>
      <c r="B15" s="28">
        <f t="shared" si="9"/>
        <v>11</v>
      </c>
      <c r="C15" s="28" t="s">
        <v>33</v>
      </c>
      <c r="D15" s="120">
        <v>4.7000000000000002E-3</v>
      </c>
      <c r="E15" s="148">
        <v>774611.11</v>
      </c>
      <c r="F15" s="147">
        <f>E15</f>
        <v>774611.11</v>
      </c>
      <c r="G15" s="88">
        <f t="shared" si="0"/>
        <v>0</v>
      </c>
      <c r="H15" s="121">
        <f t="shared" si="10"/>
        <v>0</v>
      </c>
      <c r="I15" s="109">
        <f t="shared" si="4"/>
        <v>338400</v>
      </c>
      <c r="J15" s="109">
        <f t="shared" si="1"/>
        <v>0</v>
      </c>
      <c r="K15" s="109">
        <f t="shared" si="5"/>
        <v>165940.54062019198</v>
      </c>
      <c r="L15" s="109">
        <f t="shared" si="6"/>
        <v>270270.27039999998</v>
      </c>
      <c r="M15" s="109">
        <f t="shared" si="7"/>
        <v>0</v>
      </c>
      <c r="N15" s="109">
        <v>0</v>
      </c>
      <c r="O15" s="109"/>
      <c r="P15" s="274">
        <f t="shared" si="2"/>
        <v>774611.11</v>
      </c>
      <c r="Q15" s="274"/>
      <c r="R15" s="122">
        <f t="shared" si="3"/>
        <v>0.11</v>
      </c>
      <c r="S15" s="86">
        <f t="shared" si="8"/>
        <v>11</v>
      </c>
      <c r="T15" t="s">
        <v>275</v>
      </c>
    </row>
    <row r="16" spans="1:23" ht="24.6" customHeight="1" x14ac:dyDescent="0.25">
      <c r="A16" s="29"/>
      <c r="B16" s="28">
        <f t="shared" si="9"/>
        <v>12</v>
      </c>
      <c r="C16" s="28" t="s">
        <v>34</v>
      </c>
      <c r="D16" s="120">
        <v>4.3E-3</v>
      </c>
      <c r="E16" s="148">
        <v>3464550.12</v>
      </c>
      <c r="F16" s="147">
        <f>911306.93</f>
        <v>911306.93</v>
      </c>
      <c r="G16" s="88">
        <f t="shared" si="0"/>
        <v>2553243.19</v>
      </c>
      <c r="H16" s="121">
        <f t="shared" si="10"/>
        <v>78818.617275299999</v>
      </c>
      <c r="I16" s="109">
        <f t="shared" si="4"/>
        <v>309600</v>
      </c>
      <c r="J16" s="109">
        <f t="shared" si="1"/>
        <v>0</v>
      </c>
      <c r="K16" s="109">
        <f t="shared" si="5"/>
        <v>165940.54062019198</v>
      </c>
      <c r="L16" s="109">
        <f t="shared" si="6"/>
        <v>270270.27039999998</v>
      </c>
      <c r="M16" s="109">
        <f t="shared" si="7"/>
        <v>0</v>
      </c>
      <c r="N16" s="109">
        <v>0</v>
      </c>
      <c r="O16" s="109"/>
      <c r="P16" s="274">
        <f t="shared" si="2"/>
        <v>3377873.12</v>
      </c>
      <c r="Q16" s="274"/>
      <c r="R16" s="122">
        <f t="shared" si="3"/>
        <v>0.12</v>
      </c>
      <c r="S16" s="86">
        <f t="shared" si="8"/>
        <v>12</v>
      </c>
      <c r="T16" t="s">
        <v>267</v>
      </c>
    </row>
    <row r="17" spans="1:21" ht="24.6" customHeight="1" x14ac:dyDescent="0.25">
      <c r="A17" s="29"/>
      <c r="B17" s="28">
        <f t="shared" si="9"/>
        <v>13</v>
      </c>
      <c r="C17" s="28" t="s">
        <v>172</v>
      </c>
      <c r="D17" s="120">
        <v>4.5999999999999999E-3</v>
      </c>
      <c r="E17" s="148">
        <v>1073994.1299999999</v>
      </c>
      <c r="F17" s="147">
        <f>E17</f>
        <v>1073994.1299999999</v>
      </c>
      <c r="G17" s="87">
        <f t="shared" si="0"/>
        <v>0</v>
      </c>
      <c r="H17" s="33">
        <f t="shared" si="10"/>
        <v>0</v>
      </c>
      <c r="I17" s="34">
        <f t="shared" si="4"/>
        <v>331200</v>
      </c>
      <c r="J17" s="34">
        <f t="shared" si="1"/>
        <v>0</v>
      </c>
      <c r="K17" s="34">
        <f t="shared" si="5"/>
        <v>165940.54062019198</v>
      </c>
      <c r="L17" s="34">
        <f t="shared" si="6"/>
        <v>270270.27039999998</v>
      </c>
      <c r="M17" s="109">
        <v>58013</v>
      </c>
      <c r="N17" s="109">
        <f>(I17+K17)/2</f>
        <v>248570.27031009598</v>
      </c>
      <c r="O17" s="109"/>
      <c r="P17" s="270">
        <f t="shared" si="2"/>
        <v>1073994.1299999999</v>
      </c>
      <c r="Q17" s="270"/>
      <c r="R17" s="24">
        <f t="shared" si="3"/>
        <v>0.13</v>
      </c>
      <c r="S17" s="1">
        <f t="shared" si="8"/>
        <v>13</v>
      </c>
    </row>
    <row r="18" spans="1:21" ht="24.6" customHeight="1" x14ac:dyDescent="0.25">
      <c r="A18" s="29"/>
      <c r="B18" s="28">
        <f t="shared" si="9"/>
        <v>14</v>
      </c>
      <c r="C18" s="28" t="s">
        <v>35</v>
      </c>
      <c r="D18" s="120">
        <v>4.7000000000000002E-3</v>
      </c>
      <c r="E18" s="148">
        <v>943811.14</v>
      </c>
      <c r="F18" s="147">
        <f>170000+773811</f>
        <v>943811</v>
      </c>
      <c r="G18" s="87">
        <f t="shared" si="0"/>
        <v>0.14000000001396984</v>
      </c>
      <c r="H18" s="33">
        <f t="shared" si="10"/>
        <v>4.3218000004312494E-3</v>
      </c>
      <c r="I18" s="34">
        <f t="shared" si="4"/>
        <v>338400</v>
      </c>
      <c r="J18" s="34">
        <f t="shared" si="1"/>
        <v>0</v>
      </c>
      <c r="K18" s="34">
        <f t="shared" si="5"/>
        <v>165940.54062019198</v>
      </c>
      <c r="L18" s="34">
        <f t="shared" si="6"/>
        <v>270270.27039999998</v>
      </c>
      <c r="M18" s="109">
        <f t="shared" si="7"/>
        <v>0</v>
      </c>
      <c r="N18" s="109">
        <v>0</v>
      </c>
      <c r="O18" s="109"/>
      <c r="P18" s="270">
        <f t="shared" si="2"/>
        <v>774611.14</v>
      </c>
      <c r="Q18" s="270"/>
      <c r="R18" s="24">
        <f t="shared" si="3"/>
        <v>0.14000000000000001</v>
      </c>
      <c r="S18" s="1">
        <f t="shared" si="8"/>
        <v>14</v>
      </c>
      <c r="T18" t="s">
        <v>281</v>
      </c>
    </row>
    <row r="19" spans="1:21" ht="24.6" customHeight="1" x14ac:dyDescent="0.25">
      <c r="A19" s="29"/>
      <c r="B19" s="28">
        <f t="shared" si="9"/>
        <v>15</v>
      </c>
      <c r="C19" s="28" t="s">
        <v>307</v>
      </c>
      <c r="D19" s="120">
        <v>4.4000000000000003E-3</v>
      </c>
      <c r="E19" s="148">
        <v>753011.15</v>
      </c>
      <c r="F19" s="147">
        <f>E19</f>
        <v>753011.15</v>
      </c>
      <c r="G19" s="88">
        <f t="shared" si="0"/>
        <v>0</v>
      </c>
      <c r="H19" s="121">
        <f t="shared" si="10"/>
        <v>0</v>
      </c>
      <c r="I19" s="109">
        <f t="shared" si="4"/>
        <v>316800</v>
      </c>
      <c r="J19" s="109">
        <f t="shared" si="1"/>
        <v>0</v>
      </c>
      <c r="K19" s="109">
        <f t="shared" si="5"/>
        <v>165940.54062019198</v>
      </c>
      <c r="L19" s="109">
        <f t="shared" si="6"/>
        <v>270270.27039999998</v>
      </c>
      <c r="M19" s="109">
        <f t="shared" si="7"/>
        <v>0</v>
      </c>
      <c r="N19" s="109">
        <v>0</v>
      </c>
      <c r="O19" s="109"/>
      <c r="P19" s="274">
        <f t="shared" si="2"/>
        <v>753011.15</v>
      </c>
      <c r="Q19" s="274"/>
      <c r="R19" s="122">
        <f t="shared" si="3"/>
        <v>0.15</v>
      </c>
      <c r="S19" s="86">
        <f t="shared" si="8"/>
        <v>15</v>
      </c>
      <c r="T19" t="s">
        <v>308</v>
      </c>
    </row>
    <row r="20" spans="1:21" ht="24.6" customHeight="1" x14ac:dyDescent="0.25">
      <c r="A20" s="29"/>
      <c r="B20" s="28">
        <f t="shared" si="9"/>
        <v>16</v>
      </c>
      <c r="C20" s="28" t="s">
        <v>173</v>
      </c>
      <c r="D20" s="120">
        <v>4.5999999999999999E-3</v>
      </c>
      <c r="E20" s="148">
        <v>1073994.1599999999</v>
      </c>
      <c r="F20" s="147">
        <f>E20</f>
        <v>1073994.1599999999</v>
      </c>
      <c r="G20" s="87">
        <f t="shared" si="0"/>
        <v>0</v>
      </c>
      <c r="H20" s="33">
        <f t="shared" si="10"/>
        <v>0</v>
      </c>
      <c r="I20" s="34">
        <f t="shared" si="4"/>
        <v>331200</v>
      </c>
      <c r="J20" s="34">
        <f t="shared" si="1"/>
        <v>0</v>
      </c>
      <c r="K20" s="34">
        <f t="shared" si="5"/>
        <v>165940.54062019198</v>
      </c>
      <c r="L20" s="34">
        <f t="shared" si="6"/>
        <v>270270.27039999998</v>
      </c>
      <c r="M20" s="109">
        <v>58013</v>
      </c>
      <c r="N20" s="109">
        <f>(I20+K20)/2</f>
        <v>248570.27031009598</v>
      </c>
      <c r="O20" s="109"/>
      <c r="P20" s="270">
        <f t="shared" si="2"/>
        <v>1073994.1599999999</v>
      </c>
      <c r="Q20" s="270"/>
      <c r="R20" s="24">
        <f t="shared" si="3"/>
        <v>0.16</v>
      </c>
      <c r="S20" s="1">
        <f t="shared" si="8"/>
        <v>16</v>
      </c>
    </row>
    <row r="21" spans="1:21" ht="24.6" customHeight="1" x14ac:dyDescent="0.25">
      <c r="A21" s="29"/>
      <c r="B21" s="28">
        <f t="shared" si="9"/>
        <v>17</v>
      </c>
      <c r="C21" s="28" t="s">
        <v>36</v>
      </c>
      <c r="D21" s="120">
        <v>4.5999999999999999E-3</v>
      </c>
      <c r="E21" s="148">
        <v>3680878.17</v>
      </c>
      <c r="F21" s="147">
        <f>800000+1000000</f>
        <v>1800000</v>
      </c>
      <c r="G21" s="87">
        <f t="shared" si="0"/>
        <v>1880878.17</v>
      </c>
      <c r="H21" s="33">
        <f t="shared" si="10"/>
        <v>58062.709107900002</v>
      </c>
      <c r="I21" s="34">
        <f t="shared" si="4"/>
        <v>331200</v>
      </c>
      <c r="J21" s="34">
        <f t="shared" si="1"/>
        <v>0</v>
      </c>
      <c r="K21" s="34">
        <f t="shared" si="5"/>
        <v>165940.54062019198</v>
      </c>
      <c r="L21" s="34">
        <f t="shared" si="6"/>
        <v>270270.27039999998</v>
      </c>
      <c r="M21" s="109">
        <f t="shared" si="7"/>
        <v>0</v>
      </c>
      <c r="N21" s="109">
        <v>0</v>
      </c>
      <c r="O21" s="109"/>
      <c r="P21" s="270">
        <f t="shared" si="2"/>
        <v>2706352.17</v>
      </c>
      <c r="Q21" s="270"/>
      <c r="R21" s="24">
        <f t="shared" si="3"/>
        <v>0.17</v>
      </c>
      <c r="S21" s="1">
        <f t="shared" si="8"/>
        <v>17</v>
      </c>
      <c r="T21" t="s">
        <v>214</v>
      </c>
    </row>
    <row r="22" spans="1:21" ht="24.6" customHeight="1" x14ac:dyDescent="0.25">
      <c r="A22" s="29"/>
      <c r="B22" s="28">
        <f t="shared" si="9"/>
        <v>18</v>
      </c>
      <c r="C22" s="28" t="s">
        <v>37</v>
      </c>
      <c r="D22" s="120">
        <v>4.5999999999999999E-3</v>
      </c>
      <c r="E22" s="148">
        <v>767411.18</v>
      </c>
      <c r="F22" s="147">
        <v>767412</v>
      </c>
      <c r="G22" s="87">
        <f t="shared" si="0"/>
        <v>-0.81999999994877726</v>
      </c>
      <c r="H22" s="33">
        <f t="shared" si="10"/>
        <v>0</v>
      </c>
      <c r="I22" s="34">
        <f t="shared" si="4"/>
        <v>331200</v>
      </c>
      <c r="J22" s="34">
        <f t="shared" si="1"/>
        <v>0</v>
      </c>
      <c r="K22" s="34">
        <f t="shared" si="5"/>
        <v>165940.54062019198</v>
      </c>
      <c r="L22" s="34">
        <f t="shared" si="6"/>
        <v>270270.27039999998</v>
      </c>
      <c r="M22" s="109">
        <f t="shared" si="7"/>
        <v>0</v>
      </c>
      <c r="N22" s="109">
        <v>0</v>
      </c>
      <c r="O22" s="128"/>
      <c r="P22" s="270">
        <f t="shared" si="2"/>
        <v>767410.18</v>
      </c>
      <c r="Q22" s="270"/>
      <c r="R22" s="24">
        <f t="shared" si="3"/>
        <v>0.18</v>
      </c>
      <c r="S22" s="1">
        <f t="shared" si="8"/>
        <v>18</v>
      </c>
      <c r="T22" t="s">
        <v>325</v>
      </c>
    </row>
    <row r="23" spans="1:21" ht="24.6" customHeight="1" x14ac:dyDescent="0.25">
      <c r="A23" s="29"/>
      <c r="B23" s="28">
        <f t="shared" si="9"/>
        <v>19</v>
      </c>
      <c r="C23" s="28" t="s">
        <v>38</v>
      </c>
      <c r="D23" s="120">
        <v>4.7000000000000002E-3</v>
      </c>
      <c r="E23" s="148">
        <v>774611.19</v>
      </c>
      <c r="F23" s="147">
        <f t="shared" ref="F23:F28" si="11">E23</f>
        <v>774611.19</v>
      </c>
      <c r="G23" s="87">
        <f t="shared" si="0"/>
        <v>0</v>
      </c>
      <c r="H23" s="33">
        <f t="shared" si="10"/>
        <v>0</v>
      </c>
      <c r="I23" s="34">
        <f t="shared" si="4"/>
        <v>338400</v>
      </c>
      <c r="J23" s="34">
        <f t="shared" si="1"/>
        <v>0</v>
      </c>
      <c r="K23" s="34">
        <f t="shared" si="5"/>
        <v>165940.54062019198</v>
      </c>
      <c r="L23" s="34">
        <f t="shared" si="6"/>
        <v>270270.27039999998</v>
      </c>
      <c r="M23" s="109">
        <f t="shared" si="7"/>
        <v>0</v>
      </c>
      <c r="N23" s="109">
        <v>0</v>
      </c>
      <c r="O23" s="331">
        <f>I23/2</f>
        <v>169200</v>
      </c>
      <c r="P23" s="270">
        <f t="shared" si="2"/>
        <v>943811.19</v>
      </c>
      <c r="Q23" s="270"/>
      <c r="R23" s="24">
        <f t="shared" si="3"/>
        <v>0.19</v>
      </c>
      <c r="S23" s="1">
        <f t="shared" si="8"/>
        <v>19</v>
      </c>
    </row>
    <row r="24" spans="1:21" ht="24.6" customHeight="1" x14ac:dyDescent="0.25">
      <c r="A24" s="29"/>
      <c r="B24" s="28">
        <f t="shared" si="9"/>
        <v>20</v>
      </c>
      <c r="C24" s="28" t="s">
        <v>39</v>
      </c>
      <c r="D24" s="120">
        <v>4.7000000000000002E-3</v>
      </c>
      <c r="E24" s="148">
        <v>774611.2</v>
      </c>
      <c r="F24" s="147">
        <f t="shared" si="11"/>
        <v>774611.2</v>
      </c>
      <c r="G24" s="87">
        <f t="shared" si="0"/>
        <v>0</v>
      </c>
      <c r="H24" s="33">
        <f t="shared" si="10"/>
        <v>0</v>
      </c>
      <c r="I24" s="34">
        <f t="shared" si="4"/>
        <v>338400</v>
      </c>
      <c r="J24" s="34">
        <f t="shared" si="1"/>
        <v>0</v>
      </c>
      <c r="K24" s="34">
        <f t="shared" si="5"/>
        <v>165940.54062019198</v>
      </c>
      <c r="L24" s="34">
        <f t="shared" si="6"/>
        <v>270270.27039999998</v>
      </c>
      <c r="M24" s="109">
        <f t="shared" si="7"/>
        <v>0</v>
      </c>
      <c r="N24" s="109">
        <v>0</v>
      </c>
      <c r="O24" s="128"/>
      <c r="P24" s="270">
        <f t="shared" si="2"/>
        <v>774611.2</v>
      </c>
      <c r="Q24" s="270"/>
      <c r="R24" s="24">
        <f t="shared" si="3"/>
        <v>0.2</v>
      </c>
      <c r="S24" s="1">
        <f t="shared" si="8"/>
        <v>20</v>
      </c>
    </row>
    <row r="25" spans="1:21" ht="24.6" customHeight="1" x14ac:dyDescent="0.25">
      <c r="A25" s="29"/>
      <c r="B25" s="28">
        <f t="shared" si="9"/>
        <v>21</v>
      </c>
      <c r="C25" s="28" t="s">
        <v>40</v>
      </c>
      <c r="D25" s="120">
        <v>4.7000000000000002E-3</v>
      </c>
      <c r="E25" s="148">
        <v>774611.21</v>
      </c>
      <c r="F25" s="147">
        <f t="shared" si="11"/>
        <v>774611.21</v>
      </c>
      <c r="G25" s="87">
        <f t="shared" si="0"/>
        <v>0</v>
      </c>
      <c r="H25" s="33">
        <f t="shared" si="10"/>
        <v>0</v>
      </c>
      <c r="I25" s="34">
        <f t="shared" si="4"/>
        <v>338400</v>
      </c>
      <c r="J25" s="34">
        <f t="shared" si="1"/>
        <v>0</v>
      </c>
      <c r="K25" s="34">
        <f t="shared" si="5"/>
        <v>165940.54062019198</v>
      </c>
      <c r="L25" s="34">
        <f t="shared" si="6"/>
        <v>270270.27039999998</v>
      </c>
      <c r="M25" s="109">
        <f t="shared" si="7"/>
        <v>0</v>
      </c>
      <c r="N25" s="109">
        <v>0</v>
      </c>
      <c r="O25" s="128"/>
      <c r="P25" s="270">
        <f t="shared" si="2"/>
        <v>774611.21</v>
      </c>
      <c r="Q25" s="270"/>
      <c r="R25" s="24">
        <f t="shared" si="3"/>
        <v>0.21</v>
      </c>
      <c r="S25" s="1">
        <f t="shared" si="8"/>
        <v>21</v>
      </c>
      <c r="U25" t="s">
        <v>206</v>
      </c>
    </row>
    <row r="26" spans="1:21" ht="24.6" customHeight="1" x14ac:dyDescent="0.25">
      <c r="A26" s="29"/>
      <c r="B26" s="28">
        <f t="shared" si="9"/>
        <v>22</v>
      </c>
      <c r="C26" s="28" t="s">
        <v>41</v>
      </c>
      <c r="D26" s="120">
        <v>4.7000000000000002E-3</v>
      </c>
      <c r="E26" s="148">
        <v>774611.22</v>
      </c>
      <c r="F26" s="147">
        <f t="shared" si="11"/>
        <v>774611.22</v>
      </c>
      <c r="G26" s="87">
        <f t="shared" si="0"/>
        <v>0</v>
      </c>
      <c r="H26" s="33">
        <f t="shared" si="10"/>
        <v>0</v>
      </c>
      <c r="I26" s="34">
        <f t="shared" si="4"/>
        <v>338400</v>
      </c>
      <c r="J26" s="34">
        <f t="shared" si="1"/>
        <v>0</v>
      </c>
      <c r="K26" s="34">
        <f t="shared" si="5"/>
        <v>165940.54062019198</v>
      </c>
      <c r="L26" s="34">
        <f t="shared" si="6"/>
        <v>270270.27039999998</v>
      </c>
      <c r="M26" s="109">
        <f t="shared" si="7"/>
        <v>0</v>
      </c>
      <c r="N26" s="109">
        <v>0</v>
      </c>
      <c r="O26" s="128"/>
      <c r="P26" s="270">
        <f t="shared" si="2"/>
        <v>774611.22</v>
      </c>
      <c r="Q26" s="270"/>
      <c r="R26" s="24">
        <f t="shared" si="3"/>
        <v>0.22</v>
      </c>
      <c r="S26" s="1">
        <f t="shared" si="8"/>
        <v>22</v>
      </c>
      <c r="T26" t="s">
        <v>304</v>
      </c>
    </row>
    <row r="27" spans="1:21" ht="24.6" customHeight="1" x14ac:dyDescent="0.25">
      <c r="A27" s="29"/>
      <c r="B27" s="28">
        <f t="shared" si="9"/>
        <v>23</v>
      </c>
      <c r="C27" s="28" t="s">
        <v>42</v>
      </c>
      <c r="D27" s="120">
        <v>4.7000000000000002E-3</v>
      </c>
      <c r="E27" s="148">
        <v>774611.23</v>
      </c>
      <c r="F27" s="147">
        <f t="shared" si="11"/>
        <v>774611.23</v>
      </c>
      <c r="G27" s="87">
        <f t="shared" si="0"/>
        <v>0</v>
      </c>
      <c r="H27" s="33">
        <f t="shared" si="10"/>
        <v>0</v>
      </c>
      <c r="I27" s="34">
        <f t="shared" si="4"/>
        <v>338400</v>
      </c>
      <c r="J27" s="34">
        <f t="shared" si="1"/>
        <v>0</v>
      </c>
      <c r="K27" s="34">
        <f t="shared" si="5"/>
        <v>165940.54062019198</v>
      </c>
      <c r="L27" s="34">
        <f t="shared" si="6"/>
        <v>270270.27039999998</v>
      </c>
      <c r="M27" s="109">
        <f t="shared" si="7"/>
        <v>0</v>
      </c>
      <c r="N27" s="109">
        <v>0</v>
      </c>
      <c r="O27" s="128"/>
      <c r="P27" s="270">
        <f t="shared" si="2"/>
        <v>774611.23</v>
      </c>
      <c r="Q27" s="270"/>
      <c r="R27" s="24">
        <f t="shared" si="3"/>
        <v>0.23</v>
      </c>
      <c r="S27" s="1">
        <f t="shared" si="8"/>
        <v>23</v>
      </c>
      <c r="T27" t="s">
        <v>301</v>
      </c>
    </row>
    <row r="28" spans="1:21" ht="24.6" customHeight="1" x14ac:dyDescent="0.25">
      <c r="A28" s="28"/>
      <c r="B28" s="28">
        <f t="shared" si="9"/>
        <v>24</v>
      </c>
      <c r="C28" s="28" t="s">
        <v>43</v>
      </c>
      <c r="D28" s="120">
        <v>4.7000000000000002E-3</v>
      </c>
      <c r="E28" s="148">
        <v>774611.24</v>
      </c>
      <c r="F28" s="147">
        <f t="shared" si="11"/>
        <v>774611.24</v>
      </c>
      <c r="G28" s="87">
        <f t="shared" si="0"/>
        <v>0</v>
      </c>
      <c r="H28" s="33">
        <f t="shared" si="10"/>
        <v>0</v>
      </c>
      <c r="I28" s="34">
        <f t="shared" si="4"/>
        <v>338400</v>
      </c>
      <c r="J28" s="34">
        <f t="shared" si="1"/>
        <v>0</v>
      </c>
      <c r="K28" s="34">
        <f t="shared" si="5"/>
        <v>165940.54062019198</v>
      </c>
      <c r="L28" s="34">
        <f t="shared" si="6"/>
        <v>270270.27039999998</v>
      </c>
      <c r="M28" s="109">
        <f t="shared" si="7"/>
        <v>0</v>
      </c>
      <c r="N28" s="109">
        <v>0</v>
      </c>
      <c r="O28" s="128"/>
      <c r="P28" s="270">
        <f t="shared" si="2"/>
        <v>774611.24</v>
      </c>
      <c r="Q28" s="270"/>
      <c r="R28" s="24">
        <f t="shared" si="3"/>
        <v>0.24</v>
      </c>
      <c r="S28" s="1">
        <f t="shared" si="8"/>
        <v>24</v>
      </c>
    </row>
    <row r="29" spans="1:21" ht="24.6" customHeight="1" x14ac:dyDescent="0.25">
      <c r="A29" s="29"/>
      <c r="B29" s="28">
        <f t="shared" si="9"/>
        <v>25</v>
      </c>
      <c r="C29" s="28" t="s">
        <v>44</v>
      </c>
      <c r="D29" s="120">
        <v>4.7999999999999996E-3</v>
      </c>
      <c r="E29" s="148">
        <v>1540154.25</v>
      </c>
      <c r="F29" s="147">
        <v>735634</v>
      </c>
      <c r="G29" s="87">
        <f t="shared" si="0"/>
        <v>804520.25</v>
      </c>
      <c r="H29" s="33">
        <f t="shared" si="10"/>
        <v>24835.540117500001</v>
      </c>
      <c r="I29" s="34">
        <f t="shared" si="4"/>
        <v>345599.99999999994</v>
      </c>
      <c r="J29" s="34">
        <f t="shared" si="1"/>
        <v>0</v>
      </c>
      <c r="K29" s="34">
        <f t="shared" si="5"/>
        <v>165940.54062019198</v>
      </c>
      <c r="L29" s="34">
        <f t="shared" si="6"/>
        <v>270270.27039999998</v>
      </c>
      <c r="M29" s="109">
        <f t="shared" si="7"/>
        <v>0</v>
      </c>
      <c r="N29" s="109">
        <v>0</v>
      </c>
      <c r="O29" s="128"/>
      <c r="P29" s="270">
        <f t="shared" si="2"/>
        <v>1611167.25</v>
      </c>
      <c r="Q29" s="270"/>
      <c r="R29" s="24">
        <f t="shared" si="3"/>
        <v>0.25</v>
      </c>
      <c r="S29" s="1">
        <f t="shared" si="8"/>
        <v>25</v>
      </c>
      <c r="U29" t="s">
        <v>279</v>
      </c>
    </row>
    <row r="30" spans="1:21" ht="24.6" customHeight="1" x14ac:dyDescent="0.25">
      <c r="A30" s="28"/>
      <c r="B30" s="28">
        <f t="shared" si="9"/>
        <v>26</v>
      </c>
      <c r="C30" s="28" t="s">
        <v>45</v>
      </c>
      <c r="D30" s="120">
        <v>4.7999999999999996E-3</v>
      </c>
      <c r="E30" s="148">
        <v>781810.26</v>
      </c>
      <c r="F30" s="147">
        <v>782000</v>
      </c>
      <c r="G30" s="88">
        <f t="shared" si="0"/>
        <v>-189.73999999999069</v>
      </c>
      <c r="H30" s="121">
        <f t="shared" si="10"/>
        <v>0</v>
      </c>
      <c r="I30" s="109">
        <f t="shared" si="4"/>
        <v>345599.99999999994</v>
      </c>
      <c r="J30" s="109">
        <f t="shared" si="1"/>
        <v>0</v>
      </c>
      <c r="K30" s="109">
        <f t="shared" si="5"/>
        <v>165940.54062019198</v>
      </c>
      <c r="L30" s="109">
        <f t="shared" si="6"/>
        <v>270270.27039999998</v>
      </c>
      <c r="M30" s="109">
        <f t="shared" si="7"/>
        <v>0</v>
      </c>
      <c r="N30" s="109">
        <v>0</v>
      </c>
      <c r="O30" s="128"/>
      <c r="P30" s="274">
        <f t="shared" si="2"/>
        <v>781621.26</v>
      </c>
      <c r="Q30" s="274"/>
      <c r="R30" s="122">
        <f t="shared" si="3"/>
        <v>0.26</v>
      </c>
      <c r="S30" s="86">
        <f t="shared" si="8"/>
        <v>26</v>
      </c>
      <c r="U30" t="s">
        <v>201</v>
      </c>
    </row>
    <row r="31" spans="1:21" ht="24.6" customHeight="1" x14ac:dyDescent="0.25">
      <c r="A31" s="29"/>
      <c r="B31" s="28">
        <f t="shared" si="9"/>
        <v>27</v>
      </c>
      <c r="C31" s="28" t="s">
        <v>46</v>
      </c>
      <c r="D31" s="120">
        <v>4.7999999999999996E-3</v>
      </c>
      <c r="E31" s="148">
        <v>1518103.27</v>
      </c>
      <c r="F31" s="147">
        <f>714243.27+781810.27</f>
        <v>1496053.54</v>
      </c>
      <c r="G31" s="87">
        <f t="shared" si="0"/>
        <v>22049.729999999981</v>
      </c>
      <c r="H31" s="33">
        <f t="shared" si="10"/>
        <v>680.6751650999995</v>
      </c>
      <c r="I31" s="34">
        <f t="shared" si="4"/>
        <v>345599.99999999994</v>
      </c>
      <c r="J31" s="34">
        <f t="shared" si="1"/>
        <v>0</v>
      </c>
      <c r="K31" s="34">
        <f t="shared" si="5"/>
        <v>165940.54062019198</v>
      </c>
      <c r="L31" s="34">
        <f t="shared" si="6"/>
        <v>270270.27039999998</v>
      </c>
      <c r="M31" s="109">
        <f t="shared" si="7"/>
        <v>0</v>
      </c>
      <c r="N31" s="109">
        <v>0</v>
      </c>
      <c r="O31" s="128"/>
      <c r="P31" s="270">
        <f t="shared" si="2"/>
        <v>804541.27</v>
      </c>
      <c r="Q31" s="270"/>
      <c r="R31" s="24">
        <f t="shared" si="3"/>
        <v>0.27</v>
      </c>
      <c r="S31" s="1">
        <f t="shared" si="8"/>
        <v>27</v>
      </c>
    </row>
    <row r="32" spans="1:21" ht="24.6" customHeight="1" x14ac:dyDescent="0.25">
      <c r="A32" s="29"/>
      <c r="B32" s="28">
        <f t="shared" si="9"/>
        <v>28</v>
      </c>
      <c r="C32" s="28" t="s">
        <v>47</v>
      </c>
      <c r="D32" s="120">
        <v>4.4999999999999997E-3</v>
      </c>
      <c r="E32" s="148">
        <v>784338.28</v>
      </c>
      <c r="F32" s="147">
        <v>800000</v>
      </c>
      <c r="G32" s="87">
        <f t="shared" si="0"/>
        <v>-15661.719999999972</v>
      </c>
      <c r="H32" s="33">
        <f t="shared" si="10"/>
        <v>0</v>
      </c>
      <c r="I32" s="34">
        <f t="shared" si="4"/>
        <v>324000</v>
      </c>
      <c r="J32" s="34">
        <f t="shared" si="1"/>
        <v>0</v>
      </c>
      <c r="K32" s="34">
        <f t="shared" si="5"/>
        <v>165940.54062019198</v>
      </c>
      <c r="L32" s="34">
        <f t="shared" si="6"/>
        <v>270270.27039999998</v>
      </c>
      <c r="M32" s="109">
        <f t="shared" si="7"/>
        <v>0</v>
      </c>
      <c r="N32" s="109">
        <v>0</v>
      </c>
      <c r="O32" s="128"/>
      <c r="P32" s="270">
        <f t="shared" si="2"/>
        <v>744549.28</v>
      </c>
      <c r="Q32" s="270"/>
      <c r="R32" s="24">
        <f t="shared" si="3"/>
        <v>0.28000000000000003</v>
      </c>
      <c r="S32" s="1">
        <f t="shared" si="8"/>
        <v>28</v>
      </c>
      <c r="T32" t="s">
        <v>323</v>
      </c>
    </row>
    <row r="33" spans="1:20" ht="24.6" customHeight="1" x14ac:dyDescent="0.25">
      <c r="A33" s="29"/>
      <c r="B33" s="28">
        <f t="shared" si="9"/>
        <v>29</v>
      </c>
      <c r="C33" s="28" t="s">
        <v>48</v>
      </c>
      <c r="D33" s="120">
        <v>4.7999999999999996E-3</v>
      </c>
      <c r="E33" s="148">
        <v>781811.29</v>
      </c>
      <c r="F33" s="147">
        <f>E33</f>
        <v>781811.29</v>
      </c>
      <c r="G33" s="87">
        <f t="shared" si="0"/>
        <v>0</v>
      </c>
      <c r="H33" s="33">
        <f t="shared" si="10"/>
        <v>0</v>
      </c>
      <c r="I33" s="34">
        <f t="shared" si="4"/>
        <v>345599.99999999994</v>
      </c>
      <c r="J33" s="34">
        <f t="shared" si="1"/>
        <v>0</v>
      </c>
      <c r="K33" s="34">
        <f t="shared" si="5"/>
        <v>165940.54062019198</v>
      </c>
      <c r="L33" s="34">
        <f t="shared" si="6"/>
        <v>270270.27039999998</v>
      </c>
      <c r="M33" s="109">
        <f t="shared" si="7"/>
        <v>0</v>
      </c>
      <c r="N33" s="109">
        <v>0</v>
      </c>
      <c r="O33" s="128"/>
      <c r="P33" s="270">
        <f t="shared" si="2"/>
        <v>781811.29</v>
      </c>
      <c r="Q33" s="270"/>
      <c r="R33" s="24">
        <f t="shared" si="3"/>
        <v>0.28999999999999998</v>
      </c>
      <c r="S33" s="1">
        <f t="shared" si="8"/>
        <v>29</v>
      </c>
      <c r="T33" t="s">
        <v>210</v>
      </c>
    </row>
    <row r="34" spans="1:20" ht="24.6" customHeight="1" x14ac:dyDescent="0.25">
      <c r="A34" s="29"/>
      <c r="B34" s="28">
        <f t="shared" si="9"/>
        <v>30</v>
      </c>
      <c r="C34" s="28" t="s">
        <v>49</v>
      </c>
      <c r="D34" s="120">
        <v>4.4999999999999997E-3</v>
      </c>
      <c r="E34" s="148">
        <v>760211.3</v>
      </c>
      <c r="F34" s="147">
        <f>E34</f>
        <v>760211.3</v>
      </c>
      <c r="G34" s="87">
        <f t="shared" si="0"/>
        <v>0</v>
      </c>
      <c r="H34" s="33">
        <f t="shared" si="10"/>
        <v>0</v>
      </c>
      <c r="I34" s="34">
        <f t="shared" si="4"/>
        <v>324000</v>
      </c>
      <c r="J34" s="34">
        <f t="shared" si="1"/>
        <v>0</v>
      </c>
      <c r="K34" s="34">
        <f t="shared" si="5"/>
        <v>165940.54062019198</v>
      </c>
      <c r="L34" s="34">
        <f t="shared" si="6"/>
        <v>270270.27039999998</v>
      </c>
      <c r="M34" s="109">
        <f t="shared" si="7"/>
        <v>0</v>
      </c>
      <c r="N34" s="109">
        <v>0</v>
      </c>
      <c r="O34" s="128"/>
      <c r="P34" s="270">
        <f t="shared" si="2"/>
        <v>760211.3</v>
      </c>
      <c r="Q34" s="270"/>
      <c r="R34" s="24">
        <f t="shared" si="3"/>
        <v>0.3</v>
      </c>
      <c r="S34" s="1">
        <f t="shared" si="8"/>
        <v>30</v>
      </c>
      <c r="T34" t="s">
        <v>262</v>
      </c>
    </row>
    <row r="35" spans="1:20" ht="24.6" customHeight="1" x14ac:dyDescent="0.25">
      <c r="A35" s="195"/>
      <c r="B35" s="28">
        <f t="shared" si="9"/>
        <v>31</v>
      </c>
      <c r="C35" s="28" t="s">
        <v>50</v>
      </c>
      <c r="D35" s="120">
        <v>4.4999999999999997E-3</v>
      </c>
      <c r="E35" s="148">
        <v>-469877.69</v>
      </c>
      <c r="F35" s="147"/>
      <c r="G35" s="87">
        <f t="shared" si="0"/>
        <v>-469877.69</v>
      </c>
      <c r="H35" s="33">
        <f t="shared" si="10"/>
        <v>0</v>
      </c>
      <c r="I35" s="34">
        <f t="shared" si="4"/>
        <v>324000</v>
      </c>
      <c r="J35" s="34">
        <f t="shared" si="1"/>
        <v>0</v>
      </c>
      <c r="K35" s="34">
        <f t="shared" si="5"/>
        <v>165940.54062019198</v>
      </c>
      <c r="L35" s="34">
        <f t="shared" si="6"/>
        <v>270270.27039999998</v>
      </c>
      <c r="M35" s="109">
        <f t="shared" si="7"/>
        <v>0</v>
      </c>
      <c r="N35" s="109">
        <v>0</v>
      </c>
      <c r="O35" s="128"/>
      <c r="P35" s="270">
        <f t="shared" si="2"/>
        <v>290333.31</v>
      </c>
      <c r="Q35" s="270"/>
      <c r="R35" s="24">
        <f t="shared" si="3"/>
        <v>0.31</v>
      </c>
      <c r="S35" s="1">
        <f t="shared" si="8"/>
        <v>31</v>
      </c>
      <c r="T35" s="91" t="s">
        <v>274</v>
      </c>
    </row>
    <row r="36" spans="1:20" ht="24.6" customHeight="1" x14ac:dyDescent="0.25">
      <c r="A36" s="190"/>
      <c r="B36" s="28">
        <f t="shared" si="9"/>
        <v>32</v>
      </c>
      <c r="C36" s="28" t="s">
        <v>51</v>
      </c>
      <c r="D36" s="120">
        <v>4.4999999999999997E-3</v>
      </c>
      <c r="E36" s="148">
        <v>760180.32</v>
      </c>
      <c r="F36" s="332">
        <f>6738029.65-F17-F20-F37-F90-F150-F151-F153</f>
        <v>760180.32000000041</v>
      </c>
      <c r="G36" s="88">
        <f t="shared" si="0"/>
        <v>0</v>
      </c>
      <c r="H36" s="121">
        <f t="shared" si="10"/>
        <v>0</v>
      </c>
      <c r="I36" s="109">
        <f t="shared" si="4"/>
        <v>324000</v>
      </c>
      <c r="J36" s="109">
        <f t="shared" si="1"/>
        <v>0</v>
      </c>
      <c r="K36" s="109">
        <f t="shared" si="5"/>
        <v>165940.54062019198</v>
      </c>
      <c r="L36" s="109">
        <f t="shared" si="6"/>
        <v>270270.27039999998</v>
      </c>
      <c r="M36" s="109">
        <f t="shared" si="7"/>
        <v>0</v>
      </c>
      <c r="N36" s="109">
        <v>0</v>
      </c>
      <c r="O36" s="128"/>
      <c r="P36" s="274">
        <f t="shared" si="2"/>
        <v>760211.32</v>
      </c>
      <c r="Q36" s="274"/>
      <c r="R36" s="122">
        <f t="shared" si="3"/>
        <v>0.32</v>
      </c>
      <c r="S36" s="86">
        <f t="shared" si="8"/>
        <v>32</v>
      </c>
    </row>
    <row r="37" spans="1:20" ht="24.6" customHeight="1" x14ac:dyDescent="0.25">
      <c r="A37" s="28"/>
      <c r="B37" s="28">
        <v>33</v>
      </c>
      <c r="C37" s="28" t="s">
        <v>52</v>
      </c>
      <c r="D37" s="120">
        <v>4.4999999999999997E-3</v>
      </c>
      <c r="E37" s="148">
        <v>760211.33</v>
      </c>
      <c r="F37" s="147">
        <f>E37</f>
        <v>760211.33</v>
      </c>
      <c r="G37" s="87">
        <f t="shared" si="0"/>
        <v>0</v>
      </c>
      <c r="H37" s="33">
        <f t="shared" si="10"/>
        <v>0</v>
      </c>
      <c r="I37" s="34">
        <f t="shared" si="4"/>
        <v>324000</v>
      </c>
      <c r="J37" s="34">
        <f t="shared" ref="J37:J68" si="12">P$2*D37</f>
        <v>0</v>
      </c>
      <c r="K37" s="34">
        <f t="shared" si="5"/>
        <v>165940.54062019198</v>
      </c>
      <c r="L37" s="34">
        <f t="shared" si="6"/>
        <v>270270.27039999998</v>
      </c>
      <c r="M37" s="109">
        <f t="shared" si="7"/>
        <v>0</v>
      </c>
      <c r="N37" s="109">
        <v>0</v>
      </c>
      <c r="O37" s="128"/>
      <c r="P37" s="270">
        <f t="shared" ref="P37:P68" si="13">ROUND(SUM(G37:O37),0) + R37</f>
        <v>760211.33</v>
      </c>
      <c r="Q37" s="270"/>
      <c r="R37" s="24">
        <f t="shared" ref="R37:R68" si="14">ROUND(0.001+B37/100,2)</f>
        <v>0.33</v>
      </c>
      <c r="S37" s="1">
        <f t="shared" si="8"/>
        <v>33</v>
      </c>
    </row>
    <row r="38" spans="1:20" ht="24.6" customHeight="1" x14ac:dyDescent="0.25">
      <c r="A38" s="29"/>
      <c r="B38" s="28">
        <v>34</v>
      </c>
      <c r="C38" s="28" t="s">
        <v>50</v>
      </c>
      <c r="D38" s="120">
        <v>4.4999999999999997E-3</v>
      </c>
      <c r="E38" s="148">
        <v>-625077.66</v>
      </c>
      <c r="F38" s="147"/>
      <c r="G38" s="87">
        <f t="shared" si="0"/>
        <v>-625077.66</v>
      </c>
      <c r="H38" s="33">
        <f t="shared" si="10"/>
        <v>0</v>
      </c>
      <c r="I38" s="34">
        <f t="shared" ref="I38:I101" si="15">K$2*D38</f>
        <v>324000</v>
      </c>
      <c r="J38" s="34">
        <f t="shared" si="12"/>
        <v>0</v>
      </c>
      <c r="K38" s="34">
        <f t="shared" si="5"/>
        <v>165940.54062019198</v>
      </c>
      <c r="L38" s="34">
        <f t="shared" si="6"/>
        <v>270270.27039999998</v>
      </c>
      <c r="M38" s="109">
        <f t="shared" si="7"/>
        <v>0</v>
      </c>
      <c r="N38" s="109">
        <v>0</v>
      </c>
      <c r="O38" s="128"/>
      <c r="P38" s="270">
        <f t="shared" si="13"/>
        <v>135133.34</v>
      </c>
      <c r="Q38" s="270"/>
      <c r="R38" s="24">
        <f t="shared" si="14"/>
        <v>0.34</v>
      </c>
      <c r="S38" s="1">
        <f t="shared" si="8"/>
        <v>34</v>
      </c>
      <c r="T38" s="91" t="s">
        <v>274</v>
      </c>
    </row>
    <row r="39" spans="1:20" ht="22.15" customHeight="1" x14ac:dyDescent="0.25">
      <c r="A39" s="29">
        <v>1</v>
      </c>
      <c r="B39" s="28">
        <v>35</v>
      </c>
      <c r="C39" s="28" t="s">
        <v>53</v>
      </c>
      <c r="D39" s="120">
        <v>4.5999999999999999E-3</v>
      </c>
      <c r="E39" s="148">
        <v>767411.35</v>
      </c>
      <c r="F39" s="147"/>
      <c r="G39" s="87">
        <f t="shared" si="0"/>
        <v>767411.35</v>
      </c>
      <c r="H39" s="33">
        <f t="shared" si="10"/>
        <v>23689.988374500001</v>
      </c>
      <c r="I39" s="34">
        <f t="shared" si="15"/>
        <v>331200</v>
      </c>
      <c r="J39" s="34">
        <f t="shared" si="12"/>
        <v>0</v>
      </c>
      <c r="K39" s="34">
        <f t="shared" si="5"/>
        <v>165940.54062019198</v>
      </c>
      <c r="L39" s="34">
        <f t="shared" si="6"/>
        <v>270270.27039999998</v>
      </c>
      <c r="M39" s="109">
        <f t="shared" si="7"/>
        <v>0</v>
      </c>
      <c r="N39" s="109">
        <v>0</v>
      </c>
      <c r="O39" s="128"/>
      <c r="P39" s="270">
        <f t="shared" si="13"/>
        <v>1558512.35</v>
      </c>
      <c r="Q39" s="270"/>
      <c r="R39" s="24">
        <f t="shared" si="14"/>
        <v>0.35</v>
      </c>
      <c r="S39" s="1">
        <f t="shared" si="8"/>
        <v>35</v>
      </c>
      <c r="T39" t="s">
        <v>225</v>
      </c>
    </row>
    <row r="40" spans="1:20" ht="24.95" customHeight="1" x14ac:dyDescent="0.25">
      <c r="A40" s="28">
        <v>2</v>
      </c>
      <c r="B40" s="28">
        <v>36</v>
      </c>
      <c r="C40" s="28" t="s">
        <v>54</v>
      </c>
      <c r="D40" s="120">
        <v>4.5999999999999999E-3</v>
      </c>
      <c r="E40" s="148">
        <v>767411.36</v>
      </c>
      <c r="F40" s="147"/>
      <c r="G40" s="88">
        <f t="shared" si="0"/>
        <v>767411.36</v>
      </c>
      <c r="H40" s="121">
        <f t="shared" si="10"/>
        <v>23689.988683200001</v>
      </c>
      <c r="I40" s="109">
        <f t="shared" si="15"/>
        <v>331200</v>
      </c>
      <c r="J40" s="109">
        <f t="shared" si="12"/>
        <v>0</v>
      </c>
      <c r="K40" s="109">
        <f t="shared" si="5"/>
        <v>165940.54062019198</v>
      </c>
      <c r="L40" s="109">
        <f t="shared" si="6"/>
        <v>270270.27039999998</v>
      </c>
      <c r="M40" s="109">
        <f t="shared" si="7"/>
        <v>0</v>
      </c>
      <c r="N40" s="109">
        <v>0</v>
      </c>
      <c r="O40" s="128"/>
      <c r="P40" s="274">
        <f t="shared" si="13"/>
        <v>1558512.36</v>
      </c>
      <c r="Q40" s="274"/>
      <c r="R40" s="122">
        <f t="shared" si="14"/>
        <v>0.36</v>
      </c>
      <c r="S40" s="86">
        <f t="shared" si="8"/>
        <v>36</v>
      </c>
      <c r="T40" s="24"/>
    </row>
    <row r="41" spans="1:20" ht="24.95" customHeight="1" x14ac:dyDescent="0.25">
      <c r="A41" s="28">
        <v>3</v>
      </c>
      <c r="B41" s="28">
        <v>37</v>
      </c>
      <c r="C41" s="28" t="s">
        <v>55</v>
      </c>
      <c r="D41" s="120">
        <v>4.4999999999999997E-3</v>
      </c>
      <c r="E41" s="148">
        <v>1548423.37</v>
      </c>
      <c r="F41" s="147"/>
      <c r="G41" s="88">
        <f t="shared" si="0"/>
        <v>1548423.37</v>
      </c>
      <c r="H41" s="121">
        <f t="shared" si="10"/>
        <v>47799.829431900005</v>
      </c>
      <c r="I41" s="109">
        <f t="shared" si="15"/>
        <v>324000</v>
      </c>
      <c r="J41" s="109">
        <f t="shared" si="12"/>
        <v>0</v>
      </c>
      <c r="K41" s="109">
        <f t="shared" si="5"/>
        <v>165940.54062019198</v>
      </c>
      <c r="L41" s="109">
        <f t="shared" si="6"/>
        <v>270270.27039999998</v>
      </c>
      <c r="M41" s="109">
        <f t="shared" si="7"/>
        <v>0</v>
      </c>
      <c r="N41" s="109">
        <v>0</v>
      </c>
      <c r="O41" s="128"/>
      <c r="P41" s="274">
        <f t="shared" si="13"/>
        <v>2356434.37</v>
      </c>
      <c r="Q41" s="274"/>
      <c r="R41" s="122">
        <f t="shared" si="14"/>
        <v>0.37</v>
      </c>
      <c r="S41" s="86">
        <f t="shared" si="8"/>
        <v>37</v>
      </c>
      <c r="T41" s="24"/>
    </row>
    <row r="42" spans="1:20" ht="24.95" customHeight="1" x14ac:dyDescent="0.25">
      <c r="A42" s="28">
        <v>4</v>
      </c>
      <c r="B42" s="28">
        <v>38</v>
      </c>
      <c r="C42" s="28" t="s">
        <v>56</v>
      </c>
      <c r="D42" s="120">
        <v>4.4999999999999997E-3</v>
      </c>
      <c r="E42" s="148">
        <v>915410.38</v>
      </c>
      <c r="F42" s="147">
        <v>436210.38</v>
      </c>
      <c r="G42" s="87">
        <f t="shared" si="0"/>
        <v>479200</v>
      </c>
      <c r="H42" s="33">
        <f t="shared" si="10"/>
        <v>14792.904</v>
      </c>
      <c r="I42" s="34">
        <f t="shared" si="15"/>
        <v>324000</v>
      </c>
      <c r="J42" s="34">
        <f t="shared" si="12"/>
        <v>0</v>
      </c>
      <c r="K42" s="34">
        <f t="shared" si="5"/>
        <v>165940.54062019198</v>
      </c>
      <c r="L42" s="34">
        <f t="shared" si="6"/>
        <v>270270.27039999998</v>
      </c>
      <c r="M42" s="109">
        <f t="shared" si="7"/>
        <v>0</v>
      </c>
      <c r="N42" s="109">
        <v>0</v>
      </c>
      <c r="O42" s="128"/>
      <c r="P42" s="270">
        <f t="shared" si="13"/>
        <v>1254204.3799999999</v>
      </c>
      <c r="Q42" s="270"/>
      <c r="R42" s="24">
        <f t="shared" si="14"/>
        <v>0.38</v>
      </c>
      <c r="S42" s="1">
        <f t="shared" si="8"/>
        <v>38</v>
      </c>
      <c r="T42" t="s">
        <v>247</v>
      </c>
    </row>
    <row r="43" spans="1:20" ht="24.95" customHeight="1" x14ac:dyDescent="0.25">
      <c r="A43" s="197">
        <v>5</v>
      </c>
      <c r="B43" s="28">
        <v>39</v>
      </c>
      <c r="C43" s="28" t="s">
        <v>251</v>
      </c>
      <c r="D43" s="120">
        <v>4.4999999999999997E-3</v>
      </c>
      <c r="E43" s="148">
        <v>910157.39</v>
      </c>
      <c r="F43" s="147">
        <f>155200+754957.4</f>
        <v>910157.4</v>
      </c>
      <c r="G43" s="87">
        <f t="shared" si="0"/>
        <v>-1.0000000009313226E-2</v>
      </c>
      <c r="H43" s="33">
        <f t="shared" si="10"/>
        <v>0</v>
      </c>
      <c r="I43" s="34">
        <f t="shared" si="15"/>
        <v>324000</v>
      </c>
      <c r="J43" s="34">
        <f t="shared" si="12"/>
        <v>0</v>
      </c>
      <c r="K43" s="34">
        <f t="shared" si="5"/>
        <v>165940.54062019198</v>
      </c>
      <c r="L43" s="34">
        <f t="shared" si="6"/>
        <v>270270.27039999998</v>
      </c>
      <c r="M43" s="109">
        <f t="shared" si="7"/>
        <v>0</v>
      </c>
      <c r="N43" s="109">
        <v>0</v>
      </c>
      <c r="O43" s="333">
        <f>1552*100</f>
        <v>155200</v>
      </c>
      <c r="P43" s="270">
        <f t="shared" si="13"/>
        <v>915411.39</v>
      </c>
      <c r="Q43" s="270"/>
      <c r="R43" s="24">
        <f t="shared" si="14"/>
        <v>0.39</v>
      </c>
      <c r="S43" s="1">
        <f t="shared" si="8"/>
        <v>39</v>
      </c>
      <c r="T43" t="s">
        <v>228</v>
      </c>
    </row>
    <row r="44" spans="1:20" ht="24.95" customHeight="1" x14ac:dyDescent="0.25">
      <c r="A44" s="29">
        <v>6</v>
      </c>
      <c r="B44" s="28">
        <v>40</v>
      </c>
      <c r="C44" s="28" t="s">
        <v>57</v>
      </c>
      <c r="D44" s="120">
        <v>4.4999999999999997E-3</v>
      </c>
      <c r="E44" s="148">
        <v>760211.4</v>
      </c>
      <c r="F44" s="147">
        <f>460211.4</f>
        <v>460211.4</v>
      </c>
      <c r="G44" s="87">
        <f t="shared" si="0"/>
        <v>300000</v>
      </c>
      <c r="H44" s="33">
        <f t="shared" si="10"/>
        <v>9261</v>
      </c>
      <c r="I44" s="34">
        <f t="shared" si="15"/>
        <v>324000</v>
      </c>
      <c r="J44" s="34">
        <f t="shared" si="12"/>
        <v>0</v>
      </c>
      <c r="K44" s="34">
        <f t="shared" si="5"/>
        <v>165940.54062019198</v>
      </c>
      <c r="L44" s="34">
        <f t="shared" si="6"/>
        <v>270270.27039999998</v>
      </c>
      <c r="M44" s="109">
        <f t="shared" si="7"/>
        <v>0</v>
      </c>
      <c r="N44" s="109">
        <v>0</v>
      </c>
      <c r="O44" s="128"/>
      <c r="P44" s="270">
        <f t="shared" si="13"/>
        <v>1069472.3999999999</v>
      </c>
      <c r="Q44" s="270"/>
      <c r="R44" s="24">
        <f t="shared" si="14"/>
        <v>0.4</v>
      </c>
      <c r="S44" s="1">
        <f t="shared" si="8"/>
        <v>40</v>
      </c>
    </row>
    <row r="45" spans="1:20" ht="24.95" customHeight="1" x14ac:dyDescent="0.25">
      <c r="A45" s="29">
        <v>7</v>
      </c>
      <c r="B45" s="28">
        <v>41</v>
      </c>
      <c r="C45" s="28" t="s">
        <v>58</v>
      </c>
      <c r="D45" s="120">
        <v>4.4999999999999997E-3</v>
      </c>
      <c r="E45" s="148">
        <v>760211.41</v>
      </c>
      <c r="F45" s="147">
        <f>E45</f>
        <v>760211.41</v>
      </c>
      <c r="G45" s="87">
        <f t="shared" si="0"/>
        <v>0</v>
      </c>
      <c r="H45" s="33">
        <f t="shared" si="10"/>
        <v>0</v>
      </c>
      <c r="I45" s="34">
        <f t="shared" si="15"/>
        <v>324000</v>
      </c>
      <c r="J45" s="34">
        <f t="shared" si="12"/>
        <v>0</v>
      </c>
      <c r="K45" s="34">
        <f t="shared" si="5"/>
        <v>165940.54062019198</v>
      </c>
      <c r="L45" s="34">
        <f t="shared" si="6"/>
        <v>270270.27039999998</v>
      </c>
      <c r="M45" s="109">
        <f t="shared" si="7"/>
        <v>0</v>
      </c>
      <c r="N45" s="109">
        <v>0</v>
      </c>
      <c r="O45" s="128"/>
      <c r="P45" s="270">
        <f t="shared" si="13"/>
        <v>760211.41</v>
      </c>
      <c r="Q45" s="270"/>
      <c r="R45" s="24">
        <f t="shared" si="14"/>
        <v>0.41</v>
      </c>
      <c r="S45" s="1">
        <f t="shared" si="8"/>
        <v>41</v>
      </c>
      <c r="T45" s="91" t="s">
        <v>221</v>
      </c>
    </row>
    <row r="46" spans="1:20" ht="24.95" customHeight="1" x14ac:dyDescent="0.25">
      <c r="A46" s="28">
        <v>8</v>
      </c>
      <c r="B46" s="28">
        <v>42</v>
      </c>
      <c r="C46" s="28" t="s">
        <v>59</v>
      </c>
      <c r="D46" s="120">
        <v>4.4999999999999997E-3</v>
      </c>
      <c r="E46" s="148">
        <v>760211.42</v>
      </c>
      <c r="F46" s="147">
        <f>E46</f>
        <v>760211.42</v>
      </c>
      <c r="G46" s="87">
        <f t="shared" si="0"/>
        <v>0</v>
      </c>
      <c r="H46" s="33">
        <f t="shared" si="10"/>
        <v>0</v>
      </c>
      <c r="I46" s="34">
        <f t="shared" si="15"/>
        <v>324000</v>
      </c>
      <c r="J46" s="34">
        <f t="shared" si="12"/>
        <v>0</v>
      </c>
      <c r="K46" s="34">
        <f t="shared" si="5"/>
        <v>165940.54062019198</v>
      </c>
      <c r="L46" s="34">
        <f t="shared" si="6"/>
        <v>270270.27039999998</v>
      </c>
      <c r="M46" s="109">
        <f t="shared" si="7"/>
        <v>0</v>
      </c>
      <c r="N46" s="109">
        <v>0</v>
      </c>
      <c r="O46" s="128"/>
      <c r="P46" s="270">
        <f t="shared" si="13"/>
        <v>760211.42</v>
      </c>
      <c r="Q46" s="270"/>
      <c r="R46" s="24">
        <f t="shared" si="14"/>
        <v>0.42</v>
      </c>
      <c r="S46" s="1">
        <f t="shared" si="8"/>
        <v>42</v>
      </c>
      <c r="T46" t="s">
        <v>295</v>
      </c>
    </row>
    <row r="47" spans="1:20" ht="24.95" customHeight="1" x14ac:dyDescent="0.25">
      <c r="A47" s="29">
        <v>1</v>
      </c>
      <c r="B47" s="28">
        <v>43</v>
      </c>
      <c r="C47" s="28" t="s">
        <v>60</v>
      </c>
      <c r="D47" s="120">
        <v>3.5999999999999999E-3</v>
      </c>
      <c r="E47" s="148">
        <v>695411.43</v>
      </c>
      <c r="F47" s="147">
        <f>E47</f>
        <v>695411.43</v>
      </c>
      <c r="G47" s="87">
        <f t="shared" si="0"/>
        <v>0</v>
      </c>
      <c r="H47" s="33">
        <f t="shared" si="10"/>
        <v>0</v>
      </c>
      <c r="I47" s="34">
        <f t="shared" si="15"/>
        <v>259200</v>
      </c>
      <c r="J47" s="34">
        <f t="shared" si="12"/>
        <v>0</v>
      </c>
      <c r="K47" s="34">
        <f t="shared" si="5"/>
        <v>165940.54062019198</v>
      </c>
      <c r="L47" s="34">
        <f t="shared" si="6"/>
        <v>270270.27039999998</v>
      </c>
      <c r="M47" s="109">
        <f t="shared" si="7"/>
        <v>0</v>
      </c>
      <c r="N47" s="109">
        <v>0</v>
      </c>
      <c r="O47" s="128"/>
      <c r="P47" s="270">
        <f t="shared" si="13"/>
        <v>695411.43</v>
      </c>
      <c r="Q47" s="270"/>
      <c r="R47" s="24">
        <f t="shared" si="14"/>
        <v>0.43</v>
      </c>
      <c r="S47" s="1">
        <f t="shared" si="8"/>
        <v>43</v>
      </c>
    </row>
    <row r="48" spans="1:20" ht="24.95" customHeight="1" x14ac:dyDescent="0.25">
      <c r="A48" s="28">
        <v>1</v>
      </c>
      <c r="B48" s="28">
        <v>44</v>
      </c>
      <c r="C48" s="28" t="s">
        <v>61</v>
      </c>
      <c r="D48" s="120">
        <v>4.1000000000000003E-3</v>
      </c>
      <c r="E48" s="148">
        <v>1436871.44</v>
      </c>
      <c r="F48" s="147">
        <f>1500000</f>
        <v>1500000</v>
      </c>
      <c r="G48" s="87">
        <f t="shared" si="0"/>
        <v>-63128.560000000056</v>
      </c>
      <c r="H48" s="33">
        <f t="shared" si="10"/>
        <v>0</v>
      </c>
      <c r="I48" s="34">
        <f t="shared" si="15"/>
        <v>295200</v>
      </c>
      <c r="J48" s="34">
        <f t="shared" si="12"/>
        <v>0</v>
      </c>
      <c r="K48" s="34">
        <f t="shared" si="5"/>
        <v>165940.54062019198</v>
      </c>
      <c r="L48" s="34">
        <f t="shared" si="6"/>
        <v>270270.27039999998</v>
      </c>
      <c r="M48" s="109">
        <f t="shared" si="7"/>
        <v>0</v>
      </c>
      <c r="N48" s="109">
        <v>0</v>
      </c>
      <c r="O48" s="128"/>
      <c r="P48" s="270">
        <f t="shared" si="13"/>
        <v>668282.43999999994</v>
      </c>
      <c r="Q48" s="270"/>
      <c r="R48" s="24">
        <f t="shared" si="14"/>
        <v>0.44</v>
      </c>
      <c r="S48" s="1">
        <f t="shared" si="8"/>
        <v>44</v>
      </c>
      <c r="T48" t="s">
        <v>434</v>
      </c>
    </row>
    <row r="49" spans="1:20" ht="24.95" customHeight="1" x14ac:dyDescent="0.25">
      <c r="A49" s="29">
        <v>2</v>
      </c>
      <c r="B49" s="28">
        <v>45</v>
      </c>
      <c r="C49" s="28" t="s">
        <v>62</v>
      </c>
      <c r="D49" s="120">
        <v>4.8999999999999998E-3</v>
      </c>
      <c r="E49" s="148">
        <v>789011.45</v>
      </c>
      <c r="F49" s="147">
        <f>E49</f>
        <v>789011.45</v>
      </c>
      <c r="G49" s="87">
        <f t="shared" si="0"/>
        <v>0</v>
      </c>
      <c r="H49" s="33">
        <f t="shared" si="10"/>
        <v>0</v>
      </c>
      <c r="I49" s="34">
        <f t="shared" si="15"/>
        <v>352800</v>
      </c>
      <c r="J49" s="34">
        <f t="shared" si="12"/>
        <v>0</v>
      </c>
      <c r="K49" s="34">
        <f t="shared" si="5"/>
        <v>165940.54062019198</v>
      </c>
      <c r="L49" s="34">
        <f t="shared" si="6"/>
        <v>270270.27039999998</v>
      </c>
      <c r="M49" s="109">
        <f t="shared" si="7"/>
        <v>0</v>
      </c>
      <c r="N49" s="109">
        <v>0</v>
      </c>
      <c r="O49" s="128"/>
      <c r="P49" s="270">
        <f t="shared" si="13"/>
        <v>789011.45</v>
      </c>
      <c r="Q49" s="270"/>
      <c r="R49" s="24">
        <f t="shared" si="14"/>
        <v>0.45</v>
      </c>
      <c r="S49" s="1">
        <f t="shared" si="8"/>
        <v>45</v>
      </c>
    </row>
    <row r="50" spans="1:20" ht="24.95" customHeight="1" x14ac:dyDescent="0.25">
      <c r="A50" s="29">
        <v>2</v>
      </c>
      <c r="B50" s="28">
        <v>46</v>
      </c>
      <c r="C50" s="28" t="s">
        <v>63</v>
      </c>
      <c r="D50" s="120">
        <v>3.8999999999999998E-3</v>
      </c>
      <c r="E50" s="148">
        <v>1407842.46</v>
      </c>
      <c r="F50" s="147">
        <v>670144.46</v>
      </c>
      <c r="G50" s="87">
        <f t="shared" si="0"/>
        <v>737698</v>
      </c>
      <c r="H50" s="33">
        <f t="shared" si="10"/>
        <v>22772.737260000002</v>
      </c>
      <c r="I50" s="34">
        <f t="shared" si="15"/>
        <v>280800</v>
      </c>
      <c r="J50" s="34">
        <f t="shared" si="12"/>
        <v>0</v>
      </c>
      <c r="K50" s="34">
        <f t="shared" si="5"/>
        <v>165940.54062019198</v>
      </c>
      <c r="L50" s="34">
        <f t="shared" si="6"/>
        <v>270270.27039999998</v>
      </c>
      <c r="M50" s="109">
        <f t="shared" si="7"/>
        <v>0</v>
      </c>
      <c r="N50" s="109">
        <v>0</v>
      </c>
      <c r="O50" s="128"/>
      <c r="P50" s="270">
        <f t="shared" si="13"/>
        <v>1477482.46</v>
      </c>
      <c r="Q50" s="270"/>
      <c r="R50" s="24">
        <f t="shared" si="14"/>
        <v>0.46</v>
      </c>
      <c r="S50" s="1">
        <f t="shared" si="8"/>
        <v>46</v>
      </c>
      <c r="T50" t="s">
        <v>195</v>
      </c>
    </row>
    <row r="51" spans="1:20" ht="24.95" customHeight="1" x14ac:dyDescent="0.25">
      <c r="A51" s="29">
        <v>3</v>
      </c>
      <c r="B51" s="28">
        <v>47</v>
      </c>
      <c r="C51" s="28" t="s">
        <v>64</v>
      </c>
      <c r="D51" s="120">
        <v>4.4999999999999997E-3</v>
      </c>
      <c r="E51" s="148">
        <v>1489742.47</v>
      </c>
      <c r="F51" s="147">
        <f t="shared" ref="F51:F56" si="16">E51</f>
        <v>1489742.47</v>
      </c>
      <c r="G51" s="87">
        <f t="shared" si="0"/>
        <v>0</v>
      </c>
      <c r="H51" s="33">
        <f t="shared" si="10"/>
        <v>0</v>
      </c>
      <c r="I51" s="34">
        <f t="shared" si="15"/>
        <v>324000</v>
      </c>
      <c r="J51" s="34">
        <f t="shared" si="12"/>
        <v>0</v>
      </c>
      <c r="K51" s="34">
        <f t="shared" si="5"/>
        <v>165940.54062019198</v>
      </c>
      <c r="L51" s="34">
        <f t="shared" si="6"/>
        <v>270270.27039999998</v>
      </c>
      <c r="M51" s="109">
        <f t="shared" si="7"/>
        <v>0</v>
      </c>
      <c r="N51" s="109">
        <v>0</v>
      </c>
      <c r="O51" s="128"/>
      <c r="P51" s="270">
        <f t="shared" si="13"/>
        <v>760211.47</v>
      </c>
      <c r="Q51" s="270"/>
      <c r="R51" s="24">
        <f t="shared" si="14"/>
        <v>0.47</v>
      </c>
      <c r="S51" s="1">
        <f t="shared" si="8"/>
        <v>47</v>
      </c>
      <c r="T51" t="s">
        <v>440</v>
      </c>
    </row>
    <row r="52" spans="1:20" ht="24.95" customHeight="1" x14ac:dyDescent="0.25">
      <c r="A52" s="29">
        <v>3</v>
      </c>
      <c r="B52" s="28">
        <v>48</v>
      </c>
      <c r="C52" s="28" t="s">
        <v>190</v>
      </c>
      <c r="D52" s="120">
        <v>4.4999999999999997E-3</v>
      </c>
      <c r="E52" s="148">
        <v>1090308.48</v>
      </c>
      <c r="F52" s="147">
        <f t="shared" si="16"/>
        <v>1090308.48</v>
      </c>
      <c r="G52" s="87">
        <f t="shared" si="0"/>
        <v>0</v>
      </c>
      <c r="H52" s="33">
        <f t="shared" si="10"/>
        <v>0</v>
      </c>
      <c r="I52" s="34">
        <f t="shared" si="15"/>
        <v>324000</v>
      </c>
      <c r="J52" s="34">
        <f t="shared" si="12"/>
        <v>0</v>
      </c>
      <c r="K52" s="34">
        <f t="shared" si="5"/>
        <v>165940.54062019198</v>
      </c>
      <c r="L52" s="34">
        <f t="shared" si="6"/>
        <v>270270.27039999998</v>
      </c>
      <c r="M52" s="109">
        <v>85127</v>
      </c>
      <c r="N52" s="109">
        <f>(I52+K52)/2</f>
        <v>244970.27031009598</v>
      </c>
      <c r="O52" s="128"/>
      <c r="P52" s="270">
        <f t="shared" si="13"/>
        <v>1090308.48</v>
      </c>
      <c r="Q52" s="270"/>
      <c r="R52" s="24">
        <f t="shared" si="14"/>
        <v>0.48</v>
      </c>
      <c r="S52" s="1">
        <f t="shared" si="8"/>
        <v>48</v>
      </c>
      <c r="T52" s="23"/>
    </row>
    <row r="53" spans="1:20" ht="24.95" customHeight="1" x14ac:dyDescent="0.25">
      <c r="A53" s="29">
        <v>4</v>
      </c>
      <c r="B53" s="28">
        <v>49</v>
      </c>
      <c r="C53" s="28" t="s">
        <v>65</v>
      </c>
      <c r="D53" s="120">
        <v>4.4999999999999997E-3</v>
      </c>
      <c r="E53" s="148">
        <v>760211.49</v>
      </c>
      <c r="F53" s="147">
        <f t="shared" si="16"/>
        <v>760211.49</v>
      </c>
      <c r="G53" s="87">
        <f t="shared" si="0"/>
        <v>0</v>
      </c>
      <c r="H53" s="33">
        <f t="shared" si="10"/>
        <v>0</v>
      </c>
      <c r="I53" s="34">
        <f t="shared" si="15"/>
        <v>324000</v>
      </c>
      <c r="J53" s="34">
        <f t="shared" si="12"/>
        <v>0</v>
      </c>
      <c r="K53" s="34">
        <f t="shared" si="5"/>
        <v>165940.54062019198</v>
      </c>
      <c r="L53" s="34">
        <f t="shared" si="6"/>
        <v>270270.27039999998</v>
      </c>
      <c r="M53" s="109">
        <f t="shared" si="7"/>
        <v>0</v>
      </c>
      <c r="N53" s="109">
        <v>0</v>
      </c>
      <c r="O53" s="128"/>
      <c r="P53" s="270">
        <f t="shared" si="13"/>
        <v>760211.49</v>
      </c>
      <c r="Q53" s="270"/>
      <c r="R53" s="24">
        <f t="shared" si="14"/>
        <v>0.49</v>
      </c>
      <c r="S53" s="1">
        <f t="shared" si="8"/>
        <v>49</v>
      </c>
      <c r="T53" t="s">
        <v>211</v>
      </c>
    </row>
    <row r="54" spans="1:20" ht="24.95" customHeight="1" x14ac:dyDescent="0.25">
      <c r="A54" s="29">
        <v>4</v>
      </c>
      <c r="B54" s="28">
        <v>50</v>
      </c>
      <c r="C54" s="28" t="s">
        <v>66</v>
      </c>
      <c r="D54" s="120">
        <v>4.4999999999999997E-3</v>
      </c>
      <c r="E54" s="148">
        <v>760211.5</v>
      </c>
      <c r="F54" s="147">
        <f t="shared" si="16"/>
        <v>760211.5</v>
      </c>
      <c r="G54" s="87">
        <f t="shared" si="0"/>
        <v>0</v>
      </c>
      <c r="H54" s="33">
        <f t="shared" si="10"/>
        <v>0</v>
      </c>
      <c r="I54" s="34">
        <f t="shared" si="15"/>
        <v>324000</v>
      </c>
      <c r="J54" s="34">
        <f t="shared" si="12"/>
        <v>0</v>
      </c>
      <c r="K54" s="34">
        <f t="shared" si="5"/>
        <v>165940.54062019198</v>
      </c>
      <c r="L54" s="34">
        <f t="shared" si="6"/>
        <v>270270.27039999998</v>
      </c>
      <c r="M54" s="109">
        <f t="shared" si="7"/>
        <v>0</v>
      </c>
      <c r="N54" s="109">
        <v>0</v>
      </c>
      <c r="O54" s="128"/>
      <c r="P54" s="270">
        <f t="shared" si="13"/>
        <v>760211.5</v>
      </c>
      <c r="Q54" s="270"/>
      <c r="R54" s="24">
        <f t="shared" si="14"/>
        <v>0.5</v>
      </c>
      <c r="S54" s="1">
        <f t="shared" si="8"/>
        <v>50</v>
      </c>
      <c r="T54" t="s">
        <v>436</v>
      </c>
    </row>
    <row r="55" spans="1:20" ht="24.95" customHeight="1" x14ac:dyDescent="0.25">
      <c r="A55" s="28">
        <v>5</v>
      </c>
      <c r="B55" s="28">
        <v>51</v>
      </c>
      <c r="C55" s="28" t="s">
        <v>67</v>
      </c>
      <c r="D55" s="120">
        <v>4.4999999999999997E-3</v>
      </c>
      <c r="E55" s="148">
        <v>1223932.51</v>
      </c>
      <c r="F55" s="147"/>
      <c r="G55" s="87">
        <f t="shared" si="0"/>
        <v>1223932.51</v>
      </c>
      <c r="H55" s="33">
        <f t="shared" si="10"/>
        <v>37782.796583700001</v>
      </c>
      <c r="I55" s="34">
        <f t="shared" si="15"/>
        <v>324000</v>
      </c>
      <c r="J55" s="34">
        <f t="shared" si="12"/>
        <v>0</v>
      </c>
      <c r="K55" s="34">
        <f t="shared" si="5"/>
        <v>165940.54062019198</v>
      </c>
      <c r="L55" s="34">
        <f t="shared" si="6"/>
        <v>270270.27039999998</v>
      </c>
      <c r="M55" s="109">
        <v>56751</v>
      </c>
      <c r="N55" s="109">
        <f>(I55+K55)/2</f>
        <v>244970.27031009598</v>
      </c>
      <c r="O55" s="331">
        <f>I55/2</f>
        <v>162000</v>
      </c>
      <c r="P55" s="270">
        <f t="shared" si="13"/>
        <v>2485647.5099999998</v>
      </c>
      <c r="Q55" s="270"/>
      <c r="R55" s="24">
        <f t="shared" si="14"/>
        <v>0.51</v>
      </c>
      <c r="S55" s="1">
        <f t="shared" si="8"/>
        <v>51</v>
      </c>
      <c r="T55" t="s">
        <v>261</v>
      </c>
    </row>
    <row r="56" spans="1:20" ht="24.95" customHeight="1" x14ac:dyDescent="0.25">
      <c r="A56" s="29">
        <v>5</v>
      </c>
      <c r="B56" s="28">
        <v>52</v>
      </c>
      <c r="C56" s="28" t="s">
        <v>68</v>
      </c>
      <c r="D56" s="120">
        <v>4.5999999999999999E-3</v>
      </c>
      <c r="E56" s="148">
        <v>767411.52</v>
      </c>
      <c r="F56" s="147">
        <f t="shared" si="16"/>
        <v>767411.52</v>
      </c>
      <c r="G56" s="88">
        <f t="shared" si="0"/>
        <v>0</v>
      </c>
      <c r="H56" s="33">
        <f t="shared" si="10"/>
        <v>0</v>
      </c>
      <c r="I56" s="34">
        <f t="shared" si="15"/>
        <v>331200</v>
      </c>
      <c r="J56" s="34">
        <f t="shared" si="12"/>
        <v>0</v>
      </c>
      <c r="K56" s="34">
        <f t="shared" si="5"/>
        <v>165940.54062019198</v>
      </c>
      <c r="L56" s="34">
        <f t="shared" si="6"/>
        <v>270270.27039999998</v>
      </c>
      <c r="M56" s="109">
        <f t="shared" si="7"/>
        <v>0</v>
      </c>
      <c r="N56" s="109">
        <v>0</v>
      </c>
      <c r="O56" s="128"/>
      <c r="P56" s="270">
        <f t="shared" si="13"/>
        <v>767411.52</v>
      </c>
      <c r="Q56" s="270"/>
      <c r="R56" s="24">
        <f t="shared" si="14"/>
        <v>0.52</v>
      </c>
      <c r="S56" s="1">
        <f t="shared" si="8"/>
        <v>52</v>
      </c>
      <c r="T56" t="s">
        <v>246</v>
      </c>
    </row>
    <row r="57" spans="1:20" ht="24.95" customHeight="1" x14ac:dyDescent="0.25">
      <c r="A57" s="29">
        <v>6</v>
      </c>
      <c r="B57" s="28">
        <v>53</v>
      </c>
      <c r="C57" s="28" t="s">
        <v>69</v>
      </c>
      <c r="D57" s="120">
        <v>4.4999999999999997E-3</v>
      </c>
      <c r="E57" s="148">
        <v>1474236.53</v>
      </c>
      <c r="F57" s="147"/>
      <c r="G57" s="87">
        <f t="shared" si="0"/>
        <v>1474236.53</v>
      </c>
      <c r="H57" s="33">
        <f t="shared" si="10"/>
        <v>45509.681681100003</v>
      </c>
      <c r="I57" s="34">
        <f t="shared" si="15"/>
        <v>324000</v>
      </c>
      <c r="J57" s="34">
        <f t="shared" si="12"/>
        <v>0</v>
      </c>
      <c r="K57" s="34">
        <f t="shared" si="5"/>
        <v>165940.54062019198</v>
      </c>
      <c r="L57" s="34">
        <f t="shared" si="6"/>
        <v>270270.27039999998</v>
      </c>
      <c r="M57" s="109">
        <f t="shared" si="7"/>
        <v>0</v>
      </c>
      <c r="N57" s="109">
        <v>0</v>
      </c>
      <c r="O57" s="128"/>
      <c r="P57" s="270">
        <f t="shared" si="13"/>
        <v>2279957.5299999998</v>
      </c>
      <c r="Q57" s="270"/>
      <c r="R57" s="24">
        <f t="shared" si="14"/>
        <v>0.53</v>
      </c>
      <c r="S57" s="1">
        <f t="shared" si="8"/>
        <v>53</v>
      </c>
    </row>
    <row r="58" spans="1:20" ht="24.95" customHeight="1" x14ac:dyDescent="0.25">
      <c r="A58" s="29">
        <v>6</v>
      </c>
      <c r="B58" s="28">
        <v>54</v>
      </c>
      <c r="C58" s="28" t="s">
        <v>70</v>
      </c>
      <c r="D58" s="120">
        <v>4.4999999999999997E-3</v>
      </c>
      <c r="E58" s="148">
        <v>1474237.54</v>
      </c>
      <c r="F58" s="147">
        <f>E58</f>
        <v>1474237.54</v>
      </c>
      <c r="G58" s="87">
        <f t="shared" si="0"/>
        <v>0</v>
      </c>
      <c r="H58" s="33">
        <f t="shared" si="10"/>
        <v>0</v>
      </c>
      <c r="I58" s="34">
        <f t="shared" si="15"/>
        <v>324000</v>
      </c>
      <c r="J58" s="34">
        <f t="shared" si="12"/>
        <v>0</v>
      </c>
      <c r="K58" s="34">
        <f t="shared" si="5"/>
        <v>165940.54062019198</v>
      </c>
      <c r="L58" s="34">
        <f t="shared" si="6"/>
        <v>270270.27039999998</v>
      </c>
      <c r="M58" s="109">
        <f t="shared" si="7"/>
        <v>0</v>
      </c>
      <c r="N58" s="109">
        <v>0</v>
      </c>
      <c r="O58" s="128"/>
      <c r="P58" s="270">
        <f t="shared" si="13"/>
        <v>760211.54</v>
      </c>
      <c r="Q58" s="270"/>
      <c r="R58" s="24">
        <f t="shared" si="14"/>
        <v>0.54</v>
      </c>
      <c r="S58" s="1">
        <f t="shared" si="8"/>
        <v>54</v>
      </c>
      <c r="T58" t="s">
        <v>209</v>
      </c>
    </row>
    <row r="59" spans="1:20" ht="24.95" customHeight="1" x14ac:dyDescent="0.25">
      <c r="A59" s="29">
        <v>7</v>
      </c>
      <c r="B59" s="28">
        <v>55</v>
      </c>
      <c r="C59" s="28" t="s">
        <v>71</v>
      </c>
      <c r="D59" s="120">
        <v>4.4999999999999997E-3</v>
      </c>
      <c r="E59" s="148">
        <v>760211.55</v>
      </c>
      <c r="F59" s="147">
        <v>760211.55</v>
      </c>
      <c r="G59" s="87">
        <f t="shared" si="0"/>
        <v>0</v>
      </c>
      <c r="H59" s="33">
        <f t="shared" si="10"/>
        <v>0</v>
      </c>
      <c r="I59" s="34">
        <f t="shared" si="15"/>
        <v>324000</v>
      </c>
      <c r="J59" s="34">
        <f t="shared" si="12"/>
        <v>0</v>
      </c>
      <c r="K59" s="34">
        <f t="shared" si="5"/>
        <v>165940.54062019198</v>
      </c>
      <c r="L59" s="34">
        <f t="shared" si="6"/>
        <v>270270.27039999998</v>
      </c>
      <c r="M59" s="109">
        <f t="shared" si="7"/>
        <v>0</v>
      </c>
      <c r="N59" s="109">
        <v>0</v>
      </c>
      <c r="O59" s="128"/>
      <c r="P59" s="270">
        <f t="shared" si="13"/>
        <v>760211.55</v>
      </c>
      <c r="Q59" s="270"/>
      <c r="R59" s="24">
        <f t="shared" si="14"/>
        <v>0.55000000000000004</v>
      </c>
      <c r="S59" s="1">
        <f t="shared" si="8"/>
        <v>55</v>
      </c>
      <c r="T59" t="s">
        <v>276</v>
      </c>
    </row>
    <row r="60" spans="1:20" ht="24.95" customHeight="1" x14ac:dyDescent="0.25">
      <c r="A60" s="29">
        <v>7</v>
      </c>
      <c r="B60" s="28">
        <v>56</v>
      </c>
      <c r="C60" s="28" t="s">
        <v>72</v>
      </c>
      <c r="D60" s="120">
        <v>4.4999999999999997E-3</v>
      </c>
      <c r="E60" s="148">
        <v>1094332.56</v>
      </c>
      <c r="F60" s="147">
        <f>E60</f>
        <v>1094332.56</v>
      </c>
      <c r="G60" s="87">
        <f t="shared" si="0"/>
        <v>0</v>
      </c>
      <c r="H60" s="33">
        <f t="shared" si="10"/>
        <v>0</v>
      </c>
      <c r="I60" s="34">
        <f t="shared" si="15"/>
        <v>324000</v>
      </c>
      <c r="J60" s="34">
        <f t="shared" si="12"/>
        <v>0</v>
      </c>
      <c r="K60" s="34">
        <f t="shared" si="5"/>
        <v>165940.54062019198</v>
      </c>
      <c r="L60" s="34">
        <f t="shared" si="6"/>
        <v>270270.27039999998</v>
      </c>
      <c r="M60" s="109">
        <v>56751</v>
      </c>
      <c r="N60" s="109">
        <f>(I60+K60)/2</f>
        <v>244970.27031009598</v>
      </c>
      <c r="O60" s="128"/>
      <c r="P60" s="270">
        <f t="shared" si="13"/>
        <v>1061932.56</v>
      </c>
      <c r="Q60" s="270"/>
      <c r="R60" s="24">
        <f t="shared" si="14"/>
        <v>0.56000000000000005</v>
      </c>
      <c r="S60" s="1">
        <f t="shared" si="8"/>
        <v>56</v>
      </c>
      <c r="T60" t="s">
        <v>199</v>
      </c>
    </row>
    <row r="61" spans="1:20" ht="24.95" customHeight="1" x14ac:dyDescent="0.25">
      <c r="A61" s="29">
        <v>8</v>
      </c>
      <c r="B61" s="28">
        <v>57</v>
      </c>
      <c r="C61" s="28" t="s">
        <v>73</v>
      </c>
      <c r="D61" s="120">
        <v>4.4999999999999997E-3</v>
      </c>
      <c r="E61" s="148">
        <v>760211.57</v>
      </c>
      <c r="F61" s="147">
        <f>E61</f>
        <v>760211.57</v>
      </c>
      <c r="G61" s="87">
        <f t="shared" si="0"/>
        <v>0</v>
      </c>
      <c r="H61" s="33">
        <f t="shared" si="10"/>
        <v>0</v>
      </c>
      <c r="I61" s="34">
        <f t="shared" si="15"/>
        <v>324000</v>
      </c>
      <c r="J61" s="34">
        <f t="shared" si="12"/>
        <v>0</v>
      </c>
      <c r="K61" s="34">
        <f t="shared" si="5"/>
        <v>165940.54062019198</v>
      </c>
      <c r="L61" s="34">
        <f t="shared" si="6"/>
        <v>270270.27039999998</v>
      </c>
      <c r="M61" s="109">
        <f t="shared" si="7"/>
        <v>0</v>
      </c>
      <c r="N61" s="109">
        <v>0</v>
      </c>
      <c r="O61" s="128"/>
      <c r="P61" s="270">
        <f t="shared" si="13"/>
        <v>760211.57</v>
      </c>
      <c r="Q61" s="270"/>
      <c r="R61" s="24">
        <f t="shared" si="14"/>
        <v>0.56999999999999995</v>
      </c>
      <c r="S61" s="1">
        <f t="shared" si="8"/>
        <v>57</v>
      </c>
    </row>
    <row r="62" spans="1:20" ht="24.95" customHeight="1" x14ac:dyDescent="0.25">
      <c r="A62" s="134">
        <v>8</v>
      </c>
      <c r="B62" s="28">
        <v>58</v>
      </c>
      <c r="C62" s="28" t="s">
        <v>43</v>
      </c>
      <c r="D62" s="120">
        <v>4.4999999999999997E-3</v>
      </c>
      <c r="E62" s="148">
        <v>915411.58</v>
      </c>
      <c r="F62" s="147">
        <f>660211.58+100000.58+155200</f>
        <v>915412.15999999992</v>
      </c>
      <c r="G62" s="87">
        <f t="shared" si="0"/>
        <v>-0.57999999995809048</v>
      </c>
      <c r="H62" s="33">
        <f t="shared" si="10"/>
        <v>0</v>
      </c>
      <c r="I62" s="34">
        <f t="shared" si="15"/>
        <v>324000</v>
      </c>
      <c r="J62" s="34">
        <f t="shared" si="12"/>
        <v>0</v>
      </c>
      <c r="K62" s="34">
        <f t="shared" si="5"/>
        <v>165940.54062019198</v>
      </c>
      <c r="L62" s="34">
        <f t="shared" si="6"/>
        <v>270270.27039999998</v>
      </c>
      <c r="M62" s="109">
        <f t="shared" si="7"/>
        <v>0</v>
      </c>
      <c r="N62" s="109">
        <v>0</v>
      </c>
      <c r="O62" s="128"/>
      <c r="P62" s="270">
        <f t="shared" si="13"/>
        <v>760210.58</v>
      </c>
      <c r="Q62" s="270"/>
      <c r="R62" s="24">
        <f t="shared" si="14"/>
        <v>0.57999999999999996</v>
      </c>
      <c r="S62" s="1">
        <f t="shared" si="8"/>
        <v>58</v>
      </c>
    </row>
    <row r="63" spans="1:20" ht="24.95" customHeight="1" x14ac:dyDescent="0.25">
      <c r="A63" s="218">
        <v>9</v>
      </c>
      <c r="B63" s="28">
        <v>59</v>
      </c>
      <c r="C63" s="28" t="s">
        <v>74</v>
      </c>
      <c r="D63" s="120">
        <v>4.1000000000000003E-3</v>
      </c>
      <c r="E63" s="148">
        <v>729884.59</v>
      </c>
      <c r="F63" s="147">
        <v>730000</v>
      </c>
      <c r="G63" s="87">
        <f t="shared" si="0"/>
        <v>-115.4100000000326</v>
      </c>
      <c r="H63" s="33">
        <f t="shared" si="10"/>
        <v>0</v>
      </c>
      <c r="I63" s="34">
        <f t="shared" si="15"/>
        <v>295200</v>
      </c>
      <c r="J63" s="34">
        <f t="shared" si="12"/>
        <v>0</v>
      </c>
      <c r="K63" s="34">
        <f t="shared" si="5"/>
        <v>165940.54062019198</v>
      </c>
      <c r="L63" s="34">
        <f t="shared" si="6"/>
        <v>270270.27039999998</v>
      </c>
      <c r="M63" s="109">
        <f t="shared" si="7"/>
        <v>0</v>
      </c>
      <c r="N63" s="109">
        <v>0</v>
      </c>
      <c r="O63" s="128"/>
      <c r="P63" s="270">
        <f t="shared" si="13"/>
        <v>731295.59</v>
      </c>
      <c r="Q63" s="270"/>
      <c r="R63" s="24">
        <f t="shared" si="14"/>
        <v>0.59</v>
      </c>
      <c r="S63" s="1">
        <f t="shared" si="8"/>
        <v>59</v>
      </c>
      <c r="T63" t="s">
        <v>277</v>
      </c>
    </row>
    <row r="64" spans="1:20" ht="24.95" customHeight="1" x14ac:dyDescent="0.25">
      <c r="A64" s="28">
        <v>9</v>
      </c>
      <c r="B64" s="28">
        <v>60</v>
      </c>
      <c r="C64" s="28" t="s">
        <v>75</v>
      </c>
      <c r="D64" s="120">
        <v>4.4999999999999997E-3</v>
      </c>
      <c r="E64" s="148">
        <v>758535.6</v>
      </c>
      <c r="F64" s="147">
        <v>760000</v>
      </c>
      <c r="G64" s="87">
        <f>E64-F64</f>
        <v>-1464.4000000000233</v>
      </c>
      <c r="H64" s="33">
        <f t="shared" si="10"/>
        <v>0</v>
      </c>
      <c r="I64" s="34">
        <f t="shared" si="15"/>
        <v>324000</v>
      </c>
      <c r="J64" s="34">
        <f t="shared" si="12"/>
        <v>0</v>
      </c>
      <c r="K64" s="34">
        <f t="shared" si="5"/>
        <v>165940.54062019198</v>
      </c>
      <c r="L64" s="34">
        <f t="shared" si="6"/>
        <v>270270.27039999998</v>
      </c>
      <c r="M64" s="109">
        <f t="shared" si="7"/>
        <v>0</v>
      </c>
      <c r="N64" s="109">
        <v>0</v>
      </c>
      <c r="O64" s="128"/>
      <c r="P64" s="270">
        <f t="shared" si="13"/>
        <v>758746.6</v>
      </c>
      <c r="Q64" s="270"/>
      <c r="R64" s="24">
        <f t="shared" si="14"/>
        <v>0.6</v>
      </c>
      <c r="S64" s="1">
        <f t="shared" si="8"/>
        <v>60</v>
      </c>
      <c r="T64" t="s">
        <v>218</v>
      </c>
    </row>
    <row r="65" spans="1:20" ht="24.95" customHeight="1" x14ac:dyDescent="0.25">
      <c r="A65" s="188">
        <v>10</v>
      </c>
      <c r="B65" s="28">
        <v>61</v>
      </c>
      <c r="C65" s="28" t="s">
        <v>76</v>
      </c>
      <c r="D65" s="120">
        <v>4.4999999999999997E-3</v>
      </c>
      <c r="E65" s="148">
        <v>760184.61</v>
      </c>
      <c r="F65" s="147">
        <f>210200+550000</f>
        <v>760200</v>
      </c>
      <c r="G65" s="87">
        <f t="shared" si="0"/>
        <v>-15.39000000001397</v>
      </c>
      <c r="H65" s="33">
        <f t="shared" si="10"/>
        <v>0</v>
      </c>
      <c r="I65" s="34">
        <f t="shared" si="15"/>
        <v>324000</v>
      </c>
      <c r="J65" s="34">
        <f t="shared" si="12"/>
        <v>0</v>
      </c>
      <c r="K65" s="34">
        <f t="shared" si="5"/>
        <v>165940.54062019198</v>
      </c>
      <c r="L65" s="34">
        <f t="shared" si="6"/>
        <v>270270.27039999998</v>
      </c>
      <c r="M65" s="109">
        <f t="shared" si="7"/>
        <v>0</v>
      </c>
      <c r="N65" s="109">
        <v>0</v>
      </c>
      <c r="O65" s="128"/>
      <c r="P65" s="270">
        <f t="shared" si="13"/>
        <v>760195.61</v>
      </c>
      <c r="Q65" s="270"/>
      <c r="R65" s="24">
        <f t="shared" si="14"/>
        <v>0.61</v>
      </c>
      <c r="S65" s="1">
        <f t="shared" si="8"/>
        <v>61</v>
      </c>
      <c r="T65" s="91" t="s">
        <v>217</v>
      </c>
    </row>
    <row r="66" spans="1:20" ht="24.95" customHeight="1" x14ac:dyDescent="0.25">
      <c r="A66" s="29">
        <v>10</v>
      </c>
      <c r="B66" s="28">
        <v>62</v>
      </c>
      <c r="C66" s="28" t="s">
        <v>77</v>
      </c>
      <c r="D66" s="120">
        <v>4.1000000000000003E-3</v>
      </c>
      <c r="E66" s="148">
        <v>1013688.62</v>
      </c>
      <c r="F66" s="147">
        <f t="shared" ref="F66:F73" si="17">E66</f>
        <v>1013688.62</v>
      </c>
      <c r="G66" s="87">
        <f t="shared" si="0"/>
        <v>0</v>
      </c>
      <c r="H66" s="33">
        <f t="shared" si="10"/>
        <v>0</v>
      </c>
      <c r="I66" s="34">
        <f t="shared" si="15"/>
        <v>295200</v>
      </c>
      <c r="J66" s="34">
        <f t="shared" si="12"/>
        <v>0</v>
      </c>
      <c r="K66" s="34">
        <f t="shared" si="5"/>
        <v>165940.54062019198</v>
      </c>
      <c r="L66" s="34">
        <f t="shared" si="6"/>
        <v>270270.27039999998</v>
      </c>
      <c r="M66" s="109">
        <v>51707</v>
      </c>
      <c r="N66" s="109">
        <f>(I66+K66)/2</f>
        <v>230570.27031009598</v>
      </c>
      <c r="O66" s="331">
        <f>I66/2</f>
        <v>147600</v>
      </c>
      <c r="P66" s="270">
        <f t="shared" si="13"/>
        <v>1161288.6200000001</v>
      </c>
      <c r="Q66" s="270"/>
      <c r="R66" s="24">
        <f t="shared" si="14"/>
        <v>0.62</v>
      </c>
      <c r="S66" s="1">
        <f t="shared" si="8"/>
        <v>62</v>
      </c>
    </row>
    <row r="67" spans="1:20" ht="24.95" customHeight="1" x14ac:dyDescent="0.25">
      <c r="A67" s="29">
        <v>11</v>
      </c>
      <c r="B67" s="28">
        <v>63</v>
      </c>
      <c r="C67" s="28" t="s">
        <v>78</v>
      </c>
      <c r="D67" s="120">
        <v>4.4999999999999997E-3</v>
      </c>
      <c r="E67" s="148">
        <v>760211.63</v>
      </c>
      <c r="F67" s="147">
        <f t="shared" si="17"/>
        <v>760211.63</v>
      </c>
      <c r="G67" s="87">
        <f>E67-F67</f>
        <v>0</v>
      </c>
      <c r="H67" s="33">
        <f t="shared" si="10"/>
        <v>0</v>
      </c>
      <c r="I67" s="34">
        <f t="shared" si="15"/>
        <v>324000</v>
      </c>
      <c r="J67" s="34">
        <f t="shared" si="12"/>
        <v>0</v>
      </c>
      <c r="K67" s="34">
        <f t="shared" si="5"/>
        <v>165940.54062019198</v>
      </c>
      <c r="L67" s="34">
        <f t="shared" si="6"/>
        <v>270270.27039999998</v>
      </c>
      <c r="M67" s="109">
        <f t="shared" si="7"/>
        <v>0</v>
      </c>
      <c r="N67" s="109">
        <v>0</v>
      </c>
      <c r="O67" s="128"/>
      <c r="P67" s="270">
        <f t="shared" si="13"/>
        <v>760211.63</v>
      </c>
      <c r="Q67" s="270"/>
      <c r="R67" s="24">
        <f t="shared" si="14"/>
        <v>0.63</v>
      </c>
      <c r="S67" s="1">
        <f t="shared" si="8"/>
        <v>63</v>
      </c>
      <c r="T67" t="s">
        <v>202</v>
      </c>
    </row>
    <row r="68" spans="1:20" ht="24.95" customHeight="1" x14ac:dyDescent="0.25">
      <c r="A68" s="29">
        <v>11</v>
      </c>
      <c r="B68" s="28">
        <v>64</v>
      </c>
      <c r="C68" s="28" t="s">
        <v>79</v>
      </c>
      <c r="D68" s="120">
        <v>4.4999999999999997E-3</v>
      </c>
      <c r="E68" s="148">
        <v>760211.64</v>
      </c>
      <c r="F68" s="147"/>
      <c r="G68" s="87">
        <f t="shared" si="0"/>
        <v>760211.64</v>
      </c>
      <c r="H68" s="33">
        <f t="shared" si="10"/>
        <v>23467.7333268</v>
      </c>
      <c r="I68" s="34">
        <f t="shared" si="15"/>
        <v>324000</v>
      </c>
      <c r="J68" s="34">
        <f t="shared" si="12"/>
        <v>0</v>
      </c>
      <c r="K68" s="34">
        <f t="shared" si="5"/>
        <v>165940.54062019198</v>
      </c>
      <c r="L68" s="34">
        <f t="shared" si="6"/>
        <v>270270.27039999998</v>
      </c>
      <c r="M68" s="109">
        <f t="shared" si="7"/>
        <v>0</v>
      </c>
      <c r="N68" s="109">
        <v>0</v>
      </c>
      <c r="O68" s="128"/>
      <c r="P68" s="270">
        <f t="shared" si="13"/>
        <v>1543890.64</v>
      </c>
      <c r="Q68" s="270"/>
      <c r="R68" s="24">
        <f t="shared" si="14"/>
        <v>0.64</v>
      </c>
      <c r="S68" s="1">
        <f t="shared" si="8"/>
        <v>64</v>
      </c>
      <c r="T68" t="s">
        <v>232</v>
      </c>
    </row>
    <row r="69" spans="1:20" ht="24.95" customHeight="1" x14ac:dyDescent="0.25">
      <c r="A69" s="29">
        <v>12</v>
      </c>
      <c r="B69" s="28">
        <v>65</v>
      </c>
      <c r="C69" s="28" t="s">
        <v>80</v>
      </c>
      <c r="D69" s="120">
        <v>4.4999999999999997E-3</v>
      </c>
      <c r="E69" s="148">
        <v>760211.65</v>
      </c>
      <c r="F69" s="147">
        <f t="shared" si="17"/>
        <v>760211.65</v>
      </c>
      <c r="G69" s="87">
        <f t="shared" ref="G69:G157" si="18">E69-F69</f>
        <v>0</v>
      </c>
      <c r="H69" s="33">
        <f t="shared" si="10"/>
        <v>0</v>
      </c>
      <c r="I69" s="34">
        <f t="shared" si="15"/>
        <v>324000</v>
      </c>
      <c r="J69" s="34">
        <f t="shared" ref="J69:J100" si="19">P$2*D69</f>
        <v>0</v>
      </c>
      <c r="K69" s="34">
        <f t="shared" si="5"/>
        <v>165940.54062019198</v>
      </c>
      <c r="L69" s="34">
        <f t="shared" si="6"/>
        <v>270270.27039999998</v>
      </c>
      <c r="M69" s="109">
        <f t="shared" si="7"/>
        <v>0</v>
      </c>
      <c r="N69" s="109">
        <v>0</v>
      </c>
      <c r="O69" s="128"/>
      <c r="P69" s="270">
        <f t="shared" ref="P69:P100" si="20">ROUND(SUM(G69:O69),0) + R69</f>
        <v>760211.65</v>
      </c>
      <c r="Q69" s="270"/>
      <c r="R69" s="24">
        <f t="shared" ref="R69:R100" si="21">ROUND(0.001+B69/100,2)</f>
        <v>0.65</v>
      </c>
      <c r="S69" s="1">
        <f t="shared" si="8"/>
        <v>65</v>
      </c>
    </row>
    <row r="70" spans="1:20" ht="24.95" customHeight="1" x14ac:dyDescent="0.25">
      <c r="A70" s="29">
        <v>12</v>
      </c>
      <c r="B70" s="28">
        <v>66</v>
      </c>
      <c r="C70" s="28" t="s">
        <v>81</v>
      </c>
      <c r="D70" s="120">
        <v>4.4999999999999997E-3</v>
      </c>
      <c r="E70" s="148">
        <v>760211.66</v>
      </c>
      <c r="F70" s="147">
        <f t="shared" si="17"/>
        <v>760211.66</v>
      </c>
      <c r="G70" s="87">
        <f t="shared" si="18"/>
        <v>0</v>
      </c>
      <c r="H70" s="33">
        <f t="shared" si="10"/>
        <v>0</v>
      </c>
      <c r="I70" s="34">
        <f t="shared" si="15"/>
        <v>324000</v>
      </c>
      <c r="J70" s="34">
        <f t="shared" si="19"/>
        <v>0</v>
      </c>
      <c r="K70" s="34">
        <f t="shared" ref="K70:K133" si="22">G$2*0.675675676%</f>
        <v>165940.54062019198</v>
      </c>
      <c r="L70" s="34">
        <f t="shared" ref="L70:L133" si="23">P$1*0.675675676%</f>
        <v>270270.27039999998</v>
      </c>
      <c r="M70" s="109">
        <f t="shared" ref="M70:M133" si="24">G$1*D70</f>
        <v>0</v>
      </c>
      <c r="N70" s="109">
        <v>0</v>
      </c>
      <c r="O70" s="128"/>
      <c r="P70" s="270">
        <f t="shared" si="20"/>
        <v>760211.66</v>
      </c>
      <c r="Q70" s="270"/>
      <c r="R70" s="24">
        <f t="shared" si="21"/>
        <v>0.66</v>
      </c>
      <c r="S70" s="1">
        <f t="shared" ref="S70:S133" si="25">B70</f>
        <v>66</v>
      </c>
      <c r="T70" t="s">
        <v>263</v>
      </c>
    </row>
    <row r="71" spans="1:20" ht="24.95" customHeight="1" x14ac:dyDescent="0.25">
      <c r="A71" s="29">
        <v>1</v>
      </c>
      <c r="B71" s="28">
        <v>67</v>
      </c>
      <c r="C71" s="28" t="s">
        <v>82</v>
      </c>
      <c r="D71" s="120">
        <v>4.4999999999999997E-3</v>
      </c>
      <c r="E71" s="148">
        <v>760211.67</v>
      </c>
      <c r="F71" s="147"/>
      <c r="G71" s="87">
        <f t="shared" si="18"/>
        <v>760211.67</v>
      </c>
      <c r="H71" s="33">
        <f t="shared" ref="H71:H134" si="26">IF(G71&gt;0,G71*3.087%,0)</f>
        <v>23467.734252900002</v>
      </c>
      <c r="I71" s="34">
        <f t="shared" si="15"/>
        <v>324000</v>
      </c>
      <c r="J71" s="34">
        <f t="shared" si="19"/>
        <v>0</v>
      </c>
      <c r="K71" s="34">
        <f t="shared" si="22"/>
        <v>165940.54062019198</v>
      </c>
      <c r="L71" s="34">
        <f t="shared" si="23"/>
        <v>270270.27039999998</v>
      </c>
      <c r="M71" s="109">
        <f t="shared" si="24"/>
        <v>0</v>
      </c>
      <c r="N71" s="109">
        <v>0</v>
      </c>
      <c r="O71" s="331">
        <f>I71/2</f>
        <v>162000</v>
      </c>
      <c r="P71" s="270">
        <f t="shared" si="20"/>
        <v>1705890.67</v>
      </c>
      <c r="Q71" s="270"/>
      <c r="R71" s="24">
        <f t="shared" si="21"/>
        <v>0.67</v>
      </c>
      <c r="S71" s="1">
        <f t="shared" si="25"/>
        <v>67</v>
      </c>
      <c r="T71" t="s">
        <v>280</v>
      </c>
    </row>
    <row r="72" spans="1:20" ht="24.95" customHeight="1" x14ac:dyDescent="0.25">
      <c r="A72" s="29"/>
      <c r="B72" s="28">
        <f>B71+1</f>
        <v>68</v>
      </c>
      <c r="C72" s="28" t="s">
        <v>86</v>
      </c>
      <c r="D72" s="120">
        <v>4.4999999999999997E-3</v>
      </c>
      <c r="E72" s="148">
        <v>1061932.68</v>
      </c>
      <c r="F72" s="147">
        <v>1062000</v>
      </c>
      <c r="G72" s="87">
        <f t="shared" si="18"/>
        <v>-67.320000000065193</v>
      </c>
      <c r="H72" s="33">
        <f t="shared" si="26"/>
        <v>0</v>
      </c>
      <c r="I72" s="34">
        <f t="shared" si="15"/>
        <v>324000</v>
      </c>
      <c r="J72" s="34">
        <f t="shared" si="19"/>
        <v>0</v>
      </c>
      <c r="K72" s="34">
        <f t="shared" si="22"/>
        <v>165940.54062019198</v>
      </c>
      <c r="L72" s="34">
        <f t="shared" si="23"/>
        <v>270270.27039999998</v>
      </c>
      <c r="M72" s="109">
        <v>56751</v>
      </c>
      <c r="N72" s="109">
        <f>(I72+K72)/2</f>
        <v>244970.27031009598</v>
      </c>
      <c r="O72" s="128"/>
      <c r="P72" s="270">
        <f t="shared" si="20"/>
        <v>1061865.68</v>
      </c>
      <c r="Q72" s="270"/>
      <c r="R72" s="24">
        <f t="shared" si="21"/>
        <v>0.68</v>
      </c>
      <c r="S72" s="1">
        <f t="shared" si="25"/>
        <v>68</v>
      </c>
    </row>
    <row r="73" spans="1:20" ht="24.95" customHeight="1" x14ac:dyDescent="0.25">
      <c r="A73" s="29"/>
      <c r="B73" s="28">
        <f t="shared" ref="B73:B136" si="27">B72+1</f>
        <v>69</v>
      </c>
      <c r="C73" s="28" t="s">
        <v>87</v>
      </c>
      <c r="D73" s="120">
        <v>3.5999999999999999E-3</v>
      </c>
      <c r="E73" s="148">
        <v>695411.69</v>
      </c>
      <c r="F73" s="147">
        <f t="shared" si="17"/>
        <v>695411.69</v>
      </c>
      <c r="G73" s="87">
        <f t="shared" si="18"/>
        <v>0</v>
      </c>
      <c r="H73" s="33">
        <f t="shared" si="26"/>
        <v>0</v>
      </c>
      <c r="I73" s="34">
        <f t="shared" si="15"/>
        <v>259200</v>
      </c>
      <c r="J73" s="34">
        <f t="shared" si="19"/>
        <v>0</v>
      </c>
      <c r="K73" s="34">
        <f t="shared" si="22"/>
        <v>165940.54062019198</v>
      </c>
      <c r="L73" s="34">
        <f t="shared" si="23"/>
        <v>270270.27039999998</v>
      </c>
      <c r="M73" s="109">
        <f t="shared" si="24"/>
        <v>0</v>
      </c>
      <c r="N73" s="109">
        <v>0</v>
      </c>
      <c r="O73" s="128"/>
      <c r="P73" s="270">
        <f t="shared" si="20"/>
        <v>695411.69</v>
      </c>
      <c r="Q73" s="270"/>
      <c r="R73" s="24">
        <f t="shared" si="21"/>
        <v>0.69</v>
      </c>
      <c r="S73" s="1">
        <f t="shared" si="25"/>
        <v>69</v>
      </c>
      <c r="T73" t="s">
        <v>215</v>
      </c>
    </row>
    <row r="74" spans="1:20" ht="24.95" customHeight="1" x14ac:dyDescent="0.25">
      <c r="A74" s="29"/>
      <c r="B74" s="28">
        <f t="shared" si="27"/>
        <v>70</v>
      </c>
      <c r="C74" s="28" t="s">
        <v>88</v>
      </c>
      <c r="D74" s="120">
        <v>4.4000000000000003E-3</v>
      </c>
      <c r="E74" s="148">
        <v>884029.7</v>
      </c>
      <c r="F74" s="147">
        <v>884029</v>
      </c>
      <c r="G74" s="87">
        <f t="shared" si="18"/>
        <v>0.69999999995343387</v>
      </c>
      <c r="H74" s="33">
        <f t="shared" si="26"/>
        <v>2.1608999998562504E-2</v>
      </c>
      <c r="I74" s="34">
        <f t="shared" si="15"/>
        <v>316800</v>
      </c>
      <c r="J74" s="34">
        <f t="shared" si="19"/>
        <v>0</v>
      </c>
      <c r="K74" s="34">
        <f t="shared" si="22"/>
        <v>165940.54062019198</v>
      </c>
      <c r="L74" s="34">
        <f t="shared" si="23"/>
        <v>270270.27039999998</v>
      </c>
      <c r="M74" s="109">
        <f t="shared" si="24"/>
        <v>0</v>
      </c>
      <c r="N74" s="109">
        <v>0</v>
      </c>
      <c r="O74" s="128"/>
      <c r="P74" s="270">
        <f t="shared" si="20"/>
        <v>753012.7</v>
      </c>
      <c r="Q74" s="270"/>
      <c r="R74" s="24">
        <f t="shared" si="21"/>
        <v>0.7</v>
      </c>
      <c r="S74" s="1">
        <f t="shared" si="25"/>
        <v>70</v>
      </c>
      <c r="T74" t="s">
        <v>266</v>
      </c>
    </row>
    <row r="75" spans="1:20" ht="24.95" customHeight="1" x14ac:dyDescent="0.25">
      <c r="A75" s="28"/>
      <c r="B75" s="28">
        <f t="shared" si="27"/>
        <v>71</v>
      </c>
      <c r="C75" s="28" t="s">
        <v>89</v>
      </c>
      <c r="D75" s="120">
        <v>4.0000000000000001E-3</v>
      </c>
      <c r="E75" s="148">
        <v>1400847.71</v>
      </c>
      <c r="F75" s="147"/>
      <c r="G75" s="87">
        <f t="shared" si="18"/>
        <v>1400847.71</v>
      </c>
      <c r="H75" s="33">
        <f t="shared" si="26"/>
        <v>43244.1688077</v>
      </c>
      <c r="I75" s="34">
        <f t="shared" si="15"/>
        <v>288000</v>
      </c>
      <c r="J75" s="34">
        <f t="shared" si="19"/>
        <v>0</v>
      </c>
      <c r="K75" s="34">
        <f t="shared" si="22"/>
        <v>165940.54062019198</v>
      </c>
      <c r="L75" s="34">
        <f t="shared" si="23"/>
        <v>270270.27039999998</v>
      </c>
      <c r="M75" s="109">
        <f t="shared" si="24"/>
        <v>0</v>
      </c>
      <c r="N75" s="109">
        <v>0</v>
      </c>
      <c r="O75" s="128"/>
      <c r="P75" s="270">
        <f t="shared" si="20"/>
        <v>2168303.71</v>
      </c>
      <c r="Q75" s="270"/>
      <c r="R75" s="24">
        <f t="shared" si="21"/>
        <v>0.71</v>
      </c>
      <c r="S75" s="1">
        <f t="shared" si="25"/>
        <v>71</v>
      </c>
      <c r="T75" t="s">
        <v>231</v>
      </c>
    </row>
    <row r="76" spans="1:20" ht="24.95" customHeight="1" x14ac:dyDescent="0.25">
      <c r="A76" s="189"/>
      <c r="B76" s="28">
        <f t="shared" si="27"/>
        <v>72</v>
      </c>
      <c r="C76" s="28" t="s">
        <v>90</v>
      </c>
      <c r="D76" s="120">
        <v>4.0000000000000001E-3</v>
      </c>
      <c r="E76" s="148">
        <v>715091.72</v>
      </c>
      <c r="F76" s="147">
        <v>720000</v>
      </c>
      <c r="G76" s="87">
        <f t="shared" si="18"/>
        <v>-4908.2800000000279</v>
      </c>
      <c r="H76" s="33">
        <f t="shared" si="26"/>
        <v>0</v>
      </c>
      <c r="I76" s="34">
        <f t="shared" si="15"/>
        <v>288000</v>
      </c>
      <c r="J76" s="34">
        <f t="shared" si="19"/>
        <v>0</v>
      </c>
      <c r="K76" s="34">
        <f t="shared" si="22"/>
        <v>165940.54062019198</v>
      </c>
      <c r="L76" s="34">
        <f t="shared" si="23"/>
        <v>270270.27039999998</v>
      </c>
      <c r="M76" s="109">
        <f t="shared" si="24"/>
        <v>0</v>
      </c>
      <c r="N76" s="109">
        <v>0</v>
      </c>
      <c r="O76" s="128"/>
      <c r="P76" s="270">
        <f t="shared" si="20"/>
        <v>719303.72</v>
      </c>
      <c r="Q76" s="270"/>
      <c r="R76" s="24">
        <f t="shared" si="21"/>
        <v>0.72</v>
      </c>
      <c r="S76" s="1">
        <f t="shared" si="25"/>
        <v>72</v>
      </c>
      <c r="T76" t="s">
        <v>200</v>
      </c>
    </row>
    <row r="77" spans="1:20" ht="24.95" customHeight="1" x14ac:dyDescent="0.25">
      <c r="A77" s="136"/>
      <c r="B77" s="28">
        <f t="shared" si="27"/>
        <v>73</v>
      </c>
      <c r="C77" s="28" t="s">
        <v>91</v>
      </c>
      <c r="D77" s="120">
        <v>4.0000000000000001E-3</v>
      </c>
      <c r="E77" s="148">
        <v>723585.73</v>
      </c>
      <c r="F77" s="147">
        <v>730000</v>
      </c>
      <c r="G77" s="87">
        <f t="shared" si="18"/>
        <v>-6414.2700000000186</v>
      </c>
      <c r="H77" s="33">
        <f t="shared" si="26"/>
        <v>0</v>
      </c>
      <c r="I77" s="34">
        <f t="shared" si="15"/>
        <v>288000</v>
      </c>
      <c r="J77" s="34">
        <f t="shared" si="19"/>
        <v>0</v>
      </c>
      <c r="K77" s="34">
        <f t="shared" si="22"/>
        <v>165940.54062019198</v>
      </c>
      <c r="L77" s="34">
        <f t="shared" si="23"/>
        <v>270270.27039999998</v>
      </c>
      <c r="M77" s="109">
        <f t="shared" si="24"/>
        <v>0</v>
      </c>
      <c r="N77" s="109">
        <v>0</v>
      </c>
      <c r="O77" s="128"/>
      <c r="P77" s="270">
        <f t="shared" si="20"/>
        <v>717797.73</v>
      </c>
      <c r="Q77" s="270"/>
      <c r="R77" s="24">
        <f t="shared" si="21"/>
        <v>0.73</v>
      </c>
      <c r="S77" s="1">
        <f t="shared" si="25"/>
        <v>73</v>
      </c>
    </row>
    <row r="78" spans="1:20" ht="24.95" customHeight="1" x14ac:dyDescent="0.25">
      <c r="A78" s="29"/>
      <c r="B78" s="28">
        <f t="shared" si="27"/>
        <v>74</v>
      </c>
      <c r="C78" s="28" t="s">
        <v>92</v>
      </c>
      <c r="D78" s="120">
        <v>4.4000000000000003E-3</v>
      </c>
      <c r="E78" s="148">
        <v>753011.74</v>
      </c>
      <c r="F78" s="147">
        <f>E78</f>
        <v>753011.74</v>
      </c>
      <c r="G78" s="87">
        <f t="shared" si="18"/>
        <v>0</v>
      </c>
      <c r="H78" s="33">
        <f t="shared" si="26"/>
        <v>0</v>
      </c>
      <c r="I78" s="34">
        <f t="shared" si="15"/>
        <v>316800</v>
      </c>
      <c r="J78" s="34">
        <f t="shared" si="19"/>
        <v>0</v>
      </c>
      <c r="K78" s="34">
        <f t="shared" si="22"/>
        <v>165940.54062019198</v>
      </c>
      <c r="L78" s="34">
        <f t="shared" si="23"/>
        <v>270270.27039999998</v>
      </c>
      <c r="M78" s="109">
        <f t="shared" si="24"/>
        <v>0</v>
      </c>
      <c r="N78" s="109">
        <v>0</v>
      </c>
      <c r="O78" s="128"/>
      <c r="P78" s="270">
        <f t="shared" si="20"/>
        <v>753011.74</v>
      </c>
      <c r="Q78" s="270"/>
      <c r="R78" s="24">
        <f t="shared" si="21"/>
        <v>0.74</v>
      </c>
      <c r="S78" s="1">
        <f t="shared" si="25"/>
        <v>74</v>
      </c>
    </row>
    <row r="79" spans="1:20" ht="24.95" customHeight="1" x14ac:dyDescent="0.25">
      <c r="A79" s="29"/>
      <c r="B79" s="28">
        <f t="shared" si="27"/>
        <v>75</v>
      </c>
      <c r="C79" s="28" t="s">
        <v>252</v>
      </c>
      <c r="D79" s="120">
        <v>4.1000000000000003E-3</v>
      </c>
      <c r="E79" s="148">
        <v>886611.75</v>
      </c>
      <c r="F79" s="147">
        <f>E79</f>
        <v>886611.75</v>
      </c>
      <c r="G79" s="87">
        <f t="shared" si="18"/>
        <v>0</v>
      </c>
      <c r="H79" s="33">
        <f t="shared" si="26"/>
        <v>0</v>
      </c>
      <c r="I79" s="34">
        <f t="shared" si="15"/>
        <v>295200</v>
      </c>
      <c r="J79" s="34">
        <f t="shared" si="19"/>
        <v>0</v>
      </c>
      <c r="K79" s="34">
        <f t="shared" si="22"/>
        <v>165940.54062019198</v>
      </c>
      <c r="L79" s="34">
        <f t="shared" si="23"/>
        <v>270270.27039999998</v>
      </c>
      <c r="M79" s="109">
        <f t="shared" si="24"/>
        <v>0</v>
      </c>
      <c r="N79" s="109">
        <v>0</v>
      </c>
      <c r="O79" s="128"/>
      <c r="P79" s="270">
        <f t="shared" si="20"/>
        <v>731411.75</v>
      </c>
      <c r="Q79" s="270"/>
      <c r="R79" s="24">
        <f t="shared" si="21"/>
        <v>0.75</v>
      </c>
      <c r="S79" s="1">
        <f t="shared" si="25"/>
        <v>75</v>
      </c>
      <c r="T79" t="s">
        <v>213</v>
      </c>
    </row>
    <row r="80" spans="1:20" ht="24.95" customHeight="1" x14ac:dyDescent="0.25">
      <c r="A80" s="29"/>
      <c r="B80" s="28">
        <f t="shared" si="27"/>
        <v>76</v>
      </c>
      <c r="C80" s="28" t="s">
        <v>84</v>
      </c>
      <c r="D80" s="120">
        <v>4.4999999999999997E-3</v>
      </c>
      <c r="E80" s="148">
        <v>760211.76</v>
      </c>
      <c r="F80" s="147">
        <f>E80</f>
        <v>760211.76</v>
      </c>
      <c r="G80" s="87">
        <f t="shared" si="18"/>
        <v>0</v>
      </c>
      <c r="H80" s="33">
        <f t="shared" si="26"/>
        <v>0</v>
      </c>
      <c r="I80" s="34">
        <f t="shared" si="15"/>
        <v>324000</v>
      </c>
      <c r="J80" s="34">
        <f t="shared" si="19"/>
        <v>0</v>
      </c>
      <c r="K80" s="34">
        <f t="shared" si="22"/>
        <v>165940.54062019198</v>
      </c>
      <c r="L80" s="34">
        <f t="shared" si="23"/>
        <v>270270.27039999998</v>
      </c>
      <c r="M80" s="109">
        <f t="shared" si="24"/>
        <v>0</v>
      </c>
      <c r="N80" s="109">
        <v>0</v>
      </c>
      <c r="O80" s="128"/>
      <c r="P80" s="270">
        <f t="shared" si="20"/>
        <v>760211.76</v>
      </c>
      <c r="Q80" s="270"/>
      <c r="R80" s="24">
        <f t="shared" si="21"/>
        <v>0.76</v>
      </c>
      <c r="S80" s="1">
        <f t="shared" si="25"/>
        <v>76</v>
      </c>
    </row>
    <row r="81" spans="1:24" ht="24.95" customHeight="1" x14ac:dyDescent="0.25">
      <c r="A81" s="29"/>
      <c r="B81" s="28">
        <f t="shared" si="27"/>
        <v>77</v>
      </c>
      <c r="C81" s="28" t="s">
        <v>93</v>
      </c>
      <c r="D81" s="120">
        <v>6.1000000000000004E-3</v>
      </c>
      <c r="E81" s="148">
        <v>1708193.77</v>
      </c>
      <c r="F81" s="147">
        <f>E81</f>
        <v>1708193.77</v>
      </c>
      <c r="G81" s="87">
        <f t="shared" si="18"/>
        <v>0</v>
      </c>
      <c r="H81" s="33">
        <f t="shared" si="26"/>
        <v>0</v>
      </c>
      <c r="I81" s="34">
        <f t="shared" si="15"/>
        <v>439200</v>
      </c>
      <c r="J81" s="34">
        <f t="shared" si="19"/>
        <v>0</v>
      </c>
      <c r="K81" s="34">
        <f t="shared" si="22"/>
        <v>165940.54062019198</v>
      </c>
      <c r="L81" s="34">
        <f t="shared" si="23"/>
        <v>270270.27039999998</v>
      </c>
      <c r="M81" s="109">
        <f t="shared" si="24"/>
        <v>0</v>
      </c>
      <c r="N81" s="109">
        <v>0</v>
      </c>
      <c r="O81" s="128"/>
      <c r="P81" s="270">
        <f t="shared" si="20"/>
        <v>875411.77</v>
      </c>
      <c r="Q81" s="270"/>
      <c r="R81" s="24">
        <f t="shared" si="21"/>
        <v>0.77</v>
      </c>
      <c r="S81" s="1">
        <f t="shared" si="25"/>
        <v>77</v>
      </c>
      <c r="T81" t="s">
        <v>278</v>
      </c>
    </row>
    <row r="82" spans="1:24" ht="24.95" customHeight="1" x14ac:dyDescent="0.25">
      <c r="A82" s="29"/>
      <c r="B82" s="28">
        <f t="shared" si="27"/>
        <v>78</v>
      </c>
      <c r="C82" s="28" t="s">
        <v>94</v>
      </c>
      <c r="D82" s="120">
        <v>4.7999999999999996E-3</v>
      </c>
      <c r="E82" s="148">
        <v>781055.78</v>
      </c>
      <c r="F82" s="147"/>
      <c r="G82" s="87">
        <f t="shared" si="18"/>
        <v>781055.78</v>
      </c>
      <c r="H82" s="33">
        <f t="shared" si="26"/>
        <v>24111.191928600001</v>
      </c>
      <c r="I82" s="34">
        <f t="shared" si="15"/>
        <v>345599.99999999994</v>
      </c>
      <c r="J82" s="34">
        <f t="shared" si="19"/>
        <v>0</v>
      </c>
      <c r="K82" s="34">
        <f t="shared" si="22"/>
        <v>165940.54062019198</v>
      </c>
      <c r="L82" s="34">
        <f t="shared" si="23"/>
        <v>270270.27039999998</v>
      </c>
      <c r="M82" s="109">
        <f t="shared" si="24"/>
        <v>0</v>
      </c>
      <c r="N82" s="109">
        <v>0</v>
      </c>
      <c r="O82" s="128"/>
      <c r="P82" s="270">
        <f t="shared" si="20"/>
        <v>1586978.78</v>
      </c>
      <c r="Q82" s="270"/>
      <c r="R82" s="24">
        <f t="shared" si="21"/>
        <v>0.78</v>
      </c>
      <c r="S82" s="1">
        <f t="shared" si="25"/>
        <v>78</v>
      </c>
      <c r="T82" t="s">
        <v>255</v>
      </c>
    </row>
    <row r="83" spans="1:24" ht="24.95" customHeight="1" x14ac:dyDescent="0.25">
      <c r="A83" s="29"/>
      <c r="B83" s="28">
        <f t="shared" si="27"/>
        <v>79</v>
      </c>
      <c r="C83" s="28" t="s">
        <v>95</v>
      </c>
      <c r="D83" s="120">
        <v>4.4999999999999997E-3</v>
      </c>
      <c r="E83" s="148">
        <v>1486639.79</v>
      </c>
      <c r="F83" s="147">
        <f>393800+299100</f>
        <v>692900</v>
      </c>
      <c r="G83" s="88">
        <f t="shared" si="18"/>
        <v>793739.79</v>
      </c>
      <c r="H83" s="121">
        <f t="shared" si="26"/>
        <v>24502.747317300003</v>
      </c>
      <c r="I83" s="109">
        <f t="shared" si="15"/>
        <v>324000</v>
      </c>
      <c r="J83" s="109">
        <f t="shared" si="19"/>
        <v>0</v>
      </c>
      <c r="K83" s="109">
        <f t="shared" si="22"/>
        <v>165940.54062019198</v>
      </c>
      <c r="L83" s="109">
        <f t="shared" si="23"/>
        <v>270270.27039999998</v>
      </c>
      <c r="M83" s="109">
        <f t="shared" si="24"/>
        <v>0</v>
      </c>
      <c r="N83" s="109">
        <v>0</v>
      </c>
      <c r="O83" s="128"/>
      <c r="P83" s="274">
        <f t="shared" si="20"/>
        <v>1578453.79</v>
      </c>
      <c r="Q83" s="274"/>
      <c r="R83" s="122">
        <f t="shared" si="21"/>
        <v>0.79</v>
      </c>
      <c r="S83" s="86">
        <f t="shared" si="25"/>
        <v>79</v>
      </c>
      <c r="T83" s="51" t="s">
        <v>286</v>
      </c>
      <c r="X83" t="s">
        <v>257</v>
      </c>
    </row>
    <row r="84" spans="1:24" ht="24.95" customHeight="1" x14ac:dyDescent="0.25">
      <c r="A84" s="29"/>
      <c r="B84" s="28">
        <f t="shared" si="27"/>
        <v>80</v>
      </c>
      <c r="C84" s="28" t="s">
        <v>96</v>
      </c>
      <c r="D84" s="120">
        <v>4.4999999999999997E-3</v>
      </c>
      <c r="E84" s="148">
        <v>760211.8</v>
      </c>
      <c r="F84" s="147">
        <f>E84</f>
        <v>760211.8</v>
      </c>
      <c r="G84" s="87">
        <f t="shared" si="18"/>
        <v>0</v>
      </c>
      <c r="H84" s="33">
        <f t="shared" si="26"/>
        <v>0</v>
      </c>
      <c r="I84" s="34">
        <f t="shared" si="15"/>
        <v>324000</v>
      </c>
      <c r="J84" s="34">
        <f t="shared" si="19"/>
        <v>0</v>
      </c>
      <c r="K84" s="34">
        <f t="shared" si="22"/>
        <v>165940.54062019198</v>
      </c>
      <c r="L84" s="34">
        <f t="shared" si="23"/>
        <v>270270.27039999998</v>
      </c>
      <c r="M84" s="109">
        <f t="shared" si="24"/>
        <v>0</v>
      </c>
      <c r="N84" s="109">
        <v>0</v>
      </c>
      <c r="O84" s="128"/>
      <c r="P84" s="270">
        <f t="shared" si="20"/>
        <v>760211.8</v>
      </c>
      <c r="Q84" s="270"/>
      <c r="R84" s="24">
        <f t="shared" si="21"/>
        <v>0.8</v>
      </c>
      <c r="S84" s="1">
        <f t="shared" si="25"/>
        <v>80</v>
      </c>
      <c r="T84" t="s">
        <v>305</v>
      </c>
    </row>
    <row r="85" spans="1:24" ht="24.95" customHeight="1" x14ac:dyDescent="0.25">
      <c r="A85" s="29"/>
      <c r="B85" s="28">
        <f t="shared" si="27"/>
        <v>81</v>
      </c>
      <c r="C85" s="28" t="s">
        <v>97</v>
      </c>
      <c r="D85" s="120">
        <v>4.4999999999999997E-3</v>
      </c>
      <c r="E85" s="148">
        <v>1474236.81</v>
      </c>
      <c r="F85" s="147"/>
      <c r="G85" s="87">
        <f t="shared" si="18"/>
        <v>1474236.81</v>
      </c>
      <c r="H85" s="33">
        <f t="shared" si="26"/>
        <v>45509.690324700001</v>
      </c>
      <c r="I85" s="34">
        <f t="shared" si="15"/>
        <v>324000</v>
      </c>
      <c r="J85" s="34">
        <f t="shared" si="19"/>
        <v>0</v>
      </c>
      <c r="K85" s="34">
        <f t="shared" si="22"/>
        <v>165940.54062019198</v>
      </c>
      <c r="L85" s="34">
        <f t="shared" si="23"/>
        <v>270270.27039999998</v>
      </c>
      <c r="M85" s="109">
        <f t="shared" si="24"/>
        <v>0</v>
      </c>
      <c r="N85" s="109">
        <v>0</v>
      </c>
      <c r="O85" s="128"/>
      <c r="P85" s="270">
        <f t="shared" si="20"/>
        <v>2279957.81</v>
      </c>
      <c r="Q85" s="270"/>
      <c r="R85" s="24">
        <f t="shared" si="21"/>
        <v>0.81</v>
      </c>
      <c r="S85" s="1">
        <f t="shared" si="25"/>
        <v>81</v>
      </c>
      <c r="T85" t="s">
        <v>245</v>
      </c>
    </row>
    <row r="86" spans="1:24" ht="24.95" customHeight="1" x14ac:dyDescent="0.25">
      <c r="A86" s="132"/>
      <c r="B86" s="28">
        <f t="shared" si="27"/>
        <v>82</v>
      </c>
      <c r="C86" s="28" t="s">
        <v>98</v>
      </c>
      <c r="D86" s="120">
        <v>4.1999999999999997E-3</v>
      </c>
      <c r="E86" s="148">
        <v>1581570.82</v>
      </c>
      <c r="F86" s="147">
        <v>1581570.82</v>
      </c>
      <c r="G86" s="87">
        <f t="shared" si="18"/>
        <v>0</v>
      </c>
      <c r="H86" s="33">
        <f t="shared" si="26"/>
        <v>0</v>
      </c>
      <c r="I86" s="34">
        <f t="shared" si="15"/>
        <v>302400</v>
      </c>
      <c r="J86" s="34">
        <f t="shared" si="19"/>
        <v>0</v>
      </c>
      <c r="K86" s="34">
        <f t="shared" si="22"/>
        <v>165940.54062019198</v>
      </c>
      <c r="L86" s="34">
        <f t="shared" si="23"/>
        <v>270270.27039999998</v>
      </c>
      <c r="M86" s="109">
        <f t="shared" si="24"/>
        <v>0</v>
      </c>
      <c r="N86" s="109">
        <v>0</v>
      </c>
      <c r="O86" s="109"/>
      <c r="P86" s="270">
        <f t="shared" si="20"/>
        <v>738611.82</v>
      </c>
      <c r="Q86" s="270"/>
      <c r="R86" s="24">
        <f t="shared" si="21"/>
        <v>0.82</v>
      </c>
      <c r="S86" s="1">
        <f t="shared" si="25"/>
        <v>82</v>
      </c>
      <c r="T86" t="s">
        <v>288</v>
      </c>
      <c r="V86" s="28"/>
    </row>
    <row r="87" spans="1:24" ht="24.95" customHeight="1" x14ac:dyDescent="0.25">
      <c r="A87" s="29"/>
      <c r="B87" s="28">
        <f t="shared" si="27"/>
        <v>83</v>
      </c>
      <c r="C87" s="28" t="s">
        <v>99</v>
      </c>
      <c r="D87" s="120">
        <v>4.7999999999999996E-3</v>
      </c>
      <c r="E87" s="148">
        <v>781811.83</v>
      </c>
      <c r="F87" s="147">
        <f t="shared" ref="F87:F91" si="28">E87</f>
        <v>781811.83</v>
      </c>
      <c r="G87" s="87">
        <f t="shared" si="18"/>
        <v>0</v>
      </c>
      <c r="H87" s="33">
        <f t="shared" si="26"/>
        <v>0</v>
      </c>
      <c r="I87" s="34">
        <f t="shared" si="15"/>
        <v>345599.99999999994</v>
      </c>
      <c r="J87" s="34">
        <f t="shared" si="19"/>
        <v>0</v>
      </c>
      <c r="K87" s="34">
        <f t="shared" si="22"/>
        <v>165940.54062019198</v>
      </c>
      <c r="L87" s="34">
        <f t="shared" si="23"/>
        <v>270270.27039999998</v>
      </c>
      <c r="M87" s="109">
        <f t="shared" si="24"/>
        <v>0</v>
      </c>
      <c r="N87" s="109">
        <v>0</v>
      </c>
      <c r="O87" s="128"/>
      <c r="P87" s="270">
        <f t="shared" si="20"/>
        <v>781811.83</v>
      </c>
      <c r="Q87" s="270"/>
      <c r="R87" s="24">
        <f t="shared" si="21"/>
        <v>0.83</v>
      </c>
      <c r="S87" s="1">
        <f t="shared" si="25"/>
        <v>83</v>
      </c>
    </row>
    <row r="88" spans="1:24" ht="24.95" customHeight="1" x14ac:dyDescent="0.25">
      <c r="A88" s="29"/>
      <c r="B88" s="28">
        <f t="shared" si="27"/>
        <v>84</v>
      </c>
      <c r="C88" s="28" t="s">
        <v>99</v>
      </c>
      <c r="D88" s="120">
        <v>4.7999999999999996E-3</v>
      </c>
      <c r="E88" s="148">
        <v>781811.84</v>
      </c>
      <c r="F88" s="147">
        <v>871811.84</v>
      </c>
      <c r="G88" s="87">
        <f t="shared" si="18"/>
        <v>-90000</v>
      </c>
      <c r="H88" s="33">
        <f t="shared" si="26"/>
        <v>0</v>
      </c>
      <c r="I88" s="34">
        <f t="shared" si="15"/>
        <v>345599.99999999994</v>
      </c>
      <c r="J88" s="34">
        <f t="shared" si="19"/>
        <v>0</v>
      </c>
      <c r="K88" s="34">
        <f t="shared" si="22"/>
        <v>165940.54062019198</v>
      </c>
      <c r="L88" s="34">
        <f t="shared" si="23"/>
        <v>270270.27039999998</v>
      </c>
      <c r="M88" s="109">
        <f t="shared" si="24"/>
        <v>0</v>
      </c>
      <c r="N88" s="109">
        <v>0</v>
      </c>
      <c r="O88" s="128"/>
      <c r="P88" s="270">
        <f t="shared" si="20"/>
        <v>691811.83999999997</v>
      </c>
      <c r="Q88" s="270"/>
      <c r="R88" s="24">
        <f t="shared" si="21"/>
        <v>0.84</v>
      </c>
      <c r="S88" s="1">
        <f t="shared" si="25"/>
        <v>84</v>
      </c>
    </row>
    <row r="89" spans="1:24" ht="24.95" customHeight="1" x14ac:dyDescent="0.25">
      <c r="A89" s="29"/>
      <c r="B89" s="28">
        <f t="shared" si="27"/>
        <v>85</v>
      </c>
      <c r="C89" s="28" t="s">
        <v>100</v>
      </c>
      <c r="D89" s="120">
        <v>4.7999999999999996E-3</v>
      </c>
      <c r="E89" s="148">
        <v>781811.85</v>
      </c>
      <c r="F89" s="147">
        <f t="shared" si="28"/>
        <v>781811.85</v>
      </c>
      <c r="G89" s="87">
        <f t="shared" si="18"/>
        <v>0</v>
      </c>
      <c r="H89" s="33">
        <f t="shared" si="26"/>
        <v>0</v>
      </c>
      <c r="I89" s="34">
        <f t="shared" si="15"/>
        <v>345599.99999999994</v>
      </c>
      <c r="J89" s="34">
        <f t="shared" si="19"/>
        <v>0</v>
      </c>
      <c r="K89" s="34">
        <f t="shared" si="22"/>
        <v>165940.54062019198</v>
      </c>
      <c r="L89" s="34">
        <f t="shared" si="23"/>
        <v>270270.27039999998</v>
      </c>
      <c r="M89" s="109">
        <f t="shared" si="24"/>
        <v>0</v>
      </c>
      <c r="N89" s="109">
        <v>0</v>
      </c>
      <c r="O89" s="128"/>
      <c r="P89" s="270">
        <f t="shared" si="20"/>
        <v>781811.85</v>
      </c>
      <c r="Q89" s="270"/>
      <c r="R89" s="24">
        <f t="shared" si="21"/>
        <v>0.85</v>
      </c>
      <c r="S89" s="1">
        <f t="shared" si="25"/>
        <v>85</v>
      </c>
      <c r="T89" t="s">
        <v>229</v>
      </c>
    </row>
    <row r="90" spans="1:24" ht="24.95" customHeight="1" x14ac:dyDescent="0.25">
      <c r="A90" s="29"/>
      <c r="B90" s="28">
        <f t="shared" si="27"/>
        <v>86</v>
      </c>
      <c r="C90" s="28" t="s">
        <v>174</v>
      </c>
      <c r="D90" s="120">
        <v>4.7999999999999996E-3</v>
      </c>
      <c r="E90" s="148">
        <v>781811.86</v>
      </c>
      <c r="F90" s="147">
        <f t="shared" si="28"/>
        <v>781811.86</v>
      </c>
      <c r="G90" s="87">
        <f t="shared" si="18"/>
        <v>0</v>
      </c>
      <c r="H90" s="33">
        <f t="shared" si="26"/>
        <v>0</v>
      </c>
      <c r="I90" s="34">
        <f t="shared" si="15"/>
        <v>345599.99999999994</v>
      </c>
      <c r="J90" s="34">
        <f t="shared" si="19"/>
        <v>0</v>
      </c>
      <c r="K90" s="34">
        <f t="shared" si="22"/>
        <v>165940.54062019198</v>
      </c>
      <c r="L90" s="34">
        <f t="shared" si="23"/>
        <v>270270.27039999998</v>
      </c>
      <c r="M90" s="109">
        <f t="shared" si="24"/>
        <v>0</v>
      </c>
      <c r="N90" s="109">
        <v>0</v>
      </c>
      <c r="O90" s="128"/>
      <c r="P90" s="270">
        <f t="shared" si="20"/>
        <v>781811.86</v>
      </c>
      <c r="Q90" s="270"/>
      <c r="R90" s="24">
        <f t="shared" si="21"/>
        <v>0.86</v>
      </c>
      <c r="S90" s="1">
        <f t="shared" si="25"/>
        <v>86</v>
      </c>
    </row>
    <row r="91" spans="1:24" ht="24.95" customHeight="1" x14ac:dyDescent="0.25">
      <c r="A91" s="29"/>
      <c r="B91" s="28">
        <f t="shared" si="27"/>
        <v>87</v>
      </c>
      <c r="C91" s="28" t="s">
        <v>101</v>
      </c>
      <c r="D91" s="120">
        <v>4.7999999999999996E-3</v>
      </c>
      <c r="E91" s="148">
        <v>781811.87</v>
      </c>
      <c r="F91" s="147">
        <f t="shared" si="28"/>
        <v>781811.87</v>
      </c>
      <c r="G91" s="87">
        <f t="shared" si="18"/>
        <v>0</v>
      </c>
      <c r="H91" s="33">
        <f t="shared" si="26"/>
        <v>0</v>
      </c>
      <c r="I91" s="34">
        <f t="shared" si="15"/>
        <v>345599.99999999994</v>
      </c>
      <c r="J91" s="34">
        <f t="shared" si="19"/>
        <v>0</v>
      </c>
      <c r="K91" s="34">
        <f t="shared" si="22"/>
        <v>165940.54062019198</v>
      </c>
      <c r="L91" s="34">
        <f t="shared" si="23"/>
        <v>270270.27039999998</v>
      </c>
      <c r="M91" s="109">
        <f t="shared" si="24"/>
        <v>0</v>
      </c>
      <c r="N91" s="109">
        <v>0</v>
      </c>
      <c r="O91" s="128"/>
      <c r="P91" s="270">
        <f t="shared" si="20"/>
        <v>781811.87</v>
      </c>
      <c r="Q91" s="270"/>
      <c r="R91" s="24">
        <f t="shared" si="21"/>
        <v>0.87</v>
      </c>
      <c r="S91" s="1">
        <f t="shared" si="25"/>
        <v>87</v>
      </c>
    </row>
    <row r="92" spans="1:24" ht="24.95" customHeight="1" x14ac:dyDescent="0.25">
      <c r="A92" s="194"/>
      <c r="B92" s="214">
        <f t="shared" si="27"/>
        <v>88</v>
      </c>
      <c r="C92" s="214" t="s">
        <v>102</v>
      </c>
      <c r="D92" s="120">
        <v>4.7999999999999996E-3</v>
      </c>
      <c r="E92" s="148">
        <v>781723.88</v>
      </c>
      <c r="F92" s="147">
        <v>800000</v>
      </c>
      <c r="G92" s="87">
        <f t="shared" si="18"/>
        <v>-18276.119999999995</v>
      </c>
      <c r="H92" s="33">
        <f t="shared" si="26"/>
        <v>0</v>
      </c>
      <c r="I92" s="34">
        <f t="shared" si="15"/>
        <v>345599.99999999994</v>
      </c>
      <c r="J92" s="34">
        <f t="shared" si="19"/>
        <v>0</v>
      </c>
      <c r="K92" s="34">
        <f t="shared" si="22"/>
        <v>165940.54062019198</v>
      </c>
      <c r="L92" s="34">
        <f t="shared" si="23"/>
        <v>270270.27039999998</v>
      </c>
      <c r="M92" s="109">
        <f t="shared" si="24"/>
        <v>0</v>
      </c>
      <c r="N92" s="109">
        <v>0</v>
      </c>
      <c r="O92" s="128"/>
      <c r="P92" s="270">
        <f t="shared" si="20"/>
        <v>763535.88</v>
      </c>
      <c r="Q92" s="270"/>
      <c r="R92" s="24">
        <f t="shared" si="21"/>
        <v>0.88</v>
      </c>
      <c r="S92" s="1">
        <f t="shared" si="25"/>
        <v>88</v>
      </c>
    </row>
    <row r="93" spans="1:24" ht="24.95" customHeight="1" x14ac:dyDescent="0.25">
      <c r="A93" s="29"/>
      <c r="B93" s="28">
        <f t="shared" si="27"/>
        <v>89</v>
      </c>
      <c r="C93" s="28" t="s">
        <v>227</v>
      </c>
      <c r="D93" s="120">
        <v>4.7999999999999996E-3</v>
      </c>
      <c r="E93" s="148">
        <v>781811.89</v>
      </c>
      <c r="F93" s="147"/>
      <c r="G93" s="88">
        <f t="shared" si="18"/>
        <v>781811.89</v>
      </c>
      <c r="H93" s="121">
        <f t="shared" si="26"/>
        <v>24134.533044300002</v>
      </c>
      <c r="I93" s="109">
        <f t="shared" si="15"/>
        <v>345599.99999999994</v>
      </c>
      <c r="J93" s="109">
        <f t="shared" si="19"/>
        <v>0</v>
      </c>
      <c r="K93" s="109">
        <f t="shared" si="22"/>
        <v>165940.54062019198</v>
      </c>
      <c r="L93" s="109">
        <f t="shared" si="23"/>
        <v>270270.27039999998</v>
      </c>
      <c r="M93" s="109">
        <f t="shared" si="24"/>
        <v>0</v>
      </c>
      <c r="N93" s="109">
        <v>0</v>
      </c>
      <c r="O93" s="128"/>
      <c r="P93" s="274">
        <f t="shared" si="20"/>
        <v>1587757.89</v>
      </c>
      <c r="Q93" s="274"/>
      <c r="R93" s="122">
        <f t="shared" si="21"/>
        <v>0.89</v>
      </c>
      <c r="S93" s="86">
        <f t="shared" si="25"/>
        <v>89</v>
      </c>
      <c r="T93" t="s">
        <v>303</v>
      </c>
    </row>
    <row r="94" spans="1:24" ht="24.95" customHeight="1" x14ac:dyDescent="0.25">
      <c r="A94" s="29"/>
      <c r="B94" s="28">
        <f t="shared" si="27"/>
        <v>90</v>
      </c>
      <c r="C94" s="28" t="s">
        <v>103</v>
      </c>
      <c r="D94" s="120">
        <v>4.7999999999999996E-3</v>
      </c>
      <c r="E94" s="148">
        <v>1577534.9</v>
      </c>
      <c r="F94" s="147">
        <v>850000</v>
      </c>
      <c r="G94" s="87">
        <f t="shared" si="18"/>
        <v>727534.89999999991</v>
      </c>
      <c r="H94" s="33">
        <f t="shared" si="26"/>
        <v>22459.002363</v>
      </c>
      <c r="I94" s="34">
        <f t="shared" si="15"/>
        <v>345599.99999999994</v>
      </c>
      <c r="J94" s="34">
        <f t="shared" si="19"/>
        <v>0</v>
      </c>
      <c r="K94" s="34">
        <f t="shared" si="22"/>
        <v>165940.54062019198</v>
      </c>
      <c r="L94" s="34">
        <f t="shared" si="23"/>
        <v>270270.27039999998</v>
      </c>
      <c r="M94" s="109">
        <f t="shared" si="24"/>
        <v>0</v>
      </c>
      <c r="N94" s="109">
        <v>0</v>
      </c>
      <c r="O94" s="128"/>
      <c r="P94" s="270">
        <f t="shared" si="20"/>
        <v>1531805.9</v>
      </c>
      <c r="Q94" s="270"/>
      <c r="R94" s="24">
        <f t="shared" si="21"/>
        <v>0.9</v>
      </c>
      <c r="S94" s="1">
        <f t="shared" si="25"/>
        <v>90</v>
      </c>
      <c r="T94" t="s">
        <v>258</v>
      </c>
    </row>
    <row r="95" spans="1:24" ht="24.95" customHeight="1" x14ac:dyDescent="0.25">
      <c r="A95" s="29"/>
      <c r="B95" s="28">
        <f t="shared" si="27"/>
        <v>91</v>
      </c>
      <c r="C95" s="28" t="s">
        <v>104</v>
      </c>
      <c r="D95" s="120">
        <v>4.7999999999999996E-3</v>
      </c>
      <c r="E95" s="148">
        <v>781811.91</v>
      </c>
      <c r="F95" s="147">
        <f>E95</f>
        <v>781811.91</v>
      </c>
      <c r="G95" s="87">
        <f t="shared" si="18"/>
        <v>0</v>
      </c>
      <c r="H95" s="33">
        <f t="shared" si="26"/>
        <v>0</v>
      </c>
      <c r="I95" s="34">
        <f t="shared" si="15"/>
        <v>345599.99999999994</v>
      </c>
      <c r="J95" s="34">
        <f t="shared" si="19"/>
        <v>0</v>
      </c>
      <c r="K95" s="34">
        <f t="shared" si="22"/>
        <v>165940.54062019198</v>
      </c>
      <c r="L95" s="34">
        <f t="shared" si="23"/>
        <v>270270.27039999998</v>
      </c>
      <c r="M95" s="109">
        <f t="shared" si="24"/>
        <v>0</v>
      </c>
      <c r="N95" s="109">
        <v>0</v>
      </c>
      <c r="O95" s="128"/>
      <c r="P95" s="270">
        <f t="shared" si="20"/>
        <v>781811.91</v>
      </c>
      <c r="Q95" s="270"/>
      <c r="R95" s="24">
        <f t="shared" si="21"/>
        <v>0.91</v>
      </c>
      <c r="S95" s="1">
        <f t="shared" si="25"/>
        <v>91</v>
      </c>
      <c r="T95" t="s">
        <v>203</v>
      </c>
    </row>
    <row r="96" spans="1:24" ht="24.95" customHeight="1" x14ac:dyDescent="0.25">
      <c r="A96" s="29"/>
      <c r="B96" s="28">
        <f t="shared" si="27"/>
        <v>92</v>
      </c>
      <c r="C96" s="28" t="s">
        <v>105</v>
      </c>
      <c r="D96" s="120">
        <v>4.7999999999999996E-3</v>
      </c>
      <c r="E96" s="148">
        <v>5671786.9199999999</v>
      </c>
      <c r="F96" s="147">
        <v>1500000</v>
      </c>
      <c r="G96" s="87">
        <f t="shared" si="18"/>
        <v>4171786.92</v>
      </c>
      <c r="H96" s="33">
        <f t="shared" si="26"/>
        <v>128783.06222040001</v>
      </c>
      <c r="I96" s="34">
        <f t="shared" si="15"/>
        <v>345599.99999999994</v>
      </c>
      <c r="J96" s="34">
        <f t="shared" si="19"/>
        <v>0</v>
      </c>
      <c r="K96" s="34">
        <f t="shared" si="22"/>
        <v>165940.54062019198</v>
      </c>
      <c r="L96" s="34">
        <f t="shared" si="23"/>
        <v>270270.27039999998</v>
      </c>
      <c r="M96" s="109">
        <f t="shared" si="24"/>
        <v>0</v>
      </c>
      <c r="N96" s="109">
        <v>0</v>
      </c>
      <c r="O96" s="128"/>
      <c r="P96" s="270">
        <f t="shared" si="20"/>
        <v>5082381.92</v>
      </c>
      <c r="Q96" s="270"/>
      <c r="R96" s="24">
        <f t="shared" si="21"/>
        <v>0.92</v>
      </c>
      <c r="S96" s="1">
        <f t="shared" si="25"/>
        <v>92</v>
      </c>
      <c r="T96" t="s">
        <v>230</v>
      </c>
    </row>
    <row r="97" spans="1:21" ht="24.95" customHeight="1" x14ac:dyDescent="0.25">
      <c r="A97" s="29"/>
      <c r="B97" s="28">
        <f t="shared" si="27"/>
        <v>93</v>
      </c>
      <c r="C97" s="75" t="s">
        <v>175</v>
      </c>
      <c r="D97" s="120">
        <v>4.5999999999999999E-3</v>
      </c>
      <c r="E97" s="148">
        <v>2375465.9300000002</v>
      </c>
      <c r="F97" s="147">
        <f>300000+540000+1000000+535466</f>
        <v>2375466</v>
      </c>
      <c r="G97" s="87">
        <f>E97-F97</f>
        <v>-6.9999999832361937E-2</v>
      </c>
      <c r="H97" s="33">
        <f t="shared" si="26"/>
        <v>0</v>
      </c>
      <c r="I97" s="34">
        <f t="shared" si="15"/>
        <v>331200</v>
      </c>
      <c r="J97" s="34">
        <f t="shared" si="19"/>
        <v>0</v>
      </c>
      <c r="K97" s="34">
        <f t="shared" si="22"/>
        <v>165940.54062019198</v>
      </c>
      <c r="L97" s="34">
        <f t="shared" si="23"/>
        <v>270270.27039999998</v>
      </c>
      <c r="M97" s="109">
        <f t="shared" si="24"/>
        <v>0</v>
      </c>
      <c r="N97" s="109">
        <v>0</v>
      </c>
      <c r="O97" s="109"/>
      <c r="P97" s="270">
        <f t="shared" si="20"/>
        <v>767411.93</v>
      </c>
      <c r="Q97" s="270"/>
      <c r="R97" s="24">
        <f t="shared" si="21"/>
        <v>0.93</v>
      </c>
      <c r="S97" s="1">
        <f t="shared" si="25"/>
        <v>93</v>
      </c>
      <c r="T97" t="s">
        <v>441</v>
      </c>
    </row>
    <row r="98" spans="1:21" ht="24.95" customHeight="1" x14ac:dyDescent="0.25">
      <c r="A98" s="29"/>
      <c r="B98" s="28">
        <f t="shared" si="27"/>
        <v>94</v>
      </c>
      <c r="C98" s="28" t="s">
        <v>176</v>
      </c>
      <c r="D98" s="120">
        <v>4.7999999999999996E-3</v>
      </c>
      <c r="E98" s="148">
        <v>781811.94</v>
      </c>
      <c r="F98" s="147">
        <f>E98</f>
        <v>781811.94</v>
      </c>
      <c r="G98" s="87">
        <f t="shared" si="18"/>
        <v>0</v>
      </c>
      <c r="H98" s="33">
        <f t="shared" si="26"/>
        <v>0</v>
      </c>
      <c r="I98" s="34">
        <f t="shared" si="15"/>
        <v>345599.99999999994</v>
      </c>
      <c r="J98" s="34">
        <f t="shared" si="19"/>
        <v>0</v>
      </c>
      <c r="K98" s="34">
        <f t="shared" si="22"/>
        <v>165940.54062019198</v>
      </c>
      <c r="L98" s="34">
        <f t="shared" si="23"/>
        <v>270270.27039999998</v>
      </c>
      <c r="M98" s="109">
        <f t="shared" si="24"/>
        <v>0</v>
      </c>
      <c r="N98" s="109">
        <v>0</v>
      </c>
      <c r="O98" s="109"/>
      <c r="P98" s="270">
        <f t="shared" si="20"/>
        <v>781811.94</v>
      </c>
      <c r="Q98" s="270"/>
      <c r="R98" s="24">
        <f t="shared" si="21"/>
        <v>0.94</v>
      </c>
      <c r="S98" s="1">
        <f t="shared" si="25"/>
        <v>94</v>
      </c>
      <c r="T98" t="s">
        <v>196</v>
      </c>
    </row>
    <row r="99" spans="1:21" ht="24.95" customHeight="1" x14ac:dyDescent="0.25">
      <c r="A99" s="28"/>
      <c r="B99" s="28">
        <f t="shared" si="27"/>
        <v>95</v>
      </c>
      <c r="C99" s="28" t="s">
        <v>106</v>
      </c>
      <c r="D99" s="120">
        <v>4.7999999999999996E-3</v>
      </c>
      <c r="E99" s="148">
        <v>2795687.95</v>
      </c>
      <c r="F99" s="147"/>
      <c r="G99" s="87">
        <f t="shared" si="18"/>
        <v>2795687.95</v>
      </c>
      <c r="H99" s="33">
        <f t="shared" si="26"/>
        <v>86302.887016500012</v>
      </c>
      <c r="I99" s="34">
        <f t="shared" si="15"/>
        <v>345599.99999999994</v>
      </c>
      <c r="J99" s="34">
        <f t="shared" si="19"/>
        <v>0</v>
      </c>
      <c r="K99" s="34">
        <f t="shared" si="22"/>
        <v>165940.54062019198</v>
      </c>
      <c r="L99" s="34">
        <f t="shared" si="23"/>
        <v>270270.27039999998</v>
      </c>
      <c r="M99" s="109">
        <f t="shared" si="24"/>
        <v>0</v>
      </c>
      <c r="N99" s="109">
        <v>0</v>
      </c>
      <c r="O99" s="128"/>
      <c r="P99" s="270">
        <f t="shared" si="20"/>
        <v>3663802.95</v>
      </c>
      <c r="Q99" s="270"/>
      <c r="R99" s="24">
        <f t="shared" si="21"/>
        <v>0.95</v>
      </c>
      <c r="S99" s="1">
        <f t="shared" si="25"/>
        <v>95</v>
      </c>
    </row>
    <row r="100" spans="1:21" ht="24.95" customHeight="1" x14ac:dyDescent="0.25">
      <c r="A100" s="28"/>
      <c r="B100" s="28">
        <f t="shared" si="27"/>
        <v>96</v>
      </c>
      <c r="C100" s="28" t="s">
        <v>107</v>
      </c>
      <c r="D100" s="120">
        <v>4.7999999999999996E-3</v>
      </c>
      <c r="E100" s="148">
        <v>781055.96</v>
      </c>
      <c r="F100" s="147">
        <v>800000</v>
      </c>
      <c r="G100" s="87">
        <f t="shared" si="18"/>
        <v>-18944.040000000037</v>
      </c>
      <c r="H100" s="33">
        <f t="shared" si="26"/>
        <v>0</v>
      </c>
      <c r="I100" s="34">
        <f t="shared" si="15"/>
        <v>345599.99999999994</v>
      </c>
      <c r="J100" s="34">
        <f t="shared" si="19"/>
        <v>0</v>
      </c>
      <c r="K100" s="34">
        <f t="shared" si="22"/>
        <v>165940.54062019198</v>
      </c>
      <c r="L100" s="34">
        <f t="shared" si="23"/>
        <v>270270.27039999998</v>
      </c>
      <c r="M100" s="109">
        <f t="shared" si="24"/>
        <v>0</v>
      </c>
      <c r="N100" s="109">
        <v>0</v>
      </c>
      <c r="O100" s="128"/>
      <c r="P100" s="270">
        <f t="shared" si="20"/>
        <v>762867.96</v>
      </c>
      <c r="Q100" s="270"/>
      <c r="R100" s="24">
        <f t="shared" si="21"/>
        <v>0.96</v>
      </c>
      <c r="S100" s="1">
        <f t="shared" si="25"/>
        <v>96</v>
      </c>
      <c r="T100" t="s">
        <v>208</v>
      </c>
    </row>
    <row r="101" spans="1:21" ht="24.95" customHeight="1" x14ac:dyDescent="0.25">
      <c r="A101" s="29"/>
      <c r="B101" s="28">
        <f t="shared" si="27"/>
        <v>97</v>
      </c>
      <c r="C101" s="28" t="s">
        <v>108</v>
      </c>
      <c r="D101" s="120">
        <v>4.7999999999999996E-3</v>
      </c>
      <c r="E101" s="148">
        <v>781785.97</v>
      </c>
      <c r="F101" s="147">
        <f>E101</f>
        <v>781785.97</v>
      </c>
      <c r="G101" s="87">
        <f t="shared" si="18"/>
        <v>0</v>
      </c>
      <c r="H101" s="33">
        <f t="shared" si="26"/>
        <v>0</v>
      </c>
      <c r="I101" s="34">
        <f t="shared" si="15"/>
        <v>345599.99999999994</v>
      </c>
      <c r="J101" s="34">
        <f t="shared" ref="J101:J132" si="29">P$2*D101</f>
        <v>0</v>
      </c>
      <c r="K101" s="34">
        <f t="shared" si="22"/>
        <v>165940.54062019198</v>
      </c>
      <c r="L101" s="34">
        <f t="shared" si="23"/>
        <v>270270.27039999998</v>
      </c>
      <c r="M101" s="109">
        <f t="shared" si="24"/>
        <v>0</v>
      </c>
      <c r="N101" s="109">
        <v>0</v>
      </c>
      <c r="O101" s="331">
        <f>I101/2</f>
        <v>172799.99999999997</v>
      </c>
      <c r="P101" s="270">
        <f t="shared" ref="P101:P132" si="30">ROUND(SUM(G101:O101),0) + R101</f>
        <v>954611.97</v>
      </c>
      <c r="Q101" s="270"/>
      <c r="R101" s="24">
        <f t="shared" ref="R101:R132" si="31">ROUND(0.001+B101/100,2)</f>
        <v>0.97</v>
      </c>
      <c r="S101" s="1">
        <f t="shared" si="25"/>
        <v>97</v>
      </c>
      <c r="T101" t="s">
        <v>223</v>
      </c>
    </row>
    <row r="102" spans="1:21" ht="24.95" customHeight="1" x14ac:dyDescent="0.25">
      <c r="A102" s="29"/>
      <c r="B102" s="28">
        <f t="shared" si="27"/>
        <v>98</v>
      </c>
      <c r="C102" s="28" t="s">
        <v>109</v>
      </c>
      <c r="D102" s="120">
        <v>4.7999999999999996E-3</v>
      </c>
      <c r="E102" s="148">
        <v>1518104.98</v>
      </c>
      <c r="F102" s="147">
        <f>714243.98+803860.98</f>
        <v>1518104.96</v>
      </c>
      <c r="G102" s="87">
        <f t="shared" si="18"/>
        <v>2.0000000018626451E-2</v>
      </c>
      <c r="H102" s="33">
        <f t="shared" si="26"/>
        <v>6.1740000057499854E-4</v>
      </c>
      <c r="I102" s="34">
        <f t="shared" ref="I102:I157" si="32">K$2*D102</f>
        <v>345599.99999999994</v>
      </c>
      <c r="J102" s="34">
        <f t="shared" si="29"/>
        <v>0</v>
      </c>
      <c r="K102" s="34">
        <f t="shared" si="22"/>
        <v>165940.54062019198</v>
      </c>
      <c r="L102" s="34">
        <f t="shared" si="23"/>
        <v>270270.27039999998</v>
      </c>
      <c r="M102" s="109">
        <f t="shared" si="24"/>
        <v>0</v>
      </c>
      <c r="N102" s="109">
        <v>0</v>
      </c>
      <c r="O102" s="128"/>
      <c r="P102" s="270">
        <f t="shared" si="30"/>
        <v>781811.98</v>
      </c>
      <c r="Q102" s="270"/>
      <c r="R102" s="24">
        <f t="shared" si="31"/>
        <v>0.98</v>
      </c>
      <c r="S102" s="1">
        <f t="shared" si="25"/>
        <v>98</v>
      </c>
    </row>
    <row r="103" spans="1:21" ht="24.95" customHeight="1" x14ac:dyDescent="0.25">
      <c r="A103" s="29"/>
      <c r="B103" s="28">
        <f t="shared" si="27"/>
        <v>99</v>
      </c>
      <c r="C103" s="28" t="s">
        <v>110</v>
      </c>
      <c r="D103" s="120">
        <v>4.7999999999999996E-3</v>
      </c>
      <c r="E103" s="148">
        <v>781811.99</v>
      </c>
      <c r="F103" s="147">
        <f>E103</f>
        <v>781811.99</v>
      </c>
      <c r="G103" s="87">
        <f t="shared" si="18"/>
        <v>0</v>
      </c>
      <c r="H103" s="33">
        <f t="shared" si="26"/>
        <v>0</v>
      </c>
      <c r="I103" s="34">
        <f t="shared" si="32"/>
        <v>345599.99999999994</v>
      </c>
      <c r="J103" s="34">
        <f t="shared" si="29"/>
        <v>0</v>
      </c>
      <c r="K103" s="34">
        <f t="shared" si="22"/>
        <v>165940.54062019198</v>
      </c>
      <c r="L103" s="34">
        <f t="shared" si="23"/>
        <v>270270.27039999998</v>
      </c>
      <c r="M103" s="109">
        <f t="shared" si="24"/>
        <v>0</v>
      </c>
      <c r="N103" s="109">
        <v>0</v>
      </c>
      <c r="O103" s="128"/>
      <c r="P103" s="270">
        <f t="shared" si="30"/>
        <v>781811.99</v>
      </c>
      <c r="Q103" s="270"/>
      <c r="R103" s="24">
        <f t="shared" si="31"/>
        <v>0.99</v>
      </c>
      <c r="S103" s="1">
        <f t="shared" si="25"/>
        <v>99</v>
      </c>
      <c r="T103" s="19" t="s">
        <v>222</v>
      </c>
    </row>
    <row r="104" spans="1:21" ht="24.95" customHeight="1" x14ac:dyDescent="0.25">
      <c r="A104" s="29"/>
      <c r="B104" s="28">
        <f t="shared" si="27"/>
        <v>100</v>
      </c>
      <c r="C104" s="28" t="s">
        <v>111</v>
      </c>
      <c r="D104" s="120">
        <v>4.7999999999999996E-3</v>
      </c>
      <c r="E104" s="148">
        <v>781812</v>
      </c>
      <c r="F104" s="147">
        <f>E104</f>
        <v>781812</v>
      </c>
      <c r="G104" s="87">
        <f t="shared" si="18"/>
        <v>0</v>
      </c>
      <c r="H104" s="33">
        <f t="shared" si="26"/>
        <v>0</v>
      </c>
      <c r="I104" s="34">
        <f t="shared" si="32"/>
        <v>345599.99999999994</v>
      </c>
      <c r="J104" s="34">
        <f t="shared" si="29"/>
        <v>0</v>
      </c>
      <c r="K104" s="34">
        <f t="shared" si="22"/>
        <v>165940.54062019198</v>
      </c>
      <c r="L104" s="34">
        <f t="shared" si="23"/>
        <v>270270.27039999998</v>
      </c>
      <c r="M104" s="109">
        <f t="shared" si="24"/>
        <v>0</v>
      </c>
      <c r="N104" s="109">
        <v>0</v>
      </c>
      <c r="O104" s="128"/>
      <c r="P104" s="270">
        <f t="shared" si="30"/>
        <v>781812</v>
      </c>
      <c r="Q104" s="270"/>
      <c r="R104" s="24">
        <f t="shared" si="31"/>
        <v>1</v>
      </c>
      <c r="S104" s="1">
        <f t="shared" si="25"/>
        <v>100</v>
      </c>
    </row>
    <row r="105" spans="1:21" ht="24.95" customHeight="1" x14ac:dyDescent="0.25">
      <c r="A105" s="29"/>
      <c r="B105" s="28">
        <f t="shared" si="27"/>
        <v>101</v>
      </c>
      <c r="C105" s="28" t="s">
        <v>112</v>
      </c>
      <c r="D105" s="120">
        <v>4.7999999999999996E-3</v>
      </c>
      <c r="E105" s="148">
        <v>781812.01</v>
      </c>
      <c r="F105" s="147">
        <f>E105</f>
        <v>781812.01</v>
      </c>
      <c r="G105" s="87">
        <f t="shared" si="18"/>
        <v>0</v>
      </c>
      <c r="H105" s="33">
        <f t="shared" si="26"/>
        <v>0</v>
      </c>
      <c r="I105" s="34">
        <f t="shared" si="32"/>
        <v>345599.99999999994</v>
      </c>
      <c r="J105" s="34">
        <f t="shared" si="29"/>
        <v>0</v>
      </c>
      <c r="K105" s="34">
        <f t="shared" si="22"/>
        <v>165940.54062019198</v>
      </c>
      <c r="L105" s="34">
        <f t="shared" si="23"/>
        <v>270270.27039999998</v>
      </c>
      <c r="M105" s="109">
        <v>0</v>
      </c>
      <c r="N105" s="109">
        <v>0</v>
      </c>
      <c r="O105" s="129"/>
      <c r="P105" s="270">
        <f t="shared" si="30"/>
        <v>781812.01</v>
      </c>
      <c r="Q105" s="270"/>
      <c r="R105" s="24">
        <f t="shared" si="31"/>
        <v>1.01</v>
      </c>
      <c r="S105" s="1">
        <f t="shared" si="25"/>
        <v>101</v>
      </c>
    </row>
    <row r="106" spans="1:21" ht="24.95" customHeight="1" x14ac:dyDescent="0.25">
      <c r="A106" s="196"/>
      <c r="B106" s="28">
        <f t="shared" si="27"/>
        <v>102</v>
      </c>
      <c r="C106" s="28" t="s">
        <v>113</v>
      </c>
      <c r="D106" s="120">
        <v>4.7999999999999996E-3</v>
      </c>
      <c r="E106" s="148">
        <v>781651.02</v>
      </c>
      <c r="F106" s="147">
        <v>782000</v>
      </c>
      <c r="G106" s="87">
        <f t="shared" si="18"/>
        <v>-348.97999999998137</v>
      </c>
      <c r="H106" s="33">
        <f t="shared" si="26"/>
        <v>0</v>
      </c>
      <c r="I106" s="34">
        <f t="shared" si="32"/>
        <v>345599.99999999994</v>
      </c>
      <c r="J106" s="34">
        <f t="shared" si="29"/>
        <v>0</v>
      </c>
      <c r="K106" s="34">
        <f t="shared" si="22"/>
        <v>165940.54062019198</v>
      </c>
      <c r="L106" s="34">
        <f t="shared" si="23"/>
        <v>270270.27039999998</v>
      </c>
      <c r="M106" s="109">
        <f t="shared" si="24"/>
        <v>0</v>
      </c>
      <c r="N106" s="109">
        <v>0</v>
      </c>
      <c r="O106" s="129"/>
      <c r="P106" s="270">
        <f t="shared" si="30"/>
        <v>781463.02</v>
      </c>
      <c r="Q106" s="270"/>
      <c r="R106" s="24">
        <f t="shared" si="31"/>
        <v>1.02</v>
      </c>
      <c r="S106" s="1">
        <f t="shared" si="25"/>
        <v>102</v>
      </c>
      <c r="T106" t="s">
        <v>291</v>
      </c>
    </row>
    <row r="107" spans="1:21" ht="24.95" customHeight="1" x14ac:dyDescent="0.25">
      <c r="A107" s="29"/>
      <c r="B107" s="28">
        <f t="shared" si="27"/>
        <v>103</v>
      </c>
      <c r="C107" s="28" t="s">
        <v>114</v>
      </c>
      <c r="D107" s="120">
        <v>4.7999999999999996E-3</v>
      </c>
      <c r="E107" s="148">
        <v>781812.03</v>
      </c>
      <c r="F107" s="147"/>
      <c r="G107" s="87">
        <f t="shared" si="18"/>
        <v>781812.03</v>
      </c>
      <c r="H107" s="33">
        <f t="shared" si="26"/>
        <v>24134.537366100001</v>
      </c>
      <c r="I107" s="34">
        <f t="shared" si="32"/>
        <v>345599.99999999994</v>
      </c>
      <c r="J107" s="34">
        <f t="shared" si="29"/>
        <v>0</v>
      </c>
      <c r="K107" s="34">
        <f t="shared" si="22"/>
        <v>165940.54062019198</v>
      </c>
      <c r="L107" s="34">
        <f t="shared" si="23"/>
        <v>270270.27039999998</v>
      </c>
      <c r="M107" s="109">
        <f t="shared" si="24"/>
        <v>0</v>
      </c>
      <c r="N107" s="109">
        <v>0</v>
      </c>
      <c r="O107" s="129"/>
      <c r="P107" s="270">
        <f t="shared" si="30"/>
        <v>1587758.03</v>
      </c>
      <c r="Q107" s="270"/>
      <c r="R107" s="24">
        <f t="shared" si="31"/>
        <v>1.03</v>
      </c>
      <c r="S107" s="1">
        <f t="shared" si="25"/>
        <v>103</v>
      </c>
    </row>
    <row r="108" spans="1:21" ht="24.95" customHeight="1" x14ac:dyDescent="0.25">
      <c r="A108" s="29"/>
      <c r="B108" s="28">
        <f t="shared" si="27"/>
        <v>104</v>
      </c>
      <c r="C108" s="28" t="s">
        <v>115</v>
      </c>
      <c r="D108" s="120">
        <v>4.7000000000000002E-3</v>
      </c>
      <c r="E108" s="148">
        <v>774612.04</v>
      </c>
      <c r="F108" s="147">
        <f>E108+1</f>
        <v>774613.04</v>
      </c>
      <c r="G108" s="87">
        <f t="shared" si="18"/>
        <v>-1</v>
      </c>
      <c r="H108" s="33">
        <f t="shared" si="26"/>
        <v>0</v>
      </c>
      <c r="I108" s="34">
        <f t="shared" si="32"/>
        <v>338400</v>
      </c>
      <c r="J108" s="34">
        <f t="shared" si="29"/>
        <v>0</v>
      </c>
      <c r="K108" s="34">
        <f t="shared" si="22"/>
        <v>165940.54062019198</v>
      </c>
      <c r="L108" s="34">
        <f t="shared" si="23"/>
        <v>270270.27039999998</v>
      </c>
      <c r="M108" s="109">
        <f t="shared" si="24"/>
        <v>0</v>
      </c>
      <c r="N108" s="109">
        <v>0</v>
      </c>
      <c r="O108" s="129"/>
      <c r="P108" s="270">
        <f t="shared" si="30"/>
        <v>774611.04</v>
      </c>
      <c r="Q108" s="270"/>
      <c r="R108" s="24">
        <f t="shared" si="31"/>
        <v>1.04</v>
      </c>
      <c r="S108" s="1">
        <f t="shared" si="25"/>
        <v>104</v>
      </c>
      <c r="T108" t="s">
        <v>435</v>
      </c>
    </row>
    <row r="109" spans="1:21" ht="24.95" customHeight="1" x14ac:dyDescent="0.25">
      <c r="A109" s="133"/>
      <c r="B109" s="28">
        <f t="shared" si="27"/>
        <v>105</v>
      </c>
      <c r="C109" s="28" t="s">
        <v>116</v>
      </c>
      <c r="D109" s="120">
        <v>4.1999999999999997E-3</v>
      </c>
      <c r="E109" s="148">
        <v>738612.05</v>
      </c>
      <c r="F109" s="147">
        <f>E109</f>
        <v>738612.05</v>
      </c>
      <c r="G109" s="88">
        <f t="shared" si="18"/>
        <v>0</v>
      </c>
      <c r="H109" s="121">
        <f t="shared" si="26"/>
        <v>0</v>
      </c>
      <c r="I109" s="109">
        <f t="shared" si="32"/>
        <v>302400</v>
      </c>
      <c r="J109" s="109">
        <f t="shared" si="29"/>
        <v>0</v>
      </c>
      <c r="K109" s="109">
        <f t="shared" si="22"/>
        <v>165940.54062019198</v>
      </c>
      <c r="L109" s="109">
        <f t="shared" si="23"/>
        <v>270270.27039999998</v>
      </c>
      <c r="M109" s="109">
        <f t="shared" si="24"/>
        <v>0</v>
      </c>
      <c r="N109" s="109">
        <v>0</v>
      </c>
      <c r="O109" s="128"/>
      <c r="P109" s="274">
        <f t="shared" si="30"/>
        <v>738612.05</v>
      </c>
      <c r="Q109" s="274"/>
      <c r="R109" s="122">
        <f t="shared" si="31"/>
        <v>1.05</v>
      </c>
      <c r="S109" s="86">
        <f t="shared" si="25"/>
        <v>105</v>
      </c>
      <c r="T109" s="209"/>
      <c r="U109" s="51"/>
    </row>
    <row r="110" spans="1:21" ht="24.95" customHeight="1" x14ac:dyDescent="0.25">
      <c r="A110" s="28"/>
      <c r="B110" s="28">
        <f t="shared" si="27"/>
        <v>106</v>
      </c>
      <c r="C110" s="28" t="s">
        <v>117</v>
      </c>
      <c r="D110" s="120">
        <v>4.4000000000000003E-3</v>
      </c>
      <c r="E110" s="148">
        <v>1720885.06</v>
      </c>
      <c r="F110" s="147">
        <f>288000+924000+337500</f>
        <v>1549500</v>
      </c>
      <c r="G110" s="88">
        <f t="shared" si="18"/>
        <v>171385.06000000006</v>
      </c>
      <c r="H110" s="121">
        <f t="shared" si="26"/>
        <v>5290.6568022000019</v>
      </c>
      <c r="I110" s="109">
        <f t="shared" si="32"/>
        <v>316800</v>
      </c>
      <c r="J110" s="109">
        <f t="shared" si="29"/>
        <v>0</v>
      </c>
      <c r="K110" s="109">
        <f t="shared" si="22"/>
        <v>165940.54062019198</v>
      </c>
      <c r="L110" s="109">
        <f t="shared" si="23"/>
        <v>270270.27039999998</v>
      </c>
      <c r="M110" s="109">
        <f t="shared" si="24"/>
        <v>0</v>
      </c>
      <c r="N110" s="109">
        <v>0</v>
      </c>
      <c r="O110" s="128"/>
      <c r="P110" s="274">
        <f t="shared" si="30"/>
        <v>929688.06</v>
      </c>
      <c r="Q110" s="274"/>
      <c r="R110" s="122">
        <f t="shared" si="31"/>
        <v>1.06</v>
      </c>
      <c r="S110" s="86">
        <f t="shared" si="25"/>
        <v>106</v>
      </c>
      <c r="T110" t="s">
        <v>324</v>
      </c>
    </row>
    <row r="111" spans="1:21" ht="24.95" customHeight="1" x14ac:dyDescent="0.25">
      <c r="A111" s="29"/>
      <c r="B111" s="28">
        <f t="shared" si="27"/>
        <v>107</v>
      </c>
      <c r="C111" s="28" t="s">
        <v>118</v>
      </c>
      <c r="D111" s="120">
        <v>4.4000000000000003E-3</v>
      </c>
      <c r="E111" s="148">
        <v>753012.07</v>
      </c>
      <c r="F111" s="147"/>
      <c r="G111" s="87">
        <f t="shared" si="18"/>
        <v>753012.07</v>
      </c>
      <c r="H111" s="33">
        <f t="shared" si="26"/>
        <v>23245.482600899999</v>
      </c>
      <c r="I111" s="34">
        <f t="shared" si="32"/>
        <v>316800</v>
      </c>
      <c r="J111" s="34">
        <f t="shared" si="29"/>
        <v>0</v>
      </c>
      <c r="K111" s="34">
        <f t="shared" si="22"/>
        <v>165940.54062019198</v>
      </c>
      <c r="L111" s="34">
        <f t="shared" si="23"/>
        <v>270270.27039999998</v>
      </c>
      <c r="M111" s="109">
        <f t="shared" si="24"/>
        <v>0</v>
      </c>
      <c r="N111" s="109">
        <v>0</v>
      </c>
      <c r="O111" s="129"/>
      <c r="P111" s="270">
        <f t="shared" si="30"/>
        <v>1529269.07</v>
      </c>
      <c r="Q111" s="270"/>
      <c r="R111" s="24">
        <f t="shared" si="31"/>
        <v>1.07</v>
      </c>
      <c r="S111" s="1">
        <f t="shared" si="25"/>
        <v>107</v>
      </c>
      <c r="T111" t="s">
        <v>260</v>
      </c>
    </row>
    <row r="112" spans="1:21" ht="24.95" customHeight="1" x14ac:dyDescent="0.25">
      <c r="A112" s="29"/>
      <c r="B112" s="28">
        <f t="shared" si="27"/>
        <v>108</v>
      </c>
      <c r="C112" s="28" t="s">
        <v>119</v>
      </c>
      <c r="D112" s="120">
        <v>4.4000000000000003E-3</v>
      </c>
      <c r="E112" s="148">
        <v>753012.08</v>
      </c>
      <c r="F112" s="147">
        <f>E112</f>
        <v>753012.08</v>
      </c>
      <c r="G112" s="87">
        <f t="shared" si="18"/>
        <v>0</v>
      </c>
      <c r="H112" s="33">
        <f t="shared" si="26"/>
        <v>0</v>
      </c>
      <c r="I112" s="34">
        <f t="shared" si="32"/>
        <v>316800</v>
      </c>
      <c r="J112" s="34">
        <f t="shared" si="29"/>
        <v>0</v>
      </c>
      <c r="K112" s="34">
        <f t="shared" si="22"/>
        <v>165940.54062019198</v>
      </c>
      <c r="L112" s="34">
        <f t="shared" si="23"/>
        <v>270270.27039999998</v>
      </c>
      <c r="M112" s="109">
        <f t="shared" si="24"/>
        <v>0</v>
      </c>
      <c r="N112" s="109">
        <v>0</v>
      </c>
      <c r="O112" s="129"/>
      <c r="P112" s="270">
        <f t="shared" si="30"/>
        <v>753012.08</v>
      </c>
      <c r="Q112" s="270"/>
      <c r="R112" s="24">
        <f t="shared" si="31"/>
        <v>1.08</v>
      </c>
      <c r="S112" s="1">
        <f t="shared" si="25"/>
        <v>108</v>
      </c>
    </row>
    <row r="113" spans="1:24" ht="24.95" customHeight="1" x14ac:dyDescent="0.25">
      <c r="A113" s="28"/>
      <c r="B113" s="28">
        <f t="shared" si="27"/>
        <v>109</v>
      </c>
      <c r="C113" s="28" t="s">
        <v>120</v>
      </c>
      <c r="D113" s="120">
        <v>4.4999999999999997E-3</v>
      </c>
      <c r="E113" s="148">
        <v>1410258.09</v>
      </c>
      <c r="F113" s="147"/>
      <c r="G113" s="87">
        <f t="shared" si="18"/>
        <v>1410258.09</v>
      </c>
      <c r="H113" s="33">
        <f t="shared" si="26"/>
        <v>43534.667238300004</v>
      </c>
      <c r="I113" s="34">
        <f t="shared" si="32"/>
        <v>324000</v>
      </c>
      <c r="J113" s="34">
        <f t="shared" si="29"/>
        <v>0</v>
      </c>
      <c r="K113" s="34">
        <f t="shared" si="22"/>
        <v>165940.54062019198</v>
      </c>
      <c r="L113" s="34">
        <f t="shared" si="23"/>
        <v>270270.27039999998</v>
      </c>
      <c r="M113" s="109">
        <f t="shared" si="24"/>
        <v>0</v>
      </c>
      <c r="N113" s="109">
        <v>0</v>
      </c>
      <c r="O113" s="129"/>
      <c r="P113" s="270">
        <f t="shared" si="30"/>
        <v>2214005.09</v>
      </c>
      <c r="Q113" s="270"/>
      <c r="R113" s="24">
        <f t="shared" si="31"/>
        <v>1.0900000000000001</v>
      </c>
      <c r="S113" s="1">
        <f t="shared" si="25"/>
        <v>109</v>
      </c>
      <c r="T113" t="s">
        <v>256</v>
      </c>
    </row>
    <row r="114" spans="1:24" ht="24.95" customHeight="1" x14ac:dyDescent="0.25">
      <c r="A114" s="29"/>
      <c r="B114" s="28">
        <f t="shared" si="27"/>
        <v>110</v>
      </c>
      <c r="C114" s="28" t="s">
        <v>121</v>
      </c>
      <c r="D114" s="120">
        <v>4.5999999999999999E-3</v>
      </c>
      <c r="E114" s="148">
        <v>1509575.1</v>
      </c>
      <c r="F114" s="147">
        <v>720000</v>
      </c>
      <c r="G114" s="87">
        <f t="shared" si="18"/>
        <v>789575.10000000009</v>
      </c>
      <c r="H114" s="33">
        <f t="shared" si="26"/>
        <v>24374.183337000006</v>
      </c>
      <c r="I114" s="34">
        <f t="shared" si="32"/>
        <v>331200</v>
      </c>
      <c r="J114" s="34">
        <f t="shared" si="29"/>
        <v>0</v>
      </c>
      <c r="K114" s="34">
        <f t="shared" si="22"/>
        <v>165940.54062019198</v>
      </c>
      <c r="L114" s="34">
        <f t="shared" si="23"/>
        <v>270270.27039999998</v>
      </c>
      <c r="M114" s="109">
        <f t="shared" si="24"/>
        <v>0</v>
      </c>
      <c r="N114" s="109">
        <v>0</v>
      </c>
      <c r="O114" s="129"/>
      <c r="P114" s="270">
        <f t="shared" si="30"/>
        <v>1581361.1</v>
      </c>
      <c r="Q114" s="270"/>
      <c r="R114" s="24">
        <f t="shared" si="31"/>
        <v>1.1000000000000001</v>
      </c>
      <c r="S114" s="1">
        <f t="shared" si="25"/>
        <v>110</v>
      </c>
      <c r="T114" t="s">
        <v>264</v>
      </c>
      <c r="X114" s="56"/>
    </row>
    <row r="115" spans="1:24" ht="24.95" customHeight="1" x14ac:dyDescent="0.25">
      <c r="A115" s="28"/>
      <c r="B115" s="28">
        <f t="shared" si="27"/>
        <v>111</v>
      </c>
      <c r="C115" s="28" t="s">
        <v>122</v>
      </c>
      <c r="D115" s="120">
        <v>4.4999999999999997E-3</v>
      </c>
      <c r="E115" s="148">
        <v>760212.11</v>
      </c>
      <c r="F115" s="147">
        <f>E115</f>
        <v>760212.11</v>
      </c>
      <c r="G115" s="87">
        <f t="shared" si="18"/>
        <v>0</v>
      </c>
      <c r="H115" s="33">
        <f t="shared" si="26"/>
        <v>0</v>
      </c>
      <c r="I115" s="34">
        <f t="shared" si="32"/>
        <v>324000</v>
      </c>
      <c r="J115" s="34">
        <f t="shared" si="29"/>
        <v>0</v>
      </c>
      <c r="K115" s="34">
        <f t="shared" si="22"/>
        <v>165940.54062019198</v>
      </c>
      <c r="L115" s="34">
        <f t="shared" si="23"/>
        <v>270270.27039999998</v>
      </c>
      <c r="M115" s="109">
        <f t="shared" si="24"/>
        <v>0</v>
      </c>
      <c r="N115" s="109">
        <v>0</v>
      </c>
      <c r="O115" s="129"/>
      <c r="P115" s="270">
        <f t="shared" si="30"/>
        <v>760212.11</v>
      </c>
      <c r="Q115" s="270"/>
      <c r="R115" s="24">
        <f t="shared" si="31"/>
        <v>1.1100000000000001</v>
      </c>
      <c r="S115" s="1">
        <f t="shared" si="25"/>
        <v>111</v>
      </c>
    </row>
    <row r="116" spans="1:24" ht="24.95" customHeight="1" x14ac:dyDescent="0.25">
      <c r="A116" s="191"/>
      <c r="B116" s="28">
        <f t="shared" si="27"/>
        <v>112</v>
      </c>
      <c r="C116" s="28" t="s">
        <v>123</v>
      </c>
      <c r="D116" s="120">
        <v>4.4999999999999997E-3</v>
      </c>
      <c r="E116" s="148">
        <v>852586.12</v>
      </c>
      <c r="F116" s="147">
        <v>800000</v>
      </c>
      <c r="G116" s="87">
        <f t="shared" si="18"/>
        <v>52586.119999999995</v>
      </c>
      <c r="H116" s="33">
        <f t="shared" si="26"/>
        <v>1623.3335244</v>
      </c>
      <c r="I116" s="34">
        <f t="shared" si="32"/>
        <v>324000</v>
      </c>
      <c r="J116" s="34">
        <f t="shared" si="29"/>
        <v>0</v>
      </c>
      <c r="K116" s="34">
        <f t="shared" si="22"/>
        <v>165940.54062019198</v>
      </c>
      <c r="L116" s="34">
        <f t="shared" si="23"/>
        <v>270270.27039999998</v>
      </c>
      <c r="M116" s="109">
        <f t="shared" si="24"/>
        <v>0</v>
      </c>
      <c r="N116" s="109">
        <v>0</v>
      </c>
      <c r="O116" s="129"/>
      <c r="P116" s="270">
        <f t="shared" si="30"/>
        <v>814421.12</v>
      </c>
      <c r="Q116" s="270"/>
      <c r="R116" s="24">
        <f t="shared" si="31"/>
        <v>1.1200000000000001</v>
      </c>
      <c r="S116" s="1">
        <f t="shared" si="25"/>
        <v>112</v>
      </c>
      <c r="T116" t="s">
        <v>207</v>
      </c>
    </row>
    <row r="117" spans="1:24" ht="24.95" customHeight="1" x14ac:dyDescent="0.25">
      <c r="A117" s="29"/>
      <c r="B117" s="28">
        <f t="shared" si="27"/>
        <v>113</v>
      </c>
      <c r="C117" s="28" t="s">
        <v>124</v>
      </c>
      <c r="D117" s="120">
        <v>4.7000000000000002E-3</v>
      </c>
      <c r="E117" s="148">
        <v>774612.13</v>
      </c>
      <c r="F117" s="147"/>
      <c r="G117" s="87">
        <f t="shared" si="18"/>
        <v>774612.13</v>
      </c>
      <c r="H117" s="33">
        <f t="shared" si="26"/>
        <v>23912.276453100003</v>
      </c>
      <c r="I117" s="34">
        <f t="shared" si="32"/>
        <v>338400</v>
      </c>
      <c r="J117" s="34">
        <f t="shared" si="29"/>
        <v>0</v>
      </c>
      <c r="K117" s="34">
        <f t="shared" si="22"/>
        <v>165940.54062019198</v>
      </c>
      <c r="L117" s="34">
        <f t="shared" si="23"/>
        <v>270270.27039999998</v>
      </c>
      <c r="M117" s="109">
        <f t="shared" si="24"/>
        <v>0</v>
      </c>
      <c r="N117" s="109">
        <v>0</v>
      </c>
      <c r="O117" s="129"/>
      <c r="P117" s="270">
        <f t="shared" si="30"/>
        <v>1573136.13</v>
      </c>
      <c r="Q117" s="270"/>
      <c r="R117" s="24">
        <f t="shared" si="31"/>
        <v>1.1299999999999999</v>
      </c>
      <c r="S117" s="1">
        <f t="shared" si="25"/>
        <v>113</v>
      </c>
    </row>
    <row r="118" spans="1:24" ht="24.95" customHeight="1" x14ac:dyDescent="0.25">
      <c r="A118" s="29"/>
      <c r="B118" s="28">
        <f t="shared" si="27"/>
        <v>114</v>
      </c>
      <c r="C118" s="28" t="s">
        <v>125</v>
      </c>
      <c r="D118" s="120">
        <v>4.4999999999999997E-3</v>
      </c>
      <c r="E118" s="148">
        <v>760212.14</v>
      </c>
      <c r="F118" s="147">
        <f>E118</f>
        <v>760212.14</v>
      </c>
      <c r="G118" s="87">
        <f t="shared" si="18"/>
        <v>0</v>
      </c>
      <c r="H118" s="33">
        <f t="shared" si="26"/>
        <v>0</v>
      </c>
      <c r="I118" s="34">
        <f t="shared" si="32"/>
        <v>324000</v>
      </c>
      <c r="J118" s="34">
        <f t="shared" si="29"/>
        <v>0</v>
      </c>
      <c r="K118" s="34">
        <f t="shared" si="22"/>
        <v>165940.54062019198</v>
      </c>
      <c r="L118" s="34">
        <f t="shared" si="23"/>
        <v>270270.27039999998</v>
      </c>
      <c r="M118" s="109">
        <f t="shared" si="24"/>
        <v>0</v>
      </c>
      <c r="N118" s="109">
        <v>0</v>
      </c>
      <c r="O118" s="129"/>
      <c r="P118" s="270">
        <f t="shared" si="30"/>
        <v>760212.14</v>
      </c>
      <c r="Q118" s="270"/>
      <c r="R118" s="24">
        <f t="shared" si="31"/>
        <v>1.1399999999999999</v>
      </c>
      <c r="S118" s="1">
        <f t="shared" si="25"/>
        <v>114</v>
      </c>
    </row>
    <row r="119" spans="1:24" ht="24.95" customHeight="1" x14ac:dyDescent="0.25">
      <c r="A119" s="137"/>
      <c r="B119" s="28">
        <f t="shared" si="27"/>
        <v>115</v>
      </c>
      <c r="C119" s="28" t="s">
        <v>126</v>
      </c>
      <c r="D119" s="120">
        <v>6.4000000000000003E-3</v>
      </c>
      <c r="E119" s="148">
        <v>897012.15</v>
      </c>
      <c r="F119" s="147">
        <f>E119</f>
        <v>897012.15</v>
      </c>
      <c r="G119" s="87">
        <f t="shared" si="18"/>
        <v>0</v>
      </c>
      <c r="H119" s="33">
        <f t="shared" si="26"/>
        <v>0</v>
      </c>
      <c r="I119" s="34">
        <f t="shared" si="32"/>
        <v>460800</v>
      </c>
      <c r="J119" s="34">
        <f t="shared" si="29"/>
        <v>0</v>
      </c>
      <c r="K119" s="34">
        <f t="shared" si="22"/>
        <v>165940.54062019198</v>
      </c>
      <c r="L119" s="34">
        <f t="shared" si="23"/>
        <v>270270.27039999998</v>
      </c>
      <c r="M119" s="109">
        <f t="shared" si="24"/>
        <v>0</v>
      </c>
      <c r="N119" s="109">
        <v>0</v>
      </c>
      <c r="O119" s="129"/>
      <c r="P119" s="270">
        <f t="shared" si="30"/>
        <v>897012.15</v>
      </c>
      <c r="Q119" s="270"/>
      <c r="R119" s="24">
        <f t="shared" si="31"/>
        <v>1.1499999999999999</v>
      </c>
      <c r="S119" s="1">
        <f t="shared" si="25"/>
        <v>115</v>
      </c>
      <c r="T119" t="s">
        <v>438</v>
      </c>
    </row>
    <row r="120" spans="1:24" ht="24.95" customHeight="1" x14ac:dyDescent="0.25">
      <c r="A120" s="29"/>
      <c r="B120" s="28">
        <f t="shared" si="27"/>
        <v>116</v>
      </c>
      <c r="C120" s="28" t="s">
        <v>127</v>
      </c>
      <c r="D120" s="120">
        <v>5.7999999999999996E-3</v>
      </c>
      <c r="E120" s="148">
        <v>1664327.16</v>
      </c>
      <c r="F120" s="147">
        <f>786244.16+878083</f>
        <v>1664327.1600000001</v>
      </c>
      <c r="G120" s="87">
        <f t="shared" si="18"/>
        <v>0</v>
      </c>
      <c r="H120" s="33">
        <f t="shared" si="26"/>
        <v>0</v>
      </c>
      <c r="I120" s="34">
        <f t="shared" si="32"/>
        <v>417600</v>
      </c>
      <c r="J120" s="34">
        <f t="shared" si="29"/>
        <v>0</v>
      </c>
      <c r="K120" s="34">
        <f t="shared" si="22"/>
        <v>165940.54062019198</v>
      </c>
      <c r="L120" s="34">
        <f t="shared" si="23"/>
        <v>270270.27039999998</v>
      </c>
      <c r="M120" s="109">
        <f t="shared" si="24"/>
        <v>0</v>
      </c>
      <c r="N120" s="109">
        <v>0</v>
      </c>
      <c r="O120" s="129"/>
      <c r="P120" s="270">
        <f t="shared" si="30"/>
        <v>853812.16</v>
      </c>
      <c r="Q120" s="270"/>
      <c r="R120" s="24">
        <f t="shared" si="31"/>
        <v>1.1599999999999999</v>
      </c>
      <c r="S120" s="1">
        <f t="shared" si="25"/>
        <v>116</v>
      </c>
    </row>
    <row r="121" spans="1:24" ht="24.95" customHeight="1" x14ac:dyDescent="0.25">
      <c r="A121" s="29"/>
      <c r="B121" s="28">
        <f t="shared" si="27"/>
        <v>117</v>
      </c>
      <c r="C121" s="28" t="s">
        <v>128</v>
      </c>
      <c r="D121" s="120">
        <v>6.1000000000000004E-3</v>
      </c>
      <c r="E121" s="148">
        <v>875412.17</v>
      </c>
      <c r="F121" s="147">
        <f>E121</f>
        <v>875412.17</v>
      </c>
      <c r="G121" s="87">
        <f t="shared" si="18"/>
        <v>0</v>
      </c>
      <c r="H121" s="33">
        <f t="shared" si="26"/>
        <v>0</v>
      </c>
      <c r="I121" s="34">
        <f t="shared" si="32"/>
        <v>439200</v>
      </c>
      <c r="J121" s="34">
        <f t="shared" si="29"/>
        <v>0</v>
      </c>
      <c r="K121" s="34">
        <f t="shared" si="22"/>
        <v>165940.54062019198</v>
      </c>
      <c r="L121" s="34">
        <f t="shared" si="23"/>
        <v>270270.27039999998</v>
      </c>
      <c r="M121" s="109">
        <f t="shared" si="24"/>
        <v>0</v>
      </c>
      <c r="N121" s="109">
        <v>0</v>
      </c>
      <c r="O121" s="129"/>
      <c r="P121" s="270">
        <f t="shared" si="30"/>
        <v>875412.17</v>
      </c>
      <c r="Q121" s="270"/>
      <c r="R121" s="24">
        <f t="shared" si="31"/>
        <v>1.17</v>
      </c>
      <c r="S121" s="1">
        <f t="shared" si="25"/>
        <v>117</v>
      </c>
      <c r="T121" t="s">
        <v>292</v>
      </c>
    </row>
    <row r="122" spans="1:24" ht="24.95" customHeight="1" x14ac:dyDescent="0.25">
      <c r="A122" s="29"/>
      <c r="B122" s="28">
        <f t="shared" si="27"/>
        <v>118</v>
      </c>
      <c r="C122" s="28" t="s">
        <v>129</v>
      </c>
      <c r="D122" s="120">
        <v>5.7999999999999996E-3</v>
      </c>
      <c r="E122" s="148">
        <v>229670.18</v>
      </c>
      <c r="F122" s="147">
        <f>775547+2432383-F124-F125</f>
        <v>230209.59000000008</v>
      </c>
      <c r="G122" s="87">
        <f t="shared" si="18"/>
        <v>-539.4100000000908</v>
      </c>
      <c r="H122" s="33">
        <f t="shared" si="26"/>
        <v>0</v>
      </c>
      <c r="I122" s="34">
        <f t="shared" si="32"/>
        <v>417600</v>
      </c>
      <c r="J122" s="34">
        <f t="shared" si="29"/>
        <v>0</v>
      </c>
      <c r="K122" s="34">
        <f t="shared" si="22"/>
        <v>165940.54062019198</v>
      </c>
      <c r="L122" s="34">
        <f t="shared" si="23"/>
        <v>270270.27039999998</v>
      </c>
      <c r="M122" s="109">
        <f t="shared" si="24"/>
        <v>0</v>
      </c>
      <c r="N122" s="109">
        <v>0</v>
      </c>
      <c r="O122" s="129"/>
      <c r="P122" s="270">
        <f t="shared" si="30"/>
        <v>853272.18</v>
      </c>
      <c r="Q122" s="270"/>
      <c r="R122" s="24">
        <f t="shared" si="31"/>
        <v>1.18</v>
      </c>
      <c r="S122" s="1">
        <f t="shared" si="25"/>
        <v>118</v>
      </c>
      <c r="T122" t="s">
        <v>341</v>
      </c>
    </row>
    <row r="123" spans="1:24" ht="24.95" customHeight="1" x14ac:dyDescent="0.25">
      <c r="A123" s="29"/>
      <c r="B123" s="28">
        <f t="shared" si="27"/>
        <v>119</v>
      </c>
      <c r="C123" s="28" t="s">
        <v>130</v>
      </c>
      <c r="D123" s="120">
        <v>5.4000000000000003E-3</v>
      </c>
      <c r="E123" s="148">
        <v>824956.19</v>
      </c>
      <c r="F123" s="147">
        <v>825000</v>
      </c>
      <c r="G123" s="87">
        <f t="shared" si="18"/>
        <v>-43.810000000055879</v>
      </c>
      <c r="H123" s="33">
        <f t="shared" si="26"/>
        <v>0</v>
      </c>
      <c r="I123" s="34">
        <f t="shared" si="32"/>
        <v>388800</v>
      </c>
      <c r="J123" s="34">
        <f t="shared" si="29"/>
        <v>0</v>
      </c>
      <c r="K123" s="34">
        <f t="shared" si="22"/>
        <v>165940.54062019198</v>
      </c>
      <c r="L123" s="34">
        <f t="shared" si="23"/>
        <v>270270.27039999998</v>
      </c>
      <c r="M123" s="109">
        <f t="shared" si="24"/>
        <v>0</v>
      </c>
      <c r="N123" s="109">
        <v>0</v>
      </c>
      <c r="O123" s="129"/>
      <c r="P123" s="270">
        <f t="shared" si="30"/>
        <v>824968.19</v>
      </c>
      <c r="Q123" s="270"/>
      <c r="R123" s="24">
        <f t="shared" si="31"/>
        <v>1.19</v>
      </c>
      <c r="S123" s="1">
        <f t="shared" si="25"/>
        <v>119</v>
      </c>
      <c r="T123" t="s">
        <v>212</v>
      </c>
    </row>
    <row r="124" spans="1:24" ht="24.95" customHeight="1" x14ac:dyDescent="0.25">
      <c r="A124" s="29"/>
      <c r="B124" s="28">
        <f t="shared" si="27"/>
        <v>120</v>
      </c>
      <c r="C124" s="28" t="s">
        <v>129</v>
      </c>
      <c r="D124" s="120">
        <v>4.5999999999999999E-3</v>
      </c>
      <c r="E124" s="148">
        <v>1488860.2</v>
      </c>
      <c r="F124" s="147">
        <f>E124</f>
        <v>1488860.2</v>
      </c>
      <c r="G124" s="87">
        <f t="shared" si="18"/>
        <v>0</v>
      </c>
      <c r="H124" s="33">
        <f t="shared" si="26"/>
        <v>0</v>
      </c>
      <c r="I124" s="34">
        <f t="shared" si="32"/>
        <v>331200</v>
      </c>
      <c r="J124" s="34">
        <f t="shared" si="29"/>
        <v>0</v>
      </c>
      <c r="K124" s="34">
        <f t="shared" si="22"/>
        <v>165940.54062019198</v>
      </c>
      <c r="L124" s="34">
        <f t="shared" si="23"/>
        <v>270270.27039999998</v>
      </c>
      <c r="M124" s="109">
        <f t="shared" si="24"/>
        <v>0</v>
      </c>
      <c r="N124" s="109">
        <v>0</v>
      </c>
      <c r="O124" s="129"/>
      <c r="P124" s="270">
        <f t="shared" si="30"/>
        <v>767412.2</v>
      </c>
      <c r="Q124" s="270"/>
      <c r="R124" s="24">
        <f t="shared" si="31"/>
        <v>1.2</v>
      </c>
      <c r="S124" s="1">
        <f t="shared" si="25"/>
        <v>120</v>
      </c>
      <c r="T124" t="s">
        <v>342</v>
      </c>
    </row>
    <row r="125" spans="1:24" ht="24.95" customHeight="1" x14ac:dyDescent="0.25">
      <c r="A125" s="29"/>
      <c r="B125" s="28">
        <f t="shared" si="27"/>
        <v>121</v>
      </c>
      <c r="C125" s="28" t="s">
        <v>129</v>
      </c>
      <c r="D125" s="120">
        <v>4.5999999999999999E-3</v>
      </c>
      <c r="E125" s="148">
        <v>1488860.21</v>
      </c>
      <c r="F125" s="147">
        <f>E125</f>
        <v>1488860.21</v>
      </c>
      <c r="G125" s="87">
        <f t="shared" si="18"/>
        <v>0</v>
      </c>
      <c r="H125" s="33">
        <f t="shared" si="26"/>
        <v>0</v>
      </c>
      <c r="I125" s="34">
        <f t="shared" si="32"/>
        <v>331200</v>
      </c>
      <c r="J125" s="34">
        <f t="shared" si="29"/>
        <v>0</v>
      </c>
      <c r="K125" s="34">
        <f t="shared" si="22"/>
        <v>165940.54062019198</v>
      </c>
      <c r="L125" s="34">
        <f t="shared" si="23"/>
        <v>270270.27039999998</v>
      </c>
      <c r="M125" s="109">
        <f t="shared" si="24"/>
        <v>0</v>
      </c>
      <c r="N125" s="109">
        <v>0</v>
      </c>
      <c r="O125" s="129"/>
      <c r="P125" s="270">
        <f t="shared" si="30"/>
        <v>767412.21</v>
      </c>
      <c r="Q125" s="270"/>
      <c r="R125" s="24">
        <f t="shared" si="31"/>
        <v>1.21</v>
      </c>
      <c r="S125" s="1">
        <f t="shared" si="25"/>
        <v>121</v>
      </c>
      <c r="T125" t="s">
        <v>342</v>
      </c>
    </row>
    <row r="126" spans="1:24" ht="24.95" customHeight="1" x14ac:dyDescent="0.25">
      <c r="A126" s="29"/>
      <c r="B126" s="28">
        <f t="shared" si="27"/>
        <v>122</v>
      </c>
      <c r="C126" s="28" t="s">
        <v>131</v>
      </c>
      <c r="D126" s="120">
        <v>4.5999999999999999E-3</v>
      </c>
      <c r="E126" s="148">
        <v>754155.22</v>
      </c>
      <c r="F126" s="147">
        <f>E126</f>
        <v>754155.22</v>
      </c>
      <c r="G126" s="87">
        <f t="shared" si="18"/>
        <v>0</v>
      </c>
      <c r="H126" s="33">
        <f t="shared" si="26"/>
        <v>0</v>
      </c>
      <c r="I126" s="34">
        <f t="shared" si="32"/>
        <v>331200</v>
      </c>
      <c r="J126" s="34">
        <f t="shared" si="29"/>
        <v>0</v>
      </c>
      <c r="K126" s="34">
        <f t="shared" si="22"/>
        <v>165940.54062019198</v>
      </c>
      <c r="L126" s="34">
        <f t="shared" si="23"/>
        <v>270270.27039999998</v>
      </c>
      <c r="M126" s="109">
        <f t="shared" si="24"/>
        <v>0</v>
      </c>
      <c r="N126" s="109">
        <v>0</v>
      </c>
      <c r="O126" s="109"/>
      <c r="P126" s="270">
        <f t="shared" si="30"/>
        <v>767412.22</v>
      </c>
      <c r="Q126" s="270"/>
      <c r="R126" s="24">
        <f t="shared" si="31"/>
        <v>1.22</v>
      </c>
      <c r="S126" s="1">
        <f t="shared" si="25"/>
        <v>122</v>
      </c>
    </row>
    <row r="127" spans="1:24" ht="24.95" customHeight="1" x14ac:dyDescent="0.25">
      <c r="A127" s="29"/>
      <c r="B127" s="28">
        <f t="shared" si="27"/>
        <v>123</v>
      </c>
      <c r="C127" s="28" t="s">
        <v>132</v>
      </c>
      <c r="D127" s="120">
        <v>4.5999999999999999E-3</v>
      </c>
      <c r="E127" s="148">
        <v>767412.23</v>
      </c>
      <c r="F127" s="147">
        <f t="shared" ref="F127:F129" si="33">E127</f>
        <v>767412.23</v>
      </c>
      <c r="G127" s="87">
        <f t="shared" si="18"/>
        <v>0</v>
      </c>
      <c r="H127" s="33">
        <f t="shared" si="26"/>
        <v>0</v>
      </c>
      <c r="I127" s="34">
        <f t="shared" si="32"/>
        <v>331200</v>
      </c>
      <c r="J127" s="34">
        <f t="shared" si="29"/>
        <v>0</v>
      </c>
      <c r="K127" s="34">
        <f t="shared" si="22"/>
        <v>165940.54062019198</v>
      </c>
      <c r="L127" s="34">
        <f t="shared" si="23"/>
        <v>270270.27039999998</v>
      </c>
      <c r="M127" s="109">
        <f t="shared" si="24"/>
        <v>0</v>
      </c>
      <c r="N127" s="109">
        <v>0</v>
      </c>
      <c r="O127" s="129"/>
      <c r="P127" s="270">
        <f t="shared" si="30"/>
        <v>767412.23</v>
      </c>
      <c r="Q127" s="270"/>
      <c r="R127" s="24">
        <f t="shared" si="31"/>
        <v>1.23</v>
      </c>
      <c r="S127" s="1">
        <f t="shared" si="25"/>
        <v>123</v>
      </c>
      <c r="T127" t="s">
        <v>293</v>
      </c>
    </row>
    <row r="128" spans="1:24" ht="24.95" customHeight="1" x14ac:dyDescent="0.25">
      <c r="A128" s="28"/>
      <c r="B128" s="28">
        <f t="shared" si="27"/>
        <v>124</v>
      </c>
      <c r="C128" s="28" t="s">
        <v>133</v>
      </c>
      <c r="D128" s="120">
        <v>4.5999999999999999E-3</v>
      </c>
      <c r="E128" s="148">
        <v>802968.24</v>
      </c>
      <c r="F128" s="147">
        <f>E128</f>
        <v>802968.24</v>
      </c>
      <c r="G128" s="87">
        <f t="shared" si="18"/>
        <v>0</v>
      </c>
      <c r="H128" s="33">
        <f t="shared" si="26"/>
        <v>0</v>
      </c>
      <c r="I128" s="34">
        <f t="shared" si="32"/>
        <v>331200</v>
      </c>
      <c r="J128" s="34">
        <f t="shared" si="29"/>
        <v>0</v>
      </c>
      <c r="K128" s="34">
        <f t="shared" si="22"/>
        <v>165940.54062019198</v>
      </c>
      <c r="L128" s="34">
        <f t="shared" si="23"/>
        <v>270270.27039999998</v>
      </c>
      <c r="M128" s="109">
        <f t="shared" si="24"/>
        <v>0</v>
      </c>
      <c r="N128" s="109">
        <v>0</v>
      </c>
      <c r="O128" s="129"/>
      <c r="P128" s="270">
        <f t="shared" si="30"/>
        <v>767412.24</v>
      </c>
      <c r="Q128" s="270"/>
      <c r="R128" s="24">
        <f t="shared" si="31"/>
        <v>1.24</v>
      </c>
      <c r="S128" s="1">
        <f t="shared" si="25"/>
        <v>124</v>
      </c>
    </row>
    <row r="129" spans="1:20" ht="24.95" customHeight="1" x14ac:dyDescent="0.25">
      <c r="A129" s="28"/>
      <c r="B129" s="28">
        <f t="shared" si="27"/>
        <v>125</v>
      </c>
      <c r="C129" s="28" t="s">
        <v>134</v>
      </c>
      <c r="D129" s="120">
        <v>4.5999999999999999E-3</v>
      </c>
      <c r="E129" s="148">
        <v>767412.25</v>
      </c>
      <c r="F129" s="147">
        <f t="shared" si="33"/>
        <v>767412.25</v>
      </c>
      <c r="G129" s="87">
        <f t="shared" si="18"/>
        <v>0</v>
      </c>
      <c r="H129" s="33">
        <f t="shared" si="26"/>
        <v>0</v>
      </c>
      <c r="I129" s="34">
        <f t="shared" si="32"/>
        <v>331200</v>
      </c>
      <c r="J129" s="34">
        <f t="shared" si="29"/>
        <v>0</v>
      </c>
      <c r="K129" s="34">
        <f t="shared" si="22"/>
        <v>165940.54062019198</v>
      </c>
      <c r="L129" s="34">
        <f t="shared" si="23"/>
        <v>270270.27039999998</v>
      </c>
      <c r="M129" s="109">
        <f t="shared" si="24"/>
        <v>0</v>
      </c>
      <c r="N129" s="109">
        <v>0</v>
      </c>
      <c r="O129" s="129"/>
      <c r="P129" s="270">
        <f t="shared" si="30"/>
        <v>767412.25</v>
      </c>
      <c r="Q129" s="270"/>
      <c r="R129" s="24">
        <f t="shared" si="31"/>
        <v>1.25</v>
      </c>
      <c r="S129" s="1">
        <f t="shared" si="25"/>
        <v>125</v>
      </c>
      <c r="T129" t="s">
        <v>268</v>
      </c>
    </row>
    <row r="130" spans="1:20" ht="24.95" customHeight="1" x14ac:dyDescent="0.25">
      <c r="A130" s="28"/>
      <c r="B130" s="28">
        <f t="shared" si="27"/>
        <v>126</v>
      </c>
      <c r="C130" s="28" t="s">
        <v>135</v>
      </c>
      <c r="D130" s="120">
        <v>4.5999999999999999E-3</v>
      </c>
      <c r="E130" s="148">
        <v>1488860.26</v>
      </c>
      <c r="F130" s="147">
        <f>789016+699844.26</f>
        <v>1488860.26</v>
      </c>
      <c r="G130" s="87">
        <f t="shared" si="18"/>
        <v>0</v>
      </c>
      <c r="H130" s="33">
        <f t="shared" si="26"/>
        <v>0</v>
      </c>
      <c r="I130" s="34">
        <f t="shared" si="32"/>
        <v>331200</v>
      </c>
      <c r="J130" s="34">
        <f t="shared" si="29"/>
        <v>0</v>
      </c>
      <c r="K130" s="34">
        <f t="shared" si="22"/>
        <v>165940.54062019198</v>
      </c>
      <c r="L130" s="34">
        <f t="shared" si="23"/>
        <v>270270.27039999998</v>
      </c>
      <c r="M130" s="109">
        <f t="shared" si="24"/>
        <v>0</v>
      </c>
      <c r="N130" s="109">
        <v>0</v>
      </c>
      <c r="O130" s="129"/>
      <c r="P130" s="270">
        <f t="shared" si="30"/>
        <v>767412.26</v>
      </c>
      <c r="Q130" s="270"/>
      <c r="R130" s="24">
        <f t="shared" si="31"/>
        <v>1.26</v>
      </c>
      <c r="S130" s="1">
        <f t="shared" si="25"/>
        <v>126</v>
      </c>
    </row>
    <row r="131" spans="1:20" ht="24.95" customHeight="1" x14ac:dyDescent="0.25">
      <c r="A131" s="28"/>
      <c r="B131" s="28">
        <f t="shared" si="27"/>
        <v>127</v>
      </c>
      <c r="C131" s="28" t="s">
        <v>136</v>
      </c>
      <c r="D131" s="120">
        <v>5.5999999999999999E-3</v>
      </c>
      <c r="E131" s="148">
        <v>839412.27</v>
      </c>
      <c r="F131" s="147">
        <f>E131</f>
        <v>839412.27</v>
      </c>
      <c r="G131" s="87">
        <f t="shared" si="18"/>
        <v>0</v>
      </c>
      <c r="H131" s="33">
        <f t="shared" si="26"/>
        <v>0</v>
      </c>
      <c r="I131" s="34">
        <f t="shared" si="32"/>
        <v>403200</v>
      </c>
      <c r="J131" s="34">
        <f t="shared" si="29"/>
        <v>0</v>
      </c>
      <c r="K131" s="34">
        <f t="shared" si="22"/>
        <v>165940.54062019198</v>
      </c>
      <c r="L131" s="34">
        <f t="shared" si="23"/>
        <v>270270.27039999998</v>
      </c>
      <c r="M131" s="109">
        <f t="shared" si="24"/>
        <v>0</v>
      </c>
      <c r="N131" s="109">
        <v>0</v>
      </c>
      <c r="O131" s="129"/>
      <c r="P131" s="270">
        <f t="shared" si="30"/>
        <v>839412.27</v>
      </c>
      <c r="Q131" s="270"/>
      <c r="R131" s="24">
        <f t="shared" si="31"/>
        <v>1.27</v>
      </c>
      <c r="S131" s="1">
        <f t="shared" si="25"/>
        <v>127</v>
      </c>
      <c r="T131" t="s">
        <v>219</v>
      </c>
    </row>
    <row r="132" spans="1:20" ht="24.95" customHeight="1" x14ac:dyDescent="0.25">
      <c r="A132" s="28"/>
      <c r="B132" s="28">
        <f t="shared" si="27"/>
        <v>128</v>
      </c>
      <c r="C132" s="28" t="s">
        <v>137</v>
      </c>
      <c r="D132" s="120">
        <v>6.1000000000000004E-3</v>
      </c>
      <c r="E132" s="148">
        <v>7867866.2800000003</v>
      </c>
      <c r="F132" s="147">
        <v>875411.28</v>
      </c>
      <c r="G132" s="87">
        <f t="shared" si="18"/>
        <v>6992455</v>
      </c>
      <c r="H132" s="33">
        <f t="shared" si="26"/>
        <v>215857.08585</v>
      </c>
      <c r="I132" s="34">
        <f t="shared" si="32"/>
        <v>439200</v>
      </c>
      <c r="J132" s="34">
        <f t="shared" si="29"/>
        <v>0</v>
      </c>
      <c r="K132" s="34">
        <f t="shared" si="22"/>
        <v>165940.54062019198</v>
      </c>
      <c r="L132" s="34">
        <f t="shared" si="23"/>
        <v>270270.27039999998</v>
      </c>
      <c r="M132" s="34">
        <f t="shared" si="24"/>
        <v>0</v>
      </c>
      <c r="N132" s="109">
        <v>0</v>
      </c>
      <c r="O132" s="129"/>
      <c r="P132" s="270">
        <f t="shared" si="30"/>
        <v>8083724.2800000003</v>
      </c>
      <c r="Q132" s="270"/>
      <c r="R132" s="24">
        <f t="shared" si="31"/>
        <v>1.28</v>
      </c>
      <c r="S132" s="1">
        <f t="shared" si="25"/>
        <v>128</v>
      </c>
    </row>
    <row r="133" spans="1:20" ht="24.95" customHeight="1" x14ac:dyDescent="0.25">
      <c r="A133" s="28"/>
      <c r="B133" s="28">
        <f>B132+1</f>
        <v>129</v>
      </c>
      <c r="C133" s="28" t="s">
        <v>138</v>
      </c>
      <c r="D133" s="120">
        <v>6.1000000000000004E-3</v>
      </c>
      <c r="E133" s="148">
        <v>875412.29</v>
      </c>
      <c r="F133" s="147">
        <f>E133</f>
        <v>875412.29</v>
      </c>
      <c r="G133" s="87">
        <f t="shared" si="18"/>
        <v>0</v>
      </c>
      <c r="H133" s="33">
        <f t="shared" si="26"/>
        <v>0</v>
      </c>
      <c r="I133" s="34">
        <f t="shared" si="32"/>
        <v>439200</v>
      </c>
      <c r="J133" s="34">
        <f t="shared" ref="J133:J143" si="34">P$2*D133</f>
        <v>0</v>
      </c>
      <c r="K133" s="34">
        <f t="shared" si="22"/>
        <v>165940.54062019198</v>
      </c>
      <c r="L133" s="34">
        <f t="shared" si="23"/>
        <v>270270.27039999998</v>
      </c>
      <c r="M133" s="34">
        <f t="shared" si="24"/>
        <v>0</v>
      </c>
      <c r="N133" s="109">
        <v>0</v>
      </c>
      <c r="O133" s="129"/>
      <c r="P133" s="270">
        <f t="shared" ref="P133:P143" si="35">ROUND(SUM(G133:O133),0) + R133</f>
        <v>875412.29</v>
      </c>
      <c r="Q133" s="270"/>
      <c r="R133" s="24">
        <f t="shared" ref="R133:R157" si="36">ROUND(0.001+B133/100,2)</f>
        <v>1.29</v>
      </c>
      <c r="S133" s="1">
        <f t="shared" si="25"/>
        <v>129</v>
      </c>
      <c r="T133" t="s">
        <v>197</v>
      </c>
    </row>
    <row r="134" spans="1:20" ht="24.95" customHeight="1" x14ac:dyDescent="0.25">
      <c r="A134" s="28"/>
      <c r="B134" s="28">
        <f t="shared" si="27"/>
        <v>130</v>
      </c>
      <c r="C134" s="28" t="s">
        <v>139</v>
      </c>
      <c r="D134" s="120">
        <v>5.7000000000000002E-3</v>
      </c>
      <c r="E134" s="148">
        <v>846718.3</v>
      </c>
      <c r="F134" s="147">
        <v>847000</v>
      </c>
      <c r="G134" s="87">
        <f t="shared" si="18"/>
        <v>-281.69999999995343</v>
      </c>
      <c r="H134" s="33">
        <f t="shared" si="26"/>
        <v>0</v>
      </c>
      <c r="I134" s="34">
        <f t="shared" si="32"/>
        <v>410400</v>
      </c>
      <c r="J134" s="34">
        <f t="shared" si="34"/>
        <v>0</v>
      </c>
      <c r="K134" s="34">
        <f t="shared" ref="K134:K143" si="37">G$2*0.675675676%</f>
        <v>165940.54062019198</v>
      </c>
      <c r="L134" s="34">
        <f t="shared" ref="L134:L142" si="38">P$1*0.675675676%</f>
        <v>270270.27039999998</v>
      </c>
      <c r="M134" s="34">
        <f t="shared" ref="M134:M157" si="39">G$1*D134</f>
        <v>0</v>
      </c>
      <c r="N134" s="109">
        <v>0</v>
      </c>
      <c r="O134" s="129"/>
      <c r="P134" s="270">
        <f t="shared" si="35"/>
        <v>846330.3</v>
      </c>
      <c r="Q134" s="270"/>
      <c r="R134" s="24">
        <f t="shared" si="36"/>
        <v>1.3</v>
      </c>
      <c r="S134" s="1">
        <f t="shared" ref="S134:S157" si="40">B134</f>
        <v>130</v>
      </c>
      <c r="T134" t="s">
        <v>216</v>
      </c>
    </row>
    <row r="135" spans="1:20" ht="24.95" customHeight="1" x14ac:dyDescent="0.25">
      <c r="A135" s="28"/>
      <c r="B135" s="28">
        <f t="shared" si="27"/>
        <v>131</v>
      </c>
      <c r="C135" s="28" t="s">
        <v>140</v>
      </c>
      <c r="D135" s="120">
        <v>6.1000000000000004E-3</v>
      </c>
      <c r="E135" s="148">
        <v>875412.31</v>
      </c>
      <c r="F135" s="147">
        <f>845712.31</f>
        <v>845712.31</v>
      </c>
      <c r="G135" s="87">
        <f t="shared" si="18"/>
        <v>29700</v>
      </c>
      <c r="H135" s="33">
        <f t="shared" ref="H135:H157" si="41">IF(G135&gt;0,G135*3.087%,0)</f>
        <v>916.83900000000006</v>
      </c>
      <c r="I135" s="34">
        <f t="shared" si="32"/>
        <v>439200</v>
      </c>
      <c r="J135" s="34">
        <f t="shared" si="34"/>
        <v>0</v>
      </c>
      <c r="K135" s="34">
        <f t="shared" si="37"/>
        <v>165940.54062019198</v>
      </c>
      <c r="L135" s="34">
        <f t="shared" si="38"/>
        <v>270270.27039999998</v>
      </c>
      <c r="M135" s="34">
        <f t="shared" si="39"/>
        <v>0</v>
      </c>
      <c r="N135" s="109">
        <v>0</v>
      </c>
      <c r="O135" s="129"/>
      <c r="P135" s="270">
        <f t="shared" si="35"/>
        <v>906029.31</v>
      </c>
      <c r="Q135" s="270"/>
      <c r="R135" s="24">
        <f t="shared" si="36"/>
        <v>1.31</v>
      </c>
      <c r="S135" s="1">
        <f t="shared" si="40"/>
        <v>131</v>
      </c>
      <c r="T135" t="s">
        <v>311</v>
      </c>
    </row>
    <row r="136" spans="1:20" ht="24.95" customHeight="1" x14ac:dyDescent="0.25">
      <c r="A136" s="28"/>
      <c r="B136" s="28">
        <f t="shared" si="27"/>
        <v>132</v>
      </c>
      <c r="C136" s="28" t="s">
        <v>141</v>
      </c>
      <c r="D136" s="120">
        <v>6.0000000000000001E-3</v>
      </c>
      <c r="E136" s="148">
        <v>868212.32</v>
      </c>
      <c r="F136" s="147">
        <f>E136</f>
        <v>868212.32</v>
      </c>
      <c r="G136" s="87">
        <f t="shared" si="18"/>
        <v>0</v>
      </c>
      <c r="H136" s="33">
        <f t="shared" si="41"/>
        <v>0</v>
      </c>
      <c r="I136" s="34">
        <f t="shared" si="32"/>
        <v>432000</v>
      </c>
      <c r="J136" s="34">
        <f t="shared" si="34"/>
        <v>0</v>
      </c>
      <c r="K136" s="34">
        <f t="shared" si="37"/>
        <v>165940.54062019198</v>
      </c>
      <c r="L136" s="34">
        <f t="shared" si="38"/>
        <v>270270.27039999998</v>
      </c>
      <c r="M136" s="34">
        <f t="shared" si="39"/>
        <v>0</v>
      </c>
      <c r="N136" s="109">
        <v>0</v>
      </c>
      <c r="O136" s="129"/>
      <c r="P136" s="270">
        <f t="shared" si="35"/>
        <v>868212.32</v>
      </c>
      <c r="Q136" s="270"/>
      <c r="R136" s="24">
        <f t="shared" si="36"/>
        <v>1.32</v>
      </c>
      <c r="S136" s="1">
        <f t="shared" si="40"/>
        <v>132</v>
      </c>
      <c r="T136" t="s">
        <v>265</v>
      </c>
    </row>
    <row r="137" spans="1:20" ht="24.95" customHeight="1" x14ac:dyDescent="0.25">
      <c r="A137" s="28"/>
      <c r="B137" s="28">
        <f t="shared" ref="B137:B145" si="42">B136+1</f>
        <v>133</v>
      </c>
      <c r="C137" s="28" t="s">
        <v>142</v>
      </c>
      <c r="D137" s="120">
        <v>6.4000000000000003E-3</v>
      </c>
      <c r="E137" s="148">
        <v>897012.33</v>
      </c>
      <c r="F137" s="147">
        <f>E137</f>
        <v>897012.33</v>
      </c>
      <c r="G137" s="87">
        <f t="shared" si="18"/>
        <v>0</v>
      </c>
      <c r="H137" s="33">
        <f t="shared" si="41"/>
        <v>0</v>
      </c>
      <c r="I137" s="34">
        <f t="shared" si="32"/>
        <v>460800</v>
      </c>
      <c r="J137" s="34">
        <f t="shared" si="34"/>
        <v>0</v>
      </c>
      <c r="K137" s="34">
        <f t="shared" si="37"/>
        <v>165940.54062019198</v>
      </c>
      <c r="L137" s="34">
        <f t="shared" si="38"/>
        <v>270270.27039999998</v>
      </c>
      <c r="M137" s="34">
        <f t="shared" si="39"/>
        <v>0</v>
      </c>
      <c r="N137" s="109">
        <v>0</v>
      </c>
      <c r="O137" s="129"/>
      <c r="P137" s="270">
        <f t="shared" si="35"/>
        <v>897012.33</v>
      </c>
      <c r="Q137" s="270"/>
      <c r="R137" s="24">
        <f t="shared" si="36"/>
        <v>1.33</v>
      </c>
      <c r="S137" s="1">
        <f t="shared" si="40"/>
        <v>133</v>
      </c>
      <c r="T137" t="s">
        <v>224</v>
      </c>
    </row>
    <row r="138" spans="1:20" ht="24.95" customHeight="1" x14ac:dyDescent="0.25">
      <c r="A138" s="28"/>
      <c r="B138" s="28">
        <f t="shared" si="42"/>
        <v>134</v>
      </c>
      <c r="C138" s="28" t="s">
        <v>143</v>
      </c>
      <c r="D138" s="120">
        <v>5.3E-3</v>
      </c>
      <c r="E138" s="148">
        <v>817812.34</v>
      </c>
      <c r="F138" s="147">
        <f>E138</f>
        <v>817812.34</v>
      </c>
      <c r="G138" s="87">
        <f t="shared" si="18"/>
        <v>0</v>
      </c>
      <c r="H138" s="33">
        <f t="shared" si="41"/>
        <v>0</v>
      </c>
      <c r="I138" s="34">
        <f t="shared" si="32"/>
        <v>381600</v>
      </c>
      <c r="J138" s="34">
        <f t="shared" si="34"/>
        <v>0</v>
      </c>
      <c r="K138" s="34">
        <f t="shared" si="37"/>
        <v>165940.54062019198</v>
      </c>
      <c r="L138" s="34">
        <f t="shared" si="38"/>
        <v>270270.27039999998</v>
      </c>
      <c r="M138" s="34">
        <f t="shared" si="39"/>
        <v>0</v>
      </c>
      <c r="N138" s="109">
        <v>0</v>
      </c>
      <c r="O138" s="129"/>
      <c r="P138" s="270">
        <f t="shared" si="35"/>
        <v>817812.34</v>
      </c>
      <c r="Q138" s="270"/>
      <c r="R138" s="24">
        <f t="shared" si="36"/>
        <v>1.34</v>
      </c>
      <c r="S138" s="1">
        <f t="shared" si="40"/>
        <v>134</v>
      </c>
      <c r="T138" t="s">
        <v>204</v>
      </c>
    </row>
    <row r="139" spans="1:20" ht="24.95" customHeight="1" x14ac:dyDescent="0.25">
      <c r="A139" s="28"/>
      <c r="B139" s="28">
        <f t="shared" si="42"/>
        <v>135</v>
      </c>
      <c r="C139" s="28" t="s">
        <v>143</v>
      </c>
      <c r="D139" s="120">
        <v>6.1000000000000004E-3</v>
      </c>
      <c r="E139" s="148">
        <v>875412.35</v>
      </c>
      <c r="F139" s="147">
        <f>E139</f>
        <v>875412.35</v>
      </c>
      <c r="G139" s="87">
        <f t="shared" si="18"/>
        <v>0</v>
      </c>
      <c r="H139" s="33">
        <f t="shared" si="41"/>
        <v>0</v>
      </c>
      <c r="I139" s="34">
        <f t="shared" si="32"/>
        <v>439200</v>
      </c>
      <c r="J139" s="34">
        <f t="shared" si="34"/>
        <v>0</v>
      </c>
      <c r="K139" s="34">
        <f t="shared" si="37"/>
        <v>165940.54062019198</v>
      </c>
      <c r="L139" s="34">
        <f t="shared" si="38"/>
        <v>270270.27039999998</v>
      </c>
      <c r="M139" s="34">
        <f t="shared" si="39"/>
        <v>0</v>
      </c>
      <c r="N139" s="109">
        <v>0</v>
      </c>
      <c r="O139" s="129"/>
      <c r="P139" s="270">
        <f t="shared" si="35"/>
        <v>875412.35</v>
      </c>
      <c r="Q139" s="270"/>
      <c r="R139" s="24">
        <f t="shared" si="36"/>
        <v>1.35</v>
      </c>
      <c r="S139" s="1">
        <f t="shared" si="40"/>
        <v>135</v>
      </c>
      <c r="T139" s="89" t="s">
        <v>204</v>
      </c>
    </row>
    <row r="140" spans="1:20" ht="24.95" customHeight="1" x14ac:dyDescent="0.25">
      <c r="A140" s="187"/>
      <c r="B140" s="28">
        <f t="shared" si="42"/>
        <v>136</v>
      </c>
      <c r="C140" s="28" t="s">
        <v>144</v>
      </c>
      <c r="D140" s="120">
        <v>6.1999999999999998E-3</v>
      </c>
      <c r="E140" s="148">
        <v>2590367.36</v>
      </c>
      <c r="F140" s="147">
        <f>1498286.36+51140</f>
        <v>1549426.36</v>
      </c>
      <c r="G140" s="87">
        <f t="shared" si="18"/>
        <v>1040940.9999999998</v>
      </c>
      <c r="H140" s="33">
        <f t="shared" si="41"/>
        <v>32133.848669999996</v>
      </c>
      <c r="I140" s="34">
        <f t="shared" si="32"/>
        <v>446400</v>
      </c>
      <c r="J140" s="34">
        <f t="shared" si="34"/>
        <v>0</v>
      </c>
      <c r="K140" s="34">
        <f t="shared" si="37"/>
        <v>165940.54062019198</v>
      </c>
      <c r="L140" s="34">
        <f t="shared" si="38"/>
        <v>270270.27039999998</v>
      </c>
      <c r="M140" s="34">
        <f t="shared" si="39"/>
        <v>0</v>
      </c>
      <c r="N140" s="109">
        <v>0</v>
      </c>
      <c r="O140" s="129"/>
      <c r="P140" s="270">
        <f t="shared" si="35"/>
        <v>1955687.36</v>
      </c>
      <c r="Q140" s="270"/>
      <c r="R140" s="24">
        <f t="shared" si="36"/>
        <v>1.36</v>
      </c>
      <c r="S140" s="1">
        <f t="shared" si="40"/>
        <v>136</v>
      </c>
      <c r="T140" t="s">
        <v>285</v>
      </c>
    </row>
    <row r="141" spans="1:20" ht="24.95" customHeight="1" x14ac:dyDescent="0.25">
      <c r="A141" s="28"/>
      <c r="B141" s="28">
        <f t="shared" si="42"/>
        <v>137</v>
      </c>
      <c r="C141" s="28" t="s">
        <v>145</v>
      </c>
      <c r="D141" s="120">
        <v>5.4000000000000003E-3</v>
      </c>
      <c r="E141" s="148">
        <v>825012.37</v>
      </c>
      <c r="F141" s="147">
        <f>E141</f>
        <v>825012.37</v>
      </c>
      <c r="G141" s="87">
        <f t="shared" si="18"/>
        <v>0</v>
      </c>
      <c r="H141" s="33">
        <f t="shared" si="41"/>
        <v>0</v>
      </c>
      <c r="I141" s="34">
        <f t="shared" si="32"/>
        <v>388800</v>
      </c>
      <c r="J141" s="34">
        <f t="shared" si="34"/>
        <v>0</v>
      </c>
      <c r="K141" s="34">
        <f t="shared" si="37"/>
        <v>165940.54062019198</v>
      </c>
      <c r="L141" s="34">
        <f t="shared" si="38"/>
        <v>270270.27039999998</v>
      </c>
      <c r="M141" s="34">
        <f t="shared" si="39"/>
        <v>0</v>
      </c>
      <c r="N141" s="109">
        <v>0</v>
      </c>
      <c r="O141" s="129"/>
      <c r="P141" s="270">
        <f t="shared" si="35"/>
        <v>825012.37</v>
      </c>
      <c r="Q141" s="270"/>
      <c r="R141" s="24">
        <f t="shared" si="36"/>
        <v>1.37</v>
      </c>
      <c r="S141" s="1">
        <f t="shared" si="40"/>
        <v>137</v>
      </c>
    </row>
    <row r="142" spans="1:20" ht="24.95" customHeight="1" x14ac:dyDescent="0.25">
      <c r="A142" s="28"/>
      <c r="B142" s="28">
        <f t="shared" si="42"/>
        <v>138</v>
      </c>
      <c r="C142" s="28" t="s">
        <v>146</v>
      </c>
      <c r="D142" s="120">
        <v>6.4999999999999997E-3</v>
      </c>
      <c r="E142" s="148">
        <v>904212.38</v>
      </c>
      <c r="F142" s="147">
        <f>E142</f>
        <v>904212.38</v>
      </c>
      <c r="G142" s="87">
        <f t="shared" si="18"/>
        <v>0</v>
      </c>
      <c r="H142" s="33">
        <f t="shared" si="41"/>
        <v>0</v>
      </c>
      <c r="I142" s="34">
        <f t="shared" si="32"/>
        <v>468000</v>
      </c>
      <c r="J142" s="34">
        <f t="shared" si="34"/>
        <v>0</v>
      </c>
      <c r="K142" s="34">
        <f t="shared" si="37"/>
        <v>165940.54062019198</v>
      </c>
      <c r="L142" s="34">
        <f t="shared" si="38"/>
        <v>270270.27039999998</v>
      </c>
      <c r="M142" s="34">
        <f t="shared" si="39"/>
        <v>0</v>
      </c>
      <c r="N142" s="109">
        <v>0</v>
      </c>
      <c r="O142" s="129"/>
      <c r="P142" s="270">
        <f t="shared" si="35"/>
        <v>904212.38</v>
      </c>
      <c r="Q142" s="270"/>
      <c r="R142" s="24">
        <f t="shared" si="36"/>
        <v>1.38</v>
      </c>
      <c r="S142" s="1">
        <f t="shared" si="40"/>
        <v>138</v>
      </c>
      <c r="T142" t="s">
        <v>296</v>
      </c>
    </row>
    <row r="143" spans="1:20" ht="24.95" customHeight="1" x14ac:dyDescent="0.25">
      <c r="A143" s="28"/>
      <c r="B143" s="28">
        <f t="shared" si="42"/>
        <v>139</v>
      </c>
      <c r="C143" s="28" t="s">
        <v>147</v>
      </c>
      <c r="D143" s="120">
        <v>6.1000000000000004E-3</v>
      </c>
      <c r="E143" s="148">
        <v>875350.39</v>
      </c>
      <c r="F143" s="147">
        <v>875400</v>
      </c>
      <c r="G143" s="87">
        <f t="shared" si="18"/>
        <v>-49.60999999998603</v>
      </c>
      <c r="H143" s="33">
        <f t="shared" si="41"/>
        <v>0</v>
      </c>
      <c r="I143" s="34">
        <f t="shared" si="32"/>
        <v>439200</v>
      </c>
      <c r="J143" s="34">
        <f t="shared" si="34"/>
        <v>0</v>
      </c>
      <c r="K143" s="34">
        <f t="shared" si="37"/>
        <v>165940.54062019198</v>
      </c>
      <c r="L143" s="34">
        <f>P$1*0.675675676%</f>
        <v>270270.27039999998</v>
      </c>
      <c r="M143" s="34">
        <f t="shared" si="39"/>
        <v>0</v>
      </c>
      <c r="N143" s="109">
        <v>0</v>
      </c>
      <c r="O143" s="129"/>
      <c r="P143" s="270">
        <f t="shared" si="35"/>
        <v>875362.39</v>
      </c>
      <c r="Q143" s="270"/>
      <c r="R143" s="24">
        <f t="shared" si="36"/>
        <v>1.39</v>
      </c>
      <c r="S143" s="1">
        <f t="shared" si="40"/>
        <v>139</v>
      </c>
      <c r="T143" t="s">
        <v>287</v>
      </c>
    </row>
    <row r="144" spans="1:20" ht="24.95" customHeight="1" x14ac:dyDescent="0.25">
      <c r="A144" s="28"/>
      <c r="B144" s="28">
        <f t="shared" si="42"/>
        <v>140</v>
      </c>
      <c r="C144" s="28" t="s">
        <v>148</v>
      </c>
      <c r="D144" s="120">
        <v>0.18509999999999999</v>
      </c>
      <c r="E144" s="147"/>
      <c r="F144" s="147"/>
      <c r="G144" s="87"/>
      <c r="H144" s="33"/>
      <c r="I144" s="34"/>
      <c r="J144" s="34"/>
      <c r="K144" s="34"/>
      <c r="L144" s="34"/>
      <c r="M144" s="34"/>
      <c r="N144" s="109"/>
      <c r="O144" s="129"/>
      <c r="P144" s="270"/>
      <c r="Q144" s="270"/>
      <c r="R144" s="24">
        <f t="shared" si="36"/>
        <v>1.4</v>
      </c>
      <c r="S144" s="1">
        <f t="shared" si="40"/>
        <v>140</v>
      </c>
    </row>
    <row r="145" spans="1:21" ht="24.95" customHeight="1" x14ac:dyDescent="0.25">
      <c r="A145" s="28"/>
      <c r="B145" s="28">
        <f t="shared" si="42"/>
        <v>141</v>
      </c>
      <c r="C145" s="28" t="s">
        <v>148</v>
      </c>
      <c r="D145" s="120">
        <v>0.156</v>
      </c>
      <c r="E145" s="147"/>
      <c r="F145" s="147"/>
      <c r="G145" s="87"/>
      <c r="H145" s="33"/>
      <c r="I145" s="34"/>
      <c r="J145" s="34"/>
      <c r="K145" s="34"/>
      <c r="L145" s="34"/>
      <c r="M145" s="34"/>
      <c r="N145" s="109"/>
      <c r="O145" s="129"/>
      <c r="P145" s="270"/>
      <c r="Q145" s="270"/>
      <c r="R145" s="24">
        <f t="shared" si="36"/>
        <v>1.41</v>
      </c>
      <c r="S145" s="1">
        <f t="shared" si="40"/>
        <v>141</v>
      </c>
    </row>
    <row r="146" spans="1:21" ht="24.95" customHeight="1" x14ac:dyDescent="0.25">
      <c r="A146" s="28"/>
      <c r="B146" s="28"/>
      <c r="C146" s="28"/>
      <c r="D146" s="120"/>
      <c r="E146" s="147"/>
      <c r="F146" s="147"/>
      <c r="G146" s="87"/>
      <c r="H146" s="33"/>
      <c r="I146" s="34"/>
      <c r="J146" s="34"/>
      <c r="K146" s="34"/>
      <c r="L146" s="34"/>
      <c r="M146" s="34"/>
      <c r="N146" s="109"/>
      <c r="O146" s="129"/>
      <c r="P146" s="274"/>
      <c r="Q146" s="274"/>
      <c r="R146" s="24">
        <f t="shared" si="36"/>
        <v>0</v>
      </c>
      <c r="S146" s="1">
        <f t="shared" si="40"/>
        <v>0</v>
      </c>
    </row>
    <row r="147" spans="1:21" ht="24.95" customHeight="1" x14ac:dyDescent="0.25">
      <c r="A147" s="28"/>
      <c r="B147" s="28"/>
      <c r="C147" s="28"/>
      <c r="D147" s="120"/>
      <c r="E147" s="147"/>
      <c r="F147" s="147"/>
      <c r="G147" s="87"/>
      <c r="H147" s="33"/>
      <c r="I147" s="34"/>
      <c r="J147" s="34"/>
      <c r="K147" s="34"/>
      <c r="L147" s="34"/>
      <c r="M147" s="34"/>
      <c r="N147" s="109"/>
      <c r="O147" s="129"/>
      <c r="P147" s="274"/>
      <c r="Q147" s="274"/>
      <c r="R147" s="24">
        <f t="shared" si="36"/>
        <v>0</v>
      </c>
      <c r="S147" s="1">
        <f t="shared" si="40"/>
        <v>0</v>
      </c>
    </row>
    <row r="148" spans="1:21" ht="24.95" customHeight="1" x14ac:dyDescent="0.25">
      <c r="A148" s="28"/>
      <c r="B148" s="28">
        <v>146</v>
      </c>
      <c r="C148" s="28" t="s">
        <v>83</v>
      </c>
      <c r="D148" s="120">
        <v>3.8E-3</v>
      </c>
      <c r="E148" s="147">
        <v>977506.46</v>
      </c>
      <c r="F148" s="147">
        <f t="shared" ref="F148:F157" si="43">E148</f>
        <v>977506.46</v>
      </c>
      <c r="G148" s="87">
        <f t="shared" si="18"/>
        <v>0</v>
      </c>
      <c r="H148" s="33">
        <f t="shared" si="41"/>
        <v>0</v>
      </c>
      <c r="I148" s="34">
        <f t="shared" si="32"/>
        <v>273600</v>
      </c>
      <c r="J148" s="34">
        <f t="shared" ref="J148:J157" si="44">P$2*D148</f>
        <v>0</v>
      </c>
      <c r="K148" s="34">
        <f t="shared" ref="K148:K157" si="45">G$2*0.675675676%</f>
        <v>165940.54062019198</v>
      </c>
      <c r="L148" s="34">
        <f>P$1*0.675675676%</f>
        <v>270270.27039999998</v>
      </c>
      <c r="M148" s="34">
        <v>47924</v>
      </c>
      <c r="N148" s="109">
        <f>(I148+K148)/2</f>
        <v>219770.27031009598</v>
      </c>
      <c r="O148" s="129"/>
      <c r="P148" s="270">
        <f t="shared" ref="P148:P157" si="46">ROUND(SUM(G148:O148),0) + R148</f>
        <v>977506.46</v>
      </c>
      <c r="Q148" s="270"/>
      <c r="R148" s="24">
        <f t="shared" si="36"/>
        <v>1.46</v>
      </c>
      <c r="S148" s="1">
        <f t="shared" si="40"/>
        <v>146</v>
      </c>
    </row>
    <row r="149" spans="1:21" ht="24.95" customHeight="1" x14ac:dyDescent="0.25">
      <c r="A149" s="28"/>
      <c r="B149" s="28">
        <v>155</v>
      </c>
      <c r="C149" s="28" t="s">
        <v>306</v>
      </c>
      <c r="D149" s="120">
        <v>4.2300000000000003E-3</v>
      </c>
      <c r="E149" s="147">
        <v>740772.55</v>
      </c>
      <c r="F149" s="147">
        <v>746722.55</v>
      </c>
      <c r="G149" s="87">
        <f t="shared" si="18"/>
        <v>-5950</v>
      </c>
      <c r="H149" s="33">
        <f t="shared" si="41"/>
        <v>0</v>
      </c>
      <c r="I149" s="34">
        <f t="shared" si="32"/>
        <v>304560</v>
      </c>
      <c r="J149" s="34"/>
      <c r="K149" s="34">
        <f t="shared" si="45"/>
        <v>165940.54062019198</v>
      </c>
      <c r="L149" s="34">
        <f>P$1*0.675675676%</f>
        <v>270270.27039999998</v>
      </c>
      <c r="M149" s="34">
        <f t="shared" si="39"/>
        <v>0</v>
      </c>
      <c r="N149" s="109">
        <v>0</v>
      </c>
      <c r="O149" s="129"/>
      <c r="P149" s="270">
        <f>ROUND(SUM(G149:O149),0) + R149</f>
        <v>734822.55</v>
      </c>
      <c r="Q149" s="270"/>
      <c r="R149" s="24">
        <f t="shared" si="36"/>
        <v>1.55</v>
      </c>
      <c r="S149" s="1">
        <f t="shared" si="40"/>
        <v>155</v>
      </c>
      <c r="T149" t="s">
        <v>326</v>
      </c>
    </row>
    <row r="150" spans="1:21" ht="24.95" customHeight="1" x14ac:dyDescent="0.25">
      <c r="A150" s="28"/>
      <c r="B150" s="28">
        <v>158</v>
      </c>
      <c r="C150" s="28" t="s">
        <v>52</v>
      </c>
      <c r="D150" s="120">
        <v>4.5999999999999999E-3</v>
      </c>
      <c r="E150" s="147">
        <v>767412.58</v>
      </c>
      <c r="F150" s="147">
        <f t="shared" si="43"/>
        <v>767412.58</v>
      </c>
      <c r="G150" s="87">
        <f t="shared" si="18"/>
        <v>0</v>
      </c>
      <c r="H150" s="33">
        <f t="shared" si="41"/>
        <v>0</v>
      </c>
      <c r="I150" s="34">
        <f t="shared" si="32"/>
        <v>331200</v>
      </c>
      <c r="J150" s="34">
        <f t="shared" si="44"/>
        <v>0</v>
      </c>
      <c r="K150" s="34">
        <f t="shared" si="45"/>
        <v>165940.54062019198</v>
      </c>
      <c r="L150" s="34">
        <f t="shared" ref="L150:L157" si="47">P$1*0.675675676%</f>
        <v>270270.27039999998</v>
      </c>
      <c r="M150" s="34">
        <f t="shared" si="39"/>
        <v>0</v>
      </c>
      <c r="N150" s="109">
        <v>0</v>
      </c>
      <c r="O150" s="34"/>
      <c r="P150" s="270">
        <f t="shared" si="46"/>
        <v>767412.58</v>
      </c>
      <c r="Q150" s="270"/>
      <c r="R150" s="24">
        <f t="shared" si="36"/>
        <v>1.58</v>
      </c>
      <c r="S150" s="1">
        <f t="shared" si="40"/>
        <v>158</v>
      </c>
    </row>
    <row r="151" spans="1:21" ht="24.95" customHeight="1" x14ac:dyDescent="0.25">
      <c r="A151" s="28"/>
      <c r="B151" s="28">
        <v>159</v>
      </c>
      <c r="C151" s="28" t="s">
        <v>52</v>
      </c>
      <c r="D151" s="120">
        <v>4.5999999999999999E-3</v>
      </c>
      <c r="E151" s="147">
        <v>767412.59</v>
      </c>
      <c r="F151" s="147">
        <f t="shared" si="43"/>
        <v>767412.59</v>
      </c>
      <c r="G151" s="87">
        <f t="shared" si="18"/>
        <v>0</v>
      </c>
      <c r="H151" s="33">
        <f t="shared" si="41"/>
        <v>0</v>
      </c>
      <c r="I151" s="34">
        <f t="shared" si="32"/>
        <v>331200</v>
      </c>
      <c r="J151" s="34">
        <f t="shared" si="44"/>
        <v>0</v>
      </c>
      <c r="K151" s="34">
        <f t="shared" si="45"/>
        <v>165940.54062019198</v>
      </c>
      <c r="L151" s="34">
        <f t="shared" si="47"/>
        <v>270270.27039999998</v>
      </c>
      <c r="M151" s="34">
        <f t="shared" si="39"/>
        <v>0</v>
      </c>
      <c r="N151" s="34">
        <v>0</v>
      </c>
      <c r="O151" s="34"/>
      <c r="P151" s="270">
        <f t="shared" si="46"/>
        <v>767412.59</v>
      </c>
      <c r="Q151" s="270"/>
      <c r="R151" s="24">
        <f t="shared" si="36"/>
        <v>1.59</v>
      </c>
      <c r="S151" s="1">
        <f t="shared" si="40"/>
        <v>159</v>
      </c>
    </row>
    <row r="152" spans="1:21" ht="24.95" customHeight="1" x14ac:dyDescent="0.25">
      <c r="A152" s="29"/>
      <c r="B152" s="28">
        <v>163</v>
      </c>
      <c r="C152" s="28" t="s">
        <v>84</v>
      </c>
      <c r="D152" s="120">
        <v>4.5999999999999999E-3</v>
      </c>
      <c r="E152" s="147">
        <v>767412.63</v>
      </c>
      <c r="F152" s="147">
        <f t="shared" si="43"/>
        <v>767412.63</v>
      </c>
      <c r="G152" s="87">
        <f t="shared" si="18"/>
        <v>0</v>
      </c>
      <c r="H152" s="33">
        <f t="shared" si="41"/>
        <v>0</v>
      </c>
      <c r="I152" s="34">
        <f t="shared" si="32"/>
        <v>331200</v>
      </c>
      <c r="J152" s="34">
        <f t="shared" si="44"/>
        <v>0</v>
      </c>
      <c r="K152" s="34">
        <f t="shared" si="45"/>
        <v>165940.54062019198</v>
      </c>
      <c r="L152" s="34">
        <f t="shared" si="47"/>
        <v>270270.27039999998</v>
      </c>
      <c r="M152" s="34">
        <f t="shared" si="39"/>
        <v>0</v>
      </c>
      <c r="N152" s="34">
        <v>0</v>
      </c>
      <c r="O152" s="34"/>
      <c r="P152" s="270">
        <f t="shared" si="46"/>
        <v>767412.63</v>
      </c>
      <c r="Q152" s="270"/>
      <c r="R152" s="24">
        <f t="shared" si="36"/>
        <v>1.63</v>
      </c>
      <c r="S152" s="1">
        <f t="shared" si="40"/>
        <v>163</v>
      </c>
    </row>
    <row r="153" spans="1:21" ht="24.95" customHeight="1" x14ac:dyDescent="0.25">
      <c r="A153" s="29"/>
      <c r="B153" s="28">
        <v>168</v>
      </c>
      <c r="C153" s="28" t="s">
        <v>52</v>
      </c>
      <c r="D153" s="120">
        <v>4.4000000000000003E-3</v>
      </c>
      <c r="E153" s="147">
        <v>753012.68</v>
      </c>
      <c r="F153" s="147">
        <f t="shared" si="43"/>
        <v>753012.68</v>
      </c>
      <c r="G153" s="87">
        <f t="shared" si="18"/>
        <v>0</v>
      </c>
      <c r="H153" s="33">
        <f t="shared" si="41"/>
        <v>0</v>
      </c>
      <c r="I153" s="34">
        <f t="shared" si="32"/>
        <v>316800</v>
      </c>
      <c r="J153" s="34">
        <f t="shared" si="44"/>
        <v>0</v>
      </c>
      <c r="K153" s="34">
        <f t="shared" si="45"/>
        <v>165940.54062019198</v>
      </c>
      <c r="L153" s="34">
        <f t="shared" si="47"/>
        <v>270270.27039999998</v>
      </c>
      <c r="M153" s="34">
        <f t="shared" si="39"/>
        <v>0</v>
      </c>
      <c r="N153" s="34">
        <v>0</v>
      </c>
      <c r="O153" s="34"/>
      <c r="P153" s="270">
        <f t="shared" si="46"/>
        <v>753012.68</v>
      </c>
      <c r="Q153" s="270"/>
      <c r="R153" s="24">
        <f t="shared" si="36"/>
        <v>1.68</v>
      </c>
      <c r="S153" s="1">
        <f t="shared" si="40"/>
        <v>168</v>
      </c>
    </row>
    <row r="154" spans="1:21" ht="24.95" customHeight="1" x14ac:dyDescent="0.25">
      <c r="A154" s="29"/>
      <c r="B154" s="28">
        <v>173</v>
      </c>
      <c r="C154" s="28" t="s">
        <v>85</v>
      </c>
      <c r="D154" s="120">
        <v>4.5999999999999999E-3</v>
      </c>
      <c r="E154" s="147">
        <v>767412.73</v>
      </c>
      <c r="F154" s="147">
        <f t="shared" si="43"/>
        <v>767412.73</v>
      </c>
      <c r="G154" s="87">
        <f t="shared" si="18"/>
        <v>0</v>
      </c>
      <c r="H154" s="33">
        <f t="shared" si="41"/>
        <v>0</v>
      </c>
      <c r="I154" s="34">
        <f t="shared" si="32"/>
        <v>331200</v>
      </c>
      <c r="J154" s="34">
        <f t="shared" si="44"/>
        <v>0</v>
      </c>
      <c r="K154" s="34">
        <f t="shared" si="45"/>
        <v>165940.54062019198</v>
      </c>
      <c r="L154" s="34">
        <f t="shared" si="47"/>
        <v>270270.27039999998</v>
      </c>
      <c r="M154" s="34">
        <f t="shared" si="39"/>
        <v>0</v>
      </c>
      <c r="N154" s="34">
        <v>0</v>
      </c>
      <c r="O154" s="34"/>
      <c r="P154" s="270">
        <f t="shared" si="46"/>
        <v>767412.73</v>
      </c>
      <c r="Q154" s="270"/>
      <c r="R154" s="24">
        <f t="shared" si="36"/>
        <v>1.73</v>
      </c>
      <c r="S154" s="1">
        <f t="shared" si="40"/>
        <v>173</v>
      </c>
      <c r="U154" t="s">
        <v>226</v>
      </c>
    </row>
    <row r="155" spans="1:21" ht="24.95" customHeight="1" x14ac:dyDescent="0.25">
      <c r="A155" s="29"/>
      <c r="B155" s="28">
        <v>175</v>
      </c>
      <c r="C155" s="28" t="s">
        <v>85</v>
      </c>
      <c r="D155" s="120">
        <v>4.5999999999999999E-3</v>
      </c>
      <c r="E155" s="147">
        <v>767412.75</v>
      </c>
      <c r="F155" s="147">
        <f t="shared" si="43"/>
        <v>767412.75</v>
      </c>
      <c r="G155" s="87">
        <f t="shared" si="18"/>
        <v>0</v>
      </c>
      <c r="H155" s="33">
        <f t="shared" si="41"/>
        <v>0</v>
      </c>
      <c r="I155" s="34">
        <f t="shared" si="32"/>
        <v>331200</v>
      </c>
      <c r="J155" s="34">
        <f t="shared" si="44"/>
        <v>0</v>
      </c>
      <c r="K155" s="34">
        <f t="shared" si="45"/>
        <v>165940.54062019198</v>
      </c>
      <c r="L155" s="34">
        <f t="shared" si="47"/>
        <v>270270.27039999998</v>
      </c>
      <c r="M155" s="34">
        <f t="shared" si="39"/>
        <v>0</v>
      </c>
      <c r="N155" s="34">
        <v>0</v>
      </c>
      <c r="O155" s="34"/>
      <c r="P155" s="270">
        <f t="shared" si="46"/>
        <v>767412.75</v>
      </c>
      <c r="Q155" s="270"/>
      <c r="R155" s="24">
        <f t="shared" si="36"/>
        <v>1.75</v>
      </c>
      <c r="S155" s="1">
        <f t="shared" si="40"/>
        <v>175</v>
      </c>
      <c r="U155" t="s">
        <v>226</v>
      </c>
    </row>
    <row r="156" spans="1:21" ht="24.95" customHeight="1" x14ac:dyDescent="0.25">
      <c r="A156" s="29"/>
      <c r="B156" s="28">
        <v>176</v>
      </c>
      <c r="C156" s="28" t="s">
        <v>84</v>
      </c>
      <c r="D156" s="120">
        <v>4.5999999999999999E-3</v>
      </c>
      <c r="E156" s="147">
        <v>767412.76</v>
      </c>
      <c r="F156" s="147">
        <f t="shared" si="43"/>
        <v>767412.76</v>
      </c>
      <c r="G156" s="87">
        <f t="shared" si="18"/>
        <v>0</v>
      </c>
      <c r="H156" s="33">
        <f t="shared" si="41"/>
        <v>0</v>
      </c>
      <c r="I156" s="34">
        <f t="shared" si="32"/>
        <v>331200</v>
      </c>
      <c r="J156" s="34">
        <f t="shared" si="44"/>
        <v>0</v>
      </c>
      <c r="K156" s="34">
        <f t="shared" si="45"/>
        <v>165940.54062019198</v>
      </c>
      <c r="L156" s="34">
        <f t="shared" si="47"/>
        <v>270270.27039999998</v>
      </c>
      <c r="M156" s="34">
        <f t="shared" si="39"/>
        <v>0</v>
      </c>
      <c r="N156" s="34">
        <v>0</v>
      </c>
      <c r="O156" s="34"/>
      <c r="P156" s="270">
        <f t="shared" si="46"/>
        <v>767412.76</v>
      </c>
      <c r="Q156" s="270"/>
      <c r="R156" s="24">
        <f t="shared" si="36"/>
        <v>1.76</v>
      </c>
      <c r="S156" s="1">
        <f t="shared" si="40"/>
        <v>176</v>
      </c>
    </row>
    <row r="157" spans="1:21" ht="24.95" customHeight="1" x14ac:dyDescent="0.25">
      <c r="A157" s="29"/>
      <c r="B157" s="28">
        <v>204</v>
      </c>
      <c r="C157" s="28" t="s">
        <v>42</v>
      </c>
      <c r="D157" s="31">
        <v>4.8999999999999998E-3</v>
      </c>
      <c r="E157" s="149">
        <v>789013.04</v>
      </c>
      <c r="F157" s="147">
        <f t="shared" si="43"/>
        <v>789013.04</v>
      </c>
      <c r="G157" s="87">
        <f t="shared" si="18"/>
        <v>0</v>
      </c>
      <c r="H157" s="33">
        <f t="shared" si="41"/>
        <v>0</v>
      </c>
      <c r="I157" s="34">
        <f t="shared" si="32"/>
        <v>352800</v>
      </c>
      <c r="J157" s="34">
        <f t="shared" si="44"/>
        <v>0</v>
      </c>
      <c r="K157" s="34">
        <f t="shared" si="45"/>
        <v>165940.54062019198</v>
      </c>
      <c r="L157" s="34">
        <f t="shared" si="47"/>
        <v>270270.27039999998</v>
      </c>
      <c r="M157" s="34">
        <f t="shared" si="39"/>
        <v>0</v>
      </c>
      <c r="N157" s="34">
        <v>0</v>
      </c>
      <c r="O157" s="34"/>
      <c r="P157" s="270">
        <f t="shared" si="46"/>
        <v>789013.04</v>
      </c>
      <c r="Q157" s="270"/>
      <c r="R157" s="24">
        <f t="shared" si="36"/>
        <v>2.04</v>
      </c>
      <c r="S157" s="1">
        <f t="shared" si="40"/>
        <v>204</v>
      </c>
      <c r="T157" t="s">
        <v>302</v>
      </c>
    </row>
    <row r="158" spans="1:21" ht="24.95" customHeight="1" x14ac:dyDescent="0.25">
      <c r="A158" s="29"/>
      <c r="B158" s="28"/>
      <c r="C158" s="28"/>
      <c r="D158" s="31"/>
      <c r="E158" s="32"/>
      <c r="F158" s="50"/>
      <c r="G158" s="33"/>
      <c r="H158" s="33"/>
      <c r="I158" s="34"/>
      <c r="J158" s="34"/>
      <c r="K158" s="34"/>
      <c r="L158" s="34"/>
      <c r="M158" s="34"/>
      <c r="N158" s="34"/>
      <c r="O158" s="34"/>
      <c r="P158" s="273"/>
      <c r="Q158" s="273"/>
      <c r="R158" s="24"/>
      <c r="S158" s="1"/>
    </row>
    <row r="159" spans="1:21" ht="24.95" customHeight="1" x14ac:dyDescent="0.25">
      <c r="A159" s="29"/>
      <c r="B159" s="29"/>
      <c r="C159" s="29"/>
      <c r="D159" s="31"/>
      <c r="E159" s="32"/>
      <c r="F159" s="38"/>
      <c r="G159" s="33"/>
      <c r="H159" s="33"/>
      <c r="I159" s="107"/>
      <c r="J159" s="34"/>
      <c r="K159" s="34"/>
      <c r="L159" s="34"/>
      <c r="M159" s="34"/>
      <c r="N159" s="34"/>
      <c r="O159" s="34"/>
      <c r="P159" s="273"/>
      <c r="Q159" s="273"/>
      <c r="R159" s="24"/>
      <c r="S159" s="1"/>
    </row>
    <row r="160" spans="1:21" ht="24.95" customHeight="1" thickBot="1" x14ac:dyDescent="0.3">
      <c r="A160" s="35"/>
      <c r="B160" s="108"/>
      <c r="C160" s="101"/>
      <c r="D160" s="116">
        <f t="shared" ref="D160:O160" si="48">SUM(D5:D159)</f>
        <v>1.0449300000000001</v>
      </c>
      <c r="E160" s="102">
        <f t="shared" si="48"/>
        <v>159126449.07000002</v>
      </c>
      <c r="F160" s="103">
        <f>SUM(F5:F159)</f>
        <v>118137264.97999999</v>
      </c>
      <c r="G160" s="104">
        <f t="shared" si="48"/>
        <v>40989184.089999989</v>
      </c>
      <c r="H160" s="105"/>
      <c r="I160" s="105">
        <f t="shared" si="48"/>
        <v>50675760</v>
      </c>
      <c r="J160" s="105">
        <f t="shared" si="48"/>
        <v>0</v>
      </c>
      <c r="K160" s="106">
        <f t="shared" si="48"/>
        <v>24725140.552408691</v>
      </c>
      <c r="L160" s="110">
        <f t="shared" si="48"/>
        <v>40270270.289600015</v>
      </c>
      <c r="M160" s="106">
        <f t="shared" si="48"/>
        <v>530311</v>
      </c>
      <c r="N160" s="106">
        <f t="shared" si="48"/>
        <v>2179532.4327908638</v>
      </c>
      <c r="O160" s="106">
        <f t="shared" si="48"/>
        <v>968800</v>
      </c>
      <c r="P160" s="271">
        <f>SUM(P5:P159)</f>
        <v>161645300.07000002</v>
      </c>
      <c r="Q160" s="272"/>
      <c r="R160" s="271"/>
      <c r="S160" s="272"/>
    </row>
    <row r="161" spans="3:16" ht="12" customHeight="1" thickBot="1" x14ac:dyDescent="0.3">
      <c r="F161" s="51"/>
    </row>
    <row r="162" spans="3:16" ht="15" customHeight="1" x14ac:dyDescent="0.25">
      <c r="C162" s="261" t="s">
        <v>290</v>
      </c>
      <c r="D162" s="262"/>
      <c r="E162" s="262"/>
      <c r="F162" s="262"/>
      <c r="G162" s="262"/>
      <c r="H162" s="262"/>
      <c r="I162" s="262"/>
      <c r="J162" s="262"/>
      <c r="K162" s="262"/>
      <c r="L162" s="262"/>
      <c r="M162" s="262"/>
      <c r="N162" s="262"/>
      <c r="O162" s="262"/>
      <c r="P162" s="263"/>
    </row>
    <row r="163" spans="3:16" ht="26.25" customHeight="1" thickBot="1" x14ac:dyDescent="0.3">
      <c r="C163" s="267"/>
      <c r="D163" s="268"/>
      <c r="E163" s="268"/>
      <c r="F163" s="268"/>
      <c r="G163" s="268"/>
      <c r="H163" s="268"/>
      <c r="I163" s="268"/>
      <c r="J163" s="268"/>
      <c r="K163" s="268"/>
      <c r="L163" s="268"/>
      <c r="M163" s="268"/>
      <c r="N163" s="268"/>
      <c r="O163" s="268"/>
      <c r="P163" s="269"/>
    </row>
    <row r="164" spans="3:16" ht="10.5" hidden="1" customHeight="1" x14ac:dyDescent="0.25">
      <c r="C164" s="261" t="s">
        <v>272</v>
      </c>
      <c r="D164" s="262"/>
      <c r="E164" s="262"/>
      <c r="F164" s="262"/>
      <c r="G164" s="262"/>
      <c r="H164" s="262"/>
      <c r="I164" s="262"/>
      <c r="J164" s="262"/>
      <c r="K164" s="262"/>
      <c r="L164" s="262"/>
      <c r="M164" s="262"/>
      <c r="N164" s="262"/>
      <c r="O164" s="262"/>
      <c r="P164" s="263"/>
    </row>
    <row r="165" spans="3:16" ht="15" hidden="1" customHeight="1" x14ac:dyDescent="0.25">
      <c r="C165" s="264"/>
      <c r="D165" s="265"/>
      <c r="E165" s="265"/>
      <c r="F165" s="265"/>
      <c r="G165" s="265"/>
      <c r="H165" s="265"/>
      <c r="I165" s="265"/>
      <c r="J165" s="265"/>
      <c r="K165" s="265"/>
      <c r="L165" s="265"/>
      <c r="M165" s="265"/>
      <c r="N165" s="265"/>
      <c r="O165" s="265"/>
      <c r="P165" s="266"/>
    </row>
    <row r="166" spans="3:16" ht="6" customHeight="1" x14ac:dyDescent="0.25">
      <c r="C166" s="264"/>
      <c r="D166" s="265"/>
      <c r="E166" s="265"/>
      <c r="F166" s="265"/>
      <c r="G166" s="265"/>
      <c r="H166" s="265"/>
      <c r="I166" s="265"/>
      <c r="J166" s="265"/>
      <c r="K166" s="265"/>
      <c r="L166" s="265"/>
      <c r="M166" s="265"/>
      <c r="N166" s="265"/>
      <c r="O166" s="265"/>
      <c r="P166" s="266"/>
    </row>
    <row r="167" spans="3:16" ht="164.25" customHeight="1" thickBot="1" x14ac:dyDescent="0.3">
      <c r="C167" s="267"/>
      <c r="D167" s="268"/>
      <c r="E167" s="268"/>
      <c r="F167" s="268"/>
      <c r="G167" s="268"/>
      <c r="H167" s="268"/>
      <c r="I167" s="268"/>
      <c r="J167" s="268"/>
      <c r="K167" s="268"/>
      <c r="L167" s="268"/>
      <c r="M167" s="268"/>
      <c r="N167" s="268"/>
      <c r="O167" s="268"/>
      <c r="P167" s="269"/>
    </row>
  </sheetData>
  <mergeCells count="183">
    <mergeCell ref="S3:S4"/>
    <mergeCell ref="R160:S16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 ref="P15:Q15"/>
    <mergeCell ref="P16:Q16"/>
    <mergeCell ref="P17:Q17"/>
    <mergeCell ref="P18:Q18"/>
    <mergeCell ref="P19:Q19"/>
    <mergeCell ref="P10:Q10"/>
    <mergeCell ref="P11:Q11"/>
    <mergeCell ref="P12:Q12"/>
    <mergeCell ref="P13:Q13"/>
    <mergeCell ref="P14:Q14"/>
    <mergeCell ref="L3:L4"/>
    <mergeCell ref="K2:L2"/>
    <mergeCell ref="M3:M4"/>
    <mergeCell ref="P1:Q1"/>
    <mergeCell ref="P2:Q2"/>
    <mergeCell ref="G2:H2"/>
    <mergeCell ref="N3:N4"/>
    <mergeCell ref="O3:O4"/>
    <mergeCell ref="C2:E2"/>
    <mergeCell ref="P3:Q4"/>
    <mergeCell ref="C1:L1"/>
    <mergeCell ref="N1:O1"/>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50:Q150"/>
    <mergeCell ref="P140:Q140"/>
    <mergeCell ref="P141:Q141"/>
    <mergeCell ref="P142:Q142"/>
    <mergeCell ref="P143:Q143"/>
    <mergeCell ref="P144:Q144"/>
    <mergeCell ref="P149:Q149"/>
    <mergeCell ref="C164:P167"/>
    <mergeCell ref="C162:P163"/>
    <mergeCell ref="P156:Q156"/>
    <mergeCell ref="P157:Q157"/>
    <mergeCell ref="P160:Q160"/>
    <mergeCell ref="P158:Q158"/>
    <mergeCell ref="P159:Q159"/>
    <mergeCell ref="P151:Q151"/>
    <mergeCell ref="P152:Q152"/>
    <mergeCell ref="P153:Q153"/>
    <mergeCell ref="P154:Q154"/>
    <mergeCell ref="P155:Q155"/>
  </mergeCells>
  <hyperlinks>
    <hyperlink ref="T65" r:id="rId1" xr:uid="{60CCA824-04D7-4098-BB5B-CC4EC0E5DE92}"/>
    <hyperlink ref="T45" r:id="rId2" xr:uid="{FB3F0167-0D80-4D0E-9747-86680AF517F7}"/>
    <hyperlink ref="T35" r:id="rId3" xr:uid="{DC64E9EF-0CAF-49C3-B4C2-A955ADDB9423}"/>
    <hyperlink ref="T38" r:id="rId4" xr:uid="{74F85CC2-F097-4DDA-B018-43C3E1E7AED4}"/>
  </hyperlinks>
  <pageMargins left="0.23622047244094491" right="0.23622047244094491" top="0.74803149606299213" bottom="0.74803149606299213" header="0.31496062992125984" footer="0.31496062992125984"/>
  <pageSetup paperSize="3"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J80"/>
  <sheetViews>
    <sheetView workbookViewId="0">
      <selection sqref="A1:XFD6"/>
    </sheetView>
  </sheetViews>
  <sheetFormatPr baseColWidth="10" defaultColWidth="10.85546875" defaultRowHeight="15" x14ac:dyDescent="0.25"/>
  <cols>
    <col min="11" max="11" width="11.42578125" bestFit="1" customWidth="1"/>
    <col min="14" max="14" width="13" bestFit="1" customWidth="1"/>
  </cols>
  <sheetData>
    <row r="1" spans="3:10" ht="15.75" thickBot="1" x14ac:dyDescent="0.3"/>
    <row r="2" spans="3:10" x14ac:dyDescent="0.25">
      <c r="C2" s="219" t="s">
        <v>161</v>
      </c>
      <c r="D2" s="90">
        <v>1</v>
      </c>
      <c r="E2" s="90"/>
      <c r="F2" s="90"/>
      <c r="G2" s="90"/>
      <c r="H2" s="90"/>
      <c r="I2" s="90"/>
      <c r="J2" s="92"/>
    </row>
    <row r="3" spans="3:10" x14ac:dyDescent="0.25">
      <c r="C3" s="220" t="s">
        <v>162</v>
      </c>
      <c r="D3" s="51"/>
      <c r="E3" s="221">
        <v>45945</v>
      </c>
      <c r="F3" s="51"/>
      <c r="G3" s="51" t="s">
        <v>167</v>
      </c>
      <c r="H3" s="131" t="s">
        <v>339</v>
      </c>
      <c r="I3" s="93"/>
      <c r="J3" s="94"/>
    </row>
    <row r="4" spans="3:10" x14ac:dyDescent="0.25">
      <c r="C4" s="220" t="s">
        <v>163</v>
      </c>
      <c r="D4" s="51" t="s">
        <v>164</v>
      </c>
      <c r="E4" s="51" t="s">
        <v>165</v>
      </c>
      <c r="F4" s="51"/>
      <c r="G4" s="51" t="s">
        <v>168</v>
      </c>
      <c r="H4" s="93">
        <v>9</v>
      </c>
      <c r="I4" s="93"/>
      <c r="J4" s="94"/>
    </row>
    <row r="5" spans="3:10" ht="15.75" thickBot="1" x14ac:dyDescent="0.3">
      <c r="C5" s="220" t="s">
        <v>166</v>
      </c>
      <c r="D5" s="51"/>
      <c r="E5" s="51"/>
      <c r="F5" s="51"/>
      <c r="G5" s="51"/>
      <c r="H5" s="51"/>
      <c r="I5" s="51"/>
      <c r="J5" s="95"/>
    </row>
    <row r="6" spans="3:10" x14ac:dyDescent="0.25">
      <c r="C6" s="292" t="s">
        <v>340</v>
      </c>
      <c r="D6" s="293"/>
      <c r="E6" s="293"/>
      <c r="F6" s="293"/>
      <c r="G6" s="293"/>
      <c r="H6" s="293"/>
      <c r="I6" s="293"/>
      <c r="J6" s="294"/>
    </row>
    <row r="7" spans="3:10" x14ac:dyDescent="0.25">
      <c r="C7" s="295"/>
      <c r="D7" s="296"/>
      <c r="E7" s="296"/>
      <c r="F7" s="296"/>
      <c r="G7" s="296"/>
      <c r="H7" s="296"/>
      <c r="I7" s="296"/>
      <c r="J7" s="297"/>
    </row>
    <row r="8" spans="3:10" ht="15.75" thickBot="1" x14ac:dyDescent="0.3">
      <c r="C8" s="298"/>
      <c r="D8" s="299"/>
      <c r="E8" s="299"/>
      <c r="F8" s="299"/>
      <c r="G8" s="299"/>
      <c r="H8" s="299"/>
      <c r="I8" s="299"/>
      <c r="J8" s="300"/>
    </row>
    <row r="10" spans="3:10" ht="15.75" thickBot="1" x14ac:dyDescent="0.3"/>
    <row r="11" spans="3:10" x14ac:dyDescent="0.25">
      <c r="C11" s="219" t="s">
        <v>161</v>
      </c>
      <c r="D11" s="90">
        <f>D2+1</f>
        <v>2</v>
      </c>
      <c r="E11" s="90"/>
      <c r="F11" s="90"/>
      <c r="G11" s="90"/>
      <c r="H11" s="90"/>
      <c r="I11" s="90"/>
      <c r="J11" s="92"/>
    </row>
    <row r="12" spans="3:10" x14ac:dyDescent="0.25">
      <c r="C12" s="220" t="s">
        <v>162</v>
      </c>
      <c r="D12" s="51"/>
      <c r="E12" s="221">
        <v>45945</v>
      </c>
      <c r="F12" s="51"/>
      <c r="G12" s="51" t="s">
        <v>167</v>
      </c>
      <c r="H12" s="131" t="s">
        <v>338</v>
      </c>
      <c r="I12" s="93"/>
      <c r="J12" s="94"/>
    </row>
    <row r="13" spans="3:10" x14ac:dyDescent="0.25">
      <c r="C13" s="220" t="s">
        <v>163</v>
      </c>
      <c r="D13" s="51" t="s">
        <v>164</v>
      </c>
      <c r="E13" s="51" t="s">
        <v>165</v>
      </c>
      <c r="F13" s="51"/>
      <c r="G13" s="51" t="s">
        <v>168</v>
      </c>
      <c r="H13" s="93">
        <v>106</v>
      </c>
      <c r="I13" s="93"/>
      <c r="J13" s="94"/>
    </row>
    <row r="14" spans="3:10" ht="15.75" thickBot="1" x14ac:dyDescent="0.3">
      <c r="C14" s="220" t="s">
        <v>166</v>
      </c>
      <c r="D14" s="51"/>
      <c r="E14" s="51"/>
      <c r="F14" s="51"/>
      <c r="G14" s="51"/>
      <c r="H14" s="51"/>
      <c r="I14" s="51"/>
      <c r="J14" s="95"/>
    </row>
    <row r="15" spans="3:10" x14ac:dyDescent="0.25">
      <c r="C15" s="292" t="s">
        <v>343</v>
      </c>
      <c r="D15" s="293"/>
      <c r="E15" s="293"/>
      <c r="F15" s="293"/>
      <c r="G15" s="293"/>
      <c r="H15" s="293"/>
      <c r="I15" s="293"/>
      <c r="J15" s="294"/>
    </row>
    <row r="16" spans="3:10" x14ac:dyDescent="0.25">
      <c r="C16" s="295"/>
      <c r="D16" s="296"/>
      <c r="E16" s="296"/>
      <c r="F16" s="296"/>
      <c r="G16" s="296"/>
      <c r="H16" s="296"/>
      <c r="I16" s="296"/>
      <c r="J16" s="297"/>
    </row>
    <row r="17" spans="3:10" ht="15.75" thickBot="1" x14ac:dyDescent="0.3">
      <c r="C17" s="298"/>
      <c r="D17" s="299"/>
      <c r="E17" s="299"/>
      <c r="F17" s="299"/>
      <c r="G17" s="299"/>
      <c r="H17" s="299"/>
      <c r="I17" s="299"/>
      <c r="J17" s="300"/>
    </row>
    <row r="19" spans="3:10" ht="15.75" thickBot="1" x14ac:dyDescent="0.3"/>
    <row r="20" spans="3:10" x14ac:dyDescent="0.25">
      <c r="C20" s="219" t="s">
        <v>161</v>
      </c>
      <c r="D20" s="90">
        <f>D11+1</f>
        <v>3</v>
      </c>
      <c r="E20" s="90"/>
      <c r="F20" s="90"/>
      <c r="G20" s="90"/>
      <c r="H20" s="90"/>
      <c r="I20" s="90"/>
      <c r="J20" s="92"/>
    </row>
    <row r="21" spans="3:10" x14ac:dyDescent="0.25">
      <c r="C21" s="220" t="s">
        <v>162</v>
      </c>
      <c r="D21" s="51"/>
      <c r="E21" s="221">
        <v>45945</v>
      </c>
      <c r="F21" s="51"/>
      <c r="G21" s="51" t="s">
        <v>167</v>
      </c>
      <c r="H21" s="131" t="str">
        <f>PRORRATEO!C71</f>
        <v>Carnevale, Yesica</v>
      </c>
      <c r="I21" s="93"/>
      <c r="J21" s="94"/>
    </row>
    <row r="22" spans="3:10" x14ac:dyDescent="0.25">
      <c r="C22" s="220" t="s">
        <v>163</v>
      </c>
      <c r="D22" s="51" t="s">
        <v>164</v>
      </c>
      <c r="E22" s="51" t="s">
        <v>165</v>
      </c>
      <c r="F22" s="51"/>
      <c r="G22" s="51" t="s">
        <v>168</v>
      </c>
      <c r="H22" s="93">
        <v>67</v>
      </c>
      <c r="I22" s="93"/>
      <c r="J22" s="94"/>
    </row>
    <row r="23" spans="3:10" ht="15.75" thickBot="1" x14ac:dyDescent="0.3">
      <c r="C23" s="220" t="s">
        <v>166</v>
      </c>
      <c r="D23" s="51"/>
      <c r="E23" s="51"/>
      <c r="F23" s="51"/>
      <c r="G23" s="51"/>
      <c r="H23" s="51"/>
      <c r="I23" s="51"/>
      <c r="J23" s="95"/>
    </row>
    <row r="24" spans="3:10" x14ac:dyDescent="0.25">
      <c r="C24" s="292" t="s">
        <v>344</v>
      </c>
      <c r="D24" s="293"/>
      <c r="E24" s="293"/>
      <c r="F24" s="293"/>
      <c r="G24" s="293"/>
      <c r="H24" s="293"/>
      <c r="I24" s="293"/>
      <c r="J24" s="294"/>
    </row>
    <row r="25" spans="3:10" x14ac:dyDescent="0.25">
      <c r="C25" s="295"/>
      <c r="D25" s="296"/>
      <c r="E25" s="296"/>
      <c r="F25" s="296"/>
      <c r="G25" s="296"/>
      <c r="H25" s="296"/>
      <c r="I25" s="296"/>
      <c r="J25" s="297"/>
    </row>
    <row r="26" spans="3:10" ht="15.75" thickBot="1" x14ac:dyDescent="0.3">
      <c r="C26" s="298"/>
      <c r="D26" s="299"/>
      <c r="E26" s="299"/>
      <c r="F26" s="299"/>
      <c r="G26" s="299"/>
      <c r="H26" s="299"/>
      <c r="I26" s="299"/>
      <c r="J26" s="300"/>
    </row>
    <row r="28" spans="3:10" ht="15.75" thickBot="1" x14ac:dyDescent="0.3"/>
    <row r="29" spans="3:10" x14ac:dyDescent="0.25">
      <c r="C29" s="219" t="s">
        <v>161</v>
      </c>
      <c r="D29" s="90">
        <f>D20+1</f>
        <v>4</v>
      </c>
      <c r="E29" s="90"/>
      <c r="F29" s="90"/>
      <c r="G29" s="90"/>
      <c r="H29" s="90"/>
      <c r="I29" s="90"/>
      <c r="J29" s="92"/>
    </row>
    <row r="30" spans="3:10" x14ac:dyDescent="0.25">
      <c r="C30" s="220" t="s">
        <v>162</v>
      </c>
      <c r="D30" s="51"/>
      <c r="E30" s="221">
        <v>45945</v>
      </c>
      <c r="F30" s="51"/>
      <c r="G30" s="51" t="s">
        <v>167</v>
      </c>
      <c r="H30" s="131"/>
      <c r="I30" s="93"/>
      <c r="J30" s="94"/>
    </row>
    <row r="31" spans="3:10" x14ac:dyDescent="0.25">
      <c r="C31" s="220" t="s">
        <v>163</v>
      </c>
      <c r="D31" s="51" t="s">
        <v>164</v>
      </c>
      <c r="E31" s="51" t="s">
        <v>165</v>
      </c>
      <c r="F31" s="51"/>
      <c r="G31" s="51" t="s">
        <v>168</v>
      </c>
      <c r="H31" s="93">
        <v>40</v>
      </c>
      <c r="I31" s="93"/>
      <c r="J31" s="94"/>
    </row>
    <row r="32" spans="3:10" ht="15.75" thickBot="1" x14ac:dyDescent="0.3">
      <c r="C32" s="220" t="s">
        <v>166</v>
      </c>
      <c r="D32" s="51"/>
      <c r="E32" s="51"/>
      <c r="F32" s="51"/>
      <c r="G32" s="51"/>
      <c r="H32" s="51"/>
      <c r="I32" s="51"/>
      <c r="J32" s="95"/>
    </row>
    <row r="33" spans="3:10" x14ac:dyDescent="0.25">
      <c r="C33" s="292" t="s">
        <v>345</v>
      </c>
      <c r="D33" s="293"/>
      <c r="E33" s="293"/>
      <c r="F33" s="293"/>
      <c r="G33" s="293"/>
      <c r="H33" s="293"/>
      <c r="I33" s="293"/>
      <c r="J33" s="294"/>
    </row>
    <row r="34" spans="3:10" x14ac:dyDescent="0.25">
      <c r="C34" s="295"/>
      <c r="D34" s="296"/>
      <c r="E34" s="296"/>
      <c r="F34" s="296"/>
      <c r="G34" s="296"/>
      <c r="H34" s="296"/>
      <c r="I34" s="296"/>
      <c r="J34" s="297"/>
    </row>
    <row r="35" spans="3:10" ht="15.75" thickBot="1" x14ac:dyDescent="0.3">
      <c r="C35" s="298"/>
      <c r="D35" s="299"/>
      <c r="E35" s="299"/>
      <c r="F35" s="299"/>
      <c r="G35" s="299"/>
      <c r="H35" s="299"/>
      <c r="I35" s="299"/>
      <c r="J35" s="300"/>
    </row>
    <row r="37" spans="3:10" ht="15.75" thickBot="1" x14ac:dyDescent="0.3"/>
    <row r="38" spans="3:10" x14ac:dyDescent="0.25">
      <c r="C38" s="219" t="s">
        <v>161</v>
      </c>
      <c r="D38" s="90">
        <f>D29+1</f>
        <v>5</v>
      </c>
      <c r="E38" s="90"/>
      <c r="F38" s="90"/>
      <c r="G38" s="90"/>
      <c r="H38" s="90"/>
      <c r="I38" s="90"/>
      <c r="J38" s="92"/>
    </row>
    <row r="39" spans="3:10" x14ac:dyDescent="0.25">
      <c r="C39" s="220" t="s">
        <v>162</v>
      </c>
      <c r="D39" s="51"/>
      <c r="E39" s="221">
        <v>45945</v>
      </c>
      <c r="F39" s="51"/>
      <c r="G39" s="51" t="s">
        <v>167</v>
      </c>
      <c r="H39" s="131"/>
      <c r="I39" s="93"/>
      <c r="J39" s="94"/>
    </row>
    <row r="40" spans="3:10" x14ac:dyDescent="0.25">
      <c r="C40" s="220" t="s">
        <v>163</v>
      </c>
      <c r="D40" s="51" t="s">
        <v>164</v>
      </c>
      <c r="E40" s="51" t="s">
        <v>165</v>
      </c>
      <c r="F40" s="51"/>
      <c r="G40" s="51" t="s">
        <v>168</v>
      </c>
      <c r="H40" s="93">
        <v>78</v>
      </c>
      <c r="I40" s="93"/>
      <c r="J40" s="94"/>
    </row>
    <row r="41" spans="3:10" ht="15.75" thickBot="1" x14ac:dyDescent="0.3">
      <c r="C41" s="220" t="s">
        <v>166</v>
      </c>
      <c r="D41" s="51"/>
      <c r="E41" s="51"/>
      <c r="F41" s="51"/>
      <c r="G41" s="51"/>
      <c r="H41" s="51"/>
      <c r="I41" s="51"/>
      <c r="J41" s="95"/>
    </row>
    <row r="42" spans="3:10" x14ac:dyDescent="0.25">
      <c r="C42" s="292" t="s">
        <v>346</v>
      </c>
      <c r="D42" s="293"/>
      <c r="E42" s="293"/>
      <c r="F42" s="293"/>
      <c r="G42" s="293"/>
      <c r="H42" s="293"/>
      <c r="I42" s="293"/>
      <c r="J42" s="294"/>
    </row>
    <row r="43" spans="3:10" x14ac:dyDescent="0.25">
      <c r="C43" s="295"/>
      <c r="D43" s="296"/>
      <c r="E43" s="296"/>
      <c r="F43" s="296"/>
      <c r="G43" s="296"/>
      <c r="H43" s="296"/>
      <c r="I43" s="296"/>
      <c r="J43" s="297"/>
    </row>
    <row r="44" spans="3:10" ht="15.75" thickBot="1" x14ac:dyDescent="0.3">
      <c r="C44" s="298"/>
      <c r="D44" s="299"/>
      <c r="E44" s="299"/>
      <c r="F44" s="299"/>
      <c r="G44" s="299"/>
      <c r="H44" s="299"/>
      <c r="I44" s="299"/>
      <c r="J44" s="300"/>
    </row>
    <row r="46" spans="3:10" ht="15.75" thickBot="1" x14ac:dyDescent="0.3"/>
    <row r="47" spans="3:10" x14ac:dyDescent="0.25">
      <c r="C47" s="219" t="s">
        <v>161</v>
      </c>
      <c r="D47" s="90">
        <f>D38+1</f>
        <v>6</v>
      </c>
      <c r="E47" s="90"/>
      <c r="F47" s="90"/>
      <c r="G47" s="90"/>
      <c r="H47" s="90"/>
      <c r="I47" s="90"/>
      <c r="J47" s="92"/>
    </row>
    <row r="48" spans="3:10" x14ac:dyDescent="0.25">
      <c r="C48" s="220" t="s">
        <v>162</v>
      </c>
      <c r="D48" s="51"/>
      <c r="E48" s="221">
        <v>45945</v>
      </c>
      <c r="F48" s="51"/>
      <c r="G48" s="51" t="s">
        <v>167</v>
      </c>
      <c r="H48" s="131"/>
      <c r="I48" s="93"/>
      <c r="J48" s="94"/>
    </row>
    <row r="49" spans="3:10" x14ac:dyDescent="0.25">
      <c r="C49" s="220" t="s">
        <v>163</v>
      </c>
      <c r="D49" s="51" t="s">
        <v>164</v>
      </c>
      <c r="E49" s="51" t="s">
        <v>165</v>
      </c>
      <c r="F49" s="51"/>
      <c r="G49" s="51" t="s">
        <v>168</v>
      </c>
      <c r="H49" s="93">
        <v>109</v>
      </c>
      <c r="I49" s="93"/>
      <c r="J49" s="94"/>
    </row>
    <row r="50" spans="3:10" ht="15.75" thickBot="1" x14ac:dyDescent="0.3">
      <c r="C50" s="220" t="s">
        <v>166</v>
      </c>
      <c r="D50" s="51"/>
      <c r="E50" s="51"/>
      <c r="F50" s="51"/>
      <c r="G50" s="51"/>
      <c r="H50" s="51"/>
      <c r="I50" s="51"/>
      <c r="J50" s="95"/>
    </row>
    <row r="51" spans="3:10" x14ac:dyDescent="0.25">
      <c r="C51" s="292" t="s">
        <v>347</v>
      </c>
      <c r="D51" s="293"/>
      <c r="E51" s="293"/>
      <c r="F51" s="293"/>
      <c r="G51" s="293"/>
      <c r="H51" s="293"/>
      <c r="I51" s="293"/>
      <c r="J51" s="294"/>
    </row>
    <row r="52" spans="3:10" x14ac:dyDescent="0.25">
      <c r="C52" s="295"/>
      <c r="D52" s="296"/>
      <c r="E52" s="296"/>
      <c r="F52" s="296"/>
      <c r="G52" s="296"/>
      <c r="H52" s="296"/>
      <c r="I52" s="296"/>
      <c r="J52" s="297"/>
    </row>
    <row r="53" spans="3:10" ht="15.75" thickBot="1" x14ac:dyDescent="0.3">
      <c r="C53" s="298"/>
      <c r="D53" s="299"/>
      <c r="E53" s="299"/>
      <c r="F53" s="299"/>
      <c r="G53" s="299"/>
      <c r="H53" s="299"/>
      <c r="I53" s="299"/>
      <c r="J53" s="300"/>
    </row>
    <row r="55" spans="3:10" ht="15.75" thickBot="1" x14ac:dyDescent="0.3"/>
    <row r="56" spans="3:10" x14ac:dyDescent="0.25">
      <c r="C56" s="219" t="s">
        <v>161</v>
      </c>
      <c r="D56" s="90">
        <f>D47+1</f>
        <v>7</v>
      </c>
      <c r="E56" s="90"/>
      <c r="F56" s="90"/>
      <c r="G56" s="90"/>
      <c r="H56" s="90"/>
      <c r="I56" s="90"/>
      <c r="J56" s="92"/>
    </row>
    <row r="57" spans="3:10" x14ac:dyDescent="0.25">
      <c r="C57" s="220" t="s">
        <v>162</v>
      </c>
      <c r="D57" s="51"/>
      <c r="E57" s="221">
        <v>45945</v>
      </c>
      <c r="F57" s="51"/>
      <c r="G57" s="51" t="s">
        <v>167</v>
      </c>
      <c r="H57" s="131"/>
      <c r="I57" s="93"/>
      <c r="J57" s="94"/>
    </row>
    <row r="58" spans="3:10" x14ac:dyDescent="0.25">
      <c r="C58" s="220" t="s">
        <v>163</v>
      </c>
      <c r="D58" s="51" t="s">
        <v>164</v>
      </c>
      <c r="E58" s="51" t="s">
        <v>165</v>
      </c>
      <c r="F58" s="51"/>
      <c r="G58" s="51" t="s">
        <v>168</v>
      </c>
      <c r="H58" s="93">
        <v>28</v>
      </c>
      <c r="I58" s="93"/>
      <c r="J58" s="94"/>
    </row>
    <row r="59" spans="3:10" ht="15.75" thickBot="1" x14ac:dyDescent="0.3">
      <c r="C59" s="220" t="s">
        <v>166</v>
      </c>
      <c r="D59" s="51"/>
      <c r="E59" s="51"/>
      <c r="F59" s="51"/>
      <c r="G59" s="51"/>
      <c r="H59" s="51"/>
      <c r="I59" s="51"/>
      <c r="J59" s="95"/>
    </row>
    <row r="60" spans="3:10" x14ac:dyDescent="0.25">
      <c r="C60" s="292" t="s">
        <v>348</v>
      </c>
      <c r="D60" s="293"/>
      <c r="E60" s="293"/>
      <c r="F60" s="293"/>
      <c r="G60" s="293"/>
      <c r="H60" s="293"/>
      <c r="I60" s="293"/>
      <c r="J60" s="294"/>
    </row>
    <row r="61" spans="3:10" x14ac:dyDescent="0.25">
      <c r="C61" s="295"/>
      <c r="D61" s="296"/>
      <c r="E61" s="296"/>
      <c r="F61" s="296"/>
      <c r="G61" s="296"/>
      <c r="H61" s="296"/>
      <c r="I61" s="296"/>
      <c r="J61" s="297"/>
    </row>
    <row r="62" spans="3:10" ht="15.75" thickBot="1" x14ac:dyDescent="0.3">
      <c r="C62" s="298"/>
      <c r="D62" s="299"/>
      <c r="E62" s="299"/>
      <c r="F62" s="299"/>
      <c r="G62" s="299"/>
      <c r="H62" s="299"/>
      <c r="I62" s="299"/>
      <c r="J62" s="300"/>
    </row>
    <row r="64" spans="3:10" ht="15.75" thickBot="1" x14ac:dyDescent="0.3"/>
    <row r="65" spans="3:10" x14ac:dyDescent="0.25">
      <c r="C65" s="219" t="s">
        <v>161</v>
      </c>
      <c r="D65" s="90">
        <f>D56+1</f>
        <v>8</v>
      </c>
      <c r="E65" s="90"/>
      <c r="F65" s="90"/>
      <c r="G65" s="90"/>
      <c r="H65" s="90"/>
      <c r="I65" s="90"/>
      <c r="J65" s="92"/>
    </row>
    <row r="66" spans="3:10" x14ac:dyDescent="0.25">
      <c r="C66" s="220" t="s">
        <v>162</v>
      </c>
      <c r="D66" s="51"/>
      <c r="E66" s="221">
        <v>45945</v>
      </c>
      <c r="F66" s="51"/>
      <c r="G66" s="51" t="s">
        <v>167</v>
      </c>
      <c r="H66" s="131"/>
      <c r="I66" s="93"/>
      <c r="J66" s="94"/>
    </row>
    <row r="67" spans="3:10" x14ac:dyDescent="0.25">
      <c r="C67" s="220" t="s">
        <v>163</v>
      </c>
      <c r="D67" s="51" t="s">
        <v>164</v>
      </c>
      <c r="E67" s="51" t="s">
        <v>165</v>
      </c>
      <c r="F67" s="51"/>
      <c r="G67" s="51" t="s">
        <v>168</v>
      </c>
      <c r="H67" s="93">
        <v>38</v>
      </c>
      <c r="I67" s="93"/>
      <c r="J67" s="94"/>
    </row>
    <row r="68" spans="3:10" ht="15.75" thickBot="1" x14ac:dyDescent="0.3">
      <c r="C68" s="220" t="s">
        <v>166</v>
      </c>
      <c r="D68" s="51"/>
      <c r="E68" s="51"/>
      <c r="F68" s="51"/>
      <c r="G68" s="51"/>
      <c r="H68" s="51"/>
      <c r="I68" s="51"/>
      <c r="J68" s="95"/>
    </row>
    <row r="69" spans="3:10" x14ac:dyDescent="0.25">
      <c r="C69" s="292" t="s">
        <v>393</v>
      </c>
      <c r="D69" s="293"/>
      <c r="E69" s="293"/>
      <c r="F69" s="293"/>
      <c r="G69" s="293"/>
      <c r="H69" s="293"/>
      <c r="I69" s="293"/>
      <c r="J69" s="294"/>
    </row>
    <row r="70" spans="3:10" x14ac:dyDescent="0.25">
      <c r="C70" s="295"/>
      <c r="D70" s="296"/>
      <c r="E70" s="296"/>
      <c r="F70" s="296"/>
      <c r="G70" s="296"/>
      <c r="H70" s="296"/>
      <c r="I70" s="296"/>
      <c r="J70" s="297"/>
    </row>
    <row r="71" spans="3:10" ht="15.75" thickBot="1" x14ac:dyDescent="0.3">
      <c r="C71" s="298"/>
      <c r="D71" s="299"/>
      <c r="E71" s="299"/>
      <c r="F71" s="299"/>
      <c r="G71" s="299"/>
      <c r="H71" s="299"/>
      <c r="I71" s="299"/>
      <c r="J71" s="300"/>
    </row>
    <row r="73" spans="3:10" ht="15.75" thickBot="1" x14ac:dyDescent="0.3"/>
    <row r="74" spans="3:10" x14ac:dyDescent="0.25">
      <c r="C74" s="219" t="s">
        <v>161</v>
      </c>
      <c r="D74" s="90">
        <f>D65+1</f>
        <v>9</v>
      </c>
      <c r="E74" s="90"/>
      <c r="F74" s="90"/>
      <c r="G74" s="90"/>
      <c r="H74" s="90"/>
      <c r="I74" s="90"/>
      <c r="J74" s="92"/>
    </row>
    <row r="75" spans="3:10" x14ac:dyDescent="0.25">
      <c r="C75" s="220" t="s">
        <v>162</v>
      </c>
      <c r="D75" s="51"/>
      <c r="E75" s="221">
        <v>45945</v>
      </c>
      <c r="F75" s="51"/>
      <c r="G75" s="51" t="s">
        <v>167</v>
      </c>
      <c r="H75" s="131" t="s">
        <v>337</v>
      </c>
      <c r="I75" s="93"/>
      <c r="J75" s="94"/>
    </row>
    <row r="76" spans="3:10" x14ac:dyDescent="0.25">
      <c r="C76" s="220" t="s">
        <v>163</v>
      </c>
      <c r="D76" s="51" t="s">
        <v>164</v>
      </c>
      <c r="E76" s="51" t="s">
        <v>165</v>
      </c>
      <c r="F76" s="51"/>
      <c r="G76" s="51" t="s">
        <v>168</v>
      </c>
      <c r="H76" s="93">
        <v>79</v>
      </c>
      <c r="I76" s="93"/>
      <c r="J76" s="94"/>
    </row>
    <row r="77" spans="3:10" ht="15.75" thickBot="1" x14ac:dyDescent="0.3">
      <c r="C77" s="220" t="s">
        <v>166</v>
      </c>
      <c r="D77" s="51"/>
      <c r="E77" s="51"/>
      <c r="F77" s="51"/>
      <c r="G77" s="51"/>
      <c r="H77" s="51"/>
      <c r="I77" s="51"/>
      <c r="J77" s="95"/>
    </row>
    <row r="78" spans="3:10" x14ac:dyDescent="0.25">
      <c r="C78" s="292" t="s">
        <v>394</v>
      </c>
      <c r="D78" s="293"/>
      <c r="E78" s="293"/>
      <c r="F78" s="293"/>
      <c r="G78" s="293"/>
      <c r="H78" s="293"/>
      <c r="I78" s="293"/>
      <c r="J78" s="294"/>
    </row>
    <row r="79" spans="3:10" x14ac:dyDescent="0.25">
      <c r="C79" s="295"/>
      <c r="D79" s="296"/>
      <c r="E79" s="296"/>
      <c r="F79" s="296"/>
      <c r="G79" s="296"/>
      <c r="H79" s="296"/>
      <c r="I79" s="296"/>
      <c r="J79" s="297"/>
    </row>
    <row r="80" spans="3:10" ht="15.75" thickBot="1" x14ac:dyDescent="0.3">
      <c r="C80" s="298"/>
      <c r="D80" s="299"/>
      <c r="E80" s="299"/>
      <c r="F80" s="299"/>
      <c r="G80" s="299"/>
      <c r="H80" s="299"/>
      <c r="I80" s="299"/>
      <c r="J80" s="300"/>
    </row>
  </sheetData>
  <mergeCells count="9">
    <mergeCell ref="C6:J8"/>
    <mergeCell ref="C78:J80"/>
    <mergeCell ref="C60:J62"/>
    <mergeCell ref="C15:J17"/>
    <mergeCell ref="C24:J26"/>
    <mergeCell ref="C33:J35"/>
    <mergeCell ref="C42:J44"/>
    <mergeCell ref="C51:J53"/>
    <mergeCell ref="C69:J7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B536-E8B8-412C-AFF3-25DF24083D3B}">
  <dimension ref="A3:L11"/>
  <sheetViews>
    <sheetView topLeftCell="B1" workbookViewId="0">
      <selection activeCell="L6" sqref="L6"/>
    </sheetView>
  </sheetViews>
  <sheetFormatPr baseColWidth="10" defaultRowHeight="15" x14ac:dyDescent="0.25"/>
  <cols>
    <col min="1" max="1" width="11.5703125" hidden="1" customWidth="1"/>
    <col min="5" max="5" width="11.42578125" customWidth="1"/>
    <col min="6" max="6" width="1.7109375" customWidth="1"/>
    <col min="7" max="7" width="12.7109375" bestFit="1" customWidth="1"/>
  </cols>
  <sheetData>
    <row r="3" spans="2:12" ht="15.75" thickBot="1" x14ac:dyDescent="0.3"/>
    <row r="4" spans="2:12" ht="15.75" thickBot="1" x14ac:dyDescent="0.3">
      <c r="B4" s="314" t="s">
        <v>317</v>
      </c>
      <c r="C4" s="315"/>
      <c r="D4" s="315"/>
      <c r="E4" s="315"/>
      <c r="F4" s="316"/>
      <c r="G4" s="201" t="s">
        <v>316</v>
      </c>
      <c r="H4" s="305" t="s">
        <v>315</v>
      </c>
      <c r="I4" s="306"/>
      <c r="J4" s="307"/>
    </row>
    <row r="5" spans="2:12" x14ac:dyDescent="0.25">
      <c r="B5" s="317" t="s">
        <v>314</v>
      </c>
      <c r="C5" s="318"/>
      <c r="D5" s="318"/>
      <c r="E5" s="318"/>
      <c r="F5" s="318"/>
      <c r="G5" s="200">
        <v>319000</v>
      </c>
      <c r="H5" s="308"/>
      <c r="I5" s="309"/>
      <c r="J5" s="310"/>
      <c r="L5" t="s">
        <v>322</v>
      </c>
    </row>
    <row r="6" spans="2:12" x14ac:dyDescent="0.25">
      <c r="B6" s="301" t="s">
        <v>313</v>
      </c>
      <c r="C6" s="302"/>
      <c r="D6" s="302"/>
      <c r="E6" s="302"/>
      <c r="F6" s="302"/>
      <c r="G6" s="200">
        <v>15000</v>
      </c>
      <c r="H6" s="308"/>
      <c r="I6" s="309"/>
      <c r="J6" s="310"/>
    </row>
    <row r="7" spans="2:12" x14ac:dyDescent="0.25">
      <c r="B7" s="301" t="s">
        <v>312</v>
      </c>
      <c r="C7" s="302"/>
      <c r="D7" s="302"/>
      <c r="E7" s="302"/>
      <c r="F7" s="302"/>
      <c r="G7" s="200">
        <v>208419</v>
      </c>
      <c r="H7" s="308"/>
      <c r="I7" s="309"/>
      <c r="J7" s="310"/>
    </row>
    <row r="8" spans="2:12" x14ac:dyDescent="0.25">
      <c r="B8" s="301"/>
      <c r="C8" s="302"/>
      <c r="D8" s="302"/>
      <c r="E8" s="302"/>
      <c r="F8" s="302"/>
      <c r="G8" s="199"/>
      <c r="H8" s="308"/>
      <c r="I8" s="309"/>
      <c r="J8" s="310"/>
    </row>
    <row r="9" spans="2:12" x14ac:dyDescent="0.25">
      <c r="B9" s="301"/>
      <c r="C9" s="302"/>
      <c r="D9" s="302"/>
      <c r="E9" s="302"/>
      <c r="F9" s="302"/>
      <c r="G9" s="199"/>
      <c r="H9" s="308"/>
      <c r="I9" s="309"/>
      <c r="J9" s="310"/>
    </row>
    <row r="10" spans="2:12" ht="15.75" thickBot="1" x14ac:dyDescent="0.3">
      <c r="B10" s="301"/>
      <c r="C10" s="302"/>
      <c r="D10" s="302"/>
      <c r="E10" s="302"/>
      <c r="F10" s="302"/>
      <c r="G10" s="199"/>
      <c r="H10" s="308"/>
      <c r="I10" s="309"/>
      <c r="J10" s="310"/>
    </row>
    <row r="11" spans="2:12" ht="15.75" thickBot="1" x14ac:dyDescent="0.3">
      <c r="B11" s="303"/>
      <c r="C11" s="304"/>
      <c r="D11" s="304"/>
      <c r="E11" s="304"/>
      <c r="F11" s="304"/>
      <c r="G11" s="198">
        <f>SUM(G5:G10)</f>
        <v>542419</v>
      </c>
      <c r="H11" s="311"/>
      <c r="I11" s="312"/>
      <c r="J11" s="313"/>
    </row>
  </sheetData>
  <mergeCells count="9">
    <mergeCell ref="B10:F10"/>
    <mergeCell ref="B11:F11"/>
    <mergeCell ref="H4:J11"/>
    <mergeCell ref="B4:F4"/>
    <mergeCell ref="B5:F5"/>
    <mergeCell ref="B6:F6"/>
    <mergeCell ref="B7:F7"/>
    <mergeCell ref="B8:F8"/>
    <mergeCell ref="B9:F9"/>
  </mergeCells>
  <pageMargins left="0.25" right="0.25" top="0.75" bottom="0.75" header="0.3" footer="0.3"/>
  <pageSetup paperSize="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A RECUPERAR NOVIEMBRE</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2025-12-08T15:34:41Z</cp:lastPrinted>
  <dcterms:created xsi:type="dcterms:W3CDTF">2023-09-17T12:29:07Z</dcterms:created>
  <dcterms:modified xsi:type="dcterms:W3CDTF">2025-12-08T15:34:47Z</dcterms:modified>
</cp:coreProperties>
</file>