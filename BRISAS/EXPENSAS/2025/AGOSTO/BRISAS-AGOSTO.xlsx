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D:\OneDrive\Desktop\BRISAS DE ADROGUE\EXPENSAS\AGOSTO\"/>
    </mc:Choice>
  </mc:AlternateContent>
  <xr:revisionPtr revIDLastSave="0" documentId="13_ncr:1_{D82EACF1-E8F8-4B2D-9188-0055FA6BEDEF}" xr6:coauthVersionLast="47" xr6:coauthVersionMax="47" xr10:uidLastSave="{00000000-0000-0000-0000-000000000000}"/>
  <bookViews>
    <workbookView xWindow="-120" yWindow="-120" windowWidth="20730" windowHeight="11160" tabRatio="850" xr2:uid="{00000000-000D-0000-FFFF-FFFF00000000}"/>
  </bookViews>
  <sheets>
    <sheet name="RESUMEN" sheetId="1" r:id="rId1"/>
    <sheet name="PRORRATEO" sheetId="2" r:id="rId2"/>
    <sheet name="anotaciones" sheetId="3" r:id="rId3"/>
    <sheet name="suzel" sheetId="4" r:id="rId4"/>
    <sheet name="SUMS A CORREGIR" sheetId="5" r:id="rId5"/>
  </sheets>
  <definedNames>
    <definedName name="_xlnm.Print_Area" localSheetId="1">PRORRATEO!$A$1:$S$167</definedName>
    <definedName name="_xlnm.Print_Area" localSheetId="0">RESUMEN!$A$1:$E$188</definedName>
    <definedName name="_xlnm.Print_Area" localSheetId="3">suzel!$D$5:$E$13</definedName>
  </definedNames>
  <calcPr calcId="181029"/>
</workbook>
</file>

<file path=xl/calcChain.xml><?xml version="1.0" encoding="utf-8"?>
<calcChain xmlns="http://schemas.openxmlformats.org/spreadsheetml/2006/main">
  <c r="F107" i="1" l="1"/>
  <c r="B187" i="1"/>
  <c r="B133" i="1"/>
  <c r="F42" i="2"/>
  <c r="F116" i="2"/>
  <c r="F100" i="2"/>
  <c r="F114" i="2"/>
  <c r="F105" i="2"/>
  <c r="F107" i="2"/>
  <c r="F65" i="2"/>
  <c r="F83" i="2"/>
  <c r="F44" i="2"/>
  <c r="F142" i="2"/>
  <c r="F111" i="2"/>
  <c r="F14" i="2"/>
  <c r="F127" i="2"/>
  <c r="D91" i="1"/>
  <c r="B169" i="1"/>
  <c r="F56" i="2"/>
  <c r="F26" i="2"/>
  <c r="F71" i="2"/>
  <c r="F52" i="2"/>
  <c r="F84" i="2"/>
  <c r="F80" i="2"/>
  <c r="F155" i="2"/>
  <c r="F151" i="2"/>
  <c r="F47" i="2"/>
  <c r="F19" i="2"/>
  <c r="F45" i="2"/>
  <c r="F31" i="2"/>
  <c r="F77" i="2"/>
  <c r="F18" i="2" l="1"/>
  <c r="F118" i="2"/>
  <c r="F130" i="2"/>
  <c r="F115" i="2"/>
  <c r="F15" i="2"/>
  <c r="F16" i="2"/>
  <c r="B144" i="1"/>
  <c r="F73" i="2"/>
  <c r="F11" i="2"/>
  <c r="F5" i="2"/>
  <c r="F131" i="2"/>
  <c r="F33" i="2"/>
  <c r="F79" i="2"/>
  <c r="F123" i="2"/>
  <c r="F46" i="2"/>
  <c r="F27" i="2"/>
  <c r="F156" i="2"/>
  <c r="F8" i="2"/>
  <c r="F51" i="2" s="1"/>
  <c r="F12" i="2"/>
  <c r="F135" i="2"/>
  <c r="F64" i="2"/>
  <c r="F86" i="2"/>
  <c r="F117" i="2"/>
  <c r="F23" i="2"/>
  <c r="F78" i="2"/>
  <c r="F132" i="2"/>
  <c r="F22" i="2"/>
  <c r="F136" i="2"/>
  <c r="F106" i="2"/>
  <c r="F62" i="2"/>
  <c r="F59" i="2"/>
  <c r="F28" i="2"/>
  <c r="F125" i="2"/>
  <c r="F124" i="2"/>
  <c r="F122" i="2" s="1"/>
  <c r="F128" i="2"/>
  <c r="F103" i="2"/>
  <c r="F112" i="2"/>
  <c r="F138" i="2"/>
  <c r="F139" i="2"/>
  <c r="F7" i="2"/>
  <c r="F154" i="2"/>
  <c r="F153" i="2"/>
  <c r="F68" i="2"/>
  <c r="F34" i="2"/>
  <c r="F129" i="2"/>
  <c r="F82" i="2"/>
  <c r="F93" i="2"/>
  <c r="F29" i="2"/>
  <c r="F54" i="2"/>
  <c r="F66" i="2"/>
  <c r="F32" i="2"/>
  <c r="F133" i="2"/>
  <c r="F81" i="2"/>
  <c r="F126" i="2"/>
  <c r="F63" i="2"/>
  <c r="F108" i="2"/>
  <c r="F152" i="2"/>
  <c r="F150" i="2"/>
  <c r="F149" i="2"/>
  <c r="F90" i="2"/>
  <c r="F37" i="2"/>
  <c r="F20" i="2"/>
  <c r="F17" i="2"/>
  <c r="F49" i="2"/>
  <c r="F101" i="2"/>
  <c r="F72" i="2"/>
  <c r="F53" i="2"/>
  <c r="F39" i="2"/>
  <c r="F60" i="2"/>
  <c r="F148" i="2"/>
  <c r="F91" i="2"/>
  <c r="F9" i="2"/>
  <c r="F69" i="2"/>
  <c r="F67" i="2"/>
  <c r="F10" i="2"/>
  <c r="F143" i="2"/>
  <c r="F70" i="2"/>
  <c r="F89" i="2"/>
  <c r="F104" i="2"/>
  <c r="F13" i="2"/>
  <c r="F88" i="2"/>
  <c r="F87" i="2"/>
  <c r="F24" i="2"/>
  <c r="F120" i="2"/>
  <c r="F98" i="2"/>
  <c r="F38" i="2"/>
  <c r="F35" i="2"/>
  <c r="F113" i="2"/>
  <c r="F76" i="2"/>
  <c r="F36" i="2" l="1"/>
  <c r="E86" i="1" l="1"/>
  <c r="E120" i="1"/>
  <c r="D120" i="1"/>
  <c r="E102" i="1"/>
  <c r="E68" i="1"/>
  <c r="D338" i="3" l="1"/>
  <c r="D328" i="3"/>
  <c r="D318" i="3"/>
  <c r="D308" i="3"/>
  <c r="D11" i="3"/>
  <c r="D21" i="3" s="1"/>
  <c r="D31" i="3" s="1"/>
  <c r="D41" i="3" s="1"/>
  <c r="D51" i="3" s="1"/>
  <c r="D61" i="3" s="1"/>
  <c r="D71" i="3" s="1"/>
  <c r="D81" i="3" s="1"/>
  <c r="D91" i="3" s="1"/>
  <c r="D101" i="3" s="1"/>
  <c r="D111" i="3" s="1"/>
  <c r="D131" i="3" l="1"/>
  <c r="D121" i="3"/>
  <c r="D141" i="3" s="1"/>
  <c r="D151" i="3" s="1"/>
  <c r="D161" i="3" s="1"/>
  <c r="D171" i="3" s="1"/>
  <c r="D181" i="3" s="1"/>
  <c r="D191" i="3" s="1"/>
  <c r="D201" i="3" s="1"/>
  <c r="D211" i="3" s="1"/>
  <c r="D221" i="3" s="1"/>
  <c r="D231" i="3" s="1"/>
  <c r="D241" i="3" s="1"/>
  <c r="D251" i="3" s="1"/>
  <c r="D261" i="3" s="1"/>
  <c r="D271" i="3" s="1"/>
  <c r="D281" i="3" s="1"/>
  <c r="D291" i="3" s="1"/>
  <c r="F159" i="2"/>
  <c r="W2" i="2"/>
  <c r="G2" i="2" s="1"/>
  <c r="S37" i="2" l="1"/>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146" i="2"/>
  <c r="S147" i="2"/>
  <c r="S148" i="2"/>
  <c r="S149" i="2"/>
  <c r="S150" i="2"/>
  <c r="S151" i="2"/>
  <c r="S152" i="2"/>
  <c r="S153" i="2"/>
  <c r="S154" i="2"/>
  <c r="S155" i="2"/>
  <c r="S156" i="2"/>
  <c r="S5" i="2"/>
  <c r="B170" i="1"/>
  <c r="E123" i="1" l="1"/>
  <c r="G97" i="2"/>
  <c r="D26" i="1"/>
  <c r="K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8" i="2"/>
  <c r="J149" i="2"/>
  <c r="J150" i="2"/>
  <c r="J151" i="2"/>
  <c r="J152" i="2"/>
  <c r="J153" i="2"/>
  <c r="J154" i="2"/>
  <c r="J155" i="2"/>
  <c r="J156" i="2"/>
  <c r="J5" i="2"/>
  <c r="E104" i="1"/>
  <c r="E93" i="1"/>
  <c r="E89" i="1"/>
  <c r="E35" i="1"/>
  <c r="D28" i="1"/>
  <c r="B163" i="1"/>
  <c r="E113" i="1"/>
  <c r="E45" i="1"/>
  <c r="E41" i="1"/>
  <c r="L149" i="2"/>
  <c r="L150" i="2"/>
  <c r="L151" i="2"/>
  <c r="L152" i="2"/>
  <c r="L153" i="2"/>
  <c r="L154" i="2"/>
  <c r="L155" i="2"/>
  <c r="L156" i="2"/>
  <c r="L148" i="2"/>
  <c r="L143"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5" i="2"/>
  <c r="E29" i="1" l="1"/>
  <c r="K149" i="2"/>
  <c r="K150" i="2"/>
  <c r="K151" i="2"/>
  <c r="K152" i="2"/>
  <c r="K153" i="2"/>
  <c r="K154" i="2"/>
  <c r="K155" i="2"/>
  <c r="K156" i="2"/>
  <c r="K148"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M6" i="2"/>
  <c r="M7" i="2"/>
  <c r="M8" i="2"/>
  <c r="M9" i="2"/>
  <c r="M10" i="2"/>
  <c r="M11" i="2"/>
  <c r="M12" i="2"/>
  <c r="M14" i="2"/>
  <c r="M15" i="2"/>
  <c r="M16" i="2"/>
  <c r="M18" i="2"/>
  <c r="M19"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3" i="2"/>
  <c r="M54" i="2"/>
  <c r="M56" i="2"/>
  <c r="M57" i="2"/>
  <c r="M58" i="2"/>
  <c r="M59" i="2"/>
  <c r="M61" i="2"/>
  <c r="M62" i="2"/>
  <c r="M63" i="2"/>
  <c r="M64" i="2"/>
  <c r="M65" i="2"/>
  <c r="M67" i="2"/>
  <c r="M68" i="2"/>
  <c r="M69" i="2"/>
  <c r="M70" i="2"/>
  <c r="M71"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9" i="2"/>
  <c r="M150" i="2"/>
  <c r="M151" i="2"/>
  <c r="M152" i="2"/>
  <c r="M153" i="2"/>
  <c r="M154" i="2"/>
  <c r="M155" i="2"/>
  <c r="M156" i="2"/>
  <c r="M5" i="2"/>
  <c r="G68" i="2"/>
  <c r="H68" i="2" s="1"/>
  <c r="G96" i="2"/>
  <c r="H96" i="2" s="1"/>
  <c r="G43" i="2"/>
  <c r="H43" i="2" s="1"/>
  <c r="G93" i="2"/>
  <c r="H93" i="2" s="1"/>
  <c r="G137" i="2"/>
  <c r="H137" i="2" s="1"/>
  <c r="G110" i="2"/>
  <c r="H110" i="2" s="1"/>
  <c r="G141" i="2"/>
  <c r="H141" i="2" s="1"/>
  <c r="G64" i="2"/>
  <c r="H64" i="2" s="1"/>
  <c r="G100" i="2"/>
  <c r="H100" i="2" s="1"/>
  <c r="G22" i="2"/>
  <c r="H22" i="2" s="1"/>
  <c r="G5" i="2"/>
  <c r="H5" i="2" s="1"/>
  <c r="I5" i="2"/>
  <c r="G6" i="2"/>
  <c r="H6" i="2" s="1"/>
  <c r="I6" i="2"/>
  <c r="G7" i="2"/>
  <c r="H7" i="2" s="1"/>
  <c r="I7" i="2"/>
  <c r="G8" i="2"/>
  <c r="H8" i="2" s="1"/>
  <c r="I8" i="2"/>
  <c r="G9" i="2"/>
  <c r="H9" i="2" s="1"/>
  <c r="I9" i="2"/>
  <c r="G10" i="2"/>
  <c r="H10" i="2" s="1"/>
  <c r="I10" i="2"/>
  <c r="G11" i="2"/>
  <c r="H11" i="2" s="1"/>
  <c r="I11" i="2"/>
  <c r="G12" i="2"/>
  <c r="H12" i="2" s="1"/>
  <c r="I12" i="2"/>
  <c r="G13" i="2"/>
  <c r="H13" i="2" s="1"/>
  <c r="I13" i="2"/>
  <c r="G14" i="2"/>
  <c r="H14" i="2" s="1"/>
  <c r="I14" i="2"/>
  <c r="G15" i="2"/>
  <c r="H15" i="2" s="1"/>
  <c r="I15" i="2"/>
  <c r="G16" i="2"/>
  <c r="H16" i="2" s="1"/>
  <c r="I16" i="2"/>
  <c r="I17" i="2"/>
  <c r="G18" i="2"/>
  <c r="H18" i="2" s="1"/>
  <c r="I18" i="2"/>
  <c r="G19" i="2"/>
  <c r="H19" i="2" s="1"/>
  <c r="I19" i="2"/>
  <c r="G20" i="2"/>
  <c r="H20" i="2" s="1"/>
  <c r="I20" i="2"/>
  <c r="G21" i="2"/>
  <c r="H21" i="2" s="1"/>
  <c r="I21" i="2"/>
  <c r="I22" i="2"/>
  <c r="G23" i="2"/>
  <c r="H23" i="2" s="1"/>
  <c r="I23" i="2"/>
  <c r="G24" i="2"/>
  <c r="H24" i="2" s="1"/>
  <c r="I24" i="2"/>
  <c r="G25" i="2"/>
  <c r="H25" i="2" s="1"/>
  <c r="I25" i="2"/>
  <c r="G26" i="2"/>
  <c r="H26" i="2" s="1"/>
  <c r="I26" i="2"/>
  <c r="G27" i="2"/>
  <c r="H27" i="2" s="1"/>
  <c r="I27" i="2"/>
  <c r="G28" i="2"/>
  <c r="H28" i="2" s="1"/>
  <c r="I28" i="2"/>
  <c r="G29" i="2"/>
  <c r="H29" i="2" s="1"/>
  <c r="I29" i="2"/>
  <c r="G30" i="2"/>
  <c r="H30" i="2" s="1"/>
  <c r="I30" i="2"/>
  <c r="G31" i="2"/>
  <c r="H31" i="2" s="1"/>
  <c r="I31" i="2"/>
  <c r="G32" i="2"/>
  <c r="H32" i="2" s="1"/>
  <c r="I32" i="2"/>
  <c r="G33" i="2"/>
  <c r="H33" i="2" s="1"/>
  <c r="I33" i="2"/>
  <c r="G34" i="2"/>
  <c r="H34" i="2" s="1"/>
  <c r="I34" i="2"/>
  <c r="G35" i="2"/>
  <c r="H35" i="2" s="1"/>
  <c r="I35" i="2"/>
  <c r="I36" i="2"/>
  <c r="G37" i="2"/>
  <c r="H37" i="2" s="1"/>
  <c r="I37" i="2"/>
  <c r="G38" i="2"/>
  <c r="H38" i="2" s="1"/>
  <c r="I38" i="2"/>
  <c r="G39" i="2"/>
  <c r="H39" i="2" s="1"/>
  <c r="I39" i="2"/>
  <c r="G40" i="2"/>
  <c r="H40" i="2" s="1"/>
  <c r="I40" i="2"/>
  <c r="G41" i="2"/>
  <c r="H41" i="2" s="1"/>
  <c r="I41" i="2"/>
  <c r="G42" i="2"/>
  <c r="H42" i="2" s="1"/>
  <c r="I42" i="2"/>
  <c r="I43" i="2"/>
  <c r="G44" i="2"/>
  <c r="H44" i="2" s="1"/>
  <c r="I44" i="2"/>
  <c r="G45" i="2"/>
  <c r="H45" i="2" s="1"/>
  <c r="I45" i="2"/>
  <c r="G46" i="2"/>
  <c r="H46" i="2" s="1"/>
  <c r="I46" i="2"/>
  <c r="G47" i="2"/>
  <c r="H47" i="2" s="1"/>
  <c r="I47" i="2"/>
  <c r="G48" i="2"/>
  <c r="H48" i="2" s="1"/>
  <c r="I48" i="2"/>
  <c r="G49" i="2"/>
  <c r="H49" i="2" s="1"/>
  <c r="I49" i="2"/>
  <c r="G50" i="2"/>
  <c r="H50" i="2" s="1"/>
  <c r="I50" i="2"/>
  <c r="G51" i="2"/>
  <c r="H51" i="2" s="1"/>
  <c r="I51" i="2"/>
  <c r="G52" i="2"/>
  <c r="H52" i="2" s="1"/>
  <c r="I52" i="2"/>
  <c r="G53" i="2"/>
  <c r="H53" i="2" s="1"/>
  <c r="I53" i="2"/>
  <c r="G54" i="2"/>
  <c r="H54" i="2" s="1"/>
  <c r="I54" i="2"/>
  <c r="G55" i="2"/>
  <c r="H55" i="2" s="1"/>
  <c r="I55" i="2"/>
  <c r="G56" i="2"/>
  <c r="H56" i="2" s="1"/>
  <c r="I56" i="2"/>
  <c r="G57" i="2"/>
  <c r="H57" i="2" s="1"/>
  <c r="I57" i="2"/>
  <c r="G58" i="2"/>
  <c r="H58" i="2" s="1"/>
  <c r="I58" i="2"/>
  <c r="G59" i="2"/>
  <c r="H59" i="2" s="1"/>
  <c r="I59" i="2"/>
  <c r="G60" i="2"/>
  <c r="H60" i="2" s="1"/>
  <c r="I60" i="2"/>
  <c r="O60" i="2" s="1"/>
  <c r="G61" i="2"/>
  <c r="H61" i="2" s="1"/>
  <c r="I61" i="2"/>
  <c r="G62" i="2"/>
  <c r="H62" i="2" s="1"/>
  <c r="I62" i="2"/>
  <c r="G63" i="2"/>
  <c r="H63" i="2" s="1"/>
  <c r="I63" i="2"/>
  <c r="I64" i="2"/>
  <c r="G65" i="2"/>
  <c r="H65" i="2" s="1"/>
  <c r="I65" i="2"/>
  <c r="G66" i="2"/>
  <c r="H66" i="2" s="1"/>
  <c r="I66" i="2"/>
  <c r="N66" i="2" s="1"/>
  <c r="G67" i="2"/>
  <c r="H67" i="2" s="1"/>
  <c r="I67" i="2"/>
  <c r="I68" i="2"/>
  <c r="G69" i="2"/>
  <c r="H69" i="2" s="1"/>
  <c r="I69" i="2"/>
  <c r="G70" i="2"/>
  <c r="H70" i="2" s="1"/>
  <c r="I70" i="2"/>
  <c r="G71" i="2"/>
  <c r="H71" i="2" s="1"/>
  <c r="I71" i="2"/>
  <c r="G72" i="2"/>
  <c r="H72" i="2" s="1"/>
  <c r="I72" i="2"/>
  <c r="G73" i="2"/>
  <c r="H73" i="2" s="1"/>
  <c r="I73" i="2"/>
  <c r="G74" i="2"/>
  <c r="H74" i="2" s="1"/>
  <c r="I74" i="2"/>
  <c r="G75" i="2"/>
  <c r="H75" i="2" s="1"/>
  <c r="I75" i="2"/>
  <c r="G76" i="2"/>
  <c r="H76" i="2" s="1"/>
  <c r="I76" i="2"/>
  <c r="G77" i="2"/>
  <c r="H77" i="2" s="1"/>
  <c r="I77" i="2"/>
  <c r="G78" i="2"/>
  <c r="H78" i="2" s="1"/>
  <c r="I78" i="2"/>
  <c r="G79" i="2"/>
  <c r="H79" i="2" s="1"/>
  <c r="I79" i="2"/>
  <c r="G80" i="2"/>
  <c r="H80" i="2" s="1"/>
  <c r="I80" i="2"/>
  <c r="G81" i="2"/>
  <c r="H81" i="2" s="1"/>
  <c r="I81" i="2"/>
  <c r="G82" i="2"/>
  <c r="H82" i="2" s="1"/>
  <c r="I82" i="2"/>
  <c r="G83" i="2"/>
  <c r="H83" i="2" s="1"/>
  <c r="I83" i="2"/>
  <c r="G84" i="2"/>
  <c r="H84" i="2" s="1"/>
  <c r="I84" i="2"/>
  <c r="G85" i="2"/>
  <c r="H85" i="2" s="1"/>
  <c r="I85" i="2"/>
  <c r="G86" i="2"/>
  <c r="H86" i="2" s="1"/>
  <c r="I86" i="2"/>
  <c r="G87" i="2"/>
  <c r="H87" i="2" s="1"/>
  <c r="I87" i="2"/>
  <c r="G88" i="2"/>
  <c r="H88" i="2" s="1"/>
  <c r="I88" i="2"/>
  <c r="G89" i="2"/>
  <c r="H89" i="2" s="1"/>
  <c r="I89" i="2"/>
  <c r="G90" i="2"/>
  <c r="H90" i="2" s="1"/>
  <c r="I90" i="2"/>
  <c r="G91" i="2"/>
  <c r="H91" i="2" s="1"/>
  <c r="I91" i="2"/>
  <c r="G92" i="2"/>
  <c r="H92" i="2" s="1"/>
  <c r="I92" i="2"/>
  <c r="I93" i="2"/>
  <c r="G94" i="2"/>
  <c r="H94" i="2" s="1"/>
  <c r="I94" i="2"/>
  <c r="G95" i="2"/>
  <c r="H95" i="2" s="1"/>
  <c r="I95" i="2"/>
  <c r="I96" i="2"/>
  <c r="H97" i="2"/>
  <c r="I97" i="2"/>
  <c r="G98" i="2"/>
  <c r="H98" i="2" s="1"/>
  <c r="I98" i="2"/>
  <c r="G99" i="2"/>
  <c r="H99" i="2" s="1"/>
  <c r="I99" i="2"/>
  <c r="I100" i="2"/>
  <c r="G101" i="2"/>
  <c r="H101" i="2" s="1"/>
  <c r="I101" i="2"/>
  <c r="G102" i="2"/>
  <c r="H102" i="2" s="1"/>
  <c r="I102" i="2"/>
  <c r="G103" i="2"/>
  <c r="H103" i="2" s="1"/>
  <c r="I103" i="2"/>
  <c r="G104" i="2"/>
  <c r="H104" i="2" s="1"/>
  <c r="I104" i="2"/>
  <c r="G105" i="2"/>
  <c r="H105" i="2" s="1"/>
  <c r="I105" i="2"/>
  <c r="G106" i="2"/>
  <c r="H106" i="2" s="1"/>
  <c r="I106" i="2"/>
  <c r="G107" i="2"/>
  <c r="H107" i="2" s="1"/>
  <c r="I107" i="2"/>
  <c r="G108" i="2"/>
  <c r="H108" i="2" s="1"/>
  <c r="I108" i="2"/>
  <c r="G109" i="2"/>
  <c r="H109" i="2" s="1"/>
  <c r="I109" i="2"/>
  <c r="I110" i="2"/>
  <c r="G111" i="2"/>
  <c r="H111" i="2" s="1"/>
  <c r="I111" i="2"/>
  <c r="G112" i="2"/>
  <c r="H112" i="2" s="1"/>
  <c r="I112" i="2"/>
  <c r="G113" i="2"/>
  <c r="H113" i="2" s="1"/>
  <c r="I113" i="2"/>
  <c r="G114" i="2"/>
  <c r="H114" i="2" s="1"/>
  <c r="I114" i="2"/>
  <c r="G115" i="2"/>
  <c r="H115" i="2" s="1"/>
  <c r="I115" i="2"/>
  <c r="G116" i="2"/>
  <c r="H116" i="2" s="1"/>
  <c r="I116" i="2"/>
  <c r="G117" i="2"/>
  <c r="H117" i="2" s="1"/>
  <c r="I117" i="2"/>
  <c r="G118" i="2"/>
  <c r="H118" i="2" s="1"/>
  <c r="I118" i="2"/>
  <c r="G119" i="2"/>
  <c r="H119" i="2" s="1"/>
  <c r="I119" i="2"/>
  <c r="G120" i="2"/>
  <c r="H120" i="2" s="1"/>
  <c r="I120" i="2"/>
  <c r="G121" i="2"/>
  <c r="H121" i="2" s="1"/>
  <c r="I121" i="2"/>
  <c r="I122" i="2"/>
  <c r="G123" i="2"/>
  <c r="H123" i="2" s="1"/>
  <c r="I123" i="2"/>
  <c r="I124" i="2"/>
  <c r="G125" i="2"/>
  <c r="H125" i="2" s="1"/>
  <c r="I125" i="2"/>
  <c r="G126" i="2"/>
  <c r="H126" i="2" s="1"/>
  <c r="I126" i="2"/>
  <c r="G127" i="2"/>
  <c r="H127" i="2" s="1"/>
  <c r="I127" i="2"/>
  <c r="G128" i="2"/>
  <c r="H128" i="2" s="1"/>
  <c r="I128" i="2"/>
  <c r="G129" i="2"/>
  <c r="H129" i="2" s="1"/>
  <c r="I129" i="2"/>
  <c r="G130" i="2"/>
  <c r="H130" i="2" s="1"/>
  <c r="I130" i="2"/>
  <c r="G131" i="2"/>
  <c r="H131" i="2" s="1"/>
  <c r="I131" i="2"/>
  <c r="G132" i="2"/>
  <c r="H132" i="2" s="1"/>
  <c r="I132" i="2"/>
  <c r="G133" i="2"/>
  <c r="H133" i="2" s="1"/>
  <c r="I133" i="2"/>
  <c r="G134" i="2"/>
  <c r="H134" i="2" s="1"/>
  <c r="I134" i="2"/>
  <c r="G135" i="2"/>
  <c r="H135" i="2" s="1"/>
  <c r="I135" i="2"/>
  <c r="G136" i="2"/>
  <c r="H136" i="2" s="1"/>
  <c r="I136" i="2"/>
  <c r="I137" i="2"/>
  <c r="I138" i="2"/>
  <c r="G138" i="2"/>
  <c r="H138" i="2" s="1"/>
  <c r="I139" i="2"/>
  <c r="G140" i="2"/>
  <c r="H140" i="2" s="1"/>
  <c r="I140" i="2"/>
  <c r="I141" i="2"/>
  <c r="G142" i="2"/>
  <c r="H142" i="2" s="1"/>
  <c r="I142" i="2"/>
  <c r="G143" i="2"/>
  <c r="H143" i="2" s="1"/>
  <c r="I143" i="2"/>
  <c r="G148" i="2"/>
  <c r="H148" i="2" s="1"/>
  <c r="I148" i="2"/>
  <c r="I149" i="2"/>
  <c r="G150" i="2"/>
  <c r="H150" i="2" s="1"/>
  <c r="I150" i="2"/>
  <c r="I151" i="2"/>
  <c r="G152" i="2"/>
  <c r="H152" i="2" s="1"/>
  <c r="I152" i="2"/>
  <c r="G153" i="2"/>
  <c r="H153" i="2" s="1"/>
  <c r="I153" i="2"/>
  <c r="G154" i="2"/>
  <c r="H154" i="2" s="1"/>
  <c r="I154" i="2"/>
  <c r="I155" i="2"/>
  <c r="E127" i="1"/>
  <c r="B150" i="1" s="1"/>
  <c r="E33" i="1"/>
  <c r="E34" i="1" s="1"/>
  <c r="E117" i="1"/>
  <c r="B164" i="1" s="1"/>
  <c r="A33" i="1"/>
  <c r="A34" i="1" s="1"/>
  <c r="B132" i="1"/>
  <c r="R37" i="2"/>
  <c r="R146" i="2"/>
  <c r="R147" i="2"/>
  <c r="R148" i="2"/>
  <c r="R149" i="2"/>
  <c r="R150" i="2"/>
  <c r="R151" i="2"/>
  <c r="R152" i="2"/>
  <c r="R153" i="2"/>
  <c r="R154" i="2"/>
  <c r="R155" i="2"/>
  <c r="R156" i="2"/>
  <c r="I156" i="2"/>
  <c r="G156" i="2"/>
  <c r="H156" i="2" s="1"/>
  <c r="B72" i="2"/>
  <c r="D159" i="2"/>
  <c r="B6" i="2"/>
  <c r="N13" i="2" l="1"/>
  <c r="N20" i="2"/>
  <c r="N148" i="2"/>
  <c r="O159" i="2"/>
  <c r="N17" i="2"/>
  <c r="B73" i="2"/>
  <c r="S72" i="2"/>
  <c r="B7" i="2"/>
  <c r="S6" i="2"/>
  <c r="E96" i="1"/>
  <c r="G17" i="2"/>
  <c r="H17" i="2" s="1"/>
  <c r="G122" i="2"/>
  <c r="H122" i="2" s="1"/>
  <c r="G139" i="2"/>
  <c r="H139" i="2" s="1"/>
  <c r="N55" i="2"/>
  <c r="N72" i="2"/>
  <c r="N60" i="2"/>
  <c r="K159" i="2"/>
  <c r="N52" i="2"/>
  <c r="L159" i="2"/>
  <c r="G151" i="2"/>
  <c r="H151" i="2" s="1"/>
  <c r="G124" i="2"/>
  <c r="H124" i="2" s="1"/>
  <c r="G36" i="2"/>
  <c r="H36" i="2" s="1"/>
  <c r="G155" i="2"/>
  <c r="H155" i="2" s="1"/>
  <c r="G149" i="2"/>
  <c r="H149" i="2" s="1"/>
  <c r="B151" i="1"/>
  <c r="R73" i="2"/>
  <c r="R72" i="2"/>
  <c r="R6" i="2"/>
  <c r="B8" i="2" l="1"/>
  <c r="S7" i="2"/>
  <c r="R7" i="2"/>
  <c r="B74" i="2"/>
  <c r="S73" i="2"/>
  <c r="N159" i="2"/>
  <c r="B75" i="2" l="1"/>
  <c r="S74" i="2"/>
  <c r="R74" i="2"/>
  <c r="B9" i="2"/>
  <c r="S8" i="2"/>
  <c r="R8" i="2"/>
  <c r="M159" i="2"/>
  <c r="B138" i="1"/>
  <c r="B10" i="2" l="1"/>
  <c r="S9" i="2"/>
  <c r="R9" i="2"/>
  <c r="B76" i="2"/>
  <c r="S75" i="2"/>
  <c r="R75" i="2"/>
  <c r="P148" i="2"/>
  <c r="P150" i="2"/>
  <c r="P149" i="2"/>
  <c r="P151" i="2"/>
  <c r="P152" i="2"/>
  <c r="P153" i="2"/>
  <c r="P155" i="2"/>
  <c r="P154" i="2"/>
  <c r="P156" i="2"/>
  <c r="B77" i="2" l="1"/>
  <c r="S76" i="2"/>
  <c r="R76" i="2"/>
  <c r="B11" i="2"/>
  <c r="S10" i="2"/>
  <c r="R10" i="2"/>
  <c r="P6" i="2"/>
  <c r="P76" i="2"/>
  <c r="P7" i="2"/>
  <c r="P37" i="2"/>
  <c r="P74" i="2"/>
  <c r="P10" i="2"/>
  <c r="P9" i="2"/>
  <c r="P72" i="2"/>
  <c r="P8" i="2"/>
  <c r="P75" i="2"/>
  <c r="P73"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5" i="2"/>
  <c r="P5" i="2" s="1"/>
  <c r="B12" i="2" l="1"/>
  <c r="S11" i="2"/>
  <c r="R11" i="2"/>
  <c r="P11" i="2" s="1"/>
  <c r="B78" i="2"/>
  <c r="S77" i="2"/>
  <c r="R77" i="2"/>
  <c r="P77" i="2" s="1"/>
  <c r="P48" i="2"/>
  <c r="B79" i="2" l="1"/>
  <c r="S78" i="2"/>
  <c r="R78" i="2"/>
  <c r="P78" i="2" s="1"/>
  <c r="B13" i="2"/>
  <c r="S12" i="2"/>
  <c r="R12" i="2"/>
  <c r="P12" i="2" s="1"/>
  <c r="B137" i="1"/>
  <c r="E159" i="2"/>
  <c r="B14" i="2" l="1"/>
  <c r="S13" i="2"/>
  <c r="R13" i="2"/>
  <c r="P13" i="2" s="1"/>
  <c r="B80" i="2"/>
  <c r="S79" i="2"/>
  <c r="R79" i="2"/>
  <c r="P79" i="2" s="1"/>
  <c r="P47" i="2"/>
  <c r="P42" i="2"/>
  <c r="P59" i="2"/>
  <c r="P55" i="2"/>
  <c r="P50" i="2"/>
  <c r="P45" i="2"/>
  <c r="P41" i="2"/>
  <c r="P43" i="2"/>
  <c r="P39" i="2"/>
  <c r="P46" i="2"/>
  <c r="P38" i="2"/>
  <c r="P71" i="2"/>
  <c r="P62" i="2"/>
  <c r="P49" i="2"/>
  <c r="P44" i="2"/>
  <c r="P40" i="2"/>
  <c r="B131" i="1"/>
  <c r="G159" i="2"/>
  <c r="P67" i="2"/>
  <c r="P68" i="2"/>
  <c r="P70" i="2"/>
  <c r="P69" i="2"/>
  <c r="P54" i="2"/>
  <c r="P65" i="2"/>
  <c r="P61" i="2"/>
  <c r="P57" i="2"/>
  <c r="P53" i="2"/>
  <c r="P58" i="2"/>
  <c r="P64" i="2"/>
  <c r="P60" i="2"/>
  <c r="P56" i="2"/>
  <c r="P52" i="2"/>
  <c r="P66" i="2"/>
  <c r="P63" i="2"/>
  <c r="P51" i="2"/>
  <c r="I159" i="2"/>
  <c r="B81" i="2" l="1"/>
  <c r="S80" i="2"/>
  <c r="R80" i="2"/>
  <c r="P80" i="2" s="1"/>
  <c r="B15" i="2"/>
  <c r="S14" i="2"/>
  <c r="R14" i="2"/>
  <c r="P14" i="2" s="1"/>
  <c r="B152" i="1"/>
  <c r="B165" i="1" s="1"/>
  <c r="B130" i="1"/>
  <c r="J159" i="2"/>
  <c r="B16" i="2" l="1"/>
  <c r="S15" i="2"/>
  <c r="R15" i="2"/>
  <c r="P15" i="2" s="1"/>
  <c r="B82" i="2"/>
  <c r="S81" i="2"/>
  <c r="R81" i="2"/>
  <c r="P81" i="2" s="1"/>
  <c r="B83" i="2" l="1"/>
  <c r="S82" i="2"/>
  <c r="R82" i="2"/>
  <c r="P82" i="2" s="1"/>
  <c r="B17" i="2"/>
  <c r="S16" i="2"/>
  <c r="R16" i="2"/>
  <c r="P16" i="2" s="1"/>
  <c r="B18" i="2" l="1"/>
  <c r="S17" i="2"/>
  <c r="R17" i="2"/>
  <c r="P17" i="2" s="1"/>
  <c r="B84" i="2"/>
  <c r="S83" i="2"/>
  <c r="R83" i="2"/>
  <c r="P83" i="2" s="1"/>
  <c r="B19" i="2" l="1"/>
  <c r="S18" i="2"/>
  <c r="R18" i="2"/>
  <c r="P18" i="2" s="1"/>
  <c r="B85" i="2"/>
  <c r="S84" i="2"/>
  <c r="R84" i="2"/>
  <c r="P84" i="2" s="1"/>
  <c r="B86" i="2" l="1"/>
  <c r="S85" i="2"/>
  <c r="R85" i="2"/>
  <c r="P85" i="2" s="1"/>
  <c r="B20" i="2"/>
  <c r="S19" i="2"/>
  <c r="R19" i="2"/>
  <c r="P19" i="2" s="1"/>
  <c r="B21" i="2" l="1"/>
  <c r="S20" i="2"/>
  <c r="R20" i="2"/>
  <c r="P20" i="2" s="1"/>
  <c r="B87" i="2"/>
  <c r="S86" i="2"/>
  <c r="R86" i="2"/>
  <c r="P86" i="2" s="1"/>
  <c r="B88" i="2" l="1"/>
  <c r="S87" i="2"/>
  <c r="R87" i="2"/>
  <c r="P87" i="2" s="1"/>
  <c r="B22" i="2"/>
  <c r="S21" i="2"/>
  <c r="R21" i="2"/>
  <c r="P21" i="2" s="1"/>
  <c r="B23" i="2" l="1"/>
  <c r="S22" i="2"/>
  <c r="R22" i="2"/>
  <c r="P22" i="2" s="1"/>
  <c r="B89" i="2"/>
  <c r="S88" i="2"/>
  <c r="R88" i="2"/>
  <c r="P88" i="2" s="1"/>
  <c r="B90" i="2" l="1"/>
  <c r="S89" i="2"/>
  <c r="R89" i="2"/>
  <c r="P89" i="2" s="1"/>
  <c r="B24" i="2"/>
  <c r="S23" i="2"/>
  <c r="R23" i="2"/>
  <c r="P23" i="2" s="1"/>
  <c r="B25" i="2" l="1"/>
  <c r="S24" i="2"/>
  <c r="R24" i="2"/>
  <c r="P24" i="2" s="1"/>
  <c r="B91" i="2"/>
  <c r="S90" i="2"/>
  <c r="R90" i="2"/>
  <c r="P90" i="2" s="1"/>
  <c r="B26" i="2" l="1"/>
  <c r="S25" i="2"/>
  <c r="R25" i="2"/>
  <c r="P25" i="2" s="1"/>
  <c r="B92" i="2"/>
  <c r="S91" i="2"/>
  <c r="R91" i="2"/>
  <c r="P91" i="2" s="1"/>
  <c r="B93" i="2" l="1"/>
  <c r="S92" i="2"/>
  <c r="R92" i="2"/>
  <c r="P92" i="2" s="1"/>
  <c r="B27" i="2"/>
  <c r="S26" i="2"/>
  <c r="R26" i="2"/>
  <c r="P26" i="2" s="1"/>
  <c r="B28" i="2" l="1"/>
  <c r="S27" i="2"/>
  <c r="R27" i="2"/>
  <c r="P27" i="2" s="1"/>
  <c r="B94" i="2"/>
  <c r="S93" i="2"/>
  <c r="R93" i="2"/>
  <c r="P93" i="2" s="1"/>
  <c r="B95" i="2" l="1"/>
  <c r="S94" i="2"/>
  <c r="R94" i="2"/>
  <c r="P94" i="2" s="1"/>
  <c r="B29" i="2"/>
  <c r="S28" i="2"/>
  <c r="R28" i="2"/>
  <c r="P28" i="2" s="1"/>
  <c r="B30" i="2" l="1"/>
  <c r="S29" i="2"/>
  <c r="R29" i="2"/>
  <c r="P29" i="2" s="1"/>
  <c r="B96" i="2"/>
  <c r="S95" i="2"/>
  <c r="R95" i="2"/>
  <c r="P95" i="2" s="1"/>
  <c r="B97" i="2" l="1"/>
  <c r="S96" i="2"/>
  <c r="R96" i="2"/>
  <c r="P96" i="2" s="1"/>
  <c r="B31" i="2"/>
  <c r="S30" i="2"/>
  <c r="R30" i="2"/>
  <c r="P30" i="2" s="1"/>
  <c r="B32" i="2" l="1"/>
  <c r="S31" i="2"/>
  <c r="R31" i="2"/>
  <c r="P31" i="2" s="1"/>
  <c r="B98" i="2"/>
  <c r="S97" i="2"/>
  <c r="R97" i="2"/>
  <c r="P97" i="2" s="1"/>
  <c r="B99" i="2" l="1"/>
  <c r="S98" i="2"/>
  <c r="R98" i="2"/>
  <c r="P98" i="2" s="1"/>
  <c r="B33" i="2"/>
  <c r="S32" i="2"/>
  <c r="R32" i="2"/>
  <c r="P32" i="2" s="1"/>
  <c r="B34" i="2" l="1"/>
  <c r="S33" i="2"/>
  <c r="R33" i="2"/>
  <c r="P33" i="2" s="1"/>
  <c r="B100" i="2"/>
  <c r="S99" i="2"/>
  <c r="R99" i="2"/>
  <c r="P99" i="2" s="1"/>
  <c r="B101" i="2" l="1"/>
  <c r="S100" i="2"/>
  <c r="R100" i="2"/>
  <c r="P100" i="2" s="1"/>
  <c r="B35" i="2"/>
  <c r="S34" i="2"/>
  <c r="R34" i="2"/>
  <c r="P34" i="2" s="1"/>
  <c r="B36" i="2" l="1"/>
  <c r="S35" i="2"/>
  <c r="R35" i="2"/>
  <c r="P35" i="2" s="1"/>
  <c r="B102" i="2"/>
  <c r="S101" i="2"/>
  <c r="R101" i="2"/>
  <c r="P101" i="2" s="1"/>
  <c r="B103" i="2" l="1"/>
  <c r="S102" i="2"/>
  <c r="R102" i="2"/>
  <c r="P102" i="2" s="1"/>
  <c r="R36" i="2"/>
  <c r="P36" i="2" s="1"/>
  <c r="S36" i="2"/>
  <c r="B104" i="2" l="1"/>
  <c r="S103" i="2"/>
  <c r="R103" i="2"/>
  <c r="P103" i="2" s="1"/>
  <c r="B105" i="2" l="1"/>
  <c r="S104" i="2"/>
  <c r="R104" i="2"/>
  <c r="P104" i="2" s="1"/>
  <c r="B106" i="2" l="1"/>
  <c r="S105" i="2"/>
  <c r="R105" i="2"/>
  <c r="P105" i="2" s="1"/>
  <c r="B107" i="2" l="1"/>
  <c r="S106" i="2"/>
  <c r="R106" i="2"/>
  <c r="P106" i="2" s="1"/>
  <c r="B108" i="2" l="1"/>
  <c r="S107" i="2"/>
  <c r="R107" i="2"/>
  <c r="P107" i="2" s="1"/>
  <c r="B109" i="2" l="1"/>
  <c r="S108" i="2"/>
  <c r="R108" i="2"/>
  <c r="P108" i="2" s="1"/>
  <c r="B110" i="2" l="1"/>
  <c r="S109" i="2"/>
  <c r="R109" i="2"/>
  <c r="P109" i="2" s="1"/>
  <c r="B111" i="2" l="1"/>
  <c r="S110" i="2"/>
  <c r="R110" i="2"/>
  <c r="P110" i="2" s="1"/>
  <c r="B112" i="2" l="1"/>
  <c r="S111" i="2"/>
  <c r="R111" i="2"/>
  <c r="P111" i="2" s="1"/>
  <c r="B113" i="2" l="1"/>
  <c r="S112" i="2"/>
  <c r="R112" i="2"/>
  <c r="P112" i="2" s="1"/>
  <c r="B114" i="2" l="1"/>
  <c r="S113" i="2"/>
  <c r="R113" i="2"/>
  <c r="P113" i="2" s="1"/>
  <c r="B115" i="2" l="1"/>
  <c r="S114" i="2"/>
  <c r="R114" i="2"/>
  <c r="P114" i="2" s="1"/>
  <c r="B116" i="2" l="1"/>
  <c r="S115" i="2"/>
  <c r="R115" i="2"/>
  <c r="P115" i="2" s="1"/>
  <c r="B117" i="2" l="1"/>
  <c r="S116" i="2"/>
  <c r="R116" i="2"/>
  <c r="P116" i="2" s="1"/>
  <c r="B118" i="2" l="1"/>
  <c r="S117" i="2"/>
  <c r="R117" i="2"/>
  <c r="P117" i="2" s="1"/>
  <c r="B119" i="2" l="1"/>
  <c r="S118" i="2"/>
  <c r="R118" i="2"/>
  <c r="P118" i="2" s="1"/>
  <c r="B120" i="2" l="1"/>
  <c r="S119" i="2"/>
  <c r="R119" i="2"/>
  <c r="P119" i="2" s="1"/>
  <c r="B121" i="2" l="1"/>
  <c r="S120" i="2"/>
  <c r="R120" i="2"/>
  <c r="P120" i="2" s="1"/>
  <c r="B122" i="2" l="1"/>
  <c r="S121" i="2"/>
  <c r="R121" i="2"/>
  <c r="P121" i="2" s="1"/>
  <c r="B123" i="2" l="1"/>
  <c r="S122" i="2"/>
  <c r="D7" i="4" s="1"/>
  <c r="R122" i="2"/>
  <c r="P122" i="2" s="1"/>
  <c r="E7" i="4" s="1"/>
  <c r="B124" i="2" l="1"/>
  <c r="S123" i="2"/>
  <c r="R123" i="2"/>
  <c r="P123" i="2" s="1"/>
  <c r="B125" i="2" l="1"/>
  <c r="S124" i="2"/>
  <c r="D8" i="4" s="1"/>
  <c r="R124" i="2"/>
  <c r="P124" i="2" s="1"/>
  <c r="E8" i="4" s="1"/>
  <c r="B126" i="2" l="1"/>
  <c r="S125" i="2"/>
  <c r="D9" i="4" s="1"/>
  <c r="R125" i="2"/>
  <c r="P125" i="2" s="1"/>
  <c r="E9" i="4" s="1"/>
  <c r="E10" i="4" s="1"/>
  <c r="E13" i="4" s="1"/>
  <c r="B127" i="2" l="1"/>
  <c r="S126" i="2"/>
  <c r="R126" i="2"/>
  <c r="P126" i="2" s="1"/>
  <c r="B128" i="2" l="1"/>
  <c r="S127" i="2"/>
  <c r="R127" i="2"/>
  <c r="P127" i="2" s="1"/>
  <c r="B129" i="2" l="1"/>
  <c r="S128" i="2"/>
  <c r="R128" i="2"/>
  <c r="P128" i="2" s="1"/>
  <c r="B130" i="2" l="1"/>
  <c r="S129" i="2"/>
  <c r="R129" i="2"/>
  <c r="P129" i="2" s="1"/>
  <c r="B131" i="2" l="1"/>
  <c r="S130" i="2"/>
  <c r="R130" i="2"/>
  <c r="P130" i="2" s="1"/>
  <c r="B132" i="2" l="1"/>
  <c r="S131" i="2"/>
  <c r="R131" i="2"/>
  <c r="P131" i="2" s="1"/>
  <c r="B133" i="2" l="1"/>
  <c r="S132" i="2"/>
  <c r="R132" i="2"/>
  <c r="P132" i="2" s="1"/>
  <c r="B134" i="2" l="1"/>
  <c r="S133" i="2"/>
  <c r="R133" i="2"/>
  <c r="P133" i="2" s="1"/>
  <c r="B135" i="2" l="1"/>
  <c r="S134" i="2"/>
  <c r="R134" i="2"/>
  <c r="P134" i="2" s="1"/>
  <c r="B136" i="2" l="1"/>
  <c r="S135" i="2"/>
  <c r="R135" i="2"/>
  <c r="P135" i="2" s="1"/>
  <c r="B137" i="2" l="1"/>
  <c r="S136" i="2"/>
  <c r="R136" i="2"/>
  <c r="P136" i="2" s="1"/>
  <c r="B138" i="2" l="1"/>
  <c r="S137" i="2"/>
  <c r="R137" i="2"/>
  <c r="P137" i="2" s="1"/>
  <c r="B139" i="2" l="1"/>
  <c r="S138" i="2"/>
  <c r="R138" i="2"/>
  <c r="P138" i="2" s="1"/>
  <c r="B140" i="2" l="1"/>
  <c r="S139" i="2"/>
  <c r="R139" i="2"/>
  <c r="P139" i="2" s="1"/>
  <c r="B141" i="2" l="1"/>
  <c r="S140" i="2"/>
  <c r="R140" i="2"/>
  <c r="P140" i="2" s="1"/>
  <c r="B142" i="2" l="1"/>
  <c r="S141" i="2"/>
  <c r="R141" i="2"/>
  <c r="P141" i="2" s="1"/>
  <c r="B143" i="2" l="1"/>
  <c r="S142" i="2"/>
  <c r="R142" i="2"/>
  <c r="P142" i="2" s="1"/>
  <c r="B144" i="2" l="1"/>
  <c r="S143" i="2"/>
  <c r="R143" i="2"/>
  <c r="P143" i="2" s="1"/>
  <c r="P159" i="2" s="1"/>
  <c r="B145" i="2" l="1"/>
  <c r="S144" i="2"/>
  <c r="R144" i="2"/>
  <c r="R145" i="2" l="1"/>
  <c r="S145" i="2"/>
</calcChain>
</file>

<file path=xl/sharedStrings.xml><?xml version="1.0" encoding="utf-8"?>
<sst xmlns="http://schemas.openxmlformats.org/spreadsheetml/2006/main" count="867" uniqueCount="485">
  <si>
    <t>Dpto.</t>
  </si>
  <si>
    <t>UF</t>
  </si>
  <si>
    <t>Propietario</t>
  </si>
  <si>
    <t xml:space="preserve">Ingreso </t>
  </si>
  <si>
    <t>TOTAL</t>
  </si>
  <si>
    <t>GASTOS ORDINARIOS UNIDADES FUNCIONALES:</t>
  </si>
  <si>
    <t xml:space="preserve"> (%)</t>
  </si>
  <si>
    <t>GASTOS BANCARIOS</t>
  </si>
  <si>
    <t xml:space="preserve">TOTAL ORDINARIOS </t>
  </si>
  <si>
    <t>ABONOS Y SERVICIOS</t>
  </si>
  <si>
    <t>Seracarh</t>
  </si>
  <si>
    <t>Fatheryh</t>
  </si>
  <si>
    <t>HONORARIOS</t>
  </si>
  <si>
    <t xml:space="preserve">TOTAL EXTRAORDINARIOS </t>
  </si>
  <si>
    <t>Egresos Ordinarios</t>
  </si>
  <si>
    <t>Expensas ord.</t>
  </si>
  <si>
    <t>Deuda o Saldo a favor</t>
  </si>
  <si>
    <t>DEPOSITOS NO IDENTIFICADOS</t>
  </si>
  <si>
    <t>HABERES ENCARGADOS</t>
  </si>
  <si>
    <t>Neto</t>
  </si>
  <si>
    <t>Suther</t>
  </si>
  <si>
    <t>GASTOS EXTRAORDINARIOS:</t>
  </si>
  <si>
    <t>Gastos banacarios</t>
  </si>
  <si>
    <t>Mantenimiento de cuenta</t>
  </si>
  <si>
    <t>Lettieri, Miguel Angel</t>
  </si>
  <si>
    <t>Basile, Santiago</t>
  </si>
  <si>
    <t>Garcia, Stella Maris</t>
  </si>
  <si>
    <t>Tamburrino, Javier</t>
  </si>
  <si>
    <t>Marquez, Florencia</t>
  </si>
  <si>
    <t>Olmedo, Alberto</t>
  </si>
  <si>
    <t>Troppelli, R. / Segura, J.</t>
  </si>
  <si>
    <t>Ferraris, Sergio</t>
  </si>
  <si>
    <t>Schunk, Andrea</t>
  </si>
  <si>
    <t>Arrom, Tamara</t>
  </si>
  <si>
    <t>ADVC SRL.</t>
  </si>
  <si>
    <t>De Lucas, S.</t>
  </si>
  <si>
    <t>Berlotti, Maria Laura</t>
  </si>
  <si>
    <t>Zacharias, Valeria</t>
  </si>
  <si>
    <t>De Nardi, Mario</t>
  </si>
  <si>
    <t>Oniszczuk, Sebastian</t>
  </si>
  <si>
    <t>Gomez, Jose Luis</t>
  </si>
  <si>
    <t>Carcioni, Jose</t>
  </si>
  <si>
    <t>Oniszczuk, Esteban</t>
  </si>
  <si>
    <t>Dominguez, Javier</t>
  </si>
  <si>
    <t>Calviño, Eduardo</t>
  </si>
  <si>
    <t>Cejas, Nicolas</t>
  </si>
  <si>
    <t>De Nardi, Karina</t>
  </si>
  <si>
    <t>Montero, Pablo</t>
  </si>
  <si>
    <t>Gariotto, Salvador</t>
  </si>
  <si>
    <t>Aducci, Marcelo</t>
  </si>
  <si>
    <t>Petrucchi, Hernan</t>
  </si>
  <si>
    <t>Rosi, Martin</t>
  </si>
  <si>
    <t>Bernardez, M. / Giordano, J.</t>
  </si>
  <si>
    <t>Giordano, Juan Pablo</t>
  </si>
  <si>
    <t>Di Biase, Diego</t>
  </si>
  <si>
    <t>Acosta, Claudio</t>
  </si>
  <si>
    <t>Caiz, Ariel</t>
  </si>
  <si>
    <t>Tortorisi, Antonio</t>
  </si>
  <si>
    <t>Olivero, Marcelo</t>
  </si>
  <si>
    <t>Papa, V. / Sotelo, E.</t>
  </si>
  <si>
    <t>Lopez Zevallo, Martin</t>
  </si>
  <si>
    <t>Gaspari, Federico</t>
  </si>
  <si>
    <t>Gutierrez, Maria Soledad</t>
  </si>
  <si>
    <t>Giallonardo, Ariel</t>
  </si>
  <si>
    <t>Orso, Graciela</t>
  </si>
  <si>
    <t>Topino, Maximiliano</t>
  </si>
  <si>
    <t>Pucci, C. / Celeiro, N.</t>
  </si>
  <si>
    <t>Varoli, Elina</t>
  </si>
  <si>
    <t>Picciuolo, Nicolas</t>
  </si>
  <si>
    <t>de la Calle, Miguel Angel</t>
  </si>
  <si>
    <t>Carrasco, Mariela</t>
  </si>
  <si>
    <t>Ruiz, Sebastian</t>
  </si>
  <si>
    <t>Itoiz, Juan Pablo</t>
  </si>
  <si>
    <t>Carderi, Damian</t>
  </si>
  <si>
    <t>Didio Bonasera, Gaston</t>
  </si>
  <si>
    <t>Korin, Alejandro</t>
  </si>
  <si>
    <t>Desantis, Julieta</t>
  </si>
  <si>
    <t>Dimunzio Ayaso, Ivana</t>
  </si>
  <si>
    <t>Kanhan, Carlos</t>
  </si>
  <si>
    <t>Rudi, Marcela</t>
  </si>
  <si>
    <t>Molina, Leonardo</t>
  </si>
  <si>
    <t>Sallaberry, Pablo</t>
  </si>
  <si>
    <t>Varela, E. / De Caria, S.</t>
  </si>
  <si>
    <t>Carnevale, Yesica</t>
  </si>
  <si>
    <t>Espinola, Leandro</t>
  </si>
  <si>
    <t>Hecimovic, Mariano</t>
  </si>
  <si>
    <t>Moraschi, Luis</t>
  </si>
  <si>
    <t>Agüero, Paula</t>
  </si>
  <si>
    <t>Fayanas, Santiago</t>
  </si>
  <si>
    <t>Amenta, Cristian</t>
  </si>
  <si>
    <t>Mon, Fernando</t>
  </si>
  <si>
    <t>Strianese, Marcos</t>
  </si>
  <si>
    <t>Toniutti, Silvana</t>
  </si>
  <si>
    <t>Morante, Julian</t>
  </si>
  <si>
    <t>Pantografos Master SRL.</t>
  </si>
  <si>
    <t>Gimenez, Martin</t>
  </si>
  <si>
    <t>Soto Hinojosa, Porfirio</t>
  </si>
  <si>
    <t>Mozzi, German</t>
  </si>
  <si>
    <t>De Nardi, Maria Rosa</t>
  </si>
  <si>
    <t>Castro, Alejandra</t>
  </si>
  <si>
    <t>Tapia, Sergio</t>
  </si>
  <si>
    <t>Albornoz, M. / Rodriguez, G.</t>
  </si>
  <si>
    <t>Repetto, Mariano</t>
  </si>
  <si>
    <t>Escudero, Ignacio</t>
  </si>
  <si>
    <t>Shunk, Dora</t>
  </si>
  <si>
    <t>Gutierrez, Nicolas</t>
  </si>
  <si>
    <t>Fino, Claudia</t>
  </si>
  <si>
    <t>Manzo, Dominguez</t>
  </si>
  <si>
    <t>Perri, Antonio</t>
  </si>
  <si>
    <t>Rosemberg, Alejandro</t>
  </si>
  <si>
    <t>Antunez, Mariano</t>
  </si>
  <si>
    <t>Ricciardo, M. / Leibson, G.</t>
  </si>
  <si>
    <t>Rodriguez, Cristian</t>
  </si>
  <si>
    <t>de Llano, Carolina</t>
  </si>
  <si>
    <t>Dombrosqui, Hector</t>
  </si>
  <si>
    <t>Vicini, Laura</t>
  </si>
  <si>
    <t>Perfumo, Daniel</t>
  </si>
  <si>
    <t>Santangelo, Hernan</t>
  </si>
  <si>
    <t>Rodoni, Sergio</t>
  </si>
  <si>
    <t>Maurino, Jorge Manuel</t>
  </si>
  <si>
    <t>Notarfrancesco, Gerado</t>
  </si>
  <si>
    <t>Blazquez, Sebastian</t>
  </si>
  <si>
    <t>Tosi, Gaston</t>
  </si>
  <si>
    <t>Santoro, Carlos</t>
  </si>
  <si>
    <t>Santangelo, Juan Ignacio</t>
  </si>
  <si>
    <t>Ojeda, Favio</t>
  </si>
  <si>
    <t>Grossi, Cristian</t>
  </si>
  <si>
    <t>Pells Richard, Nicolas</t>
  </si>
  <si>
    <t>Artigue, Rolando</t>
  </si>
  <si>
    <t>Broglio, M. / Albretch, A.</t>
  </si>
  <si>
    <t>Valiña, Suzel</t>
  </si>
  <si>
    <t>Campello, G. / Indarte, M.</t>
  </si>
  <si>
    <t>Dinardo, Pablo</t>
  </si>
  <si>
    <t>Giordano, P. / Tosi, G.</t>
  </si>
  <si>
    <t>Celano, Martina</t>
  </si>
  <si>
    <t>Cabral, D. / Blanco, J.</t>
  </si>
  <si>
    <t>Rito, Nicolas</t>
  </si>
  <si>
    <t>Lettieri, Fernando</t>
  </si>
  <si>
    <t>Streger, Javier</t>
  </si>
  <si>
    <t>De Lourdes Lopez, Sandra</t>
  </si>
  <si>
    <t>Papa, O. / Biondi, B.</t>
  </si>
  <si>
    <t>Bidart, L. / Reggi, V.</t>
  </si>
  <si>
    <t>De Nardi, Yanina</t>
  </si>
  <si>
    <t>Romero, Pablo</t>
  </si>
  <si>
    <t>Arrom, Jonatan</t>
  </si>
  <si>
    <t>Lopez Osornio, Alejandro</t>
  </si>
  <si>
    <t>Carreras, Pablo</t>
  </si>
  <si>
    <t>Hernandez, Diego</t>
  </si>
  <si>
    <t>Arrieta, Martin</t>
  </si>
  <si>
    <t>Urbanfid</t>
  </si>
  <si>
    <t>Fondo de reserva:</t>
  </si>
  <si>
    <t>Fondo de reserva</t>
  </si>
  <si>
    <t>TOTAL  SEGUROS</t>
  </si>
  <si>
    <t>TOTAL APORTES Y CONTRIBUCIONES</t>
  </si>
  <si>
    <t>TOTAL HONORARIOS</t>
  </si>
  <si>
    <t>TOTAL  GASTOS BANCARIOS</t>
  </si>
  <si>
    <t>SUMA DE GASTOS - ABONOS DE SERVICIOS</t>
  </si>
  <si>
    <t>Egresos abonos y servicios</t>
  </si>
  <si>
    <t>CUIT.: 30-71618269-6</t>
  </si>
  <si>
    <t>Titular: CONSORCIO DE PROPIETARIOS LAS BRISAS - ADROGUE - Santander Río - Cuenta Corriente Nº 221-007370/9</t>
  </si>
  <si>
    <t>CBU.: 0720221820000000737090 * ALIAS: MARTES.POLO.IDEAL</t>
  </si>
  <si>
    <t xml:space="preserve">MAIL: brisasdeadroguerc@gmail.com
</t>
  </si>
  <si>
    <t>CONSORCIO DE PROPIETARIOS LAS BRISAS - ADROGUE</t>
  </si>
  <si>
    <t>CELULAR:  +54 9 11 2640-1829</t>
  </si>
  <si>
    <t xml:space="preserve">ANOTACION </t>
  </si>
  <si>
    <t>FECHA DE LA ANOTACION:</t>
  </si>
  <si>
    <t>QUEJA VIA:</t>
  </si>
  <si>
    <t>WHATSAPP</t>
  </si>
  <si>
    <t>MAIL</t>
  </si>
  <si>
    <t>FECHA DE LA QUEJA:</t>
  </si>
  <si>
    <t>MOTIVO DE LA QUEJA:</t>
  </si>
  <si>
    <t>NOMBRE:</t>
  </si>
  <si>
    <t>LOTE:</t>
  </si>
  <si>
    <t>Reyes, Damian</t>
  </si>
  <si>
    <t>SEGUROS</t>
  </si>
  <si>
    <t>TOTAL SUELDOS</t>
  </si>
  <si>
    <t xml:space="preserve">Huenchupan, Alejandro </t>
  </si>
  <si>
    <t xml:space="preserve">Giordano, Juan Pablo </t>
  </si>
  <si>
    <t xml:space="preserve">Bernardez, Diego </t>
  </si>
  <si>
    <t xml:space="preserve">Arderiu, Marcelo </t>
  </si>
  <si>
    <t>Loray, Ana Laura</t>
  </si>
  <si>
    <t>CARGAS SOCIALES - APORTES Y CONTRIBUCIONES</t>
  </si>
  <si>
    <t>Allianz (Cuit.: 30--50003721-7) - Seguro Técnico - Póliza N° 240210705270; Vto.01/09/2025</t>
  </si>
  <si>
    <t>SEGURIDAD</t>
  </si>
  <si>
    <t>TOTAL GASTOS SEGURIDAD</t>
  </si>
  <si>
    <t>LIMPIEZA - MANTENIMIENTO DE ALUMBRADO</t>
  </si>
  <si>
    <t>TOTAL GASTOS LIMPIEZA Y MANTENIMIENTO DE ALUMBRADO</t>
  </si>
  <si>
    <t>GASTOS DE MANTENIMIENTO GENERAL</t>
  </si>
  <si>
    <t>TOTAL  GASTOS DE MANTENIMIENTO GENERAL</t>
  </si>
  <si>
    <t>GASTOS ORDINARIOS:</t>
  </si>
  <si>
    <t xml:space="preserve">Saldo  </t>
  </si>
  <si>
    <t>Compensacion expensas lote 140/141</t>
  </si>
  <si>
    <t>Canon de obra</t>
  </si>
  <si>
    <t>Gastos exclusivos de lotes (honorarios arquitecturas, intimaciones, etc)</t>
  </si>
  <si>
    <t xml:space="preserve">Pucheta, Cristian Oscar </t>
  </si>
  <si>
    <t>Egresos particulares</t>
  </si>
  <si>
    <t>GASTOS PARTICULARES:</t>
  </si>
  <si>
    <t xml:space="preserve">TOTAL PARTICULARES </t>
  </si>
  <si>
    <t>Flow (Cuit: 30-63945373-8) - Fc.05443741 (Servicio de WIFI 2025)</t>
  </si>
  <si>
    <t>Telecom (Cuit.: 30-63945373-8) - (Abono celular Intendencia)</t>
  </si>
  <si>
    <t>HUANG (CHINO)</t>
  </si>
  <si>
    <t>Imsael Matta</t>
  </si>
  <si>
    <t>Noemi</t>
  </si>
  <si>
    <t>Fattorini sergio</t>
  </si>
  <si>
    <t>albrech adrian</t>
  </si>
  <si>
    <t>QUERCIA LUCIO</t>
  </si>
  <si>
    <t>ROSSI PATRICIA</t>
  </si>
  <si>
    <t>RECAUDACIONES Y PAGOS SA</t>
  </si>
  <si>
    <t>Luis Grecco Y Karina</t>
  </si>
  <si>
    <t>Flores javier roberto</t>
  </si>
  <si>
    <t xml:space="preserve">Deposita </t>
  </si>
  <si>
    <t>Nicolas Esteban Gutierrez</t>
  </si>
  <si>
    <t>Avicola lanus a nombre de Tamara en el mail</t>
  </si>
  <si>
    <t>avicola lanus a nombre de tamara en el mail</t>
  </si>
  <si>
    <t>Suavenol</t>
  </si>
  <si>
    <t>Deposita, tambien paga el 132</t>
  </si>
  <si>
    <t>Santangelo - Deposita</t>
  </si>
  <si>
    <t>Deposita - Andrea Iglesias</t>
  </si>
  <si>
    <t>Tosi german lucas o nitapaula0684@gmail.com</t>
  </si>
  <si>
    <t>LBEG SERO SRL</t>
  </si>
  <si>
    <t>IGLE SA</t>
  </si>
  <si>
    <t>Pablo huerta</t>
  </si>
  <si>
    <t>Maria Ines Indarte</t>
  </si>
  <si>
    <t>Fernando Rivero</t>
  </si>
  <si>
    <t>Deposita MECANICA VANDEN BOSCH &lt;mecanicavandenbosch@gmail.com&gt;</t>
  </si>
  <si>
    <t xml:space="preserve">Lucila Martinez Rey </t>
  </si>
  <si>
    <t>Viviana Papa &lt;vivibpapa@gmail.com&gt;</t>
  </si>
  <si>
    <t>polypeirano@yahoo.com</t>
  </si>
  <si>
    <t>Deposita, Julieta De Santis &lt;julietadesan@gmail.com&gt;</t>
  </si>
  <si>
    <t>Patricia Sobol &lt;patriciasobol@hotmail.com&gt; - tambien tiene lote 1</t>
  </si>
  <si>
    <t>Patricia Sobol &lt;patriciasobol@hotmail.com&gt; - - tambien tiene lote 127</t>
  </si>
  <si>
    <t>vivibpapa@gmail.com - Viviana papa</t>
  </si>
  <si>
    <t xml:space="preserve">
Gaston Leibson &lt;gastonleibson@hotmail.com&gt;</t>
  </si>
  <si>
    <t>PAYMENTS GROUP SA</t>
  </si>
  <si>
    <t>mercedes arias &lt;mercedesarias2005@hotmail.com&gt;</t>
  </si>
  <si>
    <t>Velazco Velasco Gisela</t>
  </si>
  <si>
    <t>Grey Brick SA</t>
  </si>
  <si>
    <t>Adminar SA y Lobison</t>
  </si>
  <si>
    <t>Recaudaciones y pagos -  Suzel Valiña &lt;valisule@gmail.com&gt; - Paga 118 , 120 y 121</t>
  </si>
  <si>
    <t>Calabro, Evangelina</t>
  </si>
  <si>
    <t>Lorena Mazzeo</t>
  </si>
  <si>
    <t>Guillermo rodriguez</t>
  </si>
  <si>
    <t>Ines / Jorge o Ayestaran Melanie que es la inquilina</t>
  </si>
  <si>
    <t>Andrea Juarez Cecilia</t>
  </si>
  <si>
    <t>Maria Laura Lopez</t>
  </si>
  <si>
    <t>Compensacion expensas lote 140 - 141:</t>
  </si>
  <si>
    <t>TOTAL GASTOS ORDINARIOS + ABONOS Y SERVICIOS</t>
  </si>
  <si>
    <t>FONDO SUPER AHORRO PLUS</t>
  </si>
  <si>
    <t>COMPENSACION EXP. LOTE 140/141</t>
  </si>
  <si>
    <t>Saldo anterior total</t>
  </si>
  <si>
    <t>Ingreso total</t>
  </si>
  <si>
    <t>Interes</t>
  </si>
  <si>
    <t>Total</t>
  </si>
  <si>
    <t xml:space="preserve">FECHA DE INICIO - 21/04/2025 </t>
  </si>
  <si>
    <t>CAJA EFECTIVO</t>
  </si>
  <si>
    <t>Egresos ya descontados en la caja que corresponde al efectivo - Se retiran de la caja general para no doble contabilizarlos</t>
  </si>
  <si>
    <t>RESUMEN CAJA GENERAL</t>
  </si>
  <si>
    <t xml:space="preserve"> </t>
  </si>
  <si>
    <t>Santiago Roman Ramirez</t>
  </si>
  <si>
    <t>Ezequiel De la calle</t>
  </si>
  <si>
    <t>Maria Ximena Vizzini / P Sur Srl</t>
  </si>
  <si>
    <t>Ariel Sposito</t>
  </si>
  <si>
    <t>Deposito sin identificar - correspondientes a estas expensas</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</si>
  <si>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AGRADECEMOS MUCHÍSIMO SU COLABORACIÓN PARA SEGUIR MANTENIENDO EL ORDEN. MUCHAS GRACIAS.</t>
  </si>
  <si>
    <t>Balghera, Lucas</t>
  </si>
  <si>
    <t>Daiana Casas</t>
  </si>
  <si>
    <t>Marcos Strianese</t>
  </si>
  <si>
    <t>Fernando Rivero y Mónica Cádiz</t>
  </si>
  <si>
    <t>Honorarios arquitectura - Srta. Burgos Oros Johanna Melanie - Fc. 00000085</t>
  </si>
  <si>
    <t>Edesur (Cuit.: 30-65511652-1) - Periodo liquidado 2do tramo bimestre 3 del 2025</t>
  </si>
  <si>
    <t>El imperio RYL - Fc. 000006432 - Articulos de limpieza</t>
  </si>
  <si>
    <t>Potes Paula Vanesa</t>
  </si>
  <si>
    <t>Teresa Angelica Agustin - Emiliano Piergiovanni</t>
  </si>
  <si>
    <t>Gergoff Ninoff Milagros Florencia / Diego soto / Profirio Soto</t>
  </si>
  <si>
    <t>Nicolas Cecilia Andrea</t>
  </si>
  <si>
    <t xml:space="preserve"> de nardi paula andrea</t>
  </si>
  <si>
    <t>Cristian Colson</t>
  </si>
  <si>
    <t>Noelia Franccini</t>
  </si>
  <si>
    <t xml:space="preserve">
ALEJANDRA CASTRO</t>
  </si>
  <si>
    <t>CAROLINA GIACCHETTI carolinagiacchetti@hotmail.com / Maria alejandra Ceballos</t>
  </si>
  <si>
    <t>ConstruHap - Veronica Laura Maggiot</t>
  </si>
  <si>
    <t>Sergio Decaira / De caira</t>
  </si>
  <si>
    <t>Centurion Sergio Cesar</t>
  </si>
  <si>
    <t>Romina Troppelli - Deposita</t>
  </si>
  <si>
    <t>maria jose de la nativ penaloza gonzalez</t>
  </si>
  <si>
    <t>Deposita, tambien paga el lote 18 - Santiago Jorge Claps</t>
  </si>
  <si>
    <t>Horacio oscar brescia - Estefania Tortorisi</t>
  </si>
  <si>
    <t>Gustavo Kearney &lt;gkearney@batt.com.ar&gt; - maranata perfumeria</t>
  </si>
  <si>
    <t>Daniela Cabral</t>
  </si>
  <si>
    <t>ad RUIZ DIAZ - Maria agustina Falcone</t>
  </si>
  <si>
    <t>Gastos particulares / Multas / SUM</t>
  </si>
  <si>
    <t>Egresos extraordinarios</t>
  </si>
  <si>
    <t>LOTE</t>
  </si>
  <si>
    <t>ESTIMADOS: LES RECORDAMOS QUE ES OBLIGATORIO INFORMAR POR CORREO ELECTRÓNICO EL PAGO DE LAS EXPENSAS. APROVECHAMOS LA OCASIÓN PARA REITERAR UN PUNTO CLAVE QUE AYUDA A EVITAR ERRORES EN LA IMPUTACIÓN DE LOS PAGOS. EL SISTEMA QUE UTILIZAMOS ASIGNA CENTAVOS ÚNICOS A CADA UNIDAD FUNCIONAL (UF) O LOTE, LO QUE NOS PERMITE IDENTIFICAR AUTOMÁTICAMENTE A CUÁL CORRESPONDE CADA TRANSFERENCIA. ES DECIR, CADA UF/LOTE TIENE UN NÚMERO ESPECÍFICO DE CENTAVOS QUE FUNCIONA COMO IDENTIFICADOR. POR EJEMPLO, SI SU LOTE ES EL 45, EL IMPORTE A ABONAR DEBERÁ TERMINAR EN $...,45. EN CASO DE TENER MÁS DE UN LOTE (POR EJEMPLO, EL 3 Y EL 78), CADA UNO TENDRÁ SU PROPIO CÓDIGO DE CENTAVOS. EN ESTOS CASOS, LES PEDIMOS QUE REALICEN UNA TRANSFERENCIA INDIVIDUAL POR CADA LOTE, RESPETANDO LOS IMPORTES CON SUS CENTAVOS CORRESPONDIENTES. SABEMOS QUE, POR COMODIDAD, A VECES SE OPTA POR ENVIAR TODO EN UNA ÚNICA TRANSFERENCIA, PERO ESTO PUEDE GENERAR CONFUSIÓN O ERRORES EN LA ASIGNACIÓN AUTOMÁTICA. SEPARAR LOS PAGOS NOS PERMITE ASEGURAR QUE CADA UNO SE IMPUTE CORRECTAMENTE. A QUIENES, EN LA COLUMNA “DEUDA O SALDO A FAVOR”, LES FIGURE UN MONTO NEGATIVO, SIGNIFICA QUE, AL MOMENTO DEL CIERRE DE LAS EXPENSAS, POSEEN DINERO A SU FAVOR. ESTE SALDO SERÁ IMPUTADO EN LAS PRÓXIMAS LIQUIDACIONES, REDUCIENDO EL IMPORTE A ABONAR RESPECTO DE LO QUE CORRESPONDERÍA PAGAR EN CASO DE NO CONTAR CON ESTE CRÉDITO. AGRADECEMOS MUCHÍSIMO SU COLABORACIÓN PARA SEGUIR MANTENIENDO EL ORDEN. MUCHAS GRACIAS.</t>
  </si>
  <si>
    <t>Extraordinarios:</t>
  </si>
  <si>
    <t>Aun no se transf</t>
  </si>
  <si>
    <t>Gastos a recuperar por la administracion - abonados en efectivo - Aun no se transfirio los gastos a recuperar de este mes ni los del mes pasado</t>
  </si>
  <si>
    <t>672184 el 12/08</t>
  </si>
  <si>
    <t>ventas@quimicaros.com.ar</t>
  </si>
  <si>
    <t>Juan ignacio santangelo</t>
  </si>
  <si>
    <t>El mes pasado le pusimos dinero de mas que no correspondia. Ademas, no le pusimossu deposito de 651498 y le estabamos cobrando intereses mal cobrados de  37738 - debe abonar $638.551,05. y quedar en 0</t>
  </si>
  <si>
    <t xml:space="preserve"> maranata perfumeria</t>
  </si>
  <si>
    <t>Gustavo kearney</t>
  </si>
  <si>
    <t>El 31/07 deposito $700.000 pesos y se lo pusimos al lote 11 cuando era al lote 12</t>
  </si>
  <si>
    <t>12 y 11</t>
  </si>
  <si>
    <t>Sergio Ferraris</t>
  </si>
  <si>
    <t>18/08 Tres depositos: dos de 1.000.000 y uno de 1.500.000</t>
  </si>
  <si>
    <t>Maria Jose</t>
  </si>
  <si>
    <t>Hay que quitarle los punitorios - Hizo un pago de $679.085,10 el 13/08 si realiza otro de aca a que termine agosto por 665.352,10 su saldo debe quedar en 0 quitando punitorios</t>
  </si>
  <si>
    <t>Rito nicolas</t>
  </si>
  <si>
    <t>Hay que quitarle los punitorios -  si realiza otro de aca a que termine agosto por $666.672,26. su saldo debe quedar en 0 quitando punitorios</t>
  </si>
  <si>
    <t>Ad Premed SRL</t>
  </si>
  <si>
    <t>Topino maximiliano</t>
  </si>
  <si>
    <t>un deposito no identificado del mes anterior es de el $2055315 - HICIMOS UN PDF (EN EL CHAT DE MATEO Y CAROLINA DE WHATSAPP) EN DONDE SE DESGLOSA SU SITUACION E IMPORTE A PAGAR DEL LOTE 47 Y 4</t>
  </si>
  <si>
    <t xml:space="preserve"> De mela Innovaciones SRL tiene el 24 y 58</t>
  </si>
  <si>
    <t>24/55/58</t>
  </si>
  <si>
    <t>un deposito no identificado del mes anterior es de el $2055315 - HICIMOS UN PDF (EN EL CHAT DE MATEO Y CAROLINA DE WHATSAPP) EN DONDE SE DESGLOSA SU SITUACION E IMPORTE A PAGAR DEL LOTE 24 55  y 58</t>
  </si>
  <si>
    <t>hugoecarnevaleok@gmail.com+</t>
  </si>
  <si>
    <t>$2.889.655,68 LOTE 68 DEPOSITO EL 20/8</t>
  </si>
  <si>
    <t>32 Y MUCHOS MAS</t>
  </si>
  <si>
    <t>JP GIORDANO</t>
  </si>
  <si>
    <t>PAGA LOTES 13 16 32 33 86 158 159 168 $5.888.095: SOBRAN CENTAVOS QUE HAY QUE PONERLOS EN EL LOTE 32</t>
  </si>
  <si>
    <t xml:space="preserve">Analía Celeste Cáceres </t>
  </si>
  <si>
    <t>DANIEL PERFUMO</t>
  </si>
  <si>
    <t>Pago sin centavos $672.053</t>
  </si>
  <si>
    <t>El mes enterior pago en tiempo y forma $782575,77 y no lo pusimos pago</t>
  </si>
  <si>
    <t>Diego Damino</t>
  </si>
  <si>
    <t>Andrea iglesias</t>
  </si>
  <si>
    <t>Los depositos del 30/7 no identificados son de ella: 2 de 200mil, uno de 120mil y uno de 180 mil</t>
  </si>
  <si>
    <t>Luis y karina Grecco</t>
  </si>
  <si>
    <t>pagaron $675,000 el 24/08</t>
  </si>
  <si>
    <t>Deposito el 01/08 $1.915.000 - tiene pdf con desglose a abonar</t>
  </si>
  <si>
    <t>Suzel</t>
  </si>
  <si>
    <t>Deposito $1.770.000 el 24/08</t>
  </si>
  <si>
    <t>118-120-121</t>
  </si>
  <si>
    <t>CIERRE EXPENSAS JULIO</t>
  </si>
  <si>
    <t>MONTO A ABONAR</t>
  </si>
  <si>
    <t>25/8 DEPOSITO</t>
  </si>
  <si>
    <t>RESTA ABONAR</t>
  </si>
  <si>
    <t>Agustina Palermo</t>
  </si>
  <si>
    <t>El pago del 27/6 como no identificado (deposito) de 620.000 es de ella y el mes pasado no se lo pusimos ni descontamos de la caja. Le enviamos sus numeros corregidos y descontando punitorios ella debe abonar:$625.149,73.</t>
  </si>
  <si>
    <t>Silavana Tonniuti</t>
  </si>
  <si>
    <t>Ignacio escudero</t>
  </si>
  <si>
    <t>Deposito 672.000 el dia 26/8</t>
  </si>
  <si>
    <t>Deposito 650 mil el 5/8 y Deposito 650 mil el 25/8</t>
  </si>
  <si>
    <t>Juani Santangelo</t>
  </si>
  <si>
    <t>Deposito el dia 27/08 $700.000</t>
  </si>
  <si>
    <t>al lote 38 le cobramos una deuda (bien cobrada) y un sum por 150.760 MAL COBRADO, este sum que le cobramos mal al 38 era para el 32</t>
  </si>
  <si>
    <t>Deposito el dia 29/08 $625.000</t>
  </si>
  <si>
    <t>vivibpapa@gmail.com</t>
  </si>
  <si>
    <t>Deposito el dia 29/08 $740.000</t>
  </si>
  <si>
    <t>Gonzalo Raul Fernandez - ivanalagolosinerasrl@gmail.com</t>
  </si>
  <si>
    <t>Deposito el 29/08 $2.235.000</t>
  </si>
  <si>
    <t>Mariela Carrasco &lt;marielacarrasco20@gmail.com&gt;</t>
  </si>
  <si>
    <t>Ariel Manzo</t>
  </si>
  <si>
    <t>Transfirio por mercado pago $800.000 el 30/08</t>
  </si>
  <si>
    <t>Deposito el 29/08 : $339.000 y $243.000 - Ademas hizo una transferencia el dia 31/08 de $76.586,61</t>
  </si>
  <si>
    <t>Deposito el 28/08 : $784.000</t>
  </si>
  <si>
    <t>Florencia Volonte</t>
  </si>
  <si>
    <t>SEPTIEMBRE</t>
  </si>
  <si>
    <t>PAGOS UNIVERSALES SA/  GLOBAL TT S.A. / GLOBAT</t>
  </si>
  <si>
    <t>Transfirio  el 29/08 : $695.292,00 PAGOS UNIVERSALES SA</t>
  </si>
  <si>
    <t>Sebastian de lucas</t>
  </si>
  <si>
    <t>Julieta de santis</t>
  </si>
  <si>
    <t>Deposito el 27/08 : $242.000</t>
  </si>
  <si>
    <t xml:space="preserve">118 120 y 121. </t>
  </si>
  <si>
    <t>Suzel Valiña</t>
  </si>
  <si>
    <t>Transfirio a nombre de pagos rep s.a $306.500 el 01/09</t>
  </si>
  <si>
    <t>Claudio Giarmana</t>
  </si>
  <si>
    <t>Transfirio : $301.521 Lote 38 el 03/09</t>
  </si>
  <si>
    <t>Ximena Vizzini</t>
  </si>
  <si>
    <t>Diego Soto</t>
  </si>
  <si>
    <t>Transfirio dos veces el 31/08: $263.206 y $408.980</t>
  </si>
  <si>
    <t>Transfirio : $281.562 Lote 106 el 03/09 - Luego Raul Alejandro Davalos - (desde el mail de josefina) - pago $745.800 el 04/09</t>
  </si>
  <si>
    <t>ADRIAN CLAUDIO GIARMAN / JOSEFINA GIORDANI / Milagros Anahi Sanchez / Leonardo Alexis Fama / Maria Antonella Rodriguez / Raul Alejandro Davalos</t>
  </si>
  <si>
    <t>Mirez Segio - Fc. 00000043 - Colocacion de toma correinte y emprolijado de clabes en puesto 2</t>
  </si>
  <si>
    <t>Transf 22/08</t>
  </si>
  <si>
    <t>VTO 30/09</t>
  </si>
  <si>
    <t>PERÍODO: Agosto - ADMINISTRADORA: CAROLINA CANCIANI MP:1148</t>
  </si>
  <si>
    <t>Sueldo intendencia - Maximiliano Abbruzzese - Agosto</t>
  </si>
  <si>
    <t>Deducciones mes de Agosto</t>
  </si>
  <si>
    <t>Redondeo mes de Agosto</t>
  </si>
  <si>
    <t>ARCA - Mes de Julio</t>
  </si>
  <si>
    <t>Sindicatos mes de Julio</t>
  </si>
  <si>
    <t>Grey Brick - Fc. 000000921 - Certificacion de ibra pavimento correspondiente a Julio y Agosto</t>
  </si>
  <si>
    <t>Servicio Polad - Mes de Julio - Valor de la hora $6.110,08 (742hs en total)</t>
  </si>
  <si>
    <t>Electro DRF - Compra de interruptor tetrapolar - Fc. 0036310</t>
  </si>
  <si>
    <t>Transf 19/08</t>
  </si>
  <si>
    <t>Electro DRF - Compra de materiales (Dicro, conector, ficha, tomas, cinta, etc) - Fc. 00035720</t>
  </si>
  <si>
    <t>Transf 18/08</t>
  </si>
  <si>
    <t>Ramirez Francisco - Fc. 00000474 - Alquiler de volquetes</t>
  </si>
  <si>
    <t>Alonso Bado Javier - Alquiler mensual vehiculo electrico abierto con seguro incluido - Mes de Agosto - Fc. 000556</t>
  </si>
  <si>
    <t>Debito 06/08</t>
  </si>
  <si>
    <t>Taller 4 - Fc. 00000000092 - CUIT: 30715435175 - Ploteo de vallas</t>
  </si>
  <si>
    <t>Transf 12/08</t>
  </si>
  <si>
    <t>Mirez Segio - Fc. 00000041 - Instalacion de toma corriente en puesto 1 junto a cambio de reflector en el ingreso de dicho puesto</t>
  </si>
  <si>
    <t>Vazquez (Cuit.: 30-55987767-7) - Fc. 00000206 (Prestación servicio de contenedores - Julio + Servicio de descarga)</t>
  </si>
  <si>
    <t>Recicla Brown- CUIT: 30-71633401-1 - Servicio de recoleccion de residuos solidos urbanos con frecuencia de un retiro a la semana correspondiente al mes de Julio - Fc. 0000000056</t>
  </si>
  <si>
    <t>Pelex S.A - Fc. 000000011 - 1 cuota de 6 etapa 2 - Obra paredon Perimetal</t>
  </si>
  <si>
    <t>Transf 11/08</t>
  </si>
  <si>
    <t>Covelia SA - Camion recoleccion de ramas</t>
  </si>
  <si>
    <t>Induser - Muestreo analisis e informe de pozo 1 y 2 - CUIT: 30707887008 - Fc. 3054</t>
  </si>
  <si>
    <t>Ferreteria Rex - Ticket 22697 - Compra insumos</t>
  </si>
  <si>
    <t>Efectivo</t>
  </si>
  <si>
    <t>Pareyos - Ticket 28245 -  Fertilizante para jardineria puesto 1</t>
  </si>
  <si>
    <t>Pareyos - Ticket 28244 - Compra de plantas puesto 1</t>
  </si>
  <si>
    <t>El imperio RYL - Ticket 7149 - Veneno para fumigar</t>
  </si>
  <si>
    <t>El imperio RYL - Ticket 7146 - Articulos de limpieza</t>
  </si>
  <si>
    <t>Transf 01/08</t>
  </si>
  <si>
    <t>Mirez Segio - Fc. 00000039 -  Reparacion de 8 farolas negras en calles internas (incluye materiales)</t>
  </si>
  <si>
    <t>Debito 04/08</t>
  </si>
  <si>
    <t>Federacion patronal -  Poliza nro. 1-2195343-0 - Riesgo integral de barrios privados</t>
  </si>
  <si>
    <t>Federacion patronal -  Poliza nro. 1-77459-6 - Seguro de vida obligatorio Sr. Maximiliano Abbruzzese</t>
  </si>
  <si>
    <t>Transf 04/08</t>
  </si>
  <si>
    <t>JC construcciones (Cuit.: 30-71620247-6) -  (6°/6 Etapa 1 Paredon Calle Pino)</t>
  </si>
  <si>
    <t>Evento 08/07/2025 - UF 32 de 19 a 02 hs</t>
  </si>
  <si>
    <t>Evento 19/07/2025 - UF 23 de 19 a 02 hs</t>
  </si>
  <si>
    <t>GOLD (Cuit.: 33-71225773-9) - Fc.0000402 (Servicio de Seguridad Julio 2025)</t>
  </si>
  <si>
    <t>Debito autom.</t>
  </si>
  <si>
    <t>La imperial - CUIT: 20386056359 - Trabajo de herreria ,  reparacion y puesta a punto de vallas y porton puesto 1 - Fc.0133</t>
  </si>
  <si>
    <t>Transf 06/08</t>
  </si>
  <si>
    <t>Servicios arquitectura - Srita. Melanie Burgos Oros - Lotes 9 - 13 - 16 - 48 - 51 - 56 - 68 - 146 - 62 - 94</t>
  </si>
  <si>
    <t>Ramirez Francisco - Fc. 000004669 -Doble alquiler de volquetes</t>
  </si>
  <si>
    <t>Debito 07/08</t>
  </si>
  <si>
    <t>Debito 12/08</t>
  </si>
  <si>
    <t>Dilmar Bulonera - Fc. 00053001 - CUIT: 30716182696 - Compra de insumos</t>
  </si>
  <si>
    <t>Ramirez Francisco - Fc. 000004671 -Doble alquiler de volquetes</t>
  </si>
  <si>
    <t>Transf 13/08</t>
  </si>
  <si>
    <t>Debito 14/08</t>
  </si>
  <si>
    <t>Transf 14/08</t>
  </si>
  <si>
    <t>Transf 06/08 - 12/08 -18/08</t>
  </si>
  <si>
    <t>Matafuegos Fire SRL - Fc. 00023002 - CUIT: 30716182696 - Compra de uniformes Sr Intendente</t>
  </si>
  <si>
    <t>La imperial - CUIT: 20386056359 - Adelanto arreglo de vallas</t>
  </si>
  <si>
    <t>Mirez Segio - Fc. 00000042 - Cambio de reflector (11 -  Reparacion de artefactos en calles internas (5)</t>
  </si>
  <si>
    <t>Transf 26/08</t>
  </si>
  <si>
    <t>Electro DRF - Compra interruptor TMG tetrapolar - Fc. 000305360</t>
  </si>
  <si>
    <t>Ramirez Francisco - Fc. 00000476 - Alquiler de volquetes</t>
  </si>
  <si>
    <t>Armella Cristian - CUIT: 20371419234 - Fc. 0004 - Mantenimiento espacios verdes</t>
  </si>
  <si>
    <t>Armella Cristian - CUIT: 20371419234 - Fc. 00010 - Recoleccion de basura mes de julio</t>
  </si>
  <si>
    <t>Armella Cristian - CUIT: 20371419234 - Fc. 00014 - Extraccion de arboles</t>
  </si>
  <si>
    <t>Transf 27/08</t>
  </si>
  <si>
    <t>OMS (Cuit.: 30-71568933-9) - Fc.00002637 (Abono mantenimiento planta de tratamiento)</t>
  </si>
  <si>
    <t>Efectivo 20/08</t>
  </si>
  <si>
    <t>Indrieri Leandro Maximiliano - Fc.15175 - CUIT: 20328418518 - Compra poleas maquina gimnasio</t>
  </si>
  <si>
    <t>Insuma SRL - CUIT:33610485869 - Fc. 2246 - Compra de placas y adhesivo gimnasio</t>
  </si>
  <si>
    <t>Transf 29/08</t>
  </si>
  <si>
    <t>Palubinskas Fernando Nestor - Bidones de Agua cimes de 20lts - Fc.1856</t>
  </si>
  <si>
    <t>Transf 07/08</t>
  </si>
  <si>
    <t>Cafrathela SA - Carolina Carena</t>
  </si>
  <si>
    <t>Deposito el 05/08 $722.000 y 2000</t>
  </si>
  <si>
    <t>Diego Soto y Hernan Soto</t>
  </si>
  <si>
    <t>Cecilia Labala</t>
  </si>
  <si>
    <t xml:space="preserve">Deposita - pamela </t>
  </si>
  <si>
    <t>Deposito ya identificado mes anterior</t>
  </si>
  <si>
    <t>Medizin - ProlijoLimp SA - COBRO EXPRESS BUENOS AIRES SA</t>
  </si>
  <si>
    <t>Deposito ya identificado mes anterior lote 24/55/58</t>
  </si>
  <si>
    <t>Montenievas SRL</t>
  </si>
  <si>
    <t xml:space="preserve">Maria Eugenia Bachratz
</t>
  </si>
  <si>
    <t>Deposito ya identificado 27/06</t>
  </si>
  <si>
    <t>TOTAL AL 31/08</t>
  </si>
  <si>
    <t>Hizo un cheque el 29/08 $2.235.000 y quedo pendiente</t>
  </si>
  <si>
    <t>SUM mal cobrado lote 112</t>
  </si>
  <si>
    <t>SUM mal cobrado lote 38</t>
  </si>
  <si>
    <t xml:space="preserve">Deposito no identificado 06/08 </t>
  </si>
  <si>
    <t xml:space="preserve">Deposito no identificado 26/08 </t>
  </si>
  <si>
    <t xml:space="preserve">Deposito no identificado 29/08 </t>
  </si>
  <si>
    <t>JC construcciones (Cuit.: 30-71620247-6) - Diferencia cuota sin IVA</t>
  </si>
  <si>
    <t>Ordinarios:</t>
  </si>
  <si>
    <t>QUIENES EN LA COLUMNA DENOMINADA "DEUDA O SALDO A FAVOR" OBSERVEN UN NÚMERO NEGATIVO, SIGNIFICA QUE EN EXPENSAS ANTERIORES ABONARON DE MÁS Y CUENTAN CON DINERO A FAVOR. EL MONTO A ABONAR FIGURA EN LA COLUMNA DENOMINADA "TOTAL".</t>
  </si>
  <si>
    <t>Serviplagas (Cuit.: 27-28067012-5) - Fc. 00000501 (Servicio fumigación Julio 2025)</t>
  </si>
  <si>
    <t>Honorarios administracion - Mes de Agosto Fc. 00001 - Mes de julio transferido</t>
  </si>
  <si>
    <t>Electro DRF - Compra bastidor, tapas, cajas, proyectores led - Fc. 00036661</t>
  </si>
  <si>
    <t>Axin (Cuit.: 30-70858249-9) - No se abona este mes</t>
  </si>
  <si>
    <t>Punitorios no correspondidos lote 77</t>
  </si>
  <si>
    <t>Punitorios no correspondidos lote 47</t>
  </si>
  <si>
    <t>Punitorios no correspondidos lote 24</t>
  </si>
  <si>
    <t>Punitorios no correspondidos lote 55</t>
  </si>
  <si>
    <t>Punitorios no correspondidos lote 58</t>
  </si>
  <si>
    <t>Punitorios no correspondidos lote 12</t>
  </si>
  <si>
    <t>Punitorios no correspondidos lote 126</t>
  </si>
  <si>
    <t>Punitorios no correspondidos lote 73</t>
  </si>
  <si>
    <t>Punitorios no correspondidos lote 15</t>
  </si>
  <si>
    <t>Punitorios no correspondidos lote 110</t>
  </si>
  <si>
    <t>Punitorios no correspondidos lote 96</t>
  </si>
  <si>
    <t>SE PRORRATEA COMO EXPENSAS ORDINARIAS MENOS DEL MONTO TOTAL GASTADO ($70.256.709,57) CON LA INTENCION DE SOSTENER EL MONTO DE LAS EXPENSAS ETENDIENDO QUE SE PUEDE CONTINUAR AVANZANDO EN MEJORAS CON LA CAJA DISPONIBLE 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</si>
</sst>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_-&quot;$&quot;\ * #,##0.0_-;\-&quot;$&quot;\ * #,##0.0_-;_-&quot;$&quot;\ * &quot;-&quot;??_-;_-@_-"/>
    <numFmt numFmtId="167" formatCode="_-&quot;$&quot;\ * #,##0.0_-;\-&quot;$&quot;\ * #,##0.0_-;_-&quot;$&quot;\ * &quot;-&quot;?_-;_-@_-"/>
    <numFmt numFmtId="168" formatCode="_-[$$-2C0A]\ * #,##0.00_-;\-[$$-2C0A]\ * #,##0.00_-;_-[$$-2C0A]\ * &quot;-&quot;??_-;_-@_-"/>
    <numFmt numFmtId="169" formatCode="_-[$$-2C0A]\ * #,##0.0_-;\-[$$-2C0A]\ * #,##0.0_-;_-[$$-2C0A]\ * &quot;-&quot;??_-;_-@_-"/>
    <numFmt numFmtId="170" formatCode="#,##0.00_ ;[Red]\-#,##0.00\ "/>
    <numFmt numFmtId="171" formatCode="_-&quot;$&quot;\ * #,##0.00_-;\-&quot;$&quot;\ * #,##0.00_-;_-&quot;$&quot;\ * &quot;-&quot;?_-;_-@_-"/>
    <numFmt numFmtId="172" formatCode="&quot;$&quot;\ #,##0.0;[Red]\-&quot;$&quot;\ #,##0.0"/>
  </numFmts>
  <fonts count="27"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1"/>
      <name val="Calibri"/>
      <family val="2"/>
      <scheme val="minor"/>
    </font>
    <font>
      <b/>
      <sz val="11"/>
      <name val="Calibri"/>
      <family val="2"/>
      <scheme val="minor"/>
    </font>
    <font>
      <sz val="11"/>
      <color rgb="FFFF0000"/>
      <name val="Calibri"/>
      <family val="2"/>
      <scheme val="minor"/>
    </font>
    <font>
      <b/>
      <sz val="11"/>
      <color theme="0"/>
      <name val="Calibri"/>
      <family val="2"/>
      <scheme val="minor"/>
    </font>
    <font>
      <b/>
      <sz val="10"/>
      <name val="Calibri"/>
      <family val="2"/>
      <scheme val="minor"/>
    </font>
    <font>
      <b/>
      <i/>
      <u/>
      <sz val="11"/>
      <name val="Calibri"/>
      <family val="2"/>
      <scheme val="minor"/>
    </font>
    <font>
      <sz val="9"/>
      <color theme="1"/>
      <name val="Calibri"/>
      <family val="2"/>
      <scheme val="minor"/>
    </font>
    <font>
      <sz val="10"/>
      <color rgb="FFFF0000"/>
      <name val="Calibri"/>
      <family val="2"/>
      <scheme val="minor"/>
    </font>
    <font>
      <sz val="8"/>
      <color theme="1"/>
      <name val="Calibri"/>
      <family val="2"/>
      <scheme val="minor"/>
    </font>
    <font>
      <sz val="9"/>
      <name val="Calibri"/>
      <family val="2"/>
      <scheme val="minor"/>
    </font>
    <font>
      <b/>
      <sz val="12"/>
      <color theme="1"/>
      <name val="Calibri"/>
      <family val="2"/>
      <scheme val="minor"/>
    </font>
    <font>
      <b/>
      <sz val="16"/>
      <color theme="1"/>
      <name val="Calibri"/>
      <family val="2"/>
      <scheme val="minor"/>
    </font>
    <font>
      <b/>
      <i/>
      <sz val="11"/>
      <name val="Calibri"/>
      <family val="2"/>
      <scheme val="minor"/>
    </font>
    <font>
      <sz val="8"/>
      <name val="Calibri"/>
      <family val="2"/>
      <scheme val="minor"/>
    </font>
    <font>
      <b/>
      <i/>
      <u/>
      <sz val="10"/>
      <name val="Calibri"/>
      <family val="2"/>
      <scheme val="minor"/>
    </font>
    <font>
      <sz val="10"/>
      <name val="Calibri"/>
      <family val="2"/>
      <scheme val="minor"/>
    </font>
    <font>
      <u/>
      <sz val="11"/>
      <color theme="10"/>
      <name val="Calibri"/>
      <family val="2"/>
      <scheme val="minor"/>
    </font>
    <font>
      <b/>
      <u/>
      <sz val="11"/>
      <name val="Calibri"/>
      <family val="2"/>
      <scheme val="minor"/>
    </font>
    <font>
      <sz val="12"/>
      <color theme="1"/>
      <name val="Calibri"/>
      <family val="2"/>
      <scheme val="minor"/>
    </font>
    <font>
      <sz val="12"/>
      <name val="Calibri"/>
      <family val="2"/>
      <scheme val="minor"/>
    </font>
    <font>
      <b/>
      <u val="singleAccounting"/>
      <sz val="11"/>
      <color theme="1"/>
      <name val="Calibri"/>
      <family val="2"/>
      <scheme val="minor"/>
    </font>
    <font>
      <b/>
      <sz val="12"/>
      <name val="Calibri"/>
      <family val="2"/>
      <scheme val="minor"/>
    </font>
  </fonts>
  <fills count="37">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rgb="FFFFFF00"/>
        <bgColor indexed="64"/>
      </patternFill>
    </fill>
    <fill>
      <patternFill patternType="solid">
        <fgColor theme="4"/>
        <bgColor indexed="64"/>
      </patternFill>
    </fill>
    <fill>
      <patternFill patternType="solid">
        <fgColor theme="3" tint="0.59999389629810485"/>
        <bgColor indexed="64"/>
      </patternFill>
    </fill>
    <fill>
      <patternFill patternType="solid">
        <fgColor theme="5" tint="-0.249977111117893"/>
        <bgColor indexed="64"/>
      </patternFill>
    </fill>
    <fill>
      <patternFill patternType="solid">
        <fgColor theme="8"/>
        <bgColor indexed="64"/>
      </patternFill>
    </fill>
    <fill>
      <patternFill patternType="solid">
        <fgColor theme="6" tint="-0.249977111117893"/>
        <bgColor indexed="64"/>
      </patternFill>
    </fill>
    <fill>
      <patternFill patternType="solid">
        <fgColor theme="9"/>
        <bgColor indexed="64"/>
      </patternFill>
    </fill>
    <fill>
      <patternFill patternType="solid">
        <fgColor theme="7" tint="-0.249977111117893"/>
        <bgColor indexed="64"/>
      </patternFill>
    </fill>
    <fill>
      <patternFill patternType="solid">
        <fgColor theme="0" tint="-0.249977111117893"/>
        <bgColor indexed="64"/>
      </patternFill>
    </fill>
    <fill>
      <patternFill patternType="solid">
        <fgColor theme="2"/>
        <bgColor indexed="64"/>
      </patternFill>
    </fill>
    <fill>
      <patternFill patternType="solid">
        <fgColor theme="3" tint="-0.499984740745262"/>
        <bgColor indexed="64"/>
      </patternFill>
    </fill>
    <fill>
      <patternFill patternType="solid">
        <fgColor theme="9" tint="0.39997558519241921"/>
        <bgColor indexed="64"/>
      </patternFill>
    </fill>
    <fill>
      <patternFill patternType="solid">
        <fgColor theme="8" tint="-0.499984740745262"/>
        <bgColor indexed="64"/>
      </patternFill>
    </fill>
    <fill>
      <patternFill patternType="solid">
        <fgColor rgb="FF00B0F0"/>
        <bgColor indexed="64"/>
      </patternFill>
    </fill>
    <fill>
      <patternFill patternType="solid">
        <fgColor theme="2" tint="-0.499984740745262"/>
        <bgColor indexed="64"/>
      </patternFill>
    </fill>
    <fill>
      <patternFill patternType="solid">
        <fgColor rgb="FF00B050"/>
        <bgColor indexed="64"/>
      </patternFill>
    </fill>
    <fill>
      <patternFill patternType="solid">
        <fgColor theme="6" tint="0.39997558519241921"/>
        <bgColor indexed="64"/>
      </patternFill>
    </fill>
    <fill>
      <patternFill patternType="solid">
        <fgColor theme="0" tint="-0.499984740745262"/>
        <bgColor indexed="64"/>
      </patternFill>
    </fill>
    <fill>
      <patternFill patternType="solid">
        <fgColor theme="5"/>
        <bgColor indexed="64"/>
      </patternFill>
    </fill>
    <fill>
      <patternFill patternType="solid">
        <fgColor theme="2" tint="-0.89999084444715716"/>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7030A0"/>
        <bgColor indexed="64"/>
      </patternFill>
    </fill>
    <fill>
      <patternFill patternType="solid">
        <fgColor theme="6" tint="0.59999389629810485"/>
        <bgColor indexed="64"/>
      </patternFill>
    </fill>
    <fill>
      <patternFill patternType="solid">
        <fgColor theme="7" tint="0.39997558519241921"/>
        <bgColor indexed="64"/>
      </patternFill>
    </fill>
    <fill>
      <patternFill patternType="solid">
        <fgColor theme="3" tint="0.79998168889431442"/>
        <bgColor indexed="64"/>
      </patternFill>
    </fill>
    <fill>
      <patternFill patternType="solid">
        <fgColor rgb="FFC00000"/>
        <bgColor indexed="64"/>
      </patternFill>
    </fill>
    <fill>
      <patternFill patternType="solid">
        <fgColor theme="0" tint="-0.14999847407452621"/>
        <bgColor indexed="64"/>
      </patternFill>
    </fill>
    <fill>
      <patternFill patternType="solid">
        <fgColor theme="2"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medium">
        <color indexed="64"/>
      </bottom>
      <diagonal/>
    </border>
  </borders>
  <cellStyleXfs count="5">
    <xf numFmtId="0" fontId="0" fillId="0" borderId="0"/>
    <xf numFmtId="44" fontId="1" fillId="0" borderId="0" applyFont="0" applyFill="0" applyBorder="0" applyAlignment="0" applyProtection="0"/>
    <xf numFmtId="164" fontId="1" fillId="0" borderId="0" applyFont="0" applyFill="0" applyBorder="0" applyAlignment="0" applyProtection="0"/>
    <xf numFmtId="0" fontId="21" fillId="0" borderId="0" applyNumberFormat="0" applyFill="0" applyBorder="0" applyAlignment="0" applyProtection="0"/>
    <xf numFmtId="43" fontId="1" fillId="0" borderId="0" applyFont="0" applyFill="0" applyBorder="0" applyAlignment="0" applyProtection="0"/>
  </cellStyleXfs>
  <cellXfs count="395">
    <xf numFmtId="0" fontId="0" fillId="0" borderId="0" xfId="0"/>
    <xf numFmtId="0" fontId="0" fillId="0" borderId="1" xfId="0" applyBorder="1"/>
    <xf numFmtId="0" fontId="0" fillId="3" borderId="0" xfId="0" applyFill="1"/>
    <xf numFmtId="0" fontId="0" fillId="0" borderId="5" xfId="0" applyBorder="1"/>
    <xf numFmtId="0" fontId="0" fillId="5" borderId="12" xfId="0" applyFill="1" applyBorder="1"/>
    <xf numFmtId="8" fontId="0" fillId="0" borderId="0" xfId="0" applyNumberFormat="1"/>
    <xf numFmtId="164" fontId="3" fillId="0" borderId="0" xfId="0" applyNumberFormat="1" applyFont="1"/>
    <xf numFmtId="0" fontId="5" fillId="0" borderId="1" xfId="0" applyFont="1" applyBorder="1"/>
    <xf numFmtId="4" fontId="0" fillId="0" borderId="0" xfId="0" applyNumberFormat="1"/>
    <xf numFmtId="4" fontId="5" fillId="0" borderId="0" xfId="0" applyNumberFormat="1" applyFont="1"/>
    <xf numFmtId="0" fontId="5" fillId="0" borderId="1" xfId="0" applyFont="1" applyBorder="1" applyAlignment="1">
      <alignment vertical="center" wrapText="1"/>
    </xf>
    <xf numFmtId="8" fontId="6" fillId="4" borderId="6" xfId="0" applyNumberFormat="1" applyFont="1" applyFill="1" applyBorder="1"/>
    <xf numFmtId="0" fontId="9" fillId="2" borderId="0" xfId="0" applyFont="1" applyFill="1"/>
    <xf numFmtId="0" fontId="10" fillId="4" borderId="1" xfId="0" applyFont="1" applyFill="1" applyBorder="1"/>
    <xf numFmtId="0" fontId="6" fillId="4" borderId="1" xfId="0" applyFont="1" applyFill="1" applyBorder="1"/>
    <xf numFmtId="8" fontId="10" fillId="4" borderId="1" xfId="0" applyNumberFormat="1" applyFont="1" applyFill="1" applyBorder="1"/>
    <xf numFmtId="44" fontId="6" fillId="4" borderId="1" xfId="1" applyFont="1" applyFill="1" applyBorder="1"/>
    <xf numFmtId="44" fontId="0" fillId="0" borderId="1" xfId="1" applyFont="1" applyBorder="1"/>
    <xf numFmtId="44" fontId="6" fillId="4" borderId="6" xfId="1" applyFont="1" applyFill="1" applyBorder="1"/>
    <xf numFmtId="44" fontId="4" fillId="4" borderId="1" xfId="1" applyFont="1" applyFill="1" applyBorder="1"/>
    <xf numFmtId="0" fontId="0" fillId="0" borderId="0" xfId="0" applyAlignment="1">
      <alignment wrapText="1"/>
    </xf>
    <xf numFmtId="0" fontId="5" fillId="0" borderId="1" xfId="0" applyFont="1" applyBorder="1" applyAlignment="1">
      <alignment vertical="top" wrapText="1"/>
    </xf>
    <xf numFmtId="44" fontId="3" fillId="2" borderId="1" xfId="1" applyFont="1" applyFill="1" applyBorder="1"/>
    <xf numFmtId="44" fontId="0" fillId="0" borderId="0" xfId="1" applyFont="1"/>
    <xf numFmtId="0" fontId="7" fillId="2" borderId="0" xfId="0" applyFont="1" applyFill="1"/>
    <xf numFmtId="44" fontId="0" fillId="0" borderId="0" xfId="0" applyNumberFormat="1"/>
    <xf numFmtId="0" fontId="8" fillId="6" borderId="0" xfId="0" applyFont="1" applyFill="1"/>
    <xf numFmtId="44" fontId="8" fillId="6" borderId="0" xfId="1" applyFont="1" applyFill="1"/>
    <xf numFmtId="44" fontId="12" fillId="2" borderId="1" xfId="1" applyFont="1" applyFill="1" applyBorder="1"/>
    <xf numFmtId="0" fontId="13" fillId="2" borderId="1" xfId="0" applyFont="1" applyFill="1" applyBorder="1"/>
    <xf numFmtId="0" fontId="13" fillId="0" borderId="1" xfId="0" applyFont="1" applyBorder="1"/>
    <xf numFmtId="44" fontId="9" fillId="4" borderId="1" xfId="1" applyFont="1" applyFill="1" applyBorder="1"/>
    <xf numFmtId="0" fontId="13" fillId="0" borderId="1" xfId="0" applyFont="1" applyBorder="1" applyAlignment="1">
      <alignment horizontal="center"/>
    </xf>
    <xf numFmtId="44" fontId="18" fillId="0" borderId="1" xfId="1" applyFont="1" applyBorder="1"/>
    <xf numFmtId="165" fontId="13" fillId="0" borderId="1" xfId="0" applyNumberFormat="1" applyFont="1" applyBorder="1"/>
    <xf numFmtId="165" fontId="13" fillId="0" borderId="1" xfId="1" applyNumberFormat="1" applyFont="1" applyBorder="1"/>
    <xf numFmtId="0" fontId="13" fillId="9" borderId="21" xfId="0" applyFont="1" applyFill="1" applyBorder="1"/>
    <xf numFmtId="0" fontId="5" fillId="7" borderId="9" xfId="0" applyFont="1" applyFill="1" applyBorder="1"/>
    <xf numFmtId="44" fontId="5" fillId="7" borderId="11" xfId="0" applyNumberFormat="1" applyFont="1" applyFill="1" applyBorder="1"/>
    <xf numFmtId="0" fontId="4" fillId="0" borderId="1" xfId="0" applyFont="1" applyBorder="1"/>
    <xf numFmtId="0" fontId="4" fillId="10" borderId="1" xfId="0" applyFont="1" applyFill="1" applyBorder="1"/>
    <xf numFmtId="44" fontId="19" fillId="4" borderId="3" xfId="1" applyFont="1" applyFill="1" applyBorder="1"/>
    <xf numFmtId="44" fontId="20" fillId="4" borderId="3" xfId="1" applyFont="1" applyFill="1" applyBorder="1"/>
    <xf numFmtId="0" fontId="20" fillId="0" borderId="1" xfId="1" applyNumberFormat="1" applyFont="1" applyBorder="1" applyAlignment="1">
      <alignment horizontal="left"/>
    </xf>
    <xf numFmtId="44" fontId="9" fillId="4" borderId="13" xfId="1" applyFont="1" applyFill="1" applyBorder="1"/>
    <xf numFmtId="44" fontId="20" fillId="2" borderId="1" xfId="1" applyFont="1" applyFill="1" applyBorder="1"/>
    <xf numFmtId="44" fontId="20" fillId="2" borderId="3" xfId="1" applyFont="1" applyFill="1" applyBorder="1"/>
    <xf numFmtId="0" fontId="4" fillId="0" borderId="0" xfId="0" applyFont="1"/>
    <xf numFmtId="44" fontId="8" fillId="6" borderId="0" xfId="0" applyNumberFormat="1" applyFont="1" applyFill="1"/>
    <xf numFmtId="8" fontId="17" fillId="10" borderId="1" xfId="0" applyNumberFormat="1" applyFont="1" applyFill="1" applyBorder="1"/>
    <xf numFmtId="0" fontId="5" fillId="0" borderId="1" xfId="0" applyFont="1" applyBorder="1" applyAlignment="1">
      <alignment horizontal="left" vertical="center" wrapText="1"/>
    </xf>
    <xf numFmtId="166" fontId="18" fillId="2" borderId="1" xfId="1" applyNumberFormat="1" applyFont="1" applyFill="1" applyBorder="1"/>
    <xf numFmtId="0" fontId="0" fillId="2" borderId="0" xfId="0" applyFill="1"/>
    <xf numFmtId="44" fontId="5" fillId="6" borderId="1" xfId="1" applyFont="1" applyFill="1" applyBorder="1"/>
    <xf numFmtId="166" fontId="0" fillId="0" borderId="0" xfId="0" applyNumberFormat="1"/>
    <xf numFmtId="167" fontId="0" fillId="0" borderId="0" xfId="0" applyNumberFormat="1"/>
    <xf numFmtId="0" fontId="2" fillId="7" borderId="1" xfId="0" applyFont="1" applyFill="1" applyBorder="1"/>
    <xf numFmtId="44" fontId="6" fillId="7" borderId="1" xfId="1" applyFont="1" applyFill="1" applyBorder="1"/>
    <xf numFmtId="43" fontId="0" fillId="0" borderId="0" xfId="0" applyNumberFormat="1"/>
    <xf numFmtId="165" fontId="0" fillId="0" borderId="0" xfId="0" applyNumberFormat="1"/>
    <xf numFmtId="43" fontId="0" fillId="0" borderId="0" xfId="0" applyNumberFormat="1" applyAlignment="1">
      <alignment wrapText="1"/>
    </xf>
    <xf numFmtId="44" fontId="4" fillId="0" borderId="1" xfId="1" applyFont="1" applyBorder="1"/>
    <xf numFmtId="0" fontId="4" fillId="11" borderId="1" xfId="0" applyFont="1" applyFill="1" applyBorder="1"/>
    <xf numFmtId="44" fontId="6" fillId="12" borderId="6" xfId="1" applyFont="1" applyFill="1" applyBorder="1"/>
    <xf numFmtId="8" fontId="6" fillId="12" borderId="6" xfId="0" applyNumberFormat="1" applyFont="1" applyFill="1" applyBorder="1"/>
    <xf numFmtId="44" fontId="4" fillId="12" borderId="6" xfId="1" applyFont="1" applyFill="1" applyBorder="1"/>
    <xf numFmtId="0" fontId="10" fillId="12" borderId="1" xfId="0" applyFont="1" applyFill="1" applyBorder="1"/>
    <xf numFmtId="8" fontId="6" fillId="12" borderId="22" xfId="0" applyNumberFormat="1" applyFont="1" applyFill="1" applyBorder="1"/>
    <xf numFmtId="0" fontId="5" fillId="7" borderId="26" xfId="0" applyFont="1" applyFill="1" applyBorder="1"/>
    <xf numFmtId="44" fontId="5" fillId="7" borderId="27" xfId="0" applyNumberFormat="1" applyFont="1" applyFill="1" applyBorder="1"/>
    <xf numFmtId="0" fontId="2" fillId="3" borderId="13" xfId="0" applyFont="1" applyFill="1" applyBorder="1"/>
    <xf numFmtId="0" fontId="2" fillId="3" borderId="13" xfId="0" applyFont="1" applyFill="1" applyBorder="1" applyAlignment="1">
      <alignment horizontal="left"/>
    </xf>
    <xf numFmtId="0" fontId="2" fillId="3" borderId="10" xfId="0" applyFont="1" applyFill="1" applyBorder="1" applyAlignment="1">
      <alignment wrapText="1"/>
    </xf>
    <xf numFmtId="0" fontId="2" fillId="3" borderId="11" xfId="0" applyFont="1" applyFill="1" applyBorder="1" applyAlignment="1">
      <alignment wrapText="1"/>
    </xf>
    <xf numFmtId="0" fontId="2" fillId="3" borderId="9" xfId="0" applyFont="1" applyFill="1" applyBorder="1"/>
    <xf numFmtId="0" fontId="2" fillId="3" borderId="10" xfId="0" applyFont="1" applyFill="1" applyBorder="1"/>
    <xf numFmtId="0" fontId="4" fillId="13" borderId="12" xfId="0" applyFont="1" applyFill="1" applyBorder="1"/>
    <xf numFmtId="0" fontId="4" fillId="13" borderId="15" xfId="0" applyFont="1" applyFill="1" applyBorder="1"/>
    <xf numFmtId="0" fontId="13" fillId="2" borderId="1" xfId="0" applyFont="1" applyFill="1" applyBorder="1" applyAlignment="1">
      <alignment wrapText="1"/>
    </xf>
    <xf numFmtId="0" fontId="5" fillId="7" borderId="26" xfId="0" applyFont="1" applyFill="1" applyBorder="1" applyAlignment="1">
      <alignment horizontal="left" vertical="center" wrapText="1"/>
    </xf>
    <xf numFmtId="44" fontId="6" fillId="12" borderId="21" xfId="1" applyFont="1" applyFill="1" applyBorder="1"/>
    <xf numFmtId="165" fontId="6" fillId="12" borderId="2" xfId="1" applyNumberFormat="1" applyFont="1" applyFill="1" applyBorder="1"/>
    <xf numFmtId="8" fontId="6" fillId="12" borderId="5" xfId="0" applyNumberFormat="1" applyFont="1" applyFill="1" applyBorder="1"/>
    <xf numFmtId="0" fontId="6" fillId="5" borderId="8" xfId="0" applyFont="1" applyFill="1" applyBorder="1"/>
    <xf numFmtId="0" fontId="20" fillId="0" borderId="1" xfId="0" applyFont="1" applyBorder="1"/>
    <xf numFmtId="0" fontId="4" fillId="14" borderId="12" xfId="0" applyFont="1" applyFill="1" applyBorder="1"/>
    <xf numFmtId="0" fontId="4" fillId="14" borderId="15" xfId="0" applyFont="1" applyFill="1" applyBorder="1"/>
    <xf numFmtId="0" fontId="2" fillId="14" borderId="9" xfId="0" applyFont="1" applyFill="1" applyBorder="1"/>
    <xf numFmtId="0" fontId="2" fillId="14" borderId="28" xfId="0" applyFont="1" applyFill="1" applyBorder="1"/>
    <xf numFmtId="0" fontId="2" fillId="14" borderId="25" xfId="0" applyFont="1" applyFill="1" applyBorder="1"/>
    <xf numFmtId="166" fontId="5" fillId="14" borderId="29" xfId="0" applyNumberFormat="1" applyFont="1" applyFill="1" applyBorder="1"/>
    <xf numFmtId="0" fontId="0" fillId="2" borderId="1" xfId="0" applyFill="1" applyBorder="1"/>
    <xf numFmtId="44" fontId="4" fillId="2" borderId="24" xfId="1" applyFont="1" applyFill="1" applyBorder="1"/>
    <xf numFmtId="0" fontId="20" fillId="0" borderId="2" xfId="1" applyNumberFormat="1" applyFont="1" applyBorder="1" applyAlignment="1">
      <alignment horizontal="left"/>
    </xf>
    <xf numFmtId="165" fontId="18" fillId="0" borderId="1" xfId="0" applyNumberFormat="1" applyFont="1" applyBorder="1"/>
    <xf numFmtId="165" fontId="18" fillId="2" borderId="1" xfId="0" applyNumberFormat="1" applyFont="1" applyFill="1" applyBorder="1"/>
    <xf numFmtId="0" fontId="7" fillId="0" borderId="0" xfId="0" applyFont="1"/>
    <xf numFmtId="0" fontId="0" fillId="2" borderId="12" xfId="0" applyFill="1" applyBorder="1"/>
    <xf numFmtId="0" fontId="0" fillId="2" borderId="16" xfId="0" applyFill="1" applyBorder="1"/>
    <xf numFmtId="0" fontId="21" fillId="0" borderId="0" xfId="3"/>
    <xf numFmtId="0" fontId="0" fillId="2" borderId="15" xfId="0" applyFill="1" applyBorder="1"/>
    <xf numFmtId="16" fontId="0" fillId="2" borderId="0" xfId="0" applyNumberFormat="1" applyFill="1"/>
    <xf numFmtId="0" fontId="0" fillId="2" borderId="0" xfId="0" applyFill="1" applyAlignment="1">
      <alignment horizontal="center"/>
    </xf>
    <xf numFmtId="0" fontId="0" fillId="2" borderId="17" xfId="0" applyFill="1" applyBorder="1" applyAlignment="1">
      <alignment horizontal="center"/>
    </xf>
    <xf numFmtId="0" fontId="0" fillId="2" borderId="17" xfId="0" applyFill="1" applyBorder="1"/>
    <xf numFmtId="44" fontId="0" fillId="0" borderId="0" xfId="1" applyFont="1" applyBorder="1"/>
    <xf numFmtId="0" fontId="0" fillId="0" borderId="1" xfId="0" applyBorder="1" applyAlignment="1">
      <alignment horizontal="left" vertical="center" wrapText="1"/>
    </xf>
    <xf numFmtId="0" fontId="22" fillId="4" borderId="1" xfId="0" applyFont="1" applyFill="1" applyBorder="1"/>
    <xf numFmtId="44" fontId="6" fillId="2" borderId="1" xfId="1" applyFont="1" applyFill="1" applyBorder="1"/>
    <xf numFmtId="0" fontId="2" fillId="15" borderId="14" xfId="0" applyFont="1" applyFill="1" applyBorder="1"/>
    <xf numFmtId="44" fontId="2" fillId="15" borderId="15" xfId="1" applyFont="1" applyFill="1" applyBorder="1"/>
    <xf numFmtId="0" fontId="2" fillId="15" borderId="26" xfId="0" applyFont="1" applyFill="1" applyBorder="1"/>
    <xf numFmtId="0" fontId="13" fillId="4" borderId="21" xfId="0" applyFont="1" applyFill="1" applyBorder="1"/>
    <xf numFmtId="44" fontId="13" fillId="4" borderId="26" xfId="0" applyNumberFormat="1" applyFont="1" applyFill="1" applyBorder="1"/>
    <xf numFmtId="165" fontId="13" fillId="4" borderId="33" xfId="0" applyNumberFormat="1" applyFont="1" applyFill="1" applyBorder="1"/>
    <xf numFmtId="165" fontId="13" fillId="4" borderId="27" xfId="0" applyNumberFormat="1" applyFont="1" applyFill="1" applyBorder="1"/>
    <xf numFmtId="165" fontId="13" fillId="4" borderId="21" xfId="0" applyNumberFormat="1" applyFont="1" applyFill="1" applyBorder="1"/>
    <xf numFmtId="44" fontId="13" fillId="4" borderId="21" xfId="0" applyNumberFormat="1" applyFont="1" applyFill="1" applyBorder="1"/>
    <xf numFmtId="44" fontId="13" fillId="0" borderId="1" xfId="1" applyFont="1" applyBorder="1"/>
    <xf numFmtId="0" fontId="13" fillId="4" borderId="27" xfId="0" applyFont="1" applyFill="1" applyBorder="1"/>
    <xf numFmtId="165" fontId="13" fillId="2" borderId="1" xfId="1" applyNumberFormat="1" applyFont="1" applyFill="1" applyBorder="1"/>
    <xf numFmtId="165" fontId="13" fillId="4" borderId="21" xfId="0" applyNumberFormat="1" applyFont="1" applyFill="1" applyBorder="1" applyAlignment="1">
      <alignment horizontal="left"/>
    </xf>
    <xf numFmtId="0" fontId="2" fillId="0" borderId="1" xfId="0" applyFont="1" applyBorder="1"/>
    <xf numFmtId="44" fontId="2" fillId="0" borderId="1" xfId="1" applyFont="1" applyBorder="1"/>
    <xf numFmtId="0" fontId="23" fillId="3" borderId="0" xfId="0" applyFont="1" applyFill="1"/>
    <xf numFmtId="169" fontId="24" fillId="3" borderId="0" xfId="0" applyNumberFormat="1" applyFont="1" applyFill="1"/>
    <xf numFmtId="169" fontId="24" fillId="3" borderId="0" xfId="0" applyNumberFormat="1" applyFont="1" applyFill="1" applyAlignment="1">
      <alignment horizontal="center"/>
    </xf>
    <xf numFmtId="169" fontId="24" fillId="3" borderId="8" xfId="0" applyNumberFormat="1" applyFont="1" applyFill="1" applyBorder="1" applyAlignment="1">
      <alignment horizontal="center"/>
    </xf>
    <xf numFmtId="169" fontId="24" fillId="3" borderId="8" xfId="0" applyNumberFormat="1" applyFont="1" applyFill="1" applyBorder="1" applyAlignment="1">
      <alignment horizontal="left"/>
    </xf>
    <xf numFmtId="1" fontId="13" fillId="4" borderId="21" xfId="0" applyNumberFormat="1" applyFont="1" applyFill="1" applyBorder="1" applyAlignment="1">
      <alignment horizontal="center"/>
    </xf>
    <xf numFmtId="0" fontId="2" fillId="16" borderId="1" xfId="0" applyFont="1" applyFill="1" applyBorder="1"/>
    <xf numFmtId="44" fontId="2" fillId="16" borderId="1" xfId="1" applyFont="1" applyFill="1" applyBorder="1"/>
    <xf numFmtId="165" fontId="6" fillId="5" borderId="27" xfId="0" applyNumberFormat="1" applyFont="1" applyFill="1" applyBorder="1"/>
    <xf numFmtId="170" fontId="0" fillId="0" borderId="0" xfId="0" applyNumberFormat="1"/>
    <xf numFmtId="0" fontId="0" fillId="2" borderId="0" xfId="0" applyFill="1" applyAlignment="1">
      <alignment horizontal="center" wrapText="1"/>
    </xf>
    <xf numFmtId="44" fontId="18" fillId="2" borderId="1" xfId="1" applyFont="1" applyFill="1" applyBorder="1"/>
    <xf numFmtId="0" fontId="13" fillId="2" borderId="1" xfId="0" applyFont="1" applyFill="1" applyBorder="1" applyAlignment="1">
      <alignment horizontal="center"/>
    </xf>
    <xf numFmtId="165" fontId="13" fillId="2" borderId="1" xfId="0" applyNumberFormat="1" applyFont="1" applyFill="1" applyBorder="1"/>
    <xf numFmtId="44" fontId="0" fillId="2" borderId="0" xfId="0" applyNumberFormat="1" applyFill="1"/>
    <xf numFmtId="171" fontId="0" fillId="0" borderId="0" xfId="0" applyNumberFormat="1"/>
    <xf numFmtId="44" fontId="2" fillId="15" borderId="27" xfId="1" applyFont="1" applyFill="1" applyBorder="1"/>
    <xf numFmtId="168" fontId="4" fillId="2" borderId="1" xfId="1" applyNumberFormat="1" applyFont="1" applyFill="1" applyBorder="1"/>
    <xf numFmtId="44" fontId="20" fillId="2" borderId="1" xfId="1" applyFont="1" applyFill="1" applyBorder="1" applyAlignment="1">
      <alignment wrapText="1"/>
    </xf>
    <xf numFmtId="0" fontId="20" fillId="2" borderId="1" xfId="1" applyNumberFormat="1" applyFont="1" applyFill="1" applyBorder="1" applyAlignment="1"/>
    <xf numFmtId="44" fontId="20" fillId="0" borderId="1" xfId="1" applyFont="1" applyBorder="1" applyAlignment="1"/>
    <xf numFmtId="0" fontId="20" fillId="0" borderId="1" xfId="1" applyNumberFormat="1" applyFont="1" applyBorder="1" applyAlignment="1"/>
    <xf numFmtId="44" fontId="20" fillId="0" borderId="3" xfId="1" applyFont="1" applyBorder="1" applyAlignment="1"/>
    <xf numFmtId="168" fontId="20" fillId="2" borderId="1" xfId="1" applyNumberFormat="1" applyFont="1" applyFill="1" applyBorder="1"/>
    <xf numFmtId="165" fontId="18" fillId="2" borderId="1" xfId="1" applyNumberFormat="1" applyFont="1" applyFill="1" applyBorder="1"/>
    <xf numFmtId="165" fontId="18" fillId="0" borderId="1" xfId="1" applyNumberFormat="1" applyFont="1" applyBorder="1"/>
    <xf numFmtId="0" fontId="6" fillId="10" borderId="1" xfId="0" applyFont="1" applyFill="1" applyBorder="1"/>
    <xf numFmtId="0" fontId="21" fillId="2" borderId="0" xfId="3" applyFill="1" applyAlignment="1">
      <alignment horizontal="center"/>
    </xf>
    <xf numFmtId="0" fontId="0" fillId="17" borderId="0" xfId="0" applyFill="1"/>
    <xf numFmtId="0" fontId="0" fillId="17" borderId="14" xfId="0" applyFill="1" applyBorder="1"/>
    <xf numFmtId="0" fontId="0" fillId="17" borderId="12" xfId="0" applyFill="1" applyBorder="1"/>
    <xf numFmtId="0" fontId="0" fillId="18" borderId="14" xfId="0" applyFill="1" applyBorder="1"/>
    <xf numFmtId="0" fontId="0" fillId="18" borderId="12" xfId="0" applyFill="1" applyBorder="1"/>
    <xf numFmtId="0" fontId="13" fillId="18" borderId="1" xfId="0" applyFont="1" applyFill="1" applyBorder="1"/>
    <xf numFmtId="0" fontId="0" fillId="19" borderId="14" xfId="0" applyFill="1" applyBorder="1"/>
    <xf numFmtId="0" fontId="0" fillId="19" borderId="12" xfId="0" applyFill="1" applyBorder="1"/>
    <xf numFmtId="0" fontId="13" fillId="19" borderId="1" xfId="0" applyFont="1" applyFill="1" applyBorder="1"/>
    <xf numFmtId="0" fontId="0" fillId="20" borderId="14" xfId="0" applyFill="1" applyBorder="1"/>
    <xf numFmtId="0" fontId="0" fillId="20" borderId="12" xfId="0" applyFill="1" applyBorder="1"/>
    <xf numFmtId="0" fontId="13" fillId="8" borderId="1" xfId="0" applyFont="1" applyFill="1" applyBorder="1"/>
    <xf numFmtId="0" fontId="0" fillId="8" borderId="14" xfId="0" applyFill="1" applyBorder="1"/>
    <xf numFmtId="0" fontId="0" fillId="8" borderId="12" xfId="0" applyFill="1" applyBorder="1"/>
    <xf numFmtId="0" fontId="0" fillId="8" borderId="0" xfId="0" applyFill="1"/>
    <xf numFmtId="0" fontId="0" fillId="21" borderId="14" xfId="0" applyFill="1" applyBorder="1"/>
    <xf numFmtId="0" fontId="0" fillId="21" borderId="12" xfId="0" applyFill="1" applyBorder="1"/>
    <xf numFmtId="0" fontId="0" fillId="21" borderId="0" xfId="0" applyFill="1"/>
    <xf numFmtId="0" fontId="0" fillId="5" borderId="14" xfId="0" applyFill="1" applyBorder="1"/>
    <xf numFmtId="0" fontId="0" fillId="5" borderId="0" xfId="0" applyFill="1"/>
    <xf numFmtId="0" fontId="21" fillId="2" borderId="0" xfId="3" applyFill="1" applyAlignment="1">
      <alignment horizontal="center" wrapText="1"/>
    </xf>
    <xf numFmtId="0" fontId="0" fillId="22" borderId="14" xfId="0" applyFill="1" applyBorder="1"/>
    <xf numFmtId="0" fontId="0" fillId="22" borderId="12" xfId="0" applyFill="1" applyBorder="1"/>
    <xf numFmtId="0" fontId="0" fillId="22" borderId="0" xfId="0" applyFill="1"/>
    <xf numFmtId="0" fontId="0" fillId="23" borderId="0" xfId="0" applyFill="1"/>
    <xf numFmtId="0" fontId="0" fillId="23" borderId="14" xfId="0" applyFill="1" applyBorder="1"/>
    <xf numFmtId="0" fontId="0" fillId="23" borderId="12" xfId="0" applyFill="1" applyBorder="1"/>
    <xf numFmtId="0" fontId="0" fillId="11" borderId="14" xfId="0" applyFill="1" applyBorder="1"/>
    <xf numFmtId="0" fontId="0" fillId="11" borderId="12" xfId="0" applyFill="1" applyBorder="1"/>
    <xf numFmtId="0" fontId="0" fillId="11" borderId="0" xfId="0" applyFill="1"/>
    <xf numFmtId="0" fontId="13" fillId="5" borderId="1" xfId="0" applyFont="1" applyFill="1" applyBorder="1"/>
    <xf numFmtId="0" fontId="0" fillId="5" borderId="16" xfId="0" applyFill="1" applyBorder="1"/>
    <xf numFmtId="0" fontId="0" fillId="3" borderId="14" xfId="0" applyFill="1" applyBorder="1"/>
    <xf numFmtId="0" fontId="0" fillId="3" borderId="12" xfId="0" applyFill="1" applyBorder="1"/>
    <xf numFmtId="0" fontId="0" fillId="3" borderId="16" xfId="0" applyFill="1" applyBorder="1"/>
    <xf numFmtId="0" fontId="0" fillId="24" borderId="14" xfId="0" applyFill="1" applyBorder="1"/>
    <xf numFmtId="0" fontId="0" fillId="24" borderId="12" xfId="0" applyFill="1" applyBorder="1"/>
    <xf numFmtId="0" fontId="0" fillId="24" borderId="16" xfId="0" applyFill="1" applyBorder="1"/>
    <xf numFmtId="0" fontId="0" fillId="24" borderId="0" xfId="0" applyFill="1"/>
    <xf numFmtId="0" fontId="0" fillId="25" borderId="14" xfId="0" applyFill="1" applyBorder="1"/>
    <xf numFmtId="0" fontId="0" fillId="25" borderId="12" xfId="0" applyFill="1" applyBorder="1"/>
    <xf numFmtId="0" fontId="0" fillId="25" borderId="16" xfId="0" applyFill="1" applyBorder="1"/>
    <xf numFmtId="0" fontId="0" fillId="25" borderId="0" xfId="0" applyFill="1"/>
    <xf numFmtId="0" fontId="0" fillId="26" borderId="14" xfId="0" applyFill="1" applyBorder="1"/>
    <xf numFmtId="0" fontId="0" fillId="26" borderId="12" xfId="0" applyFill="1" applyBorder="1"/>
    <xf numFmtId="0" fontId="0" fillId="26" borderId="16" xfId="0" applyFill="1" applyBorder="1"/>
    <xf numFmtId="0" fontId="0" fillId="26" borderId="0" xfId="0" applyFill="1"/>
    <xf numFmtId="0" fontId="0" fillId="27" borderId="14" xfId="0" applyFill="1" applyBorder="1"/>
    <xf numFmtId="0" fontId="0" fillId="27" borderId="12" xfId="0" applyFill="1" applyBorder="1"/>
    <xf numFmtId="0" fontId="0" fillId="27" borderId="16" xfId="0" applyFill="1" applyBorder="1"/>
    <xf numFmtId="0" fontId="0" fillId="27" borderId="0" xfId="0" applyFill="1"/>
    <xf numFmtId="0" fontId="0" fillId="28" borderId="14" xfId="0" applyFill="1" applyBorder="1"/>
    <xf numFmtId="0" fontId="0" fillId="28" borderId="12" xfId="0" applyFill="1" applyBorder="1"/>
    <xf numFmtId="0" fontId="0" fillId="28" borderId="16" xfId="0" applyFill="1" applyBorder="1"/>
    <xf numFmtId="0" fontId="0" fillId="28" borderId="0" xfId="0" applyFill="1"/>
    <xf numFmtId="0" fontId="2" fillId="0" borderId="1" xfId="0" applyFont="1" applyBorder="1" applyAlignment="1">
      <alignment horizontal="center" vertical="center"/>
    </xf>
    <xf numFmtId="44" fontId="2" fillId="0" borderId="1" xfId="0" applyNumberFormat="1" applyFont="1" applyBorder="1"/>
    <xf numFmtId="44" fontId="25" fillId="14" borderId="1" xfId="0" applyNumberFormat="1" applyFont="1" applyFill="1" applyBorder="1"/>
    <xf numFmtId="0" fontId="2" fillId="14" borderId="1" xfId="0" applyFont="1" applyFill="1" applyBorder="1"/>
    <xf numFmtId="0" fontId="2" fillId="29" borderId="0" xfId="0" applyFont="1" applyFill="1"/>
    <xf numFmtId="44" fontId="2" fillId="29" borderId="0" xfId="1" applyFont="1" applyFill="1"/>
    <xf numFmtId="0" fontId="2" fillId="8" borderId="0" xfId="0" applyFont="1" applyFill="1"/>
    <xf numFmtId="44" fontId="2" fillId="8" borderId="0" xfId="0" applyNumberFormat="1" applyFont="1" applyFill="1"/>
    <xf numFmtId="0" fontId="13" fillId="12" borderId="1" xfId="0" applyFont="1" applyFill="1" applyBorder="1"/>
    <xf numFmtId="0" fontId="0" fillId="12" borderId="14" xfId="0" applyFill="1" applyBorder="1"/>
    <xf numFmtId="0" fontId="0" fillId="12" borderId="12" xfId="0" applyFill="1" applyBorder="1"/>
    <xf numFmtId="0" fontId="0" fillId="12" borderId="16" xfId="0" applyFill="1" applyBorder="1"/>
    <xf numFmtId="0" fontId="0" fillId="12" borderId="0" xfId="0" applyFill="1"/>
    <xf numFmtId="0" fontId="13" fillId="30" borderId="1" xfId="0" applyFont="1" applyFill="1" applyBorder="1"/>
    <xf numFmtId="0" fontId="0" fillId="30" borderId="14" xfId="0" applyFill="1" applyBorder="1"/>
    <xf numFmtId="0" fontId="0" fillId="30" borderId="12" xfId="0" applyFill="1" applyBorder="1"/>
    <xf numFmtId="0" fontId="0" fillId="30" borderId="16" xfId="0" applyFill="1" applyBorder="1"/>
    <xf numFmtId="0" fontId="0" fillId="30" borderId="0" xfId="0" applyFill="1"/>
    <xf numFmtId="0" fontId="13" fillId="31" borderId="1" xfId="0" applyFont="1" applyFill="1" applyBorder="1"/>
    <xf numFmtId="0" fontId="0" fillId="32" borderId="14" xfId="0" applyFill="1" applyBorder="1"/>
    <xf numFmtId="0" fontId="0" fillId="32" borderId="12" xfId="0" applyFill="1" applyBorder="1"/>
    <xf numFmtId="0" fontId="0" fillId="32" borderId="16" xfId="0" applyFill="1" applyBorder="1"/>
    <xf numFmtId="0" fontId="0" fillId="32" borderId="0" xfId="0" applyFill="1"/>
    <xf numFmtId="0" fontId="0" fillId="33" borderId="14" xfId="0" applyFill="1" applyBorder="1"/>
    <xf numFmtId="0" fontId="0" fillId="33" borderId="12" xfId="0" applyFill="1" applyBorder="1"/>
    <xf numFmtId="0" fontId="0" fillId="33" borderId="0" xfId="0" applyFill="1"/>
    <xf numFmtId="16" fontId="0" fillId="12" borderId="0" xfId="0" applyNumberFormat="1" applyFill="1"/>
    <xf numFmtId="16" fontId="0" fillId="24" borderId="0" xfId="0" applyNumberFormat="1" applyFill="1"/>
    <xf numFmtId="0" fontId="0" fillId="34" borderId="14" xfId="0" applyFill="1" applyBorder="1"/>
    <xf numFmtId="0" fontId="0" fillId="34" borderId="12" xfId="0" applyFill="1" applyBorder="1"/>
    <xf numFmtId="0" fontId="0" fillId="34" borderId="16" xfId="0" applyFill="1" applyBorder="1"/>
    <xf numFmtId="0" fontId="0" fillId="34" borderId="0" xfId="0" applyFill="1"/>
    <xf numFmtId="16" fontId="0" fillId="34" borderId="0" xfId="0" applyNumberFormat="1" applyFill="1"/>
    <xf numFmtId="0" fontId="13" fillId="6" borderId="1" xfId="0" applyFont="1" applyFill="1" applyBorder="1"/>
    <xf numFmtId="0" fontId="0" fillId="35" borderId="12" xfId="0" applyFill="1" applyBorder="1"/>
    <xf numFmtId="16" fontId="0" fillId="35" borderId="0" xfId="0" applyNumberFormat="1" applyFill="1"/>
    <xf numFmtId="0" fontId="0" fillId="35" borderId="0" xfId="0" applyFill="1"/>
    <xf numFmtId="0" fontId="0" fillId="35" borderId="14" xfId="0" applyFill="1" applyBorder="1"/>
    <xf numFmtId="0" fontId="0" fillId="35" borderId="16" xfId="0" applyFill="1" applyBorder="1"/>
    <xf numFmtId="0" fontId="13" fillId="35" borderId="1" xfId="0" applyFont="1" applyFill="1" applyBorder="1"/>
    <xf numFmtId="12" fontId="0" fillId="2" borderId="0" xfId="0" applyNumberFormat="1" applyFill="1" applyAlignment="1">
      <alignment horizontal="center" vertical="center" wrapText="1"/>
    </xf>
    <xf numFmtId="0" fontId="0" fillId="2" borderId="14" xfId="0" applyFill="1" applyBorder="1"/>
    <xf numFmtId="0" fontId="0" fillId="36" borderId="14" xfId="0" applyFill="1" applyBorder="1"/>
    <xf numFmtId="0" fontId="0" fillId="36" borderId="12" xfId="0" applyFill="1" applyBorder="1"/>
    <xf numFmtId="0" fontId="0" fillId="36" borderId="0" xfId="0" applyFill="1"/>
    <xf numFmtId="166" fontId="6" fillId="12" borderId="21" xfId="1" applyNumberFormat="1" applyFont="1" applyFill="1" applyBorder="1"/>
    <xf numFmtId="172" fontId="6" fillId="12" borderId="21" xfId="1" applyNumberFormat="1" applyFont="1" applyFill="1" applyBorder="1"/>
    <xf numFmtId="166" fontId="6" fillId="11" borderId="1" xfId="1" applyNumberFormat="1" applyFont="1" applyFill="1" applyBorder="1"/>
    <xf numFmtId="165" fontId="6" fillId="13" borderId="11" xfId="1" applyNumberFormat="1" applyFont="1" applyFill="1" applyBorder="1"/>
    <xf numFmtId="166" fontId="6" fillId="12" borderId="19" xfId="1" applyNumberFormat="1" applyFont="1" applyFill="1" applyBorder="1"/>
    <xf numFmtId="44" fontId="20" fillId="2" borderId="3" xfId="1" applyFont="1" applyFill="1" applyBorder="1" applyAlignment="1"/>
    <xf numFmtId="0" fontId="0" fillId="14" borderId="1" xfId="0" applyFill="1" applyBorder="1"/>
    <xf numFmtId="44" fontId="0" fillId="14" borderId="1" xfId="1" applyFont="1" applyFill="1" applyBorder="1"/>
    <xf numFmtId="44" fontId="2" fillId="14" borderId="1" xfId="1" applyFont="1" applyFill="1" applyBorder="1"/>
    <xf numFmtId="44" fontId="20" fillId="0" borderId="3" xfId="1" applyFont="1" applyBorder="1" applyAlignment="1">
      <alignment wrapText="1"/>
    </xf>
    <xf numFmtId="168" fontId="0" fillId="0" borderId="0" xfId="0" applyNumberFormat="1"/>
    <xf numFmtId="43" fontId="18" fillId="0" borderId="1" xfId="4" applyFont="1" applyBorder="1"/>
    <xf numFmtId="43" fontId="18" fillId="2" borderId="1" xfId="1" applyNumberFormat="1" applyFont="1" applyFill="1" applyBorder="1"/>
    <xf numFmtId="43" fontId="18" fillId="2" borderId="1" xfId="4" applyFont="1" applyFill="1" applyBorder="1"/>
    <xf numFmtId="43" fontId="18" fillId="0" borderId="1" xfId="1" applyNumberFormat="1" applyFont="1" applyBorder="1"/>
    <xf numFmtId="44" fontId="4" fillId="2" borderId="1" xfId="1" applyFont="1" applyFill="1" applyBorder="1"/>
    <xf numFmtId="0" fontId="0" fillId="2" borderId="1" xfId="0" applyFill="1" applyBorder="1" applyAlignment="1">
      <alignment horizontal="left" vertical="center" wrapText="1"/>
    </xf>
    <xf numFmtId="44" fontId="0" fillId="2" borderId="1" xfId="1" applyFont="1" applyFill="1" applyBorder="1"/>
    <xf numFmtId="8" fontId="4" fillId="2" borderId="1" xfId="0" applyNumberFormat="1" applyFont="1" applyFill="1" applyBorder="1"/>
    <xf numFmtId="0" fontId="6" fillId="0" borderId="0" xfId="0" applyFont="1"/>
    <xf numFmtId="0" fontId="6" fillId="5" borderId="14" xfId="0" applyFont="1" applyFill="1" applyBorder="1"/>
    <xf numFmtId="0" fontId="6" fillId="5" borderId="12" xfId="0" applyFont="1" applyFill="1" applyBorder="1"/>
    <xf numFmtId="10" fontId="6" fillId="5" borderId="12" xfId="0" applyNumberFormat="1" applyFont="1" applyFill="1" applyBorder="1"/>
    <xf numFmtId="0" fontId="4" fillId="5" borderId="12" xfId="0" applyFont="1" applyFill="1" applyBorder="1"/>
    <xf numFmtId="0" fontId="4" fillId="5" borderId="15" xfId="0" applyFont="1" applyFill="1" applyBorder="1"/>
    <xf numFmtId="0" fontId="17" fillId="10" borderId="1" xfId="0" applyFont="1" applyFill="1" applyBorder="1"/>
    <xf numFmtId="0" fontId="6" fillId="12" borderId="1" xfId="0" applyFont="1" applyFill="1" applyBorder="1"/>
    <xf numFmtId="0" fontId="4" fillId="0" borderId="1" xfId="0" applyFont="1" applyBorder="1" applyAlignment="1">
      <alignment vertical="center" wrapText="1"/>
    </xf>
    <xf numFmtId="0" fontId="4" fillId="2" borderId="1" xfId="0" applyFont="1" applyFill="1" applyBorder="1"/>
    <xf numFmtId="0" fontId="4" fillId="4" borderId="1" xfId="0" applyFont="1" applyFill="1" applyBorder="1"/>
    <xf numFmtId="0" fontId="4" fillId="12" borderId="1" xfId="0" applyFont="1" applyFill="1" applyBorder="1"/>
    <xf numFmtId="0" fontId="4" fillId="0" borderId="7" xfId="0" applyFont="1" applyBorder="1" applyAlignment="1">
      <alignment wrapText="1"/>
    </xf>
    <xf numFmtId="16" fontId="20" fillId="0" borderId="1" xfId="0" applyNumberFormat="1" applyFont="1" applyBorder="1"/>
    <xf numFmtId="0" fontId="6" fillId="4" borderId="1" xfId="0" applyFont="1" applyFill="1" applyBorder="1" applyAlignment="1">
      <alignment wrapText="1"/>
    </xf>
    <xf numFmtId="0" fontId="6" fillId="12" borderId="3" xfId="0" applyFont="1" applyFill="1" applyBorder="1"/>
    <xf numFmtId="0" fontId="6" fillId="12" borderId="4" xfId="0" applyFont="1" applyFill="1" applyBorder="1"/>
    <xf numFmtId="0" fontId="6" fillId="5" borderId="26" xfId="0" applyFont="1" applyFill="1" applyBorder="1"/>
    <xf numFmtId="10" fontId="6" fillId="5" borderId="8" xfId="0" applyNumberFormat="1" applyFont="1" applyFill="1" applyBorder="1"/>
    <xf numFmtId="0" fontId="6" fillId="11" borderId="1" xfId="0" applyFont="1" applyFill="1" applyBorder="1"/>
    <xf numFmtId="0" fontId="6" fillId="13" borderId="14" xfId="0" applyFont="1" applyFill="1" applyBorder="1"/>
    <xf numFmtId="0" fontId="6" fillId="13" borderId="12" xfId="0" applyFont="1" applyFill="1" applyBorder="1"/>
    <xf numFmtId="10" fontId="6" fillId="13" borderId="12" xfId="0" applyNumberFormat="1" applyFont="1" applyFill="1" applyBorder="1"/>
    <xf numFmtId="0" fontId="4" fillId="0" borderId="24" xfId="0" applyFont="1" applyBorder="1" applyAlignment="1">
      <alignment horizontal="left" vertical="center" wrapText="1"/>
    </xf>
    <xf numFmtId="0" fontId="4" fillId="0" borderId="30" xfId="0" applyFont="1" applyBorder="1" applyAlignment="1">
      <alignment horizontal="left" vertical="center" wrapText="1"/>
    </xf>
    <xf numFmtId="0" fontId="4" fillId="0" borderId="2" xfId="0" applyFont="1" applyBorder="1"/>
    <xf numFmtId="0" fontId="6" fillId="13" borderId="9" xfId="0" applyFont="1" applyFill="1" applyBorder="1"/>
    <xf numFmtId="0" fontId="4" fillId="13" borderId="10" xfId="0" applyFont="1" applyFill="1" applyBorder="1"/>
    <xf numFmtId="44" fontId="4" fillId="13" borderId="10" xfId="1" applyFont="1" applyFill="1" applyBorder="1"/>
    <xf numFmtId="0" fontId="6" fillId="13" borderId="28" xfId="0" applyFont="1" applyFill="1" applyBorder="1"/>
    <xf numFmtId="0" fontId="6" fillId="13" borderId="25" xfId="0" applyFont="1" applyFill="1" applyBorder="1"/>
    <xf numFmtId="165" fontId="6" fillId="13" borderId="29" xfId="0" applyNumberFormat="1" applyFont="1" applyFill="1" applyBorder="1"/>
    <xf numFmtId="0" fontId="6" fillId="14" borderId="14" xfId="0" applyFont="1" applyFill="1" applyBorder="1"/>
    <xf numFmtId="0" fontId="6" fillId="14" borderId="12" xfId="0" applyFont="1" applyFill="1" applyBorder="1"/>
    <xf numFmtId="10" fontId="6" fillId="14" borderId="12" xfId="0" applyNumberFormat="1" applyFont="1" applyFill="1" applyBorder="1"/>
    <xf numFmtId="44" fontId="20" fillId="0" borderId="1" xfId="1" applyFont="1" applyBorder="1"/>
    <xf numFmtId="0" fontId="4" fillId="0" borderId="6" xfId="0" applyFont="1" applyBorder="1" applyAlignment="1">
      <alignment horizontal="left" vertical="center" wrapText="1"/>
    </xf>
    <xf numFmtId="0" fontId="4" fillId="0" borderId="7" xfId="0" applyFont="1" applyBorder="1" applyAlignment="1">
      <alignment horizontal="left" vertical="center" wrapText="1"/>
    </xf>
    <xf numFmtId="0" fontId="4" fillId="2" borderId="6" xfId="0" applyFont="1" applyFill="1" applyBorder="1" applyAlignment="1">
      <alignment horizontal="left" vertical="center" wrapText="1"/>
    </xf>
    <xf numFmtId="0" fontId="4" fillId="2" borderId="7" xfId="0" applyFont="1" applyFill="1" applyBorder="1" applyAlignment="1">
      <alignment horizontal="left" vertical="center" wrapText="1"/>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4" fillId="2" borderId="6" xfId="0" applyFont="1" applyFill="1" applyBorder="1" applyAlignment="1">
      <alignment horizontal="left" wrapText="1"/>
    </xf>
    <xf numFmtId="0" fontId="4" fillId="2" borderId="7" xfId="0" applyFont="1" applyFill="1" applyBorder="1" applyAlignment="1">
      <alignment horizontal="left" wrapText="1"/>
    </xf>
    <xf numFmtId="0" fontId="8" fillId="6" borderId="0" xfId="0" applyFont="1" applyFill="1" applyAlignment="1">
      <alignment horizontal="center" vertical="center"/>
    </xf>
    <xf numFmtId="0" fontId="4" fillId="0" borderId="1" xfId="0" applyFont="1" applyBorder="1" applyAlignment="1">
      <alignment horizontal="left" vertical="center" wrapText="1"/>
    </xf>
    <xf numFmtId="0" fontId="5" fillId="3" borderId="9" xfId="0" applyFont="1" applyFill="1" applyBorder="1" applyAlignment="1">
      <alignment horizontal="left" vertical="center" wrapText="1"/>
    </xf>
    <xf numFmtId="0" fontId="5" fillId="3" borderId="10"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9" xfId="0" applyFont="1" applyFill="1" applyBorder="1" applyAlignment="1">
      <alignment horizontal="left"/>
    </xf>
    <xf numFmtId="0" fontId="5" fillId="3" borderId="10" xfId="0" applyFont="1" applyFill="1" applyBorder="1" applyAlignment="1">
      <alignment horizontal="left"/>
    </xf>
    <xf numFmtId="0" fontId="5" fillId="3" borderId="11" xfId="0" applyFont="1" applyFill="1" applyBorder="1" applyAlignment="1">
      <alignment horizontal="left"/>
    </xf>
    <xf numFmtId="0" fontId="2" fillId="3" borderId="10" xfId="0" applyFont="1" applyFill="1" applyBorder="1" applyAlignment="1">
      <alignment horizontal="left"/>
    </xf>
    <xf numFmtId="0" fontId="2" fillId="3" borderId="11" xfId="0" applyFont="1" applyFill="1" applyBorder="1" applyAlignment="1">
      <alignment horizontal="left"/>
    </xf>
    <xf numFmtId="0" fontId="2" fillId="3" borderId="18" xfId="0" applyFont="1" applyFill="1" applyBorder="1" applyAlignment="1">
      <alignment horizontal="center"/>
    </xf>
    <xf numFmtId="0" fontId="2" fillId="3" borderId="19" xfId="0" applyFont="1" applyFill="1" applyBorder="1" applyAlignment="1">
      <alignment horizontal="center"/>
    </xf>
    <xf numFmtId="0" fontId="2" fillId="3" borderId="21" xfId="0" applyFont="1" applyFill="1" applyBorder="1" applyAlignment="1">
      <alignment horizontal="center"/>
    </xf>
    <xf numFmtId="0" fontId="4" fillId="2" borderId="23" xfId="0" applyFont="1" applyFill="1" applyBorder="1" applyAlignment="1">
      <alignment horizontal="left" vertical="center" wrapText="1"/>
    </xf>
    <xf numFmtId="0" fontId="2" fillId="8" borderId="12" xfId="0" applyFont="1" applyFill="1" applyBorder="1" applyAlignment="1">
      <alignment horizontal="left" vertical="center" wrapText="1"/>
    </xf>
    <xf numFmtId="0" fontId="16" fillId="8" borderId="0" xfId="0" applyFont="1" applyFill="1" applyAlignment="1">
      <alignment horizontal="center" vertical="center"/>
    </xf>
    <xf numFmtId="0" fontId="26" fillId="7" borderId="0" xfId="0" applyFont="1" applyFill="1" applyAlignment="1">
      <alignment horizontal="left" vertical="center" wrapText="1"/>
    </xf>
    <xf numFmtId="0" fontId="4" fillId="0" borderId="6" xfId="0" applyFont="1" applyBorder="1" applyAlignment="1">
      <alignment horizontal="left" vertical="center"/>
    </xf>
    <xf numFmtId="0" fontId="4" fillId="0" borderId="7" xfId="0" applyFont="1" applyBorder="1" applyAlignment="1">
      <alignment horizontal="left" vertical="center"/>
    </xf>
    <xf numFmtId="0" fontId="15" fillId="8" borderId="14" xfId="0" applyFont="1" applyFill="1" applyBorder="1" applyAlignment="1">
      <alignment horizontal="left" vertical="center" wrapText="1"/>
    </xf>
    <xf numFmtId="0" fontId="15" fillId="8" borderId="12" xfId="0" applyFont="1" applyFill="1" applyBorder="1" applyAlignment="1">
      <alignment horizontal="left" vertical="center" wrapText="1"/>
    </xf>
    <xf numFmtId="0" fontId="15" fillId="8" borderId="15" xfId="0" applyFont="1" applyFill="1" applyBorder="1" applyAlignment="1">
      <alignment horizontal="left" vertical="center" wrapText="1"/>
    </xf>
    <xf numFmtId="0" fontId="15" fillId="8" borderId="16" xfId="0" applyFont="1" applyFill="1" applyBorder="1" applyAlignment="1">
      <alignment horizontal="left" vertical="center" wrapText="1"/>
    </xf>
    <xf numFmtId="0" fontId="15" fillId="8" borderId="0" xfId="0" applyFont="1" applyFill="1" applyAlignment="1">
      <alignment horizontal="left" vertical="center" wrapText="1"/>
    </xf>
    <xf numFmtId="0" fontId="15" fillId="8" borderId="17" xfId="0" applyFont="1" applyFill="1" applyBorder="1" applyAlignment="1">
      <alignment horizontal="left" vertical="center" wrapText="1"/>
    </xf>
    <xf numFmtId="0" fontId="15" fillId="8" borderId="26" xfId="0" applyFont="1" applyFill="1" applyBorder="1" applyAlignment="1">
      <alignment horizontal="left" vertical="center" wrapText="1"/>
    </xf>
    <xf numFmtId="0" fontId="15" fillId="8" borderId="8" xfId="0" applyFont="1" applyFill="1" applyBorder="1" applyAlignment="1">
      <alignment horizontal="left" vertical="center" wrapText="1"/>
    </xf>
    <xf numFmtId="0" fontId="15" fillId="8" borderId="27" xfId="0" applyFont="1" applyFill="1" applyBorder="1" applyAlignment="1">
      <alignment horizontal="left" vertical="center" wrapText="1"/>
    </xf>
    <xf numFmtId="44" fontId="9" fillId="0" borderId="1" xfId="1" applyFont="1" applyBorder="1"/>
    <xf numFmtId="44" fontId="13" fillId="4" borderId="26" xfId="0" applyNumberFormat="1" applyFont="1" applyFill="1" applyBorder="1" applyAlignment="1">
      <alignment horizontal="center"/>
    </xf>
    <xf numFmtId="44" fontId="13" fillId="4" borderId="27" xfId="0" applyNumberFormat="1" applyFont="1" applyFill="1" applyBorder="1" applyAlignment="1">
      <alignment horizontal="center"/>
    </xf>
    <xf numFmtId="44" fontId="18" fillId="0" borderId="1" xfId="1" applyFont="1" applyBorder="1" applyAlignment="1">
      <alignment horizontal="center"/>
    </xf>
    <xf numFmtId="44" fontId="9" fillId="2" borderId="1" xfId="1" applyFont="1" applyFill="1" applyBorder="1"/>
    <xf numFmtId="44" fontId="23" fillId="3" borderId="0" xfId="1" applyFont="1" applyFill="1" applyAlignment="1">
      <alignment horizontal="left"/>
    </xf>
    <xf numFmtId="169" fontId="24" fillId="3" borderId="0" xfId="0" applyNumberFormat="1" applyFont="1" applyFill="1" applyAlignment="1">
      <alignment horizontal="center"/>
    </xf>
    <xf numFmtId="0" fontId="11" fillId="3" borderId="18" xfId="0" applyFont="1" applyFill="1" applyBorder="1" applyAlignment="1">
      <alignment horizontal="center" vertical="center" wrapText="1"/>
    </xf>
    <xf numFmtId="0" fontId="11" fillId="3" borderId="20" xfId="0" applyFont="1" applyFill="1" applyBorder="1" applyAlignment="1">
      <alignment horizontal="center" vertical="center" wrapText="1"/>
    </xf>
    <xf numFmtId="169" fontId="24" fillId="3" borderId="8" xfId="0" applyNumberFormat="1" applyFont="1" applyFill="1" applyBorder="1" applyAlignment="1">
      <alignment horizontal="center"/>
    </xf>
    <xf numFmtId="169" fontId="24" fillId="3" borderId="0" xfId="1" applyNumberFormat="1" applyFont="1" applyFill="1" applyAlignment="1">
      <alignment horizontal="center"/>
    </xf>
    <xf numFmtId="169" fontId="24" fillId="3" borderId="8" xfId="1" applyNumberFormat="1" applyFont="1" applyFill="1" applyBorder="1" applyAlignment="1">
      <alignment horizontal="center" vertical="center"/>
    </xf>
    <xf numFmtId="44" fontId="23" fillId="3" borderId="8" xfId="1" applyFont="1" applyFill="1" applyBorder="1" applyAlignment="1">
      <alignment horizontal="left"/>
    </xf>
    <xf numFmtId="0" fontId="14" fillId="3" borderId="14" xfId="0" applyFont="1" applyFill="1" applyBorder="1" applyAlignment="1">
      <alignment horizontal="center" vertical="center" wrapText="1"/>
    </xf>
    <xf numFmtId="0" fontId="14" fillId="3" borderId="15" xfId="0" applyFont="1" applyFill="1" applyBorder="1" applyAlignment="1">
      <alignment horizontal="center" vertical="center" wrapText="1"/>
    </xf>
    <xf numFmtId="0" fontId="14" fillId="3" borderId="31" xfId="0" applyFont="1" applyFill="1" applyBorder="1" applyAlignment="1">
      <alignment horizontal="center" vertical="center" wrapText="1"/>
    </xf>
    <xf numFmtId="0" fontId="14" fillId="3" borderId="32" xfId="0" applyFont="1" applyFill="1" applyBorder="1" applyAlignment="1">
      <alignment horizontal="center" vertical="center" wrapText="1"/>
    </xf>
    <xf numFmtId="0" fontId="11" fillId="3" borderId="14" xfId="0" applyFont="1" applyFill="1" applyBorder="1" applyAlignment="1">
      <alignment horizontal="center" vertical="center"/>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19" xfId="0" applyFont="1" applyFill="1" applyBorder="1" applyAlignment="1">
      <alignment horizontal="center" vertical="center"/>
    </xf>
    <xf numFmtId="0" fontId="13" fillId="3" borderId="18" xfId="0" applyFont="1" applyFill="1" applyBorder="1" applyAlignment="1">
      <alignment horizontal="center" vertical="center" wrapText="1"/>
    </xf>
    <xf numFmtId="0" fontId="13" fillId="3" borderId="20" xfId="0" applyFont="1" applyFill="1" applyBorder="1" applyAlignment="1">
      <alignment horizontal="center" vertical="center" wrapText="1"/>
    </xf>
    <xf numFmtId="6" fontId="0" fillId="2" borderId="14" xfId="0" applyNumberFormat="1" applyFill="1" applyBorder="1" applyAlignment="1">
      <alignment horizontal="center" vertical="center" wrapText="1"/>
    </xf>
    <xf numFmtId="12" fontId="0" fillId="2" borderId="12" xfId="0" applyNumberFormat="1" applyFill="1" applyBorder="1" applyAlignment="1">
      <alignment horizontal="center" vertical="center" wrapText="1"/>
    </xf>
    <xf numFmtId="12" fontId="0" fillId="2" borderId="15" xfId="0" applyNumberFormat="1" applyFill="1" applyBorder="1" applyAlignment="1">
      <alignment horizontal="center" vertical="center" wrapText="1"/>
    </xf>
    <xf numFmtId="12" fontId="0" fillId="2" borderId="16" xfId="0" applyNumberFormat="1" applyFill="1" applyBorder="1" applyAlignment="1">
      <alignment horizontal="center" vertical="center" wrapText="1"/>
    </xf>
    <xf numFmtId="12" fontId="0" fillId="2" borderId="0" xfId="0" applyNumberFormat="1" applyFill="1" applyAlignment="1">
      <alignment horizontal="center" vertical="center" wrapText="1"/>
    </xf>
    <xf numFmtId="12" fontId="0" fillId="2" borderId="17" xfId="0" applyNumberFormat="1" applyFill="1" applyBorder="1" applyAlignment="1">
      <alignment horizontal="center" vertical="center" wrapText="1"/>
    </xf>
    <xf numFmtId="12" fontId="0" fillId="2" borderId="26" xfId="0" applyNumberFormat="1" applyFill="1" applyBorder="1" applyAlignment="1">
      <alignment horizontal="center" vertical="center" wrapText="1"/>
    </xf>
    <xf numFmtId="12" fontId="0" fillId="2" borderId="8" xfId="0" applyNumberFormat="1" applyFill="1" applyBorder="1" applyAlignment="1">
      <alignment horizontal="center" vertical="center" wrapText="1"/>
    </xf>
    <xf numFmtId="12" fontId="0" fillId="2" borderId="27" xfId="0" applyNumberFormat="1" applyFill="1" applyBorder="1" applyAlignment="1">
      <alignment horizontal="center" vertical="center" wrapText="1"/>
    </xf>
    <xf numFmtId="12" fontId="0" fillId="2" borderId="14" xfId="0" applyNumberFormat="1" applyFill="1" applyBorder="1" applyAlignment="1">
      <alignment horizontal="center" vertical="center"/>
    </xf>
    <xf numFmtId="12" fontId="0" fillId="2" borderId="12" xfId="0" applyNumberFormat="1" applyFill="1" applyBorder="1" applyAlignment="1">
      <alignment horizontal="center" vertical="center"/>
    </xf>
    <xf numFmtId="12" fontId="0" fillId="2" borderId="15" xfId="0" applyNumberFormat="1" applyFill="1" applyBorder="1" applyAlignment="1">
      <alignment horizontal="center" vertical="center"/>
    </xf>
    <xf numFmtId="12" fontId="0" fillId="2" borderId="16" xfId="0" applyNumberFormat="1" applyFill="1" applyBorder="1" applyAlignment="1">
      <alignment horizontal="center" vertical="center"/>
    </xf>
    <xf numFmtId="12" fontId="0" fillId="2" borderId="0" xfId="0" applyNumberFormat="1" applyFill="1" applyAlignment="1">
      <alignment horizontal="center" vertical="center"/>
    </xf>
    <xf numFmtId="12" fontId="0" fillId="2" borderId="17" xfId="0" applyNumberFormat="1" applyFill="1" applyBorder="1" applyAlignment="1">
      <alignment horizontal="center" vertical="center"/>
    </xf>
    <xf numFmtId="12" fontId="0" fillId="2" borderId="26" xfId="0" applyNumberFormat="1" applyFill="1" applyBorder="1" applyAlignment="1">
      <alignment horizontal="center" vertical="center"/>
    </xf>
    <xf numFmtId="12" fontId="0" fillId="2" borderId="8" xfId="0" applyNumberFormat="1" applyFill="1" applyBorder="1" applyAlignment="1">
      <alignment horizontal="center" vertical="center"/>
    </xf>
    <xf numFmtId="12" fontId="0" fillId="2" borderId="27" xfId="0" applyNumberFormat="1" applyFill="1" applyBorder="1" applyAlignment="1">
      <alignment horizontal="center" vertical="center"/>
    </xf>
    <xf numFmtId="6" fontId="0" fillId="2" borderId="14" xfId="0" applyNumberFormat="1" applyFill="1" applyBorder="1" applyAlignment="1">
      <alignment horizontal="center" vertical="center"/>
    </xf>
    <xf numFmtId="0" fontId="0" fillId="8" borderId="0" xfId="0" applyFill="1" applyAlignment="1">
      <alignment horizontal="center"/>
    </xf>
    <xf numFmtId="0" fontId="2" fillId="4" borderId="1" xfId="0" applyFont="1" applyFill="1" applyBorder="1" applyAlignment="1">
      <alignment horizontal="center"/>
    </xf>
    <xf numFmtId="168" fontId="7" fillId="2" borderId="1" xfId="0" applyNumberFormat="1" applyFont="1" applyFill="1" applyBorder="1"/>
    <xf numFmtId="168" fontId="7" fillId="2" borderId="1" xfId="1" applyNumberFormat="1" applyFont="1" applyFill="1" applyBorder="1"/>
    <xf numFmtId="44" fontId="7" fillId="2" borderId="1" xfId="1" applyFont="1" applyFill="1" applyBorder="1"/>
    <xf numFmtId="44" fontId="7" fillId="2" borderId="6" xfId="1" applyFont="1" applyFill="1" applyBorder="1"/>
    <xf numFmtId="44" fontId="7" fillId="0" borderId="1" xfId="1" applyFont="1" applyBorder="1"/>
    <xf numFmtId="8" fontId="7" fillId="2" borderId="1" xfId="0" applyNumberFormat="1" applyFont="1" applyFill="1" applyBorder="1"/>
    <xf numFmtId="44" fontId="7" fillId="2" borderId="1" xfId="1" applyFont="1" applyFill="1" applyBorder="1" applyAlignment="1">
      <alignment wrapText="1"/>
    </xf>
    <xf numFmtId="44" fontId="7" fillId="2" borderId="1" xfId="1" applyFont="1" applyFill="1" applyBorder="1" applyAlignment="1"/>
  </cellXfs>
  <cellStyles count="5">
    <cellStyle name="Hipervínculo" xfId="3" builtinId="8"/>
    <cellStyle name="Millares" xfId="4" builtinId="3"/>
    <cellStyle name="Moneda" xfId="1" builtinId="4"/>
    <cellStyle name="Moneda 2" xfId="2" xr:uid="{00000000-0005-0000-0000-000002000000}"/>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80009</xdr:rowOff>
    </xdr:from>
    <xdr:to>
      <xdr:col>0</xdr:col>
      <xdr:colOff>2400300</xdr:colOff>
      <xdr:row>6</xdr:row>
      <xdr:rowOff>0</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80009"/>
          <a:ext cx="2362200" cy="1348741"/>
        </a:xfrm>
        <a:prstGeom prst="rect">
          <a:avLst/>
        </a:prstGeom>
        <a:noFill/>
        <a:ln>
          <a:solidFill>
            <a:schemeClr val="tx1"/>
          </a:solid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ventas@quimicaros.com.ar" TargetMode="External"/><Relationship Id="rId2" Type="http://schemas.openxmlformats.org/officeDocument/2006/relationships/hyperlink" Target="mailto:vivibpapa@gmail.com%20-%20Viviana%20papa" TargetMode="External"/><Relationship Id="rId1" Type="http://schemas.openxmlformats.org/officeDocument/2006/relationships/hyperlink" Target="mailto:polypeirano@yahoo.com"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mailto:hugoecarnevaleok@gmail.com+" TargetMode="External"/><Relationship Id="rId13" Type="http://schemas.openxmlformats.org/officeDocument/2006/relationships/hyperlink" Target="mailto:hugoecarnevaleok@gmail.com+" TargetMode="External"/><Relationship Id="rId18" Type="http://schemas.openxmlformats.org/officeDocument/2006/relationships/hyperlink" Target="mailto:vivibpapa@gmail.com" TargetMode="External"/><Relationship Id="rId26" Type="http://schemas.openxmlformats.org/officeDocument/2006/relationships/hyperlink" Target="mailto:polypeirano@yahoo.com" TargetMode="External"/><Relationship Id="rId3" Type="http://schemas.openxmlformats.org/officeDocument/2006/relationships/hyperlink" Target="mailto:ventas@quimicaros.com.ar" TargetMode="External"/><Relationship Id="rId21" Type="http://schemas.openxmlformats.org/officeDocument/2006/relationships/hyperlink" Target="mailto:hugoecarnevaleok@gmail.com+" TargetMode="External"/><Relationship Id="rId7" Type="http://schemas.openxmlformats.org/officeDocument/2006/relationships/hyperlink" Target="mailto:ventas@quimicaros.com.ar" TargetMode="External"/><Relationship Id="rId12" Type="http://schemas.openxmlformats.org/officeDocument/2006/relationships/hyperlink" Target="mailto:hugoecarnevaleok@gmail.com+" TargetMode="External"/><Relationship Id="rId17" Type="http://schemas.openxmlformats.org/officeDocument/2006/relationships/hyperlink" Target="mailto:hugoecarnevaleok@gmail.com+" TargetMode="External"/><Relationship Id="rId25" Type="http://schemas.openxmlformats.org/officeDocument/2006/relationships/hyperlink" Target="mailto:polypeirano@yahoo.com" TargetMode="External"/><Relationship Id="rId2" Type="http://schemas.openxmlformats.org/officeDocument/2006/relationships/hyperlink" Target="mailto:ventas@quimicaros.com.ar" TargetMode="External"/><Relationship Id="rId16" Type="http://schemas.openxmlformats.org/officeDocument/2006/relationships/hyperlink" Target="mailto:hugoecarnevaleok@gmail.com+" TargetMode="External"/><Relationship Id="rId20" Type="http://schemas.openxmlformats.org/officeDocument/2006/relationships/hyperlink" Target="mailto:hugoecarnevaleok@gmail.com+" TargetMode="External"/><Relationship Id="rId1" Type="http://schemas.openxmlformats.org/officeDocument/2006/relationships/hyperlink" Target="mailto:ventas@quimicaros.com.ar" TargetMode="External"/><Relationship Id="rId6" Type="http://schemas.openxmlformats.org/officeDocument/2006/relationships/hyperlink" Target="mailto:ventas@quimicaros.com.ar" TargetMode="External"/><Relationship Id="rId11" Type="http://schemas.openxmlformats.org/officeDocument/2006/relationships/hyperlink" Target="mailto:hugoecarnevaleok@gmail.com+" TargetMode="External"/><Relationship Id="rId24" Type="http://schemas.openxmlformats.org/officeDocument/2006/relationships/hyperlink" Target="mailto:polypeirano@yahoo.com" TargetMode="External"/><Relationship Id="rId5" Type="http://schemas.openxmlformats.org/officeDocument/2006/relationships/hyperlink" Target="mailto:ventas@quimicaros.com.ar" TargetMode="External"/><Relationship Id="rId15" Type="http://schemas.openxmlformats.org/officeDocument/2006/relationships/hyperlink" Target="mailto:hugoecarnevaleok@gmail.com+" TargetMode="External"/><Relationship Id="rId23" Type="http://schemas.openxmlformats.org/officeDocument/2006/relationships/hyperlink" Target="mailto:polypeirano@yahoo.com" TargetMode="External"/><Relationship Id="rId28" Type="http://schemas.openxmlformats.org/officeDocument/2006/relationships/hyperlink" Target="mailto:hugoecarnevaleok@gmail.com+" TargetMode="External"/><Relationship Id="rId10" Type="http://schemas.openxmlformats.org/officeDocument/2006/relationships/hyperlink" Target="mailto:hugoecarnevaleok@gmail.com+" TargetMode="External"/><Relationship Id="rId19" Type="http://schemas.openxmlformats.org/officeDocument/2006/relationships/hyperlink" Target="mailto:hugoecarnevaleok@gmail.com+" TargetMode="External"/><Relationship Id="rId4" Type="http://schemas.openxmlformats.org/officeDocument/2006/relationships/hyperlink" Target="mailto:ventas@quimicaros.com.ar" TargetMode="External"/><Relationship Id="rId9" Type="http://schemas.openxmlformats.org/officeDocument/2006/relationships/hyperlink" Target="mailto:hugoecarnevaleok@gmail.com+" TargetMode="External"/><Relationship Id="rId14" Type="http://schemas.openxmlformats.org/officeDocument/2006/relationships/hyperlink" Target="mailto:hugoecarnevaleok@gmail.com+" TargetMode="External"/><Relationship Id="rId22" Type="http://schemas.openxmlformats.org/officeDocument/2006/relationships/hyperlink" Target="mailto:polypeirano@yahoo.com" TargetMode="External"/><Relationship Id="rId27" Type="http://schemas.openxmlformats.org/officeDocument/2006/relationships/hyperlink" Target="mailto:polypeirano@yahoo.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8"/>
  <sheetViews>
    <sheetView tabSelected="1" topLeftCell="A54" zoomScale="90" zoomScaleNormal="90" workbookViewId="0">
      <selection activeCell="D103" sqref="D103"/>
    </sheetView>
  </sheetViews>
  <sheetFormatPr baseColWidth="10" defaultColWidth="10.85546875" defaultRowHeight="15" x14ac:dyDescent="0.25"/>
  <cols>
    <col min="1" max="1" width="37.5703125" customWidth="1"/>
    <col min="2" max="2" width="24.7109375" customWidth="1"/>
    <col min="3" max="3" width="15.85546875" hidden="1" customWidth="1"/>
    <col min="4" max="4" width="21.28515625" customWidth="1"/>
    <col min="5" max="5" width="15.140625" customWidth="1"/>
    <col min="6" max="6" width="16.42578125" bestFit="1" customWidth="1"/>
    <col min="7" max="7" width="15.42578125" bestFit="1" customWidth="1"/>
    <col min="9" max="9" width="14.140625" bestFit="1" customWidth="1"/>
    <col min="11" max="11" width="18" customWidth="1"/>
    <col min="12" max="12" width="18.28515625" customWidth="1"/>
  </cols>
  <sheetData>
    <row r="1" spans="1:5" ht="15.75" thickBot="1" x14ac:dyDescent="0.3">
      <c r="A1" s="325"/>
      <c r="B1" s="320" t="s">
        <v>161</v>
      </c>
      <c r="C1" s="321"/>
      <c r="D1" s="321"/>
      <c r="E1" s="322"/>
    </row>
    <row r="2" spans="1:5" ht="15.75" thickBot="1" x14ac:dyDescent="0.3">
      <c r="A2" s="326"/>
      <c r="B2" s="320" t="s">
        <v>163</v>
      </c>
      <c r="C2" s="321"/>
      <c r="D2" s="321"/>
      <c r="E2" s="322"/>
    </row>
    <row r="3" spans="1:5" ht="32.25" customHeight="1" thickBot="1" x14ac:dyDescent="0.3">
      <c r="A3" s="326"/>
      <c r="B3" s="317" t="s">
        <v>159</v>
      </c>
      <c r="C3" s="318"/>
      <c r="D3" s="318"/>
      <c r="E3" s="319"/>
    </row>
    <row r="4" spans="1:5" ht="15.75" thickBot="1" x14ac:dyDescent="0.3">
      <c r="A4" s="326"/>
      <c r="B4" s="71" t="s">
        <v>160</v>
      </c>
      <c r="C4" s="70"/>
      <c r="D4" s="70"/>
      <c r="E4" s="70"/>
    </row>
    <row r="5" spans="1:5" ht="16.899999999999999" customHeight="1" thickBot="1" x14ac:dyDescent="0.3">
      <c r="A5" s="326"/>
      <c r="B5" s="74" t="s">
        <v>378</v>
      </c>
      <c r="C5" s="72"/>
      <c r="D5" s="72"/>
      <c r="E5" s="73"/>
    </row>
    <row r="6" spans="1:5" ht="16.899999999999999" customHeight="1" thickBot="1" x14ac:dyDescent="0.3">
      <c r="A6" s="326"/>
      <c r="B6" s="75" t="s">
        <v>158</v>
      </c>
      <c r="C6" s="72"/>
      <c r="D6" s="72"/>
      <c r="E6" s="73"/>
    </row>
    <row r="7" spans="1:5" ht="15.75" thickBot="1" x14ac:dyDescent="0.3">
      <c r="A7" s="327"/>
      <c r="B7" s="323" t="s">
        <v>162</v>
      </c>
      <c r="C7" s="323"/>
      <c r="D7" s="323"/>
      <c r="E7" s="324"/>
    </row>
    <row r="9" spans="1:5" ht="14.45" customHeight="1" x14ac:dyDescent="0.25">
      <c r="A9" s="330" t="s">
        <v>377</v>
      </c>
      <c r="B9" s="330"/>
      <c r="C9" s="330"/>
      <c r="D9" s="330"/>
      <c r="E9" s="330"/>
    </row>
    <row r="10" spans="1:5" ht="14.45" customHeight="1" x14ac:dyDescent="0.25">
      <c r="A10" s="330"/>
      <c r="B10" s="330"/>
      <c r="C10" s="330"/>
      <c r="D10" s="330"/>
      <c r="E10" s="330"/>
    </row>
    <row r="11" spans="1:5" ht="14.45" customHeight="1" x14ac:dyDescent="0.25">
      <c r="A11" s="330"/>
      <c r="B11" s="330"/>
      <c r="C11" s="330"/>
      <c r="D11" s="330"/>
      <c r="E11" s="330"/>
    </row>
    <row r="12" spans="1:5" x14ac:dyDescent="0.25">
      <c r="A12" s="47"/>
      <c r="B12" s="47"/>
      <c r="C12" s="47"/>
      <c r="D12" s="47"/>
      <c r="E12" s="47"/>
    </row>
    <row r="13" spans="1:5" ht="14.45" hidden="1" customHeight="1" x14ac:dyDescent="0.25">
      <c r="A13" s="47"/>
      <c r="B13" s="47"/>
      <c r="C13" s="47"/>
      <c r="D13" s="47"/>
      <c r="E13" s="47"/>
    </row>
    <row r="14" spans="1:5" ht="15" customHeight="1" x14ac:dyDescent="0.25">
      <c r="A14" s="331" t="s">
        <v>263</v>
      </c>
      <c r="B14" s="331"/>
      <c r="C14" s="331"/>
      <c r="D14" s="331"/>
      <c r="E14" s="331"/>
    </row>
    <row r="15" spans="1:5" ht="15" customHeight="1" x14ac:dyDescent="0.25">
      <c r="A15" s="331"/>
      <c r="B15" s="331"/>
      <c r="C15" s="331"/>
      <c r="D15" s="331"/>
      <c r="E15" s="331"/>
    </row>
    <row r="16" spans="1:5" ht="15" customHeight="1" x14ac:dyDescent="0.25">
      <c r="A16" s="331"/>
      <c r="B16" s="331"/>
      <c r="C16" s="331"/>
      <c r="D16" s="331"/>
      <c r="E16" s="331"/>
    </row>
    <row r="17" spans="1:8" ht="243" customHeight="1" x14ac:dyDescent="0.25">
      <c r="A17" s="331"/>
      <c r="B17" s="331"/>
      <c r="C17" s="331"/>
      <c r="D17" s="331"/>
      <c r="E17" s="331"/>
    </row>
    <row r="18" spans="1:8" ht="14.25" customHeight="1" thickBot="1" x14ac:dyDescent="0.3">
      <c r="A18" s="47"/>
      <c r="B18" s="47"/>
      <c r="C18" s="47"/>
      <c r="D18" s="47"/>
      <c r="E18" s="47"/>
    </row>
    <row r="19" spans="1:8" ht="14.45" hidden="1" customHeight="1" x14ac:dyDescent="0.25">
      <c r="A19" s="271"/>
      <c r="B19" s="47"/>
      <c r="C19" s="47"/>
      <c r="D19" s="47"/>
      <c r="E19" s="47"/>
    </row>
    <row r="20" spans="1:8" ht="15" hidden="1" customHeight="1" thickBot="1" x14ac:dyDescent="0.3">
      <c r="A20" s="47"/>
      <c r="B20" s="47"/>
      <c r="C20" s="47"/>
      <c r="D20" s="47"/>
      <c r="E20" s="47"/>
    </row>
    <row r="21" spans="1:8" x14ac:dyDescent="0.25">
      <c r="A21" s="272" t="s">
        <v>5</v>
      </c>
      <c r="B21" s="273"/>
      <c r="C21" s="274"/>
      <c r="D21" s="275"/>
      <c r="E21" s="276"/>
    </row>
    <row r="22" spans="1:8" x14ac:dyDescent="0.25">
      <c r="A22" s="13" t="s">
        <v>18</v>
      </c>
      <c r="B22" s="13"/>
      <c r="C22" s="13"/>
      <c r="D22" s="13"/>
      <c r="E22" s="13"/>
    </row>
    <row r="23" spans="1:8" ht="20.25" customHeight="1" x14ac:dyDescent="0.25">
      <c r="A23" s="307" t="s">
        <v>379</v>
      </c>
      <c r="B23" s="308"/>
      <c r="C23" s="39"/>
      <c r="D23" s="270">
        <v>1311455.5</v>
      </c>
      <c r="E23" s="39"/>
      <c r="G23" s="133"/>
    </row>
    <row r="24" spans="1:8" x14ac:dyDescent="0.25">
      <c r="A24" s="39" t="s">
        <v>380</v>
      </c>
      <c r="B24" s="39"/>
      <c r="C24" s="39"/>
      <c r="D24" s="270">
        <v>-285241.59999999998</v>
      </c>
      <c r="E24" s="39"/>
      <c r="G24" s="5"/>
    </row>
    <row r="25" spans="1:8" x14ac:dyDescent="0.25">
      <c r="A25" s="39" t="s">
        <v>381</v>
      </c>
      <c r="B25" s="39"/>
      <c r="C25" s="39"/>
      <c r="D25" s="270">
        <v>0.1</v>
      </c>
      <c r="E25" s="39"/>
      <c r="G25" s="5"/>
    </row>
    <row r="26" spans="1:8" x14ac:dyDescent="0.25">
      <c r="A26" s="277" t="s">
        <v>19</v>
      </c>
      <c r="B26" s="277"/>
      <c r="C26" s="277"/>
      <c r="D26" s="49">
        <f>SUM(D23:D25)</f>
        <v>1026214</v>
      </c>
      <c r="E26" s="150" t="s">
        <v>295</v>
      </c>
      <c r="F26" s="5"/>
      <c r="G26" s="5"/>
      <c r="H26" s="133"/>
    </row>
    <row r="27" spans="1:8" ht="32.25" customHeight="1" x14ac:dyDescent="0.25">
      <c r="A27" s="307" t="s">
        <v>268</v>
      </c>
      <c r="B27" s="308"/>
      <c r="C27" s="39"/>
      <c r="D27" s="392">
        <v>630000</v>
      </c>
      <c r="E27" s="39" t="s">
        <v>420</v>
      </c>
      <c r="G27" s="5"/>
    </row>
    <row r="28" spans="1:8" x14ac:dyDescent="0.25">
      <c r="A28" s="277" t="s">
        <v>19</v>
      </c>
      <c r="B28" s="277"/>
      <c r="C28" s="277"/>
      <c r="D28" s="49">
        <f>SUM(D27:D27)</f>
        <v>630000</v>
      </c>
      <c r="E28" s="40"/>
      <c r="G28" s="5"/>
    </row>
    <row r="29" spans="1:8" ht="18" customHeight="1" thickBot="1" x14ac:dyDescent="0.3">
      <c r="A29" s="278" t="s">
        <v>175</v>
      </c>
      <c r="B29" s="278"/>
      <c r="C29" s="278"/>
      <c r="D29" s="64"/>
      <c r="E29" s="253">
        <f>D26+D28</f>
        <v>1656214</v>
      </c>
      <c r="F29" s="5"/>
    </row>
    <row r="30" spans="1:8" x14ac:dyDescent="0.25">
      <c r="A30" s="13" t="s">
        <v>181</v>
      </c>
      <c r="B30" s="14"/>
      <c r="C30" s="14"/>
      <c r="D30" s="16"/>
      <c r="E30" s="31"/>
    </row>
    <row r="31" spans="1:8" s="20" customFormat="1" ht="15" customHeight="1" x14ac:dyDescent="0.25">
      <c r="A31" s="39" t="s">
        <v>382</v>
      </c>
      <c r="B31" s="39"/>
      <c r="C31" s="279"/>
      <c r="D31" s="393">
        <v>601216.04</v>
      </c>
      <c r="E31" s="142" t="s">
        <v>423</v>
      </c>
      <c r="G31" s="60"/>
    </row>
    <row r="32" spans="1:8" s="20" customFormat="1" ht="15" customHeight="1" x14ac:dyDescent="0.25">
      <c r="A32" s="280" t="s">
        <v>383</v>
      </c>
      <c r="B32" s="39" t="s">
        <v>11</v>
      </c>
      <c r="C32" s="279"/>
      <c r="D32" s="393">
        <v>59015.5</v>
      </c>
      <c r="E32" s="142" t="s">
        <v>424</v>
      </c>
      <c r="G32" s="60"/>
    </row>
    <row r="33" spans="1:9" s="20" customFormat="1" ht="15" customHeight="1" x14ac:dyDescent="0.25">
      <c r="A33" s="280" t="str">
        <f>A32</f>
        <v>Sindicatos mes de Julio</v>
      </c>
      <c r="B33" s="39" t="s">
        <v>20</v>
      </c>
      <c r="C33" s="279"/>
      <c r="D33" s="393">
        <v>109872.62</v>
      </c>
      <c r="E33" s="142" t="str">
        <f>E32</f>
        <v>Debito 12/08</v>
      </c>
      <c r="G33" s="60"/>
    </row>
    <row r="34" spans="1:9" ht="15" customHeight="1" x14ac:dyDescent="0.25">
      <c r="A34" s="280" t="str">
        <f>A33</f>
        <v>Sindicatos mes de Julio</v>
      </c>
      <c r="B34" s="39" t="s">
        <v>10</v>
      </c>
      <c r="C34" s="279"/>
      <c r="D34" s="394">
        <v>6557.28</v>
      </c>
      <c r="E34" s="142" t="str">
        <f>E33</f>
        <v>Debito 12/08</v>
      </c>
      <c r="H34" s="52"/>
    </row>
    <row r="35" spans="1:9" ht="15.75" thickBot="1" x14ac:dyDescent="0.3">
      <c r="A35" s="278" t="s">
        <v>152</v>
      </c>
      <c r="B35" s="278"/>
      <c r="C35" s="278"/>
      <c r="D35" s="63"/>
      <c r="E35" s="252">
        <f>SUM(D31:D34)</f>
        <v>776661.44000000006</v>
      </c>
    </row>
    <row r="36" spans="1:9" x14ac:dyDescent="0.25">
      <c r="A36" s="13" t="s">
        <v>174</v>
      </c>
      <c r="B36" s="281"/>
      <c r="C36" s="281"/>
      <c r="D36" s="19"/>
      <c r="E36" s="42"/>
    </row>
    <row r="37" spans="1:9" ht="31.9" customHeight="1" x14ac:dyDescent="0.25">
      <c r="A37" s="309" t="s">
        <v>411</v>
      </c>
      <c r="B37" s="310"/>
      <c r="C37" s="39"/>
      <c r="D37" s="389">
        <v>148964</v>
      </c>
      <c r="E37" s="143" t="s">
        <v>410</v>
      </c>
    </row>
    <row r="38" spans="1:9" ht="31.9" customHeight="1" x14ac:dyDescent="0.25">
      <c r="A38" s="309" t="s">
        <v>412</v>
      </c>
      <c r="B38" s="310"/>
      <c r="C38" s="39"/>
      <c r="D38" s="389">
        <v>5619</v>
      </c>
      <c r="E38" s="143" t="s">
        <v>410</v>
      </c>
    </row>
    <row r="39" spans="1:9" ht="31.9" customHeight="1" x14ac:dyDescent="0.25">
      <c r="A39" s="309" t="s">
        <v>182</v>
      </c>
      <c r="B39" s="310"/>
      <c r="C39" s="39"/>
      <c r="D39" s="389">
        <v>14585.38</v>
      </c>
      <c r="E39" s="143" t="s">
        <v>428</v>
      </c>
    </row>
    <row r="40" spans="1:9" ht="31.9" customHeight="1" x14ac:dyDescent="0.25">
      <c r="A40" s="309" t="s">
        <v>182</v>
      </c>
      <c r="B40" s="310"/>
      <c r="C40" s="39"/>
      <c r="D40" s="389">
        <v>18195</v>
      </c>
      <c r="E40" s="143" t="s">
        <v>392</v>
      </c>
    </row>
    <row r="41" spans="1:9" ht="15" customHeight="1" thickBot="1" x14ac:dyDescent="0.3">
      <c r="A41" s="278" t="s">
        <v>153</v>
      </c>
      <c r="B41" s="282"/>
      <c r="C41" s="282"/>
      <c r="D41" s="65"/>
      <c r="E41" s="80">
        <f>SUM(D37:D40)</f>
        <v>187363.38</v>
      </c>
    </row>
    <row r="42" spans="1:9" ht="15" customHeight="1" thickBot="1" x14ac:dyDescent="0.3">
      <c r="A42" s="107" t="s">
        <v>183</v>
      </c>
      <c r="B42" s="14"/>
      <c r="C42" s="14"/>
      <c r="D42" s="18"/>
      <c r="E42" s="44"/>
    </row>
    <row r="43" spans="1:9" ht="33.950000000000003" customHeight="1" x14ac:dyDescent="0.25">
      <c r="A43" s="309" t="s">
        <v>417</v>
      </c>
      <c r="B43" s="328"/>
      <c r="C43" s="283"/>
      <c r="D43" s="389">
        <v>40494442.560000002</v>
      </c>
      <c r="E43" s="144" t="s">
        <v>413</v>
      </c>
      <c r="G43" t="s">
        <v>257</v>
      </c>
      <c r="I43" s="58"/>
    </row>
    <row r="44" spans="1:9" ht="33.950000000000003" customHeight="1" x14ac:dyDescent="0.25">
      <c r="A44" s="309" t="s">
        <v>385</v>
      </c>
      <c r="B44" s="328"/>
      <c r="C44" s="283"/>
      <c r="D44" s="389">
        <v>4533679.3600000003</v>
      </c>
      <c r="E44" s="145" t="s">
        <v>429</v>
      </c>
    </row>
    <row r="45" spans="1:9" ht="17.45" customHeight="1" x14ac:dyDescent="0.25">
      <c r="A45" s="278" t="s">
        <v>184</v>
      </c>
      <c r="B45" s="66"/>
      <c r="C45" s="66"/>
      <c r="D45" s="66"/>
      <c r="E45" s="81">
        <f>SUM(D43:D44)</f>
        <v>45028121.920000002</v>
      </c>
    </row>
    <row r="46" spans="1:9" ht="17.45" customHeight="1" x14ac:dyDescent="0.25">
      <c r="A46" s="107" t="s">
        <v>185</v>
      </c>
      <c r="B46" s="107"/>
      <c r="C46" s="107" t="s">
        <v>183</v>
      </c>
      <c r="D46" s="107"/>
      <c r="E46" s="107"/>
    </row>
    <row r="47" spans="1:9" ht="33.950000000000003" customHeight="1" x14ac:dyDescent="0.25">
      <c r="A47" s="309" t="s">
        <v>441</v>
      </c>
      <c r="B47" s="328"/>
      <c r="C47" s="283"/>
      <c r="D47" s="389">
        <v>984870</v>
      </c>
      <c r="E47" s="144" t="s">
        <v>440</v>
      </c>
    </row>
    <row r="48" spans="1:9" ht="33.950000000000003" customHeight="1" x14ac:dyDescent="0.25">
      <c r="A48" s="309" t="s">
        <v>401</v>
      </c>
      <c r="B48" s="328"/>
      <c r="C48" s="283"/>
      <c r="D48" s="389">
        <v>902866</v>
      </c>
      <c r="E48" s="146" t="s">
        <v>408</v>
      </c>
    </row>
    <row r="49" spans="1:8" ht="33.950000000000003" customHeight="1" x14ac:dyDescent="0.25">
      <c r="A49" s="309" t="s">
        <v>437</v>
      </c>
      <c r="B49" s="310"/>
      <c r="C49" s="284"/>
      <c r="D49" s="389">
        <v>5500000</v>
      </c>
      <c r="E49" s="46" t="s">
        <v>413</v>
      </c>
      <c r="G49" s="52"/>
    </row>
    <row r="50" spans="1:8" ht="33.950000000000003" customHeight="1" x14ac:dyDescent="0.25">
      <c r="A50" s="309" t="s">
        <v>438</v>
      </c>
      <c r="B50" s="310"/>
      <c r="C50" s="284"/>
      <c r="D50" s="389">
        <v>250000</v>
      </c>
      <c r="E50" s="46" t="s">
        <v>434</v>
      </c>
    </row>
    <row r="51" spans="1:8" ht="33.950000000000003" customHeight="1" x14ac:dyDescent="0.25">
      <c r="A51" s="309" t="s">
        <v>439</v>
      </c>
      <c r="B51" s="310"/>
      <c r="C51" s="284"/>
      <c r="D51" s="389">
        <v>1500000</v>
      </c>
      <c r="E51" s="46" t="s">
        <v>434</v>
      </c>
    </row>
    <row r="52" spans="1:8" ht="52.5" customHeight="1" x14ac:dyDescent="0.25">
      <c r="A52" s="309" t="s">
        <v>397</v>
      </c>
      <c r="B52" s="310"/>
      <c r="C52" s="284"/>
      <c r="D52" s="389">
        <v>228690</v>
      </c>
      <c r="E52" s="146" t="s">
        <v>394</v>
      </c>
    </row>
    <row r="53" spans="1:8" ht="33.950000000000003" customHeight="1" x14ac:dyDescent="0.25">
      <c r="A53" s="309" t="s">
        <v>270</v>
      </c>
      <c r="B53" s="310"/>
      <c r="C53" s="39"/>
      <c r="D53" s="388">
        <v>38000</v>
      </c>
      <c r="E53" s="257" t="s">
        <v>387</v>
      </c>
    </row>
    <row r="54" spans="1:8" ht="33.950000000000003" customHeight="1" x14ac:dyDescent="0.25">
      <c r="A54" s="309" t="s">
        <v>406</v>
      </c>
      <c r="B54" s="310"/>
      <c r="C54" s="39"/>
      <c r="D54" s="388">
        <v>120000</v>
      </c>
      <c r="E54" s="257" t="s">
        <v>420</v>
      </c>
    </row>
    <row r="55" spans="1:8" ht="33.950000000000003" customHeight="1" x14ac:dyDescent="0.25">
      <c r="A55" s="309" t="s">
        <v>407</v>
      </c>
      <c r="B55" s="310"/>
      <c r="C55" s="39"/>
      <c r="D55" s="388">
        <v>209800</v>
      </c>
      <c r="E55" s="257" t="s">
        <v>420</v>
      </c>
    </row>
    <row r="56" spans="1:8" ht="33.950000000000003" customHeight="1" x14ac:dyDescent="0.25">
      <c r="A56" s="309" t="s">
        <v>396</v>
      </c>
      <c r="B56" s="310"/>
      <c r="C56" s="284"/>
      <c r="D56" s="389">
        <v>636901.37</v>
      </c>
      <c r="E56" s="146" t="s">
        <v>394</v>
      </c>
    </row>
    <row r="57" spans="1:8" ht="33.950000000000003" customHeight="1" x14ac:dyDescent="0.25">
      <c r="A57" s="309" t="s">
        <v>419</v>
      </c>
      <c r="B57" s="310"/>
      <c r="C57" s="39"/>
      <c r="D57" s="388">
        <v>2848824</v>
      </c>
      <c r="E57" s="261" t="s">
        <v>430</v>
      </c>
    </row>
    <row r="58" spans="1:8" ht="33.950000000000003" customHeight="1" x14ac:dyDescent="0.25">
      <c r="A58" s="309" t="s">
        <v>432</v>
      </c>
      <c r="B58" s="310"/>
      <c r="C58" s="39"/>
      <c r="D58" s="388">
        <v>700000</v>
      </c>
      <c r="E58" s="261" t="s">
        <v>376</v>
      </c>
    </row>
    <row r="59" spans="1:8" ht="28.5" customHeight="1" x14ac:dyDescent="0.25">
      <c r="A59" s="332" t="s">
        <v>393</v>
      </c>
      <c r="B59" s="333"/>
      <c r="C59" s="39"/>
      <c r="D59" s="388">
        <v>423137</v>
      </c>
      <c r="E59" s="146" t="s">
        <v>394</v>
      </c>
    </row>
    <row r="60" spans="1:8" ht="28.5" customHeight="1" x14ac:dyDescent="0.25">
      <c r="A60" s="311" t="s">
        <v>393</v>
      </c>
      <c r="B60" s="312"/>
      <c r="C60" s="280"/>
      <c r="D60" s="388">
        <v>368929</v>
      </c>
      <c r="E60" s="257" t="s">
        <v>440</v>
      </c>
    </row>
    <row r="61" spans="1:8" ht="33.950000000000003" customHeight="1" x14ac:dyDescent="0.25">
      <c r="A61" s="307" t="s">
        <v>436</v>
      </c>
      <c r="B61" s="308"/>
      <c r="C61" s="39"/>
      <c r="D61" s="388">
        <v>85000</v>
      </c>
      <c r="E61" s="46" t="s">
        <v>434</v>
      </c>
    </row>
    <row r="62" spans="1:8" ht="33.950000000000003" customHeight="1" x14ac:dyDescent="0.25">
      <c r="A62" s="307" t="s">
        <v>390</v>
      </c>
      <c r="B62" s="308"/>
      <c r="C62" s="39"/>
      <c r="D62" s="388">
        <v>85000</v>
      </c>
      <c r="E62" s="144" t="s">
        <v>387</v>
      </c>
      <c r="G62" s="262"/>
      <c r="H62" s="262"/>
    </row>
    <row r="63" spans="1:8" ht="33.950000000000003" customHeight="1" x14ac:dyDescent="0.25">
      <c r="A63" s="307" t="s">
        <v>426</v>
      </c>
      <c r="B63" s="308"/>
      <c r="C63" s="39"/>
      <c r="D63" s="388">
        <v>170000</v>
      </c>
      <c r="E63" s="46" t="s">
        <v>427</v>
      </c>
      <c r="G63" s="262"/>
      <c r="H63" s="262"/>
    </row>
    <row r="64" spans="1:8" ht="33.950000000000003" customHeight="1" x14ac:dyDescent="0.25">
      <c r="A64" s="307" t="s">
        <v>422</v>
      </c>
      <c r="B64" s="308"/>
      <c r="C64" s="39"/>
      <c r="D64" s="388">
        <v>170000</v>
      </c>
      <c r="E64" s="46" t="s">
        <v>413</v>
      </c>
      <c r="G64" s="262"/>
      <c r="H64" s="262"/>
    </row>
    <row r="65" spans="1:8" ht="33.950000000000003" customHeight="1" x14ac:dyDescent="0.25">
      <c r="A65" s="309" t="s">
        <v>469</v>
      </c>
      <c r="B65" s="310"/>
      <c r="C65" s="39"/>
      <c r="D65" s="389">
        <v>150000</v>
      </c>
      <c r="E65" s="144" t="s">
        <v>387</v>
      </c>
      <c r="G65" s="262"/>
      <c r="H65" s="262"/>
    </row>
    <row r="66" spans="1:8" ht="33.950000000000003" customHeight="1" x14ac:dyDescent="0.25">
      <c r="A66" s="309" t="s">
        <v>391</v>
      </c>
      <c r="B66" s="310"/>
      <c r="C66" s="39"/>
      <c r="D66" s="389">
        <v>820000</v>
      </c>
      <c r="E66" s="144" t="s">
        <v>376</v>
      </c>
      <c r="G66" s="262"/>
      <c r="H66" s="262"/>
    </row>
    <row r="67" spans="1:8" ht="31.5" customHeight="1" x14ac:dyDescent="0.25">
      <c r="A67" s="309" t="s">
        <v>400</v>
      </c>
      <c r="B67" s="310"/>
      <c r="C67" s="39"/>
      <c r="D67" s="389">
        <v>200000</v>
      </c>
      <c r="E67" s="144" t="s">
        <v>387</v>
      </c>
      <c r="G67" s="262"/>
      <c r="H67" s="262"/>
    </row>
    <row r="68" spans="1:8" ht="15.75" thickBot="1" x14ac:dyDescent="0.3">
      <c r="A68" s="278" t="s">
        <v>186</v>
      </c>
      <c r="B68" s="66"/>
      <c r="C68" s="66"/>
      <c r="D68" s="66"/>
      <c r="E68" s="81">
        <f>SUM(D47:D67)</f>
        <v>16392017.369999999</v>
      </c>
    </row>
    <row r="69" spans="1:8" ht="15.75" thickBot="1" x14ac:dyDescent="0.3">
      <c r="A69" s="13" t="s">
        <v>187</v>
      </c>
      <c r="B69" s="285"/>
      <c r="C69" s="14"/>
      <c r="D69" s="11"/>
      <c r="E69" s="44"/>
    </row>
    <row r="70" spans="1:8" ht="33.6" customHeight="1" x14ac:dyDescent="0.25">
      <c r="A70" s="307" t="s">
        <v>431</v>
      </c>
      <c r="B70" s="308"/>
      <c r="C70" s="39"/>
      <c r="D70" s="388">
        <v>178789.97</v>
      </c>
      <c r="E70" s="144" t="s">
        <v>387</v>
      </c>
    </row>
    <row r="71" spans="1:8" ht="36" customHeight="1" x14ac:dyDescent="0.25">
      <c r="A71" s="307" t="s">
        <v>375</v>
      </c>
      <c r="B71" s="308"/>
      <c r="C71" s="39"/>
      <c r="D71" s="388">
        <v>175000</v>
      </c>
      <c r="E71" s="146" t="s">
        <v>434</v>
      </c>
    </row>
    <row r="72" spans="1:8" ht="34.5" customHeight="1" x14ac:dyDescent="0.25">
      <c r="A72" s="307" t="s">
        <v>395</v>
      </c>
      <c r="B72" s="308"/>
      <c r="C72" s="39"/>
      <c r="D72" s="388">
        <v>250000</v>
      </c>
      <c r="E72" s="146" t="s">
        <v>394</v>
      </c>
    </row>
    <row r="73" spans="1:8" ht="37.5" customHeight="1" x14ac:dyDescent="0.25">
      <c r="A73" s="307" t="s">
        <v>409</v>
      </c>
      <c r="B73" s="308"/>
      <c r="C73" s="39"/>
      <c r="D73" s="388">
        <v>134900</v>
      </c>
      <c r="E73" s="46" t="s">
        <v>408</v>
      </c>
    </row>
    <row r="74" spans="1:8" ht="37.5" customHeight="1" x14ac:dyDescent="0.25">
      <c r="A74" s="307" t="s">
        <v>433</v>
      </c>
      <c r="B74" s="308"/>
      <c r="C74" s="39"/>
      <c r="D74" s="388">
        <v>310000</v>
      </c>
      <c r="E74" s="46" t="s">
        <v>434</v>
      </c>
    </row>
    <row r="75" spans="1:8" ht="30" customHeight="1" x14ac:dyDescent="0.25">
      <c r="A75" s="309" t="s">
        <v>388</v>
      </c>
      <c r="B75" s="310"/>
      <c r="C75" s="39"/>
      <c r="D75" s="388">
        <v>104687</v>
      </c>
      <c r="E75" s="146" t="s">
        <v>387</v>
      </c>
    </row>
    <row r="76" spans="1:8" ht="30" customHeight="1" x14ac:dyDescent="0.25">
      <c r="A76" s="309" t="s">
        <v>386</v>
      </c>
      <c r="B76" s="310"/>
      <c r="C76" s="39"/>
      <c r="D76" s="388">
        <v>75114.45</v>
      </c>
      <c r="E76" s="146" t="s">
        <v>376</v>
      </c>
    </row>
    <row r="77" spans="1:8" ht="30" customHeight="1" x14ac:dyDescent="0.25">
      <c r="A77" s="309" t="s">
        <v>435</v>
      </c>
      <c r="B77" s="310"/>
      <c r="C77" s="280"/>
      <c r="D77" s="388">
        <v>12141</v>
      </c>
      <c r="E77" s="147" t="s">
        <v>376</v>
      </c>
    </row>
    <row r="78" spans="1:8" ht="30" customHeight="1" x14ac:dyDescent="0.25">
      <c r="A78" s="309" t="s">
        <v>471</v>
      </c>
      <c r="B78" s="310"/>
      <c r="C78" s="280"/>
      <c r="D78" s="388">
        <v>285396.43</v>
      </c>
      <c r="E78" s="46" t="s">
        <v>434</v>
      </c>
    </row>
    <row r="79" spans="1:8" ht="30" customHeight="1" x14ac:dyDescent="0.25">
      <c r="A79" s="309" t="s">
        <v>443</v>
      </c>
      <c r="B79" s="310"/>
      <c r="C79" s="280"/>
      <c r="D79" s="388">
        <v>56785.98</v>
      </c>
      <c r="E79" s="257" t="s">
        <v>427</v>
      </c>
    </row>
    <row r="80" spans="1:8" ht="30" customHeight="1" x14ac:dyDescent="0.25">
      <c r="A80" s="309" t="s">
        <v>444</v>
      </c>
      <c r="B80" s="310"/>
      <c r="C80" s="280"/>
      <c r="D80" s="388">
        <v>648796.9</v>
      </c>
      <c r="E80" s="147" t="s">
        <v>445</v>
      </c>
    </row>
    <row r="81" spans="1:7" ht="30" customHeight="1" x14ac:dyDescent="0.25">
      <c r="A81" s="309" t="s">
        <v>425</v>
      </c>
      <c r="B81" s="310"/>
      <c r="C81" s="280"/>
      <c r="D81" s="388">
        <v>5222.92</v>
      </c>
      <c r="E81" s="146" t="s">
        <v>394</v>
      </c>
    </row>
    <row r="82" spans="1:7" ht="30" customHeight="1" x14ac:dyDescent="0.25">
      <c r="A82" s="309" t="s">
        <v>446</v>
      </c>
      <c r="B82" s="310"/>
      <c r="C82" s="280"/>
      <c r="D82" s="388">
        <v>185000</v>
      </c>
      <c r="E82" s="146" t="s">
        <v>447</v>
      </c>
    </row>
    <row r="83" spans="1:7" ht="30" customHeight="1" x14ac:dyDescent="0.25">
      <c r="A83" s="307" t="s">
        <v>402</v>
      </c>
      <c r="B83" s="308"/>
      <c r="C83" s="39"/>
      <c r="D83" s="141">
        <v>3000</v>
      </c>
      <c r="E83" s="146" t="s">
        <v>403</v>
      </c>
    </row>
    <row r="84" spans="1:7" ht="30" customHeight="1" x14ac:dyDescent="0.25">
      <c r="A84" s="307" t="s">
        <v>405</v>
      </c>
      <c r="B84" s="308"/>
      <c r="C84" s="39"/>
      <c r="D84" s="388">
        <v>476240</v>
      </c>
      <c r="E84" s="146" t="s">
        <v>420</v>
      </c>
    </row>
    <row r="85" spans="1:7" ht="30.75" customHeight="1" x14ac:dyDescent="0.25">
      <c r="A85" s="307" t="s">
        <v>404</v>
      </c>
      <c r="B85" s="308"/>
      <c r="C85" s="39"/>
      <c r="D85" s="141">
        <v>3780</v>
      </c>
      <c r="E85" s="146" t="s">
        <v>403</v>
      </c>
    </row>
    <row r="86" spans="1:7" ht="15.75" thickBot="1" x14ac:dyDescent="0.3">
      <c r="A86" s="286" t="s">
        <v>188</v>
      </c>
      <c r="B86" s="286"/>
      <c r="C86" s="286"/>
      <c r="D86" s="67"/>
      <c r="E86" s="252">
        <f>SUM(D70:D85)</f>
        <v>2904854.65</v>
      </c>
    </row>
    <row r="87" spans="1:7" x14ac:dyDescent="0.25">
      <c r="A87" s="13" t="s">
        <v>12</v>
      </c>
      <c r="B87" s="13"/>
      <c r="C87" s="13"/>
      <c r="D87" s="15"/>
      <c r="E87" s="41"/>
    </row>
    <row r="88" spans="1:7" ht="45.6" customHeight="1" x14ac:dyDescent="0.25">
      <c r="A88" s="309" t="s">
        <v>470</v>
      </c>
      <c r="B88" s="310"/>
      <c r="C88" s="39"/>
      <c r="D88" s="387">
        <v>1780000</v>
      </c>
      <c r="E88" s="306" t="s">
        <v>295</v>
      </c>
    </row>
    <row r="89" spans="1:7" ht="15.75" thickBot="1" x14ac:dyDescent="0.3">
      <c r="A89" s="278" t="s">
        <v>154</v>
      </c>
      <c r="B89" s="278"/>
      <c r="C89" s="278"/>
      <c r="D89" s="63"/>
      <c r="E89" s="253">
        <f>SUM(D88:D88)</f>
        <v>1780000</v>
      </c>
    </row>
    <row r="90" spans="1:7" ht="15.75" thickBot="1" x14ac:dyDescent="0.3">
      <c r="A90" s="13" t="s">
        <v>7</v>
      </c>
      <c r="B90" s="285"/>
      <c r="C90" s="14"/>
      <c r="D90" s="11"/>
      <c r="E90" s="44"/>
    </row>
    <row r="91" spans="1:7" x14ac:dyDescent="0.25">
      <c r="A91" s="39" t="s">
        <v>22</v>
      </c>
      <c r="B91" s="39"/>
      <c r="C91" s="39"/>
      <c r="D91" s="267">
        <f>89813.13+3892.72+1295401.62</f>
        <v>1389107.4700000002</v>
      </c>
      <c r="E91" s="46"/>
    </row>
    <row r="92" spans="1:7" x14ac:dyDescent="0.25">
      <c r="A92" s="39" t="s">
        <v>23</v>
      </c>
      <c r="B92" s="39"/>
      <c r="C92" s="39"/>
      <c r="D92" s="267">
        <v>44400</v>
      </c>
      <c r="E92" s="45"/>
    </row>
    <row r="93" spans="1:7" x14ac:dyDescent="0.25">
      <c r="A93" s="287" t="s">
        <v>155</v>
      </c>
      <c r="B93" s="287"/>
      <c r="C93" s="287"/>
      <c r="D93" s="82"/>
      <c r="E93" s="256">
        <f>SUM(D91:D92)</f>
        <v>1433507.4700000002</v>
      </c>
    </row>
    <row r="94" spans="1:7" x14ac:dyDescent="0.25">
      <c r="A94" s="39"/>
      <c r="B94" s="39"/>
      <c r="C94" s="39"/>
      <c r="D94" s="39"/>
      <c r="E94" s="84"/>
    </row>
    <row r="95" spans="1:7" x14ac:dyDescent="0.25">
      <c r="A95" s="39"/>
      <c r="B95" s="39"/>
      <c r="C95" s="39"/>
      <c r="D95" s="39"/>
      <c r="E95" s="84"/>
      <c r="F95" s="25"/>
      <c r="G95" s="59"/>
    </row>
    <row r="96" spans="1:7" ht="15.75" thickBot="1" x14ac:dyDescent="0.3">
      <c r="A96" s="288" t="s">
        <v>8</v>
      </c>
      <c r="B96" s="289"/>
      <c r="C96" s="83"/>
      <c r="D96" s="83"/>
      <c r="E96" s="132">
        <f>(SUM(E29:E94))</f>
        <v>70158740.229999989</v>
      </c>
      <c r="F96" s="58"/>
    </row>
    <row r="97" spans="1:6" x14ac:dyDescent="0.25">
      <c r="A97" s="47"/>
      <c r="B97" s="47"/>
      <c r="C97" s="47"/>
      <c r="D97" s="47"/>
      <c r="E97" s="47"/>
    </row>
    <row r="98" spans="1:6" x14ac:dyDescent="0.25">
      <c r="A98" s="47"/>
      <c r="B98" s="47"/>
      <c r="C98" s="47"/>
      <c r="D98" s="47"/>
      <c r="E98" s="47"/>
    </row>
    <row r="99" spans="1:6" x14ac:dyDescent="0.25">
      <c r="A99" s="290" t="s">
        <v>9</v>
      </c>
      <c r="B99" s="62"/>
      <c r="C99" s="62"/>
      <c r="D99" s="62"/>
      <c r="E99" s="62"/>
    </row>
    <row r="100" spans="1:6" ht="31.5" customHeight="1" x14ac:dyDescent="0.25">
      <c r="A100" s="313" t="s">
        <v>269</v>
      </c>
      <c r="B100" s="314"/>
      <c r="C100" s="39"/>
      <c r="D100" s="391">
        <v>59651.94</v>
      </c>
      <c r="E100" s="39" t="s">
        <v>418</v>
      </c>
    </row>
    <row r="101" spans="1:6" ht="30" customHeight="1" x14ac:dyDescent="0.25">
      <c r="A101" s="307" t="s">
        <v>472</v>
      </c>
      <c r="B101" s="308"/>
      <c r="C101" s="39"/>
      <c r="D101" s="61">
        <v>0</v>
      </c>
      <c r="E101" s="39"/>
    </row>
    <row r="102" spans="1:6" ht="38.25" customHeight="1" x14ac:dyDescent="0.25">
      <c r="A102" s="307" t="s">
        <v>199</v>
      </c>
      <c r="B102" s="308"/>
      <c r="C102" s="39"/>
      <c r="D102" s="391">
        <v>5668.02</v>
      </c>
      <c r="E102" s="39" t="str">
        <f>E100</f>
        <v>Debito autom.</v>
      </c>
    </row>
    <row r="103" spans="1:6" ht="33.75" customHeight="1" x14ac:dyDescent="0.25">
      <c r="A103" s="307" t="s">
        <v>198</v>
      </c>
      <c r="B103" s="308"/>
      <c r="C103" s="39"/>
      <c r="D103" s="61">
        <v>32649.38</v>
      </c>
      <c r="E103" s="39" t="s">
        <v>442</v>
      </c>
    </row>
    <row r="104" spans="1:6" x14ac:dyDescent="0.25">
      <c r="A104" s="290" t="s">
        <v>4</v>
      </c>
      <c r="B104" s="62"/>
      <c r="C104" s="62"/>
      <c r="D104" s="62"/>
      <c r="E104" s="254">
        <f>SUM(D100:D103)</f>
        <v>97969.340000000011</v>
      </c>
    </row>
    <row r="105" spans="1:6" ht="15.75" thickBot="1" x14ac:dyDescent="0.3">
      <c r="A105" s="47"/>
      <c r="B105" s="47"/>
      <c r="C105" s="47"/>
      <c r="D105" s="47"/>
      <c r="E105" s="47"/>
    </row>
    <row r="106" spans="1:6" x14ac:dyDescent="0.25">
      <c r="A106" s="291" t="s">
        <v>21</v>
      </c>
      <c r="B106" s="292"/>
      <c r="C106" s="293"/>
      <c r="D106" s="76"/>
      <c r="E106" s="77"/>
    </row>
    <row r="107" spans="1:6" ht="34.5" customHeight="1" x14ac:dyDescent="0.25">
      <c r="A107" s="309" t="s">
        <v>414</v>
      </c>
      <c r="B107" s="310"/>
      <c r="C107" s="39"/>
      <c r="D107" s="390">
        <v>15451039</v>
      </c>
      <c r="E107" s="43" t="s">
        <v>413</v>
      </c>
      <c r="F107" s="25">
        <f>15541039-D107</f>
        <v>90000</v>
      </c>
    </row>
    <row r="108" spans="1:6" ht="36" customHeight="1" x14ac:dyDescent="0.25">
      <c r="A108" s="309" t="s">
        <v>466</v>
      </c>
      <c r="B108" s="310"/>
      <c r="C108" s="39"/>
      <c r="D108" s="390">
        <v>2149900</v>
      </c>
      <c r="E108" s="43" t="s">
        <v>413</v>
      </c>
    </row>
    <row r="109" spans="1:6" ht="43.5" customHeight="1" x14ac:dyDescent="0.25">
      <c r="A109" s="309" t="s">
        <v>398</v>
      </c>
      <c r="B109" s="310"/>
      <c r="C109" s="284"/>
      <c r="D109" s="389">
        <v>16863793.07</v>
      </c>
      <c r="E109" s="46" t="s">
        <v>399</v>
      </c>
    </row>
    <row r="110" spans="1:6" ht="45" customHeight="1" x14ac:dyDescent="0.25">
      <c r="A110" s="307" t="s">
        <v>384</v>
      </c>
      <c r="B110" s="308"/>
      <c r="C110" s="39"/>
      <c r="D110" s="390">
        <v>8035496.3799999999</v>
      </c>
      <c r="E110" s="147" t="s">
        <v>389</v>
      </c>
    </row>
    <row r="111" spans="1:6" ht="33.75" customHeight="1" x14ac:dyDescent="0.25">
      <c r="A111" s="307"/>
      <c r="B111" s="308"/>
      <c r="C111" s="39"/>
      <c r="D111" s="141"/>
      <c r="E111" s="46"/>
    </row>
    <row r="112" spans="1:6" ht="15.75" thickBot="1" x14ac:dyDescent="0.3">
      <c r="A112" s="294"/>
      <c r="B112" s="295"/>
      <c r="C112" s="296"/>
      <c r="D112" s="92"/>
      <c r="E112" s="93"/>
    </row>
    <row r="113" spans="1:5" ht="15.75" thickBot="1" x14ac:dyDescent="0.3">
      <c r="A113" s="297" t="s">
        <v>4</v>
      </c>
      <c r="B113" s="298"/>
      <c r="C113" s="298"/>
      <c r="D113" s="299"/>
      <c r="E113" s="255">
        <f>SUM(D107:D112)</f>
        <v>42500228.450000003</v>
      </c>
    </row>
    <row r="114" spans="1:5" ht="15" customHeight="1" x14ac:dyDescent="0.25">
      <c r="A114" s="47"/>
      <c r="B114" s="47"/>
      <c r="C114" s="47"/>
      <c r="D114" s="47"/>
      <c r="E114" s="47"/>
    </row>
    <row r="115" spans="1:5" ht="15.75" hidden="1" thickBot="1" x14ac:dyDescent="0.3">
      <c r="A115" s="47"/>
      <c r="B115" s="47"/>
      <c r="C115" s="47"/>
      <c r="D115" s="47"/>
      <c r="E115" s="47"/>
    </row>
    <row r="116" spans="1:5" ht="15.75" thickBot="1" x14ac:dyDescent="0.3">
      <c r="A116" s="47"/>
      <c r="B116" s="47"/>
      <c r="C116" s="47"/>
      <c r="D116" s="47"/>
      <c r="E116" s="47"/>
    </row>
    <row r="117" spans="1:5" ht="15.75" thickBot="1" x14ac:dyDescent="0.3">
      <c r="A117" s="297" t="s">
        <v>13</v>
      </c>
      <c r="B117" s="300"/>
      <c r="C117" s="301"/>
      <c r="D117" s="301"/>
      <c r="E117" s="302">
        <f>E113</f>
        <v>42500228.450000003</v>
      </c>
    </row>
    <row r="118" spans="1:5" ht="15.75" thickBot="1" x14ac:dyDescent="0.3">
      <c r="A118" s="47"/>
      <c r="B118" s="47"/>
      <c r="C118" s="47"/>
      <c r="D118" s="47"/>
      <c r="E118" s="47"/>
    </row>
    <row r="119" spans="1:5" x14ac:dyDescent="0.25">
      <c r="A119" s="303" t="s">
        <v>196</v>
      </c>
      <c r="B119" s="304"/>
      <c r="C119" s="305"/>
      <c r="D119" s="85"/>
      <c r="E119" s="86"/>
    </row>
    <row r="120" spans="1:5" ht="30" customHeight="1" x14ac:dyDescent="0.25">
      <c r="A120" s="316" t="s">
        <v>421</v>
      </c>
      <c r="B120" s="316"/>
      <c r="C120" s="39"/>
      <c r="D120" s="389">
        <f>599624</f>
        <v>599624</v>
      </c>
      <c r="E120" s="43" t="str">
        <f>E27</f>
        <v>Transf 06/08</v>
      </c>
    </row>
    <row r="121" spans="1:5" ht="30" customHeight="1" x14ac:dyDescent="0.25">
      <c r="A121" s="307" t="s">
        <v>415</v>
      </c>
      <c r="B121" s="308"/>
      <c r="C121" s="39"/>
      <c r="D121" s="389">
        <v>82593.56</v>
      </c>
      <c r="E121" s="43" t="s">
        <v>413</v>
      </c>
    </row>
    <row r="122" spans="1:5" ht="30" customHeight="1" x14ac:dyDescent="0.25">
      <c r="A122" s="307" t="s">
        <v>416</v>
      </c>
      <c r="B122" s="308"/>
      <c r="C122" s="39"/>
      <c r="D122" s="389">
        <v>82593.56</v>
      </c>
      <c r="E122" s="43" t="s">
        <v>413</v>
      </c>
    </row>
    <row r="123" spans="1:5" x14ac:dyDescent="0.25">
      <c r="A123" s="210" t="s">
        <v>4</v>
      </c>
      <c r="B123" s="258"/>
      <c r="C123" s="258"/>
      <c r="D123" s="259"/>
      <c r="E123" s="260">
        <f>SUM(D120:D122)</f>
        <v>764811.12000000011</v>
      </c>
    </row>
    <row r="126" spans="1:5" ht="15.75" thickBot="1" x14ac:dyDescent="0.3"/>
    <row r="127" spans="1:5" ht="15.75" thickBot="1" x14ac:dyDescent="0.3">
      <c r="A127" s="87" t="s">
        <v>197</v>
      </c>
      <c r="B127" s="88"/>
      <c r="C127" s="89"/>
      <c r="D127" s="89"/>
      <c r="E127" s="90">
        <f>E123</f>
        <v>764811.12000000011</v>
      </c>
    </row>
    <row r="129" spans="1:5" ht="15.75" thickBot="1" x14ac:dyDescent="0.3"/>
    <row r="130" spans="1:5" ht="15.75" thickBot="1" x14ac:dyDescent="0.3">
      <c r="A130" s="37" t="s">
        <v>189</v>
      </c>
      <c r="B130" s="38">
        <f>E96</f>
        <v>70158740.229999989</v>
      </c>
    </row>
    <row r="131" spans="1:5" ht="15.75" thickBot="1" x14ac:dyDescent="0.3">
      <c r="A131" s="37" t="s">
        <v>21</v>
      </c>
      <c r="B131" s="38">
        <f>E117</f>
        <v>42500228.450000003</v>
      </c>
    </row>
    <row r="132" spans="1:5" ht="15.75" thickBot="1" x14ac:dyDescent="0.3">
      <c r="A132" s="68" t="s">
        <v>156</v>
      </c>
      <c r="B132" s="69">
        <f>E104</f>
        <v>97969.340000000011</v>
      </c>
    </row>
    <row r="133" spans="1:5" ht="34.5" customHeight="1" thickBot="1" x14ac:dyDescent="0.3">
      <c r="A133" s="79" t="s">
        <v>246</v>
      </c>
      <c r="B133" s="69">
        <f>B132+B130</f>
        <v>70256709.569999993</v>
      </c>
    </row>
    <row r="134" spans="1:5" ht="73.5" customHeight="1" x14ac:dyDescent="0.25">
      <c r="A134" s="329" t="s">
        <v>484</v>
      </c>
      <c r="B134" s="329"/>
    </row>
    <row r="135" spans="1:5" x14ac:dyDescent="0.25">
      <c r="A135" s="26" t="s">
        <v>256</v>
      </c>
      <c r="B135" s="53"/>
      <c r="C135" s="6"/>
    </row>
    <row r="136" spans="1:5" x14ac:dyDescent="0.25">
      <c r="A136" s="12" t="s">
        <v>249</v>
      </c>
      <c r="B136" s="108">
        <v>86876529.280000001</v>
      </c>
      <c r="C136" s="8"/>
    </row>
    <row r="137" spans="1:5" x14ac:dyDescent="0.25">
      <c r="A137" s="7" t="s">
        <v>250</v>
      </c>
      <c r="B137" s="22">
        <f>PRORRATEO!F159</f>
        <v>116266658.58999999</v>
      </c>
      <c r="C137" s="6"/>
    </row>
    <row r="138" spans="1:5" ht="36.75" customHeight="1" x14ac:dyDescent="0.25">
      <c r="A138" s="10" t="s">
        <v>262</v>
      </c>
      <c r="B138" s="45">
        <f>B187</f>
        <v>4060000</v>
      </c>
      <c r="C138" s="6"/>
    </row>
    <row r="139" spans="1:5" x14ac:dyDescent="0.25">
      <c r="A139" s="50" t="s">
        <v>473</v>
      </c>
      <c r="B139" s="28">
        <v>-24158</v>
      </c>
      <c r="C139" s="6"/>
      <c r="E139" s="58"/>
    </row>
    <row r="140" spans="1:5" x14ac:dyDescent="0.25">
      <c r="A140" s="50" t="s">
        <v>474</v>
      </c>
      <c r="B140" s="28">
        <v>-86157</v>
      </c>
      <c r="C140" s="6"/>
      <c r="E140" s="58"/>
    </row>
    <row r="141" spans="1:5" x14ac:dyDescent="0.25">
      <c r="A141" s="50" t="s">
        <v>475</v>
      </c>
      <c r="B141" s="28">
        <v>-49554.260128800001</v>
      </c>
      <c r="C141" s="6"/>
      <c r="E141" s="58"/>
    </row>
    <row r="142" spans="1:5" x14ac:dyDescent="0.25">
      <c r="A142" s="50" t="s">
        <v>476</v>
      </c>
      <c r="B142" s="28">
        <v>-41427</v>
      </c>
      <c r="C142" s="6"/>
      <c r="E142" s="58"/>
    </row>
    <row r="143" spans="1:5" x14ac:dyDescent="0.25">
      <c r="A143" s="50" t="s">
        <v>477</v>
      </c>
      <c r="B143" s="28">
        <v>-41427</v>
      </c>
      <c r="C143" s="6"/>
      <c r="E143" s="58"/>
    </row>
    <row r="144" spans="1:5" x14ac:dyDescent="0.25">
      <c r="A144" s="50" t="s">
        <v>478</v>
      </c>
      <c r="B144" s="28">
        <f>-(38364-16756)</f>
        <v>-21608</v>
      </c>
      <c r="C144" s="6"/>
      <c r="E144" s="58"/>
    </row>
    <row r="145" spans="1:6" x14ac:dyDescent="0.25">
      <c r="A145" s="50" t="s">
        <v>479</v>
      </c>
      <c r="B145" s="28">
        <v>-42761</v>
      </c>
      <c r="C145" s="6"/>
      <c r="E145" s="58"/>
    </row>
    <row r="146" spans="1:6" x14ac:dyDescent="0.25">
      <c r="A146" s="50" t="s">
        <v>480</v>
      </c>
      <c r="B146" s="28">
        <v>-31338</v>
      </c>
      <c r="C146" s="6"/>
      <c r="E146" s="58"/>
    </row>
    <row r="147" spans="1:6" x14ac:dyDescent="0.25">
      <c r="A147" s="50" t="s">
        <v>481</v>
      </c>
      <c r="B147" s="28">
        <v>-23575</v>
      </c>
      <c r="C147" s="6"/>
      <c r="E147" s="58"/>
    </row>
    <row r="148" spans="1:6" x14ac:dyDescent="0.25">
      <c r="A148" s="50" t="s">
        <v>482</v>
      </c>
      <c r="B148" s="28">
        <v>-41858</v>
      </c>
      <c r="C148" s="6"/>
      <c r="E148" s="58"/>
    </row>
    <row r="149" spans="1:6" x14ac:dyDescent="0.25">
      <c r="A149" s="50" t="s">
        <v>483</v>
      </c>
      <c r="B149" s="28">
        <v>-21360</v>
      </c>
      <c r="C149" s="6"/>
      <c r="E149" s="58"/>
    </row>
    <row r="150" spans="1:6" x14ac:dyDescent="0.25">
      <c r="A150" s="50" t="s">
        <v>195</v>
      </c>
      <c r="B150" s="28">
        <f>-E127</f>
        <v>-764811.12000000011</v>
      </c>
      <c r="C150" s="6"/>
    </row>
    <row r="151" spans="1:6" x14ac:dyDescent="0.25">
      <c r="A151" s="21" t="s">
        <v>157</v>
      </c>
      <c r="B151" s="28">
        <f>-E104</f>
        <v>-97969.340000000011</v>
      </c>
      <c r="C151" s="6"/>
    </row>
    <row r="152" spans="1:6" x14ac:dyDescent="0.25">
      <c r="A152" s="21" t="s">
        <v>14</v>
      </c>
      <c r="B152" s="28">
        <f>-E96</f>
        <v>-70158740.229999989</v>
      </c>
      <c r="C152" s="6"/>
      <c r="D152" s="58"/>
      <c r="E152" s="58"/>
    </row>
    <row r="153" spans="1:6" x14ac:dyDescent="0.25">
      <c r="A153" s="21" t="s">
        <v>453</v>
      </c>
      <c r="B153" s="28">
        <v>-2055315</v>
      </c>
      <c r="C153" s="6"/>
    </row>
    <row r="154" spans="1:6" ht="25.5" x14ac:dyDescent="0.25">
      <c r="A154" s="21" t="s">
        <v>455</v>
      </c>
      <c r="B154" s="28">
        <v>-2111121</v>
      </c>
      <c r="C154" s="6"/>
      <c r="F154" s="58"/>
    </row>
    <row r="155" spans="1:6" x14ac:dyDescent="0.25">
      <c r="A155" s="21" t="s">
        <v>458</v>
      </c>
      <c r="B155" s="28">
        <v>-620000</v>
      </c>
      <c r="C155" s="6"/>
      <c r="E155" s="54"/>
    </row>
    <row r="156" spans="1:6" x14ac:dyDescent="0.25">
      <c r="A156" s="21" t="s">
        <v>453</v>
      </c>
      <c r="B156" s="28">
        <v>-763674.15</v>
      </c>
      <c r="C156" s="6"/>
      <c r="E156" s="54"/>
    </row>
    <row r="157" spans="1:6" x14ac:dyDescent="0.25">
      <c r="A157" s="21" t="s">
        <v>453</v>
      </c>
      <c r="B157" s="28">
        <v>-200000</v>
      </c>
      <c r="C157" s="6"/>
      <c r="E157" s="54"/>
    </row>
    <row r="158" spans="1:6" x14ac:dyDescent="0.25">
      <c r="A158" s="21" t="s">
        <v>453</v>
      </c>
      <c r="B158" s="28">
        <v>-200000</v>
      </c>
      <c r="C158" s="6"/>
      <c r="E158" s="54"/>
    </row>
    <row r="159" spans="1:6" x14ac:dyDescent="0.25">
      <c r="A159" s="21" t="s">
        <v>453</v>
      </c>
      <c r="B159" s="28">
        <v>-120000</v>
      </c>
      <c r="C159" s="6"/>
      <c r="E159" s="54"/>
    </row>
    <row r="160" spans="1:6" x14ac:dyDescent="0.25">
      <c r="A160" s="21" t="s">
        <v>453</v>
      </c>
      <c r="B160" s="28">
        <v>-180000</v>
      </c>
      <c r="C160" s="6"/>
      <c r="E160" s="58"/>
    </row>
    <row r="161" spans="1:6" x14ac:dyDescent="0.25">
      <c r="A161" s="21" t="s">
        <v>461</v>
      </c>
      <c r="B161" s="28">
        <v>-150760</v>
      </c>
      <c r="C161" s="6"/>
      <c r="E161" s="58"/>
    </row>
    <row r="162" spans="1:6" x14ac:dyDescent="0.25">
      <c r="A162" s="21" t="s">
        <v>462</v>
      </c>
      <c r="B162" s="28">
        <v>-150760</v>
      </c>
      <c r="C162" s="6"/>
      <c r="E162" s="58"/>
    </row>
    <row r="163" spans="1:6" ht="42" customHeight="1" x14ac:dyDescent="0.25">
      <c r="A163" s="21" t="s">
        <v>255</v>
      </c>
      <c r="B163" s="45">
        <f>-B170</f>
        <v>39429.380000000005</v>
      </c>
      <c r="C163" s="6"/>
      <c r="E163" s="58"/>
      <c r="F163" s="58"/>
    </row>
    <row r="164" spans="1:6" x14ac:dyDescent="0.25">
      <c r="A164" s="10" t="s">
        <v>291</v>
      </c>
      <c r="B164" s="28">
        <f>-E117</f>
        <v>-42500228.450000003</v>
      </c>
      <c r="C164" s="6"/>
      <c r="E164" s="58"/>
    </row>
    <row r="165" spans="1:6" x14ac:dyDescent="0.25">
      <c r="A165" s="56" t="s">
        <v>4</v>
      </c>
      <c r="B165" s="57">
        <f>SUM(B136:B164)</f>
        <v>86744014.699871197</v>
      </c>
      <c r="C165" s="9"/>
      <c r="D165" s="25"/>
      <c r="E165" s="58"/>
      <c r="F165" s="58"/>
    </row>
    <row r="166" spans="1:6" ht="21" customHeight="1" x14ac:dyDescent="0.25">
      <c r="B166" s="23"/>
      <c r="C166" s="9"/>
      <c r="D166" s="25"/>
      <c r="E166" s="54"/>
      <c r="F166" s="139"/>
    </row>
    <row r="167" spans="1:6" x14ac:dyDescent="0.25">
      <c r="B167" s="23"/>
      <c r="C167" s="9"/>
      <c r="D167" s="25"/>
      <c r="E167" s="54"/>
      <c r="F167" s="139"/>
    </row>
    <row r="168" spans="1:6" x14ac:dyDescent="0.25">
      <c r="A168" s="130" t="s">
        <v>254</v>
      </c>
      <c r="B168" s="131">
        <v>0</v>
      </c>
      <c r="C168" s="9"/>
      <c r="D168" s="25"/>
      <c r="E168" s="54"/>
      <c r="F168" s="55"/>
    </row>
    <row r="169" spans="1:6" ht="72.75" customHeight="1" x14ac:dyDescent="0.25">
      <c r="A169" s="268" t="s">
        <v>296</v>
      </c>
      <c r="B169" s="269">
        <f>-D103-D85-D83</f>
        <v>-39429.380000000005</v>
      </c>
      <c r="C169" s="9"/>
      <c r="D169" s="25"/>
      <c r="E169" s="54"/>
      <c r="F169" s="55"/>
    </row>
    <row r="170" spans="1:6" x14ac:dyDescent="0.25">
      <c r="A170" s="130" t="s">
        <v>4</v>
      </c>
      <c r="B170" s="131">
        <f>SUM(B168:B169)</f>
        <v>-39429.380000000005</v>
      </c>
      <c r="C170" s="9"/>
      <c r="D170" s="25"/>
      <c r="E170" s="54"/>
      <c r="F170" s="55"/>
    </row>
    <row r="171" spans="1:6" ht="15.75" thickBot="1" x14ac:dyDescent="0.3">
      <c r="B171" s="23"/>
      <c r="C171" s="9"/>
      <c r="D171" s="25"/>
      <c r="E171" s="54"/>
      <c r="F171" s="55"/>
    </row>
    <row r="172" spans="1:6" x14ac:dyDescent="0.25">
      <c r="A172" s="109" t="s">
        <v>247</v>
      </c>
      <c r="B172" s="110"/>
      <c r="C172" s="9"/>
      <c r="D172" s="25"/>
      <c r="E172" s="54"/>
      <c r="F172" s="55"/>
    </row>
    <row r="173" spans="1:6" x14ac:dyDescent="0.25">
      <c r="A173" s="122" t="s">
        <v>253</v>
      </c>
      <c r="B173" s="123">
        <v>30000000</v>
      </c>
      <c r="C173" s="9"/>
      <c r="D173" s="25"/>
      <c r="E173" s="54"/>
      <c r="F173" s="55"/>
    </row>
    <row r="174" spans="1:6" x14ac:dyDescent="0.25">
      <c r="A174" s="1"/>
      <c r="B174" s="17"/>
      <c r="C174" s="9"/>
      <c r="D174" s="25"/>
      <c r="E174" s="54"/>
      <c r="F174" s="55"/>
    </row>
    <row r="175" spans="1:6" x14ac:dyDescent="0.25">
      <c r="A175" s="1"/>
      <c r="B175" s="17"/>
      <c r="C175" s="9"/>
      <c r="D175" s="25"/>
      <c r="E175" s="54"/>
      <c r="F175" s="55"/>
    </row>
    <row r="176" spans="1:6" ht="15.75" thickBot="1" x14ac:dyDescent="0.3">
      <c r="A176" s="111" t="s">
        <v>459</v>
      </c>
      <c r="B176" s="140">
        <v>33976598.18</v>
      </c>
      <c r="C176" s="9"/>
      <c r="D176" s="25"/>
      <c r="E176" s="54"/>
      <c r="F176" s="55"/>
    </row>
    <row r="177" spans="1:13" x14ac:dyDescent="0.25">
      <c r="B177" s="23"/>
      <c r="C177" s="9"/>
      <c r="D177" s="25"/>
      <c r="E177" s="54"/>
      <c r="F177" s="55"/>
    </row>
    <row r="178" spans="1:13" x14ac:dyDescent="0.25">
      <c r="B178" s="23"/>
      <c r="C178" s="9"/>
      <c r="D178" s="25"/>
      <c r="E178" s="54"/>
      <c r="F178" s="55"/>
    </row>
    <row r="179" spans="1:13" x14ac:dyDescent="0.25">
      <c r="B179" s="23"/>
      <c r="C179" s="9"/>
      <c r="D179" s="25"/>
      <c r="E179" s="54"/>
      <c r="F179" s="55"/>
    </row>
    <row r="180" spans="1:13" x14ac:dyDescent="0.25">
      <c r="A180" s="315" t="s">
        <v>17</v>
      </c>
      <c r="B180" s="315"/>
      <c r="C180" s="315"/>
    </row>
    <row r="181" spans="1:13" x14ac:dyDescent="0.25">
      <c r="A181" s="315"/>
      <c r="B181" s="315"/>
      <c r="C181" s="315"/>
    </row>
    <row r="182" spans="1:13" ht="33.75" customHeight="1" x14ac:dyDescent="0.25">
      <c r="A182" s="106" t="s">
        <v>463</v>
      </c>
      <c r="B182" s="61">
        <v>1980000</v>
      </c>
      <c r="C182" s="105"/>
    </row>
    <row r="183" spans="1:13" ht="33.75" customHeight="1" x14ac:dyDescent="0.25">
      <c r="A183" s="106" t="s">
        <v>464</v>
      </c>
      <c r="B183" s="61">
        <v>1400000</v>
      </c>
      <c r="C183" s="105"/>
    </row>
    <row r="184" spans="1:13" ht="33.75" customHeight="1" x14ac:dyDescent="0.25">
      <c r="A184" s="106" t="s">
        <v>465</v>
      </c>
      <c r="B184" s="61">
        <v>200000</v>
      </c>
      <c r="C184" s="105"/>
    </row>
    <row r="185" spans="1:13" ht="33.75" customHeight="1" x14ac:dyDescent="0.25">
      <c r="A185" s="106" t="s">
        <v>465</v>
      </c>
      <c r="B185" s="61">
        <v>300000</v>
      </c>
      <c r="C185" s="105"/>
    </row>
    <row r="186" spans="1:13" ht="33.75" customHeight="1" x14ac:dyDescent="0.25">
      <c r="A186" s="106" t="s">
        <v>465</v>
      </c>
      <c r="B186" s="61">
        <v>180000</v>
      </c>
      <c r="C186" s="105"/>
    </row>
    <row r="187" spans="1:13" x14ac:dyDescent="0.25">
      <c r="A187" s="26" t="s">
        <v>4</v>
      </c>
      <c r="B187" s="48">
        <f>SUM(B182:B186)</f>
        <v>4060000</v>
      </c>
      <c r="C187" s="27"/>
    </row>
    <row r="188" spans="1:13" x14ac:dyDescent="0.25">
      <c r="M188" s="3"/>
    </row>
  </sheetData>
  <mergeCells count="67">
    <mergeCell ref="A134:B134"/>
    <mergeCell ref="A9:E11"/>
    <mergeCell ref="A14:E17"/>
    <mergeCell ref="A27:B27"/>
    <mergeCell ref="A47:B47"/>
    <mergeCell ref="A59:B59"/>
    <mergeCell ref="A43:B43"/>
    <mergeCell ref="A51:B51"/>
    <mergeCell ref="A49:B49"/>
    <mergeCell ref="A53:B53"/>
    <mergeCell ref="A55:B55"/>
    <mergeCell ref="A56:B56"/>
    <mergeCell ref="A50:B50"/>
    <mergeCell ref="A85:B85"/>
    <mergeCell ref="A23:B23"/>
    <mergeCell ref="A48:B48"/>
    <mergeCell ref="A84:B84"/>
    <mergeCell ref="A54:B54"/>
    <mergeCell ref="A70:B70"/>
    <mergeCell ref="A37:B37"/>
    <mergeCell ref="A40:B40"/>
    <mergeCell ref="A44:B44"/>
    <mergeCell ref="A79:B79"/>
    <mergeCell ref="A82:B82"/>
    <mergeCell ref="A75:B75"/>
    <mergeCell ref="A71:B71"/>
    <mergeCell ref="A72:B72"/>
    <mergeCell ref="A73:B73"/>
    <mergeCell ref="A74:B74"/>
    <mergeCell ref="A78:B78"/>
    <mergeCell ref="B3:E3"/>
    <mergeCell ref="B1:E1"/>
    <mergeCell ref="B2:E2"/>
    <mergeCell ref="B7:E7"/>
    <mergeCell ref="A1:A7"/>
    <mergeCell ref="A180:C181"/>
    <mergeCell ref="A120:B120"/>
    <mergeCell ref="A52:B52"/>
    <mergeCell ref="A66:B66"/>
    <mergeCell ref="A77:B77"/>
    <mergeCell ref="A64:B64"/>
    <mergeCell ref="A76:B76"/>
    <mergeCell ref="A109:B109"/>
    <mergeCell ref="A111:B111"/>
    <mergeCell ref="A62:B62"/>
    <mergeCell ref="A63:B63"/>
    <mergeCell ref="A110:B110"/>
    <mergeCell ref="A81:B81"/>
    <mergeCell ref="A67:B67"/>
    <mergeCell ref="A108:B108"/>
    <mergeCell ref="A88:B88"/>
    <mergeCell ref="A121:B121"/>
    <mergeCell ref="A122:B122"/>
    <mergeCell ref="A38:B38"/>
    <mergeCell ref="A39:B39"/>
    <mergeCell ref="A61:B61"/>
    <mergeCell ref="A60:B60"/>
    <mergeCell ref="A57:B57"/>
    <mergeCell ref="A58:B58"/>
    <mergeCell ref="A107:B107"/>
    <mergeCell ref="A100:B100"/>
    <mergeCell ref="A102:B102"/>
    <mergeCell ref="A103:B103"/>
    <mergeCell ref="A83:B83"/>
    <mergeCell ref="A80:B80"/>
    <mergeCell ref="A65:B65"/>
    <mergeCell ref="A101:B101"/>
  </mergeCells>
  <pageMargins left="0.25" right="0.25"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6"/>
  <sheetViews>
    <sheetView topLeftCell="B31" zoomScale="80" zoomScaleNormal="80" workbookViewId="0">
      <selection activeCell="H62" sqref="H62"/>
    </sheetView>
  </sheetViews>
  <sheetFormatPr baseColWidth="10" defaultColWidth="10.85546875" defaultRowHeight="15" x14ac:dyDescent="0.25"/>
  <cols>
    <col min="1" max="1" width="4.28515625" hidden="1" customWidth="1"/>
    <col min="2" max="2" width="4.28515625" customWidth="1"/>
    <col min="3" max="3" width="25.7109375" customWidth="1"/>
    <col min="4" max="4" width="8.140625" customWidth="1"/>
    <col min="5" max="5" width="14.140625" customWidth="1"/>
    <col min="6" max="6" width="12.42578125" customWidth="1"/>
    <col min="7" max="7" width="11.7109375" customWidth="1"/>
    <col min="8" max="8" width="9.5703125" customWidth="1"/>
    <col min="9" max="9" width="13.28515625" customWidth="1"/>
    <col min="10" max="10" width="6" hidden="1" customWidth="1"/>
    <col min="11" max="11" width="14" customWidth="1"/>
    <col min="12" max="12" width="13" customWidth="1"/>
    <col min="13" max="13" width="15" customWidth="1"/>
    <col min="14" max="15" width="12.7109375" customWidth="1"/>
    <col min="16" max="16" width="14.7109375" customWidth="1"/>
    <col min="17" max="17" width="5.28515625" customWidth="1"/>
    <col min="18" max="18" width="0.140625" customWidth="1"/>
    <col min="19" max="19" width="12" bestFit="1" customWidth="1"/>
    <col min="20" max="20" width="13" bestFit="1" customWidth="1"/>
    <col min="23" max="23" width="16" bestFit="1" customWidth="1"/>
    <col min="24" max="24" width="11.85546875" bestFit="1" customWidth="1"/>
  </cols>
  <sheetData>
    <row r="1" spans="1:23" ht="27.75" customHeight="1" x14ac:dyDescent="0.25">
      <c r="A1" s="2"/>
      <c r="B1" s="2"/>
      <c r="C1" s="124"/>
      <c r="D1" s="348"/>
      <c r="E1" s="348"/>
      <c r="F1" s="353"/>
      <c r="G1" s="353"/>
      <c r="H1" s="125"/>
      <c r="I1" s="125"/>
      <c r="J1" s="125"/>
      <c r="K1" s="349"/>
      <c r="L1" s="349"/>
      <c r="M1" s="125"/>
      <c r="N1" s="125" t="s">
        <v>150</v>
      </c>
      <c r="O1" s="126"/>
      <c r="P1" s="353">
        <v>30000000</v>
      </c>
      <c r="Q1" s="353"/>
      <c r="R1" s="5"/>
      <c r="S1" s="2"/>
      <c r="U1">
        <v>71243589.649999991</v>
      </c>
    </row>
    <row r="2" spans="1:23" ht="30" customHeight="1" thickBot="1" x14ac:dyDescent="0.3">
      <c r="A2" s="2"/>
      <c r="B2" s="2"/>
      <c r="C2" s="355" t="s">
        <v>245</v>
      </c>
      <c r="D2" s="355"/>
      <c r="E2" s="355"/>
      <c r="F2" s="125"/>
      <c r="G2" s="352">
        <f>W2</f>
        <v>23535900</v>
      </c>
      <c r="H2" s="352"/>
      <c r="I2" s="125" t="s">
        <v>467</v>
      </c>
      <c r="J2" s="125"/>
      <c r="K2" s="352">
        <v>69000000</v>
      </c>
      <c r="L2" s="352"/>
      <c r="M2" s="127"/>
      <c r="N2" s="128" t="s">
        <v>294</v>
      </c>
      <c r="O2" s="127"/>
      <c r="P2" s="354">
        <v>0</v>
      </c>
      <c r="Q2" s="354"/>
      <c r="S2" s="2"/>
      <c r="T2" t="s">
        <v>248</v>
      </c>
      <c r="W2" s="58">
        <f>((K2+P2)*D144)+((K2+P2)*D145)</f>
        <v>23535900</v>
      </c>
    </row>
    <row r="3" spans="1:23" ht="43.5" customHeight="1" x14ac:dyDescent="0.25">
      <c r="A3" s="360" t="s">
        <v>0</v>
      </c>
      <c r="B3" s="362" t="s">
        <v>1</v>
      </c>
      <c r="C3" s="362" t="s">
        <v>2</v>
      </c>
      <c r="D3" s="362" t="s">
        <v>6</v>
      </c>
      <c r="E3" s="350" t="s">
        <v>190</v>
      </c>
      <c r="F3" s="362" t="s">
        <v>3</v>
      </c>
      <c r="G3" s="364" t="s">
        <v>16</v>
      </c>
      <c r="H3" s="350" t="s">
        <v>251</v>
      </c>
      <c r="I3" s="350" t="s">
        <v>15</v>
      </c>
      <c r="J3" s="350"/>
      <c r="K3" s="350" t="s">
        <v>191</v>
      </c>
      <c r="L3" s="350" t="s">
        <v>151</v>
      </c>
      <c r="M3" s="350" t="s">
        <v>193</v>
      </c>
      <c r="N3" s="350" t="s">
        <v>192</v>
      </c>
      <c r="O3" s="350" t="s">
        <v>290</v>
      </c>
      <c r="P3" s="356" t="s">
        <v>252</v>
      </c>
      <c r="Q3" s="357"/>
      <c r="S3" s="350" t="s">
        <v>292</v>
      </c>
      <c r="T3" s="25"/>
    </row>
    <row r="4" spans="1:23" ht="44.25" customHeight="1" x14ac:dyDescent="0.25">
      <c r="A4" s="361"/>
      <c r="B4" s="363"/>
      <c r="C4" s="363"/>
      <c r="D4" s="363"/>
      <c r="E4" s="351"/>
      <c r="F4" s="363"/>
      <c r="G4" s="365"/>
      <c r="H4" s="351"/>
      <c r="I4" s="351"/>
      <c r="J4" s="351"/>
      <c r="K4" s="351"/>
      <c r="L4" s="351"/>
      <c r="M4" s="351"/>
      <c r="N4" s="351"/>
      <c r="O4" s="351"/>
      <c r="P4" s="358"/>
      <c r="Q4" s="359"/>
      <c r="S4" s="351"/>
    </row>
    <row r="5" spans="1:23" ht="24.95" customHeight="1" x14ac:dyDescent="0.25">
      <c r="A5" s="30"/>
      <c r="B5" s="30">
        <v>1</v>
      </c>
      <c r="C5" s="29" t="s">
        <v>24</v>
      </c>
      <c r="D5" s="32">
        <v>4.5999999999999999E-3</v>
      </c>
      <c r="E5" s="263">
        <v>665352.01</v>
      </c>
      <c r="F5" s="264">
        <f>E5</f>
        <v>665352.01</v>
      </c>
      <c r="G5" s="94">
        <f t="shared" ref="G5:G68" si="0">E5-F5</f>
        <v>0</v>
      </c>
      <c r="H5" s="34">
        <f>IF(G5&gt;0,G5*3.087%,0)</f>
        <v>0</v>
      </c>
      <c r="I5" s="35">
        <f>K$2*D5</f>
        <v>317400</v>
      </c>
      <c r="J5" s="35">
        <f t="shared" ref="J5:J36" si="1">P$2*D5</f>
        <v>0</v>
      </c>
      <c r="K5" s="35">
        <f>G$2*0.675675676%</f>
        <v>159026.35142768399</v>
      </c>
      <c r="L5" s="35">
        <f>P$1*0.675675676%</f>
        <v>202702.7028</v>
      </c>
      <c r="M5" s="35">
        <f>G$1*D5</f>
        <v>0</v>
      </c>
      <c r="N5" s="120">
        <v>0</v>
      </c>
      <c r="O5" s="120"/>
      <c r="P5" s="343">
        <f t="shared" ref="P5:P36" si="2">ROUND(SUM(G5:O5),0) + R5</f>
        <v>679129.01</v>
      </c>
      <c r="Q5" s="343"/>
      <c r="R5" s="25">
        <f t="shared" ref="R5:R36" si="3">ROUND(0.001+B5/100,2)</f>
        <v>0.01</v>
      </c>
      <c r="S5" s="1">
        <f>B5</f>
        <v>1</v>
      </c>
      <c r="T5" t="s">
        <v>230</v>
      </c>
    </row>
    <row r="6" spans="1:23" ht="24.95" customHeight="1" x14ac:dyDescent="0.25">
      <c r="A6" s="30"/>
      <c r="B6" s="30">
        <f>B5+1</f>
        <v>2</v>
      </c>
      <c r="C6" s="29" t="s">
        <v>25</v>
      </c>
      <c r="D6" s="32">
        <v>4.5999999999999999E-3</v>
      </c>
      <c r="E6" s="263">
        <v>1712716.02</v>
      </c>
      <c r="F6" s="264"/>
      <c r="G6" s="94">
        <f t="shared" si="0"/>
        <v>1712716.02</v>
      </c>
      <c r="H6" s="34">
        <f>IF(G6&gt;0,G6*3.087%,0)</f>
        <v>52871.543537400001</v>
      </c>
      <c r="I6" s="35">
        <f t="shared" ref="I6:I37" si="4">K$2*D6</f>
        <v>317400</v>
      </c>
      <c r="J6" s="35">
        <f t="shared" si="1"/>
        <v>0</v>
      </c>
      <c r="K6" s="35">
        <f t="shared" ref="K6:K69" si="5">G$2*0.675675676%</f>
        <v>159026.35142768399</v>
      </c>
      <c r="L6" s="35">
        <f t="shared" ref="L6:L69" si="6">P$1*0.675675676%</f>
        <v>202702.7028</v>
      </c>
      <c r="M6" s="35">
        <f t="shared" ref="M6:M69" si="7">G$1*D6</f>
        <v>0</v>
      </c>
      <c r="N6" s="120">
        <v>0</v>
      </c>
      <c r="O6" s="120"/>
      <c r="P6" s="343">
        <f t="shared" si="2"/>
        <v>2444717.02</v>
      </c>
      <c r="Q6" s="343"/>
      <c r="R6" s="25">
        <f t="shared" si="3"/>
        <v>0.02</v>
      </c>
      <c r="S6" s="1">
        <f t="shared" ref="S6:S69" si="8">B6</f>
        <v>2</v>
      </c>
    </row>
    <row r="7" spans="1:23" ht="24.95" customHeight="1" x14ac:dyDescent="0.25">
      <c r="A7" s="30"/>
      <c r="B7" s="30">
        <f t="shared" ref="B7:B36" si="9">B6+1</f>
        <v>3</v>
      </c>
      <c r="C7" s="29" t="s">
        <v>26</v>
      </c>
      <c r="D7" s="32">
        <v>4.5999999999999999E-3</v>
      </c>
      <c r="E7" s="263">
        <v>665352.03</v>
      </c>
      <c r="F7" s="264">
        <f>E7</f>
        <v>665352.03</v>
      </c>
      <c r="G7" s="94">
        <f t="shared" si="0"/>
        <v>0</v>
      </c>
      <c r="H7" s="34">
        <f t="shared" ref="H7:H70" si="10">IF(G7&gt;0,G7*3.087%,0)</f>
        <v>0</v>
      </c>
      <c r="I7" s="35">
        <f t="shared" si="4"/>
        <v>317400</v>
      </c>
      <c r="J7" s="35">
        <f t="shared" si="1"/>
        <v>0</v>
      </c>
      <c r="K7" s="35">
        <f t="shared" si="5"/>
        <v>159026.35142768399</v>
      </c>
      <c r="L7" s="35">
        <f t="shared" si="6"/>
        <v>202702.7028</v>
      </c>
      <c r="M7" s="35">
        <f t="shared" si="7"/>
        <v>0</v>
      </c>
      <c r="N7" s="120">
        <v>0</v>
      </c>
      <c r="O7" s="120"/>
      <c r="P7" s="343">
        <f t="shared" si="2"/>
        <v>679129.03</v>
      </c>
      <c r="Q7" s="343"/>
      <c r="R7" s="25">
        <f t="shared" si="3"/>
        <v>0.03</v>
      </c>
      <c r="S7" s="1">
        <f t="shared" si="8"/>
        <v>3</v>
      </c>
      <c r="U7" t="s">
        <v>213</v>
      </c>
    </row>
    <row r="8" spans="1:23" ht="24.95" customHeight="1" x14ac:dyDescent="0.25">
      <c r="A8" s="30"/>
      <c r="B8" s="30">
        <f t="shared" si="9"/>
        <v>4</v>
      </c>
      <c r="C8" s="29" t="s">
        <v>173</v>
      </c>
      <c r="D8" s="32">
        <v>4.7000000000000002E-3</v>
      </c>
      <c r="E8" s="263">
        <v>687953.04</v>
      </c>
      <c r="F8" s="264">
        <f>E8</f>
        <v>687953.04</v>
      </c>
      <c r="G8" s="94">
        <f t="shared" si="0"/>
        <v>0</v>
      </c>
      <c r="H8" s="34">
        <f t="shared" si="10"/>
        <v>0</v>
      </c>
      <c r="I8" s="35">
        <f t="shared" si="4"/>
        <v>324300</v>
      </c>
      <c r="J8" s="35">
        <f t="shared" si="1"/>
        <v>0</v>
      </c>
      <c r="K8" s="35">
        <f t="shared" si="5"/>
        <v>159026.35142768399</v>
      </c>
      <c r="L8" s="35">
        <f t="shared" si="6"/>
        <v>202702.7028</v>
      </c>
      <c r="M8" s="35">
        <f t="shared" si="7"/>
        <v>0</v>
      </c>
      <c r="N8" s="120">
        <v>0</v>
      </c>
      <c r="O8" s="120"/>
      <c r="P8" s="343">
        <f t="shared" si="2"/>
        <v>686029.04</v>
      </c>
      <c r="Q8" s="343"/>
      <c r="R8" s="25">
        <f t="shared" si="3"/>
        <v>0.04</v>
      </c>
      <c r="S8" s="1">
        <f t="shared" si="8"/>
        <v>4</v>
      </c>
      <c r="T8" t="s">
        <v>311</v>
      </c>
    </row>
    <row r="9" spans="1:23" ht="24.95" customHeight="1" x14ac:dyDescent="0.25">
      <c r="A9" s="30"/>
      <c r="B9" s="30">
        <f t="shared" si="9"/>
        <v>5</v>
      </c>
      <c r="C9" s="29" t="s">
        <v>27</v>
      </c>
      <c r="D9" s="32">
        <v>4.7000000000000002E-3</v>
      </c>
      <c r="E9" s="263">
        <v>672052.05</v>
      </c>
      <c r="F9" s="264">
        <f>E9</f>
        <v>672052.05</v>
      </c>
      <c r="G9" s="94">
        <f t="shared" si="0"/>
        <v>0</v>
      </c>
      <c r="H9" s="34">
        <f t="shared" si="10"/>
        <v>0</v>
      </c>
      <c r="I9" s="35">
        <f t="shared" si="4"/>
        <v>324300</v>
      </c>
      <c r="J9" s="35">
        <f t="shared" si="1"/>
        <v>0</v>
      </c>
      <c r="K9" s="35">
        <f t="shared" si="5"/>
        <v>159026.35142768399</v>
      </c>
      <c r="L9" s="35">
        <f t="shared" si="6"/>
        <v>202702.7028</v>
      </c>
      <c r="M9" s="35">
        <f t="shared" si="7"/>
        <v>0</v>
      </c>
      <c r="N9" s="120">
        <v>0</v>
      </c>
      <c r="O9" s="120"/>
      <c r="P9" s="343">
        <f t="shared" si="2"/>
        <v>686029.05</v>
      </c>
      <c r="Q9" s="343"/>
      <c r="R9" s="25">
        <f t="shared" si="3"/>
        <v>0.05</v>
      </c>
      <c r="S9" s="1">
        <f t="shared" si="8"/>
        <v>5</v>
      </c>
    </row>
    <row r="10" spans="1:23" ht="24.95" customHeight="1" x14ac:dyDescent="0.25">
      <c r="A10" s="30"/>
      <c r="B10" s="30">
        <f t="shared" si="9"/>
        <v>6</v>
      </c>
      <c r="C10" s="29" t="s">
        <v>28</v>
      </c>
      <c r="D10" s="32">
        <v>4.4999999999999997E-3</v>
      </c>
      <c r="E10" s="263">
        <v>658651.06000000006</v>
      </c>
      <c r="F10" s="264">
        <f>E10</f>
        <v>658651.06000000006</v>
      </c>
      <c r="G10" s="94">
        <f t="shared" si="0"/>
        <v>0</v>
      </c>
      <c r="H10" s="34">
        <f t="shared" si="10"/>
        <v>0</v>
      </c>
      <c r="I10" s="35">
        <f t="shared" si="4"/>
        <v>310500</v>
      </c>
      <c r="J10" s="35">
        <f t="shared" si="1"/>
        <v>0</v>
      </c>
      <c r="K10" s="35">
        <f t="shared" si="5"/>
        <v>159026.35142768399</v>
      </c>
      <c r="L10" s="35">
        <f t="shared" si="6"/>
        <v>202702.7028</v>
      </c>
      <c r="M10" s="35">
        <f t="shared" si="7"/>
        <v>0</v>
      </c>
      <c r="N10" s="120">
        <v>0</v>
      </c>
      <c r="O10" s="120"/>
      <c r="P10" s="343">
        <f t="shared" si="2"/>
        <v>672229.06</v>
      </c>
      <c r="Q10" s="343"/>
      <c r="R10" s="25">
        <f t="shared" si="3"/>
        <v>0.06</v>
      </c>
      <c r="S10" s="1">
        <f t="shared" si="8"/>
        <v>6</v>
      </c>
      <c r="U10" t="s">
        <v>203</v>
      </c>
    </row>
    <row r="11" spans="1:23" ht="24.95" customHeight="1" x14ac:dyDescent="0.25">
      <c r="A11" s="30"/>
      <c r="B11" s="30">
        <f t="shared" si="9"/>
        <v>7</v>
      </c>
      <c r="C11" s="29" t="s">
        <v>29</v>
      </c>
      <c r="D11" s="32">
        <v>4.3E-3</v>
      </c>
      <c r="E11" s="263">
        <v>1337245.07</v>
      </c>
      <c r="F11" s="264">
        <f>670000+680000</f>
        <v>1350000</v>
      </c>
      <c r="G11" s="94">
        <f t="shared" si="0"/>
        <v>-12754.929999999935</v>
      </c>
      <c r="H11" s="34">
        <f t="shared" si="10"/>
        <v>0</v>
      </c>
      <c r="I11" s="35">
        <f t="shared" si="4"/>
        <v>296700</v>
      </c>
      <c r="J11" s="35">
        <f t="shared" si="1"/>
        <v>0</v>
      </c>
      <c r="K11" s="35">
        <f t="shared" si="5"/>
        <v>159026.35142768399</v>
      </c>
      <c r="L11" s="35">
        <f t="shared" si="6"/>
        <v>202702.7028</v>
      </c>
      <c r="M11" s="35">
        <f t="shared" si="7"/>
        <v>0</v>
      </c>
      <c r="N11" s="120">
        <v>0</v>
      </c>
      <c r="O11" s="120"/>
      <c r="P11" s="343">
        <f t="shared" si="2"/>
        <v>645674.06999999995</v>
      </c>
      <c r="Q11" s="343"/>
      <c r="R11" s="25">
        <f t="shared" si="3"/>
        <v>7.0000000000000007E-2</v>
      </c>
      <c r="S11" s="1">
        <f t="shared" si="8"/>
        <v>7</v>
      </c>
      <c r="T11" t="s">
        <v>276</v>
      </c>
    </row>
    <row r="12" spans="1:23" ht="24.95" customHeight="1" x14ac:dyDescent="0.25">
      <c r="A12" s="30"/>
      <c r="B12" s="30">
        <f t="shared" si="9"/>
        <v>8</v>
      </c>
      <c r="C12" s="29" t="s">
        <v>30</v>
      </c>
      <c r="D12" s="32">
        <v>4.7000000000000002E-3</v>
      </c>
      <c r="E12" s="263">
        <v>671974.08</v>
      </c>
      <c r="F12" s="264">
        <f>E12</f>
        <v>671974.08</v>
      </c>
      <c r="G12" s="94">
        <f t="shared" si="0"/>
        <v>0</v>
      </c>
      <c r="H12" s="34">
        <f t="shared" si="10"/>
        <v>0</v>
      </c>
      <c r="I12" s="35">
        <f t="shared" si="4"/>
        <v>324300</v>
      </c>
      <c r="J12" s="35">
        <f t="shared" si="1"/>
        <v>0</v>
      </c>
      <c r="K12" s="35">
        <f t="shared" si="5"/>
        <v>159026.35142768399</v>
      </c>
      <c r="L12" s="35">
        <f t="shared" si="6"/>
        <v>202702.7028</v>
      </c>
      <c r="M12" s="35">
        <f t="shared" si="7"/>
        <v>0</v>
      </c>
      <c r="N12" s="120">
        <v>0</v>
      </c>
      <c r="O12" s="120"/>
      <c r="P12" s="343">
        <f t="shared" si="2"/>
        <v>686029.08</v>
      </c>
      <c r="Q12" s="343"/>
      <c r="R12" s="25">
        <f t="shared" si="3"/>
        <v>0.08</v>
      </c>
      <c r="S12" s="1">
        <f t="shared" si="8"/>
        <v>8</v>
      </c>
      <c r="T12" t="s">
        <v>283</v>
      </c>
    </row>
    <row r="13" spans="1:23" ht="24.95" customHeight="1" x14ac:dyDescent="0.25">
      <c r="A13" s="30"/>
      <c r="B13" s="30">
        <f t="shared" si="9"/>
        <v>9</v>
      </c>
      <c r="C13" s="29" t="s">
        <v>31</v>
      </c>
      <c r="D13" s="32">
        <v>4.7000000000000002E-3</v>
      </c>
      <c r="E13" s="263">
        <v>4421406.09</v>
      </c>
      <c r="F13" s="264">
        <f>1000000+1000000+1500000</f>
        <v>3500000</v>
      </c>
      <c r="G13" s="94">
        <f t="shared" si="0"/>
        <v>921406.08999999985</v>
      </c>
      <c r="H13" s="34">
        <f t="shared" si="10"/>
        <v>28443.805998299998</v>
      </c>
      <c r="I13" s="35">
        <f t="shared" si="4"/>
        <v>324300</v>
      </c>
      <c r="J13" s="35">
        <f t="shared" si="1"/>
        <v>0</v>
      </c>
      <c r="K13" s="35">
        <f t="shared" si="5"/>
        <v>159026.35142768399</v>
      </c>
      <c r="L13" s="35">
        <f t="shared" si="6"/>
        <v>202702.7028</v>
      </c>
      <c r="M13" s="35">
        <v>59274</v>
      </c>
      <c r="N13" s="120">
        <f>(I13+K13)/2</f>
        <v>241663.17571384198</v>
      </c>
      <c r="O13" s="120"/>
      <c r="P13" s="343">
        <f t="shared" si="2"/>
        <v>1936816.09</v>
      </c>
      <c r="Q13" s="343"/>
      <c r="R13" s="25">
        <f t="shared" si="3"/>
        <v>0.09</v>
      </c>
      <c r="S13" s="1">
        <f t="shared" si="8"/>
        <v>9</v>
      </c>
    </row>
    <row r="14" spans="1:23" ht="24.95" customHeight="1" x14ac:dyDescent="0.25">
      <c r="A14" s="30"/>
      <c r="B14" s="30">
        <f t="shared" si="9"/>
        <v>10</v>
      </c>
      <c r="C14" s="29" t="s">
        <v>32</v>
      </c>
      <c r="D14" s="32">
        <v>4.7000000000000002E-3</v>
      </c>
      <c r="E14" s="263">
        <v>672052.1</v>
      </c>
      <c r="F14" s="264">
        <f>E14</f>
        <v>672052.1</v>
      </c>
      <c r="G14" s="94">
        <f t="shared" si="0"/>
        <v>0</v>
      </c>
      <c r="H14" s="34">
        <f t="shared" si="10"/>
        <v>0</v>
      </c>
      <c r="I14" s="35">
        <f t="shared" si="4"/>
        <v>324300</v>
      </c>
      <c r="J14" s="35">
        <f t="shared" si="1"/>
        <v>0</v>
      </c>
      <c r="K14" s="35">
        <f t="shared" si="5"/>
        <v>159026.35142768399</v>
      </c>
      <c r="L14" s="35">
        <f t="shared" si="6"/>
        <v>202702.7028</v>
      </c>
      <c r="M14" s="35">
        <f t="shared" si="7"/>
        <v>0</v>
      </c>
      <c r="N14" s="120">
        <v>0</v>
      </c>
      <c r="O14" s="120"/>
      <c r="P14" s="343">
        <f t="shared" si="2"/>
        <v>686029.1</v>
      </c>
      <c r="Q14" s="343"/>
      <c r="R14" s="25">
        <f t="shared" si="3"/>
        <v>0.1</v>
      </c>
      <c r="S14" s="1">
        <f t="shared" si="8"/>
        <v>10</v>
      </c>
      <c r="T14" t="s">
        <v>261</v>
      </c>
    </row>
    <row r="15" spans="1:23" ht="24.95" customHeight="1" x14ac:dyDescent="0.25">
      <c r="A15" s="30"/>
      <c r="B15" s="29">
        <f t="shared" si="9"/>
        <v>11</v>
      </c>
      <c r="C15" s="29" t="s">
        <v>33</v>
      </c>
      <c r="D15" s="136">
        <v>4.7000000000000002E-3</v>
      </c>
      <c r="E15" s="265">
        <v>-27946.89</v>
      </c>
      <c r="F15" s="264">
        <f>-700000+672053.11</f>
        <v>-27946.890000000014</v>
      </c>
      <c r="G15" s="95">
        <f t="shared" si="0"/>
        <v>0</v>
      </c>
      <c r="H15" s="137">
        <f t="shared" si="10"/>
        <v>0</v>
      </c>
      <c r="I15" s="120">
        <f t="shared" si="4"/>
        <v>324300</v>
      </c>
      <c r="J15" s="120">
        <f t="shared" si="1"/>
        <v>0</v>
      </c>
      <c r="K15" s="120">
        <f t="shared" si="5"/>
        <v>159026.35142768399</v>
      </c>
      <c r="L15" s="120">
        <f t="shared" si="6"/>
        <v>202702.7028</v>
      </c>
      <c r="M15" s="120">
        <f t="shared" si="7"/>
        <v>0</v>
      </c>
      <c r="N15" s="120">
        <v>0</v>
      </c>
      <c r="O15" s="120"/>
      <c r="P15" s="347">
        <f t="shared" si="2"/>
        <v>686029.11</v>
      </c>
      <c r="Q15" s="347"/>
      <c r="R15" s="138">
        <f t="shared" si="3"/>
        <v>0.11</v>
      </c>
      <c r="S15" s="91">
        <f t="shared" si="8"/>
        <v>11</v>
      </c>
      <c r="T15" t="s">
        <v>301</v>
      </c>
    </row>
    <row r="16" spans="1:23" ht="24.95" customHeight="1" x14ac:dyDescent="0.25">
      <c r="A16" s="30"/>
      <c r="B16" s="29">
        <f t="shared" si="9"/>
        <v>12</v>
      </c>
      <c r="C16" s="29" t="s">
        <v>34</v>
      </c>
      <c r="D16" s="136">
        <v>4.3E-3</v>
      </c>
      <c r="E16" s="265">
        <v>1926403.12</v>
      </c>
      <c r="F16" s="264">
        <f>700000+21608</f>
        <v>721608</v>
      </c>
      <c r="G16" s="95">
        <f t="shared" si="0"/>
        <v>1204795.1200000001</v>
      </c>
      <c r="H16" s="137">
        <f t="shared" si="10"/>
        <v>37192.025354400008</v>
      </c>
      <c r="I16" s="120">
        <f t="shared" si="4"/>
        <v>296700</v>
      </c>
      <c r="J16" s="120">
        <f t="shared" si="1"/>
        <v>0</v>
      </c>
      <c r="K16" s="120">
        <f t="shared" si="5"/>
        <v>159026.35142768399</v>
      </c>
      <c r="L16" s="120">
        <f t="shared" si="6"/>
        <v>202702.7028</v>
      </c>
      <c r="M16" s="120">
        <f t="shared" si="7"/>
        <v>0</v>
      </c>
      <c r="N16" s="120">
        <v>0</v>
      </c>
      <c r="O16" s="120"/>
      <c r="P16" s="347">
        <f t="shared" si="2"/>
        <v>1900416.12</v>
      </c>
      <c r="Q16" s="347"/>
      <c r="R16" s="138">
        <f t="shared" si="3"/>
        <v>0.12</v>
      </c>
      <c r="S16" s="91">
        <f t="shared" si="8"/>
        <v>12</v>
      </c>
      <c r="T16" t="s">
        <v>287</v>
      </c>
    </row>
    <row r="17" spans="1:21" ht="24.95" customHeight="1" x14ac:dyDescent="0.25">
      <c r="A17" s="30"/>
      <c r="B17" s="29">
        <f t="shared" si="9"/>
        <v>13</v>
      </c>
      <c r="C17" s="29" t="s">
        <v>176</v>
      </c>
      <c r="D17" s="32">
        <v>4.5999999999999999E-3</v>
      </c>
      <c r="E17" s="263">
        <v>954689.13</v>
      </c>
      <c r="F17" s="264">
        <f>E17</f>
        <v>954689.13</v>
      </c>
      <c r="G17" s="94">
        <f t="shared" si="0"/>
        <v>0</v>
      </c>
      <c r="H17" s="34">
        <f t="shared" si="10"/>
        <v>0</v>
      </c>
      <c r="I17" s="35">
        <f t="shared" si="4"/>
        <v>317400</v>
      </c>
      <c r="J17" s="35">
        <f t="shared" si="1"/>
        <v>0</v>
      </c>
      <c r="K17" s="35">
        <f t="shared" si="5"/>
        <v>159026.35142768399</v>
      </c>
      <c r="L17" s="35">
        <f t="shared" si="6"/>
        <v>202702.7028</v>
      </c>
      <c r="M17" s="35">
        <v>58013</v>
      </c>
      <c r="N17" s="120">
        <f>(I17+K17)/2</f>
        <v>238213.17571384198</v>
      </c>
      <c r="O17" s="120"/>
      <c r="P17" s="343">
        <f t="shared" si="2"/>
        <v>975355.13</v>
      </c>
      <c r="Q17" s="343"/>
      <c r="R17" s="25">
        <f t="shared" si="3"/>
        <v>0.13</v>
      </c>
      <c r="S17" s="1">
        <f t="shared" si="8"/>
        <v>13</v>
      </c>
    </row>
    <row r="18" spans="1:21" ht="24.95" customHeight="1" x14ac:dyDescent="0.25">
      <c r="A18" s="30"/>
      <c r="B18" s="30">
        <f t="shared" si="9"/>
        <v>14</v>
      </c>
      <c r="C18" s="29" t="s">
        <v>35</v>
      </c>
      <c r="D18" s="32">
        <v>4.7000000000000002E-3</v>
      </c>
      <c r="E18" s="263">
        <v>695292.14</v>
      </c>
      <c r="F18" s="264">
        <f>E18</f>
        <v>695292.14</v>
      </c>
      <c r="G18" s="94">
        <f t="shared" si="0"/>
        <v>0</v>
      </c>
      <c r="H18" s="34">
        <f t="shared" si="10"/>
        <v>0</v>
      </c>
      <c r="I18" s="35">
        <f t="shared" si="4"/>
        <v>324300</v>
      </c>
      <c r="J18" s="35">
        <f t="shared" si="1"/>
        <v>0</v>
      </c>
      <c r="K18" s="35">
        <f t="shared" si="5"/>
        <v>159026.35142768399</v>
      </c>
      <c r="L18" s="35">
        <f t="shared" si="6"/>
        <v>202702.7028</v>
      </c>
      <c r="M18" s="35">
        <f t="shared" si="7"/>
        <v>0</v>
      </c>
      <c r="N18" s="120">
        <v>0</v>
      </c>
      <c r="O18" s="120"/>
      <c r="P18" s="343">
        <f t="shared" si="2"/>
        <v>686029.14</v>
      </c>
      <c r="Q18" s="343"/>
      <c r="R18" s="25">
        <f t="shared" si="3"/>
        <v>0.14000000000000001</v>
      </c>
      <c r="S18" s="1">
        <f t="shared" si="8"/>
        <v>14</v>
      </c>
      <c r="T18" t="s">
        <v>360</v>
      </c>
    </row>
    <row r="19" spans="1:21" ht="24.95" customHeight="1" x14ac:dyDescent="0.25">
      <c r="A19" s="30"/>
      <c r="B19" s="30">
        <f t="shared" si="9"/>
        <v>15</v>
      </c>
      <c r="C19" s="29" t="s">
        <v>36</v>
      </c>
      <c r="D19" s="32">
        <v>4.4000000000000003E-3</v>
      </c>
      <c r="E19" s="263">
        <v>1439200.15</v>
      </c>
      <c r="F19" s="264">
        <f>763674.15+675526.15+23575</f>
        <v>1462775.3</v>
      </c>
      <c r="G19" s="94">
        <f t="shared" si="0"/>
        <v>-23575.15000000014</v>
      </c>
      <c r="H19" s="34">
        <f t="shared" si="10"/>
        <v>0</v>
      </c>
      <c r="I19" s="35">
        <f t="shared" si="4"/>
        <v>303600</v>
      </c>
      <c r="J19" s="35">
        <f t="shared" si="1"/>
        <v>0</v>
      </c>
      <c r="K19" s="35">
        <f t="shared" si="5"/>
        <v>159026.35142768399</v>
      </c>
      <c r="L19" s="35">
        <f t="shared" si="6"/>
        <v>202702.7028</v>
      </c>
      <c r="M19" s="35">
        <f t="shared" si="7"/>
        <v>0</v>
      </c>
      <c r="N19" s="120">
        <v>0</v>
      </c>
      <c r="O19" s="120"/>
      <c r="P19" s="343">
        <f t="shared" si="2"/>
        <v>641754.15</v>
      </c>
      <c r="Q19" s="343"/>
      <c r="R19" s="25">
        <f t="shared" si="3"/>
        <v>0.15</v>
      </c>
      <c r="S19" s="1">
        <f t="shared" si="8"/>
        <v>15</v>
      </c>
      <c r="T19" t="s">
        <v>237</v>
      </c>
    </row>
    <row r="20" spans="1:21" ht="24.95" customHeight="1" x14ac:dyDescent="0.25">
      <c r="A20" s="30"/>
      <c r="B20" s="30">
        <f t="shared" si="9"/>
        <v>16</v>
      </c>
      <c r="C20" s="29" t="s">
        <v>177</v>
      </c>
      <c r="D20" s="32">
        <v>4.5999999999999999E-3</v>
      </c>
      <c r="E20" s="263">
        <v>954689.16</v>
      </c>
      <c r="F20" s="264">
        <f>E20</f>
        <v>954689.16</v>
      </c>
      <c r="G20" s="94">
        <f t="shared" si="0"/>
        <v>0</v>
      </c>
      <c r="H20" s="34">
        <f t="shared" si="10"/>
        <v>0</v>
      </c>
      <c r="I20" s="35">
        <f t="shared" si="4"/>
        <v>317400</v>
      </c>
      <c r="J20" s="35">
        <f t="shared" si="1"/>
        <v>0</v>
      </c>
      <c r="K20" s="35">
        <f t="shared" si="5"/>
        <v>159026.35142768399</v>
      </c>
      <c r="L20" s="35">
        <f t="shared" si="6"/>
        <v>202702.7028</v>
      </c>
      <c r="M20" s="35">
        <v>58013</v>
      </c>
      <c r="N20" s="120">
        <f>(I20+K20)/2</f>
        <v>238213.17571384198</v>
      </c>
      <c r="O20" s="120"/>
      <c r="P20" s="343">
        <f t="shared" si="2"/>
        <v>975355.16</v>
      </c>
      <c r="Q20" s="343"/>
      <c r="R20" s="25">
        <f t="shared" si="3"/>
        <v>0.16</v>
      </c>
      <c r="S20" s="1">
        <f t="shared" si="8"/>
        <v>16</v>
      </c>
    </row>
    <row r="21" spans="1:21" ht="24.95" customHeight="1" x14ac:dyDescent="0.25">
      <c r="A21" s="30"/>
      <c r="B21" s="30">
        <f t="shared" si="9"/>
        <v>17</v>
      </c>
      <c r="C21" s="29" t="s">
        <v>37</v>
      </c>
      <c r="D21" s="32">
        <v>4.5999999999999999E-3</v>
      </c>
      <c r="E21" s="263">
        <v>1365134.17</v>
      </c>
      <c r="F21" s="264">
        <v>765860.17</v>
      </c>
      <c r="G21" s="94">
        <f t="shared" si="0"/>
        <v>599273.99999999988</v>
      </c>
      <c r="H21" s="34">
        <f t="shared" si="10"/>
        <v>18499.588379999997</v>
      </c>
      <c r="I21" s="35">
        <f t="shared" si="4"/>
        <v>317400</v>
      </c>
      <c r="J21" s="35">
        <f t="shared" si="1"/>
        <v>0</v>
      </c>
      <c r="K21" s="35">
        <f t="shared" si="5"/>
        <v>159026.35142768399</v>
      </c>
      <c r="L21" s="35">
        <f t="shared" si="6"/>
        <v>202702.7028</v>
      </c>
      <c r="M21" s="35">
        <f t="shared" si="7"/>
        <v>0</v>
      </c>
      <c r="N21" s="120">
        <v>0</v>
      </c>
      <c r="O21" s="120"/>
      <c r="P21" s="343">
        <f t="shared" si="2"/>
        <v>1296903.17</v>
      </c>
      <c r="Q21" s="343"/>
      <c r="R21" s="25">
        <f t="shared" si="3"/>
        <v>0.17</v>
      </c>
      <c r="S21" s="1">
        <f t="shared" si="8"/>
        <v>17</v>
      </c>
      <c r="T21" t="s">
        <v>224</v>
      </c>
    </row>
    <row r="22" spans="1:21" ht="24.95" customHeight="1" x14ac:dyDescent="0.25">
      <c r="A22" s="30"/>
      <c r="B22" s="30">
        <f t="shared" si="9"/>
        <v>18</v>
      </c>
      <c r="C22" s="29" t="s">
        <v>38</v>
      </c>
      <c r="D22" s="32">
        <v>4.5999999999999999E-3</v>
      </c>
      <c r="E22" s="263">
        <v>665352.18000000005</v>
      </c>
      <c r="F22" s="264">
        <f>E22</f>
        <v>665352.18000000005</v>
      </c>
      <c r="G22" s="94">
        <f t="shared" si="0"/>
        <v>0</v>
      </c>
      <c r="H22" s="34">
        <f t="shared" si="10"/>
        <v>0</v>
      </c>
      <c r="I22" s="35">
        <f t="shared" si="4"/>
        <v>317400</v>
      </c>
      <c r="J22" s="35">
        <f t="shared" si="1"/>
        <v>0</v>
      </c>
      <c r="K22" s="35">
        <f t="shared" si="5"/>
        <v>159026.35142768399</v>
      </c>
      <c r="L22" s="35">
        <f t="shared" si="6"/>
        <v>202702.7028</v>
      </c>
      <c r="M22" s="35">
        <f t="shared" si="7"/>
        <v>0</v>
      </c>
      <c r="N22" s="120">
        <v>0</v>
      </c>
      <c r="O22" s="148"/>
      <c r="P22" s="343">
        <f t="shared" si="2"/>
        <v>679129.18</v>
      </c>
      <c r="Q22" s="343"/>
      <c r="R22" s="25">
        <f t="shared" si="3"/>
        <v>0.18</v>
      </c>
      <c r="S22" s="1">
        <f t="shared" si="8"/>
        <v>18</v>
      </c>
      <c r="T22" t="s">
        <v>215</v>
      </c>
    </row>
    <row r="23" spans="1:21" ht="24.95" customHeight="1" x14ac:dyDescent="0.25">
      <c r="A23" s="30"/>
      <c r="B23" s="30">
        <f t="shared" si="9"/>
        <v>19</v>
      </c>
      <c r="C23" s="29" t="s">
        <v>39</v>
      </c>
      <c r="D23" s="32">
        <v>4.7000000000000002E-3</v>
      </c>
      <c r="E23" s="263">
        <v>672011.19</v>
      </c>
      <c r="F23" s="264">
        <f>E23</f>
        <v>672011.19</v>
      </c>
      <c r="G23" s="94">
        <f t="shared" si="0"/>
        <v>0</v>
      </c>
      <c r="H23" s="34">
        <f t="shared" si="10"/>
        <v>0</v>
      </c>
      <c r="I23" s="35">
        <f t="shared" si="4"/>
        <v>324300</v>
      </c>
      <c r="J23" s="35">
        <f t="shared" si="1"/>
        <v>0</v>
      </c>
      <c r="K23" s="35">
        <f t="shared" si="5"/>
        <v>159026.35142768399</v>
      </c>
      <c r="L23" s="35">
        <f t="shared" si="6"/>
        <v>202702.7028</v>
      </c>
      <c r="M23" s="35">
        <f t="shared" si="7"/>
        <v>0</v>
      </c>
      <c r="N23" s="120">
        <v>0</v>
      </c>
      <c r="O23" s="148"/>
      <c r="P23" s="343">
        <f t="shared" si="2"/>
        <v>686029.19</v>
      </c>
      <c r="Q23" s="343"/>
      <c r="R23" s="25">
        <f t="shared" si="3"/>
        <v>0.19</v>
      </c>
      <c r="S23" s="1">
        <f t="shared" si="8"/>
        <v>19</v>
      </c>
    </row>
    <row r="24" spans="1:21" ht="24.95" customHeight="1" x14ac:dyDescent="0.25">
      <c r="A24" s="30"/>
      <c r="B24" s="29">
        <f t="shared" si="9"/>
        <v>20</v>
      </c>
      <c r="C24" s="29" t="s">
        <v>40</v>
      </c>
      <c r="D24" s="32">
        <v>4.7000000000000002E-3</v>
      </c>
      <c r="E24" s="263">
        <v>672052.2</v>
      </c>
      <c r="F24" s="264">
        <f>E24</f>
        <v>672052.2</v>
      </c>
      <c r="G24" s="94">
        <f t="shared" si="0"/>
        <v>0</v>
      </c>
      <c r="H24" s="34">
        <f t="shared" si="10"/>
        <v>0</v>
      </c>
      <c r="I24" s="35">
        <f t="shared" si="4"/>
        <v>324300</v>
      </c>
      <c r="J24" s="35">
        <f t="shared" si="1"/>
        <v>0</v>
      </c>
      <c r="K24" s="35">
        <f t="shared" si="5"/>
        <v>159026.35142768399</v>
      </c>
      <c r="L24" s="35">
        <f t="shared" si="6"/>
        <v>202702.7028</v>
      </c>
      <c r="M24" s="35">
        <f t="shared" si="7"/>
        <v>0</v>
      </c>
      <c r="N24" s="120">
        <v>0</v>
      </c>
      <c r="O24" s="148"/>
      <c r="P24" s="343">
        <f t="shared" si="2"/>
        <v>686029.2</v>
      </c>
      <c r="Q24" s="343"/>
      <c r="R24" s="25">
        <f t="shared" si="3"/>
        <v>0.2</v>
      </c>
      <c r="S24" s="1">
        <f t="shared" si="8"/>
        <v>20</v>
      </c>
    </row>
    <row r="25" spans="1:21" ht="24.95" customHeight="1" x14ac:dyDescent="0.25">
      <c r="A25" s="30"/>
      <c r="B25" s="29">
        <f t="shared" si="9"/>
        <v>21</v>
      </c>
      <c r="C25" s="29" t="s">
        <v>41</v>
      </c>
      <c r="D25" s="32">
        <v>4.7000000000000002E-3</v>
      </c>
      <c r="E25" s="263">
        <v>672052.21</v>
      </c>
      <c r="F25" s="264"/>
      <c r="G25" s="94">
        <f t="shared" si="0"/>
        <v>672052.21</v>
      </c>
      <c r="H25" s="34">
        <f t="shared" si="10"/>
        <v>20746.251722699999</v>
      </c>
      <c r="I25" s="35">
        <f t="shared" si="4"/>
        <v>324300</v>
      </c>
      <c r="J25" s="35">
        <f t="shared" si="1"/>
        <v>0</v>
      </c>
      <c r="K25" s="35">
        <f t="shared" si="5"/>
        <v>159026.35142768399</v>
      </c>
      <c r="L25" s="35">
        <f t="shared" si="6"/>
        <v>202702.7028</v>
      </c>
      <c r="M25" s="35">
        <f t="shared" si="7"/>
        <v>0</v>
      </c>
      <c r="N25" s="120">
        <v>0</v>
      </c>
      <c r="O25" s="148"/>
      <c r="P25" s="343">
        <f t="shared" si="2"/>
        <v>1378828.21</v>
      </c>
      <c r="Q25" s="343"/>
      <c r="R25" s="25">
        <f t="shared" si="3"/>
        <v>0.21</v>
      </c>
      <c r="S25" s="1">
        <f t="shared" si="8"/>
        <v>21</v>
      </c>
      <c r="U25" t="s">
        <v>214</v>
      </c>
    </row>
    <row r="26" spans="1:21" ht="24.95" customHeight="1" x14ac:dyDescent="0.25">
      <c r="A26" s="30"/>
      <c r="B26" s="29">
        <f t="shared" si="9"/>
        <v>22</v>
      </c>
      <c r="C26" s="29" t="s">
        <v>42</v>
      </c>
      <c r="D26" s="32">
        <v>4.7000000000000002E-3</v>
      </c>
      <c r="E26" s="263">
        <v>672052.22</v>
      </c>
      <c r="F26" s="264">
        <f>E26</f>
        <v>672052.22</v>
      </c>
      <c r="G26" s="94">
        <f t="shared" si="0"/>
        <v>0</v>
      </c>
      <c r="H26" s="34">
        <f t="shared" si="10"/>
        <v>0</v>
      </c>
      <c r="I26" s="35">
        <f t="shared" si="4"/>
        <v>324300</v>
      </c>
      <c r="J26" s="35">
        <f t="shared" si="1"/>
        <v>0</v>
      </c>
      <c r="K26" s="35">
        <f t="shared" si="5"/>
        <v>159026.35142768399</v>
      </c>
      <c r="L26" s="35">
        <f t="shared" si="6"/>
        <v>202702.7028</v>
      </c>
      <c r="M26" s="35">
        <f t="shared" si="7"/>
        <v>0</v>
      </c>
      <c r="N26" s="120">
        <v>0</v>
      </c>
      <c r="O26" s="148"/>
      <c r="P26" s="343">
        <f t="shared" si="2"/>
        <v>686029.22</v>
      </c>
      <c r="Q26" s="343"/>
      <c r="R26" s="25">
        <f t="shared" si="3"/>
        <v>0.22</v>
      </c>
      <c r="S26" s="1">
        <f t="shared" si="8"/>
        <v>22</v>
      </c>
      <c r="T26" t="s">
        <v>274</v>
      </c>
    </row>
    <row r="27" spans="1:21" ht="24.95" customHeight="1" x14ac:dyDescent="0.25">
      <c r="A27" s="30"/>
      <c r="B27" s="29">
        <f t="shared" si="9"/>
        <v>23</v>
      </c>
      <c r="C27" s="29" t="s">
        <v>43</v>
      </c>
      <c r="D27" s="32">
        <v>4.7000000000000002E-3</v>
      </c>
      <c r="E27" s="263">
        <v>2241707.23</v>
      </c>
      <c r="F27" s="264">
        <f>E27</f>
        <v>2241707.23</v>
      </c>
      <c r="G27" s="94">
        <f t="shared" si="0"/>
        <v>0</v>
      </c>
      <c r="H27" s="34">
        <f t="shared" si="10"/>
        <v>0</v>
      </c>
      <c r="I27" s="35">
        <f t="shared" si="4"/>
        <v>324300</v>
      </c>
      <c r="J27" s="35">
        <f t="shared" si="1"/>
        <v>0</v>
      </c>
      <c r="K27" s="35">
        <f t="shared" si="5"/>
        <v>159026.35142768399</v>
      </c>
      <c r="L27" s="35">
        <f t="shared" si="6"/>
        <v>202702.7028</v>
      </c>
      <c r="M27" s="35">
        <f t="shared" si="7"/>
        <v>0</v>
      </c>
      <c r="N27" s="120">
        <v>0</v>
      </c>
      <c r="O27" s="148"/>
      <c r="P27" s="343">
        <f t="shared" si="2"/>
        <v>686029.23</v>
      </c>
      <c r="Q27" s="343"/>
      <c r="R27" s="25">
        <f t="shared" si="3"/>
        <v>0.23</v>
      </c>
      <c r="S27" s="1">
        <f t="shared" si="8"/>
        <v>23</v>
      </c>
    </row>
    <row r="28" spans="1:21" ht="24.95" customHeight="1" x14ac:dyDescent="0.25">
      <c r="A28" s="182"/>
      <c r="B28" s="29">
        <f t="shared" si="9"/>
        <v>24</v>
      </c>
      <c r="C28" s="29" t="s">
        <v>44</v>
      </c>
      <c r="D28" s="32">
        <v>4.7000000000000002E-3</v>
      </c>
      <c r="E28" s="263">
        <v>2326863.2400000002</v>
      </c>
      <c r="F28" s="264">
        <f>703707+49554+1533990.24</f>
        <v>2287251.2400000002</v>
      </c>
      <c r="G28" s="94">
        <f t="shared" si="0"/>
        <v>39612</v>
      </c>
      <c r="H28" s="34">
        <f t="shared" si="10"/>
        <v>1222.8224400000001</v>
      </c>
      <c r="I28" s="35">
        <f t="shared" si="4"/>
        <v>324300</v>
      </c>
      <c r="J28" s="35">
        <f t="shared" si="1"/>
        <v>0</v>
      </c>
      <c r="K28" s="35">
        <f t="shared" si="5"/>
        <v>159026.35142768399</v>
      </c>
      <c r="L28" s="35">
        <f t="shared" si="6"/>
        <v>202702.7028</v>
      </c>
      <c r="M28" s="35">
        <f t="shared" si="7"/>
        <v>0</v>
      </c>
      <c r="N28" s="120">
        <v>0</v>
      </c>
      <c r="O28" s="148"/>
      <c r="P28" s="343">
        <f t="shared" si="2"/>
        <v>726864.24</v>
      </c>
      <c r="Q28" s="343"/>
      <c r="R28" s="25">
        <f t="shared" si="3"/>
        <v>0.24</v>
      </c>
      <c r="S28" s="1">
        <f t="shared" si="8"/>
        <v>24</v>
      </c>
    </row>
    <row r="29" spans="1:21" ht="24.95" customHeight="1" x14ac:dyDescent="0.25">
      <c r="A29" s="30"/>
      <c r="B29" s="29">
        <f t="shared" si="9"/>
        <v>25</v>
      </c>
      <c r="C29" s="29" t="s">
        <v>45</v>
      </c>
      <c r="D29" s="32">
        <v>4.7999999999999996E-3</v>
      </c>
      <c r="E29" s="263">
        <v>1436837.25</v>
      </c>
      <c r="F29" s="264">
        <f>636837.25+800000</f>
        <v>1436837.25</v>
      </c>
      <c r="G29" s="94">
        <f t="shared" si="0"/>
        <v>0</v>
      </c>
      <c r="H29" s="34">
        <f t="shared" si="10"/>
        <v>0</v>
      </c>
      <c r="I29" s="35">
        <f t="shared" si="4"/>
        <v>331200</v>
      </c>
      <c r="J29" s="35">
        <f t="shared" si="1"/>
        <v>0</v>
      </c>
      <c r="K29" s="35">
        <f t="shared" si="5"/>
        <v>159026.35142768399</v>
      </c>
      <c r="L29" s="35">
        <f t="shared" si="6"/>
        <v>202702.7028</v>
      </c>
      <c r="M29" s="35">
        <f t="shared" si="7"/>
        <v>0</v>
      </c>
      <c r="N29" s="120">
        <v>0</v>
      </c>
      <c r="O29" s="148"/>
      <c r="P29" s="343">
        <f t="shared" si="2"/>
        <v>692929.25</v>
      </c>
      <c r="Q29" s="343"/>
      <c r="R29" s="25">
        <f t="shared" si="3"/>
        <v>0.25</v>
      </c>
      <c r="S29" s="1">
        <f t="shared" si="8"/>
        <v>25</v>
      </c>
      <c r="U29" t="s">
        <v>339</v>
      </c>
    </row>
    <row r="30" spans="1:21" ht="24.95" customHeight="1" x14ac:dyDescent="0.25">
      <c r="A30" s="30"/>
      <c r="B30" s="29">
        <f t="shared" si="9"/>
        <v>26</v>
      </c>
      <c r="C30" s="29" t="s">
        <v>46</v>
      </c>
      <c r="D30" s="32">
        <v>4.7999999999999996E-3</v>
      </c>
      <c r="E30" s="263">
        <v>672746.26</v>
      </c>
      <c r="F30" s="264">
        <v>675000</v>
      </c>
      <c r="G30" s="94">
        <f t="shared" si="0"/>
        <v>-2253.7399999999907</v>
      </c>
      <c r="H30" s="34">
        <f t="shared" si="10"/>
        <v>0</v>
      </c>
      <c r="I30" s="35">
        <f t="shared" si="4"/>
        <v>331200</v>
      </c>
      <c r="J30" s="35">
        <f t="shared" si="1"/>
        <v>0</v>
      </c>
      <c r="K30" s="35">
        <f t="shared" si="5"/>
        <v>159026.35142768399</v>
      </c>
      <c r="L30" s="35">
        <f t="shared" si="6"/>
        <v>202702.7028</v>
      </c>
      <c r="M30" s="35">
        <f t="shared" si="7"/>
        <v>0</v>
      </c>
      <c r="N30" s="120">
        <v>0</v>
      </c>
      <c r="O30" s="148"/>
      <c r="P30" s="343">
        <f t="shared" si="2"/>
        <v>690675.26</v>
      </c>
      <c r="Q30" s="343"/>
      <c r="R30" s="25">
        <f t="shared" si="3"/>
        <v>0.26</v>
      </c>
      <c r="S30" s="1">
        <f t="shared" si="8"/>
        <v>26</v>
      </c>
      <c r="U30" t="s">
        <v>208</v>
      </c>
    </row>
    <row r="31" spans="1:21" ht="24.95" customHeight="1" x14ac:dyDescent="0.25">
      <c r="A31" s="30"/>
      <c r="B31" s="29">
        <f t="shared" si="9"/>
        <v>27</v>
      </c>
      <c r="C31" s="29" t="s">
        <v>47</v>
      </c>
      <c r="D31" s="32">
        <v>4.7999999999999996E-3</v>
      </c>
      <c r="E31" s="263">
        <v>678753.27</v>
      </c>
      <c r="F31" s="264">
        <f>E31</f>
        <v>678753.27</v>
      </c>
      <c r="G31" s="94">
        <f t="shared" si="0"/>
        <v>0</v>
      </c>
      <c r="H31" s="34">
        <f t="shared" si="10"/>
        <v>0</v>
      </c>
      <c r="I31" s="35">
        <f t="shared" si="4"/>
        <v>331200</v>
      </c>
      <c r="J31" s="35">
        <f t="shared" si="1"/>
        <v>0</v>
      </c>
      <c r="K31" s="35">
        <f t="shared" si="5"/>
        <v>159026.35142768399</v>
      </c>
      <c r="L31" s="35">
        <f t="shared" si="6"/>
        <v>202702.7028</v>
      </c>
      <c r="M31" s="35">
        <f t="shared" si="7"/>
        <v>0</v>
      </c>
      <c r="N31" s="120">
        <v>0</v>
      </c>
      <c r="O31" s="148"/>
      <c r="P31" s="343">
        <f t="shared" si="2"/>
        <v>692929.27</v>
      </c>
      <c r="Q31" s="343"/>
      <c r="R31" s="25">
        <f t="shared" si="3"/>
        <v>0.27</v>
      </c>
      <c r="S31" s="1">
        <f t="shared" si="8"/>
        <v>27</v>
      </c>
    </row>
    <row r="32" spans="1:21" ht="24.95" customHeight="1" x14ac:dyDescent="0.25">
      <c r="A32" s="30"/>
      <c r="B32" s="29">
        <f t="shared" si="9"/>
        <v>28</v>
      </c>
      <c r="C32" s="29" t="s">
        <v>48</v>
      </c>
      <c r="D32" s="32">
        <v>4.4999999999999997E-3</v>
      </c>
      <c r="E32" s="263">
        <v>2668040.2799999998</v>
      </c>
      <c r="F32" s="264">
        <f>670000+20000</f>
        <v>690000</v>
      </c>
      <c r="G32" s="94">
        <f t="shared" si="0"/>
        <v>1978040.2799999998</v>
      </c>
      <c r="H32" s="34">
        <f t="shared" si="10"/>
        <v>61062.103443599997</v>
      </c>
      <c r="I32" s="35">
        <f t="shared" si="4"/>
        <v>310500</v>
      </c>
      <c r="J32" s="35">
        <f t="shared" si="1"/>
        <v>0</v>
      </c>
      <c r="K32" s="35">
        <f t="shared" si="5"/>
        <v>159026.35142768399</v>
      </c>
      <c r="L32" s="35">
        <f t="shared" si="6"/>
        <v>202702.7028</v>
      </c>
      <c r="M32" s="35">
        <f t="shared" si="7"/>
        <v>0</v>
      </c>
      <c r="N32" s="120">
        <v>0</v>
      </c>
      <c r="O32" s="148"/>
      <c r="P32" s="343">
        <f t="shared" si="2"/>
        <v>2711331.28</v>
      </c>
      <c r="Q32" s="343"/>
      <c r="R32" s="25">
        <f t="shared" si="3"/>
        <v>0.28000000000000003</v>
      </c>
      <c r="S32" s="1">
        <f t="shared" si="8"/>
        <v>28</v>
      </c>
      <c r="T32" t="s">
        <v>452</v>
      </c>
    </row>
    <row r="33" spans="1:20" ht="24.95" customHeight="1" x14ac:dyDescent="0.25">
      <c r="A33" s="30"/>
      <c r="B33" s="29">
        <f t="shared" si="9"/>
        <v>29</v>
      </c>
      <c r="C33" s="29" t="s">
        <v>49</v>
      </c>
      <c r="D33" s="32">
        <v>4.7999999999999996E-3</v>
      </c>
      <c r="E33" s="263">
        <v>678753.29</v>
      </c>
      <c r="F33" s="264">
        <f>E33</f>
        <v>678753.29</v>
      </c>
      <c r="G33" s="94">
        <f t="shared" si="0"/>
        <v>0</v>
      </c>
      <c r="H33" s="34">
        <f t="shared" si="10"/>
        <v>0</v>
      </c>
      <c r="I33" s="35">
        <f t="shared" si="4"/>
        <v>331200</v>
      </c>
      <c r="J33" s="35">
        <f t="shared" si="1"/>
        <v>0</v>
      </c>
      <c r="K33" s="35">
        <f t="shared" si="5"/>
        <v>159026.35142768399</v>
      </c>
      <c r="L33" s="35">
        <f t="shared" si="6"/>
        <v>202702.7028</v>
      </c>
      <c r="M33" s="35">
        <f t="shared" si="7"/>
        <v>0</v>
      </c>
      <c r="N33" s="120">
        <v>0</v>
      </c>
      <c r="O33" s="148"/>
      <c r="P33" s="343">
        <f t="shared" si="2"/>
        <v>692929.29</v>
      </c>
      <c r="Q33" s="343"/>
      <c r="R33" s="25">
        <f t="shared" si="3"/>
        <v>0.28999999999999998</v>
      </c>
      <c r="S33" s="1">
        <f t="shared" si="8"/>
        <v>29</v>
      </c>
      <c r="T33" t="s">
        <v>220</v>
      </c>
    </row>
    <row r="34" spans="1:20" ht="24.95" customHeight="1" x14ac:dyDescent="0.25">
      <c r="A34" s="30"/>
      <c r="B34" s="29">
        <f t="shared" si="9"/>
        <v>30</v>
      </c>
      <c r="C34" s="29" t="s">
        <v>50</v>
      </c>
      <c r="D34" s="32">
        <v>4.4999999999999997E-3</v>
      </c>
      <c r="E34" s="263">
        <v>658651.30000000005</v>
      </c>
      <c r="F34" s="264">
        <f>E34</f>
        <v>658651.30000000005</v>
      </c>
      <c r="G34" s="94">
        <f t="shared" si="0"/>
        <v>0</v>
      </c>
      <c r="H34" s="34">
        <f t="shared" si="10"/>
        <v>0</v>
      </c>
      <c r="I34" s="35">
        <f t="shared" si="4"/>
        <v>310500</v>
      </c>
      <c r="J34" s="35">
        <f t="shared" si="1"/>
        <v>0</v>
      </c>
      <c r="K34" s="35">
        <f t="shared" si="5"/>
        <v>159026.35142768399</v>
      </c>
      <c r="L34" s="35">
        <f t="shared" si="6"/>
        <v>202702.7028</v>
      </c>
      <c r="M34" s="35">
        <f t="shared" si="7"/>
        <v>0</v>
      </c>
      <c r="N34" s="120">
        <v>0</v>
      </c>
      <c r="O34" s="148"/>
      <c r="P34" s="343">
        <f t="shared" si="2"/>
        <v>672229.3</v>
      </c>
      <c r="Q34" s="343"/>
      <c r="R34" s="25">
        <f t="shared" si="3"/>
        <v>0.3</v>
      </c>
      <c r="S34" s="1">
        <f t="shared" si="8"/>
        <v>30</v>
      </c>
      <c r="T34" t="s">
        <v>280</v>
      </c>
    </row>
    <row r="35" spans="1:20" ht="24.95" customHeight="1" x14ac:dyDescent="0.25">
      <c r="A35" s="30"/>
      <c r="B35" s="29">
        <f t="shared" si="9"/>
        <v>31</v>
      </c>
      <c r="C35" s="29" t="s">
        <v>51</v>
      </c>
      <c r="D35" s="32">
        <v>4.4999999999999997E-3</v>
      </c>
      <c r="E35" s="263">
        <v>1351585.31</v>
      </c>
      <c r="F35" s="264">
        <f>672184</f>
        <v>672184</v>
      </c>
      <c r="G35" s="94">
        <f t="shared" si="0"/>
        <v>679401.31</v>
      </c>
      <c r="H35" s="34">
        <f t="shared" si="10"/>
        <v>20973.118439700003</v>
      </c>
      <c r="I35" s="35">
        <f t="shared" si="4"/>
        <v>310500</v>
      </c>
      <c r="J35" s="35">
        <f t="shared" si="1"/>
        <v>0</v>
      </c>
      <c r="K35" s="35">
        <f t="shared" si="5"/>
        <v>159026.35142768399</v>
      </c>
      <c r="L35" s="35">
        <f t="shared" si="6"/>
        <v>202702.7028</v>
      </c>
      <c r="M35" s="35">
        <f t="shared" si="7"/>
        <v>0</v>
      </c>
      <c r="N35" s="120">
        <v>0</v>
      </c>
      <c r="O35" s="148"/>
      <c r="P35" s="343">
        <f t="shared" si="2"/>
        <v>1372603.31</v>
      </c>
      <c r="Q35" s="343"/>
      <c r="R35" s="25">
        <f t="shared" si="3"/>
        <v>0.31</v>
      </c>
      <c r="S35" s="1">
        <f t="shared" si="8"/>
        <v>31</v>
      </c>
      <c r="T35" s="99" t="s">
        <v>298</v>
      </c>
    </row>
    <row r="36" spans="1:20" ht="24.95" customHeight="1" x14ac:dyDescent="0.25">
      <c r="A36" s="29"/>
      <c r="B36" s="29">
        <f t="shared" si="9"/>
        <v>32</v>
      </c>
      <c r="C36" s="29" t="s">
        <v>52</v>
      </c>
      <c r="D36" s="32">
        <v>4.4999999999999997E-3</v>
      </c>
      <c r="E36" s="263">
        <v>658651.31999999995</v>
      </c>
      <c r="F36" s="135">
        <f>5888095-F17-F20-F37-F90-F149-F150-F152</f>
        <v>658651.67000000004</v>
      </c>
      <c r="G36" s="94">
        <f t="shared" si="0"/>
        <v>-0.35000000009313226</v>
      </c>
      <c r="H36" s="34">
        <f t="shared" si="10"/>
        <v>0</v>
      </c>
      <c r="I36" s="35">
        <f t="shared" si="4"/>
        <v>310500</v>
      </c>
      <c r="J36" s="35">
        <f t="shared" si="1"/>
        <v>0</v>
      </c>
      <c r="K36" s="35">
        <f t="shared" si="5"/>
        <v>159026.35142768399</v>
      </c>
      <c r="L36" s="35">
        <f t="shared" si="6"/>
        <v>202702.7028</v>
      </c>
      <c r="M36" s="35">
        <f t="shared" si="7"/>
        <v>0</v>
      </c>
      <c r="N36" s="120">
        <v>0</v>
      </c>
      <c r="O36" s="148">
        <v>150760</v>
      </c>
      <c r="P36" s="343">
        <f t="shared" si="2"/>
        <v>822989.32</v>
      </c>
      <c r="Q36" s="343"/>
      <c r="R36" s="25">
        <f t="shared" si="3"/>
        <v>0.32</v>
      </c>
      <c r="S36" s="1">
        <f t="shared" si="8"/>
        <v>32</v>
      </c>
    </row>
    <row r="37" spans="1:20" ht="24.95" customHeight="1" x14ac:dyDescent="0.25">
      <c r="A37" s="29"/>
      <c r="B37" s="29">
        <v>33</v>
      </c>
      <c r="C37" s="29" t="s">
        <v>53</v>
      </c>
      <c r="D37" s="32">
        <v>4.4999999999999997E-3</v>
      </c>
      <c r="E37" s="263">
        <v>658651.32999999996</v>
      </c>
      <c r="F37" s="264">
        <f>E37</f>
        <v>658651.32999999996</v>
      </c>
      <c r="G37" s="94">
        <f t="shared" si="0"/>
        <v>0</v>
      </c>
      <c r="H37" s="34">
        <f t="shared" si="10"/>
        <v>0</v>
      </c>
      <c r="I37" s="35">
        <f t="shared" si="4"/>
        <v>310500</v>
      </c>
      <c r="J37" s="35">
        <f t="shared" ref="J37:J68" si="11">P$2*D37</f>
        <v>0</v>
      </c>
      <c r="K37" s="35">
        <f t="shared" si="5"/>
        <v>159026.35142768399</v>
      </c>
      <c r="L37" s="35">
        <f t="shared" si="6"/>
        <v>202702.7028</v>
      </c>
      <c r="M37" s="35">
        <f t="shared" si="7"/>
        <v>0</v>
      </c>
      <c r="N37" s="120">
        <v>0</v>
      </c>
      <c r="O37" s="148"/>
      <c r="P37" s="343">
        <f t="shared" ref="P37:P68" si="12">ROUND(SUM(G37:O37),0) + R37</f>
        <v>672229.33</v>
      </c>
      <c r="Q37" s="343"/>
      <c r="R37" s="25">
        <f t="shared" ref="R37:R68" si="13">ROUND(0.001+B37/100,2)</f>
        <v>0.33</v>
      </c>
      <c r="S37" s="1">
        <f t="shared" si="8"/>
        <v>33</v>
      </c>
    </row>
    <row r="38" spans="1:20" ht="24.95" customHeight="1" x14ac:dyDescent="0.25">
      <c r="A38" s="30"/>
      <c r="B38" s="29">
        <v>34</v>
      </c>
      <c r="C38" s="29" t="s">
        <v>51</v>
      </c>
      <c r="D38" s="32">
        <v>4.4999999999999997E-3</v>
      </c>
      <c r="E38" s="263">
        <v>1351585.34</v>
      </c>
      <c r="F38" s="264">
        <f>672184</f>
        <v>672184</v>
      </c>
      <c r="G38" s="94">
        <f t="shared" si="0"/>
        <v>679401.34000000008</v>
      </c>
      <c r="H38" s="34">
        <f t="shared" si="10"/>
        <v>20973.119365800005</v>
      </c>
      <c r="I38" s="35">
        <f t="shared" ref="I38:I101" si="14">K$2*D38</f>
        <v>310500</v>
      </c>
      <c r="J38" s="35">
        <f t="shared" si="11"/>
        <v>0</v>
      </c>
      <c r="K38" s="35">
        <f t="shared" si="5"/>
        <v>159026.35142768399</v>
      </c>
      <c r="L38" s="35">
        <f t="shared" si="6"/>
        <v>202702.7028</v>
      </c>
      <c r="M38" s="35">
        <f t="shared" si="7"/>
        <v>0</v>
      </c>
      <c r="N38" s="120">
        <v>0</v>
      </c>
      <c r="O38" s="148"/>
      <c r="P38" s="343">
        <f t="shared" si="12"/>
        <v>1372604.34</v>
      </c>
      <c r="Q38" s="343"/>
      <c r="R38" s="25">
        <f t="shared" si="13"/>
        <v>0.34</v>
      </c>
      <c r="S38" s="1">
        <f t="shared" si="8"/>
        <v>34</v>
      </c>
    </row>
    <row r="39" spans="1:20" ht="24.95" customHeight="1" x14ac:dyDescent="0.25">
      <c r="A39" s="30">
        <v>1</v>
      </c>
      <c r="B39" s="29">
        <v>35</v>
      </c>
      <c r="C39" s="29" t="s">
        <v>54</v>
      </c>
      <c r="D39" s="32">
        <v>4.5999999999999999E-3</v>
      </c>
      <c r="E39" s="263">
        <v>665352.35</v>
      </c>
      <c r="F39" s="264">
        <f>E39</f>
        <v>665352.35</v>
      </c>
      <c r="G39" s="94">
        <f t="shared" si="0"/>
        <v>0</v>
      </c>
      <c r="H39" s="34">
        <f t="shared" si="10"/>
        <v>0</v>
      </c>
      <c r="I39" s="35">
        <f t="shared" si="14"/>
        <v>317400</v>
      </c>
      <c r="J39" s="35">
        <f t="shared" si="11"/>
        <v>0</v>
      </c>
      <c r="K39" s="35">
        <f t="shared" si="5"/>
        <v>159026.35142768399</v>
      </c>
      <c r="L39" s="35">
        <f t="shared" si="6"/>
        <v>202702.7028</v>
      </c>
      <c r="M39" s="35">
        <f t="shared" si="7"/>
        <v>0</v>
      </c>
      <c r="N39" s="120">
        <v>0</v>
      </c>
      <c r="O39" s="148"/>
      <c r="P39" s="343">
        <f t="shared" si="12"/>
        <v>679129.35</v>
      </c>
      <c r="Q39" s="343"/>
      <c r="R39" s="25">
        <f t="shared" si="13"/>
        <v>0.35</v>
      </c>
      <c r="S39" s="1">
        <f t="shared" si="8"/>
        <v>35</v>
      </c>
      <c r="T39" t="s">
        <v>235</v>
      </c>
    </row>
    <row r="40" spans="1:20" ht="24.95" customHeight="1" x14ac:dyDescent="0.25">
      <c r="A40" s="29">
        <v>2</v>
      </c>
      <c r="B40" s="29">
        <v>36</v>
      </c>
      <c r="C40" s="29" t="s">
        <v>55</v>
      </c>
      <c r="D40" s="32">
        <v>4.5999999999999999E-3</v>
      </c>
      <c r="E40" s="263">
        <v>2057458.36</v>
      </c>
      <c r="F40" s="264"/>
      <c r="G40" s="94">
        <f t="shared" si="0"/>
        <v>2057458.36</v>
      </c>
      <c r="H40" s="34">
        <f t="shared" si="10"/>
        <v>63513.739573200008</v>
      </c>
      <c r="I40" s="35">
        <f t="shared" si="14"/>
        <v>317400</v>
      </c>
      <c r="J40" s="35">
        <f t="shared" si="11"/>
        <v>0</v>
      </c>
      <c r="K40" s="35">
        <f t="shared" si="5"/>
        <v>159026.35142768399</v>
      </c>
      <c r="L40" s="35">
        <f t="shared" si="6"/>
        <v>202702.7028</v>
      </c>
      <c r="M40" s="35">
        <f t="shared" si="7"/>
        <v>0</v>
      </c>
      <c r="N40" s="120">
        <v>0</v>
      </c>
      <c r="O40" s="148"/>
      <c r="P40" s="343">
        <f t="shared" si="12"/>
        <v>2800101.36</v>
      </c>
      <c r="Q40" s="343"/>
      <c r="R40" s="25">
        <f t="shared" si="13"/>
        <v>0.36</v>
      </c>
      <c r="S40" s="1">
        <f t="shared" si="8"/>
        <v>36</v>
      </c>
      <c r="T40" s="25"/>
    </row>
    <row r="41" spans="1:20" ht="24.95" customHeight="1" x14ac:dyDescent="0.25">
      <c r="A41" s="29">
        <v>3</v>
      </c>
      <c r="B41" s="29">
        <v>37</v>
      </c>
      <c r="C41" s="29" t="s">
        <v>56</v>
      </c>
      <c r="D41" s="32">
        <v>4.4999999999999997E-3</v>
      </c>
      <c r="E41" s="263">
        <v>658651.37</v>
      </c>
      <c r="F41" s="264">
        <v>718953.37</v>
      </c>
      <c r="G41" s="94">
        <f t="shared" si="0"/>
        <v>-60302</v>
      </c>
      <c r="H41" s="34">
        <f t="shared" si="10"/>
        <v>0</v>
      </c>
      <c r="I41" s="35">
        <f t="shared" si="14"/>
        <v>310500</v>
      </c>
      <c r="J41" s="35">
        <f t="shared" si="11"/>
        <v>0</v>
      </c>
      <c r="K41" s="35">
        <f t="shared" si="5"/>
        <v>159026.35142768399</v>
      </c>
      <c r="L41" s="35">
        <f t="shared" si="6"/>
        <v>202702.7028</v>
      </c>
      <c r="M41" s="35">
        <f t="shared" si="7"/>
        <v>0</v>
      </c>
      <c r="N41" s="120">
        <v>0</v>
      </c>
      <c r="O41" s="148"/>
      <c r="P41" s="343">
        <f t="shared" si="12"/>
        <v>611927.37</v>
      </c>
      <c r="Q41" s="343"/>
      <c r="R41" s="25">
        <f t="shared" si="13"/>
        <v>0.37</v>
      </c>
      <c r="S41" s="1">
        <f t="shared" si="8"/>
        <v>37</v>
      </c>
      <c r="T41" s="25"/>
    </row>
    <row r="42" spans="1:20" ht="24.95" customHeight="1" x14ac:dyDescent="0.25">
      <c r="A42" s="30">
        <v>4</v>
      </c>
      <c r="B42" s="29">
        <v>38</v>
      </c>
      <c r="C42" s="29" t="s">
        <v>57</v>
      </c>
      <c r="D42" s="32">
        <v>4.4999999999999997E-3</v>
      </c>
      <c r="E42" s="263">
        <v>1306476.3799999999</v>
      </c>
      <c r="F42" s="264">
        <f>150760+752056</f>
        <v>902816</v>
      </c>
      <c r="G42" s="94">
        <f t="shared" si="0"/>
        <v>403660.37999999989</v>
      </c>
      <c r="H42" s="34">
        <f t="shared" si="10"/>
        <v>12460.995930599996</v>
      </c>
      <c r="I42" s="35">
        <f t="shared" si="14"/>
        <v>310500</v>
      </c>
      <c r="J42" s="35">
        <f t="shared" si="11"/>
        <v>0</v>
      </c>
      <c r="K42" s="35">
        <f t="shared" si="5"/>
        <v>159026.35142768399</v>
      </c>
      <c r="L42" s="35">
        <f t="shared" si="6"/>
        <v>202702.7028</v>
      </c>
      <c r="M42" s="35">
        <f t="shared" si="7"/>
        <v>0</v>
      </c>
      <c r="N42" s="120">
        <v>0</v>
      </c>
      <c r="O42" s="148"/>
      <c r="P42" s="343">
        <f t="shared" si="12"/>
        <v>1088350.3799999999</v>
      </c>
      <c r="Q42" s="343"/>
      <c r="R42" s="25">
        <f t="shared" si="13"/>
        <v>0.38</v>
      </c>
      <c r="S42" s="1">
        <f t="shared" si="8"/>
        <v>38</v>
      </c>
      <c r="T42" t="s">
        <v>260</v>
      </c>
    </row>
    <row r="43" spans="1:20" ht="24.95" customHeight="1" x14ac:dyDescent="0.25">
      <c r="A43" s="30">
        <v>5</v>
      </c>
      <c r="B43" s="29">
        <v>39</v>
      </c>
      <c r="C43" s="29" t="s">
        <v>264</v>
      </c>
      <c r="D43" s="32">
        <v>4.4999999999999997E-3</v>
      </c>
      <c r="E43" s="263">
        <v>659873.39</v>
      </c>
      <c r="F43" s="264">
        <v>660000</v>
      </c>
      <c r="G43" s="94">
        <f t="shared" si="0"/>
        <v>-126.60999999998603</v>
      </c>
      <c r="H43" s="34">
        <f t="shared" si="10"/>
        <v>0</v>
      </c>
      <c r="I43" s="35">
        <f t="shared" si="14"/>
        <v>310500</v>
      </c>
      <c r="J43" s="35">
        <f t="shared" si="11"/>
        <v>0</v>
      </c>
      <c r="K43" s="35">
        <f t="shared" si="5"/>
        <v>159026.35142768399</v>
      </c>
      <c r="L43" s="35">
        <f t="shared" si="6"/>
        <v>202702.7028</v>
      </c>
      <c r="M43" s="35">
        <f t="shared" si="7"/>
        <v>0</v>
      </c>
      <c r="N43" s="120">
        <v>0</v>
      </c>
      <c r="O43" s="148"/>
      <c r="P43" s="343">
        <f t="shared" si="12"/>
        <v>672102.39</v>
      </c>
      <c r="Q43" s="343"/>
      <c r="R43" s="25">
        <f t="shared" si="13"/>
        <v>0.39</v>
      </c>
      <c r="S43" s="1">
        <f t="shared" si="8"/>
        <v>39</v>
      </c>
      <c r="T43" t="s">
        <v>240</v>
      </c>
    </row>
    <row r="44" spans="1:20" ht="24.95" customHeight="1" x14ac:dyDescent="0.25">
      <c r="A44" s="30">
        <v>6</v>
      </c>
      <c r="B44" s="29">
        <v>40</v>
      </c>
      <c r="C44" s="29" t="s">
        <v>58</v>
      </c>
      <c r="D44" s="32">
        <v>4.4999999999999997E-3</v>
      </c>
      <c r="E44" s="263">
        <v>621806.4</v>
      </c>
      <c r="F44" s="264">
        <f>E44</f>
        <v>621806.4</v>
      </c>
      <c r="G44" s="94">
        <f t="shared" si="0"/>
        <v>0</v>
      </c>
      <c r="H44" s="34">
        <f t="shared" si="10"/>
        <v>0</v>
      </c>
      <c r="I44" s="35">
        <f t="shared" si="14"/>
        <v>310500</v>
      </c>
      <c r="J44" s="35">
        <f t="shared" si="11"/>
        <v>0</v>
      </c>
      <c r="K44" s="35">
        <f t="shared" si="5"/>
        <v>159026.35142768399</v>
      </c>
      <c r="L44" s="35">
        <f t="shared" si="6"/>
        <v>202702.7028</v>
      </c>
      <c r="M44" s="35">
        <f t="shared" si="7"/>
        <v>0</v>
      </c>
      <c r="N44" s="120">
        <v>0</v>
      </c>
      <c r="O44" s="148"/>
      <c r="P44" s="343">
        <f t="shared" si="12"/>
        <v>672229.4</v>
      </c>
      <c r="Q44" s="343"/>
      <c r="R44" s="25">
        <f t="shared" si="13"/>
        <v>0.4</v>
      </c>
      <c r="S44" s="1">
        <f t="shared" si="8"/>
        <v>40</v>
      </c>
    </row>
    <row r="45" spans="1:20" ht="24.95" customHeight="1" x14ac:dyDescent="0.25">
      <c r="A45" s="30">
        <v>7</v>
      </c>
      <c r="B45" s="29">
        <v>41</v>
      </c>
      <c r="C45" s="29" t="s">
        <v>59</v>
      </c>
      <c r="D45" s="136">
        <v>4.4999999999999997E-3</v>
      </c>
      <c r="E45" s="263">
        <v>658651.41</v>
      </c>
      <c r="F45" s="264">
        <f>E45</f>
        <v>658651.41</v>
      </c>
      <c r="G45" s="94">
        <f t="shared" si="0"/>
        <v>0</v>
      </c>
      <c r="H45" s="34">
        <f t="shared" si="10"/>
        <v>0</v>
      </c>
      <c r="I45" s="35">
        <f t="shared" si="14"/>
        <v>310500</v>
      </c>
      <c r="J45" s="35">
        <f t="shared" si="11"/>
        <v>0</v>
      </c>
      <c r="K45" s="35">
        <f t="shared" si="5"/>
        <v>159026.35142768399</v>
      </c>
      <c r="L45" s="35">
        <f t="shared" si="6"/>
        <v>202702.7028</v>
      </c>
      <c r="M45" s="35">
        <f t="shared" si="7"/>
        <v>0</v>
      </c>
      <c r="N45" s="120">
        <v>0</v>
      </c>
      <c r="O45" s="148"/>
      <c r="P45" s="343">
        <f t="shared" si="12"/>
        <v>672229.41</v>
      </c>
      <c r="Q45" s="343"/>
      <c r="R45" s="25">
        <f t="shared" si="13"/>
        <v>0.41</v>
      </c>
      <c r="S45" s="1">
        <f t="shared" si="8"/>
        <v>41</v>
      </c>
      <c r="T45" s="99" t="s">
        <v>231</v>
      </c>
    </row>
    <row r="46" spans="1:20" ht="24.95" customHeight="1" x14ac:dyDescent="0.25">
      <c r="A46" s="30">
        <v>8</v>
      </c>
      <c r="B46" s="29">
        <v>42</v>
      </c>
      <c r="C46" s="29" t="s">
        <v>60</v>
      </c>
      <c r="D46" s="136">
        <v>4.4999999999999997E-3</v>
      </c>
      <c r="E46" s="263">
        <v>658651.42000000004</v>
      </c>
      <c r="F46" s="264">
        <f>E46</f>
        <v>658651.42000000004</v>
      </c>
      <c r="G46" s="94">
        <f t="shared" si="0"/>
        <v>0</v>
      </c>
      <c r="H46" s="34">
        <f t="shared" si="10"/>
        <v>0</v>
      </c>
      <c r="I46" s="35">
        <f t="shared" si="14"/>
        <v>310500</v>
      </c>
      <c r="J46" s="35">
        <f t="shared" si="11"/>
        <v>0</v>
      </c>
      <c r="K46" s="35">
        <f t="shared" si="5"/>
        <v>159026.35142768399</v>
      </c>
      <c r="L46" s="35">
        <f t="shared" si="6"/>
        <v>202702.7028</v>
      </c>
      <c r="M46" s="35">
        <f t="shared" si="7"/>
        <v>0</v>
      </c>
      <c r="N46" s="120">
        <v>0</v>
      </c>
      <c r="O46" s="148"/>
      <c r="P46" s="343">
        <f t="shared" si="12"/>
        <v>672229.42</v>
      </c>
      <c r="Q46" s="343"/>
      <c r="R46" s="25">
        <f t="shared" si="13"/>
        <v>0.42</v>
      </c>
      <c r="S46" s="1">
        <f t="shared" si="8"/>
        <v>42</v>
      </c>
      <c r="T46" t="s">
        <v>457</v>
      </c>
    </row>
    <row r="47" spans="1:20" ht="24.95" customHeight="1" x14ac:dyDescent="0.25">
      <c r="A47" s="30">
        <v>1</v>
      </c>
      <c r="B47" s="29">
        <v>43</v>
      </c>
      <c r="C47" s="29" t="s">
        <v>61</v>
      </c>
      <c r="D47" s="136">
        <v>3.5999999999999999E-3</v>
      </c>
      <c r="E47" s="263">
        <v>598347.43000000005</v>
      </c>
      <c r="F47" s="264">
        <f>E47</f>
        <v>598347.43000000005</v>
      </c>
      <c r="G47" s="94">
        <f t="shared" si="0"/>
        <v>0</v>
      </c>
      <c r="H47" s="34">
        <f t="shared" si="10"/>
        <v>0</v>
      </c>
      <c r="I47" s="35">
        <f t="shared" si="14"/>
        <v>248400</v>
      </c>
      <c r="J47" s="35">
        <f t="shared" si="11"/>
        <v>0</v>
      </c>
      <c r="K47" s="35">
        <f t="shared" si="5"/>
        <v>159026.35142768399</v>
      </c>
      <c r="L47" s="35">
        <f t="shared" si="6"/>
        <v>202702.7028</v>
      </c>
      <c r="M47" s="35">
        <f t="shared" si="7"/>
        <v>0</v>
      </c>
      <c r="N47" s="120">
        <v>0</v>
      </c>
      <c r="O47" s="148"/>
      <c r="P47" s="343">
        <f t="shared" si="12"/>
        <v>610129.43000000005</v>
      </c>
      <c r="Q47" s="343"/>
      <c r="R47" s="25">
        <f t="shared" si="13"/>
        <v>0.43</v>
      </c>
      <c r="S47" s="1">
        <f t="shared" si="8"/>
        <v>43</v>
      </c>
    </row>
    <row r="48" spans="1:20" ht="24.95" customHeight="1" x14ac:dyDescent="0.25">
      <c r="A48" s="30">
        <v>1</v>
      </c>
      <c r="B48" s="29">
        <v>44</v>
      </c>
      <c r="C48" s="29" t="s">
        <v>62</v>
      </c>
      <c r="D48" s="136">
        <v>4.1000000000000003E-3</v>
      </c>
      <c r="E48" s="263">
        <v>1268920.44</v>
      </c>
      <c r="F48" s="264"/>
      <c r="G48" s="94">
        <f t="shared" si="0"/>
        <v>1268920.44</v>
      </c>
      <c r="H48" s="34">
        <f t="shared" si="10"/>
        <v>39171.573982800001</v>
      </c>
      <c r="I48" s="35">
        <f t="shared" si="14"/>
        <v>282900</v>
      </c>
      <c r="J48" s="35">
        <f t="shared" si="11"/>
        <v>0</v>
      </c>
      <c r="K48" s="35">
        <f t="shared" si="5"/>
        <v>159026.35142768399</v>
      </c>
      <c r="L48" s="35">
        <f t="shared" si="6"/>
        <v>202702.7028</v>
      </c>
      <c r="M48" s="35">
        <f t="shared" si="7"/>
        <v>0</v>
      </c>
      <c r="N48" s="120">
        <v>0</v>
      </c>
      <c r="O48" s="148"/>
      <c r="P48" s="343">
        <f t="shared" si="12"/>
        <v>1952721.44</v>
      </c>
      <c r="Q48" s="343"/>
      <c r="R48" s="25">
        <f t="shared" si="13"/>
        <v>0.44</v>
      </c>
      <c r="S48" s="1">
        <f t="shared" si="8"/>
        <v>44</v>
      </c>
    </row>
    <row r="49" spans="1:20" ht="24.95" customHeight="1" x14ac:dyDescent="0.25">
      <c r="A49" s="30">
        <v>2</v>
      </c>
      <c r="B49" s="29">
        <v>45</v>
      </c>
      <c r="C49" s="29" t="s">
        <v>63</v>
      </c>
      <c r="D49" s="136">
        <v>4.8999999999999998E-3</v>
      </c>
      <c r="E49" s="263">
        <v>685453.45</v>
      </c>
      <c r="F49" s="264">
        <f>E49</f>
        <v>685453.45</v>
      </c>
      <c r="G49" s="94">
        <f t="shared" si="0"/>
        <v>0</v>
      </c>
      <c r="H49" s="34">
        <f t="shared" si="10"/>
        <v>0</v>
      </c>
      <c r="I49" s="35">
        <f t="shared" si="14"/>
        <v>338100</v>
      </c>
      <c r="J49" s="35">
        <f t="shared" si="11"/>
        <v>0</v>
      </c>
      <c r="K49" s="35">
        <f t="shared" si="5"/>
        <v>159026.35142768399</v>
      </c>
      <c r="L49" s="35">
        <f t="shared" si="6"/>
        <v>202702.7028</v>
      </c>
      <c r="M49" s="35">
        <f t="shared" si="7"/>
        <v>0</v>
      </c>
      <c r="N49" s="120">
        <v>0</v>
      </c>
      <c r="O49" s="148"/>
      <c r="P49" s="343">
        <f t="shared" si="12"/>
        <v>699829.45</v>
      </c>
      <c r="Q49" s="343"/>
      <c r="R49" s="25">
        <f t="shared" si="13"/>
        <v>0.45</v>
      </c>
      <c r="S49" s="1">
        <f t="shared" si="8"/>
        <v>45</v>
      </c>
    </row>
    <row r="50" spans="1:20" ht="24.95" customHeight="1" x14ac:dyDescent="0.25">
      <c r="A50" s="30">
        <v>2</v>
      </c>
      <c r="B50" s="29">
        <v>46</v>
      </c>
      <c r="C50" s="29" t="s">
        <v>64</v>
      </c>
      <c r="D50" s="136">
        <v>3.8999999999999998E-3</v>
      </c>
      <c r="E50" s="263">
        <v>1288078.46</v>
      </c>
      <c r="F50" s="264"/>
      <c r="G50" s="94">
        <f t="shared" si="0"/>
        <v>1288078.46</v>
      </c>
      <c r="H50" s="34">
        <f t="shared" si="10"/>
        <v>39762.982060200004</v>
      </c>
      <c r="I50" s="35">
        <f t="shared" si="14"/>
        <v>269100</v>
      </c>
      <c r="J50" s="35">
        <f t="shared" si="11"/>
        <v>0</v>
      </c>
      <c r="K50" s="35">
        <f t="shared" si="5"/>
        <v>159026.35142768399</v>
      </c>
      <c r="L50" s="35">
        <f t="shared" si="6"/>
        <v>202702.7028</v>
      </c>
      <c r="M50" s="35">
        <f t="shared" si="7"/>
        <v>0</v>
      </c>
      <c r="N50" s="120">
        <v>0</v>
      </c>
      <c r="O50" s="148"/>
      <c r="P50" s="343">
        <f t="shared" si="12"/>
        <v>1958670.46</v>
      </c>
      <c r="Q50" s="343"/>
      <c r="R50" s="25">
        <f t="shared" si="13"/>
        <v>0.46</v>
      </c>
      <c r="S50" s="1">
        <f t="shared" si="8"/>
        <v>46</v>
      </c>
      <c r="T50" t="s">
        <v>200</v>
      </c>
    </row>
    <row r="51" spans="1:20" ht="24.95" customHeight="1" x14ac:dyDescent="0.25">
      <c r="A51" s="30">
        <v>3</v>
      </c>
      <c r="B51" s="29">
        <v>47</v>
      </c>
      <c r="C51" s="29" t="s">
        <v>65</v>
      </c>
      <c r="D51" s="136">
        <v>4.4999999999999997E-3</v>
      </c>
      <c r="E51" s="263">
        <v>3535756.47</v>
      </c>
      <c r="F51" s="264">
        <f>750000+1500000+2055315+86157-F8</f>
        <v>3703518.96</v>
      </c>
      <c r="G51" s="94">
        <f t="shared" si="0"/>
        <v>-167762.48999999976</v>
      </c>
      <c r="H51" s="34">
        <f t="shared" si="10"/>
        <v>0</v>
      </c>
      <c r="I51" s="35">
        <f t="shared" si="14"/>
        <v>310500</v>
      </c>
      <c r="J51" s="35">
        <f t="shared" si="11"/>
        <v>0</v>
      </c>
      <c r="K51" s="35">
        <f t="shared" si="5"/>
        <v>159026.35142768399</v>
      </c>
      <c r="L51" s="35">
        <f t="shared" si="6"/>
        <v>202702.7028</v>
      </c>
      <c r="M51" s="35">
        <f t="shared" si="7"/>
        <v>0</v>
      </c>
      <c r="N51" s="120">
        <v>0</v>
      </c>
      <c r="O51" s="148"/>
      <c r="P51" s="343">
        <f t="shared" si="12"/>
        <v>504467.47</v>
      </c>
      <c r="Q51" s="343"/>
      <c r="R51" s="25">
        <f t="shared" si="13"/>
        <v>0.47</v>
      </c>
      <c r="S51" s="1">
        <f t="shared" si="8"/>
        <v>47</v>
      </c>
      <c r="T51" t="s">
        <v>311</v>
      </c>
    </row>
    <row r="52" spans="1:20" ht="24.95" customHeight="1" x14ac:dyDescent="0.25">
      <c r="A52" s="30">
        <v>3</v>
      </c>
      <c r="B52" s="29">
        <v>48</v>
      </c>
      <c r="C52" s="29" t="s">
        <v>194</v>
      </c>
      <c r="D52" s="136">
        <v>4.4999999999999997E-3</v>
      </c>
      <c r="E52" s="263">
        <v>971753.48</v>
      </c>
      <c r="F52" s="264">
        <f>E52</f>
        <v>971753.48</v>
      </c>
      <c r="G52" s="94">
        <f t="shared" si="0"/>
        <v>0</v>
      </c>
      <c r="H52" s="34">
        <f t="shared" si="10"/>
        <v>0</v>
      </c>
      <c r="I52" s="35">
        <f t="shared" si="14"/>
        <v>310500</v>
      </c>
      <c r="J52" s="35">
        <f t="shared" si="11"/>
        <v>0</v>
      </c>
      <c r="K52" s="35">
        <f t="shared" si="5"/>
        <v>159026.35142768399</v>
      </c>
      <c r="L52" s="35">
        <f t="shared" si="6"/>
        <v>202702.7028</v>
      </c>
      <c r="M52" s="35">
        <v>85127</v>
      </c>
      <c r="N52" s="120">
        <f>(I52+K52)/2</f>
        <v>234763.17571384198</v>
      </c>
      <c r="O52" s="148"/>
      <c r="P52" s="343">
        <f t="shared" si="12"/>
        <v>992119.48</v>
      </c>
      <c r="Q52" s="343"/>
      <c r="R52" s="25">
        <f t="shared" si="13"/>
        <v>0.48</v>
      </c>
      <c r="S52" s="1">
        <f t="shared" si="8"/>
        <v>48</v>
      </c>
      <c r="T52" s="24"/>
    </row>
    <row r="53" spans="1:20" ht="24.95" customHeight="1" x14ac:dyDescent="0.25">
      <c r="A53" s="30">
        <v>4</v>
      </c>
      <c r="B53" s="29">
        <v>49</v>
      </c>
      <c r="C53" s="29" t="s">
        <v>66</v>
      </c>
      <c r="D53" s="32">
        <v>4.4999999999999997E-3</v>
      </c>
      <c r="E53" s="263">
        <v>658651.49</v>
      </c>
      <c r="F53" s="264">
        <f>E53</f>
        <v>658651.49</v>
      </c>
      <c r="G53" s="94">
        <f t="shared" si="0"/>
        <v>0</v>
      </c>
      <c r="H53" s="34">
        <f t="shared" si="10"/>
        <v>0</v>
      </c>
      <c r="I53" s="35">
        <f t="shared" si="14"/>
        <v>310500</v>
      </c>
      <c r="J53" s="35">
        <f t="shared" si="11"/>
        <v>0</v>
      </c>
      <c r="K53" s="35">
        <f t="shared" si="5"/>
        <v>159026.35142768399</v>
      </c>
      <c r="L53" s="35">
        <f t="shared" si="6"/>
        <v>202702.7028</v>
      </c>
      <c r="M53" s="35">
        <f t="shared" si="7"/>
        <v>0</v>
      </c>
      <c r="N53" s="120">
        <v>0</v>
      </c>
      <c r="O53" s="148"/>
      <c r="P53" s="343">
        <f t="shared" si="12"/>
        <v>672229.49</v>
      </c>
      <c r="Q53" s="343"/>
      <c r="R53" s="25">
        <f t="shared" si="13"/>
        <v>0.49</v>
      </c>
      <c r="S53" s="1">
        <f t="shared" si="8"/>
        <v>49</v>
      </c>
      <c r="T53" t="s">
        <v>221</v>
      </c>
    </row>
    <row r="54" spans="1:20" ht="24.95" customHeight="1" x14ac:dyDescent="0.25">
      <c r="A54" s="30">
        <v>4</v>
      </c>
      <c r="B54" s="29">
        <v>50</v>
      </c>
      <c r="C54" s="29" t="s">
        <v>67</v>
      </c>
      <c r="D54" s="32">
        <v>4.4999999999999997E-3</v>
      </c>
      <c r="E54" s="263">
        <v>658651.5</v>
      </c>
      <c r="F54" s="264">
        <f>E54</f>
        <v>658651.5</v>
      </c>
      <c r="G54" s="94">
        <f t="shared" si="0"/>
        <v>0</v>
      </c>
      <c r="H54" s="34">
        <f t="shared" si="10"/>
        <v>0</v>
      </c>
      <c r="I54" s="35">
        <f t="shared" si="14"/>
        <v>310500</v>
      </c>
      <c r="J54" s="35">
        <f t="shared" si="11"/>
        <v>0</v>
      </c>
      <c r="K54" s="35">
        <f t="shared" si="5"/>
        <v>159026.35142768399</v>
      </c>
      <c r="L54" s="35">
        <f t="shared" si="6"/>
        <v>202702.7028</v>
      </c>
      <c r="M54" s="35">
        <f t="shared" si="7"/>
        <v>0</v>
      </c>
      <c r="N54" s="120">
        <v>0</v>
      </c>
      <c r="O54" s="148"/>
      <c r="P54" s="343">
        <f t="shared" si="12"/>
        <v>672229.5</v>
      </c>
      <c r="Q54" s="343"/>
      <c r="R54" s="25">
        <f t="shared" si="13"/>
        <v>0.5</v>
      </c>
      <c r="S54" s="1">
        <f t="shared" si="8"/>
        <v>50</v>
      </c>
      <c r="T54" t="s">
        <v>454</v>
      </c>
    </row>
    <row r="55" spans="1:20" ht="24.95" customHeight="1" x14ac:dyDescent="0.25">
      <c r="A55" s="29">
        <v>5</v>
      </c>
      <c r="B55" s="29">
        <v>51</v>
      </c>
      <c r="C55" s="29" t="s">
        <v>68</v>
      </c>
      <c r="D55" s="32">
        <v>4.4999999999999997E-3</v>
      </c>
      <c r="E55" s="263">
        <v>1980054.51</v>
      </c>
      <c r="F55" s="264"/>
      <c r="G55" s="94">
        <f t="shared" si="0"/>
        <v>1980054.51</v>
      </c>
      <c r="H55" s="34">
        <f t="shared" si="10"/>
        <v>61124.282723700002</v>
      </c>
      <c r="I55" s="35">
        <f t="shared" si="14"/>
        <v>310500</v>
      </c>
      <c r="J55" s="35">
        <f t="shared" si="11"/>
        <v>0</v>
      </c>
      <c r="K55" s="35">
        <f t="shared" si="5"/>
        <v>159026.35142768399</v>
      </c>
      <c r="L55" s="35">
        <f t="shared" si="6"/>
        <v>202702.7028</v>
      </c>
      <c r="M55" s="35">
        <v>56751</v>
      </c>
      <c r="N55" s="120">
        <f>(I55+K55)/2</f>
        <v>234763.17571384198</v>
      </c>
      <c r="O55" s="148"/>
      <c r="P55" s="343">
        <f t="shared" si="12"/>
        <v>3004922.51</v>
      </c>
      <c r="Q55" s="343"/>
      <c r="R55" s="25">
        <f t="shared" si="13"/>
        <v>0.51</v>
      </c>
      <c r="S55" s="1">
        <f t="shared" si="8"/>
        <v>51</v>
      </c>
      <c r="T55" t="s">
        <v>279</v>
      </c>
    </row>
    <row r="56" spans="1:20" ht="24.95" customHeight="1" x14ac:dyDescent="0.25">
      <c r="A56" s="30">
        <v>5</v>
      </c>
      <c r="B56" s="29">
        <v>52</v>
      </c>
      <c r="C56" s="29" t="s">
        <v>69</v>
      </c>
      <c r="D56" s="32">
        <v>4.5999999999999999E-3</v>
      </c>
      <c r="E56" s="263">
        <v>688537.52</v>
      </c>
      <c r="F56" s="264">
        <f>688537.52+679085.52</f>
        <v>1367623.04</v>
      </c>
      <c r="G56" s="95">
        <f t="shared" si="0"/>
        <v>-679085.52</v>
      </c>
      <c r="H56" s="34">
        <f t="shared" si="10"/>
        <v>0</v>
      </c>
      <c r="I56" s="35">
        <f t="shared" si="14"/>
        <v>317400</v>
      </c>
      <c r="J56" s="35">
        <f t="shared" si="11"/>
        <v>0</v>
      </c>
      <c r="K56" s="35">
        <f t="shared" si="5"/>
        <v>159026.35142768399</v>
      </c>
      <c r="L56" s="35">
        <f t="shared" si="6"/>
        <v>202702.7028</v>
      </c>
      <c r="M56" s="35">
        <f t="shared" si="7"/>
        <v>0</v>
      </c>
      <c r="N56" s="120">
        <v>0</v>
      </c>
      <c r="O56" s="148"/>
      <c r="P56" s="343">
        <f t="shared" si="12"/>
        <v>44.52</v>
      </c>
      <c r="Q56" s="343"/>
      <c r="R56" s="25">
        <f t="shared" si="13"/>
        <v>0.52</v>
      </c>
      <c r="S56" s="1">
        <f t="shared" si="8"/>
        <v>52</v>
      </c>
      <c r="T56" t="s">
        <v>259</v>
      </c>
    </row>
    <row r="57" spans="1:20" ht="24.95" customHeight="1" x14ac:dyDescent="0.25">
      <c r="A57" s="30">
        <v>6</v>
      </c>
      <c r="B57" s="29">
        <v>53</v>
      </c>
      <c r="C57" s="29" t="s">
        <v>70</v>
      </c>
      <c r="D57" s="32">
        <v>4.4999999999999997E-3</v>
      </c>
      <c r="E57" s="263">
        <v>1895678.53</v>
      </c>
      <c r="F57" s="264"/>
      <c r="G57" s="94">
        <f t="shared" si="0"/>
        <v>1895678.53</v>
      </c>
      <c r="H57" s="34">
        <f t="shared" si="10"/>
        <v>58519.596221100001</v>
      </c>
      <c r="I57" s="35">
        <f t="shared" si="14"/>
        <v>310500</v>
      </c>
      <c r="J57" s="35">
        <f t="shared" si="11"/>
        <v>0</v>
      </c>
      <c r="K57" s="35">
        <f t="shared" si="5"/>
        <v>159026.35142768399</v>
      </c>
      <c r="L57" s="35">
        <f t="shared" si="6"/>
        <v>202702.7028</v>
      </c>
      <c r="M57" s="35">
        <f t="shared" si="7"/>
        <v>0</v>
      </c>
      <c r="N57" s="120">
        <v>0</v>
      </c>
      <c r="O57" s="148"/>
      <c r="P57" s="343">
        <f t="shared" si="12"/>
        <v>2626427.5299999998</v>
      </c>
      <c r="Q57" s="343"/>
      <c r="R57" s="25">
        <f t="shared" si="13"/>
        <v>0.53</v>
      </c>
      <c r="S57" s="1">
        <f t="shared" si="8"/>
        <v>53</v>
      </c>
    </row>
    <row r="58" spans="1:20" ht="24.95" customHeight="1" x14ac:dyDescent="0.25">
      <c r="A58" s="30">
        <v>6</v>
      </c>
      <c r="B58" s="29">
        <v>54</v>
      </c>
      <c r="C58" s="29" t="s">
        <v>71</v>
      </c>
      <c r="D58" s="32">
        <v>4.4999999999999997E-3</v>
      </c>
      <c r="E58" s="263">
        <v>1351587.54</v>
      </c>
      <c r="F58" s="264">
        <v>672185.54</v>
      </c>
      <c r="G58" s="94">
        <f t="shared" si="0"/>
        <v>679402</v>
      </c>
      <c r="H58" s="34">
        <f t="shared" si="10"/>
        <v>20973.139740000002</v>
      </c>
      <c r="I58" s="35">
        <f t="shared" si="14"/>
        <v>310500</v>
      </c>
      <c r="J58" s="35">
        <f t="shared" si="11"/>
        <v>0</v>
      </c>
      <c r="K58" s="35">
        <f t="shared" si="5"/>
        <v>159026.35142768399</v>
      </c>
      <c r="L58" s="35">
        <f t="shared" si="6"/>
        <v>202702.7028</v>
      </c>
      <c r="M58" s="35">
        <f t="shared" si="7"/>
        <v>0</v>
      </c>
      <c r="N58" s="120">
        <v>0</v>
      </c>
      <c r="O58" s="148"/>
      <c r="P58" s="343">
        <f t="shared" si="12"/>
        <v>1372604.54</v>
      </c>
      <c r="Q58" s="343"/>
      <c r="R58" s="25">
        <f t="shared" si="13"/>
        <v>0.54</v>
      </c>
      <c r="S58" s="1">
        <f t="shared" si="8"/>
        <v>54</v>
      </c>
      <c r="T58" t="s">
        <v>219</v>
      </c>
    </row>
    <row r="59" spans="1:20" ht="24.95" customHeight="1" x14ac:dyDescent="0.25">
      <c r="A59" s="30">
        <v>7</v>
      </c>
      <c r="B59" s="29">
        <v>55</v>
      </c>
      <c r="C59" s="29" t="s">
        <v>72</v>
      </c>
      <c r="D59" s="32">
        <v>4.4999999999999997E-3</v>
      </c>
      <c r="E59" s="263">
        <v>2042070.55</v>
      </c>
      <c r="F59" s="264">
        <f>41427+703707+1180132.55</f>
        <v>1925266.55</v>
      </c>
      <c r="G59" s="94">
        <f t="shared" si="0"/>
        <v>116804</v>
      </c>
      <c r="H59" s="34">
        <f t="shared" si="10"/>
        <v>3605.7394800000002</v>
      </c>
      <c r="I59" s="35">
        <f t="shared" si="14"/>
        <v>310500</v>
      </c>
      <c r="J59" s="35">
        <f t="shared" si="11"/>
        <v>0</v>
      </c>
      <c r="K59" s="35">
        <f t="shared" si="5"/>
        <v>159026.35142768399</v>
      </c>
      <c r="L59" s="35">
        <f t="shared" si="6"/>
        <v>202702.7028</v>
      </c>
      <c r="M59" s="35">
        <f t="shared" si="7"/>
        <v>0</v>
      </c>
      <c r="N59" s="120">
        <v>0</v>
      </c>
      <c r="O59" s="148"/>
      <c r="P59" s="343">
        <f t="shared" si="12"/>
        <v>792639.55</v>
      </c>
      <c r="Q59" s="343"/>
      <c r="R59" s="25">
        <f t="shared" si="13"/>
        <v>0.55000000000000004</v>
      </c>
      <c r="S59" s="1">
        <f t="shared" si="8"/>
        <v>55</v>
      </c>
      <c r="T59" t="s">
        <v>314</v>
      </c>
    </row>
    <row r="60" spans="1:20" ht="24.95" customHeight="1" x14ac:dyDescent="0.25">
      <c r="A60" s="30">
        <v>7</v>
      </c>
      <c r="B60" s="29">
        <v>56</v>
      </c>
      <c r="C60" s="29" t="s">
        <v>73</v>
      </c>
      <c r="D60" s="32">
        <v>4.4999999999999997E-3</v>
      </c>
      <c r="E60" s="263">
        <v>943377.56</v>
      </c>
      <c r="F60" s="264">
        <f>E60</f>
        <v>943377.56</v>
      </c>
      <c r="G60" s="94">
        <f t="shared" si="0"/>
        <v>0</v>
      </c>
      <c r="H60" s="34">
        <f t="shared" si="10"/>
        <v>0</v>
      </c>
      <c r="I60" s="35">
        <f t="shared" si="14"/>
        <v>310500</v>
      </c>
      <c r="J60" s="35">
        <f t="shared" si="11"/>
        <v>0</v>
      </c>
      <c r="K60" s="35">
        <f t="shared" si="5"/>
        <v>159026.35142768399</v>
      </c>
      <c r="L60" s="35">
        <f t="shared" si="6"/>
        <v>202702.7028</v>
      </c>
      <c r="M60" s="35">
        <v>56751</v>
      </c>
      <c r="N60" s="120">
        <f>(I60+K60)/2</f>
        <v>234763.17571384198</v>
      </c>
      <c r="O60" s="148">
        <f>I60*10%</f>
        <v>31050</v>
      </c>
      <c r="P60" s="343">
        <f t="shared" si="12"/>
        <v>994793.56</v>
      </c>
      <c r="Q60" s="343"/>
      <c r="R60" s="25">
        <f t="shared" si="13"/>
        <v>0.56000000000000005</v>
      </c>
      <c r="S60" s="1">
        <f t="shared" si="8"/>
        <v>56</v>
      </c>
      <c r="T60" t="s">
        <v>206</v>
      </c>
    </row>
    <row r="61" spans="1:20" ht="24.95" customHeight="1" x14ac:dyDescent="0.25">
      <c r="A61" s="30">
        <v>8</v>
      </c>
      <c r="B61" s="29">
        <v>57</v>
      </c>
      <c r="C61" s="29" t="s">
        <v>74</v>
      </c>
      <c r="D61" s="32">
        <v>4.4999999999999997E-3</v>
      </c>
      <c r="E61" s="263">
        <v>658651.56999999995</v>
      </c>
      <c r="F61" s="264">
        <v>672185.57</v>
      </c>
      <c r="G61" s="94">
        <f t="shared" si="0"/>
        <v>-13534</v>
      </c>
      <c r="H61" s="34">
        <f t="shared" si="10"/>
        <v>0</v>
      </c>
      <c r="I61" s="35">
        <f t="shared" si="14"/>
        <v>310500</v>
      </c>
      <c r="J61" s="35">
        <f t="shared" si="11"/>
        <v>0</v>
      </c>
      <c r="K61" s="35">
        <f t="shared" si="5"/>
        <v>159026.35142768399</v>
      </c>
      <c r="L61" s="35">
        <f t="shared" si="6"/>
        <v>202702.7028</v>
      </c>
      <c r="M61" s="35">
        <f t="shared" si="7"/>
        <v>0</v>
      </c>
      <c r="N61" s="120">
        <v>0</v>
      </c>
      <c r="O61" s="148"/>
      <c r="P61" s="343">
        <f t="shared" si="12"/>
        <v>658695.56999999995</v>
      </c>
      <c r="Q61" s="343"/>
      <c r="R61" s="25">
        <f t="shared" si="13"/>
        <v>0.56999999999999995</v>
      </c>
      <c r="S61" s="1">
        <f t="shared" si="8"/>
        <v>57</v>
      </c>
    </row>
    <row r="62" spans="1:20" ht="24.95" customHeight="1" x14ac:dyDescent="0.25">
      <c r="A62" s="182">
        <v>8</v>
      </c>
      <c r="B62" s="29">
        <v>58</v>
      </c>
      <c r="C62" s="29" t="s">
        <v>44</v>
      </c>
      <c r="D62" s="32">
        <v>4.4999999999999997E-3</v>
      </c>
      <c r="E62" s="263">
        <v>2042070.58</v>
      </c>
      <c r="F62" s="264">
        <f>703707+41427+658651</f>
        <v>1403785</v>
      </c>
      <c r="G62" s="94">
        <f t="shared" si="0"/>
        <v>638285.58000000007</v>
      </c>
      <c r="H62" s="34">
        <f t="shared" si="10"/>
        <v>19703.875854600003</v>
      </c>
      <c r="I62" s="35">
        <f t="shared" si="14"/>
        <v>310500</v>
      </c>
      <c r="J62" s="35">
        <f t="shared" si="11"/>
        <v>0</v>
      </c>
      <c r="K62" s="35">
        <f t="shared" si="5"/>
        <v>159026.35142768399</v>
      </c>
      <c r="L62" s="35">
        <f t="shared" si="6"/>
        <v>202702.7028</v>
      </c>
      <c r="M62" s="35">
        <f t="shared" si="7"/>
        <v>0</v>
      </c>
      <c r="N62" s="120">
        <v>0</v>
      </c>
      <c r="O62" s="148"/>
      <c r="P62" s="343">
        <f t="shared" si="12"/>
        <v>1330219.58</v>
      </c>
      <c r="Q62" s="343"/>
      <c r="R62" s="25">
        <f t="shared" si="13"/>
        <v>0.57999999999999996</v>
      </c>
      <c r="S62" s="1">
        <f t="shared" si="8"/>
        <v>58</v>
      </c>
    </row>
    <row r="63" spans="1:20" ht="24.95" customHeight="1" x14ac:dyDescent="0.25">
      <c r="A63" s="30">
        <v>9</v>
      </c>
      <c r="B63" s="29">
        <v>59</v>
      </c>
      <c r="C63" s="29" t="s">
        <v>75</v>
      </c>
      <c r="D63" s="32">
        <v>4.1000000000000003E-3</v>
      </c>
      <c r="E63" s="263">
        <v>625482.59</v>
      </c>
      <c r="F63" s="264">
        <f>E63</f>
        <v>625482.59</v>
      </c>
      <c r="G63" s="94">
        <f t="shared" si="0"/>
        <v>0</v>
      </c>
      <c r="H63" s="34">
        <f t="shared" si="10"/>
        <v>0</v>
      </c>
      <c r="I63" s="35">
        <f t="shared" si="14"/>
        <v>282900</v>
      </c>
      <c r="J63" s="35">
        <f t="shared" si="11"/>
        <v>0</v>
      </c>
      <c r="K63" s="35">
        <f t="shared" si="5"/>
        <v>159026.35142768399</v>
      </c>
      <c r="L63" s="35">
        <f t="shared" si="6"/>
        <v>202702.7028</v>
      </c>
      <c r="M63" s="35">
        <f t="shared" si="7"/>
        <v>0</v>
      </c>
      <c r="N63" s="120">
        <v>0</v>
      </c>
      <c r="O63" s="148"/>
      <c r="P63" s="343">
        <f t="shared" si="12"/>
        <v>644629.59</v>
      </c>
      <c r="Q63" s="343"/>
      <c r="R63" s="25">
        <f t="shared" si="13"/>
        <v>0.59</v>
      </c>
      <c r="S63" s="1">
        <f t="shared" si="8"/>
        <v>59</v>
      </c>
      <c r="T63" t="s">
        <v>322</v>
      </c>
    </row>
    <row r="64" spans="1:20" ht="24.95" customHeight="1" x14ac:dyDescent="0.25">
      <c r="A64" s="30">
        <v>9</v>
      </c>
      <c r="B64" s="29">
        <v>60</v>
      </c>
      <c r="C64" s="29" t="s">
        <v>76</v>
      </c>
      <c r="D64" s="32">
        <v>4.4999999999999997E-3</v>
      </c>
      <c r="E64" s="263">
        <v>658450.6</v>
      </c>
      <c r="F64" s="264">
        <f>296000+242000+147000</f>
        <v>685000</v>
      </c>
      <c r="G64" s="94">
        <f>E64-F64</f>
        <v>-26549.400000000023</v>
      </c>
      <c r="H64" s="34">
        <f t="shared" si="10"/>
        <v>0</v>
      </c>
      <c r="I64" s="35">
        <f t="shared" si="14"/>
        <v>310500</v>
      </c>
      <c r="J64" s="35">
        <f t="shared" si="11"/>
        <v>0</v>
      </c>
      <c r="K64" s="35">
        <f t="shared" si="5"/>
        <v>159026.35142768399</v>
      </c>
      <c r="L64" s="35">
        <f t="shared" si="6"/>
        <v>202702.7028</v>
      </c>
      <c r="M64" s="35">
        <f t="shared" si="7"/>
        <v>0</v>
      </c>
      <c r="N64" s="120">
        <v>0</v>
      </c>
      <c r="O64" s="148"/>
      <c r="P64" s="343">
        <f t="shared" si="12"/>
        <v>645680.6</v>
      </c>
      <c r="Q64" s="343"/>
      <c r="R64" s="25">
        <f t="shared" si="13"/>
        <v>0.6</v>
      </c>
      <c r="S64" s="1">
        <f t="shared" si="8"/>
        <v>60</v>
      </c>
      <c r="T64" t="s">
        <v>228</v>
      </c>
    </row>
    <row r="65" spans="1:20" ht="24.95" customHeight="1" x14ac:dyDescent="0.25">
      <c r="A65" s="240">
        <v>10</v>
      </c>
      <c r="B65" s="29">
        <v>61</v>
      </c>
      <c r="C65" s="29" t="s">
        <v>77</v>
      </c>
      <c r="D65" s="32">
        <v>4.4999999999999997E-3</v>
      </c>
      <c r="E65" s="263">
        <v>658586.61</v>
      </c>
      <c r="F65" s="264">
        <f>339000+243000+76586.61</f>
        <v>658586.61</v>
      </c>
      <c r="G65" s="94">
        <f t="shared" si="0"/>
        <v>0</v>
      </c>
      <c r="H65" s="34">
        <f t="shared" si="10"/>
        <v>0</v>
      </c>
      <c r="I65" s="35">
        <f t="shared" si="14"/>
        <v>310500</v>
      </c>
      <c r="J65" s="35">
        <f t="shared" si="11"/>
        <v>0</v>
      </c>
      <c r="K65" s="35">
        <f t="shared" si="5"/>
        <v>159026.35142768399</v>
      </c>
      <c r="L65" s="35">
        <f t="shared" si="6"/>
        <v>202702.7028</v>
      </c>
      <c r="M65" s="35">
        <f t="shared" si="7"/>
        <v>0</v>
      </c>
      <c r="N65" s="120">
        <v>0</v>
      </c>
      <c r="O65" s="148"/>
      <c r="P65" s="343">
        <f t="shared" si="12"/>
        <v>672229.61</v>
      </c>
      <c r="Q65" s="343"/>
      <c r="R65" s="25">
        <f t="shared" si="13"/>
        <v>0.61</v>
      </c>
      <c r="S65" s="1">
        <f t="shared" si="8"/>
        <v>61</v>
      </c>
      <c r="T65" s="99" t="s">
        <v>227</v>
      </c>
    </row>
    <row r="66" spans="1:20" ht="24.95" customHeight="1" x14ac:dyDescent="0.25">
      <c r="A66" s="30">
        <v>10</v>
      </c>
      <c r="B66" s="29">
        <v>62</v>
      </c>
      <c r="C66" s="29" t="s">
        <v>78</v>
      </c>
      <c r="D66" s="32">
        <v>4.1000000000000003E-3</v>
      </c>
      <c r="E66" s="263">
        <v>898130.62</v>
      </c>
      <c r="F66" s="264">
        <f t="shared" ref="F66:F73" si="15">E66</f>
        <v>898130.62</v>
      </c>
      <c r="G66" s="94">
        <f t="shared" si="0"/>
        <v>0</v>
      </c>
      <c r="H66" s="34">
        <f t="shared" si="10"/>
        <v>0</v>
      </c>
      <c r="I66" s="35">
        <f t="shared" si="14"/>
        <v>282900</v>
      </c>
      <c r="J66" s="35">
        <f t="shared" si="11"/>
        <v>0</v>
      </c>
      <c r="K66" s="35">
        <f t="shared" si="5"/>
        <v>159026.35142768399</v>
      </c>
      <c r="L66" s="35">
        <f t="shared" si="6"/>
        <v>202702.7028</v>
      </c>
      <c r="M66" s="35">
        <v>51707</v>
      </c>
      <c r="N66" s="120">
        <f>(I66+K66)/2</f>
        <v>220963.17571384198</v>
      </c>
      <c r="O66" s="148"/>
      <c r="P66" s="343">
        <f t="shared" si="12"/>
        <v>917299.62</v>
      </c>
      <c r="Q66" s="343"/>
      <c r="R66" s="25">
        <f t="shared" si="13"/>
        <v>0.62</v>
      </c>
      <c r="S66" s="1">
        <f t="shared" si="8"/>
        <v>62</v>
      </c>
    </row>
    <row r="67" spans="1:20" ht="24.95" customHeight="1" x14ac:dyDescent="0.25">
      <c r="A67" s="30">
        <v>11</v>
      </c>
      <c r="B67" s="29">
        <v>63</v>
      </c>
      <c r="C67" s="29" t="s">
        <v>79</v>
      </c>
      <c r="D67" s="32">
        <v>4.4999999999999997E-3</v>
      </c>
      <c r="E67" s="263">
        <v>658651.63</v>
      </c>
      <c r="F67" s="264">
        <f t="shared" si="15"/>
        <v>658651.63</v>
      </c>
      <c r="G67" s="94">
        <f>E67-F67</f>
        <v>0</v>
      </c>
      <c r="H67" s="34">
        <f t="shared" si="10"/>
        <v>0</v>
      </c>
      <c r="I67" s="35">
        <f t="shared" si="14"/>
        <v>310500</v>
      </c>
      <c r="J67" s="35">
        <f t="shared" si="11"/>
        <v>0</v>
      </c>
      <c r="K67" s="35">
        <f t="shared" si="5"/>
        <v>159026.35142768399</v>
      </c>
      <c r="L67" s="35">
        <f t="shared" si="6"/>
        <v>202702.7028</v>
      </c>
      <c r="M67" s="35">
        <f t="shared" si="7"/>
        <v>0</v>
      </c>
      <c r="N67" s="120">
        <v>0</v>
      </c>
      <c r="O67" s="148"/>
      <c r="P67" s="343">
        <f t="shared" si="12"/>
        <v>672229.63</v>
      </c>
      <c r="Q67" s="343"/>
      <c r="R67" s="25">
        <f t="shared" si="13"/>
        <v>0.63</v>
      </c>
      <c r="S67" s="1">
        <f t="shared" si="8"/>
        <v>63</v>
      </c>
      <c r="T67" t="s">
        <v>209</v>
      </c>
    </row>
    <row r="68" spans="1:20" ht="24.95" customHeight="1" x14ac:dyDescent="0.25">
      <c r="A68" s="30">
        <v>11</v>
      </c>
      <c r="B68" s="29">
        <v>64</v>
      </c>
      <c r="C68" s="29" t="s">
        <v>80</v>
      </c>
      <c r="D68" s="32">
        <v>4.4999999999999997E-3</v>
      </c>
      <c r="E68" s="263">
        <v>658651.64</v>
      </c>
      <c r="F68" s="264">
        <f t="shared" si="15"/>
        <v>658651.64</v>
      </c>
      <c r="G68" s="94">
        <f t="shared" si="0"/>
        <v>0</v>
      </c>
      <c r="H68" s="34">
        <f t="shared" si="10"/>
        <v>0</v>
      </c>
      <c r="I68" s="35">
        <f t="shared" si="14"/>
        <v>310500</v>
      </c>
      <c r="J68" s="35">
        <f t="shared" si="11"/>
        <v>0</v>
      </c>
      <c r="K68" s="35">
        <f t="shared" si="5"/>
        <v>159026.35142768399</v>
      </c>
      <c r="L68" s="35">
        <f t="shared" si="6"/>
        <v>202702.7028</v>
      </c>
      <c r="M68" s="35">
        <f t="shared" si="7"/>
        <v>0</v>
      </c>
      <c r="N68" s="120">
        <v>0</v>
      </c>
      <c r="O68" s="148"/>
      <c r="P68" s="343">
        <f t="shared" si="12"/>
        <v>672229.64</v>
      </c>
      <c r="Q68" s="343"/>
      <c r="R68" s="25">
        <f t="shared" si="13"/>
        <v>0.64</v>
      </c>
      <c r="S68" s="1">
        <f t="shared" si="8"/>
        <v>64</v>
      </c>
      <c r="T68" t="s">
        <v>244</v>
      </c>
    </row>
    <row r="69" spans="1:20" ht="24.95" customHeight="1" x14ac:dyDescent="0.25">
      <c r="A69" s="30">
        <v>12</v>
      </c>
      <c r="B69" s="29">
        <v>65</v>
      </c>
      <c r="C69" s="29" t="s">
        <v>81</v>
      </c>
      <c r="D69" s="32">
        <v>4.4999999999999997E-3</v>
      </c>
      <c r="E69" s="263">
        <v>658651.65</v>
      </c>
      <c r="F69" s="264">
        <f t="shared" si="15"/>
        <v>658651.65</v>
      </c>
      <c r="G69" s="94">
        <f t="shared" ref="G69:G156" si="16">E69-F69</f>
        <v>0</v>
      </c>
      <c r="H69" s="34">
        <f t="shared" si="10"/>
        <v>0</v>
      </c>
      <c r="I69" s="35">
        <f t="shared" si="14"/>
        <v>310500</v>
      </c>
      <c r="J69" s="35">
        <f t="shared" ref="J69:J100" si="17">P$2*D69</f>
        <v>0</v>
      </c>
      <c r="K69" s="35">
        <f t="shared" si="5"/>
        <v>159026.35142768399</v>
      </c>
      <c r="L69" s="35">
        <f t="shared" si="6"/>
        <v>202702.7028</v>
      </c>
      <c r="M69" s="35">
        <f t="shared" si="7"/>
        <v>0</v>
      </c>
      <c r="N69" s="120">
        <v>0</v>
      </c>
      <c r="O69" s="148"/>
      <c r="P69" s="343">
        <f t="shared" ref="P69:P100" si="18">ROUND(SUM(G69:O69),0) + R69</f>
        <v>672229.65</v>
      </c>
      <c r="Q69" s="343"/>
      <c r="R69" s="25">
        <f t="shared" ref="R69:R100" si="19">ROUND(0.001+B69/100,2)</f>
        <v>0.65</v>
      </c>
      <c r="S69" s="1">
        <f t="shared" si="8"/>
        <v>65</v>
      </c>
    </row>
    <row r="70" spans="1:20" ht="24.95" customHeight="1" x14ac:dyDescent="0.25">
      <c r="A70" s="30">
        <v>12</v>
      </c>
      <c r="B70" s="29">
        <v>66</v>
      </c>
      <c r="C70" s="29" t="s">
        <v>82</v>
      </c>
      <c r="D70" s="32">
        <v>4.4999999999999997E-3</v>
      </c>
      <c r="E70" s="263">
        <v>658651.66</v>
      </c>
      <c r="F70" s="264">
        <f t="shared" si="15"/>
        <v>658651.66</v>
      </c>
      <c r="G70" s="94">
        <f t="shared" si="16"/>
        <v>0</v>
      </c>
      <c r="H70" s="34">
        <f t="shared" si="10"/>
        <v>0</v>
      </c>
      <c r="I70" s="35">
        <f t="shared" si="14"/>
        <v>310500</v>
      </c>
      <c r="J70" s="35">
        <f t="shared" si="17"/>
        <v>0</v>
      </c>
      <c r="K70" s="35">
        <f t="shared" ref="K70:K133" si="20">G$2*0.675675676%</f>
        <v>159026.35142768399</v>
      </c>
      <c r="L70" s="35">
        <f t="shared" ref="L70:L133" si="21">P$1*0.675675676%</f>
        <v>202702.7028</v>
      </c>
      <c r="M70" s="35">
        <f t="shared" ref="M70:M133" si="22">G$1*D70</f>
        <v>0</v>
      </c>
      <c r="N70" s="120">
        <v>0</v>
      </c>
      <c r="O70" s="148"/>
      <c r="P70" s="343">
        <f t="shared" si="18"/>
        <v>672229.66</v>
      </c>
      <c r="Q70" s="343"/>
      <c r="R70" s="25">
        <f t="shared" si="19"/>
        <v>0.66</v>
      </c>
      <c r="S70" s="1">
        <f t="shared" ref="S70:S133" si="23">B70</f>
        <v>66</v>
      </c>
      <c r="T70" t="s">
        <v>281</v>
      </c>
    </row>
    <row r="71" spans="1:20" ht="24.95" customHeight="1" x14ac:dyDescent="0.25">
      <c r="A71" s="30">
        <v>1</v>
      </c>
      <c r="B71" s="29">
        <v>67</v>
      </c>
      <c r="C71" s="29" t="s">
        <v>83</v>
      </c>
      <c r="D71" s="32">
        <v>4.4999999999999997E-3</v>
      </c>
      <c r="E71" s="263">
        <v>1372264.67</v>
      </c>
      <c r="F71" s="264">
        <f t="shared" si="15"/>
        <v>1372264.67</v>
      </c>
      <c r="G71" s="94">
        <f t="shared" si="16"/>
        <v>0</v>
      </c>
      <c r="H71" s="34">
        <f t="shared" ref="H71:H134" si="24">IF(G71&gt;0,G71*3.087%,0)</f>
        <v>0</v>
      </c>
      <c r="I71" s="35">
        <f t="shared" si="14"/>
        <v>310500</v>
      </c>
      <c r="J71" s="35">
        <f t="shared" si="17"/>
        <v>0</v>
      </c>
      <c r="K71" s="35">
        <f t="shared" si="20"/>
        <v>159026.35142768399</v>
      </c>
      <c r="L71" s="35">
        <f t="shared" si="21"/>
        <v>202702.7028</v>
      </c>
      <c r="M71" s="35">
        <f t="shared" si="22"/>
        <v>0</v>
      </c>
      <c r="N71" s="120">
        <v>0</v>
      </c>
      <c r="O71" s="148"/>
      <c r="P71" s="343">
        <f t="shared" si="18"/>
        <v>672229.67</v>
      </c>
      <c r="Q71" s="343"/>
      <c r="R71" s="25">
        <f t="shared" si="19"/>
        <v>0.67</v>
      </c>
      <c r="S71" s="1">
        <f t="shared" si="23"/>
        <v>67</v>
      </c>
      <c r="T71" t="s">
        <v>351</v>
      </c>
    </row>
    <row r="72" spans="1:20" ht="24.95" customHeight="1" x14ac:dyDescent="0.25">
      <c r="A72" s="30"/>
      <c r="B72" s="29">
        <f>B71+1</f>
        <v>68</v>
      </c>
      <c r="C72" s="29" t="s">
        <v>87</v>
      </c>
      <c r="D72" s="32">
        <v>4.4999999999999997E-3</v>
      </c>
      <c r="E72" s="263">
        <v>2889655.68</v>
      </c>
      <c r="F72" s="264">
        <f t="shared" si="15"/>
        <v>2889655.68</v>
      </c>
      <c r="G72" s="94">
        <f t="shared" si="16"/>
        <v>0</v>
      </c>
      <c r="H72" s="34">
        <f t="shared" si="24"/>
        <v>0</v>
      </c>
      <c r="I72" s="35">
        <f t="shared" si="14"/>
        <v>310500</v>
      </c>
      <c r="J72" s="35">
        <f t="shared" si="17"/>
        <v>0</v>
      </c>
      <c r="K72" s="35">
        <f t="shared" si="20"/>
        <v>159026.35142768399</v>
      </c>
      <c r="L72" s="35">
        <f t="shared" si="21"/>
        <v>202702.7028</v>
      </c>
      <c r="M72" s="35">
        <v>56751</v>
      </c>
      <c r="N72" s="120">
        <f>(I72+K72)/2</f>
        <v>234763.17571384198</v>
      </c>
      <c r="O72" s="148"/>
      <c r="P72" s="343">
        <f t="shared" si="18"/>
        <v>963743.68</v>
      </c>
      <c r="Q72" s="343"/>
      <c r="R72" s="25">
        <f t="shared" si="19"/>
        <v>0.68</v>
      </c>
      <c r="S72" s="1">
        <f t="shared" si="23"/>
        <v>68</v>
      </c>
    </row>
    <row r="73" spans="1:20" ht="24.95" customHeight="1" x14ac:dyDescent="0.25">
      <c r="A73" s="30"/>
      <c r="B73" s="29">
        <f t="shared" ref="B73:B136" si="25">B72+1</f>
        <v>69</v>
      </c>
      <c r="C73" s="29" t="s">
        <v>88</v>
      </c>
      <c r="D73" s="32">
        <v>3.5999999999999999E-3</v>
      </c>
      <c r="E73" s="263">
        <v>598347.68999999994</v>
      </c>
      <c r="F73" s="264">
        <f t="shared" si="15"/>
        <v>598347.68999999994</v>
      </c>
      <c r="G73" s="94">
        <f t="shared" si="16"/>
        <v>0</v>
      </c>
      <c r="H73" s="34">
        <f t="shared" si="24"/>
        <v>0</v>
      </c>
      <c r="I73" s="35">
        <f t="shared" si="14"/>
        <v>248400</v>
      </c>
      <c r="J73" s="35">
        <f t="shared" si="17"/>
        <v>0</v>
      </c>
      <c r="K73" s="35">
        <f t="shared" si="20"/>
        <v>159026.35142768399</v>
      </c>
      <c r="L73" s="35">
        <f t="shared" si="21"/>
        <v>202702.7028</v>
      </c>
      <c r="M73" s="35">
        <f t="shared" si="22"/>
        <v>0</v>
      </c>
      <c r="N73" s="120">
        <v>0</v>
      </c>
      <c r="O73" s="148"/>
      <c r="P73" s="343">
        <f t="shared" si="18"/>
        <v>610129.68999999994</v>
      </c>
      <c r="Q73" s="343"/>
      <c r="R73" s="25">
        <f t="shared" si="19"/>
        <v>0.69</v>
      </c>
      <c r="S73" s="1">
        <f t="shared" si="23"/>
        <v>69</v>
      </c>
      <c r="T73" t="s">
        <v>225</v>
      </c>
    </row>
    <row r="74" spans="1:20" ht="24.95" customHeight="1" x14ac:dyDescent="0.25">
      <c r="A74" s="30"/>
      <c r="B74" s="29">
        <f t="shared" si="25"/>
        <v>70</v>
      </c>
      <c r="C74" s="29" t="s">
        <v>89</v>
      </c>
      <c r="D74" s="32">
        <v>4.4000000000000003E-3</v>
      </c>
      <c r="E74" s="263">
        <v>651952.69999999995</v>
      </c>
      <c r="F74" s="264"/>
      <c r="G74" s="94">
        <f t="shared" si="16"/>
        <v>651952.69999999995</v>
      </c>
      <c r="H74" s="34">
        <f t="shared" si="24"/>
        <v>20125.779848999999</v>
      </c>
      <c r="I74" s="35">
        <f t="shared" si="14"/>
        <v>303600</v>
      </c>
      <c r="J74" s="35">
        <f t="shared" si="17"/>
        <v>0</v>
      </c>
      <c r="K74" s="35">
        <f t="shared" si="20"/>
        <v>159026.35142768399</v>
      </c>
      <c r="L74" s="35">
        <f t="shared" si="21"/>
        <v>202702.7028</v>
      </c>
      <c r="M74" s="35">
        <f t="shared" si="22"/>
        <v>0</v>
      </c>
      <c r="N74" s="120">
        <v>0</v>
      </c>
      <c r="O74" s="148"/>
      <c r="P74" s="343">
        <f t="shared" si="18"/>
        <v>1337408.7</v>
      </c>
      <c r="Q74" s="343"/>
      <c r="R74" s="25">
        <f t="shared" si="19"/>
        <v>0.7</v>
      </c>
      <c r="S74" s="1">
        <f t="shared" si="23"/>
        <v>70</v>
      </c>
      <c r="T74" t="s">
        <v>286</v>
      </c>
    </row>
    <row r="75" spans="1:20" ht="24.95" customHeight="1" x14ac:dyDescent="0.25">
      <c r="A75" s="30"/>
      <c r="B75" s="29">
        <f t="shared" si="25"/>
        <v>71</v>
      </c>
      <c r="C75" s="29" t="s">
        <v>90</v>
      </c>
      <c r="D75" s="32">
        <v>4.0000000000000001E-3</v>
      </c>
      <c r="E75" s="263">
        <v>625149.71</v>
      </c>
      <c r="F75" s="264">
        <v>625150</v>
      </c>
      <c r="G75" s="94">
        <f t="shared" si="16"/>
        <v>-0.2900000000372529</v>
      </c>
      <c r="H75" s="34">
        <f t="shared" si="24"/>
        <v>0</v>
      </c>
      <c r="I75" s="35">
        <f t="shared" si="14"/>
        <v>276000</v>
      </c>
      <c r="J75" s="35">
        <f t="shared" si="17"/>
        <v>0</v>
      </c>
      <c r="K75" s="35">
        <f t="shared" si="20"/>
        <v>159026.35142768399</v>
      </c>
      <c r="L75" s="35">
        <f t="shared" si="21"/>
        <v>202702.7028</v>
      </c>
      <c r="M75" s="35">
        <f t="shared" si="22"/>
        <v>0</v>
      </c>
      <c r="N75" s="120">
        <v>0</v>
      </c>
      <c r="O75" s="148"/>
      <c r="P75" s="343">
        <f t="shared" si="18"/>
        <v>637729.71</v>
      </c>
      <c r="Q75" s="343"/>
      <c r="R75" s="25">
        <f t="shared" si="19"/>
        <v>0.71</v>
      </c>
      <c r="S75" s="1">
        <f t="shared" si="23"/>
        <v>71</v>
      </c>
      <c r="T75" t="s">
        <v>243</v>
      </c>
    </row>
    <row r="76" spans="1:20" ht="24.95" customHeight="1" x14ac:dyDescent="0.25">
      <c r="A76" s="160"/>
      <c r="B76" s="29">
        <f t="shared" si="25"/>
        <v>72</v>
      </c>
      <c r="C76" s="29" t="s">
        <v>91</v>
      </c>
      <c r="D76" s="32">
        <v>4.0000000000000001E-3</v>
      </c>
      <c r="E76" s="263">
        <v>1246505.72</v>
      </c>
      <c r="F76" s="264">
        <f>650000*2</f>
        <v>1300000</v>
      </c>
      <c r="G76" s="94">
        <f t="shared" si="16"/>
        <v>-53494.280000000028</v>
      </c>
      <c r="H76" s="34">
        <f t="shared" si="24"/>
        <v>0</v>
      </c>
      <c r="I76" s="35">
        <f t="shared" si="14"/>
        <v>276000</v>
      </c>
      <c r="J76" s="35">
        <f t="shared" si="17"/>
        <v>0</v>
      </c>
      <c r="K76" s="35">
        <f t="shared" si="20"/>
        <v>159026.35142768399</v>
      </c>
      <c r="L76" s="35">
        <f t="shared" si="21"/>
        <v>202702.7028</v>
      </c>
      <c r="M76" s="35">
        <f t="shared" si="22"/>
        <v>0</v>
      </c>
      <c r="N76" s="120">
        <v>0</v>
      </c>
      <c r="O76" s="148"/>
      <c r="P76" s="343">
        <f t="shared" si="18"/>
        <v>584235.72</v>
      </c>
      <c r="Q76" s="343"/>
      <c r="R76" s="25">
        <f t="shared" si="19"/>
        <v>0.72</v>
      </c>
      <c r="S76" s="1">
        <f t="shared" si="23"/>
        <v>72</v>
      </c>
      <c r="T76" t="s">
        <v>207</v>
      </c>
    </row>
    <row r="77" spans="1:20" ht="24.95" customHeight="1" x14ac:dyDescent="0.25">
      <c r="A77" s="215"/>
      <c r="B77" s="29">
        <f t="shared" si="25"/>
        <v>73</v>
      </c>
      <c r="C77" s="29" t="s">
        <v>92</v>
      </c>
      <c r="D77" s="32">
        <v>4.0000000000000001E-3</v>
      </c>
      <c r="E77" s="263">
        <v>1276337.73</v>
      </c>
      <c r="F77" s="264">
        <f>625000+620000+31338</f>
        <v>1276338</v>
      </c>
      <c r="G77" s="94">
        <f t="shared" si="16"/>
        <v>-0.27000000001862645</v>
      </c>
      <c r="H77" s="34">
        <f t="shared" si="24"/>
        <v>0</v>
      </c>
      <c r="I77" s="35">
        <f t="shared" si="14"/>
        <v>276000</v>
      </c>
      <c r="J77" s="35">
        <f t="shared" si="17"/>
        <v>0</v>
      </c>
      <c r="K77" s="35">
        <f t="shared" si="20"/>
        <v>159026.35142768399</v>
      </c>
      <c r="L77" s="35">
        <f t="shared" si="21"/>
        <v>202702.7028</v>
      </c>
      <c r="M77" s="35">
        <f t="shared" si="22"/>
        <v>0</v>
      </c>
      <c r="N77" s="120">
        <v>0</v>
      </c>
      <c r="O77" s="148"/>
      <c r="P77" s="343">
        <f t="shared" si="18"/>
        <v>637729.73</v>
      </c>
      <c r="Q77" s="343"/>
      <c r="R77" s="25">
        <f t="shared" si="19"/>
        <v>0.73</v>
      </c>
      <c r="S77" s="1">
        <f t="shared" si="23"/>
        <v>73</v>
      </c>
    </row>
    <row r="78" spans="1:20" ht="24.95" customHeight="1" x14ac:dyDescent="0.25">
      <c r="A78" s="30"/>
      <c r="B78" s="29">
        <f t="shared" si="25"/>
        <v>74</v>
      </c>
      <c r="C78" s="29" t="s">
        <v>93</v>
      </c>
      <c r="D78" s="32">
        <v>4.4000000000000003E-3</v>
      </c>
      <c r="E78" s="263">
        <v>651951.74</v>
      </c>
      <c r="F78" s="264">
        <f>E78</f>
        <v>651951.74</v>
      </c>
      <c r="G78" s="94">
        <f t="shared" si="16"/>
        <v>0</v>
      </c>
      <c r="H78" s="34">
        <f t="shared" si="24"/>
        <v>0</v>
      </c>
      <c r="I78" s="35">
        <f t="shared" si="14"/>
        <v>303600</v>
      </c>
      <c r="J78" s="35">
        <f t="shared" si="17"/>
        <v>0</v>
      </c>
      <c r="K78" s="35">
        <f t="shared" si="20"/>
        <v>159026.35142768399</v>
      </c>
      <c r="L78" s="35">
        <f t="shared" si="21"/>
        <v>202702.7028</v>
      </c>
      <c r="M78" s="35">
        <f t="shared" si="22"/>
        <v>0</v>
      </c>
      <c r="N78" s="120">
        <v>0</v>
      </c>
      <c r="O78" s="148"/>
      <c r="P78" s="343">
        <f t="shared" si="18"/>
        <v>665329.74</v>
      </c>
      <c r="Q78" s="343"/>
      <c r="R78" s="25">
        <f t="shared" si="19"/>
        <v>0.74</v>
      </c>
      <c r="S78" s="1">
        <f t="shared" si="23"/>
        <v>74</v>
      </c>
    </row>
    <row r="79" spans="1:20" ht="24.95" customHeight="1" x14ac:dyDescent="0.25">
      <c r="A79" s="30"/>
      <c r="B79" s="29">
        <f t="shared" si="25"/>
        <v>75</v>
      </c>
      <c r="C79" s="29" t="s">
        <v>267</v>
      </c>
      <c r="D79" s="32">
        <v>4.1000000000000003E-3</v>
      </c>
      <c r="E79" s="263">
        <v>631849.75</v>
      </c>
      <c r="F79" s="264">
        <f>E79</f>
        <v>631849.75</v>
      </c>
      <c r="G79" s="94">
        <f t="shared" si="16"/>
        <v>0</v>
      </c>
      <c r="H79" s="34">
        <f t="shared" si="24"/>
        <v>0</v>
      </c>
      <c r="I79" s="35">
        <f t="shared" si="14"/>
        <v>282900</v>
      </c>
      <c r="J79" s="35">
        <f t="shared" si="17"/>
        <v>0</v>
      </c>
      <c r="K79" s="35">
        <f t="shared" si="20"/>
        <v>159026.35142768399</v>
      </c>
      <c r="L79" s="35">
        <f t="shared" si="21"/>
        <v>202702.7028</v>
      </c>
      <c r="M79" s="35">
        <f t="shared" si="22"/>
        <v>0</v>
      </c>
      <c r="N79" s="120">
        <v>0</v>
      </c>
      <c r="O79" s="148"/>
      <c r="P79" s="343">
        <f t="shared" si="18"/>
        <v>644629.75</v>
      </c>
      <c r="Q79" s="343"/>
      <c r="R79" s="25">
        <f t="shared" si="19"/>
        <v>0.75</v>
      </c>
      <c r="S79" s="1">
        <f t="shared" si="23"/>
        <v>75</v>
      </c>
      <c r="T79" t="s">
        <v>223</v>
      </c>
    </row>
    <row r="80" spans="1:20" ht="24.95" customHeight="1" x14ac:dyDescent="0.25">
      <c r="A80" s="30"/>
      <c r="B80" s="29">
        <f t="shared" si="25"/>
        <v>76</v>
      </c>
      <c r="C80" s="29" t="s">
        <v>85</v>
      </c>
      <c r="D80" s="32">
        <v>4.4999999999999997E-3</v>
      </c>
      <c r="E80" s="263">
        <v>658651.76</v>
      </c>
      <c r="F80" s="264">
        <f>E80</f>
        <v>658651.76</v>
      </c>
      <c r="G80" s="94">
        <f t="shared" si="16"/>
        <v>0</v>
      </c>
      <c r="H80" s="34">
        <f t="shared" si="24"/>
        <v>0</v>
      </c>
      <c r="I80" s="35">
        <f t="shared" si="14"/>
        <v>310500</v>
      </c>
      <c r="J80" s="35">
        <f t="shared" si="17"/>
        <v>0</v>
      </c>
      <c r="K80" s="35">
        <f t="shared" si="20"/>
        <v>159026.35142768399</v>
      </c>
      <c r="L80" s="35">
        <f t="shared" si="21"/>
        <v>202702.7028</v>
      </c>
      <c r="M80" s="35">
        <f t="shared" si="22"/>
        <v>0</v>
      </c>
      <c r="N80" s="120">
        <v>0</v>
      </c>
      <c r="O80" s="148"/>
      <c r="P80" s="343">
        <f t="shared" si="18"/>
        <v>672229.76</v>
      </c>
      <c r="Q80" s="343"/>
      <c r="R80" s="25">
        <f t="shared" si="19"/>
        <v>0.76</v>
      </c>
      <c r="S80" s="1">
        <f t="shared" si="23"/>
        <v>76</v>
      </c>
    </row>
    <row r="81" spans="1:24" ht="24.95" customHeight="1" x14ac:dyDescent="0.25">
      <c r="A81" s="30"/>
      <c r="B81" s="29">
        <f t="shared" si="25"/>
        <v>77</v>
      </c>
      <c r="C81" s="29" t="s">
        <v>94</v>
      </c>
      <c r="D81" s="32">
        <v>6.1000000000000004E-3</v>
      </c>
      <c r="E81" s="263">
        <v>1572593.77</v>
      </c>
      <c r="F81" s="264">
        <f>782575.77+765859.77+24158</f>
        <v>1572593.54</v>
      </c>
      <c r="G81" s="94">
        <f t="shared" si="16"/>
        <v>0.22999999998137355</v>
      </c>
      <c r="H81" s="34">
        <f t="shared" si="24"/>
        <v>7.1000999994250014E-3</v>
      </c>
      <c r="I81" s="35">
        <f t="shared" si="14"/>
        <v>420900</v>
      </c>
      <c r="J81" s="35">
        <f t="shared" si="17"/>
        <v>0</v>
      </c>
      <c r="K81" s="35">
        <f t="shared" si="20"/>
        <v>159026.35142768399</v>
      </c>
      <c r="L81" s="35">
        <f t="shared" si="21"/>
        <v>202702.7028</v>
      </c>
      <c r="M81" s="35">
        <f t="shared" si="22"/>
        <v>0</v>
      </c>
      <c r="N81" s="120">
        <v>0</v>
      </c>
      <c r="O81" s="148"/>
      <c r="P81" s="343">
        <f t="shared" si="18"/>
        <v>782629.77</v>
      </c>
      <c r="Q81" s="343"/>
      <c r="R81" s="25">
        <f t="shared" si="19"/>
        <v>0.77</v>
      </c>
      <c r="S81" s="1">
        <f t="shared" si="23"/>
        <v>77</v>
      </c>
      <c r="T81" t="s">
        <v>326</v>
      </c>
    </row>
    <row r="82" spans="1:24" ht="24.95" customHeight="1" x14ac:dyDescent="0.25">
      <c r="A82" s="30"/>
      <c r="B82" s="29">
        <f t="shared" si="25"/>
        <v>78</v>
      </c>
      <c r="C82" s="29" t="s">
        <v>95</v>
      </c>
      <c r="D82" s="32">
        <v>4.7999999999999996E-3</v>
      </c>
      <c r="E82" s="263">
        <v>677670.78</v>
      </c>
      <c r="F82" s="264">
        <f>E82</f>
        <v>677670.78</v>
      </c>
      <c r="G82" s="94">
        <f t="shared" si="16"/>
        <v>0</v>
      </c>
      <c r="H82" s="34">
        <f t="shared" si="24"/>
        <v>0</v>
      </c>
      <c r="I82" s="35">
        <f t="shared" si="14"/>
        <v>331200</v>
      </c>
      <c r="J82" s="35">
        <f t="shared" si="17"/>
        <v>0</v>
      </c>
      <c r="K82" s="35">
        <f t="shared" si="20"/>
        <v>159026.35142768399</v>
      </c>
      <c r="L82" s="35">
        <f t="shared" si="21"/>
        <v>202702.7028</v>
      </c>
      <c r="M82" s="35">
        <f t="shared" si="22"/>
        <v>0</v>
      </c>
      <c r="N82" s="120">
        <v>0</v>
      </c>
      <c r="O82" s="148"/>
      <c r="P82" s="343">
        <f t="shared" si="18"/>
        <v>692929.78</v>
      </c>
      <c r="Q82" s="343"/>
      <c r="R82" s="25">
        <f t="shared" si="19"/>
        <v>0.78</v>
      </c>
      <c r="S82" s="1">
        <f t="shared" si="23"/>
        <v>78</v>
      </c>
      <c r="T82" t="s">
        <v>271</v>
      </c>
    </row>
    <row r="83" spans="1:24" ht="24.95" customHeight="1" x14ac:dyDescent="0.25">
      <c r="A83" s="30"/>
      <c r="B83" s="29">
        <f t="shared" si="25"/>
        <v>79</v>
      </c>
      <c r="C83" s="29" t="s">
        <v>96</v>
      </c>
      <c r="D83" s="136">
        <v>4.4999999999999997E-3</v>
      </c>
      <c r="E83" s="265">
        <v>1383904.79</v>
      </c>
      <c r="F83" s="264">
        <f>357633+314553+263206+408980</f>
        <v>1344372</v>
      </c>
      <c r="G83" s="95">
        <f t="shared" si="16"/>
        <v>39532.790000000037</v>
      </c>
      <c r="H83" s="137">
        <f t="shared" si="24"/>
        <v>1220.3772273000013</v>
      </c>
      <c r="I83" s="120">
        <f t="shared" si="14"/>
        <v>310500</v>
      </c>
      <c r="J83" s="120">
        <f t="shared" si="17"/>
        <v>0</v>
      </c>
      <c r="K83" s="120">
        <f t="shared" si="20"/>
        <v>159026.35142768399</v>
      </c>
      <c r="L83" s="120">
        <f t="shared" si="21"/>
        <v>202702.7028</v>
      </c>
      <c r="M83" s="120">
        <f t="shared" si="22"/>
        <v>0</v>
      </c>
      <c r="N83" s="120">
        <v>0</v>
      </c>
      <c r="O83" s="148"/>
      <c r="P83" s="347">
        <f t="shared" si="18"/>
        <v>712982.79</v>
      </c>
      <c r="Q83" s="347"/>
      <c r="R83" s="138">
        <f t="shared" si="19"/>
        <v>0.79</v>
      </c>
      <c r="S83" s="91">
        <f t="shared" si="23"/>
        <v>79</v>
      </c>
      <c r="T83" s="52" t="s">
        <v>450</v>
      </c>
      <c r="X83" t="s">
        <v>273</v>
      </c>
    </row>
    <row r="84" spans="1:24" ht="24.95" customHeight="1" x14ac:dyDescent="0.25">
      <c r="A84" s="30"/>
      <c r="B84" s="29">
        <f t="shared" si="25"/>
        <v>80</v>
      </c>
      <c r="C84" s="29" t="s">
        <v>97</v>
      </c>
      <c r="D84" s="32">
        <v>4.4999999999999997E-3</v>
      </c>
      <c r="E84" s="263">
        <v>658651.80000000005</v>
      </c>
      <c r="F84" s="264">
        <f>E84</f>
        <v>658651.80000000005</v>
      </c>
      <c r="G84" s="94">
        <f t="shared" si="16"/>
        <v>0</v>
      </c>
      <c r="H84" s="34">
        <f t="shared" si="24"/>
        <v>0</v>
      </c>
      <c r="I84" s="35">
        <f t="shared" si="14"/>
        <v>310500</v>
      </c>
      <c r="J84" s="35">
        <f t="shared" si="17"/>
        <v>0</v>
      </c>
      <c r="K84" s="35">
        <f t="shared" si="20"/>
        <v>159026.35142768399</v>
      </c>
      <c r="L84" s="35">
        <f t="shared" si="21"/>
        <v>202702.7028</v>
      </c>
      <c r="M84" s="35">
        <f t="shared" si="22"/>
        <v>0</v>
      </c>
      <c r="N84" s="120">
        <v>0</v>
      </c>
      <c r="O84" s="148"/>
      <c r="P84" s="343">
        <f t="shared" si="18"/>
        <v>672229.8</v>
      </c>
      <c r="Q84" s="343"/>
      <c r="R84" s="25">
        <f t="shared" si="19"/>
        <v>0.8</v>
      </c>
      <c r="S84" s="1">
        <f t="shared" si="23"/>
        <v>80</v>
      </c>
      <c r="T84" t="s">
        <v>289</v>
      </c>
    </row>
    <row r="85" spans="1:24" ht="24.95" customHeight="1" x14ac:dyDescent="0.25">
      <c r="A85" s="30"/>
      <c r="B85" s="29">
        <f t="shared" si="25"/>
        <v>81</v>
      </c>
      <c r="C85" s="29" t="s">
        <v>98</v>
      </c>
      <c r="D85" s="32">
        <v>4.4999999999999997E-3</v>
      </c>
      <c r="E85" s="263">
        <v>679558.81</v>
      </c>
      <c r="F85" s="264"/>
      <c r="G85" s="94">
        <f t="shared" si="16"/>
        <v>679558.81</v>
      </c>
      <c r="H85" s="34">
        <f t="shared" si="24"/>
        <v>20977.980464700002</v>
      </c>
      <c r="I85" s="35">
        <f t="shared" si="14"/>
        <v>310500</v>
      </c>
      <c r="J85" s="35">
        <f t="shared" si="17"/>
        <v>0</v>
      </c>
      <c r="K85" s="35">
        <f t="shared" si="20"/>
        <v>159026.35142768399</v>
      </c>
      <c r="L85" s="35">
        <f t="shared" si="21"/>
        <v>202702.7028</v>
      </c>
      <c r="M85" s="35">
        <f t="shared" si="22"/>
        <v>0</v>
      </c>
      <c r="N85" s="120">
        <v>0</v>
      </c>
      <c r="O85" s="148"/>
      <c r="P85" s="343">
        <f t="shared" si="18"/>
        <v>1372766.81</v>
      </c>
      <c r="Q85" s="343"/>
      <c r="R85" s="25">
        <f t="shared" si="19"/>
        <v>0.81</v>
      </c>
      <c r="S85" s="1">
        <f t="shared" si="23"/>
        <v>81</v>
      </c>
      <c r="T85" t="s">
        <v>258</v>
      </c>
    </row>
    <row r="86" spans="1:24" ht="24.95" customHeight="1" x14ac:dyDescent="0.25">
      <c r="A86" s="157"/>
      <c r="B86" s="29">
        <f t="shared" si="25"/>
        <v>82</v>
      </c>
      <c r="C86" s="29" t="s">
        <v>99</v>
      </c>
      <c r="D86" s="32">
        <v>4.1999999999999997E-3</v>
      </c>
      <c r="E86" s="263">
        <v>2612682.8199999998</v>
      </c>
      <c r="F86" s="264">
        <f>638566.82+1915000</f>
        <v>2553566.8199999998</v>
      </c>
      <c r="G86" s="94">
        <f t="shared" si="16"/>
        <v>59116</v>
      </c>
      <c r="H86" s="34">
        <f t="shared" si="24"/>
        <v>1824.91092</v>
      </c>
      <c r="I86" s="35">
        <f t="shared" si="14"/>
        <v>289800</v>
      </c>
      <c r="J86" s="35">
        <f t="shared" si="17"/>
        <v>0</v>
      </c>
      <c r="K86" s="35">
        <f t="shared" si="20"/>
        <v>159026.35142768399</v>
      </c>
      <c r="L86" s="35">
        <f t="shared" si="21"/>
        <v>202702.7028</v>
      </c>
      <c r="M86" s="35">
        <f t="shared" si="22"/>
        <v>0</v>
      </c>
      <c r="N86" s="120">
        <v>0</v>
      </c>
      <c r="O86" s="148"/>
      <c r="P86" s="343">
        <f t="shared" si="18"/>
        <v>712470.82</v>
      </c>
      <c r="Q86" s="343"/>
      <c r="R86" s="25">
        <f t="shared" si="19"/>
        <v>0.82</v>
      </c>
      <c r="S86" s="1">
        <f t="shared" si="23"/>
        <v>82</v>
      </c>
      <c r="T86" t="s">
        <v>456</v>
      </c>
      <c r="V86" s="29"/>
    </row>
    <row r="87" spans="1:24" ht="24.95" customHeight="1" x14ac:dyDescent="0.25">
      <c r="A87" s="30"/>
      <c r="B87" s="29">
        <f t="shared" si="25"/>
        <v>83</v>
      </c>
      <c r="C87" s="29" t="s">
        <v>100</v>
      </c>
      <c r="D87" s="32">
        <v>4.7999999999999996E-3</v>
      </c>
      <c r="E87" s="263">
        <v>678753.83</v>
      </c>
      <c r="F87" s="264">
        <f>E87</f>
        <v>678753.83</v>
      </c>
      <c r="G87" s="94">
        <f t="shared" si="16"/>
        <v>0</v>
      </c>
      <c r="H87" s="34">
        <f t="shared" si="24"/>
        <v>0</v>
      </c>
      <c r="I87" s="35">
        <f t="shared" si="14"/>
        <v>331200</v>
      </c>
      <c r="J87" s="35">
        <f t="shared" si="17"/>
        <v>0</v>
      </c>
      <c r="K87" s="35">
        <f t="shared" si="20"/>
        <v>159026.35142768399</v>
      </c>
      <c r="L87" s="35">
        <f t="shared" si="21"/>
        <v>202702.7028</v>
      </c>
      <c r="M87" s="35">
        <f t="shared" si="22"/>
        <v>0</v>
      </c>
      <c r="N87" s="120">
        <v>0</v>
      </c>
      <c r="O87" s="148"/>
      <c r="P87" s="343">
        <f t="shared" si="18"/>
        <v>692929.83</v>
      </c>
      <c r="Q87" s="343"/>
      <c r="R87" s="25">
        <f t="shared" si="19"/>
        <v>0.83</v>
      </c>
      <c r="S87" s="1">
        <f t="shared" si="23"/>
        <v>83</v>
      </c>
    </row>
    <row r="88" spans="1:24" ht="24.95" customHeight="1" x14ac:dyDescent="0.25">
      <c r="A88" s="30"/>
      <c r="B88" s="29">
        <f t="shared" si="25"/>
        <v>84</v>
      </c>
      <c r="C88" s="29" t="s">
        <v>100</v>
      </c>
      <c r="D88" s="32">
        <v>4.7999999999999996E-3</v>
      </c>
      <c r="E88" s="263">
        <v>678753.84</v>
      </c>
      <c r="F88" s="264">
        <f>E88</f>
        <v>678753.84</v>
      </c>
      <c r="G88" s="94">
        <f t="shared" si="16"/>
        <v>0</v>
      </c>
      <c r="H88" s="34">
        <f t="shared" si="24"/>
        <v>0</v>
      </c>
      <c r="I88" s="35">
        <f t="shared" si="14"/>
        <v>331200</v>
      </c>
      <c r="J88" s="35">
        <f t="shared" si="17"/>
        <v>0</v>
      </c>
      <c r="K88" s="35">
        <f t="shared" si="20"/>
        <v>159026.35142768399</v>
      </c>
      <c r="L88" s="35">
        <f t="shared" si="21"/>
        <v>202702.7028</v>
      </c>
      <c r="M88" s="35">
        <f t="shared" si="22"/>
        <v>0</v>
      </c>
      <c r="N88" s="120">
        <v>0</v>
      </c>
      <c r="O88" s="148"/>
      <c r="P88" s="343">
        <f t="shared" si="18"/>
        <v>692929.84</v>
      </c>
      <c r="Q88" s="343"/>
      <c r="R88" s="25">
        <f t="shared" si="19"/>
        <v>0.84</v>
      </c>
      <c r="S88" s="1">
        <f t="shared" si="23"/>
        <v>84</v>
      </c>
    </row>
    <row r="89" spans="1:24" ht="24.95" customHeight="1" x14ac:dyDescent="0.25">
      <c r="A89" s="30"/>
      <c r="B89" s="29">
        <f t="shared" si="25"/>
        <v>85</v>
      </c>
      <c r="C89" s="29" t="s">
        <v>101</v>
      </c>
      <c r="D89" s="32">
        <v>4.7999999999999996E-3</v>
      </c>
      <c r="E89" s="263">
        <v>678753.85</v>
      </c>
      <c r="F89" s="264">
        <f>E89</f>
        <v>678753.85</v>
      </c>
      <c r="G89" s="94">
        <f t="shared" si="16"/>
        <v>0</v>
      </c>
      <c r="H89" s="34">
        <f t="shared" si="24"/>
        <v>0</v>
      </c>
      <c r="I89" s="35">
        <f t="shared" si="14"/>
        <v>331200</v>
      </c>
      <c r="J89" s="35">
        <f t="shared" si="17"/>
        <v>0</v>
      </c>
      <c r="K89" s="35">
        <f t="shared" si="20"/>
        <v>159026.35142768399</v>
      </c>
      <c r="L89" s="35">
        <f t="shared" si="21"/>
        <v>202702.7028</v>
      </c>
      <c r="M89" s="35">
        <f t="shared" si="22"/>
        <v>0</v>
      </c>
      <c r="N89" s="120">
        <v>0</v>
      </c>
      <c r="O89" s="148"/>
      <c r="P89" s="343">
        <f t="shared" si="18"/>
        <v>692929.85</v>
      </c>
      <c r="Q89" s="343"/>
      <c r="R89" s="25">
        <f t="shared" si="19"/>
        <v>0.85</v>
      </c>
      <c r="S89" s="1">
        <f t="shared" si="23"/>
        <v>85</v>
      </c>
      <c r="T89" t="s">
        <v>241</v>
      </c>
    </row>
    <row r="90" spans="1:24" ht="24.95" customHeight="1" x14ac:dyDescent="0.25">
      <c r="A90" s="30"/>
      <c r="B90" s="29">
        <f t="shared" si="25"/>
        <v>86</v>
      </c>
      <c r="C90" s="29" t="s">
        <v>178</v>
      </c>
      <c r="D90" s="32">
        <v>4.7999999999999996E-3</v>
      </c>
      <c r="E90" s="263">
        <v>678753.86</v>
      </c>
      <c r="F90" s="264">
        <f>E90</f>
        <v>678753.86</v>
      </c>
      <c r="G90" s="94">
        <f t="shared" si="16"/>
        <v>0</v>
      </c>
      <c r="H90" s="34">
        <f t="shared" si="24"/>
        <v>0</v>
      </c>
      <c r="I90" s="35">
        <f t="shared" si="14"/>
        <v>331200</v>
      </c>
      <c r="J90" s="35">
        <f t="shared" si="17"/>
        <v>0</v>
      </c>
      <c r="K90" s="35">
        <f t="shared" si="20"/>
        <v>159026.35142768399</v>
      </c>
      <c r="L90" s="35">
        <f t="shared" si="21"/>
        <v>202702.7028</v>
      </c>
      <c r="M90" s="35">
        <f t="shared" si="22"/>
        <v>0</v>
      </c>
      <c r="N90" s="120">
        <v>0</v>
      </c>
      <c r="O90" s="148"/>
      <c r="P90" s="343">
        <f t="shared" si="18"/>
        <v>692929.86</v>
      </c>
      <c r="Q90" s="343"/>
      <c r="R90" s="25">
        <f t="shared" si="19"/>
        <v>0.86</v>
      </c>
      <c r="S90" s="1">
        <f t="shared" si="23"/>
        <v>86</v>
      </c>
    </row>
    <row r="91" spans="1:24" ht="24.95" customHeight="1" x14ac:dyDescent="0.25">
      <c r="A91" s="30"/>
      <c r="B91" s="29">
        <f t="shared" si="25"/>
        <v>87</v>
      </c>
      <c r="C91" s="29" t="s">
        <v>102</v>
      </c>
      <c r="D91" s="32">
        <v>4.7999999999999996E-3</v>
      </c>
      <c r="E91" s="263">
        <v>678753.87</v>
      </c>
      <c r="F91" s="264">
        <f>E91</f>
        <v>678753.87</v>
      </c>
      <c r="G91" s="94">
        <f t="shared" si="16"/>
        <v>0</v>
      </c>
      <c r="H91" s="34">
        <f t="shared" si="24"/>
        <v>0</v>
      </c>
      <c r="I91" s="35">
        <f t="shared" si="14"/>
        <v>331200</v>
      </c>
      <c r="J91" s="35">
        <f t="shared" si="17"/>
        <v>0</v>
      </c>
      <c r="K91" s="35">
        <f t="shared" si="20"/>
        <v>159026.35142768399</v>
      </c>
      <c r="L91" s="35">
        <f t="shared" si="21"/>
        <v>202702.7028</v>
      </c>
      <c r="M91" s="35">
        <f t="shared" si="22"/>
        <v>0</v>
      </c>
      <c r="N91" s="120">
        <v>0</v>
      </c>
      <c r="O91" s="148"/>
      <c r="P91" s="343">
        <f t="shared" si="18"/>
        <v>692929.87</v>
      </c>
      <c r="Q91" s="343"/>
      <c r="R91" s="25">
        <f t="shared" si="19"/>
        <v>0.87</v>
      </c>
      <c r="S91" s="1">
        <f t="shared" si="23"/>
        <v>87</v>
      </c>
    </row>
    <row r="92" spans="1:24" ht="24.95" customHeight="1" x14ac:dyDescent="0.25">
      <c r="A92" s="220"/>
      <c r="B92" s="29">
        <f t="shared" si="25"/>
        <v>88</v>
      </c>
      <c r="C92" s="29" t="s">
        <v>103</v>
      </c>
      <c r="D92" s="32">
        <v>4.7999999999999996E-3</v>
      </c>
      <c r="E92" s="263">
        <v>671637.88</v>
      </c>
      <c r="F92" s="264">
        <v>672000</v>
      </c>
      <c r="G92" s="94">
        <f t="shared" si="16"/>
        <v>-362.11999999999534</v>
      </c>
      <c r="H92" s="34">
        <f t="shared" si="24"/>
        <v>0</v>
      </c>
      <c r="I92" s="35">
        <f t="shared" si="14"/>
        <v>331200</v>
      </c>
      <c r="J92" s="35">
        <f t="shared" si="17"/>
        <v>0</v>
      </c>
      <c r="K92" s="35">
        <f t="shared" si="20"/>
        <v>159026.35142768399</v>
      </c>
      <c r="L92" s="35">
        <f t="shared" si="21"/>
        <v>202702.7028</v>
      </c>
      <c r="M92" s="35">
        <f t="shared" si="22"/>
        <v>0</v>
      </c>
      <c r="N92" s="120">
        <v>0</v>
      </c>
      <c r="O92" s="148"/>
      <c r="P92" s="343">
        <f t="shared" si="18"/>
        <v>692567.88</v>
      </c>
      <c r="Q92" s="343"/>
      <c r="R92" s="25">
        <f t="shared" si="19"/>
        <v>0.88</v>
      </c>
      <c r="S92" s="1">
        <f t="shared" si="23"/>
        <v>88</v>
      </c>
    </row>
    <row r="93" spans="1:24" ht="24.95" customHeight="1" x14ac:dyDescent="0.25">
      <c r="A93" s="30"/>
      <c r="B93" s="29">
        <f t="shared" si="25"/>
        <v>89</v>
      </c>
      <c r="C93" s="29" t="s">
        <v>239</v>
      </c>
      <c r="D93" s="136">
        <v>4.7999999999999996E-3</v>
      </c>
      <c r="E93" s="265">
        <v>678753.89</v>
      </c>
      <c r="F93" s="264">
        <f>E93</f>
        <v>678753.89</v>
      </c>
      <c r="G93" s="95">
        <f t="shared" si="16"/>
        <v>0</v>
      </c>
      <c r="H93" s="137">
        <f t="shared" si="24"/>
        <v>0</v>
      </c>
      <c r="I93" s="120">
        <f t="shared" si="14"/>
        <v>331200</v>
      </c>
      <c r="J93" s="120">
        <f t="shared" si="17"/>
        <v>0</v>
      </c>
      <c r="K93" s="120">
        <f t="shared" si="20"/>
        <v>159026.35142768399</v>
      </c>
      <c r="L93" s="120">
        <f t="shared" si="21"/>
        <v>202702.7028</v>
      </c>
      <c r="M93" s="120">
        <f t="shared" si="22"/>
        <v>0</v>
      </c>
      <c r="N93" s="120">
        <v>0</v>
      </c>
      <c r="O93" s="148"/>
      <c r="P93" s="347">
        <f t="shared" si="18"/>
        <v>692929.89</v>
      </c>
      <c r="Q93" s="347"/>
      <c r="R93" s="138">
        <f t="shared" si="19"/>
        <v>0.89</v>
      </c>
      <c r="S93" s="91">
        <f t="shared" si="23"/>
        <v>89</v>
      </c>
    </row>
    <row r="94" spans="1:24" ht="24.95" customHeight="1" x14ac:dyDescent="0.25">
      <c r="A94" s="30"/>
      <c r="B94" s="29">
        <f t="shared" si="25"/>
        <v>90</v>
      </c>
      <c r="C94" s="29" t="s">
        <v>104</v>
      </c>
      <c r="D94" s="32">
        <v>4.7999999999999996E-3</v>
      </c>
      <c r="E94" s="263">
        <v>1445406.9</v>
      </c>
      <c r="F94" s="264">
        <v>700000</v>
      </c>
      <c r="G94" s="94">
        <f t="shared" si="16"/>
        <v>745406.89999999991</v>
      </c>
      <c r="H94" s="34">
        <f t="shared" si="24"/>
        <v>23010.711002999997</v>
      </c>
      <c r="I94" s="35">
        <f t="shared" si="14"/>
        <v>331200</v>
      </c>
      <c r="J94" s="35">
        <f t="shared" si="17"/>
        <v>0</v>
      </c>
      <c r="K94" s="35">
        <f t="shared" si="20"/>
        <v>159026.35142768399</v>
      </c>
      <c r="L94" s="35">
        <f t="shared" si="21"/>
        <v>202702.7028</v>
      </c>
      <c r="M94" s="35">
        <f t="shared" si="22"/>
        <v>0</v>
      </c>
      <c r="N94" s="120">
        <v>0</v>
      </c>
      <c r="O94" s="148"/>
      <c r="P94" s="343">
        <f t="shared" si="18"/>
        <v>1461347.9</v>
      </c>
      <c r="Q94" s="343"/>
      <c r="R94" s="25">
        <f t="shared" si="19"/>
        <v>0.9</v>
      </c>
      <c r="S94" s="1">
        <f t="shared" si="23"/>
        <v>90</v>
      </c>
      <c r="T94" t="s">
        <v>275</v>
      </c>
    </row>
    <row r="95" spans="1:24" ht="24.95" customHeight="1" x14ac:dyDescent="0.25">
      <c r="A95" s="30"/>
      <c r="B95" s="29">
        <f t="shared" si="25"/>
        <v>91</v>
      </c>
      <c r="C95" s="29" t="s">
        <v>105</v>
      </c>
      <c r="D95" s="32">
        <v>4.7999999999999996E-3</v>
      </c>
      <c r="E95" s="263">
        <v>678753.91</v>
      </c>
      <c r="F95" s="264"/>
      <c r="G95" s="94">
        <f t="shared" si="16"/>
        <v>678753.91</v>
      </c>
      <c r="H95" s="34">
        <f t="shared" si="24"/>
        <v>20953.133201700002</v>
      </c>
      <c r="I95" s="35">
        <f t="shared" si="14"/>
        <v>331200</v>
      </c>
      <c r="J95" s="35">
        <f t="shared" si="17"/>
        <v>0</v>
      </c>
      <c r="K95" s="35">
        <f t="shared" si="20"/>
        <v>159026.35142768399</v>
      </c>
      <c r="L95" s="35">
        <f t="shared" si="21"/>
        <v>202702.7028</v>
      </c>
      <c r="M95" s="35">
        <f t="shared" si="22"/>
        <v>0</v>
      </c>
      <c r="N95" s="120">
        <v>0</v>
      </c>
      <c r="O95" s="148"/>
      <c r="P95" s="343">
        <f t="shared" si="18"/>
        <v>1392636.91</v>
      </c>
      <c r="Q95" s="343"/>
      <c r="R95" s="25">
        <f t="shared" si="19"/>
        <v>0.91</v>
      </c>
      <c r="S95" s="1">
        <f t="shared" si="23"/>
        <v>91</v>
      </c>
      <c r="T95" t="s">
        <v>211</v>
      </c>
    </row>
    <row r="96" spans="1:24" ht="24.95" customHeight="1" x14ac:dyDescent="0.25">
      <c r="A96" s="30"/>
      <c r="B96" s="29">
        <f t="shared" si="25"/>
        <v>92</v>
      </c>
      <c r="C96" s="29" t="s">
        <v>106</v>
      </c>
      <c r="D96" s="136">
        <v>4.7999999999999996E-3</v>
      </c>
      <c r="E96" s="265">
        <v>2956805.92</v>
      </c>
      <c r="F96" s="264"/>
      <c r="G96" s="94">
        <f t="shared" si="16"/>
        <v>2956805.92</v>
      </c>
      <c r="H96" s="34">
        <f t="shared" si="24"/>
        <v>91276.598750400008</v>
      </c>
      <c r="I96" s="35">
        <f t="shared" si="14"/>
        <v>331200</v>
      </c>
      <c r="J96" s="35">
        <f t="shared" si="17"/>
        <v>0</v>
      </c>
      <c r="K96" s="35">
        <f t="shared" si="20"/>
        <v>159026.35142768399</v>
      </c>
      <c r="L96" s="35">
        <f t="shared" si="21"/>
        <v>202702.7028</v>
      </c>
      <c r="M96" s="35">
        <f t="shared" si="22"/>
        <v>0</v>
      </c>
      <c r="N96" s="120">
        <v>0</v>
      </c>
      <c r="O96" s="148"/>
      <c r="P96" s="343">
        <f t="shared" si="18"/>
        <v>3741012.92</v>
      </c>
      <c r="Q96" s="343"/>
      <c r="R96" s="25">
        <f t="shared" si="19"/>
        <v>0.92</v>
      </c>
      <c r="S96" s="1">
        <f t="shared" si="23"/>
        <v>92</v>
      </c>
      <c r="T96" t="s">
        <v>242</v>
      </c>
    </row>
    <row r="97" spans="1:20" ht="24.95" customHeight="1" x14ac:dyDescent="0.25">
      <c r="A97" s="30"/>
      <c r="B97" s="29">
        <f t="shared" si="25"/>
        <v>93</v>
      </c>
      <c r="C97" s="78" t="s">
        <v>179</v>
      </c>
      <c r="D97" s="32">
        <v>4.5999999999999999E-3</v>
      </c>
      <c r="E97" s="263">
        <v>-660.07</v>
      </c>
      <c r="F97" s="264"/>
      <c r="G97" s="94">
        <f>E97-F97</f>
        <v>-660.07</v>
      </c>
      <c r="H97" s="34">
        <f t="shared" si="24"/>
        <v>0</v>
      </c>
      <c r="I97" s="35">
        <f t="shared" si="14"/>
        <v>317400</v>
      </c>
      <c r="J97" s="35">
        <f t="shared" si="17"/>
        <v>0</v>
      </c>
      <c r="K97" s="35">
        <f t="shared" si="20"/>
        <v>159026.35142768399</v>
      </c>
      <c r="L97" s="35">
        <f t="shared" si="21"/>
        <v>202702.7028</v>
      </c>
      <c r="M97" s="35">
        <f t="shared" si="22"/>
        <v>0</v>
      </c>
      <c r="N97" s="120">
        <v>0</v>
      </c>
      <c r="O97" s="148"/>
      <c r="P97" s="343">
        <f t="shared" si="18"/>
        <v>678469.93</v>
      </c>
      <c r="Q97" s="343"/>
      <c r="R97" s="25">
        <f t="shared" si="19"/>
        <v>0.93</v>
      </c>
      <c r="S97" s="1">
        <f t="shared" si="23"/>
        <v>93</v>
      </c>
    </row>
    <row r="98" spans="1:20" ht="24.95" customHeight="1" x14ac:dyDescent="0.25">
      <c r="A98" s="30"/>
      <c r="B98" s="29">
        <f t="shared" si="25"/>
        <v>94</v>
      </c>
      <c r="C98" s="29" t="s">
        <v>180</v>
      </c>
      <c r="D98" s="32">
        <v>4.7999999999999996E-3</v>
      </c>
      <c r="E98" s="263">
        <v>710915.94</v>
      </c>
      <c r="F98" s="264">
        <f>E98</f>
        <v>710915.94</v>
      </c>
      <c r="G98" s="94">
        <f t="shared" si="16"/>
        <v>0</v>
      </c>
      <c r="H98" s="34">
        <f t="shared" si="24"/>
        <v>0</v>
      </c>
      <c r="I98" s="35">
        <f t="shared" si="14"/>
        <v>331200</v>
      </c>
      <c r="J98" s="35">
        <f t="shared" si="17"/>
        <v>0</v>
      </c>
      <c r="K98" s="35">
        <f t="shared" si="20"/>
        <v>159026.35142768399</v>
      </c>
      <c r="L98" s="35">
        <f t="shared" si="21"/>
        <v>202702.7028</v>
      </c>
      <c r="M98" s="35">
        <f t="shared" si="22"/>
        <v>0</v>
      </c>
      <c r="N98" s="120">
        <v>0</v>
      </c>
      <c r="O98" s="148">
        <v>150760</v>
      </c>
      <c r="P98" s="343">
        <f t="shared" si="18"/>
        <v>843689.94</v>
      </c>
      <c r="Q98" s="343"/>
      <c r="R98" s="25">
        <f t="shared" si="19"/>
        <v>0.94</v>
      </c>
      <c r="S98" s="1">
        <f t="shared" si="23"/>
        <v>94</v>
      </c>
      <c r="T98" t="s">
        <v>201</v>
      </c>
    </row>
    <row r="99" spans="1:20" ht="24.95" customHeight="1" x14ac:dyDescent="0.25">
      <c r="A99" s="30"/>
      <c r="B99" s="29">
        <f t="shared" si="25"/>
        <v>95</v>
      </c>
      <c r="C99" s="29" t="s">
        <v>107</v>
      </c>
      <c r="D99" s="32">
        <v>4.7999999999999996E-3</v>
      </c>
      <c r="E99" s="263">
        <v>2264086.9500000002</v>
      </c>
      <c r="F99" s="264">
        <v>800000</v>
      </c>
      <c r="G99" s="94">
        <f t="shared" si="16"/>
        <v>1464086.9500000002</v>
      </c>
      <c r="H99" s="34">
        <f t="shared" si="24"/>
        <v>45196.364146500011</v>
      </c>
      <c r="I99" s="35">
        <f t="shared" si="14"/>
        <v>331200</v>
      </c>
      <c r="J99" s="35">
        <f t="shared" si="17"/>
        <v>0</v>
      </c>
      <c r="K99" s="35">
        <f t="shared" si="20"/>
        <v>159026.35142768399</v>
      </c>
      <c r="L99" s="35">
        <f t="shared" si="21"/>
        <v>202702.7028</v>
      </c>
      <c r="M99" s="35">
        <f t="shared" si="22"/>
        <v>0</v>
      </c>
      <c r="N99" s="120">
        <v>0</v>
      </c>
      <c r="O99" s="148"/>
      <c r="P99" s="343">
        <f t="shared" si="18"/>
        <v>2202212.9500000002</v>
      </c>
      <c r="Q99" s="343"/>
      <c r="R99" s="25">
        <f t="shared" si="19"/>
        <v>0.95</v>
      </c>
      <c r="S99" s="1">
        <f t="shared" si="23"/>
        <v>95</v>
      </c>
    </row>
    <row r="100" spans="1:20" ht="24.95" customHeight="1" x14ac:dyDescent="0.25">
      <c r="A100" s="30"/>
      <c r="B100" s="29">
        <f t="shared" si="25"/>
        <v>96</v>
      </c>
      <c r="C100" s="29" t="s">
        <v>108</v>
      </c>
      <c r="D100" s="32">
        <v>4.7999999999999996E-3</v>
      </c>
      <c r="E100" s="263">
        <v>1392049.96</v>
      </c>
      <c r="F100" s="264">
        <f>200000+200000+120000+180000+21360</f>
        <v>721360</v>
      </c>
      <c r="G100" s="94">
        <f t="shared" si="16"/>
        <v>670689.96</v>
      </c>
      <c r="H100" s="34">
        <f t="shared" si="24"/>
        <v>20704.199065199999</v>
      </c>
      <c r="I100" s="35">
        <f t="shared" si="14"/>
        <v>331200</v>
      </c>
      <c r="J100" s="35">
        <f t="shared" si="17"/>
        <v>0</v>
      </c>
      <c r="K100" s="35">
        <f t="shared" si="20"/>
        <v>159026.35142768399</v>
      </c>
      <c r="L100" s="35">
        <f t="shared" si="21"/>
        <v>202702.7028</v>
      </c>
      <c r="M100" s="35">
        <f t="shared" si="22"/>
        <v>0</v>
      </c>
      <c r="N100" s="120">
        <v>0</v>
      </c>
      <c r="O100" s="148"/>
      <c r="P100" s="343">
        <f t="shared" si="18"/>
        <v>1384323.96</v>
      </c>
      <c r="Q100" s="343"/>
      <c r="R100" s="25">
        <f t="shared" si="19"/>
        <v>0.96</v>
      </c>
      <c r="S100" s="1">
        <f t="shared" si="23"/>
        <v>96</v>
      </c>
      <c r="T100" t="s">
        <v>217</v>
      </c>
    </row>
    <row r="101" spans="1:20" ht="24.95" customHeight="1" x14ac:dyDescent="0.25">
      <c r="A101" s="30"/>
      <c r="B101" s="29">
        <f t="shared" si="25"/>
        <v>97</v>
      </c>
      <c r="C101" s="29" t="s">
        <v>109</v>
      </c>
      <c r="D101" s="32">
        <v>4.7999999999999996E-3</v>
      </c>
      <c r="E101" s="263">
        <v>678753.97</v>
      </c>
      <c r="F101" s="264">
        <f>678754</f>
        <v>678754</v>
      </c>
      <c r="G101" s="94">
        <f t="shared" si="16"/>
        <v>-3.0000000027939677E-2</v>
      </c>
      <c r="H101" s="34">
        <f t="shared" si="24"/>
        <v>0</v>
      </c>
      <c r="I101" s="35">
        <f t="shared" si="14"/>
        <v>331200</v>
      </c>
      <c r="J101" s="35">
        <f t="shared" ref="J101:J132" si="26">P$2*D101</f>
        <v>0</v>
      </c>
      <c r="K101" s="35">
        <f t="shared" si="20"/>
        <v>159026.35142768399</v>
      </c>
      <c r="L101" s="35">
        <f t="shared" si="21"/>
        <v>202702.7028</v>
      </c>
      <c r="M101" s="35">
        <f t="shared" si="22"/>
        <v>0</v>
      </c>
      <c r="N101" s="120">
        <v>0</v>
      </c>
      <c r="O101" s="148"/>
      <c r="P101" s="343">
        <f t="shared" ref="P101:P132" si="27">ROUND(SUM(G101:O101),0) + R101</f>
        <v>692929.97</v>
      </c>
      <c r="Q101" s="343"/>
      <c r="R101" s="25">
        <f t="shared" ref="R101:R132" si="28">ROUND(0.001+B101/100,2)</f>
        <v>0.97</v>
      </c>
      <c r="S101" s="1">
        <f t="shared" si="23"/>
        <v>97</v>
      </c>
      <c r="T101" t="s">
        <v>233</v>
      </c>
    </row>
    <row r="102" spans="1:20" ht="24.95" customHeight="1" x14ac:dyDescent="0.25">
      <c r="A102" s="30"/>
      <c r="B102" s="29">
        <f t="shared" si="25"/>
        <v>98</v>
      </c>
      <c r="C102" s="29" t="s">
        <v>110</v>
      </c>
      <c r="D102" s="32">
        <v>4.7999999999999996E-3</v>
      </c>
      <c r="E102" s="263">
        <v>678753.98</v>
      </c>
      <c r="F102" s="264">
        <v>692883.98</v>
      </c>
      <c r="G102" s="94">
        <f t="shared" si="16"/>
        <v>-14130</v>
      </c>
      <c r="H102" s="34">
        <f t="shared" si="24"/>
        <v>0</v>
      </c>
      <c r="I102" s="35">
        <f t="shared" ref="I102:I156" si="29">K$2*D102</f>
        <v>331200</v>
      </c>
      <c r="J102" s="35">
        <f t="shared" si="26"/>
        <v>0</v>
      </c>
      <c r="K102" s="35">
        <f t="shared" si="20"/>
        <v>159026.35142768399</v>
      </c>
      <c r="L102" s="35">
        <f t="shared" si="21"/>
        <v>202702.7028</v>
      </c>
      <c r="M102" s="35">
        <f t="shared" si="22"/>
        <v>0</v>
      </c>
      <c r="N102" s="120">
        <v>0</v>
      </c>
      <c r="O102" s="148"/>
      <c r="P102" s="343">
        <f t="shared" si="27"/>
        <v>678799.98</v>
      </c>
      <c r="Q102" s="343"/>
      <c r="R102" s="25">
        <f t="shared" si="28"/>
        <v>0.98</v>
      </c>
      <c r="S102" s="1">
        <f t="shared" si="23"/>
        <v>98</v>
      </c>
    </row>
    <row r="103" spans="1:20" ht="24.95" customHeight="1" x14ac:dyDescent="0.25">
      <c r="A103" s="30"/>
      <c r="B103" s="29">
        <f t="shared" si="25"/>
        <v>99</v>
      </c>
      <c r="C103" s="29" t="s">
        <v>111</v>
      </c>
      <c r="D103" s="32">
        <v>4.7999999999999996E-3</v>
      </c>
      <c r="E103" s="263">
        <v>678753.99</v>
      </c>
      <c r="F103" s="264">
        <f>E103</f>
        <v>678753.99</v>
      </c>
      <c r="G103" s="94">
        <f t="shared" si="16"/>
        <v>0</v>
      </c>
      <c r="H103" s="34">
        <f t="shared" si="24"/>
        <v>0</v>
      </c>
      <c r="I103" s="35">
        <f t="shared" si="29"/>
        <v>331200</v>
      </c>
      <c r="J103" s="35">
        <f t="shared" si="26"/>
        <v>0</v>
      </c>
      <c r="K103" s="35">
        <f t="shared" si="20"/>
        <v>159026.35142768399</v>
      </c>
      <c r="L103" s="35">
        <f t="shared" si="21"/>
        <v>202702.7028</v>
      </c>
      <c r="M103" s="35">
        <f t="shared" si="22"/>
        <v>0</v>
      </c>
      <c r="N103" s="120">
        <v>0</v>
      </c>
      <c r="O103" s="148"/>
      <c r="P103" s="343">
        <f t="shared" si="27"/>
        <v>692929.99</v>
      </c>
      <c r="Q103" s="343"/>
      <c r="R103" s="25">
        <f t="shared" si="28"/>
        <v>0.99</v>
      </c>
      <c r="S103" s="1">
        <f t="shared" si="23"/>
        <v>99</v>
      </c>
      <c r="T103" s="20" t="s">
        <v>232</v>
      </c>
    </row>
    <row r="104" spans="1:20" ht="24.95" customHeight="1" x14ac:dyDescent="0.25">
      <c r="A104" s="30"/>
      <c r="B104" s="29">
        <f t="shared" si="25"/>
        <v>100</v>
      </c>
      <c r="C104" s="29" t="s">
        <v>112</v>
      </c>
      <c r="D104" s="32">
        <v>4.7999999999999996E-3</v>
      </c>
      <c r="E104" s="263">
        <v>678754</v>
      </c>
      <c r="F104" s="264">
        <f>E104</f>
        <v>678754</v>
      </c>
      <c r="G104" s="94">
        <f t="shared" si="16"/>
        <v>0</v>
      </c>
      <c r="H104" s="34">
        <f t="shared" si="24"/>
        <v>0</v>
      </c>
      <c r="I104" s="35">
        <f t="shared" si="29"/>
        <v>331200</v>
      </c>
      <c r="J104" s="35">
        <f t="shared" si="26"/>
        <v>0</v>
      </c>
      <c r="K104" s="35">
        <f t="shared" si="20"/>
        <v>159026.35142768399</v>
      </c>
      <c r="L104" s="35">
        <f t="shared" si="21"/>
        <v>202702.7028</v>
      </c>
      <c r="M104" s="35">
        <f t="shared" si="22"/>
        <v>0</v>
      </c>
      <c r="N104" s="120">
        <v>0</v>
      </c>
      <c r="O104" s="148"/>
      <c r="P104" s="343">
        <f t="shared" si="27"/>
        <v>692930</v>
      </c>
      <c r="Q104" s="343"/>
      <c r="R104" s="25">
        <f t="shared" si="28"/>
        <v>1</v>
      </c>
      <c r="S104" s="1">
        <f t="shared" si="23"/>
        <v>100</v>
      </c>
    </row>
    <row r="105" spans="1:20" ht="24.95" customHeight="1" x14ac:dyDescent="0.25">
      <c r="A105" s="30"/>
      <c r="B105" s="29">
        <f t="shared" si="25"/>
        <v>101</v>
      </c>
      <c r="C105" s="29" t="s">
        <v>113</v>
      </c>
      <c r="D105" s="32">
        <v>4.7999999999999996E-3</v>
      </c>
      <c r="E105" s="263">
        <v>678754.01</v>
      </c>
      <c r="F105" s="264">
        <f>E105</f>
        <v>678754.01</v>
      </c>
      <c r="G105" s="94">
        <f t="shared" si="16"/>
        <v>0</v>
      </c>
      <c r="H105" s="34">
        <f t="shared" si="24"/>
        <v>0</v>
      </c>
      <c r="I105" s="35">
        <f t="shared" si="29"/>
        <v>331200</v>
      </c>
      <c r="J105" s="35">
        <f t="shared" si="26"/>
        <v>0</v>
      </c>
      <c r="K105" s="35">
        <f t="shared" si="20"/>
        <v>159026.35142768399</v>
      </c>
      <c r="L105" s="35">
        <f t="shared" si="21"/>
        <v>202702.7028</v>
      </c>
      <c r="M105" s="35">
        <v>0</v>
      </c>
      <c r="N105" s="120">
        <v>0</v>
      </c>
      <c r="O105" s="149"/>
      <c r="P105" s="343">
        <f t="shared" si="27"/>
        <v>692930.01</v>
      </c>
      <c r="Q105" s="343"/>
      <c r="R105" s="25">
        <f t="shared" si="28"/>
        <v>1.01</v>
      </c>
      <c r="S105" s="1">
        <f t="shared" si="23"/>
        <v>101</v>
      </c>
    </row>
    <row r="106" spans="1:20" ht="24.95" customHeight="1" x14ac:dyDescent="0.25">
      <c r="A106" s="30"/>
      <c r="B106" s="29">
        <f t="shared" si="25"/>
        <v>102</v>
      </c>
      <c r="C106" s="29" t="s">
        <v>114</v>
      </c>
      <c r="D106" s="32">
        <v>4.7999999999999996E-3</v>
      </c>
      <c r="E106" s="263">
        <v>676665.02</v>
      </c>
      <c r="F106" s="264">
        <f>500000+177000</f>
        <v>677000</v>
      </c>
      <c r="G106" s="94">
        <f t="shared" si="16"/>
        <v>-334.97999999998137</v>
      </c>
      <c r="H106" s="34">
        <f t="shared" si="24"/>
        <v>0</v>
      </c>
      <c r="I106" s="35">
        <f t="shared" si="29"/>
        <v>331200</v>
      </c>
      <c r="J106" s="35">
        <f t="shared" si="26"/>
        <v>0</v>
      </c>
      <c r="K106" s="35">
        <f t="shared" si="20"/>
        <v>159026.35142768399</v>
      </c>
      <c r="L106" s="35">
        <f t="shared" si="21"/>
        <v>202702.7028</v>
      </c>
      <c r="M106" s="35">
        <f t="shared" si="22"/>
        <v>0</v>
      </c>
      <c r="N106" s="120">
        <v>0</v>
      </c>
      <c r="O106" s="149"/>
      <c r="P106" s="343">
        <f t="shared" si="27"/>
        <v>692595.02</v>
      </c>
      <c r="Q106" s="343"/>
      <c r="R106" s="25">
        <f t="shared" si="28"/>
        <v>1.02</v>
      </c>
      <c r="S106" s="1">
        <f t="shared" si="23"/>
        <v>102</v>
      </c>
      <c r="T106" t="s">
        <v>210</v>
      </c>
    </row>
    <row r="107" spans="1:20" ht="24.95" customHeight="1" x14ac:dyDescent="0.25">
      <c r="A107" s="30"/>
      <c r="B107" s="29">
        <f t="shared" si="25"/>
        <v>103</v>
      </c>
      <c r="C107" s="29" t="s">
        <v>115</v>
      </c>
      <c r="D107" s="32">
        <v>4.7999999999999996E-3</v>
      </c>
      <c r="E107" s="263">
        <v>678754.03</v>
      </c>
      <c r="F107" s="264">
        <f>E107</f>
        <v>678754.03</v>
      </c>
      <c r="G107" s="94">
        <f t="shared" si="16"/>
        <v>0</v>
      </c>
      <c r="H107" s="34">
        <f t="shared" si="24"/>
        <v>0</v>
      </c>
      <c r="I107" s="35">
        <f t="shared" si="29"/>
        <v>331200</v>
      </c>
      <c r="J107" s="35">
        <f t="shared" si="26"/>
        <v>0</v>
      </c>
      <c r="K107" s="35">
        <f t="shared" si="20"/>
        <v>159026.35142768399</v>
      </c>
      <c r="L107" s="35">
        <f t="shared" si="21"/>
        <v>202702.7028</v>
      </c>
      <c r="M107" s="35">
        <f t="shared" si="22"/>
        <v>0</v>
      </c>
      <c r="N107" s="120">
        <v>0</v>
      </c>
      <c r="O107" s="149"/>
      <c r="P107" s="343">
        <f t="shared" si="27"/>
        <v>692930.03</v>
      </c>
      <c r="Q107" s="343"/>
      <c r="R107" s="25">
        <f t="shared" si="28"/>
        <v>1.03</v>
      </c>
      <c r="S107" s="1">
        <f t="shared" si="23"/>
        <v>103</v>
      </c>
    </row>
    <row r="108" spans="1:20" ht="24.95" customHeight="1" x14ac:dyDescent="0.25">
      <c r="A108" s="30"/>
      <c r="B108" s="29">
        <f t="shared" si="25"/>
        <v>104</v>
      </c>
      <c r="C108" s="29" t="s">
        <v>116</v>
      </c>
      <c r="D108" s="32">
        <v>4.7000000000000002E-3</v>
      </c>
      <c r="E108" s="263">
        <v>672053.04</v>
      </c>
      <c r="F108" s="264">
        <f>E108</f>
        <v>672053.04</v>
      </c>
      <c r="G108" s="94">
        <f t="shared" si="16"/>
        <v>0</v>
      </c>
      <c r="H108" s="34">
        <f t="shared" si="24"/>
        <v>0</v>
      </c>
      <c r="I108" s="35">
        <f t="shared" si="29"/>
        <v>324300</v>
      </c>
      <c r="J108" s="35">
        <f t="shared" si="26"/>
        <v>0</v>
      </c>
      <c r="K108" s="35">
        <f t="shared" si="20"/>
        <v>159026.35142768399</v>
      </c>
      <c r="L108" s="35">
        <f t="shared" si="21"/>
        <v>202702.7028</v>
      </c>
      <c r="M108" s="35">
        <f t="shared" si="22"/>
        <v>0</v>
      </c>
      <c r="N108" s="120">
        <v>0</v>
      </c>
      <c r="O108" s="149"/>
      <c r="P108" s="343">
        <f t="shared" si="27"/>
        <v>686030.04</v>
      </c>
      <c r="Q108" s="343"/>
      <c r="R108" s="25">
        <f t="shared" si="28"/>
        <v>1.04</v>
      </c>
      <c r="S108" s="1">
        <f t="shared" si="23"/>
        <v>104</v>
      </c>
      <c r="T108" t="s">
        <v>205</v>
      </c>
    </row>
    <row r="109" spans="1:20" ht="24.95" customHeight="1" x14ac:dyDescent="0.25">
      <c r="A109" s="163"/>
      <c r="B109" s="29">
        <f t="shared" si="25"/>
        <v>105</v>
      </c>
      <c r="C109" s="29" t="s">
        <v>117</v>
      </c>
      <c r="D109" s="136">
        <v>4.1999999999999997E-3</v>
      </c>
      <c r="E109" s="265">
        <v>638551.05000000005</v>
      </c>
      <c r="F109" s="264">
        <v>638551.05000000005</v>
      </c>
      <c r="G109" s="94">
        <f t="shared" si="16"/>
        <v>0</v>
      </c>
      <c r="H109" s="34">
        <f t="shared" si="24"/>
        <v>0</v>
      </c>
      <c r="I109" s="35">
        <f t="shared" si="29"/>
        <v>289800</v>
      </c>
      <c r="J109" s="35">
        <f t="shared" si="26"/>
        <v>0</v>
      </c>
      <c r="K109" s="35">
        <f t="shared" si="20"/>
        <v>159026.35142768399</v>
      </c>
      <c r="L109" s="35">
        <f t="shared" si="21"/>
        <v>202702.7028</v>
      </c>
      <c r="M109" s="35">
        <f t="shared" si="22"/>
        <v>0</v>
      </c>
      <c r="N109" s="120">
        <v>0</v>
      </c>
      <c r="O109" s="149"/>
      <c r="P109" s="343">
        <f t="shared" si="27"/>
        <v>651530.05000000005</v>
      </c>
      <c r="Q109" s="343"/>
      <c r="R109" s="25">
        <f t="shared" si="28"/>
        <v>1.05</v>
      </c>
      <c r="S109" s="1">
        <f t="shared" si="23"/>
        <v>105</v>
      </c>
    </row>
    <row r="110" spans="1:20" ht="24.95" customHeight="1" x14ac:dyDescent="0.25">
      <c r="A110" s="29"/>
      <c r="B110" s="29">
        <f t="shared" si="25"/>
        <v>106</v>
      </c>
      <c r="C110" s="29" t="s">
        <v>118</v>
      </c>
      <c r="D110" s="136">
        <v>4.4000000000000003E-3</v>
      </c>
      <c r="E110" s="265">
        <v>1145032.06</v>
      </c>
      <c r="F110" s="264"/>
      <c r="G110" s="95">
        <f t="shared" si="16"/>
        <v>1145032.06</v>
      </c>
      <c r="H110" s="137">
        <f t="shared" si="24"/>
        <v>35347.139692200006</v>
      </c>
      <c r="I110" s="120">
        <f t="shared" si="29"/>
        <v>303600</v>
      </c>
      <c r="J110" s="120">
        <f t="shared" si="26"/>
        <v>0</v>
      </c>
      <c r="K110" s="120">
        <f t="shared" si="20"/>
        <v>159026.35142768399</v>
      </c>
      <c r="L110" s="120">
        <f t="shared" si="21"/>
        <v>202702.7028</v>
      </c>
      <c r="M110" s="120">
        <f t="shared" si="22"/>
        <v>0</v>
      </c>
      <c r="N110" s="120">
        <v>0</v>
      </c>
      <c r="O110" s="148"/>
      <c r="P110" s="347">
        <f t="shared" si="27"/>
        <v>1845709.06</v>
      </c>
      <c r="Q110" s="347"/>
      <c r="R110" s="138">
        <f t="shared" si="28"/>
        <v>1.06</v>
      </c>
      <c r="S110" s="91">
        <f t="shared" si="23"/>
        <v>106</v>
      </c>
      <c r="T110" t="s">
        <v>374</v>
      </c>
    </row>
    <row r="111" spans="1:20" ht="24.95" customHeight="1" x14ac:dyDescent="0.25">
      <c r="A111" s="30"/>
      <c r="B111" s="29">
        <f t="shared" si="25"/>
        <v>107</v>
      </c>
      <c r="C111" s="29" t="s">
        <v>119</v>
      </c>
      <c r="D111" s="32">
        <v>4.4000000000000003E-3</v>
      </c>
      <c r="E111" s="263">
        <v>651951.06999999995</v>
      </c>
      <c r="F111" s="264">
        <f>E111</f>
        <v>651951.06999999995</v>
      </c>
      <c r="G111" s="94">
        <f t="shared" si="16"/>
        <v>0</v>
      </c>
      <c r="H111" s="34">
        <f t="shared" si="24"/>
        <v>0</v>
      </c>
      <c r="I111" s="35">
        <f t="shared" si="29"/>
        <v>303600</v>
      </c>
      <c r="J111" s="35">
        <f t="shared" si="26"/>
        <v>0</v>
      </c>
      <c r="K111" s="35">
        <f t="shared" si="20"/>
        <v>159026.35142768399</v>
      </c>
      <c r="L111" s="35">
        <f t="shared" si="21"/>
        <v>202702.7028</v>
      </c>
      <c r="M111" s="35">
        <f t="shared" si="22"/>
        <v>0</v>
      </c>
      <c r="N111" s="120">
        <v>0</v>
      </c>
      <c r="O111" s="149"/>
      <c r="P111" s="343">
        <f t="shared" si="27"/>
        <v>665330.06999999995</v>
      </c>
      <c r="Q111" s="343"/>
      <c r="R111" s="25">
        <f t="shared" si="28"/>
        <v>1.07</v>
      </c>
      <c r="S111" s="1">
        <f t="shared" si="23"/>
        <v>107</v>
      </c>
      <c r="T111" t="s">
        <v>277</v>
      </c>
    </row>
    <row r="112" spans="1:20" ht="24.95" customHeight="1" x14ac:dyDescent="0.25">
      <c r="A112" s="30"/>
      <c r="B112" s="29">
        <f t="shared" si="25"/>
        <v>108</v>
      </c>
      <c r="C112" s="29" t="s">
        <v>120</v>
      </c>
      <c r="D112" s="32">
        <v>4.4000000000000003E-3</v>
      </c>
      <c r="E112" s="263">
        <v>651952.07999999996</v>
      </c>
      <c r="F112" s="264">
        <f>E112</f>
        <v>651952.07999999996</v>
      </c>
      <c r="G112" s="94">
        <f t="shared" si="16"/>
        <v>0</v>
      </c>
      <c r="H112" s="34">
        <f t="shared" si="24"/>
        <v>0</v>
      </c>
      <c r="I112" s="35">
        <f t="shared" si="29"/>
        <v>303600</v>
      </c>
      <c r="J112" s="35">
        <f t="shared" si="26"/>
        <v>0</v>
      </c>
      <c r="K112" s="35">
        <f t="shared" si="20"/>
        <v>159026.35142768399</v>
      </c>
      <c r="L112" s="35">
        <f t="shared" si="21"/>
        <v>202702.7028</v>
      </c>
      <c r="M112" s="35">
        <f t="shared" si="22"/>
        <v>0</v>
      </c>
      <c r="N112" s="120">
        <v>0</v>
      </c>
      <c r="O112" s="149"/>
      <c r="P112" s="343">
        <f t="shared" si="27"/>
        <v>665330.07999999996</v>
      </c>
      <c r="Q112" s="343"/>
      <c r="R112" s="25">
        <f t="shared" si="28"/>
        <v>1.08</v>
      </c>
      <c r="S112" s="1">
        <f t="shared" si="23"/>
        <v>108</v>
      </c>
    </row>
    <row r="113" spans="1:24" ht="24.95" customHeight="1" x14ac:dyDescent="0.25">
      <c r="A113" s="30"/>
      <c r="B113" s="29">
        <f t="shared" si="25"/>
        <v>109</v>
      </c>
      <c r="C113" s="29" t="s">
        <v>121</v>
      </c>
      <c r="D113" s="32">
        <v>4.4999999999999997E-3</v>
      </c>
      <c r="E113" s="263">
        <v>1683481.09</v>
      </c>
      <c r="F113" s="264">
        <f>2000+722000</f>
        <v>724000</v>
      </c>
      <c r="G113" s="94">
        <f t="shared" si="16"/>
        <v>959481.09000000008</v>
      </c>
      <c r="H113" s="34">
        <f t="shared" si="24"/>
        <v>29619.181248300003</v>
      </c>
      <c r="I113" s="35">
        <f t="shared" si="29"/>
        <v>310500</v>
      </c>
      <c r="J113" s="35">
        <f t="shared" si="26"/>
        <v>0</v>
      </c>
      <c r="K113" s="35">
        <f t="shared" si="20"/>
        <v>159026.35142768399</v>
      </c>
      <c r="L113" s="35">
        <f t="shared" si="21"/>
        <v>202702.7028</v>
      </c>
      <c r="M113" s="35">
        <f t="shared" si="22"/>
        <v>0</v>
      </c>
      <c r="N113" s="120">
        <v>0</v>
      </c>
      <c r="O113" s="149"/>
      <c r="P113" s="343">
        <f t="shared" si="27"/>
        <v>1661330.09</v>
      </c>
      <c r="Q113" s="343"/>
      <c r="R113" s="25">
        <f t="shared" si="28"/>
        <v>1.0900000000000001</v>
      </c>
      <c r="S113" s="1">
        <f t="shared" si="23"/>
        <v>109</v>
      </c>
      <c r="T113" t="s">
        <v>272</v>
      </c>
    </row>
    <row r="114" spans="1:24" ht="24.95" customHeight="1" x14ac:dyDescent="0.25">
      <c r="A114" s="30"/>
      <c r="B114" s="29">
        <f t="shared" si="25"/>
        <v>110</v>
      </c>
      <c r="C114" s="29" t="s">
        <v>122</v>
      </c>
      <c r="D114" s="32">
        <v>4.5999999999999999E-3</v>
      </c>
      <c r="E114" s="263">
        <v>1386295.1</v>
      </c>
      <c r="F114" s="264">
        <f>665352.1+679085.1+41858</f>
        <v>1386295.2</v>
      </c>
      <c r="G114" s="94">
        <f t="shared" si="16"/>
        <v>-9.9999999860301614E-2</v>
      </c>
      <c r="H114" s="34">
        <f t="shared" si="24"/>
        <v>0</v>
      </c>
      <c r="I114" s="35">
        <f t="shared" si="29"/>
        <v>317400</v>
      </c>
      <c r="J114" s="35">
        <f t="shared" si="26"/>
        <v>0</v>
      </c>
      <c r="K114" s="35">
        <f t="shared" si="20"/>
        <v>159026.35142768399</v>
      </c>
      <c r="L114" s="35">
        <f t="shared" si="21"/>
        <v>202702.7028</v>
      </c>
      <c r="M114" s="35">
        <f t="shared" si="22"/>
        <v>0</v>
      </c>
      <c r="N114" s="120">
        <v>0</v>
      </c>
      <c r="O114" s="149"/>
      <c r="P114" s="343">
        <f t="shared" si="27"/>
        <v>679130.1</v>
      </c>
      <c r="Q114" s="343"/>
      <c r="R114" s="25">
        <f t="shared" si="28"/>
        <v>1.1000000000000001</v>
      </c>
      <c r="S114" s="1">
        <f t="shared" si="23"/>
        <v>110</v>
      </c>
      <c r="T114" t="s">
        <v>284</v>
      </c>
      <c r="X114" s="59"/>
    </row>
    <row r="115" spans="1:24" ht="24.95" customHeight="1" x14ac:dyDescent="0.25">
      <c r="A115" s="30"/>
      <c r="B115" s="29">
        <f t="shared" si="25"/>
        <v>111</v>
      </c>
      <c r="C115" s="29" t="s">
        <v>123</v>
      </c>
      <c r="D115" s="32">
        <v>4.4999999999999997E-3</v>
      </c>
      <c r="E115" s="263">
        <v>658652.11</v>
      </c>
      <c r="F115" s="264">
        <f>E115</f>
        <v>658652.11</v>
      </c>
      <c r="G115" s="94">
        <f t="shared" si="16"/>
        <v>0</v>
      </c>
      <c r="H115" s="34">
        <f t="shared" si="24"/>
        <v>0</v>
      </c>
      <c r="I115" s="35">
        <f t="shared" si="29"/>
        <v>310500</v>
      </c>
      <c r="J115" s="35">
        <f t="shared" si="26"/>
        <v>0</v>
      </c>
      <c r="K115" s="35">
        <f t="shared" si="20"/>
        <v>159026.35142768399</v>
      </c>
      <c r="L115" s="35">
        <f t="shared" si="21"/>
        <v>202702.7028</v>
      </c>
      <c r="M115" s="35">
        <f t="shared" si="22"/>
        <v>0</v>
      </c>
      <c r="N115" s="120">
        <v>0</v>
      </c>
      <c r="O115" s="149"/>
      <c r="P115" s="343">
        <f t="shared" si="27"/>
        <v>672230.11</v>
      </c>
      <c r="Q115" s="343"/>
      <c r="R115" s="25">
        <f t="shared" si="28"/>
        <v>1.1100000000000001</v>
      </c>
      <c r="S115" s="1">
        <f t="shared" si="23"/>
        <v>111</v>
      </c>
    </row>
    <row r="116" spans="1:24" ht="24.95" customHeight="1" x14ac:dyDescent="0.25">
      <c r="A116" s="225"/>
      <c r="B116" s="29">
        <f t="shared" si="25"/>
        <v>112</v>
      </c>
      <c r="C116" s="29" t="s">
        <v>124</v>
      </c>
      <c r="D116" s="32">
        <v>4.4999999999999997E-3</v>
      </c>
      <c r="E116" s="263">
        <v>914525.12</v>
      </c>
      <c r="F116" s="264">
        <f>150760+700000</f>
        <v>850760</v>
      </c>
      <c r="G116" s="94">
        <f t="shared" si="16"/>
        <v>63765.119999999995</v>
      </c>
      <c r="H116" s="34">
        <f t="shared" si="24"/>
        <v>1968.4292544</v>
      </c>
      <c r="I116" s="35">
        <f t="shared" si="29"/>
        <v>310500</v>
      </c>
      <c r="J116" s="35">
        <f t="shared" si="26"/>
        <v>0</v>
      </c>
      <c r="K116" s="35">
        <f t="shared" si="20"/>
        <v>159026.35142768399</v>
      </c>
      <c r="L116" s="35">
        <f t="shared" si="21"/>
        <v>202702.7028</v>
      </c>
      <c r="M116" s="35">
        <f t="shared" si="22"/>
        <v>0</v>
      </c>
      <c r="N116" s="120">
        <v>0</v>
      </c>
      <c r="O116" s="149"/>
      <c r="P116" s="343">
        <f t="shared" si="27"/>
        <v>737964.12</v>
      </c>
      <c r="Q116" s="343"/>
      <c r="R116" s="25">
        <f t="shared" si="28"/>
        <v>1.1200000000000001</v>
      </c>
      <c r="S116" s="1">
        <f t="shared" si="23"/>
        <v>112</v>
      </c>
      <c r="T116" t="s">
        <v>216</v>
      </c>
    </row>
    <row r="117" spans="1:24" ht="24.95" customHeight="1" x14ac:dyDescent="0.25">
      <c r="A117" s="30"/>
      <c r="B117" s="29">
        <f t="shared" si="25"/>
        <v>113</v>
      </c>
      <c r="C117" s="29" t="s">
        <v>125</v>
      </c>
      <c r="D117" s="32">
        <v>4.7000000000000002E-3</v>
      </c>
      <c r="E117" s="263">
        <v>620904.13</v>
      </c>
      <c r="F117" s="264">
        <f>E117</f>
        <v>620904.13</v>
      </c>
      <c r="G117" s="94">
        <f t="shared" si="16"/>
        <v>0</v>
      </c>
      <c r="H117" s="34">
        <f t="shared" si="24"/>
        <v>0</v>
      </c>
      <c r="I117" s="35">
        <f t="shared" si="29"/>
        <v>324300</v>
      </c>
      <c r="J117" s="35">
        <f t="shared" si="26"/>
        <v>0</v>
      </c>
      <c r="K117" s="35">
        <f t="shared" si="20"/>
        <v>159026.35142768399</v>
      </c>
      <c r="L117" s="35">
        <f t="shared" si="21"/>
        <v>202702.7028</v>
      </c>
      <c r="M117" s="35">
        <f t="shared" si="22"/>
        <v>0</v>
      </c>
      <c r="N117" s="120">
        <v>0</v>
      </c>
      <c r="O117" s="149"/>
      <c r="P117" s="343">
        <f t="shared" si="27"/>
        <v>686030.13</v>
      </c>
      <c r="Q117" s="343"/>
      <c r="R117" s="25">
        <f t="shared" si="28"/>
        <v>1.1299999999999999</v>
      </c>
      <c r="S117" s="1">
        <f t="shared" si="23"/>
        <v>113</v>
      </c>
    </row>
    <row r="118" spans="1:24" ht="24.95" customHeight="1" x14ac:dyDescent="0.25">
      <c r="A118" s="30"/>
      <c r="B118" s="29">
        <f t="shared" si="25"/>
        <v>114</v>
      </c>
      <c r="C118" s="29" t="s">
        <v>126</v>
      </c>
      <c r="D118" s="32">
        <v>4.4999999999999997E-3</v>
      </c>
      <c r="E118" s="263">
        <v>658652.14</v>
      </c>
      <c r="F118" s="264">
        <f>E118</f>
        <v>658652.14</v>
      </c>
      <c r="G118" s="94">
        <f t="shared" si="16"/>
        <v>0</v>
      </c>
      <c r="H118" s="34">
        <f t="shared" si="24"/>
        <v>0</v>
      </c>
      <c r="I118" s="35">
        <f t="shared" si="29"/>
        <v>310500</v>
      </c>
      <c r="J118" s="35">
        <f t="shared" si="26"/>
        <v>0</v>
      </c>
      <c r="K118" s="35">
        <f t="shared" si="20"/>
        <v>159026.35142768399</v>
      </c>
      <c r="L118" s="35">
        <f t="shared" si="21"/>
        <v>202702.7028</v>
      </c>
      <c r="M118" s="35">
        <f t="shared" si="22"/>
        <v>0</v>
      </c>
      <c r="N118" s="120">
        <v>0</v>
      </c>
      <c r="O118" s="149"/>
      <c r="P118" s="343">
        <f t="shared" si="27"/>
        <v>672230.14</v>
      </c>
      <c r="Q118" s="343"/>
      <c r="R118" s="25">
        <f t="shared" si="28"/>
        <v>1.1399999999999999</v>
      </c>
      <c r="S118" s="1">
        <f t="shared" si="23"/>
        <v>114</v>
      </c>
    </row>
    <row r="119" spans="1:24" ht="24.95" customHeight="1" x14ac:dyDescent="0.25">
      <c r="A119" s="246"/>
      <c r="B119" s="29">
        <f t="shared" si="25"/>
        <v>115</v>
      </c>
      <c r="C119" s="29" t="s">
        <v>127</v>
      </c>
      <c r="D119" s="32">
        <v>6.4000000000000003E-3</v>
      </c>
      <c r="E119" s="263">
        <v>785961.15</v>
      </c>
      <c r="F119" s="264">
        <v>784000</v>
      </c>
      <c r="G119" s="94">
        <f t="shared" si="16"/>
        <v>1961.1500000000233</v>
      </c>
      <c r="H119" s="34">
        <f t="shared" si="24"/>
        <v>60.540700500000725</v>
      </c>
      <c r="I119" s="35">
        <f t="shared" si="29"/>
        <v>441600</v>
      </c>
      <c r="J119" s="35">
        <f t="shared" si="26"/>
        <v>0</v>
      </c>
      <c r="K119" s="35">
        <f t="shared" si="20"/>
        <v>159026.35142768399</v>
      </c>
      <c r="L119" s="35">
        <f t="shared" si="21"/>
        <v>202702.7028</v>
      </c>
      <c r="M119" s="35">
        <f t="shared" si="22"/>
        <v>0</v>
      </c>
      <c r="N119" s="120">
        <v>0</v>
      </c>
      <c r="O119" s="149"/>
      <c r="P119" s="343">
        <f t="shared" si="27"/>
        <v>805352.15</v>
      </c>
      <c r="Q119" s="343"/>
      <c r="R119" s="25">
        <f t="shared" si="28"/>
        <v>1.1499999999999999</v>
      </c>
      <c r="S119" s="1">
        <f t="shared" si="23"/>
        <v>115</v>
      </c>
      <c r="T119" t="s">
        <v>282</v>
      </c>
    </row>
    <row r="120" spans="1:24" ht="24.95" customHeight="1" x14ac:dyDescent="0.25">
      <c r="A120" s="30"/>
      <c r="B120" s="29">
        <f t="shared" si="25"/>
        <v>116</v>
      </c>
      <c r="C120" s="29" t="s">
        <v>128</v>
      </c>
      <c r="D120" s="32">
        <v>5.7999999999999996E-3</v>
      </c>
      <c r="E120" s="263">
        <v>745758.16</v>
      </c>
      <c r="F120" s="264">
        <f>E120</f>
        <v>745758.16</v>
      </c>
      <c r="G120" s="94">
        <f t="shared" si="16"/>
        <v>0</v>
      </c>
      <c r="H120" s="34">
        <f t="shared" si="24"/>
        <v>0</v>
      </c>
      <c r="I120" s="35">
        <f t="shared" si="29"/>
        <v>400200</v>
      </c>
      <c r="J120" s="35">
        <f t="shared" si="26"/>
        <v>0</v>
      </c>
      <c r="K120" s="35">
        <f t="shared" si="20"/>
        <v>159026.35142768399</v>
      </c>
      <c r="L120" s="35">
        <f t="shared" si="21"/>
        <v>202702.7028</v>
      </c>
      <c r="M120" s="35">
        <f t="shared" si="22"/>
        <v>0</v>
      </c>
      <c r="N120" s="120">
        <v>0</v>
      </c>
      <c r="O120" s="149"/>
      <c r="P120" s="343">
        <f t="shared" si="27"/>
        <v>761930.16</v>
      </c>
      <c r="Q120" s="343"/>
      <c r="R120" s="25">
        <f t="shared" si="28"/>
        <v>1.1599999999999999</v>
      </c>
      <c r="S120" s="1">
        <f t="shared" si="23"/>
        <v>116</v>
      </c>
    </row>
    <row r="121" spans="1:24" ht="24.95" customHeight="1" x14ac:dyDescent="0.25">
      <c r="A121" s="30"/>
      <c r="B121" s="29">
        <f t="shared" si="25"/>
        <v>117</v>
      </c>
      <c r="C121" s="29" t="s">
        <v>129</v>
      </c>
      <c r="D121" s="32">
        <v>6.1000000000000004E-3</v>
      </c>
      <c r="E121" s="263">
        <v>765860.17</v>
      </c>
      <c r="F121" s="264"/>
      <c r="G121" s="94">
        <f t="shared" si="16"/>
        <v>765860.17</v>
      </c>
      <c r="H121" s="34">
        <f t="shared" si="24"/>
        <v>23642.103447900001</v>
      </c>
      <c r="I121" s="35">
        <f t="shared" si="29"/>
        <v>420900</v>
      </c>
      <c r="J121" s="35">
        <f t="shared" si="26"/>
        <v>0</v>
      </c>
      <c r="K121" s="35">
        <f t="shared" si="20"/>
        <v>159026.35142768399</v>
      </c>
      <c r="L121" s="35">
        <f t="shared" si="21"/>
        <v>202702.7028</v>
      </c>
      <c r="M121" s="35">
        <f t="shared" si="22"/>
        <v>0</v>
      </c>
      <c r="N121" s="120">
        <v>0</v>
      </c>
      <c r="O121" s="149"/>
      <c r="P121" s="343">
        <f t="shared" si="27"/>
        <v>1572132.17</v>
      </c>
      <c r="Q121" s="343"/>
      <c r="R121" s="25">
        <f t="shared" si="28"/>
        <v>1.17</v>
      </c>
      <c r="S121" s="1">
        <f t="shared" si="23"/>
        <v>117</v>
      </c>
      <c r="T121" t="s">
        <v>204</v>
      </c>
    </row>
    <row r="122" spans="1:24" ht="24.95" customHeight="1" x14ac:dyDescent="0.25">
      <c r="A122" s="30"/>
      <c r="B122" s="29">
        <f t="shared" si="25"/>
        <v>118</v>
      </c>
      <c r="C122" s="29" t="s">
        <v>130</v>
      </c>
      <c r="D122" s="32">
        <v>5.7999999999999996E-3</v>
      </c>
      <c r="E122" s="263">
        <v>745756.18</v>
      </c>
      <c r="F122" s="264">
        <f>1770000-F124-F125</f>
        <v>439293.59000000008</v>
      </c>
      <c r="G122" s="94">
        <f t="shared" si="16"/>
        <v>306462.58999999997</v>
      </c>
      <c r="H122" s="34">
        <f t="shared" si="24"/>
        <v>9460.5001532999995</v>
      </c>
      <c r="I122" s="35">
        <f t="shared" si="29"/>
        <v>400200</v>
      </c>
      <c r="J122" s="35">
        <f t="shared" si="26"/>
        <v>0</v>
      </c>
      <c r="K122" s="35">
        <f t="shared" si="20"/>
        <v>159026.35142768399</v>
      </c>
      <c r="L122" s="35">
        <f t="shared" si="21"/>
        <v>202702.7028</v>
      </c>
      <c r="M122" s="35">
        <f t="shared" si="22"/>
        <v>0</v>
      </c>
      <c r="N122" s="120">
        <v>0</v>
      </c>
      <c r="O122" s="149"/>
      <c r="P122" s="343">
        <f t="shared" si="27"/>
        <v>1077853.18</v>
      </c>
      <c r="Q122" s="343"/>
      <c r="R122" s="25">
        <f t="shared" si="28"/>
        <v>1.18</v>
      </c>
      <c r="S122" s="1">
        <f t="shared" si="23"/>
        <v>118</v>
      </c>
      <c r="T122" t="s">
        <v>238</v>
      </c>
    </row>
    <row r="123" spans="1:24" ht="24.95" customHeight="1" x14ac:dyDescent="0.25">
      <c r="A123" s="30"/>
      <c r="B123" s="29">
        <f t="shared" si="25"/>
        <v>119</v>
      </c>
      <c r="C123" s="29" t="s">
        <v>131</v>
      </c>
      <c r="D123" s="32">
        <v>5.4000000000000003E-3</v>
      </c>
      <c r="E123" s="263">
        <v>718936.19</v>
      </c>
      <c r="F123" s="264">
        <f t="shared" ref="F123:F129" si="30">E123</f>
        <v>718936.19</v>
      </c>
      <c r="G123" s="94">
        <f t="shared" si="16"/>
        <v>0</v>
      </c>
      <c r="H123" s="34">
        <f t="shared" si="24"/>
        <v>0</v>
      </c>
      <c r="I123" s="35">
        <f t="shared" si="29"/>
        <v>372600</v>
      </c>
      <c r="J123" s="35">
        <f t="shared" si="26"/>
        <v>0</v>
      </c>
      <c r="K123" s="35">
        <f t="shared" si="20"/>
        <v>159026.35142768399</v>
      </c>
      <c r="L123" s="35">
        <f t="shared" si="21"/>
        <v>202702.7028</v>
      </c>
      <c r="M123" s="35">
        <f t="shared" si="22"/>
        <v>0</v>
      </c>
      <c r="N123" s="120">
        <v>0</v>
      </c>
      <c r="O123" s="149"/>
      <c r="P123" s="343">
        <f t="shared" si="27"/>
        <v>734330.19</v>
      </c>
      <c r="Q123" s="343"/>
      <c r="R123" s="25">
        <f t="shared" si="28"/>
        <v>1.19</v>
      </c>
      <c r="S123" s="1">
        <f t="shared" si="23"/>
        <v>119</v>
      </c>
      <c r="T123" t="s">
        <v>222</v>
      </c>
    </row>
    <row r="124" spans="1:24" ht="24.95" customHeight="1" x14ac:dyDescent="0.25">
      <c r="A124" s="30"/>
      <c r="B124" s="29">
        <f t="shared" si="25"/>
        <v>120</v>
      </c>
      <c r="C124" s="29" t="s">
        <v>130</v>
      </c>
      <c r="D124" s="32">
        <v>4.5999999999999999E-3</v>
      </c>
      <c r="E124" s="263">
        <v>665353.19999999995</v>
      </c>
      <c r="F124" s="264">
        <f t="shared" si="30"/>
        <v>665353.19999999995</v>
      </c>
      <c r="G124" s="94">
        <f t="shared" si="16"/>
        <v>0</v>
      </c>
      <c r="H124" s="34">
        <f t="shared" si="24"/>
        <v>0</v>
      </c>
      <c r="I124" s="35">
        <f t="shared" si="29"/>
        <v>317400</v>
      </c>
      <c r="J124" s="35">
        <f t="shared" si="26"/>
        <v>0</v>
      </c>
      <c r="K124" s="35">
        <f t="shared" si="20"/>
        <v>159026.35142768399</v>
      </c>
      <c r="L124" s="35">
        <f t="shared" si="21"/>
        <v>202702.7028</v>
      </c>
      <c r="M124" s="35">
        <f t="shared" si="22"/>
        <v>0</v>
      </c>
      <c r="N124" s="120">
        <v>0</v>
      </c>
      <c r="O124" s="149"/>
      <c r="P124" s="343">
        <f t="shared" si="27"/>
        <v>679130.2</v>
      </c>
      <c r="Q124" s="343"/>
      <c r="R124" s="25">
        <f t="shared" si="28"/>
        <v>1.2</v>
      </c>
      <c r="S124" s="1">
        <f t="shared" si="23"/>
        <v>120</v>
      </c>
      <c r="T124" t="s">
        <v>238</v>
      </c>
    </row>
    <row r="125" spans="1:24" ht="24.95" customHeight="1" x14ac:dyDescent="0.25">
      <c r="A125" s="30"/>
      <c r="B125" s="29">
        <f t="shared" si="25"/>
        <v>121</v>
      </c>
      <c r="C125" s="29" t="s">
        <v>130</v>
      </c>
      <c r="D125" s="32">
        <v>4.5999999999999999E-3</v>
      </c>
      <c r="E125" s="263">
        <v>665353.21</v>
      </c>
      <c r="F125" s="264">
        <f t="shared" si="30"/>
        <v>665353.21</v>
      </c>
      <c r="G125" s="94">
        <f t="shared" si="16"/>
        <v>0</v>
      </c>
      <c r="H125" s="34">
        <f t="shared" si="24"/>
        <v>0</v>
      </c>
      <c r="I125" s="35">
        <f t="shared" si="29"/>
        <v>317400</v>
      </c>
      <c r="J125" s="35">
        <f t="shared" si="26"/>
        <v>0</v>
      </c>
      <c r="K125" s="35">
        <f t="shared" si="20"/>
        <v>159026.35142768399</v>
      </c>
      <c r="L125" s="35">
        <f t="shared" si="21"/>
        <v>202702.7028</v>
      </c>
      <c r="M125" s="35">
        <f t="shared" si="22"/>
        <v>0</v>
      </c>
      <c r="N125" s="120">
        <v>0</v>
      </c>
      <c r="O125" s="149"/>
      <c r="P125" s="343">
        <f t="shared" si="27"/>
        <v>679130.21</v>
      </c>
      <c r="Q125" s="343"/>
      <c r="R125" s="25">
        <f t="shared" si="28"/>
        <v>1.21</v>
      </c>
      <c r="S125" s="1">
        <f t="shared" si="23"/>
        <v>121</v>
      </c>
      <c r="T125" t="s">
        <v>238</v>
      </c>
    </row>
    <row r="126" spans="1:24" ht="24.95" customHeight="1" x14ac:dyDescent="0.25">
      <c r="A126" s="30"/>
      <c r="B126" s="29">
        <f t="shared" si="25"/>
        <v>122</v>
      </c>
      <c r="C126" s="29" t="s">
        <v>132</v>
      </c>
      <c r="D126" s="136">
        <v>4.5999999999999999E-3</v>
      </c>
      <c r="E126" s="263">
        <v>665353.22</v>
      </c>
      <c r="F126" s="264">
        <f t="shared" si="30"/>
        <v>665353.22</v>
      </c>
      <c r="G126" s="94">
        <f t="shared" si="16"/>
        <v>0</v>
      </c>
      <c r="H126" s="34">
        <f t="shared" si="24"/>
        <v>0</v>
      </c>
      <c r="I126" s="35">
        <f t="shared" si="29"/>
        <v>317400</v>
      </c>
      <c r="J126" s="35">
        <f t="shared" si="26"/>
        <v>0</v>
      </c>
      <c r="K126" s="35">
        <f t="shared" si="20"/>
        <v>159026.35142768399</v>
      </c>
      <c r="L126" s="35">
        <f t="shared" si="21"/>
        <v>202702.7028</v>
      </c>
      <c r="M126" s="35">
        <f t="shared" si="22"/>
        <v>0</v>
      </c>
      <c r="N126" s="120">
        <v>0</v>
      </c>
      <c r="O126" s="148">
        <v>150760</v>
      </c>
      <c r="P126" s="343">
        <f t="shared" si="27"/>
        <v>829890.22</v>
      </c>
      <c r="Q126" s="343"/>
      <c r="R126" s="25">
        <f t="shared" si="28"/>
        <v>1.22</v>
      </c>
      <c r="S126" s="1">
        <f t="shared" si="23"/>
        <v>122</v>
      </c>
    </row>
    <row r="127" spans="1:24" ht="24.95" customHeight="1" x14ac:dyDescent="0.25">
      <c r="A127" s="30"/>
      <c r="B127" s="30">
        <f t="shared" si="25"/>
        <v>123</v>
      </c>
      <c r="C127" s="29" t="s">
        <v>133</v>
      </c>
      <c r="D127" s="136">
        <v>4.5999999999999999E-3</v>
      </c>
      <c r="E127" s="263">
        <v>665353.23</v>
      </c>
      <c r="F127" s="264">
        <f t="shared" si="30"/>
        <v>665353.23</v>
      </c>
      <c r="G127" s="94">
        <f t="shared" si="16"/>
        <v>0</v>
      </c>
      <c r="H127" s="34">
        <f t="shared" si="24"/>
        <v>0</v>
      </c>
      <c r="I127" s="35">
        <f t="shared" si="29"/>
        <v>317400</v>
      </c>
      <c r="J127" s="35">
        <f t="shared" si="26"/>
        <v>0</v>
      </c>
      <c r="K127" s="35">
        <f t="shared" si="20"/>
        <v>159026.35142768399</v>
      </c>
      <c r="L127" s="35">
        <f t="shared" si="21"/>
        <v>202702.7028</v>
      </c>
      <c r="M127" s="35">
        <f t="shared" si="22"/>
        <v>0</v>
      </c>
      <c r="N127" s="120">
        <v>0</v>
      </c>
      <c r="O127" s="149"/>
      <c r="P127" s="343">
        <f t="shared" si="27"/>
        <v>679130.23</v>
      </c>
      <c r="Q127" s="343"/>
      <c r="R127" s="25">
        <f t="shared" si="28"/>
        <v>1.23</v>
      </c>
      <c r="S127" s="1">
        <f t="shared" si="23"/>
        <v>123</v>
      </c>
      <c r="T127" t="s">
        <v>218</v>
      </c>
    </row>
    <row r="128" spans="1:24" ht="24.95" customHeight="1" x14ac:dyDescent="0.25">
      <c r="A128" s="29"/>
      <c r="B128" s="29">
        <f t="shared" si="25"/>
        <v>124</v>
      </c>
      <c r="C128" s="29" t="s">
        <v>134</v>
      </c>
      <c r="D128" s="136">
        <v>4.5999999999999999E-3</v>
      </c>
      <c r="E128" s="263">
        <v>665353.24</v>
      </c>
      <c r="F128" s="264">
        <f t="shared" si="30"/>
        <v>665353.24</v>
      </c>
      <c r="G128" s="94">
        <f t="shared" si="16"/>
        <v>0</v>
      </c>
      <c r="H128" s="34">
        <f t="shared" si="24"/>
        <v>0</v>
      </c>
      <c r="I128" s="35">
        <f t="shared" si="29"/>
        <v>317400</v>
      </c>
      <c r="J128" s="35">
        <f t="shared" si="26"/>
        <v>0</v>
      </c>
      <c r="K128" s="35">
        <f t="shared" si="20"/>
        <v>159026.35142768399</v>
      </c>
      <c r="L128" s="35">
        <f t="shared" si="21"/>
        <v>202702.7028</v>
      </c>
      <c r="M128" s="35">
        <f t="shared" si="22"/>
        <v>0</v>
      </c>
      <c r="N128" s="120">
        <v>0</v>
      </c>
      <c r="O128" s="149"/>
      <c r="P128" s="343">
        <f t="shared" si="27"/>
        <v>679130.24</v>
      </c>
      <c r="Q128" s="343"/>
      <c r="R128" s="25">
        <f t="shared" si="28"/>
        <v>1.24</v>
      </c>
      <c r="S128" s="1">
        <f t="shared" si="23"/>
        <v>124</v>
      </c>
    </row>
    <row r="129" spans="1:20" ht="24.95" customHeight="1" x14ac:dyDescent="0.25">
      <c r="A129" s="29"/>
      <c r="B129" s="29">
        <f t="shared" si="25"/>
        <v>125</v>
      </c>
      <c r="C129" s="29" t="s">
        <v>135</v>
      </c>
      <c r="D129" s="136">
        <v>4.5999999999999999E-3</v>
      </c>
      <c r="E129" s="263">
        <v>665353.25</v>
      </c>
      <c r="F129" s="264">
        <f t="shared" si="30"/>
        <v>665353.25</v>
      </c>
      <c r="G129" s="94">
        <f t="shared" si="16"/>
        <v>0</v>
      </c>
      <c r="H129" s="34">
        <f t="shared" si="24"/>
        <v>0</v>
      </c>
      <c r="I129" s="35">
        <f t="shared" si="29"/>
        <v>317400</v>
      </c>
      <c r="J129" s="35">
        <f t="shared" si="26"/>
        <v>0</v>
      </c>
      <c r="K129" s="35">
        <f t="shared" si="20"/>
        <v>159026.35142768399</v>
      </c>
      <c r="L129" s="35">
        <f t="shared" si="21"/>
        <v>202702.7028</v>
      </c>
      <c r="M129" s="35">
        <f t="shared" si="22"/>
        <v>0</v>
      </c>
      <c r="N129" s="120">
        <v>0</v>
      </c>
      <c r="O129" s="149"/>
      <c r="P129" s="343">
        <f t="shared" si="27"/>
        <v>679130.25</v>
      </c>
      <c r="Q129" s="343"/>
      <c r="R129" s="25">
        <f t="shared" si="28"/>
        <v>1.25</v>
      </c>
      <c r="S129" s="1">
        <f t="shared" si="23"/>
        <v>125</v>
      </c>
      <c r="T129" t="s">
        <v>288</v>
      </c>
    </row>
    <row r="130" spans="1:20" ht="24.95" customHeight="1" x14ac:dyDescent="0.25">
      <c r="A130" s="29"/>
      <c r="B130" s="29">
        <f t="shared" si="25"/>
        <v>126</v>
      </c>
      <c r="C130" s="29" t="s">
        <v>136</v>
      </c>
      <c r="D130" s="136">
        <v>4.5999999999999999E-3</v>
      </c>
      <c r="E130" s="263">
        <v>709433.26</v>
      </c>
      <c r="F130" s="264">
        <f>E130+42761</f>
        <v>752194.26</v>
      </c>
      <c r="G130" s="94">
        <f t="shared" si="16"/>
        <v>-42761</v>
      </c>
      <c r="H130" s="34">
        <f t="shared" si="24"/>
        <v>0</v>
      </c>
      <c r="I130" s="35">
        <f t="shared" si="29"/>
        <v>317400</v>
      </c>
      <c r="J130" s="35">
        <f t="shared" si="26"/>
        <v>0</v>
      </c>
      <c r="K130" s="35">
        <f t="shared" si="20"/>
        <v>159026.35142768399</v>
      </c>
      <c r="L130" s="35">
        <f t="shared" si="21"/>
        <v>202702.7028</v>
      </c>
      <c r="M130" s="35">
        <f t="shared" si="22"/>
        <v>0</v>
      </c>
      <c r="N130" s="120">
        <v>0</v>
      </c>
      <c r="O130" s="149"/>
      <c r="P130" s="343">
        <f t="shared" si="27"/>
        <v>636369.26</v>
      </c>
      <c r="Q130" s="343"/>
      <c r="R130" s="25">
        <f t="shared" si="28"/>
        <v>1.26</v>
      </c>
      <c r="S130" s="1">
        <f t="shared" si="23"/>
        <v>126</v>
      </c>
    </row>
    <row r="131" spans="1:20" ht="24.95" customHeight="1" x14ac:dyDescent="0.25">
      <c r="A131" s="29"/>
      <c r="B131" s="29">
        <f t="shared" si="25"/>
        <v>127</v>
      </c>
      <c r="C131" s="29" t="s">
        <v>137</v>
      </c>
      <c r="D131" s="136">
        <v>5.5999999999999999E-3</v>
      </c>
      <c r="E131" s="263">
        <v>732357.27</v>
      </c>
      <c r="F131" s="264">
        <f>E131</f>
        <v>732357.27</v>
      </c>
      <c r="G131" s="94">
        <f t="shared" si="16"/>
        <v>0</v>
      </c>
      <c r="H131" s="34">
        <f t="shared" si="24"/>
        <v>0</v>
      </c>
      <c r="I131" s="35">
        <f t="shared" si="29"/>
        <v>386400</v>
      </c>
      <c r="J131" s="35">
        <f t="shared" si="26"/>
        <v>0</v>
      </c>
      <c r="K131" s="35">
        <f t="shared" si="20"/>
        <v>159026.35142768399</v>
      </c>
      <c r="L131" s="35">
        <f t="shared" si="21"/>
        <v>202702.7028</v>
      </c>
      <c r="M131" s="35">
        <f t="shared" si="22"/>
        <v>0</v>
      </c>
      <c r="N131" s="120">
        <v>0</v>
      </c>
      <c r="O131" s="149"/>
      <c r="P131" s="343">
        <f t="shared" si="27"/>
        <v>748130.27</v>
      </c>
      <c r="Q131" s="343"/>
      <c r="R131" s="25">
        <f t="shared" si="28"/>
        <v>1.27</v>
      </c>
      <c r="S131" s="1">
        <f t="shared" si="23"/>
        <v>127</v>
      </c>
      <c r="T131" t="s">
        <v>229</v>
      </c>
    </row>
    <row r="132" spans="1:20" ht="24.95" customHeight="1" x14ac:dyDescent="0.25">
      <c r="A132" s="29"/>
      <c r="B132" s="29">
        <f t="shared" si="25"/>
        <v>128</v>
      </c>
      <c r="C132" s="29" t="s">
        <v>138</v>
      </c>
      <c r="D132" s="136">
        <v>6.1000000000000004E-3</v>
      </c>
      <c r="E132" s="263">
        <v>6403704.2800000003</v>
      </c>
      <c r="F132" s="264">
        <f>140000+640000</f>
        <v>780000</v>
      </c>
      <c r="G132" s="94">
        <f t="shared" si="16"/>
        <v>5623704.2800000003</v>
      </c>
      <c r="H132" s="34">
        <f t="shared" si="24"/>
        <v>173603.75112360003</v>
      </c>
      <c r="I132" s="35">
        <f t="shared" si="29"/>
        <v>420900</v>
      </c>
      <c r="J132" s="35">
        <f t="shared" si="26"/>
        <v>0</v>
      </c>
      <c r="K132" s="35">
        <f t="shared" si="20"/>
        <v>159026.35142768399</v>
      </c>
      <c r="L132" s="35">
        <f t="shared" si="21"/>
        <v>202702.7028</v>
      </c>
      <c r="M132" s="35">
        <f t="shared" si="22"/>
        <v>0</v>
      </c>
      <c r="N132" s="120">
        <v>0</v>
      </c>
      <c r="O132" s="149"/>
      <c r="P132" s="343">
        <f t="shared" si="27"/>
        <v>6579938.2800000003</v>
      </c>
      <c r="Q132" s="343"/>
      <c r="R132" s="25">
        <f t="shared" si="28"/>
        <v>1.28</v>
      </c>
      <c r="S132" s="1">
        <f t="shared" si="23"/>
        <v>128</v>
      </c>
    </row>
    <row r="133" spans="1:20" ht="24.95" customHeight="1" x14ac:dyDescent="0.25">
      <c r="A133" s="29"/>
      <c r="B133" s="29">
        <f>B132+1</f>
        <v>129</v>
      </c>
      <c r="C133" s="29" t="s">
        <v>139</v>
      </c>
      <c r="D133" s="136">
        <v>6.1000000000000004E-3</v>
      </c>
      <c r="E133" s="263">
        <v>765860.29</v>
      </c>
      <c r="F133" s="264">
        <f>E133</f>
        <v>765860.29</v>
      </c>
      <c r="G133" s="94">
        <f t="shared" si="16"/>
        <v>0</v>
      </c>
      <c r="H133" s="34">
        <f t="shared" si="24"/>
        <v>0</v>
      </c>
      <c r="I133" s="35">
        <f t="shared" si="29"/>
        <v>420900</v>
      </c>
      <c r="J133" s="35">
        <f t="shared" ref="J133:J143" si="31">P$2*D133</f>
        <v>0</v>
      </c>
      <c r="K133" s="35">
        <f t="shared" si="20"/>
        <v>159026.35142768399</v>
      </c>
      <c r="L133" s="35">
        <f t="shared" si="21"/>
        <v>202702.7028</v>
      </c>
      <c r="M133" s="35">
        <f t="shared" si="22"/>
        <v>0</v>
      </c>
      <c r="N133" s="120">
        <v>0</v>
      </c>
      <c r="O133" s="149"/>
      <c r="P133" s="343">
        <f t="shared" ref="P133:P143" si="32">ROUND(SUM(G133:O133),0) + R133</f>
        <v>782630.29</v>
      </c>
      <c r="Q133" s="343"/>
      <c r="R133" s="25">
        <f t="shared" ref="R133:R156" si="33">ROUND(0.001+B133/100,2)</f>
        <v>1.29</v>
      </c>
      <c r="S133" s="1">
        <f t="shared" si="23"/>
        <v>129</v>
      </c>
      <c r="T133" t="s">
        <v>202</v>
      </c>
    </row>
    <row r="134" spans="1:20" ht="24.95" customHeight="1" x14ac:dyDescent="0.25">
      <c r="A134" s="29"/>
      <c r="B134" s="29">
        <f t="shared" si="25"/>
        <v>130</v>
      </c>
      <c r="C134" s="29" t="s">
        <v>140</v>
      </c>
      <c r="D134" s="136">
        <v>5.7000000000000002E-3</v>
      </c>
      <c r="E134" s="263">
        <v>738967.3</v>
      </c>
      <c r="F134" s="264">
        <v>740000</v>
      </c>
      <c r="G134" s="94">
        <f t="shared" si="16"/>
        <v>-1032.6999999999534</v>
      </c>
      <c r="H134" s="34">
        <f t="shared" si="24"/>
        <v>0</v>
      </c>
      <c r="I134" s="35">
        <f t="shared" si="29"/>
        <v>393300</v>
      </c>
      <c r="J134" s="35">
        <f t="shared" si="31"/>
        <v>0</v>
      </c>
      <c r="K134" s="35">
        <f t="shared" ref="K134:K143" si="34">G$2*0.675675676%</f>
        <v>159026.35142768399</v>
      </c>
      <c r="L134" s="35">
        <f t="shared" ref="L134:L142" si="35">P$1*0.675675676%</f>
        <v>202702.7028</v>
      </c>
      <c r="M134" s="35">
        <f t="shared" ref="M134:M156" si="36">G$1*D134</f>
        <v>0</v>
      </c>
      <c r="N134" s="120">
        <v>0</v>
      </c>
      <c r="O134" s="149"/>
      <c r="P134" s="343">
        <f t="shared" si="32"/>
        <v>753997.3</v>
      </c>
      <c r="Q134" s="343"/>
      <c r="R134" s="25">
        <f t="shared" si="33"/>
        <v>1.3</v>
      </c>
      <c r="S134" s="1">
        <f t="shared" ref="S134:S156" si="37">B134</f>
        <v>130</v>
      </c>
      <c r="T134" t="s">
        <v>226</v>
      </c>
    </row>
    <row r="135" spans="1:20" ht="24.95" customHeight="1" x14ac:dyDescent="0.25">
      <c r="A135" s="29"/>
      <c r="B135" s="29">
        <f t="shared" si="25"/>
        <v>131</v>
      </c>
      <c r="C135" s="29" t="s">
        <v>141</v>
      </c>
      <c r="D135" s="32">
        <v>6.1000000000000004E-3</v>
      </c>
      <c r="E135" s="263">
        <v>765860.31</v>
      </c>
      <c r="F135" s="264">
        <f>E135</f>
        <v>765860.31</v>
      </c>
      <c r="G135" s="94">
        <f t="shared" si="16"/>
        <v>0</v>
      </c>
      <c r="H135" s="34">
        <f t="shared" ref="H135:H156" si="38">IF(G135&gt;0,G135*3.087%,0)</f>
        <v>0</v>
      </c>
      <c r="I135" s="35">
        <f t="shared" si="29"/>
        <v>420900</v>
      </c>
      <c r="J135" s="35">
        <f t="shared" si="31"/>
        <v>0</v>
      </c>
      <c r="K135" s="35">
        <f t="shared" si="34"/>
        <v>159026.35142768399</v>
      </c>
      <c r="L135" s="35">
        <f t="shared" si="35"/>
        <v>202702.7028</v>
      </c>
      <c r="M135" s="35">
        <f t="shared" si="36"/>
        <v>0</v>
      </c>
      <c r="N135" s="120">
        <v>0</v>
      </c>
      <c r="O135" s="149"/>
      <c r="P135" s="343">
        <f t="shared" si="32"/>
        <v>782630.31</v>
      </c>
      <c r="Q135" s="343"/>
      <c r="R135" s="25">
        <f t="shared" si="33"/>
        <v>1.31</v>
      </c>
      <c r="S135" s="1">
        <f t="shared" si="37"/>
        <v>131</v>
      </c>
    </row>
    <row r="136" spans="1:20" ht="24.95" customHeight="1" x14ac:dyDescent="0.25">
      <c r="A136" s="29"/>
      <c r="B136" s="29">
        <f t="shared" si="25"/>
        <v>132</v>
      </c>
      <c r="C136" s="29" t="s">
        <v>142</v>
      </c>
      <c r="D136" s="32">
        <v>6.0000000000000001E-3</v>
      </c>
      <c r="E136" s="263">
        <v>759159.32</v>
      </c>
      <c r="F136" s="264">
        <f>E136</f>
        <v>759159.32</v>
      </c>
      <c r="G136" s="94">
        <f t="shared" si="16"/>
        <v>0</v>
      </c>
      <c r="H136" s="34">
        <f t="shared" si="38"/>
        <v>0</v>
      </c>
      <c r="I136" s="35">
        <f t="shared" si="29"/>
        <v>414000</v>
      </c>
      <c r="J136" s="35">
        <f t="shared" si="31"/>
        <v>0</v>
      </c>
      <c r="K136" s="35">
        <f t="shared" si="34"/>
        <v>159026.35142768399</v>
      </c>
      <c r="L136" s="35">
        <f t="shared" si="35"/>
        <v>202702.7028</v>
      </c>
      <c r="M136" s="35">
        <f t="shared" si="36"/>
        <v>0</v>
      </c>
      <c r="N136" s="120">
        <v>0</v>
      </c>
      <c r="O136" s="149"/>
      <c r="P136" s="343">
        <f t="shared" si="32"/>
        <v>775730.32</v>
      </c>
      <c r="Q136" s="343"/>
      <c r="R136" s="25">
        <f t="shared" si="33"/>
        <v>1.32</v>
      </c>
      <c r="S136" s="1">
        <f t="shared" si="37"/>
        <v>132</v>
      </c>
      <c r="T136" t="s">
        <v>285</v>
      </c>
    </row>
    <row r="137" spans="1:20" ht="24.95" customHeight="1" x14ac:dyDescent="0.25">
      <c r="A137" s="29"/>
      <c r="B137" s="29">
        <f t="shared" ref="B137:B145" si="39">B136+1</f>
        <v>133</v>
      </c>
      <c r="C137" s="29" t="s">
        <v>143</v>
      </c>
      <c r="D137" s="32">
        <v>6.4000000000000003E-3</v>
      </c>
      <c r="E137" s="263">
        <v>785735.33</v>
      </c>
      <c r="F137" s="264">
        <v>786000</v>
      </c>
      <c r="G137" s="94">
        <f t="shared" si="16"/>
        <v>-264.67000000004191</v>
      </c>
      <c r="H137" s="34">
        <f t="shared" si="38"/>
        <v>0</v>
      </c>
      <c r="I137" s="35">
        <f t="shared" si="29"/>
        <v>441600</v>
      </c>
      <c r="J137" s="35">
        <f t="shared" si="31"/>
        <v>0</v>
      </c>
      <c r="K137" s="35">
        <f t="shared" si="34"/>
        <v>159026.35142768399</v>
      </c>
      <c r="L137" s="35">
        <f t="shared" si="35"/>
        <v>202702.7028</v>
      </c>
      <c r="M137" s="35">
        <f t="shared" si="36"/>
        <v>0</v>
      </c>
      <c r="N137" s="120">
        <v>0</v>
      </c>
      <c r="O137" s="149"/>
      <c r="P137" s="343">
        <f t="shared" si="32"/>
        <v>803065.33</v>
      </c>
      <c r="Q137" s="343"/>
      <c r="R137" s="25">
        <f t="shared" si="33"/>
        <v>1.33</v>
      </c>
      <c r="S137" s="1">
        <f t="shared" si="37"/>
        <v>133</v>
      </c>
      <c r="T137" t="s">
        <v>234</v>
      </c>
    </row>
    <row r="138" spans="1:20" ht="24.95" customHeight="1" x14ac:dyDescent="0.25">
      <c r="A138" s="29"/>
      <c r="B138" s="29">
        <f t="shared" si="39"/>
        <v>134</v>
      </c>
      <c r="C138" s="29" t="s">
        <v>144</v>
      </c>
      <c r="D138" s="32">
        <v>5.3E-3</v>
      </c>
      <c r="E138" s="263">
        <v>712257.34</v>
      </c>
      <c r="F138" s="264">
        <f>E138</f>
        <v>712257.34</v>
      </c>
      <c r="G138" s="94">
        <f t="shared" si="16"/>
        <v>0</v>
      </c>
      <c r="H138" s="34">
        <f t="shared" si="38"/>
        <v>0</v>
      </c>
      <c r="I138" s="35">
        <f t="shared" si="29"/>
        <v>365700</v>
      </c>
      <c r="J138" s="35">
        <f t="shared" si="31"/>
        <v>0</v>
      </c>
      <c r="K138" s="35">
        <f t="shared" si="34"/>
        <v>159026.35142768399</v>
      </c>
      <c r="L138" s="35">
        <f t="shared" si="35"/>
        <v>202702.7028</v>
      </c>
      <c r="M138" s="35">
        <f t="shared" si="36"/>
        <v>0</v>
      </c>
      <c r="N138" s="120">
        <v>0</v>
      </c>
      <c r="O138" s="149"/>
      <c r="P138" s="343">
        <f t="shared" si="32"/>
        <v>727430.34</v>
      </c>
      <c r="Q138" s="343"/>
      <c r="R138" s="25">
        <f t="shared" si="33"/>
        <v>1.34</v>
      </c>
      <c r="S138" s="1">
        <f t="shared" si="37"/>
        <v>134</v>
      </c>
      <c r="T138" t="s">
        <v>212</v>
      </c>
    </row>
    <row r="139" spans="1:20" ht="24.95" customHeight="1" x14ac:dyDescent="0.25">
      <c r="A139" s="29"/>
      <c r="B139" s="29">
        <f t="shared" si="39"/>
        <v>135</v>
      </c>
      <c r="C139" s="29" t="s">
        <v>144</v>
      </c>
      <c r="D139" s="32">
        <v>6.1000000000000004E-3</v>
      </c>
      <c r="E139" s="263">
        <v>765860.35</v>
      </c>
      <c r="F139" s="264">
        <f>E139</f>
        <v>765860.35</v>
      </c>
      <c r="G139" s="94">
        <f t="shared" si="16"/>
        <v>0</v>
      </c>
      <c r="H139" s="34">
        <f t="shared" si="38"/>
        <v>0</v>
      </c>
      <c r="I139" s="35">
        <f t="shared" si="29"/>
        <v>420900</v>
      </c>
      <c r="J139" s="35">
        <f t="shared" si="31"/>
        <v>0</v>
      </c>
      <c r="K139" s="35">
        <f t="shared" si="34"/>
        <v>159026.35142768399</v>
      </c>
      <c r="L139" s="35">
        <f t="shared" si="35"/>
        <v>202702.7028</v>
      </c>
      <c r="M139" s="35">
        <f t="shared" si="36"/>
        <v>0</v>
      </c>
      <c r="N139" s="120">
        <v>0</v>
      </c>
      <c r="O139" s="149"/>
      <c r="P139" s="343">
        <f t="shared" si="32"/>
        <v>782630.35</v>
      </c>
      <c r="Q139" s="343"/>
      <c r="R139" s="25">
        <f t="shared" si="33"/>
        <v>1.35</v>
      </c>
      <c r="S139" s="1">
        <f t="shared" si="37"/>
        <v>135</v>
      </c>
      <c r="T139" s="96" t="s">
        <v>212</v>
      </c>
    </row>
    <row r="140" spans="1:20" ht="24.95" customHeight="1" x14ac:dyDescent="0.25">
      <c r="A140" s="29"/>
      <c r="B140" s="29">
        <f t="shared" si="39"/>
        <v>136</v>
      </c>
      <c r="C140" s="29" t="s">
        <v>145</v>
      </c>
      <c r="D140" s="136">
        <v>6.1999999999999998E-3</v>
      </c>
      <c r="E140" s="263">
        <v>1660630.36</v>
      </c>
      <c r="F140" s="264">
        <v>789475.36</v>
      </c>
      <c r="G140" s="94">
        <f t="shared" si="16"/>
        <v>871155.00000000012</v>
      </c>
      <c r="H140" s="34">
        <f t="shared" si="38"/>
        <v>26892.554850000004</v>
      </c>
      <c r="I140" s="35">
        <f t="shared" si="29"/>
        <v>427800</v>
      </c>
      <c r="J140" s="35">
        <f t="shared" si="31"/>
        <v>0</v>
      </c>
      <c r="K140" s="35">
        <f t="shared" si="34"/>
        <v>159026.35142768399</v>
      </c>
      <c r="L140" s="35">
        <f t="shared" si="35"/>
        <v>202702.7028</v>
      </c>
      <c r="M140" s="35">
        <f t="shared" si="36"/>
        <v>0</v>
      </c>
      <c r="N140" s="120">
        <v>0</v>
      </c>
      <c r="O140" s="149"/>
      <c r="P140" s="343">
        <f t="shared" si="32"/>
        <v>1687578.36</v>
      </c>
      <c r="Q140" s="343"/>
      <c r="R140" s="25">
        <f t="shared" si="33"/>
        <v>1.36</v>
      </c>
      <c r="S140" s="1">
        <f t="shared" si="37"/>
        <v>136</v>
      </c>
      <c r="T140" t="s">
        <v>448</v>
      </c>
    </row>
    <row r="141" spans="1:20" ht="24.95" customHeight="1" x14ac:dyDescent="0.25">
      <c r="A141" s="29"/>
      <c r="B141" s="29">
        <f t="shared" si="39"/>
        <v>137</v>
      </c>
      <c r="C141" s="29" t="s">
        <v>146</v>
      </c>
      <c r="D141" s="32">
        <v>5.4000000000000003E-3</v>
      </c>
      <c r="E141" s="263">
        <v>718956.37</v>
      </c>
      <c r="F141" s="264"/>
      <c r="G141" s="94">
        <f t="shared" si="16"/>
        <v>718956.37</v>
      </c>
      <c r="H141" s="34">
        <f t="shared" si="38"/>
        <v>22194.183141900001</v>
      </c>
      <c r="I141" s="35">
        <f t="shared" si="29"/>
        <v>372600</v>
      </c>
      <c r="J141" s="35">
        <f t="shared" si="31"/>
        <v>0</v>
      </c>
      <c r="K141" s="35">
        <f t="shared" si="34"/>
        <v>159026.35142768399</v>
      </c>
      <c r="L141" s="35">
        <f t="shared" si="35"/>
        <v>202702.7028</v>
      </c>
      <c r="M141" s="35">
        <f t="shared" si="36"/>
        <v>0</v>
      </c>
      <c r="N141" s="120">
        <v>0</v>
      </c>
      <c r="O141" s="149"/>
      <c r="P141" s="343">
        <f t="shared" si="32"/>
        <v>1475481.37</v>
      </c>
      <c r="Q141" s="343"/>
      <c r="R141" s="25">
        <f t="shared" si="33"/>
        <v>1.37</v>
      </c>
      <c r="S141" s="1">
        <f t="shared" si="37"/>
        <v>137</v>
      </c>
    </row>
    <row r="142" spans="1:20" ht="24.95" customHeight="1" x14ac:dyDescent="0.25">
      <c r="A142" s="29"/>
      <c r="B142" s="29">
        <f t="shared" si="39"/>
        <v>138</v>
      </c>
      <c r="C142" s="29" t="s">
        <v>147</v>
      </c>
      <c r="D142" s="32">
        <v>6.4999999999999997E-3</v>
      </c>
      <c r="E142" s="263">
        <v>792662.38</v>
      </c>
      <c r="F142" s="264">
        <f>E142</f>
        <v>792662.38</v>
      </c>
      <c r="G142" s="94">
        <f t="shared" si="16"/>
        <v>0</v>
      </c>
      <c r="H142" s="34">
        <f t="shared" si="38"/>
        <v>0</v>
      </c>
      <c r="I142" s="35">
        <f t="shared" si="29"/>
        <v>448500</v>
      </c>
      <c r="J142" s="35">
        <f t="shared" si="31"/>
        <v>0</v>
      </c>
      <c r="K142" s="35">
        <f t="shared" si="34"/>
        <v>159026.35142768399</v>
      </c>
      <c r="L142" s="35">
        <f t="shared" si="35"/>
        <v>202702.7028</v>
      </c>
      <c r="M142" s="35">
        <f t="shared" si="36"/>
        <v>0</v>
      </c>
      <c r="N142" s="120">
        <v>0</v>
      </c>
      <c r="O142" s="149"/>
      <c r="P142" s="343">
        <f t="shared" si="32"/>
        <v>810230.38</v>
      </c>
      <c r="Q142" s="343"/>
      <c r="R142" s="25">
        <f t="shared" si="33"/>
        <v>1.38</v>
      </c>
      <c r="S142" s="1">
        <f t="shared" si="37"/>
        <v>138</v>
      </c>
    </row>
    <row r="143" spans="1:20" ht="24.95" customHeight="1" x14ac:dyDescent="0.25">
      <c r="A143" s="29"/>
      <c r="B143" s="29">
        <f t="shared" si="39"/>
        <v>139</v>
      </c>
      <c r="C143" s="29" t="s">
        <v>148</v>
      </c>
      <c r="D143" s="32">
        <v>6.1000000000000004E-3</v>
      </c>
      <c r="E143" s="263">
        <v>765639.39</v>
      </c>
      <c r="F143" s="264">
        <f>E143</f>
        <v>765639.39</v>
      </c>
      <c r="G143" s="94">
        <f t="shared" si="16"/>
        <v>0</v>
      </c>
      <c r="H143" s="34">
        <f t="shared" si="38"/>
        <v>0</v>
      </c>
      <c r="I143" s="35">
        <f t="shared" si="29"/>
        <v>420900</v>
      </c>
      <c r="J143" s="35">
        <f t="shared" si="31"/>
        <v>0</v>
      </c>
      <c r="K143" s="35">
        <f t="shared" si="34"/>
        <v>159026.35142768399</v>
      </c>
      <c r="L143" s="35">
        <f>P$1*0.675675676%</f>
        <v>202702.7028</v>
      </c>
      <c r="M143" s="35">
        <f t="shared" si="36"/>
        <v>0</v>
      </c>
      <c r="N143" s="120">
        <v>0</v>
      </c>
      <c r="O143" s="149"/>
      <c r="P143" s="343">
        <f t="shared" si="32"/>
        <v>782630.39</v>
      </c>
      <c r="Q143" s="343"/>
      <c r="R143" s="25">
        <f t="shared" si="33"/>
        <v>1.39</v>
      </c>
      <c r="S143" s="1">
        <f t="shared" si="37"/>
        <v>139</v>
      </c>
      <c r="T143" t="s">
        <v>451</v>
      </c>
    </row>
    <row r="144" spans="1:20" ht="24.95" customHeight="1" x14ac:dyDescent="0.25">
      <c r="A144" s="29"/>
      <c r="B144" s="29">
        <f t="shared" si="39"/>
        <v>140</v>
      </c>
      <c r="C144" s="29" t="s">
        <v>149</v>
      </c>
      <c r="D144" s="32">
        <v>0.18509999999999999</v>
      </c>
      <c r="E144" s="266"/>
      <c r="F144" s="264"/>
      <c r="G144" s="94"/>
      <c r="H144" s="34"/>
      <c r="I144" s="35"/>
      <c r="J144" s="35"/>
      <c r="K144" s="35"/>
      <c r="L144" s="35"/>
      <c r="M144" s="35"/>
      <c r="N144" s="120"/>
      <c r="O144" s="149"/>
      <c r="P144" s="343"/>
      <c r="Q144" s="343"/>
      <c r="R144" s="25">
        <f t="shared" si="33"/>
        <v>1.4</v>
      </c>
      <c r="S144" s="1">
        <f t="shared" si="37"/>
        <v>140</v>
      </c>
    </row>
    <row r="145" spans="1:21" ht="24.95" customHeight="1" x14ac:dyDescent="0.25">
      <c r="A145" s="29"/>
      <c r="B145" s="29">
        <f t="shared" si="39"/>
        <v>141</v>
      </c>
      <c r="C145" s="29" t="s">
        <v>149</v>
      </c>
      <c r="D145" s="32">
        <v>0.156</v>
      </c>
      <c r="E145" s="266"/>
      <c r="F145" s="264"/>
      <c r="G145" s="94"/>
      <c r="H145" s="34"/>
      <c r="I145" s="35"/>
      <c r="J145" s="35"/>
      <c r="K145" s="35"/>
      <c r="L145" s="35"/>
      <c r="M145" s="35"/>
      <c r="N145" s="120"/>
      <c r="O145" s="149"/>
      <c r="P145" s="343"/>
      <c r="Q145" s="343"/>
      <c r="R145" s="25">
        <f t="shared" si="33"/>
        <v>1.41</v>
      </c>
      <c r="S145" s="1">
        <f t="shared" si="37"/>
        <v>141</v>
      </c>
    </row>
    <row r="146" spans="1:21" ht="24.95" customHeight="1" x14ac:dyDescent="0.25">
      <c r="A146" s="29"/>
      <c r="B146" s="29"/>
      <c r="C146" s="29"/>
      <c r="D146" s="32"/>
      <c r="E146" s="266"/>
      <c r="F146" s="264"/>
      <c r="G146" s="94"/>
      <c r="H146" s="34"/>
      <c r="I146" s="35"/>
      <c r="J146" s="35"/>
      <c r="K146" s="35"/>
      <c r="L146" s="35"/>
      <c r="M146" s="35"/>
      <c r="N146" s="120"/>
      <c r="O146" s="149"/>
      <c r="P146" s="347"/>
      <c r="Q146" s="347"/>
      <c r="R146" s="25">
        <f t="shared" si="33"/>
        <v>0</v>
      </c>
      <c r="S146" s="1">
        <f t="shared" si="37"/>
        <v>0</v>
      </c>
    </row>
    <row r="147" spans="1:21" ht="24.95" customHeight="1" x14ac:dyDescent="0.25">
      <c r="A147" s="29"/>
      <c r="B147" s="29"/>
      <c r="C147" s="29"/>
      <c r="D147" s="32"/>
      <c r="E147" s="266"/>
      <c r="F147" s="264"/>
      <c r="G147" s="94"/>
      <c r="H147" s="34"/>
      <c r="I147" s="35"/>
      <c r="J147" s="35"/>
      <c r="K147" s="35"/>
      <c r="L147" s="35"/>
      <c r="M147" s="35"/>
      <c r="N147" s="120"/>
      <c r="O147" s="149"/>
      <c r="P147" s="347"/>
      <c r="Q147" s="347"/>
      <c r="R147" s="25">
        <f t="shared" si="33"/>
        <v>0</v>
      </c>
      <c r="S147" s="1">
        <f t="shared" si="37"/>
        <v>0</v>
      </c>
    </row>
    <row r="148" spans="1:21" ht="24.95" customHeight="1" x14ac:dyDescent="0.25">
      <c r="A148" s="29"/>
      <c r="B148" s="29">
        <v>146</v>
      </c>
      <c r="C148" s="29" t="s">
        <v>84</v>
      </c>
      <c r="D148" s="32">
        <v>3.8E-3</v>
      </c>
      <c r="E148" s="266">
        <v>864196.46</v>
      </c>
      <c r="F148" s="264">
        <f t="shared" ref="F148:F156" si="40">E148</f>
        <v>864196.46</v>
      </c>
      <c r="G148" s="94">
        <f t="shared" si="16"/>
        <v>0</v>
      </c>
      <c r="H148" s="34">
        <f t="shared" si="38"/>
        <v>0</v>
      </c>
      <c r="I148" s="35">
        <f t="shared" si="29"/>
        <v>262200</v>
      </c>
      <c r="J148" s="35">
        <f t="shared" ref="J148:J156" si="41">P$2*D148</f>
        <v>0</v>
      </c>
      <c r="K148" s="35">
        <f t="shared" ref="K148:K156" si="42">G$2*0.675675676%</f>
        <v>159026.35142768399</v>
      </c>
      <c r="L148" s="35">
        <f>P$1*0.675675676%</f>
        <v>202702.7028</v>
      </c>
      <c r="M148" s="35">
        <v>47924</v>
      </c>
      <c r="N148" s="120">
        <f>(I148+K148)/2</f>
        <v>210613.17571384198</v>
      </c>
      <c r="O148" s="149"/>
      <c r="P148" s="343">
        <f t="shared" ref="P148:P156" si="43">ROUND(SUM(G148:O148),0) + R148</f>
        <v>882467.46</v>
      </c>
      <c r="Q148" s="343"/>
      <c r="R148" s="25">
        <f t="shared" si="33"/>
        <v>1.46</v>
      </c>
      <c r="S148" s="1">
        <f t="shared" si="37"/>
        <v>146</v>
      </c>
    </row>
    <row r="149" spans="1:21" ht="24.95" customHeight="1" x14ac:dyDescent="0.25">
      <c r="A149" s="29"/>
      <c r="B149" s="29">
        <v>158</v>
      </c>
      <c r="C149" s="29" t="s">
        <v>53</v>
      </c>
      <c r="D149" s="32">
        <v>4.5999999999999999E-3</v>
      </c>
      <c r="E149" s="266">
        <v>665353.57999999996</v>
      </c>
      <c r="F149" s="264">
        <f t="shared" si="40"/>
        <v>665353.57999999996</v>
      </c>
      <c r="G149" s="94">
        <f t="shared" si="16"/>
        <v>0</v>
      </c>
      <c r="H149" s="34">
        <f t="shared" si="38"/>
        <v>0</v>
      </c>
      <c r="I149" s="35">
        <f t="shared" si="29"/>
        <v>317400</v>
      </c>
      <c r="J149" s="35">
        <f t="shared" si="41"/>
        <v>0</v>
      </c>
      <c r="K149" s="35">
        <f t="shared" si="42"/>
        <v>159026.35142768399</v>
      </c>
      <c r="L149" s="35">
        <f t="shared" ref="L149:L156" si="44">P$1*0.675675676%</f>
        <v>202702.7028</v>
      </c>
      <c r="M149" s="35">
        <f t="shared" si="36"/>
        <v>0</v>
      </c>
      <c r="N149" s="120">
        <v>0</v>
      </c>
      <c r="O149" s="35"/>
      <c r="P149" s="343">
        <f t="shared" si="43"/>
        <v>679130.58</v>
      </c>
      <c r="Q149" s="343"/>
      <c r="R149" s="25">
        <f t="shared" si="33"/>
        <v>1.58</v>
      </c>
      <c r="S149" s="1">
        <f t="shared" si="37"/>
        <v>158</v>
      </c>
    </row>
    <row r="150" spans="1:21" ht="24.95" customHeight="1" x14ac:dyDescent="0.25">
      <c r="A150" s="29"/>
      <c r="B150" s="29">
        <v>159</v>
      </c>
      <c r="C150" s="29" t="s">
        <v>53</v>
      </c>
      <c r="D150" s="32">
        <v>4.5999999999999999E-3</v>
      </c>
      <c r="E150" s="266">
        <v>665353.59</v>
      </c>
      <c r="F150" s="264">
        <f t="shared" si="40"/>
        <v>665353.59</v>
      </c>
      <c r="G150" s="94">
        <f t="shared" si="16"/>
        <v>0</v>
      </c>
      <c r="H150" s="34">
        <f t="shared" si="38"/>
        <v>0</v>
      </c>
      <c r="I150" s="35">
        <f t="shared" si="29"/>
        <v>317400</v>
      </c>
      <c r="J150" s="35">
        <f t="shared" si="41"/>
        <v>0</v>
      </c>
      <c r="K150" s="35">
        <f t="shared" si="42"/>
        <v>159026.35142768399</v>
      </c>
      <c r="L150" s="35">
        <f t="shared" si="44"/>
        <v>202702.7028</v>
      </c>
      <c r="M150" s="35">
        <f t="shared" si="36"/>
        <v>0</v>
      </c>
      <c r="N150" s="35">
        <v>0</v>
      </c>
      <c r="O150" s="35"/>
      <c r="P150" s="343">
        <f t="shared" si="43"/>
        <v>679130.59</v>
      </c>
      <c r="Q150" s="343"/>
      <c r="R150" s="25">
        <f t="shared" si="33"/>
        <v>1.59</v>
      </c>
      <c r="S150" s="1">
        <f t="shared" si="37"/>
        <v>159</v>
      </c>
    </row>
    <row r="151" spans="1:21" ht="24.95" customHeight="1" x14ac:dyDescent="0.25">
      <c r="A151" s="30"/>
      <c r="B151" s="30">
        <v>163</v>
      </c>
      <c r="C151" s="29" t="s">
        <v>85</v>
      </c>
      <c r="D151" s="32">
        <v>4.5999999999999999E-3</v>
      </c>
      <c r="E151" s="266">
        <v>665353.63</v>
      </c>
      <c r="F151" s="264">
        <f t="shared" si="40"/>
        <v>665353.63</v>
      </c>
      <c r="G151" s="94">
        <f t="shared" si="16"/>
        <v>0</v>
      </c>
      <c r="H151" s="34">
        <f t="shared" si="38"/>
        <v>0</v>
      </c>
      <c r="I151" s="35">
        <f t="shared" si="29"/>
        <v>317400</v>
      </c>
      <c r="J151" s="35">
        <f t="shared" si="41"/>
        <v>0</v>
      </c>
      <c r="K151" s="35">
        <f t="shared" si="42"/>
        <v>159026.35142768399</v>
      </c>
      <c r="L151" s="35">
        <f t="shared" si="44"/>
        <v>202702.7028</v>
      </c>
      <c r="M151" s="35">
        <f t="shared" si="36"/>
        <v>0</v>
      </c>
      <c r="N151" s="35">
        <v>0</v>
      </c>
      <c r="O151" s="35"/>
      <c r="P151" s="343">
        <f t="shared" si="43"/>
        <v>679130.63</v>
      </c>
      <c r="Q151" s="343"/>
      <c r="R151" s="25">
        <f t="shared" si="33"/>
        <v>1.63</v>
      </c>
      <c r="S151" s="1">
        <f t="shared" si="37"/>
        <v>163</v>
      </c>
    </row>
    <row r="152" spans="1:21" ht="24.95" customHeight="1" x14ac:dyDescent="0.25">
      <c r="A152" s="30"/>
      <c r="B152" s="30">
        <v>168</v>
      </c>
      <c r="C152" s="29" t="s">
        <v>53</v>
      </c>
      <c r="D152" s="32">
        <v>4.4000000000000003E-3</v>
      </c>
      <c r="E152" s="266">
        <v>651952.68000000005</v>
      </c>
      <c r="F152" s="264">
        <f t="shared" si="40"/>
        <v>651952.68000000005</v>
      </c>
      <c r="G152" s="94">
        <f t="shared" si="16"/>
        <v>0</v>
      </c>
      <c r="H152" s="34">
        <f t="shared" si="38"/>
        <v>0</v>
      </c>
      <c r="I152" s="35">
        <f t="shared" si="29"/>
        <v>303600</v>
      </c>
      <c r="J152" s="35">
        <f t="shared" si="41"/>
        <v>0</v>
      </c>
      <c r="K152" s="35">
        <f t="shared" si="42"/>
        <v>159026.35142768399</v>
      </c>
      <c r="L152" s="35">
        <f t="shared" si="44"/>
        <v>202702.7028</v>
      </c>
      <c r="M152" s="35">
        <f t="shared" si="36"/>
        <v>0</v>
      </c>
      <c r="N152" s="35">
        <v>0</v>
      </c>
      <c r="O152" s="35"/>
      <c r="P152" s="343">
        <f t="shared" si="43"/>
        <v>665330.68000000005</v>
      </c>
      <c r="Q152" s="343"/>
      <c r="R152" s="25">
        <f t="shared" si="33"/>
        <v>1.68</v>
      </c>
      <c r="S152" s="1">
        <f t="shared" si="37"/>
        <v>168</v>
      </c>
    </row>
    <row r="153" spans="1:21" ht="24.95" customHeight="1" x14ac:dyDescent="0.25">
      <c r="A153" s="30"/>
      <c r="B153" s="30">
        <v>173</v>
      </c>
      <c r="C153" s="29" t="s">
        <v>86</v>
      </c>
      <c r="D153" s="32">
        <v>4.5999999999999999E-3</v>
      </c>
      <c r="E153" s="266">
        <v>830469.73</v>
      </c>
      <c r="F153" s="264">
        <f t="shared" si="40"/>
        <v>830469.73</v>
      </c>
      <c r="G153" s="94">
        <f t="shared" si="16"/>
        <v>0</v>
      </c>
      <c r="H153" s="34">
        <f t="shared" si="38"/>
        <v>0</v>
      </c>
      <c r="I153" s="35">
        <f t="shared" si="29"/>
        <v>317400</v>
      </c>
      <c r="J153" s="35">
        <f t="shared" si="41"/>
        <v>0</v>
      </c>
      <c r="K153" s="35">
        <f t="shared" si="42"/>
        <v>159026.35142768399</v>
      </c>
      <c r="L153" s="35">
        <f t="shared" si="44"/>
        <v>202702.7028</v>
      </c>
      <c r="M153" s="35">
        <f t="shared" si="36"/>
        <v>0</v>
      </c>
      <c r="N153" s="35">
        <v>0</v>
      </c>
      <c r="O153" s="35"/>
      <c r="P153" s="343">
        <f t="shared" si="43"/>
        <v>679130.73</v>
      </c>
      <c r="Q153" s="343"/>
      <c r="R153" s="25">
        <f t="shared" si="33"/>
        <v>1.73</v>
      </c>
      <c r="S153" s="1">
        <f t="shared" si="37"/>
        <v>173</v>
      </c>
    </row>
    <row r="154" spans="1:21" ht="24.95" customHeight="1" x14ac:dyDescent="0.25">
      <c r="A154" s="30"/>
      <c r="B154" s="30">
        <v>175</v>
      </c>
      <c r="C154" s="29" t="s">
        <v>86</v>
      </c>
      <c r="D154" s="32">
        <v>4.5999999999999999E-3</v>
      </c>
      <c r="E154" s="266">
        <v>1402415.75</v>
      </c>
      <c r="F154" s="264">
        <f t="shared" si="40"/>
        <v>1402415.75</v>
      </c>
      <c r="G154" s="94">
        <f t="shared" si="16"/>
        <v>0</v>
      </c>
      <c r="H154" s="34">
        <f t="shared" si="38"/>
        <v>0</v>
      </c>
      <c r="I154" s="35">
        <f t="shared" si="29"/>
        <v>317400</v>
      </c>
      <c r="J154" s="35">
        <f t="shared" si="41"/>
        <v>0</v>
      </c>
      <c r="K154" s="35">
        <f t="shared" si="42"/>
        <v>159026.35142768399</v>
      </c>
      <c r="L154" s="35">
        <f t="shared" si="44"/>
        <v>202702.7028</v>
      </c>
      <c r="M154" s="35">
        <f t="shared" si="36"/>
        <v>0</v>
      </c>
      <c r="N154" s="35">
        <v>0</v>
      </c>
      <c r="O154" s="35"/>
      <c r="P154" s="343">
        <f t="shared" si="43"/>
        <v>679130.75</v>
      </c>
      <c r="Q154" s="343"/>
      <c r="R154" s="25">
        <f t="shared" si="33"/>
        <v>1.75</v>
      </c>
      <c r="S154" s="1">
        <f t="shared" si="37"/>
        <v>175</v>
      </c>
      <c r="U154" t="s">
        <v>236</v>
      </c>
    </row>
    <row r="155" spans="1:21" ht="24.95" customHeight="1" x14ac:dyDescent="0.25">
      <c r="A155" s="30"/>
      <c r="B155" s="30">
        <v>176</v>
      </c>
      <c r="C155" s="29" t="s">
        <v>85</v>
      </c>
      <c r="D155" s="32">
        <v>4.5999999999999999E-3</v>
      </c>
      <c r="E155" s="266">
        <v>665353.76</v>
      </c>
      <c r="F155" s="264">
        <f t="shared" si="40"/>
        <v>665353.76</v>
      </c>
      <c r="G155" s="94">
        <f t="shared" si="16"/>
        <v>0</v>
      </c>
      <c r="H155" s="34">
        <f t="shared" si="38"/>
        <v>0</v>
      </c>
      <c r="I155" s="35">
        <f t="shared" si="29"/>
        <v>317400</v>
      </c>
      <c r="J155" s="35">
        <f t="shared" si="41"/>
        <v>0</v>
      </c>
      <c r="K155" s="35">
        <f t="shared" si="42"/>
        <v>159026.35142768399</v>
      </c>
      <c r="L155" s="35">
        <f t="shared" si="44"/>
        <v>202702.7028</v>
      </c>
      <c r="M155" s="35">
        <f t="shared" si="36"/>
        <v>0</v>
      </c>
      <c r="N155" s="35">
        <v>0</v>
      </c>
      <c r="O155" s="35"/>
      <c r="P155" s="343">
        <f t="shared" si="43"/>
        <v>679130.76</v>
      </c>
      <c r="Q155" s="343"/>
      <c r="R155" s="25">
        <f t="shared" si="33"/>
        <v>1.76</v>
      </c>
      <c r="S155" s="1">
        <f t="shared" si="37"/>
        <v>176</v>
      </c>
    </row>
    <row r="156" spans="1:21" ht="24.95" customHeight="1" x14ac:dyDescent="0.25">
      <c r="A156" s="30"/>
      <c r="B156" s="30">
        <v>204</v>
      </c>
      <c r="C156" s="29" t="s">
        <v>43</v>
      </c>
      <c r="D156" s="32">
        <v>4.8999999999999998E-3</v>
      </c>
      <c r="E156" s="266">
        <v>2094205.04</v>
      </c>
      <c r="F156" s="264">
        <f t="shared" si="40"/>
        <v>2094205.04</v>
      </c>
      <c r="G156" s="94">
        <f t="shared" si="16"/>
        <v>0</v>
      </c>
      <c r="H156" s="34">
        <f t="shared" si="38"/>
        <v>0</v>
      </c>
      <c r="I156" s="35">
        <f t="shared" si="29"/>
        <v>338100</v>
      </c>
      <c r="J156" s="35">
        <f t="shared" si="41"/>
        <v>0</v>
      </c>
      <c r="K156" s="35">
        <f t="shared" si="42"/>
        <v>159026.35142768399</v>
      </c>
      <c r="L156" s="35">
        <f t="shared" si="44"/>
        <v>202702.7028</v>
      </c>
      <c r="M156" s="35">
        <f t="shared" si="36"/>
        <v>0</v>
      </c>
      <c r="N156" s="35">
        <v>0</v>
      </c>
      <c r="O156" s="35"/>
      <c r="P156" s="343">
        <f t="shared" si="43"/>
        <v>699831.04</v>
      </c>
      <c r="Q156" s="343"/>
      <c r="R156" s="25">
        <f t="shared" si="33"/>
        <v>2.04</v>
      </c>
      <c r="S156" s="1">
        <f t="shared" si="37"/>
        <v>204</v>
      </c>
    </row>
    <row r="157" spans="1:21" ht="24.95" customHeight="1" x14ac:dyDescent="0.25">
      <c r="A157" s="30"/>
      <c r="B157" s="30"/>
      <c r="C157" s="29"/>
      <c r="D157" s="32"/>
      <c r="E157" s="33"/>
      <c r="F157" s="51"/>
      <c r="G157" s="34"/>
      <c r="H157" s="34"/>
      <c r="I157" s="35"/>
      <c r="J157" s="35"/>
      <c r="K157" s="35"/>
      <c r="L157" s="35"/>
      <c r="M157" s="35"/>
      <c r="N157" s="35"/>
      <c r="O157" s="35"/>
      <c r="P157" s="346"/>
      <c r="Q157" s="346"/>
      <c r="R157" s="25"/>
      <c r="S157" s="1"/>
    </row>
    <row r="158" spans="1:21" ht="24.95" customHeight="1" x14ac:dyDescent="0.25">
      <c r="A158" s="30"/>
      <c r="B158" s="30"/>
      <c r="C158" s="30"/>
      <c r="D158" s="32"/>
      <c r="E158" s="33"/>
      <c r="F158" s="1"/>
      <c r="G158" s="34"/>
      <c r="H158" s="34"/>
      <c r="I158" s="118"/>
      <c r="J158" s="35"/>
      <c r="K158" s="35"/>
      <c r="L158" s="35"/>
      <c r="M158" s="35"/>
      <c r="N158" s="35"/>
      <c r="O158" s="35"/>
      <c r="P158" s="346"/>
      <c r="Q158" s="346"/>
      <c r="R158" s="25"/>
      <c r="S158" s="1"/>
    </row>
    <row r="159" spans="1:21" ht="24.95" customHeight="1" thickBot="1" x14ac:dyDescent="0.3">
      <c r="A159" s="36"/>
      <c r="B159" s="119"/>
      <c r="C159" s="112"/>
      <c r="D159" s="129">
        <f t="shared" ref="D159:O159" si="45">SUM(D5:D158)</f>
        <v>1.0407000000000002</v>
      </c>
      <c r="E159" s="113">
        <f t="shared" si="45"/>
        <v>152384996.52000001</v>
      </c>
      <c r="F159" s="114">
        <f>SUM(F5:F158)</f>
        <v>116266658.58999999</v>
      </c>
      <c r="G159" s="115">
        <f t="shared" si="45"/>
        <v>36118337.929999985</v>
      </c>
      <c r="H159" s="116"/>
      <c r="I159" s="116">
        <f t="shared" si="45"/>
        <v>48272400</v>
      </c>
      <c r="J159" s="116">
        <f t="shared" si="45"/>
        <v>0</v>
      </c>
      <c r="K159" s="117">
        <f t="shared" si="45"/>
        <v>23535900.011297263</v>
      </c>
      <c r="L159" s="121">
        <f t="shared" si="45"/>
        <v>30000000.01439989</v>
      </c>
      <c r="M159" s="117">
        <f t="shared" si="45"/>
        <v>530311</v>
      </c>
      <c r="N159" s="117">
        <f t="shared" si="45"/>
        <v>2088718.5814245781</v>
      </c>
      <c r="O159" s="117">
        <f t="shared" si="45"/>
        <v>483330</v>
      </c>
      <c r="P159" s="344">
        <f>SUM(P5:P158)</f>
        <v>142178003.51999995</v>
      </c>
      <c r="Q159" s="345"/>
      <c r="R159" s="344"/>
      <c r="S159" s="345"/>
    </row>
    <row r="160" spans="1:21" ht="12" customHeight="1" thickBot="1" x14ac:dyDescent="0.3">
      <c r="F160" s="52"/>
    </row>
    <row r="161" spans="3:16" ht="15" customHeight="1" x14ac:dyDescent="0.25">
      <c r="C161" s="334" t="s">
        <v>468</v>
      </c>
      <c r="D161" s="335"/>
      <c r="E161" s="335"/>
      <c r="F161" s="335"/>
      <c r="G161" s="335"/>
      <c r="H161" s="335"/>
      <c r="I161" s="335"/>
      <c r="J161" s="335"/>
      <c r="K161" s="335"/>
      <c r="L161" s="335"/>
      <c r="M161" s="335"/>
      <c r="N161" s="335"/>
      <c r="O161" s="335"/>
      <c r="P161" s="336"/>
    </row>
    <row r="162" spans="3:16" ht="26.25" customHeight="1" thickBot="1" x14ac:dyDescent="0.3">
      <c r="C162" s="340"/>
      <c r="D162" s="341"/>
      <c r="E162" s="341"/>
      <c r="F162" s="341"/>
      <c r="G162" s="341"/>
      <c r="H162" s="341"/>
      <c r="I162" s="341"/>
      <c r="J162" s="341"/>
      <c r="K162" s="341"/>
      <c r="L162" s="341"/>
      <c r="M162" s="341"/>
      <c r="N162" s="341"/>
      <c r="O162" s="341"/>
      <c r="P162" s="342"/>
    </row>
    <row r="163" spans="3:16" ht="10.5" hidden="1" customHeight="1" x14ac:dyDescent="0.25">
      <c r="C163" s="334" t="s">
        <v>293</v>
      </c>
      <c r="D163" s="335"/>
      <c r="E163" s="335"/>
      <c r="F163" s="335"/>
      <c r="G163" s="335"/>
      <c r="H163" s="335"/>
      <c r="I163" s="335"/>
      <c r="J163" s="335"/>
      <c r="K163" s="335"/>
      <c r="L163" s="335"/>
      <c r="M163" s="335"/>
      <c r="N163" s="335"/>
      <c r="O163" s="335"/>
      <c r="P163" s="336"/>
    </row>
    <row r="164" spans="3:16" ht="15" hidden="1" customHeight="1" x14ac:dyDescent="0.25">
      <c r="C164" s="337"/>
      <c r="D164" s="338"/>
      <c r="E164" s="338"/>
      <c r="F164" s="338"/>
      <c r="G164" s="338"/>
      <c r="H164" s="338"/>
      <c r="I164" s="338"/>
      <c r="J164" s="338"/>
      <c r="K164" s="338"/>
      <c r="L164" s="338"/>
      <c r="M164" s="338"/>
      <c r="N164" s="338"/>
      <c r="O164" s="338"/>
      <c r="P164" s="339"/>
    </row>
    <row r="165" spans="3:16" ht="6" customHeight="1" x14ac:dyDescent="0.25">
      <c r="C165" s="337"/>
      <c r="D165" s="338"/>
      <c r="E165" s="338"/>
      <c r="F165" s="338"/>
      <c r="G165" s="338"/>
      <c r="H165" s="338"/>
      <c r="I165" s="338"/>
      <c r="J165" s="338"/>
      <c r="K165" s="338"/>
      <c r="L165" s="338"/>
      <c r="M165" s="338"/>
      <c r="N165" s="338"/>
      <c r="O165" s="338"/>
      <c r="P165" s="339"/>
    </row>
    <row r="166" spans="3:16" ht="164.25" customHeight="1" thickBot="1" x14ac:dyDescent="0.3">
      <c r="C166" s="340"/>
      <c r="D166" s="341"/>
      <c r="E166" s="341"/>
      <c r="F166" s="341"/>
      <c r="G166" s="341"/>
      <c r="H166" s="341"/>
      <c r="I166" s="341"/>
      <c r="J166" s="341"/>
      <c r="K166" s="341"/>
      <c r="L166" s="341"/>
      <c r="M166" s="341"/>
      <c r="N166" s="341"/>
      <c r="O166" s="341"/>
      <c r="P166" s="342"/>
    </row>
  </sheetData>
  <mergeCells count="183">
    <mergeCell ref="S3:S4"/>
    <mergeCell ref="R159:S159"/>
    <mergeCell ref="A3:A4"/>
    <mergeCell ref="B3:B4"/>
    <mergeCell ref="C3:C4"/>
    <mergeCell ref="D3:D4"/>
    <mergeCell ref="K3:K4"/>
    <mergeCell ref="H3:H4"/>
    <mergeCell ref="E3:E4"/>
    <mergeCell ref="F3:F4"/>
    <mergeCell ref="G3:G4"/>
    <mergeCell ref="I3:I4"/>
    <mergeCell ref="J3:J4"/>
    <mergeCell ref="P5:Q5"/>
    <mergeCell ref="P6:Q6"/>
    <mergeCell ref="P7:Q7"/>
    <mergeCell ref="P8:Q8"/>
    <mergeCell ref="P9:Q9"/>
    <mergeCell ref="P25:Q25"/>
    <mergeCell ref="P26:Q26"/>
    <mergeCell ref="P27:Q27"/>
    <mergeCell ref="P28:Q28"/>
    <mergeCell ref="P29:Q29"/>
    <mergeCell ref="P20:Q20"/>
    <mergeCell ref="P15:Q15"/>
    <mergeCell ref="P16:Q16"/>
    <mergeCell ref="P17:Q17"/>
    <mergeCell ref="P18:Q18"/>
    <mergeCell ref="P19:Q19"/>
    <mergeCell ref="P10:Q10"/>
    <mergeCell ref="P11:Q11"/>
    <mergeCell ref="P12:Q12"/>
    <mergeCell ref="P13:Q13"/>
    <mergeCell ref="P14:Q14"/>
    <mergeCell ref="D1:E1"/>
    <mergeCell ref="K1:L1"/>
    <mergeCell ref="L3:L4"/>
    <mergeCell ref="K2:L2"/>
    <mergeCell ref="M3:M4"/>
    <mergeCell ref="P1:Q1"/>
    <mergeCell ref="P2:Q2"/>
    <mergeCell ref="G2:H2"/>
    <mergeCell ref="N3:N4"/>
    <mergeCell ref="F1:G1"/>
    <mergeCell ref="O3:O4"/>
    <mergeCell ref="C2:E2"/>
    <mergeCell ref="P3:Q4"/>
    <mergeCell ref="P21:Q21"/>
    <mergeCell ref="P22:Q22"/>
    <mergeCell ref="P23:Q23"/>
    <mergeCell ref="P24:Q24"/>
    <mergeCell ref="P35:Q35"/>
    <mergeCell ref="P36:Q36"/>
    <mergeCell ref="P37:Q37"/>
    <mergeCell ref="P38:Q38"/>
    <mergeCell ref="P39:Q39"/>
    <mergeCell ref="P30:Q30"/>
    <mergeCell ref="P31:Q31"/>
    <mergeCell ref="P32:Q32"/>
    <mergeCell ref="P33:Q33"/>
    <mergeCell ref="P34:Q34"/>
    <mergeCell ref="P45:Q45"/>
    <mergeCell ref="P46:Q46"/>
    <mergeCell ref="P47:Q47"/>
    <mergeCell ref="P48:Q48"/>
    <mergeCell ref="P49:Q49"/>
    <mergeCell ref="P40:Q40"/>
    <mergeCell ref="P41:Q41"/>
    <mergeCell ref="P42:Q42"/>
    <mergeCell ref="P43:Q43"/>
    <mergeCell ref="P44:Q44"/>
    <mergeCell ref="P55:Q55"/>
    <mergeCell ref="P56:Q56"/>
    <mergeCell ref="P57:Q57"/>
    <mergeCell ref="P58:Q58"/>
    <mergeCell ref="P59:Q59"/>
    <mergeCell ref="P50:Q50"/>
    <mergeCell ref="P51:Q51"/>
    <mergeCell ref="P52:Q52"/>
    <mergeCell ref="P53:Q53"/>
    <mergeCell ref="P54:Q54"/>
    <mergeCell ref="P65:Q65"/>
    <mergeCell ref="P66:Q66"/>
    <mergeCell ref="P67:Q67"/>
    <mergeCell ref="P68:Q68"/>
    <mergeCell ref="P69:Q69"/>
    <mergeCell ref="P60:Q60"/>
    <mergeCell ref="P61:Q61"/>
    <mergeCell ref="P62:Q62"/>
    <mergeCell ref="P63:Q63"/>
    <mergeCell ref="P64:Q64"/>
    <mergeCell ref="P75:Q75"/>
    <mergeCell ref="P76:Q76"/>
    <mergeCell ref="P77:Q77"/>
    <mergeCell ref="P78:Q78"/>
    <mergeCell ref="P79:Q79"/>
    <mergeCell ref="P70:Q70"/>
    <mergeCell ref="P71:Q71"/>
    <mergeCell ref="P72:Q72"/>
    <mergeCell ref="P73:Q73"/>
    <mergeCell ref="P74:Q74"/>
    <mergeCell ref="P85:Q85"/>
    <mergeCell ref="P86:Q86"/>
    <mergeCell ref="P87:Q87"/>
    <mergeCell ref="P88:Q88"/>
    <mergeCell ref="P89:Q89"/>
    <mergeCell ref="P80:Q80"/>
    <mergeCell ref="P81:Q81"/>
    <mergeCell ref="P82:Q82"/>
    <mergeCell ref="P83:Q83"/>
    <mergeCell ref="P84:Q84"/>
    <mergeCell ref="P95:Q95"/>
    <mergeCell ref="P96:Q96"/>
    <mergeCell ref="P97:Q97"/>
    <mergeCell ref="P98:Q98"/>
    <mergeCell ref="P99:Q99"/>
    <mergeCell ref="P90:Q90"/>
    <mergeCell ref="P91:Q91"/>
    <mergeCell ref="P92:Q92"/>
    <mergeCell ref="P93:Q93"/>
    <mergeCell ref="P94:Q94"/>
    <mergeCell ref="P105:Q105"/>
    <mergeCell ref="P106:Q106"/>
    <mergeCell ref="P107:Q107"/>
    <mergeCell ref="P108:Q108"/>
    <mergeCell ref="P109:Q109"/>
    <mergeCell ref="P100:Q100"/>
    <mergeCell ref="P101:Q101"/>
    <mergeCell ref="P102:Q102"/>
    <mergeCell ref="P103:Q103"/>
    <mergeCell ref="P104:Q104"/>
    <mergeCell ref="P115:Q115"/>
    <mergeCell ref="P116:Q116"/>
    <mergeCell ref="P117:Q117"/>
    <mergeCell ref="P118:Q118"/>
    <mergeCell ref="P119:Q119"/>
    <mergeCell ref="P110:Q110"/>
    <mergeCell ref="P111:Q111"/>
    <mergeCell ref="P112:Q112"/>
    <mergeCell ref="P113:Q113"/>
    <mergeCell ref="P114:Q114"/>
    <mergeCell ref="P125:Q125"/>
    <mergeCell ref="P126:Q126"/>
    <mergeCell ref="P127:Q127"/>
    <mergeCell ref="P128:Q128"/>
    <mergeCell ref="P129:Q129"/>
    <mergeCell ref="P120:Q120"/>
    <mergeCell ref="P121:Q121"/>
    <mergeCell ref="P122:Q122"/>
    <mergeCell ref="P123:Q123"/>
    <mergeCell ref="P124:Q124"/>
    <mergeCell ref="P135:Q135"/>
    <mergeCell ref="P136:Q136"/>
    <mergeCell ref="P137:Q137"/>
    <mergeCell ref="P138:Q138"/>
    <mergeCell ref="P139:Q139"/>
    <mergeCell ref="P130:Q130"/>
    <mergeCell ref="P131:Q131"/>
    <mergeCell ref="P132:Q132"/>
    <mergeCell ref="P133:Q133"/>
    <mergeCell ref="P134:Q134"/>
    <mergeCell ref="P145:Q145"/>
    <mergeCell ref="P146:Q146"/>
    <mergeCell ref="P147:Q147"/>
    <mergeCell ref="P148:Q148"/>
    <mergeCell ref="P149:Q149"/>
    <mergeCell ref="P140:Q140"/>
    <mergeCell ref="P141:Q141"/>
    <mergeCell ref="P142:Q142"/>
    <mergeCell ref="P143:Q143"/>
    <mergeCell ref="P144:Q144"/>
    <mergeCell ref="C163:P166"/>
    <mergeCell ref="C161:P162"/>
    <mergeCell ref="P155:Q155"/>
    <mergeCell ref="P156:Q156"/>
    <mergeCell ref="P159:Q159"/>
    <mergeCell ref="P157:Q157"/>
    <mergeCell ref="P158:Q158"/>
    <mergeCell ref="P150:Q150"/>
    <mergeCell ref="P151:Q151"/>
    <mergeCell ref="P152:Q152"/>
    <mergeCell ref="P153:Q153"/>
    <mergeCell ref="P154:Q154"/>
  </mergeCells>
  <hyperlinks>
    <hyperlink ref="T65" r:id="rId1" xr:uid="{60CCA824-04D7-4098-BB5B-CC4EC0E5DE92}"/>
    <hyperlink ref="T45" r:id="rId2" xr:uid="{FB3F0167-0D80-4D0E-9747-86680AF517F7}"/>
    <hyperlink ref="T35" r:id="rId3" xr:uid="{DC64E9EF-0CAF-49C3-B4C2-A955ADDB9423}"/>
  </hyperlinks>
  <pageMargins left="0.23622047244094491" right="0.23622047244094491" top="0.74803149606299213" bottom="0.74803149606299213" header="0.31496062992125984" footer="0.31496062992125984"/>
  <pageSetup paperSize="3" orientation="landscape"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BE5D-A085-4352-B83D-558B648684C3}">
  <dimension ref="C1:M355"/>
  <sheetViews>
    <sheetView topLeftCell="A290" workbookViewId="0">
      <selection activeCell="C356" sqref="C356"/>
    </sheetView>
  </sheetViews>
  <sheetFormatPr baseColWidth="10" defaultColWidth="10.85546875" defaultRowHeight="15" x14ac:dyDescent="0.25"/>
  <cols>
    <col min="14" max="14" width="13" bestFit="1" customWidth="1"/>
  </cols>
  <sheetData>
    <row r="1" spans="3:12" x14ac:dyDescent="0.25">
      <c r="C1" s="161" t="s">
        <v>164</v>
      </c>
      <c r="D1" s="162">
        <v>1</v>
      </c>
      <c r="E1" s="97"/>
      <c r="F1" s="97"/>
      <c r="G1" s="97"/>
      <c r="H1" s="97"/>
      <c r="I1" s="97"/>
      <c r="J1" s="100"/>
    </row>
    <row r="2" spans="3:12" x14ac:dyDescent="0.25">
      <c r="C2" s="98" t="s">
        <v>165</v>
      </c>
      <c r="D2" s="52"/>
      <c r="E2" s="101">
        <v>45874</v>
      </c>
      <c r="F2" s="52"/>
      <c r="G2" s="52" t="s">
        <v>171</v>
      </c>
      <c r="H2" s="102" t="s">
        <v>265</v>
      </c>
      <c r="I2" s="102"/>
      <c r="J2" s="103"/>
    </row>
    <row r="3" spans="3:12" x14ac:dyDescent="0.25">
      <c r="C3" s="98" t="s">
        <v>166</v>
      </c>
      <c r="D3" s="52" t="s">
        <v>167</v>
      </c>
      <c r="E3" s="52" t="s">
        <v>168</v>
      </c>
      <c r="F3" s="52"/>
      <c r="G3" s="52" t="s">
        <v>172</v>
      </c>
      <c r="H3" s="102">
        <v>109</v>
      </c>
      <c r="I3" s="102"/>
      <c r="J3" s="103"/>
      <c r="L3" s="166"/>
    </row>
    <row r="4" spans="3:12" x14ac:dyDescent="0.25">
      <c r="C4" s="98" t="s">
        <v>169</v>
      </c>
      <c r="D4" s="52"/>
      <c r="E4" s="101">
        <v>45874</v>
      </c>
      <c r="F4" s="52"/>
      <c r="G4" s="52"/>
      <c r="H4" s="52"/>
      <c r="I4" s="52"/>
      <c r="J4" s="104"/>
      <c r="L4" s="166"/>
    </row>
    <row r="5" spans="3:12" ht="15.75" thickBot="1" x14ac:dyDescent="0.3">
      <c r="C5" s="98" t="s">
        <v>170</v>
      </c>
      <c r="D5" s="52"/>
      <c r="E5" s="52"/>
      <c r="F5" s="52"/>
      <c r="G5" s="52"/>
      <c r="H5" s="52"/>
      <c r="I5" s="52"/>
      <c r="J5" s="104"/>
      <c r="L5" s="166"/>
    </row>
    <row r="6" spans="3:12" x14ac:dyDescent="0.25">
      <c r="C6" s="375" t="s">
        <v>449</v>
      </c>
      <c r="D6" s="376"/>
      <c r="E6" s="376"/>
      <c r="F6" s="376"/>
      <c r="G6" s="376"/>
      <c r="H6" s="376"/>
      <c r="I6" s="376"/>
      <c r="J6" s="377"/>
    </row>
    <row r="7" spans="3:12" x14ac:dyDescent="0.25">
      <c r="C7" s="378"/>
      <c r="D7" s="379"/>
      <c r="E7" s="379"/>
      <c r="F7" s="379"/>
      <c r="G7" s="379"/>
      <c r="H7" s="379"/>
      <c r="I7" s="379"/>
      <c r="J7" s="380"/>
    </row>
    <row r="8" spans="3:12" ht="15.75" thickBot="1" x14ac:dyDescent="0.3">
      <c r="C8" s="381"/>
      <c r="D8" s="382"/>
      <c r="E8" s="382"/>
      <c r="F8" s="382"/>
      <c r="G8" s="382"/>
      <c r="H8" s="382"/>
      <c r="I8" s="382"/>
      <c r="J8" s="383"/>
    </row>
    <row r="10" spans="3:12" ht="15.75" thickBot="1" x14ac:dyDescent="0.3"/>
    <row r="11" spans="3:12" x14ac:dyDescent="0.25">
      <c r="C11" s="158" t="s">
        <v>164</v>
      </c>
      <c r="D11" s="159">
        <f>D1+1</f>
        <v>2</v>
      </c>
      <c r="E11" s="97"/>
      <c r="F11" s="97"/>
      <c r="G11" s="97"/>
      <c r="H11" s="97"/>
      <c r="I11" s="97"/>
      <c r="J11" s="100"/>
    </row>
    <row r="12" spans="3:12" x14ac:dyDescent="0.25">
      <c r="C12" s="98" t="s">
        <v>165</v>
      </c>
      <c r="D12" s="52"/>
      <c r="E12" s="101">
        <v>45875</v>
      </c>
      <c r="F12" s="52"/>
      <c r="G12" s="52" t="s">
        <v>171</v>
      </c>
      <c r="H12" s="102" t="s">
        <v>266</v>
      </c>
      <c r="I12" s="102"/>
      <c r="J12" s="103"/>
    </row>
    <row r="13" spans="3:12" x14ac:dyDescent="0.25">
      <c r="C13" s="98" t="s">
        <v>166</v>
      </c>
      <c r="D13" s="52" t="s">
        <v>167</v>
      </c>
      <c r="E13" s="52" t="s">
        <v>168</v>
      </c>
      <c r="F13" s="52"/>
      <c r="G13" s="52" t="s">
        <v>172</v>
      </c>
      <c r="H13" s="102">
        <v>72</v>
      </c>
      <c r="I13" s="102"/>
      <c r="J13" s="103"/>
    </row>
    <row r="14" spans="3:12" x14ac:dyDescent="0.25">
      <c r="C14" s="98" t="s">
        <v>169</v>
      </c>
      <c r="D14" s="52"/>
      <c r="E14" s="101">
        <v>45874</v>
      </c>
      <c r="F14" s="52"/>
      <c r="G14" s="52"/>
      <c r="H14" s="52"/>
      <c r="I14" s="52"/>
      <c r="J14" s="104"/>
      <c r="L14" s="166"/>
    </row>
    <row r="15" spans="3:12" ht="15.75" thickBot="1" x14ac:dyDescent="0.3">
      <c r="C15" s="98" t="s">
        <v>170</v>
      </c>
      <c r="D15" s="52"/>
      <c r="E15" s="52"/>
      <c r="F15" s="52"/>
      <c r="G15" s="52"/>
      <c r="H15" s="52"/>
      <c r="I15" s="52"/>
      <c r="J15" s="104"/>
      <c r="L15" s="166"/>
    </row>
    <row r="16" spans="3:12" x14ac:dyDescent="0.25">
      <c r="C16" s="375" t="s">
        <v>344</v>
      </c>
      <c r="D16" s="376"/>
      <c r="E16" s="376"/>
      <c r="F16" s="376"/>
      <c r="G16" s="376"/>
      <c r="H16" s="376"/>
      <c r="I16" s="376"/>
      <c r="J16" s="377"/>
    </row>
    <row r="17" spans="3:12" x14ac:dyDescent="0.25">
      <c r="C17" s="378"/>
      <c r="D17" s="379"/>
      <c r="E17" s="379"/>
      <c r="F17" s="379"/>
      <c r="G17" s="379"/>
      <c r="H17" s="379"/>
      <c r="I17" s="379"/>
      <c r="J17" s="380"/>
    </row>
    <row r="18" spans="3:12" ht="15.75" thickBot="1" x14ac:dyDescent="0.3">
      <c r="C18" s="381"/>
      <c r="D18" s="382"/>
      <c r="E18" s="382"/>
      <c r="F18" s="382"/>
      <c r="G18" s="382"/>
      <c r="H18" s="382"/>
      <c r="I18" s="382"/>
      <c r="J18" s="383"/>
    </row>
    <row r="20" spans="3:12" ht="15.75" thickBot="1" x14ac:dyDescent="0.3"/>
    <row r="21" spans="3:12" x14ac:dyDescent="0.25">
      <c r="C21" s="155" t="s">
        <v>164</v>
      </c>
      <c r="D21" s="156">
        <f>D11+1</f>
        <v>3</v>
      </c>
      <c r="E21" s="97"/>
      <c r="F21" s="97"/>
      <c r="G21" s="97"/>
      <c r="H21" s="97"/>
      <c r="I21" s="97"/>
      <c r="J21" s="100"/>
    </row>
    <row r="22" spans="3:12" ht="18" customHeight="1" x14ac:dyDescent="0.25">
      <c r="C22" s="98" t="s">
        <v>165</v>
      </c>
      <c r="D22" s="52"/>
      <c r="E22" s="101">
        <v>45883</v>
      </c>
      <c r="F22" s="52"/>
      <c r="G22" s="52" t="s">
        <v>171</v>
      </c>
      <c r="H22" s="134" t="s">
        <v>278</v>
      </c>
      <c r="I22" s="102"/>
      <c r="J22" s="103"/>
    </row>
    <row r="23" spans="3:12" x14ac:dyDescent="0.25">
      <c r="C23" s="98" t="s">
        <v>166</v>
      </c>
      <c r="D23" s="52" t="s">
        <v>167</v>
      </c>
      <c r="E23" s="52" t="s">
        <v>168</v>
      </c>
      <c r="F23" s="52"/>
      <c r="G23" s="52" t="s">
        <v>172</v>
      </c>
      <c r="H23" s="102">
        <v>82</v>
      </c>
      <c r="I23" s="102"/>
      <c r="J23" s="103"/>
      <c r="L23" s="166"/>
    </row>
    <row r="24" spans="3:12" x14ac:dyDescent="0.25">
      <c r="C24" s="98" t="s">
        <v>169</v>
      </c>
      <c r="D24" s="52"/>
      <c r="E24" s="101">
        <v>45871</v>
      </c>
      <c r="F24" s="52"/>
      <c r="G24" s="52"/>
      <c r="H24" s="52"/>
      <c r="I24" s="52"/>
      <c r="J24" s="104"/>
      <c r="L24" s="166"/>
    </row>
    <row r="25" spans="3:12" ht="15.75" thickBot="1" x14ac:dyDescent="0.3">
      <c r="C25" s="98" t="s">
        <v>170</v>
      </c>
      <c r="D25" s="52"/>
      <c r="E25" s="52"/>
      <c r="F25" s="52"/>
      <c r="G25" s="52"/>
      <c r="H25" s="52"/>
      <c r="I25" s="52"/>
      <c r="J25" s="104"/>
      <c r="L25" s="166"/>
    </row>
    <row r="26" spans="3:12" x14ac:dyDescent="0.25">
      <c r="C26" s="375" t="s">
        <v>331</v>
      </c>
      <c r="D26" s="376"/>
      <c r="E26" s="376"/>
      <c r="F26" s="376"/>
      <c r="G26" s="376"/>
      <c r="H26" s="376"/>
      <c r="I26" s="376"/>
      <c r="J26" s="377"/>
    </row>
    <row r="27" spans="3:12" x14ac:dyDescent="0.25">
      <c r="C27" s="378"/>
      <c r="D27" s="379"/>
      <c r="E27" s="379"/>
      <c r="F27" s="379"/>
      <c r="G27" s="379"/>
      <c r="H27" s="379"/>
      <c r="I27" s="379"/>
      <c r="J27" s="380"/>
    </row>
    <row r="28" spans="3:12" ht="15.75" thickBot="1" x14ac:dyDescent="0.3">
      <c r="C28" s="381"/>
      <c r="D28" s="382"/>
      <c r="E28" s="382"/>
      <c r="F28" s="382"/>
      <c r="G28" s="382"/>
      <c r="H28" s="382"/>
      <c r="I28" s="382"/>
      <c r="J28" s="383"/>
    </row>
    <row r="30" spans="3:12" ht="15.75" thickBot="1" x14ac:dyDescent="0.3"/>
    <row r="31" spans="3:12" x14ac:dyDescent="0.25">
      <c r="C31" s="153" t="s">
        <v>164</v>
      </c>
      <c r="D31" s="154">
        <f>D21+1</f>
        <v>4</v>
      </c>
      <c r="E31" s="97"/>
      <c r="F31" s="97"/>
      <c r="G31" s="97"/>
      <c r="H31" s="97"/>
      <c r="I31" s="97"/>
      <c r="J31" s="100"/>
    </row>
    <row r="32" spans="3:12" ht="19.899999999999999" customHeight="1" x14ac:dyDescent="0.25">
      <c r="C32" s="98" t="s">
        <v>165</v>
      </c>
      <c r="D32" s="52"/>
      <c r="E32" s="101">
        <v>45887</v>
      </c>
      <c r="F32" s="52"/>
      <c r="G32" s="52" t="s">
        <v>171</v>
      </c>
      <c r="H32" s="151" t="s">
        <v>298</v>
      </c>
      <c r="I32" s="102"/>
      <c r="J32" s="103"/>
      <c r="K32" s="166"/>
      <c r="L32" s="166"/>
    </row>
    <row r="33" spans="3:12" x14ac:dyDescent="0.25">
      <c r="C33" s="98" t="s">
        <v>166</v>
      </c>
      <c r="D33" s="52" t="s">
        <v>167</v>
      </c>
      <c r="E33" s="152" t="s">
        <v>168</v>
      </c>
      <c r="F33" s="52"/>
      <c r="G33" s="52" t="s">
        <v>172</v>
      </c>
      <c r="H33" s="102">
        <v>31</v>
      </c>
      <c r="I33" s="102"/>
      <c r="J33" s="103"/>
      <c r="K33" s="166"/>
      <c r="L33" s="166"/>
    </row>
    <row r="34" spans="3:12" x14ac:dyDescent="0.25">
      <c r="C34" s="98" t="s">
        <v>169</v>
      </c>
      <c r="D34" s="52"/>
      <c r="E34" s="101">
        <v>45871</v>
      </c>
      <c r="F34" s="52"/>
      <c r="G34" s="52"/>
      <c r="H34" s="52"/>
      <c r="I34" s="52"/>
      <c r="J34" s="104"/>
      <c r="K34" s="166"/>
      <c r="L34" s="166"/>
    </row>
    <row r="35" spans="3:12" ht="15.75" thickBot="1" x14ac:dyDescent="0.3">
      <c r="C35" s="98" t="s">
        <v>170</v>
      </c>
      <c r="D35" s="52"/>
      <c r="E35" s="52"/>
      <c r="F35" s="52"/>
      <c r="G35" s="52"/>
      <c r="H35" s="52"/>
      <c r="I35" s="52"/>
      <c r="J35" s="104"/>
      <c r="K35" s="166"/>
      <c r="L35" s="166"/>
    </row>
    <row r="36" spans="3:12" x14ac:dyDescent="0.25">
      <c r="C36" s="384" t="s">
        <v>297</v>
      </c>
      <c r="D36" s="376"/>
      <c r="E36" s="376"/>
      <c r="F36" s="376"/>
      <c r="G36" s="376"/>
      <c r="H36" s="376"/>
      <c r="I36" s="376"/>
      <c r="J36" s="377"/>
      <c r="K36" s="166"/>
      <c r="L36" s="166"/>
    </row>
    <row r="37" spans="3:12" x14ac:dyDescent="0.25">
      <c r="C37" s="378"/>
      <c r="D37" s="379"/>
      <c r="E37" s="379"/>
      <c r="F37" s="379"/>
      <c r="G37" s="379"/>
      <c r="H37" s="379"/>
      <c r="I37" s="379"/>
      <c r="J37" s="380"/>
      <c r="K37" s="166"/>
      <c r="L37" s="166"/>
    </row>
    <row r="38" spans="3:12" ht="15.75" thickBot="1" x14ac:dyDescent="0.3">
      <c r="C38" s="381"/>
      <c r="D38" s="382"/>
      <c r="E38" s="382"/>
      <c r="F38" s="382"/>
      <c r="G38" s="382"/>
      <c r="H38" s="382"/>
      <c r="I38" s="382"/>
      <c r="J38" s="383"/>
    </row>
    <row r="40" spans="3:12" ht="15.75" thickBot="1" x14ac:dyDescent="0.3"/>
    <row r="41" spans="3:12" x14ac:dyDescent="0.25">
      <c r="C41" s="164" t="s">
        <v>164</v>
      </c>
      <c r="D41" s="165">
        <f>D31+1</f>
        <v>5</v>
      </c>
      <c r="E41" s="97"/>
      <c r="F41" s="97"/>
      <c r="G41" s="97"/>
      <c r="H41" s="97"/>
      <c r="I41" s="97"/>
      <c r="J41" s="100"/>
    </row>
    <row r="42" spans="3:12" x14ac:dyDescent="0.25">
      <c r="C42" s="98" t="s">
        <v>165</v>
      </c>
      <c r="D42" s="52"/>
      <c r="E42" s="101">
        <v>45887</v>
      </c>
      <c r="F42" s="52"/>
      <c r="G42" s="52" t="s">
        <v>171</v>
      </c>
      <c r="H42" s="151" t="s">
        <v>299</v>
      </c>
      <c r="I42" s="102"/>
      <c r="J42" s="103"/>
      <c r="K42" s="166"/>
      <c r="L42" s="166"/>
    </row>
    <row r="43" spans="3:12" x14ac:dyDescent="0.25">
      <c r="C43" s="98" t="s">
        <v>166</v>
      </c>
      <c r="D43" s="52" t="s">
        <v>167</v>
      </c>
      <c r="E43" s="166" t="s">
        <v>168</v>
      </c>
      <c r="F43" s="52"/>
      <c r="G43" s="52" t="s">
        <v>172</v>
      </c>
      <c r="H43" s="102">
        <v>105</v>
      </c>
      <c r="I43" s="102"/>
      <c r="J43" s="103"/>
      <c r="K43" s="166"/>
      <c r="L43" s="166"/>
    </row>
    <row r="44" spans="3:12" x14ac:dyDescent="0.25">
      <c r="C44" s="98" t="s">
        <v>169</v>
      </c>
      <c r="D44" s="52"/>
      <c r="E44" s="101"/>
      <c r="F44" s="52"/>
      <c r="G44" s="52"/>
      <c r="H44" s="52"/>
      <c r="I44" s="52"/>
      <c r="J44" s="104"/>
      <c r="K44" s="166"/>
      <c r="L44" s="166"/>
    </row>
    <row r="45" spans="3:12" ht="15.75" thickBot="1" x14ac:dyDescent="0.3">
      <c r="C45" s="98" t="s">
        <v>170</v>
      </c>
      <c r="D45" s="52"/>
      <c r="E45" s="52"/>
      <c r="F45" s="52"/>
      <c r="G45" s="52"/>
      <c r="H45" s="52"/>
      <c r="I45" s="52"/>
      <c r="J45" s="104"/>
      <c r="K45" s="166"/>
      <c r="L45" s="166"/>
    </row>
    <row r="46" spans="3:12" x14ac:dyDescent="0.25">
      <c r="C46" s="366" t="s">
        <v>300</v>
      </c>
      <c r="D46" s="367"/>
      <c r="E46" s="367"/>
      <c r="F46" s="367"/>
      <c r="G46" s="367"/>
      <c r="H46" s="367"/>
      <c r="I46" s="367"/>
      <c r="J46" s="368"/>
    </row>
    <row r="47" spans="3:12" x14ac:dyDescent="0.25">
      <c r="C47" s="369"/>
      <c r="D47" s="370"/>
      <c r="E47" s="370"/>
      <c r="F47" s="370"/>
      <c r="G47" s="370"/>
      <c r="H47" s="370"/>
      <c r="I47" s="370"/>
      <c r="J47" s="371"/>
    </row>
    <row r="48" spans="3:12" ht="15.75" thickBot="1" x14ac:dyDescent="0.3">
      <c r="C48" s="372"/>
      <c r="D48" s="373"/>
      <c r="E48" s="373"/>
      <c r="F48" s="373"/>
      <c r="G48" s="373"/>
      <c r="H48" s="373"/>
      <c r="I48" s="373"/>
      <c r="J48" s="374"/>
    </row>
    <row r="50" spans="3:12" ht="15.75" thickBot="1" x14ac:dyDescent="0.3"/>
    <row r="51" spans="3:12" x14ac:dyDescent="0.25">
      <c r="C51" s="167" t="s">
        <v>164</v>
      </c>
      <c r="D51" s="168">
        <f>D41+1</f>
        <v>6</v>
      </c>
      <c r="E51" s="97"/>
      <c r="F51" s="97"/>
      <c r="G51" s="97"/>
      <c r="H51" s="97"/>
      <c r="I51" s="97"/>
      <c r="J51" s="100"/>
    </row>
    <row r="52" spans="3:12" x14ac:dyDescent="0.25">
      <c r="C52" s="98" t="s">
        <v>165</v>
      </c>
      <c r="D52" s="52"/>
      <c r="E52" s="101">
        <v>45887</v>
      </c>
      <c r="F52" s="52"/>
      <c r="G52" s="52" t="s">
        <v>171</v>
      </c>
      <c r="H52" s="151" t="s">
        <v>302</v>
      </c>
      <c r="I52" s="102"/>
      <c r="J52" s="103"/>
    </row>
    <row r="53" spans="3:12" x14ac:dyDescent="0.25">
      <c r="C53" s="98" t="s">
        <v>166</v>
      </c>
      <c r="D53" s="52" t="s">
        <v>167</v>
      </c>
      <c r="E53" s="169" t="s">
        <v>168</v>
      </c>
      <c r="F53" s="52"/>
      <c r="G53" s="52" t="s">
        <v>172</v>
      </c>
      <c r="H53" s="102" t="s">
        <v>304</v>
      </c>
      <c r="I53" s="102"/>
      <c r="J53" s="103"/>
      <c r="K53" s="166"/>
      <c r="L53" s="166"/>
    </row>
    <row r="54" spans="3:12" x14ac:dyDescent="0.25">
      <c r="C54" s="98" t="s">
        <v>169</v>
      </c>
      <c r="D54" s="52"/>
      <c r="E54" s="101">
        <v>45887</v>
      </c>
      <c r="F54" s="52"/>
      <c r="G54" s="52"/>
      <c r="H54" s="52"/>
      <c r="I54" s="52"/>
      <c r="J54" s="104"/>
      <c r="K54" s="166"/>
      <c r="L54" s="166"/>
    </row>
    <row r="55" spans="3:12" ht="15.75" thickBot="1" x14ac:dyDescent="0.3">
      <c r="C55" s="98" t="s">
        <v>170</v>
      </c>
      <c r="D55" s="52"/>
      <c r="E55" s="52"/>
      <c r="F55" s="52"/>
      <c r="G55" s="52"/>
      <c r="H55" s="52"/>
      <c r="I55" s="52"/>
      <c r="J55" s="104"/>
      <c r="K55" s="166"/>
      <c r="L55" s="166"/>
    </row>
    <row r="56" spans="3:12" x14ac:dyDescent="0.25">
      <c r="C56" s="366" t="s">
        <v>303</v>
      </c>
      <c r="D56" s="367"/>
      <c r="E56" s="367"/>
      <c r="F56" s="367"/>
      <c r="G56" s="367"/>
      <c r="H56" s="367"/>
      <c r="I56" s="367"/>
      <c r="J56" s="368"/>
    </row>
    <row r="57" spans="3:12" x14ac:dyDescent="0.25">
      <c r="C57" s="369"/>
      <c r="D57" s="370"/>
      <c r="E57" s="370"/>
      <c r="F57" s="370"/>
      <c r="G57" s="370"/>
      <c r="H57" s="370"/>
      <c r="I57" s="370"/>
      <c r="J57" s="371"/>
    </row>
    <row r="58" spans="3:12" ht="15.75" thickBot="1" x14ac:dyDescent="0.3">
      <c r="C58" s="372"/>
      <c r="D58" s="373"/>
      <c r="E58" s="373"/>
      <c r="F58" s="373"/>
      <c r="G58" s="373"/>
      <c r="H58" s="373"/>
      <c r="I58" s="373"/>
      <c r="J58" s="374"/>
    </row>
    <row r="60" spans="3:12" ht="15.75" thickBot="1" x14ac:dyDescent="0.3"/>
    <row r="61" spans="3:12" x14ac:dyDescent="0.25">
      <c r="C61" s="170" t="s">
        <v>164</v>
      </c>
      <c r="D61" s="4">
        <f>D51+1</f>
        <v>7</v>
      </c>
      <c r="E61" s="97"/>
      <c r="F61" s="97"/>
      <c r="G61" s="97"/>
      <c r="H61" s="97"/>
      <c r="I61" s="97"/>
      <c r="J61" s="100"/>
    </row>
    <row r="62" spans="3:12" ht="30" x14ac:dyDescent="0.25">
      <c r="C62" s="98" t="s">
        <v>165</v>
      </c>
      <c r="D62" s="52"/>
      <c r="E62" s="101">
        <v>45888</v>
      </c>
      <c r="F62" s="52"/>
      <c r="G62" s="52" t="s">
        <v>171</v>
      </c>
      <c r="H62" s="172" t="s">
        <v>305</v>
      </c>
      <c r="I62" s="102"/>
      <c r="J62" s="103"/>
    </row>
    <row r="63" spans="3:12" x14ac:dyDescent="0.25">
      <c r="C63" s="98" t="s">
        <v>166</v>
      </c>
      <c r="D63" s="52" t="s">
        <v>167</v>
      </c>
      <c r="E63" s="171" t="s">
        <v>168</v>
      </c>
      <c r="F63" s="52"/>
      <c r="G63" s="52" t="s">
        <v>172</v>
      </c>
      <c r="H63" s="102">
        <v>9</v>
      </c>
      <c r="I63" s="102"/>
      <c r="J63" s="103"/>
      <c r="L63" s="166"/>
    </row>
    <row r="64" spans="3:12" x14ac:dyDescent="0.25">
      <c r="C64" s="98" t="s">
        <v>169</v>
      </c>
      <c r="D64" s="52"/>
      <c r="E64" s="101">
        <v>45887</v>
      </c>
      <c r="F64" s="52"/>
      <c r="G64" s="52"/>
      <c r="H64" s="52"/>
      <c r="I64" s="52"/>
      <c r="J64" s="104"/>
      <c r="L64" s="166"/>
    </row>
    <row r="65" spans="3:12" ht="15.75" thickBot="1" x14ac:dyDescent="0.3">
      <c r="C65" s="98" t="s">
        <v>170</v>
      </c>
      <c r="D65" s="52"/>
      <c r="E65" s="52"/>
      <c r="F65" s="52"/>
      <c r="G65" s="52"/>
      <c r="H65" s="52"/>
      <c r="I65" s="52"/>
      <c r="J65" s="104"/>
      <c r="L65" s="166"/>
    </row>
    <row r="66" spans="3:12" x14ac:dyDescent="0.25">
      <c r="C66" s="366" t="s">
        <v>306</v>
      </c>
      <c r="D66" s="367"/>
      <c r="E66" s="367"/>
      <c r="F66" s="367"/>
      <c r="G66" s="367"/>
      <c r="H66" s="367"/>
      <c r="I66" s="367"/>
      <c r="J66" s="368"/>
      <c r="L66" s="166"/>
    </row>
    <row r="67" spans="3:12" x14ac:dyDescent="0.25">
      <c r="C67" s="369"/>
      <c r="D67" s="370"/>
      <c r="E67" s="370"/>
      <c r="F67" s="370"/>
      <c r="G67" s="370"/>
      <c r="H67" s="370"/>
      <c r="I67" s="370"/>
      <c r="J67" s="371"/>
    </row>
    <row r="68" spans="3:12" ht="15.75" thickBot="1" x14ac:dyDescent="0.3">
      <c r="C68" s="372"/>
      <c r="D68" s="373"/>
      <c r="E68" s="373"/>
      <c r="F68" s="373"/>
      <c r="G68" s="373"/>
      <c r="H68" s="373"/>
      <c r="I68" s="373"/>
      <c r="J68" s="374"/>
    </row>
    <row r="70" spans="3:12" ht="15.75" thickBot="1" x14ac:dyDescent="0.3"/>
    <row r="71" spans="3:12" x14ac:dyDescent="0.25">
      <c r="C71" s="173" t="s">
        <v>164</v>
      </c>
      <c r="D71" s="174">
        <f>D61+1</f>
        <v>8</v>
      </c>
      <c r="E71" s="97"/>
      <c r="F71" s="97"/>
      <c r="G71" s="97"/>
      <c r="H71" s="97"/>
      <c r="I71" s="97"/>
      <c r="J71" s="100"/>
    </row>
    <row r="72" spans="3:12" x14ac:dyDescent="0.25">
      <c r="C72" s="98" t="s">
        <v>165</v>
      </c>
      <c r="D72" s="52"/>
      <c r="E72" s="101">
        <v>45888</v>
      </c>
      <c r="F72" s="52"/>
      <c r="G72" s="52" t="s">
        <v>171</v>
      </c>
      <c r="H72" s="172" t="s">
        <v>307</v>
      </c>
      <c r="I72" s="102"/>
      <c r="J72" s="103"/>
    </row>
    <row r="73" spans="3:12" x14ac:dyDescent="0.25">
      <c r="C73" s="98" t="s">
        <v>166</v>
      </c>
      <c r="D73" s="52" t="s">
        <v>167</v>
      </c>
      <c r="E73" s="175" t="s">
        <v>168</v>
      </c>
      <c r="F73" s="52"/>
      <c r="G73" s="52" t="s">
        <v>172</v>
      </c>
      <c r="H73" s="102">
        <v>110</v>
      </c>
      <c r="I73" s="102"/>
      <c r="J73" s="103"/>
    </row>
    <row r="74" spans="3:12" x14ac:dyDescent="0.25">
      <c r="C74" s="98" t="s">
        <v>169</v>
      </c>
      <c r="D74" s="52"/>
      <c r="E74" s="101">
        <v>45887</v>
      </c>
      <c r="F74" s="52"/>
      <c r="G74" s="52"/>
      <c r="H74" s="52"/>
      <c r="I74" s="52"/>
      <c r="J74" s="104"/>
      <c r="K74" s="166"/>
      <c r="L74" s="166"/>
    </row>
    <row r="75" spans="3:12" ht="15.75" thickBot="1" x14ac:dyDescent="0.3">
      <c r="C75" s="98" t="s">
        <v>170</v>
      </c>
      <c r="D75" s="52"/>
      <c r="E75" s="52"/>
      <c r="F75" s="52"/>
      <c r="G75" s="52"/>
      <c r="H75" s="52"/>
      <c r="I75" s="52"/>
      <c r="J75" s="104"/>
      <c r="K75" s="166"/>
      <c r="L75" s="166"/>
    </row>
    <row r="76" spans="3:12" x14ac:dyDescent="0.25">
      <c r="C76" s="366" t="s">
        <v>308</v>
      </c>
      <c r="D76" s="367"/>
      <c r="E76" s="367"/>
      <c r="F76" s="367"/>
      <c r="G76" s="367"/>
      <c r="H76" s="367"/>
      <c r="I76" s="367"/>
      <c r="J76" s="368"/>
      <c r="K76" s="166"/>
      <c r="L76" s="166"/>
    </row>
    <row r="77" spans="3:12" x14ac:dyDescent="0.25">
      <c r="C77" s="369"/>
      <c r="D77" s="370"/>
      <c r="E77" s="370"/>
      <c r="F77" s="370"/>
      <c r="G77" s="370"/>
      <c r="H77" s="370"/>
      <c r="I77" s="370"/>
      <c r="J77" s="371"/>
      <c r="K77" s="166"/>
      <c r="L77" s="166"/>
    </row>
    <row r="78" spans="3:12" ht="15.75" thickBot="1" x14ac:dyDescent="0.3">
      <c r="C78" s="372"/>
      <c r="D78" s="373"/>
      <c r="E78" s="373"/>
      <c r="F78" s="373"/>
      <c r="G78" s="373"/>
      <c r="H78" s="373"/>
      <c r="I78" s="373"/>
      <c r="J78" s="374"/>
      <c r="K78" s="166"/>
      <c r="L78" s="166"/>
    </row>
    <row r="80" spans="3:12" ht="15.75" thickBot="1" x14ac:dyDescent="0.3">
      <c r="C80" s="176"/>
      <c r="D80" s="176"/>
    </row>
    <row r="81" spans="3:12" x14ac:dyDescent="0.25">
      <c r="C81" s="177" t="s">
        <v>164</v>
      </c>
      <c r="D81" s="178">
        <f>D71+1</f>
        <v>9</v>
      </c>
      <c r="E81" s="97"/>
      <c r="F81" s="97"/>
      <c r="G81" s="97"/>
      <c r="H81" s="97"/>
      <c r="I81" s="97"/>
      <c r="J81" s="100"/>
    </row>
    <row r="82" spans="3:12" ht="30" x14ac:dyDescent="0.25">
      <c r="C82" s="98" t="s">
        <v>165</v>
      </c>
      <c r="D82" s="52"/>
      <c r="E82" s="101">
        <v>45889</v>
      </c>
      <c r="F82" s="52"/>
      <c r="G82" s="52" t="s">
        <v>171</v>
      </c>
      <c r="H82" s="172" t="s">
        <v>309</v>
      </c>
      <c r="I82" s="102"/>
      <c r="J82" s="103"/>
    </row>
    <row r="83" spans="3:12" x14ac:dyDescent="0.25">
      <c r="C83" s="98" t="s">
        <v>166</v>
      </c>
      <c r="D83" s="52" t="s">
        <v>167</v>
      </c>
      <c r="E83" s="176" t="s">
        <v>168</v>
      </c>
      <c r="F83" s="52"/>
      <c r="G83" s="52" t="s">
        <v>172</v>
      </c>
      <c r="H83" s="102">
        <v>126</v>
      </c>
      <c r="I83" s="102"/>
      <c r="J83" s="103"/>
      <c r="K83" s="166"/>
      <c r="L83" s="166"/>
    </row>
    <row r="84" spans="3:12" x14ac:dyDescent="0.25">
      <c r="C84" s="98" t="s">
        <v>169</v>
      </c>
      <c r="D84" s="52"/>
      <c r="E84" s="101">
        <v>45889</v>
      </c>
      <c r="F84" s="52"/>
      <c r="G84" s="52"/>
      <c r="H84" s="52"/>
      <c r="I84" s="52"/>
      <c r="J84" s="104"/>
      <c r="K84" s="166"/>
      <c r="L84" s="166"/>
    </row>
    <row r="85" spans="3:12" ht="15.75" thickBot="1" x14ac:dyDescent="0.3">
      <c r="C85" s="98" t="s">
        <v>170</v>
      </c>
      <c r="D85" s="52"/>
      <c r="E85" s="52"/>
      <c r="F85" s="52"/>
      <c r="G85" s="52"/>
      <c r="H85" s="52"/>
      <c r="I85" s="52"/>
      <c r="J85" s="104"/>
      <c r="K85" s="166"/>
      <c r="L85" s="166"/>
    </row>
    <row r="86" spans="3:12" x14ac:dyDescent="0.25">
      <c r="C86" s="366" t="s">
        <v>310</v>
      </c>
      <c r="D86" s="367"/>
      <c r="E86" s="367"/>
      <c r="F86" s="367"/>
      <c r="G86" s="367"/>
      <c r="H86" s="367"/>
      <c r="I86" s="367"/>
      <c r="J86" s="368"/>
      <c r="K86" s="166"/>
      <c r="L86" s="166"/>
    </row>
    <row r="87" spans="3:12" x14ac:dyDescent="0.25">
      <c r="C87" s="369"/>
      <c r="D87" s="370"/>
      <c r="E87" s="370"/>
      <c r="F87" s="370"/>
      <c r="G87" s="370"/>
      <c r="H87" s="370"/>
      <c r="I87" s="370"/>
      <c r="J87" s="371"/>
      <c r="K87" s="166"/>
      <c r="L87" s="166"/>
    </row>
    <row r="88" spans="3:12" ht="15.75" thickBot="1" x14ac:dyDescent="0.3">
      <c r="C88" s="372"/>
      <c r="D88" s="373"/>
      <c r="E88" s="373"/>
      <c r="F88" s="373"/>
      <c r="G88" s="373"/>
      <c r="H88" s="373"/>
      <c r="I88" s="373"/>
      <c r="J88" s="374"/>
    </row>
    <row r="90" spans="3:12" ht="15.75" thickBot="1" x14ac:dyDescent="0.3"/>
    <row r="91" spans="3:12" x14ac:dyDescent="0.25">
      <c r="C91" s="179" t="s">
        <v>164</v>
      </c>
      <c r="D91" s="180">
        <f>D81+1</f>
        <v>10</v>
      </c>
      <c r="E91" s="97"/>
      <c r="F91" s="97"/>
      <c r="G91" s="97"/>
      <c r="H91" s="97"/>
      <c r="I91" s="97"/>
      <c r="J91" s="100"/>
    </row>
    <row r="92" spans="3:12" x14ac:dyDescent="0.25">
      <c r="C92" s="98" t="s">
        <v>165</v>
      </c>
      <c r="D92" s="52"/>
      <c r="E92" s="101">
        <v>45889</v>
      </c>
      <c r="F92" s="52"/>
      <c r="G92" s="52" t="s">
        <v>171</v>
      </c>
      <c r="H92" s="151" t="s">
        <v>312</v>
      </c>
      <c r="I92" s="102"/>
      <c r="J92" s="103"/>
    </row>
    <row r="93" spans="3:12" x14ac:dyDescent="0.25">
      <c r="C93" s="98" t="s">
        <v>166</v>
      </c>
      <c r="D93" s="52" t="s">
        <v>167</v>
      </c>
      <c r="E93" s="181" t="s">
        <v>168</v>
      </c>
      <c r="F93" s="52"/>
      <c r="G93" s="52" t="s">
        <v>172</v>
      </c>
      <c r="H93" s="102">
        <v>47</v>
      </c>
      <c r="I93" s="102"/>
      <c r="J93" s="103"/>
      <c r="K93" s="166"/>
      <c r="L93" s="166"/>
    </row>
    <row r="94" spans="3:12" x14ac:dyDescent="0.25">
      <c r="C94" s="98" t="s">
        <v>169</v>
      </c>
      <c r="D94" s="52"/>
      <c r="E94" s="101">
        <v>45889</v>
      </c>
      <c r="F94" s="52"/>
      <c r="G94" s="52"/>
      <c r="H94" s="52"/>
      <c r="I94" s="52"/>
      <c r="J94" s="104"/>
      <c r="K94" s="166"/>
      <c r="L94" s="166"/>
    </row>
    <row r="95" spans="3:12" ht="15.75" thickBot="1" x14ac:dyDescent="0.3">
      <c r="C95" s="98" t="s">
        <v>170</v>
      </c>
      <c r="D95" s="52"/>
      <c r="E95" s="52"/>
      <c r="F95" s="52"/>
      <c r="G95" s="52"/>
      <c r="H95" s="52"/>
      <c r="I95" s="52"/>
      <c r="J95" s="104"/>
      <c r="K95" s="166"/>
      <c r="L95" s="166"/>
    </row>
    <row r="96" spans="3:12" x14ac:dyDescent="0.25">
      <c r="C96" s="366" t="s">
        <v>313</v>
      </c>
      <c r="D96" s="367"/>
      <c r="E96" s="367"/>
      <c r="F96" s="367"/>
      <c r="G96" s="367"/>
      <c r="H96" s="367"/>
      <c r="I96" s="367"/>
      <c r="J96" s="368"/>
      <c r="K96" s="166"/>
      <c r="L96" s="166"/>
    </row>
    <row r="97" spans="3:13" x14ac:dyDescent="0.25">
      <c r="C97" s="369"/>
      <c r="D97" s="370"/>
      <c r="E97" s="370"/>
      <c r="F97" s="370"/>
      <c r="G97" s="370"/>
      <c r="H97" s="370"/>
      <c r="I97" s="370"/>
      <c r="J97" s="371"/>
    </row>
    <row r="98" spans="3:13" ht="15.75" thickBot="1" x14ac:dyDescent="0.3">
      <c r="C98" s="372"/>
      <c r="D98" s="373"/>
      <c r="E98" s="373"/>
      <c r="F98" s="373"/>
      <c r="G98" s="373"/>
      <c r="H98" s="373"/>
      <c r="I98" s="373"/>
      <c r="J98" s="374"/>
    </row>
    <row r="100" spans="3:13" ht="15.75" thickBot="1" x14ac:dyDescent="0.3"/>
    <row r="101" spans="3:13" x14ac:dyDescent="0.25">
      <c r="C101" s="170" t="s">
        <v>164</v>
      </c>
      <c r="D101" s="4">
        <f>D91+1</f>
        <v>11</v>
      </c>
      <c r="E101" s="97"/>
      <c r="F101" s="97"/>
      <c r="G101" s="97"/>
      <c r="H101" s="97"/>
      <c r="I101" s="97"/>
      <c r="J101" s="100"/>
      <c r="K101" s="166"/>
      <c r="L101" s="166"/>
      <c r="M101" s="166"/>
    </row>
    <row r="102" spans="3:13" x14ac:dyDescent="0.25">
      <c r="C102" s="183" t="s">
        <v>165</v>
      </c>
      <c r="D102" s="171"/>
      <c r="E102" s="101">
        <v>45889</v>
      </c>
      <c r="F102" s="52"/>
      <c r="G102" s="52" t="s">
        <v>171</v>
      </c>
      <c r="H102" s="151"/>
      <c r="I102" s="102"/>
      <c r="J102" s="103"/>
      <c r="K102" s="166"/>
      <c r="L102" s="166"/>
      <c r="M102" s="166"/>
    </row>
    <row r="103" spans="3:13" x14ac:dyDescent="0.25">
      <c r="C103" s="98" t="s">
        <v>166</v>
      </c>
      <c r="D103" s="171" t="s">
        <v>167</v>
      </c>
      <c r="E103" s="52" t="s">
        <v>168</v>
      </c>
      <c r="F103" s="52"/>
      <c r="G103" s="52" t="s">
        <v>172</v>
      </c>
      <c r="H103" s="102" t="s">
        <v>315</v>
      </c>
      <c r="I103" s="102"/>
      <c r="J103" s="103"/>
      <c r="K103" s="166"/>
      <c r="L103" s="166"/>
      <c r="M103" s="166"/>
    </row>
    <row r="104" spans="3:13" x14ac:dyDescent="0.25">
      <c r="C104" s="98" t="s">
        <v>169</v>
      </c>
      <c r="D104" s="52"/>
      <c r="E104" s="101">
        <v>45889</v>
      </c>
      <c r="F104" s="52"/>
      <c r="G104" s="52"/>
      <c r="H104" s="52"/>
      <c r="I104" s="52"/>
      <c r="J104" s="104"/>
      <c r="K104" s="166"/>
      <c r="L104" s="166"/>
      <c r="M104" s="166"/>
    </row>
    <row r="105" spans="3:13" ht="15.75" thickBot="1" x14ac:dyDescent="0.3">
      <c r="C105" s="98" t="s">
        <v>170</v>
      </c>
      <c r="D105" s="52"/>
      <c r="E105" s="52"/>
      <c r="F105" s="52"/>
      <c r="G105" s="52"/>
      <c r="H105" s="52"/>
      <c r="I105" s="52"/>
      <c r="J105" s="104"/>
      <c r="K105" s="166"/>
      <c r="L105" s="166"/>
      <c r="M105" s="166"/>
    </row>
    <row r="106" spans="3:13" x14ac:dyDescent="0.25">
      <c r="C106" s="366" t="s">
        <v>316</v>
      </c>
      <c r="D106" s="367"/>
      <c r="E106" s="367"/>
      <c r="F106" s="367"/>
      <c r="G106" s="367"/>
      <c r="H106" s="367"/>
      <c r="I106" s="367"/>
      <c r="J106" s="368"/>
      <c r="K106" s="166"/>
      <c r="L106" s="166"/>
      <c r="M106" s="166"/>
    </row>
    <row r="107" spans="3:13" x14ac:dyDescent="0.25">
      <c r="C107" s="369"/>
      <c r="D107" s="370"/>
      <c r="E107" s="370"/>
      <c r="F107" s="370"/>
      <c r="G107" s="370"/>
      <c r="H107" s="370"/>
      <c r="I107" s="370"/>
      <c r="J107" s="371"/>
      <c r="K107" s="166"/>
      <c r="L107" s="166"/>
      <c r="M107" s="166"/>
    </row>
    <row r="108" spans="3:13" ht="15.75" thickBot="1" x14ac:dyDescent="0.3">
      <c r="C108" s="372"/>
      <c r="D108" s="373"/>
      <c r="E108" s="373"/>
      <c r="F108" s="373"/>
      <c r="G108" s="373"/>
      <c r="H108" s="373"/>
      <c r="I108" s="373"/>
      <c r="J108" s="374"/>
      <c r="K108" s="166"/>
      <c r="L108" s="166"/>
      <c r="M108" s="166"/>
    </row>
    <row r="109" spans="3:13" x14ac:dyDescent="0.25">
      <c r="K109" s="166"/>
      <c r="L109" s="166"/>
      <c r="M109" s="166"/>
    </row>
    <row r="110" spans="3:13" ht="15.75" thickBot="1" x14ac:dyDescent="0.3"/>
    <row r="111" spans="3:13" x14ac:dyDescent="0.25">
      <c r="C111" s="184" t="s">
        <v>164</v>
      </c>
      <c r="D111" s="185">
        <f>D101+1</f>
        <v>12</v>
      </c>
      <c r="E111" s="97"/>
      <c r="F111" s="97"/>
      <c r="G111" s="97"/>
      <c r="H111" s="97"/>
      <c r="I111" s="97"/>
      <c r="J111" s="100"/>
    </row>
    <row r="112" spans="3:13" x14ac:dyDescent="0.25">
      <c r="C112" s="186" t="s">
        <v>165</v>
      </c>
      <c r="D112" s="2"/>
      <c r="E112" s="101">
        <v>45889</v>
      </c>
      <c r="F112" s="52"/>
      <c r="G112" s="52" t="s">
        <v>171</v>
      </c>
      <c r="H112" s="151" t="s">
        <v>317</v>
      </c>
      <c r="I112" s="102"/>
      <c r="J112" s="103"/>
    </row>
    <row r="113" spans="3:12" x14ac:dyDescent="0.25">
      <c r="C113" s="98" t="s">
        <v>166</v>
      </c>
      <c r="D113" s="52" t="s">
        <v>167</v>
      </c>
      <c r="E113" s="2" t="s">
        <v>168</v>
      </c>
      <c r="F113" s="52"/>
      <c r="G113" s="52" t="s">
        <v>172</v>
      </c>
      <c r="H113" s="102">
        <v>68</v>
      </c>
      <c r="I113" s="102"/>
      <c r="J113" s="103"/>
    </row>
    <row r="114" spans="3:12" x14ac:dyDescent="0.25">
      <c r="C114" s="98" t="s">
        <v>169</v>
      </c>
      <c r="D114" s="52"/>
      <c r="E114" s="101">
        <v>45889</v>
      </c>
      <c r="F114" s="52"/>
      <c r="G114" s="52"/>
      <c r="H114" s="52"/>
      <c r="I114" s="52"/>
      <c r="J114" s="104"/>
      <c r="K114" s="166"/>
      <c r="L114" s="166"/>
    </row>
    <row r="115" spans="3:12" ht="15.75" thickBot="1" x14ac:dyDescent="0.3">
      <c r="C115" s="98" t="s">
        <v>170</v>
      </c>
      <c r="D115" s="52"/>
      <c r="E115" s="52"/>
      <c r="F115" s="52"/>
      <c r="G115" s="52"/>
      <c r="H115" s="52"/>
      <c r="I115" s="52"/>
      <c r="J115" s="104"/>
      <c r="K115" s="166"/>
      <c r="L115" s="166"/>
    </row>
    <row r="116" spans="3:12" x14ac:dyDescent="0.25">
      <c r="C116" s="366" t="s">
        <v>318</v>
      </c>
      <c r="D116" s="367"/>
      <c r="E116" s="367"/>
      <c r="F116" s="367"/>
      <c r="G116" s="367"/>
      <c r="H116" s="367"/>
      <c r="I116" s="367"/>
      <c r="J116" s="368"/>
      <c r="K116" s="166"/>
      <c r="L116" s="166"/>
    </row>
    <row r="117" spans="3:12" x14ac:dyDescent="0.25">
      <c r="C117" s="369"/>
      <c r="D117" s="370"/>
      <c r="E117" s="370"/>
      <c r="F117" s="370"/>
      <c r="G117" s="370"/>
      <c r="H117" s="370"/>
      <c r="I117" s="370"/>
      <c r="J117" s="371"/>
    </row>
    <row r="118" spans="3:12" ht="15.75" thickBot="1" x14ac:dyDescent="0.3">
      <c r="C118" s="372"/>
      <c r="D118" s="373"/>
      <c r="E118" s="373"/>
      <c r="F118" s="373"/>
      <c r="G118" s="373"/>
      <c r="H118" s="373"/>
      <c r="I118" s="373"/>
      <c r="J118" s="374"/>
    </row>
    <row r="120" spans="3:12" ht="15.75" thickBot="1" x14ac:dyDescent="0.3"/>
    <row r="121" spans="3:12" x14ac:dyDescent="0.25">
      <c r="C121" s="187" t="s">
        <v>164</v>
      </c>
      <c r="D121" s="188">
        <f>D111+1</f>
        <v>13</v>
      </c>
      <c r="E121" s="97"/>
      <c r="F121" s="97"/>
      <c r="G121" s="97"/>
      <c r="H121" s="97"/>
      <c r="I121" s="97"/>
      <c r="J121" s="100"/>
    </row>
    <row r="122" spans="3:12" x14ac:dyDescent="0.25">
      <c r="C122" s="189" t="s">
        <v>165</v>
      </c>
      <c r="D122" s="190"/>
      <c r="E122" s="101">
        <v>45889</v>
      </c>
      <c r="F122" s="52"/>
      <c r="G122" s="52" t="s">
        <v>171</v>
      </c>
      <c r="H122" s="151" t="s">
        <v>320</v>
      </c>
      <c r="I122" s="102"/>
      <c r="J122" s="103"/>
    </row>
    <row r="123" spans="3:12" x14ac:dyDescent="0.25">
      <c r="C123" s="98" t="s">
        <v>166</v>
      </c>
      <c r="D123" s="52" t="s">
        <v>167</v>
      </c>
      <c r="E123" s="190" t="s">
        <v>168</v>
      </c>
      <c r="F123" s="52"/>
      <c r="G123" s="52" t="s">
        <v>172</v>
      </c>
      <c r="H123" s="102" t="s">
        <v>319</v>
      </c>
      <c r="I123" s="102"/>
      <c r="J123" s="103"/>
      <c r="L123" s="166"/>
    </row>
    <row r="124" spans="3:12" x14ac:dyDescent="0.25">
      <c r="C124" s="98" t="s">
        <v>169</v>
      </c>
      <c r="D124" s="52"/>
      <c r="E124" s="101">
        <v>45889</v>
      </c>
      <c r="F124" s="52"/>
      <c r="G124" s="52"/>
      <c r="H124" s="52"/>
      <c r="I124" s="52"/>
      <c r="J124" s="104"/>
      <c r="L124" s="166"/>
    </row>
    <row r="125" spans="3:12" ht="15.75" thickBot="1" x14ac:dyDescent="0.3">
      <c r="C125" s="98" t="s">
        <v>170</v>
      </c>
      <c r="D125" s="52"/>
      <c r="E125" s="52"/>
      <c r="F125" s="52"/>
      <c r="G125" s="52"/>
      <c r="H125" s="52"/>
      <c r="I125" s="52"/>
      <c r="J125" s="104"/>
      <c r="L125" s="166"/>
    </row>
    <row r="126" spans="3:12" x14ac:dyDescent="0.25">
      <c r="C126" s="366" t="s">
        <v>321</v>
      </c>
      <c r="D126" s="367"/>
      <c r="E126" s="367"/>
      <c r="F126" s="367"/>
      <c r="G126" s="367"/>
      <c r="H126" s="367"/>
      <c r="I126" s="367"/>
      <c r="J126" s="368"/>
    </row>
    <row r="127" spans="3:12" x14ac:dyDescent="0.25">
      <c r="C127" s="369"/>
      <c r="D127" s="370"/>
      <c r="E127" s="370"/>
      <c r="F127" s="370"/>
      <c r="G127" s="370"/>
      <c r="H127" s="370"/>
      <c r="I127" s="370"/>
      <c r="J127" s="371"/>
    </row>
    <row r="128" spans="3:12" ht="15.75" thickBot="1" x14ac:dyDescent="0.3">
      <c r="C128" s="372"/>
      <c r="D128" s="373"/>
      <c r="E128" s="373"/>
      <c r="F128" s="373"/>
      <c r="G128" s="373"/>
      <c r="H128" s="373"/>
      <c r="I128" s="373"/>
      <c r="J128" s="374"/>
    </row>
    <row r="130" spans="3:12" ht="15.75" thickBot="1" x14ac:dyDescent="0.3"/>
    <row r="131" spans="3:12" x14ac:dyDescent="0.25">
      <c r="C131" s="191" t="s">
        <v>164</v>
      </c>
      <c r="D131" s="192">
        <f>D111+1</f>
        <v>13</v>
      </c>
      <c r="E131" s="97"/>
      <c r="F131" s="97"/>
      <c r="G131" s="97"/>
      <c r="H131" s="97"/>
      <c r="I131" s="97"/>
      <c r="J131" s="100"/>
    </row>
    <row r="132" spans="3:12" x14ac:dyDescent="0.25">
      <c r="C132" s="193" t="s">
        <v>165</v>
      </c>
      <c r="D132" s="194"/>
      <c r="E132" s="101">
        <v>45889</v>
      </c>
      <c r="F132" s="52"/>
      <c r="G132" s="52" t="s">
        <v>171</v>
      </c>
      <c r="H132" s="151" t="s">
        <v>323</v>
      </c>
      <c r="I132" s="102"/>
      <c r="J132" s="103"/>
    </row>
    <row r="133" spans="3:12" x14ac:dyDescent="0.25">
      <c r="C133" s="98" t="s">
        <v>166</v>
      </c>
      <c r="D133" s="52" t="s">
        <v>167</v>
      </c>
      <c r="E133" s="194" t="s">
        <v>168</v>
      </c>
      <c r="F133" s="52"/>
      <c r="G133" s="52" t="s">
        <v>172</v>
      </c>
      <c r="H133" s="102">
        <v>104</v>
      </c>
      <c r="I133" s="102"/>
      <c r="J133" s="103"/>
      <c r="L133" s="166"/>
    </row>
    <row r="134" spans="3:12" x14ac:dyDescent="0.25">
      <c r="C134" s="98" t="s">
        <v>169</v>
      </c>
      <c r="D134" s="52"/>
      <c r="E134" s="101">
        <v>45889</v>
      </c>
      <c r="F134" s="52"/>
      <c r="G134" s="52"/>
      <c r="H134" s="52"/>
      <c r="I134" s="52"/>
      <c r="J134" s="104"/>
      <c r="L134" s="166"/>
    </row>
    <row r="135" spans="3:12" ht="15.75" thickBot="1" x14ac:dyDescent="0.3">
      <c r="C135" s="98" t="s">
        <v>170</v>
      </c>
      <c r="D135" s="52"/>
      <c r="E135" s="52"/>
      <c r="F135" s="52"/>
      <c r="G135" s="52"/>
      <c r="H135" s="52"/>
      <c r="I135" s="52"/>
      <c r="J135" s="104"/>
      <c r="L135" s="166"/>
    </row>
    <row r="136" spans="3:12" x14ac:dyDescent="0.25">
      <c r="C136" s="366" t="s">
        <v>324</v>
      </c>
      <c r="D136" s="367"/>
      <c r="E136" s="367"/>
      <c r="F136" s="367"/>
      <c r="G136" s="367"/>
      <c r="H136" s="367"/>
      <c r="I136" s="367"/>
      <c r="J136" s="368"/>
      <c r="L136" s="166"/>
    </row>
    <row r="137" spans="3:12" x14ac:dyDescent="0.25">
      <c r="C137" s="369"/>
      <c r="D137" s="370"/>
      <c r="E137" s="370"/>
      <c r="F137" s="370"/>
      <c r="G137" s="370"/>
      <c r="H137" s="370"/>
      <c r="I137" s="370"/>
      <c r="J137" s="371"/>
    </row>
    <row r="138" spans="3:12" ht="15.75" thickBot="1" x14ac:dyDescent="0.3">
      <c r="C138" s="372"/>
      <c r="D138" s="373"/>
      <c r="E138" s="373"/>
      <c r="F138" s="373"/>
      <c r="G138" s="373"/>
      <c r="H138" s="373"/>
      <c r="I138" s="373"/>
      <c r="J138" s="374"/>
    </row>
    <row r="140" spans="3:12" ht="15.75" thickBot="1" x14ac:dyDescent="0.3"/>
    <row r="141" spans="3:12" x14ac:dyDescent="0.25">
      <c r="C141" s="195" t="s">
        <v>164</v>
      </c>
      <c r="D141" s="196">
        <f>D121+1</f>
        <v>14</v>
      </c>
      <c r="E141" s="97"/>
      <c r="F141" s="97"/>
      <c r="G141" s="97"/>
      <c r="H141" s="97"/>
      <c r="I141" s="97"/>
      <c r="J141" s="100"/>
    </row>
    <row r="142" spans="3:12" x14ac:dyDescent="0.25">
      <c r="C142" s="197" t="s">
        <v>165</v>
      </c>
      <c r="D142" s="198"/>
      <c r="E142" s="101">
        <v>45889</v>
      </c>
      <c r="F142" s="52"/>
      <c r="G142" s="52" t="s">
        <v>171</v>
      </c>
      <c r="H142" s="151" t="s">
        <v>326</v>
      </c>
      <c r="I142" s="102"/>
      <c r="J142" s="103"/>
    </row>
    <row r="143" spans="3:12" x14ac:dyDescent="0.25">
      <c r="C143" s="98" t="s">
        <v>166</v>
      </c>
      <c r="D143" s="52" t="s">
        <v>167</v>
      </c>
      <c r="E143" s="198" t="s">
        <v>168</v>
      </c>
      <c r="F143" s="52"/>
      <c r="G143" s="52" t="s">
        <v>172</v>
      </c>
      <c r="H143" s="102">
        <v>77</v>
      </c>
      <c r="I143" s="102"/>
      <c r="J143" s="103"/>
      <c r="K143" s="166"/>
    </row>
    <row r="144" spans="3:12" x14ac:dyDescent="0.25">
      <c r="C144" s="98" t="s">
        <v>169</v>
      </c>
      <c r="D144" s="52"/>
      <c r="E144" s="101">
        <v>45889</v>
      </c>
      <c r="F144" s="52"/>
      <c r="G144" s="52"/>
      <c r="H144" s="52"/>
      <c r="I144" s="52"/>
      <c r="J144" s="104"/>
      <c r="K144" s="166"/>
    </row>
    <row r="145" spans="3:11" ht="15.75" thickBot="1" x14ac:dyDescent="0.3">
      <c r="C145" s="98" t="s">
        <v>170</v>
      </c>
      <c r="D145" s="52"/>
      <c r="E145" s="52"/>
      <c r="F145" s="52"/>
      <c r="G145" s="52"/>
      <c r="H145" s="52"/>
      <c r="I145" s="52"/>
      <c r="J145" s="104"/>
      <c r="K145" s="166"/>
    </row>
    <row r="146" spans="3:11" x14ac:dyDescent="0.25">
      <c r="C146" s="366" t="s">
        <v>325</v>
      </c>
      <c r="D146" s="367"/>
      <c r="E146" s="367"/>
      <c r="F146" s="367"/>
      <c r="G146" s="367"/>
      <c r="H146" s="367"/>
      <c r="I146" s="367"/>
      <c r="J146" s="368"/>
    </row>
    <row r="147" spans="3:11" x14ac:dyDescent="0.25">
      <c r="C147" s="369"/>
      <c r="D147" s="370"/>
      <c r="E147" s="370"/>
      <c r="F147" s="370"/>
      <c r="G147" s="370"/>
      <c r="H147" s="370"/>
      <c r="I147" s="370"/>
      <c r="J147" s="371"/>
    </row>
    <row r="148" spans="3:11" ht="15.75" thickBot="1" x14ac:dyDescent="0.3">
      <c r="C148" s="372"/>
      <c r="D148" s="373"/>
      <c r="E148" s="373"/>
      <c r="F148" s="373"/>
      <c r="G148" s="373"/>
      <c r="H148" s="373"/>
      <c r="I148" s="373"/>
      <c r="J148" s="374"/>
    </row>
    <row r="150" spans="3:11" ht="15.75" thickBot="1" x14ac:dyDescent="0.3"/>
    <row r="151" spans="3:11" x14ac:dyDescent="0.25">
      <c r="C151" s="199" t="s">
        <v>164</v>
      </c>
      <c r="D151" s="200">
        <f>D141+1</f>
        <v>15</v>
      </c>
      <c r="E151" s="97"/>
      <c r="F151" s="97"/>
      <c r="G151" s="97"/>
      <c r="H151" s="97"/>
      <c r="I151" s="97"/>
      <c r="J151" s="100"/>
    </row>
    <row r="152" spans="3:11" x14ac:dyDescent="0.25">
      <c r="C152" s="201" t="s">
        <v>165</v>
      </c>
      <c r="D152" s="202"/>
      <c r="E152" s="101">
        <v>45890</v>
      </c>
      <c r="F152" s="52"/>
      <c r="G152" s="52" t="s">
        <v>171</v>
      </c>
      <c r="H152" s="151" t="s">
        <v>327</v>
      </c>
      <c r="I152" s="102"/>
      <c r="J152" s="103"/>
    </row>
    <row r="153" spans="3:11" x14ac:dyDescent="0.25">
      <c r="C153" s="98" t="s">
        <v>166</v>
      </c>
      <c r="D153" s="202" t="s">
        <v>167</v>
      </c>
      <c r="E153" s="52" t="s">
        <v>168</v>
      </c>
      <c r="F153" s="52"/>
      <c r="G153" s="52" t="s">
        <v>172</v>
      </c>
      <c r="H153" s="102">
        <v>96</v>
      </c>
      <c r="I153" s="102"/>
      <c r="J153" s="103"/>
    </row>
    <row r="154" spans="3:11" x14ac:dyDescent="0.25">
      <c r="C154" s="98" t="s">
        <v>169</v>
      </c>
      <c r="D154" s="52"/>
      <c r="E154" s="101">
        <v>45890</v>
      </c>
      <c r="F154" s="52"/>
      <c r="G154" s="52"/>
      <c r="H154" s="52"/>
      <c r="I154" s="52"/>
      <c r="J154" s="104"/>
    </row>
    <row r="155" spans="3:11" ht="15.75" thickBot="1" x14ac:dyDescent="0.3">
      <c r="C155" s="98" t="s">
        <v>170</v>
      </c>
      <c r="D155" s="52"/>
      <c r="E155" s="52"/>
      <c r="F155" s="52"/>
      <c r="G155" s="52"/>
      <c r="H155" s="52"/>
      <c r="I155" s="52"/>
      <c r="J155" s="104"/>
    </row>
    <row r="156" spans="3:11" x14ac:dyDescent="0.25">
      <c r="C156" s="366" t="s">
        <v>328</v>
      </c>
      <c r="D156" s="367"/>
      <c r="E156" s="367"/>
      <c r="F156" s="367"/>
      <c r="G156" s="367"/>
      <c r="H156" s="367"/>
      <c r="I156" s="367"/>
      <c r="J156" s="368"/>
    </row>
    <row r="157" spans="3:11" x14ac:dyDescent="0.25">
      <c r="C157" s="369"/>
      <c r="D157" s="370"/>
      <c r="E157" s="370"/>
      <c r="F157" s="370"/>
      <c r="G157" s="370"/>
      <c r="H157" s="370"/>
      <c r="I157" s="370"/>
      <c r="J157" s="371"/>
    </row>
    <row r="158" spans="3:11" ht="15.75" thickBot="1" x14ac:dyDescent="0.3">
      <c r="C158" s="372"/>
      <c r="D158" s="373"/>
      <c r="E158" s="373"/>
      <c r="F158" s="373"/>
      <c r="G158" s="373"/>
      <c r="H158" s="373"/>
      <c r="I158" s="373"/>
      <c r="J158" s="374"/>
    </row>
    <row r="160" spans="3:11" ht="15.75" thickBot="1" x14ac:dyDescent="0.3"/>
    <row r="161" spans="3:12" x14ac:dyDescent="0.25">
      <c r="C161" s="203" t="s">
        <v>164</v>
      </c>
      <c r="D161" s="204">
        <f>D151+1</f>
        <v>16</v>
      </c>
      <c r="E161" s="97"/>
      <c r="F161" s="97"/>
      <c r="G161" s="97"/>
      <c r="H161" s="97"/>
      <c r="I161" s="97"/>
      <c r="J161" s="100"/>
    </row>
    <row r="162" spans="3:12" x14ac:dyDescent="0.25">
      <c r="C162" s="205" t="s">
        <v>165</v>
      </c>
      <c r="D162" s="206"/>
      <c r="E162" s="101">
        <v>45894</v>
      </c>
      <c r="F162" s="52"/>
      <c r="G162" s="52" t="s">
        <v>171</v>
      </c>
      <c r="H162" s="151" t="s">
        <v>329</v>
      </c>
      <c r="I162" s="102"/>
      <c r="J162" s="103"/>
      <c r="K162" s="166"/>
      <c r="L162" s="166"/>
    </row>
    <row r="163" spans="3:12" x14ac:dyDescent="0.25">
      <c r="C163" s="98" t="s">
        <v>166</v>
      </c>
      <c r="D163" s="52" t="s">
        <v>167</v>
      </c>
      <c r="E163" s="206" t="s">
        <v>168</v>
      </c>
      <c r="F163" s="52"/>
      <c r="G163" s="52" t="s">
        <v>172</v>
      </c>
      <c r="H163" s="102">
        <v>26</v>
      </c>
      <c r="I163" s="102"/>
      <c r="J163" s="103"/>
      <c r="K163" s="166"/>
      <c r="L163" s="166"/>
    </row>
    <row r="164" spans="3:12" x14ac:dyDescent="0.25">
      <c r="C164" s="98" t="s">
        <v>169</v>
      </c>
      <c r="D164" s="52"/>
      <c r="E164" s="101">
        <v>45893</v>
      </c>
      <c r="F164" s="52"/>
      <c r="G164" s="52"/>
      <c r="H164" s="52"/>
      <c r="I164" s="52"/>
      <c r="J164" s="104"/>
      <c r="K164" s="166"/>
      <c r="L164" s="166"/>
    </row>
    <row r="165" spans="3:12" ht="15.75" thickBot="1" x14ac:dyDescent="0.3">
      <c r="C165" s="98" t="s">
        <v>170</v>
      </c>
      <c r="D165" s="52"/>
      <c r="E165" s="52"/>
      <c r="F165" s="52"/>
      <c r="G165" s="52"/>
      <c r="H165" s="52"/>
      <c r="I165" s="52"/>
      <c r="J165" s="104"/>
      <c r="K165" s="166"/>
      <c r="L165" s="166"/>
    </row>
    <row r="166" spans="3:12" x14ac:dyDescent="0.25">
      <c r="C166" s="366" t="s">
        <v>330</v>
      </c>
      <c r="D166" s="367"/>
      <c r="E166" s="367"/>
      <c r="F166" s="367"/>
      <c r="G166" s="367"/>
      <c r="H166" s="367"/>
      <c r="I166" s="367"/>
      <c r="J166" s="368"/>
      <c r="K166" s="166"/>
      <c r="L166" s="166"/>
    </row>
    <row r="167" spans="3:12" x14ac:dyDescent="0.25">
      <c r="C167" s="369"/>
      <c r="D167" s="370"/>
      <c r="E167" s="370"/>
      <c r="F167" s="370"/>
      <c r="G167" s="370"/>
      <c r="H167" s="370"/>
      <c r="I167" s="370"/>
      <c r="J167" s="371"/>
      <c r="K167" s="166"/>
      <c r="L167" s="166"/>
    </row>
    <row r="168" spans="3:12" ht="15.75" thickBot="1" x14ac:dyDescent="0.3">
      <c r="C168" s="372"/>
      <c r="D168" s="373"/>
      <c r="E168" s="373"/>
      <c r="F168" s="373"/>
      <c r="G168" s="373"/>
      <c r="H168" s="373"/>
      <c r="I168" s="373"/>
      <c r="J168" s="374"/>
    </row>
    <row r="170" spans="3:12" ht="15.75" thickBot="1" x14ac:dyDescent="0.3"/>
    <row r="171" spans="3:12" x14ac:dyDescent="0.25">
      <c r="C171" s="199" t="s">
        <v>164</v>
      </c>
      <c r="D171" s="200">
        <f>D161+1</f>
        <v>17</v>
      </c>
      <c r="E171" s="97"/>
      <c r="F171" s="97"/>
      <c r="G171" s="97"/>
      <c r="H171" s="97"/>
      <c r="I171" s="97"/>
      <c r="J171" s="100"/>
    </row>
    <row r="172" spans="3:12" x14ac:dyDescent="0.25">
      <c r="C172" s="201" t="s">
        <v>165</v>
      </c>
      <c r="D172" s="202"/>
      <c r="E172" s="101">
        <v>45895</v>
      </c>
      <c r="F172" s="52"/>
      <c r="G172" s="52" t="s">
        <v>171</v>
      </c>
      <c r="H172" s="151" t="s">
        <v>332</v>
      </c>
      <c r="I172" s="102"/>
      <c r="J172" s="103"/>
    </row>
    <row r="173" spans="3:12" x14ac:dyDescent="0.25">
      <c r="C173" s="98" t="s">
        <v>166</v>
      </c>
      <c r="D173" s="202" t="s">
        <v>167</v>
      </c>
      <c r="E173" s="52" t="s">
        <v>168</v>
      </c>
      <c r="F173" s="52"/>
      <c r="G173" s="52" t="s">
        <v>172</v>
      </c>
      <c r="H173" s="102" t="s">
        <v>334</v>
      </c>
      <c r="I173" s="102"/>
      <c r="J173" s="103"/>
      <c r="L173" s="166"/>
    </row>
    <row r="174" spans="3:12" x14ac:dyDescent="0.25">
      <c r="C174" s="98" t="s">
        <v>169</v>
      </c>
      <c r="D174" s="52"/>
      <c r="E174" s="101">
        <v>45895</v>
      </c>
      <c r="F174" s="52"/>
      <c r="G174" s="52"/>
      <c r="H174" s="52"/>
      <c r="I174" s="52"/>
      <c r="J174" s="104"/>
      <c r="L174" s="166"/>
    </row>
    <row r="175" spans="3:12" ht="15.75" thickBot="1" x14ac:dyDescent="0.3">
      <c r="C175" s="98" t="s">
        <v>170</v>
      </c>
      <c r="D175" s="52"/>
      <c r="E175" s="52"/>
      <c r="F175" s="52"/>
      <c r="G175" s="52"/>
      <c r="H175" s="52"/>
      <c r="I175" s="52"/>
      <c r="J175" s="104"/>
      <c r="L175" s="166"/>
    </row>
    <row r="176" spans="3:12" x14ac:dyDescent="0.25">
      <c r="C176" s="366" t="s">
        <v>333</v>
      </c>
      <c r="D176" s="367"/>
      <c r="E176" s="367"/>
      <c r="F176" s="367"/>
      <c r="G176" s="367"/>
      <c r="H176" s="367"/>
      <c r="I176" s="367"/>
      <c r="J176" s="368"/>
      <c r="L176" s="166"/>
    </row>
    <row r="177" spans="3:13" x14ac:dyDescent="0.25">
      <c r="C177" s="369"/>
      <c r="D177" s="370"/>
      <c r="E177" s="370"/>
      <c r="F177" s="370"/>
      <c r="G177" s="370"/>
      <c r="H177" s="370"/>
      <c r="I177" s="370"/>
      <c r="J177" s="371"/>
      <c r="L177" s="166"/>
    </row>
    <row r="178" spans="3:13" ht="15.75" thickBot="1" x14ac:dyDescent="0.3">
      <c r="C178" s="372"/>
      <c r="D178" s="373"/>
      <c r="E178" s="373"/>
      <c r="F178" s="373"/>
      <c r="G178" s="373"/>
      <c r="H178" s="373"/>
      <c r="I178" s="373"/>
      <c r="J178" s="374"/>
      <c r="L178" s="166"/>
    </row>
    <row r="180" spans="3:13" ht="15.75" thickBot="1" x14ac:dyDescent="0.3"/>
    <row r="181" spans="3:13" x14ac:dyDescent="0.25">
      <c r="C181" s="216" t="s">
        <v>164</v>
      </c>
      <c r="D181" s="217">
        <f>D171+1</f>
        <v>18</v>
      </c>
      <c r="E181" s="97"/>
      <c r="F181" s="97"/>
      <c r="G181" s="97"/>
      <c r="H181" s="97"/>
      <c r="I181" s="97"/>
      <c r="J181" s="100"/>
    </row>
    <row r="182" spans="3:13" x14ac:dyDescent="0.25">
      <c r="C182" s="218" t="s">
        <v>165</v>
      </c>
      <c r="D182" s="219"/>
      <c r="E182" s="101">
        <v>45895</v>
      </c>
      <c r="F182" s="52"/>
      <c r="G182" s="52" t="s">
        <v>171</v>
      </c>
      <c r="H182" s="151" t="s">
        <v>341</v>
      </c>
      <c r="I182" s="102"/>
      <c r="J182" s="103"/>
      <c r="K182" s="166"/>
      <c r="L182" s="166"/>
    </row>
    <row r="183" spans="3:13" x14ac:dyDescent="0.25">
      <c r="C183" s="98" t="s">
        <v>166</v>
      </c>
      <c r="D183" s="52" t="s">
        <v>167</v>
      </c>
      <c r="E183" s="219" t="s">
        <v>168</v>
      </c>
      <c r="F183" s="52"/>
      <c r="G183" s="52" t="s">
        <v>172</v>
      </c>
      <c r="H183" s="102">
        <v>73</v>
      </c>
      <c r="I183" s="102"/>
      <c r="J183" s="103"/>
      <c r="K183" s="166"/>
      <c r="L183" s="166"/>
    </row>
    <row r="184" spans="3:13" x14ac:dyDescent="0.25">
      <c r="C184" s="98" t="s">
        <v>169</v>
      </c>
      <c r="D184" s="52"/>
      <c r="E184" s="101">
        <v>45895</v>
      </c>
      <c r="F184" s="52"/>
      <c r="G184" s="52"/>
      <c r="H184" s="52"/>
      <c r="I184" s="52"/>
      <c r="J184" s="104"/>
      <c r="K184" s="166"/>
      <c r="L184" s="166"/>
    </row>
    <row r="185" spans="3:13" ht="15.75" thickBot="1" x14ac:dyDescent="0.3">
      <c r="C185" s="98" t="s">
        <v>170</v>
      </c>
      <c r="D185" s="52"/>
      <c r="E185" s="52"/>
      <c r="F185" s="52"/>
      <c r="G185" s="52"/>
      <c r="H185" s="52"/>
      <c r="I185" s="52"/>
      <c r="J185" s="104"/>
      <c r="K185" s="166"/>
      <c r="L185" s="166"/>
    </row>
    <row r="186" spans="3:13" x14ac:dyDescent="0.25">
      <c r="C186" s="366" t="s">
        <v>340</v>
      </c>
      <c r="D186" s="367"/>
      <c r="E186" s="367"/>
      <c r="F186" s="367"/>
      <c r="G186" s="367"/>
      <c r="H186" s="367"/>
      <c r="I186" s="367"/>
      <c r="J186" s="368"/>
      <c r="K186" s="166"/>
      <c r="L186" s="166"/>
    </row>
    <row r="187" spans="3:13" x14ac:dyDescent="0.25">
      <c r="C187" s="369"/>
      <c r="D187" s="370"/>
      <c r="E187" s="370"/>
      <c r="F187" s="370"/>
      <c r="G187" s="370"/>
      <c r="H187" s="370"/>
      <c r="I187" s="370"/>
      <c r="J187" s="371"/>
    </row>
    <row r="188" spans="3:13" ht="15.75" thickBot="1" x14ac:dyDescent="0.3">
      <c r="C188" s="372"/>
      <c r="D188" s="373"/>
      <c r="E188" s="373"/>
      <c r="F188" s="373"/>
      <c r="G188" s="373"/>
      <c r="H188" s="373"/>
      <c r="I188" s="373"/>
      <c r="J188" s="374"/>
    </row>
    <row r="190" spans="3:13" ht="15.75" thickBot="1" x14ac:dyDescent="0.3"/>
    <row r="191" spans="3:13" x14ac:dyDescent="0.25">
      <c r="C191" s="221" t="s">
        <v>164</v>
      </c>
      <c r="D191" s="222">
        <f>D181+1</f>
        <v>19</v>
      </c>
      <c r="E191" s="97"/>
      <c r="F191" s="97"/>
      <c r="G191" s="97"/>
      <c r="H191" s="97"/>
      <c r="I191" s="97"/>
      <c r="J191" s="100"/>
    </row>
    <row r="192" spans="3:13" x14ac:dyDescent="0.25">
      <c r="C192" s="223" t="s">
        <v>165</v>
      </c>
      <c r="D192" s="224"/>
      <c r="E192" s="101">
        <v>45895</v>
      </c>
      <c r="F192" s="52"/>
      <c r="G192" s="52" t="s">
        <v>171</v>
      </c>
      <c r="H192" s="151" t="s">
        <v>342</v>
      </c>
      <c r="I192" s="102"/>
      <c r="J192" s="103"/>
      <c r="K192" s="166"/>
      <c r="L192" s="166"/>
      <c r="M192" s="166"/>
    </row>
    <row r="193" spans="3:13" x14ac:dyDescent="0.25">
      <c r="C193" s="98" t="s">
        <v>166</v>
      </c>
      <c r="D193" s="52" t="s">
        <v>167</v>
      </c>
      <c r="E193" s="224" t="s">
        <v>168</v>
      </c>
      <c r="F193" s="52"/>
      <c r="G193" s="52" t="s">
        <v>172</v>
      </c>
      <c r="H193" s="102">
        <v>88</v>
      </c>
      <c r="I193" s="102"/>
      <c r="J193" s="103"/>
      <c r="K193" s="166"/>
      <c r="L193" s="166"/>
      <c r="M193" s="166"/>
    </row>
    <row r="194" spans="3:13" x14ac:dyDescent="0.25">
      <c r="C194" s="98" t="s">
        <v>169</v>
      </c>
      <c r="D194" s="52"/>
      <c r="E194" s="101">
        <v>45895</v>
      </c>
      <c r="F194" s="52"/>
      <c r="G194" s="52"/>
      <c r="H194" s="52"/>
      <c r="I194" s="52"/>
      <c r="J194" s="104"/>
      <c r="K194" s="166"/>
      <c r="L194" s="166"/>
      <c r="M194" s="166"/>
    </row>
    <row r="195" spans="3:13" ht="15.75" thickBot="1" x14ac:dyDescent="0.3">
      <c r="C195" s="98" t="s">
        <v>170</v>
      </c>
      <c r="D195" s="52"/>
      <c r="E195" s="52"/>
      <c r="F195" s="52"/>
      <c r="G195" s="52"/>
      <c r="H195" s="52"/>
      <c r="I195" s="52"/>
      <c r="J195" s="104"/>
      <c r="K195" s="166"/>
      <c r="L195" s="166"/>
      <c r="M195" s="166"/>
    </row>
    <row r="196" spans="3:13" x14ac:dyDescent="0.25">
      <c r="C196" s="366" t="s">
        <v>343</v>
      </c>
      <c r="D196" s="367"/>
      <c r="E196" s="367"/>
      <c r="F196" s="367"/>
      <c r="G196" s="367"/>
      <c r="H196" s="367"/>
      <c r="I196" s="367"/>
      <c r="J196" s="368"/>
      <c r="K196" s="166"/>
      <c r="L196" s="166"/>
      <c r="M196" s="166"/>
    </row>
    <row r="197" spans="3:13" x14ac:dyDescent="0.25">
      <c r="C197" s="369"/>
      <c r="D197" s="370"/>
      <c r="E197" s="370"/>
      <c r="F197" s="370"/>
      <c r="G197" s="370"/>
      <c r="H197" s="370"/>
      <c r="I197" s="370"/>
      <c r="J197" s="371"/>
      <c r="K197" s="166"/>
      <c r="L197" s="166"/>
      <c r="M197" s="166"/>
    </row>
    <row r="198" spans="3:13" ht="15.75" thickBot="1" x14ac:dyDescent="0.3">
      <c r="C198" s="372"/>
      <c r="D198" s="373"/>
      <c r="E198" s="373"/>
      <c r="F198" s="373"/>
      <c r="G198" s="373"/>
      <c r="H198" s="373"/>
      <c r="I198" s="373"/>
      <c r="J198" s="374"/>
      <c r="K198" s="166"/>
      <c r="L198" s="166"/>
      <c r="M198" s="166"/>
    </row>
    <row r="199" spans="3:13" x14ac:dyDescent="0.25">
      <c r="K199" s="166"/>
      <c r="L199" s="166"/>
      <c r="M199" s="166"/>
    </row>
    <row r="200" spans="3:13" ht="15.75" thickBot="1" x14ac:dyDescent="0.3"/>
    <row r="201" spans="3:13" x14ac:dyDescent="0.25">
      <c r="C201" s="226" t="s">
        <v>164</v>
      </c>
      <c r="D201" s="227">
        <f>D191+1</f>
        <v>20</v>
      </c>
      <c r="E201" s="97"/>
      <c r="F201" s="97"/>
      <c r="G201" s="97"/>
      <c r="H201" s="97"/>
      <c r="I201" s="97"/>
      <c r="J201" s="100"/>
    </row>
    <row r="202" spans="3:13" x14ac:dyDescent="0.25">
      <c r="C202" s="228" t="s">
        <v>165</v>
      </c>
      <c r="D202" s="229"/>
      <c r="E202" s="101">
        <v>45896</v>
      </c>
      <c r="F202" s="52"/>
      <c r="G202" s="52" t="s">
        <v>171</v>
      </c>
      <c r="H202" s="151" t="s">
        <v>345</v>
      </c>
      <c r="I202" s="102"/>
      <c r="J202" s="103"/>
    </row>
    <row r="203" spans="3:13" x14ac:dyDescent="0.25">
      <c r="C203" s="98" t="s">
        <v>166</v>
      </c>
      <c r="D203" s="52" t="s">
        <v>167</v>
      </c>
      <c r="E203" s="229" t="s">
        <v>168</v>
      </c>
      <c r="F203" s="52"/>
      <c r="G203" s="52" t="s">
        <v>172</v>
      </c>
      <c r="H203" s="102">
        <v>112</v>
      </c>
      <c r="I203" s="102"/>
      <c r="J203" s="103"/>
      <c r="K203" s="166"/>
      <c r="L203" s="166"/>
      <c r="M203" s="166"/>
    </row>
    <row r="204" spans="3:13" x14ac:dyDescent="0.25">
      <c r="C204" s="98" t="s">
        <v>169</v>
      </c>
      <c r="D204" s="52"/>
      <c r="E204" s="101">
        <v>45896</v>
      </c>
      <c r="F204" s="52"/>
      <c r="G204" s="52"/>
      <c r="H204" s="52"/>
      <c r="I204" s="52"/>
      <c r="J204" s="104"/>
      <c r="K204" s="166"/>
      <c r="L204" s="166"/>
      <c r="M204" s="166"/>
    </row>
    <row r="205" spans="3:13" ht="15.75" thickBot="1" x14ac:dyDescent="0.3">
      <c r="C205" s="98" t="s">
        <v>170</v>
      </c>
      <c r="D205" s="52"/>
      <c r="E205" s="52"/>
      <c r="F205" s="52"/>
      <c r="G205" s="52"/>
      <c r="H205" s="52"/>
      <c r="I205" s="52"/>
      <c r="J205" s="104"/>
      <c r="K205" s="166"/>
      <c r="L205" s="166"/>
      <c r="M205" s="166"/>
    </row>
    <row r="206" spans="3:13" x14ac:dyDescent="0.25">
      <c r="C206" s="366" t="s">
        <v>346</v>
      </c>
      <c r="D206" s="367"/>
      <c r="E206" s="367"/>
      <c r="F206" s="367"/>
      <c r="G206" s="367"/>
      <c r="H206" s="367"/>
      <c r="I206" s="367"/>
      <c r="J206" s="368"/>
      <c r="K206" s="166"/>
      <c r="L206" s="166"/>
      <c r="M206" s="166"/>
    </row>
    <row r="207" spans="3:13" x14ac:dyDescent="0.25">
      <c r="C207" s="369"/>
      <c r="D207" s="370"/>
      <c r="E207" s="370"/>
      <c r="F207" s="370"/>
      <c r="G207" s="370"/>
      <c r="H207" s="370"/>
      <c r="I207" s="370"/>
      <c r="J207" s="371"/>
      <c r="K207" s="166"/>
      <c r="L207" s="166"/>
      <c r="M207" s="166"/>
    </row>
    <row r="208" spans="3:13" ht="15.75" thickBot="1" x14ac:dyDescent="0.3">
      <c r="C208" s="372"/>
      <c r="D208" s="373"/>
      <c r="E208" s="373"/>
      <c r="F208" s="373"/>
      <c r="G208" s="373"/>
      <c r="H208" s="373"/>
      <c r="I208" s="373"/>
      <c r="J208" s="374"/>
      <c r="K208" s="166"/>
      <c r="L208" s="166"/>
      <c r="M208" s="166"/>
    </row>
    <row r="210" spans="3:13" ht="15.75" thickBot="1" x14ac:dyDescent="0.3"/>
    <row r="211" spans="3:13" x14ac:dyDescent="0.25">
      <c r="C211" s="230" t="s">
        <v>164</v>
      </c>
      <c r="D211" s="231">
        <f>D201+1</f>
        <v>21</v>
      </c>
      <c r="E211" s="97"/>
      <c r="F211" s="97"/>
      <c r="G211" s="97"/>
      <c r="H211" s="97"/>
      <c r="I211" s="97"/>
      <c r="J211" s="100"/>
    </row>
    <row r="212" spans="3:13" x14ac:dyDescent="0.25">
      <c r="C212" s="98" t="s">
        <v>165</v>
      </c>
      <c r="D212" s="52"/>
      <c r="E212" s="101">
        <v>45898</v>
      </c>
      <c r="F212" s="52"/>
      <c r="G212" s="52" t="s">
        <v>171</v>
      </c>
      <c r="H212" s="151" t="s">
        <v>349</v>
      </c>
      <c r="I212" s="102"/>
      <c r="J212" s="103"/>
    </row>
    <row r="213" spans="3:13" x14ac:dyDescent="0.25">
      <c r="C213" s="98" t="s">
        <v>166</v>
      </c>
      <c r="D213" s="52" t="s">
        <v>167</v>
      </c>
      <c r="E213" s="232" t="s">
        <v>168</v>
      </c>
      <c r="F213" s="52"/>
      <c r="G213" s="52" t="s">
        <v>172</v>
      </c>
      <c r="H213" s="102">
        <v>130</v>
      </c>
      <c r="I213" s="102"/>
      <c r="J213" s="103"/>
      <c r="K213" s="166"/>
      <c r="L213" s="166"/>
      <c r="M213" s="166"/>
    </row>
    <row r="214" spans="3:13" x14ac:dyDescent="0.25">
      <c r="C214" s="98" t="s">
        <v>169</v>
      </c>
      <c r="D214" s="52"/>
      <c r="E214" s="101">
        <v>45898</v>
      </c>
      <c r="F214" s="52"/>
      <c r="G214" s="52"/>
      <c r="H214" s="52"/>
      <c r="I214" s="52"/>
      <c r="J214" s="104"/>
      <c r="K214" s="166"/>
      <c r="L214" s="166"/>
      <c r="M214" s="166"/>
    </row>
    <row r="215" spans="3:13" ht="15.75" thickBot="1" x14ac:dyDescent="0.3">
      <c r="C215" s="98" t="s">
        <v>170</v>
      </c>
      <c r="D215" s="52"/>
      <c r="E215" s="52"/>
      <c r="F215" s="52"/>
      <c r="G215" s="52"/>
      <c r="H215" s="52"/>
      <c r="I215" s="52"/>
      <c r="J215" s="104"/>
      <c r="K215" s="166"/>
      <c r="L215" s="166"/>
      <c r="M215" s="166"/>
    </row>
    <row r="216" spans="3:13" x14ac:dyDescent="0.25">
      <c r="C216" s="366" t="s">
        <v>350</v>
      </c>
      <c r="D216" s="367"/>
      <c r="E216" s="367"/>
      <c r="F216" s="367"/>
      <c r="G216" s="367"/>
      <c r="H216" s="367"/>
      <c r="I216" s="367"/>
      <c r="J216" s="368"/>
      <c r="K216" s="166"/>
      <c r="L216" s="166"/>
      <c r="M216" s="166"/>
    </row>
    <row r="217" spans="3:13" x14ac:dyDescent="0.25">
      <c r="C217" s="369"/>
      <c r="D217" s="370"/>
      <c r="E217" s="370"/>
      <c r="F217" s="370"/>
      <c r="G217" s="370"/>
      <c r="H217" s="370"/>
      <c r="I217" s="370"/>
      <c r="J217" s="371"/>
      <c r="K217" s="166"/>
      <c r="L217" s="166"/>
      <c r="M217" s="166"/>
    </row>
    <row r="218" spans="3:13" ht="15.75" thickBot="1" x14ac:dyDescent="0.3">
      <c r="C218" s="372"/>
      <c r="D218" s="373"/>
      <c r="E218" s="373"/>
      <c r="F218" s="373"/>
      <c r="G218" s="373"/>
      <c r="H218" s="373"/>
      <c r="I218" s="373"/>
      <c r="J218" s="374"/>
      <c r="K218" s="166"/>
      <c r="L218" s="166"/>
      <c r="M218" s="166"/>
    </row>
    <row r="220" spans="3:13" ht="15.75" thickBot="1" x14ac:dyDescent="0.3"/>
    <row r="221" spans="3:13" x14ac:dyDescent="0.25">
      <c r="C221" s="216" t="s">
        <v>164</v>
      </c>
      <c r="D221" s="217">
        <f>D211+1</f>
        <v>22</v>
      </c>
      <c r="E221" s="217"/>
      <c r="F221" s="97"/>
      <c r="G221" s="97"/>
      <c r="H221" s="97"/>
      <c r="I221" s="97"/>
      <c r="J221" s="100"/>
    </row>
    <row r="222" spans="3:13" x14ac:dyDescent="0.25">
      <c r="C222" s="218" t="s">
        <v>165</v>
      </c>
      <c r="D222" s="219"/>
      <c r="E222" s="233">
        <v>45898</v>
      </c>
      <c r="F222" s="52"/>
      <c r="G222" s="52" t="s">
        <v>171</v>
      </c>
      <c r="H222" s="151" t="s">
        <v>341</v>
      </c>
      <c r="I222" s="102"/>
      <c r="J222" s="103"/>
    </row>
    <row r="223" spans="3:13" x14ac:dyDescent="0.25">
      <c r="C223" s="98" t="s">
        <v>166</v>
      </c>
      <c r="D223" s="52" t="s">
        <v>167</v>
      </c>
      <c r="E223" s="219" t="s">
        <v>168</v>
      </c>
      <c r="F223" s="52"/>
      <c r="G223" s="52" t="s">
        <v>172</v>
      </c>
      <c r="H223" s="102">
        <v>73</v>
      </c>
      <c r="I223" s="102"/>
      <c r="J223" s="103"/>
      <c r="K223" s="166"/>
      <c r="L223" s="166"/>
    </row>
    <row r="224" spans="3:13" x14ac:dyDescent="0.25">
      <c r="C224" s="98" t="s">
        <v>169</v>
      </c>
      <c r="D224" s="52"/>
      <c r="E224" s="101">
        <v>45898</v>
      </c>
      <c r="F224" s="52"/>
      <c r="G224" s="52"/>
      <c r="H224" s="52"/>
      <c r="I224" s="52"/>
      <c r="J224" s="104"/>
      <c r="K224" s="166"/>
      <c r="L224" s="166"/>
    </row>
    <row r="225" spans="3:12" ht="15.75" thickBot="1" x14ac:dyDescent="0.3">
      <c r="C225" s="98" t="s">
        <v>170</v>
      </c>
      <c r="D225" s="52"/>
      <c r="E225" s="52"/>
      <c r="F225" s="52"/>
      <c r="G225" s="52"/>
      <c r="H225" s="52"/>
      <c r="I225" s="52"/>
      <c r="J225" s="104"/>
      <c r="K225" s="166"/>
      <c r="L225" s="166"/>
    </row>
    <row r="226" spans="3:12" x14ac:dyDescent="0.25">
      <c r="C226" s="366" t="s">
        <v>348</v>
      </c>
      <c r="D226" s="367"/>
      <c r="E226" s="367"/>
      <c r="F226" s="367"/>
      <c r="G226" s="367"/>
      <c r="H226" s="367"/>
      <c r="I226" s="367"/>
      <c r="J226" s="368"/>
      <c r="K226" s="166"/>
      <c r="L226" s="166"/>
    </row>
    <row r="227" spans="3:12" x14ac:dyDescent="0.25">
      <c r="C227" s="369"/>
      <c r="D227" s="370"/>
      <c r="E227" s="370"/>
      <c r="F227" s="370"/>
      <c r="G227" s="370"/>
      <c r="H227" s="370"/>
      <c r="I227" s="370"/>
      <c r="J227" s="371"/>
      <c r="K227" s="166"/>
      <c r="L227" s="166"/>
    </row>
    <row r="228" spans="3:12" ht="15.75" thickBot="1" x14ac:dyDescent="0.3">
      <c r="C228" s="372"/>
      <c r="D228" s="373"/>
      <c r="E228" s="373"/>
      <c r="F228" s="373"/>
      <c r="G228" s="373"/>
      <c r="H228" s="373"/>
      <c r="I228" s="373"/>
      <c r="J228" s="374"/>
    </row>
    <row r="230" spans="3:12" ht="15.75" thickBot="1" x14ac:dyDescent="0.3"/>
    <row r="231" spans="3:12" x14ac:dyDescent="0.25">
      <c r="C231" s="187" t="s">
        <v>164</v>
      </c>
      <c r="D231" s="188">
        <f>D221+1</f>
        <v>23</v>
      </c>
      <c r="E231" s="188"/>
      <c r="F231" s="97"/>
      <c r="G231" s="97"/>
      <c r="H231" s="97"/>
      <c r="I231" s="97"/>
      <c r="J231" s="100"/>
    </row>
    <row r="232" spans="3:12" x14ac:dyDescent="0.25">
      <c r="C232" s="189" t="s">
        <v>165</v>
      </c>
      <c r="D232" s="190"/>
      <c r="E232" s="234">
        <v>45901</v>
      </c>
      <c r="F232" s="52"/>
      <c r="G232" s="52" t="s">
        <v>171</v>
      </c>
      <c r="H232" s="151" t="s">
        <v>353</v>
      </c>
      <c r="I232" s="102"/>
      <c r="J232" s="103"/>
    </row>
    <row r="233" spans="3:12" x14ac:dyDescent="0.25">
      <c r="C233" s="98" t="s">
        <v>166</v>
      </c>
      <c r="D233" s="52" t="s">
        <v>167</v>
      </c>
      <c r="E233" s="190" t="s">
        <v>168</v>
      </c>
      <c r="F233" s="52"/>
      <c r="G233" s="52" t="s">
        <v>172</v>
      </c>
      <c r="H233" s="102">
        <v>53</v>
      </c>
      <c r="I233" s="102"/>
      <c r="J233" s="103"/>
    </row>
    <row r="234" spans="3:12" x14ac:dyDescent="0.25">
      <c r="C234" s="98" t="s">
        <v>169</v>
      </c>
      <c r="D234" s="52"/>
      <c r="E234" s="101">
        <v>45899</v>
      </c>
      <c r="F234" s="52"/>
      <c r="G234" s="52"/>
      <c r="H234" s="52"/>
      <c r="I234" s="52"/>
      <c r="J234" s="104"/>
    </row>
    <row r="235" spans="3:12" ht="15.75" thickBot="1" x14ac:dyDescent="0.3">
      <c r="C235" s="98" t="s">
        <v>170</v>
      </c>
      <c r="D235" s="52"/>
      <c r="E235" s="52"/>
      <c r="F235" s="52"/>
      <c r="G235" s="52"/>
      <c r="H235" s="52"/>
      <c r="I235" s="52"/>
      <c r="J235" s="104"/>
    </row>
    <row r="236" spans="3:12" x14ac:dyDescent="0.25">
      <c r="C236" s="366" t="s">
        <v>352</v>
      </c>
      <c r="D236" s="367"/>
      <c r="E236" s="367"/>
      <c r="F236" s="367"/>
      <c r="G236" s="367"/>
      <c r="H236" s="367"/>
      <c r="I236" s="367"/>
      <c r="J236" s="368"/>
    </row>
    <row r="237" spans="3:12" x14ac:dyDescent="0.25">
      <c r="C237" s="369"/>
      <c r="D237" s="370"/>
      <c r="E237" s="370"/>
      <c r="F237" s="370"/>
      <c r="G237" s="370"/>
      <c r="H237" s="370"/>
      <c r="I237" s="370"/>
      <c r="J237" s="371"/>
    </row>
    <row r="238" spans="3:12" ht="15.75" thickBot="1" x14ac:dyDescent="0.3">
      <c r="C238" s="372"/>
      <c r="D238" s="373"/>
      <c r="E238" s="373"/>
      <c r="F238" s="373"/>
      <c r="G238" s="373"/>
      <c r="H238" s="373"/>
      <c r="I238" s="373"/>
      <c r="J238" s="374"/>
    </row>
    <row r="240" spans="3:12" ht="15.75" thickBot="1" x14ac:dyDescent="0.3"/>
    <row r="241" spans="3:13" x14ac:dyDescent="0.25">
      <c r="C241" s="235" t="s">
        <v>164</v>
      </c>
      <c r="D241" s="236">
        <f>D231+1</f>
        <v>24</v>
      </c>
      <c r="E241" s="236"/>
      <c r="F241" s="97"/>
      <c r="G241" s="97"/>
      <c r="H241" s="97"/>
      <c r="I241" s="97"/>
      <c r="J241" s="100"/>
    </row>
    <row r="242" spans="3:13" x14ac:dyDescent="0.25">
      <c r="C242" s="237" t="s">
        <v>165</v>
      </c>
      <c r="D242" s="238"/>
      <c r="E242" s="239">
        <v>45901</v>
      </c>
      <c r="F242" s="52"/>
      <c r="G242" s="52" t="s">
        <v>171</v>
      </c>
      <c r="H242" s="151" t="s">
        <v>354</v>
      </c>
      <c r="I242" s="102"/>
      <c r="J242" s="103"/>
      <c r="K242" s="166"/>
      <c r="L242" s="166"/>
    </row>
    <row r="243" spans="3:13" x14ac:dyDescent="0.25">
      <c r="C243" s="98" t="s">
        <v>166</v>
      </c>
      <c r="D243" s="52" t="s">
        <v>167</v>
      </c>
      <c r="E243" s="238" t="s">
        <v>168</v>
      </c>
      <c r="F243" s="52"/>
      <c r="G243" s="52" t="s">
        <v>172</v>
      </c>
      <c r="H243" s="102">
        <v>95</v>
      </c>
      <c r="I243" s="102"/>
      <c r="J243" s="103"/>
      <c r="K243" s="166"/>
      <c r="L243" s="166"/>
    </row>
    <row r="244" spans="3:13" x14ac:dyDescent="0.25">
      <c r="C244" s="98" t="s">
        <v>169</v>
      </c>
      <c r="D244" s="52"/>
      <c r="E244" s="101">
        <v>45899</v>
      </c>
      <c r="F244" s="52"/>
      <c r="G244" s="52"/>
      <c r="H244" s="52"/>
      <c r="I244" s="52"/>
      <c r="J244" s="104"/>
      <c r="K244" s="166"/>
      <c r="L244" s="166"/>
    </row>
    <row r="245" spans="3:13" ht="15.75" thickBot="1" x14ac:dyDescent="0.3">
      <c r="C245" s="98" t="s">
        <v>170</v>
      </c>
      <c r="D245" s="52"/>
      <c r="E245" s="52"/>
      <c r="F245" s="52"/>
      <c r="G245" s="52"/>
      <c r="H245" s="52"/>
      <c r="I245" s="52"/>
      <c r="J245" s="104"/>
      <c r="K245" s="166"/>
      <c r="L245" s="166"/>
    </row>
    <row r="246" spans="3:13" x14ac:dyDescent="0.25">
      <c r="C246" s="366" t="s">
        <v>355</v>
      </c>
      <c r="D246" s="367"/>
      <c r="E246" s="367"/>
      <c r="F246" s="367"/>
      <c r="G246" s="367"/>
      <c r="H246" s="367"/>
      <c r="I246" s="367"/>
      <c r="J246" s="368"/>
    </row>
    <row r="247" spans="3:13" x14ac:dyDescent="0.25">
      <c r="C247" s="369"/>
      <c r="D247" s="370"/>
      <c r="E247" s="370"/>
      <c r="F247" s="370"/>
      <c r="G247" s="370"/>
      <c r="H247" s="370"/>
      <c r="I247" s="370"/>
      <c r="J247" s="371"/>
    </row>
    <row r="248" spans="3:13" ht="15.75" thickBot="1" x14ac:dyDescent="0.3">
      <c r="C248" s="372"/>
      <c r="D248" s="373"/>
      <c r="E248" s="373"/>
      <c r="F248" s="373"/>
      <c r="G248" s="373"/>
      <c r="H248" s="373"/>
      <c r="I248" s="373"/>
      <c r="J248" s="374"/>
    </row>
    <row r="250" spans="3:13" ht="15.75" thickBot="1" x14ac:dyDescent="0.3"/>
    <row r="251" spans="3:13" x14ac:dyDescent="0.25">
      <c r="C251" s="248" t="s">
        <v>164</v>
      </c>
      <c r="D251" s="97">
        <f>D241+1</f>
        <v>25</v>
      </c>
      <c r="E251" s="97"/>
      <c r="F251" s="97"/>
      <c r="G251" s="97"/>
      <c r="H251" s="97"/>
      <c r="I251" s="97"/>
      <c r="J251" s="100"/>
    </row>
    <row r="252" spans="3:13" x14ac:dyDescent="0.25">
      <c r="C252" s="98" t="s">
        <v>165</v>
      </c>
      <c r="D252" s="52"/>
      <c r="E252" s="101">
        <v>45901</v>
      </c>
      <c r="F252" s="52"/>
      <c r="G252" s="52" t="s">
        <v>171</v>
      </c>
      <c r="H252" s="151" t="s">
        <v>227</v>
      </c>
      <c r="I252" s="102"/>
      <c r="J252" s="103"/>
    </row>
    <row r="253" spans="3:13" x14ac:dyDescent="0.25">
      <c r="C253" s="98" t="s">
        <v>166</v>
      </c>
      <c r="D253" s="52" t="s">
        <v>167</v>
      </c>
      <c r="E253" s="52" t="s">
        <v>168</v>
      </c>
      <c r="F253" s="52"/>
      <c r="G253" s="52" t="s">
        <v>172</v>
      </c>
      <c r="H253" s="102">
        <v>61</v>
      </c>
      <c r="I253" s="102"/>
      <c r="J253" s="103"/>
      <c r="K253" s="166"/>
      <c r="L253" s="166"/>
      <c r="M253" s="166"/>
    </row>
    <row r="254" spans="3:13" x14ac:dyDescent="0.25">
      <c r="C254" s="98" t="s">
        <v>169</v>
      </c>
      <c r="D254" s="52"/>
      <c r="E254" s="101">
        <v>45899</v>
      </c>
      <c r="F254" s="52"/>
      <c r="G254" s="52"/>
      <c r="H254" s="52"/>
      <c r="I254" s="52"/>
      <c r="J254" s="104"/>
      <c r="K254" s="166"/>
      <c r="L254" s="166"/>
      <c r="M254" s="166"/>
    </row>
    <row r="255" spans="3:13" ht="15.75" thickBot="1" x14ac:dyDescent="0.3">
      <c r="C255" s="98" t="s">
        <v>170</v>
      </c>
      <c r="D255" s="52"/>
      <c r="E255" s="52"/>
      <c r="F255" s="52"/>
      <c r="G255" s="52"/>
      <c r="H255" s="52"/>
      <c r="I255" s="52"/>
      <c r="J255" s="104"/>
      <c r="K255" s="166"/>
      <c r="L255" s="166"/>
      <c r="M255" s="166"/>
    </row>
    <row r="256" spans="3:13" x14ac:dyDescent="0.25">
      <c r="C256" s="366" t="s">
        <v>356</v>
      </c>
      <c r="D256" s="367"/>
      <c r="E256" s="367"/>
      <c r="F256" s="367"/>
      <c r="G256" s="367"/>
      <c r="H256" s="367"/>
      <c r="I256" s="367"/>
      <c r="J256" s="368"/>
      <c r="K256" s="166"/>
      <c r="L256" s="166"/>
      <c r="M256" s="166"/>
    </row>
    <row r="257" spans="3:13" x14ac:dyDescent="0.25">
      <c r="C257" s="369"/>
      <c r="D257" s="370"/>
      <c r="E257" s="370"/>
      <c r="F257" s="370"/>
      <c r="G257" s="370"/>
      <c r="H257" s="370"/>
      <c r="I257" s="370"/>
      <c r="J257" s="371"/>
      <c r="K257" s="166"/>
      <c r="L257" s="166"/>
      <c r="M257" s="166"/>
    </row>
    <row r="258" spans="3:13" ht="15.75" thickBot="1" x14ac:dyDescent="0.3">
      <c r="C258" s="372"/>
      <c r="D258" s="373"/>
      <c r="E258" s="373"/>
      <c r="F258" s="373"/>
      <c r="G258" s="373"/>
      <c r="H258" s="373"/>
      <c r="I258" s="373"/>
      <c r="J258" s="374"/>
      <c r="K258" s="166"/>
      <c r="L258" s="166"/>
      <c r="M258" s="166"/>
    </row>
    <row r="260" spans="3:13" ht="15.75" thickBot="1" x14ac:dyDescent="0.3"/>
    <row r="261" spans="3:13" x14ac:dyDescent="0.25">
      <c r="C261" s="244" t="s">
        <v>164</v>
      </c>
      <c r="D261" s="241">
        <f>D251+1</f>
        <v>26</v>
      </c>
      <c r="E261" s="241"/>
      <c r="F261" s="97"/>
      <c r="G261" s="97"/>
      <c r="H261" s="97"/>
      <c r="I261" s="97"/>
      <c r="J261" s="100"/>
    </row>
    <row r="262" spans="3:13" x14ac:dyDescent="0.25">
      <c r="C262" s="245" t="s">
        <v>165</v>
      </c>
      <c r="D262" s="243"/>
      <c r="E262" s="242">
        <v>45901</v>
      </c>
      <c r="F262" s="52"/>
      <c r="G262" s="52" t="s">
        <v>171</v>
      </c>
      <c r="H262" s="151" t="s">
        <v>358</v>
      </c>
      <c r="I262" s="102"/>
      <c r="J262" s="103"/>
    </row>
    <row r="263" spans="3:13" x14ac:dyDescent="0.25">
      <c r="C263" s="98" t="s">
        <v>166</v>
      </c>
      <c r="D263" s="52" t="s">
        <v>167</v>
      </c>
      <c r="E263" s="243" t="s">
        <v>168</v>
      </c>
      <c r="F263" s="52"/>
      <c r="G263" s="52" t="s">
        <v>172</v>
      </c>
      <c r="H263" s="102">
        <v>115</v>
      </c>
      <c r="I263" s="102"/>
      <c r="J263" s="103"/>
      <c r="K263" s="166"/>
      <c r="L263" s="166"/>
    </row>
    <row r="264" spans="3:13" x14ac:dyDescent="0.25">
      <c r="C264" s="98" t="s">
        <v>169</v>
      </c>
      <c r="D264" s="52"/>
      <c r="E264" s="101">
        <v>45901</v>
      </c>
      <c r="F264" s="52"/>
      <c r="G264" s="52"/>
      <c r="H264" s="52"/>
      <c r="I264" s="52"/>
      <c r="J264" s="104"/>
      <c r="K264" s="166"/>
      <c r="L264" s="166"/>
    </row>
    <row r="265" spans="3:13" ht="15.75" thickBot="1" x14ac:dyDescent="0.3">
      <c r="C265" s="98" t="s">
        <v>170</v>
      </c>
      <c r="D265" s="52"/>
      <c r="E265" s="52"/>
      <c r="F265" s="52"/>
      <c r="G265" s="52"/>
      <c r="H265" s="52"/>
      <c r="I265" s="52"/>
      <c r="J265" s="104"/>
      <c r="K265" s="166"/>
      <c r="L265" s="166"/>
    </row>
    <row r="266" spans="3:13" x14ac:dyDescent="0.25">
      <c r="C266" s="366" t="s">
        <v>357</v>
      </c>
      <c r="D266" s="367"/>
      <c r="E266" s="367"/>
      <c r="F266" s="367"/>
      <c r="G266" s="367"/>
      <c r="H266" s="367"/>
      <c r="I266" s="367"/>
      <c r="J266" s="368"/>
      <c r="K266" s="166"/>
      <c r="L266" s="166"/>
    </row>
    <row r="267" spans="3:13" x14ac:dyDescent="0.25">
      <c r="C267" s="369"/>
      <c r="D267" s="370"/>
      <c r="E267" s="370"/>
      <c r="F267" s="370"/>
      <c r="G267" s="370"/>
      <c r="H267" s="370"/>
      <c r="I267" s="370"/>
      <c r="J267" s="371"/>
      <c r="K267" s="166"/>
      <c r="L267" s="166"/>
    </row>
    <row r="268" spans="3:13" ht="15.75" thickBot="1" x14ac:dyDescent="0.3">
      <c r="C268" s="372"/>
      <c r="D268" s="373"/>
      <c r="E268" s="373"/>
      <c r="F268" s="373"/>
      <c r="G268" s="373"/>
      <c r="H268" s="373"/>
      <c r="I268" s="373"/>
      <c r="J268" s="374"/>
    </row>
    <row r="269" spans="3:13" x14ac:dyDescent="0.25">
      <c r="C269" s="247"/>
      <c r="D269" s="247"/>
      <c r="E269" s="247"/>
      <c r="F269" s="247"/>
      <c r="G269" s="247"/>
      <c r="H269" s="247"/>
      <c r="I269" s="247"/>
      <c r="J269" s="247"/>
    </row>
    <row r="270" spans="3:13" ht="15.75" thickBot="1" x14ac:dyDescent="0.3">
      <c r="C270" s="247"/>
      <c r="D270" s="247"/>
      <c r="E270" s="247"/>
      <c r="F270" s="247"/>
      <c r="G270" s="247"/>
      <c r="H270" s="247"/>
      <c r="I270" s="247"/>
      <c r="J270" s="247"/>
    </row>
    <row r="271" spans="3:13" x14ac:dyDescent="0.25">
      <c r="C271" s="248" t="s">
        <v>164</v>
      </c>
      <c r="D271" s="97">
        <f>D261+1</f>
        <v>27</v>
      </c>
      <c r="E271" s="97"/>
      <c r="F271" s="97"/>
      <c r="G271" s="97"/>
      <c r="H271" s="97"/>
      <c r="I271" s="97"/>
      <c r="J271" s="100"/>
    </row>
    <row r="272" spans="3:13" x14ac:dyDescent="0.25">
      <c r="C272" s="98" t="s">
        <v>165</v>
      </c>
      <c r="D272" s="52"/>
      <c r="E272" s="101">
        <v>45902</v>
      </c>
      <c r="F272" s="52"/>
      <c r="G272" s="52" t="s">
        <v>171</v>
      </c>
      <c r="H272" s="151" t="s">
        <v>362</v>
      </c>
      <c r="I272" s="102"/>
      <c r="J272" s="103"/>
      <c r="K272" s="166"/>
      <c r="L272" s="166"/>
      <c r="M272" s="166"/>
    </row>
    <row r="273" spans="3:13" x14ac:dyDescent="0.25">
      <c r="C273" s="98" t="s">
        <v>166</v>
      </c>
      <c r="D273" s="52" t="s">
        <v>167</v>
      </c>
      <c r="E273" s="52" t="s">
        <v>168</v>
      </c>
      <c r="F273" s="52"/>
      <c r="G273" s="52" t="s">
        <v>172</v>
      </c>
      <c r="H273" s="102">
        <v>14</v>
      </c>
      <c r="I273" s="102"/>
      <c r="J273" s="103"/>
      <c r="K273" s="166"/>
      <c r="L273" s="166"/>
      <c r="M273" s="166"/>
    </row>
    <row r="274" spans="3:13" x14ac:dyDescent="0.25">
      <c r="C274" s="98" t="s">
        <v>169</v>
      </c>
      <c r="D274" s="52"/>
      <c r="E274" s="101">
        <v>45901</v>
      </c>
      <c r="F274" s="52"/>
      <c r="G274" s="52"/>
      <c r="H274" s="52"/>
      <c r="I274" s="52"/>
      <c r="J274" s="104"/>
      <c r="K274" s="166"/>
      <c r="L274" s="166"/>
      <c r="M274" s="166"/>
    </row>
    <row r="275" spans="3:13" ht="15.75" thickBot="1" x14ac:dyDescent="0.3">
      <c r="C275" s="98" t="s">
        <v>170</v>
      </c>
      <c r="D275" s="52"/>
      <c r="E275" s="52"/>
      <c r="F275" s="52"/>
      <c r="G275" s="52"/>
      <c r="H275" s="52"/>
      <c r="I275" s="52"/>
      <c r="J275" s="104"/>
      <c r="K275" s="166"/>
      <c r="L275" s="166"/>
      <c r="M275" s="166"/>
    </row>
    <row r="276" spans="3:13" x14ac:dyDescent="0.25">
      <c r="C276" s="366" t="s">
        <v>361</v>
      </c>
      <c r="D276" s="367"/>
      <c r="E276" s="367"/>
      <c r="F276" s="367"/>
      <c r="G276" s="367"/>
      <c r="H276" s="367"/>
      <c r="I276" s="367"/>
      <c r="J276" s="368"/>
      <c r="K276" s="166"/>
      <c r="L276" s="166"/>
      <c r="M276" s="166"/>
    </row>
    <row r="277" spans="3:13" x14ac:dyDescent="0.25">
      <c r="C277" s="369"/>
      <c r="D277" s="370"/>
      <c r="E277" s="370"/>
      <c r="F277" s="370"/>
      <c r="G277" s="370"/>
      <c r="H277" s="370"/>
      <c r="I277" s="370"/>
      <c r="J277" s="371"/>
      <c r="K277" s="166"/>
      <c r="L277" s="166"/>
      <c r="M277" s="166"/>
    </row>
    <row r="278" spans="3:13" ht="15.75" thickBot="1" x14ac:dyDescent="0.3">
      <c r="C278" s="372"/>
      <c r="D278" s="373"/>
      <c r="E278" s="373"/>
      <c r="F278" s="373"/>
      <c r="G278" s="373"/>
      <c r="H278" s="373"/>
      <c r="I278" s="373"/>
      <c r="J278" s="374"/>
      <c r="K278" s="166"/>
      <c r="L278" s="166"/>
      <c r="M278" s="166"/>
    </row>
    <row r="279" spans="3:13" x14ac:dyDescent="0.25">
      <c r="C279" s="247"/>
      <c r="D279" s="247"/>
      <c r="E279" s="247"/>
      <c r="F279" s="247"/>
      <c r="G279" s="247"/>
      <c r="H279" s="247"/>
      <c r="I279" s="247"/>
      <c r="J279" s="247"/>
    </row>
    <row r="280" spans="3:13" ht="15.75" thickBot="1" x14ac:dyDescent="0.3">
      <c r="C280" s="247"/>
      <c r="D280" s="247"/>
      <c r="E280" s="247"/>
      <c r="F280" s="247"/>
      <c r="G280" s="247"/>
      <c r="H280" s="247"/>
      <c r="I280" s="247"/>
      <c r="J280" s="247"/>
    </row>
    <row r="281" spans="3:13" x14ac:dyDescent="0.25">
      <c r="C281" s="249" t="s">
        <v>164</v>
      </c>
      <c r="D281" s="250">
        <f>D271+1</f>
        <v>28</v>
      </c>
      <c r="E281" s="97"/>
      <c r="F281" s="97"/>
      <c r="G281" s="97"/>
      <c r="H281" s="97"/>
      <c r="I281" s="97"/>
      <c r="J281" s="100"/>
    </row>
    <row r="282" spans="3:13" x14ac:dyDescent="0.25">
      <c r="C282" s="98" t="s">
        <v>165</v>
      </c>
      <c r="D282" s="52"/>
      <c r="E282" s="101">
        <v>45904</v>
      </c>
      <c r="F282" s="52"/>
      <c r="G282" s="52" t="s">
        <v>171</v>
      </c>
      <c r="H282" s="151" t="s">
        <v>363</v>
      </c>
      <c r="I282" s="102"/>
      <c r="J282" s="103"/>
    </row>
    <row r="283" spans="3:13" x14ac:dyDescent="0.25">
      <c r="C283" s="98" t="s">
        <v>166</v>
      </c>
      <c r="D283" s="52" t="s">
        <v>167</v>
      </c>
      <c r="E283" s="251" t="s">
        <v>168</v>
      </c>
      <c r="F283" s="52"/>
      <c r="G283" s="52" t="s">
        <v>172</v>
      </c>
      <c r="H283" s="102">
        <v>60</v>
      </c>
      <c r="I283" s="102"/>
      <c r="J283" s="103"/>
      <c r="K283" s="166"/>
      <c r="L283" s="166"/>
    </row>
    <row r="284" spans="3:13" x14ac:dyDescent="0.25">
      <c r="C284" s="98" t="s">
        <v>169</v>
      </c>
      <c r="D284" s="52"/>
      <c r="E284" s="101">
        <v>45903</v>
      </c>
      <c r="F284" s="52"/>
      <c r="G284" s="52"/>
      <c r="H284" s="52"/>
      <c r="I284" s="52"/>
      <c r="J284" s="104"/>
      <c r="K284" s="166"/>
      <c r="L284" s="166"/>
    </row>
    <row r="285" spans="3:13" ht="15.75" thickBot="1" x14ac:dyDescent="0.3">
      <c r="C285" s="98" t="s">
        <v>170</v>
      </c>
      <c r="D285" s="52"/>
      <c r="E285" s="52"/>
      <c r="F285" s="52"/>
      <c r="G285" s="52"/>
      <c r="H285" s="52"/>
      <c r="I285" s="52"/>
      <c r="J285" s="104"/>
      <c r="K285" s="166"/>
      <c r="L285" s="166"/>
    </row>
    <row r="286" spans="3:13" ht="14.45" customHeight="1" x14ac:dyDescent="0.25">
      <c r="C286" s="366" t="s">
        <v>364</v>
      </c>
      <c r="D286" s="367"/>
      <c r="E286" s="367"/>
      <c r="F286" s="367"/>
      <c r="G286" s="367"/>
      <c r="H286" s="367"/>
      <c r="I286" s="367"/>
      <c r="J286" s="368"/>
      <c r="K286" s="166"/>
      <c r="L286" s="166"/>
    </row>
    <row r="287" spans="3:13" x14ac:dyDescent="0.25">
      <c r="C287" s="369"/>
      <c r="D287" s="370"/>
      <c r="E287" s="370"/>
      <c r="F287" s="370"/>
      <c r="G287" s="370"/>
      <c r="H287" s="370"/>
      <c r="I287" s="370"/>
      <c r="J287" s="371"/>
    </row>
    <row r="288" spans="3:13" ht="15.75" thickBot="1" x14ac:dyDescent="0.3">
      <c r="C288" s="372"/>
      <c r="D288" s="373"/>
      <c r="E288" s="373"/>
      <c r="F288" s="373"/>
      <c r="G288" s="373"/>
      <c r="H288" s="373"/>
      <c r="I288" s="373"/>
      <c r="J288" s="374"/>
    </row>
    <row r="289" spans="3:13" x14ac:dyDescent="0.25">
      <c r="C289" s="247"/>
      <c r="D289" s="247"/>
      <c r="E289" s="247"/>
      <c r="F289" s="247"/>
      <c r="G289" s="247"/>
      <c r="H289" s="247"/>
      <c r="I289" s="247"/>
      <c r="J289" s="247"/>
    </row>
    <row r="290" spans="3:13" ht="15.75" thickBot="1" x14ac:dyDescent="0.3">
      <c r="C290" s="247"/>
      <c r="D290" s="247"/>
      <c r="E290" s="247"/>
      <c r="F290" s="247"/>
      <c r="G290" s="247"/>
      <c r="H290" s="247"/>
      <c r="I290" s="247"/>
      <c r="J290" s="247"/>
    </row>
    <row r="291" spans="3:13" x14ac:dyDescent="0.25">
      <c r="C291" s="248" t="s">
        <v>164</v>
      </c>
      <c r="D291" s="97">
        <f>D281+1</f>
        <v>29</v>
      </c>
      <c r="E291" s="97"/>
      <c r="F291" s="97"/>
      <c r="G291" s="97"/>
      <c r="H291" s="97"/>
      <c r="I291" s="97"/>
      <c r="J291" s="100"/>
    </row>
    <row r="292" spans="3:13" x14ac:dyDescent="0.25">
      <c r="C292" s="98" t="s">
        <v>165</v>
      </c>
      <c r="D292" s="52"/>
      <c r="E292" s="101">
        <v>45904</v>
      </c>
      <c r="F292" s="52"/>
      <c r="G292" s="52" t="s">
        <v>171</v>
      </c>
      <c r="H292" s="151" t="s">
        <v>371</v>
      </c>
      <c r="I292" s="102"/>
      <c r="J292" s="103"/>
    </row>
    <row r="293" spans="3:13" x14ac:dyDescent="0.25">
      <c r="C293" s="98" t="s">
        <v>166</v>
      </c>
      <c r="D293" s="52" t="s">
        <v>167</v>
      </c>
      <c r="E293" s="52" t="s">
        <v>168</v>
      </c>
      <c r="F293" s="52"/>
      <c r="G293" s="52" t="s">
        <v>172</v>
      </c>
      <c r="H293" s="102">
        <v>79</v>
      </c>
      <c r="I293" s="102"/>
      <c r="J293" s="103"/>
      <c r="K293" s="166"/>
      <c r="L293" s="166"/>
      <c r="M293" s="166"/>
    </row>
    <row r="294" spans="3:13" x14ac:dyDescent="0.25">
      <c r="C294" s="98" t="s">
        <v>169</v>
      </c>
      <c r="D294" s="52"/>
      <c r="E294" s="101">
        <v>45903</v>
      </c>
      <c r="F294" s="52"/>
      <c r="G294" s="52"/>
      <c r="H294" s="52"/>
      <c r="I294" s="52"/>
      <c r="J294" s="104"/>
      <c r="K294" s="166"/>
      <c r="L294" s="166"/>
      <c r="M294" s="166"/>
    </row>
    <row r="295" spans="3:13" ht="15.75" thickBot="1" x14ac:dyDescent="0.3">
      <c r="C295" s="98" t="s">
        <v>170</v>
      </c>
      <c r="D295" s="52"/>
      <c r="E295" s="52"/>
      <c r="F295" s="52"/>
      <c r="G295" s="52"/>
      <c r="H295" s="52"/>
      <c r="I295" s="52"/>
      <c r="J295" s="104"/>
      <c r="K295" s="166"/>
      <c r="L295" s="166"/>
      <c r="M295" s="166"/>
    </row>
    <row r="296" spans="3:13" x14ac:dyDescent="0.25">
      <c r="C296" s="366" t="s">
        <v>372</v>
      </c>
      <c r="D296" s="367"/>
      <c r="E296" s="367"/>
      <c r="F296" s="367"/>
      <c r="G296" s="367"/>
      <c r="H296" s="367"/>
      <c r="I296" s="367"/>
      <c r="J296" s="368"/>
      <c r="K296" s="166"/>
      <c r="L296" s="166"/>
      <c r="M296" s="166"/>
    </row>
    <row r="297" spans="3:13" x14ac:dyDescent="0.25">
      <c r="C297" s="369"/>
      <c r="D297" s="370"/>
      <c r="E297" s="370"/>
      <c r="F297" s="370"/>
      <c r="G297" s="370"/>
      <c r="H297" s="370"/>
      <c r="I297" s="370"/>
      <c r="J297" s="371"/>
    </row>
    <row r="298" spans="3:13" ht="15.75" thickBot="1" x14ac:dyDescent="0.3">
      <c r="C298" s="372"/>
      <c r="D298" s="373"/>
      <c r="E298" s="373"/>
      <c r="F298" s="373"/>
      <c r="G298" s="373"/>
      <c r="H298" s="373"/>
      <c r="I298" s="373"/>
      <c r="J298" s="374"/>
    </row>
    <row r="301" spans="3:13" x14ac:dyDescent="0.25">
      <c r="C301" s="385" t="s">
        <v>359</v>
      </c>
      <c r="D301" s="385"/>
      <c r="E301" s="385"/>
      <c r="F301" s="385"/>
      <c r="G301" s="385"/>
      <c r="H301" s="385"/>
      <c r="I301" s="385"/>
      <c r="J301" s="385"/>
      <c r="K301" s="385"/>
    </row>
    <row r="302" spans="3:13" x14ac:dyDescent="0.25">
      <c r="C302" s="385"/>
      <c r="D302" s="385"/>
      <c r="E302" s="385"/>
      <c r="F302" s="385"/>
      <c r="G302" s="385"/>
      <c r="H302" s="385"/>
      <c r="I302" s="385"/>
      <c r="J302" s="385"/>
      <c r="K302" s="385"/>
    </row>
    <row r="303" spans="3:13" x14ac:dyDescent="0.25">
      <c r="C303" s="385"/>
      <c r="D303" s="385"/>
      <c r="E303" s="385"/>
      <c r="F303" s="385"/>
      <c r="G303" s="385"/>
      <c r="H303" s="385"/>
      <c r="I303" s="385"/>
      <c r="J303" s="385"/>
      <c r="K303" s="385"/>
    </row>
    <row r="304" spans="3:13" x14ac:dyDescent="0.25">
      <c r="C304" s="385"/>
      <c r="D304" s="385"/>
      <c r="E304" s="385"/>
      <c r="F304" s="385"/>
      <c r="G304" s="385"/>
      <c r="H304" s="385"/>
      <c r="I304" s="385"/>
      <c r="J304" s="385"/>
      <c r="K304" s="385"/>
    </row>
    <row r="305" spans="3:11" x14ac:dyDescent="0.25">
      <c r="C305" s="385"/>
      <c r="D305" s="385"/>
      <c r="E305" s="385"/>
      <c r="F305" s="385"/>
      <c r="G305" s="385"/>
      <c r="H305" s="385"/>
      <c r="I305" s="385"/>
      <c r="J305" s="385"/>
      <c r="K305" s="385"/>
    </row>
    <row r="307" spans="3:11" ht="15.75" thickBot="1" x14ac:dyDescent="0.3"/>
    <row r="308" spans="3:11" x14ac:dyDescent="0.25">
      <c r="C308" s="248" t="s">
        <v>164</v>
      </c>
      <c r="D308" s="97">
        <f>D268+1</f>
        <v>1</v>
      </c>
      <c r="E308" s="97"/>
      <c r="F308" s="97"/>
      <c r="G308" s="97"/>
      <c r="H308" s="97"/>
      <c r="I308" s="97"/>
      <c r="J308" s="100"/>
    </row>
    <row r="309" spans="3:11" x14ac:dyDescent="0.25">
      <c r="C309" s="98" t="s">
        <v>165</v>
      </c>
      <c r="D309" s="52"/>
      <c r="E309" s="101">
        <v>45901</v>
      </c>
      <c r="F309" s="52"/>
      <c r="G309" s="52" t="s">
        <v>171</v>
      </c>
      <c r="H309" s="151" t="s">
        <v>358</v>
      </c>
      <c r="I309" s="102"/>
      <c r="J309" s="103"/>
    </row>
    <row r="310" spans="3:11" x14ac:dyDescent="0.25">
      <c r="C310" s="98" t="s">
        <v>166</v>
      </c>
      <c r="D310" s="52" t="s">
        <v>167</v>
      </c>
      <c r="E310" s="52" t="s">
        <v>168</v>
      </c>
      <c r="F310" s="52"/>
      <c r="G310" s="52" t="s">
        <v>172</v>
      </c>
      <c r="H310" s="102">
        <v>115</v>
      </c>
      <c r="I310" s="102"/>
      <c r="J310" s="103"/>
    </row>
    <row r="311" spans="3:11" x14ac:dyDescent="0.25">
      <c r="C311" s="98" t="s">
        <v>169</v>
      </c>
      <c r="D311" s="52"/>
      <c r="E311" s="101">
        <v>45901</v>
      </c>
      <c r="F311" s="52"/>
      <c r="G311" s="52"/>
      <c r="H311" s="52"/>
      <c r="I311" s="52"/>
      <c r="J311" s="104"/>
    </row>
    <row r="312" spans="3:11" ht="15.75" thickBot="1" x14ac:dyDescent="0.3">
      <c r="C312" s="98" t="s">
        <v>170</v>
      </c>
      <c r="D312" s="52"/>
      <c r="E312" s="52"/>
      <c r="F312" s="52"/>
      <c r="G312" s="52"/>
      <c r="H312" s="52"/>
      <c r="I312" s="52"/>
      <c r="J312" s="104"/>
    </row>
    <row r="313" spans="3:11" x14ac:dyDescent="0.25">
      <c r="C313" s="366" t="s">
        <v>357</v>
      </c>
      <c r="D313" s="367"/>
      <c r="E313" s="367"/>
      <c r="F313" s="367"/>
      <c r="G313" s="367"/>
      <c r="H313" s="367"/>
      <c r="I313" s="367"/>
      <c r="J313" s="368"/>
    </row>
    <row r="314" spans="3:11" x14ac:dyDescent="0.25">
      <c r="C314" s="369"/>
      <c r="D314" s="370"/>
      <c r="E314" s="370"/>
      <c r="F314" s="370"/>
      <c r="G314" s="370"/>
      <c r="H314" s="370"/>
      <c r="I314" s="370"/>
      <c r="J314" s="371"/>
    </row>
    <row r="315" spans="3:11" ht="15.75" thickBot="1" x14ac:dyDescent="0.3">
      <c r="C315" s="372"/>
      <c r="D315" s="373"/>
      <c r="E315" s="373"/>
      <c r="F315" s="373"/>
      <c r="G315" s="373"/>
      <c r="H315" s="373"/>
      <c r="I315" s="373"/>
      <c r="J315" s="374"/>
    </row>
    <row r="316" spans="3:11" x14ac:dyDescent="0.25">
      <c r="C316" s="52"/>
      <c r="D316" s="52"/>
      <c r="E316" s="52"/>
      <c r="F316" s="52"/>
      <c r="G316" s="52"/>
      <c r="H316" s="52"/>
      <c r="I316" s="52"/>
      <c r="J316" s="52"/>
    </row>
    <row r="317" spans="3:11" ht="15.75" thickBot="1" x14ac:dyDescent="0.3">
      <c r="C317" s="52"/>
      <c r="D317" s="52"/>
      <c r="E317" s="52"/>
      <c r="F317" s="52"/>
      <c r="G317" s="52"/>
      <c r="H317" s="52"/>
      <c r="I317" s="52"/>
      <c r="J317" s="52"/>
    </row>
    <row r="318" spans="3:11" x14ac:dyDescent="0.25">
      <c r="C318" s="248" t="s">
        <v>164</v>
      </c>
      <c r="D318" s="97">
        <f>D278+1</f>
        <v>1</v>
      </c>
      <c r="E318" s="97"/>
      <c r="F318" s="97"/>
      <c r="G318" s="97"/>
      <c r="H318" s="97"/>
      <c r="I318" s="97"/>
      <c r="J318" s="100"/>
    </row>
    <row r="319" spans="3:11" x14ac:dyDescent="0.25">
      <c r="C319" s="98" t="s">
        <v>165</v>
      </c>
      <c r="D319" s="52"/>
      <c r="E319" s="101">
        <v>45904</v>
      </c>
      <c r="F319" s="52"/>
      <c r="G319" s="52" t="s">
        <v>171</v>
      </c>
      <c r="H319" s="151" t="s">
        <v>366</v>
      </c>
      <c r="I319" s="102"/>
      <c r="J319" s="103"/>
    </row>
    <row r="320" spans="3:11" x14ac:dyDescent="0.25">
      <c r="C320" s="98" t="s">
        <v>166</v>
      </c>
      <c r="D320" s="52" t="s">
        <v>167</v>
      </c>
      <c r="E320" s="52" t="s">
        <v>168</v>
      </c>
      <c r="F320" s="52"/>
      <c r="G320" s="52" t="s">
        <v>172</v>
      </c>
      <c r="H320" s="102" t="s">
        <v>365</v>
      </c>
      <c r="I320" s="102"/>
      <c r="J320" s="103"/>
    </row>
    <row r="321" spans="3:10" x14ac:dyDescent="0.25">
      <c r="C321" s="98" t="s">
        <v>169</v>
      </c>
      <c r="D321" s="52"/>
      <c r="E321" s="101">
        <v>45903</v>
      </c>
      <c r="F321" s="52"/>
      <c r="G321" s="52"/>
      <c r="H321" s="52"/>
      <c r="I321" s="52"/>
      <c r="J321" s="104"/>
    </row>
    <row r="322" spans="3:10" ht="15.75" thickBot="1" x14ac:dyDescent="0.3">
      <c r="C322" s="98" t="s">
        <v>170</v>
      </c>
      <c r="D322" s="52"/>
      <c r="E322" s="52"/>
      <c r="F322" s="52"/>
      <c r="G322" s="52"/>
      <c r="H322" s="52"/>
      <c r="I322" s="52"/>
      <c r="J322" s="104"/>
    </row>
    <row r="323" spans="3:10" x14ac:dyDescent="0.25">
      <c r="C323" s="366" t="s">
        <v>367</v>
      </c>
      <c r="D323" s="367"/>
      <c r="E323" s="367"/>
      <c r="F323" s="367"/>
      <c r="G323" s="367"/>
      <c r="H323" s="367"/>
      <c r="I323" s="367"/>
      <c r="J323" s="368"/>
    </row>
    <row r="324" spans="3:10" x14ac:dyDescent="0.25">
      <c r="C324" s="369"/>
      <c r="D324" s="370"/>
      <c r="E324" s="370"/>
      <c r="F324" s="370"/>
      <c r="G324" s="370"/>
      <c r="H324" s="370"/>
      <c r="I324" s="370"/>
      <c r="J324" s="371"/>
    </row>
    <row r="325" spans="3:10" ht="15.75" thickBot="1" x14ac:dyDescent="0.3">
      <c r="C325" s="372"/>
      <c r="D325" s="373"/>
      <c r="E325" s="373"/>
      <c r="F325" s="373"/>
      <c r="G325" s="373"/>
      <c r="H325" s="373"/>
      <c r="I325" s="373"/>
      <c r="J325" s="374"/>
    </row>
    <row r="326" spans="3:10" x14ac:dyDescent="0.25">
      <c r="C326" s="52"/>
      <c r="D326" s="52"/>
      <c r="E326" s="52"/>
      <c r="F326" s="52"/>
      <c r="G326" s="52"/>
      <c r="H326" s="52"/>
      <c r="I326" s="52"/>
      <c r="J326" s="52"/>
    </row>
    <row r="327" spans="3:10" ht="15.75" thickBot="1" x14ac:dyDescent="0.3">
      <c r="C327" s="52"/>
      <c r="D327" s="52"/>
      <c r="E327" s="52"/>
      <c r="F327" s="52"/>
      <c r="G327" s="52"/>
      <c r="H327" s="52"/>
      <c r="I327" s="52"/>
      <c r="J327" s="52"/>
    </row>
    <row r="328" spans="3:10" x14ac:dyDescent="0.25">
      <c r="C328" s="248" t="s">
        <v>164</v>
      </c>
      <c r="D328" s="97">
        <f>D288+1</f>
        <v>1</v>
      </c>
      <c r="E328" s="97"/>
      <c r="F328" s="97"/>
      <c r="G328" s="97"/>
      <c r="H328" s="97"/>
      <c r="I328" s="97"/>
      <c r="J328" s="100"/>
    </row>
    <row r="329" spans="3:10" x14ac:dyDescent="0.25">
      <c r="C329" s="98" t="s">
        <v>165</v>
      </c>
      <c r="D329" s="52"/>
      <c r="E329" s="101">
        <v>45904</v>
      </c>
      <c r="F329" s="52"/>
      <c r="G329" s="52" t="s">
        <v>171</v>
      </c>
      <c r="H329" s="151" t="s">
        <v>368</v>
      </c>
      <c r="I329" s="102"/>
      <c r="J329" s="103"/>
    </row>
    <row r="330" spans="3:10" x14ac:dyDescent="0.25">
      <c r="C330" s="98" t="s">
        <v>166</v>
      </c>
      <c r="D330" s="52" t="s">
        <v>167</v>
      </c>
      <c r="E330" s="52" t="s">
        <v>168</v>
      </c>
      <c r="F330" s="52"/>
      <c r="G330" s="52" t="s">
        <v>172</v>
      </c>
      <c r="H330" s="102">
        <v>106</v>
      </c>
      <c r="I330" s="102"/>
      <c r="J330" s="103"/>
    </row>
    <row r="331" spans="3:10" x14ac:dyDescent="0.25">
      <c r="C331" s="98" t="s">
        <v>169</v>
      </c>
      <c r="D331" s="52"/>
      <c r="E331" s="101">
        <v>45903</v>
      </c>
      <c r="F331" s="52"/>
      <c r="G331" s="52"/>
      <c r="H331" s="52"/>
      <c r="I331" s="52"/>
      <c r="J331" s="104"/>
    </row>
    <row r="332" spans="3:10" ht="15.75" thickBot="1" x14ac:dyDescent="0.3">
      <c r="C332" s="98" t="s">
        <v>170</v>
      </c>
      <c r="D332" s="52"/>
      <c r="E332" s="52"/>
      <c r="F332" s="52"/>
      <c r="G332" s="52"/>
      <c r="H332" s="52"/>
      <c r="I332" s="52"/>
      <c r="J332" s="104"/>
    </row>
    <row r="333" spans="3:10" x14ac:dyDescent="0.25">
      <c r="C333" s="366" t="s">
        <v>373</v>
      </c>
      <c r="D333" s="367"/>
      <c r="E333" s="367"/>
      <c r="F333" s="367"/>
      <c r="G333" s="367"/>
      <c r="H333" s="367"/>
      <c r="I333" s="367"/>
      <c r="J333" s="368"/>
    </row>
    <row r="334" spans="3:10" x14ac:dyDescent="0.25">
      <c r="C334" s="369"/>
      <c r="D334" s="370"/>
      <c r="E334" s="370"/>
      <c r="F334" s="370"/>
      <c r="G334" s="370"/>
      <c r="H334" s="370"/>
      <c r="I334" s="370"/>
      <c r="J334" s="371"/>
    </row>
    <row r="335" spans="3:10" ht="15.75" thickBot="1" x14ac:dyDescent="0.3">
      <c r="C335" s="372"/>
      <c r="D335" s="373"/>
      <c r="E335" s="373"/>
      <c r="F335" s="373"/>
      <c r="G335" s="373"/>
      <c r="H335" s="373"/>
      <c r="I335" s="373"/>
      <c r="J335" s="374"/>
    </row>
    <row r="337" spans="3:10" ht="15.75" thickBot="1" x14ac:dyDescent="0.3"/>
    <row r="338" spans="3:10" x14ac:dyDescent="0.25">
      <c r="C338" s="248" t="s">
        <v>164</v>
      </c>
      <c r="D338" s="97">
        <f>D305+1</f>
        <v>1</v>
      </c>
      <c r="E338" s="97"/>
      <c r="F338" s="97"/>
      <c r="G338" s="97"/>
      <c r="H338" s="97"/>
      <c r="I338" s="97"/>
      <c r="J338" s="100"/>
    </row>
    <row r="339" spans="3:10" x14ac:dyDescent="0.25">
      <c r="C339" s="98" t="s">
        <v>165</v>
      </c>
      <c r="D339" s="52"/>
      <c r="E339" s="101">
        <v>45904</v>
      </c>
      <c r="F339" s="52"/>
      <c r="G339" s="52" t="s">
        <v>171</v>
      </c>
      <c r="H339" s="151" t="s">
        <v>370</v>
      </c>
      <c r="I339" s="102"/>
      <c r="J339" s="103"/>
    </row>
    <row r="340" spans="3:10" x14ac:dyDescent="0.25">
      <c r="C340" s="98" t="s">
        <v>166</v>
      </c>
      <c r="D340" s="52" t="s">
        <v>167</v>
      </c>
      <c r="E340" s="52" t="s">
        <v>168</v>
      </c>
      <c r="F340" s="52"/>
      <c r="G340" s="52" t="s">
        <v>172</v>
      </c>
      <c r="H340" s="102">
        <v>38</v>
      </c>
      <c r="I340" s="102"/>
      <c r="J340" s="103"/>
    </row>
    <row r="341" spans="3:10" x14ac:dyDescent="0.25">
      <c r="C341" s="98" t="s">
        <v>169</v>
      </c>
      <c r="D341" s="52"/>
      <c r="E341" s="101">
        <v>45903</v>
      </c>
      <c r="F341" s="52"/>
      <c r="G341" s="52"/>
      <c r="H341" s="52"/>
      <c r="I341" s="52"/>
      <c r="J341" s="104"/>
    </row>
    <row r="342" spans="3:10" ht="15.75" thickBot="1" x14ac:dyDescent="0.3">
      <c r="C342" s="98" t="s">
        <v>170</v>
      </c>
      <c r="D342" s="52"/>
      <c r="E342" s="52"/>
      <c r="F342" s="52"/>
      <c r="G342" s="52"/>
      <c r="H342" s="52"/>
      <c r="I342" s="52"/>
      <c r="J342" s="104"/>
    </row>
    <row r="343" spans="3:10" x14ac:dyDescent="0.25">
      <c r="C343" s="366" t="s">
        <v>369</v>
      </c>
      <c r="D343" s="367"/>
      <c r="E343" s="367"/>
      <c r="F343" s="367"/>
      <c r="G343" s="367"/>
      <c r="H343" s="367"/>
      <c r="I343" s="367"/>
      <c r="J343" s="368"/>
    </row>
    <row r="344" spans="3:10" x14ac:dyDescent="0.25">
      <c r="C344" s="369"/>
      <c r="D344" s="370"/>
      <c r="E344" s="370"/>
      <c r="F344" s="370"/>
      <c r="G344" s="370"/>
      <c r="H344" s="370"/>
      <c r="I344" s="370"/>
      <c r="J344" s="371"/>
    </row>
    <row r="345" spans="3:10" ht="15.75" thickBot="1" x14ac:dyDescent="0.3">
      <c r="C345" s="372"/>
      <c r="D345" s="373"/>
      <c r="E345" s="373"/>
      <c r="F345" s="373"/>
      <c r="G345" s="373"/>
      <c r="H345" s="373"/>
      <c r="I345" s="373"/>
      <c r="J345" s="374"/>
    </row>
    <row r="347" spans="3:10" ht="15.75" thickBot="1" x14ac:dyDescent="0.3"/>
    <row r="348" spans="3:10" x14ac:dyDescent="0.25">
      <c r="C348" s="248" t="s">
        <v>164</v>
      </c>
      <c r="D348" s="97"/>
      <c r="E348" s="97"/>
      <c r="F348" s="97"/>
      <c r="G348" s="97"/>
      <c r="H348" s="97"/>
      <c r="I348" s="97"/>
      <c r="J348" s="100"/>
    </row>
    <row r="349" spans="3:10" x14ac:dyDescent="0.25">
      <c r="C349" s="98" t="s">
        <v>165</v>
      </c>
      <c r="D349" s="52"/>
      <c r="E349" s="101">
        <v>45901</v>
      </c>
      <c r="F349" s="52"/>
      <c r="G349" s="52" t="s">
        <v>171</v>
      </c>
      <c r="H349" s="151" t="s">
        <v>353</v>
      </c>
      <c r="I349" s="102"/>
      <c r="J349" s="103"/>
    </row>
    <row r="350" spans="3:10" x14ac:dyDescent="0.25">
      <c r="C350" s="98" t="s">
        <v>166</v>
      </c>
      <c r="D350" s="52" t="s">
        <v>167</v>
      </c>
      <c r="E350" s="52" t="s">
        <v>168</v>
      </c>
      <c r="F350" s="52"/>
      <c r="G350" s="52" t="s">
        <v>172</v>
      </c>
      <c r="H350" s="102">
        <v>53</v>
      </c>
      <c r="I350" s="102"/>
      <c r="J350" s="103"/>
    </row>
    <row r="351" spans="3:10" x14ac:dyDescent="0.25">
      <c r="C351" s="98" t="s">
        <v>169</v>
      </c>
      <c r="D351" s="52"/>
      <c r="E351" s="101">
        <v>45899</v>
      </c>
      <c r="F351" s="52"/>
      <c r="G351" s="52"/>
      <c r="H351" s="52"/>
      <c r="I351" s="52"/>
      <c r="J351" s="104"/>
    </row>
    <row r="352" spans="3:10" ht="15.75" thickBot="1" x14ac:dyDescent="0.3">
      <c r="C352" s="98" t="s">
        <v>170</v>
      </c>
      <c r="D352" s="52"/>
      <c r="E352" s="52"/>
      <c r="F352" s="52"/>
      <c r="G352" s="52"/>
      <c r="H352" s="52"/>
      <c r="I352" s="52"/>
      <c r="J352" s="104"/>
    </row>
    <row r="353" spans="3:10" x14ac:dyDescent="0.25">
      <c r="C353" s="366" t="s">
        <v>460</v>
      </c>
      <c r="D353" s="367"/>
      <c r="E353" s="367"/>
      <c r="F353" s="367"/>
      <c r="G353" s="367"/>
      <c r="H353" s="367"/>
      <c r="I353" s="367"/>
      <c r="J353" s="368"/>
    </row>
    <row r="354" spans="3:10" x14ac:dyDescent="0.25">
      <c r="C354" s="369"/>
      <c r="D354" s="370"/>
      <c r="E354" s="370"/>
      <c r="F354" s="370"/>
      <c r="G354" s="370"/>
      <c r="H354" s="370"/>
      <c r="I354" s="370"/>
      <c r="J354" s="371"/>
    </row>
    <row r="355" spans="3:10" ht="15.75" thickBot="1" x14ac:dyDescent="0.3">
      <c r="C355" s="372"/>
      <c r="D355" s="373"/>
      <c r="E355" s="373"/>
      <c r="F355" s="373"/>
      <c r="G355" s="373"/>
      <c r="H355" s="373"/>
      <c r="I355" s="373"/>
      <c r="J355" s="374"/>
    </row>
  </sheetData>
  <mergeCells count="36">
    <mergeCell ref="C353:J355"/>
    <mergeCell ref="C333:J335"/>
    <mergeCell ref="C343:J345"/>
    <mergeCell ref="C296:J298"/>
    <mergeCell ref="C116:J118"/>
    <mergeCell ref="C206:J208"/>
    <mergeCell ref="C266:J268"/>
    <mergeCell ref="C216:J218"/>
    <mergeCell ref="C226:J228"/>
    <mergeCell ref="C136:J138"/>
    <mergeCell ref="C146:J148"/>
    <mergeCell ref="C301:K305"/>
    <mergeCell ref="C313:J315"/>
    <mergeCell ref="C276:J278"/>
    <mergeCell ref="C196:J198"/>
    <mergeCell ref="C186:J188"/>
    <mergeCell ref="C236:J238"/>
    <mergeCell ref="C246:J248"/>
    <mergeCell ref="C256:J258"/>
    <mergeCell ref="C286:J288"/>
    <mergeCell ref="C323:J325"/>
    <mergeCell ref="C176:J178"/>
    <mergeCell ref="C166:J168"/>
    <mergeCell ref="C156:J158"/>
    <mergeCell ref="C6:J8"/>
    <mergeCell ref="C26:J28"/>
    <mergeCell ref="C46:J48"/>
    <mergeCell ref="C56:J58"/>
    <mergeCell ref="C36:J38"/>
    <mergeCell ref="C16:J18"/>
    <mergeCell ref="C66:J68"/>
    <mergeCell ref="C76:J78"/>
    <mergeCell ref="C86:J88"/>
    <mergeCell ref="C96:J98"/>
    <mergeCell ref="C126:J128"/>
    <mergeCell ref="C106:J108"/>
  </mergeCells>
  <hyperlinks>
    <hyperlink ref="H32" r:id="rId1" xr:uid="{5A682DBC-C327-4BDB-B2C2-F69DC1196BC1}"/>
    <hyperlink ref="H42" r:id="rId2" display="ventas@quimicaros.com.ar" xr:uid="{9DC41CD1-A36B-40AB-B5A4-D7CADE96E9BA}"/>
    <hyperlink ref="H52" r:id="rId3" display="ventas@quimicaros.com.ar" xr:uid="{4BEFA138-14B4-4053-80FB-34FEC211D308}"/>
    <hyperlink ref="H62" r:id="rId4" display="ventas@quimicaros.com.ar" xr:uid="{CA56D8D6-8F94-4BE7-AF15-52100DF8386F}"/>
    <hyperlink ref="H72" r:id="rId5" display="ventas@quimicaros.com.ar" xr:uid="{6A264415-2522-429D-A753-28E8D5D312BB}"/>
    <hyperlink ref="H82" r:id="rId6" display="ventas@quimicaros.com.ar" xr:uid="{E024AB1C-3A55-419F-9C7C-ECC39DD07CC0}"/>
    <hyperlink ref="H92" r:id="rId7" display="ventas@quimicaros.com.ar" xr:uid="{1CC0F2B9-7E72-446F-90D9-608B0408996E}"/>
    <hyperlink ref="H112" r:id="rId8" xr:uid="{024FA63C-6424-465E-9E11-04EDE1961952}"/>
    <hyperlink ref="H122" r:id="rId9" display="hugoecarnevaleok@gmail.com+" xr:uid="{08B81E29-6EED-465E-A342-0AAFC8093EC8}"/>
    <hyperlink ref="H132" r:id="rId10" display="hugoecarnevaleok@gmail.com+" xr:uid="{38A8421E-D344-478D-9A18-2986E82DCB86}"/>
    <hyperlink ref="H142" r:id="rId11" display="hugoecarnevaleok@gmail.com+" xr:uid="{1A81DACD-6FEB-45DB-9B98-C4C566AB588A}"/>
    <hyperlink ref="H152" r:id="rId12" display="hugoecarnevaleok@gmail.com+" xr:uid="{44F4D218-AD78-4E22-8DBE-A2EA279CCDBC}"/>
    <hyperlink ref="H162" r:id="rId13" display="hugoecarnevaleok@gmail.com+" xr:uid="{70840F93-AD01-4BBB-94FC-EA03F6707891}"/>
    <hyperlink ref="H172" r:id="rId14" display="hugoecarnevaleok@gmail.com+" xr:uid="{F7A02B88-4EAD-4277-BB99-5BE79175A7D2}"/>
    <hyperlink ref="H182" r:id="rId15" display="hugoecarnevaleok@gmail.com+" xr:uid="{3EB92492-255A-4485-86B6-1319AEA64379}"/>
    <hyperlink ref="H192" r:id="rId16" display="hugoecarnevaleok@gmail.com+" xr:uid="{C15F505F-62B4-4985-91D3-E61468791AF7}"/>
    <hyperlink ref="H202" r:id="rId17" display="hugoecarnevaleok@gmail.com+" xr:uid="{B2D9EC9E-31EB-48E5-AF06-DB45FE30BA9B}"/>
    <hyperlink ref="H212" r:id="rId18" xr:uid="{0C7F9E82-A12F-48CC-8BA5-664E44BF6DE9}"/>
    <hyperlink ref="H222" r:id="rId19" display="hugoecarnevaleok@gmail.com+" xr:uid="{28A835B9-BD0E-41F9-ABA2-CBED05CF9F3B}"/>
    <hyperlink ref="H232" r:id="rId20" display="hugoecarnevaleok@gmail.com+" xr:uid="{E47B2797-4F39-49B9-AB46-2D3316C4BC12}"/>
    <hyperlink ref="H242" r:id="rId21" display="hugoecarnevaleok@gmail.com+" xr:uid="{2BCC3E5A-F79A-4786-A689-6AFB9A5EDB6A}"/>
    <hyperlink ref="H252" r:id="rId22" xr:uid="{0494BD89-4A8C-42AC-85E2-A8322D13587B}"/>
    <hyperlink ref="H262" r:id="rId23" display="polypeirano@yahoo.com" xr:uid="{94F6E994-D2FA-4AC2-9A38-C494855FB18B}"/>
    <hyperlink ref="H309" r:id="rId24" display="polypeirano@yahoo.com" xr:uid="{22504D6B-CD53-467C-9B3C-34AED78781E8}"/>
    <hyperlink ref="H319" r:id="rId25" display="polypeirano@yahoo.com" xr:uid="{648B57F5-0AF9-46F2-AFF4-6DDE8759E3EB}"/>
    <hyperlink ref="H329" r:id="rId26" display="polypeirano@yahoo.com" xr:uid="{379F554F-8C48-4134-B2D1-96AF67D03AF0}"/>
    <hyperlink ref="H339" r:id="rId27" display="polypeirano@yahoo.com" xr:uid="{2996EFD9-54FD-4726-97A2-8D9ADB8719B7}"/>
    <hyperlink ref="H349" r:id="rId28" display="hugoecarnevaleok@gmail.com+" xr:uid="{A21A12F7-DF8D-443B-B311-F432A9AB9911}"/>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14C6-CD44-4C6E-AA2D-2DA595B764CA}">
  <dimension ref="D5:E13"/>
  <sheetViews>
    <sheetView workbookViewId="0">
      <selection activeCell="E14" sqref="E14:E15"/>
    </sheetView>
  </sheetViews>
  <sheetFormatPr baseColWidth="10" defaultColWidth="10.85546875" defaultRowHeight="15" x14ac:dyDescent="0.25"/>
  <cols>
    <col min="4" max="4" width="13.42578125" customWidth="1"/>
    <col min="5" max="5" width="18.28515625" customWidth="1"/>
  </cols>
  <sheetData>
    <row r="5" spans="4:5" x14ac:dyDescent="0.25">
      <c r="D5" s="386" t="s">
        <v>335</v>
      </c>
      <c r="E5" s="386"/>
    </row>
    <row r="6" spans="4:5" x14ac:dyDescent="0.25">
      <c r="D6" s="207" t="s">
        <v>292</v>
      </c>
      <c r="E6" s="207" t="s">
        <v>336</v>
      </c>
    </row>
    <row r="7" spans="4:5" x14ac:dyDescent="0.25">
      <c r="D7" s="122">
        <f>PRORRATEO!S122</f>
        <v>118</v>
      </c>
      <c r="E7" s="208">
        <f>PRORRATEO!P122</f>
        <v>1077853.18</v>
      </c>
    </row>
    <row r="8" spans="4:5" x14ac:dyDescent="0.25">
      <c r="D8" s="122">
        <f>PRORRATEO!S124</f>
        <v>120</v>
      </c>
      <c r="E8" s="208">
        <f>PRORRATEO!P124</f>
        <v>679130.2</v>
      </c>
    </row>
    <row r="9" spans="4:5" x14ac:dyDescent="0.25">
      <c r="D9" s="122">
        <f>PRORRATEO!S125</f>
        <v>121</v>
      </c>
      <c r="E9" s="208">
        <f>PRORRATEO!P125</f>
        <v>679130.21</v>
      </c>
    </row>
    <row r="10" spans="4:5" ht="17.25" x14ac:dyDescent="0.4">
      <c r="D10" s="210" t="s">
        <v>4</v>
      </c>
      <c r="E10" s="209">
        <f>SUM(E7:E9)</f>
        <v>2436113.59</v>
      </c>
    </row>
    <row r="12" spans="4:5" x14ac:dyDescent="0.25">
      <c r="D12" s="211" t="s">
        <v>337</v>
      </c>
      <c r="E12" s="212">
        <v>1770000</v>
      </c>
    </row>
    <row r="13" spans="4:5" x14ac:dyDescent="0.25">
      <c r="D13" s="213" t="s">
        <v>338</v>
      </c>
      <c r="E13" s="214">
        <f>E10-E12</f>
        <v>666113.58999999985</v>
      </c>
    </row>
  </sheetData>
  <mergeCells count="1">
    <mergeCell ref="D5:E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9E862-3C5A-4AEB-B7CD-9B3A957AD3F9}">
  <dimension ref="B9"/>
  <sheetViews>
    <sheetView workbookViewId="0">
      <selection activeCell="B9" sqref="B9"/>
    </sheetView>
  </sheetViews>
  <sheetFormatPr baseColWidth="10" defaultColWidth="10.85546875" defaultRowHeight="15" x14ac:dyDescent="0.25"/>
  <sheetData>
    <row r="9" spans="2:2" x14ac:dyDescent="0.25">
      <c r="B9" t="s">
        <v>347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RESUMEN</vt:lpstr>
      <vt:lpstr>PRORRATEO</vt:lpstr>
      <vt:lpstr>anotaciones</vt:lpstr>
      <vt:lpstr>suzel</vt:lpstr>
      <vt:lpstr>SUMS A CORREGIR</vt:lpstr>
      <vt:lpstr>PRORRATEO!Área_de_impresión</vt:lpstr>
      <vt:lpstr>RESUMEN!Área_de_impresión</vt:lpstr>
      <vt:lpstr>suzel!Área_de_impresión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2025-09-16T17:46:16Z</cp:lastPrinted>
  <dcterms:created xsi:type="dcterms:W3CDTF">2023-09-17T12:29:07Z</dcterms:created>
  <dcterms:modified xsi:type="dcterms:W3CDTF">2025-10-14T14:59:03Z</dcterms:modified>
</cp:coreProperties>
</file>