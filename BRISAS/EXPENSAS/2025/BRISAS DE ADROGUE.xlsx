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D:\OneDrive\Desktop\BRISAS DE ADROGUE\EXPENSAS\"/>
    </mc:Choice>
  </mc:AlternateContent>
  <xr:revisionPtr revIDLastSave="0" documentId="13_ncr:1_{B3EDDDC1-63FC-4272-9F8D-A0E86FE1706E}" xr6:coauthVersionLast="47" xr6:coauthVersionMax="47" xr10:uidLastSave="{00000000-0000-0000-0000-000000000000}"/>
  <bookViews>
    <workbookView xWindow="-120" yWindow="-120" windowWidth="20730" windowHeight="11160" tabRatio="850" activeTab="1" xr2:uid="{00000000-000D-0000-FFFF-FFFF00000000}"/>
  </bookViews>
  <sheets>
    <sheet name="RESUMEN" sheetId="1" r:id="rId1"/>
    <sheet name="PRORRATEO" sheetId="2" r:id="rId2"/>
    <sheet name="anotaciones" sheetId="3" r:id="rId3"/>
  </sheets>
  <definedNames>
    <definedName name="_xlnm.Print_Area" localSheetId="1">PRORRATEO!$A$1:$Q$168</definedName>
    <definedName name="_xlnm.Print_Area" localSheetId="0">RESUMEN!$A$1:$E$165</definedName>
  </definedNames>
  <calcPr calcId="181029"/>
</workbook>
</file>

<file path=xl/calcChain.xml><?xml version="1.0" encoding="utf-8"?>
<calcChain xmlns="http://schemas.openxmlformats.org/spreadsheetml/2006/main">
  <c r="C162" i="2" l="1"/>
  <c r="D23" i="1"/>
  <c r="D29" i="1"/>
  <c r="B138" i="1"/>
  <c r="W2" i="2"/>
  <c r="G2" i="2" s="1"/>
  <c r="K5" i="2" s="1"/>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8" i="2"/>
  <c r="J149" i="2"/>
  <c r="J150" i="2"/>
  <c r="J151" i="2"/>
  <c r="J152" i="2"/>
  <c r="J153" i="2"/>
  <c r="J154" i="2"/>
  <c r="J155" i="2"/>
  <c r="J156" i="2"/>
  <c r="J5" i="2"/>
  <c r="F42" i="2"/>
  <c r="E117" i="1"/>
  <c r="E94" i="1"/>
  <c r="E83" i="1"/>
  <c r="E79" i="1"/>
  <c r="E76" i="1"/>
  <c r="E67" i="1"/>
  <c r="E38" i="1"/>
  <c r="D31" i="1"/>
  <c r="B164" i="1"/>
  <c r="F23" i="2"/>
  <c r="F128" i="2"/>
  <c r="B144" i="1"/>
  <c r="B145" i="1" s="1"/>
  <c r="B139" i="1" s="1"/>
  <c r="E102" i="1"/>
  <c r="D45" i="1"/>
  <c r="E47" i="1" s="1"/>
  <c r="E42" i="1"/>
  <c r="F110" i="2"/>
  <c r="L149" i="2"/>
  <c r="L150" i="2"/>
  <c r="L151" i="2"/>
  <c r="L152" i="2"/>
  <c r="L153" i="2"/>
  <c r="L154" i="2"/>
  <c r="L155" i="2"/>
  <c r="L156" i="2"/>
  <c r="L148" i="2"/>
  <c r="L143"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5" i="2"/>
  <c r="E32" i="1" l="1"/>
  <c r="K149" i="2"/>
  <c r="K150" i="2"/>
  <c r="K151" i="2"/>
  <c r="K152" i="2"/>
  <c r="K153" i="2"/>
  <c r="K154" i="2"/>
  <c r="K155" i="2"/>
  <c r="K156" i="2"/>
  <c r="K148"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M6" i="2"/>
  <c r="M7" i="2"/>
  <c r="M8" i="2"/>
  <c r="M9" i="2"/>
  <c r="M10" i="2"/>
  <c r="M11" i="2"/>
  <c r="M12" i="2"/>
  <c r="M14" i="2"/>
  <c r="M15" i="2"/>
  <c r="M16" i="2"/>
  <c r="M18" i="2"/>
  <c r="M19"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3" i="2"/>
  <c r="M54" i="2"/>
  <c r="M56" i="2"/>
  <c r="M57" i="2"/>
  <c r="M58" i="2"/>
  <c r="M59" i="2"/>
  <c r="M61" i="2"/>
  <c r="M62" i="2"/>
  <c r="M63" i="2"/>
  <c r="M64" i="2"/>
  <c r="M65" i="2"/>
  <c r="M67" i="2"/>
  <c r="M68" i="2"/>
  <c r="M69" i="2"/>
  <c r="M70" i="2"/>
  <c r="M71"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9" i="2"/>
  <c r="M150" i="2"/>
  <c r="M151" i="2"/>
  <c r="M152" i="2"/>
  <c r="M153" i="2"/>
  <c r="M154" i="2"/>
  <c r="M155" i="2"/>
  <c r="M156" i="2"/>
  <c r="M5" i="2"/>
  <c r="O19" i="2"/>
  <c r="O159" i="2" s="1"/>
  <c r="F68" i="2"/>
  <c r="G68" i="2" s="1"/>
  <c r="H68" i="2" s="1"/>
  <c r="F75" i="2"/>
  <c r="F96" i="2"/>
  <c r="G96" i="2" s="1"/>
  <c r="H96" i="2" s="1"/>
  <c r="F43" i="2"/>
  <c r="G43" i="2" s="1"/>
  <c r="H43" i="2" s="1"/>
  <c r="F93" i="2"/>
  <c r="G93" i="2" s="1"/>
  <c r="H93" i="2" s="1"/>
  <c r="F19" i="2"/>
  <c r="F136" i="2"/>
  <c r="F137" i="2"/>
  <c r="G137" i="2" s="1"/>
  <c r="H137" i="2" s="1"/>
  <c r="G110" i="2"/>
  <c r="H110" i="2" s="1"/>
  <c r="F141" i="2"/>
  <c r="G141" i="2" s="1"/>
  <c r="H141" i="2" s="1"/>
  <c r="F64" i="2"/>
  <c r="G64" i="2" s="1"/>
  <c r="H64" i="2" s="1"/>
  <c r="F119" i="2"/>
  <c r="F73" i="2"/>
  <c r="F123" i="2"/>
  <c r="F100" i="2"/>
  <c r="G100" i="2" s="1"/>
  <c r="H100" i="2" s="1"/>
  <c r="G22" i="2"/>
  <c r="H22" i="2" s="1"/>
  <c r="F5" i="2"/>
  <c r="G5" i="2" s="1"/>
  <c r="H5" i="2" s="1"/>
  <c r="I5" i="2"/>
  <c r="F6" i="2"/>
  <c r="G6" i="2"/>
  <c r="H6" i="2" s="1"/>
  <c r="I6" i="2"/>
  <c r="F7" i="2"/>
  <c r="G7" i="2" s="1"/>
  <c r="H7" i="2" s="1"/>
  <c r="I7" i="2"/>
  <c r="G8" i="2"/>
  <c r="H8" i="2" s="1"/>
  <c r="I8" i="2"/>
  <c r="F9" i="2"/>
  <c r="G9" i="2" s="1"/>
  <c r="H9" i="2" s="1"/>
  <c r="I9" i="2"/>
  <c r="G10" i="2"/>
  <c r="H10" i="2" s="1"/>
  <c r="I10" i="2"/>
  <c r="G11" i="2"/>
  <c r="H11" i="2" s="1"/>
  <c r="I11" i="2"/>
  <c r="G12" i="2"/>
  <c r="H12" i="2" s="1"/>
  <c r="I12" i="2"/>
  <c r="F13" i="2"/>
  <c r="G13" i="2" s="1"/>
  <c r="H13" i="2" s="1"/>
  <c r="I13" i="2"/>
  <c r="F14" i="2"/>
  <c r="G14" i="2" s="1"/>
  <c r="H14" i="2" s="1"/>
  <c r="I14" i="2"/>
  <c r="G15" i="2"/>
  <c r="H15" i="2" s="1"/>
  <c r="I15" i="2"/>
  <c r="G16" i="2"/>
  <c r="H16" i="2" s="1"/>
  <c r="I16" i="2"/>
  <c r="F17" i="2"/>
  <c r="I17" i="2"/>
  <c r="N17" i="2" s="1"/>
  <c r="G18" i="2"/>
  <c r="H18" i="2" s="1"/>
  <c r="I18" i="2"/>
  <c r="G19" i="2"/>
  <c r="H19" i="2" s="1"/>
  <c r="I19" i="2"/>
  <c r="F20" i="2"/>
  <c r="G20" i="2" s="1"/>
  <c r="H20" i="2" s="1"/>
  <c r="I20" i="2"/>
  <c r="G21" i="2"/>
  <c r="H21" i="2" s="1"/>
  <c r="I21" i="2"/>
  <c r="I22" i="2"/>
  <c r="G23" i="2"/>
  <c r="H23" i="2" s="1"/>
  <c r="I23" i="2"/>
  <c r="F24" i="2"/>
  <c r="G24" i="2" s="1"/>
  <c r="H24" i="2" s="1"/>
  <c r="I24" i="2"/>
  <c r="F25" i="2"/>
  <c r="G25" i="2"/>
  <c r="H25" i="2" s="1"/>
  <c r="I25" i="2"/>
  <c r="G26" i="2"/>
  <c r="H26" i="2" s="1"/>
  <c r="I26" i="2"/>
  <c r="G27" i="2"/>
  <c r="H27" i="2" s="1"/>
  <c r="I27" i="2"/>
  <c r="G28" i="2"/>
  <c r="H28" i="2" s="1"/>
  <c r="I28" i="2"/>
  <c r="G29" i="2"/>
  <c r="H29" i="2" s="1"/>
  <c r="I29" i="2"/>
  <c r="G30" i="2"/>
  <c r="H30" i="2" s="1"/>
  <c r="I30" i="2"/>
  <c r="G31" i="2"/>
  <c r="H31" i="2" s="1"/>
  <c r="I31" i="2"/>
  <c r="G32" i="2"/>
  <c r="H32" i="2" s="1"/>
  <c r="I32" i="2"/>
  <c r="F33" i="2"/>
  <c r="G33" i="2" s="1"/>
  <c r="H33" i="2" s="1"/>
  <c r="I33" i="2"/>
  <c r="G34" i="2"/>
  <c r="H34" i="2" s="1"/>
  <c r="I34" i="2"/>
  <c r="F35" i="2"/>
  <c r="G35" i="2" s="1"/>
  <c r="H35" i="2" s="1"/>
  <c r="I35" i="2"/>
  <c r="I36" i="2"/>
  <c r="F37" i="2"/>
  <c r="G37" i="2" s="1"/>
  <c r="H37" i="2" s="1"/>
  <c r="I37" i="2"/>
  <c r="F38" i="2"/>
  <c r="G38" i="2"/>
  <c r="H38" i="2" s="1"/>
  <c r="I38" i="2"/>
  <c r="F39" i="2"/>
  <c r="G39" i="2" s="1"/>
  <c r="H39" i="2" s="1"/>
  <c r="I39" i="2"/>
  <c r="G40" i="2"/>
  <c r="H40" i="2" s="1"/>
  <c r="I40" i="2"/>
  <c r="G41" i="2"/>
  <c r="H41" i="2" s="1"/>
  <c r="I41" i="2"/>
  <c r="G42" i="2"/>
  <c r="H42" i="2" s="1"/>
  <c r="I42" i="2"/>
  <c r="I43" i="2"/>
  <c r="F44" i="2"/>
  <c r="G44" i="2"/>
  <c r="H44" i="2" s="1"/>
  <c r="I44" i="2"/>
  <c r="F45" i="2"/>
  <c r="G45" i="2" s="1"/>
  <c r="H45" i="2" s="1"/>
  <c r="I45" i="2"/>
  <c r="G46" i="2"/>
  <c r="H46" i="2" s="1"/>
  <c r="I46" i="2"/>
  <c r="F47" i="2"/>
  <c r="G47" i="2"/>
  <c r="H47" i="2" s="1"/>
  <c r="I47" i="2"/>
  <c r="G48" i="2"/>
  <c r="H48" i="2" s="1"/>
  <c r="I48" i="2"/>
  <c r="F49" i="2"/>
  <c r="G49" i="2" s="1"/>
  <c r="H49" i="2" s="1"/>
  <c r="I49" i="2"/>
  <c r="F50" i="2"/>
  <c r="G50" i="2" s="1"/>
  <c r="H50" i="2" s="1"/>
  <c r="I50" i="2"/>
  <c r="G51" i="2"/>
  <c r="H51" i="2" s="1"/>
  <c r="I51" i="2"/>
  <c r="G52" i="2"/>
  <c r="H52" i="2" s="1"/>
  <c r="I52" i="2"/>
  <c r="F53" i="2"/>
  <c r="G53" i="2" s="1"/>
  <c r="H53" i="2" s="1"/>
  <c r="I53" i="2"/>
  <c r="F54" i="2"/>
  <c r="G54" i="2" s="1"/>
  <c r="H54" i="2" s="1"/>
  <c r="I54" i="2"/>
  <c r="G55" i="2"/>
  <c r="H55" i="2" s="1"/>
  <c r="I55" i="2"/>
  <c r="F56" i="2"/>
  <c r="G56" i="2"/>
  <c r="H56" i="2" s="1"/>
  <c r="I56" i="2"/>
  <c r="F57" i="2"/>
  <c r="G57" i="2" s="1"/>
  <c r="H57" i="2" s="1"/>
  <c r="I57" i="2"/>
  <c r="F58" i="2"/>
  <c r="G58" i="2" s="1"/>
  <c r="H58" i="2" s="1"/>
  <c r="I58" i="2"/>
  <c r="G59" i="2"/>
  <c r="H59" i="2" s="1"/>
  <c r="I59" i="2"/>
  <c r="F60" i="2"/>
  <c r="G60" i="2" s="1"/>
  <c r="H60" i="2" s="1"/>
  <c r="I60" i="2"/>
  <c r="F61" i="2"/>
  <c r="G61" i="2" s="1"/>
  <c r="H61" i="2" s="1"/>
  <c r="I61" i="2"/>
  <c r="G62" i="2"/>
  <c r="H62" i="2" s="1"/>
  <c r="I62" i="2"/>
  <c r="G63" i="2"/>
  <c r="H63" i="2" s="1"/>
  <c r="I63" i="2"/>
  <c r="I64" i="2"/>
  <c r="G65" i="2"/>
  <c r="H65" i="2" s="1"/>
  <c r="I65" i="2"/>
  <c r="G66" i="2"/>
  <c r="H66" i="2" s="1"/>
  <c r="I66" i="2"/>
  <c r="F67" i="2"/>
  <c r="G67" i="2"/>
  <c r="H67" i="2" s="1"/>
  <c r="I67" i="2"/>
  <c r="I68" i="2"/>
  <c r="F69" i="2"/>
  <c r="G69" i="2" s="1"/>
  <c r="H69" i="2" s="1"/>
  <c r="I69" i="2"/>
  <c r="G70" i="2"/>
  <c r="H70" i="2" s="1"/>
  <c r="I70" i="2"/>
  <c r="G71" i="2"/>
  <c r="H71" i="2" s="1"/>
  <c r="I71" i="2"/>
  <c r="G72" i="2"/>
  <c r="H72" i="2" s="1"/>
  <c r="I72" i="2"/>
  <c r="G73" i="2"/>
  <c r="H73" i="2" s="1"/>
  <c r="I73" i="2"/>
  <c r="F74" i="2"/>
  <c r="G74" i="2"/>
  <c r="H74" i="2" s="1"/>
  <c r="I74" i="2"/>
  <c r="G75" i="2"/>
  <c r="H75" i="2" s="1"/>
  <c r="I75" i="2"/>
  <c r="F76" i="2"/>
  <c r="G76" i="2" s="1"/>
  <c r="H76" i="2" s="1"/>
  <c r="I76" i="2"/>
  <c r="G77" i="2"/>
  <c r="H77" i="2" s="1"/>
  <c r="I77" i="2"/>
  <c r="G78" i="2"/>
  <c r="H78" i="2" s="1"/>
  <c r="I78" i="2"/>
  <c r="F79" i="2"/>
  <c r="G79" i="2" s="1"/>
  <c r="H79" i="2" s="1"/>
  <c r="I79" i="2"/>
  <c r="F80" i="2"/>
  <c r="G80" i="2" s="1"/>
  <c r="H80" i="2" s="1"/>
  <c r="I80" i="2"/>
  <c r="F81" i="2"/>
  <c r="G81" i="2"/>
  <c r="H81" i="2" s="1"/>
  <c r="I81" i="2"/>
  <c r="G82" i="2"/>
  <c r="H82" i="2" s="1"/>
  <c r="I82" i="2"/>
  <c r="G83" i="2"/>
  <c r="H83" i="2" s="1"/>
  <c r="I83" i="2"/>
  <c r="F84" i="2"/>
  <c r="G84" i="2" s="1"/>
  <c r="H84" i="2" s="1"/>
  <c r="I84" i="2"/>
  <c r="F85" i="2"/>
  <c r="G85" i="2" s="1"/>
  <c r="H85" i="2" s="1"/>
  <c r="I85" i="2"/>
  <c r="G86" i="2"/>
  <c r="H86" i="2" s="1"/>
  <c r="I86" i="2"/>
  <c r="G87" i="2"/>
  <c r="H87" i="2" s="1"/>
  <c r="I87" i="2"/>
  <c r="G88" i="2"/>
  <c r="H88" i="2" s="1"/>
  <c r="I88" i="2"/>
  <c r="F89" i="2"/>
  <c r="G89" i="2" s="1"/>
  <c r="H89" i="2" s="1"/>
  <c r="I89" i="2"/>
  <c r="F90" i="2"/>
  <c r="G90" i="2" s="1"/>
  <c r="H90" i="2" s="1"/>
  <c r="I90" i="2"/>
  <c r="F91" i="2"/>
  <c r="G91" i="2"/>
  <c r="H91" i="2" s="1"/>
  <c r="I91" i="2"/>
  <c r="F92" i="2"/>
  <c r="G92" i="2" s="1"/>
  <c r="H92" i="2" s="1"/>
  <c r="I92" i="2"/>
  <c r="I93" i="2"/>
  <c r="G94" i="2"/>
  <c r="H94" i="2" s="1"/>
  <c r="I94" i="2"/>
  <c r="F95" i="2"/>
  <c r="G95" i="2" s="1"/>
  <c r="H95" i="2" s="1"/>
  <c r="I95" i="2"/>
  <c r="I96" i="2"/>
  <c r="G97" i="2"/>
  <c r="H97" i="2" s="1"/>
  <c r="I97" i="2"/>
  <c r="F98" i="2"/>
  <c r="G98" i="2" s="1"/>
  <c r="H98" i="2" s="1"/>
  <c r="I98" i="2"/>
  <c r="G99" i="2"/>
  <c r="H99" i="2" s="1"/>
  <c r="I99" i="2"/>
  <c r="I100" i="2"/>
  <c r="G101" i="2"/>
  <c r="H101" i="2" s="1"/>
  <c r="I101" i="2"/>
  <c r="F102" i="2"/>
  <c r="G102" i="2"/>
  <c r="H102" i="2" s="1"/>
  <c r="I102" i="2"/>
  <c r="F103" i="2"/>
  <c r="G103" i="2" s="1"/>
  <c r="H103" i="2" s="1"/>
  <c r="I103" i="2"/>
  <c r="F104" i="2"/>
  <c r="G104" i="2" s="1"/>
  <c r="H104" i="2" s="1"/>
  <c r="I104" i="2"/>
  <c r="F105" i="2"/>
  <c r="G105" i="2" s="1"/>
  <c r="H105" i="2" s="1"/>
  <c r="I105" i="2"/>
  <c r="G106" i="2"/>
  <c r="H106" i="2" s="1"/>
  <c r="I106" i="2"/>
  <c r="F107" i="2"/>
  <c r="G107" i="2" s="1"/>
  <c r="H107" i="2" s="1"/>
  <c r="I107" i="2"/>
  <c r="G108" i="2"/>
  <c r="H108" i="2" s="1"/>
  <c r="I108" i="2"/>
  <c r="G109" i="2"/>
  <c r="H109" i="2" s="1"/>
  <c r="I109" i="2"/>
  <c r="I110" i="2"/>
  <c r="G111" i="2"/>
  <c r="H111" i="2" s="1"/>
  <c r="I111" i="2"/>
  <c r="F112" i="2"/>
  <c r="G112" i="2" s="1"/>
  <c r="H112" i="2" s="1"/>
  <c r="I112" i="2"/>
  <c r="G113" i="2"/>
  <c r="H113" i="2" s="1"/>
  <c r="I113" i="2"/>
  <c r="G114" i="2"/>
  <c r="H114" i="2" s="1"/>
  <c r="I114" i="2"/>
  <c r="F115" i="2"/>
  <c r="G115" i="2" s="1"/>
  <c r="H115" i="2" s="1"/>
  <c r="I115" i="2"/>
  <c r="G116" i="2"/>
  <c r="H116" i="2" s="1"/>
  <c r="I116" i="2"/>
  <c r="G117" i="2"/>
  <c r="H117" i="2" s="1"/>
  <c r="I117" i="2"/>
  <c r="F118" i="2"/>
  <c r="G118" i="2" s="1"/>
  <c r="H118" i="2" s="1"/>
  <c r="I118" i="2"/>
  <c r="G119" i="2"/>
  <c r="H119" i="2" s="1"/>
  <c r="I119" i="2"/>
  <c r="F120" i="2"/>
  <c r="G120" i="2"/>
  <c r="H120" i="2" s="1"/>
  <c r="I120" i="2"/>
  <c r="G121" i="2"/>
  <c r="H121" i="2" s="1"/>
  <c r="I121" i="2"/>
  <c r="I122" i="2"/>
  <c r="G123" i="2"/>
  <c r="H123" i="2" s="1"/>
  <c r="I123" i="2"/>
  <c r="F124" i="2"/>
  <c r="I124" i="2"/>
  <c r="F125" i="2"/>
  <c r="G125" i="2" s="1"/>
  <c r="H125" i="2" s="1"/>
  <c r="I125" i="2"/>
  <c r="F126" i="2"/>
  <c r="G126" i="2" s="1"/>
  <c r="H126" i="2" s="1"/>
  <c r="I126" i="2"/>
  <c r="F127" i="2"/>
  <c r="G127" i="2" s="1"/>
  <c r="H127" i="2" s="1"/>
  <c r="I127" i="2"/>
  <c r="G128" i="2"/>
  <c r="H128" i="2" s="1"/>
  <c r="I128" i="2"/>
  <c r="G129" i="2"/>
  <c r="H129" i="2" s="1"/>
  <c r="I129" i="2"/>
  <c r="G130" i="2"/>
  <c r="H130" i="2" s="1"/>
  <c r="I130" i="2"/>
  <c r="F131" i="2"/>
  <c r="G131" i="2" s="1"/>
  <c r="H131" i="2" s="1"/>
  <c r="I131" i="2"/>
  <c r="G132" i="2"/>
  <c r="H132" i="2" s="1"/>
  <c r="I132" i="2"/>
  <c r="G133" i="2"/>
  <c r="H133" i="2" s="1"/>
  <c r="I133" i="2"/>
  <c r="G134" i="2"/>
  <c r="H134" i="2" s="1"/>
  <c r="I134" i="2"/>
  <c r="F135" i="2"/>
  <c r="G135" i="2"/>
  <c r="H135" i="2" s="1"/>
  <c r="I135" i="2"/>
  <c r="G136" i="2"/>
  <c r="H136" i="2" s="1"/>
  <c r="I136" i="2"/>
  <c r="I137" i="2"/>
  <c r="I138" i="2"/>
  <c r="F139" i="2"/>
  <c r="F138" i="2" s="1"/>
  <c r="G138" i="2" s="1"/>
  <c r="H138" i="2" s="1"/>
  <c r="I139" i="2"/>
  <c r="G140" i="2"/>
  <c r="H140" i="2" s="1"/>
  <c r="I140" i="2"/>
  <c r="I141" i="2"/>
  <c r="F142" i="2"/>
  <c r="G142" i="2"/>
  <c r="H142" i="2" s="1"/>
  <c r="I142" i="2"/>
  <c r="G143" i="2"/>
  <c r="H143" i="2" s="1"/>
  <c r="I143" i="2"/>
  <c r="F148" i="2"/>
  <c r="G148" i="2"/>
  <c r="H148" i="2" s="1"/>
  <c r="I148" i="2"/>
  <c r="N148" i="2" s="1"/>
  <c r="F149" i="2"/>
  <c r="I149" i="2"/>
  <c r="F150" i="2"/>
  <c r="G150" i="2" s="1"/>
  <c r="H150" i="2" s="1"/>
  <c r="I150" i="2"/>
  <c r="I151" i="2"/>
  <c r="F152" i="2"/>
  <c r="G152" i="2" s="1"/>
  <c r="H152" i="2" s="1"/>
  <c r="I152" i="2"/>
  <c r="G153" i="2"/>
  <c r="H153" i="2" s="1"/>
  <c r="I153" i="2"/>
  <c r="G154" i="2"/>
  <c r="H154" i="2" s="1"/>
  <c r="I154" i="2"/>
  <c r="F155" i="2"/>
  <c r="F151" i="2" s="1"/>
  <c r="I155" i="2"/>
  <c r="E121" i="1"/>
  <c r="B135" i="1" s="1"/>
  <c r="E52" i="1"/>
  <c r="E53" i="1" s="1"/>
  <c r="E54" i="1" s="1"/>
  <c r="E36" i="1"/>
  <c r="E37" i="1" s="1"/>
  <c r="E106" i="1"/>
  <c r="B140" i="1" s="1"/>
  <c r="A36" i="1"/>
  <c r="A37" i="1" s="1"/>
  <c r="D14" i="3"/>
  <c r="D24" i="3" s="1"/>
  <c r="D34" i="3" s="1"/>
  <c r="D44" i="3" s="1"/>
  <c r="D54" i="3" s="1"/>
  <c r="D64" i="3" s="1"/>
  <c r="B126" i="1"/>
  <c r="R37" i="2"/>
  <c r="R146" i="2"/>
  <c r="R147" i="2"/>
  <c r="R148" i="2"/>
  <c r="R149" i="2"/>
  <c r="R150" i="2"/>
  <c r="R151" i="2"/>
  <c r="R152" i="2"/>
  <c r="R153" i="2"/>
  <c r="R154" i="2"/>
  <c r="R155" i="2"/>
  <c r="R156" i="2"/>
  <c r="I156" i="2"/>
  <c r="G156" i="2"/>
  <c r="H156" i="2" s="1"/>
  <c r="B72" i="2"/>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R145" i="2" s="1"/>
  <c r="D159" i="2"/>
  <c r="B6" i="2"/>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R36" i="2" s="1"/>
  <c r="G17" i="2" l="1"/>
  <c r="H17" i="2" s="1"/>
  <c r="F36" i="2"/>
  <c r="G122" i="2"/>
  <c r="H122" i="2" s="1"/>
  <c r="F122" i="2"/>
  <c r="G139" i="2"/>
  <c r="H139" i="2" s="1"/>
  <c r="F159" i="2"/>
  <c r="N66" i="2"/>
  <c r="N13" i="2"/>
  <c r="N55" i="2"/>
  <c r="E86" i="1"/>
  <c r="N72" i="2"/>
  <c r="N60" i="2"/>
  <c r="N20" i="2"/>
  <c r="K159" i="2"/>
  <c r="N52" i="2"/>
  <c r="L159" i="2"/>
  <c r="R140" i="2"/>
  <c r="G151" i="2"/>
  <c r="H151" i="2" s="1"/>
  <c r="G124" i="2"/>
  <c r="H124" i="2" s="1"/>
  <c r="G36" i="2"/>
  <c r="H36" i="2" s="1"/>
  <c r="G155" i="2"/>
  <c r="H155" i="2" s="1"/>
  <c r="G149" i="2"/>
  <c r="H149" i="2" s="1"/>
  <c r="R106" i="2"/>
  <c r="R92" i="2"/>
  <c r="B136" i="1"/>
  <c r="R124" i="2"/>
  <c r="R17" i="2"/>
  <c r="R19" i="2"/>
  <c r="R108" i="2"/>
  <c r="R13" i="2"/>
  <c r="R90" i="2"/>
  <c r="R76" i="2"/>
  <c r="R74" i="2"/>
  <c r="R8" i="2"/>
  <c r="R35" i="2"/>
  <c r="R33" i="2"/>
  <c r="R24" i="2"/>
  <c r="R21" i="2"/>
  <c r="R142" i="2"/>
  <c r="R110" i="2"/>
  <c r="R78" i="2"/>
  <c r="R126" i="2"/>
  <c r="R94" i="2"/>
  <c r="R141" i="2"/>
  <c r="R125" i="2"/>
  <c r="R109" i="2"/>
  <c r="R93" i="2"/>
  <c r="R77" i="2"/>
  <c r="R20" i="2"/>
  <c r="R139" i="2"/>
  <c r="R123" i="2"/>
  <c r="R107" i="2"/>
  <c r="R91" i="2"/>
  <c r="R75" i="2"/>
  <c r="R34" i="2"/>
  <c r="R18" i="2"/>
  <c r="R137" i="2"/>
  <c r="R121" i="2"/>
  <c r="R105" i="2"/>
  <c r="R89" i="2"/>
  <c r="R73" i="2"/>
  <c r="R32" i="2"/>
  <c r="R16" i="2"/>
  <c r="R136" i="2"/>
  <c r="R120" i="2"/>
  <c r="R104" i="2"/>
  <c r="R88" i="2"/>
  <c r="R72" i="2"/>
  <c r="R31" i="2"/>
  <c r="R15" i="2"/>
  <c r="R135" i="2"/>
  <c r="R119" i="2"/>
  <c r="R103" i="2"/>
  <c r="R87" i="2"/>
  <c r="R30" i="2"/>
  <c r="R14" i="2"/>
  <c r="R134" i="2"/>
  <c r="R29" i="2"/>
  <c r="R138" i="2"/>
  <c r="R118" i="2"/>
  <c r="R133" i="2"/>
  <c r="R117" i="2"/>
  <c r="R101" i="2"/>
  <c r="R85" i="2"/>
  <c r="R28" i="2"/>
  <c r="R12" i="2"/>
  <c r="R86" i="2"/>
  <c r="R132" i="2"/>
  <c r="R116" i="2"/>
  <c r="R100" i="2"/>
  <c r="R84" i="2"/>
  <c r="R27" i="2"/>
  <c r="R11" i="2"/>
  <c r="R102" i="2"/>
  <c r="R131" i="2"/>
  <c r="R115" i="2"/>
  <c r="R99" i="2"/>
  <c r="R83" i="2"/>
  <c r="R26" i="2"/>
  <c r="R10" i="2"/>
  <c r="R130" i="2"/>
  <c r="R114" i="2"/>
  <c r="R98" i="2"/>
  <c r="R82" i="2"/>
  <c r="R25" i="2"/>
  <c r="R9" i="2"/>
  <c r="R122" i="2"/>
  <c r="R113" i="2"/>
  <c r="R81" i="2"/>
  <c r="R144" i="2"/>
  <c r="R128" i="2"/>
  <c r="R112" i="2"/>
  <c r="R96" i="2"/>
  <c r="R80" i="2"/>
  <c r="R23" i="2"/>
  <c r="R7" i="2"/>
  <c r="R129" i="2"/>
  <c r="R97" i="2"/>
  <c r="R143" i="2"/>
  <c r="R127" i="2"/>
  <c r="R111" i="2"/>
  <c r="R95" i="2"/>
  <c r="R79" i="2"/>
  <c r="R22" i="2"/>
  <c r="R6" i="2"/>
  <c r="N159" i="2" l="1"/>
  <c r="M159" i="2" l="1"/>
  <c r="B133" i="1"/>
  <c r="P114" i="2" l="1"/>
  <c r="P130" i="2"/>
  <c r="P148" i="2"/>
  <c r="P116" i="2"/>
  <c r="P150" i="2"/>
  <c r="P127" i="2"/>
  <c r="P115" i="2"/>
  <c r="P131" i="2"/>
  <c r="P149" i="2"/>
  <c r="P132" i="2"/>
  <c r="P111" i="2"/>
  <c r="P117" i="2"/>
  <c r="P133" i="2"/>
  <c r="P151" i="2"/>
  <c r="P118" i="2"/>
  <c r="P134" i="2"/>
  <c r="P152" i="2"/>
  <c r="P105" i="2"/>
  <c r="P125" i="2"/>
  <c r="P119" i="2"/>
  <c r="P135" i="2"/>
  <c r="P153" i="2"/>
  <c r="P155" i="2"/>
  <c r="P143" i="2"/>
  <c r="P120" i="2"/>
  <c r="P136" i="2"/>
  <c r="P154" i="2"/>
  <c r="P137" i="2"/>
  <c r="P141" i="2"/>
  <c r="P121" i="2"/>
  <c r="P106" i="2"/>
  <c r="P122" i="2"/>
  <c r="P138" i="2"/>
  <c r="P156" i="2"/>
  <c r="P109" i="2"/>
  <c r="P107" i="2"/>
  <c r="P123" i="2"/>
  <c r="P139" i="2"/>
  <c r="P108" i="2"/>
  <c r="P124" i="2"/>
  <c r="P140" i="2"/>
  <c r="P110" i="2"/>
  <c r="P126" i="2"/>
  <c r="P142" i="2"/>
  <c r="P112" i="2"/>
  <c r="P128" i="2"/>
  <c r="P113" i="2"/>
  <c r="P129" i="2"/>
  <c r="P79" i="2" l="1"/>
  <c r="P29" i="2"/>
  <c r="P92" i="2"/>
  <c r="P28" i="2"/>
  <c r="P104" i="2"/>
  <c r="P93" i="2"/>
  <c r="P87" i="2"/>
  <c r="P23" i="2"/>
  <c r="P13" i="2"/>
  <c r="P6" i="2"/>
  <c r="P83" i="2"/>
  <c r="P19" i="2"/>
  <c r="P84" i="2"/>
  <c r="P33" i="2"/>
  <c r="P94" i="2"/>
  <c r="P30" i="2"/>
  <c r="P76" i="2"/>
  <c r="P12" i="2"/>
  <c r="P90" i="2"/>
  <c r="P26" i="2"/>
  <c r="P88" i="2"/>
  <c r="P24" i="2"/>
  <c r="P7" i="2"/>
  <c r="P95" i="2"/>
  <c r="P101" i="2"/>
  <c r="P37" i="2"/>
  <c r="P100" i="2"/>
  <c r="P97" i="2"/>
  <c r="P17" i="2"/>
  <c r="P96" i="2"/>
  <c r="P32" i="2"/>
  <c r="P78" i="2"/>
  <c r="P14" i="2"/>
  <c r="P91" i="2"/>
  <c r="P27" i="2"/>
  <c r="P74" i="2"/>
  <c r="P10" i="2"/>
  <c r="P9" i="2"/>
  <c r="P72" i="2"/>
  <c r="P8" i="2"/>
  <c r="P89" i="2"/>
  <c r="P102" i="2"/>
  <c r="P85" i="2"/>
  <c r="P21" i="2"/>
  <c r="P20" i="2"/>
  <c r="P98" i="2"/>
  <c r="P34" i="2"/>
  <c r="P81" i="2"/>
  <c r="P80" i="2"/>
  <c r="P16" i="2"/>
  <c r="P15" i="2"/>
  <c r="P75" i="2"/>
  <c r="P11" i="2"/>
  <c r="P31" i="2"/>
  <c r="P73" i="2"/>
  <c r="P25" i="2"/>
  <c r="P103" i="2"/>
  <c r="P77" i="2"/>
  <c r="P86" i="2"/>
  <c r="P22" i="2"/>
  <c r="P36" i="2"/>
  <c r="P99" i="2"/>
  <c r="P35" i="2"/>
  <c r="P82" i="2"/>
  <c r="P18"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5" i="2"/>
  <c r="P5" i="2" s="1"/>
  <c r="P48" i="2" l="1"/>
  <c r="B131" i="1" l="1"/>
  <c r="E159" i="2"/>
  <c r="P47" i="2" l="1"/>
  <c r="P42" i="2"/>
  <c r="P59" i="2"/>
  <c r="P55" i="2"/>
  <c r="P50" i="2"/>
  <c r="P45" i="2"/>
  <c r="P41" i="2"/>
  <c r="P43" i="2"/>
  <c r="P39" i="2"/>
  <c r="P46" i="2"/>
  <c r="P38" i="2"/>
  <c r="P71" i="2"/>
  <c r="P62" i="2"/>
  <c r="P49" i="2"/>
  <c r="P44" i="2"/>
  <c r="P40" i="2"/>
  <c r="B125" i="1"/>
  <c r="G159" i="2"/>
  <c r="P67" i="2"/>
  <c r="P68" i="2"/>
  <c r="P70" i="2"/>
  <c r="P69" i="2"/>
  <c r="P54" i="2"/>
  <c r="P65" i="2"/>
  <c r="P61" i="2"/>
  <c r="P57" i="2"/>
  <c r="P53" i="2"/>
  <c r="P58" i="2"/>
  <c r="P64" i="2"/>
  <c r="P60" i="2"/>
  <c r="P56" i="2"/>
  <c r="P52" i="2"/>
  <c r="P66" i="2"/>
  <c r="P63" i="2"/>
  <c r="P51" i="2"/>
  <c r="I159" i="2"/>
  <c r="B137" i="1" l="1"/>
  <c r="B124" i="1"/>
  <c r="B127" i="1" s="1"/>
  <c r="J159" i="2"/>
  <c r="B141" i="1" l="1"/>
  <c r="P159" i="2" l="1"/>
</calcChain>
</file>

<file path=xl/sharedStrings.xml><?xml version="1.0" encoding="utf-8"?>
<sst xmlns="http://schemas.openxmlformats.org/spreadsheetml/2006/main" count="463" uniqueCount="366">
  <si>
    <t>Gastos Ordinarios:</t>
  </si>
  <si>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</si>
  <si>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</si>
  <si>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</si>
  <si>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</si>
  <si>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</si>
  <si>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</si>
  <si>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</si>
  <si>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</si>
  <si>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</si>
  <si>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</si>
  <si>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</si>
  <si>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</si>
  <si>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</si>
  <si>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</si>
  <si>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</si>
  <si>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</si>
  <si>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</si>
  <si>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</si>
  <si>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</si>
  <si>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</si>
  <si>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</si>
  <si>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</si>
  <si>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Punitorios mal cobrados</t>
  </si>
  <si>
    <t xml:space="preserve">ARCA </t>
  </si>
  <si>
    <t>Gastos banacarios</t>
  </si>
  <si>
    <t>Mantenimiento de cuenta</t>
  </si>
  <si>
    <t>PERÍODO: MAYO - ADMINISTRADORA: CAROLINA CANCIANI MP:1148</t>
  </si>
  <si>
    <t>Sindicatos mes de MAYO</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</si>
  <si>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</si>
  <si>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</si>
  <si>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</si>
  <si>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</si>
  <si>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</si>
  <si>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</si>
  <si>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</si>
  <si>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</si>
  <si>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</si>
  <si>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</si>
  <si>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</si>
  <si>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</si>
  <si>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Berlotti, Maria Laura</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</si>
  <si>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</si>
  <si>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</si>
  <si>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</si>
  <si>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</si>
  <si>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</si>
  <si>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</si>
  <si>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</si>
  <si>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</si>
  <si>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</si>
  <si>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</si>
  <si>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</si>
  <si>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</si>
  <si>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</si>
  <si>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</si>
  <si>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</si>
  <si>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</si>
  <si>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</si>
  <si>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</si>
  <si>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</si>
  <si>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</si>
  <si>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</si>
  <si>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Alghera, Lucas</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</si>
  <si>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</si>
  <si>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</si>
  <si>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</si>
  <si>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</si>
  <si>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</si>
  <si>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</si>
  <si>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</si>
  <si>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</si>
  <si>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</si>
  <si>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</si>
  <si>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</si>
  <si>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</si>
  <si>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</si>
  <si>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</si>
  <si>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</si>
  <si>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</si>
  <si>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</si>
  <si>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</si>
  <si>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</si>
  <si>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</si>
  <si>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</si>
  <si>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</si>
  <si>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</si>
  <si>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</si>
  <si>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</si>
  <si>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</si>
  <si>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</si>
  <si>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</si>
  <si>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</si>
  <si>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</si>
  <si>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</si>
  <si>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</si>
  <si>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</si>
  <si>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</si>
  <si>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</si>
  <si>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</si>
  <si>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Lagomar SRL.</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</si>
  <si>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</si>
  <si>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</si>
  <si>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</si>
  <si>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</si>
  <si>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</si>
  <si>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</si>
  <si>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</si>
  <si>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</si>
  <si>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</si>
  <si>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</si>
  <si>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</si>
  <si>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</si>
  <si>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Fino, Claudia</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</si>
  <si>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</si>
  <si>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</si>
  <si>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</si>
  <si>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</si>
  <si>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</si>
  <si>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</si>
  <si>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</si>
  <si>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</si>
  <si>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</si>
  <si>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</si>
  <si>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</si>
  <si>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Rodoni, Sergio</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</si>
  <si>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</si>
  <si>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</si>
  <si>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</si>
  <si>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</si>
  <si>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</si>
  <si>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</si>
  <si>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</si>
  <si>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</si>
  <si>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</si>
  <si>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</si>
  <si>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</si>
  <si>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</si>
  <si>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</si>
  <si>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</si>
  <si>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</si>
  <si>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</si>
  <si>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</si>
  <si>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</si>
  <si>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</si>
  <si>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Streger, Javier</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</si>
  <si>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</si>
  <si>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</si>
  <si>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</si>
  <si>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</si>
  <si>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</si>
  <si>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</si>
  <si>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</si>
  <si>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</si>
  <si>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</si>
  <si>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</si>
  <si>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</si>
  <si>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</si>
  <si>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Fondo de reserva</t>
  </si>
  <si>
    <t>Gastos particulares / SUM</t>
  </si>
  <si>
    <t>TOTAL  SEGUROS</t>
  </si>
  <si>
    <t>TOTAL APORTES Y CONTRIBUCIONES</t>
  </si>
  <si>
    <t>TOTAL HONORARIOS</t>
  </si>
  <si>
    <t>TOTAL  GASTOS BANCARIOS</t>
  </si>
  <si>
    <t>SUMA DE GASTOS - ABONOS DE SERVICIOS</t>
  </si>
  <si>
    <t>Egresos abonos y servicios</t>
  </si>
  <si>
    <t>Ryl (Cuit.: 30-71873642-7) - Articulos de limpieza</t>
  </si>
  <si>
    <t>CUIT.: 30-71618269-6</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</si>
  <si>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</si>
  <si>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</si>
  <si>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</si>
  <si>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</si>
  <si>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</si>
  <si>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 xml:space="preserve">ANOTACION </t>
  </si>
  <si>
    <t>FECHA DE LA ANOTACION:</t>
  </si>
  <si>
    <t>QUEJA VIA:</t>
  </si>
  <si>
    <t>WHATSAPP</t>
  </si>
  <si>
    <t>MAIL</t>
  </si>
  <si>
    <t>FECHA DE LA QUEJA:</t>
  </si>
  <si>
    <t>MOTIVO DE LA QUEJA:</t>
  </si>
  <si>
    <t>NOMBRE:</t>
  </si>
  <si>
    <t>LOTE:</t>
  </si>
  <si>
    <t>NO REGISTRO DE PAGO EN ABRIL</t>
  </si>
  <si>
    <t xml:space="preserve">
Fabio Ojeda &lt;fabio-anestesia@hotmail.com&gt;</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</si>
  <si>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</si>
  <si>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</si>
  <si>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</si>
  <si>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</si>
  <si>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</si>
  <si>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</si>
  <si>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</si>
  <si>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</si>
  <si>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</si>
  <si>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Allianz (Cuit.: 30--50003721-7) - Seguro Técnico - Póliza N° 240210705270; Vto.01/09/2025</t>
  </si>
  <si>
    <t>Allianz (Cuit.: 30--50003721-7) - Seguro Integral Consorcio - Póliza N° 240230745475; Vto.01/09/2025</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</si>
  <si>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</si>
  <si>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</si>
  <si>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</si>
  <si>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</si>
  <si>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</si>
  <si>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</si>
  <si>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</si>
  <si>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</si>
  <si>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</si>
  <si>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</si>
  <si>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</si>
  <si>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</si>
  <si>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Honorarios administracion - Mes de Junio</t>
  </si>
  <si>
    <t>Transf 13/06</t>
  </si>
  <si>
    <t>Transf 12/06</t>
  </si>
  <si>
    <t>PMC 18/06</t>
  </si>
  <si>
    <t>GOLD (Cuit.: 33-71225773-9) - Fc.0000400 (Servicio de Seguridad Mayo 2025)</t>
  </si>
  <si>
    <t>GOLD (Cuit.: 33-71225773-9) - Fc.0000400 (Servicio de Seguridad ADICIONAL NOCTURNO Mayo 2025)</t>
  </si>
  <si>
    <t>Egresos particulares</t>
  </si>
  <si>
    <t>GASTOS PARTICULARES:</t>
  </si>
  <si>
    <t xml:space="preserve">TOTAL PARTICULARES </t>
  </si>
  <si>
    <t>Evento 04/05 - Seguridad Gold Protection SA -  UF 112 de 11 a 17hs y de 19 a 21hs</t>
  </si>
  <si>
    <t>Evento 09/05 - Seguridad Gold Protection SA - UF 24 de 19 a 02hs</t>
  </si>
  <si>
    <t>Evento 23/05 - Seguridad Gold Protection SA - UF 40 de 19 a 02hs</t>
  </si>
  <si>
    <t>Evento 30/05 - Seguridad Gold Protection SA - UF 15 de 19 a 02hs</t>
  </si>
  <si>
    <t>Servicio Polad - Mes de mayo - Valor de la hora $5.554,62 (744hs en total)</t>
  </si>
  <si>
    <t>Transf 16/06</t>
  </si>
  <si>
    <t>Flow (Cuit: 30-63945373-8) - Fc.05443741 (Servicio de WIFI 2025)</t>
  </si>
  <si>
    <t>Efectivo 17/06</t>
  </si>
  <si>
    <t>Transf 27/06</t>
  </si>
  <si>
    <t xml:space="preserve">Lazcoz Ruben Dario - Servicio de mantenimiento con hidro grua </t>
  </si>
  <si>
    <t>Efect 19/06</t>
  </si>
  <si>
    <t xml:space="preserve">GNC - Compra de Gasoil (Nafta Super) </t>
  </si>
  <si>
    <t>Axin (Cuit.: 30-70858249-9) - Fc. 0001255 (Cuotas 43°/60 Leasing Sistma Open Key)</t>
  </si>
  <si>
    <t>Efectivo 25/06</t>
  </si>
  <si>
    <t>Serviplagas (Cuit.: 27-28067012-5) - Fc. 00000474 (Servicio fumigación Mayo 2025)</t>
  </si>
  <si>
    <t>Transf 25/06</t>
  </si>
  <si>
    <t xml:space="preserve">Doartero Julio Cesar - CUIT 30-71618269-6 - Fc. 00000119 - Emergencia electrica </t>
  </si>
  <si>
    <t>Transf 17/06</t>
  </si>
  <si>
    <t>Palubinskas Fernando Nestor - 39 Bidones de Agua cimes de 20lts - Fc. 0001286</t>
  </si>
  <si>
    <t>Grupo Facoel - Reemplazo de luminarias viales lotes 15 / 50 / 45 / 124 y SUM - Fc. 00000057</t>
  </si>
  <si>
    <t>Edesur (Cuit.: 30-65511652-1) - Periodo liquidad 2do tramo bimestre 2 del 2025</t>
  </si>
  <si>
    <t>Debito autom</t>
  </si>
  <si>
    <t>Vazquez (Cuit.: 30-55987767-7) - Fc.00000197 (Prestación servicio de contenedores - Mayo)</t>
  </si>
  <si>
    <t>Bastida Da Sila - Raon Alberto - Cambio de luminarias de calle - CUIT 30-71618269-6</t>
  </si>
  <si>
    <t>Bastida Da Sila - Raon Alberto - Cambio de poste de luminarias - CUIT 30-71618269-6</t>
  </si>
  <si>
    <t>Bastida Da Sila - Raon Alberto - Reparacion corte electrico en camara de inspeccion - CUIT 30-71618269-6</t>
  </si>
  <si>
    <t>Bastida Da Sila - Raon Alberto - Visita tecnica y reparacion cortocircuito entrada principal - CUIT 30-71618269-6</t>
  </si>
  <si>
    <t xml:space="preserve">Conti Sergio - Servicio visita tecnica de mantenimiento sistema CCTV </t>
  </si>
  <si>
    <t>Telecom (Cuit.: 30-63945373-8) - (Abono celular Intendencia)</t>
  </si>
  <si>
    <t>Mantbrown (Cuit.: 30-71814188-1) - Extraccion de arboles calle pino - Etapa 1 muro</t>
  </si>
  <si>
    <t>Horas de limpieza Lunes 24 de marzo de 8 a 11hs - UF 15 - SUM</t>
  </si>
  <si>
    <t>Horas de limpieza Domingo 16 de marzo de 8 a 11hs - UF 22 - SUM</t>
  </si>
  <si>
    <t>Horas de limpieza Domingo 23 de febrero de 8 a 11hs - UF 123- SUM</t>
  </si>
  <si>
    <t>Cuota gimnasio</t>
  </si>
  <si>
    <t>OMS (Cuit.: 30-71568933-9) - Fc.00002409 (Abono mantenimiento planta de tratamiento)</t>
  </si>
  <si>
    <t xml:space="preserve">OMS (Cuit.: 30-71568933-9) - Fc.00002460 Bomba dosificadora nueva aquatron </t>
  </si>
  <si>
    <t>Transf 24/06</t>
  </si>
  <si>
    <t>OMS (Cuit.: 30-71568933-9) - Fc.00002435 Cambio de valvula de inyeccion en bomba dosificadora de cloro</t>
  </si>
  <si>
    <t>OMS (Cuit.: 30-71568933-9) - Fc.00002437 Cambio de valvula de succion / descarga de bomba dosificadora de cloro</t>
  </si>
  <si>
    <t>OMS (Cuit.: 30-71568933-9) - Fc.00002445 Analisis de efluentes - Liquidos, planta de tratamiento</t>
  </si>
  <si>
    <t>OMS (Cuit.: 30-71568933-9) - Fc.00002455 Elevacion camara de retorno de barros de la planta de tratamiento de efluente cloacal con marco y tapa de hierro</t>
  </si>
  <si>
    <t>Tranf 17/06</t>
  </si>
  <si>
    <t xml:space="preserve">Romanatti Carlos Maria - Fc.00000573 Certificacion de copias digitales consorcio Brisas de Adrogue </t>
  </si>
  <si>
    <t>Transf 23/06</t>
  </si>
  <si>
    <t>HUANG (CHINO)</t>
  </si>
  <si>
    <t>Debito 12/06</t>
  </si>
  <si>
    <t>Debito 17/06</t>
  </si>
  <si>
    <t>Imsael Matta</t>
  </si>
  <si>
    <t>Noemi</t>
  </si>
  <si>
    <t>Fattorini sergio</t>
  </si>
  <si>
    <t>ConstruHap</t>
  </si>
  <si>
    <t>Medizin</t>
  </si>
  <si>
    <t>albrech adrian</t>
  </si>
  <si>
    <t>QUERCIA LUCIO</t>
  </si>
  <si>
    <t>ROSSI PATRICIA</t>
  </si>
  <si>
    <t>GLOBAL TT S.A. / GLOBAT</t>
  </si>
  <si>
    <t>RECAUDACIONES Y PAGOS SA</t>
  </si>
  <si>
    <t>Luis Grecco Y Karina</t>
  </si>
  <si>
    <t>Flores javier roberto</t>
  </si>
  <si>
    <t xml:space="preserve">Deposita </t>
  </si>
  <si>
    <t>Deposita</t>
  </si>
  <si>
    <t>Nicolas Esteban Gutierrez</t>
  </si>
  <si>
    <t>Avicola lanus a nombre de Tamara en el mail</t>
  </si>
  <si>
    <t>avicola lanus a nombre de tamara en el mail</t>
  </si>
  <si>
    <t>Suavenol</t>
  </si>
  <si>
    <t>Deposita, tambien paga el 132</t>
  </si>
  <si>
    <t>Santangelo - Deposita</t>
  </si>
  <si>
    <t>Deposita - Andrea Iglesias</t>
  </si>
  <si>
    <t>Horacio oscar brescia</t>
  </si>
  <si>
    <t>Tosi german lucas o nitapaula0684@gmail.com</t>
  </si>
  <si>
    <t>LBEG SERO SRL</t>
  </si>
  <si>
    <t>ad RUIZ DIAZ</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</si>
  <si>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</si>
  <si>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</si>
  <si>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</si>
  <si>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</si>
  <si>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</si>
  <si>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</si>
  <si>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</si>
  <si>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</si>
  <si>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</si>
  <si>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</si>
  <si>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</si>
  <si>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</si>
  <si>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</si>
  <si>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</si>
  <si>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ADRIAN CLAUDIO GIARMAN / JOSEFINA GIORDANI / Milagros Anahi Sanchez</t>
  </si>
  <si>
    <t xml:space="preserve">Deposita, tambien paga el lote 18 - </t>
  </si>
  <si>
    <t>mercedes arias &lt;mercedesarias2005@hotmail.com&gt;</t>
  </si>
  <si>
    <t>Gustavo Kearney &lt;gkearney@batt.com.ar&gt;</t>
  </si>
  <si>
    <t>Velazco Velasco Gisela</t>
  </si>
  <si>
    <t>Grey Brick SA</t>
  </si>
  <si>
    <t>Adminar SA y Lobison</t>
  </si>
  <si>
    <t>Recaudaciones y pagos -  Suzel Valiña &lt;valisule@gmail.com&gt; - Paga 118 , 120 y 121</t>
  </si>
  <si>
    <t xml:space="preserve">Hesurmet (Cuit.: 33-70871302-9) </t>
  </si>
  <si>
    <t>Mantbrown (Cuit.: 30-71814188-1)</t>
  </si>
  <si>
    <t>Transf 30/06</t>
  </si>
  <si>
    <t>JC construcciones (Cuit.: 30-71620247-6) -  (4°/6 Etapa 1 Paredon Calle Pino)</t>
  </si>
  <si>
    <t>pendiente</t>
  </si>
  <si>
    <t>Calabro, Evangelina</t>
  </si>
  <si>
    <t>Lorena Mazzeo</t>
  </si>
  <si>
    <t>Guillermo rodriguez</t>
  </si>
  <si>
    <t>Ines / Jorge o Ayestaran Melanie que es la inquilina</t>
  </si>
  <si>
    <t>Andrea Juarez Cecilia</t>
  </si>
  <si>
    <t>Maria Laura Lopez</t>
  </si>
  <si>
    <t xml:space="preserve">Deposito en efectivo sin identificar - 1/06 </t>
  </si>
  <si>
    <t>Transferencia bancaria - 24/06 - Montenievas SRL</t>
  </si>
  <si>
    <t>Transferencia bancaria - 25/06 - Javier Alberto Andres</t>
  </si>
  <si>
    <t xml:space="preserve">Deposito en efectivo - 27/06 </t>
  </si>
  <si>
    <t>Tranferencia bancaria - 27/06 - Maranata perfumeria</t>
  </si>
  <si>
    <t>Transferencia bancaria - 30/06 - Cafrathela SA</t>
  </si>
  <si>
    <t>Ingreso seguros SURA 30/06</t>
  </si>
  <si>
    <t>VTO 31/07</t>
  </si>
  <si>
    <t>A OJEDA FAVIO EN LAS PROX EXPENSAS QUEDA IMPUTARLE UN PAGO QUE HIZO EL 1/7 DE $663.440,65</t>
  </si>
  <si>
    <t>Compensacion expensas lote 140 - 141:</t>
  </si>
  <si>
    <t xml:space="preserve"> nardi paula andrea</t>
  </si>
  <si>
    <t>TOTAL GASTOS ORDINARIOS + ABONOS Y SERVICIOS</t>
  </si>
  <si>
    <t>FONDO SUPER AHORRO PLUS</t>
  </si>
  <si>
    <t>TOTAL AL 30/6</t>
  </si>
  <si>
    <t>COMPENSACION EXP. LOTE 140/141</t>
  </si>
  <si>
    <t>Saldo anterior total</t>
  </si>
  <si>
    <t>Ingreso total</t>
  </si>
  <si>
    <t>Interes</t>
  </si>
  <si>
    <t>Egresos extr. - Sacados del fondo de reserva</t>
  </si>
  <si>
    <t>Total</t>
  </si>
  <si>
    <t xml:space="preserve">FECHA DE INICIO - 21/04/2025 </t>
  </si>
  <si>
    <t>CAJA EFECTIVO</t>
  </si>
  <si>
    <t>Gastos a recuperar por la administracion - abonados en efectivo</t>
  </si>
  <si>
    <t>Egresos ya descontados en la caja que corresponde al efectivo - Se retiran de la caja general para no doble contabilizarlos</t>
  </si>
  <si>
    <t>RESUMEN CAJA GENERAL</t>
  </si>
  <si>
    <t>Tranf 13/06</t>
  </si>
  <si>
    <t xml:space="preserve"> </t>
  </si>
  <si>
    <t>Efect 18/06</t>
  </si>
  <si>
    <t xml:space="preserve">Careffour -Compra caloventor puesto 3 </t>
  </si>
  <si>
    <t>Efect 27/06</t>
  </si>
  <si>
    <t>Santiago Roman Ramirez</t>
  </si>
  <si>
    <t>Ezequiel De la calle</t>
  </si>
  <si>
    <t>Honorarios arquitectura - Srta. Burgos Oros Johanna Melanie - Fc. 00000084</t>
  </si>
  <si>
    <t>Servicios arquitectura - Srita. Melanie Burgos Oros - Lotes 9-13-16-48-51-56-68-101-146-62</t>
  </si>
  <si>
    <t>Maria Ximena Vizzini / P Sur Srl</t>
  </si>
  <si>
    <t>Ariel Sposito</t>
  </si>
  <si>
    <t>Depositos sin identificar liquidaciones anteriores</t>
  </si>
  <si>
    <t>Deposito sin identificar - correspondientes a estas expensas</t>
  </si>
  <si>
    <t>Deducciones mes de Mayo</t>
  </si>
  <si>
    <t>Sueldo intendencia - Maximiliano Abbruzzese - Mes de mayo - Al total del sueldo se le descuenta los $800.000 de adelanto otorgados por la Sra. Mabel</t>
  </si>
  <si>
    <t>Sueldo mes de Junio - Se abona antes debido a accidente sufrido 25/06 - Incluye SAC</t>
  </si>
  <si>
    <t>Redondeo mes de Mayo</t>
  </si>
  <si>
    <t>Deducciones mes de Junio</t>
  </si>
  <si>
    <t>Redondeo mes de Junio</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</si>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</sst>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quot;$&quot;\ #,##0.00;[Red]\-&quot;$&quot;\ #,##0.00"/>
    <numFmt numFmtId="165" formatCode="_-&quot;$&quot;\ * #,##0.00_-;\-&quot;$&quot;\ * #,##0.00_-;_-&quot;$&quot;\ * &quot;-&quot;??_-;_-@_-"/>
    <numFmt numFmtId="166" formatCode="_ &quot;$&quot;\ * #,##0.00_ ;_ &quot;$&quot;\ * \-#,##0.00_ ;_ &quot;$&quot;\ * &quot;-&quot;??_ ;_ @_ "/>
    <numFmt numFmtId="167" formatCode="_-&quot;$&quot;\ * #,##0_-;\-&quot;$&quot;\ * #,##0_-;_-&quot;$&quot;\ * &quot;-&quot;??_-;_-@_-"/>
    <numFmt numFmtId="168" formatCode="_-&quot;$&quot;\ * #,##0.0_-;\-&quot;$&quot;\ * #,##0.0_-;_-&quot;$&quot;\ * &quot;-&quot;??_-;_-@_-"/>
    <numFmt numFmtId="169" formatCode="_-&quot;$&quot;\ * #,##0.0_-;\-&quot;$&quot;\ * #,##0.0_-;_-&quot;$&quot;\ * &quot;-&quot;?_-;_-@_-"/>
    <numFmt numFmtId="170" formatCode="_-[$$-2C0A]\ * #,##0.00_-;\-[$$-2C0A]\ * #,##0.00_-;_-[$$-2C0A]\ * &quot;-&quot;??_-;_-@_-"/>
    <numFmt numFmtId="171" formatCode="_-[$$-2C0A]\ * #,##0.0_-;\-[$$-2C0A]\ * #,##0.0_-;_-[$$-2C0A]\ * &quot;-&quot;??_-;_-@_-"/>
    <numFmt numFmtId="172" formatCode="#,##0.00_ ;[Red]\-#,##0.00\ "/>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color theme="1"/>
      <name val="Calibri"/>
      <family val="2"/>
      <scheme val="minor"/>
    </font>
    <font>
      <b/>
      <u/>
      <sz val="11"/>
      <name val="Calibri"/>
      <family val="2"/>
      <scheme val="minor"/>
    </font>
    <font>
      <sz val="12"/>
      <color theme="1"/>
      <name val="Calibri"/>
      <family val="2"/>
      <scheme val="minor"/>
    </font>
    <font>
      <sz val="12"/>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bgColor indexed="64"/>
      </patternFill>
    </fill>
    <fill>
      <patternFill patternType="solid">
        <fgColor rgb="FFC00000"/>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s>
  <cellStyleXfs count="4">
    <xf numFmtId="0" fontId="0" fillId="0" borderId="0"/>
    <xf numFmtId="165" fontId="1" fillId="0" borderId="0" applyFont="0" applyFill="0" applyBorder="0" applyAlignment="0" applyProtection="0"/>
    <xf numFmtId="166" fontId="1" fillId="0" borderId="0" applyFont="0" applyFill="0" applyBorder="0" applyAlignment="0" applyProtection="0"/>
    <xf numFmtId="0" fontId="23" fillId="0" borderId="0" applyNumberFormat="0" applyFill="0" applyBorder="0" applyAlignment="0" applyProtection="0"/>
  </cellStyleXfs>
  <cellXfs count="310">
    <xf numFmtId="0" fontId="0" fillId="0" borderId="0" xfId="0"/>
    <xf numFmtId="0" fontId="0" fillId="0" borderId="16" xfId="0" applyBorder="1"/>
    <xf numFmtId="0" fontId="2" fillId="0" borderId="0" xfId="0" applyFont="1"/>
    <xf numFmtId="0" fontId="0" fillId="0" borderId="1" xfId="0" applyBorder="1"/>
    <xf numFmtId="0" fontId="0" fillId="3" borderId="0" xfId="0" applyFill="1"/>
    <xf numFmtId="0" fontId="0" fillId="0" borderId="5" xfId="0" applyBorder="1"/>
    <xf numFmtId="0" fontId="0" fillId="5" borderId="12" xfId="0"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164" fontId="0" fillId="0" borderId="0" xfId="0" applyNumberFormat="1"/>
    <xf numFmtId="166" fontId="3" fillId="0" borderId="0" xfId="0" applyNumberFormat="1" applyFont="1"/>
    <xf numFmtId="0" fontId="5" fillId="0" borderId="1" xfId="0" applyFont="1" applyBorder="1"/>
    <xf numFmtId="4" fontId="0" fillId="0" borderId="0" xfId="0" applyNumberFormat="1"/>
    <xf numFmtId="4" fontId="5" fillId="0" borderId="0" xfId="0" applyNumberFormat="1" applyFont="1"/>
    <xf numFmtId="0" fontId="5" fillId="0" borderId="1" xfId="0" applyFont="1" applyBorder="1" applyAlignment="1">
      <alignment vertical="center" wrapText="1"/>
    </xf>
    <xf numFmtId="0" fontId="2" fillId="4" borderId="1" xfId="0" applyFont="1" applyFill="1" applyBorder="1"/>
    <xf numFmtId="0" fontId="0" fillId="4" borderId="1" xfId="0" applyFill="1" applyBorder="1"/>
    <xf numFmtId="164" fontId="6" fillId="4" borderId="6" xfId="0" applyNumberFormat="1" applyFont="1" applyFill="1" applyBorder="1"/>
    <xf numFmtId="0" fontId="9" fillId="2" borderId="0" xfId="0" applyFont="1" applyFill="1"/>
    <xf numFmtId="0" fontId="10" fillId="4" borderId="1" xfId="0" applyFont="1" applyFill="1" applyBorder="1"/>
    <xf numFmtId="0" fontId="6" fillId="4" borderId="1" xfId="0" applyFont="1" applyFill="1" applyBorder="1"/>
    <xf numFmtId="0" fontId="11" fillId="4" borderId="1" xfId="0" applyFont="1" applyFill="1" applyBorder="1"/>
    <xf numFmtId="164" fontId="10" fillId="4" borderId="1" xfId="0" applyNumberFormat="1" applyFont="1" applyFill="1" applyBorder="1"/>
    <xf numFmtId="165" fontId="6" fillId="4" borderId="1" xfId="1" applyFont="1" applyFill="1" applyBorder="1"/>
    <xf numFmtId="165" fontId="0" fillId="0" borderId="1" xfId="1" applyFont="1" applyBorder="1"/>
    <xf numFmtId="165" fontId="6" fillId="4" borderId="6" xfId="1" applyFont="1" applyFill="1" applyBorder="1"/>
    <xf numFmtId="165" fontId="4" fillId="4" borderId="1" xfId="1" applyFont="1" applyFill="1" applyBorder="1"/>
    <xf numFmtId="0" fontId="0" fillId="0" borderId="0" xfId="0" applyAlignment="1">
      <alignment wrapText="1"/>
    </xf>
    <xf numFmtId="0" fontId="5" fillId="0" borderId="1" xfId="0" applyFont="1" applyBorder="1" applyAlignment="1">
      <alignment vertical="top" wrapText="1"/>
    </xf>
    <xf numFmtId="165" fontId="3" fillId="2" borderId="1" xfId="1" applyFont="1" applyFill="1" applyBorder="1"/>
    <xf numFmtId="165" fontId="0" fillId="0" borderId="0" xfId="1" applyFont="1"/>
    <xf numFmtId="0" fontId="7" fillId="2" borderId="0" xfId="0" applyFont="1" applyFill="1"/>
    <xf numFmtId="165" fontId="0" fillId="0" borderId="0" xfId="0" applyNumberFormat="1"/>
    <xf numFmtId="0" fontId="8" fillId="6" borderId="0" xfId="0" applyFont="1" applyFill="1"/>
    <xf numFmtId="165" fontId="8" fillId="6" borderId="0" xfId="1" applyFont="1" applyFill="1"/>
    <xf numFmtId="165" fontId="13" fillId="2" borderId="1" xfId="1" applyFont="1" applyFill="1" applyBorder="1"/>
    <xf numFmtId="0" fontId="12" fillId="0" borderId="0" xfId="0" applyFont="1"/>
    <xf numFmtId="0" fontId="0" fillId="0" borderId="1" xfId="0" applyBorder="1" applyAlignment="1">
      <alignment vertical="center" wrapText="1"/>
    </xf>
    <xf numFmtId="16" fontId="3" fillId="0" borderId="1" xfId="0" applyNumberFormat="1" applyFont="1" applyBorder="1"/>
    <xf numFmtId="0" fontId="18" fillId="10" borderId="1" xfId="0" applyFont="1" applyFill="1" applyBorder="1"/>
    <xf numFmtId="0" fontId="14" fillId="2" borderId="1" xfId="0" applyFont="1" applyFill="1" applyBorder="1"/>
    <xf numFmtId="0" fontId="14" fillId="0" borderId="1" xfId="0" applyFont="1" applyBorder="1"/>
    <xf numFmtId="0" fontId="0" fillId="0" borderId="7" xfId="0" applyBorder="1" applyAlignment="1">
      <alignment wrapText="1"/>
    </xf>
    <xf numFmtId="0" fontId="2" fillId="4" borderId="1" xfId="0" applyFont="1" applyFill="1" applyBorder="1" applyAlignment="1">
      <alignment wrapText="1"/>
    </xf>
    <xf numFmtId="165" fontId="9" fillId="4" borderId="1" xfId="1" applyFont="1" applyFill="1" applyBorder="1"/>
    <xf numFmtId="0" fontId="14" fillId="0" borderId="1" xfId="0" applyFont="1" applyBorder="1" applyAlignment="1">
      <alignment horizontal="center"/>
    </xf>
    <xf numFmtId="165" fontId="20" fillId="0" borderId="1" xfId="1" applyFont="1" applyBorder="1"/>
    <xf numFmtId="167" fontId="14" fillId="0" borderId="1" xfId="0" applyNumberFormat="1" applyFont="1" applyBorder="1"/>
    <xf numFmtId="167" fontId="14" fillId="0" borderId="1" xfId="1" applyNumberFormat="1" applyFont="1" applyBorder="1"/>
    <xf numFmtId="0" fontId="14" fillId="9" borderId="21" xfId="0" applyFont="1" applyFill="1" applyBorder="1"/>
    <xf numFmtId="0" fontId="5" fillId="7" borderId="9" xfId="0" applyFont="1" applyFill="1" applyBorder="1"/>
    <xf numFmtId="165" fontId="5" fillId="7" borderId="11" xfId="0" applyNumberFormat="1" applyFont="1" applyFill="1" applyBorder="1"/>
    <xf numFmtId="0" fontId="4" fillId="0" borderId="1" xfId="0" applyFont="1" applyBorder="1"/>
    <xf numFmtId="0" fontId="4" fillId="10" borderId="1" xfId="0" applyFont="1" applyFill="1" applyBorder="1"/>
    <xf numFmtId="165" fontId="21" fillId="4" borderId="3" xfId="1" applyFont="1" applyFill="1" applyBorder="1"/>
    <xf numFmtId="165" fontId="22" fillId="0" borderId="3" xfId="1" applyFont="1" applyBorder="1"/>
    <xf numFmtId="165" fontId="22" fillId="4" borderId="3" xfId="1" applyFont="1" applyFill="1" applyBorder="1"/>
    <xf numFmtId="0" fontId="22" fillId="0" borderId="1" xfId="1" applyNumberFormat="1" applyFont="1" applyBorder="1" applyAlignment="1">
      <alignment horizontal="left"/>
    </xf>
    <xf numFmtId="165" fontId="9" fillId="4" borderId="13" xfId="1" applyFont="1" applyFill="1" applyBorder="1"/>
    <xf numFmtId="0" fontId="0" fillId="0" borderId="6" xfId="0" applyBorder="1" applyAlignment="1">
      <alignment horizontal="left" vertical="center" wrapText="1"/>
    </xf>
    <xf numFmtId="165" fontId="4" fillId="2" borderId="6" xfId="1" applyFont="1" applyFill="1" applyBorder="1"/>
    <xf numFmtId="0" fontId="0" fillId="0" borderId="23" xfId="0" applyBorder="1" applyAlignment="1">
      <alignment horizontal="left" vertical="center" wrapText="1"/>
    </xf>
    <xf numFmtId="165" fontId="22" fillId="2" borderId="1" xfId="1" applyFont="1" applyFill="1" applyBorder="1"/>
    <xf numFmtId="0" fontId="22" fillId="2" borderId="1" xfId="1" applyNumberFormat="1" applyFont="1" applyFill="1" applyBorder="1" applyAlignment="1"/>
    <xf numFmtId="0" fontId="22" fillId="2" borderId="2" xfId="1" applyNumberFormat="1" applyFont="1" applyFill="1" applyBorder="1" applyAlignment="1"/>
    <xf numFmtId="165" fontId="22" fillId="2" borderId="3" xfId="1" applyFont="1" applyFill="1" applyBorder="1"/>
    <xf numFmtId="0" fontId="4" fillId="0" borderId="0" xfId="0" applyFont="1"/>
    <xf numFmtId="165" fontId="8" fillId="6" borderId="0" xfId="0" applyNumberFormat="1" applyFont="1" applyFill="1"/>
    <xf numFmtId="165" fontId="4" fillId="2" borderId="1" xfId="1" applyFont="1" applyFill="1" applyBorder="1"/>
    <xf numFmtId="165" fontId="22" fillId="2" borderId="1" xfId="1" applyFont="1" applyFill="1" applyBorder="1" applyAlignment="1">
      <alignment wrapText="1"/>
    </xf>
    <xf numFmtId="164" fontId="19" fillId="10" borderId="1" xfId="0" applyNumberFormat="1" applyFont="1" applyFill="1" applyBorder="1"/>
    <xf numFmtId="0" fontId="5" fillId="0" borderId="1" xfId="0" applyFont="1" applyBorder="1" applyAlignment="1">
      <alignment horizontal="left" vertical="center" wrapText="1"/>
    </xf>
    <xf numFmtId="168" fontId="20" fillId="2" borderId="1" xfId="1" applyNumberFormat="1" applyFont="1" applyFill="1" applyBorder="1"/>
    <xf numFmtId="0" fontId="0" fillId="2" borderId="0" xfId="0" applyFill="1"/>
    <xf numFmtId="165" fontId="5" fillId="6" borderId="1" xfId="1" applyFont="1" applyFill="1" applyBorder="1"/>
    <xf numFmtId="168" fontId="0" fillId="0" borderId="0" xfId="0" applyNumberFormat="1"/>
    <xf numFmtId="169" fontId="0" fillId="0" borderId="0" xfId="0" applyNumberFormat="1"/>
    <xf numFmtId="0" fontId="2" fillId="7" borderId="1" xfId="0" applyFont="1" applyFill="1" applyBorder="1"/>
    <xf numFmtId="165" fontId="6" fillId="7" borderId="1" xfId="1" applyFont="1" applyFill="1" applyBorder="1"/>
    <xf numFmtId="43" fontId="0" fillId="0" borderId="0" xfId="0" applyNumberFormat="1"/>
    <xf numFmtId="167" fontId="0" fillId="0" borderId="0" xfId="0" applyNumberFormat="1"/>
    <xf numFmtId="165" fontId="22" fillId="0" borderId="1" xfId="1" applyFont="1" applyBorder="1" applyAlignment="1"/>
    <xf numFmtId="0" fontId="15" fillId="0" borderId="1" xfId="1" applyNumberFormat="1" applyFont="1" applyBorder="1" applyAlignment="1"/>
    <xf numFmtId="43" fontId="0" fillId="0" borderId="0" xfId="0" applyNumberFormat="1" applyAlignment="1">
      <alignment wrapText="1"/>
    </xf>
    <xf numFmtId="0" fontId="0" fillId="0" borderId="2" xfId="0" applyBorder="1"/>
    <xf numFmtId="165" fontId="4" fillId="0" borderId="1" xfId="1" applyFont="1" applyBorder="1"/>
    <xf numFmtId="0" fontId="2" fillId="11" borderId="1" xfId="0" applyFont="1" applyFill="1" applyBorder="1"/>
    <xf numFmtId="0" fontId="0" fillId="11" borderId="1" xfId="0" applyFill="1" applyBorder="1"/>
    <xf numFmtId="0" fontId="4" fillId="11" borderId="1" xfId="0" applyFont="1" applyFill="1" applyBorder="1"/>
    <xf numFmtId="165" fontId="6" fillId="11" borderId="1" xfId="1" applyFont="1" applyFill="1" applyBorder="1"/>
    <xf numFmtId="0" fontId="2" fillId="12" borderId="1" xfId="0" applyFont="1" applyFill="1" applyBorder="1"/>
    <xf numFmtId="165" fontId="6" fillId="12" borderId="6" xfId="1" applyFont="1" applyFill="1" applyBorder="1"/>
    <xf numFmtId="164" fontId="6" fillId="12" borderId="6" xfId="0" applyNumberFormat="1" applyFont="1" applyFill="1" applyBorder="1"/>
    <xf numFmtId="0" fontId="0" fillId="12" borderId="1" xfId="0" applyFill="1" applyBorder="1"/>
    <xf numFmtId="165" fontId="4" fillId="12" borderId="6" xfId="1" applyFont="1" applyFill="1" applyBorder="1"/>
    <xf numFmtId="0" fontId="11" fillId="12" borderId="1" xfId="0" applyFont="1" applyFill="1" applyBorder="1"/>
    <xf numFmtId="0" fontId="10" fillId="12" borderId="1" xfId="0" applyFont="1" applyFill="1" applyBorder="1"/>
    <xf numFmtId="0" fontId="2" fillId="12" borderId="3" xfId="0" applyFont="1" applyFill="1" applyBorder="1"/>
    <xf numFmtId="164" fontId="6" fillId="12" borderId="22" xfId="0" applyNumberFormat="1" applyFont="1" applyFill="1" applyBorder="1"/>
    <xf numFmtId="0" fontId="5" fillId="7" borderId="26" xfId="0" applyFont="1" applyFill="1" applyBorder="1"/>
    <xf numFmtId="165" fontId="5" fillId="7" borderId="27" xfId="0" applyNumberFormat="1"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0" fillId="0" borderId="14" xfId="0" applyBorder="1"/>
    <xf numFmtId="0" fontId="0" fillId="0" borderId="12" xfId="0" applyBorder="1"/>
    <xf numFmtId="0" fontId="0" fillId="0" borderId="15" xfId="0" applyBorder="1"/>
    <xf numFmtId="0" fontId="0" fillId="0" borderId="17" xfId="0" applyBorder="1"/>
    <xf numFmtId="0" fontId="0" fillId="0" borderId="16" xfId="0" applyBorder="1" applyAlignment="1">
      <alignment horizontal="center"/>
    </xf>
    <xf numFmtId="0" fontId="0" fillId="0" borderId="0" xfId="0" applyAlignment="1">
      <alignment horizontal="center"/>
    </xf>
    <xf numFmtId="0" fontId="0" fillId="0" borderId="17" xfId="0" applyBorder="1" applyAlignment="1">
      <alignment horizontal="center"/>
    </xf>
    <xf numFmtId="0" fontId="0" fillId="0" borderId="26" xfId="0" applyBorder="1" applyAlignment="1">
      <alignment horizontal="center"/>
    </xf>
    <xf numFmtId="0" fontId="0" fillId="0" borderId="8" xfId="0" applyBorder="1" applyAlignment="1">
      <alignment horizontal="center"/>
    </xf>
    <xf numFmtId="0" fontId="0" fillId="0" borderId="27" xfId="0"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16" fontId="0" fillId="0" borderId="0" xfId="0" applyNumberFormat="1"/>
    <xf numFmtId="0" fontId="0" fillId="13" borderId="0" xfId="0" applyFill="1"/>
    <xf numFmtId="0" fontId="0" fillId="14" borderId="14" xfId="0" applyFill="1" applyBorder="1"/>
    <xf numFmtId="0" fontId="0" fillId="14" borderId="12" xfId="0" applyFill="1" applyBorder="1"/>
    <xf numFmtId="0" fontId="2" fillId="15" borderId="14" xfId="0" applyFont="1" applyFill="1" applyBorder="1"/>
    <xf numFmtId="0" fontId="2" fillId="15" borderId="12" xfId="0" applyFont="1" applyFill="1" applyBorder="1"/>
    <xf numFmtId="10" fontId="2" fillId="15" borderId="12" xfId="0" applyNumberFormat="1" applyFont="1" applyFill="1" applyBorder="1"/>
    <xf numFmtId="0" fontId="4" fillId="15" borderId="12" xfId="0" applyFont="1" applyFill="1" applyBorder="1"/>
    <xf numFmtId="0" fontId="4" fillId="15" borderId="15" xfId="0" applyFont="1" applyFill="1" applyBorder="1"/>
    <xf numFmtId="0" fontId="14" fillId="2" borderId="1" xfId="0" applyFont="1" applyFill="1" applyBorder="1" applyAlignment="1">
      <alignment wrapText="1"/>
    </xf>
    <xf numFmtId="0" fontId="0" fillId="0" borderId="6" xfId="0" applyBorder="1"/>
    <xf numFmtId="0" fontId="0" fillId="0" borderId="7" xfId="0" applyBorder="1"/>
    <xf numFmtId="0" fontId="24" fillId="4" borderId="1" xfId="0" applyFont="1" applyFill="1" applyBorder="1"/>
    <xf numFmtId="0" fontId="5" fillId="7" borderId="26" xfId="0" applyFont="1" applyFill="1" applyBorder="1" applyAlignment="1">
      <alignment horizontal="left" vertical="center" wrapText="1"/>
    </xf>
    <xf numFmtId="164" fontId="6" fillId="12" borderId="21" xfId="1" applyNumberFormat="1" applyFont="1" applyFill="1" applyBorder="1"/>
    <xf numFmtId="165" fontId="6" fillId="12" borderId="21" xfId="1" applyFont="1" applyFill="1" applyBorder="1"/>
    <xf numFmtId="167" fontId="6" fillId="12" borderId="2" xfId="1" applyNumberFormat="1" applyFont="1" applyFill="1" applyBorder="1"/>
    <xf numFmtId="164" fontId="6" fillId="12" borderId="13" xfId="1" applyNumberFormat="1" applyFont="1" applyFill="1" applyBorder="1"/>
    <xf numFmtId="0" fontId="2" fillId="12" borderId="4" xfId="0" applyFont="1" applyFill="1" applyBorder="1"/>
    <xf numFmtId="164" fontId="6" fillId="12" borderId="5" xfId="0" applyNumberFormat="1" applyFont="1" applyFill="1" applyBorder="1"/>
    <xf numFmtId="165" fontId="6" fillId="12" borderId="19" xfId="1" applyFont="1" applyFill="1" applyBorder="1"/>
    <xf numFmtId="0" fontId="2" fillId="5" borderId="26" xfId="0" applyFont="1" applyFill="1" applyBorder="1"/>
    <xf numFmtId="10" fontId="2" fillId="5" borderId="8" xfId="0" applyNumberFormat="1" applyFont="1" applyFill="1" applyBorder="1"/>
    <xf numFmtId="0" fontId="2" fillId="5" borderId="8" xfId="0" applyFont="1" applyFill="1" applyBorder="1"/>
    <xf numFmtId="0" fontId="6" fillId="5" borderId="8" xfId="0" applyFont="1" applyFill="1" applyBorder="1"/>
    <xf numFmtId="0" fontId="22" fillId="0" borderId="1" xfId="0" applyFont="1" applyBorder="1"/>
    <xf numFmtId="0" fontId="2" fillId="15" borderId="9" xfId="0" applyFont="1" applyFill="1" applyBorder="1"/>
    <xf numFmtId="0" fontId="2" fillId="15" borderId="28" xfId="0" applyFont="1" applyFill="1" applyBorder="1"/>
    <xf numFmtId="0" fontId="2" fillId="15" borderId="25" xfId="0" applyFont="1" applyFill="1" applyBorder="1"/>
    <xf numFmtId="168" fontId="5" fillId="15" borderId="29" xfId="0" applyNumberFormat="1" applyFont="1" applyFill="1" applyBorder="1"/>
    <xf numFmtId="0" fontId="2" fillId="16" borderId="14" xfId="0" applyFont="1" applyFill="1" applyBorder="1"/>
    <xf numFmtId="0" fontId="2" fillId="16" borderId="12" xfId="0" applyFont="1" applyFill="1" applyBorder="1"/>
    <xf numFmtId="10" fontId="2" fillId="16" borderId="12" xfId="0" applyNumberFormat="1" applyFont="1" applyFill="1" applyBorder="1"/>
    <xf numFmtId="0" fontId="4" fillId="16" borderId="12" xfId="0" applyFont="1" applyFill="1" applyBorder="1"/>
    <xf numFmtId="0" fontId="4" fillId="16" borderId="15" xfId="0" applyFont="1" applyFill="1" applyBorder="1"/>
    <xf numFmtId="0" fontId="2" fillId="16" borderId="0" xfId="0" applyFont="1" applyFill="1"/>
    <xf numFmtId="0" fontId="0" fillId="16" borderId="0" xfId="0" applyFill="1"/>
    <xf numFmtId="165" fontId="0" fillId="16" borderId="0" xfId="1" applyFont="1" applyFill="1"/>
    <xf numFmtId="0" fontId="2" fillId="16" borderId="9" xfId="0" applyFont="1" applyFill="1" applyBorder="1"/>
    <xf numFmtId="0" fontId="2" fillId="16" borderId="28" xfId="0" applyFont="1" applyFill="1" applyBorder="1"/>
    <xf numFmtId="0" fontId="2" fillId="16" borderId="25" xfId="0" applyFont="1" applyFill="1" applyBorder="1"/>
    <xf numFmtId="168" fontId="5" fillId="16" borderId="29" xfId="0" applyNumberFormat="1" applyFont="1" applyFill="1" applyBorder="1"/>
    <xf numFmtId="165" fontId="2" fillId="16" borderId="0" xfId="1" applyFont="1" applyFill="1"/>
    <xf numFmtId="0" fontId="15" fillId="0" borderId="3" xfId="1" applyNumberFormat="1" applyFont="1" applyBorder="1" applyAlignment="1"/>
    <xf numFmtId="165" fontId="22" fillId="0" borderId="3" xfId="1" applyFont="1" applyBorder="1" applyAlignment="1"/>
    <xf numFmtId="0" fontId="0" fillId="2" borderId="1" xfId="0" applyFill="1" applyBorder="1"/>
    <xf numFmtId="0" fontId="0" fillId="0" borderId="24" xfId="0" applyBorder="1" applyAlignment="1">
      <alignment horizontal="left" vertical="center" wrapText="1"/>
    </xf>
    <xf numFmtId="0" fontId="0" fillId="0" borderId="30" xfId="0" applyBorder="1" applyAlignment="1">
      <alignment horizontal="left" vertical="center" wrapText="1"/>
    </xf>
    <xf numFmtId="165" fontId="4" fillId="2" borderId="24" xfId="1" applyFont="1" applyFill="1" applyBorder="1"/>
    <xf numFmtId="0" fontId="22" fillId="0" borderId="2" xfId="1" applyNumberFormat="1" applyFont="1" applyBorder="1" applyAlignment="1">
      <alignment horizontal="left"/>
    </xf>
    <xf numFmtId="0" fontId="0" fillId="15" borderId="10" xfId="0" applyFill="1" applyBorder="1"/>
    <xf numFmtId="165" fontId="0" fillId="15" borderId="10" xfId="1" applyFont="1" applyFill="1" applyBorder="1"/>
    <xf numFmtId="167" fontId="20" fillId="0" borderId="1" xfId="0" applyNumberFormat="1" applyFont="1" applyBorder="1"/>
    <xf numFmtId="167" fontId="20" fillId="2" borderId="1" xfId="0" applyNumberFormat="1" applyFont="1" applyFill="1" applyBorder="1"/>
    <xf numFmtId="0" fontId="7" fillId="0" borderId="0" xfId="0" applyFont="1"/>
    <xf numFmtId="0" fontId="0" fillId="2" borderId="14" xfId="0" applyFill="1" applyBorder="1"/>
    <xf numFmtId="0" fontId="0" fillId="2" borderId="12" xfId="0" applyFill="1" applyBorder="1"/>
    <xf numFmtId="0" fontId="0" fillId="2" borderId="16" xfId="0" applyFill="1" applyBorder="1"/>
    <xf numFmtId="0" fontId="23" fillId="0" borderId="0" xfId="3"/>
    <xf numFmtId="0" fontId="0" fillId="2" borderId="15" xfId="0" applyFill="1" applyBorder="1"/>
    <xf numFmtId="16" fontId="0" fillId="2" borderId="0" xfId="0" applyNumberFormat="1" applyFill="1"/>
    <xf numFmtId="0" fontId="0" fillId="2" borderId="0" xfId="0" applyFill="1" applyAlignment="1">
      <alignment horizontal="center"/>
    </xf>
    <xf numFmtId="0" fontId="0" fillId="2" borderId="17" xfId="0" applyFill="1" applyBorder="1" applyAlignment="1">
      <alignment horizontal="center"/>
    </xf>
    <xf numFmtId="0" fontId="0" fillId="2" borderId="17" xfId="0" applyFill="1" applyBorder="1"/>
    <xf numFmtId="165" fontId="0" fillId="0" borderId="0" xfId="1" applyFont="1" applyBorder="1"/>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164" fontId="4" fillId="2" borderId="1" xfId="0" applyNumberFormat="1" applyFont="1" applyFill="1" applyBorder="1"/>
    <xf numFmtId="0" fontId="25" fillId="4" borderId="1" xfId="0" applyFont="1" applyFill="1" applyBorder="1"/>
    <xf numFmtId="165" fontId="6" fillId="2" borderId="1" xfId="1" applyFont="1" applyFill="1" applyBorder="1"/>
    <xf numFmtId="0" fontId="2" fillId="17" borderId="14" xfId="0" applyFont="1" applyFill="1" applyBorder="1"/>
    <xf numFmtId="165" fontId="2" fillId="17" borderId="15" xfId="1" applyFont="1" applyFill="1" applyBorder="1"/>
    <xf numFmtId="0" fontId="2" fillId="17" borderId="26" xfId="0" applyFont="1" applyFill="1" applyBorder="1"/>
    <xf numFmtId="165" fontId="2" fillId="17" borderId="27" xfId="1" applyFont="1" applyFill="1" applyBorder="1"/>
    <xf numFmtId="0" fontId="14" fillId="4" borderId="21" xfId="0" applyFont="1" applyFill="1" applyBorder="1"/>
    <xf numFmtId="165" fontId="14" fillId="4" borderId="26" xfId="0" applyNumberFormat="1" applyFont="1" applyFill="1" applyBorder="1"/>
    <xf numFmtId="167" fontId="14" fillId="4" borderId="33" xfId="0" applyNumberFormat="1" applyFont="1" applyFill="1" applyBorder="1"/>
    <xf numFmtId="167" fontId="14" fillId="4" borderId="27" xfId="0" applyNumberFormat="1" applyFont="1" applyFill="1" applyBorder="1"/>
    <xf numFmtId="167" fontId="14" fillId="4" borderId="21" xfId="0" applyNumberFormat="1" applyFont="1" applyFill="1" applyBorder="1"/>
    <xf numFmtId="165" fontId="14" fillId="4" borderId="21" xfId="0" applyNumberFormat="1" applyFont="1" applyFill="1" applyBorder="1"/>
    <xf numFmtId="165" fontId="14" fillId="0" borderId="1" xfId="1" applyFont="1" applyBorder="1"/>
    <xf numFmtId="0" fontId="14" fillId="4" borderId="27" xfId="0" applyFont="1" applyFill="1" applyBorder="1"/>
    <xf numFmtId="167" fontId="14" fillId="2" borderId="1" xfId="1" applyNumberFormat="1" applyFont="1" applyFill="1" applyBorder="1"/>
    <xf numFmtId="167" fontId="14" fillId="4" borderId="21" xfId="0" applyNumberFormat="1" applyFont="1" applyFill="1" applyBorder="1" applyAlignment="1">
      <alignment horizontal="left"/>
    </xf>
    <xf numFmtId="0" fontId="2" fillId="0" borderId="1" xfId="0" applyFont="1" applyBorder="1"/>
    <xf numFmtId="165" fontId="2" fillId="0" borderId="1" xfId="1" applyFont="1" applyBorder="1"/>
    <xf numFmtId="0" fontId="26" fillId="3" borderId="0" xfId="0" applyFont="1" applyFill="1"/>
    <xf numFmtId="171" fontId="27" fillId="3" borderId="0" xfId="0" applyNumberFormat="1" applyFont="1" applyFill="1"/>
    <xf numFmtId="171" fontId="27" fillId="3" borderId="0" xfId="0" applyNumberFormat="1" applyFont="1" applyFill="1" applyAlignment="1">
      <alignment horizontal="center"/>
    </xf>
    <xf numFmtId="171" fontId="27" fillId="3" borderId="8" xfId="0" applyNumberFormat="1" applyFont="1" applyFill="1" applyBorder="1" applyAlignment="1">
      <alignment horizontal="center"/>
    </xf>
    <xf numFmtId="171" fontId="27" fillId="3" borderId="8" xfId="0" applyNumberFormat="1" applyFont="1" applyFill="1" applyBorder="1" applyAlignment="1">
      <alignment horizontal="left"/>
    </xf>
    <xf numFmtId="1" fontId="14" fillId="4" borderId="21" xfId="0" applyNumberFormat="1" applyFont="1" applyFill="1" applyBorder="1" applyAlignment="1">
      <alignment horizontal="center"/>
    </xf>
    <xf numFmtId="0" fontId="2" fillId="18" borderId="1" xfId="0" applyFont="1" applyFill="1" applyBorder="1"/>
    <xf numFmtId="165" fontId="2" fillId="18" borderId="1" xfId="1" applyFont="1" applyFill="1" applyBorder="1"/>
    <xf numFmtId="0" fontId="0" fillId="0" borderId="1" xfId="0" applyBorder="1" applyAlignment="1">
      <alignment wrapText="1"/>
    </xf>
    <xf numFmtId="167" fontId="6" fillId="5" borderId="27" xfId="0" applyNumberFormat="1" applyFont="1" applyFill="1" applyBorder="1"/>
    <xf numFmtId="168" fontId="6" fillId="15" borderId="11" xfId="1" applyNumberFormat="1" applyFont="1" applyFill="1" applyBorder="1"/>
    <xf numFmtId="172" fontId="0" fillId="0" borderId="0" xfId="0" applyNumberFormat="1"/>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wrapText="1"/>
    </xf>
    <xf numFmtId="0" fontId="0" fillId="0" borderId="7" xfId="0" applyBorder="1" applyAlignment="1">
      <alignment horizontal="left" wrapText="1"/>
    </xf>
    <xf numFmtId="0" fontId="8" fillId="6" borderId="0" xfId="0" applyFont="1" applyFill="1" applyAlignment="1">
      <alignment horizontal="center" vertical="center"/>
    </xf>
    <xf numFmtId="0" fontId="0" fillId="2" borderId="6" xfId="0" applyFill="1" applyBorder="1" applyAlignment="1">
      <alignment horizontal="left" vertical="center" wrapText="1"/>
    </xf>
    <xf numFmtId="0" fontId="0" fillId="2" borderId="23" xfId="0" applyFill="1" applyBorder="1" applyAlignment="1">
      <alignment horizontal="left" vertical="center" wrapText="1"/>
    </xf>
    <xf numFmtId="0" fontId="0" fillId="2" borderId="7" xfId="0" applyFill="1" applyBorder="1" applyAlignment="1">
      <alignment horizontal="left" vertical="center" wrapText="1"/>
    </xf>
    <xf numFmtId="0" fontId="17" fillId="8" borderId="0" xfId="0" applyFont="1" applyFill="1" applyAlignment="1">
      <alignment horizontal="center" vertical="center"/>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1" xfId="0" applyFont="1" applyFill="1" applyBorder="1" applyAlignment="1">
      <alignment horizontal="center"/>
    </xf>
    <xf numFmtId="0" fontId="16" fillId="7" borderId="0" xfId="0" applyFont="1" applyFill="1" applyAlignment="1">
      <alignment horizontal="left" vertical="center" wrapText="1"/>
    </xf>
    <xf numFmtId="165" fontId="9" fillId="0" borderId="1" xfId="1" applyFont="1" applyBorder="1"/>
    <xf numFmtId="165" fontId="14" fillId="4" borderId="26" xfId="0" applyNumberFormat="1" applyFont="1" applyFill="1" applyBorder="1" applyAlignment="1">
      <alignment horizontal="center"/>
    </xf>
    <xf numFmtId="165" fontId="14" fillId="4" borderId="27" xfId="0" applyNumberFormat="1" applyFont="1" applyFill="1" applyBorder="1" applyAlignment="1">
      <alignment horizontal="center"/>
    </xf>
    <xf numFmtId="165" fontId="20" fillId="0" borderId="1" xfId="1" applyFont="1" applyBorder="1" applyAlignment="1">
      <alignment horizontal="center"/>
    </xf>
    <xf numFmtId="165" fontId="9" fillId="2" borderId="1" xfId="1" applyFont="1" applyFill="1" applyBorder="1"/>
    <xf numFmtId="165" fontId="26" fillId="3" borderId="0" xfId="1" applyFont="1" applyFill="1" applyAlignment="1">
      <alignment horizontal="left"/>
    </xf>
    <xf numFmtId="171" fontId="27" fillId="3" borderId="0" xfId="0" applyNumberFormat="1" applyFont="1" applyFill="1" applyAlignment="1">
      <alignment horizontal="center"/>
    </xf>
    <xf numFmtId="0" fontId="16" fillId="8" borderId="0" xfId="0" applyFont="1" applyFill="1" applyAlignment="1">
      <alignment horizontal="left" vertical="center" wrapText="1"/>
    </xf>
    <xf numFmtId="0" fontId="12" fillId="3" borderId="18" xfId="0" applyFont="1" applyFill="1" applyBorder="1" applyAlignment="1">
      <alignment horizontal="center" vertical="center" wrapText="1"/>
    </xf>
    <xf numFmtId="0" fontId="12" fillId="3" borderId="20" xfId="0" applyFont="1" applyFill="1" applyBorder="1" applyAlignment="1">
      <alignment horizontal="center" vertical="center" wrapText="1"/>
    </xf>
    <xf numFmtId="171" fontId="27" fillId="3" borderId="8" xfId="0" applyNumberFormat="1" applyFont="1" applyFill="1" applyBorder="1" applyAlignment="1">
      <alignment horizontal="center"/>
    </xf>
    <xf numFmtId="171" fontId="27" fillId="3" borderId="0" xfId="1" applyNumberFormat="1" applyFont="1" applyFill="1" applyAlignment="1">
      <alignment horizontal="center"/>
    </xf>
    <xf numFmtId="171" fontId="27" fillId="3" borderId="8" xfId="1" applyNumberFormat="1" applyFont="1" applyFill="1" applyBorder="1" applyAlignment="1">
      <alignment horizontal="center" vertical="center"/>
    </xf>
    <xf numFmtId="165" fontId="26" fillId="3" borderId="8" xfId="1" applyFont="1" applyFill="1" applyBorder="1" applyAlignment="1">
      <alignment horizontal="left"/>
    </xf>
    <xf numFmtId="0" fontId="15" fillId="3" borderId="14"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5" fillId="3" borderId="31" xfId="0" applyFont="1" applyFill="1" applyBorder="1" applyAlignment="1">
      <alignment horizontal="center" vertical="center" wrapText="1"/>
    </xf>
    <xf numFmtId="0" fontId="15" fillId="3" borderId="32" xfId="0" applyFont="1" applyFill="1" applyBorder="1" applyAlignment="1">
      <alignment horizontal="center" vertical="center" wrapText="1"/>
    </xf>
    <xf numFmtId="0" fontId="12" fillId="3" borderId="14"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8" xfId="0" applyFont="1" applyFill="1" applyBorder="1" applyAlignment="1">
      <alignment horizontal="center" vertical="center"/>
    </xf>
    <xf numFmtId="0" fontId="12"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0" fillId="0" borderId="0" xfId="0" applyAlignment="1">
      <alignment horizontal="center"/>
    </xf>
    <xf numFmtId="0" fontId="0" fillId="0" borderId="17" xfId="0" applyBorder="1" applyAlignment="1">
      <alignment horizontal="center"/>
    </xf>
    <xf numFmtId="0" fontId="23" fillId="0" borderId="0" xfId="3" applyAlignment="1">
      <alignment horizontal="center"/>
    </xf>
    <xf numFmtId="0" fontId="0" fillId="0" borderId="14" xfId="0" applyBorder="1" applyAlignment="1">
      <alignment horizontal="center" wrapText="1"/>
    </xf>
    <xf numFmtId="0" fontId="0" fillId="0" borderId="12"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26" xfId="0" applyBorder="1" applyAlignment="1">
      <alignment horizontal="center"/>
    </xf>
    <xf numFmtId="0" fontId="0" fillId="0" borderId="8" xfId="0" applyBorder="1" applyAlignment="1">
      <alignment horizontal="center"/>
    </xf>
    <xf numFmtId="0" fontId="0" fillId="0" borderId="27" xfId="0" applyBorder="1" applyAlignment="1">
      <alignment horizontal="center"/>
    </xf>
    <xf numFmtId="0" fontId="0" fillId="0" borderId="12"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0" xfId="0" applyAlignment="1">
      <alignment horizontal="center" wrapText="1"/>
    </xf>
    <xf numFmtId="0" fontId="0" fillId="0" borderId="17" xfId="0" applyBorder="1" applyAlignment="1">
      <alignment horizontal="center" wrapText="1"/>
    </xf>
    <xf numFmtId="0" fontId="0" fillId="0" borderId="26" xfId="0" applyBorder="1" applyAlignment="1">
      <alignment horizontal="center" wrapText="1"/>
    </xf>
    <xf numFmtId="0" fontId="0" fillId="0" borderId="8" xfId="0" applyBorder="1" applyAlignment="1">
      <alignment horizontal="center" wrapText="1"/>
    </xf>
    <xf numFmtId="0" fontId="0" fillId="0" borderId="27" xfId="0" applyBorder="1" applyAlignment="1">
      <alignment horizontal="center" wrapText="1"/>
    </xf>
    <xf numFmtId="0" fontId="0" fillId="2" borderId="14" xfId="0" applyFill="1" applyBorder="1" applyAlignment="1">
      <alignment horizontal="center" vertical="center" wrapText="1"/>
    </xf>
    <xf numFmtId="0" fontId="0" fillId="2" borderId="12" xfId="0" applyFill="1" applyBorder="1" applyAlignment="1">
      <alignment horizontal="center" vertic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0" xfId="0" applyFill="1" applyAlignment="1">
      <alignment horizontal="center" vertical="center"/>
    </xf>
    <xf numFmtId="0" fontId="0" fillId="2" borderId="17" xfId="0" applyFill="1" applyBorder="1" applyAlignment="1">
      <alignment horizontal="center" vertical="center"/>
    </xf>
    <xf numFmtId="0" fontId="0" fillId="2" borderId="26" xfId="0" applyFill="1" applyBorder="1" applyAlignment="1">
      <alignment horizontal="center" vertical="center"/>
    </xf>
    <xf numFmtId="0" fontId="0" fillId="2" borderId="8" xfId="0" applyFill="1" applyBorder="1" applyAlignment="1">
      <alignment horizontal="center" vertical="center"/>
    </xf>
    <xf numFmtId="0" fontId="0" fillId="2" borderId="27" xfId="0" applyFill="1" applyBorder="1" applyAlignment="1">
      <alignment horizontal="center" vertical="center"/>
    </xf>
    <xf numFmtId="0" fontId="14" fillId="2" borderId="0" xfId="0" applyFont="1" applyFill="1" applyAlignment="1">
      <alignment horizontal="center"/>
    </xf>
    <xf numFmtId="0" fontId="14" fillId="2" borderId="17" xfId="0" applyFont="1" applyFill="1"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26" xfId="0" applyBorder="1" applyAlignment="1">
      <alignment horizontal="center" vertical="center" wrapText="1"/>
    </xf>
    <xf numFmtId="0" fontId="0" fillId="0" borderId="8" xfId="0" applyBorder="1" applyAlignment="1">
      <alignment horizontal="center" vertical="center" wrapText="1"/>
    </xf>
    <xf numFmtId="0" fontId="0" fillId="0" borderId="27" xfId="0" applyBorder="1" applyAlignment="1">
      <alignment horizontal="center" vertical="center" wrapText="1"/>
    </xf>
    <xf numFmtId="0" fontId="12" fillId="0" borderId="0" xfId="0" applyFont="1" applyAlignment="1">
      <alignment horizontal="center" wrapText="1"/>
    </xf>
    <xf numFmtId="0" fontId="12" fillId="0" borderId="0" xfId="0" applyFont="1" applyAlignment="1">
      <alignment horizontal="center"/>
    </xf>
    <xf numFmtId="0" fontId="12" fillId="0" borderId="17" xfId="0" applyFont="1" applyBorder="1" applyAlignment="1">
      <alignment horizontal="center"/>
    </xf>
    <xf numFmtId="165" fontId="4" fillId="2" borderId="1" xfId="1" applyFont="1" applyFill="1" applyBorder="1" applyAlignment="1">
      <alignment wrapText="1"/>
    </xf>
    <xf numFmtId="165" fontId="4" fillId="2" borderId="1" xfId="1" applyFont="1" applyFill="1" applyBorder="1" applyAlignment="1"/>
    <xf numFmtId="170" fontId="4" fillId="2" borderId="1" xfId="1" applyNumberFormat="1" applyFont="1" applyFill="1" applyBorder="1"/>
    <xf numFmtId="170" fontId="4" fillId="2" borderId="1" xfId="0" applyNumberFormat="1" applyFont="1" applyFill="1" applyBorder="1"/>
  </cellXfs>
  <cellStyles count="4">
    <cellStyle name="Hipervínculo" xfId="3" builtinId="8"/>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80009</xdr:rowOff>
    </xdr:from>
    <xdr:to>
      <xdr:col>0</xdr:col>
      <xdr:colOff>2400300</xdr:colOff>
      <xdr:row>6</xdr:row>
      <xdr:rowOff>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80009"/>
          <a:ext cx="2362200" cy="1348741"/>
        </a:xfrm>
        <a:prstGeom prst="rect">
          <a:avLst/>
        </a:prstGeom>
        <a:noFill/>
        <a:ln>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5"/>
  <sheetViews>
    <sheetView topLeftCell="A11" workbookViewId="0">
      <selection activeCell="A14" sqref="A14:E17"/>
    </sheetView>
  </sheetViews>
  <sheetFormatPr baseColWidth="10" defaultRowHeight="15" x14ac:dyDescent="0.25"/>
  <cols>
    <col min="1" max="1" width="37.5703125" customWidth="1"/>
    <col min="2" max="2" width="24.7109375" customWidth="1"/>
    <col min="3" max="3" width="15.85546875" hidden="1" customWidth="1"/>
    <col min="4" max="4" width="21.28515625" customWidth="1"/>
    <col min="5" max="5" width="15.140625" customWidth="1"/>
    <col min="6" max="6" width="14.5703125" bestFit="1" customWidth="1"/>
    <col min="7" max="7" width="13.140625" bestFit="1" customWidth="1"/>
    <col min="9" max="9" width="14.140625" bestFit="1" customWidth="1"/>
    <col min="11" max="11" width="18" customWidth="1"/>
    <col min="12" max="12" width="18.28515625" customWidth="1"/>
  </cols>
  <sheetData>
    <row r="1" spans="1:5" ht="15.75" thickBot="1" x14ac:dyDescent="0.3">
      <c r="A1" s="237"/>
      <c r="B1" s="232" t="s">
        <v>170</v>
      </c>
      <c r="C1" s="233"/>
      <c r="D1" s="233"/>
      <c r="E1" s="234"/>
    </row>
    <row r="2" spans="1:5" ht="15.75" thickBot="1" x14ac:dyDescent="0.3">
      <c r="A2" s="238"/>
      <c r="B2" s="232" t="s">
        <v>172</v>
      </c>
      <c r="C2" s="233"/>
      <c r="D2" s="233"/>
      <c r="E2" s="234"/>
    </row>
    <row r="3" spans="1:5" ht="32.25" customHeight="1" thickBot="1" x14ac:dyDescent="0.3">
      <c r="A3" s="238"/>
      <c r="B3" s="229" t="s">
        <v>168</v>
      </c>
      <c r="C3" s="230"/>
      <c r="D3" s="230"/>
      <c r="E3" s="231"/>
    </row>
    <row r="4" spans="1:5" ht="15.75" thickBot="1" x14ac:dyDescent="0.3">
      <c r="A4" s="238"/>
      <c r="B4" s="104" t="s">
        <v>169</v>
      </c>
      <c r="C4" s="103"/>
      <c r="D4" s="103"/>
      <c r="E4" s="103"/>
    </row>
    <row r="5" spans="1:5" ht="16.899999999999999" customHeight="1" thickBot="1" x14ac:dyDescent="0.3">
      <c r="A5" s="238"/>
      <c r="B5" s="107" t="s">
        <v>27</v>
      </c>
      <c r="C5" s="105"/>
      <c r="D5" s="105"/>
      <c r="E5" s="106"/>
    </row>
    <row r="6" spans="1:5" ht="16.899999999999999" customHeight="1" thickBot="1" x14ac:dyDescent="0.3">
      <c r="A6" s="238"/>
      <c r="B6" s="108" t="s">
        <v>167</v>
      </c>
      <c r="C6" s="105"/>
      <c r="D6" s="105"/>
      <c r="E6" s="106"/>
    </row>
    <row r="7" spans="1:5" ht="15.75" thickBot="1" x14ac:dyDescent="0.3">
      <c r="A7" s="239"/>
      <c r="B7" s="235" t="s">
        <v>171</v>
      </c>
      <c r="C7" s="235"/>
      <c r="D7" s="235"/>
      <c r="E7" s="236"/>
    </row>
    <row r="9" spans="1:5" ht="14.45" customHeight="1" x14ac:dyDescent="0.25">
      <c r="A9" s="228" t="s">
        <v>328</v>
      </c>
      <c r="B9" s="228"/>
      <c r="C9" s="228"/>
      <c r="D9" s="228"/>
      <c r="E9" s="228"/>
    </row>
    <row r="10" spans="1:5" ht="14.45" customHeight="1" x14ac:dyDescent="0.25">
      <c r="A10" s="228"/>
      <c r="B10" s="228"/>
      <c r="C10" s="228"/>
      <c r="D10" s="228"/>
      <c r="E10" s="228"/>
    </row>
    <row r="11" spans="1:5" ht="14.45" customHeight="1" x14ac:dyDescent="0.25">
      <c r="A11" s="228"/>
      <c r="B11" s="228"/>
      <c r="C11" s="228"/>
      <c r="D11" s="228"/>
      <c r="E11" s="228"/>
    </row>
    <row r="13" spans="1:5" ht="14.45" hidden="1" customHeight="1" x14ac:dyDescent="0.25"/>
    <row r="14" spans="1:5" ht="15" customHeight="1" x14ac:dyDescent="0.25">
      <c r="A14" s="240" t="s">
        <v>365</v>
      </c>
      <c r="B14" s="240"/>
      <c r="C14" s="240"/>
      <c r="D14" s="240"/>
      <c r="E14" s="240"/>
    </row>
    <row r="15" spans="1:5" ht="15" customHeight="1" x14ac:dyDescent="0.25">
      <c r="A15" s="240"/>
      <c r="B15" s="240"/>
      <c r="C15" s="240"/>
      <c r="D15" s="240"/>
      <c r="E15" s="240"/>
    </row>
    <row r="16" spans="1:5" ht="15" customHeight="1" x14ac:dyDescent="0.25">
      <c r="A16" s="240"/>
      <c r="B16" s="240"/>
      <c r="C16" s="240"/>
      <c r="D16" s="240"/>
      <c r="E16" s="240"/>
    </row>
    <row r="17" spans="1:8" ht="243" customHeight="1" x14ac:dyDescent="0.25">
      <c r="A17" s="240"/>
      <c r="B17" s="240"/>
      <c r="C17" s="240"/>
      <c r="D17" s="240"/>
      <c r="E17" s="240"/>
    </row>
    <row r="18" spans="1:8" ht="14.25" customHeight="1" thickBot="1" x14ac:dyDescent="0.3"/>
    <row r="19" spans="1:8" ht="14.45" hidden="1" customHeight="1" x14ac:dyDescent="0.25">
      <c r="A19" s="2"/>
    </row>
    <row r="20" spans="1:8" ht="15" hidden="1" customHeight="1" thickBot="1" x14ac:dyDescent="0.3"/>
    <row r="21" spans="1:8" x14ac:dyDescent="0.25">
      <c r="A21" s="7" t="s">
        <v>6</v>
      </c>
      <c r="B21" s="8"/>
      <c r="C21" s="9"/>
      <c r="D21" s="6"/>
      <c r="E21" s="10"/>
    </row>
    <row r="22" spans="1:8" x14ac:dyDescent="0.25">
      <c r="A22" s="23" t="s">
        <v>19</v>
      </c>
      <c r="B22" s="23"/>
      <c r="C22" s="23"/>
      <c r="D22" s="21"/>
      <c r="E22" s="21"/>
    </row>
    <row r="23" spans="1:8" ht="50.25" customHeight="1" x14ac:dyDescent="0.25">
      <c r="A23" s="220" t="s">
        <v>360</v>
      </c>
      <c r="B23" s="221"/>
      <c r="C23" s="3"/>
      <c r="D23" s="189">
        <f>278245.84+656129.71-2000</f>
        <v>932375.55</v>
      </c>
      <c r="E23" s="54" t="s">
        <v>208</v>
      </c>
      <c r="G23" s="219"/>
    </row>
    <row r="24" spans="1:8" x14ac:dyDescent="0.25">
      <c r="A24" s="3" t="s">
        <v>359</v>
      </c>
      <c r="B24" s="3"/>
      <c r="C24" s="3"/>
      <c r="D24" s="189">
        <v>-278245.84000000003</v>
      </c>
      <c r="E24" s="54"/>
      <c r="G24" s="11"/>
    </row>
    <row r="25" spans="1:8" x14ac:dyDescent="0.25">
      <c r="A25" s="3" t="s">
        <v>362</v>
      </c>
      <c r="B25" s="3"/>
      <c r="C25" s="3"/>
      <c r="D25" s="189">
        <v>0</v>
      </c>
      <c r="E25" s="54"/>
      <c r="G25" s="11"/>
    </row>
    <row r="26" spans="1:8" ht="30" customHeight="1" x14ac:dyDescent="0.25">
      <c r="A26" s="222" t="s">
        <v>361</v>
      </c>
      <c r="B26" s="223"/>
      <c r="C26" s="3"/>
      <c r="D26" s="189">
        <v>2032430.16</v>
      </c>
      <c r="E26" s="54" t="s">
        <v>224</v>
      </c>
      <c r="G26" s="11"/>
    </row>
    <row r="27" spans="1:8" x14ac:dyDescent="0.25">
      <c r="A27" s="3" t="s">
        <v>363</v>
      </c>
      <c r="B27" s="3"/>
      <c r="C27" s="3"/>
      <c r="D27" s="189">
        <v>-442053.55</v>
      </c>
      <c r="E27" s="54"/>
      <c r="G27" s="11"/>
    </row>
    <row r="28" spans="1:8" x14ac:dyDescent="0.25">
      <c r="A28" s="3" t="s">
        <v>364</v>
      </c>
      <c r="B28" s="3"/>
      <c r="C28" s="3"/>
      <c r="D28" s="189">
        <v>0.39</v>
      </c>
      <c r="E28" s="54"/>
      <c r="G28" s="11"/>
    </row>
    <row r="29" spans="1:8" x14ac:dyDescent="0.25">
      <c r="A29" s="41" t="s">
        <v>20</v>
      </c>
      <c r="B29" s="41"/>
      <c r="C29" s="41"/>
      <c r="D29" s="72">
        <f>SUM(D23:D28)</f>
        <v>2244506.7100000004</v>
      </c>
      <c r="E29" s="55"/>
      <c r="G29" s="11"/>
      <c r="H29" s="219"/>
    </row>
    <row r="30" spans="1:8" ht="32.25" customHeight="1" x14ac:dyDescent="0.25">
      <c r="A30" s="220" t="s">
        <v>353</v>
      </c>
      <c r="B30" s="221"/>
      <c r="C30" s="3"/>
      <c r="D30" s="189">
        <v>630000</v>
      </c>
      <c r="E30" s="54" t="s">
        <v>209</v>
      </c>
      <c r="G30" s="11"/>
    </row>
    <row r="31" spans="1:8" x14ac:dyDescent="0.25">
      <c r="A31" s="41" t="s">
        <v>20</v>
      </c>
      <c r="B31" s="41"/>
      <c r="C31" s="41"/>
      <c r="D31" s="72">
        <f>SUM(D30:D30)</f>
        <v>630000</v>
      </c>
      <c r="E31" s="55"/>
      <c r="G31" s="11"/>
    </row>
    <row r="32" spans="1:8" ht="18" customHeight="1" thickBot="1" x14ac:dyDescent="0.3">
      <c r="A32" s="92" t="s">
        <v>186</v>
      </c>
      <c r="B32" s="92"/>
      <c r="C32" s="92"/>
      <c r="D32" s="94"/>
      <c r="E32" s="136">
        <f>D29+D31</f>
        <v>2874506.7100000004</v>
      </c>
      <c r="F32" s="11"/>
    </row>
    <row r="33" spans="1:9" x14ac:dyDescent="0.25">
      <c r="A33" s="21" t="s">
        <v>192</v>
      </c>
      <c r="B33" s="22"/>
      <c r="C33" s="22"/>
      <c r="D33" s="25"/>
      <c r="E33" s="46"/>
    </row>
    <row r="34" spans="1:9" s="29" customFormat="1" ht="15" customHeight="1" x14ac:dyDescent="0.25">
      <c r="A34" s="3" t="s">
        <v>24</v>
      </c>
      <c r="B34" s="3"/>
      <c r="C34" s="39"/>
      <c r="D34" s="306">
        <v>587634.47</v>
      </c>
      <c r="E34" s="71" t="s">
        <v>210</v>
      </c>
      <c r="G34" s="85"/>
    </row>
    <row r="35" spans="1:9" s="29" customFormat="1" ht="15" customHeight="1" x14ac:dyDescent="0.25">
      <c r="A35" s="167" t="s">
        <v>28</v>
      </c>
      <c r="B35" s="3" t="s">
        <v>12</v>
      </c>
      <c r="C35" s="39"/>
      <c r="D35" s="306">
        <v>57568.1</v>
      </c>
      <c r="E35" s="71" t="s">
        <v>261</v>
      </c>
      <c r="G35" s="85"/>
    </row>
    <row r="36" spans="1:9" s="29" customFormat="1" ht="15" customHeight="1" x14ac:dyDescent="0.25">
      <c r="A36" s="167" t="str">
        <f>A35</f>
        <v>Sindicatos mes de MAYO</v>
      </c>
      <c r="B36" s="3" t="s">
        <v>21</v>
      </c>
      <c r="C36" s="39"/>
      <c r="D36" s="306">
        <v>107153.92</v>
      </c>
      <c r="E36" s="71" t="str">
        <f>E35</f>
        <v>Debito 12/06</v>
      </c>
      <c r="G36" s="85"/>
    </row>
    <row r="37" spans="1:9" ht="15" customHeight="1" x14ac:dyDescent="0.25">
      <c r="A37" s="167" t="str">
        <f>A36</f>
        <v>Sindicatos mes de MAYO</v>
      </c>
      <c r="B37" s="3" t="s">
        <v>11</v>
      </c>
      <c r="C37" s="39"/>
      <c r="D37" s="307">
        <v>6396.46</v>
      </c>
      <c r="E37" s="71" t="str">
        <f>E36</f>
        <v>Debito 12/06</v>
      </c>
      <c r="H37" s="75"/>
    </row>
    <row r="38" spans="1:9" ht="15.75" thickBot="1" x14ac:dyDescent="0.3">
      <c r="A38" s="92" t="s">
        <v>160</v>
      </c>
      <c r="B38" s="92"/>
      <c r="C38" s="92"/>
      <c r="D38" s="93"/>
      <c r="E38" s="137">
        <f>SUM(D34:D37)</f>
        <v>758752.95</v>
      </c>
    </row>
    <row r="39" spans="1:9" x14ac:dyDescent="0.25">
      <c r="A39" s="23" t="s">
        <v>185</v>
      </c>
      <c r="B39" s="18"/>
      <c r="C39" s="18"/>
      <c r="D39" s="28"/>
      <c r="E39" s="58"/>
    </row>
    <row r="40" spans="1:9" ht="31.9" customHeight="1" x14ac:dyDescent="0.25">
      <c r="A40" s="225" t="s">
        <v>193</v>
      </c>
      <c r="B40" s="227"/>
      <c r="C40" s="3"/>
      <c r="D40" s="70">
        <v>14585.38</v>
      </c>
      <c r="E40" s="65" t="s">
        <v>262</v>
      </c>
    </row>
    <row r="41" spans="1:9" ht="31.9" customHeight="1" x14ac:dyDescent="0.25">
      <c r="A41" s="225" t="s">
        <v>194</v>
      </c>
      <c r="B41" s="227"/>
      <c r="C41" s="3"/>
      <c r="D41" s="70"/>
      <c r="E41" s="66"/>
    </row>
    <row r="42" spans="1:9" ht="15" customHeight="1" thickBot="1" x14ac:dyDescent="0.3">
      <c r="A42" s="92" t="s">
        <v>161</v>
      </c>
      <c r="B42" s="95"/>
      <c r="C42" s="95"/>
      <c r="D42" s="96"/>
      <c r="E42" s="137">
        <f>SUM(D40:D41)</f>
        <v>14585.38</v>
      </c>
    </row>
    <row r="43" spans="1:9" ht="15" customHeight="1" thickBot="1" x14ac:dyDescent="0.3">
      <c r="A43" s="134" t="s">
        <v>195</v>
      </c>
      <c r="B43" s="17"/>
      <c r="C43" s="17"/>
      <c r="D43" s="27"/>
      <c r="E43" s="60"/>
    </row>
    <row r="44" spans="1:9" ht="33.950000000000003" customHeight="1" x14ac:dyDescent="0.25">
      <c r="A44" s="225" t="s">
        <v>211</v>
      </c>
      <c r="B44" s="226"/>
      <c r="C44" s="44"/>
      <c r="D44" s="70">
        <v>37662663.359999999</v>
      </c>
      <c r="E44" s="83" t="s">
        <v>346</v>
      </c>
      <c r="G44" t="s">
        <v>347</v>
      </c>
      <c r="I44" s="81"/>
    </row>
    <row r="45" spans="1:9" ht="33.950000000000003" customHeight="1" x14ac:dyDescent="0.25">
      <c r="A45" s="225" t="s">
        <v>212</v>
      </c>
      <c r="B45" s="226"/>
      <c r="C45" s="44"/>
      <c r="D45" s="70">
        <f>2926171.84</f>
        <v>2926171.84</v>
      </c>
      <c r="E45" s="83" t="s">
        <v>346</v>
      </c>
      <c r="G45" s="81"/>
    </row>
    <row r="46" spans="1:9" ht="33.950000000000003" customHeight="1" x14ac:dyDescent="0.25">
      <c r="A46" s="225" t="s">
        <v>220</v>
      </c>
      <c r="B46" s="226"/>
      <c r="C46" s="44"/>
      <c r="D46" s="70">
        <v>4132637.28</v>
      </c>
      <c r="E46" s="84" t="s">
        <v>221</v>
      </c>
    </row>
    <row r="47" spans="1:9" ht="17.45" customHeight="1" x14ac:dyDescent="0.25">
      <c r="A47" s="92" t="s">
        <v>196</v>
      </c>
      <c r="B47" s="97"/>
      <c r="C47" s="97"/>
      <c r="D47" s="98"/>
      <c r="E47" s="138">
        <f>SUM(D44:D46)</f>
        <v>44721472.480000004</v>
      </c>
    </row>
    <row r="48" spans="1:9" ht="17.45" customHeight="1" x14ac:dyDescent="0.25">
      <c r="A48" s="134" t="s">
        <v>197</v>
      </c>
      <c r="B48" s="134"/>
      <c r="C48" s="134" t="s">
        <v>195</v>
      </c>
      <c r="D48" s="190"/>
      <c r="E48" s="134"/>
    </row>
    <row r="49" spans="1:9" ht="33.950000000000003" customHeight="1" x14ac:dyDescent="0.25">
      <c r="A49" s="225" t="s">
        <v>250</v>
      </c>
      <c r="B49" s="226"/>
      <c r="C49" s="44"/>
      <c r="D49" s="70">
        <v>984869.82</v>
      </c>
      <c r="E49" s="84" t="s">
        <v>221</v>
      </c>
    </row>
    <row r="50" spans="1:9" ht="33.950000000000003" customHeight="1" x14ac:dyDescent="0.25">
      <c r="A50" s="225" t="s">
        <v>251</v>
      </c>
      <c r="B50" s="226"/>
      <c r="C50" s="44"/>
      <c r="D50" s="70">
        <v>346550</v>
      </c>
      <c r="E50" s="165" t="s">
        <v>252</v>
      </c>
    </row>
    <row r="51" spans="1:9" ht="33.950000000000003" customHeight="1" x14ac:dyDescent="0.25">
      <c r="A51" s="225" t="s">
        <v>253</v>
      </c>
      <c r="B51" s="226"/>
      <c r="C51" s="44"/>
      <c r="D51" s="70">
        <v>23330</v>
      </c>
      <c r="E51" s="165" t="s">
        <v>257</v>
      </c>
      <c r="F51" s="34"/>
    </row>
    <row r="52" spans="1:9" ht="33.950000000000003" customHeight="1" x14ac:dyDescent="0.25">
      <c r="A52" s="225" t="s">
        <v>254</v>
      </c>
      <c r="B52" s="226"/>
      <c r="C52" s="44"/>
      <c r="D52" s="70">
        <v>18956</v>
      </c>
      <c r="E52" s="165" t="str">
        <f>E51</f>
        <v>Tranf 17/06</v>
      </c>
    </row>
    <row r="53" spans="1:9" ht="33.950000000000003" customHeight="1" x14ac:dyDescent="0.25">
      <c r="A53" s="225" t="s">
        <v>255</v>
      </c>
      <c r="B53" s="226"/>
      <c r="C53" s="44"/>
      <c r="D53" s="70">
        <v>453992</v>
      </c>
      <c r="E53" s="165" t="str">
        <f t="shared" ref="E53:E54" si="0">E52</f>
        <v>Tranf 17/06</v>
      </c>
    </row>
    <row r="54" spans="1:9" ht="46.5" customHeight="1" x14ac:dyDescent="0.25">
      <c r="A54" s="225" t="s">
        <v>256</v>
      </c>
      <c r="B54" s="226"/>
      <c r="C54" s="44"/>
      <c r="D54" s="70">
        <v>459800</v>
      </c>
      <c r="E54" s="165" t="str">
        <f t="shared" si="0"/>
        <v>Tranf 17/06</v>
      </c>
    </row>
    <row r="55" spans="1:9" ht="33.950000000000003" customHeight="1" x14ac:dyDescent="0.25">
      <c r="A55" s="225" t="s">
        <v>245</v>
      </c>
      <c r="B55" s="227"/>
      <c r="C55" s="44"/>
      <c r="D55" s="70">
        <v>1100000</v>
      </c>
      <c r="E55" s="67" t="s">
        <v>208</v>
      </c>
    </row>
    <row r="56" spans="1:9" ht="33.950000000000003" customHeight="1" x14ac:dyDescent="0.25">
      <c r="A56" s="225" t="s">
        <v>311</v>
      </c>
      <c r="B56" s="227"/>
      <c r="C56" s="40"/>
      <c r="D56" s="70">
        <v>4800000</v>
      </c>
      <c r="E56" s="67" t="s">
        <v>208</v>
      </c>
    </row>
    <row r="57" spans="1:9" ht="33.950000000000003" customHeight="1" x14ac:dyDescent="0.25">
      <c r="A57" s="225" t="s">
        <v>235</v>
      </c>
      <c r="B57" s="227"/>
      <c r="C57" s="40"/>
      <c r="D57" s="70">
        <v>1040539.5</v>
      </c>
      <c r="E57" s="83" t="s">
        <v>224</v>
      </c>
    </row>
    <row r="58" spans="1:9" ht="33.950000000000003" customHeight="1" x14ac:dyDescent="0.25">
      <c r="A58" s="225" t="s">
        <v>166</v>
      </c>
      <c r="B58" s="227"/>
      <c r="C58" s="40"/>
      <c r="D58" s="70">
        <v>130350</v>
      </c>
      <c r="E58" s="83" t="s">
        <v>224</v>
      </c>
    </row>
    <row r="59" spans="1:9" ht="33.950000000000003" customHeight="1" x14ac:dyDescent="0.25">
      <c r="A59" s="225" t="s">
        <v>238</v>
      </c>
      <c r="B59" s="227"/>
      <c r="C59" s="40"/>
      <c r="D59" s="70">
        <v>423147.19</v>
      </c>
      <c r="E59" s="83" t="s">
        <v>233</v>
      </c>
    </row>
    <row r="60" spans="1:9" ht="33.950000000000003" customHeight="1" x14ac:dyDescent="0.25">
      <c r="A60" s="225" t="s">
        <v>239</v>
      </c>
      <c r="B60" s="227"/>
      <c r="C60" s="40"/>
      <c r="D60" s="70">
        <v>150000</v>
      </c>
      <c r="E60" s="83" t="s">
        <v>233</v>
      </c>
    </row>
    <row r="61" spans="1:9" ht="33.950000000000003" customHeight="1" x14ac:dyDescent="0.25">
      <c r="A61" s="225" t="s">
        <v>242</v>
      </c>
      <c r="B61" s="227"/>
      <c r="C61" s="40"/>
      <c r="D61" s="70">
        <v>60000</v>
      </c>
      <c r="E61" s="83" t="s">
        <v>221</v>
      </c>
      <c r="I61" s="75"/>
    </row>
    <row r="62" spans="1:9" ht="33.950000000000003" customHeight="1" x14ac:dyDescent="0.25">
      <c r="A62" s="225" t="s">
        <v>241</v>
      </c>
      <c r="B62" s="227"/>
      <c r="C62" s="40"/>
      <c r="D62" s="70">
        <v>125000</v>
      </c>
      <c r="E62" s="83" t="s">
        <v>221</v>
      </c>
    </row>
    <row r="63" spans="1:9" ht="33.950000000000003" customHeight="1" x14ac:dyDescent="0.25">
      <c r="A63" s="225" t="s">
        <v>240</v>
      </c>
      <c r="B63" s="227"/>
      <c r="C63" s="40"/>
      <c r="D63" s="70">
        <v>60000</v>
      </c>
      <c r="E63" s="83" t="s">
        <v>221</v>
      </c>
    </row>
    <row r="64" spans="1:9" ht="33.950000000000003" customHeight="1" x14ac:dyDescent="0.25">
      <c r="A64" s="220" t="s">
        <v>232</v>
      </c>
      <c r="B64" s="221"/>
      <c r="C64" s="3"/>
      <c r="D64" s="308">
        <v>85000</v>
      </c>
      <c r="E64" s="67" t="s">
        <v>231</v>
      </c>
    </row>
    <row r="65" spans="1:10" ht="33.950000000000003" customHeight="1" x14ac:dyDescent="0.25">
      <c r="A65" s="225" t="s">
        <v>230</v>
      </c>
      <c r="B65" s="227"/>
      <c r="C65" s="3"/>
      <c r="D65" s="70">
        <v>300000</v>
      </c>
      <c r="E65" s="83" t="s">
        <v>231</v>
      </c>
    </row>
    <row r="66" spans="1:10" ht="33.950000000000003" customHeight="1" x14ac:dyDescent="0.25">
      <c r="A66" s="225" t="s">
        <v>310</v>
      </c>
      <c r="B66" s="227"/>
      <c r="C66" s="3"/>
      <c r="D66" s="70">
        <v>0</v>
      </c>
      <c r="E66" s="83"/>
      <c r="I66" s="220"/>
      <c r="J66" s="221"/>
    </row>
    <row r="67" spans="1:10" ht="15.75" thickBot="1" x14ac:dyDescent="0.3">
      <c r="A67" s="92" t="s">
        <v>198</v>
      </c>
      <c r="B67" s="97"/>
      <c r="C67" s="97"/>
      <c r="D67" s="98"/>
      <c r="E67" s="138">
        <f>SUM(D49:D66)</f>
        <v>10561534.51</v>
      </c>
    </row>
    <row r="68" spans="1:10" ht="15.75" thickBot="1" x14ac:dyDescent="0.3">
      <c r="A68" s="23" t="s">
        <v>199</v>
      </c>
      <c r="B68" s="45"/>
      <c r="C68" s="17"/>
      <c r="D68" s="19"/>
      <c r="E68" s="60"/>
    </row>
    <row r="69" spans="1:10" x14ac:dyDescent="0.25">
      <c r="A69" s="3" t="s">
        <v>227</v>
      </c>
      <c r="B69" s="3"/>
      <c r="C69" s="3"/>
      <c r="D69" s="308">
        <v>10000</v>
      </c>
      <c r="E69" s="67" t="s">
        <v>226</v>
      </c>
    </row>
    <row r="70" spans="1:10" x14ac:dyDescent="0.25">
      <c r="A70" s="3" t="s">
        <v>227</v>
      </c>
      <c r="B70" s="133"/>
      <c r="C70" s="3"/>
      <c r="D70" s="308">
        <v>6570</v>
      </c>
      <c r="E70" s="67" t="s">
        <v>348</v>
      </c>
    </row>
    <row r="71" spans="1:10" x14ac:dyDescent="0.25">
      <c r="A71" s="132" t="s">
        <v>349</v>
      </c>
      <c r="B71" s="133"/>
      <c r="C71" s="3"/>
      <c r="D71" s="308">
        <v>40000</v>
      </c>
      <c r="E71" s="67" t="s">
        <v>350</v>
      </c>
    </row>
    <row r="72" spans="1:10" x14ac:dyDescent="0.25">
      <c r="A72" s="132" t="s">
        <v>243</v>
      </c>
      <c r="B72" s="133"/>
      <c r="C72" s="3"/>
      <c r="D72" s="308">
        <v>80000</v>
      </c>
      <c r="E72" s="83" t="s">
        <v>221</v>
      </c>
    </row>
    <row r="73" spans="1:10" ht="30" customHeight="1" x14ac:dyDescent="0.25">
      <c r="A73" s="220" t="s">
        <v>258</v>
      </c>
      <c r="B73" s="221"/>
      <c r="C73" s="3"/>
      <c r="D73" s="308">
        <v>384731.6</v>
      </c>
      <c r="E73" s="166" t="s">
        <v>259</v>
      </c>
    </row>
    <row r="74" spans="1:10" ht="30.75" customHeight="1" x14ac:dyDescent="0.25">
      <c r="A74" s="222" t="s">
        <v>234</v>
      </c>
      <c r="B74" s="223"/>
      <c r="C74" s="3"/>
      <c r="D74" s="308">
        <v>156000</v>
      </c>
      <c r="E74" s="67" t="s">
        <v>233</v>
      </c>
    </row>
    <row r="75" spans="1:10" x14ac:dyDescent="0.25">
      <c r="A75" s="3" t="s">
        <v>225</v>
      </c>
      <c r="B75" s="3"/>
      <c r="C75" s="3"/>
      <c r="D75" s="308">
        <v>568700</v>
      </c>
      <c r="E75" s="64" t="s">
        <v>209</v>
      </c>
    </row>
    <row r="76" spans="1:10" ht="15.75" thickBot="1" x14ac:dyDescent="0.3">
      <c r="A76" s="99" t="s">
        <v>200</v>
      </c>
      <c r="B76" s="99"/>
      <c r="C76" s="99"/>
      <c r="D76" s="100"/>
      <c r="E76" s="137">
        <f>SUM(D69:D75)</f>
        <v>1246001.6000000001</v>
      </c>
    </row>
    <row r="77" spans="1:10" x14ac:dyDescent="0.25">
      <c r="A77" s="23" t="s">
        <v>13</v>
      </c>
      <c r="B77" s="23"/>
      <c r="C77" s="23"/>
      <c r="D77" s="24"/>
      <c r="E77" s="56"/>
    </row>
    <row r="78" spans="1:10" ht="15.75" thickBot="1" x14ac:dyDescent="0.3">
      <c r="A78" s="225" t="s">
        <v>207</v>
      </c>
      <c r="B78" s="227"/>
      <c r="C78" s="3"/>
      <c r="D78" s="309">
        <v>1780000</v>
      </c>
      <c r="E78" s="57" t="s">
        <v>312</v>
      </c>
    </row>
    <row r="79" spans="1:10" ht="15.75" thickBot="1" x14ac:dyDescent="0.3">
      <c r="A79" s="92" t="s">
        <v>162</v>
      </c>
      <c r="B79" s="92"/>
      <c r="C79" s="92"/>
      <c r="D79" s="93"/>
      <c r="E79" s="139">
        <f>SUM(D78:D78)</f>
        <v>1780000</v>
      </c>
    </row>
    <row r="80" spans="1:10" ht="15.75" thickBot="1" x14ac:dyDescent="0.3">
      <c r="A80" s="23" t="s">
        <v>8</v>
      </c>
      <c r="B80" s="45"/>
      <c r="C80" s="17"/>
      <c r="D80" s="19"/>
      <c r="E80" s="60"/>
    </row>
    <row r="81" spans="1:7" x14ac:dyDescent="0.25">
      <c r="A81" s="3" t="s">
        <v>25</v>
      </c>
      <c r="B81" s="3"/>
      <c r="C81" s="3"/>
      <c r="D81" s="70">
        <v>1009765.19</v>
      </c>
      <c r="E81" s="67"/>
    </row>
    <row r="82" spans="1:7" x14ac:dyDescent="0.25">
      <c r="A82" s="3" t="s">
        <v>26</v>
      </c>
      <c r="B82" s="3"/>
      <c r="C82" s="3"/>
      <c r="D82" s="70">
        <v>44400</v>
      </c>
      <c r="E82" s="64"/>
    </row>
    <row r="83" spans="1:7" x14ac:dyDescent="0.25">
      <c r="A83" s="140" t="s">
        <v>163</v>
      </c>
      <c r="B83" s="140"/>
      <c r="C83" s="140"/>
      <c r="D83" s="141"/>
      <c r="E83" s="142">
        <f>SUM(D81:D82)</f>
        <v>1054165.19</v>
      </c>
    </row>
    <row r="84" spans="1:7" x14ac:dyDescent="0.25">
      <c r="A84" s="3"/>
      <c r="B84" s="3"/>
      <c r="C84" s="3"/>
      <c r="D84" s="54"/>
      <c r="E84" s="147"/>
    </row>
    <row r="85" spans="1:7" x14ac:dyDescent="0.25">
      <c r="A85" s="3"/>
      <c r="B85" s="3"/>
      <c r="C85" s="3"/>
      <c r="D85" s="54"/>
      <c r="E85" s="147"/>
      <c r="F85" s="34"/>
      <c r="G85" s="82"/>
    </row>
    <row r="86" spans="1:7" ht="15.75" thickBot="1" x14ac:dyDescent="0.3">
      <c r="A86" s="143" t="s">
        <v>9</v>
      </c>
      <c r="B86" s="144"/>
      <c r="C86" s="145"/>
      <c r="D86" s="146"/>
      <c r="E86" s="217">
        <f>(SUM(E32:E84))</f>
        <v>63011018.82</v>
      </c>
      <c r="F86" s="81"/>
    </row>
    <row r="87" spans="1:7" x14ac:dyDescent="0.25">
      <c r="D87" s="68"/>
      <c r="E87" s="68"/>
    </row>
    <row r="88" spans="1:7" x14ac:dyDescent="0.25">
      <c r="D88" s="68"/>
      <c r="E88" s="68"/>
    </row>
    <row r="89" spans="1:7" x14ac:dyDescent="0.25">
      <c r="A89" s="88" t="s">
        <v>10</v>
      </c>
      <c r="B89" s="89"/>
      <c r="C89" s="89"/>
      <c r="D89" s="90"/>
      <c r="E89" s="90"/>
    </row>
    <row r="90" spans="1:7" ht="31.5" customHeight="1" x14ac:dyDescent="0.25">
      <c r="A90" s="222" t="s">
        <v>236</v>
      </c>
      <c r="B90" s="223"/>
      <c r="C90" s="3"/>
      <c r="D90" s="87">
        <v>25118.54</v>
      </c>
      <c r="E90" s="54" t="s">
        <v>237</v>
      </c>
    </row>
    <row r="91" spans="1:7" ht="30" customHeight="1" x14ac:dyDescent="0.25">
      <c r="A91" s="220" t="s">
        <v>228</v>
      </c>
      <c r="B91" s="221"/>
      <c r="C91" s="3"/>
      <c r="D91" s="87">
        <v>911968.54</v>
      </c>
      <c r="E91" s="54" t="s">
        <v>229</v>
      </c>
    </row>
    <row r="92" spans="1:7" ht="38.25" customHeight="1" x14ac:dyDescent="0.25">
      <c r="A92" s="220" t="s">
        <v>244</v>
      </c>
      <c r="B92" s="221"/>
      <c r="C92" s="3"/>
      <c r="D92" s="87">
        <v>5242.58</v>
      </c>
      <c r="E92" s="54" t="s">
        <v>237</v>
      </c>
    </row>
    <row r="93" spans="1:7" ht="33.75" customHeight="1" x14ac:dyDescent="0.25">
      <c r="A93" s="220" t="s">
        <v>222</v>
      </c>
      <c r="B93" s="221"/>
      <c r="C93" s="3"/>
      <c r="D93" s="87">
        <v>40218.019999999997</v>
      </c>
      <c r="E93" s="54" t="s">
        <v>223</v>
      </c>
    </row>
    <row r="94" spans="1:7" x14ac:dyDescent="0.25">
      <c r="A94" s="88" t="s">
        <v>5</v>
      </c>
      <c r="B94" s="89"/>
      <c r="C94" s="89"/>
      <c r="D94" s="90"/>
      <c r="E94" s="91">
        <f>SUM(D90:D93)</f>
        <v>982547.68</v>
      </c>
    </row>
    <row r="95" spans="1:7" ht="15.75" thickBot="1" x14ac:dyDescent="0.3">
      <c r="D95" s="68"/>
      <c r="E95" s="68"/>
    </row>
    <row r="96" spans="1:7" x14ac:dyDescent="0.25">
      <c r="A96" s="126" t="s">
        <v>22</v>
      </c>
      <c r="B96" s="127"/>
      <c r="C96" s="128"/>
      <c r="D96" s="129"/>
      <c r="E96" s="130"/>
    </row>
    <row r="97" spans="1:6" ht="29.25" customHeight="1" x14ac:dyDescent="0.25">
      <c r="A97" s="225" t="s">
        <v>313</v>
      </c>
      <c r="B97" s="227"/>
      <c r="C97" s="3"/>
      <c r="D97" s="62">
        <v>17690939</v>
      </c>
      <c r="E97" s="59" t="s">
        <v>233</v>
      </c>
    </row>
    <row r="98" spans="1:6" x14ac:dyDescent="0.25">
      <c r="A98" s="61"/>
      <c r="B98" s="63"/>
      <c r="C98" s="3"/>
      <c r="D98" s="62"/>
      <c r="E98" s="59"/>
    </row>
    <row r="99" spans="1:6" x14ac:dyDescent="0.25">
      <c r="A99" s="61"/>
      <c r="B99" s="63"/>
      <c r="C99" s="3"/>
      <c r="D99" s="62"/>
      <c r="E99" s="59"/>
    </row>
    <row r="100" spans="1:6" x14ac:dyDescent="0.25">
      <c r="A100" s="61"/>
      <c r="B100" s="63"/>
      <c r="C100" s="3"/>
      <c r="D100" s="62"/>
      <c r="E100" s="59"/>
    </row>
    <row r="101" spans="1:6" ht="15.75" thickBot="1" x14ac:dyDescent="0.3">
      <c r="A101" s="168"/>
      <c r="B101" s="169"/>
      <c r="C101" s="86"/>
      <c r="D101" s="170"/>
      <c r="E101" s="171"/>
    </row>
    <row r="102" spans="1:6" ht="15.75" thickBot="1" x14ac:dyDescent="0.3">
      <c r="A102" s="148" t="s">
        <v>5</v>
      </c>
      <c r="B102" s="172"/>
      <c r="C102" s="172"/>
      <c r="D102" s="173"/>
      <c r="E102" s="218">
        <f>SUM(D97:D101)</f>
        <v>17690939</v>
      </c>
    </row>
    <row r="103" spans="1:6" ht="15" customHeight="1" x14ac:dyDescent="0.25"/>
    <row r="104" spans="1:6" ht="15.75" hidden="1" thickBot="1" x14ac:dyDescent="0.3"/>
    <row r="105" spans="1:6" ht="15.75" thickBot="1" x14ac:dyDescent="0.3"/>
    <row r="106" spans="1:6" ht="15.75" thickBot="1" x14ac:dyDescent="0.3">
      <c r="A106" s="148" t="s">
        <v>14</v>
      </c>
      <c r="B106" s="149"/>
      <c r="C106" s="150"/>
      <c r="D106" s="150"/>
      <c r="E106" s="151">
        <f>E102</f>
        <v>17690939</v>
      </c>
    </row>
    <row r="107" spans="1:6" ht="15.75" thickBot="1" x14ac:dyDescent="0.3"/>
    <row r="108" spans="1:6" x14ac:dyDescent="0.25">
      <c r="A108" s="152" t="s">
        <v>214</v>
      </c>
      <c r="B108" s="153"/>
      <c r="C108" s="154"/>
      <c r="D108" s="155"/>
      <c r="E108" s="156"/>
    </row>
    <row r="109" spans="1:6" ht="30" customHeight="1" x14ac:dyDescent="0.25">
      <c r="A109" s="220" t="s">
        <v>216</v>
      </c>
      <c r="B109" s="221"/>
      <c r="C109" s="3"/>
      <c r="D109" s="62">
        <v>94392.639999999999</v>
      </c>
      <c r="E109" s="59"/>
    </row>
    <row r="110" spans="1:6" ht="30" customHeight="1" x14ac:dyDescent="0.25">
      <c r="A110" s="220" t="s">
        <v>217</v>
      </c>
      <c r="B110" s="221"/>
      <c r="C110" s="3"/>
      <c r="D110" s="62">
        <v>82593.56</v>
      </c>
      <c r="E110" s="59"/>
    </row>
    <row r="111" spans="1:6" ht="30" customHeight="1" x14ac:dyDescent="0.25">
      <c r="A111" s="220" t="s">
        <v>218</v>
      </c>
      <c r="B111" s="221"/>
      <c r="C111" s="3"/>
      <c r="D111" s="62">
        <v>82593.56</v>
      </c>
      <c r="E111" s="59"/>
    </row>
    <row r="112" spans="1:6" ht="30" customHeight="1" x14ac:dyDescent="0.25">
      <c r="A112" s="220" t="s">
        <v>219</v>
      </c>
      <c r="B112" s="221"/>
      <c r="C112" s="3"/>
      <c r="D112" s="62">
        <v>82593.56</v>
      </c>
      <c r="E112" s="59"/>
      <c r="F112" s="34"/>
    </row>
    <row r="113" spans="1:5" ht="30" customHeight="1" x14ac:dyDescent="0.25">
      <c r="A113" s="220" t="s">
        <v>246</v>
      </c>
      <c r="B113" s="221"/>
      <c r="C113" s="3"/>
      <c r="D113" s="62">
        <v>15795</v>
      </c>
      <c r="E113" s="59"/>
    </row>
    <row r="114" spans="1:5" ht="30" customHeight="1" x14ac:dyDescent="0.25">
      <c r="A114" s="220" t="s">
        <v>247</v>
      </c>
      <c r="B114" s="221"/>
      <c r="C114" s="3"/>
      <c r="D114" s="62">
        <v>15795</v>
      </c>
      <c r="E114" s="59"/>
    </row>
    <row r="115" spans="1:5" ht="30" customHeight="1" x14ac:dyDescent="0.25">
      <c r="A115" s="220" t="s">
        <v>248</v>
      </c>
      <c r="B115" s="221"/>
      <c r="C115" s="3"/>
      <c r="D115" s="62">
        <v>15795</v>
      </c>
      <c r="E115" s="59"/>
    </row>
    <row r="116" spans="1:5" ht="30" customHeight="1" x14ac:dyDescent="0.25">
      <c r="A116" s="220" t="s">
        <v>354</v>
      </c>
      <c r="B116" s="221"/>
      <c r="C116" s="3"/>
      <c r="D116" s="70">
        <v>561419</v>
      </c>
      <c r="E116" s="59"/>
    </row>
    <row r="117" spans="1:5" x14ac:dyDescent="0.25">
      <c r="A117" s="157" t="s">
        <v>5</v>
      </c>
      <c r="B117" s="158"/>
      <c r="C117" s="158"/>
      <c r="D117" s="159"/>
      <c r="E117" s="164">
        <f>SUM(D109:D116)</f>
        <v>950977.32000000007</v>
      </c>
    </row>
    <row r="120" spans="1:5" ht="15.75" thickBot="1" x14ac:dyDescent="0.3"/>
    <row r="121" spans="1:5" ht="15.75" thickBot="1" x14ac:dyDescent="0.3">
      <c r="A121" s="160" t="s">
        <v>215</v>
      </c>
      <c r="B121" s="161"/>
      <c r="C121" s="162"/>
      <c r="D121" s="162"/>
      <c r="E121" s="163">
        <f>E117</f>
        <v>950977.32000000007</v>
      </c>
    </row>
    <row r="123" spans="1:5" ht="15.75" thickBot="1" x14ac:dyDescent="0.3"/>
    <row r="124" spans="1:5" ht="15.75" thickBot="1" x14ac:dyDescent="0.3">
      <c r="A124" s="52" t="s">
        <v>201</v>
      </c>
      <c r="B124" s="53">
        <f>E86</f>
        <v>63011018.82</v>
      </c>
    </row>
    <row r="125" spans="1:5" ht="15.75" thickBot="1" x14ac:dyDescent="0.3">
      <c r="A125" s="52" t="s">
        <v>22</v>
      </c>
      <c r="B125" s="53">
        <f>E106</f>
        <v>17690939</v>
      </c>
    </row>
    <row r="126" spans="1:5" ht="15.75" thickBot="1" x14ac:dyDescent="0.3">
      <c r="A126" s="101" t="s">
        <v>164</v>
      </c>
      <c r="B126" s="102">
        <f>E94</f>
        <v>982547.68</v>
      </c>
    </row>
    <row r="127" spans="1:5" ht="34.5" customHeight="1" thickBot="1" x14ac:dyDescent="0.3">
      <c r="A127" s="135" t="s">
        <v>332</v>
      </c>
      <c r="B127" s="102">
        <f>B126+B124</f>
        <v>63993566.5</v>
      </c>
    </row>
    <row r="128" spans="1:5" ht="73.5" customHeight="1" x14ac:dyDescent="0.25"/>
    <row r="129" spans="1:6" x14ac:dyDescent="0.25">
      <c r="A129" s="35" t="s">
        <v>345</v>
      </c>
      <c r="B129" s="76"/>
      <c r="C129" s="12"/>
    </row>
    <row r="130" spans="1:6" x14ac:dyDescent="0.25">
      <c r="A130" s="20" t="s">
        <v>336</v>
      </c>
      <c r="B130" s="191">
        <v>95048732.219999999</v>
      </c>
      <c r="C130" s="14"/>
    </row>
    <row r="131" spans="1:6" x14ac:dyDescent="0.25">
      <c r="A131" s="13" t="s">
        <v>337</v>
      </c>
      <c r="B131" s="31">
        <f>PRORRATEO!F159</f>
        <v>87198015.159999996</v>
      </c>
      <c r="C131" s="12"/>
    </row>
    <row r="132" spans="1:6" x14ac:dyDescent="0.25">
      <c r="A132" s="13" t="s">
        <v>327</v>
      </c>
      <c r="B132" s="31">
        <v>135000</v>
      </c>
      <c r="C132" s="12"/>
    </row>
    <row r="133" spans="1:6" ht="36.75" customHeight="1" x14ac:dyDescent="0.25">
      <c r="A133" s="16" t="s">
        <v>358</v>
      </c>
      <c r="B133" s="64">
        <f>B164</f>
        <v>5277889.5599999996</v>
      </c>
      <c r="C133" s="12"/>
    </row>
    <row r="134" spans="1:6" x14ac:dyDescent="0.25">
      <c r="A134" s="73" t="s">
        <v>23</v>
      </c>
      <c r="B134" s="37"/>
      <c r="C134" s="12"/>
      <c r="E134" s="81"/>
    </row>
    <row r="135" spans="1:6" x14ac:dyDescent="0.25">
      <c r="A135" s="73" t="s">
        <v>213</v>
      </c>
      <c r="B135" s="37">
        <f>-E121</f>
        <v>-950977.32000000007</v>
      </c>
      <c r="C135" s="12"/>
    </row>
    <row r="136" spans="1:6" x14ac:dyDescent="0.25">
      <c r="A136" s="30" t="s">
        <v>165</v>
      </c>
      <c r="B136" s="37">
        <f>-E94</f>
        <v>-982547.68</v>
      </c>
      <c r="C136" s="12"/>
    </row>
    <row r="137" spans="1:6" x14ac:dyDescent="0.25">
      <c r="A137" s="30" t="s">
        <v>15</v>
      </c>
      <c r="B137" s="37">
        <f>-E86</f>
        <v>-63011018.82</v>
      </c>
      <c r="C137" s="12"/>
      <c r="E137" s="81"/>
    </row>
    <row r="138" spans="1:6" ht="25.5" x14ac:dyDescent="0.25">
      <c r="A138" s="30" t="s">
        <v>357</v>
      </c>
      <c r="B138" s="37">
        <f>-595000-58290.14</f>
        <v>-653290.14</v>
      </c>
      <c r="C138" s="12"/>
      <c r="E138" s="81"/>
    </row>
    <row r="139" spans="1:6" ht="42" customHeight="1" x14ac:dyDescent="0.25">
      <c r="A139" s="30" t="s">
        <v>344</v>
      </c>
      <c r="B139" s="64">
        <f>-B145</f>
        <v>96788.01999999999</v>
      </c>
      <c r="C139" s="12"/>
      <c r="F139" s="81"/>
    </row>
    <row r="140" spans="1:6" x14ac:dyDescent="0.25">
      <c r="A140" s="16" t="s">
        <v>339</v>
      </c>
      <c r="B140" s="37">
        <f>-E106</f>
        <v>-17690939</v>
      </c>
      <c r="C140" s="12"/>
    </row>
    <row r="141" spans="1:6" x14ac:dyDescent="0.25">
      <c r="A141" s="79" t="s">
        <v>5</v>
      </c>
      <c r="B141" s="80">
        <f>SUM(B130:B140)</f>
        <v>104467652</v>
      </c>
      <c r="C141" s="15"/>
      <c r="D141" s="34"/>
    </row>
    <row r="142" spans="1:6" x14ac:dyDescent="0.25">
      <c r="B142" s="32"/>
      <c r="C142" s="15"/>
      <c r="D142" s="34"/>
      <c r="E142" s="77"/>
      <c r="F142" s="78"/>
    </row>
    <row r="143" spans="1:6" x14ac:dyDescent="0.25">
      <c r="A143" s="214" t="s">
        <v>342</v>
      </c>
      <c r="B143" s="215">
        <v>0</v>
      </c>
      <c r="C143" s="15"/>
      <c r="D143" s="34"/>
      <c r="E143" s="77"/>
      <c r="F143" s="78"/>
    </row>
    <row r="144" spans="1:6" ht="30" customHeight="1" x14ac:dyDescent="0.25">
      <c r="A144" s="216" t="s">
        <v>343</v>
      </c>
      <c r="B144" s="26">
        <f>-D93-D69-D70-D71</f>
        <v>-96788.01999999999</v>
      </c>
      <c r="C144" s="15"/>
      <c r="D144" s="34"/>
      <c r="E144" s="77"/>
      <c r="F144" s="78"/>
    </row>
    <row r="145" spans="1:6" x14ac:dyDescent="0.25">
      <c r="A145" s="214" t="s">
        <v>5</v>
      </c>
      <c r="B145" s="215">
        <f>SUM(B143:B144)</f>
        <v>-96788.01999999999</v>
      </c>
      <c r="C145" s="15"/>
      <c r="D145" s="34"/>
      <c r="E145" s="77"/>
      <c r="F145" s="78"/>
    </row>
    <row r="146" spans="1:6" ht="15.75" thickBot="1" x14ac:dyDescent="0.3">
      <c r="B146" s="32"/>
      <c r="C146" s="15"/>
      <c r="D146" s="34"/>
      <c r="E146" s="77"/>
      <c r="F146" s="78"/>
    </row>
    <row r="147" spans="1:6" x14ac:dyDescent="0.25">
      <c r="A147" s="192" t="s">
        <v>333</v>
      </c>
      <c r="B147" s="193"/>
      <c r="C147" s="15"/>
      <c r="D147" s="34"/>
      <c r="E147" s="77"/>
      <c r="F147" s="78"/>
    </row>
    <row r="148" spans="1:6" x14ac:dyDescent="0.25">
      <c r="A148" s="206" t="s">
        <v>341</v>
      </c>
      <c r="B148" s="207">
        <v>30000000</v>
      </c>
      <c r="C148" s="15"/>
      <c r="D148" s="34"/>
      <c r="E148" s="77"/>
      <c r="F148" s="78"/>
    </row>
    <row r="149" spans="1:6" x14ac:dyDescent="0.25">
      <c r="A149" s="3"/>
      <c r="B149" s="26"/>
      <c r="C149" s="15"/>
      <c r="D149" s="34"/>
      <c r="E149" s="77"/>
      <c r="F149" s="78"/>
    </row>
    <row r="150" spans="1:6" x14ac:dyDescent="0.25">
      <c r="A150" s="3"/>
      <c r="B150" s="26"/>
      <c r="C150" s="15"/>
      <c r="D150" s="34"/>
      <c r="E150" s="77"/>
      <c r="F150" s="78"/>
    </row>
    <row r="151" spans="1:6" ht="15.75" thickBot="1" x14ac:dyDescent="0.3">
      <c r="A151" s="194" t="s">
        <v>334</v>
      </c>
      <c r="B151" s="195">
        <v>31873233.789999999</v>
      </c>
      <c r="C151" s="15"/>
      <c r="D151" s="34"/>
      <c r="E151" s="77"/>
      <c r="F151" s="78"/>
    </row>
    <row r="152" spans="1:6" x14ac:dyDescent="0.25">
      <c r="B152" s="32"/>
      <c r="C152" s="15"/>
      <c r="D152" s="34"/>
      <c r="E152" s="77"/>
      <c r="F152" s="78"/>
    </row>
    <row r="153" spans="1:6" x14ac:dyDescent="0.25">
      <c r="B153" s="32"/>
      <c r="C153" s="15"/>
      <c r="D153" s="34"/>
      <c r="E153" s="77"/>
      <c r="F153" s="78"/>
    </row>
    <row r="154" spans="1:6" x14ac:dyDescent="0.25">
      <c r="B154" s="32"/>
      <c r="C154" s="15"/>
      <c r="D154" s="34"/>
      <c r="E154" s="77"/>
      <c r="F154" s="78"/>
    </row>
    <row r="155" spans="1:6" x14ac:dyDescent="0.25">
      <c r="A155" s="224" t="s">
        <v>18</v>
      </c>
      <c r="B155" s="224"/>
      <c r="C155" s="224"/>
    </row>
    <row r="156" spans="1:6" x14ac:dyDescent="0.25">
      <c r="A156" s="224"/>
      <c r="B156" s="224"/>
      <c r="C156" s="224"/>
    </row>
    <row r="157" spans="1:6" ht="34.5" customHeight="1" x14ac:dyDescent="0.25">
      <c r="A157" s="187" t="s">
        <v>321</v>
      </c>
      <c r="B157" s="87">
        <v>650000</v>
      </c>
      <c r="C157" s="26">
        <v>11948.17</v>
      </c>
    </row>
    <row r="158" spans="1:6" ht="36.75" customHeight="1" x14ac:dyDescent="0.25">
      <c r="A158" s="187" t="s">
        <v>322</v>
      </c>
      <c r="B158" s="87">
        <v>1225690.6000000001</v>
      </c>
      <c r="C158" s="26"/>
    </row>
    <row r="159" spans="1:6" ht="36.75" customHeight="1" x14ac:dyDescent="0.25">
      <c r="A159" s="188" t="s">
        <v>323</v>
      </c>
      <c r="B159" s="87">
        <v>646812.19999999995</v>
      </c>
      <c r="C159" s="26"/>
    </row>
    <row r="160" spans="1:6" ht="33.75" customHeight="1" x14ac:dyDescent="0.25">
      <c r="A160" s="188" t="s">
        <v>323</v>
      </c>
      <c r="B160" s="87">
        <v>663440.65</v>
      </c>
      <c r="C160" s="26">
        <v>61209</v>
      </c>
    </row>
    <row r="161" spans="1:13" ht="33.75" customHeight="1" x14ac:dyDescent="0.25">
      <c r="A161" s="188" t="s">
        <v>325</v>
      </c>
      <c r="B161" s="87">
        <v>663440.66</v>
      </c>
      <c r="C161" s="186"/>
    </row>
    <row r="162" spans="1:13" ht="33.75" customHeight="1" x14ac:dyDescent="0.25">
      <c r="A162" s="188" t="s">
        <v>324</v>
      </c>
      <c r="B162" s="87">
        <v>620000</v>
      </c>
      <c r="C162" s="186"/>
    </row>
    <row r="163" spans="1:13" ht="33.75" customHeight="1" x14ac:dyDescent="0.25">
      <c r="A163" s="188" t="s">
        <v>326</v>
      </c>
      <c r="B163" s="87">
        <v>808505.45</v>
      </c>
      <c r="C163" s="186"/>
    </row>
    <row r="164" spans="1:13" x14ac:dyDescent="0.25">
      <c r="A164" s="35" t="s">
        <v>5</v>
      </c>
      <c r="B164" s="69">
        <f>SUM(B157:B163)</f>
        <v>5277889.5599999996</v>
      </c>
      <c r="C164" s="36"/>
    </row>
    <row r="165" spans="1:13" x14ac:dyDescent="0.25">
      <c r="M165" s="5"/>
    </row>
  </sheetData>
  <mergeCells count="51">
    <mergeCell ref="A116:B116"/>
    <mergeCell ref="A9:E11"/>
    <mergeCell ref="B3:E3"/>
    <mergeCell ref="B1:E1"/>
    <mergeCell ref="B2:E2"/>
    <mergeCell ref="B7:E7"/>
    <mergeCell ref="A1:A7"/>
    <mergeCell ref="A14:E17"/>
    <mergeCell ref="A30:B30"/>
    <mergeCell ref="A91:B91"/>
    <mergeCell ref="A78:B78"/>
    <mergeCell ref="A74:B74"/>
    <mergeCell ref="A111:B111"/>
    <mergeCell ref="A109:B109"/>
    <mergeCell ref="A110:B110"/>
    <mergeCell ref="I66:J66"/>
    <mergeCell ref="A40:B40"/>
    <mergeCell ref="A41:B41"/>
    <mergeCell ref="A46:B46"/>
    <mergeCell ref="A50:B50"/>
    <mergeCell ref="A51:B51"/>
    <mergeCell ref="A52:B52"/>
    <mergeCell ref="A53:B53"/>
    <mergeCell ref="A54:B54"/>
    <mergeCell ref="A49:B49"/>
    <mergeCell ref="A63:B63"/>
    <mergeCell ref="A62:B62"/>
    <mergeCell ref="A61:B61"/>
    <mergeCell ref="A55:B55"/>
    <mergeCell ref="A155:C156"/>
    <mergeCell ref="A44:B44"/>
    <mergeCell ref="A97:B97"/>
    <mergeCell ref="A56:B56"/>
    <mergeCell ref="A66:B66"/>
    <mergeCell ref="A65:B65"/>
    <mergeCell ref="A58:B58"/>
    <mergeCell ref="A45:B45"/>
    <mergeCell ref="A57:B57"/>
    <mergeCell ref="A60:B60"/>
    <mergeCell ref="A59:B59"/>
    <mergeCell ref="A64:B64"/>
    <mergeCell ref="A90:B90"/>
    <mergeCell ref="A92:B92"/>
    <mergeCell ref="A73:B73"/>
    <mergeCell ref="A93:B93"/>
    <mergeCell ref="A23:B23"/>
    <mergeCell ref="A26:B26"/>
    <mergeCell ref="A112:B112"/>
    <mergeCell ref="A115:B115"/>
    <mergeCell ref="A114:B114"/>
    <mergeCell ref="A113:B113"/>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67"/>
  <sheetViews>
    <sheetView tabSelected="1" topLeftCell="B156" zoomScale="80" zoomScaleNormal="80" workbookViewId="0">
      <selection activeCell="C162" sqref="C162:P167"/>
    </sheetView>
  </sheetViews>
  <sheetFormatPr baseColWidth="10" defaultRowHeight="15" x14ac:dyDescent="0.25"/>
  <cols>
    <col min="1" max="1" width="4.28515625" hidden="1" customWidth="1"/>
    <col min="2" max="2" width="4.28515625" customWidth="1"/>
    <col min="3" max="3" width="25.7109375" customWidth="1"/>
    <col min="4" max="4" width="8.140625" customWidth="1"/>
    <col min="5" max="5" width="14.140625" customWidth="1"/>
    <col min="6" max="6" width="12.42578125" customWidth="1"/>
    <col min="7" max="7" width="11.7109375" customWidth="1"/>
    <col min="8" max="8" width="9.5703125" customWidth="1"/>
    <col min="9" max="9" width="11.42578125" customWidth="1"/>
    <col min="10" max="10" width="11.7109375" bestFit="1" customWidth="1"/>
    <col min="11" max="11" width="14" customWidth="1"/>
    <col min="12" max="12" width="13" customWidth="1"/>
    <col min="13" max="13" width="15" customWidth="1"/>
    <col min="14" max="15" width="12.7109375" customWidth="1"/>
    <col min="16" max="16" width="14.7109375" customWidth="1"/>
    <col min="17" max="17" width="5.28515625" customWidth="1"/>
    <col min="18" max="18" width="6.140625" hidden="1" customWidth="1"/>
    <col min="19" max="19" width="12" bestFit="1" customWidth="1"/>
    <col min="20" max="20" width="13" bestFit="1" customWidth="1"/>
    <col min="23" max="23" width="16" bestFit="1" customWidth="1"/>
  </cols>
  <sheetData>
    <row r="1" spans="1:23" ht="27.75" customHeight="1" x14ac:dyDescent="0.25">
      <c r="A1" s="4"/>
      <c r="B1" s="4"/>
      <c r="C1" s="208"/>
      <c r="D1" s="246"/>
      <c r="E1" s="246"/>
      <c r="F1" s="252"/>
      <c r="G1" s="252"/>
      <c r="H1" s="209"/>
      <c r="I1" s="209"/>
      <c r="J1" s="209"/>
      <c r="K1" s="247"/>
      <c r="L1" s="247"/>
      <c r="M1" s="209"/>
      <c r="N1" s="209" t="s">
        <v>157</v>
      </c>
      <c r="O1" s="210"/>
      <c r="P1" s="252">
        <v>30000000</v>
      </c>
      <c r="Q1" s="252"/>
      <c r="R1" s="11"/>
    </row>
    <row r="2" spans="1:23" ht="30" customHeight="1" thickBot="1" x14ac:dyDescent="0.3">
      <c r="A2" s="4"/>
      <c r="B2" s="4"/>
      <c r="C2" s="254" t="s">
        <v>330</v>
      </c>
      <c r="D2" s="254"/>
      <c r="E2" s="254"/>
      <c r="F2" s="209"/>
      <c r="G2" s="251">
        <f>W2</f>
        <v>23533705.533149999</v>
      </c>
      <c r="H2" s="251"/>
      <c r="I2" s="209" t="s">
        <v>0</v>
      </c>
      <c r="J2" s="209"/>
      <c r="K2" s="251">
        <v>63993566.5</v>
      </c>
      <c r="L2" s="251"/>
      <c r="M2" s="211"/>
      <c r="N2" s="212" t="s">
        <v>249</v>
      </c>
      <c r="O2" s="211"/>
      <c r="P2" s="253">
        <v>5000000</v>
      </c>
      <c r="Q2" s="253"/>
      <c r="T2" t="s">
        <v>335</v>
      </c>
      <c r="W2" s="81">
        <f>((K2+P2)*D144)+((K2+P2)*D145)</f>
        <v>23533705.533149999</v>
      </c>
    </row>
    <row r="3" spans="1:23" ht="43.5" customHeight="1" x14ac:dyDescent="0.25">
      <c r="A3" s="259" t="s">
        <v>1</v>
      </c>
      <c r="B3" s="261" t="s">
        <v>2</v>
      </c>
      <c r="C3" s="261" t="s">
        <v>3</v>
      </c>
      <c r="D3" s="261" t="s">
        <v>7</v>
      </c>
      <c r="E3" s="249" t="s">
        <v>202</v>
      </c>
      <c r="F3" s="261" t="s">
        <v>4</v>
      </c>
      <c r="G3" s="263" t="s">
        <v>17</v>
      </c>
      <c r="H3" s="249" t="s">
        <v>338</v>
      </c>
      <c r="I3" s="249" t="s">
        <v>16</v>
      </c>
      <c r="J3" s="249" t="s">
        <v>249</v>
      </c>
      <c r="K3" s="249" t="s">
        <v>203</v>
      </c>
      <c r="L3" s="249" t="s">
        <v>158</v>
      </c>
      <c r="M3" s="249" t="s">
        <v>205</v>
      </c>
      <c r="N3" s="249" t="s">
        <v>204</v>
      </c>
      <c r="O3" s="249" t="s">
        <v>159</v>
      </c>
      <c r="P3" s="255" t="s">
        <v>340</v>
      </c>
      <c r="Q3" s="256"/>
      <c r="T3" s="34"/>
    </row>
    <row r="4" spans="1:23" ht="44.25" customHeight="1" x14ac:dyDescent="0.25">
      <c r="A4" s="260"/>
      <c r="B4" s="262"/>
      <c r="C4" s="262"/>
      <c r="D4" s="262"/>
      <c r="E4" s="250"/>
      <c r="F4" s="262"/>
      <c r="G4" s="264"/>
      <c r="H4" s="250"/>
      <c r="I4" s="250"/>
      <c r="J4" s="250"/>
      <c r="K4" s="250"/>
      <c r="L4" s="250"/>
      <c r="M4" s="250"/>
      <c r="N4" s="250"/>
      <c r="O4" s="250"/>
      <c r="P4" s="257"/>
      <c r="Q4" s="258"/>
    </row>
    <row r="5" spans="1:23" ht="24.95" customHeight="1" x14ac:dyDescent="0.25">
      <c r="A5" s="43"/>
      <c r="B5" s="43">
        <v>1</v>
      </c>
      <c r="C5" s="42" t="s">
        <v>29</v>
      </c>
      <c r="D5" s="47">
        <v>4.5999999999999999E-3</v>
      </c>
      <c r="E5" s="48">
        <v>656594.35</v>
      </c>
      <c r="F5" s="74">
        <f>E5</f>
        <v>656594.35</v>
      </c>
      <c r="G5" s="174">
        <f t="shared" ref="G5:G68" si="0">E5-F5</f>
        <v>0</v>
      </c>
      <c r="H5" s="49">
        <f>IF(G5&gt;0,G5*3.087%,0)</f>
        <v>0</v>
      </c>
      <c r="I5" s="50">
        <f>K$2*D5</f>
        <v>294370.40590000001</v>
      </c>
      <c r="J5" s="50">
        <f t="shared" ref="J5:J36" si="1">P$2*D5</f>
        <v>23000</v>
      </c>
      <c r="K5" s="50">
        <f>G$2*0.675675676%</f>
        <v>159011.52394896065</v>
      </c>
      <c r="L5" s="50">
        <f>P$1*0.675675676%</f>
        <v>202702.7028</v>
      </c>
      <c r="M5" s="50">
        <f>G$1*D5</f>
        <v>0</v>
      </c>
      <c r="N5" s="50">
        <v>0</v>
      </c>
      <c r="O5" s="50"/>
      <c r="P5" s="241">
        <f t="shared" ref="P5:P36" si="2">ROUND(SUM(G5:O5),0) + R5</f>
        <v>679085.01</v>
      </c>
      <c r="Q5" s="241"/>
      <c r="R5" s="34">
        <f t="shared" ref="R5:R36" si="3">ROUND(0.001+B5/100,2)</f>
        <v>0.01</v>
      </c>
      <c r="T5" t="s">
        <v>298</v>
      </c>
    </row>
    <row r="6" spans="1:23" ht="24.95" customHeight="1" x14ac:dyDescent="0.25">
      <c r="A6" s="43"/>
      <c r="B6" s="43">
        <f>B5+1</f>
        <v>2</v>
      </c>
      <c r="C6" s="42" t="s">
        <v>30</v>
      </c>
      <c r="D6" s="47">
        <v>4.5999999999999999E-3</v>
      </c>
      <c r="E6" s="48">
        <v>1433618.22</v>
      </c>
      <c r="F6" s="74">
        <f>621765</f>
        <v>621765</v>
      </c>
      <c r="G6" s="174">
        <f t="shared" si="0"/>
        <v>811853.22</v>
      </c>
      <c r="H6" s="49">
        <f>IF(G6&gt;0,G6*3.087%,0)</f>
        <v>25061.908901400002</v>
      </c>
      <c r="I6" s="50">
        <f t="shared" ref="I6:I37" si="4">K$2*D6</f>
        <v>294370.40590000001</v>
      </c>
      <c r="J6" s="50">
        <f t="shared" si="1"/>
        <v>23000</v>
      </c>
      <c r="K6" s="50">
        <f t="shared" ref="K6:K69" si="5">G$2*0.675675676%</f>
        <v>159011.52394896065</v>
      </c>
      <c r="L6" s="50">
        <f t="shared" ref="L6:L69" si="6">P$1*0.675675676%</f>
        <v>202702.7028</v>
      </c>
      <c r="M6" s="50">
        <f t="shared" ref="M6:M69" si="7">G$1*D6</f>
        <v>0</v>
      </c>
      <c r="N6" s="50">
        <v>0</v>
      </c>
      <c r="O6" s="50"/>
      <c r="P6" s="241">
        <f t="shared" si="2"/>
        <v>1516000.02</v>
      </c>
      <c r="Q6" s="241"/>
      <c r="R6" s="34">
        <f t="shared" si="3"/>
        <v>0.02</v>
      </c>
    </row>
    <row r="7" spans="1:23" ht="24.95" customHeight="1" x14ac:dyDescent="0.25">
      <c r="A7" s="43"/>
      <c r="B7" s="43">
        <f t="shared" ref="B7:B36" si="8">B6+1</f>
        <v>3</v>
      </c>
      <c r="C7" s="42" t="s">
        <v>31</v>
      </c>
      <c r="D7" s="47">
        <v>4.5999999999999999E-3</v>
      </c>
      <c r="E7" s="48">
        <v>656594.35</v>
      </c>
      <c r="F7" s="74">
        <f t="shared" ref="F7:F44" si="9">E7</f>
        <v>656594.35</v>
      </c>
      <c r="G7" s="174">
        <f t="shared" si="0"/>
        <v>0</v>
      </c>
      <c r="H7" s="49">
        <f t="shared" ref="H7:H70" si="10">IF(G7&gt;0,G7*3.087%,0)</f>
        <v>0</v>
      </c>
      <c r="I7" s="50">
        <f t="shared" si="4"/>
        <v>294370.40590000001</v>
      </c>
      <c r="J7" s="50">
        <f t="shared" si="1"/>
        <v>23000</v>
      </c>
      <c r="K7" s="50">
        <f t="shared" si="5"/>
        <v>159011.52394896065</v>
      </c>
      <c r="L7" s="50">
        <f t="shared" si="6"/>
        <v>202702.7028</v>
      </c>
      <c r="M7" s="50">
        <f t="shared" si="7"/>
        <v>0</v>
      </c>
      <c r="N7" s="50">
        <v>0</v>
      </c>
      <c r="O7" s="50"/>
      <c r="P7" s="241">
        <f t="shared" si="2"/>
        <v>679085.03</v>
      </c>
      <c r="Q7" s="241"/>
      <c r="R7" s="34">
        <f t="shared" si="3"/>
        <v>0.03</v>
      </c>
      <c r="U7" t="s">
        <v>279</v>
      </c>
    </row>
    <row r="8" spans="1:23" ht="24.95" customHeight="1" x14ac:dyDescent="0.25">
      <c r="A8" s="43"/>
      <c r="B8" s="43">
        <f t="shared" si="8"/>
        <v>4</v>
      </c>
      <c r="C8" s="42" t="s">
        <v>184</v>
      </c>
      <c r="D8" s="47">
        <v>4.7000000000000002E-3</v>
      </c>
      <c r="E8" s="48">
        <v>663440.65</v>
      </c>
      <c r="F8" s="74">
        <v>670000</v>
      </c>
      <c r="G8" s="174">
        <f t="shared" si="0"/>
        <v>-6559.3499999999767</v>
      </c>
      <c r="H8" s="49">
        <f t="shared" si="10"/>
        <v>0</v>
      </c>
      <c r="I8" s="50">
        <f t="shared" si="4"/>
        <v>300769.76254999998</v>
      </c>
      <c r="J8" s="50">
        <f t="shared" si="1"/>
        <v>23500</v>
      </c>
      <c r="K8" s="50">
        <f t="shared" si="5"/>
        <v>159011.52394896065</v>
      </c>
      <c r="L8" s="50">
        <f t="shared" si="6"/>
        <v>202702.7028</v>
      </c>
      <c r="M8" s="50">
        <f t="shared" si="7"/>
        <v>0</v>
      </c>
      <c r="N8" s="50">
        <v>0</v>
      </c>
      <c r="O8" s="50"/>
      <c r="P8" s="241">
        <f t="shared" si="2"/>
        <v>679425.04</v>
      </c>
      <c r="Q8" s="241"/>
      <c r="R8" s="34">
        <f t="shared" si="3"/>
        <v>0.04</v>
      </c>
    </row>
    <row r="9" spans="1:23" ht="24.95" customHeight="1" x14ac:dyDescent="0.25">
      <c r="A9" s="43"/>
      <c r="B9" s="43">
        <f t="shared" si="8"/>
        <v>5</v>
      </c>
      <c r="C9" s="42" t="s">
        <v>32</v>
      </c>
      <c r="D9" s="47">
        <v>4.7000000000000002E-3</v>
      </c>
      <c r="E9" s="48">
        <v>663439.93999999994</v>
      </c>
      <c r="F9" s="74">
        <f>663439.94</f>
        <v>663439.93999999994</v>
      </c>
      <c r="G9" s="174">
        <f t="shared" si="0"/>
        <v>0</v>
      </c>
      <c r="H9" s="49">
        <f t="shared" si="10"/>
        <v>0</v>
      </c>
      <c r="I9" s="50">
        <f t="shared" si="4"/>
        <v>300769.76254999998</v>
      </c>
      <c r="J9" s="50">
        <f t="shared" si="1"/>
        <v>23500</v>
      </c>
      <c r="K9" s="50">
        <f t="shared" si="5"/>
        <v>159011.52394896065</v>
      </c>
      <c r="L9" s="50">
        <f t="shared" si="6"/>
        <v>202702.7028</v>
      </c>
      <c r="M9" s="50">
        <f t="shared" si="7"/>
        <v>0</v>
      </c>
      <c r="N9" s="50">
        <v>0</v>
      </c>
      <c r="O9" s="50"/>
      <c r="P9" s="241">
        <f t="shared" si="2"/>
        <v>685984.05</v>
      </c>
      <c r="Q9" s="241"/>
      <c r="R9" s="34">
        <f t="shared" si="3"/>
        <v>0.05</v>
      </c>
    </row>
    <row r="10" spans="1:23" ht="24.95" customHeight="1" x14ac:dyDescent="0.25">
      <c r="A10" s="43"/>
      <c r="B10" s="43">
        <f t="shared" si="8"/>
        <v>6</v>
      </c>
      <c r="C10" s="42" t="s">
        <v>33</v>
      </c>
      <c r="D10" s="47">
        <v>4.4999999999999997E-3</v>
      </c>
      <c r="E10" s="48">
        <v>649748.04</v>
      </c>
      <c r="F10" s="74">
        <v>649748.04</v>
      </c>
      <c r="G10" s="174">
        <f t="shared" si="0"/>
        <v>0</v>
      </c>
      <c r="H10" s="49">
        <f t="shared" si="10"/>
        <v>0</v>
      </c>
      <c r="I10" s="50">
        <f t="shared" si="4"/>
        <v>287971.04924999998</v>
      </c>
      <c r="J10" s="50">
        <f t="shared" si="1"/>
        <v>22500</v>
      </c>
      <c r="K10" s="50">
        <f t="shared" si="5"/>
        <v>159011.52394896065</v>
      </c>
      <c r="L10" s="50">
        <f t="shared" si="6"/>
        <v>202702.7028</v>
      </c>
      <c r="M10" s="50">
        <f t="shared" si="7"/>
        <v>0</v>
      </c>
      <c r="N10" s="50">
        <v>0</v>
      </c>
      <c r="O10" s="50"/>
      <c r="P10" s="241">
        <f t="shared" si="2"/>
        <v>672185.06</v>
      </c>
      <c r="Q10" s="241"/>
      <c r="R10" s="34">
        <f t="shared" si="3"/>
        <v>0.06</v>
      </c>
      <c r="U10" t="s">
        <v>265</v>
      </c>
    </row>
    <row r="11" spans="1:23" ht="24.95" customHeight="1" x14ac:dyDescent="0.25">
      <c r="A11" s="43"/>
      <c r="B11" s="43">
        <f t="shared" si="8"/>
        <v>7</v>
      </c>
      <c r="C11" s="42" t="s">
        <v>34</v>
      </c>
      <c r="D11" s="47">
        <v>4.3E-3</v>
      </c>
      <c r="E11" s="48">
        <v>662436.32999999996</v>
      </c>
      <c r="F11" s="74"/>
      <c r="G11" s="174">
        <f t="shared" si="0"/>
        <v>662436.32999999996</v>
      </c>
      <c r="H11" s="49">
        <f t="shared" si="10"/>
        <v>20449.409507100001</v>
      </c>
      <c r="I11" s="50">
        <f t="shared" si="4"/>
        <v>275172.33594999998</v>
      </c>
      <c r="J11" s="50">
        <f t="shared" si="1"/>
        <v>21500</v>
      </c>
      <c r="K11" s="50">
        <f t="shared" si="5"/>
        <v>159011.52394896065</v>
      </c>
      <c r="L11" s="50">
        <f t="shared" si="6"/>
        <v>202702.7028</v>
      </c>
      <c r="M11" s="50">
        <f t="shared" si="7"/>
        <v>0</v>
      </c>
      <c r="N11" s="50">
        <v>0</v>
      </c>
      <c r="O11" s="50"/>
      <c r="P11" s="241">
        <f t="shared" si="2"/>
        <v>1341272.07</v>
      </c>
      <c r="Q11" s="241"/>
      <c r="R11" s="34">
        <f t="shared" si="3"/>
        <v>7.0000000000000007E-2</v>
      </c>
    </row>
    <row r="12" spans="1:23" ht="24.95" customHeight="1" x14ac:dyDescent="0.25">
      <c r="A12" s="43"/>
      <c r="B12" s="43">
        <f t="shared" si="8"/>
        <v>8</v>
      </c>
      <c r="C12" s="42" t="s">
        <v>35</v>
      </c>
      <c r="D12" s="47">
        <v>4.7000000000000002E-3</v>
      </c>
      <c r="E12" s="48">
        <v>663438.15</v>
      </c>
      <c r="F12" s="74">
        <v>664000</v>
      </c>
      <c r="G12" s="174">
        <f t="shared" si="0"/>
        <v>-561.84999999997672</v>
      </c>
      <c r="H12" s="49">
        <f t="shared" si="10"/>
        <v>0</v>
      </c>
      <c r="I12" s="50">
        <f t="shared" si="4"/>
        <v>300769.76254999998</v>
      </c>
      <c r="J12" s="50">
        <f t="shared" si="1"/>
        <v>23500</v>
      </c>
      <c r="K12" s="50">
        <f t="shared" si="5"/>
        <v>159011.52394896065</v>
      </c>
      <c r="L12" s="50">
        <f t="shared" si="6"/>
        <v>202702.7028</v>
      </c>
      <c r="M12" s="50">
        <f t="shared" si="7"/>
        <v>0</v>
      </c>
      <c r="N12" s="50">
        <v>0</v>
      </c>
      <c r="O12" s="50"/>
      <c r="P12" s="241">
        <f t="shared" si="2"/>
        <v>685422.07999999996</v>
      </c>
      <c r="Q12" s="241"/>
      <c r="R12" s="34">
        <f t="shared" si="3"/>
        <v>0.08</v>
      </c>
    </row>
    <row r="13" spans="1:23" ht="24.95" customHeight="1" x14ac:dyDescent="0.25">
      <c r="A13" s="43"/>
      <c r="B13" s="43">
        <f t="shared" si="8"/>
        <v>9</v>
      </c>
      <c r="C13" s="42" t="s">
        <v>36</v>
      </c>
      <c r="D13" s="47">
        <v>4.7000000000000002E-3</v>
      </c>
      <c r="E13" s="48">
        <v>3208471.63</v>
      </c>
      <c r="F13" s="74">
        <f>900000</f>
        <v>900000</v>
      </c>
      <c r="G13" s="174">
        <f t="shared" si="0"/>
        <v>2308471.63</v>
      </c>
      <c r="H13" s="49">
        <f t="shared" si="10"/>
        <v>71262.519218100002</v>
      </c>
      <c r="I13" s="50">
        <f t="shared" si="4"/>
        <v>300769.76254999998</v>
      </c>
      <c r="J13" s="50">
        <f t="shared" si="1"/>
        <v>23500</v>
      </c>
      <c r="K13" s="50">
        <f t="shared" si="5"/>
        <v>159011.52394896065</v>
      </c>
      <c r="L13" s="50">
        <f t="shared" si="6"/>
        <v>202702.7028</v>
      </c>
      <c r="M13" s="50">
        <v>56322</v>
      </c>
      <c r="N13" s="204">
        <f>(I13+K13)/2</f>
        <v>229890.64324948032</v>
      </c>
      <c r="O13" s="50"/>
      <c r="P13" s="241">
        <f t="shared" si="2"/>
        <v>3351931.09</v>
      </c>
      <c r="Q13" s="241"/>
      <c r="R13" s="34">
        <f t="shared" si="3"/>
        <v>0.09</v>
      </c>
    </row>
    <row r="14" spans="1:23" ht="24.95" customHeight="1" x14ac:dyDescent="0.25">
      <c r="A14" s="43"/>
      <c r="B14" s="43">
        <f t="shared" si="8"/>
        <v>10</v>
      </c>
      <c r="C14" s="42" t="s">
        <v>37</v>
      </c>
      <c r="D14" s="47">
        <v>4.7000000000000002E-3</v>
      </c>
      <c r="E14" s="48">
        <v>663440.63</v>
      </c>
      <c r="F14" s="74">
        <f t="shared" si="9"/>
        <v>663440.63</v>
      </c>
      <c r="G14" s="174">
        <f t="shared" si="0"/>
        <v>0</v>
      </c>
      <c r="H14" s="49">
        <f t="shared" si="10"/>
        <v>0</v>
      </c>
      <c r="I14" s="50">
        <f t="shared" si="4"/>
        <v>300769.76254999998</v>
      </c>
      <c r="J14" s="50">
        <f t="shared" si="1"/>
        <v>23500</v>
      </c>
      <c r="K14" s="50">
        <f t="shared" si="5"/>
        <v>159011.52394896065</v>
      </c>
      <c r="L14" s="50">
        <f t="shared" si="6"/>
        <v>202702.7028</v>
      </c>
      <c r="M14" s="50">
        <f t="shared" si="7"/>
        <v>0</v>
      </c>
      <c r="N14" s="204">
        <v>0</v>
      </c>
      <c r="O14" s="50"/>
      <c r="P14" s="241">
        <f t="shared" si="2"/>
        <v>685984.1</v>
      </c>
      <c r="Q14" s="241"/>
      <c r="R14" s="34">
        <f t="shared" si="3"/>
        <v>0.1</v>
      </c>
      <c r="T14" t="s">
        <v>356</v>
      </c>
    </row>
    <row r="15" spans="1:23" ht="24.95" customHeight="1" x14ac:dyDescent="0.25">
      <c r="A15" s="43"/>
      <c r="B15" s="43">
        <f t="shared" si="8"/>
        <v>11</v>
      </c>
      <c r="C15" s="42" t="s">
        <v>38</v>
      </c>
      <c r="D15" s="47">
        <v>4.7000000000000002E-3</v>
      </c>
      <c r="E15" s="48">
        <v>663440.66</v>
      </c>
      <c r="F15" s="74"/>
      <c r="G15" s="174">
        <f t="shared" si="0"/>
        <v>663440.66</v>
      </c>
      <c r="H15" s="49">
        <f t="shared" si="10"/>
        <v>20480.413174200003</v>
      </c>
      <c r="I15" s="50">
        <f t="shared" si="4"/>
        <v>300769.76254999998</v>
      </c>
      <c r="J15" s="50">
        <f t="shared" si="1"/>
        <v>23500</v>
      </c>
      <c r="K15" s="50">
        <f t="shared" si="5"/>
        <v>159011.52394896065</v>
      </c>
      <c r="L15" s="50">
        <f t="shared" si="6"/>
        <v>202702.7028</v>
      </c>
      <c r="M15" s="50">
        <f t="shared" si="7"/>
        <v>0</v>
      </c>
      <c r="N15" s="204">
        <v>0</v>
      </c>
      <c r="O15" s="50"/>
      <c r="P15" s="241">
        <f t="shared" si="2"/>
        <v>1369905.11</v>
      </c>
      <c r="Q15" s="241"/>
      <c r="R15" s="34">
        <f t="shared" si="3"/>
        <v>0.11</v>
      </c>
    </row>
    <row r="16" spans="1:23" ht="24.95" customHeight="1" x14ac:dyDescent="0.25">
      <c r="A16" s="43"/>
      <c r="B16" s="43">
        <f t="shared" si="8"/>
        <v>12</v>
      </c>
      <c r="C16" s="42" t="s">
        <v>39</v>
      </c>
      <c r="D16" s="47">
        <v>4.3E-3</v>
      </c>
      <c r="E16" s="48">
        <v>1366901.29</v>
      </c>
      <c r="F16" s="74">
        <v>800000</v>
      </c>
      <c r="G16" s="174">
        <f t="shared" si="0"/>
        <v>566901.29</v>
      </c>
      <c r="H16" s="49">
        <f t="shared" si="10"/>
        <v>17500.242822300002</v>
      </c>
      <c r="I16" s="50">
        <f t="shared" si="4"/>
        <v>275172.33594999998</v>
      </c>
      <c r="J16" s="50">
        <f t="shared" si="1"/>
        <v>21500</v>
      </c>
      <c r="K16" s="50">
        <f t="shared" si="5"/>
        <v>159011.52394896065</v>
      </c>
      <c r="L16" s="50">
        <f t="shared" si="6"/>
        <v>202702.7028</v>
      </c>
      <c r="M16" s="50">
        <f t="shared" si="7"/>
        <v>0</v>
      </c>
      <c r="N16" s="204">
        <v>0</v>
      </c>
      <c r="O16" s="50"/>
      <c r="P16" s="241">
        <f t="shared" si="2"/>
        <v>1242788.1200000001</v>
      </c>
      <c r="Q16" s="241"/>
      <c r="R16" s="34">
        <f t="shared" si="3"/>
        <v>0.12</v>
      </c>
      <c r="T16" t="s">
        <v>305</v>
      </c>
    </row>
    <row r="17" spans="1:21" ht="24.95" customHeight="1" x14ac:dyDescent="0.25">
      <c r="A17" s="43"/>
      <c r="B17" s="43">
        <f t="shared" si="8"/>
        <v>13</v>
      </c>
      <c r="C17" s="42" t="s">
        <v>187</v>
      </c>
      <c r="D17" s="47">
        <v>4.5999999999999999E-3</v>
      </c>
      <c r="E17" s="48">
        <v>921384.4</v>
      </c>
      <c r="F17" s="74">
        <f>E17</f>
        <v>921384.4</v>
      </c>
      <c r="G17" s="174">
        <f t="shared" si="0"/>
        <v>0</v>
      </c>
      <c r="H17" s="49">
        <f t="shared" si="10"/>
        <v>0</v>
      </c>
      <c r="I17" s="50">
        <f t="shared" si="4"/>
        <v>294370.40590000001</v>
      </c>
      <c r="J17" s="50">
        <f t="shared" si="1"/>
        <v>23000</v>
      </c>
      <c r="K17" s="50">
        <f t="shared" si="5"/>
        <v>159011.52394896065</v>
      </c>
      <c r="L17" s="50">
        <f t="shared" si="6"/>
        <v>202702.7028</v>
      </c>
      <c r="M17" s="50">
        <v>55123</v>
      </c>
      <c r="N17" s="204">
        <f>(I17+K17)/2</f>
        <v>226690.96492448033</v>
      </c>
      <c r="O17" s="50"/>
      <c r="P17" s="241">
        <f t="shared" si="2"/>
        <v>960899.13</v>
      </c>
      <c r="Q17" s="241"/>
      <c r="R17" s="34">
        <f t="shared" si="3"/>
        <v>0.13</v>
      </c>
    </row>
    <row r="18" spans="1:21" ht="24.95" customHeight="1" x14ac:dyDescent="0.25">
      <c r="A18" s="43"/>
      <c r="B18" s="43">
        <f t="shared" si="8"/>
        <v>14</v>
      </c>
      <c r="C18" s="42" t="s">
        <v>40</v>
      </c>
      <c r="D18" s="47">
        <v>4.7000000000000002E-3</v>
      </c>
      <c r="E18" s="48">
        <v>663440.76</v>
      </c>
      <c r="F18" s="74">
        <v>663440</v>
      </c>
      <c r="G18" s="174">
        <f t="shared" si="0"/>
        <v>0.76000000000931323</v>
      </c>
      <c r="H18" s="49">
        <f t="shared" si="10"/>
        <v>2.3461200000287501E-2</v>
      </c>
      <c r="I18" s="50">
        <f t="shared" si="4"/>
        <v>300769.76254999998</v>
      </c>
      <c r="J18" s="50">
        <f t="shared" si="1"/>
        <v>23500</v>
      </c>
      <c r="K18" s="50">
        <f t="shared" si="5"/>
        <v>159011.52394896065</v>
      </c>
      <c r="L18" s="50">
        <f t="shared" si="6"/>
        <v>202702.7028</v>
      </c>
      <c r="M18" s="50">
        <f t="shared" si="7"/>
        <v>0</v>
      </c>
      <c r="N18" s="204">
        <v>0</v>
      </c>
      <c r="O18" s="50"/>
      <c r="P18" s="241">
        <f t="shared" si="2"/>
        <v>685985.14</v>
      </c>
      <c r="Q18" s="241"/>
      <c r="R18" s="34">
        <f t="shared" si="3"/>
        <v>0.14000000000000001</v>
      </c>
      <c r="U18" t="s">
        <v>271</v>
      </c>
    </row>
    <row r="19" spans="1:21" ht="24.95" customHeight="1" x14ac:dyDescent="0.25">
      <c r="A19" s="43"/>
      <c r="B19" s="43">
        <f t="shared" si="8"/>
        <v>15</v>
      </c>
      <c r="C19" s="42" t="s">
        <v>41</v>
      </c>
      <c r="D19" s="47">
        <v>4.4000000000000003E-3</v>
      </c>
      <c r="E19" s="48">
        <v>1504757.7</v>
      </c>
      <c r="F19" s="74">
        <f>679917.89+824839.81</f>
        <v>1504757.7000000002</v>
      </c>
      <c r="G19" s="174">
        <f t="shared" si="0"/>
        <v>0</v>
      </c>
      <c r="H19" s="49">
        <f t="shared" si="10"/>
        <v>0</v>
      </c>
      <c r="I19" s="50">
        <f t="shared" si="4"/>
        <v>281571.69260000001</v>
      </c>
      <c r="J19" s="50">
        <f t="shared" si="1"/>
        <v>22000</v>
      </c>
      <c r="K19" s="50">
        <f t="shared" si="5"/>
        <v>159011.52394896065</v>
      </c>
      <c r="L19" s="50">
        <f t="shared" si="6"/>
        <v>202702.7028</v>
      </c>
      <c r="M19" s="50">
        <f t="shared" si="7"/>
        <v>0</v>
      </c>
      <c r="N19" s="204">
        <v>0</v>
      </c>
      <c r="O19" s="50">
        <f>82593.56+15795</f>
        <v>98388.56</v>
      </c>
      <c r="P19" s="241">
        <f t="shared" si="2"/>
        <v>763674.15</v>
      </c>
      <c r="Q19" s="241"/>
      <c r="R19" s="34">
        <f t="shared" si="3"/>
        <v>0.15</v>
      </c>
      <c r="T19" t="s">
        <v>308</v>
      </c>
    </row>
    <row r="20" spans="1:21" ht="24.95" customHeight="1" x14ac:dyDescent="0.25">
      <c r="A20" s="43"/>
      <c r="B20" s="43">
        <f t="shared" si="8"/>
        <v>16</v>
      </c>
      <c r="C20" s="42" t="s">
        <v>188</v>
      </c>
      <c r="D20" s="47">
        <v>4.5999999999999999E-3</v>
      </c>
      <c r="E20" s="48">
        <v>921384.4</v>
      </c>
      <c r="F20" s="74">
        <f t="shared" si="9"/>
        <v>921384.4</v>
      </c>
      <c r="G20" s="174">
        <f t="shared" si="0"/>
        <v>0</v>
      </c>
      <c r="H20" s="49">
        <f t="shared" si="10"/>
        <v>0</v>
      </c>
      <c r="I20" s="50">
        <f t="shared" si="4"/>
        <v>294370.40590000001</v>
      </c>
      <c r="J20" s="50">
        <f t="shared" si="1"/>
        <v>23000</v>
      </c>
      <c r="K20" s="50">
        <f t="shared" si="5"/>
        <v>159011.52394896065</v>
      </c>
      <c r="L20" s="50">
        <f t="shared" si="6"/>
        <v>202702.7028</v>
      </c>
      <c r="M20" s="50">
        <v>55123</v>
      </c>
      <c r="N20" s="204">
        <f>(I20+K20)/2</f>
        <v>226690.96492448033</v>
      </c>
      <c r="O20" s="50"/>
      <c r="P20" s="241">
        <f t="shared" si="2"/>
        <v>960899.16</v>
      </c>
      <c r="Q20" s="241"/>
      <c r="R20" s="34">
        <f t="shared" si="3"/>
        <v>0.16</v>
      </c>
    </row>
    <row r="21" spans="1:21" ht="24.95" customHeight="1" x14ac:dyDescent="0.25">
      <c r="A21" s="43"/>
      <c r="B21" s="43">
        <f t="shared" si="8"/>
        <v>17</v>
      </c>
      <c r="C21" s="42" t="s">
        <v>42</v>
      </c>
      <c r="D21" s="47">
        <v>4.5999999999999999E-3</v>
      </c>
      <c r="E21" s="48">
        <v>1306742.3</v>
      </c>
      <c r="F21" s="74">
        <v>1307000</v>
      </c>
      <c r="G21" s="174">
        <f t="shared" si="0"/>
        <v>-257.69999999995343</v>
      </c>
      <c r="H21" s="49">
        <f t="shared" si="10"/>
        <v>0</v>
      </c>
      <c r="I21" s="50">
        <f t="shared" si="4"/>
        <v>294370.40590000001</v>
      </c>
      <c r="J21" s="50">
        <f t="shared" si="1"/>
        <v>23000</v>
      </c>
      <c r="K21" s="50">
        <f t="shared" si="5"/>
        <v>159011.52394896065</v>
      </c>
      <c r="L21" s="50">
        <f t="shared" si="6"/>
        <v>202702.7028</v>
      </c>
      <c r="M21" s="50">
        <f t="shared" si="7"/>
        <v>0</v>
      </c>
      <c r="N21" s="204">
        <v>0</v>
      </c>
      <c r="O21" s="50"/>
      <c r="P21" s="241">
        <f t="shared" si="2"/>
        <v>678827.17</v>
      </c>
      <c r="Q21" s="241"/>
      <c r="R21" s="34">
        <f t="shared" si="3"/>
        <v>0.17</v>
      </c>
      <c r="T21" t="s">
        <v>292</v>
      </c>
    </row>
    <row r="22" spans="1:21" ht="24.95" customHeight="1" x14ac:dyDescent="0.25">
      <c r="A22" s="43"/>
      <c r="B22" s="43">
        <f t="shared" si="8"/>
        <v>18</v>
      </c>
      <c r="C22" s="42" t="s">
        <v>43</v>
      </c>
      <c r="D22" s="47">
        <v>4.5999999999999999E-3</v>
      </c>
      <c r="E22" s="48">
        <v>656593.97</v>
      </c>
      <c r="F22" s="74">
        <v>663800</v>
      </c>
      <c r="G22" s="174">
        <f t="shared" si="0"/>
        <v>-7206.0300000000279</v>
      </c>
      <c r="H22" s="49">
        <f t="shared" si="10"/>
        <v>0</v>
      </c>
      <c r="I22" s="50">
        <f t="shared" si="4"/>
        <v>294370.40590000001</v>
      </c>
      <c r="J22" s="50">
        <f t="shared" si="1"/>
        <v>23000</v>
      </c>
      <c r="K22" s="50">
        <f t="shared" si="5"/>
        <v>159011.52394896065</v>
      </c>
      <c r="L22" s="50">
        <f t="shared" si="6"/>
        <v>202702.7028</v>
      </c>
      <c r="M22" s="50">
        <f t="shared" si="7"/>
        <v>0</v>
      </c>
      <c r="N22" s="204">
        <v>0</v>
      </c>
      <c r="O22" s="50"/>
      <c r="P22" s="241">
        <f t="shared" si="2"/>
        <v>671879.18</v>
      </c>
      <c r="Q22" s="241"/>
      <c r="R22" s="34">
        <f t="shared" si="3"/>
        <v>0.18</v>
      </c>
      <c r="T22" t="s">
        <v>281</v>
      </c>
    </row>
    <row r="23" spans="1:21" ht="24.95" customHeight="1" x14ac:dyDescent="0.25">
      <c r="A23" s="43"/>
      <c r="B23" s="43">
        <f t="shared" si="8"/>
        <v>19</v>
      </c>
      <c r="C23" s="42" t="s">
        <v>44</v>
      </c>
      <c r="D23" s="47">
        <v>4.7000000000000002E-3</v>
      </c>
      <c r="E23" s="48">
        <v>663075.49</v>
      </c>
      <c r="F23" s="74">
        <f>663100</f>
        <v>663100</v>
      </c>
      <c r="G23" s="174">
        <f t="shared" si="0"/>
        <v>-24.510000000009313</v>
      </c>
      <c r="H23" s="49">
        <f t="shared" si="10"/>
        <v>0</v>
      </c>
      <c r="I23" s="50">
        <f t="shared" si="4"/>
        <v>300769.76254999998</v>
      </c>
      <c r="J23" s="50">
        <f t="shared" si="1"/>
        <v>23500</v>
      </c>
      <c r="K23" s="50">
        <f t="shared" si="5"/>
        <v>159011.52394896065</v>
      </c>
      <c r="L23" s="50">
        <f t="shared" si="6"/>
        <v>202702.7028</v>
      </c>
      <c r="M23" s="50">
        <f t="shared" si="7"/>
        <v>0</v>
      </c>
      <c r="N23" s="204">
        <v>0</v>
      </c>
      <c r="O23" s="50"/>
      <c r="P23" s="241">
        <f t="shared" si="2"/>
        <v>685959.19</v>
      </c>
      <c r="Q23" s="241"/>
      <c r="R23" s="34">
        <f t="shared" si="3"/>
        <v>0.19</v>
      </c>
    </row>
    <row r="24" spans="1:21" ht="24.95" customHeight="1" x14ac:dyDescent="0.25">
      <c r="A24" s="43"/>
      <c r="B24" s="43">
        <f t="shared" si="8"/>
        <v>20</v>
      </c>
      <c r="C24" s="42" t="s">
        <v>45</v>
      </c>
      <c r="D24" s="47">
        <v>4.7000000000000002E-3</v>
      </c>
      <c r="E24" s="48">
        <v>663440.44999999995</v>
      </c>
      <c r="F24" s="74">
        <f>663441</f>
        <v>663441</v>
      </c>
      <c r="G24" s="174">
        <f t="shared" si="0"/>
        <v>-0.55000000004656613</v>
      </c>
      <c r="H24" s="49">
        <f t="shared" si="10"/>
        <v>0</v>
      </c>
      <c r="I24" s="50">
        <f t="shared" si="4"/>
        <v>300769.76254999998</v>
      </c>
      <c r="J24" s="50">
        <f t="shared" si="1"/>
        <v>23500</v>
      </c>
      <c r="K24" s="50">
        <f t="shared" si="5"/>
        <v>159011.52394896065</v>
      </c>
      <c r="L24" s="50">
        <f t="shared" si="6"/>
        <v>202702.7028</v>
      </c>
      <c r="M24" s="50">
        <f t="shared" si="7"/>
        <v>0</v>
      </c>
      <c r="N24" s="204">
        <v>0</v>
      </c>
      <c r="O24" s="50"/>
      <c r="P24" s="241">
        <f t="shared" si="2"/>
        <v>685983.2</v>
      </c>
      <c r="Q24" s="241"/>
      <c r="R24" s="34">
        <f t="shared" si="3"/>
        <v>0.2</v>
      </c>
    </row>
    <row r="25" spans="1:21" ht="24.95" customHeight="1" x14ac:dyDescent="0.25">
      <c r="A25" s="43"/>
      <c r="B25" s="43">
        <f t="shared" si="8"/>
        <v>21</v>
      </c>
      <c r="C25" s="42" t="s">
        <v>46</v>
      </c>
      <c r="D25" s="47">
        <v>4.7000000000000002E-3</v>
      </c>
      <c r="E25" s="48">
        <v>663440.66</v>
      </c>
      <c r="F25" s="74">
        <f t="shared" si="9"/>
        <v>663440.66</v>
      </c>
      <c r="G25" s="174">
        <f t="shared" si="0"/>
        <v>0</v>
      </c>
      <c r="H25" s="49">
        <f t="shared" si="10"/>
        <v>0</v>
      </c>
      <c r="I25" s="50">
        <f t="shared" si="4"/>
        <v>300769.76254999998</v>
      </c>
      <c r="J25" s="50">
        <f t="shared" si="1"/>
        <v>23500</v>
      </c>
      <c r="K25" s="50">
        <f t="shared" si="5"/>
        <v>159011.52394896065</v>
      </c>
      <c r="L25" s="50">
        <f t="shared" si="6"/>
        <v>202702.7028</v>
      </c>
      <c r="M25" s="50">
        <f t="shared" si="7"/>
        <v>0</v>
      </c>
      <c r="N25" s="204">
        <v>0</v>
      </c>
      <c r="O25" s="50"/>
      <c r="P25" s="241">
        <f t="shared" si="2"/>
        <v>685984.21</v>
      </c>
      <c r="Q25" s="241"/>
      <c r="R25" s="34">
        <f t="shared" si="3"/>
        <v>0.21</v>
      </c>
      <c r="U25" t="s">
        <v>280</v>
      </c>
    </row>
    <row r="26" spans="1:21" ht="24.95" customHeight="1" x14ac:dyDescent="0.25">
      <c r="A26" s="43"/>
      <c r="B26" s="43">
        <f t="shared" si="8"/>
        <v>22</v>
      </c>
      <c r="C26" s="42" t="s">
        <v>47</v>
      </c>
      <c r="D26" s="47">
        <v>4.7000000000000002E-3</v>
      </c>
      <c r="E26" s="48">
        <v>663440.65</v>
      </c>
      <c r="F26" s="74"/>
      <c r="G26" s="174">
        <f t="shared" si="0"/>
        <v>663440.65</v>
      </c>
      <c r="H26" s="49">
        <f t="shared" si="10"/>
        <v>20480.412865500002</v>
      </c>
      <c r="I26" s="50">
        <f t="shared" si="4"/>
        <v>300769.76254999998</v>
      </c>
      <c r="J26" s="50">
        <f t="shared" si="1"/>
        <v>23500</v>
      </c>
      <c r="K26" s="50">
        <f t="shared" si="5"/>
        <v>159011.52394896065</v>
      </c>
      <c r="L26" s="50">
        <f t="shared" si="6"/>
        <v>202702.7028</v>
      </c>
      <c r="M26" s="50">
        <f t="shared" si="7"/>
        <v>0</v>
      </c>
      <c r="N26" s="204">
        <v>0</v>
      </c>
      <c r="O26" s="50">
        <v>15795</v>
      </c>
      <c r="P26" s="241">
        <f t="shared" si="2"/>
        <v>1385700.22</v>
      </c>
      <c r="Q26" s="241"/>
      <c r="R26" s="34">
        <f t="shared" si="3"/>
        <v>0.22</v>
      </c>
    </row>
    <row r="27" spans="1:21" ht="24.95" customHeight="1" x14ac:dyDescent="0.25">
      <c r="A27" s="43"/>
      <c r="B27" s="43">
        <f t="shared" si="8"/>
        <v>23</v>
      </c>
      <c r="C27" s="42" t="s">
        <v>48</v>
      </c>
      <c r="D27" s="47">
        <v>4.7000000000000002E-3</v>
      </c>
      <c r="E27" s="48">
        <v>663440.65</v>
      </c>
      <c r="F27" s="74"/>
      <c r="G27" s="174">
        <f t="shared" si="0"/>
        <v>663440.65</v>
      </c>
      <c r="H27" s="49">
        <f t="shared" si="10"/>
        <v>20480.412865500002</v>
      </c>
      <c r="I27" s="50">
        <f t="shared" si="4"/>
        <v>300769.76254999998</v>
      </c>
      <c r="J27" s="50">
        <f t="shared" si="1"/>
        <v>23500</v>
      </c>
      <c r="K27" s="50">
        <f t="shared" si="5"/>
        <v>159011.52394896065</v>
      </c>
      <c r="L27" s="50">
        <f t="shared" si="6"/>
        <v>202702.7028</v>
      </c>
      <c r="M27" s="50">
        <f t="shared" si="7"/>
        <v>0</v>
      </c>
      <c r="N27" s="204">
        <v>0</v>
      </c>
      <c r="O27" s="50"/>
      <c r="P27" s="241">
        <f t="shared" si="2"/>
        <v>1369905.23</v>
      </c>
      <c r="Q27" s="241"/>
      <c r="R27" s="34">
        <f t="shared" si="3"/>
        <v>0.23</v>
      </c>
    </row>
    <row r="28" spans="1:21" ht="24.95" customHeight="1" x14ac:dyDescent="0.25">
      <c r="A28" s="43"/>
      <c r="B28" s="43">
        <f t="shared" si="8"/>
        <v>24</v>
      </c>
      <c r="C28" s="42" t="s">
        <v>49</v>
      </c>
      <c r="D28" s="47">
        <v>4.7000000000000002E-3</v>
      </c>
      <c r="E28" s="48">
        <v>811623.78</v>
      </c>
      <c r="F28" s="74"/>
      <c r="G28" s="174">
        <f t="shared" si="0"/>
        <v>811623.78</v>
      </c>
      <c r="H28" s="49">
        <f t="shared" si="10"/>
        <v>25054.826088600003</v>
      </c>
      <c r="I28" s="50">
        <f t="shared" si="4"/>
        <v>300769.76254999998</v>
      </c>
      <c r="J28" s="50">
        <f t="shared" si="1"/>
        <v>23500</v>
      </c>
      <c r="K28" s="50">
        <f t="shared" si="5"/>
        <v>159011.52394896065</v>
      </c>
      <c r="L28" s="50">
        <f t="shared" si="6"/>
        <v>202702.7028</v>
      </c>
      <c r="M28" s="50">
        <f t="shared" si="7"/>
        <v>0</v>
      </c>
      <c r="N28" s="204">
        <v>0</v>
      </c>
      <c r="O28" s="50">
        <v>82593.56</v>
      </c>
      <c r="P28" s="241">
        <f t="shared" si="2"/>
        <v>1605256.24</v>
      </c>
      <c r="Q28" s="241"/>
      <c r="R28" s="34">
        <f t="shared" si="3"/>
        <v>0.24</v>
      </c>
    </row>
    <row r="29" spans="1:21" ht="24.95" customHeight="1" x14ac:dyDescent="0.25">
      <c r="A29" s="43"/>
      <c r="B29" s="43">
        <f t="shared" si="8"/>
        <v>25</v>
      </c>
      <c r="C29" s="42" t="s">
        <v>50</v>
      </c>
      <c r="D29" s="47">
        <v>4.7999999999999996E-3</v>
      </c>
      <c r="E29" s="48">
        <v>1376728.75</v>
      </c>
      <c r="F29" s="74"/>
      <c r="G29" s="174">
        <f t="shared" si="0"/>
        <v>1376728.75</v>
      </c>
      <c r="H29" s="49">
        <f t="shared" si="10"/>
        <v>42499.616512500004</v>
      </c>
      <c r="I29" s="50">
        <f t="shared" si="4"/>
        <v>307169.11919999996</v>
      </c>
      <c r="J29" s="50">
        <f t="shared" si="1"/>
        <v>23999.999999999996</v>
      </c>
      <c r="K29" s="50">
        <f t="shared" si="5"/>
        <v>159011.52394896065</v>
      </c>
      <c r="L29" s="50">
        <f t="shared" si="6"/>
        <v>202702.7028</v>
      </c>
      <c r="M29" s="50">
        <f t="shared" si="7"/>
        <v>0</v>
      </c>
      <c r="N29" s="204">
        <v>0</v>
      </c>
      <c r="O29" s="50"/>
      <c r="P29" s="241">
        <f t="shared" si="2"/>
        <v>2112112.25</v>
      </c>
      <c r="Q29" s="241"/>
      <c r="R29" s="34">
        <f t="shared" si="3"/>
        <v>0.25</v>
      </c>
    </row>
    <row r="30" spans="1:21" ht="24.95" customHeight="1" x14ac:dyDescent="0.25">
      <c r="A30" s="43"/>
      <c r="B30" s="43">
        <f t="shared" si="8"/>
        <v>26</v>
      </c>
      <c r="C30" s="42" t="s">
        <v>51</v>
      </c>
      <c r="D30" s="47">
        <v>4.7999999999999996E-3</v>
      </c>
      <c r="E30" s="48">
        <v>670286.94999999995</v>
      </c>
      <c r="F30" s="74">
        <v>670287</v>
      </c>
      <c r="G30" s="174">
        <f t="shared" si="0"/>
        <v>-5.0000000046566129E-2</v>
      </c>
      <c r="H30" s="49">
        <f t="shared" si="10"/>
        <v>0</v>
      </c>
      <c r="I30" s="50">
        <f t="shared" si="4"/>
        <v>307169.11919999996</v>
      </c>
      <c r="J30" s="50">
        <f t="shared" si="1"/>
        <v>23999.999999999996</v>
      </c>
      <c r="K30" s="50">
        <f t="shared" si="5"/>
        <v>159011.52394896065</v>
      </c>
      <c r="L30" s="50">
        <f t="shared" si="6"/>
        <v>202702.7028</v>
      </c>
      <c r="M30" s="50">
        <f t="shared" si="7"/>
        <v>0</v>
      </c>
      <c r="N30" s="204">
        <v>0</v>
      </c>
      <c r="O30" s="50"/>
      <c r="P30" s="241">
        <f t="shared" si="2"/>
        <v>692883.26</v>
      </c>
      <c r="Q30" s="241"/>
      <c r="R30" s="34">
        <f t="shared" si="3"/>
        <v>0.26</v>
      </c>
      <c r="U30" t="s">
        <v>273</v>
      </c>
    </row>
    <row r="31" spans="1:21" ht="24.95" customHeight="1" x14ac:dyDescent="0.25">
      <c r="A31" s="43"/>
      <c r="B31" s="43">
        <f t="shared" si="8"/>
        <v>27</v>
      </c>
      <c r="C31" s="42" t="s">
        <v>52</v>
      </c>
      <c r="D31" s="47">
        <v>4.7999999999999996E-3</v>
      </c>
      <c r="E31" s="48">
        <v>670286.96</v>
      </c>
      <c r="F31" s="74"/>
      <c r="G31" s="174">
        <f t="shared" si="0"/>
        <v>670286.96</v>
      </c>
      <c r="H31" s="49">
        <f t="shared" si="10"/>
        <v>20691.758455200001</v>
      </c>
      <c r="I31" s="50">
        <f t="shared" si="4"/>
        <v>307169.11919999996</v>
      </c>
      <c r="J31" s="50">
        <f t="shared" si="1"/>
        <v>23999.999999999996</v>
      </c>
      <c r="K31" s="50">
        <f t="shared" si="5"/>
        <v>159011.52394896065</v>
      </c>
      <c r="L31" s="50">
        <f t="shared" si="6"/>
        <v>202702.7028</v>
      </c>
      <c r="M31" s="50">
        <f t="shared" si="7"/>
        <v>0</v>
      </c>
      <c r="N31" s="204">
        <v>0</v>
      </c>
      <c r="O31" s="50"/>
      <c r="P31" s="241">
        <f t="shared" si="2"/>
        <v>1383862.27</v>
      </c>
      <c r="Q31" s="241"/>
      <c r="R31" s="34">
        <f t="shared" si="3"/>
        <v>0.27</v>
      </c>
    </row>
    <row r="32" spans="1:21" ht="24.95" customHeight="1" x14ac:dyDescent="0.25">
      <c r="A32" s="43"/>
      <c r="B32" s="43">
        <f t="shared" si="8"/>
        <v>28</v>
      </c>
      <c r="C32" s="42" t="s">
        <v>53</v>
      </c>
      <c r="D32" s="47">
        <v>4.4999999999999997E-3</v>
      </c>
      <c r="E32" s="48">
        <v>1868789.7</v>
      </c>
      <c r="F32" s="74">
        <v>630000</v>
      </c>
      <c r="G32" s="174">
        <f t="shared" si="0"/>
        <v>1238789.7</v>
      </c>
      <c r="H32" s="49">
        <f t="shared" si="10"/>
        <v>38241.438039000001</v>
      </c>
      <c r="I32" s="50">
        <f t="shared" si="4"/>
        <v>287971.04924999998</v>
      </c>
      <c r="J32" s="50">
        <f t="shared" si="1"/>
        <v>22500</v>
      </c>
      <c r="K32" s="50">
        <f t="shared" si="5"/>
        <v>159011.52394896065</v>
      </c>
      <c r="L32" s="50">
        <f t="shared" si="6"/>
        <v>202702.7028</v>
      </c>
      <c r="M32" s="50">
        <f t="shared" si="7"/>
        <v>0</v>
      </c>
      <c r="N32" s="204">
        <v>0</v>
      </c>
      <c r="O32" s="50"/>
      <c r="P32" s="241">
        <f t="shared" si="2"/>
        <v>1949216.28</v>
      </c>
      <c r="Q32" s="241"/>
      <c r="R32" s="34">
        <f t="shared" si="3"/>
        <v>0.28000000000000003</v>
      </c>
      <c r="T32" t="s">
        <v>276</v>
      </c>
    </row>
    <row r="33" spans="1:20" ht="24.95" customHeight="1" x14ac:dyDescent="0.25">
      <c r="A33" s="43"/>
      <c r="B33" s="43">
        <f t="shared" si="8"/>
        <v>29</v>
      </c>
      <c r="C33" s="42" t="s">
        <v>54</v>
      </c>
      <c r="D33" s="47">
        <v>4.7999999999999996E-3</v>
      </c>
      <c r="E33" s="48">
        <v>735926.05</v>
      </c>
      <c r="F33" s="74">
        <f t="shared" si="9"/>
        <v>735926.05</v>
      </c>
      <c r="G33" s="174">
        <f t="shared" si="0"/>
        <v>0</v>
      </c>
      <c r="H33" s="49">
        <f t="shared" si="10"/>
        <v>0</v>
      </c>
      <c r="I33" s="50">
        <f t="shared" si="4"/>
        <v>307169.11919999996</v>
      </c>
      <c r="J33" s="50">
        <f t="shared" si="1"/>
        <v>23999.999999999996</v>
      </c>
      <c r="K33" s="50">
        <f t="shared" si="5"/>
        <v>159011.52394896065</v>
      </c>
      <c r="L33" s="50">
        <f t="shared" si="6"/>
        <v>202702.7028</v>
      </c>
      <c r="M33" s="50">
        <f t="shared" si="7"/>
        <v>0</v>
      </c>
      <c r="N33" s="204">
        <v>0</v>
      </c>
      <c r="O33" s="50"/>
      <c r="P33" s="241">
        <f t="shared" si="2"/>
        <v>692883.29</v>
      </c>
      <c r="Q33" s="241"/>
      <c r="R33" s="34">
        <f t="shared" si="3"/>
        <v>0.28999999999999998</v>
      </c>
      <c r="T33" t="s">
        <v>288</v>
      </c>
    </row>
    <row r="34" spans="1:20" ht="24.95" customHeight="1" x14ac:dyDescent="0.25">
      <c r="A34" s="43"/>
      <c r="B34" s="43">
        <f t="shared" si="8"/>
        <v>30</v>
      </c>
      <c r="C34" s="42" t="s">
        <v>55</v>
      </c>
      <c r="D34" s="47">
        <v>4.4999999999999997E-3</v>
      </c>
      <c r="E34" s="48">
        <v>649748.04</v>
      </c>
      <c r="F34" s="74">
        <v>649748.04</v>
      </c>
      <c r="G34" s="174">
        <f t="shared" si="0"/>
        <v>0</v>
      </c>
      <c r="H34" s="49">
        <f t="shared" si="10"/>
        <v>0</v>
      </c>
      <c r="I34" s="50">
        <f t="shared" si="4"/>
        <v>287971.04924999998</v>
      </c>
      <c r="J34" s="50">
        <f t="shared" si="1"/>
        <v>22500</v>
      </c>
      <c r="K34" s="50">
        <f t="shared" si="5"/>
        <v>159011.52394896065</v>
      </c>
      <c r="L34" s="50">
        <f t="shared" si="6"/>
        <v>202702.7028</v>
      </c>
      <c r="M34" s="50">
        <f t="shared" si="7"/>
        <v>0</v>
      </c>
      <c r="N34" s="204">
        <v>0</v>
      </c>
      <c r="O34" s="50"/>
      <c r="P34" s="241">
        <f t="shared" si="2"/>
        <v>672185.3</v>
      </c>
      <c r="Q34" s="241"/>
      <c r="R34" s="34">
        <f t="shared" si="3"/>
        <v>0.3</v>
      </c>
      <c r="T34" t="s">
        <v>266</v>
      </c>
    </row>
    <row r="35" spans="1:20" ht="24.95" customHeight="1" x14ac:dyDescent="0.25">
      <c r="A35" s="43"/>
      <c r="B35" s="43">
        <f t="shared" si="8"/>
        <v>31</v>
      </c>
      <c r="C35" s="42" t="s">
        <v>56</v>
      </c>
      <c r="D35" s="47">
        <v>4.4999999999999997E-3</v>
      </c>
      <c r="E35" s="48">
        <v>701476.35</v>
      </c>
      <c r="F35" s="74">
        <f>701479</f>
        <v>701479</v>
      </c>
      <c r="G35" s="174">
        <f t="shared" si="0"/>
        <v>-2.6500000000232831</v>
      </c>
      <c r="H35" s="49">
        <f t="shared" si="10"/>
        <v>0</v>
      </c>
      <c r="I35" s="50">
        <f t="shared" si="4"/>
        <v>287971.04924999998</v>
      </c>
      <c r="J35" s="50">
        <f t="shared" si="1"/>
        <v>22500</v>
      </c>
      <c r="K35" s="50">
        <f t="shared" si="5"/>
        <v>159011.52394896065</v>
      </c>
      <c r="L35" s="50">
        <f t="shared" si="6"/>
        <v>202702.7028</v>
      </c>
      <c r="M35" s="50">
        <f t="shared" si="7"/>
        <v>0</v>
      </c>
      <c r="N35" s="204">
        <v>0</v>
      </c>
      <c r="O35" s="50"/>
      <c r="P35" s="241">
        <f t="shared" si="2"/>
        <v>672183.31</v>
      </c>
      <c r="Q35" s="241"/>
      <c r="R35" s="34">
        <f t="shared" si="3"/>
        <v>0.31</v>
      </c>
    </row>
    <row r="36" spans="1:20" ht="24.95" customHeight="1" x14ac:dyDescent="0.25">
      <c r="A36" s="42"/>
      <c r="B36" s="42">
        <f t="shared" si="8"/>
        <v>32</v>
      </c>
      <c r="C36" s="42" t="s">
        <v>57</v>
      </c>
      <c r="D36" s="47">
        <v>4.4999999999999997E-3</v>
      </c>
      <c r="E36" s="48">
        <v>649748.04</v>
      </c>
      <c r="F36" s="74">
        <f>5770000-F17-F20-F37-F90-F149-F150-F152</f>
        <v>651105.7799999998</v>
      </c>
      <c r="G36" s="174">
        <f t="shared" si="0"/>
        <v>-1357.7399999997579</v>
      </c>
      <c r="H36" s="49">
        <f t="shared" si="10"/>
        <v>0</v>
      </c>
      <c r="I36" s="50">
        <f t="shared" si="4"/>
        <v>287971.04924999998</v>
      </c>
      <c r="J36" s="50">
        <f t="shared" si="1"/>
        <v>22500</v>
      </c>
      <c r="K36" s="50">
        <f t="shared" si="5"/>
        <v>159011.52394896065</v>
      </c>
      <c r="L36" s="50">
        <f t="shared" si="6"/>
        <v>202702.7028</v>
      </c>
      <c r="M36" s="50">
        <f t="shared" si="7"/>
        <v>0</v>
      </c>
      <c r="N36" s="204">
        <v>0</v>
      </c>
      <c r="O36" s="50"/>
      <c r="P36" s="241">
        <f t="shared" si="2"/>
        <v>670828.31999999995</v>
      </c>
      <c r="Q36" s="241"/>
      <c r="R36" s="34">
        <f t="shared" si="3"/>
        <v>0.32</v>
      </c>
    </row>
    <row r="37" spans="1:20" ht="24.95" customHeight="1" x14ac:dyDescent="0.25">
      <c r="A37" s="42"/>
      <c r="B37" s="42">
        <v>33</v>
      </c>
      <c r="C37" s="42" t="s">
        <v>58</v>
      </c>
      <c r="D37" s="47">
        <v>4.4999999999999997E-3</v>
      </c>
      <c r="E37" s="48">
        <v>649748.04</v>
      </c>
      <c r="F37" s="74">
        <f t="shared" si="9"/>
        <v>649748.04</v>
      </c>
      <c r="G37" s="174">
        <f t="shared" si="0"/>
        <v>0</v>
      </c>
      <c r="H37" s="49">
        <f t="shared" si="10"/>
        <v>0</v>
      </c>
      <c r="I37" s="50">
        <f t="shared" si="4"/>
        <v>287971.04924999998</v>
      </c>
      <c r="J37" s="50">
        <f t="shared" ref="J37:J68" si="11">P$2*D37</f>
        <v>22500</v>
      </c>
      <c r="K37" s="50">
        <f t="shared" si="5"/>
        <v>159011.52394896065</v>
      </c>
      <c r="L37" s="50">
        <f t="shared" si="6"/>
        <v>202702.7028</v>
      </c>
      <c r="M37" s="50">
        <f t="shared" si="7"/>
        <v>0</v>
      </c>
      <c r="N37" s="204">
        <v>0</v>
      </c>
      <c r="O37" s="50"/>
      <c r="P37" s="241">
        <f t="shared" ref="P37:P68" si="12">ROUND(SUM(G37:O37),0) + R37</f>
        <v>672185.33</v>
      </c>
      <c r="Q37" s="241"/>
      <c r="R37" s="34">
        <f t="shared" ref="R37:R68" si="13">ROUND(0.001+B37/100,2)</f>
        <v>0.33</v>
      </c>
    </row>
    <row r="38" spans="1:20" ht="24.95" customHeight="1" x14ac:dyDescent="0.25">
      <c r="A38" s="43"/>
      <c r="B38" s="43">
        <v>34</v>
      </c>
      <c r="C38" s="42" t="s">
        <v>56</v>
      </c>
      <c r="D38" s="47">
        <v>4.4999999999999997E-3</v>
      </c>
      <c r="E38" s="48">
        <v>701476.35</v>
      </c>
      <c r="F38" s="74">
        <f>701479</f>
        <v>701479</v>
      </c>
      <c r="G38" s="174">
        <f t="shared" si="0"/>
        <v>-2.6500000000232831</v>
      </c>
      <c r="H38" s="49">
        <f t="shared" si="10"/>
        <v>0</v>
      </c>
      <c r="I38" s="50">
        <f t="shared" ref="I38:I101" si="14">K$2*D38</f>
        <v>287971.04924999998</v>
      </c>
      <c r="J38" s="50">
        <f t="shared" si="11"/>
        <v>22500</v>
      </c>
      <c r="K38" s="50">
        <f t="shared" si="5"/>
        <v>159011.52394896065</v>
      </c>
      <c r="L38" s="50">
        <f t="shared" si="6"/>
        <v>202702.7028</v>
      </c>
      <c r="M38" s="50">
        <f t="shared" si="7"/>
        <v>0</v>
      </c>
      <c r="N38" s="204">
        <v>0</v>
      </c>
      <c r="O38" s="50"/>
      <c r="P38" s="241">
        <f t="shared" si="12"/>
        <v>672183.34</v>
      </c>
      <c r="Q38" s="241"/>
      <c r="R38" s="34">
        <f t="shared" si="13"/>
        <v>0.34</v>
      </c>
      <c r="S38" s="34"/>
    </row>
    <row r="39" spans="1:20" ht="24.95" customHeight="1" x14ac:dyDescent="0.25">
      <c r="A39" s="43">
        <v>1</v>
      </c>
      <c r="B39" s="43">
        <v>35</v>
      </c>
      <c r="C39" s="42" t="s">
        <v>59</v>
      </c>
      <c r="D39" s="47">
        <v>4.5999999999999999E-3</v>
      </c>
      <c r="E39" s="48">
        <v>656594.35</v>
      </c>
      <c r="F39" s="74">
        <f t="shared" si="9"/>
        <v>656594.35</v>
      </c>
      <c r="G39" s="174">
        <f t="shared" si="0"/>
        <v>0</v>
      </c>
      <c r="H39" s="49">
        <f t="shared" si="10"/>
        <v>0</v>
      </c>
      <c r="I39" s="50">
        <f t="shared" si="14"/>
        <v>294370.40590000001</v>
      </c>
      <c r="J39" s="50">
        <f t="shared" si="11"/>
        <v>23000</v>
      </c>
      <c r="K39" s="50">
        <f t="shared" si="5"/>
        <v>159011.52394896065</v>
      </c>
      <c r="L39" s="50">
        <f t="shared" si="6"/>
        <v>202702.7028</v>
      </c>
      <c r="M39" s="50">
        <f t="shared" si="7"/>
        <v>0</v>
      </c>
      <c r="N39" s="204">
        <v>0</v>
      </c>
      <c r="O39" s="50"/>
      <c r="P39" s="241">
        <f t="shared" si="12"/>
        <v>679085.35</v>
      </c>
      <c r="Q39" s="241"/>
      <c r="R39" s="34">
        <f t="shared" si="13"/>
        <v>0.35</v>
      </c>
      <c r="T39" t="s">
        <v>306</v>
      </c>
    </row>
    <row r="40" spans="1:20" ht="24.95" customHeight="1" x14ac:dyDescent="0.25">
      <c r="A40" s="42">
        <v>2</v>
      </c>
      <c r="B40" s="42">
        <v>36</v>
      </c>
      <c r="C40" s="42" t="s">
        <v>60</v>
      </c>
      <c r="D40" s="47">
        <v>4.5999999999999999E-3</v>
      </c>
      <c r="E40" s="48">
        <v>1281229.78</v>
      </c>
      <c r="F40" s="74">
        <v>630000</v>
      </c>
      <c r="G40" s="174">
        <f t="shared" si="0"/>
        <v>651229.78</v>
      </c>
      <c r="H40" s="49">
        <f t="shared" si="10"/>
        <v>20103.463308600003</v>
      </c>
      <c r="I40" s="50">
        <f t="shared" si="14"/>
        <v>294370.40590000001</v>
      </c>
      <c r="J40" s="50">
        <f t="shared" si="11"/>
        <v>23000</v>
      </c>
      <c r="K40" s="50">
        <f t="shared" si="5"/>
        <v>159011.52394896065</v>
      </c>
      <c r="L40" s="50">
        <f t="shared" si="6"/>
        <v>202702.7028</v>
      </c>
      <c r="M40" s="50">
        <f t="shared" si="7"/>
        <v>0</v>
      </c>
      <c r="N40" s="204">
        <v>0</v>
      </c>
      <c r="O40" s="50"/>
      <c r="P40" s="241">
        <f t="shared" si="12"/>
        <v>1350418.36</v>
      </c>
      <c r="Q40" s="241"/>
      <c r="R40" s="34">
        <f t="shared" si="13"/>
        <v>0.36</v>
      </c>
      <c r="T40" s="34"/>
    </row>
    <row r="41" spans="1:20" ht="24.95" customHeight="1" x14ac:dyDescent="0.25">
      <c r="A41" s="42">
        <v>3</v>
      </c>
      <c r="B41" s="42">
        <v>37</v>
      </c>
      <c r="C41" s="42" t="s">
        <v>61</v>
      </c>
      <c r="D41" s="47">
        <v>4.4999999999999997E-3</v>
      </c>
      <c r="E41" s="48">
        <v>1543864.97</v>
      </c>
      <c r="F41" s="74"/>
      <c r="G41" s="174">
        <f t="shared" si="0"/>
        <v>1543864.97</v>
      </c>
      <c r="H41" s="49">
        <f t="shared" si="10"/>
        <v>47659.111623900004</v>
      </c>
      <c r="I41" s="50">
        <f t="shared" si="14"/>
        <v>287971.04924999998</v>
      </c>
      <c r="J41" s="50">
        <f t="shared" si="11"/>
        <v>22500</v>
      </c>
      <c r="K41" s="50">
        <f t="shared" si="5"/>
        <v>159011.52394896065</v>
      </c>
      <c r="L41" s="50">
        <f t="shared" si="6"/>
        <v>202702.7028</v>
      </c>
      <c r="M41" s="50">
        <f t="shared" si="7"/>
        <v>0</v>
      </c>
      <c r="N41" s="204">
        <v>0</v>
      </c>
      <c r="O41" s="50"/>
      <c r="P41" s="241">
        <f t="shared" si="12"/>
        <v>2263709.37</v>
      </c>
      <c r="Q41" s="241"/>
      <c r="R41" s="34">
        <f t="shared" si="13"/>
        <v>0.37</v>
      </c>
      <c r="T41" s="34"/>
    </row>
    <row r="42" spans="1:20" ht="24.95" customHeight="1" x14ac:dyDescent="0.25">
      <c r="A42" s="43">
        <v>4</v>
      </c>
      <c r="B42" s="43">
        <v>38</v>
      </c>
      <c r="C42" s="42" t="s">
        <v>62</v>
      </c>
      <c r="D42" s="47">
        <v>4.4999999999999997E-3</v>
      </c>
      <c r="E42" s="48">
        <v>952629.76000000001</v>
      </c>
      <c r="F42" s="74">
        <f>401253+269623</f>
        <v>670876</v>
      </c>
      <c r="G42" s="174">
        <f t="shared" si="0"/>
        <v>281753.76</v>
      </c>
      <c r="H42" s="49">
        <f t="shared" si="10"/>
        <v>8697.7385712000014</v>
      </c>
      <c r="I42" s="50">
        <f t="shared" si="14"/>
        <v>287971.04924999998</v>
      </c>
      <c r="J42" s="50">
        <f t="shared" si="11"/>
        <v>22500</v>
      </c>
      <c r="K42" s="50">
        <f t="shared" si="5"/>
        <v>159011.52394896065</v>
      </c>
      <c r="L42" s="50">
        <f t="shared" si="6"/>
        <v>202702.7028</v>
      </c>
      <c r="M42" s="50">
        <f t="shared" si="7"/>
        <v>0</v>
      </c>
      <c r="N42" s="204">
        <v>0</v>
      </c>
      <c r="O42" s="50"/>
      <c r="P42" s="241">
        <f t="shared" si="12"/>
        <v>962637.38</v>
      </c>
      <c r="Q42" s="241"/>
      <c r="R42" s="34">
        <f t="shared" si="13"/>
        <v>0.38</v>
      </c>
      <c r="T42" t="s">
        <v>355</v>
      </c>
    </row>
    <row r="43" spans="1:20" ht="24.95" customHeight="1" x14ac:dyDescent="0.25">
      <c r="A43" s="43">
        <v>5</v>
      </c>
      <c r="B43" s="43">
        <v>39</v>
      </c>
      <c r="C43" s="42" t="s">
        <v>63</v>
      </c>
      <c r="D43" s="47">
        <v>4.4999999999999997E-3</v>
      </c>
      <c r="E43" s="48">
        <v>645046.43000000005</v>
      </c>
      <c r="F43" s="74">
        <f>E43</f>
        <v>645046.43000000005</v>
      </c>
      <c r="G43" s="174">
        <f t="shared" si="0"/>
        <v>0</v>
      </c>
      <c r="H43" s="49">
        <f t="shared" si="10"/>
        <v>0</v>
      </c>
      <c r="I43" s="50">
        <f t="shared" si="14"/>
        <v>287971.04924999998</v>
      </c>
      <c r="J43" s="50">
        <f t="shared" si="11"/>
        <v>22500</v>
      </c>
      <c r="K43" s="50">
        <f t="shared" si="5"/>
        <v>159011.52394896065</v>
      </c>
      <c r="L43" s="50">
        <f t="shared" si="6"/>
        <v>202702.7028</v>
      </c>
      <c r="M43" s="50">
        <f t="shared" si="7"/>
        <v>0</v>
      </c>
      <c r="N43" s="204">
        <v>0</v>
      </c>
      <c r="O43" s="50"/>
      <c r="P43" s="241">
        <f t="shared" si="12"/>
        <v>672185.39</v>
      </c>
      <c r="Q43" s="241"/>
      <c r="R43" s="34">
        <f t="shared" si="13"/>
        <v>0.39</v>
      </c>
      <c r="T43" t="s">
        <v>316</v>
      </c>
    </row>
    <row r="44" spans="1:20" ht="24.95" customHeight="1" x14ac:dyDescent="0.25">
      <c r="A44" s="43">
        <v>6</v>
      </c>
      <c r="B44" s="43">
        <v>40</v>
      </c>
      <c r="C44" s="42" t="s">
        <v>64</v>
      </c>
      <c r="D44" s="47">
        <v>4.4999999999999997E-3</v>
      </c>
      <c r="E44" s="48">
        <v>791625.5</v>
      </c>
      <c r="F44" s="74">
        <f t="shared" si="9"/>
        <v>791625.5</v>
      </c>
      <c r="G44" s="174">
        <f t="shared" si="0"/>
        <v>0</v>
      </c>
      <c r="H44" s="49">
        <f t="shared" si="10"/>
        <v>0</v>
      </c>
      <c r="I44" s="50">
        <f t="shared" si="14"/>
        <v>287971.04924999998</v>
      </c>
      <c r="J44" s="50">
        <f t="shared" si="11"/>
        <v>22500</v>
      </c>
      <c r="K44" s="50">
        <f t="shared" si="5"/>
        <v>159011.52394896065</v>
      </c>
      <c r="L44" s="50">
        <f t="shared" si="6"/>
        <v>202702.7028</v>
      </c>
      <c r="M44" s="50">
        <f t="shared" si="7"/>
        <v>0</v>
      </c>
      <c r="N44" s="204">
        <v>0</v>
      </c>
      <c r="O44" s="50">
        <v>82593.56</v>
      </c>
      <c r="P44" s="241">
        <f t="shared" si="12"/>
        <v>754779.4</v>
      </c>
      <c r="Q44" s="241"/>
      <c r="R44" s="34">
        <f t="shared" si="13"/>
        <v>0.4</v>
      </c>
    </row>
    <row r="45" spans="1:20" ht="24.95" customHeight="1" x14ac:dyDescent="0.25">
      <c r="A45" s="43">
        <v>7</v>
      </c>
      <c r="B45" s="43">
        <v>41</v>
      </c>
      <c r="C45" s="42" t="s">
        <v>65</v>
      </c>
      <c r="D45" s="47">
        <v>4.4999999999999997E-3</v>
      </c>
      <c r="E45" s="48">
        <v>720542.52</v>
      </c>
      <c r="F45" s="74">
        <f t="shared" ref="F45:F107" si="15">E45</f>
        <v>720542.52</v>
      </c>
      <c r="G45" s="174">
        <f t="shared" si="0"/>
        <v>0</v>
      </c>
      <c r="H45" s="49">
        <f t="shared" si="10"/>
        <v>0</v>
      </c>
      <c r="I45" s="50">
        <f t="shared" si="14"/>
        <v>287971.04924999998</v>
      </c>
      <c r="J45" s="50">
        <f t="shared" si="11"/>
        <v>22500</v>
      </c>
      <c r="K45" s="50">
        <f t="shared" si="5"/>
        <v>159011.52394896065</v>
      </c>
      <c r="L45" s="50">
        <f t="shared" si="6"/>
        <v>202702.7028</v>
      </c>
      <c r="M45" s="50">
        <f t="shared" si="7"/>
        <v>0</v>
      </c>
      <c r="N45" s="204">
        <v>0</v>
      </c>
      <c r="O45" s="50"/>
      <c r="P45" s="241">
        <f t="shared" si="12"/>
        <v>672185.41</v>
      </c>
      <c r="Q45" s="241"/>
      <c r="R45" s="34">
        <f t="shared" si="13"/>
        <v>0.41</v>
      </c>
      <c r="T45" s="180" t="s">
        <v>299</v>
      </c>
    </row>
    <row r="46" spans="1:20" ht="24.95" customHeight="1" x14ac:dyDescent="0.25">
      <c r="A46" s="43">
        <v>8</v>
      </c>
      <c r="B46" s="43">
        <v>42</v>
      </c>
      <c r="C46" s="42" t="s">
        <v>66</v>
      </c>
      <c r="D46" s="47">
        <v>4.4999999999999997E-3</v>
      </c>
      <c r="E46" s="48">
        <v>644692.41</v>
      </c>
      <c r="F46" s="74"/>
      <c r="G46" s="174">
        <f t="shared" si="0"/>
        <v>644692.41</v>
      </c>
      <c r="H46" s="49">
        <f t="shared" si="10"/>
        <v>19901.654696700003</v>
      </c>
      <c r="I46" s="50">
        <f t="shared" si="14"/>
        <v>287971.04924999998</v>
      </c>
      <c r="J46" s="50">
        <f t="shared" si="11"/>
        <v>22500</v>
      </c>
      <c r="K46" s="50">
        <f t="shared" si="5"/>
        <v>159011.52394896065</v>
      </c>
      <c r="L46" s="50">
        <f t="shared" si="6"/>
        <v>202702.7028</v>
      </c>
      <c r="M46" s="50">
        <f t="shared" si="7"/>
        <v>0</v>
      </c>
      <c r="N46" s="204">
        <v>0</v>
      </c>
      <c r="O46" s="50"/>
      <c r="P46" s="241">
        <f t="shared" si="12"/>
        <v>1336779.42</v>
      </c>
      <c r="Q46" s="241"/>
      <c r="R46" s="34">
        <f t="shared" si="13"/>
        <v>0.42</v>
      </c>
    </row>
    <row r="47" spans="1:20" ht="24.95" customHeight="1" x14ac:dyDescent="0.25">
      <c r="A47" s="43">
        <v>1</v>
      </c>
      <c r="B47" s="43">
        <v>43</v>
      </c>
      <c r="C47" s="42" t="s">
        <v>67</v>
      </c>
      <c r="D47" s="47">
        <v>3.5999999999999999E-3</v>
      </c>
      <c r="E47" s="48">
        <v>588131.27</v>
      </c>
      <c r="F47" s="74">
        <f t="shared" si="15"/>
        <v>588131.27</v>
      </c>
      <c r="G47" s="174">
        <f t="shared" si="0"/>
        <v>0</v>
      </c>
      <c r="H47" s="49">
        <f t="shared" si="10"/>
        <v>0</v>
      </c>
      <c r="I47" s="50">
        <f t="shared" si="14"/>
        <v>230376.8394</v>
      </c>
      <c r="J47" s="50">
        <f t="shared" si="11"/>
        <v>18000</v>
      </c>
      <c r="K47" s="50">
        <f t="shared" si="5"/>
        <v>159011.52394896065</v>
      </c>
      <c r="L47" s="50">
        <f t="shared" si="6"/>
        <v>202702.7028</v>
      </c>
      <c r="M47" s="50">
        <f t="shared" si="7"/>
        <v>0</v>
      </c>
      <c r="N47" s="204">
        <v>0</v>
      </c>
      <c r="O47" s="50"/>
      <c r="P47" s="241">
        <f t="shared" si="12"/>
        <v>610091.43000000005</v>
      </c>
      <c r="Q47" s="241"/>
      <c r="R47" s="34">
        <f t="shared" si="13"/>
        <v>0.43</v>
      </c>
    </row>
    <row r="48" spans="1:20" ht="24.95" customHeight="1" x14ac:dyDescent="0.25">
      <c r="A48" s="43">
        <v>1</v>
      </c>
      <c r="B48" s="43">
        <v>44</v>
      </c>
      <c r="C48" s="42" t="s">
        <v>68</v>
      </c>
      <c r="D48" s="47">
        <v>4.1000000000000003E-3</v>
      </c>
      <c r="E48" s="48">
        <v>633839.01</v>
      </c>
      <c r="F48" s="74"/>
      <c r="G48" s="174">
        <f t="shared" si="0"/>
        <v>633839.01</v>
      </c>
      <c r="H48" s="49">
        <f t="shared" si="10"/>
        <v>19566.610238700003</v>
      </c>
      <c r="I48" s="50">
        <f t="shared" si="14"/>
        <v>262373.62265000003</v>
      </c>
      <c r="J48" s="50">
        <f t="shared" si="11"/>
        <v>20500</v>
      </c>
      <c r="K48" s="50">
        <f t="shared" si="5"/>
        <v>159011.52394896065</v>
      </c>
      <c r="L48" s="50">
        <f t="shared" si="6"/>
        <v>202702.7028</v>
      </c>
      <c r="M48" s="50">
        <f t="shared" si="7"/>
        <v>0</v>
      </c>
      <c r="N48" s="204">
        <v>0</v>
      </c>
      <c r="O48" s="50"/>
      <c r="P48" s="241">
        <f t="shared" si="12"/>
        <v>1297993.44</v>
      </c>
      <c r="Q48" s="241"/>
      <c r="R48" s="34">
        <f t="shared" si="13"/>
        <v>0.44</v>
      </c>
    </row>
    <row r="49" spans="1:20" ht="24.95" customHeight="1" x14ac:dyDescent="0.25">
      <c r="A49" s="43">
        <v>2</v>
      </c>
      <c r="B49" s="43">
        <v>45</v>
      </c>
      <c r="C49" s="42" t="s">
        <v>69</v>
      </c>
      <c r="D49" s="47">
        <v>4.8999999999999998E-3</v>
      </c>
      <c r="E49" s="48">
        <v>676691.78</v>
      </c>
      <c r="F49" s="74">
        <f>680000</f>
        <v>680000</v>
      </c>
      <c r="G49" s="174">
        <f t="shared" si="0"/>
        <v>-3308.2199999999721</v>
      </c>
      <c r="H49" s="49">
        <f t="shared" si="10"/>
        <v>0</v>
      </c>
      <c r="I49" s="50">
        <f t="shared" si="14"/>
        <v>313568.47584999999</v>
      </c>
      <c r="J49" s="50">
        <f t="shared" si="11"/>
        <v>24500</v>
      </c>
      <c r="K49" s="50">
        <f t="shared" si="5"/>
        <v>159011.52394896065</v>
      </c>
      <c r="L49" s="50">
        <f t="shared" si="6"/>
        <v>202702.7028</v>
      </c>
      <c r="M49" s="50">
        <f t="shared" si="7"/>
        <v>0</v>
      </c>
      <c r="N49" s="204">
        <v>0</v>
      </c>
      <c r="O49" s="50"/>
      <c r="P49" s="241">
        <f t="shared" si="12"/>
        <v>696474.45</v>
      </c>
      <c r="Q49" s="241"/>
      <c r="R49" s="34">
        <f t="shared" si="13"/>
        <v>0.45</v>
      </c>
    </row>
    <row r="50" spans="1:20" ht="24.95" customHeight="1" x14ac:dyDescent="0.25">
      <c r="A50" s="43">
        <v>2</v>
      </c>
      <c r="B50" s="43">
        <v>46</v>
      </c>
      <c r="C50" s="42" t="s">
        <v>70</v>
      </c>
      <c r="D50" s="47">
        <v>3.8999999999999998E-3</v>
      </c>
      <c r="E50" s="48">
        <v>1184713.72</v>
      </c>
      <c r="F50" s="74">
        <f>576100</f>
        <v>576100</v>
      </c>
      <c r="G50" s="174">
        <f t="shared" si="0"/>
        <v>608613.72</v>
      </c>
      <c r="H50" s="49">
        <f t="shared" si="10"/>
        <v>18787.905536400001</v>
      </c>
      <c r="I50" s="50">
        <f t="shared" si="14"/>
        <v>249574.90935</v>
      </c>
      <c r="J50" s="50">
        <f t="shared" si="11"/>
        <v>19500</v>
      </c>
      <c r="K50" s="50">
        <f t="shared" si="5"/>
        <v>159011.52394896065</v>
      </c>
      <c r="L50" s="50">
        <f t="shared" si="6"/>
        <v>202702.7028</v>
      </c>
      <c r="M50" s="50">
        <f t="shared" si="7"/>
        <v>0</v>
      </c>
      <c r="N50" s="204">
        <v>0</v>
      </c>
      <c r="O50" s="50"/>
      <c r="P50" s="241">
        <f t="shared" si="12"/>
        <v>1258191.46</v>
      </c>
      <c r="Q50" s="241"/>
      <c r="R50" s="34">
        <f t="shared" si="13"/>
        <v>0.46</v>
      </c>
      <c r="T50" t="s">
        <v>260</v>
      </c>
    </row>
    <row r="51" spans="1:20" ht="24.95" customHeight="1" x14ac:dyDescent="0.25">
      <c r="A51" s="43">
        <v>3</v>
      </c>
      <c r="B51" s="43">
        <v>47</v>
      </c>
      <c r="C51" s="42" t="s">
        <v>71</v>
      </c>
      <c r="D51" s="47">
        <v>4.4999999999999997E-3</v>
      </c>
      <c r="E51" s="48">
        <v>2055314.91</v>
      </c>
      <c r="F51" s="74"/>
      <c r="G51" s="174">
        <f t="shared" si="0"/>
        <v>2055314.91</v>
      </c>
      <c r="H51" s="49">
        <f t="shared" si="10"/>
        <v>63447.571271699999</v>
      </c>
      <c r="I51" s="50">
        <f t="shared" si="14"/>
        <v>287971.04924999998</v>
      </c>
      <c r="J51" s="50">
        <f t="shared" si="11"/>
        <v>22500</v>
      </c>
      <c r="K51" s="50">
        <f t="shared" si="5"/>
        <v>159011.52394896065</v>
      </c>
      <c r="L51" s="50">
        <f t="shared" si="6"/>
        <v>202702.7028</v>
      </c>
      <c r="M51" s="50">
        <f t="shared" si="7"/>
        <v>0</v>
      </c>
      <c r="N51" s="204">
        <v>0</v>
      </c>
      <c r="O51" s="50"/>
      <c r="P51" s="241">
        <f t="shared" si="12"/>
        <v>2790948.47</v>
      </c>
      <c r="Q51" s="241"/>
      <c r="R51" s="34">
        <f t="shared" si="13"/>
        <v>0.47</v>
      </c>
      <c r="S51" s="75"/>
    </row>
    <row r="52" spans="1:20" ht="24.95" customHeight="1" x14ac:dyDescent="0.25">
      <c r="A52" s="43">
        <v>3</v>
      </c>
      <c r="B52" s="43">
        <v>48</v>
      </c>
      <c r="C52" s="42" t="s">
        <v>206</v>
      </c>
      <c r="D52" s="47">
        <v>4.4999999999999997E-3</v>
      </c>
      <c r="E52" s="48">
        <v>934885.26</v>
      </c>
      <c r="F52" s="74">
        <v>934885.26</v>
      </c>
      <c r="G52" s="174">
        <f t="shared" si="0"/>
        <v>0</v>
      </c>
      <c r="H52" s="49">
        <f t="shared" si="10"/>
        <v>0</v>
      </c>
      <c r="I52" s="50">
        <f t="shared" si="14"/>
        <v>287971.04924999998</v>
      </c>
      <c r="J52" s="50">
        <f t="shared" si="11"/>
        <v>22500</v>
      </c>
      <c r="K52" s="50">
        <f t="shared" si="5"/>
        <v>159011.52394896065</v>
      </c>
      <c r="L52" s="50">
        <f t="shared" si="6"/>
        <v>202702.7028</v>
      </c>
      <c r="M52" s="50">
        <v>80887</v>
      </c>
      <c r="N52" s="204">
        <f>(I52+K52)/2</f>
        <v>223491.28659948031</v>
      </c>
      <c r="O52" s="50"/>
      <c r="P52" s="241">
        <f t="shared" si="12"/>
        <v>976564.48</v>
      </c>
      <c r="Q52" s="241"/>
      <c r="R52" s="34">
        <f t="shared" si="13"/>
        <v>0.48</v>
      </c>
      <c r="S52" s="75"/>
      <c r="T52" s="33"/>
    </row>
    <row r="53" spans="1:20" ht="24.95" customHeight="1" x14ac:dyDescent="0.25">
      <c r="A53" s="43">
        <v>4</v>
      </c>
      <c r="B53" s="43">
        <v>49</v>
      </c>
      <c r="C53" s="42" t="s">
        <v>72</v>
      </c>
      <c r="D53" s="47">
        <v>4.4999999999999997E-3</v>
      </c>
      <c r="E53" s="48">
        <v>649748.04</v>
      </c>
      <c r="F53" s="74">
        <f t="shared" si="15"/>
        <v>649748.04</v>
      </c>
      <c r="G53" s="174">
        <f t="shared" si="0"/>
        <v>0</v>
      </c>
      <c r="H53" s="49">
        <f t="shared" si="10"/>
        <v>0</v>
      </c>
      <c r="I53" s="50">
        <f t="shared" si="14"/>
        <v>287971.04924999998</v>
      </c>
      <c r="J53" s="50">
        <f t="shared" si="11"/>
        <v>22500</v>
      </c>
      <c r="K53" s="50">
        <f t="shared" si="5"/>
        <v>159011.52394896065</v>
      </c>
      <c r="L53" s="50">
        <f t="shared" si="6"/>
        <v>202702.7028</v>
      </c>
      <c r="M53" s="50">
        <f t="shared" si="7"/>
        <v>0</v>
      </c>
      <c r="N53" s="204">
        <v>0</v>
      </c>
      <c r="O53" s="50"/>
      <c r="P53" s="241">
        <f t="shared" si="12"/>
        <v>672185.49</v>
      </c>
      <c r="Q53" s="241"/>
      <c r="R53" s="34">
        <f t="shared" si="13"/>
        <v>0.49</v>
      </c>
      <c r="T53" t="s">
        <v>289</v>
      </c>
    </row>
    <row r="54" spans="1:20" ht="24.95" customHeight="1" x14ac:dyDescent="0.25">
      <c r="A54" s="43">
        <v>4</v>
      </c>
      <c r="B54" s="43">
        <v>50</v>
      </c>
      <c r="C54" s="42" t="s">
        <v>73</v>
      </c>
      <c r="D54" s="47">
        <v>4.4999999999999997E-3</v>
      </c>
      <c r="E54" s="48">
        <v>649748.55000000005</v>
      </c>
      <c r="F54" s="74">
        <f>649748.04</f>
        <v>649748.04</v>
      </c>
      <c r="G54" s="174">
        <f t="shared" si="0"/>
        <v>0.51000000000931323</v>
      </c>
      <c r="H54" s="49">
        <f t="shared" si="10"/>
        <v>1.5743700000287499E-2</v>
      </c>
      <c r="I54" s="50">
        <f t="shared" si="14"/>
        <v>287971.04924999998</v>
      </c>
      <c r="J54" s="50">
        <f t="shared" si="11"/>
        <v>22500</v>
      </c>
      <c r="K54" s="50">
        <f t="shared" si="5"/>
        <v>159011.52394896065</v>
      </c>
      <c r="L54" s="50">
        <f t="shared" si="6"/>
        <v>202702.7028</v>
      </c>
      <c r="M54" s="50">
        <f t="shared" si="7"/>
        <v>0</v>
      </c>
      <c r="N54" s="204">
        <v>0</v>
      </c>
      <c r="O54" s="50"/>
      <c r="P54" s="241">
        <f t="shared" si="12"/>
        <v>672186.5</v>
      </c>
      <c r="Q54" s="241"/>
      <c r="R54" s="34">
        <f t="shared" si="13"/>
        <v>0.5</v>
      </c>
      <c r="T54" t="s">
        <v>267</v>
      </c>
    </row>
    <row r="55" spans="1:20" ht="24.95" customHeight="1" x14ac:dyDescent="0.25">
      <c r="A55" s="43">
        <v>5</v>
      </c>
      <c r="B55" s="43">
        <v>51</v>
      </c>
      <c r="C55" s="42" t="s">
        <v>74</v>
      </c>
      <c r="D55" s="47">
        <v>4.4999999999999997E-3</v>
      </c>
      <c r="E55" s="48">
        <v>1820822.37</v>
      </c>
      <c r="F55" s="74"/>
      <c r="G55" s="174">
        <f t="shared" si="0"/>
        <v>1820822.37</v>
      </c>
      <c r="H55" s="49">
        <f t="shared" si="10"/>
        <v>56208.786561900008</v>
      </c>
      <c r="I55" s="50">
        <f t="shared" si="14"/>
        <v>287971.04924999998</v>
      </c>
      <c r="J55" s="50">
        <f t="shared" si="11"/>
        <v>22500</v>
      </c>
      <c r="K55" s="50">
        <f t="shared" si="5"/>
        <v>159011.52394896065</v>
      </c>
      <c r="L55" s="50">
        <f t="shared" si="6"/>
        <v>202702.7028</v>
      </c>
      <c r="M55" s="50">
        <v>53925</v>
      </c>
      <c r="N55" s="204">
        <f>(I55+K55)/2</f>
        <v>223491.28659948031</v>
      </c>
      <c r="O55" s="50"/>
      <c r="P55" s="241">
        <f t="shared" si="12"/>
        <v>2826633.51</v>
      </c>
      <c r="Q55" s="241"/>
      <c r="R55" s="34">
        <f t="shared" si="13"/>
        <v>0.51</v>
      </c>
    </row>
    <row r="56" spans="1:20" ht="24.95" customHeight="1" x14ac:dyDescent="0.25">
      <c r="A56" s="43">
        <v>5</v>
      </c>
      <c r="B56" s="43">
        <v>52</v>
      </c>
      <c r="C56" s="42" t="s">
        <v>75</v>
      </c>
      <c r="D56" s="47">
        <v>4.5999999999999999E-3</v>
      </c>
      <c r="E56" s="48">
        <v>1278358.8500000001</v>
      </c>
      <c r="F56" s="74">
        <f t="shared" si="15"/>
        <v>1278358.8500000001</v>
      </c>
      <c r="G56" s="175">
        <f t="shared" si="0"/>
        <v>0</v>
      </c>
      <c r="H56" s="49">
        <f t="shared" si="10"/>
        <v>0</v>
      </c>
      <c r="I56" s="50">
        <f t="shared" si="14"/>
        <v>294370.40590000001</v>
      </c>
      <c r="J56" s="50">
        <f t="shared" si="11"/>
        <v>23000</v>
      </c>
      <c r="K56" s="50">
        <f t="shared" si="5"/>
        <v>159011.52394896065</v>
      </c>
      <c r="L56" s="50">
        <f t="shared" si="6"/>
        <v>202702.7028</v>
      </c>
      <c r="M56" s="50">
        <f t="shared" si="7"/>
        <v>0</v>
      </c>
      <c r="N56" s="204">
        <v>0</v>
      </c>
      <c r="O56" s="50"/>
      <c r="P56" s="241">
        <f t="shared" si="12"/>
        <v>679085.52</v>
      </c>
      <c r="Q56" s="241"/>
      <c r="R56" s="34">
        <f t="shared" si="13"/>
        <v>0.52</v>
      </c>
      <c r="T56" t="s">
        <v>352</v>
      </c>
    </row>
    <row r="57" spans="1:20" ht="24.95" customHeight="1" x14ac:dyDescent="0.25">
      <c r="A57" s="43">
        <v>6</v>
      </c>
      <c r="B57" s="43">
        <v>53</v>
      </c>
      <c r="C57" s="42" t="s">
        <v>76</v>
      </c>
      <c r="D57" s="47">
        <v>4.4999999999999997E-3</v>
      </c>
      <c r="E57" s="48">
        <v>1901992.53</v>
      </c>
      <c r="F57" s="74">
        <f>1390000</f>
        <v>1390000</v>
      </c>
      <c r="G57" s="174">
        <f t="shared" si="0"/>
        <v>511992.53</v>
      </c>
      <c r="H57" s="49">
        <f t="shared" si="10"/>
        <v>15805.209401100001</v>
      </c>
      <c r="I57" s="50">
        <f t="shared" si="14"/>
        <v>287971.04924999998</v>
      </c>
      <c r="J57" s="50">
        <f t="shared" si="11"/>
        <v>22500</v>
      </c>
      <c r="K57" s="50">
        <f t="shared" si="5"/>
        <v>159011.52394896065</v>
      </c>
      <c r="L57" s="50">
        <f t="shared" si="6"/>
        <v>202702.7028</v>
      </c>
      <c r="M57" s="50">
        <f t="shared" si="7"/>
        <v>0</v>
      </c>
      <c r="N57" s="204">
        <v>0</v>
      </c>
      <c r="O57" s="50"/>
      <c r="P57" s="241">
        <f t="shared" si="12"/>
        <v>1199983.53</v>
      </c>
      <c r="Q57" s="241"/>
      <c r="R57" s="34">
        <f t="shared" si="13"/>
        <v>0.53</v>
      </c>
    </row>
    <row r="58" spans="1:20" ht="24.95" customHeight="1" x14ac:dyDescent="0.25">
      <c r="A58" s="43">
        <v>6</v>
      </c>
      <c r="B58" s="43">
        <v>54</v>
      </c>
      <c r="C58" s="42" t="s">
        <v>77</v>
      </c>
      <c r="D58" s="47">
        <v>4.4999999999999997E-3</v>
      </c>
      <c r="E58" s="48">
        <v>649748.04</v>
      </c>
      <c r="F58" s="74">
        <f t="shared" si="15"/>
        <v>649748.04</v>
      </c>
      <c r="G58" s="174">
        <f t="shared" si="0"/>
        <v>0</v>
      </c>
      <c r="H58" s="49">
        <f t="shared" si="10"/>
        <v>0</v>
      </c>
      <c r="I58" s="50">
        <f t="shared" si="14"/>
        <v>287971.04924999998</v>
      </c>
      <c r="J58" s="50">
        <f t="shared" si="11"/>
        <v>22500</v>
      </c>
      <c r="K58" s="50">
        <f t="shared" si="5"/>
        <v>159011.52394896065</v>
      </c>
      <c r="L58" s="50">
        <f t="shared" si="6"/>
        <v>202702.7028</v>
      </c>
      <c r="M58" s="50">
        <f t="shared" si="7"/>
        <v>0</v>
      </c>
      <c r="N58" s="204">
        <v>0</v>
      </c>
      <c r="O58" s="50"/>
      <c r="P58" s="241">
        <f t="shared" si="12"/>
        <v>672185.54</v>
      </c>
      <c r="Q58" s="241"/>
      <c r="R58" s="34">
        <f t="shared" si="13"/>
        <v>0.54</v>
      </c>
      <c r="T58" t="s">
        <v>286</v>
      </c>
    </row>
    <row r="59" spans="1:20" ht="24.95" customHeight="1" x14ac:dyDescent="0.25">
      <c r="A59" s="43">
        <v>7</v>
      </c>
      <c r="B59" s="43">
        <v>55</v>
      </c>
      <c r="C59" s="42" t="s">
        <v>78</v>
      </c>
      <c r="D59" s="47">
        <v>4.4999999999999997E-3</v>
      </c>
      <c r="E59" s="48">
        <v>649748.04</v>
      </c>
      <c r="F59" s="74"/>
      <c r="G59" s="174">
        <f t="shared" si="0"/>
        <v>649748.04</v>
      </c>
      <c r="H59" s="49">
        <f t="shared" si="10"/>
        <v>20057.721994800002</v>
      </c>
      <c r="I59" s="50">
        <f t="shared" si="14"/>
        <v>287971.04924999998</v>
      </c>
      <c r="J59" s="50">
        <f t="shared" si="11"/>
        <v>22500</v>
      </c>
      <c r="K59" s="50">
        <f t="shared" si="5"/>
        <v>159011.52394896065</v>
      </c>
      <c r="L59" s="50">
        <f t="shared" si="6"/>
        <v>202702.7028</v>
      </c>
      <c r="M59" s="50">
        <f t="shared" si="7"/>
        <v>0</v>
      </c>
      <c r="N59" s="204">
        <v>0</v>
      </c>
      <c r="O59" s="50"/>
      <c r="P59" s="241">
        <f t="shared" si="12"/>
        <v>1341991.55</v>
      </c>
      <c r="Q59" s="241"/>
      <c r="R59" s="34">
        <f t="shared" si="13"/>
        <v>0.55000000000000004</v>
      </c>
    </row>
    <row r="60" spans="1:20" ht="24.95" customHeight="1" x14ac:dyDescent="0.25">
      <c r="A60" s="43">
        <v>7</v>
      </c>
      <c r="B60" s="43">
        <v>56</v>
      </c>
      <c r="C60" s="42" t="s">
        <v>79</v>
      </c>
      <c r="D60" s="47">
        <v>4.4999999999999997E-3</v>
      </c>
      <c r="E60" s="48">
        <v>910291.99</v>
      </c>
      <c r="F60" s="74">
        <f>910292</f>
        <v>910292</v>
      </c>
      <c r="G60" s="174">
        <f t="shared" si="0"/>
        <v>-1.0000000009313226E-2</v>
      </c>
      <c r="H60" s="49">
        <f t="shared" si="10"/>
        <v>0</v>
      </c>
      <c r="I60" s="50">
        <f t="shared" si="14"/>
        <v>287971.04924999998</v>
      </c>
      <c r="J60" s="50">
        <f t="shared" si="11"/>
        <v>22500</v>
      </c>
      <c r="K60" s="50">
        <f t="shared" si="5"/>
        <v>159011.52394896065</v>
      </c>
      <c r="L60" s="50">
        <f t="shared" si="6"/>
        <v>202702.7028</v>
      </c>
      <c r="M60" s="50">
        <v>56925</v>
      </c>
      <c r="N60" s="204">
        <f>(I60+K60)/2</f>
        <v>223491.28659948031</v>
      </c>
      <c r="O60" s="50"/>
      <c r="P60" s="241">
        <f t="shared" si="12"/>
        <v>952602.56</v>
      </c>
      <c r="Q60" s="241"/>
      <c r="R60" s="34">
        <f t="shared" si="13"/>
        <v>0.56000000000000005</v>
      </c>
      <c r="T60" t="s">
        <v>270</v>
      </c>
    </row>
    <row r="61" spans="1:20" ht="24.95" customHeight="1" x14ac:dyDescent="0.25">
      <c r="A61" s="43">
        <v>8</v>
      </c>
      <c r="B61" s="43">
        <v>57</v>
      </c>
      <c r="C61" s="42" t="s">
        <v>80</v>
      </c>
      <c r="D61" s="47">
        <v>4.4999999999999997E-3</v>
      </c>
      <c r="E61" s="48">
        <v>649748.04</v>
      </c>
      <c r="F61" s="74">
        <f t="shared" si="15"/>
        <v>649748.04</v>
      </c>
      <c r="G61" s="174">
        <f t="shared" si="0"/>
        <v>0</v>
      </c>
      <c r="H61" s="49">
        <f t="shared" si="10"/>
        <v>0</v>
      </c>
      <c r="I61" s="50">
        <f t="shared" si="14"/>
        <v>287971.04924999998</v>
      </c>
      <c r="J61" s="50">
        <f t="shared" si="11"/>
        <v>22500</v>
      </c>
      <c r="K61" s="50">
        <f t="shared" si="5"/>
        <v>159011.52394896065</v>
      </c>
      <c r="L61" s="50">
        <f t="shared" si="6"/>
        <v>202702.7028</v>
      </c>
      <c r="M61" s="50">
        <f t="shared" si="7"/>
        <v>0</v>
      </c>
      <c r="N61" s="204">
        <v>0</v>
      </c>
      <c r="O61" s="50"/>
      <c r="P61" s="241">
        <f t="shared" si="12"/>
        <v>672185.57</v>
      </c>
      <c r="Q61" s="241"/>
      <c r="R61" s="34">
        <f t="shared" si="13"/>
        <v>0.56999999999999995</v>
      </c>
    </row>
    <row r="62" spans="1:20" ht="24.95" customHeight="1" x14ac:dyDescent="0.25">
      <c r="A62" s="43">
        <v>8</v>
      </c>
      <c r="B62" s="43">
        <v>58</v>
      </c>
      <c r="C62" s="42" t="s">
        <v>49</v>
      </c>
      <c r="D62" s="47">
        <v>4.4999999999999997E-3</v>
      </c>
      <c r="E62" s="48">
        <v>649748.04</v>
      </c>
      <c r="F62" s="74"/>
      <c r="G62" s="174">
        <f t="shared" si="0"/>
        <v>649748.04</v>
      </c>
      <c r="H62" s="49">
        <f t="shared" si="10"/>
        <v>20057.721994800002</v>
      </c>
      <c r="I62" s="50">
        <f t="shared" si="14"/>
        <v>287971.04924999998</v>
      </c>
      <c r="J62" s="50">
        <f t="shared" si="11"/>
        <v>22500</v>
      </c>
      <c r="K62" s="50">
        <f t="shared" si="5"/>
        <v>159011.52394896065</v>
      </c>
      <c r="L62" s="50">
        <f t="shared" si="6"/>
        <v>202702.7028</v>
      </c>
      <c r="M62" s="50">
        <f t="shared" si="7"/>
        <v>0</v>
      </c>
      <c r="N62" s="204">
        <v>0</v>
      </c>
      <c r="O62" s="50"/>
      <c r="P62" s="241">
        <f t="shared" si="12"/>
        <v>1341991.58</v>
      </c>
      <c r="Q62" s="241"/>
      <c r="R62" s="34">
        <f t="shared" si="13"/>
        <v>0.57999999999999996</v>
      </c>
    </row>
    <row r="63" spans="1:20" ht="24.95" customHeight="1" x14ac:dyDescent="0.25">
      <c r="A63" s="43">
        <v>9</v>
      </c>
      <c r="B63" s="43">
        <v>59</v>
      </c>
      <c r="C63" s="42" t="s">
        <v>81</v>
      </c>
      <c r="D63" s="47">
        <v>4.1000000000000003E-3</v>
      </c>
      <c r="E63" s="48">
        <v>622332.68000000005</v>
      </c>
      <c r="F63" s="74"/>
      <c r="G63" s="174">
        <f t="shared" si="0"/>
        <v>622332.68000000005</v>
      </c>
      <c r="H63" s="49">
        <f t="shared" si="10"/>
        <v>19211.409831600002</v>
      </c>
      <c r="I63" s="50">
        <f t="shared" si="14"/>
        <v>262373.62265000003</v>
      </c>
      <c r="J63" s="50">
        <f t="shared" si="11"/>
        <v>20500</v>
      </c>
      <c r="K63" s="50">
        <f t="shared" si="5"/>
        <v>159011.52394896065</v>
      </c>
      <c r="L63" s="50">
        <f t="shared" si="6"/>
        <v>202702.7028</v>
      </c>
      <c r="M63" s="50">
        <f t="shared" si="7"/>
        <v>0</v>
      </c>
      <c r="N63" s="204">
        <v>0</v>
      </c>
      <c r="O63" s="50"/>
      <c r="P63" s="241">
        <f t="shared" si="12"/>
        <v>1286132.5900000001</v>
      </c>
      <c r="Q63" s="241"/>
      <c r="R63" s="34">
        <f t="shared" si="13"/>
        <v>0.59</v>
      </c>
    </row>
    <row r="64" spans="1:20" ht="24.95" customHeight="1" x14ac:dyDescent="0.25">
      <c r="A64" s="43">
        <v>9</v>
      </c>
      <c r="B64" s="43">
        <v>60</v>
      </c>
      <c r="C64" s="42" t="s">
        <v>82</v>
      </c>
      <c r="D64" s="47">
        <v>4.4999999999999997E-3</v>
      </c>
      <c r="E64" s="48">
        <v>649684.49</v>
      </c>
      <c r="F64" s="74">
        <f>350000+96000+196000+300</f>
        <v>642300</v>
      </c>
      <c r="G64" s="174">
        <f>E64-F64</f>
        <v>7384.4899999999907</v>
      </c>
      <c r="H64" s="49">
        <f t="shared" si="10"/>
        <v>227.95920629999972</v>
      </c>
      <c r="I64" s="50">
        <f t="shared" si="14"/>
        <v>287971.04924999998</v>
      </c>
      <c r="J64" s="50">
        <f t="shared" si="11"/>
        <v>22500</v>
      </c>
      <c r="K64" s="50">
        <f t="shared" si="5"/>
        <v>159011.52394896065</v>
      </c>
      <c r="L64" s="50">
        <f t="shared" si="6"/>
        <v>202702.7028</v>
      </c>
      <c r="M64" s="50">
        <f t="shared" si="7"/>
        <v>0</v>
      </c>
      <c r="N64" s="204">
        <v>0</v>
      </c>
      <c r="O64" s="50"/>
      <c r="P64" s="241">
        <f t="shared" si="12"/>
        <v>679798.6</v>
      </c>
      <c r="Q64" s="241"/>
      <c r="R64" s="34">
        <f t="shared" si="13"/>
        <v>0.6</v>
      </c>
      <c r="T64" t="s">
        <v>296</v>
      </c>
    </row>
    <row r="65" spans="1:20" ht="24.95" customHeight="1" x14ac:dyDescent="0.25">
      <c r="A65" s="43">
        <v>10</v>
      </c>
      <c r="B65" s="43">
        <v>61</v>
      </c>
      <c r="C65" s="42" t="s">
        <v>83</v>
      </c>
      <c r="D65" s="47">
        <v>4.4999999999999997E-3</v>
      </c>
      <c r="E65" s="48">
        <v>649748.56000000006</v>
      </c>
      <c r="F65" s="74">
        <v>650000</v>
      </c>
      <c r="G65" s="174">
        <f t="shared" si="0"/>
        <v>-251.43999999994412</v>
      </c>
      <c r="H65" s="49">
        <f t="shared" si="10"/>
        <v>0</v>
      </c>
      <c r="I65" s="50">
        <f t="shared" si="14"/>
        <v>287971.04924999998</v>
      </c>
      <c r="J65" s="50">
        <f t="shared" si="11"/>
        <v>22500</v>
      </c>
      <c r="K65" s="50">
        <f t="shared" si="5"/>
        <v>159011.52394896065</v>
      </c>
      <c r="L65" s="50">
        <f t="shared" si="6"/>
        <v>202702.7028</v>
      </c>
      <c r="M65" s="50">
        <f t="shared" si="7"/>
        <v>0</v>
      </c>
      <c r="N65" s="204">
        <v>0</v>
      </c>
      <c r="O65" s="50"/>
      <c r="P65" s="241">
        <f t="shared" si="12"/>
        <v>671934.61</v>
      </c>
      <c r="Q65" s="241"/>
      <c r="R65" s="34">
        <f t="shared" si="13"/>
        <v>0.61</v>
      </c>
      <c r="T65" s="180" t="s">
        <v>295</v>
      </c>
    </row>
    <row r="66" spans="1:20" ht="24.95" customHeight="1" x14ac:dyDescent="0.25">
      <c r="A66" s="43">
        <v>10</v>
      </c>
      <c r="B66" s="43">
        <v>62</v>
      </c>
      <c r="C66" s="42" t="s">
        <v>84</v>
      </c>
      <c r="D66" s="47">
        <v>4.1000000000000003E-3</v>
      </c>
      <c r="E66" s="48">
        <v>865923.7</v>
      </c>
      <c r="F66" s="74">
        <v>865923.7</v>
      </c>
      <c r="G66" s="174">
        <f t="shared" si="0"/>
        <v>0</v>
      </c>
      <c r="H66" s="49">
        <f t="shared" si="10"/>
        <v>0</v>
      </c>
      <c r="I66" s="50">
        <f t="shared" si="14"/>
        <v>262373.62265000003</v>
      </c>
      <c r="J66" s="50">
        <f t="shared" si="11"/>
        <v>20500</v>
      </c>
      <c r="K66" s="50">
        <f t="shared" si="5"/>
        <v>159011.52394896065</v>
      </c>
      <c r="L66" s="50">
        <f t="shared" si="6"/>
        <v>202702.7028</v>
      </c>
      <c r="M66" s="50">
        <v>49132</v>
      </c>
      <c r="N66" s="204">
        <f>(I66+K66)/2</f>
        <v>210692.57329948034</v>
      </c>
      <c r="O66" s="50"/>
      <c r="P66" s="241">
        <f t="shared" si="12"/>
        <v>904412.62</v>
      </c>
      <c r="Q66" s="241"/>
      <c r="R66" s="34">
        <f t="shared" si="13"/>
        <v>0.62</v>
      </c>
    </row>
    <row r="67" spans="1:20" ht="24.95" customHeight="1" x14ac:dyDescent="0.25">
      <c r="A67" s="43">
        <v>11</v>
      </c>
      <c r="B67" s="43">
        <v>63</v>
      </c>
      <c r="C67" s="42" t="s">
        <v>85</v>
      </c>
      <c r="D67" s="47">
        <v>4.4999999999999997E-3</v>
      </c>
      <c r="E67" s="48">
        <v>732341.6</v>
      </c>
      <c r="F67" s="74">
        <f>732341.6</f>
        <v>732341.6</v>
      </c>
      <c r="G67" s="174">
        <f>E67-F67</f>
        <v>0</v>
      </c>
      <c r="H67" s="49">
        <f t="shared" si="10"/>
        <v>0</v>
      </c>
      <c r="I67" s="50">
        <f t="shared" si="14"/>
        <v>287971.04924999998</v>
      </c>
      <c r="J67" s="50">
        <f t="shared" si="11"/>
        <v>22500</v>
      </c>
      <c r="K67" s="50">
        <f t="shared" si="5"/>
        <v>159011.52394896065</v>
      </c>
      <c r="L67" s="50">
        <f t="shared" si="6"/>
        <v>202702.7028</v>
      </c>
      <c r="M67" s="50">
        <f t="shared" si="7"/>
        <v>0</v>
      </c>
      <c r="N67" s="204">
        <v>0</v>
      </c>
      <c r="O67" s="50"/>
      <c r="P67" s="241">
        <f t="shared" si="12"/>
        <v>672185.63</v>
      </c>
      <c r="Q67" s="241"/>
      <c r="R67" s="34">
        <f t="shared" si="13"/>
        <v>0.63</v>
      </c>
      <c r="T67" t="s">
        <v>274</v>
      </c>
    </row>
    <row r="68" spans="1:20" ht="24.95" customHeight="1" x14ac:dyDescent="0.25">
      <c r="A68" s="43">
        <v>11</v>
      </c>
      <c r="B68" s="43">
        <v>64</v>
      </c>
      <c r="C68" s="42" t="s">
        <v>86</v>
      </c>
      <c r="D68" s="47">
        <v>4.4999999999999997E-3</v>
      </c>
      <c r="E68" s="48">
        <v>649748.04</v>
      </c>
      <c r="F68" s="74">
        <f>E68</f>
        <v>649748.04</v>
      </c>
      <c r="G68" s="174">
        <f t="shared" si="0"/>
        <v>0</v>
      </c>
      <c r="H68" s="49">
        <f t="shared" si="10"/>
        <v>0</v>
      </c>
      <c r="I68" s="50">
        <f t="shared" si="14"/>
        <v>287971.04924999998</v>
      </c>
      <c r="J68" s="50">
        <f t="shared" si="11"/>
        <v>22500</v>
      </c>
      <c r="K68" s="50">
        <f t="shared" si="5"/>
        <v>159011.52394896065</v>
      </c>
      <c r="L68" s="50">
        <f t="shared" si="6"/>
        <v>202702.7028</v>
      </c>
      <c r="M68" s="50">
        <f t="shared" si="7"/>
        <v>0</v>
      </c>
      <c r="N68" s="204">
        <v>0</v>
      </c>
      <c r="O68" s="50"/>
      <c r="P68" s="241">
        <f t="shared" si="12"/>
        <v>672185.64</v>
      </c>
      <c r="Q68" s="241"/>
      <c r="R68" s="34">
        <f t="shared" si="13"/>
        <v>0.64</v>
      </c>
      <c r="T68" t="s">
        <v>320</v>
      </c>
    </row>
    <row r="69" spans="1:20" ht="24.95" customHeight="1" x14ac:dyDescent="0.25">
      <c r="A69" s="43">
        <v>12</v>
      </c>
      <c r="B69" s="43">
        <v>65</v>
      </c>
      <c r="C69" s="42" t="s">
        <v>87</v>
      </c>
      <c r="D69" s="47">
        <v>4.4999999999999997E-3</v>
      </c>
      <c r="E69" s="48">
        <v>649748.04</v>
      </c>
      <c r="F69" s="74">
        <f>649748.04</f>
        <v>649748.04</v>
      </c>
      <c r="G69" s="174">
        <f t="shared" ref="G69:G156" si="16">E69-F69</f>
        <v>0</v>
      </c>
      <c r="H69" s="49">
        <f t="shared" si="10"/>
        <v>0</v>
      </c>
      <c r="I69" s="50">
        <f t="shared" si="14"/>
        <v>287971.04924999998</v>
      </c>
      <c r="J69" s="50">
        <f t="shared" ref="J69:J100" si="17">P$2*D69</f>
        <v>22500</v>
      </c>
      <c r="K69" s="50">
        <f t="shared" si="5"/>
        <v>159011.52394896065</v>
      </c>
      <c r="L69" s="50">
        <f t="shared" si="6"/>
        <v>202702.7028</v>
      </c>
      <c r="M69" s="50">
        <f t="shared" si="7"/>
        <v>0</v>
      </c>
      <c r="N69" s="204">
        <v>0</v>
      </c>
      <c r="O69" s="50"/>
      <c r="P69" s="241">
        <f t="shared" ref="P69:P100" si="18">ROUND(SUM(G69:O69),0) + R69</f>
        <v>672185.65</v>
      </c>
      <c r="Q69" s="241"/>
      <c r="R69" s="34">
        <f t="shared" ref="R69:R100" si="19">ROUND(0.001+B69/100,2)</f>
        <v>0.65</v>
      </c>
    </row>
    <row r="70" spans="1:20" ht="24.95" customHeight="1" x14ac:dyDescent="0.25">
      <c r="A70" s="43">
        <v>12</v>
      </c>
      <c r="B70" s="43">
        <v>66</v>
      </c>
      <c r="C70" s="42" t="s">
        <v>88</v>
      </c>
      <c r="D70" s="47">
        <v>4.4999999999999997E-3</v>
      </c>
      <c r="E70" s="48">
        <v>649748.04</v>
      </c>
      <c r="F70" s="74">
        <v>649748.04</v>
      </c>
      <c r="G70" s="174">
        <f t="shared" si="16"/>
        <v>0</v>
      </c>
      <c r="H70" s="49">
        <f t="shared" si="10"/>
        <v>0</v>
      </c>
      <c r="I70" s="50">
        <f t="shared" si="14"/>
        <v>287971.04924999998</v>
      </c>
      <c r="J70" s="50">
        <f t="shared" si="17"/>
        <v>22500</v>
      </c>
      <c r="K70" s="50">
        <f t="shared" ref="K70:K133" si="20">G$2*0.675675676%</f>
        <v>159011.52394896065</v>
      </c>
      <c r="L70" s="50">
        <f t="shared" ref="L70:L133" si="21">P$1*0.675675676%</f>
        <v>202702.7028</v>
      </c>
      <c r="M70" s="50">
        <f t="shared" ref="M70:M133" si="22">G$1*D70</f>
        <v>0</v>
      </c>
      <c r="N70" s="204">
        <v>0</v>
      </c>
      <c r="O70" s="50"/>
      <c r="P70" s="241">
        <f t="shared" si="18"/>
        <v>672185.66</v>
      </c>
      <c r="Q70" s="241"/>
      <c r="R70" s="34">
        <f t="shared" si="19"/>
        <v>0.66</v>
      </c>
    </row>
    <row r="71" spans="1:20" ht="24.95" customHeight="1" x14ac:dyDescent="0.25">
      <c r="A71" s="43">
        <v>1</v>
      </c>
      <c r="B71" s="43">
        <v>67</v>
      </c>
      <c r="C71" s="42" t="s">
        <v>89</v>
      </c>
      <c r="D71" s="47">
        <v>4.4999999999999997E-3</v>
      </c>
      <c r="E71" s="48">
        <v>649748.03</v>
      </c>
      <c r="F71" s="74"/>
      <c r="G71" s="174">
        <f t="shared" si="16"/>
        <v>649748.03</v>
      </c>
      <c r="H71" s="49">
        <f t="shared" ref="H71:H134" si="23">IF(G71&gt;0,G71*3.087%,0)</f>
        <v>20057.721686100002</v>
      </c>
      <c r="I71" s="50">
        <f t="shared" si="14"/>
        <v>287971.04924999998</v>
      </c>
      <c r="J71" s="50">
        <f t="shared" si="17"/>
        <v>22500</v>
      </c>
      <c r="K71" s="50">
        <f t="shared" si="20"/>
        <v>159011.52394896065</v>
      </c>
      <c r="L71" s="50">
        <f t="shared" si="21"/>
        <v>202702.7028</v>
      </c>
      <c r="M71" s="50">
        <f t="shared" si="22"/>
        <v>0</v>
      </c>
      <c r="N71" s="204">
        <v>0</v>
      </c>
      <c r="O71" s="50"/>
      <c r="P71" s="241">
        <f t="shared" si="18"/>
        <v>1341991.67</v>
      </c>
      <c r="Q71" s="241"/>
      <c r="R71" s="34">
        <f t="shared" si="19"/>
        <v>0.67</v>
      </c>
    </row>
    <row r="72" spans="1:20" ht="24.95" customHeight="1" x14ac:dyDescent="0.25">
      <c r="A72" s="43"/>
      <c r="B72" s="43">
        <f>B71+1</f>
        <v>68</v>
      </c>
      <c r="C72" s="42" t="s">
        <v>93</v>
      </c>
      <c r="D72" s="47">
        <v>4.4999999999999997E-3</v>
      </c>
      <c r="E72" s="48">
        <v>910292.26</v>
      </c>
      <c r="F72" s="74"/>
      <c r="G72" s="174">
        <f t="shared" si="16"/>
        <v>910292.26</v>
      </c>
      <c r="H72" s="49">
        <f t="shared" si="23"/>
        <v>28100.7220662</v>
      </c>
      <c r="I72" s="50">
        <f t="shared" si="14"/>
        <v>287971.04924999998</v>
      </c>
      <c r="J72" s="50">
        <f t="shared" si="17"/>
        <v>22500</v>
      </c>
      <c r="K72" s="50">
        <f t="shared" si="20"/>
        <v>159011.52394896065</v>
      </c>
      <c r="L72" s="50">
        <f t="shared" si="21"/>
        <v>202702.7028</v>
      </c>
      <c r="M72" s="50">
        <v>53925</v>
      </c>
      <c r="N72" s="204">
        <f>(I72+K72)/2</f>
        <v>223491.28659948031</v>
      </c>
      <c r="O72" s="50"/>
      <c r="P72" s="241">
        <f t="shared" si="18"/>
        <v>1887995.68</v>
      </c>
      <c r="Q72" s="241"/>
      <c r="R72" s="34">
        <f t="shared" si="19"/>
        <v>0.68</v>
      </c>
    </row>
    <row r="73" spans="1:20" ht="24.95" customHeight="1" x14ac:dyDescent="0.25">
      <c r="A73" s="43"/>
      <c r="B73" s="43">
        <f t="shared" ref="B73:B136" si="24">B72+1</f>
        <v>69</v>
      </c>
      <c r="C73" s="42" t="s">
        <v>94</v>
      </c>
      <c r="D73" s="47">
        <v>3.5999999999999999E-3</v>
      </c>
      <c r="E73" s="48">
        <v>588131.15</v>
      </c>
      <c r="F73" s="74">
        <f>E73+0.8</f>
        <v>588131.95000000007</v>
      </c>
      <c r="G73" s="174">
        <f t="shared" si="16"/>
        <v>-0.80000000004656613</v>
      </c>
      <c r="H73" s="49">
        <f t="shared" si="23"/>
        <v>0</v>
      </c>
      <c r="I73" s="50">
        <f t="shared" si="14"/>
        <v>230376.8394</v>
      </c>
      <c r="J73" s="50">
        <f t="shared" si="17"/>
        <v>18000</v>
      </c>
      <c r="K73" s="50">
        <f t="shared" si="20"/>
        <v>159011.52394896065</v>
      </c>
      <c r="L73" s="50">
        <f t="shared" si="21"/>
        <v>202702.7028</v>
      </c>
      <c r="M73" s="50">
        <f t="shared" si="22"/>
        <v>0</v>
      </c>
      <c r="N73" s="204">
        <v>0</v>
      </c>
      <c r="O73" s="50"/>
      <c r="P73" s="241">
        <f t="shared" si="18"/>
        <v>610090.68999999994</v>
      </c>
      <c r="Q73" s="241"/>
      <c r="R73" s="34">
        <f t="shared" si="19"/>
        <v>0.69</v>
      </c>
      <c r="T73" t="s">
        <v>293</v>
      </c>
    </row>
    <row r="74" spans="1:20" ht="24.95" customHeight="1" x14ac:dyDescent="0.25">
      <c r="A74" s="43"/>
      <c r="B74" s="43">
        <f t="shared" si="24"/>
        <v>70</v>
      </c>
      <c r="C74" s="42" t="s">
        <v>95</v>
      </c>
      <c r="D74" s="47">
        <v>4.4000000000000003E-3</v>
      </c>
      <c r="E74" s="48">
        <v>643367.44999999995</v>
      </c>
      <c r="F74" s="74">
        <f t="shared" si="15"/>
        <v>643367.44999999995</v>
      </c>
      <c r="G74" s="174">
        <f t="shared" si="16"/>
        <v>0</v>
      </c>
      <c r="H74" s="49">
        <f t="shared" si="23"/>
        <v>0</v>
      </c>
      <c r="I74" s="50">
        <f t="shared" si="14"/>
        <v>281571.69260000001</v>
      </c>
      <c r="J74" s="50">
        <f t="shared" si="17"/>
        <v>22000</v>
      </c>
      <c r="K74" s="50">
        <f t="shared" si="20"/>
        <v>159011.52394896065</v>
      </c>
      <c r="L74" s="50">
        <f t="shared" si="21"/>
        <v>202702.7028</v>
      </c>
      <c r="M74" s="50">
        <f t="shared" si="22"/>
        <v>0</v>
      </c>
      <c r="N74" s="204">
        <v>0</v>
      </c>
      <c r="O74" s="50"/>
      <c r="P74" s="241">
        <f t="shared" si="18"/>
        <v>665286.69999999995</v>
      </c>
      <c r="Q74" s="241"/>
      <c r="R74" s="34">
        <f t="shared" si="19"/>
        <v>0.7</v>
      </c>
      <c r="T74" t="s">
        <v>284</v>
      </c>
    </row>
    <row r="75" spans="1:20" ht="24.95" customHeight="1" x14ac:dyDescent="0.25">
      <c r="A75" s="43"/>
      <c r="B75" s="43">
        <f t="shared" si="24"/>
        <v>71</v>
      </c>
      <c r="C75" s="42" t="s">
        <v>96</v>
      </c>
      <c r="D75" s="47">
        <v>4.0000000000000001E-3</v>
      </c>
      <c r="E75" s="48">
        <v>672697.45</v>
      </c>
      <c r="F75" s="74">
        <f>E75</f>
        <v>672697.45</v>
      </c>
      <c r="G75" s="174">
        <f t="shared" si="16"/>
        <v>0</v>
      </c>
      <c r="H75" s="49">
        <f t="shared" si="23"/>
        <v>0</v>
      </c>
      <c r="I75" s="50">
        <f t="shared" si="14"/>
        <v>255974.266</v>
      </c>
      <c r="J75" s="50">
        <f t="shared" si="17"/>
        <v>20000</v>
      </c>
      <c r="K75" s="50">
        <f t="shared" si="20"/>
        <v>159011.52394896065</v>
      </c>
      <c r="L75" s="50">
        <f t="shared" si="21"/>
        <v>202702.7028</v>
      </c>
      <c r="M75" s="50">
        <f t="shared" si="22"/>
        <v>0</v>
      </c>
      <c r="N75" s="204">
        <v>0</v>
      </c>
      <c r="O75" s="50"/>
      <c r="P75" s="241">
        <f t="shared" si="18"/>
        <v>637688.71</v>
      </c>
      <c r="Q75" s="241"/>
      <c r="R75" s="34">
        <f t="shared" si="19"/>
        <v>0.71</v>
      </c>
      <c r="T75" t="s">
        <v>319</v>
      </c>
    </row>
    <row r="76" spans="1:20" ht="24.95" customHeight="1" x14ac:dyDescent="0.25">
      <c r="A76" s="43"/>
      <c r="B76" s="43">
        <f t="shared" si="24"/>
        <v>72</v>
      </c>
      <c r="C76" s="42" t="s">
        <v>97</v>
      </c>
      <c r="D76" s="47">
        <v>4.0000000000000001E-3</v>
      </c>
      <c r="E76" s="48">
        <v>615059.99</v>
      </c>
      <c r="F76" s="74">
        <f>650000</f>
        <v>650000</v>
      </c>
      <c r="G76" s="174">
        <f t="shared" si="16"/>
        <v>-34940.010000000009</v>
      </c>
      <c r="H76" s="49">
        <f t="shared" si="23"/>
        <v>0</v>
      </c>
      <c r="I76" s="50">
        <f t="shared" si="14"/>
        <v>255974.266</v>
      </c>
      <c r="J76" s="50">
        <f t="shared" si="17"/>
        <v>20000</v>
      </c>
      <c r="K76" s="50">
        <f t="shared" si="20"/>
        <v>159011.52394896065</v>
      </c>
      <c r="L76" s="50">
        <f t="shared" si="21"/>
        <v>202702.7028</v>
      </c>
      <c r="M76" s="50">
        <f t="shared" si="22"/>
        <v>0</v>
      </c>
      <c r="N76" s="204">
        <v>0</v>
      </c>
      <c r="O76" s="50"/>
      <c r="P76" s="241">
        <f t="shared" si="18"/>
        <v>602748.72</v>
      </c>
      <c r="Q76" s="241"/>
      <c r="R76" s="34">
        <f t="shared" si="19"/>
        <v>0.72</v>
      </c>
      <c r="T76" t="s">
        <v>272</v>
      </c>
    </row>
    <row r="77" spans="1:20" ht="24.95" customHeight="1" x14ac:dyDescent="0.25">
      <c r="A77" s="43"/>
      <c r="B77" s="43">
        <f t="shared" si="24"/>
        <v>73</v>
      </c>
      <c r="C77" s="42" t="s">
        <v>98</v>
      </c>
      <c r="D77" s="47">
        <v>4.0000000000000001E-3</v>
      </c>
      <c r="E77" s="48">
        <v>615012.61</v>
      </c>
      <c r="F77" s="74"/>
      <c r="G77" s="174">
        <f t="shared" si="16"/>
        <v>615012.61</v>
      </c>
      <c r="H77" s="49">
        <f t="shared" si="23"/>
        <v>18985.439270700001</v>
      </c>
      <c r="I77" s="50">
        <f t="shared" si="14"/>
        <v>255974.266</v>
      </c>
      <c r="J77" s="50">
        <f t="shared" si="17"/>
        <v>20000</v>
      </c>
      <c r="K77" s="50">
        <f t="shared" si="20"/>
        <v>159011.52394896065</v>
      </c>
      <c r="L77" s="50">
        <f t="shared" si="21"/>
        <v>202702.7028</v>
      </c>
      <c r="M77" s="50">
        <f t="shared" si="22"/>
        <v>0</v>
      </c>
      <c r="N77" s="204">
        <v>0</v>
      </c>
      <c r="O77" s="50"/>
      <c r="P77" s="241">
        <f t="shared" si="18"/>
        <v>1271687.73</v>
      </c>
      <c r="Q77" s="241"/>
      <c r="R77" s="34">
        <f t="shared" si="19"/>
        <v>0.73</v>
      </c>
    </row>
    <row r="78" spans="1:20" ht="24.95" customHeight="1" x14ac:dyDescent="0.25">
      <c r="A78" s="43"/>
      <c r="B78" s="43">
        <f t="shared" si="24"/>
        <v>74</v>
      </c>
      <c r="C78" s="42" t="s">
        <v>99</v>
      </c>
      <c r="D78" s="47">
        <v>4.4000000000000003E-3</v>
      </c>
      <c r="E78" s="48">
        <v>642901.73</v>
      </c>
      <c r="F78" s="74">
        <v>642901.73</v>
      </c>
      <c r="G78" s="174">
        <f t="shared" si="16"/>
        <v>0</v>
      </c>
      <c r="H78" s="49">
        <f t="shared" si="23"/>
        <v>0</v>
      </c>
      <c r="I78" s="50">
        <f t="shared" si="14"/>
        <v>281571.69260000001</v>
      </c>
      <c r="J78" s="50">
        <f t="shared" si="17"/>
        <v>22000</v>
      </c>
      <c r="K78" s="50">
        <f t="shared" si="20"/>
        <v>159011.52394896065</v>
      </c>
      <c r="L78" s="50">
        <f t="shared" si="21"/>
        <v>202702.7028</v>
      </c>
      <c r="M78" s="50">
        <f t="shared" si="22"/>
        <v>0</v>
      </c>
      <c r="N78" s="204">
        <v>0</v>
      </c>
      <c r="O78" s="50"/>
      <c r="P78" s="241">
        <f t="shared" si="18"/>
        <v>665286.74</v>
      </c>
      <c r="Q78" s="241"/>
      <c r="R78" s="34">
        <f t="shared" si="19"/>
        <v>0.74</v>
      </c>
    </row>
    <row r="79" spans="1:20" ht="24.95" customHeight="1" x14ac:dyDescent="0.25">
      <c r="A79" s="43"/>
      <c r="B79" s="43">
        <f t="shared" si="24"/>
        <v>75</v>
      </c>
      <c r="C79" s="42" t="s">
        <v>100</v>
      </c>
      <c r="D79" s="47">
        <v>4.1000000000000003E-3</v>
      </c>
      <c r="E79" s="48">
        <v>622362.81000000006</v>
      </c>
      <c r="F79" s="74">
        <f t="shared" si="15"/>
        <v>622362.81000000006</v>
      </c>
      <c r="G79" s="174">
        <f t="shared" si="16"/>
        <v>0</v>
      </c>
      <c r="H79" s="49">
        <f t="shared" si="23"/>
        <v>0</v>
      </c>
      <c r="I79" s="50">
        <f t="shared" si="14"/>
        <v>262373.62265000003</v>
      </c>
      <c r="J79" s="50">
        <f t="shared" si="17"/>
        <v>20500</v>
      </c>
      <c r="K79" s="50">
        <f t="shared" si="20"/>
        <v>159011.52394896065</v>
      </c>
      <c r="L79" s="50">
        <f t="shared" si="21"/>
        <v>202702.7028</v>
      </c>
      <c r="M79" s="50">
        <f t="shared" si="22"/>
        <v>0</v>
      </c>
      <c r="N79" s="204">
        <v>0</v>
      </c>
      <c r="O79" s="50"/>
      <c r="P79" s="241">
        <f t="shared" si="18"/>
        <v>644588.75</v>
      </c>
      <c r="Q79" s="241"/>
      <c r="R79" s="34">
        <f t="shared" si="19"/>
        <v>0.75</v>
      </c>
      <c r="T79" t="s">
        <v>291</v>
      </c>
    </row>
    <row r="80" spans="1:20" ht="24.95" customHeight="1" x14ac:dyDescent="0.25">
      <c r="A80" s="43"/>
      <c r="B80" s="43">
        <f t="shared" si="24"/>
        <v>76</v>
      </c>
      <c r="C80" s="42" t="s">
        <v>91</v>
      </c>
      <c r="D80" s="47">
        <v>4.4999999999999997E-3</v>
      </c>
      <c r="E80" s="48">
        <v>649748.04</v>
      </c>
      <c r="F80" s="74">
        <f t="shared" si="15"/>
        <v>649748.04</v>
      </c>
      <c r="G80" s="174">
        <f t="shared" si="16"/>
        <v>0</v>
      </c>
      <c r="H80" s="49">
        <f t="shared" si="23"/>
        <v>0</v>
      </c>
      <c r="I80" s="50">
        <f t="shared" si="14"/>
        <v>287971.04924999998</v>
      </c>
      <c r="J80" s="50">
        <f t="shared" si="17"/>
        <v>22500</v>
      </c>
      <c r="K80" s="50">
        <f t="shared" si="20"/>
        <v>159011.52394896065</v>
      </c>
      <c r="L80" s="50">
        <f t="shared" si="21"/>
        <v>202702.7028</v>
      </c>
      <c r="M80" s="50">
        <f t="shared" si="22"/>
        <v>0</v>
      </c>
      <c r="N80" s="204">
        <v>0</v>
      </c>
      <c r="O80" s="50"/>
      <c r="P80" s="241">
        <f t="shared" si="18"/>
        <v>672185.76</v>
      </c>
      <c r="Q80" s="241"/>
      <c r="R80" s="34">
        <f t="shared" si="19"/>
        <v>0.76</v>
      </c>
    </row>
    <row r="81" spans="1:20" ht="24.95" customHeight="1" x14ac:dyDescent="0.25">
      <c r="A81" s="43"/>
      <c r="B81" s="43">
        <f t="shared" si="24"/>
        <v>77</v>
      </c>
      <c r="C81" s="42" t="s">
        <v>101</v>
      </c>
      <c r="D81" s="47">
        <v>6.1000000000000004E-3</v>
      </c>
      <c r="E81" s="48">
        <v>759288.95</v>
      </c>
      <c r="F81" s="74">
        <f>759288.95</f>
        <v>759288.95</v>
      </c>
      <c r="G81" s="174">
        <f t="shared" si="16"/>
        <v>0</v>
      </c>
      <c r="H81" s="49">
        <f t="shared" si="23"/>
        <v>0</v>
      </c>
      <c r="I81" s="50">
        <f t="shared" si="14"/>
        <v>390360.75565000001</v>
      </c>
      <c r="J81" s="50">
        <f t="shared" si="17"/>
        <v>30500.000000000004</v>
      </c>
      <c r="K81" s="50">
        <f t="shared" si="20"/>
        <v>159011.52394896065</v>
      </c>
      <c r="L81" s="50">
        <f t="shared" si="21"/>
        <v>202702.7028</v>
      </c>
      <c r="M81" s="50">
        <f t="shared" si="22"/>
        <v>0</v>
      </c>
      <c r="N81" s="204">
        <v>0</v>
      </c>
      <c r="O81" s="50"/>
      <c r="P81" s="241">
        <f t="shared" si="18"/>
        <v>782575.77</v>
      </c>
      <c r="Q81" s="241"/>
      <c r="R81" s="34">
        <f t="shared" si="19"/>
        <v>0.77</v>
      </c>
    </row>
    <row r="82" spans="1:20" ht="24.95" customHeight="1" x14ac:dyDescent="0.25">
      <c r="A82" s="43"/>
      <c r="B82" s="43">
        <f t="shared" si="24"/>
        <v>78</v>
      </c>
      <c r="C82" s="42" t="s">
        <v>102</v>
      </c>
      <c r="D82" s="47">
        <v>4.7999999999999996E-3</v>
      </c>
      <c r="E82" s="48">
        <v>683339.35</v>
      </c>
      <c r="F82" s="74"/>
      <c r="G82" s="174">
        <f t="shared" si="16"/>
        <v>683339.35</v>
      </c>
      <c r="H82" s="49">
        <f t="shared" si="23"/>
        <v>21094.685734499999</v>
      </c>
      <c r="I82" s="50">
        <f t="shared" si="14"/>
        <v>307169.11919999996</v>
      </c>
      <c r="J82" s="50">
        <f t="shared" si="17"/>
        <v>23999.999999999996</v>
      </c>
      <c r="K82" s="50">
        <f t="shared" si="20"/>
        <v>159011.52394896065</v>
      </c>
      <c r="L82" s="50">
        <f t="shared" si="21"/>
        <v>202702.7028</v>
      </c>
      <c r="M82" s="50">
        <f t="shared" si="22"/>
        <v>0</v>
      </c>
      <c r="N82" s="204">
        <v>0</v>
      </c>
      <c r="O82" s="50"/>
      <c r="P82" s="241">
        <f t="shared" si="18"/>
        <v>1397317.78</v>
      </c>
      <c r="Q82" s="241"/>
      <c r="R82" s="34">
        <f t="shared" si="19"/>
        <v>0.78</v>
      </c>
    </row>
    <row r="83" spans="1:20" ht="24.95" customHeight="1" x14ac:dyDescent="0.25">
      <c r="A83" s="43"/>
      <c r="B83" s="43">
        <f t="shared" si="24"/>
        <v>79</v>
      </c>
      <c r="C83" s="42" t="s">
        <v>103</v>
      </c>
      <c r="D83" s="47">
        <v>4.4999999999999997E-3</v>
      </c>
      <c r="E83" s="48">
        <v>1017820.74</v>
      </c>
      <c r="F83" s="74"/>
      <c r="G83" s="174">
        <f t="shared" si="16"/>
        <v>1017820.74</v>
      </c>
      <c r="H83" s="49">
        <f t="shared" si="23"/>
        <v>31420.126243800001</v>
      </c>
      <c r="I83" s="50">
        <f t="shared" si="14"/>
        <v>287971.04924999998</v>
      </c>
      <c r="J83" s="50">
        <f t="shared" si="17"/>
        <v>22500</v>
      </c>
      <c r="K83" s="50">
        <f t="shared" si="20"/>
        <v>159011.52394896065</v>
      </c>
      <c r="L83" s="50">
        <f t="shared" si="21"/>
        <v>202702.7028</v>
      </c>
      <c r="M83" s="50">
        <f t="shared" si="22"/>
        <v>0</v>
      </c>
      <c r="N83" s="204">
        <v>0</v>
      </c>
      <c r="O83" s="50"/>
      <c r="P83" s="241">
        <f t="shared" si="18"/>
        <v>1721426.79</v>
      </c>
      <c r="Q83" s="241"/>
      <c r="R83" s="34">
        <f t="shared" si="19"/>
        <v>0.79</v>
      </c>
    </row>
    <row r="84" spans="1:20" ht="24.95" customHeight="1" x14ac:dyDescent="0.25">
      <c r="A84" s="43"/>
      <c r="B84" s="43">
        <f t="shared" si="24"/>
        <v>80</v>
      </c>
      <c r="C84" s="42" t="s">
        <v>104</v>
      </c>
      <c r="D84" s="47">
        <v>4.4999999999999997E-3</v>
      </c>
      <c r="E84" s="48">
        <v>651485</v>
      </c>
      <c r="F84" s="74">
        <f t="shared" si="15"/>
        <v>651485</v>
      </c>
      <c r="G84" s="174">
        <f t="shared" si="16"/>
        <v>0</v>
      </c>
      <c r="H84" s="49">
        <f t="shared" si="23"/>
        <v>0</v>
      </c>
      <c r="I84" s="50">
        <f t="shared" si="14"/>
        <v>287971.04924999998</v>
      </c>
      <c r="J84" s="50">
        <f t="shared" si="17"/>
        <v>22500</v>
      </c>
      <c r="K84" s="50">
        <f t="shared" si="20"/>
        <v>159011.52394896065</v>
      </c>
      <c r="L84" s="50">
        <f t="shared" si="21"/>
        <v>202702.7028</v>
      </c>
      <c r="M84" s="50">
        <f t="shared" si="22"/>
        <v>0</v>
      </c>
      <c r="N84" s="204">
        <v>0</v>
      </c>
      <c r="O84" s="50"/>
      <c r="P84" s="241">
        <f t="shared" si="18"/>
        <v>672185.8</v>
      </c>
      <c r="Q84" s="241"/>
      <c r="R84" s="34">
        <f t="shared" si="19"/>
        <v>0.8</v>
      </c>
      <c r="T84" t="s">
        <v>287</v>
      </c>
    </row>
    <row r="85" spans="1:20" ht="24.95" customHeight="1" x14ac:dyDescent="0.25">
      <c r="A85" s="43"/>
      <c r="B85" s="43">
        <f t="shared" si="24"/>
        <v>81</v>
      </c>
      <c r="C85" s="42" t="s">
        <v>105</v>
      </c>
      <c r="D85" s="47">
        <v>4.4999999999999997E-3</v>
      </c>
      <c r="E85" s="48">
        <v>1272407.97</v>
      </c>
      <c r="F85" s="74">
        <f>615444.37</f>
        <v>615444.37</v>
      </c>
      <c r="G85" s="174">
        <f t="shared" si="16"/>
        <v>656963.6</v>
      </c>
      <c r="H85" s="49">
        <f t="shared" si="23"/>
        <v>20280.466332</v>
      </c>
      <c r="I85" s="50">
        <f t="shared" si="14"/>
        <v>287971.04924999998</v>
      </c>
      <c r="J85" s="50">
        <f t="shared" si="17"/>
        <v>22500</v>
      </c>
      <c r="K85" s="50">
        <f t="shared" si="20"/>
        <v>159011.52394896065</v>
      </c>
      <c r="L85" s="50">
        <f t="shared" si="21"/>
        <v>202702.7028</v>
      </c>
      <c r="M85" s="50">
        <f t="shared" si="22"/>
        <v>0</v>
      </c>
      <c r="N85" s="204">
        <v>0</v>
      </c>
      <c r="O85" s="50"/>
      <c r="P85" s="241">
        <f t="shared" si="18"/>
        <v>1349429.81</v>
      </c>
      <c r="Q85" s="241"/>
      <c r="R85" s="34">
        <f t="shared" si="19"/>
        <v>0.81</v>
      </c>
      <c r="T85" t="s">
        <v>351</v>
      </c>
    </row>
    <row r="86" spans="1:20" ht="24.95" customHeight="1" x14ac:dyDescent="0.25">
      <c r="A86" s="43"/>
      <c r="B86" s="43">
        <f t="shared" si="24"/>
        <v>82</v>
      </c>
      <c r="C86" s="42" t="s">
        <v>106</v>
      </c>
      <c r="D86" s="47">
        <v>4.1999999999999997E-3</v>
      </c>
      <c r="E86" s="48">
        <v>1225690.6000000001</v>
      </c>
      <c r="F86" s="74"/>
      <c r="G86" s="174">
        <f t="shared" si="16"/>
        <v>1225690.6000000001</v>
      </c>
      <c r="H86" s="49">
        <f t="shared" si="23"/>
        <v>37837.068822000008</v>
      </c>
      <c r="I86" s="50">
        <f t="shared" si="14"/>
        <v>268772.97930000001</v>
      </c>
      <c r="J86" s="50">
        <f t="shared" si="17"/>
        <v>21000</v>
      </c>
      <c r="K86" s="50">
        <f t="shared" si="20"/>
        <v>159011.52394896065</v>
      </c>
      <c r="L86" s="50">
        <f t="shared" si="21"/>
        <v>202702.7028</v>
      </c>
      <c r="M86" s="50">
        <f t="shared" si="22"/>
        <v>0</v>
      </c>
      <c r="N86" s="204">
        <v>0</v>
      </c>
      <c r="O86" s="50"/>
      <c r="P86" s="241">
        <f t="shared" si="18"/>
        <v>1915015.82</v>
      </c>
      <c r="Q86" s="241"/>
      <c r="R86" s="34">
        <f t="shared" si="19"/>
        <v>0.82</v>
      </c>
    </row>
    <row r="87" spans="1:20" ht="24.95" customHeight="1" x14ac:dyDescent="0.25">
      <c r="A87" s="43"/>
      <c r="B87" s="43">
        <f t="shared" si="24"/>
        <v>83</v>
      </c>
      <c r="C87" s="42" t="s">
        <v>107</v>
      </c>
      <c r="D87" s="47">
        <v>4.7999999999999996E-3</v>
      </c>
      <c r="E87" s="48">
        <v>700286.96</v>
      </c>
      <c r="F87" s="74">
        <v>700286.96</v>
      </c>
      <c r="G87" s="174">
        <f t="shared" si="16"/>
        <v>0</v>
      </c>
      <c r="H87" s="49">
        <f t="shared" si="23"/>
        <v>0</v>
      </c>
      <c r="I87" s="50">
        <f t="shared" si="14"/>
        <v>307169.11919999996</v>
      </c>
      <c r="J87" s="50">
        <f t="shared" si="17"/>
        <v>23999.999999999996</v>
      </c>
      <c r="K87" s="50">
        <f t="shared" si="20"/>
        <v>159011.52394896065</v>
      </c>
      <c r="L87" s="50">
        <f t="shared" si="21"/>
        <v>202702.7028</v>
      </c>
      <c r="M87" s="50">
        <f t="shared" si="22"/>
        <v>0</v>
      </c>
      <c r="N87" s="204">
        <v>0</v>
      </c>
      <c r="O87" s="50"/>
      <c r="P87" s="241">
        <f t="shared" si="18"/>
        <v>692883.83</v>
      </c>
      <c r="Q87" s="241"/>
      <c r="R87" s="34">
        <f t="shared" si="19"/>
        <v>0.83</v>
      </c>
    </row>
    <row r="88" spans="1:20" ht="24.95" customHeight="1" x14ac:dyDescent="0.25">
      <c r="A88" s="43"/>
      <c r="B88" s="43">
        <f t="shared" si="24"/>
        <v>84</v>
      </c>
      <c r="C88" s="42" t="s">
        <v>107</v>
      </c>
      <c r="D88" s="47">
        <v>4.7999999999999996E-3</v>
      </c>
      <c r="E88" s="48">
        <v>700286.96</v>
      </c>
      <c r="F88" s="74">
        <v>700286.96</v>
      </c>
      <c r="G88" s="174">
        <f t="shared" si="16"/>
        <v>0</v>
      </c>
      <c r="H88" s="49">
        <f t="shared" si="23"/>
        <v>0</v>
      </c>
      <c r="I88" s="50">
        <f t="shared" si="14"/>
        <v>307169.11919999996</v>
      </c>
      <c r="J88" s="50">
        <f t="shared" si="17"/>
        <v>23999.999999999996</v>
      </c>
      <c r="K88" s="50">
        <f t="shared" si="20"/>
        <v>159011.52394896065</v>
      </c>
      <c r="L88" s="50">
        <f t="shared" si="21"/>
        <v>202702.7028</v>
      </c>
      <c r="M88" s="50">
        <f t="shared" si="22"/>
        <v>0</v>
      </c>
      <c r="N88" s="204">
        <v>0</v>
      </c>
      <c r="O88" s="50"/>
      <c r="P88" s="241">
        <f t="shared" si="18"/>
        <v>692883.84</v>
      </c>
      <c r="Q88" s="241"/>
      <c r="R88" s="34">
        <f t="shared" si="19"/>
        <v>0.84</v>
      </c>
    </row>
    <row r="89" spans="1:20" ht="24.95" customHeight="1" x14ac:dyDescent="0.25">
      <c r="A89" s="43"/>
      <c r="B89" s="43">
        <f t="shared" si="24"/>
        <v>85</v>
      </c>
      <c r="C89" s="42" t="s">
        <v>108</v>
      </c>
      <c r="D89" s="47">
        <v>4.7999999999999996E-3</v>
      </c>
      <c r="E89" s="48">
        <v>670286.94999999995</v>
      </c>
      <c r="F89" s="74">
        <f>670286.95</f>
        <v>670286.94999999995</v>
      </c>
      <c r="G89" s="174">
        <f t="shared" si="16"/>
        <v>0</v>
      </c>
      <c r="H89" s="49">
        <f t="shared" si="23"/>
        <v>0</v>
      </c>
      <c r="I89" s="50">
        <f t="shared" si="14"/>
        <v>307169.11919999996</v>
      </c>
      <c r="J89" s="50">
        <f t="shared" si="17"/>
        <v>23999.999999999996</v>
      </c>
      <c r="K89" s="50">
        <f t="shared" si="20"/>
        <v>159011.52394896065</v>
      </c>
      <c r="L89" s="50">
        <f t="shared" si="21"/>
        <v>202702.7028</v>
      </c>
      <c r="M89" s="50">
        <f t="shared" si="22"/>
        <v>0</v>
      </c>
      <c r="N89" s="204">
        <v>0</v>
      </c>
      <c r="O89" s="50"/>
      <c r="P89" s="241">
        <f t="shared" si="18"/>
        <v>692883.85</v>
      </c>
      <c r="Q89" s="241"/>
      <c r="R89" s="34">
        <f t="shared" si="19"/>
        <v>0.85</v>
      </c>
      <c r="T89" t="s">
        <v>317</v>
      </c>
    </row>
    <row r="90" spans="1:20" ht="24.95" customHeight="1" x14ac:dyDescent="0.25">
      <c r="A90" s="43"/>
      <c r="B90" s="43">
        <f t="shared" si="24"/>
        <v>86</v>
      </c>
      <c r="C90" s="42" t="s">
        <v>189</v>
      </c>
      <c r="D90" s="47">
        <v>4.7999999999999996E-3</v>
      </c>
      <c r="E90" s="48">
        <v>670286.94999999995</v>
      </c>
      <c r="F90" s="74">
        <f t="shared" si="15"/>
        <v>670286.94999999995</v>
      </c>
      <c r="G90" s="174">
        <f t="shared" si="16"/>
        <v>0</v>
      </c>
      <c r="H90" s="49">
        <f t="shared" si="23"/>
        <v>0</v>
      </c>
      <c r="I90" s="50">
        <f t="shared" si="14"/>
        <v>307169.11919999996</v>
      </c>
      <c r="J90" s="50">
        <f t="shared" si="17"/>
        <v>23999.999999999996</v>
      </c>
      <c r="K90" s="50">
        <f t="shared" si="20"/>
        <v>159011.52394896065</v>
      </c>
      <c r="L90" s="50">
        <f t="shared" si="21"/>
        <v>202702.7028</v>
      </c>
      <c r="M90" s="50">
        <f t="shared" si="22"/>
        <v>0</v>
      </c>
      <c r="N90" s="204">
        <v>0</v>
      </c>
      <c r="O90" s="50"/>
      <c r="P90" s="241">
        <f t="shared" si="18"/>
        <v>692883.86</v>
      </c>
      <c r="Q90" s="241"/>
      <c r="R90" s="34">
        <f t="shared" si="19"/>
        <v>0.86</v>
      </c>
    </row>
    <row r="91" spans="1:20" ht="24.95" customHeight="1" x14ac:dyDescent="0.25">
      <c r="A91" s="43"/>
      <c r="B91" s="43">
        <f t="shared" si="24"/>
        <v>87</v>
      </c>
      <c r="C91" s="42" t="s">
        <v>109</v>
      </c>
      <c r="D91" s="47">
        <v>4.7999999999999996E-3</v>
      </c>
      <c r="E91" s="48">
        <v>670286.96</v>
      </c>
      <c r="F91" s="74">
        <f>670288.96</f>
        <v>670288.96</v>
      </c>
      <c r="G91" s="174">
        <f t="shared" si="16"/>
        <v>-2</v>
      </c>
      <c r="H91" s="49">
        <f t="shared" si="23"/>
        <v>0</v>
      </c>
      <c r="I91" s="50">
        <f t="shared" si="14"/>
        <v>307169.11919999996</v>
      </c>
      <c r="J91" s="50">
        <f t="shared" si="17"/>
        <v>23999.999999999996</v>
      </c>
      <c r="K91" s="50">
        <f t="shared" si="20"/>
        <v>159011.52394896065</v>
      </c>
      <c r="L91" s="50">
        <f t="shared" si="21"/>
        <v>202702.7028</v>
      </c>
      <c r="M91" s="50">
        <f t="shared" si="22"/>
        <v>0</v>
      </c>
      <c r="N91" s="204">
        <v>0</v>
      </c>
      <c r="O91" s="50"/>
      <c r="P91" s="241">
        <f t="shared" si="18"/>
        <v>692881.87</v>
      </c>
      <c r="Q91" s="241"/>
      <c r="R91" s="34">
        <f t="shared" si="19"/>
        <v>0.87</v>
      </c>
    </row>
    <row r="92" spans="1:20" ht="24.95" customHeight="1" x14ac:dyDescent="0.25">
      <c r="A92" s="43"/>
      <c r="B92" s="43">
        <f t="shared" si="24"/>
        <v>88</v>
      </c>
      <c r="C92" s="42" t="s">
        <v>110</v>
      </c>
      <c r="D92" s="47">
        <v>4.7999999999999996E-3</v>
      </c>
      <c r="E92" s="48">
        <v>670286.94999999995</v>
      </c>
      <c r="F92" s="74">
        <f t="shared" si="15"/>
        <v>670286.94999999995</v>
      </c>
      <c r="G92" s="174">
        <f t="shared" si="16"/>
        <v>0</v>
      </c>
      <c r="H92" s="49">
        <f t="shared" si="23"/>
        <v>0</v>
      </c>
      <c r="I92" s="50">
        <f t="shared" si="14"/>
        <v>307169.11919999996</v>
      </c>
      <c r="J92" s="50">
        <f t="shared" si="17"/>
        <v>23999.999999999996</v>
      </c>
      <c r="K92" s="50">
        <f t="shared" si="20"/>
        <v>159011.52394896065</v>
      </c>
      <c r="L92" s="50">
        <f t="shared" si="21"/>
        <v>202702.7028</v>
      </c>
      <c r="M92" s="50">
        <f t="shared" si="22"/>
        <v>0</v>
      </c>
      <c r="N92" s="204">
        <v>0</v>
      </c>
      <c r="O92" s="50"/>
      <c r="P92" s="241">
        <f t="shared" si="18"/>
        <v>692883.88</v>
      </c>
      <c r="Q92" s="241"/>
      <c r="R92" s="34">
        <f t="shared" si="19"/>
        <v>0.88</v>
      </c>
    </row>
    <row r="93" spans="1:20" ht="24.95" customHeight="1" x14ac:dyDescent="0.25">
      <c r="A93" s="43"/>
      <c r="B93" s="43">
        <f t="shared" si="24"/>
        <v>89</v>
      </c>
      <c r="C93" s="42" t="s">
        <v>315</v>
      </c>
      <c r="D93" s="47">
        <v>4.7999999999999996E-3</v>
      </c>
      <c r="E93" s="48">
        <v>670286.94999999995</v>
      </c>
      <c r="F93" s="74">
        <f>E93</f>
        <v>670286.94999999995</v>
      </c>
      <c r="G93" s="174">
        <f t="shared" si="16"/>
        <v>0</v>
      </c>
      <c r="H93" s="49">
        <f t="shared" si="23"/>
        <v>0</v>
      </c>
      <c r="I93" s="50">
        <f t="shared" si="14"/>
        <v>307169.11919999996</v>
      </c>
      <c r="J93" s="50">
        <f t="shared" si="17"/>
        <v>23999.999999999996</v>
      </c>
      <c r="K93" s="50">
        <f t="shared" si="20"/>
        <v>159011.52394896065</v>
      </c>
      <c r="L93" s="50">
        <f t="shared" si="21"/>
        <v>202702.7028</v>
      </c>
      <c r="M93" s="50">
        <f t="shared" si="22"/>
        <v>0</v>
      </c>
      <c r="N93" s="204">
        <v>0</v>
      </c>
      <c r="O93" s="50"/>
      <c r="P93" s="241">
        <f t="shared" si="18"/>
        <v>692883.89</v>
      </c>
      <c r="Q93" s="241"/>
      <c r="R93" s="34">
        <f t="shared" si="19"/>
        <v>0.89</v>
      </c>
    </row>
    <row r="94" spans="1:20" ht="24.95" customHeight="1" x14ac:dyDescent="0.25">
      <c r="A94" s="43"/>
      <c r="B94" s="43">
        <f t="shared" si="24"/>
        <v>90</v>
      </c>
      <c r="C94" s="42" t="s">
        <v>111</v>
      </c>
      <c r="D94" s="47">
        <v>4.7999999999999996E-3</v>
      </c>
      <c r="E94" s="48">
        <v>1339226.06</v>
      </c>
      <c r="F94" s="74">
        <v>640000</v>
      </c>
      <c r="G94" s="174">
        <f t="shared" si="16"/>
        <v>699226.06</v>
      </c>
      <c r="H94" s="49">
        <f t="shared" si="23"/>
        <v>21585.108472200001</v>
      </c>
      <c r="I94" s="50">
        <f t="shared" si="14"/>
        <v>307169.11919999996</v>
      </c>
      <c r="J94" s="50">
        <f t="shared" si="17"/>
        <v>23999.999999999996</v>
      </c>
      <c r="K94" s="50">
        <f t="shared" si="20"/>
        <v>159011.52394896065</v>
      </c>
      <c r="L94" s="50">
        <f t="shared" si="21"/>
        <v>202702.7028</v>
      </c>
      <c r="M94" s="50">
        <f t="shared" si="22"/>
        <v>0</v>
      </c>
      <c r="N94" s="204">
        <v>0</v>
      </c>
      <c r="O94" s="50"/>
      <c r="P94" s="241">
        <f t="shared" si="18"/>
        <v>1413695.9</v>
      </c>
      <c r="Q94" s="241"/>
      <c r="R94" s="34">
        <f t="shared" si="19"/>
        <v>0.9</v>
      </c>
      <c r="T94" t="s">
        <v>331</v>
      </c>
    </row>
    <row r="95" spans="1:20" ht="24.95" customHeight="1" x14ac:dyDescent="0.25">
      <c r="A95" s="43"/>
      <c r="B95" s="43">
        <f t="shared" si="24"/>
        <v>91</v>
      </c>
      <c r="C95" s="42" t="s">
        <v>112</v>
      </c>
      <c r="D95" s="47">
        <v>4.7999999999999996E-3</v>
      </c>
      <c r="E95" s="48">
        <v>670286.96</v>
      </c>
      <c r="F95" s="74">
        <f t="shared" si="15"/>
        <v>670286.96</v>
      </c>
      <c r="G95" s="174">
        <f t="shared" si="16"/>
        <v>0</v>
      </c>
      <c r="H95" s="49">
        <f t="shared" si="23"/>
        <v>0</v>
      </c>
      <c r="I95" s="50">
        <f t="shared" si="14"/>
        <v>307169.11919999996</v>
      </c>
      <c r="J95" s="50">
        <f t="shared" si="17"/>
        <v>23999.999999999996</v>
      </c>
      <c r="K95" s="50">
        <f t="shared" si="20"/>
        <v>159011.52394896065</v>
      </c>
      <c r="L95" s="50">
        <f t="shared" si="21"/>
        <v>202702.7028</v>
      </c>
      <c r="M95" s="50">
        <f t="shared" si="22"/>
        <v>0</v>
      </c>
      <c r="N95" s="204">
        <v>0</v>
      </c>
      <c r="O95" s="50"/>
      <c r="P95" s="241">
        <f t="shared" si="18"/>
        <v>692883.91</v>
      </c>
      <c r="Q95" s="241"/>
      <c r="R95" s="34">
        <f t="shared" si="19"/>
        <v>0.91</v>
      </c>
      <c r="T95" t="s">
        <v>277</v>
      </c>
    </row>
    <row r="96" spans="1:20" ht="24.95" customHeight="1" x14ac:dyDescent="0.25">
      <c r="A96" s="43"/>
      <c r="B96" s="43">
        <f t="shared" si="24"/>
        <v>92</v>
      </c>
      <c r="C96" s="42" t="s">
        <v>113</v>
      </c>
      <c r="D96" s="47">
        <v>4.7999999999999996E-3</v>
      </c>
      <c r="E96" s="48">
        <v>2508228.77</v>
      </c>
      <c r="F96" s="74">
        <f>1225700+1000000</f>
        <v>2225700</v>
      </c>
      <c r="G96" s="174">
        <f t="shared" si="16"/>
        <v>282528.77</v>
      </c>
      <c r="H96" s="49">
        <f t="shared" si="23"/>
        <v>8721.6631299000019</v>
      </c>
      <c r="I96" s="50">
        <f t="shared" si="14"/>
        <v>307169.11919999996</v>
      </c>
      <c r="J96" s="50">
        <f t="shared" si="17"/>
        <v>23999.999999999996</v>
      </c>
      <c r="K96" s="50">
        <f t="shared" si="20"/>
        <v>159011.52394896065</v>
      </c>
      <c r="L96" s="50">
        <f t="shared" si="21"/>
        <v>202702.7028</v>
      </c>
      <c r="M96" s="50">
        <f t="shared" si="22"/>
        <v>0</v>
      </c>
      <c r="N96" s="204">
        <v>0</v>
      </c>
      <c r="O96" s="50"/>
      <c r="P96" s="241">
        <f t="shared" si="18"/>
        <v>984134.92</v>
      </c>
      <c r="Q96" s="241"/>
      <c r="R96" s="34">
        <f t="shared" si="19"/>
        <v>0.92</v>
      </c>
      <c r="T96" t="s">
        <v>318</v>
      </c>
    </row>
    <row r="97" spans="1:20" ht="24.95" customHeight="1" x14ac:dyDescent="0.25">
      <c r="A97" s="43"/>
      <c r="B97" s="43">
        <f t="shared" si="24"/>
        <v>93</v>
      </c>
      <c r="C97" s="131" t="s">
        <v>190</v>
      </c>
      <c r="D97" s="47">
        <v>4.5999999999999999E-3</v>
      </c>
      <c r="E97" s="48">
        <v>-1109415.26</v>
      </c>
      <c r="F97" s="74"/>
      <c r="G97" s="174">
        <f t="shared" si="16"/>
        <v>-1109415.26</v>
      </c>
      <c r="H97" s="49">
        <f t="shared" si="23"/>
        <v>0</v>
      </c>
      <c r="I97" s="50">
        <f t="shared" si="14"/>
        <v>294370.40590000001</v>
      </c>
      <c r="J97" s="50">
        <f t="shared" si="17"/>
        <v>23000</v>
      </c>
      <c r="K97" s="50">
        <f t="shared" si="20"/>
        <v>159011.52394896065</v>
      </c>
      <c r="L97" s="50">
        <f t="shared" si="21"/>
        <v>202702.7028</v>
      </c>
      <c r="M97" s="50">
        <f t="shared" si="22"/>
        <v>0</v>
      </c>
      <c r="N97" s="204">
        <v>0</v>
      </c>
      <c r="O97" s="50"/>
      <c r="P97" s="241">
        <f t="shared" si="18"/>
        <v>-430330.07</v>
      </c>
      <c r="Q97" s="241"/>
      <c r="R97" s="34">
        <f t="shared" si="19"/>
        <v>0.93</v>
      </c>
    </row>
    <row r="98" spans="1:20" ht="24.95" customHeight="1" x14ac:dyDescent="0.25">
      <c r="A98" s="43"/>
      <c r="B98" s="43">
        <f t="shared" si="24"/>
        <v>94</v>
      </c>
      <c r="C98" s="42" t="s">
        <v>191</v>
      </c>
      <c r="D98" s="47">
        <v>4.7999999999999996E-3</v>
      </c>
      <c r="E98" s="48">
        <v>670286.96</v>
      </c>
      <c r="F98" s="74">
        <f>670286.96</f>
        <v>670286.96</v>
      </c>
      <c r="G98" s="174">
        <f t="shared" si="16"/>
        <v>0</v>
      </c>
      <c r="H98" s="49">
        <f t="shared" si="23"/>
        <v>0</v>
      </c>
      <c r="I98" s="50">
        <f t="shared" si="14"/>
        <v>307169.11919999996</v>
      </c>
      <c r="J98" s="50">
        <f t="shared" si="17"/>
        <v>23999.999999999996</v>
      </c>
      <c r="K98" s="50">
        <f t="shared" si="20"/>
        <v>159011.52394896065</v>
      </c>
      <c r="L98" s="50">
        <f t="shared" si="21"/>
        <v>202702.7028</v>
      </c>
      <c r="M98" s="50">
        <f t="shared" si="22"/>
        <v>0</v>
      </c>
      <c r="N98" s="204">
        <v>0</v>
      </c>
      <c r="O98" s="50"/>
      <c r="P98" s="241">
        <f t="shared" si="18"/>
        <v>692883.94</v>
      </c>
      <c r="Q98" s="241"/>
      <c r="R98" s="34">
        <f t="shared" si="19"/>
        <v>0.94</v>
      </c>
      <c r="T98" t="s">
        <v>263</v>
      </c>
    </row>
    <row r="99" spans="1:20" ht="24.95" customHeight="1" x14ac:dyDescent="0.25">
      <c r="A99" s="43"/>
      <c r="B99" s="43">
        <f t="shared" si="24"/>
        <v>95</v>
      </c>
      <c r="C99" s="42" t="s">
        <v>114</v>
      </c>
      <c r="D99" s="47">
        <v>4.7999999999999996E-3</v>
      </c>
      <c r="E99" s="48">
        <v>1569672.12</v>
      </c>
      <c r="F99" s="74">
        <v>750000</v>
      </c>
      <c r="G99" s="174">
        <f t="shared" si="16"/>
        <v>819672.12000000011</v>
      </c>
      <c r="H99" s="49">
        <f t="shared" si="23"/>
        <v>25303.278344400005</v>
      </c>
      <c r="I99" s="50">
        <f t="shared" si="14"/>
        <v>307169.11919999996</v>
      </c>
      <c r="J99" s="50">
        <f t="shared" si="17"/>
        <v>23999.999999999996</v>
      </c>
      <c r="K99" s="50">
        <f t="shared" si="20"/>
        <v>159011.52394896065</v>
      </c>
      <c r="L99" s="50">
        <f t="shared" si="21"/>
        <v>202702.7028</v>
      </c>
      <c r="M99" s="50">
        <f t="shared" si="22"/>
        <v>0</v>
      </c>
      <c r="N99" s="204">
        <v>0</v>
      </c>
      <c r="O99" s="50"/>
      <c r="P99" s="241">
        <f t="shared" si="18"/>
        <v>1537859.95</v>
      </c>
      <c r="Q99" s="241"/>
      <c r="R99" s="34">
        <f t="shared" si="19"/>
        <v>0.95</v>
      </c>
    </row>
    <row r="100" spans="1:20" ht="24.95" customHeight="1" x14ac:dyDescent="0.25">
      <c r="A100" s="43"/>
      <c r="B100" s="43">
        <f t="shared" si="24"/>
        <v>96</v>
      </c>
      <c r="C100" s="42" t="s">
        <v>115</v>
      </c>
      <c r="D100" s="47">
        <v>4.7999999999999996E-3</v>
      </c>
      <c r="E100" s="48">
        <v>670051.6</v>
      </c>
      <c r="F100" s="74">
        <f>300000+371000</f>
        <v>671000</v>
      </c>
      <c r="G100" s="174">
        <f t="shared" si="16"/>
        <v>-948.40000000002328</v>
      </c>
      <c r="H100" s="49">
        <f t="shared" si="23"/>
        <v>0</v>
      </c>
      <c r="I100" s="50">
        <f t="shared" si="14"/>
        <v>307169.11919999996</v>
      </c>
      <c r="J100" s="50">
        <f t="shared" si="17"/>
        <v>23999.999999999996</v>
      </c>
      <c r="K100" s="50">
        <f t="shared" si="20"/>
        <v>159011.52394896065</v>
      </c>
      <c r="L100" s="50">
        <f t="shared" si="21"/>
        <v>202702.7028</v>
      </c>
      <c r="M100" s="50">
        <f t="shared" si="22"/>
        <v>0</v>
      </c>
      <c r="N100" s="204">
        <v>0</v>
      </c>
      <c r="O100" s="50"/>
      <c r="P100" s="241">
        <f t="shared" si="18"/>
        <v>691935.96</v>
      </c>
      <c r="Q100" s="241"/>
      <c r="R100" s="34">
        <f t="shared" si="19"/>
        <v>0.96</v>
      </c>
      <c r="T100" t="s">
        <v>283</v>
      </c>
    </row>
    <row r="101" spans="1:20" ht="24.95" customHeight="1" x14ac:dyDescent="0.25">
      <c r="A101" s="43"/>
      <c r="B101" s="43">
        <f t="shared" si="24"/>
        <v>97</v>
      </c>
      <c r="C101" s="42" t="s">
        <v>116</v>
      </c>
      <c r="D101" s="47">
        <v>4.7999999999999996E-3</v>
      </c>
      <c r="E101" s="48">
        <v>670195.1</v>
      </c>
      <c r="F101" s="74">
        <v>670200</v>
      </c>
      <c r="G101" s="174">
        <f t="shared" si="16"/>
        <v>-4.9000000000232831</v>
      </c>
      <c r="H101" s="49">
        <f t="shared" si="23"/>
        <v>0</v>
      </c>
      <c r="I101" s="50">
        <f t="shared" si="14"/>
        <v>307169.11919999996</v>
      </c>
      <c r="J101" s="50">
        <f t="shared" ref="J101:J132" si="25">P$2*D101</f>
        <v>23999.999999999996</v>
      </c>
      <c r="K101" s="50">
        <f t="shared" si="20"/>
        <v>159011.52394896065</v>
      </c>
      <c r="L101" s="50">
        <f t="shared" si="21"/>
        <v>202702.7028</v>
      </c>
      <c r="M101" s="50">
        <f t="shared" si="22"/>
        <v>0</v>
      </c>
      <c r="N101" s="204">
        <v>0</v>
      </c>
      <c r="O101" s="50"/>
      <c r="P101" s="241">
        <f t="shared" ref="P101:P132" si="26">ROUND(SUM(G101:O101),0) + R101</f>
        <v>692878.97</v>
      </c>
      <c r="Q101" s="241"/>
      <c r="R101" s="34">
        <f t="shared" ref="R101:R132" si="27">ROUND(0.001+B101/100,2)</f>
        <v>0.97</v>
      </c>
      <c r="T101" t="s">
        <v>301</v>
      </c>
    </row>
    <row r="102" spans="1:20" ht="24.95" customHeight="1" x14ac:dyDescent="0.25">
      <c r="A102" s="43"/>
      <c r="B102" s="43">
        <f t="shared" si="24"/>
        <v>98</v>
      </c>
      <c r="C102" s="42" t="s">
        <v>117</v>
      </c>
      <c r="D102" s="47">
        <v>4.7999999999999996E-3</v>
      </c>
      <c r="E102" s="48">
        <v>670286.96</v>
      </c>
      <c r="F102" s="74">
        <f t="shared" si="15"/>
        <v>670286.96</v>
      </c>
      <c r="G102" s="174">
        <f t="shared" si="16"/>
        <v>0</v>
      </c>
      <c r="H102" s="49">
        <f t="shared" si="23"/>
        <v>0</v>
      </c>
      <c r="I102" s="50">
        <f t="shared" ref="I102:I156" si="28">K$2*D102</f>
        <v>307169.11919999996</v>
      </c>
      <c r="J102" s="50">
        <f t="shared" si="25"/>
        <v>23999.999999999996</v>
      </c>
      <c r="K102" s="50">
        <f t="shared" si="20"/>
        <v>159011.52394896065</v>
      </c>
      <c r="L102" s="50">
        <f t="shared" si="21"/>
        <v>202702.7028</v>
      </c>
      <c r="M102" s="50">
        <f t="shared" si="22"/>
        <v>0</v>
      </c>
      <c r="N102" s="204">
        <v>0</v>
      </c>
      <c r="O102" s="50"/>
      <c r="P102" s="241">
        <f t="shared" si="26"/>
        <v>692883.98</v>
      </c>
      <c r="Q102" s="241"/>
      <c r="R102" s="34">
        <f t="shared" si="27"/>
        <v>0.98</v>
      </c>
    </row>
    <row r="103" spans="1:20" ht="24.95" customHeight="1" x14ac:dyDescent="0.25">
      <c r="A103" s="43"/>
      <c r="B103" s="43">
        <f t="shared" si="24"/>
        <v>99</v>
      </c>
      <c r="C103" s="42" t="s">
        <v>118</v>
      </c>
      <c r="D103" s="47">
        <v>4.7999999999999996E-3</v>
      </c>
      <c r="E103" s="48">
        <v>670286.96</v>
      </c>
      <c r="F103" s="74">
        <f t="shared" si="15"/>
        <v>670286.96</v>
      </c>
      <c r="G103" s="174">
        <f t="shared" si="16"/>
        <v>0</v>
      </c>
      <c r="H103" s="49">
        <f t="shared" si="23"/>
        <v>0</v>
      </c>
      <c r="I103" s="50">
        <f t="shared" si="28"/>
        <v>307169.11919999996</v>
      </c>
      <c r="J103" s="50">
        <f t="shared" si="25"/>
        <v>23999.999999999996</v>
      </c>
      <c r="K103" s="50">
        <f t="shared" si="20"/>
        <v>159011.52394896065</v>
      </c>
      <c r="L103" s="50">
        <f t="shared" si="21"/>
        <v>202702.7028</v>
      </c>
      <c r="M103" s="50">
        <f t="shared" si="22"/>
        <v>0</v>
      </c>
      <c r="N103" s="204">
        <v>0</v>
      </c>
      <c r="O103" s="50"/>
      <c r="P103" s="241">
        <f t="shared" si="26"/>
        <v>692883.99</v>
      </c>
      <c r="Q103" s="241"/>
      <c r="R103" s="34">
        <f t="shared" si="27"/>
        <v>0.99</v>
      </c>
      <c r="T103" s="29" t="s">
        <v>300</v>
      </c>
    </row>
    <row r="104" spans="1:20" ht="24.95" customHeight="1" x14ac:dyDescent="0.25">
      <c r="A104" s="43"/>
      <c r="B104" s="43">
        <f t="shared" si="24"/>
        <v>100</v>
      </c>
      <c r="C104" s="42" t="s">
        <v>119</v>
      </c>
      <c r="D104" s="47">
        <v>4.7999999999999996E-3</v>
      </c>
      <c r="E104" s="48">
        <v>670286.94999999995</v>
      </c>
      <c r="F104" s="74">
        <f t="shared" si="15"/>
        <v>670286.94999999995</v>
      </c>
      <c r="G104" s="174">
        <f t="shared" si="16"/>
        <v>0</v>
      </c>
      <c r="H104" s="49">
        <f t="shared" si="23"/>
        <v>0</v>
      </c>
      <c r="I104" s="50">
        <f t="shared" si="28"/>
        <v>307169.11919999996</v>
      </c>
      <c r="J104" s="50">
        <f t="shared" si="25"/>
        <v>23999.999999999996</v>
      </c>
      <c r="K104" s="50">
        <f t="shared" si="20"/>
        <v>159011.52394896065</v>
      </c>
      <c r="L104" s="50">
        <f t="shared" si="21"/>
        <v>202702.7028</v>
      </c>
      <c r="M104" s="50">
        <f t="shared" si="22"/>
        <v>0</v>
      </c>
      <c r="N104" s="204">
        <v>0</v>
      </c>
      <c r="O104" s="50"/>
      <c r="P104" s="241">
        <f t="shared" si="26"/>
        <v>692884</v>
      </c>
      <c r="Q104" s="241"/>
      <c r="R104" s="34">
        <f t="shared" si="27"/>
        <v>1</v>
      </c>
    </row>
    <row r="105" spans="1:20" ht="24.95" customHeight="1" x14ac:dyDescent="0.25">
      <c r="A105" s="43"/>
      <c r="B105" s="43">
        <f t="shared" si="24"/>
        <v>101</v>
      </c>
      <c r="C105" s="42" t="s">
        <v>120</v>
      </c>
      <c r="D105" s="47">
        <v>4.7999999999999996E-3</v>
      </c>
      <c r="E105" s="48">
        <v>943568.68</v>
      </c>
      <c r="F105" s="74">
        <f t="shared" si="15"/>
        <v>943568.68</v>
      </c>
      <c r="G105" s="174">
        <f t="shared" si="16"/>
        <v>0</v>
      </c>
      <c r="H105" s="49">
        <f t="shared" si="23"/>
        <v>0</v>
      </c>
      <c r="I105" s="50">
        <f t="shared" si="28"/>
        <v>307169.11919999996</v>
      </c>
      <c r="J105" s="50">
        <f t="shared" si="25"/>
        <v>23999.999999999996</v>
      </c>
      <c r="K105" s="50">
        <f t="shared" si="20"/>
        <v>159011.52394896065</v>
      </c>
      <c r="L105" s="50">
        <f t="shared" si="21"/>
        <v>202702.7028</v>
      </c>
      <c r="M105" s="50">
        <v>57520</v>
      </c>
      <c r="N105" s="204">
        <v>0</v>
      </c>
      <c r="O105" s="50"/>
      <c r="P105" s="241">
        <f t="shared" si="26"/>
        <v>750404.01</v>
      </c>
      <c r="Q105" s="241"/>
      <c r="R105" s="34">
        <f t="shared" si="27"/>
        <v>1.01</v>
      </c>
    </row>
    <row r="106" spans="1:20" ht="24.95" customHeight="1" x14ac:dyDescent="0.25">
      <c r="A106" s="43"/>
      <c r="B106" s="43">
        <f t="shared" si="24"/>
        <v>102</v>
      </c>
      <c r="C106" s="42" t="s">
        <v>121</v>
      </c>
      <c r="D106" s="47">
        <v>4.7999999999999996E-3</v>
      </c>
      <c r="E106" s="48">
        <v>670996.25</v>
      </c>
      <c r="F106" s="74">
        <v>670000</v>
      </c>
      <c r="G106" s="174">
        <f t="shared" si="16"/>
        <v>996.25</v>
      </c>
      <c r="H106" s="49">
        <f t="shared" si="23"/>
        <v>30.754237500000002</v>
      </c>
      <c r="I106" s="50">
        <f t="shared" si="28"/>
        <v>307169.11919999996</v>
      </c>
      <c r="J106" s="50">
        <f t="shared" si="25"/>
        <v>23999.999999999996</v>
      </c>
      <c r="K106" s="50">
        <f t="shared" si="20"/>
        <v>159011.52394896065</v>
      </c>
      <c r="L106" s="50">
        <f t="shared" si="21"/>
        <v>202702.7028</v>
      </c>
      <c r="M106" s="50">
        <f t="shared" si="22"/>
        <v>0</v>
      </c>
      <c r="N106" s="204">
        <v>0</v>
      </c>
      <c r="O106" s="50"/>
      <c r="P106" s="241">
        <f t="shared" si="26"/>
        <v>693911.02</v>
      </c>
      <c r="Q106" s="241"/>
      <c r="R106" s="34">
        <f t="shared" si="27"/>
        <v>1.02</v>
      </c>
      <c r="T106" t="s">
        <v>275</v>
      </c>
    </row>
    <row r="107" spans="1:20" ht="24.95" customHeight="1" x14ac:dyDescent="0.25">
      <c r="A107" s="43"/>
      <c r="B107" s="43">
        <f t="shared" si="24"/>
        <v>103</v>
      </c>
      <c r="C107" s="42" t="s">
        <v>122</v>
      </c>
      <c r="D107" s="47">
        <v>4.7999999999999996E-3</v>
      </c>
      <c r="E107" s="48">
        <v>670286.96</v>
      </c>
      <c r="F107" s="74">
        <f t="shared" si="15"/>
        <v>670286.96</v>
      </c>
      <c r="G107" s="174">
        <f t="shared" si="16"/>
        <v>0</v>
      </c>
      <c r="H107" s="49">
        <f t="shared" si="23"/>
        <v>0</v>
      </c>
      <c r="I107" s="50">
        <f t="shared" si="28"/>
        <v>307169.11919999996</v>
      </c>
      <c r="J107" s="50">
        <f t="shared" si="25"/>
        <v>23999.999999999996</v>
      </c>
      <c r="K107" s="50">
        <f t="shared" si="20"/>
        <v>159011.52394896065</v>
      </c>
      <c r="L107" s="50">
        <f t="shared" si="21"/>
        <v>202702.7028</v>
      </c>
      <c r="M107" s="50">
        <f t="shared" si="22"/>
        <v>0</v>
      </c>
      <c r="N107" s="204">
        <v>0</v>
      </c>
      <c r="O107" s="50"/>
      <c r="P107" s="241">
        <f t="shared" si="26"/>
        <v>692884.03</v>
      </c>
      <c r="Q107" s="241"/>
      <c r="R107" s="34">
        <f t="shared" si="27"/>
        <v>1.03</v>
      </c>
    </row>
    <row r="108" spans="1:20" ht="24.95" customHeight="1" x14ac:dyDescent="0.25">
      <c r="A108" s="43"/>
      <c r="B108" s="43">
        <f t="shared" si="24"/>
        <v>104</v>
      </c>
      <c r="C108" s="42" t="s">
        <v>123</v>
      </c>
      <c r="D108" s="47">
        <v>4.7000000000000002E-3</v>
      </c>
      <c r="E108" s="48">
        <v>663441.62</v>
      </c>
      <c r="F108" s="74">
        <v>663441</v>
      </c>
      <c r="G108" s="174">
        <f t="shared" si="16"/>
        <v>0.61999999999534339</v>
      </c>
      <c r="H108" s="49">
        <f t="shared" si="23"/>
        <v>1.9139399999856251E-2</v>
      </c>
      <c r="I108" s="50">
        <f t="shared" si="28"/>
        <v>300769.76254999998</v>
      </c>
      <c r="J108" s="50">
        <f t="shared" si="25"/>
        <v>23500</v>
      </c>
      <c r="K108" s="50">
        <f t="shared" si="20"/>
        <v>159011.52394896065</v>
      </c>
      <c r="L108" s="50">
        <f t="shared" si="21"/>
        <v>202702.7028</v>
      </c>
      <c r="M108" s="50">
        <f t="shared" si="22"/>
        <v>0</v>
      </c>
      <c r="N108" s="204">
        <v>0</v>
      </c>
      <c r="O108" s="50"/>
      <c r="P108" s="241">
        <f t="shared" si="26"/>
        <v>685986.04</v>
      </c>
      <c r="Q108" s="241"/>
      <c r="R108" s="34">
        <f t="shared" si="27"/>
        <v>1.04</v>
      </c>
      <c r="T108" t="s">
        <v>269</v>
      </c>
    </row>
    <row r="109" spans="1:20" ht="24.95" customHeight="1" x14ac:dyDescent="0.25">
      <c r="A109" s="43"/>
      <c r="B109" s="43">
        <f t="shared" si="24"/>
        <v>105</v>
      </c>
      <c r="C109" s="42" t="s">
        <v>124</v>
      </c>
      <c r="D109" s="47">
        <v>4.1999999999999997E-3</v>
      </c>
      <c r="E109" s="48">
        <v>1225612.73</v>
      </c>
      <c r="F109" s="74"/>
      <c r="G109" s="174">
        <f t="shared" si="16"/>
        <v>1225612.73</v>
      </c>
      <c r="H109" s="49">
        <f t="shared" si="23"/>
        <v>37834.6649751</v>
      </c>
      <c r="I109" s="50">
        <f t="shared" si="28"/>
        <v>268772.97930000001</v>
      </c>
      <c r="J109" s="50">
        <f t="shared" si="25"/>
        <v>21000</v>
      </c>
      <c r="K109" s="50">
        <f t="shared" si="20"/>
        <v>159011.52394896065</v>
      </c>
      <c r="L109" s="50">
        <f t="shared" si="21"/>
        <v>202702.7028</v>
      </c>
      <c r="M109" s="50">
        <f t="shared" si="22"/>
        <v>0</v>
      </c>
      <c r="N109" s="204">
        <v>0</v>
      </c>
      <c r="O109" s="50"/>
      <c r="P109" s="241">
        <f t="shared" si="26"/>
        <v>1914936.05</v>
      </c>
      <c r="Q109" s="241"/>
      <c r="R109" s="34">
        <f t="shared" si="27"/>
        <v>1.05</v>
      </c>
    </row>
    <row r="110" spans="1:20" ht="24.95" customHeight="1" x14ac:dyDescent="0.25">
      <c r="A110" s="42"/>
      <c r="B110" s="42">
        <f t="shared" si="24"/>
        <v>106</v>
      </c>
      <c r="C110" s="42" t="s">
        <v>125</v>
      </c>
      <c r="D110" s="47">
        <v>4.4000000000000003E-3</v>
      </c>
      <c r="E110" s="48">
        <v>2079750.75</v>
      </c>
      <c r="F110" s="74">
        <f>240462.3+263000+23788+403250</f>
        <v>930500.3</v>
      </c>
      <c r="G110" s="174">
        <f t="shared" si="16"/>
        <v>1149250.45</v>
      </c>
      <c r="H110" s="49">
        <f t="shared" si="23"/>
        <v>35477.361391500002</v>
      </c>
      <c r="I110" s="50">
        <f t="shared" si="28"/>
        <v>281571.69260000001</v>
      </c>
      <c r="J110" s="50">
        <f t="shared" si="25"/>
        <v>22000</v>
      </c>
      <c r="K110" s="50">
        <f t="shared" si="20"/>
        <v>159011.52394896065</v>
      </c>
      <c r="L110" s="50">
        <f t="shared" si="21"/>
        <v>202702.7028</v>
      </c>
      <c r="M110" s="50">
        <f t="shared" si="22"/>
        <v>0</v>
      </c>
      <c r="N110" s="204">
        <v>0</v>
      </c>
      <c r="O110" s="50"/>
      <c r="P110" s="241">
        <f t="shared" si="26"/>
        <v>1850015.06</v>
      </c>
      <c r="Q110" s="241"/>
      <c r="R110" s="34">
        <f t="shared" si="27"/>
        <v>1.06</v>
      </c>
      <c r="T110" t="s">
        <v>302</v>
      </c>
    </row>
    <row r="111" spans="1:20" ht="24.95" customHeight="1" x14ac:dyDescent="0.25">
      <c r="A111" s="43"/>
      <c r="B111" s="43">
        <f t="shared" si="24"/>
        <v>107</v>
      </c>
      <c r="C111" s="42" t="s">
        <v>126</v>
      </c>
      <c r="D111" s="47">
        <v>4.4000000000000003E-3</v>
      </c>
      <c r="E111" s="48">
        <v>733951.28</v>
      </c>
      <c r="F111" s="74"/>
      <c r="G111" s="174">
        <f t="shared" si="16"/>
        <v>733951.28</v>
      </c>
      <c r="H111" s="49">
        <f t="shared" si="23"/>
        <v>22657.076013600003</v>
      </c>
      <c r="I111" s="50">
        <f t="shared" si="28"/>
        <v>281571.69260000001</v>
      </c>
      <c r="J111" s="50">
        <f t="shared" si="25"/>
        <v>22000</v>
      </c>
      <c r="K111" s="50">
        <f t="shared" si="20"/>
        <v>159011.52394896065</v>
      </c>
      <c r="L111" s="50">
        <f t="shared" si="21"/>
        <v>202702.7028</v>
      </c>
      <c r="M111" s="50">
        <f t="shared" si="22"/>
        <v>0</v>
      </c>
      <c r="N111" s="204">
        <v>0</v>
      </c>
      <c r="O111" s="50"/>
      <c r="P111" s="241">
        <f t="shared" si="26"/>
        <v>1421895.07</v>
      </c>
      <c r="Q111" s="241"/>
      <c r="R111" s="34">
        <f t="shared" si="27"/>
        <v>1.07</v>
      </c>
    </row>
    <row r="112" spans="1:20" ht="24.95" customHeight="1" x14ac:dyDescent="0.25">
      <c r="A112" s="43"/>
      <c r="B112" s="43">
        <f t="shared" si="24"/>
        <v>108</v>
      </c>
      <c r="C112" s="42" t="s">
        <v>127</v>
      </c>
      <c r="D112" s="47">
        <v>4.4000000000000003E-3</v>
      </c>
      <c r="E112" s="48">
        <v>642901.73</v>
      </c>
      <c r="F112" s="74">
        <f>642901.73</f>
        <v>642901.73</v>
      </c>
      <c r="G112" s="174">
        <f t="shared" si="16"/>
        <v>0</v>
      </c>
      <c r="H112" s="49">
        <f t="shared" si="23"/>
        <v>0</v>
      </c>
      <c r="I112" s="50">
        <f t="shared" si="28"/>
        <v>281571.69260000001</v>
      </c>
      <c r="J112" s="50">
        <f t="shared" si="25"/>
        <v>22000</v>
      </c>
      <c r="K112" s="50">
        <f t="shared" si="20"/>
        <v>159011.52394896065</v>
      </c>
      <c r="L112" s="50">
        <f t="shared" si="21"/>
        <v>202702.7028</v>
      </c>
      <c r="M112" s="50">
        <f t="shared" si="22"/>
        <v>0</v>
      </c>
      <c r="N112" s="204">
        <v>0</v>
      </c>
      <c r="O112" s="50"/>
      <c r="P112" s="241">
        <f t="shared" si="26"/>
        <v>665287.07999999996</v>
      </c>
      <c r="Q112" s="241"/>
      <c r="R112" s="34">
        <f t="shared" si="27"/>
        <v>1.08</v>
      </c>
    </row>
    <row r="113" spans="1:20" ht="24.95" customHeight="1" x14ac:dyDescent="0.25">
      <c r="A113" s="43"/>
      <c r="B113" s="43">
        <f t="shared" si="24"/>
        <v>109</v>
      </c>
      <c r="C113" s="42" t="s">
        <v>128</v>
      </c>
      <c r="D113" s="47">
        <v>4.4999999999999997E-3</v>
      </c>
      <c r="E113" s="48">
        <v>991350.92</v>
      </c>
      <c r="F113" s="74"/>
      <c r="G113" s="174">
        <f t="shared" si="16"/>
        <v>991350.92</v>
      </c>
      <c r="H113" s="49">
        <f t="shared" si="23"/>
        <v>30603.002900400003</v>
      </c>
      <c r="I113" s="50">
        <f t="shared" si="28"/>
        <v>287971.04924999998</v>
      </c>
      <c r="J113" s="50">
        <f t="shared" si="25"/>
        <v>22500</v>
      </c>
      <c r="K113" s="50">
        <f t="shared" si="20"/>
        <v>159011.52394896065</v>
      </c>
      <c r="L113" s="50">
        <f t="shared" si="21"/>
        <v>202702.7028</v>
      </c>
      <c r="M113" s="50">
        <f t="shared" si="22"/>
        <v>0</v>
      </c>
      <c r="N113" s="204">
        <v>0</v>
      </c>
      <c r="O113" s="50"/>
      <c r="P113" s="241">
        <f t="shared" si="26"/>
        <v>1694140.09</v>
      </c>
      <c r="Q113" s="241"/>
      <c r="R113" s="34">
        <f t="shared" si="27"/>
        <v>1.0900000000000001</v>
      </c>
    </row>
    <row r="114" spans="1:20" ht="24.95" customHeight="1" x14ac:dyDescent="0.25">
      <c r="A114" s="43"/>
      <c r="B114" s="43">
        <f t="shared" si="24"/>
        <v>110</v>
      </c>
      <c r="C114" s="42" t="s">
        <v>129</v>
      </c>
      <c r="D114" s="47">
        <v>4.5999999999999999E-3</v>
      </c>
      <c r="E114" s="48">
        <v>656551.64</v>
      </c>
      <c r="F114" s="74"/>
      <c r="G114" s="174">
        <f t="shared" si="16"/>
        <v>656551.64</v>
      </c>
      <c r="H114" s="49">
        <f t="shared" si="23"/>
        <v>20267.749126800001</v>
      </c>
      <c r="I114" s="50">
        <f t="shared" si="28"/>
        <v>294370.40590000001</v>
      </c>
      <c r="J114" s="50">
        <f t="shared" si="25"/>
        <v>23000</v>
      </c>
      <c r="K114" s="50">
        <f t="shared" si="20"/>
        <v>159011.52394896065</v>
      </c>
      <c r="L114" s="50">
        <f t="shared" si="21"/>
        <v>202702.7028</v>
      </c>
      <c r="M114" s="50">
        <f t="shared" si="22"/>
        <v>0</v>
      </c>
      <c r="N114" s="204">
        <v>0</v>
      </c>
      <c r="O114" s="50"/>
      <c r="P114" s="241">
        <f t="shared" si="26"/>
        <v>1355905.1</v>
      </c>
      <c r="Q114" s="241"/>
      <c r="R114" s="34">
        <f t="shared" si="27"/>
        <v>1.1000000000000001</v>
      </c>
    </row>
    <row r="115" spans="1:20" ht="24.95" customHeight="1" x14ac:dyDescent="0.25">
      <c r="A115" s="43"/>
      <c r="B115" s="43">
        <f t="shared" si="24"/>
        <v>111</v>
      </c>
      <c r="C115" s="42" t="s">
        <v>130</v>
      </c>
      <c r="D115" s="47">
        <v>4.4999999999999997E-3</v>
      </c>
      <c r="E115" s="48">
        <v>649748.04</v>
      </c>
      <c r="F115" s="74">
        <f t="shared" ref="F115:F155" si="29">E115</f>
        <v>649748.04</v>
      </c>
      <c r="G115" s="174">
        <f t="shared" si="16"/>
        <v>0</v>
      </c>
      <c r="H115" s="49">
        <f t="shared" si="23"/>
        <v>0</v>
      </c>
      <c r="I115" s="50">
        <f t="shared" si="28"/>
        <v>287971.04924999998</v>
      </c>
      <c r="J115" s="50">
        <f t="shared" si="25"/>
        <v>22500</v>
      </c>
      <c r="K115" s="50">
        <f t="shared" si="20"/>
        <v>159011.52394896065</v>
      </c>
      <c r="L115" s="50">
        <f t="shared" si="21"/>
        <v>202702.7028</v>
      </c>
      <c r="M115" s="50">
        <f t="shared" si="22"/>
        <v>0</v>
      </c>
      <c r="N115" s="204">
        <v>0</v>
      </c>
      <c r="O115" s="50"/>
      <c r="P115" s="241">
        <f t="shared" si="26"/>
        <v>672186.11</v>
      </c>
      <c r="Q115" s="241"/>
      <c r="R115" s="34">
        <f t="shared" si="27"/>
        <v>1.1100000000000001</v>
      </c>
    </row>
    <row r="116" spans="1:20" ht="24.95" customHeight="1" x14ac:dyDescent="0.25">
      <c r="A116" s="43"/>
      <c r="B116" s="43">
        <f t="shared" si="24"/>
        <v>112</v>
      </c>
      <c r="C116" s="42" t="s">
        <v>131</v>
      </c>
      <c r="D116" s="47">
        <v>4.4999999999999997E-3</v>
      </c>
      <c r="E116" s="48">
        <v>934325.42</v>
      </c>
      <c r="F116" s="74">
        <v>900000</v>
      </c>
      <c r="G116" s="174">
        <f t="shared" si="16"/>
        <v>34325.420000000042</v>
      </c>
      <c r="H116" s="49">
        <f t="shared" si="23"/>
        <v>1059.6257154000014</v>
      </c>
      <c r="I116" s="50">
        <f t="shared" si="28"/>
        <v>287971.04924999998</v>
      </c>
      <c r="J116" s="50">
        <f t="shared" si="25"/>
        <v>22500</v>
      </c>
      <c r="K116" s="50">
        <f t="shared" si="20"/>
        <v>159011.52394896065</v>
      </c>
      <c r="L116" s="50">
        <f t="shared" si="21"/>
        <v>202702.7028</v>
      </c>
      <c r="M116" s="50">
        <f t="shared" si="22"/>
        <v>0</v>
      </c>
      <c r="N116" s="204">
        <v>0</v>
      </c>
      <c r="O116" s="50">
        <v>94392.639999999999</v>
      </c>
      <c r="P116" s="241">
        <f t="shared" si="26"/>
        <v>801964.12</v>
      </c>
      <c r="Q116" s="241"/>
      <c r="R116" s="34">
        <f t="shared" si="27"/>
        <v>1.1200000000000001</v>
      </c>
      <c r="T116" t="s">
        <v>282</v>
      </c>
    </row>
    <row r="117" spans="1:20" ht="24.95" customHeight="1" x14ac:dyDescent="0.25">
      <c r="A117" s="43"/>
      <c r="B117" s="42">
        <f t="shared" si="24"/>
        <v>113</v>
      </c>
      <c r="C117" s="42" t="s">
        <v>132</v>
      </c>
      <c r="D117" s="47">
        <v>4.7000000000000002E-3</v>
      </c>
      <c r="E117" s="48">
        <v>1291526.94</v>
      </c>
      <c r="F117" s="74">
        <v>628086.29</v>
      </c>
      <c r="G117" s="174">
        <f t="shared" si="16"/>
        <v>663440.64999999991</v>
      </c>
      <c r="H117" s="49">
        <f t="shared" si="23"/>
        <v>20480.412865499999</v>
      </c>
      <c r="I117" s="50">
        <f t="shared" si="28"/>
        <v>300769.76254999998</v>
      </c>
      <c r="J117" s="50">
        <f t="shared" si="25"/>
        <v>23500</v>
      </c>
      <c r="K117" s="50">
        <f t="shared" si="20"/>
        <v>159011.52394896065</v>
      </c>
      <c r="L117" s="50">
        <f t="shared" si="21"/>
        <v>202702.7028</v>
      </c>
      <c r="M117" s="50">
        <f t="shared" si="22"/>
        <v>0</v>
      </c>
      <c r="N117" s="204">
        <v>0</v>
      </c>
      <c r="O117" s="50">
        <v>15795</v>
      </c>
      <c r="P117" s="241">
        <f t="shared" si="26"/>
        <v>1385701.13</v>
      </c>
      <c r="Q117" s="241"/>
      <c r="R117" s="34">
        <f t="shared" si="27"/>
        <v>1.1299999999999999</v>
      </c>
    </row>
    <row r="118" spans="1:20" ht="24.95" customHeight="1" x14ac:dyDescent="0.25">
      <c r="A118" s="43"/>
      <c r="B118" s="43">
        <f t="shared" si="24"/>
        <v>114</v>
      </c>
      <c r="C118" s="42" t="s">
        <v>133</v>
      </c>
      <c r="D118" s="47">
        <v>4.4999999999999997E-3</v>
      </c>
      <c r="E118" s="48">
        <v>649748.04</v>
      </c>
      <c r="F118" s="74">
        <f>649748.04</f>
        <v>649748.04</v>
      </c>
      <c r="G118" s="174">
        <f t="shared" si="16"/>
        <v>0</v>
      </c>
      <c r="H118" s="49">
        <f t="shared" si="23"/>
        <v>0</v>
      </c>
      <c r="I118" s="50">
        <f t="shared" si="28"/>
        <v>287971.04924999998</v>
      </c>
      <c r="J118" s="50">
        <f t="shared" si="25"/>
        <v>22500</v>
      </c>
      <c r="K118" s="50">
        <f t="shared" si="20"/>
        <v>159011.52394896065</v>
      </c>
      <c r="L118" s="50">
        <f t="shared" si="21"/>
        <v>202702.7028</v>
      </c>
      <c r="M118" s="50">
        <f t="shared" si="22"/>
        <v>0</v>
      </c>
      <c r="N118" s="204">
        <v>0</v>
      </c>
      <c r="O118" s="50"/>
      <c r="P118" s="241">
        <f t="shared" si="26"/>
        <v>672186.14</v>
      </c>
      <c r="Q118" s="241"/>
      <c r="R118" s="34">
        <f t="shared" si="27"/>
        <v>1.1399999999999999</v>
      </c>
    </row>
    <row r="119" spans="1:20" ht="24.95" customHeight="1" x14ac:dyDescent="0.25">
      <c r="A119" s="43"/>
      <c r="B119" s="43">
        <f t="shared" si="24"/>
        <v>115</v>
      </c>
      <c r="C119" s="42" t="s">
        <v>134</v>
      </c>
      <c r="D119" s="47">
        <v>6.4000000000000003E-3</v>
      </c>
      <c r="E119" s="48">
        <v>779128.89</v>
      </c>
      <c r="F119" s="74">
        <f>779200</f>
        <v>779200</v>
      </c>
      <c r="G119" s="174">
        <f t="shared" si="16"/>
        <v>-71.10999999998603</v>
      </c>
      <c r="H119" s="49">
        <f t="shared" si="23"/>
        <v>0</v>
      </c>
      <c r="I119" s="50">
        <f t="shared" si="28"/>
        <v>409558.82560000004</v>
      </c>
      <c r="J119" s="50">
        <f t="shared" si="25"/>
        <v>32000</v>
      </c>
      <c r="K119" s="50">
        <f t="shared" si="20"/>
        <v>159011.52394896065</v>
      </c>
      <c r="L119" s="50">
        <f t="shared" si="21"/>
        <v>202702.7028</v>
      </c>
      <c r="M119" s="50">
        <f t="shared" si="22"/>
        <v>0</v>
      </c>
      <c r="N119" s="204">
        <v>0</v>
      </c>
      <c r="O119" s="50"/>
      <c r="P119" s="241">
        <f t="shared" si="26"/>
        <v>803203.15</v>
      </c>
      <c r="Q119" s="241"/>
      <c r="R119" s="34">
        <f t="shared" si="27"/>
        <v>1.1499999999999999</v>
      </c>
    </row>
    <row r="120" spans="1:20" ht="24.95" customHeight="1" x14ac:dyDescent="0.25">
      <c r="A120" s="43"/>
      <c r="B120" s="43">
        <f t="shared" si="24"/>
        <v>116</v>
      </c>
      <c r="C120" s="42" t="s">
        <v>135</v>
      </c>
      <c r="D120" s="47">
        <v>5.7999999999999996E-3</v>
      </c>
      <c r="E120" s="48">
        <v>738750.03</v>
      </c>
      <c r="F120" s="74">
        <f>738750.03</f>
        <v>738750.03</v>
      </c>
      <c r="G120" s="174">
        <f t="shared" si="16"/>
        <v>0</v>
      </c>
      <c r="H120" s="49">
        <f t="shared" si="23"/>
        <v>0</v>
      </c>
      <c r="I120" s="50">
        <f t="shared" si="28"/>
        <v>371162.68569999997</v>
      </c>
      <c r="J120" s="50">
        <f t="shared" si="25"/>
        <v>28999.999999999996</v>
      </c>
      <c r="K120" s="50">
        <f t="shared" si="20"/>
        <v>159011.52394896065</v>
      </c>
      <c r="L120" s="50">
        <f t="shared" si="21"/>
        <v>202702.7028</v>
      </c>
      <c r="M120" s="50">
        <f t="shared" si="22"/>
        <v>0</v>
      </c>
      <c r="N120" s="204">
        <v>0</v>
      </c>
      <c r="O120" s="50"/>
      <c r="P120" s="241">
        <f t="shared" si="26"/>
        <v>761878.16</v>
      </c>
      <c r="Q120" s="241"/>
      <c r="R120" s="34">
        <f t="shared" si="27"/>
        <v>1.1599999999999999</v>
      </c>
    </row>
    <row r="121" spans="1:20" ht="24.95" customHeight="1" x14ac:dyDescent="0.25">
      <c r="A121" s="43"/>
      <c r="B121" s="43">
        <f t="shared" si="24"/>
        <v>117</v>
      </c>
      <c r="C121" s="42" t="s">
        <v>136</v>
      </c>
      <c r="D121" s="47">
        <v>6.1000000000000004E-3</v>
      </c>
      <c r="E121" s="48">
        <v>759288.95</v>
      </c>
      <c r="F121" s="74">
        <v>759288.95</v>
      </c>
      <c r="G121" s="174">
        <f t="shared" si="16"/>
        <v>0</v>
      </c>
      <c r="H121" s="49">
        <f t="shared" si="23"/>
        <v>0</v>
      </c>
      <c r="I121" s="50">
        <f t="shared" si="28"/>
        <v>390360.75565000001</v>
      </c>
      <c r="J121" s="50">
        <f t="shared" si="25"/>
        <v>30500.000000000004</v>
      </c>
      <c r="K121" s="50">
        <f t="shared" si="20"/>
        <v>159011.52394896065</v>
      </c>
      <c r="L121" s="50">
        <f t="shared" si="21"/>
        <v>202702.7028</v>
      </c>
      <c r="M121" s="50">
        <f t="shared" si="22"/>
        <v>0</v>
      </c>
      <c r="N121" s="204">
        <v>0</v>
      </c>
      <c r="O121" s="50"/>
      <c r="P121" s="241">
        <f t="shared" si="26"/>
        <v>782576.17</v>
      </c>
      <c r="Q121" s="241"/>
      <c r="R121" s="34">
        <f t="shared" si="27"/>
        <v>1.17</v>
      </c>
      <c r="T121" t="s">
        <v>268</v>
      </c>
    </row>
    <row r="122" spans="1:20" ht="24.95" customHeight="1" x14ac:dyDescent="0.25">
      <c r="A122" s="43"/>
      <c r="B122" s="43">
        <f t="shared" si="24"/>
        <v>118</v>
      </c>
      <c r="C122" s="42" t="s">
        <v>137</v>
      </c>
      <c r="D122" s="47">
        <v>5.7999999999999996E-3</v>
      </c>
      <c r="E122" s="48">
        <v>738750.02</v>
      </c>
      <c r="F122" s="74">
        <f>2052000-F124-F125</f>
        <v>738812.41999999993</v>
      </c>
      <c r="G122" s="174">
        <f t="shared" si="16"/>
        <v>-62.399999999906868</v>
      </c>
      <c r="H122" s="49">
        <f t="shared" si="23"/>
        <v>0</v>
      </c>
      <c r="I122" s="50">
        <f t="shared" si="28"/>
        <v>371162.68569999997</v>
      </c>
      <c r="J122" s="50">
        <f t="shared" si="25"/>
        <v>28999.999999999996</v>
      </c>
      <c r="K122" s="50">
        <f t="shared" si="20"/>
        <v>159011.52394896065</v>
      </c>
      <c r="L122" s="50">
        <f t="shared" si="21"/>
        <v>202702.7028</v>
      </c>
      <c r="M122" s="50">
        <f t="shared" si="22"/>
        <v>0</v>
      </c>
      <c r="N122" s="204">
        <v>0</v>
      </c>
      <c r="O122" s="50"/>
      <c r="P122" s="241">
        <f t="shared" si="26"/>
        <v>761816.18</v>
      </c>
      <c r="Q122" s="241"/>
      <c r="R122" s="34">
        <f t="shared" si="27"/>
        <v>1.18</v>
      </c>
      <c r="T122" t="s">
        <v>309</v>
      </c>
    </row>
    <row r="123" spans="1:20" ht="24.95" customHeight="1" x14ac:dyDescent="0.25">
      <c r="A123" s="43"/>
      <c r="B123" s="43">
        <f t="shared" si="24"/>
        <v>119</v>
      </c>
      <c r="C123" s="42" t="s">
        <v>138</v>
      </c>
      <c r="D123" s="47">
        <v>5.4000000000000003E-3</v>
      </c>
      <c r="E123" s="48">
        <v>711364.73</v>
      </c>
      <c r="F123" s="74">
        <f>E123+0.3</f>
        <v>711365.03</v>
      </c>
      <c r="G123" s="174">
        <f t="shared" si="16"/>
        <v>-0.30000000004656613</v>
      </c>
      <c r="H123" s="49">
        <f t="shared" si="23"/>
        <v>0</v>
      </c>
      <c r="I123" s="50">
        <f t="shared" si="28"/>
        <v>345565.25910000002</v>
      </c>
      <c r="J123" s="50">
        <f t="shared" si="25"/>
        <v>27000</v>
      </c>
      <c r="K123" s="50">
        <f t="shared" si="20"/>
        <v>159011.52394896065</v>
      </c>
      <c r="L123" s="50">
        <f t="shared" si="21"/>
        <v>202702.7028</v>
      </c>
      <c r="M123" s="50">
        <f t="shared" si="22"/>
        <v>0</v>
      </c>
      <c r="N123" s="204">
        <v>0</v>
      </c>
      <c r="O123" s="50"/>
      <c r="P123" s="241">
        <f t="shared" si="26"/>
        <v>734280.19</v>
      </c>
      <c r="Q123" s="241"/>
      <c r="R123" s="34">
        <f t="shared" si="27"/>
        <v>1.19</v>
      </c>
      <c r="T123" t="s">
        <v>290</v>
      </c>
    </row>
    <row r="124" spans="1:20" ht="24.95" customHeight="1" x14ac:dyDescent="0.25">
      <c r="A124" s="43"/>
      <c r="B124" s="43">
        <f t="shared" si="24"/>
        <v>120</v>
      </c>
      <c r="C124" s="42" t="s">
        <v>137</v>
      </c>
      <c r="D124" s="47">
        <v>4.5999999999999999E-3</v>
      </c>
      <c r="E124" s="48">
        <v>656594.35</v>
      </c>
      <c r="F124" s="74">
        <f t="shared" si="29"/>
        <v>656594.35</v>
      </c>
      <c r="G124" s="174">
        <f t="shared" si="16"/>
        <v>0</v>
      </c>
      <c r="H124" s="49">
        <f t="shared" si="23"/>
        <v>0</v>
      </c>
      <c r="I124" s="50">
        <f t="shared" si="28"/>
        <v>294370.40590000001</v>
      </c>
      <c r="J124" s="50">
        <f t="shared" si="25"/>
        <v>23000</v>
      </c>
      <c r="K124" s="50">
        <f t="shared" si="20"/>
        <v>159011.52394896065</v>
      </c>
      <c r="L124" s="50">
        <f t="shared" si="21"/>
        <v>202702.7028</v>
      </c>
      <c r="M124" s="50">
        <f t="shared" si="22"/>
        <v>0</v>
      </c>
      <c r="N124" s="204">
        <v>0</v>
      </c>
      <c r="O124" s="50"/>
      <c r="P124" s="241">
        <f t="shared" si="26"/>
        <v>679086.2</v>
      </c>
      <c r="Q124" s="241"/>
      <c r="R124" s="34">
        <f t="shared" si="27"/>
        <v>1.2</v>
      </c>
      <c r="T124" t="s">
        <v>309</v>
      </c>
    </row>
    <row r="125" spans="1:20" ht="24.95" customHeight="1" x14ac:dyDescent="0.25">
      <c r="A125" s="43"/>
      <c r="B125" s="43">
        <f t="shared" si="24"/>
        <v>121</v>
      </c>
      <c r="C125" s="42" t="s">
        <v>137</v>
      </c>
      <c r="D125" s="47">
        <v>4.5999999999999999E-3</v>
      </c>
      <c r="E125" s="48">
        <v>656593.23</v>
      </c>
      <c r="F125" s="74">
        <f t="shared" si="29"/>
        <v>656593.23</v>
      </c>
      <c r="G125" s="174">
        <f t="shared" si="16"/>
        <v>0</v>
      </c>
      <c r="H125" s="49">
        <f t="shared" si="23"/>
        <v>0</v>
      </c>
      <c r="I125" s="50">
        <f t="shared" si="28"/>
        <v>294370.40590000001</v>
      </c>
      <c r="J125" s="50">
        <f t="shared" si="25"/>
        <v>23000</v>
      </c>
      <c r="K125" s="50">
        <f t="shared" si="20"/>
        <v>159011.52394896065</v>
      </c>
      <c r="L125" s="50">
        <f t="shared" si="21"/>
        <v>202702.7028</v>
      </c>
      <c r="M125" s="50">
        <f t="shared" si="22"/>
        <v>0</v>
      </c>
      <c r="N125" s="204">
        <v>0</v>
      </c>
      <c r="O125" s="50"/>
      <c r="P125" s="241">
        <f t="shared" si="26"/>
        <v>679086.21</v>
      </c>
      <c r="Q125" s="241"/>
      <c r="R125" s="34">
        <f t="shared" si="27"/>
        <v>1.21</v>
      </c>
      <c r="T125" t="s">
        <v>309</v>
      </c>
    </row>
    <row r="126" spans="1:20" ht="24.95" customHeight="1" x14ac:dyDescent="0.25">
      <c r="A126" s="43"/>
      <c r="B126" s="43">
        <f t="shared" si="24"/>
        <v>122</v>
      </c>
      <c r="C126" s="42" t="s">
        <v>139</v>
      </c>
      <c r="D126" s="47">
        <v>4.5999999999999999E-3</v>
      </c>
      <c r="E126" s="48">
        <v>656594.35</v>
      </c>
      <c r="F126" s="74">
        <f t="shared" si="29"/>
        <v>656594.35</v>
      </c>
      <c r="G126" s="174">
        <f t="shared" si="16"/>
        <v>0</v>
      </c>
      <c r="H126" s="49">
        <f t="shared" si="23"/>
        <v>0</v>
      </c>
      <c r="I126" s="50">
        <f t="shared" si="28"/>
        <v>294370.40590000001</v>
      </c>
      <c r="J126" s="50">
        <f t="shared" si="25"/>
        <v>23000</v>
      </c>
      <c r="K126" s="50">
        <f t="shared" si="20"/>
        <v>159011.52394896065</v>
      </c>
      <c r="L126" s="50">
        <f t="shared" si="21"/>
        <v>202702.7028</v>
      </c>
      <c r="M126" s="50">
        <f t="shared" si="22"/>
        <v>0</v>
      </c>
      <c r="N126" s="204">
        <v>0</v>
      </c>
      <c r="O126" s="50"/>
      <c r="P126" s="241">
        <f t="shared" si="26"/>
        <v>679086.22</v>
      </c>
      <c r="Q126" s="241"/>
      <c r="R126" s="34">
        <f t="shared" si="27"/>
        <v>1.22</v>
      </c>
    </row>
    <row r="127" spans="1:20" ht="24.95" customHeight="1" x14ac:dyDescent="0.25">
      <c r="A127" s="43"/>
      <c r="B127" s="43">
        <f t="shared" si="24"/>
        <v>123</v>
      </c>
      <c r="C127" s="42" t="s">
        <v>140</v>
      </c>
      <c r="D127" s="47">
        <v>4.5999999999999999E-3</v>
      </c>
      <c r="E127" s="48">
        <v>655043.67000000004</v>
      </c>
      <c r="F127" s="74">
        <f t="shared" si="29"/>
        <v>655043.67000000004</v>
      </c>
      <c r="G127" s="174">
        <f t="shared" si="16"/>
        <v>0</v>
      </c>
      <c r="H127" s="49">
        <f t="shared" si="23"/>
        <v>0</v>
      </c>
      <c r="I127" s="50">
        <f t="shared" si="28"/>
        <v>294370.40590000001</v>
      </c>
      <c r="J127" s="50">
        <f t="shared" si="25"/>
        <v>23000</v>
      </c>
      <c r="K127" s="50">
        <f t="shared" si="20"/>
        <v>159011.52394896065</v>
      </c>
      <c r="L127" s="50">
        <f t="shared" si="21"/>
        <v>202702.7028</v>
      </c>
      <c r="M127" s="50">
        <f t="shared" si="22"/>
        <v>0</v>
      </c>
      <c r="N127" s="204">
        <v>0</v>
      </c>
      <c r="O127" s="50"/>
      <c r="P127" s="241">
        <f t="shared" si="26"/>
        <v>679086.23</v>
      </c>
      <c r="Q127" s="241"/>
      <c r="R127" s="34">
        <f t="shared" si="27"/>
        <v>1.23</v>
      </c>
      <c r="T127" t="s">
        <v>285</v>
      </c>
    </row>
    <row r="128" spans="1:20" ht="24.95" customHeight="1" x14ac:dyDescent="0.25">
      <c r="A128" s="43"/>
      <c r="B128" s="43">
        <f t="shared" si="24"/>
        <v>124</v>
      </c>
      <c r="C128" s="42" t="s">
        <v>141</v>
      </c>
      <c r="D128" s="47">
        <v>4.5999999999999999E-3</v>
      </c>
      <c r="E128" s="48">
        <v>1278359.67</v>
      </c>
      <c r="F128" s="74">
        <f>621765.33+656594.34</f>
        <v>1278359.67</v>
      </c>
      <c r="G128" s="174">
        <f t="shared" si="16"/>
        <v>0</v>
      </c>
      <c r="H128" s="49">
        <f t="shared" si="23"/>
        <v>0</v>
      </c>
      <c r="I128" s="50">
        <f t="shared" si="28"/>
        <v>294370.40590000001</v>
      </c>
      <c r="J128" s="50">
        <f t="shared" si="25"/>
        <v>23000</v>
      </c>
      <c r="K128" s="50">
        <f t="shared" si="20"/>
        <v>159011.52394896065</v>
      </c>
      <c r="L128" s="50">
        <f t="shared" si="21"/>
        <v>202702.7028</v>
      </c>
      <c r="M128" s="50">
        <f t="shared" si="22"/>
        <v>0</v>
      </c>
      <c r="N128" s="204">
        <v>0</v>
      </c>
      <c r="O128" s="50"/>
      <c r="P128" s="241">
        <f t="shared" si="26"/>
        <v>679086.24</v>
      </c>
      <c r="Q128" s="241"/>
      <c r="R128" s="34">
        <f t="shared" si="27"/>
        <v>1.24</v>
      </c>
    </row>
    <row r="129" spans="1:20" ht="24.95" customHeight="1" x14ac:dyDescent="0.25">
      <c r="A129" s="43"/>
      <c r="B129" s="43">
        <f t="shared" si="24"/>
        <v>125</v>
      </c>
      <c r="C129" s="42" t="s">
        <v>142</v>
      </c>
      <c r="D129" s="47">
        <v>4.5999999999999999E-3</v>
      </c>
      <c r="E129" s="48">
        <v>656594.35</v>
      </c>
      <c r="F129" s="74">
        <v>656594.35</v>
      </c>
      <c r="G129" s="174">
        <f t="shared" si="16"/>
        <v>0</v>
      </c>
      <c r="H129" s="49">
        <f t="shared" si="23"/>
        <v>0</v>
      </c>
      <c r="I129" s="50">
        <f t="shared" si="28"/>
        <v>294370.40590000001</v>
      </c>
      <c r="J129" s="50">
        <f t="shared" si="25"/>
        <v>23000</v>
      </c>
      <c r="K129" s="50">
        <f t="shared" si="20"/>
        <v>159011.52394896065</v>
      </c>
      <c r="L129" s="50">
        <f t="shared" si="21"/>
        <v>202702.7028</v>
      </c>
      <c r="M129" s="50">
        <f t="shared" si="22"/>
        <v>0</v>
      </c>
      <c r="N129" s="204">
        <v>0</v>
      </c>
      <c r="O129" s="50"/>
      <c r="P129" s="241">
        <f t="shared" si="26"/>
        <v>679086.25</v>
      </c>
      <c r="Q129" s="241"/>
      <c r="R129" s="34">
        <f t="shared" si="27"/>
        <v>1.25</v>
      </c>
    </row>
    <row r="130" spans="1:20" ht="24.95" customHeight="1" x14ac:dyDescent="0.25">
      <c r="A130" s="43"/>
      <c r="B130" s="43">
        <f t="shared" si="24"/>
        <v>126</v>
      </c>
      <c r="C130" s="42" t="s">
        <v>143</v>
      </c>
      <c r="D130" s="47">
        <v>4.5999999999999999E-3</v>
      </c>
      <c r="E130" s="48">
        <v>656594.34</v>
      </c>
      <c r="F130" s="74"/>
      <c r="G130" s="174">
        <f t="shared" si="16"/>
        <v>656594.34</v>
      </c>
      <c r="H130" s="49">
        <f t="shared" si="23"/>
        <v>20269.0672758</v>
      </c>
      <c r="I130" s="50">
        <f t="shared" si="28"/>
        <v>294370.40590000001</v>
      </c>
      <c r="J130" s="50">
        <f t="shared" si="25"/>
        <v>23000</v>
      </c>
      <c r="K130" s="50">
        <f t="shared" si="20"/>
        <v>159011.52394896065</v>
      </c>
      <c r="L130" s="50">
        <f t="shared" si="21"/>
        <v>202702.7028</v>
      </c>
      <c r="M130" s="50">
        <f t="shared" si="22"/>
        <v>0</v>
      </c>
      <c r="N130" s="204">
        <v>0</v>
      </c>
      <c r="O130" s="50"/>
      <c r="P130" s="241">
        <f t="shared" si="26"/>
        <v>1355949.26</v>
      </c>
      <c r="Q130" s="241"/>
      <c r="R130" s="34">
        <f t="shared" si="27"/>
        <v>1.26</v>
      </c>
    </row>
    <row r="131" spans="1:20" ht="24.95" customHeight="1" x14ac:dyDescent="0.25">
      <c r="A131" s="43"/>
      <c r="B131" s="43">
        <f t="shared" si="24"/>
        <v>127</v>
      </c>
      <c r="C131" s="42" t="s">
        <v>144</v>
      </c>
      <c r="D131" s="47">
        <v>5.5999999999999999E-3</v>
      </c>
      <c r="E131" s="48">
        <v>725057.42</v>
      </c>
      <c r="F131" s="74">
        <f t="shared" si="29"/>
        <v>725057.42</v>
      </c>
      <c r="G131" s="174">
        <f t="shared" si="16"/>
        <v>0</v>
      </c>
      <c r="H131" s="49">
        <f t="shared" si="23"/>
        <v>0</v>
      </c>
      <c r="I131" s="50">
        <f t="shared" si="28"/>
        <v>358363.97239999997</v>
      </c>
      <c r="J131" s="50">
        <f t="shared" si="25"/>
        <v>28000</v>
      </c>
      <c r="K131" s="50">
        <f t="shared" si="20"/>
        <v>159011.52394896065</v>
      </c>
      <c r="L131" s="50">
        <f t="shared" si="21"/>
        <v>202702.7028</v>
      </c>
      <c r="M131" s="50">
        <f t="shared" si="22"/>
        <v>0</v>
      </c>
      <c r="N131" s="204">
        <v>0</v>
      </c>
      <c r="O131" s="50"/>
      <c r="P131" s="241">
        <f t="shared" si="26"/>
        <v>748079.27</v>
      </c>
      <c r="Q131" s="241"/>
      <c r="R131" s="34">
        <f t="shared" si="27"/>
        <v>1.27</v>
      </c>
      <c r="T131" t="s">
        <v>297</v>
      </c>
    </row>
    <row r="132" spans="1:20" ht="24.95" customHeight="1" x14ac:dyDescent="0.25">
      <c r="A132" s="43"/>
      <c r="B132" s="43">
        <f t="shared" si="24"/>
        <v>128</v>
      </c>
      <c r="C132" s="42" t="s">
        <v>145</v>
      </c>
      <c r="D132" s="47">
        <v>6.1000000000000004E-3</v>
      </c>
      <c r="E132" s="48">
        <v>9478827.1799999997</v>
      </c>
      <c r="F132" s="74"/>
      <c r="G132" s="174">
        <f t="shared" si="16"/>
        <v>9478827.1799999997</v>
      </c>
      <c r="H132" s="49">
        <f t="shared" si="23"/>
        <v>292611.39504660002</v>
      </c>
      <c r="I132" s="50">
        <f t="shared" si="28"/>
        <v>390360.75565000001</v>
      </c>
      <c r="J132" s="50">
        <f t="shared" si="25"/>
        <v>30500.000000000004</v>
      </c>
      <c r="K132" s="50">
        <f t="shared" si="20"/>
        <v>159011.52394896065</v>
      </c>
      <c r="L132" s="50">
        <f t="shared" si="21"/>
        <v>202702.7028</v>
      </c>
      <c r="M132" s="50">
        <f t="shared" si="22"/>
        <v>0</v>
      </c>
      <c r="N132" s="204">
        <v>0</v>
      </c>
      <c r="O132" s="50"/>
      <c r="P132" s="241">
        <f t="shared" si="26"/>
        <v>10554015.279999999</v>
      </c>
      <c r="Q132" s="241"/>
      <c r="R132" s="34">
        <f t="shared" si="27"/>
        <v>1.28</v>
      </c>
    </row>
    <row r="133" spans="1:20" ht="24.95" customHeight="1" x14ac:dyDescent="0.25">
      <c r="A133" s="43"/>
      <c r="B133" s="43">
        <f>B132+1</f>
        <v>129</v>
      </c>
      <c r="C133" s="42" t="s">
        <v>146</v>
      </c>
      <c r="D133" s="47">
        <v>6.1000000000000004E-3</v>
      </c>
      <c r="E133" s="48">
        <v>759288.94</v>
      </c>
      <c r="F133" s="74">
        <v>759288.94</v>
      </c>
      <c r="G133" s="174">
        <f t="shared" si="16"/>
        <v>0</v>
      </c>
      <c r="H133" s="49">
        <f t="shared" si="23"/>
        <v>0</v>
      </c>
      <c r="I133" s="50">
        <f t="shared" si="28"/>
        <v>390360.75565000001</v>
      </c>
      <c r="J133" s="50">
        <f t="shared" ref="J133:J143" si="30">P$2*D133</f>
        <v>30500.000000000004</v>
      </c>
      <c r="K133" s="50">
        <f t="shared" si="20"/>
        <v>159011.52394896065</v>
      </c>
      <c r="L133" s="50">
        <f t="shared" si="21"/>
        <v>202702.7028</v>
      </c>
      <c r="M133" s="50">
        <f t="shared" si="22"/>
        <v>0</v>
      </c>
      <c r="N133" s="204">
        <v>0</v>
      </c>
      <c r="O133" s="50"/>
      <c r="P133" s="241">
        <f t="shared" ref="P133:P164" si="31">ROUND(SUM(G133:O133),0) + R133</f>
        <v>782576.29</v>
      </c>
      <c r="Q133" s="241"/>
      <c r="R133" s="34">
        <f t="shared" ref="R133:R156" si="32">ROUND(0.001+B133/100,2)</f>
        <v>1.29</v>
      </c>
      <c r="T133" t="s">
        <v>264</v>
      </c>
    </row>
    <row r="134" spans="1:20" ht="24.95" customHeight="1" x14ac:dyDescent="0.25">
      <c r="A134" s="43"/>
      <c r="B134" s="43">
        <f t="shared" si="24"/>
        <v>130</v>
      </c>
      <c r="C134" s="42" t="s">
        <v>147</v>
      </c>
      <c r="D134" s="47">
        <v>5.7000000000000002E-3</v>
      </c>
      <c r="E134" s="48">
        <v>732229.98</v>
      </c>
      <c r="F134" s="74">
        <v>732300</v>
      </c>
      <c r="G134" s="174">
        <f t="shared" si="16"/>
        <v>-70.020000000018626</v>
      </c>
      <c r="H134" s="49">
        <f t="shared" si="23"/>
        <v>0</v>
      </c>
      <c r="I134" s="50">
        <f t="shared" si="28"/>
        <v>364763.32905</v>
      </c>
      <c r="J134" s="50">
        <f t="shared" si="30"/>
        <v>28500</v>
      </c>
      <c r="K134" s="50">
        <f t="shared" ref="K134:K143" si="33">G$2*0.675675676%</f>
        <v>159011.52394896065</v>
      </c>
      <c r="L134" s="50">
        <f t="shared" ref="L134:L142" si="34">P$1*0.675675676%</f>
        <v>202702.7028</v>
      </c>
      <c r="M134" s="50">
        <f t="shared" ref="M134:M156" si="35">G$1*D134</f>
        <v>0</v>
      </c>
      <c r="N134" s="204">
        <v>0</v>
      </c>
      <c r="O134" s="50"/>
      <c r="P134" s="241">
        <f t="shared" si="31"/>
        <v>754909.3</v>
      </c>
      <c r="Q134" s="241"/>
      <c r="R134" s="34">
        <f t="shared" si="32"/>
        <v>1.3</v>
      </c>
      <c r="T134" t="s">
        <v>294</v>
      </c>
    </row>
    <row r="135" spans="1:20" ht="24.95" customHeight="1" x14ac:dyDescent="0.25">
      <c r="A135" s="43"/>
      <c r="B135" s="43">
        <f t="shared" si="24"/>
        <v>131</v>
      </c>
      <c r="C135" s="42" t="s">
        <v>148</v>
      </c>
      <c r="D135" s="47">
        <v>6.1000000000000004E-3</v>
      </c>
      <c r="E135" s="48">
        <v>759288.94</v>
      </c>
      <c r="F135" s="74">
        <f>759288.94</f>
        <v>759288.94</v>
      </c>
      <c r="G135" s="174">
        <f t="shared" si="16"/>
        <v>0</v>
      </c>
      <c r="H135" s="49">
        <f t="shared" ref="H135:H156" si="36">IF(G135&gt;0,G135*3.087%,0)</f>
        <v>0</v>
      </c>
      <c r="I135" s="50">
        <f t="shared" si="28"/>
        <v>390360.75565000001</v>
      </c>
      <c r="J135" s="50">
        <f t="shared" si="30"/>
        <v>30500.000000000004</v>
      </c>
      <c r="K135" s="50">
        <f t="shared" si="33"/>
        <v>159011.52394896065</v>
      </c>
      <c r="L135" s="50">
        <f t="shared" si="34"/>
        <v>202702.7028</v>
      </c>
      <c r="M135" s="50">
        <f t="shared" si="35"/>
        <v>0</v>
      </c>
      <c r="N135" s="204">
        <v>0</v>
      </c>
      <c r="O135" s="50"/>
      <c r="P135" s="241">
        <f t="shared" si="31"/>
        <v>782576.31</v>
      </c>
      <c r="Q135" s="241"/>
      <c r="R135" s="34">
        <f t="shared" si="32"/>
        <v>1.31</v>
      </c>
    </row>
    <row r="136" spans="1:20" ht="24.95" customHeight="1" x14ac:dyDescent="0.25">
      <c r="A136" s="43"/>
      <c r="B136" s="43">
        <f t="shared" si="24"/>
        <v>132</v>
      </c>
      <c r="C136" s="42" t="s">
        <v>149</v>
      </c>
      <c r="D136" s="47">
        <v>6.0000000000000001E-3</v>
      </c>
      <c r="E136" s="48">
        <v>752438.7</v>
      </c>
      <c r="F136" s="74">
        <f>753000</f>
        <v>753000</v>
      </c>
      <c r="G136" s="174">
        <f t="shared" si="16"/>
        <v>-561.30000000004657</v>
      </c>
      <c r="H136" s="49">
        <f t="shared" si="36"/>
        <v>0</v>
      </c>
      <c r="I136" s="50">
        <f t="shared" si="28"/>
        <v>383961.39900000003</v>
      </c>
      <c r="J136" s="50">
        <f t="shared" si="30"/>
        <v>30000</v>
      </c>
      <c r="K136" s="50">
        <f t="shared" si="33"/>
        <v>159011.52394896065</v>
      </c>
      <c r="L136" s="50">
        <f t="shared" si="34"/>
        <v>202702.7028</v>
      </c>
      <c r="M136" s="50">
        <f t="shared" si="35"/>
        <v>0</v>
      </c>
      <c r="N136" s="204">
        <v>0</v>
      </c>
      <c r="O136" s="50"/>
      <c r="P136" s="241">
        <f t="shared" si="31"/>
        <v>775115.32</v>
      </c>
      <c r="Q136" s="241"/>
      <c r="R136" s="34">
        <f t="shared" si="32"/>
        <v>1.32</v>
      </c>
      <c r="T136" t="s">
        <v>303</v>
      </c>
    </row>
    <row r="137" spans="1:20" ht="24.95" customHeight="1" x14ac:dyDescent="0.25">
      <c r="A137" s="43"/>
      <c r="B137" s="43">
        <f t="shared" ref="B137:B145" si="37">B136+1</f>
        <v>133</v>
      </c>
      <c r="C137" s="42" t="s">
        <v>150</v>
      </c>
      <c r="D137" s="47">
        <v>6.4000000000000003E-3</v>
      </c>
      <c r="E137" s="48">
        <v>779827.86</v>
      </c>
      <c r="F137" s="74">
        <f>779827.86</f>
        <v>779827.86</v>
      </c>
      <c r="G137" s="174">
        <f t="shared" si="16"/>
        <v>0</v>
      </c>
      <c r="H137" s="49">
        <f t="shared" si="36"/>
        <v>0</v>
      </c>
      <c r="I137" s="50">
        <f t="shared" si="28"/>
        <v>409558.82560000004</v>
      </c>
      <c r="J137" s="50">
        <f t="shared" si="30"/>
        <v>32000</v>
      </c>
      <c r="K137" s="50">
        <f t="shared" si="33"/>
        <v>159011.52394896065</v>
      </c>
      <c r="L137" s="50">
        <f t="shared" si="34"/>
        <v>202702.7028</v>
      </c>
      <c r="M137" s="50">
        <f t="shared" si="35"/>
        <v>0</v>
      </c>
      <c r="N137" s="204">
        <v>0</v>
      </c>
      <c r="O137" s="50"/>
      <c r="P137" s="241">
        <f t="shared" si="31"/>
        <v>803274.33</v>
      </c>
      <c r="Q137" s="241"/>
      <c r="R137" s="34">
        <f t="shared" si="32"/>
        <v>1.33</v>
      </c>
      <c r="T137" s="29" t="s">
        <v>304</v>
      </c>
    </row>
    <row r="138" spans="1:20" ht="24.95" customHeight="1" x14ac:dyDescent="0.25">
      <c r="A138" s="43"/>
      <c r="B138" s="43">
        <f t="shared" si="37"/>
        <v>134</v>
      </c>
      <c r="C138" s="42" t="s">
        <v>151</v>
      </c>
      <c r="D138" s="47">
        <v>5.3E-3</v>
      </c>
      <c r="E138" s="48">
        <v>704518.49</v>
      </c>
      <c r="F138" s="74">
        <f>1463807.44-F139</f>
        <v>704518.49</v>
      </c>
      <c r="G138" s="174">
        <f t="shared" si="16"/>
        <v>0</v>
      </c>
      <c r="H138" s="49">
        <f t="shared" si="36"/>
        <v>0</v>
      </c>
      <c r="I138" s="50">
        <f t="shared" si="28"/>
        <v>339165.90244999999</v>
      </c>
      <c r="J138" s="50">
        <f t="shared" si="30"/>
        <v>26500</v>
      </c>
      <c r="K138" s="50">
        <f t="shared" si="33"/>
        <v>159011.52394896065</v>
      </c>
      <c r="L138" s="50">
        <f t="shared" si="34"/>
        <v>202702.7028</v>
      </c>
      <c r="M138" s="50">
        <f t="shared" si="35"/>
        <v>0</v>
      </c>
      <c r="N138" s="204">
        <v>0</v>
      </c>
      <c r="O138" s="50"/>
      <c r="P138" s="241">
        <f t="shared" si="31"/>
        <v>727381.34</v>
      </c>
      <c r="Q138" s="241"/>
      <c r="R138" s="34">
        <f t="shared" si="32"/>
        <v>1.34</v>
      </c>
      <c r="T138" t="s">
        <v>278</v>
      </c>
    </row>
    <row r="139" spans="1:20" ht="24.95" customHeight="1" x14ac:dyDescent="0.25">
      <c r="A139" s="43"/>
      <c r="B139" s="43">
        <f t="shared" si="37"/>
        <v>135</v>
      </c>
      <c r="C139" s="42" t="s">
        <v>151</v>
      </c>
      <c r="D139" s="47">
        <v>6.1000000000000004E-3</v>
      </c>
      <c r="E139" s="48">
        <v>759288.95</v>
      </c>
      <c r="F139" s="74">
        <f t="shared" si="29"/>
        <v>759288.95</v>
      </c>
      <c r="G139" s="174">
        <f t="shared" si="16"/>
        <v>0</v>
      </c>
      <c r="H139" s="49">
        <f t="shared" si="36"/>
        <v>0</v>
      </c>
      <c r="I139" s="50">
        <f t="shared" si="28"/>
        <v>390360.75565000001</v>
      </c>
      <c r="J139" s="50">
        <f t="shared" si="30"/>
        <v>30500.000000000004</v>
      </c>
      <c r="K139" s="50">
        <f t="shared" si="33"/>
        <v>159011.52394896065</v>
      </c>
      <c r="L139" s="50">
        <f t="shared" si="34"/>
        <v>202702.7028</v>
      </c>
      <c r="M139" s="50">
        <f t="shared" si="35"/>
        <v>0</v>
      </c>
      <c r="N139" s="204">
        <v>0</v>
      </c>
      <c r="O139" s="50"/>
      <c r="P139" s="241">
        <f t="shared" si="31"/>
        <v>782576.35</v>
      </c>
      <c r="Q139" s="241"/>
      <c r="R139" s="34">
        <f t="shared" si="32"/>
        <v>1.35</v>
      </c>
      <c r="T139" s="176" t="s">
        <v>278</v>
      </c>
    </row>
    <row r="140" spans="1:20" ht="24.95" customHeight="1" x14ac:dyDescent="0.25">
      <c r="A140" s="43"/>
      <c r="B140" s="43">
        <f t="shared" si="37"/>
        <v>136</v>
      </c>
      <c r="C140" s="42" t="s">
        <v>152</v>
      </c>
      <c r="D140" s="47">
        <v>6.1999999999999998E-3</v>
      </c>
      <c r="E140" s="48">
        <v>880505.45</v>
      </c>
      <c r="F140" s="74"/>
      <c r="G140" s="174">
        <f t="shared" si="16"/>
        <v>880505.45</v>
      </c>
      <c r="H140" s="49">
        <f t="shared" si="36"/>
        <v>27181.203241499999</v>
      </c>
      <c r="I140" s="50">
        <f t="shared" si="28"/>
        <v>396760.11229999998</v>
      </c>
      <c r="J140" s="50">
        <f t="shared" si="30"/>
        <v>31000</v>
      </c>
      <c r="K140" s="50">
        <f t="shared" si="33"/>
        <v>159011.52394896065</v>
      </c>
      <c r="L140" s="50">
        <f t="shared" si="34"/>
        <v>202702.7028</v>
      </c>
      <c r="M140" s="50">
        <f t="shared" si="35"/>
        <v>0</v>
      </c>
      <c r="N140" s="204">
        <v>0</v>
      </c>
      <c r="O140" s="50"/>
      <c r="P140" s="241">
        <f t="shared" si="31"/>
        <v>1697162.36</v>
      </c>
      <c r="Q140" s="241"/>
      <c r="R140" s="34">
        <f t="shared" si="32"/>
        <v>1.36</v>
      </c>
    </row>
    <row r="141" spans="1:20" ht="24.95" customHeight="1" x14ac:dyDescent="0.25">
      <c r="A141" s="43"/>
      <c r="B141" s="43">
        <f t="shared" si="37"/>
        <v>137</v>
      </c>
      <c r="C141" s="42" t="s">
        <v>153</v>
      </c>
      <c r="D141" s="47">
        <v>5.4000000000000003E-3</v>
      </c>
      <c r="E141" s="48">
        <v>1628064.77</v>
      </c>
      <c r="F141" s="74">
        <f>834106.41+711364.8</f>
        <v>1545471.21</v>
      </c>
      <c r="G141" s="174">
        <f t="shared" si="16"/>
        <v>82593.560000000056</v>
      </c>
      <c r="H141" s="49">
        <f t="shared" si="36"/>
        <v>2549.6631972000018</v>
      </c>
      <c r="I141" s="50">
        <f t="shared" si="28"/>
        <v>345565.25910000002</v>
      </c>
      <c r="J141" s="50">
        <f t="shared" si="30"/>
        <v>27000</v>
      </c>
      <c r="K141" s="50">
        <f t="shared" si="33"/>
        <v>159011.52394896065</v>
      </c>
      <c r="L141" s="50">
        <f t="shared" si="34"/>
        <v>202702.7028</v>
      </c>
      <c r="M141" s="50">
        <f t="shared" si="35"/>
        <v>0</v>
      </c>
      <c r="N141" s="204">
        <v>0</v>
      </c>
      <c r="O141" s="50"/>
      <c r="P141" s="241">
        <f t="shared" si="31"/>
        <v>819424.37</v>
      </c>
      <c r="Q141" s="241"/>
      <c r="R141" s="34">
        <f t="shared" si="32"/>
        <v>1.37</v>
      </c>
    </row>
    <row r="142" spans="1:20" ht="24.95" customHeight="1" x14ac:dyDescent="0.25">
      <c r="A142" s="43"/>
      <c r="B142" s="43">
        <f t="shared" si="37"/>
        <v>138</v>
      </c>
      <c r="C142" s="42" t="s">
        <v>154</v>
      </c>
      <c r="D142" s="47">
        <v>6.4999999999999997E-3</v>
      </c>
      <c r="E142" s="48">
        <v>786674.18</v>
      </c>
      <c r="F142" s="74">
        <f t="shared" si="29"/>
        <v>786674.18</v>
      </c>
      <c r="G142" s="174">
        <f t="shared" si="16"/>
        <v>0</v>
      </c>
      <c r="H142" s="49">
        <f t="shared" si="36"/>
        <v>0</v>
      </c>
      <c r="I142" s="50">
        <f t="shared" si="28"/>
        <v>415958.18224999995</v>
      </c>
      <c r="J142" s="50">
        <f t="shared" si="30"/>
        <v>32500</v>
      </c>
      <c r="K142" s="50">
        <f t="shared" si="33"/>
        <v>159011.52394896065</v>
      </c>
      <c r="L142" s="50">
        <f t="shared" si="34"/>
        <v>202702.7028</v>
      </c>
      <c r="M142" s="50">
        <f t="shared" si="35"/>
        <v>0</v>
      </c>
      <c r="N142" s="204">
        <v>0</v>
      </c>
      <c r="O142" s="50"/>
      <c r="P142" s="241">
        <f t="shared" si="31"/>
        <v>810173.38</v>
      </c>
      <c r="Q142" s="241"/>
      <c r="R142" s="34">
        <f t="shared" si="32"/>
        <v>1.38</v>
      </c>
    </row>
    <row r="143" spans="1:20" ht="24.95" customHeight="1" x14ac:dyDescent="0.25">
      <c r="A143" s="43"/>
      <c r="B143" s="43">
        <f t="shared" si="37"/>
        <v>139</v>
      </c>
      <c r="C143" s="42" t="s">
        <v>155</v>
      </c>
      <c r="D143" s="47">
        <v>6.1000000000000004E-3</v>
      </c>
      <c r="E143" s="48">
        <v>759202.92</v>
      </c>
      <c r="F143" s="74">
        <v>760000</v>
      </c>
      <c r="G143" s="174">
        <f t="shared" si="16"/>
        <v>-797.07999999995809</v>
      </c>
      <c r="H143" s="49">
        <f t="shared" si="36"/>
        <v>0</v>
      </c>
      <c r="I143" s="50">
        <f t="shared" si="28"/>
        <v>390360.75565000001</v>
      </c>
      <c r="J143" s="50">
        <f t="shared" si="30"/>
        <v>30500.000000000004</v>
      </c>
      <c r="K143" s="50">
        <f t="shared" si="33"/>
        <v>159011.52394896065</v>
      </c>
      <c r="L143" s="50">
        <f>P$1*0.675675676%</f>
        <v>202702.7028</v>
      </c>
      <c r="M143" s="50">
        <f t="shared" si="35"/>
        <v>0</v>
      </c>
      <c r="N143" s="204">
        <v>0</v>
      </c>
      <c r="O143" s="50"/>
      <c r="P143" s="241">
        <f t="shared" si="31"/>
        <v>781779.39</v>
      </c>
      <c r="Q143" s="241"/>
      <c r="R143" s="34">
        <f t="shared" si="32"/>
        <v>1.39</v>
      </c>
    </row>
    <row r="144" spans="1:20" ht="24.95" customHeight="1" x14ac:dyDescent="0.25">
      <c r="A144" s="43"/>
      <c r="B144" s="43">
        <f t="shared" si="37"/>
        <v>140</v>
      </c>
      <c r="C144" s="42" t="s">
        <v>156</v>
      </c>
      <c r="D144" s="47">
        <v>0.18509999999999999</v>
      </c>
      <c r="E144" s="48"/>
      <c r="F144" s="74"/>
      <c r="G144" s="174"/>
      <c r="H144" s="49"/>
      <c r="I144" s="50"/>
      <c r="J144" s="50"/>
      <c r="K144" s="50"/>
      <c r="L144" s="50"/>
      <c r="M144" s="50"/>
      <c r="N144" s="204"/>
      <c r="O144" s="50"/>
      <c r="P144" s="241"/>
      <c r="Q144" s="241"/>
      <c r="R144" s="34">
        <f t="shared" si="32"/>
        <v>1.4</v>
      </c>
    </row>
    <row r="145" spans="1:21" ht="24.95" customHeight="1" x14ac:dyDescent="0.25">
      <c r="A145" s="43"/>
      <c r="B145" s="43">
        <f t="shared" si="37"/>
        <v>141</v>
      </c>
      <c r="C145" s="42" t="s">
        <v>156</v>
      </c>
      <c r="D145" s="47">
        <v>0.156</v>
      </c>
      <c r="E145" s="48"/>
      <c r="F145" s="74"/>
      <c r="G145" s="174"/>
      <c r="H145" s="49"/>
      <c r="I145" s="50"/>
      <c r="J145" s="50"/>
      <c r="K145" s="50"/>
      <c r="L145" s="50"/>
      <c r="M145" s="50"/>
      <c r="N145" s="204"/>
      <c r="O145" s="50"/>
      <c r="P145" s="241"/>
      <c r="Q145" s="241"/>
      <c r="R145" s="34">
        <f t="shared" si="32"/>
        <v>1.41</v>
      </c>
    </row>
    <row r="146" spans="1:21" ht="24.95" customHeight="1" x14ac:dyDescent="0.25">
      <c r="A146" s="43"/>
      <c r="B146" s="43"/>
      <c r="C146" s="42"/>
      <c r="D146" s="47"/>
      <c r="E146" s="48"/>
      <c r="F146" s="74"/>
      <c r="G146" s="174"/>
      <c r="H146" s="49"/>
      <c r="I146" s="50"/>
      <c r="J146" s="50"/>
      <c r="K146" s="50"/>
      <c r="L146" s="50"/>
      <c r="M146" s="50"/>
      <c r="N146" s="204"/>
      <c r="O146" s="50"/>
      <c r="P146" s="245"/>
      <c r="Q146" s="245"/>
      <c r="R146" s="34">
        <f t="shared" si="32"/>
        <v>0</v>
      </c>
    </row>
    <row r="147" spans="1:21" ht="24.95" customHeight="1" x14ac:dyDescent="0.25">
      <c r="A147" s="43"/>
      <c r="B147" s="43"/>
      <c r="C147" s="42"/>
      <c r="D147" s="47"/>
      <c r="E147" s="48"/>
      <c r="F147" s="74"/>
      <c r="G147" s="174"/>
      <c r="H147" s="49"/>
      <c r="I147" s="50"/>
      <c r="J147" s="50"/>
      <c r="K147" s="50"/>
      <c r="L147" s="50"/>
      <c r="M147" s="50"/>
      <c r="N147" s="204"/>
      <c r="O147" s="50"/>
      <c r="P147" s="245"/>
      <c r="Q147" s="245"/>
      <c r="R147" s="34">
        <f t="shared" si="32"/>
        <v>0</v>
      </c>
    </row>
    <row r="148" spans="1:21" ht="24.95" customHeight="1" x14ac:dyDescent="0.25">
      <c r="A148" s="43"/>
      <c r="B148" s="43">
        <v>146</v>
      </c>
      <c r="C148" s="42" t="s">
        <v>90</v>
      </c>
      <c r="D148" s="47">
        <v>3.8E-3</v>
      </c>
      <c r="E148" s="48">
        <v>832647.28</v>
      </c>
      <c r="F148" s="74">
        <f>832647.28</f>
        <v>832647.28</v>
      </c>
      <c r="G148" s="174">
        <f t="shared" si="16"/>
        <v>0</v>
      </c>
      <c r="H148" s="49">
        <f t="shared" si="36"/>
        <v>0</v>
      </c>
      <c r="I148" s="50">
        <f t="shared" si="28"/>
        <v>243175.5527</v>
      </c>
      <c r="J148" s="50">
        <f t="shared" ref="J148:J156" si="38">P$2*D148</f>
        <v>19000</v>
      </c>
      <c r="K148" s="50">
        <f t="shared" ref="K148:K156" si="39">G$2*0.675675676%</f>
        <v>159011.52394896065</v>
      </c>
      <c r="L148" s="50">
        <f>P$1*0.675675676%</f>
        <v>202702.7028</v>
      </c>
      <c r="M148" s="50">
        <v>45537</v>
      </c>
      <c r="N148" s="204">
        <f>(I148+K148)/2</f>
        <v>201093.53832448032</v>
      </c>
      <c r="O148" s="50"/>
      <c r="P148" s="241">
        <f t="shared" ref="P148:P156" si="40">ROUND(SUM(G148:O148),0) + R148</f>
        <v>870521.46</v>
      </c>
      <c r="Q148" s="241"/>
      <c r="R148" s="34">
        <f t="shared" si="32"/>
        <v>1.46</v>
      </c>
    </row>
    <row r="149" spans="1:21" ht="24.95" customHeight="1" x14ac:dyDescent="0.25">
      <c r="A149" s="43"/>
      <c r="B149" s="43">
        <v>158</v>
      </c>
      <c r="C149" s="42" t="s">
        <v>58</v>
      </c>
      <c r="D149" s="47">
        <v>4.5999999999999999E-3</v>
      </c>
      <c r="E149" s="48">
        <v>656594.35</v>
      </c>
      <c r="F149" s="74">
        <f t="shared" si="29"/>
        <v>656594.35</v>
      </c>
      <c r="G149" s="174">
        <f t="shared" si="16"/>
        <v>0</v>
      </c>
      <c r="H149" s="49">
        <f t="shared" si="36"/>
        <v>0</v>
      </c>
      <c r="I149" s="50">
        <f t="shared" si="28"/>
        <v>294370.40590000001</v>
      </c>
      <c r="J149" s="50">
        <f t="shared" si="38"/>
        <v>23000</v>
      </c>
      <c r="K149" s="50">
        <f t="shared" si="39"/>
        <v>159011.52394896065</v>
      </c>
      <c r="L149" s="50">
        <f t="shared" ref="L149:L156" si="41">P$1*0.675675676%</f>
        <v>202702.7028</v>
      </c>
      <c r="M149" s="50">
        <f t="shared" si="35"/>
        <v>0</v>
      </c>
      <c r="N149" s="204">
        <v>0</v>
      </c>
      <c r="O149" s="50"/>
      <c r="P149" s="241">
        <f t="shared" si="40"/>
        <v>679086.58</v>
      </c>
      <c r="Q149" s="241"/>
      <c r="R149" s="34">
        <f t="shared" si="32"/>
        <v>1.58</v>
      </c>
    </row>
    <row r="150" spans="1:21" ht="24.95" customHeight="1" x14ac:dyDescent="0.25">
      <c r="A150" s="43"/>
      <c r="B150" s="43">
        <v>159</v>
      </c>
      <c r="C150" s="42" t="s">
        <v>58</v>
      </c>
      <c r="D150" s="47">
        <v>4.5999999999999999E-3</v>
      </c>
      <c r="E150" s="48">
        <v>656594.35</v>
      </c>
      <c r="F150" s="74">
        <f t="shared" si="29"/>
        <v>656594.35</v>
      </c>
      <c r="G150" s="174">
        <f t="shared" si="16"/>
        <v>0</v>
      </c>
      <c r="H150" s="49">
        <f t="shared" si="36"/>
        <v>0</v>
      </c>
      <c r="I150" s="50">
        <f t="shared" si="28"/>
        <v>294370.40590000001</v>
      </c>
      <c r="J150" s="50">
        <f t="shared" si="38"/>
        <v>23000</v>
      </c>
      <c r="K150" s="50">
        <f t="shared" si="39"/>
        <v>159011.52394896065</v>
      </c>
      <c r="L150" s="50">
        <f t="shared" si="41"/>
        <v>202702.7028</v>
      </c>
      <c r="M150" s="50">
        <f t="shared" si="35"/>
        <v>0</v>
      </c>
      <c r="N150" s="50">
        <v>0</v>
      </c>
      <c r="O150" s="50"/>
      <c r="P150" s="241">
        <f t="shared" si="40"/>
        <v>679086.59</v>
      </c>
      <c r="Q150" s="241"/>
      <c r="R150" s="34">
        <f t="shared" si="32"/>
        <v>1.59</v>
      </c>
    </row>
    <row r="151" spans="1:21" ht="24.95" customHeight="1" x14ac:dyDescent="0.25">
      <c r="A151" s="43"/>
      <c r="B151" s="43">
        <v>163</v>
      </c>
      <c r="C151" s="42" t="s">
        <v>91</v>
      </c>
      <c r="D151" s="47">
        <v>4.5999999999999999E-3</v>
      </c>
      <c r="E151" s="48">
        <v>656594.34</v>
      </c>
      <c r="F151" s="74">
        <f>1962936.72-F155-F80</f>
        <v>656594.33000000007</v>
      </c>
      <c r="G151" s="174">
        <f t="shared" si="16"/>
        <v>9.9999998928979039E-3</v>
      </c>
      <c r="H151" s="49">
        <f t="shared" si="36"/>
        <v>3.0869999669375829E-4</v>
      </c>
      <c r="I151" s="50">
        <f t="shared" si="28"/>
        <v>294370.40590000001</v>
      </c>
      <c r="J151" s="50">
        <f t="shared" si="38"/>
        <v>23000</v>
      </c>
      <c r="K151" s="50">
        <f t="shared" si="39"/>
        <v>159011.52394896065</v>
      </c>
      <c r="L151" s="50">
        <f t="shared" si="41"/>
        <v>202702.7028</v>
      </c>
      <c r="M151" s="50">
        <f t="shared" si="35"/>
        <v>0</v>
      </c>
      <c r="N151" s="50">
        <v>0</v>
      </c>
      <c r="O151" s="50"/>
      <c r="P151" s="241">
        <f t="shared" si="40"/>
        <v>679086.63</v>
      </c>
      <c r="Q151" s="241"/>
      <c r="R151" s="34">
        <f t="shared" si="32"/>
        <v>1.63</v>
      </c>
    </row>
    <row r="152" spans="1:21" ht="24.95" customHeight="1" x14ac:dyDescent="0.25">
      <c r="A152" s="43"/>
      <c r="B152" s="43">
        <v>168</v>
      </c>
      <c r="C152" s="42" t="s">
        <v>58</v>
      </c>
      <c r="D152" s="47">
        <v>4.4000000000000003E-3</v>
      </c>
      <c r="E152" s="48">
        <v>642901.73</v>
      </c>
      <c r="F152" s="74">
        <f t="shared" si="29"/>
        <v>642901.73</v>
      </c>
      <c r="G152" s="174">
        <f t="shared" si="16"/>
        <v>0</v>
      </c>
      <c r="H152" s="49">
        <f t="shared" si="36"/>
        <v>0</v>
      </c>
      <c r="I152" s="50">
        <f t="shared" si="28"/>
        <v>281571.69260000001</v>
      </c>
      <c r="J152" s="50">
        <f t="shared" si="38"/>
        <v>22000</v>
      </c>
      <c r="K152" s="50">
        <f t="shared" si="39"/>
        <v>159011.52394896065</v>
      </c>
      <c r="L152" s="50">
        <f t="shared" si="41"/>
        <v>202702.7028</v>
      </c>
      <c r="M152" s="50">
        <f t="shared" si="35"/>
        <v>0</v>
      </c>
      <c r="N152" s="50">
        <v>0</v>
      </c>
      <c r="O152" s="50"/>
      <c r="P152" s="241">
        <f t="shared" si="40"/>
        <v>665287.68000000005</v>
      </c>
      <c r="Q152" s="241"/>
      <c r="R152" s="34">
        <f t="shared" si="32"/>
        <v>1.68</v>
      </c>
    </row>
    <row r="153" spans="1:21" ht="24.95" customHeight="1" x14ac:dyDescent="0.25">
      <c r="A153" s="43"/>
      <c r="B153" s="43">
        <v>173</v>
      </c>
      <c r="C153" s="42" t="s">
        <v>92</v>
      </c>
      <c r="D153" s="47">
        <v>4.5999999999999999E-3</v>
      </c>
      <c r="E153" s="48">
        <v>770488.99</v>
      </c>
      <c r="F153" s="74"/>
      <c r="G153" s="174">
        <f t="shared" si="16"/>
        <v>770488.99</v>
      </c>
      <c r="H153" s="49">
        <f t="shared" si="36"/>
        <v>23784.995121300002</v>
      </c>
      <c r="I153" s="50">
        <f t="shared" si="28"/>
        <v>294370.40590000001</v>
      </c>
      <c r="J153" s="50">
        <f t="shared" si="38"/>
        <v>23000</v>
      </c>
      <c r="K153" s="50">
        <f t="shared" si="39"/>
        <v>159011.52394896065</v>
      </c>
      <c r="L153" s="50">
        <f t="shared" si="41"/>
        <v>202702.7028</v>
      </c>
      <c r="M153" s="50">
        <f t="shared" si="35"/>
        <v>0</v>
      </c>
      <c r="N153" s="50">
        <v>0</v>
      </c>
      <c r="O153" s="50"/>
      <c r="P153" s="241">
        <f t="shared" si="40"/>
        <v>1473360.73</v>
      </c>
      <c r="Q153" s="241"/>
      <c r="R153" s="34">
        <f t="shared" si="32"/>
        <v>1.73</v>
      </c>
    </row>
    <row r="154" spans="1:21" ht="24.95" customHeight="1" x14ac:dyDescent="0.25">
      <c r="A154" s="43"/>
      <c r="B154" s="43">
        <v>175</v>
      </c>
      <c r="C154" s="42" t="s">
        <v>92</v>
      </c>
      <c r="D154" s="47">
        <v>4.5999999999999999E-3</v>
      </c>
      <c r="E154" s="48">
        <v>656594.34</v>
      </c>
      <c r="F154" s="74">
        <v>621765.32999999996</v>
      </c>
      <c r="G154" s="174">
        <f t="shared" si="16"/>
        <v>34829.010000000009</v>
      </c>
      <c r="H154" s="49">
        <f t="shared" si="36"/>
        <v>1075.1715387000004</v>
      </c>
      <c r="I154" s="50">
        <f t="shared" si="28"/>
        <v>294370.40590000001</v>
      </c>
      <c r="J154" s="50">
        <f t="shared" si="38"/>
        <v>23000</v>
      </c>
      <c r="K154" s="50">
        <f t="shared" si="39"/>
        <v>159011.52394896065</v>
      </c>
      <c r="L154" s="50">
        <f t="shared" si="41"/>
        <v>202702.7028</v>
      </c>
      <c r="M154" s="50">
        <f t="shared" si="35"/>
        <v>0</v>
      </c>
      <c r="N154" s="50">
        <v>0</v>
      </c>
      <c r="O154" s="50"/>
      <c r="P154" s="241">
        <f t="shared" si="40"/>
        <v>714990.75</v>
      </c>
      <c r="Q154" s="241"/>
      <c r="R154" s="34">
        <f t="shared" si="32"/>
        <v>1.75</v>
      </c>
      <c r="U154" t="s">
        <v>307</v>
      </c>
    </row>
    <row r="155" spans="1:21" ht="24.95" customHeight="1" x14ac:dyDescent="0.25">
      <c r="A155" s="43"/>
      <c r="B155" s="43">
        <v>176</v>
      </c>
      <c r="C155" s="42" t="s">
        <v>91</v>
      </c>
      <c r="D155" s="47">
        <v>4.5999999999999999E-3</v>
      </c>
      <c r="E155" s="48">
        <v>656594.35</v>
      </c>
      <c r="F155" s="74">
        <f t="shared" si="29"/>
        <v>656594.35</v>
      </c>
      <c r="G155" s="174">
        <f t="shared" si="16"/>
        <v>0</v>
      </c>
      <c r="H155" s="49">
        <f t="shared" si="36"/>
        <v>0</v>
      </c>
      <c r="I155" s="50">
        <f t="shared" si="28"/>
        <v>294370.40590000001</v>
      </c>
      <c r="J155" s="50">
        <f t="shared" si="38"/>
        <v>23000</v>
      </c>
      <c r="K155" s="50">
        <f t="shared" si="39"/>
        <v>159011.52394896065</v>
      </c>
      <c r="L155" s="50">
        <f t="shared" si="41"/>
        <v>202702.7028</v>
      </c>
      <c r="M155" s="50">
        <f t="shared" si="35"/>
        <v>0</v>
      </c>
      <c r="N155" s="50">
        <v>0</v>
      </c>
      <c r="O155" s="50"/>
      <c r="P155" s="241">
        <f t="shared" si="40"/>
        <v>679086.76</v>
      </c>
      <c r="Q155" s="241"/>
      <c r="R155" s="34">
        <f t="shared" si="32"/>
        <v>1.76</v>
      </c>
    </row>
    <row r="156" spans="1:21" ht="24.95" customHeight="1" x14ac:dyDescent="0.25">
      <c r="A156" s="43"/>
      <c r="B156" s="43">
        <v>204</v>
      </c>
      <c r="C156" s="42" t="s">
        <v>48</v>
      </c>
      <c r="D156" s="47">
        <v>4.8999999999999998E-3</v>
      </c>
      <c r="E156" s="48">
        <v>646812.19999999995</v>
      </c>
      <c r="F156" s="74"/>
      <c r="G156" s="174">
        <f t="shared" si="16"/>
        <v>646812.19999999995</v>
      </c>
      <c r="H156" s="49">
        <f t="shared" si="36"/>
        <v>19967.092614000001</v>
      </c>
      <c r="I156" s="50">
        <f t="shared" si="28"/>
        <v>313568.47584999999</v>
      </c>
      <c r="J156" s="50">
        <f t="shared" si="38"/>
        <v>24500</v>
      </c>
      <c r="K156" s="50">
        <f t="shared" si="39"/>
        <v>159011.52394896065</v>
      </c>
      <c r="L156" s="50">
        <f t="shared" si="41"/>
        <v>202702.7028</v>
      </c>
      <c r="M156" s="50">
        <f t="shared" si="35"/>
        <v>0</v>
      </c>
      <c r="N156" s="50">
        <v>0</v>
      </c>
      <c r="O156" s="50"/>
      <c r="P156" s="241">
        <f t="shared" si="40"/>
        <v>1366564.04</v>
      </c>
      <c r="Q156" s="241"/>
      <c r="R156" s="34">
        <f t="shared" si="32"/>
        <v>2.04</v>
      </c>
    </row>
    <row r="157" spans="1:21" ht="24.95" customHeight="1" x14ac:dyDescent="0.25">
      <c r="A157" s="43"/>
      <c r="B157" s="43"/>
      <c r="C157" s="42"/>
      <c r="D157" s="47"/>
      <c r="E157" s="48"/>
      <c r="F157" s="74"/>
      <c r="G157" s="49"/>
      <c r="H157" s="49"/>
      <c r="I157" s="50"/>
      <c r="J157" s="50"/>
      <c r="K157" s="50"/>
      <c r="L157" s="50"/>
      <c r="M157" s="50"/>
      <c r="N157" s="50"/>
      <c r="O157" s="50"/>
      <c r="P157" s="244"/>
      <c r="Q157" s="244"/>
      <c r="R157" s="34"/>
    </row>
    <row r="158" spans="1:21" ht="24.95" customHeight="1" x14ac:dyDescent="0.25">
      <c r="A158" s="43"/>
      <c r="B158" s="43"/>
      <c r="C158" s="43"/>
      <c r="D158" s="47"/>
      <c r="E158" s="48"/>
      <c r="F158" s="3"/>
      <c r="G158" s="49"/>
      <c r="H158" s="49"/>
      <c r="I158" s="202"/>
      <c r="J158" s="50"/>
      <c r="K158" s="50"/>
      <c r="L158" s="50"/>
      <c r="M158" s="50"/>
      <c r="N158" s="50"/>
      <c r="O158" s="50"/>
      <c r="P158" s="244"/>
      <c r="Q158" s="244"/>
      <c r="R158" s="34"/>
    </row>
    <row r="159" spans="1:21" ht="24.95" customHeight="1" thickBot="1" x14ac:dyDescent="0.3">
      <c r="A159" s="51"/>
      <c r="B159" s="203"/>
      <c r="C159" s="196"/>
      <c r="D159" s="213">
        <f t="shared" ref="D159:O159" si="42">SUM(D5:D158)</f>
        <v>1.0407000000000002</v>
      </c>
      <c r="E159" s="197">
        <f t="shared" si="42"/>
        <v>132716785.26999997</v>
      </c>
      <c r="F159" s="198">
        <f>SUM(F5:F158)</f>
        <v>87198015.159999996</v>
      </c>
      <c r="G159" s="199">
        <f t="shared" si="42"/>
        <v>45518770.110000014</v>
      </c>
      <c r="H159" s="200"/>
      <c r="I159" s="200">
        <f t="shared" si="42"/>
        <v>44769899.123399951</v>
      </c>
      <c r="J159" s="200">
        <f t="shared" si="42"/>
        <v>3498000</v>
      </c>
      <c r="K159" s="201">
        <f t="shared" si="42"/>
        <v>23533705.544446122</v>
      </c>
      <c r="L159" s="205">
        <f t="shared" si="42"/>
        <v>30000000.01439989</v>
      </c>
      <c r="M159" s="201">
        <f t="shared" si="42"/>
        <v>564419</v>
      </c>
      <c r="N159" s="201">
        <f t="shared" si="42"/>
        <v>1989023.8311203232</v>
      </c>
      <c r="O159" s="201">
        <f t="shared" si="42"/>
        <v>389558.32</v>
      </c>
      <c r="P159" s="242">
        <f>SUM(P5:P158)</f>
        <v>151704657.52000001</v>
      </c>
      <c r="Q159" s="243"/>
    </row>
    <row r="160" spans="1:21" ht="14.25" customHeight="1" x14ac:dyDescent="0.25">
      <c r="C160" s="38"/>
    </row>
    <row r="161" spans="3:16" x14ac:dyDescent="0.25">
      <c r="F161" s="75"/>
    </row>
    <row r="162" spans="3:16" ht="9" customHeight="1" x14ac:dyDescent="0.25">
      <c r="C162" s="248" t="str">
        <f>RESUMEN!A14</f>
        <v>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v>
      </c>
      <c r="D162" s="248"/>
      <c r="E162" s="248"/>
      <c r="F162" s="248"/>
      <c r="G162" s="248"/>
      <c r="H162" s="248"/>
      <c r="I162" s="248"/>
      <c r="J162" s="248"/>
      <c r="K162" s="248"/>
      <c r="L162" s="248"/>
      <c r="M162" s="248"/>
      <c r="N162" s="248"/>
      <c r="O162" s="248"/>
      <c r="P162" s="248"/>
    </row>
    <row r="163" spans="3:16" ht="12" hidden="1" customHeight="1" x14ac:dyDescent="0.25">
      <c r="C163" s="248"/>
      <c r="D163" s="248"/>
      <c r="E163" s="248"/>
      <c r="F163" s="248"/>
      <c r="G163" s="248"/>
      <c r="H163" s="248"/>
      <c r="I163" s="248"/>
      <c r="J163" s="248"/>
      <c r="K163" s="248"/>
      <c r="L163" s="248"/>
      <c r="M163" s="248"/>
      <c r="N163" s="248"/>
      <c r="O163" s="248"/>
      <c r="P163" s="248"/>
    </row>
    <row r="164" spans="3:16" ht="12" hidden="1" customHeight="1" x14ac:dyDescent="0.25">
      <c r="C164" s="248"/>
      <c r="D164" s="248"/>
      <c r="E164" s="248"/>
      <c r="F164" s="248"/>
      <c r="G164" s="248"/>
      <c r="H164" s="248"/>
      <c r="I164" s="248"/>
      <c r="J164" s="248"/>
      <c r="K164" s="248"/>
      <c r="L164" s="248"/>
      <c r="M164" s="248"/>
      <c r="N164" s="248"/>
      <c r="O164" s="248"/>
      <c r="P164" s="248"/>
    </row>
    <row r="165" spans="3:16" ht="12" hidden="1" customHeight="1" x14ac:dyDescent="0.25">
      <c r="C165" s="248"/>
      <c r="D165" s="248"/>
      <c r="E165" s="248"/>
      <c r="F165" s="248"/>
      <c r="G165" s="248"/>
      <c r="H165" s="248"/>
      <c r="I165" s="248"/>
      <c r="J165" s="248"/>
      <c r="K165" s="248"/>
      <c r="L165" s="248"/>
      <c r="M165" s="248"/>
      <c r="N165" s="248"/>
      <c r="O165" s="248"/>
      <c r="P165" s="248"/>
    </row>
    <row r="166" spans="3:16" ht="12" hidden="1" customHeight="1" x14ac:dyDescent="0.25">
      <c r="C166" s="248"/>
      <c r="D166" s="248"/>
      <c r="E166" s="248"/>
      <c r="F166" s="248"/>
      <c r="G166" s="248"/>
      <c r="H166" s="248"/>
      <c r="I166" s="248"/>
      <c r="J166" s="248"/>
      <c r="K166" s="248"/>
      <c r="L166" s="248"/>
      <c r="M166" s="248"/>
      <c r="N166" s="248"/>
      <c r="O166" s="248"/>
      <c r="P166" s="248"/>
    </row>
    <row r="167" spans="3:16" ht="139.5" customHeight="1" x14ac:dyDescent="0.25">
      <c r="C167" s="248"/>
      <c r="D167" s="248"/>
      <c r="E167" s="248"/>
      <c r="F167" s="248"/>
      <c r="G167" s="248"/>
      <c r="H167" s="248"/>
      <c r="I167" s="248"/>
      <c r="J167" s="248"/>
      <c r="K167" s="248"/>
      <c r="L167" s="248"/>
      <c r="M167" s="248"/>
      <c r="N167" s="248"/>
      <c r="O167" s="248"/>
      <c r="P167" s="248"/>
    </row>
  </sheetData>
  <mergeCells count="180">
    <mergeCell ref="A3:A4"/>
    <mergeCell ref="B3:B4"/>
    <mergeCell ref="C3:C4"/>
    <mergeCell ref="D3:D4"/>
    <mergeCell ref="K3:K4"/>
    <mergeCell ref="H3:H4"/>
    <mergeCell ref="E3:E4"/>
    <mergeCell ref="F3:F4"/>
    <mergeCell ref="G3:G4"/>
    <mergeCell ref="I3:I4"/>
    <mergeCell ref="J3:J4"/>
    <mergeCell ref="P5:Q5"/>
    <mergeCell ref="P6:Q6"/>
    <mergeCell ref="P7:Q7"/>
    <mergeCell ref="P8:Q8"/>
    <mergeCell ref="P9:Q9"/>
    <mergeCell ref="D1:E1"/>
    <mergeCell ref="K1:L1"/>
    <mergeCell ref="C162:P167"/>
    <mergeCell ref="L3:L4"/>
    <mergeCell ref="K2:L2"/>
    <mergeCell ref="M3:M4"/>
    <mergeCell ref="P1:Q1"/>
    <mergeCell ref="P2:Q2"/>
    <mergeCell ref="G2:H2"/>
    <mergeCell ref="N3:N4"/>
    <mergeCell ref="F1:G1"/>
    <mergeCell ref="O3:O4"/>
    <mergeCell ref="C2:E2"/>
    <mergeCell ref="P3:Q4"/>
    <mergeCell ref="P15:Q15"/>
    <mergeCell ref="P16:Q16"/>
    <mergeCell ref="P17:Q17"/>
    <mergeCell ref="P18:Q18"/>
    <mergeCell ref="P19:Q19"/>
    <mergeCell ref="P10:Q10"/>
    <mergeCell ref="P11:Q11"/>
    <mergeCell ref="P12:Q12"/>
    <mergeCell ref="P13:Q13"/>
    <mergeCell ref="P14:Q14"/>
    <mergeCell ref="P25:Q25"/>
    <mergeCell ref="P26:Q26"/>
    <mergeCell ref="P27:Q27"/>
    <mergeCell ref="P28:Q28"/>
    <mergeCell ref="P29:Q29"/>
    <mergeCell ref="P20:Q20"/>
    <mergeCell ref="P21:Q21"/>
    <mergeCell ref="P22:Q22"/>
    <mergeCell ref="P23:Q23"/>
    <mergeCell ref="P24:Q24"/>
    <mergeCell ref="P35:Q35"/>
    <mergeCell ref="P36:Q36"/>
    <mergeCell ref="P37:Q37"/>
    <mergeCell ref="P38:Q38"/>
    <mergeCell ref="P39:Q39"/>
    <mergeCell ref="P30:Q30"/>
    <mergeCell ref="P31:Q31"/>
    <mergeCell ref="P32:Q32"/>
    <mergeCell ref="P33:Q33"/>
    <mergeCell ref="P34:Q34"/>
    <mergeCell ref="P45:Q45"/>
    <mergeCell ref="P46:Q46"/>
    <mergeCell ref="P47:Q47"/>
    <mergeCell ref="P48:Q48"/>
    <mergeCell ref="P49:Q49"/>
    <mergeCell ref="P40:Q40"/>
    <mergeCell ref="P41:Q41"/>
    <mergeCell ref="P42:Q42"/>
    <mergeCell ref="P43:Q43"/>
    <mergeCell ref="P44:Q44"/>
    <mergeCell ref="P55:Q55"/>
    <mergeCell ref="P56:Q56"/>
    <mergeCell ref="P57:Q57"/>
    <mergeCell ref="P58:Q58"/>
    <mergeCell ref="P59:Q59"/>
    <mergeCell ref="P50:Q50"/>
    <mergeCell ref="P51:Q51"/>
    <mergeCell ref="P52:Q52"/>
    <mergeCell ref="P53:Q53"/>
    <mergeCell ref="P54:Q54"/>
    <mergeCell ref="P65:Q65"/>
    <mergeCell ref="P66:Q66"/>
    <mergeCell ref="P67:Q67"/>
    <mergeCell ref="P68:Q68"/>
    <mergeCell ref="P69:Q69"/>
    <mergeCell ref="P60:Q60"/>
    <mergeCell ref="P61:Q61"/>
    <mergeCell ref="P62:Q62"/>
    <mergeCell ref="P63:Q63"/>
    <mergeCell ref="P64:Q64"/>
    <mergeCell ref="P75:Q75"/>
    <mergeCell ref="P76:Q76"/>
    <mergeCell ref="P77:Q77"/>
    <mergeCell ref="P78:Q78"/>
    <mergeCell ref="P79:Q79"/>
    <mergeCell ref="P70:Q70"/>
    <mergeCell ref="P71:Q71"/>
    <mergeCell ref="P72:Q72"/>
    <mergeCell ref="P73:Q73"/>
    <mergeCell ref="P74:Q74"/>
    <mergeCell ref="P85:Q85"/>
    <mergeCell ref="P86:Q86"/>
    <mergeCell ref="P87:Q87"/>
    <mergeCell ref="P88:Q88"/>
    <mergeCell ref="P89:Q89"/>
    <mergeCell ref="P80:Q80"/>
    <mergeCell ref="P81:Q81"/>
    <mergeCell ref="P82:Q82"/>
    <mergeCell ref="P83:Q83"/>
    <mergeCell ref="P84:Q84"/>
    <mergeCell ref="P95:Q95"/>
    <mergeCell ref="P96:Q96"/>
    <mergeCell ref="P97:Q97"/>
    <mergeCell ref="P98:Q98"/>
    <mergeCell ref="P99:Q99"/>
    <mergeCell ref="P90:Q90"/>
    <mergeCell ref="P91:Q91"/>
    <mergeCell ref="P92:Q92"/>
    <mergeCell ref="P93:Q93"/>
    <mergeCell ref="P94:Q94"/>
    <mergeCell ref="P105:Q105"/>
    <mergeCell ref="P106:Q106"/>
    <mergeCell ref="P107:Q107"/>
    <mergeCell ref="P108:Q108"/>
    <mergeCell ref="P109:Q109"/>
    <mergeCell ref="P100:Q100"/>
    <mergeCell ref="P101:Q101"/>
    <mergeCell ref="P102:Q102"/>
    <mergeCell ref="P103:Q103"/>
    <mergeCell ref="P104:Q104"/>
    <mergeCell ref="P115:Q115"/>
    <mergeCell ref="P116:Q116"/>
    <mergeCell ref="P117:Q117"/>
    <mergeCell ref="P118:Q118"/>
    <mergeCell ref="P119:Q119"/>
    <mergeCell ref="P110:Q110"/>
    <mergeCell ref="P111:Q111"/>
    <mergeCell ref="P112:Q112"/>
    <mergeCell ref="P113:Q113"/>
    <mergeCell ref="P114:Q114"/>
    <mergeCell ref="P125:Q125"/>
    <mergeCell ref="P126:Q126"/>
    <mergeCell ref="P127:Q127"/>
    <mergeCell ref="P128:Q128"/>
    <mergeCell ref="P129:Q129"/>
    <mergeCell ref="P120:Q120"/>
    <mergeCell ref="P121:Q121"/>
    <mergeCell ref="P122:Q122"/>
    <mergeCell ref="P123:Q123"/>
    <mergeCell ref="P124:Q124"/>
    <mergeCell ref="P135:Q135"/>
    <mergeCell ref="P136:Q136"/>
    <mergeCell ref="P137:Q137"/>
    <mergeCell ref="P138:Q138"/>
    <mergeCell ref="P139:Q139"/>
    <mergeCell ref="P130:Q130"/>
    <mergeCell ref="P131:Q131"/>
    <mergeCell ref="P132:Q132"/>
    <mergeCell ref="P133:Q133"/>
    <mergeCell ref="P134:Q134"/>
    <mergeCell ref="P145:Q145"/>
    <mergeCell ref="P146:Q146"/>
    <mergeCell ref="P147:Q147"/>
    <mergeCell ref="P148:Q148"/>
    <mergeCell ref="P149:Q149"/>
    <mergeCell ref="P140:Q140"/>
    <mergeCell ref="P141:Q141"/>
    <mergeCell ref="P142:Q142"/>
    <mergeCell ref="P143:Q143"/>
    <mergeCell ref="P144:Q144"/>
    <mergeCell ref="P155:Q155"/>
    <mergeCell ref="P156:Q156"/>
    <mergeCell ref="P159:Q159"/>
    <mergeCell ref="P157:Q157"/>
    <mergeCell ref="P158:Q158"/>
    <mergeCell ref="P150:Q150"/>
    <mergeCell ref="P151:Q151"/>
    <mergeCell ref="P152:Q152"/>
    <mergeCell ref="P153:Q153"/>
    <mergeCell ref="P154:Q154"/>
  </mergeCells>
  <hyperlinks>
    <hyperlink ref="T65" r:id="rId1" xr:uid="{60CCA824-04D7-4098-BB5B-CC4EC0E5DE92}"/>
    <hyperlink ref="T45" r:id="rId2" xr:uid="{FB3F0167-0D80-4D0E-9747-86680AF517F7}"/>
  </hyperlinks>
  <pageMargins left="0.23622047244094491" right="0.23622047244094491" top="0.74803149606299213" bottom="0.74803149606299213" header="0.31496062992125984" footer="0.31496062992125984"/>
  <pageSetup paperSize="3"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BE5D-A085-4352-B83D-558B648684C3}">
  <dimension ref="C3:L71"/>
  <sheetViews>
    <sheetView topLeftCell="A37" workbookViewId="0">
      <selection activeCell="C49" sqref="C49:J51"/>
    </sheetView>
  </sheetViews>
  <sheetFormatPr baseColWidth="10" defaultRowHeight="15" x14ac:dyDescent="0.25"/>
  <sheetData>
    <row r="3" spans="3:10" ht="15.75" thickBot="1" x14ac:dyDescent="0.3"/>
    <row r="4" spans="3:10" x14ac:dyDescent="0.25">
      <c r="C4" s="177" t="s">
        <v>173</v>
      </c>
      <c r="D4" s="178">
        <v>1</v>
      </c>
      <c r="E4" s="110"/>
      <c r="F4" s="110"/>
      <c r="G4" s="110"/>
      <c r="H4" s="110"/>
      <c r="I4" s="110"/>
      <c r="J4" s="111"/>
    </row>
    <row r="5" spans="3:10" x14ac:dyDescent="0.25">
      <c r="C5" s="1" t="s">
        <v>174</v>
      </c>
      <c r="E5" s="122">
        <v>45832</v>
      </c>
      <c r="G5" t="s">
        <v>180</v>
      </c>
      <c r="H5" s="265"/>
      <c r="I5" s="265"/>
      <c r="J5" s="266"/>
    </row>
    <row r="6" spans="3:10" x14ac:dyDescent="0.25">
      <c r="C6" s="1" t="s">
        <v>175</v>
      </c>
      <c r="D6" t="s">
        <v>176</v>
      </c>
      <c r="E6" s="75" t="s">
        <v>177</v>
      </c>
      <c r="G6" t="s">
        <v>181</v>
      </c>
      <c r="H6" s="265"/>
      <c r="I6" s="265"/>
      <c r="J6" s="266"/>
    </row>
    <row r="7" spans="3:10" x14ac:dyDescent="0.25">
      <c r="C7" s="1" t="s">
        <v>178</v>
      </c>
      <c r="E7" s="122"/>
      <c r="J7" s="112"/>
    </row>
    <row r="8" spans="3:10" ht="15.75" thickBot="1" x14ac:dyDescent="0.3">
      <c r="C8" s="1" t="s">
        <v>179</v>
      </c>
      <c r="J8" s="112"/>
    </row>
    <row r="9" spans="3:10" x14ac:dyDescent="0.25">
      <c r="C9" s="268"/>
      <c r="D9" s="269"/>
      <c r="E9" s="269"/>
      <c r="F9" s="269"/>
      <c r="G9" s="269"/>
      <c r="H9" s="269"/>
      <c r="I9" s="269"/>
      <c r="J9" s="270"/>
    </row>
    <row r="10" spans="3:10" x14ac:dyDescent="0.25">
      <c r="C10" s="271"/>
      <c r="D10" s="265"/>
      <c r="E10" s="265"/>
      <c r="F10" s="265"/>
      <c r="G10" s="265"/>
      <c r="H10" s="265"/>
      <c r="I10" s="265"/>
      <c r="J10" s="266"/>
    </row>
    <row r="11" spans="3:10" ht="15.75" thickBot="1" x14ac:dyDescent="0.3">
      <c r="C11" s="272"/>
      <c r="D11" s="273"/>
      <c r="E11" s="273"/>
      <c r="F11" s="273"/>
      <c r="G11" s="273"/>
      <c r="H11" s="273"/>
      <c r="I11" s="273"/>
      <c r="J11" s="274"/>
    </row>
    <row r="13" spans="3:10" ht="15.75" thickBot="1" x14ac:dyDescent="0.3"/>
    <row r="14" spans="3:10" x14ac:dyDescent="0.25">
      <c r="C14" s="177" t="s">
        <v>173</v>
      </c>
      <c r="D14" s="178">
        <f>D4+1</f>
        <v>2</v>
      </c>
      <c r="E14" s="110"/>
      <c r="F14" s="110"/>
      <c r="G14" s="110"/>
      <c r="H14" s="110"/>
      <c r="I14" s="110"/>
      <c r="J14" s="111"/>
    </row>
    <row r="15" spans="3:10" x14ac:dyDescent="0.25">
      <c r="C15" s="1" t="s">
        <v>174</v>
      </c>
      <c r="E15" s="122"/>
      <c r="G15" t="s">
        <v>180</v>
      </c>
      <c r="H15" s="265"/>
      <c r="I15" s="265"/>
      <c r="J15" s="266"/>
    </row>
    <row r="16" spans="3:10" x14ac:dyDescent="0.25">
      <c r="C16" s="1" t="s">
        <v>175</v>
      </c>
      <c r="D16" t="s">
        <v>176</v>
      </c>
      <c r="E16" s="75" t="s">
        <v>177</v>
      </c>
      <c r="G16" t="s">
        <v>181</v>
      </c>
      <c r="H16" s="114"/>
      <c r="I16" s="114"/>
      <c r="J16" s="115"/>
    </row>
    <row r="17" spans="3:10" x14ac:dyDescent="0.25">
      <c r="C17" s="1" t="s">
        <v>178</v>
      </c>
      <c r="E17" s="122"/>
      <c r="J17" s="112"/>
    </row>
    <row r="18" spans="3:10" ht="15.75" thickBot="1" x14ac:dyDescent="0.3">
      <c r="C18" s="1" t="s">
        <v>179</v>
      </c>
      <c r="J18" s="112"/>
    </row>
    <row r="19" spans="3:10" x14ac:dyDescent="0.25">
      <c r="C19" s="268"/>
      <c r="D19" s="275"/>
      <c r="E19" s="275"/>
      <c r="F19" s="275"/>
      <c r="G19" s="275"/>
      <c r="H19" s="275"/>
      <c r="I19" s="275"/>
      <c r="J19" s="276"/>
    </row>
    <row r="20" spans="3:10" x14ac:dyDescent="0.25">
      <c r="C20" s="277"/>
      <c r="D20" s="278"/>
      <c r="E20" s="278"/>
      <c r="F20" s="278"/>
      <c r="G20" s="278"/>
      <c r="H20" s="278"/>
      <c r="I20" s="278"/>
      <c r="J20" s="279"/>
    </row>
    <row r="21" spans="3:10" ht="15.75" thickBot="1" x14ac:dyDescent="0.3">
      <c r="C21" s="280"/>
      <c r="D21" s="281"/>
      <c r="E21" s="281"/>
      <c r="F21" s="281"/>
      <c r="G21" s="281"/>
      <c r="H21" s="281"/>
      <c r="I21" s="281"/>
      <c r="J21" s="282"/>
    </row>
    <row r="23" spans="3:10" ht="15.75" thickBot="1" x14ac:dyDescent="0.3"/>
    <row r="24" spans="3:10" x14ac:dyDescent="0.25">
      <c r="C24" s="177" t="s">
        <v>173</v>
      </c>
      <c r="D24" s="178">
        <f>D14+1</f>
        <v>3</v>
      </c>
      <c r="E24" s="110"/>
      <c r="F24" s="110"/>
      <c r="G24" s="110"/>
      <c r="H24" s="110"/>
      <c r="I24" s="110"/>
      <c r="J24" s="111"/>
    </row>
    <row r="25" spans="3:10" x14ac:dyDescent="0.25">
      <c r="C25" s="179" t="s">
        <v>174</v>
      </c>
      <c r="D25" s="75"/>
      <c r="E25" s="122"/>
      <c r="G25" t="s">
        <v>180</v>
      </c>
      <c r="H25" s="267"/>
      <c r="I25" s="265"/>
      <c r="J25" s="266"/>
    </row>
    <row r="26" spans="3:10" x14ac:dyDescent="0.25">
      <c r="C26" s="1" t="s">
        <v>175</v>
      </c>
      <c r="D26" t="s">
        <v>176</v>
      </c>
      <c r="E26" s="75"/>
      <c r="G26" t="s">
        <v>181</v>
      </c>
      <c r="H26" s="265"/>
      <c r="I26" s="265"/>
      <c r="J26" s="266"/>
    </row>
    <row r="27" spans="3:10" x14ac:dyDescent="0.25">
      <c r="C27" s="1" t="s">
        <v>178</v>
      </c>
      <c r="E27" s="122"/>
      <c r="J27" s="112"/>
    </row>
    <row r="28" spans="3:10" ht="15.75" thickBot="1" x14ac:dyDescent="0.3">
      <c r="C28" s="1" t="s">
        <v>179</v>
      </c>
      <c r="J28" s="112"/>
    </row>
    <row r="29" spans="3:10" x14ac:dyDescent="0.25">
      <c r="C29" s="268"/>
      <c r="D29" s="269"/>
      <c r="E29" s="269"/>
      <c r="F29" s="269"/>
      <c r="G29" s="269"/>
      <c r="H29" s="269"/>
      <c r="I29" s="269"/>
      <c r="J29" s="270"/>
    </row>
    <row r="30" spans="3:10" x14ac:dyDescent="0.25">
      <c r="C30" s="271"/>
      <c r="D30" s="265"/>
      <c r="E30" s="265"/>
      <c r="F30" s="265"/>
      <c r="G30" s="265"/>
      <c r="H30" s="265"/>
      <c r="I30" s="265"/>
      <c r="J30" s="266"/>
    </row>
    <row r="31" spans="3:10" ht="27.6" customHeight="1" thickBot="1" x14ac:dyDescent="0.3">
      <c r="C31" s="272"/>
      <c r="D31" s="273"/>
      <c r="E31" s="273"/>
      <c r="F31" s="273"/>
      <c r="G31" s="273"/>
      <c r="H31" s="273"/>
      <c r="I31" s="273"/>
      <c r="J31" s="274"/>
    </row>
    <row r="33" spans="3:12" ht="15.75" thickBot="1" x14ac:dyDescent="0.3"/>
    <row r="34" spans="3:12" x14ac:dyDescent="0.25">
      <c r="C34" s="177" t="s">
        <v>173</v>
      </c>
      <c r="D34" s="178">
        <f>D24+1</f>
        <v>4</v>
      </c>
      <c r="E34" s="178"/>
      <c r="F34" s="178"/>
      <c r="G34" s="178"/>
      <c r="H34" s="178"/>
      <c r="I34" s="178"/>
      <c r="J34" s="181"/>
    </row>
    <row r="35" spans="3:12" x14ac:dyDescent="0.25">
      <c r="C35" s="179" t="s">
        <v>174</v>
      </c>
      <c r="D35" s="75"/>
      <c r="E35" s="182"/>
      <c r="F35" s="75"/>
      <c r="G35" s="75" t="s">
        <v>180</v>
      </c>
      <c r="H35" s="292"/>
      <c r="I35" s="292"/>
      <c r="J35" s="293"/>
    </row>
    <row r="36" spans="3:12" x14ac:dyDescent="0.25">
      <c r="C36" s="179" t="s">
        <v>175</v>
      </c>
      <c r="D36" s="75" t="s">
        <v>176</v>
      </c>
      <c r="E36" s="75" t="s">
        <v>177</v>
      </c>
      <c r="F36" s="75"/>
      <c r="G36" s="75" t="s">
        <v>181</v>
      </c>
      <c r="H36" s="183"/>
      <c r="I36" s="183"/>
      <c r="J36" s="184"/>
    </row>
    <row r="37" spans="3:12" x14ac:dyDescent="0.25">
      <c r="C37" s="179" t="s">
        <v>178</v>
      </c>
      <c r="D37" s="75"/>
      <c r="E37" s="182"/>
      <c r="F37" s="75"/>
      <c r="G37" s="75"/>
      <c r="H37" s="75"/>
      <c r="I37" s="75"/>
      <c r="J37" s="185"/>
    </row>
    <row r="38" spans="3:12" ht="15.75" thickBot="1" x14ac:dyDescent="0.3">
      <c r="C38" s="179" t="s">
        <v>179</v>
      </c>
      <c r="D38" s="75"/>
      <c r="E38" s="75"/>
      <c r="F38" s="75"/>
      <c r="G38" s="75"/>
      <c r="H38" s="75"/>
      <c r="I38" s="75"/>
      <c r="J38" s="185"/>
    </row>
    <row r="39" spans="3:12" x14ac:dyDescent="0.25">
      <c r="C39" s="283"/>
      <c r="D39" s="284"/>
      <c r="E39" s="284"/>
      <c r="F39" s="284"/>
      <c r="G39" s="284"/>
      <c r="H39" s="284"/>
      <c r="I39" s="284"/>
      <c r="J39" s="285"/>
    </row>
    <row r="40" spans="3:12" x14ac:dyDescent="0.25">
      <c r="C40" s="286"/>
      <c r="D40" s="287"/>
      <c r="E40" s="287"/>
      <c r="F40" s="287"/>
      <c r="G40" s="287"/>
      <c r="H40" s="287"/>
      <c r="I40" s="287"/>
      <c r="J40" s="288"/>
    </row>
    <row r="41" spans="3:12" ht="15.75" thickBot="1" x14ac:dyDescent="0.3">
      <c r="C41" s="289"/>
      <c r="D41" s="290"/>
      <c r="E41" s="290"/>
      <c r="F41" s="290"/>
      <c r="G41" s="290"/>
      <c r="H41" s="290"/>
      <c r="I41" s="290"/>
      <c r="J41" s="291"/>
    </row>
    <row r="43" spans="3:12" ht="15.75" thickBot="1" x14ac:dyDescent="0.3"/>
    <row r="44" spans="3:12" x14ac:dyDescent="0.25">
      <c r="C44" s="124" t="s">
        <v>173</v>
      </c>
      <c r="D44" s="125">
        <f>D34+1</f>
        <v>5</v>
      </c>
      <c r="E44" s="110"/>
      <c r="F44" s="110"/>
      <c r="G44" s="110"/>
      <c r="H44" s="110"/>
      <c r="I44" s="110"/>
      <c r="J44" s="111"/>
    </row>
    <row r="45" spans="3:12" x14ac:dyDescent="0.25">
      <c r="C45" s="1" t="s">
        <v>174</v>
      </c>
      <c r="E45" s="122">
        <v>45840</v>
      </c>
      <c r="G45" t="s">
        <v>180</v>
      </c>
      <c r="H45" s="303" t="s">
        <v>183</v>
      </c>
      <c r="I45" s="304"/>
      <c r="J45" s="305"/>
    </row>
    <row r="46" spans="3:12" x14ac:dyDescent="0.25">
      <c r="C46" s="1" t="s">
        <v>175</v>
      </c>
      <c r="D46" t="s">
        <v>176</v>
      </c>
      <c r="E46" s="123" t="s">
        <v>177</v>
      </c>
      <c r="G46" t="s">
        <v>181</v>
      </c>
      <c r="H46" s="114">
        <v>113</v>
      </c>
      <c r="I46" s="114"/>
      <c r="J46" s="115"/>
    </row>
    <row r="47" spans="3:12" x14ac:dyDescent="0.25">
      <c r="C47" s="1" t="s">
        <v>178</v>
      </c>
      <c r="E47" s="122">
        <v>45839</v>
      </c>
      <c r="J47" s="112"/>
      <c r="L47" t="s">
        <v>314</v>
      </c>
    </row>
    <row r="48" spans="3:12" ht="15.75" thickBot="1" x14ac:dyDescent="0.3">
      <c r="C48" s="1" t="s">
        <v>179</v>
      </c>
      <c r="E48" t="s">
        <v>182</v>
      </c>
      <c r="J48" s="112"/>
    </row>
    <row r="49" spans="3:10" x14ac:dyDescent="0.25">
      <c r="C49" s="294" t="s">
        <v>329</v>
      </c>
      <c r="D49" s="295"/>
      <c r="E49" s="295"/>
      <c r="F49" s="295"/>
      <c r="G49" s="295"/>
      <c r="H49" s="295"/>
      <c r="I49" s="295"/>
      <c r="J49" s="296"/>
    </row>
    <row r="50" spans="3:10" x14ac:dyDescent="0.25">
      <c r="C50" s="297"/>
      <c r="D50" s="298"/>
      <c r="E50" s="298"/>
      <c r="F50" s="298"/>
      <c r="G50" s="298"/>
      <c r="H50" s="298"/>
      <c r="I50" s="298"/>
      <c r="J50" s="299"/>
    </row>
    <row r="51" spans="3:10" ht="15.75" thickBot="1" x14ac:dyDescent="0.3">
      <c r="C51" s="300"/>
      <c r="D51" s="301"/>
      <c r="E51" s="301"/>
      <c r="F51" s="301"/>
      <c r="G51" s="301"/>
      <c r="H51" s="301"/>
      <c r="I51" s="301"/>
      <c r="J51" s="302"/>
    </row>
    <row r="53" spans="3:10" ht="15.75" thickBot="1" x14ac:dyDescent="0.3"/>
    <row r="54" spans="3:10" x14ac:dyDescent="0.25">
      <c r="C54" s="109" t="s">
        <v>173</v>
      </c>
      <c r="D54" s="110">
        <f>D44+1</f>
        <v>6</v>
      </c>
      <c r="E54" s="110"/>
      <c r="F54" s="110"/>
      <c r="G54" s="110"/>
      <c r="H54" s="110"/>
      <c r="I54" s="110"/>
      <c r="J54" s="111"/>
    </row>
    <row r="55" spans="3:10" x14ac:dyDescent="0.25">
      <c r="C55" s="1" t="s">
        <v>174</v>
      </c>
      <c r="G55" t="s">
        <v>180</v>
      </c>
      <c r="H55" s="114"/>
      <c r="I55" s="114"/>
      <c r="J55" s="115"/>
    </row>
    <row r="56" spans="3:10" x14ac:dyDescent="0.25">
      <c r="C56" s="1" t="s">
        <v>175</v>
      </c>
      <c r="D56" t="s">
        <v>176</v>
      </c>
      <c r="E56" t="s">
        <v>177</v>
      </c>
      <c r="G56" t="s">
        <v>181</v>
      </c>
      <c r="H56" s="114"/>
      <c r="I56" s="114"/>
      <c r="J56" s="115"/>
    </row>
    <row r="57" spans="3:10" x14ac:dyDescent="0.25">
      <c r="C57" s="1" t="s">
        <v>178</v>
      </c>
      <c r="J57" s="112"/>
    </row>
    <row r="58" spans="3:10" ht="15.75" thickBot="1" x14ac:dyDescent="0.3">
      <c r="C58" s="1" t="s">
        <v>179</v>
      </c>
      <c r="J58" s="112"/>
    </row>
    <row r="59" spans="3:10" x14ac:dyDescent="0.25">
      <c r="C59" s="121"/>
      <c r="D59" s="119"/>
      <c r="E59" s="119"/>
      <c r="F59" s="119"/>
      <c r="G59" s="119"/>
      <c r="H59" s="119"/>
      <c r="I59" s="119"/>
      <c r="J59" s="120"/>
    </row>
    <row r="60" spans="3:10" x14ac:dyDescent="0.25">
      <c r="C60" s="113"/>
      <c r="D60" s="114"/>
      <c r="E60" s="114"/>
      <c r="F60" s="114"/>
      <c r="G60" s="114"/>
      <c r="H60" s="114"/>
      <c r="I60" s="114"/>
      <c r="J60" s="115"/>
    </row>
    <row r="61" spans="3:10" ht="15.75" thickBot="1" x14ac:dyDescent="0.3">
      <c r="C61" s="116"/>
      <c r="D61" s="117"/>
      <c r="E61" s="117"/>
      <c r="F61" s="117"/>
      <c r="G61" s="117"/>
      <c r="H61" s="117"/>
      <c r="I61" s="117"/>
      <c r="J61" s="118"/>
    </row>
    <row r="63" spans="3:10" ht="15.75" thickBot="1" x14ac:dyDescent="0.3"/>
    <row r="64" spans="3:10" x14ac:dyDescent="0.25">
      <c r="C64" s="109" t="s">
        <v>173</v>
      </c>
      <c r="D64" s="110">
        <f>D54+1</f>
        <v>7</v>
      </c>
      <c r="E64" s="110"/>
      <c r="F64" s="110"/>
      <c r="G64" s="110"/>
      <c r="H64" s="110"/>
      <c r="I64" s="110"/>
      <c r="J64" s="111"/>
    </row>
    <row r="65" spans="3:10" x14ac:dyDescent="0.25">
      <c r="C65" s="1" t="s">
        <v>174</v>
      </c>
      <c r="G65" t="s">
        <v>180</v>
      </c>
      <c r="H65" s="114"/>
      <c r="I65" s="114"/>
      <c r="J65" s="115"/>
    </row>
    <row r="66" spans="3:10" x14ac:dyDescent="0.25">
      <c r="C66" s="1" t="s">
        <v>175</v>
      </c>
      <c r="D66" t="s">
        <v>176</v>
      </c>
      <c r="E66" t="s">
        <v>177</v>
      </c>
      <c r="G66" t="s">
        <v>181</v>
      </c>
      <c r="H66" s="114"/>
      <c r="I66" s="114"/>
      <c r="J66" s="115"/>
    </row>
    <row r="67" spans="3:10" x14ac:dyDescent="0.25">
      <c r="C67" s="1" t="s">
        <v>178</v>
      </c>
      <c r="J67" s="112"/>
    </row>
    <row r="68" spans="3:10" ht="15.75" thickBot="1" x14ac:dyDescent="0.3">
      <c r="C68" s="1" t="s">
        <v>179</v>
      </c>
      <c r="J68" s="112"/>
    </row>
    <row r="69" spans="3:10" x14ac:dyDescent="0.25">
      <c r="C69" s="121"/>
      <c r="D69" s="119"/>
      <c r="E69" s="119"/>
      <c r="F69" s="119"/>
      <c r="G69" s="119"/>
      <c r="H69" s="119"/>
      <c r="I69" s="119"/>
      <c r="J69" s="120"/>
    </row>
    <row r="70" spans="3:10" x14ac:dyDescent="0.25">
      <c r="C70" s="113"/>
      <c r="D70" s="114"/>
      <c r="E70" s="114"/>
      <c r="F70" s="114"/>
      <c r="G70" s="114"/>
      <c r="H70" s="114"/>
      <c r="I70" s="114"/>
      <c r="J70" s="115"/>
    </row>
    <row r="71" spans="3:10" ht="15.75" thickBot="1" x14ac:dyDescent="0.3">
      <c r="C71" s="116"/>
      <c r="D71" s="117"/>
      <c r="E71" s="117"/>
      <c r="F71" s="117"/>
      <c r="G71" s="117"/>
      <c r="H71" s="117"/>
      <c r="I71" s="117"/>
      <c r="J71" s="118"/>
    </row>
  </sheetData>
  <mergeCells count="12">
    <mergeCell ref="C39:J41"/>
    <mergeCell ref="H35:J35"/>
    <mergeCell ref="C49:J51"/>
    <mergeCell ref="H45:J45"/>
    <mergeCell ref="C29:J31"/>
    <mergeCell ref="H26:J26"/>
    <mergeCell ref="H25:J25"/>
    <mergeCell ref="C9:J11"/>
    <mergeCell ref="H5:J5"/>
    <mergeCell ref="H6:J6"/>
    <mergeCell ref="H15:J15"/>
    <mergeCell ref="C19:J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2025-07-17T23:44:07Z</cp:lastPrinted>
  <dcterms:created xsi:type="dcterms:W3CDTF">2023-09-17T12:29:07Z</dcterms:created>
  <dcterms:modified xsi:type="dcterms:W3CDTF">2025-07-17T23:48:09Z</dcterms:modified>
</cp:coreProperties>
</file>