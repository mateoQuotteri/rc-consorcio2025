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ELGRANO 1328\Mayo\"/>
    </mc:Choice>
  </mc:AlternateContent>
  <xr:revisionPtr revIDLastSave="0" documentId="13_ncr:1_{2E60EB57-CDC0-4D1A-B957-BFD17290D4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Gastos!$A$1:$H$132</definedName>
    <definedName name="_xlnm.Print_Area" localSheetId="1">Planilla!$B$1:$P$44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G37" i="2" l="1"/>
  <c r="G28" i="2" s="1"/>
  <c r="G20" i="2" l="1"/>
  <c r="G21" i="2"/>
  <c r="G40" i="2"/>
  <c r="G27" i="2" s="1"/>
  <c r="G12" i="2"/>
  <c r="G16" i="2"/>
  <c r="G11" i="2"/>
  <c r="G17" i="2"/>
  <c r="G9" i="2"/>
  <c r="G25" i="2"/>
  <c r="G15" i="2"/>
  <c r="G22" i="2"/>
  <c r="G19" i="2"/>
  <c r="H62" i="1"/>
  <c r="O7" i="2" l="1"/>
  <c r="P31" i="2"/>
  <c r="O31" i="2"/>
  <c r="G23" i="2"/>
  <c r="G18" i="2"/>
  <c r="G13" i="2"/>
  <c r="H38" i="1" l="1"/>
  <c r="E5" i="2"/>
  <c r="M9" i="2" s="1"/>
  <c r="M33" i="2" l="1"/>
  <c r="M25" i="2"/>
  <c r="M13" i="2"/>
  <c r="M40" i="2"/>
  <c r="M32" i="2"/>
  <c r="M24" i="2"/>
  <c r="M16" i="2"/>
  <c r="M39" i="2"/>
  <c r="M35" i="2"/>
  <c r="M31" i="2"/>
  <c r="M27" i="2"/>
  <c r="M23" i="2"/>
  <c r="M19" i="2"/>
  <c r="M15" i="2"/>
  <c r="M11" i="2"/>
  <c r="M37" i="2"/>
  <c r="M29" i="2"/>
  <c r="M21" i="2"/>
  <c r="M17" i="2"/>
  <c r="M36" i="2"/>
  <c r="M28" i="2"/>
  <c r="M20" i="2"/>
  <c r="M12" i="2"/>
  <c r="M38" i="2"/>
  <c r="M34" i="2"/>
  <c r="M30" i="2"/>
  <c r="M26" i="2"/>
  <c r="M22" i="2"/>
  <c r="M18" i="2"/>
  <c r="M14" i="2"/>
  <c r="M10" i="2"/>
  <c r="C32" i="2"/>
  <c r="G39" i="2" l="1"/>
  <c r="G40" i="3"/>
  <c r="G27" i="3"/>
  <c r="G34" i="3" l="1"/>
  <c r="G26" i="3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P43" i="2"/>
  <c r="P42" i="2"/>
  <c r="P41" i="2"/>
  <c r="J40" i="2"/>
  <c r="J39" i="2"/>
  <c r="G38" i="2"/>
  <c r="J37" i="2"/>
  <c r="G36" i="2"/>
  <c r="G35" i="2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J33" i="2"/>
  <c r="J30" i="2"/>
  <c r="J27" i="2"/>
  <c r="J26" i="2"/>
  <c r="H26" i="2"/>
  <c r="J24" i="2"/>
  <c r="J14" i="2"/>
  <c r="L36" i="2"/>
  <c r="B1" i="2"/>
  <c r="C130" i="1"/>
  <c r="H122" i="1"/>
  <c r="H106" i="1"/>
  <c r="H97" i="1"/>
  <c r="H78" i="1"/>
  <c r="H80" i="1" s="1"/>
  <c r="H111" i="1" s="1"/>
  <c r="H70" i="1"/>
  <c r="H66" i="1"/>
  <c r="H57" i="1"/>
  <c r="H44" i="1"/>
  <c r="H28" i="1"/>
  <c r="H24" i="1"/>
  <c r="H16" i="1"/>
  <c r="H83" i="1" l="1"/>
  <c r="H98" i="1" s="1"/>
  <c r="J36" i="2"/>
  <c r="H38" i="2"/>
  <c r="J16" i="2"/>
  <c r="M44" i="2"/>
  <c r="L44" i="3"/>
  <c r="J35" i="2"/>
  <c r="H32" i="3"/>
  <c r="J32" i="2"/>
  <c r="H37" i="2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H39" i="2"/>
  <c r="H32" i="2"/>
  <c r="H85" i="1"/>
  <c r="I39" i="3"/>
  <c r="I32" i="3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34" i="2" l="1"/>
  <c r="P34" i="2" s="1"/>
  <c r="O26" i="2"/>
  <c r="P26" i="2" s="1"/>
  <c r="Q26" i="2" s="1"/>
  <c r="I37" i="2"/>
  <c r="O37" i="2"/>
  <c r="P37" i="2" s="1"/>
  <c r="Q37" i="2" s="1"/>
  <c r="I32" i="2"/>
  <c r="O32" i="2"/>
  <c r="P32" i="2" s="1"/>
  <c r="O35" i="2"/>
  <c r="P35" i="2" s="1"/>
  <c r="I39" i="2"/>
  <c r="O39" i="2"/>
  <c r="P39" i="2" s="1"/>
  <c r="I30" i="2"/>
  <c r="O30" i="2"/>
  <c r="P30" i="2" s="1"/>
  <c r="Q30" i="2" s="1"/>
  <c r="I9" i="2"/>
  <c r="O9" i="2"/>
  <c r="I38" i="2"/>
  <c r="O38" i="2"/>
  <c r="P38" i="2" s="1"/>
  <c r="Q38" i="2" s="1"/>
  <c r="O13" i="3"/>
  <c r="P13" i="3" s="1"/>
  <c r="O36" i="3"/>
  <c r="P36" i="3" s="1"/>
  <c r="O32" i="3"/>
  <c r="P32" i="3" s="1"/>
  <c r="H110" i="1"/>
  <c r="H113" i="1" s="1"/>
  <c r="O19" i="3"/>
  <c r="P19" i="3" s="1"/>
  <c r="I29" i="3"/>
  <c r="O29" i="3" s="1"/>
  <c r="P29" i="3" s="1"/>
  <c r="H22" i="2"/>
  <c r="O23" i="3"/>
  <c r="P23" i="3" s="1"/>
  <c r="H12" i="2"/>
  <c r="H20" i="2"/>
  <c r="H18" i="2"/>
  <c r="O11" i="3"/>
  <c r="P11" i="3" s="1"/>
  <c r="H23" i="2"/>
  <c r="J23" i="2"/>
  <c r="J25" i="2"/>
  <c r="H25" i="2"/>
  <c r="H21" i="2"/>
  <c r="J21" i="2"/>
  <c r="J19" i="2"/>
  <c r="H19" i="2"/>
  <c r="J44" i="3"/>
  <c r="H16" i="2"/>
  <c r="O39" i="3"/>
  <c r="P39" i="3" s="1"/>
  <c r="H15" i="2"/>
  <c r="J15" i="2"/>
  <c r="J17" i="2"/>
  <c r="H17" i="2"/>
  <c r="J11" i="2"/>
  <c r="H11" i="2"/>
  <c r="H13" i="2"/>
  <c r="J13" i="2"/>
  <c r="Q34" i="2"/>
  <c r="H101" i="4"/>
  <c r="Q39" i="2"/>
  <c r="Q32" i="2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I40" i="2"/>
  <c r="H44" i="3"/>
  <c r="I20" i="3"/>
  <c r="O20" i="3" s="1"/>
  <c r="P20" i="3" s="1"/>
  <c r="H86" i="1"/>
  <c r="H84" i="1"/>
  <c r="I12" i="3"/>
  <c r="O12" i="3" s="1"/>
  <c r="P12" i="3" s="1"/>
  <c r="I35" i="2"/>
  <c r="I24" i="2"/>
  <c r="I35" i="3"/>
  <c r="O35" i="3" s="1"/>
  <c r="P35" i="3" s="1"/>
  <c r="G44" i="2"/>
  <c r="H94" i="1" s="1"/>
  <c r="I40" i="3"/>
  <c r="O40" i="3" s="1"/>
  <c r="P40" i="3" s="1"/>
  <c r="I10" i="2"/>
  <c r="I18" i="3"/>
  <c r="O18" i="3" s="1"/>
  <c r="P18" i="3" s="1"/>
  <c r="I16" i="3"/>
  <c r="I14" i="3"/>
  <c r="O14" i="3" s="1"/>
  <c r="P14" i="3" s="1"/>
  <c r="O9" i="3"/>
  <c r="I36" i="2"/>
  <c r="I37" i="3"/>
  <c r="O37" i="3" s="1"/>
  <c r="P37" i="3" s="1"/>
  <c r="I28" i="3"/>
  <c r="O28" i="3" s="1"/>
  <c r="P28" i="3" s="1"/>
  <c r="I33" i="2"/>
  <c r="I24" i="3"/>
  <c r="O24" i="3" s="1"/>
  <c r="P24" i="3" s="1"/>
  <c r="I14" i="2"/>
  <c r="I17" i="2" l="1"/>
  <c r="O17" i="2"/>
  <c r="P17" i="2" s="1"/>
  <c r="Q17" i="2" s="1"/>
  <c r="I13" i="2"/>
  <c r="O13" i="2" s="1"/>
  <c r="P13" i="2" s="1"/>
  <c r="Q13" i="2" s="1"/>
  <c r="I16" i="2"/>
  <c r="O16" i="2" s="1"/>
  <c r="P16" i="2" s="1"/>
  <c r="I20" i="2"/>
  <c r="O36" i="2"/>
  <c r="P36" i="2" s="1"/>
  <c r="Q36" i="2" s="1"/>
  <c r="Q35" i="2"/>
  <c r="Q27" i="2"/>
  <c r="I11" i="2"/>
  <c r="O11" i="2"/>
  <c r="P11" i="2" s="1"/>
  <c r="Q11" i="2" s="1"/>
  <c r="I21" i="2"/>
  <c r="O21" i="2"/>
  <c r="P21" i="2" s="1"/>
  <c r="Q21" i="2" s="1"/>
  <c r="I23" i="2"/>
  <c r="O23" i="2"/>
  <c r="P23" i="2" s="1"/>
  <c r="H83" i="4" s="1"/>
  <c r="I12" i="2"/>
  <c r="O12" i="2"/>
  <c r="P12" i="2" s="1"/>
  <c r="P9" i="2"/>
  <c r="Q9" i="2" s="1"/>
  <c r="O40" i="2"/>
  <c r="P40" i="2" s="1"/>
  <c r="Q40" i="2" s="1"/>
  <c r="I15" i="2"/>
  <c r="O15" i="2" s="1"/>
  <c r="P15" i="2" s="1"/>
  <c r="Q15" i="2" s="1"/>
  <c r="I19" i="2"/>
  <c r="O19" i="2" s="1"/>
  <c r="P19" i="2" s="1"/>
  <c r="Q19" i="2" s="1"/>
  <c r="I25" i="2"/>
  <c r="O25" i="2" s="1"/>
  <c r="P25" i="2" s="1"/>
  <c r="Q25" i="2" s="1"/>
  <c r="O10" i="2"/>
  <c r="P10" i="2" s="1"/>
  <c r="Q10" i="2" s="1"/>
  <c r="O14" i="2"/>
  <c r="P14" i="2" s="1"/>
  <c r="Q14" i="2" s="1"/>
  <c r="O24" i="2"/>
  <c r="P24" i="2" s="1"/>
  <c r="Q24" i="2" s="1"/>
  <c r="I18" i="2"/>
  <c r="O18" i="2"/>
  <c r="P18" i="2" s="1"/>
  <c r="I22" i="2"/>
  <c r="O22" i="2"/>
  <c r="P22" i="2" s="1"/>
  <c r="O33" i="2"/>
  <c r="P33" i="2" s="1"/>
  <c r="Q33" i="2" s="1"/>
  <c r="O29" i="2"/>
  <c r="P29" i="2" s="1"/>
  <c r="Q29" i="2" s="1"/>
  <c r="J44" i="2"/>
  <c r="I44" i="3"/>
  <c r="H100" i="1"/>
  <c r="I28" i="2"/>
  <c r="O28" i="2" s="1"/>
  <c r="P28" i="2" s="1"/>
  <c r="P9" i="3"/>
  <c r="O16" i="3"/>
  <c r="P16" i="3" s="1"/>
  <c r="H44" i="2"/>
  <c r="Q18" i="2" l="1"/>
  <c r="Q12" i="2"/>
  <c r="Q16" i="2"/>
  <c r="Q22" i="2"/>
  <c r="O20" i="2"/>
  <c r="P20" i="2" s="1"/>
  <c r="Q20" i="2" s="1"/>
  <c r="Q23" i="2"/>
  <c r="P44" i="3"/>
  <c r="I44" i="2"/>
  <c r="Q28" i="2"/>
  <c r="O44" i="3"/>
  <c r="P44" i="2" l="1"/>
  <c r="O44" i="2"/>
  <c r="Q44" i="2"/>
</calcChain>
</file>

<file path=xl/sharedStrings.xml><?xml version="1.0" encoding="utf-8"?>
<sst xmlns="http://schemas.openxmlformats.org/spreadsheetml/2006/main" count="6458" uniqueCount="176">
  <si>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</si>
  <si>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</si>
  <si>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</si>
  <si>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</si>
  <si>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</si>
  <si>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</si>
  <si>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</si>
  <si>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</si>
  <si>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</si>
  <si>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</si>
  <si>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</si>
  <si>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</si>
  <si>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</si>
  <si>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</si>
  <si>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</si>
  <si>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</si>
  <si>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</si>
  <si>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</si>
  <si>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TOTAL SAC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</si>
  <si>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</si>
  <si>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</si>
  <si>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</si>
  <si>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</si>
  <si>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</si>
  <si>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</si>
  <si>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</si>
  <si>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</si>
  <si>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</si>
  <si>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</si>
  <si>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</si>
  <si>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</si>
  <si>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</si>
  <si>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</si>
  <si>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</si>
  <si>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</si>
  <si>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</si>
  <si>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</si>
  <si>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</si>
  <si>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</si>
  <si>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</si>
  <si>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</si>
  <si>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</si>
  <si>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</si>
  <si>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</si>
  <si>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</si>
  <si>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</si>
  <si>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</si>
  <si>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</si>
  <si>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</si>
  <si>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</si>
  <si>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</si>
  <si>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</si>
  <si>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</si>
  <si>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</si>
  <si>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</si>
  <si>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</si>
  <si>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</si>
  <si>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</si>
  <si>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</si>
  <si>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</si>
  <si>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</si>
  <si>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</si>
  <si>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</si>
  <si>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</si>
  <si>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</si>
  <si>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</si>
  <si>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</si>
  <si>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</si>
  <si>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</si>
  <si>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</si>
  <si>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</si>
  <si>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</si>
  <si>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</si>
  <si>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</si>
  <si>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</si>
  <si>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</si>
  <si>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</si>
  <si>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</si>
  <si>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</si>
  <si>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</si>
  <si>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</si>
  <si>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</si>
  <si>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</si>
  <si>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</si>
  <si>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</si>
  <si>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</si>
  <si>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</si>
  <si>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</si>
  <si>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</si>
  <si>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</si>
  <si>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</si>
  <si>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</si>
  <si>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</si>
  <si>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</si>
  <si>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</si>
  <si>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</si>
  <si>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</si>
  <si>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</si>
  <si>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</si>
  <si>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</si>
  <si>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</si>
  <si>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</si>
  <si>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</si>
  <si>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</si>
  <si>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</si>
  <si>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</si>
  <si>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</si>
  <si>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</si>
  <si>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</si>
  <si>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</si>
  <si>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</si>
  <si>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</si>
  <si>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</si>
  <si>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</si>
  <si>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</si>
  <si>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</si>
  <si>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</si>
  <si>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</si>
  <si>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</si>
  <si>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</si>
  <si>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</si>
  <si>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</si>
  <si>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</si>
  <si>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</si>
  <si>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</si>
  <si>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</si>
  <si>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</si>
  <si>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</si>
  <si>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</si>
  <si>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</si>
  <si>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</si>
  <si>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</si>
  <si>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</si>
  <si>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</si>
  <si>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</si>
  <si>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</si>
  <si>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</si>
  <si>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</si>
  <si>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</si>
  <si>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</si>
  <si>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</si>
  <si>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</si>
  <si>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</si>
  <si>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>FONDO DE GASTOS ORDINARIOS</t>
  </si>
  <si>
    <t>Italiano Gabriel Cristian</t>
  </si>
  <si>
    <t>CABLEVISION - NRO DE REFERENCIA 0477093152678</t>
  </si>
  <si>
    <t>Egresos por gastos mes ordinarios</t>
  </si>
  <si>
    <t>EXTRAORDINARIAS:</t>
  </si>
  <si>
    <t>SUELDO - REMUNERACIONES SUJETAS A RETENCION</t>
  </si>
  <si>
    <t>DEDUCCIONES</t>
  </si>
  <si>
    <t>REDONDEO</t>
  </si>
  <si>
    <t>GUSTAVO PADRON - SR CONTADOR</t>
  </si>
  <si>
    <t>ARCA</t>
  </si>
  <si>
    <t>AYSA -  NRO. DE CUENTA 297930 - Vto. 1/04</t>
  </si>
  <si>
    <t>AYSA -  NRO. DE CUENTA 297930 - Vto. 28/04</t>
  </si>
  <si>
    <t>GUSTAVO PADRON - SR CONTADOR - TRAMITES INSCRIPCION CONSORCIO ARCA</t>
  </si>
  <si>
    <t>NO SE DEBITA</t>
  </si>
  <si>
    <t>Julieta ochoa</t>
  </si>
  <si>
    <t>Gustavo Lago</t>
  </si>
  <si>
    <t>Gaston Alvarez</t>
  </si>
  <si>
    <t xml:space="preserve">EDESUR - CLIENTE NRO 01408557  </t>
  </si>
  <si>
    <t>1ER VTO: 16/06</t>
  </si>
  <si>
    <t>PERIODO: MAYO</t>
  </si>
  <si>
    <t>Ajuste MAYO 2023</t>
  </si>
  <si>
    <t>SAC MAYO</t>
  </si>
  <si>
    <t>MES DE MAYO</t>
  </si>
  <si>
    <t>SALVATIERRA - REPASO D ECOLUMNA DE BAÑO EN UF 10</t>
  </si>
  <si>
    <t>SALVATIERRA - DESOBSTRUCCION DE COLUMNA EN COCINA 3A</t>
  </si>
  <si>
    <t>LEMA ASCENSORES - TRABAJOS REALIZACOS EN LOS CASCOS GUIADORES EN EL UNICO ASCENSOR DE LA PARTE SUPERIOR DE LA CABINA</t>
  </si>
  <si>
    <t>Reparacion puerta Sum</t>
  </si>
  <si>
    <t>REPARACION PERDIDA DE BAÑERA PISO 10B - MANO DE OBRA Y MATERIALES</t>
  </si>
  <si>
    <t>LAURA</t>
  </si>
  <si>
    <t>ELECTRICIDAD LOMAS - ABONO GRUPO MAYO</t>
  </si>
  <si>
    <t>ESTER</t>
  </si>
  <si>
    <t>DARIO ARREGLA PUERTAS DE GAS</t>
  </si>
  <si>
    <t>JPL 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</si>
</sst>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3" fillId="0" borderId="0" applyFont="0" applyFill="0" applyBorder="0" applyAlignment="0" applyProtection="0"/>
  </cellStyleXfs>
  <cellXfs count="30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6" fontId="1" fillId="2" borderId="12" xfId="0" applyNumberFormat="1" applyFont="1" applyFill="1" applyBorder="1"/>
    <xf numFmtId="166" fontId="1" fillId="0" borderId="0" xfId="0" applyNumberFormat="1" applyFont="1"/>
    <xf numFmtId="166" fontId="4" fillId="2" borderId="12" xfId="0" applyNumberFormat="1" applyFont="1" applyFill="1" applyBorder="1"/>
    <xf numFmtId="0" fontId="1" fillId="2" borderId="12" xfId="0" applyFont="1" applyFill="1" applyBorder="1"/>
    <xf numFmtId="166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6" fontId="4" fillId="2" borderId="6" xfId="0" applyNumberFormat="1" applyFont="1" applyFill="1" applyBorder="1"/>
    <xf numFmtId="166" fontId="7" fillId="3" borderId="22" xfId="0" applyNumberFormat="1" applyFont="1" applyFill="1" applyBorder="1"/>
    <xf numFmtId="166" fontId="7" fillId="3" borderId="26" xfId="0" applyNumberFormat="1" applyFont="1" applyFill="1" applyBorder="1"/>
    <xf numFmtId="166" fontId="7" fillId="3" borderId="33" xfId="0" applyNumberFormat="1" applyFont="1" applyFill="1" applyBorder="1"/>
    <xf numFmtId="166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6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8" fontId="7" fillId="0" borderId="0" xfId="0" applyNumberFormat="1" applyFont="1"/>
    <xf numFmtId="166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6" fontId="1" fillId="0" borderId="40" xfId="0" applyNumberFormat="1" applyFont="1" applyBorder="1"/>
    <xf numFmtId="0" fontId="8" fillId="2" borderId="10" xfId="0" applyFont="1" applyFill="1" applyBorder="1"/>
    <xf numFmtId="8" fontId="7" fillId="2" borderId="12" xfId="0" applyNumberFormat="1" applyFont="1" applyFill="1" applyBorder="1"/>
    <xf numFmtId="0" fontId="1" fillId="7" borderId="41" xfId="0" applyFont="1" applyFill="1" applyBorder="1"/>
    <xf numFmtId="166" fontId="2" fillId="7" borderId="41" xfId="0" applyNumberFormat="1" applyFont="1" applyFill="1" applyBorder="1"/>
    <xf numFmtId="6" fontId="1" fillId="0" borderId="12" xfId="0" applyNumberFormat="1" applyFont="1" applyBorder="1"/>
    <xf numFmtId="6" fontId="1" fillId="2" borderId="12" xfId="0" applyNumberFormat="1" applyFont="1" applyFill="1" applyBorder="1"/>
    <xf numFmtId="0" fontId="1" fillId="7" borderId="12" xfId="0" applyFont="1" applyFill="1" applyBorder="1"/>
    <xf numFmtId="166" fontId="1" fillId="7" borderId="12" xfId="0" applyNumberFormat="1" applyFont="1" applyFill="1" applyBorder="1"/>
    <xf numFmtId="0" fontId="10" fillId="8" borderId="6" xfId="0" applyFont="1" applyFill="1" applyBorder="1"/>
    <xf numFmtId="166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7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7" fontId="4" fillId="2" borderId="12" xfId="0" applyNumberFormat="1" applyFont="1" applyFill="1" applyBorder="1" applyAlignment="1">
      <alignment vertical="center" wrapText="1"/>
    </xf>
    <xf numFmtId="167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6" fontId="1" fillId="0" borderId="13" xfId="0" applyNumberFormat="1" applyFont="1" applyBorder="1"/>
    <xf numFmtId="166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7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8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7" fontId="1" fillId="2" borderId="41" xfId="0" applyNumberFormat="1" applyFont="1" applyFill="1" applyBorder="1"/>
    <xf numFmtId="167" fontId="1" fillId="0" borderId="40" xfId="0" applyNumberFormat="1" applyFont="1" applyBorder="1"/>
    <xf numFmtId="166" fontId="1" fillId="0" borderId="38" xfId="0" applyNumberFormat="1" applyFont="1" applyBorder="1"/>
    <xf numFmtId="166" fontId="1" fillId="0" borderId="61" xfId="0" applyNumberFormat="1" applyFont="1" applyBorder="1"/>
    <xf numFmtId="166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6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6" fontId="1" fillId="0" borderId="64" xfId="0" applyNumberFormat="1" applyFont="1" applyBorder="1"/>
    <xf numFmtId="167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6" fontId="1" fillId="3" borderId="22" xfId="0" applyNumberFormat="1" applyFont="1" applyFill="1" applyBorder="1"/>
    <xf numFmtId="167" fontId="28" fillId="3" borderId="22" xfId="0" applyNumberFormat="1" applyFont="1" applyFill="1" applyBorder="1"/>
    <xf numFmtId="167" fontId="14" fillId="3" borderId="22" xfId="0" applyNumberFormat="1" applyFont="1" applyFill="1" applyBorder="1"/>
    <xf numFmtId="166" fontId="14" fillId="3" borderId="22" xfId="0" applyNumberFormat="1" applyFont="1" applyFill="1" applyBorder="1"/>
    <xf numFmtId="167" fontId="1" fillId="3" borderId="22" xfId="0" applyNumberFormat="1" applyFont="1" applyFill="1" applyBorder="1"/>
    <xf numFmtId="166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7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7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7" fontId="4" fillId="2" borderId="6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6" fontId="12" fillId="0" borderId="13" xfId="0" applyNumberFormat="1" applyFont="1" applyBorder="1" applyAlignment="1">
      <alignment horizontal="left"/>
    </xf>
    <xf numFmtId="166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8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0" fontId="1" fillId="12" borderId="0" xfId="0" applyNumberFormat="1" applyFont="1" applyFill="1"/>
    <xf numFmtId="166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6" fontId="31" fillId="12" borderId="12" xfId="0" applyNumberFormat="1" applyFont="1" applyFill="1" applyBorder="1"/>
    <xf numFmtId="167" fontId="31" fillId="2" borderId="41" xfId="0" applyNumberFormat="1" applyFont="1" applyFill="1" applyBorder="1"/>
    <xf numFmtId="167" fontId="31" fillId="2" borderId="12" xfId="0" applyNumberFormat="1" applyFont="1" applyFill="1" applyBorder="1"/>
    <xf numFmtId="167" fontId="31" fillId="0" borderId="12" xfId="0" applyNumberFormat="1" applyFont="1" applyBorder="1"/>
    <xf numFmtId="0" fontId="32" fillId="0" borderId="12" xfId="0" applyFont="1" applyBorder="1"/>
    <xf numFmtId="166" fontId="31" fillId="0" borderId="40" xfId="0" applyNumberFormat="1" applyFont="1" applyBorder="1"/>
    <xf numFmtId="166" fontId="31" fillId="2" borderId="41" xfId="0" applyNumberFormat="1" applyFont="1" applyFill="1" applyBorder="1"/>
    <xf numFmtId="166" fontId="31" fillId="0" borderId="12" xfId="0" applyNumberFormat="1" applyFont="1" applyBorder="1"/>
    <xf numFmtId="8" fontId="0" fillId="0" borderId="0" xfId="0" applyNumberFormat="1"/>
    <xf numFmtId="0" fontId="34" fillId="0" borderId="38" xfId="0" applyFont="1" applyBorder="1"/>
    <xf numFmtId="0" fontId="30" fillId="2" borderId="9" xfId="0" applyFont="1" applyFill="1" applyBorder="1"/>
    <xf numFmtId="166" fontId="34" fillId="2" borderId="12" xfId="0" applyNumberFormat="1" applyFont="1" applyFill="1" applyBorder="1"/>
    <xf numFmtId="0" fontId="35" fillId="0" borderId="12" xfId="0" applyFont="1" applyBorder="1"/>
    <xf numFmtId="166" fontId="35" fillId="2" borderId="12" xfId="0" applyNumberFormat="1" applyFont="1" applyFill="1" applyBorder="1"/>
    <xf numFmtId="0" fontId="34" fillId="2" borderId="12" xfId="0" applyFont="1" applyFill="1" applyBorder="1"/>
    <xf numFmtId="166" fontId="30" fillId="3" borderId="12" xfId="0" applyNumberFormat="1" applyFont="1" applyFill="1" applyBorder="1"/>
    <xf numFmtId="0" fontId="34" fillId="2" borderId="10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43" fontId="0" fillId="0" borderId="0" xfId="0" applyNumberFormat="1"/>
    <xf numFmtId="167" fontId="36" fillId="2" borderId="12" xfId="0" applyNumberFormat="1" applyFont="1" applyFill="1" applyBorder="1" applyAlignment="1">
      <alignment vertical="center" wrapText="1"/>
    </xf>
    <xf numFmtId="165" fontId="31" fillId="0" borderId="12" xfId="0" applyNumberFormat="1" applyFont="1" applyBorder="1"/>
    <xf numFmtId="0" fontId="31" fillId="0" borderId="12" xfId="0" applyFont="1" applyBorder="1"/>
    <xf numFmtId="166" fontId="31" fillId="2" borderId="12" xfId="0" applyNumberFormat="1" applyFont="1" applyFill="1" applyBorder="1"/>
    <xf numFmtId="165" fontId="31" fillId="0" borderId="12" xfId="0" applyNumberFormat="1" applyFont="1" applyBorder="1" applyAlignment="1">
      <alignment vertical="center" wrapText="1"/>
    </xf>
    <xf numFmtId="165" fontId="37" fillId="0" borderId="12" xfId="0" applyNumberFormat="1" applyFont="1" applyBorder="1"/>
    <xf numFmtId="0" fontId="37" fillId="0" borderId="12" xfId="0" applyFont="1" applyBorder="1"/>
    <xf numFmtId="166" fontId="37" fillId="2" borderId="12" xfId="0" applyNumberFormat="1" applyFont="1" applyFill="1" applyBorder="1"/>
    <xf numFmtId="0" fontId="31" fillId="0" borderId="15" xfId="0" applyFont="1" applyBorder="1"/>
    <xf numFmtId="0" fontId="31" fillId="0" borderId="13" xfId="0" applyFont="1" applyBorder="1" applyAlignment="1">
      <alignment horizontal="center"/>
    </xf>
    <xf numFmtId="16" fontId="31" fillId="0" borderId="12" xfId="0" applyNumberFormat="1" applyFont="1" applyBorder="1"/>
    <xf numFmtId="0" fontId="31" fillId="2" borderId="12" xfId="0" applyFont="1" applyFill="1" applyBorder="1"/>
    <xf numFmtId="166" fontId="37" fillId="0" borderId="12" xfId="0" applyNumberFormat="1" applyFont="1" applyBorder="1"/>
    <xf numFmtId="0" fontId="31" fillId="2" borderId="12" xfId="0" applyFont="1" applyFill="1" applyBorder="1" applyAlignment="1">
      <alignment vertical="center"/>
    </xf>
    <xf numFmtId="167" fontId="1" fillId="12" borderId="38" xfId="0" applyNumberFormat="1" applyFont="1" applyFill="1" applyBorder="1"/>
    <xf numFmtId="0" fontId="39" fillId="0" borderId="12" xfId="0" applyFont="1" applyBorder="1"/>
    <xf numFmtId="0" fontId="41" fillId="0" borderId="15" xfId="0" applyFont="1" applyBorder="1"/>
    <xf numFmtId="0" fontId="40" fillId="0" borderId="3" xfId="0" applyFont="1" applyBorder="1"/>
    <xf numFmtId="0" fontId="3" fillId="2" borderId="12" xfId="0" applyFont="1" applyFill="1" applyBorder="1"/>
    <xf numFmtId="166" fontId="9" fillId="2" borderId="12" xfId="0" applyNumberFormat="1" applyFont="1" applyFill="1" applyBorder="1"/>
    <xf numFmtId="0" fontId="3" fillId="2" borderId="12" xfId="0" applyFont="1" applyFill="1" applyBorder="1" applyAlignment="1">
      <alignment vertical="center"/>
    </xf>
    <xf numFmtId="16" fontId="31" fillId="11" borderId="12" xfId="0" applyNumberFormat="1" applyFont="1" applyFill="1" applyBorder="1"/>
    <xf numFmtId="0" fontId="3" fillId="13" borderId="12" xfId="0" applyFont="1" applyFill="1" applyBorder="1"/>
    <xf numFmtId="166" fontId="9" fillId="13" borderId="12" xfId="0" applyNumberFormat="1" applyFont="1" applyFill="1" applyBorder="1"/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6" fontId="10" fillId="8" borderId="13" xfId="0" applyNumberFormat="1" applyFont="1" applyFill="1" applyBorder="1" applyAlignment="1">
      <alignment horizontal="center"/>
    </xf>
    <xf numFmtId="0" fontId="3" fillId="0" borderId="15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30" fillId="3" borderId="13" xfId="0" applyFont="1" applyFill="1" applyBorder="1" applyAlignment="1">
      <alignment horizontal="center" vertical="center"/>
    </xf>
    <xf numFmtId="0" fontId="34" fillId="0" borderId="14" xfId="0" applyFont="1" applyBorder="1"/>
    <xf numFmtId="0" fontId="34" fillId="0" borderId="15" xfId="0" applyFont="1" applyBorder="1"/>
    <xf numFmtId="0" fontId="34" fillId="2" borderId="13" xfId="0" applyFont="1" applyFill="1" applyBorder="1" applyAlignment="1">
      <alignment horizontal="left" vertical="center" wrapText="1"/>
    </xf>
    <xf numFmtId="0" fontId="34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3" fillId="0" borderId="14" xfId="0" applyFont="1" applyBorder="1"/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5" fontId="37" fillId="3" borderId="13" xfId="0" applyNumberFormat="1" applyFont="1" applyFill="1" applyBorder="1" applyAlignment="1">
      <alignment horizontal="center" wrapText="1"/>
    </xf>
    <xf numFmtId="0" fontId="31" fillId="0" borderId="14" xfId="0" applyFont="1" applyBorder="1"/>
    <xf numFmtId="0" fontId="31" fillId="0" borderId="15" xfId="0" applyFont="1" applyBorder="1"/>
    <xf numFmtId="0" fontId="37" fillId="3" borderId="13" xfId="0" applyFont="1" applyFill="1" applyBorder="1" applyAlignment="1">
      <alignment horizontal="center" vertical="center"/>
    </xf>
    <xf numFmtId="165" fontId="38" fillId="3" borderId="13" xfId="0" applyNumberFormat="1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8" fillId="3" borderId="13" xfId="0" applyFont="1" applyFill="1" applyBorder="1" applyAlignment="1">
      <alignment horizontal="center"/>
    </xf>
    <xf numFmtId="0" fontId="35" fillId="3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73" xfId="0" applyFont="1" applyBorder="1"/>
    <xf numFmtId="0" fontId="3" fillId="0" borderId="51" xfId="0" applyFont="1" applyBorder="1"/>
    <xf numFmtId="166" fontId="17" fillId="0" borderId="54" xfId="0" applyNumberFormat="1" applyFont="1" applyBorder="1" applyAlignment="1">
      <alignment horizontal="center"/>
    </xf>
    <xf numFmtId="171" fontId="34" fillId="0" borderId="13" xfId="1" applyNumberFormat="1" applyFont="1" applyBorder="1" applyAlignment="1">
      <alignment horizontal="center"/>
    </xf>
    <xf numFmtId="171" fontId="34" fillId="0" borderId="14" xfId="1" applyNumberFormat="1" applyFont="1" applyBorder="1" applyAlignment="1">
      <alignment horizontal="center"/>
    </xf>
    <xf numFmtId="171" fontId="34" fillId="0" borderId="15" xfId="1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7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6" fontId="17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6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6" fontId="1" fillId="2" borderId="23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304800</xdr:colOff>
      <xdr:row>1</xdr:row>
      <xdr:rowOff>47625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38850" y="38100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70"/>
  <sheetViews>
    <sheetView tabSelected="1" topLeftCell="A41" workbookViewId="0">
      <selection activeCell="A53" sqref="A53"/>
    </sheetView>
  </sheetViews>
  <sheetFormatPr baseColWidth="10" defaultColWidth="10.6640625" defaultRowHeight="15" customHeight="1" x14ac:dyDescent="0.3"/>
  <cols>
    <col min="1" max="1" width="18.6640625" customWidth="1"/>
    <col min="2" max="2" width="16.33203125" customWidth="1"/>
    <col min="3" max="3" width="10.6640625" customWidth="1"/>
    <col min="4" max="4" width="24.5546875" customWidth="1"/>
    <col min="5" max="5" width="17.33203125" customWidth="1"/>
    <col min="6" max="6" width="15.6640625" customWidth="1"/>
    <col min="7" max="7" width="10.6640625" customWidth="1"/>
    <col min="8" max="8" width="25.44140625" customWidth="1"/>
    <col min="9" max="11" width="14.5546875" customWidth="1"/>
    <col min="12" max="12" width="10.6640625" customWidth="1"/>
  </cols>
  <sheetData>
    <row r="1" spans="1:9" ht="14.4" x14ac:dyDescent="0.3">
      <c r="A1" s="1"/>
      <c r="B1" s="2"/>
      <c r="C1" s="2"/>
      <c r="D1" s="2"/>
      <c r="E1" s="2"/>
      <c r="F1" s="2"/>
      <c r="G1" s="2"/>
      <c r="H1" s="3"/>
    </row>
    <row r="2" spans="1:9" ht="15.6" x14ac:dyDescent="0.3">
      <c r="A2" s="4"/>
      <c r="B2" s="5"/>
      <c r="C2" s="5"/>
      <c r="D2" s="259"/>
      <c r="E2" s="231"/>
      <c r="F2" s="231"/>
      <c r="G2" s="231"/>
      <c r="H2" s="260"/>
    </row>
    <row r="3" spans="1:9" ht="14.4" x14ac:dyDescent="0.3">
      <c r="A3" s="4"/>
      <c r="B3" s="5"/>
      <c r="C3" s="5"/>
      <c r="D3" s="175" t="s">
        <v>0</v>
      </c>
      <c r="E3" s="261" t="s">
        <v>1</v>
      </c>
      <c r="F3" s="262"/>
      <c r="G3" s="262"/>
      <c r="H3" s="262"/>
    </row>
    <row r="4" spans="1:9" ht="14.4" x14ac:dyDescent="0.3">
      <c r="A4" s="4"/>
      <c r="B4" s="5"/>
      <c r="C4" s="5"/>
      <c r="D4" s="175" t="s">
        <v>2</v>
      </c>
      <c r="E4" s="176" t="s">
        <v>3</v>
      </c>
      <c r="F4" s="177"/>
      <c r="G4" s="177"/>
      <c r="H4" s="177"/>
    </row>
    <row r="5" spans="1:9" ht="14.4" x14ac:dyDescent="0.3">
      <c r="A5" s="4"/>
      <c r="B5" s="5"/>
      <c r="C5" s="5"/>
      <c r="D5" s="175" t="s">
        <v>4</v>
      </c>
      <c r="E5" s="178"/>
      <c r="F5" s="177"/>
      <c r="G5" s="177"/>
      <c r="H5" s="177"/>
    </row>
    <row r="6" spans="1:9" ht="14.4" x14ac:dyDescent="0.3">
      <c r="A6" s="4"/>
      <c r="B6" s="5"/>
      <c r="C6" s="5"/>
      <c r="D6" s="175" t="s">
        <v>5</v>
      </c>
      <c r="E6" s="178">
        <v>27231256879</v>
      </c>
      <c r="F6" s="178"/>
      <c r="G6" s="177" t="s">
        <v>6</v>
      </c>
      <c r="H6" s="177"/>
    </row>
    <row r="7" spans="1:9" ht="14.4" x14ac:dyDescent="0.3">
      <c r="A7" s="4"/>
      <c r="B7" s="5"/>
      <c r="C7" s="5"/>
      <c r="D7" s="6" t="s">
        <v>7</v>
      </c>
      <c r="E7" s="7"/>
      <c r="F7" s="7"/>
      <c r="G7" s="7"/>
      <c r="H7" s="8"/>
    </row>
    <row r="8" spans="1:9" ht="18" x14ac:dyDescent="0.35">
      <c r="A8" s="9" t="s">
        <v>8</v>
      </c>
      <c r="B8" s="10"/>
      <c r="C8" s="10" t="s">
        <v>162</v>
      </c>
      <c r="D8" s="10"/>
      <c r="E8" s="10"/>
      <c r="F8" s="11"/>
      <c r="G8" s="10" t="s">
        <v>161</v>
      </c>
      <c r="H8" s="12"/>
    </row>
    <row r="9" spans="1:9" ht="14.4" x14ac:dyDescent="0.3">
      <c r="A9" s="13" t="s">
        <v>10</v>
      </c>
      <c r="B9" s="14"/>
      <c r="C9" s="14"/>
      <c r="D9" s="14"/>
      <c r="E9" s="14"/>
      <c r="F9" s="14"/>
      <c r="G9" s="14"/>
      <c r="H9" s="14"/>
    </row>
    <row r="10" spans="1:9" ht="42.75" hidden="1" customHeight="1" x14ac:dyDescent="0.3">
      <c r="A10" s="263"/>
      <c r="B10" s="258"/>
      <c r="C10" s="258"/>
      <c r="D10" s="258"/>
      <c r="E10" s="258"/>
      <c r="F10" s="258"/>
      <c r="G10" s="258"/>
      <c r="H10" s="226"/>
    </row>
    <row r="11" spans="1:9" ht="14.4" x14ac:dyDescent="0.3">
      <c r="A11" s="13"/>
      <c r="B11" s="14"/>
      <c r="C11" s="14"/>
      <c r="D11" s="14"/>
      <c r="E11" s="13"/>
      <c r="F11" s="14"/>
      <c r="G11" s="14"/>
      <c r="H11" s="14"/>
    </row>
    <row r="12" spans="1:9" ht="15.6" x14ac:dyDescent="0.3">
      <c r="A12" s="264" t="s">
        <v>11</v>
      </c>
      <c r="B12" s="258"/>
      <c r="C12" s="258"/>
      <c r="D12" s="258"/>
      <c r="E12" s="258"/>
      <c r="F12" s="258"/>
      <c r="G12" s="258"/>
      <c r="H12" s="226"/>
    </row>
    <row r="13" spans="1:9" ht="14.4" x14ac:dyDescent="0.3">
      <c r="A13" s="199" t="s">
        <v>148</v>
      </c>
      <c r="B13" s="200"/>
      <c r="C13" s="200"/>
      <c r="D13" s="200"/>
      <c r="E13" s="200"/>
      <c r="F13" s="200"/>
      <c r="G13" s="200"/>
      <c r="H13" s="201">
        <v>494448</v>
      </c>
    </row>
    <row r="14" spans="1:9" ht="14.4" x14ac:dyDescent="0.3">
      <c r="A14" s="202" t="s">
        <v>150</v>
      </c>
      <c r="B14" s="202"/>
      <c r="C14" s="202"/>
      <c r="D14" s="202"/>
      <c r="E14" s="202"/>
      <c r="F14" s="202"/>
      <c r="G14" s="202"/>
      <c r="H14" s="201">
        <v>0.88</v>
      </c>
    </row>
    <row r="15" spans="1:9" ht="14.4" x14ac:dyDescent="0.3">
      <c r="A15" s="199" t="s">
        <v>149</v>
      </c>
      <c r="B15" s="200"/>
      <c r="C15" s="200"/>
      <c r="D15" s="200"/>
      <c r="E15" s="200"/>
      <c r="F15" s="200"/>
      <c r="G15" s="200"/>
      <c r="H15" s="201">
        <v>-122375.88</v>
      </c>
      <c r="I15" s="16"/>
    </row>
    <row r="16" spans="1:9" ht="12.75" customHeight="1" x14ac:dyDescent="0.3">
      <c r="A16" s="203" t="s">
        <v>14</v>
      </c>
      <c r="B16" s="204"/>
      <c r="C16" s="204"/>
      <c r="D16" s="204"/>
      <c r="E16" s="204"/>
      <c r="F16" s="204"/>
      <c r="G16" s="204"/>
      <c r="H16" s="205">
        <f>SUM(H13:H15)</f>
        <v>372073</v>
      </c>
      <c r="I16" s="16"/>
    </row>
    <row r="17" spans="1:9" ht="0.75" hidden="1" customHeight="1" x14ac:dyDescent="0.3">
      <c r="A17" s="265" t="s">
        <v>15</v>
      </c>
      <c r="B17" s="266"/>
      <c r="C17" s="266"/>
      <c r="D17" s="266"/>
      <c r="E17" s="266"/>
      <c r="F17" s="266"/>
      <c r="G17" s="266"/>
      <c r="H17" s="267"/>
      <c r="I17" s="5"/>
    </row>
    <row r="18" spans="1:9" ht="15.75" hidden="1" customHeight="1" x14ac:dyDescent="0.3">
      <c r="A18" s="199" t="s">
        <v>16</v>
      </c>
      <c r="B18" s="200"/>
      <c r="C18" s="200"/>
      <c r="D18" s="200"/>
      <c r="E18" s="200"/>
      <c r="F18" s="200"/>
      <c r="G18" s="200"/>
      <c r="H18" s="201">
        <v>0</v>
      </c>
      <c r="I18" s="5"/>
    </row>
    <row r="19" spans="1:9" ht="15.75" hidden="1" customHeight="1" x14ac:dyDescent="0.3">
      <c r="A19" s="199" t="s">
        <v>17</v>
      </c>
      <c r="B19" s="200"/>
      <c r="C19" s="200"/>
      <c r="D19" s="200"/>
      <c r="E19" s="200"/>
      <c r="F19" s="200"/>
      <c r="G19" s="200"/>
      <c r="H19" s="201">
        <v>0</v>
      </c>
      <c r="I19" s="5"/>
    </row>
    <row r="20" spans="1:9" ht="15.75" hidden="1" customHeight="1" x14ac:dyDescent="0.3">
      <c r="A20" s="199" t="s">
        <v>163</v>
      </c>
      <c r="B20" s="200"/>
      <c r="C20" s="200"/>
      <c r="D20" s="200"/>
      <c r="E20" s="200"/>
      <c r="F20" s="200"/>
      <c r="G20" s="200"/>
      <c r="H20" s="201">
        <v>0</v>
      </c>
      <c r="I20" s="5"/>
    </row>
    <row r="21" spans="1:9" ht="15.75" hidden="1" customHeight="1" x14ac:dyDescent="0.3">
      <c r="A21" s="199" t="s">
        <v>17</v>
      </c>
      <c r="B21" s="200"/>
      <c r="C21" s="200"/>
      <c r="D21" s="200"/>
      <c r="E21" s="200"/>
      <c r="F21" s="200"/>
      <c r="G21" s="200"/>
      <c r="H21" s="201">
        <v>0</v>
      </c>
      <c r="I21" s="5"/>
    </row>
    <row r="22" spans="1:9" ht="15.75" hidden="1" customHeight="1" x14ac:dyDescent="0.3">
      <c r="A22" s="199" t="s">
        <v>163</v>
      </c>
      <c r="B22" s="200"/>
      <c r="C22" s="200"/>
      <c r="D22" s="200"/>
      <c r="E22" s="200"/>
      <c r="F22" s="200"/>
      <c r="G22" s="200"/>
      <c r="H22" s="201">
        <v>0</v>
      </c>
      <c r="I22" s="5"/>
    </row>
    <row r="23" spans="1:9" ht="15.75" hidden="1" customHeight="1" x14ac:dyDescent="0.3">
      <c r="A23" s="199" t="s">
        <v>17</v>
      </c>
      <c r="B23" s="200"/>
      <c r="C23" s="200"/>
      <c r="D23" s="200"/>
      <c r="E23" s="200"/>
      <c r="F23" s="200"/>
      <c r="G23" s="200"/>
      <c r="H23" s="201">
        <v>0</v>
      </c>
      <c r="I23" s="5"/>
    </row>
    <row r="24" spans="1:9" ht="14.25" hidden="1" customHeight="1" x14ac:dyDescent="0.3">
      <c r="A24" s="199" t="s">
        <v>14</v>
      </c>
      <c r="B24" s="200"/>
      <c r="C24" s="200"/>
      <c r="D24" s="200"/>
      <c r="E24" s="200"/>
      <c r="F24" s="200"/>
      <c r="G24" s="200"/>
      <c r="H24" s="201">
        <f>SUM(H18:H23)</f>
        <v>0</v>
      </c>
      <c r="I24" s="5"/>
    </row>
    <row r="25" spans="1:9" ht="14.4" hidden="1" x14ac:dyDescent="0.3">
      <c r="A25" s="268" t="s">
        <v>164</v>
      </c>
      <c r="B25" s="266"/>
      <c r="C25" s="266"/>
      <c r="D25" s="266"/>
      <c r="E25" s="266"/>
      <c r="F25" s="266"/>
      <c r="G25" s="266"/>
      <c r="H25" s="267"/>
    </row>
    <row r="26" spans="1:9" ht="14.4" hidden="1" x14ac:dyDescent="0.3">
      <c r="A26" s="200"/>
      <c r="B26" s="200"/>
      <c r="C26" s="200"/>
      <c r="D26" s="200"/>
      <c r="E26" s="200"/>
      <c r="F26" s="200"/>
      <c r="G26" s="200"/>
      <c r="H26" s="201"/>
    </row>
    <row r="27" spans="1:9" ht="14.4" hidden="1" x14ac:dyDescent="0.3">
      <c r="A27" s="200"/>
      <c r="B27" s="200"/>
      <c r="C27" s="200"/>
      <c r="D27" s="200"/>
      <c r="E27" s="200"/>
      <c r="F27" s="200"/>
      <c r="G27" s="200"/>
      <c r="H27" s="201"/>
    </row>
    <row r="28" spans="1:9" ht="14.4" hidden="1" x14ac:dyDescent="0.3">
      <c r="A28" s="200" t="s">
        <v>18</v>
      </c>
      <c r="B28" s="200"/>
      <c r="C28" s="200"/>
      <c r="D28" s="200"/>
      <c r="E28" s="200"/>
      <c r="F28" s="200"/>
      <c r="G28" s="200"/>
      <c r="H28" s="201">
        <f>SUM(H26:H27)</f>
        <v>0</v>
      </c>
    </row>
    <row r="29" spans="1:9" ht="15.6" x14ac:dyDescent="0.3">
      <c r="A29" s="269" t="s">
        <v>19</v>
      </c>
      <c r="B29" s="266"/>
      <c r="C29" s="266"/>
      <c r="D29" s="266"/>
      <c r="E29" s="266"/>
      <c r="F29" s="266"/>
      <c r="G29" s="266"/>
      <c r="H29" s="267"/>
      <c r="I29" s="5"/>
    </row>
    <row r="30" spans="1:9" ht="14.4" x14ac:dyDescent="0.3">
      <c r="A30" s="199" t="s">
        <v>20</v>
      </c>
      <c r="B30" s="219" t="s">
        <v>156</v>
      </c>
      <c r="C30" s="270"/>
      <c r="D30" s="267"/>
      <c r="E30" s="200"/>
      <c r="F30" s="200"/>
      <c r="G30" s="200"/>
      <c r="H30" s="217">
        <v>17301.400000000001</v>
      </c>
    </row>
    <row r="31" spans="1:9" ht="14.4" x14ac:dyDescent="0.3">
      <c r="A31" s="199" t="s">
        <v>21</v>
      </c>
      <c r="B31" s="219" t="s">
        <v>156</v>
      </c>
      <c r="C31" s="270"/>
      <c r="D31" s="267"/>
      <c r="E31" s="200"/>
      <c r="F31" s="200"/>
      <c r="G31" s="201"/>
      <c r="H31" s="217">
        <v>49790.91</v>
      </c>
    </row>
    <row r="32" spans="1:9" ht="14.4" x14ac:dyDescent="0.3">
      <c r="A32" s="200" t="s">
        <v>22</v>
      </c>
      <c r="B32" s="219" t="s">
        <v>156</v>
      </c>
      <c r="C32" s="270"/>
      <c r="D32" s="267"/>
      <c r="E32" s="200"/>
      <c r="F32" s="200"/>
      <c r="G32" s="200"/>
      <c r="H32" s="217">
        <v>1922.38</v>
      </c>
    </row>
    <row r="33" spans="1:11" ht="14.4" x14ac:dyDescent="0.3">
      <c r="A33" s="199" t="s">
        <v>20</v>
      </c>
      <c r="B33" s="219"/>
      <c r="C33" s="207"/>
      <c r="D33" s="206"/>
      <c r="E33" s="200"/>
      <c r="F33" s="200"/>
      <c r="G33" s="200"/>
      <c r="H33" s="217">
        <v>56139.12</v>
      </c>
    </row>
    <row r="34" spans="1:11" ht="14.4" x14ac:dyDescent="0.3">
      <c r="A34" s="199" t="s">
        <v>21</v>
      </c>
      <c r="B34" s="219"/>
      <c r="C34" s="207"/>
      <c r="D34" s="206"/>
      <c r="E34" s="200"/>
      <c r="F34" s="200"/>
      <c r="G34" s="200"/>
      <c r="H34" s="217">
        <v>2472.2399999999998</v>
      </c>
    </row>
    <row r="35" spans="1:11" ht="14.4" x14ac:dyDescent="0.3">
      <c r="A35" s="200" t="s">
        <v>22</v>
      </c>
      <c r="B35" s="219"/>
      <c r="C35" s="207"/>
      <c r="D35" s="206"/>
      <c r="E35" s="200"/>
      <c r="F35" s="200"/>
      <c r="G35" s="200"/>
      <c r="H35" s="217">
        <v>22250.16</v>
      </c>
    </row>
    <row r="36" spans="1:11" ht="14.4" x14ac:dyDescent="0.3">
      <c r="A36" s="199" t="s">
        <v>12</v>
      </c>
      <c r="B36" s="200" t="s">
        <v>13</v>
      </c>
      <c r="C36" s="207"/>
      <c r="D36" s="206"/>
      <c r="E36" s="200"/>
      <c r="F36" s="200"/>
      <c r="G36" s="200"/>
      <c r="H36" s="201">
        <v>5712</v>
      </c>
    </row>
    <row r="37" spans="1:11" ht="14.4" x14ac:dyDescent="0.3">
      <c r="A37" s="199" t="s">
        <v>152</v>
      </c>
      <c r="B37" s="200"/>
      <c r="C37" s="207"/>
      <c r="D37" s="206"/>
      <c r="E37" s="200"/>
      <c r="F37" s="200"/>
      <c r="G37" s="200"/>
      <c r="H37" s="217">
        <v>245128.34</v>
      </c>
    </row>
    <row r="38" spans="1:11" ht="13.5" customHeight="1" x14ac:dyDescent="0.3">
      <c r="A38" s="204" t="s">
        <v>23</v>
      </c>
      <c r="B38" s="204"/>
      <c r="C38" s="204"/>
      <c r="D38" s="204"/>
      <c r="E38" s="204"/>
      <c r="F38" s="204"/>
      <c r="G38" s="204"/>
      <c r="H38" s="205">
        <f>SUM(H30:H37)</f>
        <v>400716.55</v>
      </c>
    </row>
    <row r="39" spans="1:11" ht="15.75" customHeight="1" x14ac:dyDescent="0.3">
      <c r="A39" s="271" t="s">
        <v>24</v>
      </c>
      <c r="B39" s="266"/>
      <c r="C39" s="266"/>
      <c r="D39" s="266"/>
      <c r="E39" s="266"/>
      <c r="F39" s="266"/>
      <c r="G39" s="266"/>
      <c r="H39" s="267"/>
    </row>
    <row r="40" spans="1:11" ht="15.75" customHeight="1" x14ac:dyDescent="0.3">
      <c r="A40" s="200" t="s">
        <v>153</v>
      </c>
      <c r="B40" s="200"/>
      <c r="C40" s="200"/>
      <c r="D40" s="200"/>
      <c r="E40" s="200"/>
      <c r="F40" s="200"/>
      <c r="G40" s="200"/>
      <c r="H40" s="201">
        <v>382405.71</v>
      </c>
    </row>
    <row r="41" spans="1:11" ht="15.75" customHeight="1" x14ac:dyDescent="0.3">
      <c r="A41" s="200" t="s">
        <v>154</v>
      </c>
      <c r="B41" s="200"/>
      <c r="C41" s="200"/>
      <c r="D41" s="200"/>
      <c r="E41" s="200"/>
      <c r="F41" s="200"/>
      <c r="G41" s="200"/>
      <c r="H41" s="201">
        <v>381241.28</v>
      </c>
    </row>
    <row r="42" spans="1:11" ht="15.75" customHeight="1" x14ac:dyDescent="0.3">
      <c r="A42" s="209" t="s">
        <v>145</v>
      </c>
      <c r="B42" s="200"/>
      <c r="C42" s="200"/>
      <c r="D42" s="200"/>
      <c r="E42" s="200"/>
      <c r="F42" s="200"/>
      <c r="G42" s="200"/>
      <c r="H42" s="217">
        <v>19443.71</v>
      </c>
    </row>
    <row r="43" spans="1:11" ht="15.75" customHeight="1" x14ac:dyDescent="0.3">
      <c r="A43" s="200" t="s">
        <v>160</v>
      </c>
      <c r="B43" s="200"/>
      <c r="C43" s="200"/>
      <c r="D43" s="200"/>
      <c r="E43" s="200"/>
      <c r="F43" s="200"/>
      <c r="G43" s="200"/>
      <c r="H43" s="217">
        <v>529266.62</v>
      </c>
    </row>
    <row r="44" spans="1:11" ht="15.75" customHeight="1" x14ac:dyDescent="0.3">
      <c r="A44" s="204" t="s">
        <v>14</v>
      </c>
      <c r="B44" s="204"/>
      <c r="C44" s="204"/>
      <c r="D44" s="204"/>
      <c r="E44" s="204"/>
      <c r="F44" s="204"/>
      <c r="G44" s="204"/>
      <c r="H44" s="210">
        <f>SUM(H40:H43)</f>
        <v>1312357.3199999998</v>
      </c>
    </row>
    <row r="45" spans="1:11" ht="15.75" customHeight="1" x14ac:dyDescent="0.3">
      <c r="A45" s="271" t="s">
        <v>25</v>
      </c>
      <c r="B45" s="266"/>
      <c r="C45" s="266"/>
      <c r="D45" s="266"/>
      <c r="E45" s="266"/>
      <c r="F45" s="266"/>
      <c r="G45" s="266"/>
      <c r="H45" s="267"/>
    </row>
    <row r="46" spans="1:11" ht="15.75" customHeight="1" x14ac:dyDescent="0.3">
      <c r="A46" s="209" t="s">
        <v>142</v>
      </c>
      <c r="B46" s="208"/>
      <c r="C46" s="200"/>
      <c r="D46" s="200" t="s">
        <v>165</v>
      </c>
      <c r="E46" s="200"/>
      <c r="F46" s="200"/>
      <c r="G46" s="200"/>
      <c r="H46" s="217">
        <v>72800</v>
      </c>
    </row>
    <row r="47" spans="1:11" ht="14.4" x14ac:dyDescent="0.3">
      <c r="A47" s="218" t="s">
        <v>168</v>
      </c>
      <c r="B47" s="208"/>
      <c r="C47" s="200"/>
      <c r="D47" s="200"/>
      <c r="E47" s="200"/>
      <c r="F47" s="200"/>
      <c r="G47" s="200"/>
      <c r="H47" s="217">
        <v>160000</v>
      </c>
      <c r="K47" s="16"/>
    </row>
    <row r="48" spans="1:11" ht="15.75" customHeight="1" x14ac:dyDescent="0.3">
      <c r="A48" s="218" t="s">
        <v>170</v>
      </c>
      <c r="B48" s="208"/>
      <c r="C48" s="200"/>
      <c r="D48" s="200"/>
      <c r="E48" s="200"/>
      <c r="F48" s="200"/>
      <c r="G48" s="200"/>
      <c r="H48" s="217">
        <v>360000</v>
      </c>
    </row>
    <row r="49" spans="1:10" ht="15.75" customHeight="1" x14ac:dyDescent="0.3">
      <c r="A49" s="211" t="s">
        <v>138</v>
      </c>
      <c r="B49" s="208"/>
      <c r="C49" s="200"/>
      <c r="D49" s="200"/>
      <c r="E49" s="200"/>
      <c r="F49" s="200"/>
      <c r="G49" s="200"/>
      <c r="H49" s="217">
        <v>55000</v>
      </c>
    </row>
    <row r="50" spans="1:10" customFormat="1" ht="15" customHeight="1" x14ac:dyDescent="0.3">
      <c r="A50" s="216" t="s">
        <v>171</v>
      </c>
      <c r="B50" s="208"/>
      <c r="C50" s="200"/>
      <c r="D50" s="200"/>
      <c r="E50" s="200"/>
      <c r="F50" s="200"/>
      <c r="G50" s="200"/>
      <c r="H50" s="217">
        <v>20000</v>
      </c>
      <c r="J50" s="16"/>
    </row>
    <row r="51" spans="1:10" customFormat="1" ht="15" customHeight="1" x14ac:dyDescent="0.3">
      <c r="A51" s="220" t="s">
        <v>173</v>
      </c>
      <c r="B51" s="208"/>
      <c r="C51" s="200"/>
      <c r="D51" s="200"/>
      <c r="E51" s="200"/>
      <c r="F51" s="200"/>
      <c r="G51" s="200"/>
      <c r="H51" s="217">
        <v>54999.05</v>
      </c>
      <c r="J51" s="16"/>
    </row>
    <row r="52" spans="1:10" customFormat="1" ht="15" customHeight="1" x14ac:dyDescent="0.3">
      <c r="A52" s="220" t="s">
        <v>174</v>
      </c>
      <c r="B52" s="208"/>
      <c r="C52" s="200"/>
      <c r="D52" s="200"/>
      <c r="E52" s="200"/>
      <c r="F52" s="200"/>
      <c r="G52" s="200"/>
      <c r="H52" s="221">
        <v>65000</v>
      </c>
      <c r="J52" s="16"/>
    </row>
    <row r="53" spans="1:10" customFormat="1" ht="15" customHeight="1" x14ac:dyDescent="0.3">
      <c r="A53" s="216" t="s">
        <v>175</v>
      </c>
      <c r="B53" s="208"/>
      <c r="C53" s="200"/>
      <c r="D53" s="200"/>
      <c r="E53" s="200"/>
      <c r="F53" s="200"/>
      <c r="G53" s="200"/>
      <c r="H53" s="217">
        <v>106700</v>
      </c>
      <c r="J53" s="16"/>
    </row>
    <row r="54" spans="1:10" customFormat="1" ht="15" customHeight="1" x14ac:dyDescent="0.3">
      <c r="A54" s="216" t="s">
        <v>172</v>
      </c>
      <c r="B54" s="208"/>
      <c r="C54" s="200"/>
      <c r="D54" s="200"/>
      <c r="E54" s="200"/>
      <c r="F54" s="200"/>
      <c r="G54" s="200"/>
      <c r="H54" s="217">
        <v>60000</v>
      </c>
      <c r="J54" s="16"/>
    </row>
    <row r="55" spans="1:10" customFormat="1" ht="14.4" x14ac:dyDescent="0.3">
      <c r="A55" s="216" t="s">
        <v>166</v>
      </c>
      <c r="B55" s="208"/>
      <c r="C55" s="200"/>
      <c r="D55" s="200"/>
      <c r="E55" s="200"/>
      <c r="F55" s="200"/>
      <c r="G55" s="200"/>
      <c r="H55" s="217">
        <v>27300</v>
      </c>
    </row>
    <row r="56" spans="1:10" customFormat="1" ht="15.75" customHeight="1" x14ac:dyDescent="0.3">
      <c r="A56" s="216" t="s">
        <v>167</v>
      </c>
      <c r="B56" s="208"/>
      <c r="C56" s="200"/>
      <c r="D56" s="200"/>
      <c r="E56" s="200"/>
      <c r="F56" s="200"/>
      <c r="G56" s="200"/>
      <c r="H56" s="217">
        <v>18500</v>
      </c>
    </row>
    <row r="57" spans="1:10" customFormat="1" ht="15.75" customHeight="1" x14ac:dyDescent="0.3">
      <c r="A57" s="200" t="s">
        <v>14</v>
      </c>
      <c r="B57" s="200"/>
      <c r="C57" s="200"/>
      <c r="D57" s="200"/>
      <c r="E57" s="200"/>
      <c r="F57" s="200"/>
      <c r="G57" s="200"/>
      <c r="H57" s="205">
        <f>SUM(H46:H56)</f>
        <v>1000299.05</v>
      </c>
    </row>
    <row r="58" spans="1:10" customFormat="1" ht="15.75" customHeight="1" x14ac:dyDescent="0.3">
      <c r="A58" s="271" t="s">
        <v>26</v>
      </c>
      <c r="B58" s="266"/>
      <c r="C58" s="266"/>
      <c r="D58" s="266"/>
      <c r="E58" s="266"/>
      <c r="F58" s="266"/>
      <c r="G58" s="266"/>
      <c r="H58" s="267"/>
    </row>
    <row r="59" spans="1:10" customFormat="1" ht="15.75" customHeight="1" x14ac:dyDescent="0.3">
      <c r="A59" s="200" t="s">
        <v>27</v>
      </c>
      <c r="B59" s="200"/>
      <c r="C59" s="200"/>
      <c r="D59" s="200"/>
      <c r="E59" s="200"/>
      <c r="F59" s="200"/>
      <c r="G59" s="200"/>
      <c r="H59" s="201">
        <v>55995</v>
      </c>
    </row>
    <row r="60" spans="1:10" customFormat="1" ht="15.75" customHeight="1" x14ac:dyDescent="0.3">
      <c r="A60" s="200" t="s">
        <v>155</v>
      </c>
      <c r="B60" s="200"/>
      <c r="C60" s="200"/>
      <c r="D60" s="200"/>
      <c r="E60" s="200"/>
      <c r="F60" s="200"/>
      <c r="G60" s="200"/>
      <c r="H60" s="201">
        <v>100000</v>
      </c>
    </row>
    <row r="61" spans="1:10" customFormat="1" ht="15.75" customHeight="1" x14ac:dyDescent="0.3">
      <c r="A61" s="200" t="s">
        <v>151</v>
      </c>
      <c r="B61" s="200"/>
      <c r="C61" s="200"/>
      <c r="D61" s="200"/>
      <c r="E61" s="200"/>
      <c r="F61" s="200"/>
      <c r="G61" s="200"/>
      <c r="H61" s="201">
        <v>28000</v>
      </c>
    </row>
    <row r="62" spans="1:10" customFormat="1" ht="15.75" customHeight="1" x14ac:dyDescent="0.3">
      <c r="A62" s="204" t="s">
        <v>14</v>
      </c>
      <c r="B62" s="204"/>
      <c r="C62" s="204"/>
      <c r="D62" s="204"/>
      <c r="E62" s="204"/>
      <c r="F62" s="204"/>
      <c r="G62" s="204"/>
      <c r="H62" s="205">
        <f>SUM(H59:H61)</f>
        <v>183995</v>
      </c>
    </row>
    <row r="63" spans="1:10" customFormat="1" ht="15.75" customHeight="1" x14ac:dyDescent="0.3">
      <c r="A63" s="271" t="s">
        <v>28</v>
      </c>
      <c r="B63" s="266"/>
      <c r="C63" s="266"/>
      <c r="D63" s="266"/>
      <c r="E63" s="266"/>
      <c r="F63" s="266"/>
      <c r="G63" s="266"/>
      <c r="H63" s="267"/>
    </row>
    <row r="64" spans="1:10" customFormat="1" ht="15.75" customHeight="1" x14ac:dyDescent="0.3">
      <c r="A64" s="200" t="s">
        <v>29</v>
      </c>
      <c r="B64" s="200"/>
      <c r="C64" s="200"/>
      <c r="D64" s="200"/>
      <c r="E64" s="200"/>
      <c r="F64" s="200"/>
      <c r="G64" s="200"/>
      <c r="H64" s="201">
        <v>32718.38</v>
      </c>
    </row>
    <row r="65" spans="1:10" customFormat="1" ht="15.75" customHeight="1" x14ac:dyDescent="0.3">
      <c r="A65" s="200"/>
      <c r="B65" s="200"/>
      <c r="C65" s="200"/>
      <c r="D65" s="200"/>
      <c r="E65" s="200"/>
      <c r="F65" s="200"/>
      <c r="G65" s="200"/>
      <c r="H65" s="201"/>
    </row>
    <row r="66" spans="1:10" customFormat="1" ht="15.75" customHeight="1" x14ac:dyDescent="0.3">
      <c r="A66" s="204" t="s">
        <v>23</v>
      </c>
      <c r="B66" s="204"/>
      <c r="C66" s="204"/>
      <c r="D66" s="204"/>
      <c r="E66" s="204"/>
      <c r="F66" s="204"/>
      <c r="G66" s="204"/>
      <c r="H66" s="210">
        <f>SUM(H64:H65)</f>
        <v>32718.38</v>
      </c>
    </row>
    <row r="67" spans="1:10" customFormat="1" ht="15.75" customHeight="1" x14ac:dyDescent="0.3">
      <c r="A67" s="271" t="s">
        <v>30</v>
      </c>
      <c r="B67" s="266"/>
      <c r="C67" s="266"/>
      <c r="D67" s="266"/>
      <c r="E67" s="266"/>
      <c r="F67" s="266"/>
      <c r="G67" s="266"/>
      <c r="H67" s="267"/>
      <c r="I67" s="7"/>
    </row>
    <row r="68" spans="1:10" customFormat="1" ht="15.75" customHeight="1" x14ac:dyDescent="0.3">
      <c r="A68" s="209" t="s">
        <v>31</v>
      </c>
      <c r="B68" s="209"/>
      <c r="C68" s="209"/>
      <c r="D68" s="209"/>
      <c r="E68" s="209"/>
      <c r="F68" s="209"/>
      <c r="G68" s="209"/>
      <c r="H68" s="201">
        <v>59038.23</v>
      </c>
      <c r="I68" s="7"/>
    </row>
    <row r="69" spans="1:10" customFormat="1" ht="15.75" customHeight="1" x14ac:dyDescent="0.3">
      <c r="A69" s="209"/>
      <c r="B69" s="209"/>
      <c r="C69" s="209"/>
      <c r="D69" s="209"/>
      <c r="E69" s="209"/>
      <c r="F69" s="209"/>
      <c r="G69" s="209"/>
      <c r="H69" s="205"/>
      <c r="I69" s="7"/>
    </row>
    <row r="70" spans="1:10" customFormat="1" ht="15.75" customHeight="1" x14ac:dyDescent="0.3">
      <c r="A70" s="193" t="s">
        <v>14</v>
      </c>
      <c r="B70" s="193"/>
      <c r="C70" s="193"/>
      <c r="D70" s="193"/>
      <c r="E70" s="193"/>
      <c r="F70" s="193"/>
      <c r="G70" s="193"/>
      <c r="H70" s="192">
        <f>SUM(H68:H69)</f>
        <v>59038.23</v>
      </c>
      <c r="I70" s="7"/>
    </row>
    <row r="71" spans="1:10" customFormat="1" ht="15.75" customHeight="1" x14ac:dyDescent="0.3">
      <c r="A71" s="272"/>
      <c r="B71" s="250"/>
      <c r="C71" s="250"/>
      <c r="D71" s="250"/>
      <c r="E71" s="250"/>
      <c r="F71" s="250"/>
      <c r="G71" s="250"/>
      <c r="H71" s="251"/>
      <c r="I71" s="7"/>
    </row>
    <row r="72" spans="1:10" customFormat="1" ht="15.75" customHeight="1" x14ac:dyDescent="0.35">
      <c r="A72" s="249" t="s">
        <v>32</v>
      </c>
      <c r="B72" s="250"/>
      <c r="C72" s="250"/>
      <c r="D72" s="250"/>
      <c r="E72" s="250"/>
      <c r="F72" s="250"/>
      <c r="G72" s="251"/>
      <c r="H72" s="194"/>
    </row>
    <row r="73" spans="1:10" customFormat="1" ht="15.75" customHeight="1" x14ac:dyDescent="0.3">
      <c r="A73" s="252"/>
      <c r="B73" s="250"/>
      <c r="C73" s="250"/>
      <c r="D73" s="250"/>
      <c r="E73" s="250"/>
      <c r="F73" s="250"/>
      <c r="G73" s="251"/>
      <c r="H73" s="190"/>
      <c r="J73" s="172"/>
    </row>
    <row r="74" spans="1:10" customFormat="1" ht="15.75" customHeight="1" x14ac:dyDescent="0.3">
      <c r="A74" s="193"/>
      <c r="B74" s="195"/>
      <c r="C74" s="195"/>
      <c r="D74" s="195"/>
      <c r="E74" s="195"/>
      <c r="F74" s="195"/>
      <c r="G74" s="196"/>
      <c r="H74" s="190"/>
    </row>
    <row r="75" spans="1:10" customFormat="1" ht="15.75" customHeight="1" x14ac:dyDescent="0.3">
      <c r="A75" s="253"/>
      <c r="B75" s="250"/>
      <c r="C75" s="250"/>
      <c r="D75" s="250"/>
      <c r="E75" s="250"/>
      <c r="F75" s="250"/>
      <c r="G75" s="251"/>
      <c r="H75" s="190">
        <v>0</v>
      </c>
    </row>
    <row r="76" spans="1:10" customFormat="1" ht="15.75" customHeight="1" x14ac:dyDescent="0.3">
      <c r="A76" s="22"/>
      <c r="B76" s="23"/>
      <c r="C76" s="23"/>
      <c r="D76" s="23"/>
      <c r="E76" s="23"/>
      <c r="F76" s="23"/>
      <c r="G76" s="24"/>
      <c r="H76" s="15">
        <v>0</v>
      </c>
    </row>
    <row r="77" spans="1:10" customFormat="1" ht="15.75" customHeight="1" x14ac:dyDescent="0.3">
      <c r="A77" s="22"/>
      <c r="B77" s="23"/>
      <c r="C77" s="23"/>
      <c r="D77" s="23"/>
      <c r="E77" s="23"/>
      <c r="F77" s="23"/>
      <c r="G77" s="24"/>
      <c r="H77" s="15">
        <v>0</v>
      </c>
    </row>
    <row r="78" spans="1:10" customFormat="1" ht="15.75" customHeight="1" x14ac:dyDescent="0.3">
      <c r="A78" s="25" t="s">
        <v>14</v>
      </c>
      <c r="B78" s="18"/>
      <c r="C78" s="18"/>
      <c r="D78" s="18"/>
      <c r="E78" s="18"/>
      <c r="F78" s="18"/>
      <c r="G78" s="18"/>
      <c r="H78" s="17">
        <f>SUM(H73:H77)</f>
        <v>0</v>
      </c>
    </row>
    <row r="79" spans="1:10" customFormat="1" ht="15.75" customHeight="1" x14ac:dyDescent="0.3">
      <c r="A79" s="7"/>
      <c r="B79" s="7"/>
      <c r="C79" s="7"/>
      <c r="D79" s="7"/>
      <c r="E79" s="7"/>
      <c r="F79" s="7"/>
      <c r="G79" s="7"/>
      <c r="H79" s="26"/>
      <c r="I79" s="7"/>
    </row>
    <row r="80" spans="1:10" customFormat="1" ht="15.75" customHeight="1" x14ac:dyDescent="0.35">
      <c r="A80" s="236" t="s">
        <v>33</v>
      </c>
      <c r="B80" s="237"/>
      <c r="C80" s="237"/>
      <c r="D80" s="237"/>
      <c r="E80" s="237"/>
      <c r="F80" s="237"/>
      <c r="G80" s="238"/>
      <c r="H80" s="27">
        <f>H78</f>
        <v>0</v>
      </c>
      <c r="I80" s="7"/>
    </row>
    <row r="81" spans="1:10" customFormat="1" ht="15.75" customHeight="1" x14ac:dyDescent="0.35">
      <c r="A81" s="239" t="s">
        <v>143</v>
      </c>
      <c r="B81" s="223"/>
      <c r="C81" s="223"/>
      <c r="D81" s="223"/>
      <c r="E81" s="223"/>
      <c r="F81" s="223"/>
      <c r="G81" s="224"/>
      <c r="H81" s="28"/>
      <c r="I81" s="19"/>
    </row>
    <row r="82" spans="1:10" customFormat="1" ht="18" customHeight="1" x14ac:dyDescent="0.35">
      <c r="A82" s="240" t="s">
        <v>34</v>
      </c>
      <c r="B82" s="223"/>
      <c r="C82" s="223"/>
      <c r="D82" s="223"/>
      <c r="E82" s="223"/>
      <c r="F82" s="223"/>
      <c r="G82" s="241"/>
      <c r="H82" s="27"/>
      <c r="I82" s="7"/>
      <c r="J82" s="16"/>
    </row>
    <row r="83" spans="1:10" customFormat="1" ht="15.75" customHeight="1" x14ac:dyDescent="0.35">
      <c r="A83" s="242" t="s">
        <v>35</v>
      </c>
      <c r="B83" s="243"/>
      <c r="C83" s="243"/>
      <c r="D83" s="243"/>
      <c r="E83" s="243"/>
      <c r="F83" s="243"/>
      <c r="G83" s="244"/>
      <c r="H83" s="27">
        <f>H70+H66+H62+H57+H44+H24+H16+H28+H38</f>
        <v>3361197.53</v>
      </c>
    </row>
    <row r="84" spans="1:10" customFormat="1" ht="15.75" customHeight="1" x14ac:dyDescent="0.35">
      <c r="A84" s="245" t="s">
        <v>36</v>
      </c>
      <c r="B84" s="223"/>
      <c r="C84" s="223"/>
      <c r="D84" s="223"/>
      <c r="E84" s="223"/>
      <c r="F84" s="223"/>
      <c r="G84" s="241"/>
      <c r="H84" s="27">
        <f>H83+H81</f>
        <v>3361197.53</v>
      </c>
      <c r="I84" s="16"/>
    </row>
    <row r="85" spans="1:10" customFormat="1" ht="15.75" customHeight="1" x14ac:dyDescent="0.35">
      <c r="A85" s="246" t="s">
        <v>37</v>
      </c>
      <c r="B85" s="247"/>
      <c r="C85" s="247"/>
      <c r="D85" s="247"/>
      <c r="E85" s="247"/>
      <c r="F85" s="247"/>
      <c r="G85" s="248"/>
      <c r="H85" s="27">
        <f>H80+H82</f>
        <v>0</v>
      </c>
      <c r="I85" s="16"/>
    </row>
    <row r="86" spans="1:10" customFormat="1" ht="18.75" customHeight="1" x14ac:dyDescent="0.35">
      <c r="A86" s="245" t="s">
        <v>38</v>
      </c>
      <c r="B86" s="223"/>
      <c r="C86" s="223"/>
      <c r="D86" s="223"/>
      <c r="E86" s="223"/>
      <c r="F86" s="223"/>
      <c r="G86" s="224"/>
      <c r="H86" s="29">
        <f>H83+H80</f>
        <v>3361197.53</v>
      </c>
    </row>
    <row r="87" spans="1:10" customFormat="1" ht="15.75" hidden="1" customHeight="1" x14ac:dyDescent="0.35">
      <c r="A87" s="254" t="s">
        <v>39</v>
      </c>
      <c r="B87" s="255"/>
      <c r="C87" s="255"/>
      <c r="D87" s="255"/>
      <c r="E87" s="255"/>
      <c r="F87" s="255"/>
      <c r="G87" s="256"/>
      <c r="H87" s="30">
        <v>0</v>
      </c>
    </row>
    <row r="88" spans="1:10" customFormat="1" ht="15.75" customHeight="1" x14ac:dyDescent="0.35">
      <c r="A88" s="31"/>
      <c r="B88" s="31"/>
      <c r="C88" s="31"/>
      <c r="D88" s="31"/>
      <c r="E88" s="31"/>
      <c r="F88" s="31"/>
      <c r="G88" s="31"/>
      <c r="H88" s="32"/>
    </row>
    <row r="89" spans="1:10" customFormat="1" ht="15.75" customHeight="1" x14ac:dyDescent="0.35">
      <c r="A89" s="31"/>
      <c r="B89" s="31"/>
      <c r="C89" s="31"/>
      <c r="D89" s="31"/>
      <c r="E89" s="31"/>
      <c r="F89" s="31"/>
      <c r="G89" s="31"/>
      <c r="H89" s="32"/>
    </row>
    <row r="90" spans="1:10" customFormat="1" ht="0.75" customHeight="1" x14ac:dyDescent="0.35">
      <c r="A90" s="31"/>
      <c r="B90" s="31"/>
      <c r="C90" s="31"/>
      <c r="D90" s="31"/>
      <c r="E90" s="31"/>
      <c r="F90" s="31"/>
      <c r="G90" s="31"/>
      <c r="H90" s="32"/>
    </row>
    <row r="91" spans="1:10" customFormat="1" ht="15.75" hidden="1" customHeight="1" x14ac:dyDescent="0.3">
      <c r="A91" s="14"/>
      <c r="B91" s="14"/>
      <c r="C91" s="14"/>
      <c r="D91" s="14"/>
      <c r="E91" s="14"/>
      <c r="F91" s="14"/>
      <c r="G91" s="14"/>
      <c r="H91" s="14"/>
    </row>
    <row r="92" spans="1:10" customFormat="1" ht="15.75" customHeight="1" x14ac:dyDescent="0.35">
      <c r="A92" s="257" t="s">
        <v>40</v>
      </c>
      <c r="B92" s="258"/>
      <c r="C92" s="258"/>
      <c r="D92" s="258"/>
      <c r="E92" s="258"/>
      <c r="F92" s="258"/>
      <c r="G92" s="258"/>
      <c r="H92" s="226"/>
    </row>
    <row r="93" spans="1:10" customFormat="1" ht="15.75" customHeight="1" x14ac:dyDescent="0.35">
      <c r="A93" s="33" t="s">
        <v>41</v>
      </c>
      <c r="B93" s="34"/>
      <c r="C93" s="34"/>
      <c r="D93" s="34"/>
      <c r="E93" s="34"/>
      <c r="F93" s="34"/>
      <c r="G93" s="34"/>
      <c r="H93" s="35">
        <v>900085.10409992095</v>
      </c>
    </row>
    <row r="94" spans="1:10" customFormat="1" ht="13.5" customHeight="1" x14ac:dyDescent="0.3">
      <c r="A94" s="20" t="s">
        <v>42</v>
      </c>
      <c r="B94" s="21"/>
      <c r="C94" s="21"/>
      <c r="D94" s="21"/>
      <c r="E94" s="21"/>
      <c r="F94" s="21"/>
      <c r="G94" s="21"/>
      <c r="H94" s="36">
        <f>Planilla!G44</f>
        <v>1613089.5126350001</v>
      </c>
    </row>
    <row r="95" spans="1:10" customFormat="1" ht="15.75" hidden="1" customHeight="1" x14ac:dyDescent="0.3">
      <c r="A95" s="37"/>
      <c r="B95" s="38"/>
      <c r="C95" s="38"/>
      <c r="D95" s="38"/>
      <c r="E95" s="38"/>
      <c r="F95" s="38"/>
      <c r="G95" s="38"/>
      <c r="H95" s="39"/>
    </row>
    <row r="96" spans="1:10" customFormat="1" ht="15.75" hidden="1" customHeight="1" x14ac:dyDescent="0.3">
      <c r="A96" s="37"/>
      <c r="B96" s="38"/>
      <c r="C96" s="38"/>
      <c r="D96" s="38"/>
      <c r="E96" s="38"/>
      <c r="F96" s="38"/>
      <c r="G96" s="38"/>
      <c r="H96" s="39"/>
    </row>
    <row r="97" spans="1:16384" customFormat="1" ht="15.75" customHeight="1" x14ac:dyDescent="0.3">
      <c r="A97" s="37" t="s">
        <v>43</v>
      </c>
      <c r="B97" s="38"/>
      <c r="C97" s="38"/>
      <c r="D97" s="38"/>
      <c r="E97" s="38"/>
      <c r="F97" s="38"/>
      <c r="G97" s="38"/>
      <c r="H97" s="39">
        <f>-H103</f>
        <v>0</v>
      </c>
    </row>
    <row r="98" spans="1:16384" customFormat="1" ht="15.75" customHeight="1" x14ac:dyDescent="0.3">
      <c r="A98" s="188" t="s">
        <v>146</v>
      </c>
      <c r="B98" s="38"/>
      <c r="C98" s="38"/>
      <c r="D98" s="38"/>
      <c r="E98" s="38"/>
      <c r="F98" s="38"/>
      <c r="G98" s="38"/>
      <c r="H98" s="39">
        <f>-H83</f>
        <v>-3361197.53</v>
      </c>
    </row>
    <row r="99" spans="1:16384" customFormat="1" ht="14.4" x14ac:dyDescent="0.3">
      <c r="A99" s="188"/>
      <c r="B99" s="38"/>
      <c r="C99" s="38"/>
      <c r="D99" s="38"/>
      <c r="E99" s="38"/>
      <c r="F99" s="38"/>
      <c r="G99" s="38"/>
      <c r="H99" s="39"/>
    </row>
    <row r="100" spans="1:16384" customFormat="1" ht="16.5" customHeight="1" x14ac:dyDescent="0.35">
      <c r="A100" s="189" t="s">
        <v>45</v>
      </c>
      <c r="B100" s="40"/>
      <c r="C100" s="40"/>
      <c r="D100" s="40"/>
      <c r="E100" s="40"/>
      <c r="F100" s="40"/>
      <c r="G100" s="40"/>
      <c r="H100" s="41">
        <f>SUM(H93:H99)</f>
        <v>-848022.91326507879</v>
      </c>
    </row>
    <row r="101" spans="1:16384" customFormat="1" ht="15.75" customHeight="1" x14ac:dyDescent="0.3">
      <c r="A101" s="222" t="s">
        <v>46</v>
      </c>
      <c r="B101" s="223"/>
      <c r="C101" s="223"/>
      <c r="D101" s="223"/>
      <c r="E101" s="223"/>
      <c r="F101" s="223"/>
      <c r="G101" s="223"/>
      <c r="H101" s="224"/>
      <c r="J101" s="187"/>
      <c r="CC101" s="222" t="s">
        <v>47</v>
      </c>
      <c r="CD101" s="223"/>
      <c r="CE101" s="223"/>
      <c r="CF101" s="223"/>
      <c r="CG101" s="223"/>
      <c r="CH101" s="223"/>
      <c r="CI101" s="223"/>
      <c r="CJ101" s="224"/>
      <c r="CK101" s="222" t="s">
        <v>47</v>
      </c>
      <c r="CL101" s="223"/>
      <c r="CM101" s="223"/>
      <c r="CN101" s="223"/>
      <c r="CO101" s="223"/>
      <c r="CP101" s="223"/>
      <c r="CQ101" s="223"/>
      <c r="CR101" s="224"/>
      <c r="CS101" s="222" t="s">
        <v>47</v>
      </c>
      <c r="CT101" s="223"/>
      <c r="CU101" s="223"/>
      <c r="CV101" s="223"/>
      <c r="CW101" s="223"/>
      <c r="CX101" s="223"/>
      <c r="CY101" s="223"/>
      <c r="CZ101" s="224"/>
      <c r="DA101" s="222" t="s">
        <v>47</v>
      </c>
      <c r="DB101" s="223"/>
      <c r="DC101" s="223"/>
      <c r="DD101" s="223"/>
      <c r="DE101" s="223"/>
      <c r="DF101" s="223"/>
      <c r="DG101" s="223"/>
      <c r="DH101" s="224"/>
      <c r="DI101" s="222" t="s">
        <v>47</v>
      </c>
      <c r="DJ101" s="223"/>
      <c r="DK101" s="223"/>
      <c r="DL101" s="223"/>
      <c r="DM101" s="223"/>
      <c r="DN101" s="223"/>
      <c r="DO101" s="223"/>
      <c r="DP101" s="224"/>
      <c r="DQ101" s="222" t="s">
        <v>47</v>
      </c>
      <c r="DR101" s="223"/>
      <c r="DS101" s="223"/>
      <c r="DT101" s="223"/>
      <c r="DU101" s="223"/>
      <c r="DV101" s="223"/>
      <c r="DW101" s="223"/>
      <c r="DX101" s="224"/>
      <c r="DY101" s="222" t="s">
        <v>47</v>
      </c>
      <c r="DZ101" s="223"/>
      <c r="EA101" s="223"/>
      <c r="EB101" s="223"/>
      <c r="EC101" s="223"/>
      <c r="ED101" s="223"/>
      <c r="EE101" s="223"/>
      <c r="EF101" s="224"/>
      <c r="EG101" s="222" t="s">
        <v>47</v>
      </c>
      <c r="EH101" s="223"/>
      <c r="EI101" s="223"/>
      <c r="EJ101" s="223"/>
      <c r="EK101" s="223"/>
      <c r="EL101" s="223"/>
      <c r="EM101" s="223"/>
      <c r="EN101" s="224"/>
      <c r="EO101" s="222" t="s">
        <v>47</v>
      </c>
      <c r="EP101" s="223"/>
      <c r="EQ101" s="223"/>
      <c r="ER101" s="223"/>
      <c r="ES101" s="223"/>
      <c r="ET101" s="223"/>
      <c r="EU101" s="223"/>
      <c r="EV101" s="224"/>
      <c r="EW101" s="222" t="s">
        <v>47</v>
      </c>
      <c r="EX101" s="223"/>
      <c r="EY101" s="223"/>
      <c r="EZ101" s="223"/>
      <c r="FA101" s="223"/>
      <c r="FB101" s="223"/>
      <c r="FC101" s="223"/>
      <c r="FD101" s="224"/>
      <c r="FE101" s="222" t="s">
        <v>47</v>
      </c>
      <c r="FF101" s="223"/>
      <c r="FG101" s="223"/>
      <c r="FH101" s="223"/>
      <c r="FI101" s="223"/>
      <c r="FJ101" s="223"/>
      <c r="FK101" s="223"/>
      <c r="FL101" s="224"/>
      <c r="FM101" s="222" t="s">
        <v>47</v>
      </c>
      <c r="FN101" s="223"/>
      <c r="FO101" s="223"/>
      <c r="FP101" s="223"/>
      <c r="FQ101" s="223"/>
      <c r="FR101" s="223"/>
      <c r="FS101" s="223"/>
      <c r="FT101" s="224"/>
      <c r="FU101" s="222" t="s">
        <v>47</v>
      </c>
      <c r="FV101" s="223"/>
      <c r="FW101" s="223"/>
      <c r="FX101" s="223"/>
      <c r="FY101" s="223"/>
      <c r="FZ101" s="223"/>
      <c r="GA101" s="223"/>
      <c r="GB101" s="224"/>
      <c r="GC101" s="222" t="s">
        <v>47</v>
      </c>
      <c r="GD101" s="223"/>
      <c r="GE101" s="223"/>
      <c r="GF101" s="223"/>
      <c r="GG101" s="223"/>
      <c r="GH101" s="223"/>
      <c r="GI101" s="223"/>
      <c r="GJ101" s="224"/>
      <c r="GK101" s="222" t="s">
        <v>47</v>
      </c>
      <c r="GL101" s="223"/>
      <c r="GM101" s="223"/>
      <c r="GN101" s="223"/>
      <c r="GO101" s="223"/>
      <c r="GP101" s="223"/>
      <c r="GQ101" s="223"/>
      <c r="GR101" s="224"/>
      <c r="GS101" s="222" t="s">
        <v>47</v>
      </c>
      <c r="GT101" s="223"/>
      <c r="GU101" s="223"/>
      <c r="GV101" s="223"/>
      <c r="GW101" s="223"/>
      <c r="GX101" s="223"/>
      <c r="GY101" s="223"/>
      <c r="GZ101" s="224"/>
      <c r="HA101" s="222" t="s">
        <v>47</v>
      </c>
      <c r="HB101" s="223"/>
      <c r="HC101" s="223"/>
      <c r="HD101" s="223"/>
      <c r="HE101" s="223"/>
      <c r="HF101" s="223"/>
      <c r="HG101" s="223"/>
      <c r="HH101" s="224"/>
      <c r="HI101" s="222" t="s">
        <v>47</v>
      </c>
      <c r="HJ101" s="223"/>
      <c r="HK101" s="223"/>
      <c r="HL101" s="223"/>
      <c r="HM101" s="223"/>
      <c r="HN101" s="223"/>
      <c r="HO101" s="223"/>
      <c r="HP101" s="224"/>
      <c r="HQ101" s="222" t="s">
        <v>47</v>
      </c>
      <c r="HR101" s="223"/>
      <c r="HS101" s="223"/>
      <c r="HT101" s="223"/>
      <c r="HU101" s="223"/>
      <c r="HV101" s="223"/>
      <c r="HW101" s="223"/>
      <c r="HX101" s="224"/>
      <c r="HY101" s="222" t="s">
        <v>47</v>
      </c>
      <c r="HZ101" s="223"/>
      <c r="IA101" s="223"/>
      <c r="IB101" s="223"/>
      <c r="IC101" s="223"/>
      <c r="ID101" s="223"/>
      <c r="IE101" s="223"/>
      <c r="IF101" s="224"/>
      <c r="IG101" s="222" t="s">
        <v>47</v>
      </c>
      <c r="IH101" s="223"/>
      <c r="II101" s="223"/>
      <c r="IJ101" s="223"/>
      <c r="IK101" s="223"/>
      <c r="IL101" s="223"/>
      <c r="IM101" s="223"/>
      <c r="IN101" s="224"/>
      <c r="IO101" s="222" t="s">
        <v>47</v>
      </c>
      <c r="IP101" s="223"/>
      <c r="IQ101" s="223"/>
      <c r="IR101" s="223"/>
      <c r="IS101" s="223"/>
      <c r="IT101" s="223"/>
      <c r="IU101" s="223"/>
      <c r="IV101" s="224"/>
      <c r="IW101" s="222" t="s">
        <v>47</v>
      </c>
      <c r="IX101" s="223"/>
      <c r="IY101" s="223"/>
      <c r="IZ101" s="223"/>
      <c r="JA101" s="223"/>
      <c r="JB101" s="223"/>
      <c r="JC101" s="223"/>
      <c r="JD101" s="224"/>
      <c r="JE101" s="222" t="s">
        <v>47</v>
      </c>
      <c r="JF101" s="223"/>
      <c r="JG101" s="223"/>
      <c r="JH101" s="223"/>
      <c r="JI101" s="223"/>
      <c r="JJ101" s="223"/>
      <c r="JK101" s="223"/>
      <c r="JL101" s="224"/>
      <c r="JM101" s="222" t="s">
        <v>47</v>
      </c>
      <c r="JN101" s="223"/>
      <c r="JO101" s="223"/>
      <c r="JP101" s="223"/>
      <c r="JQ101" s="223"/>
      <c r="JR101" s="223"/>
      <c r="JS101" s="223"/>
      <c r="JT101" s="224"/>
      <c r="JU101" s="222" t="s">
        <v>47</v>
      </c>
      <c r="JV101" s="223"/>
      <c r="JW101" s="223"/>
      <c r="JX101" s="223"/>
      <c r="JY101" s="223"/>
      <c r="JZ101" s="223"/>
      <c r="KA101" s="223"/>
      <c r="KB101" s="224"/>
      <c r="KC101" s="222" t="s">
        <v>47</v>
      </c>
      <c r="KD101" s="223"/>
      <c r="KE101" s="223"/>
      <c r="KF101" s="223"/>
      <c r="KG101" s="223"/>
      <c r="KH101" s="223"/>
      <c r="KI101" s="223"/>
      <c r="KJ101" s="224"/>
      <c r="KK101" s="222" t="s">
        <v>47</v>
      </c>
      <c r="KL101" s="223"/>
      <c r="KM101" s="223"/>
      <c r="KN101" s="223"/>
      <c r="KO101" s="223"/>
      <c r="KP101" s="223"/>
      <c r="KQ101" s="223"/>
      <c r="KR101" s="224"/>
      <c r="KS101" s="222" t="s">
        <v>47</v>
      </c>
      <c r="KT101" s="223"/>
      <c r="KU101" s="223"/>
      <c r="KV101" s="223"/>
      <c r="KW101" s="223"/>
      <c r="KX101" s="223"/>
      <c r="KY101" s="223"/>
      <c r="KZ101" s="224"/>
      <c r="LA101" s="222" t="s">
        <v>47</v>
      </c>
      <c r="LB101" s="223"/>
      <c r="LC101" s="223"/>
      <c r="LD101" s="223"/>
      <c r="LE101" s="223"/>
      <c r="LF101" s="223"/>
      <c r="LG101" s="223"/>
      <c r="LH101" s="224"/>
      <c r="LI101" s="222" t="s">
        <v>47</v>
      </c>
      <c r="LJ101" s="223"/>
      <c r="LK101" s="223"/>
      <c r="LL101" s="223"/>
      <c r="LM101" s="223"/>
      <c r="LN101" s="223"/>
      <c r="LO101" s="223"/>
      <c r="LP101" s="224"/>
      <c r="LQ101" s="222" t="s">
        <v>47</v>
      </c>
      <c r="LR101" s="223"/>
      <c r="LS101" s="223"/>
      <c r="LT101" s="223"/>
      <c r="LU101" s="223"/>
      <c r="LV101" s="223"/>
      <c r="LW101" s="223"/>
      <c r="LX101" s="224"/>
      <c r="LY101" s="222" t="s">
        <v>47</v>
      </c>
      <c r="LZ101" s="223"/>
      <c r="MA101" s="223"/>
      <c r="MB101" s="223"/>
      <c r="MC101" s="223"/>
      <c r="MD101" s="223"/>
      <c r="ME101" s="223"/>
      <c r="MF101" s="224"/>
      <c r="MG101" s="222" t="s">
        <v>47</v>
      </c>
      <c r="MH101" s="223"/>
      <c r="MI101" s="223"/>
      <c r="MJ101" s="223"/>
      <c r="MK101" s="223"/>
      <c r="ML101" s="223"/>
      <c r="MM101" s="223"/>
      <c r="MN101" s="224"/>
      <c r="MO101" s="222" t="s">
        <v>47</v>
      </c>
      <c r="MP101" s="223"/>
      <c r="MQ101" s="223"/>
      <c r="MR101" s="223"/>
      <c r="MS101" s="223"/>
      <c r="MT101" s="223"/>
      <c r="MU101" s="223"/>
      <c r="MV101" s="224"/>
      <c r="MW101" s="222" t="s">
        <v>47</v>
      </c>
      <c r="MX101" s="223"/>
      <c r="MY101" s="223"/>
      <c r="MZ101" s="223"/>
      <c r="NA101" s="223"/>
      <c r="NB101" s="223"/>
      <c r="NC101" s="223"/>
      <c r="ND101" s="224"/>
      <c r="NE101" s="222" t="s">
        <v>47</v>
      </c>
      <c r="NF101" s="223"/>
      <c r="NG101" s="223"/>
      <c r="NH101" s="223"/>
      <c r="NI101" s="223"/>
      <c r="NJ101" s="223"/>
      <c r="NK101" s="223"/>
      <c r="NL101" s="224"/>
      <c r="NM101" s="222" t="s">
        <v>47</v>
      </c>
      <c r="NN101" s="223"/>
      <c r="NO101" s="223"/>
      <c r="NP101" s="223"/>
      <c r="NQ101" s="223"/>
      <c r="NR101" s="223"/>
      <c r="NS101" s="223"/>
      <c r="NT101" s="224"/>
      <c r="NU101" s="222" t="s">
        <v>47</v>
      </c>
      <c r="NV101" s="223"/>
      <c r="NW101" s="223"/>
      <c r="NX101" s="223"/>
      <c r="NY101" s="223"/>
      <c r="NZ101" s="223"/>
      <c r="OA101" s="223"/>
      <c r="OB101" s="224"/>
      <c r="OC101" s="222" t="s">
        <v>47</v>
      </c>
      <c r="OD101" s="223"/>
      <c r="OE101" s="223"/>
      <c r="OF101" s="223"/>
      <c r="OG101" s="223"/>
      <c r="OH101" s="223"/>
      <c r="OI101" s="223"/>
      <c r="OJ101" s="224"/>
      <c r="OK101" s="222" t="s">
        <v>47</v>
      </c>
      <c r="OL101" s="223"/>
      <c r="OM101" s="223"/>
      <c r="ON101" s="223"/>
      <c r="OO101" s="223"/>
      <c r="OP101" s="223"/>
      <c r="OQ101" s="223"/>
      <c r="OR101" s="224"/>
      <c r="OS101" s="222" t="s">
        <v>47</v>
      </c>
      <c r="OT101" s="223"/>
      <c r="OU101" s="223"/>
      <c r="OV101" s="223"/>
      <c r="OW101" s="223"/>
      <c r="OX101" s="223"/>
      <c r="OY101" s="223"/>
      <c r="OZ101" s="224"/>
      <c r="PA101" s="222" t="s">
        <v>47</v>
      </c>
      <c r="PB101" s="223"/>
      <c r="PC101" s="223"/>
      <c r="PD101" s="223"/>
      <c r="PE101" s="223"/>
      <c r="PF101" s="223"/>
      <c r="PG101" s="223"/>
      <c r="PH101" s="224"/>
      <c r="PI101" s="222" t="s">
        <v>47</v>
      </c>
      <c r="PJ101" s="223"/>
      <c r="PK101" s="223"/>
      <c r="PL101" s="223"/>
      <c r="PM101" s="223"/>
      <c r="PN101" s="223"/>
      <c r="PO101" s="223"/>
      <c r="PP101" s="224"/>
      <c r="PQ101" s="222" t="s">
        <v>47</v>
      </c>
      <c r="PR101" s="223"/>
      <c r="PS101" s="223"/>
      <c r="PT101" s="223"/>
      <c r="PU101" s="223"/>
      <c r="PV101" s="223"/>
      <c r="PW101" s="223"/>
      <c r="PX101" s="224"/>
      <c r="PY101" s="222" t="s">
        <v>47</v>
      </c>
      <c r="PZ101" s="223"/>
      <c r="QA101" s="223"/>
      <c r="QB101" s="223"/>
      <c r="QC101" s="223"/>
      <c r="QD101" s="223"/>
      <c r="QE101" s="223"/>
      <c r="QF101" s="224"/>
      <c r="QG101" s="222" t="s">
        <v>47</v>
      </c>
      <c r="QH101" s="223"/>
      <c r="QI101" s="223"/>
      <c r="QJ101" s="223"/>
      <c r="QK101" s="223"/>
      <c r="QL101" s="223"/>
      <c r="QM101" s="223"/>
      <c r="QN101" s="224"/>
      <c r="QO101" s="222" t="s">
        <v>47</v>
      </c>
      <c r="QP101" s="223"/>
      <c r="QQ101" s="223"/>
      <c r="QR101" s="223"/>
      <c r="QS101" s="223"/>
      <c r="QT101" s="223"/>
      <c r="QU101" s="223"/>
      <c r="QV101" s="224"/>
      <c r="QW101" s="222" t="s">
        <v>47</v>
      </c>
      <c r="QX101" s="223"/>
      <c r="QY101" s="223"/>
      <c r="QZ101" s="223"/>
      <c r="RA101" s="223"/>
      <c r="RB101" s="223"/>
      <c r="RC101" s="223"/>
      <c r="RD101" s="224"/>
      <c r="RE101" s="222" t="s">
        <v>47</v>
      </c>
      <c r="RF101" s="223"/>
      <c r="RG101" s="223"/>
      <c r="RH101" s="223"/>
      <c r="RI101" s="223"/>
      <c r="RJ101" s="223"/>
      <c r="RK101" s="223"/>
      <c r="RL101" s="224"/>
      <c r="RM101" s="222" t="s">
        <v>47</v>
      </c>
      <c r="RN101" s="223"/>
      <c r="RO101" s="223"/>
      <c r="RP101" s="223"/>
      <c r="RQ101" s="223"/>
      <c r="RR101" s="223"/>
      <c r="RS101" s="223"/>
      <c r="RT101" s="224"/>
      <c r="RU101" s="222" t="s">
        <v>47</v>
      </c>
      <c r="RV101" s="223"/>
      <c r="RW101" s="223"/>
      <c r="RX101" s="223"/>
      <c r="RY101" s="223"/>
      <c r="RZ101" s="223"/>
      <c r="SA101" s="223"/>
      <c r="SB101" s="224"/>
      <c r="SC101" s="222" t="s">
        <v>47</v>
      </c>
      <c r="SD101" s="223"/>
      <c r="SE101" s="223"/>
      <c r="SF101" s="223"/>
      <c r="SG101" s="223"/>
      <c r="SH101" s="223"/>
      <c r="SI101" s="223"/>
      <c r="SJ101" s="224"/>
      <c r="SK101" s="222" t="s">
        <v>47</v>
      </c>
      <c r="SL101" s="223"/>
      <c r="SM101" s="223"/>
      <c r="SN101" s="223"/>
      <c r="SO101" s="223"/>
      <c r="SP101" s="223"/>
      <c r="SQ101" s="223"/>
      <c r="SR101" s="224"/>
      <c r="SS101" s="222" t="s">
        <v>47</v>
      </c>
      <c r="ST101" s="223"/>
      <c r="SU101" s="223"/>
      <c r="SV101" s="223"/>
      <c r="SW101" s="223"/>
      <c r="SX101" s="223"/>
      <c r="SY101" s="223"/>
      <c r="SZ101" s="224"/>
      <c r="TA101" s="222" t="s">
        <v>47</v>
      </c>
      <c r="TB101" s="223"/>
      <c r="TC101" s="223"/>
      <c r="TD101" s="223"/>
      <c r="TE101" s="223"/>
      <c r="TF101" s="223"/>
      <c r="TG101" s="223"/>
      <c r="TH101" s="224"/>
      <c r="TI101" s="222" t="s">
        <v>47</v>
      </c>
      <c r="TJ101" s="223"/>
      <c r="TK101" s="223"/>
      <c r="TL101" s="223"/>
      <c r="TM101" s="223"/>
      <c r="TN101" s="223"/>
      <c r="TO101" s="223"/>
      <c r="TP101" s="224"/>
      <c r="TQ101" s="222" t="s">
        <v>47</v>
      </c>
      <c r="TR101" s="223"/>
      <c r="TS101" s="223"/>
      <c r="TT101" s="223"/>
      <c r="TU101" s="223"/>
      <c r="TV101" s="223"/>
      <c r="TW101" s="223"/>
      <c r="TX101" s="224"/>
      <c r="TY101" s="222" t="s">
        <v>47</v>
      </c>
      <c r="TZ101" s="223"/>
      <c r="UA101" s="223"/>
      <c r="UB101" s="223"/>
      <c r="UC101" s="223"/>
      <c r="UD101" s="223"/>
      <c r="UE101" s="223"/>
      <c r="UF101" s="224"/>
      <c r="UG101" s="222" t="s">
        <v>47</v>
      </c>
      <c r="UH101" s="223"/>
      <c r="UI101" s="223"/>
      <c r="UJ101" s="223"/>
      <c r="UK101" s="223"/>
      <c r="UL101" s="223"/>
      <c r="UM101" s="223"/>
      <c r="UN101" s="224"/>
      <c r="UO101" s="222" t="s">
        <v>47</v>
      </c>
      <c r="UP101" s="223"/>
      <c r="UQ101" s="223"/>
      <c r="UR101" s="223"/>
      <c r="US101" s="223"/>
      <c r="UT101" s="223"/>
      <c r="UU101" s="223"/>
      <c r="UV101" s="224"/>
      <c r="UW101" s="222" t="s">
        <v>47</v>
      </c>
      <c r="UX101" s="223"/>
      <c r="UY101" s="223"/>
      <c r="UZ101" s="223"/>
      <c r="VA101" s="223"/>
      <c r="VB101" s="223"/>
      <c r="VC101" s="223"/>
      <c r="VD101" s="224"/>
      <c r="VE101" s="222" t="s">
        <v>47</v>
      </c>
      <c r="VF101" s="223"/>
      <c r="VG101" s="223"/>
      <c r="VH101" s="223"/>
      <c r="VI101" s="223"/>
      <c r="VJ101" s="223"/>
      <c r="VK101" s="223"/>
      <c r="VL101" s="224"/>
      <c r="VM101" s="222" t="s">
        <v>47</v>
      </c>
      <c r="VN101" s="223"/>
      <c r="VO101" s="223"/>
      <c r="VP101" s="223"/>
      <c r="VQ101" s="223"/>
      <c r="VR101" s="223"/>
      <c r="VS101" s="223"/>
      <c r="VT101" s="224"/>
      <c r="VU101" s="222" t="s">
        <v>47</v>
      </c>
      <c r="VV101" s="223"/>
      <c r="VW101" s="223"/>
      <c r="VX101" s="223"/>
      <c r="VY101" s="223"/>
      <c r="VZ101" s="223"/>
      <c r="WA101" s="223"/>
      <c r="WB101" s="224"/>
      <c r="WC101" s="222" t="s">
        <v>47</v>
      </c>
      <c r="WD101" s="223"/>
      <c r="WE101" s="223"/>
      <c r="WF101" s="223"/>
      <c r="WG101" s="223"/>
      <c r="WH101" s="223"/>
      <c r="WI101" s="223"/>
      <c r="WJ101" s="224"/>
      <c r="WK101" s="222" t="s">
        <v>47</v>
      </c>
      <c r="WL101" s="223"/>
      <c r="WM101" s="223"/>
      <c r="WN101" s="223"/>
      <c r="WO101" s="223"/>
      <c r="WP101" s="223"/>
      <c r="WQ101" s="223"/>
      <c r="WR101" s="224"/>
      <c r="WS101" s="222" t="s">
        <v>47</v>
      </c>
      <c r="WT101" s="223"/>
      <c r="WU101" s="223"/>
      <c r="WV101" s="223"/>
      <c r="WW101" s="223"/>
      <c r="WX101" s="223"/>
      <c r="WY101" s="223"/>
      <c r="WZ101" s="224"/>
      <c r="XA101" s="222" t="s">
        <v>47</v>
      </c>
      <c r="XB101" s="223"/>
      <c r="XC101" s="223"/>
      <c r="XD101" s="223"/>
      <c r="XE101" s="223"/>
      <c r="XF101" s="223"/>
      <c r="XG101" s="223"/>
      <c r="XH101" s="224"/>
      <c r="XI101" s="222" t="s">
        <v>47</v>
      </c>
      <c r="XJ101" s="223"/>
      <c r="XK101" s="223"/>
      <c r="XL101" s="223"/>
      <c r="XM101" s="223"/>
      <c r="XN101" s="223"/>
      <c r="XO101" s="223"/>
      <c r="XP101" s="224"/>
      <c r="XQ101" s="222" t="s">
        <v>47</v>
      </c>
      <c r="XR101" s="223"/>
      <c r="XS101" s="223"/>
      <c r="XT101" s="223"/>
      <c r="XU101" s="223"/>
      <c r="XV101" s="223"/>
      <c r="XW101" s="223"/>
      <c r="XX101" s="224"/>
      <c r="XY101" s="222" t="s">
        <v>47</v>
      </c>
      <c r="XZ101" s="223"/>
      <c r="YA101" s="223"/>
      <c r="YB101" s="223"/>
      <c r="YC101" s="223"/>
      <c r="YD101" s="223"/>
      <c r="YE101" s="223"/>
      <c r="YF101" s="224"/>
      <c r="YG101" s="222" t="s">
        <v>47</v>
      </c>
      <c r="YH101" s="223"/>
      <c r="YI101" s="223"/>
      <c r="YJ101" s="223"/>
      <c r="YK101" s="223"/>
      <c r="YL101" s="223"/>
      <c r="YM101" s="223"/>
      <c r="YN101" s="224"/>
      <c r="YO101" s="222" t="s">
        <v>47</v>
      </c>
      <c r="YP101" s="223"/>
      <c r="YQ101" s="223"/>
      <c r="YR101" s="223"/>
      <c r="YS101" s="223"/>
      <c r="YT101" s="223"/>
      <c r="YU101" s="223"/>
      <c r="YV101" s="224"/>
      <c r="YW101" s="222" t="s">
        <v>47</v>
      </c>
      <c r="YX101" s="223"/>
      <c r="YY101" s="223"/>
      <c r="YZ101" s="223"/>
      <c r="ZA101" s="223"/>
      <c r="ZB101" s="223"/>
      <c r="ZC101" s="223"/>
      <c r="ZD101" s="224"/>
      <c r="ZE101" s="222" t="s">
        <v>47</v>
      </c>
      <c r="ZF101" s="223"/>
      <c r="ZG101" s="223"/>
      <c r="ZH101" s="223"/>
      <c r="ZI101" s="223"/>
      <c r="ZJ101" s="223"/>
      <c r="ZK101" s="223"/>
      <c r="ZL101" s="224"/>
      <c r="ZM101" s="222" t="s">
        <v>47</v>
      </c>
      <c r="ZN101" s="223"/>
      <c r="ZO101" s="223"/>
      <c r="ZP101" s="223"/>
      <c r="ZQ101" s="223"/>
      <c r="ZR101" s="223"/>
      <c r="ZS101" s="223"/>
      <c r="ZT101" s="224"/>
      <c r="ZU101" s="222" t="s">
        <v>47</v>
      </c>
      <c r="ZV101" s="223"/>
      <c r="ZW101" s="223"/>
      <c r="ZX101" s="223"/>
      <c r="ZY101" s="223"/>
      <c r="ZZ101" s="223"/>
      <c r="AAA101" s="223"/>
      <c r="AAB101" s="224"/>
      <c r="AAC101" s="222" t="s">
        <v>47</v>
      </c>
      <c r="AAD101" s="223"/>
      <c r="AAE101" s="223"/>
      <c r="AAF101" s="223"/>
      <c r="AAG101" s="223"/>
      <c r="AAH101" s="223"/>
      <c r="AAI101" s="223"/>
      <c r="AAJ101" s="224"/>
      <c r="AAK101" s="222" t="s">
        <v>47</v>
      </c>
      <c r="AAL101" s="223"/>
      <c r="AAM101" s="223"/>
      <c r="AAN101" s="223"/>
      <c r="AAO101" s="223"/>
      <c r="AAP101" s="223"/>
      <c r="AAQ101" s="223"/>
      <c r="AAR101" s="224"/>
      <c r="AAS101" s="222" t="s">
        <v>47</v>
      </c>
      <c r="AAT101" s="223"/>
      <c r="AAU101" s="223"/>
      <c r="AAV101" s="223"/>
      <c r="AAW101" s="223"/>
      <c r="AAX101" s="223"/>
      <c r="AAY101" s="223"/>
      <c r="AAZ101" s="224"/>
      <c r="ABA101" s="222" t="s">
        <v>47</v>
      </c>
      <c r="ABB101" s="223"/>
      <c r="ABC101" s="223"/>
      <c r="ABD101" s="223"/>
      <c r="ABE101" s="223"/>
      <c r="ABF101" s="223"/>
      <c r="ABG101" s="223"/>
      <c r="ABH101" s="224"/>
      <c r="ABI101" s="222" t="s">
        <v>47</v>
      </c>
      <c r="ABJ101" s="223"/>
      <c r="ABK101" s="223"/>
      <c r="ABL101" s="223"/>
      <c r="ABM101" s="223"/>
      <c r="ABN101" s="223"/>
      <c r="ABO101" s="223"/>
      <c r="ABP101" s="224"/>
      <c r="ABQ101" s="222" t="s">
        <v>47</v>
      </c>
      <c r="ABR101" s="223"/>
      <c r="ABS101" s="223"/>
      <c r="ABT101" s="223"/>
      <c r="ABU101" s="223"/>
      <c r="ABV101" s="223"/>
      <c r="ABW101" s="223"/>
      <c r="ABX101" s="224"/>
      <c r="ABY101" s="222" t="s">
        <v>47</v>
      </c>
      <c r="ABZ101" s="223"/>
      <c r="ACA101" s="223"/>
      <c r="ACB101" s="223"/>
      <c r="ACC101" s="223"/>
      <c r="ACD101" s="223"/>
      <c r="ACE101" s="223"/>
      <c r="ACF101" s="224"/>
      <c r="ACG101" s="222" t="s">
        <v>47</v>
      </c>
      <c r="ACH101" s="223"/>
      <c r="ACI101" s="223"/>
      <c r="ACJ101" s="223"/>
      <c r="ACK101" s="223"/>
      <c r="ACL101" s="223"/>
      <c r="ACM101" s="223"/>
      <c r="ACN101" s="224"/>
      <c r="ACO101" s="222" t="s">
        <v>47</v>
      </c>
      <c r="ACP101" s="223"/>
      <c r="ACQ101" s="223"/>
      <c r="ACR101" s="223"/>
      <c r="ACS101" s="223"/>
      <c r="ACT101" s="223"/>
      <c r="ACU101" s="223"/>
      <c r="ACV101" s="224"/>
      <c r="ACW101" s="222" t="s">
        <v>47</v>
      </c>
      <c r="ACX101" s="223"/>
      <c r="ACY101" s="223"/>
      <c r="ACZ101" s="223"/>
      <c r="ADA101" s="223"/>
      <c r="ADB101" s="223"/>
      <c r="ADC101" s="223"/>
      <c r="ADD101" s="224"/>
      <c r="ADE101" s="222" t="s">
        <v>47</v>
      </c>
      <c r="ADF101" s="223"/>
      <c r="ADG101" s="223"/>
      <c r="ADH101" s="223"/>
      <c r="ADI101" s="223"/>
      <c r="ADJ101" s="223"/>
      <c r="ADK101" s="223"/>
      <c r="ADL101" s="224"/>
      <c r="ADM101" s="222" t="s">
        <v>47</v>
      </c>
      <c r="ADN101" s="223"/>
      <c r="ADO101" s="223"/>
      <c r="ADP101" s="223"/>
      <c r="ADQ101" s="223"/>
      <c r="ADR101" s="223"/>
      <c r="ADS101" s="223"/>
      <c r="ADT101" s="224"/>
      <c r="ADU101" s="222" t="s">
        <v>47</v>
      </c>
      <c r="ADV101" s="223"/>
      <c r="ADW101" s="223"/>
      <c r="ADX101" s="223"/>
      <c r="ADY101" s="223"/>
      <c r="ADZ101" s="223"/>
      <c r="AEA101" s="223"/>
      <c r="AEB101" s="224"/>
      <c r="AEC101" s="222" t="s">
        <v>47</v>
      </c>
      <c r="AED101" s="223"/>
      <c r="AEE101" s="223"/>
      <c r="AEF101" s="223"/>
      <c r="AEG101" s="223"/>
      <c r="AEH101" s="223"/>
      <c r="AEI101" s="223"/>
      <c r="AEJ101" s="224"/>
      <c r="AEK101" s="222" t="s">
        <v>47</v>
      </c>
      <c r="AEL101" s="223"/>
      <c r="AEM101" s="223"/>
      <c r="AEN101" s="223"/>
      <c r="AEO101" s="223"/>
      <c r="AEP101" s="223"/>
      <c r="AEQ101" s="223"/>
      <c r="AER101" s="224"/>
      <c r="AES101" s="222" t="s">
        <v>47</v>
      </c>
      <c r="AET101" s="223"/>
      <c r="AEU101" s="223"/>
      <c r="AEV101" s="223"/>
      <c r="AEW101" s="223"/>
      <c r="AEX101" s="223"/>
      <c r="AEY101" s="223"/>
      <c r="AEZ101" s="224"/>
      <c r="AFA101" s="222" t="s">
        <v>47</v>
      </c>
      <c r="AFB101" s="223"/>
      <c r="AFC101" s="223"/>
      <c r="AFD101" s="223"/>
      <c r="AFE101" s="223"/>
      <c r="AFF101" s="223"/>
      <c r="AFG101" s="223"/>
      <c r="AFH101" s="224"/>
      <c r="AFI101" s="222" t="s">
        <v>47</v>
      </c>
      <c r="AFJ101" s="223"/>
      <c r="AFK101" s="223"/>
      <c r="AFL101" s="223"/>
      <c r="AFM101" s="223"/>
      <c r="AFN101" s="223"/>
      <c r="AFO101" s="223"/>
      <c r="AFP101" s="224"/>
      <c r="AFQ101" s="222" t="s">
        <v>47</v>
      </c>
      <c r="AFR101" s="223"/>
      <c r="AFS101" s="223"/>
      <c r="AFT101" s="223"/>
      <c r="AFU101" s="223"/>
      <c r="AFV101" s="223"/>
      <c r="AFW101" s="223"/>
      <c r="AFX101" s="224"/>
      <c r="AFY101" s="222" t="s">
        <v>47</v>
      </c>
      <c r="AFZ101" s="223"/>
      <c r="AGA101" s="223"/>
      <c r="AGB101" s="223"/>
      <c r="AGC101" s="223"/>
      <c r="AGD101" s="223"/>
      <c r="AGE101" s="223"/>
      <c r="AGF101" s="224"/>
      <c r="AGG101" s="222" t="s">
        <v>47</v>
      </c>
      <c r="AGH101" s="223"/>
      <c r="AGI101" s="223"/>
      <c r="AGJ101" s="223"/>
      <c r="AGK101" s="223"/>
      <c r="AGL101" s="223"/>
      <c r="AGM101" s="223"/>
      <c r="AGN101" s="224"/>
      <c r="AGO101" s="222" t="s">
        <v>47</v>
      </c>
      <c r="AGP101" s="223"/>
      <c r="AGQ101" s="223"/>
      <c r="AGR101" s="223"/>
      <c r="AGS101" s="223"/>
      <c r="AGT101" s="223"/>
      <c r="AGU101" s="223"/>
      <c r="AGV101" s="224"/>
      <c r="AGW101" s="222" t="s">
        <v>47</v>
      </c>
      <c r="AGX101" s="223"/>
      <c r="AGY101" s="223"/>
      <c r="AGZ101" s="223"/>
      <c r="AHA101" s="223"/>
      <c r="AHB101" s="223"/>
      <c r="AHC101" s="223"/>
      <c r="AHD101" s="224"/>
      <c r="AHE101" s="222" t="s">
        <v>47</v>
      </c>
      <c r="AHF101" s="223"/>
      <c r="AHG101" s="223"/>
      <c r="AHH101" s="223"/>
      <c r="AHI101" s="223"/>
      <c r="AHJ101" s="223"/>
      <c r="AHK101" s="223"/>
      <c r="AHL101" s="224"/>
      <c r="AHM101" s="222" t="s">
        <v>47</v>
      </c>
      <c r="AHN101" s="223"/>
      <c r="AHO101" s="223"/>
      <c r="AHP101" s="223"/>
      <c r="AHQ101" s="223"/>
      <c r="AHR101" s="223"/>
      <c r="AHS101" s="223"/>
      <c r="AHT101" s="224"/>
      <c r="AHU101" s="222" t="s">
        <v>47</v>
      </c>
      <c r="AHV101" s="223"/>
      <c r="AHW101" s="223"/>
      <c r="AHX101" s="223"/>
      <c r="AHY101" s="223"/>
      <c r="AHZ101" s="223"/>
      <c r="AIA101" s="223"/>
      <c r="AIB101" s="224"/>
      <c r="AIC101" s="222" t="s">
        <v>47</v>
      </c>
      <c r="AID101" s="223"/>
      <c r="AIE101" s="223"/>
      <c r="AIF101" s="223"/>
      <c r="AIG101" s="223"/>
      <c r="AIH101" s="223"/>
      <c r="AII101" s="223"/>
      <c r="AIJ101" s="224"/>
      <c r="AIK101" s="222" t="s">
        <v>47</v>
      </c>
      <c r="AIL101" s="223"/>
      <c r="AIM101" s="223"/>
      <c r="AIN101" s="223"/>
      <c r="AIO101" s="223"/>
      <c r="AIP101" s="223"/>
      <c r="AIQ101" s="223"/>
      <c r="AIR101" s="224"/>
      <c r="AIS101" s="222" t="s">
        <v>47</v>
      </c>
      <c r="AIT101" s="223"/>
      <c r="AIU101" s="223"/>
      <c r="AIV101" s="223"/>
      <c r="AIW101" s="223"/>
      <c r="AIX101" s="223"/>
      <c r="AIY101" s="223"/>
      <c r="AIZ101" s="224"/>
      <c r="AJA101" s="222" t="s">
        <v>47</v>
      </c>
      <c r="AJB101" s="223"/>
      <c r="AJC101" s="223"/>
      <c r="AJD101" s="223"/>
      <c r="AJE101" s="223"/>
      <c r="AJF101" s="223"/>
      <c r="AJG101" s="223"/>
      <c r="AJH101" s="224"/>
      <c r="AJI101" s="222" t="s">
        <v>47</v>
      </c>
      <c r="AJJ101" s="223"/>
      <c r="AJK101" s="223"/>
      <c r="AJL101" s="223"/>
      <c r="AJM101" s="223"/>
      <c r="AJN101" s="223"/>
      <c r="AJO101" s="223"/>
      <c r="AJP101" s="224"/>
      <c r="AJQ101" s="222" t="s">
        <v>47</v>
      </c>
      <c r="AJR101" s="223"/>
      <c r="AJS101" s="223"/>
      <c r="AJT101" s="223"/>
      <c r="AJU101" s="223"/>
      <c r="AJV101" s="223"/>
      <c r="AJW101" s="223"/>
      <c r="AJX101" s="224"/>
      <c r="AJY101" s="222" t="s">
        <v>47</v>
      </c>
      <c r="AJZ101" s="223"/>
      <c r="AKA101" s="223"/>
      <c r="AKB101" s="223"/>
      <c r="AKC101" s="223"/>
      <c r="AKD101" s="223"/>
      <c r="AKE101" s="223"/>
      <c r="AKF101" s="224"/>
      <c r="AKG101" s="222" t="s">
        <v>47</v>
      </c>
      <c r="AKH101" s="223"/>
      <c r="AKI101" s="223"/>
      <c r="AKJ101" s="223"/>
      <c r="AKK101" s="223"/>
      <c r="AKL101" s="223"/>
      <c r="AKM101" s="223"/>
      <c r="AKN101" s="224"/>
      <c r="AKO101" s="222" t="s">
        <v>47</v>
      </c>
      <c r="AKP101" s="223"/>
      <c r="AKQ101" s="223"/>
      <c r="AKR101" s="223"/>
      <c r="AKS101" s="223"/>
      <c r="AKT101" s="223"/>
      <c r="AKU101" s="223"/>
      <c r="AKV101" s="224"/>
      <c r="AKW101" s="222" t="s">
        <v>47</v>
      </c>
      <c r="AKX101" s="223"/>
      <c r="AKY101" s="223"/>
      <c r="AKZ101" s="223"/>
      <c r="ALA101" s="223"/>
      <c r="ALB101" s="223"/>
      <c r="ALC101" s="223"/>
      <c r="ALD101" s="224"/>
      <c r="ALE101" s="222" t="s">
        <v>47</v>
      </c>
      <c r="ALF101" s="223"/>
      <c r="ALG101" s="223"/>
      <c r="ALH101" s="223"/>
      <c r="ALI101" s="223"/>
      <c r="ALJ101" s="223"/>
      <c r="ALK101" s="223"/>
      <c r="ALL101" s="224"/>
      <c r="ALM101" s="222" t="s">
        <v>47</v>
      </c>
      <c r="ALN101" s="223"/>
      <c r="ALO101" s="223"/>
      <c r="ALP101" s="223"/>
      <c r="ALQ101" s="223"/>
      <c r="ALR101" s="223"/>
      <c r="ALS101" s="223"/>
      <c r="ALT101" s="224"/>
      <c r="ALU101" s="222" t="s">
        <v>47</v>
      </c>
      <c r="ALV101" s="223"/>
      <c r="ALW101" s="223"/>
      <c r="ALX101" s="223"/>
      <c r="ALY101" s="223"/>
      <c r="ALZ101" s="223"/>
      <c r="AMA101" s="223"/>
      <c r="AMB101" s="224"/>
      <c r="AMC101" s="222" t="s">
        <v>47</v>
      </c>
      <c r="AMD101" s="223"/>
      <c r="AME101" s="223"/>
      <c r="AMF101" s="223"/>
      <c r="AMG101" s="223"/>
      <c r="AMH101" s="223"/>
      <c r="AMI101" s="223"/>
      <c r="AMJ101" s="224"/>
      <c r="AMK101" s="222" t="s">
        <v>47</v>
      </c>
      <c r="AML101" s="223"/>
      <c r="AMM101" s="223"/>
      <c r="AMN101" s="223"/>
      <c r="AMO101" s="223"/>
      <c r="AMP101" s="223"/>
      <c r="AMQ101" s="223"/>
      <c r="AMR101" s="224"/>
      <c r="AMS101" s="222" t="s">
        <v>47</v>
      </c>
      <c r="AMT101" s="223"/>
      <c r="AMU101" s="223"/>
      <c r="AMV101" s="223"/>
      <c r="AMW101" s="223"/>
      <c r="AMX101" s="223"/>
      <c r="AMY101" s="223"/>
      <c r="AMZ101" s="224"/>
      <c r="ANA101" s="222" t="s">
        <v>47</v>
      </c>
      <c r="ANB101" s="223"/>
      <c r="ANC101" s="223"/>
      <c r="AND101" s="223"/>
      <c r="ANE101" s="223"/>
      <c r="ANF101" s="223"/>
      <c r="ANG101" s="223"/>
      <c r="ANH101" s="224"/>
      <c r="ANI101" s="222" t="s">
        <v>47</v>
      </c>
      <c r="ANJ101" s="223"/>
      <c r="ANK101" s="223"/>
      <c r="ANL101" s="223"/>
      <c r="ANM101" s="223"/>
      <c r="ANN101" s="223"/>
      <c r="ANO101" s="223"/>
      <c r="ANP101" s="224"/>
      <c r="ANQ101" s="222" t="s">
        <v>47</v>
      </c>
      <c r="ANR101" s="223"/>
      <c r="ANS101" s="223"/>
      <c r="ANT101" s="223"/>
      <c r="ANU101" s="223"/>
      <c r="ANV101" s="223"/>
      <c r="ANW101" s="223"/>
      <c r="ANX101" s="224"/>
      <c r="ANY101" s="222" t="s">
        <v>47</v>
      </c>
      <c r="ANZ101" s="223"/>
      <c r="AOA101" s="223"/>
      <c r="AOB101" s="223"/>
      <c r="AOC101" s="223"/>
      <c r="AOD101" s="223"/>
      <c r="AOE101" s="223"/>
      <c r="AOF101" s="224"/>
      <c r="AOG101" s="222" t="s">
        <v>47</v>
      </c>
      <c r="AOH101" s="223"/>
      <c r="AOI101" s="223"/>
      <c r="AOJ101" s="223"/>
      <c r="AOK101" s="223"/>
      <c r="AOL101" s="223"/>
      <c r="AOM101" s="223"/>
      <c r="AON101" s="224"/>
      <c r="AOO101" s="222" t="s">
        <v>47</v>
      </c>
      <c r="AOP101" s="223"/>
      <c r="AOQ101" s="223"/>
      <c r="AOR101" s="223"/>
      <c r="AOS101" s="223"/>
      <c r="AOT101" s="223"/>
      <c r="AOU101" s="223"/>
      <c r="AOV101" s="224"/>
      <c r="AOW101" s="222" t="s">
        <v>47</v>
      </c>
      <c r="AOX101" s="223"/>
      <c r="AOY101" s="223"/>
      <c r="AOZ101" s="223"/>
      <c r="APA101" s="223"/>
      <c r="APB101" s="223"/>
      <c r="APC101" s="223"/>
      <c r="APD101" s="224"/>
      <c r="APE101" s="222" t="s">
        <v>47</v>
      </c>
      <c r="APF101" s="223"/>
      <c r="APG101" s="223"/>
      <c r="APH101" s="223"/>
      <c r="API101" s="223"/>
      <c r="APJ101" s="223"/>
      <c r="APK101" s="223"/>
      <c r="APL101" s="224"/>
      <c r="APM101" s="222" t="s">
        <v>47</v>
      </c>
      <c r="APN101" s="223"/>
      <c r="APO101" s="223"/>
      <c r="APP101" s="223"/>
      <c r="APQ101" s="223"/>
      <c r="APR101" s="223"/>
      <c r="APS101" s="223"/>
      <c r="APT101" s="224"/>
      <c r="APU101" s="222" t="s">
        <v>47</v>
      </c>
      <c r="APV101" s="223"/>
      <c r="APW101" s="223"/>
      <c r="APX101" s="223"/>
      <c r="APY101" s="223"/>
      <c r="APZ101" s="223"/>
      <c r="AQA101" s="223"/>
      <c r="AQB101" s="224"/>
      <c r="AQC101" s="222" t="s">
        <v>47</v>
      </c>
      <c r="AQD101" s="223"/>
      <c r="AQE101" s="223"/>
      <c r="AQF101" s="223"/>
      <c r="AQG101" s="223"/>
      <c r="AQH101" s="223"/>
      <c r="AQI101" s="223"/>
      <c r="AQJ101" s="224"/>
      <c r="AQK101" s="222" t="s">
        <v>47</v>
      </c>
      <c r="AQL101" s="223"/>
      <c r="AQM101" s="223"/>
      <c r="AQN101" s="223"/>
      <c r="AQO101" s="223"/>
      <c r="AQP101" s="223"/>
      <c r="AQQ101" s="223"/>
      <c r="AQR101" s="224"/>
      <c r="AQS101" s="222" t="s">
        <v>47</v>
      </c>
      <c r="AQT101" s="223"/>
      <c r="AQU101" s="223"/>
      <c r="AQV101" s="223"/>
      <c r="AQW101" s="223"/>
      <c r="AQX101" s="223"/>
      <c r="AQY101" s="223"/>
      <c r="AQZ101" s="224"/>
      <c r="ARA101" s="222" t="s">
        <v>47</v>
      </c>
      <c r="ARB101" s="223"/>
      <c r="ARC101" s="223"/>
      <c r="ARD101" s="223"/>
      <c r="ARE101" s="223"/>
      <c r="ARF101" s="223"/>
      <c r="ARG101" s="223"/>
      <c r="ARH101" s="224"/>
      <c r="ARI101" s="222" t="s">
        <v>47</v>
      </c>
      <c r="ARJ101" s="223"/>
      <c r="ARK101" s="223"/>
      <c r="ARL101" s="223"/>
      <c r="ARM101" s="223"/>
      <c r="ARN101" s="223"/>
      <c r="ARO101" s="223"/>
      <c r="ARP101" s="224"/>
      <c r="ARQ101" s="222" t="s">
        <v>47</v>
      </c>
      <c r="ARR101" s="223"/>
      <c r="ARS101" s="223"/>
      <c r="ART101" s="223"/>
      <c r="ARU101" s="223"/>
      <c r="ARV101" s="223"/>
      <c r="ARW101" s="223"/>
      <c r="ARX101" s="224"/>
      <c r="ARY101" s="222" t="s">
        <v>47</v>
      </c>
      <c r="ARZ101" s="223"/>
      <c r="ASA101" s="223"/>
      <c r="ASB101" s="223"/>
      <c r="ASC101" s="223"/>
      <c r="ASD101" s="223"/>
      <c r="ASE101" s="223"/>
      <c r="ASF101" s="224"/>
      <c r="ASG101" s="222" t="s">
        <v>47</v>
      </c>
      <c r="ASH101" s="223"/>
      <c r="ASI101" s="223"/>
      <c r="ASJ101" s="223"/>
      <c r="ASK101" s="223"/>
      <c r="ASL101" s="223"/>
      <c r="ASM101" s="223"/>
      <c r="ASN101" s="224"/>
      <c r="ASO101" s="222" t="s">
        <v>47</v>
      </c>
      <c r="ASP101" s="223"/>
      <c r="ASQ101" s="223"/>
      <c r="ASR101" s="223"/>
      <c r="ASS101" s="223"/>
      <c r="AST101" s="223"/>
      <c r="ASU101" s="223"/>
      <c r="ASV101" s="224"/>
      <c r="ASW101" s="222" t="s">
        <v>47</v>
      </c>
      <c r="ASX101" s="223"/>
      <c r="ASY101" s="223"/>
      <c r="ASZ101" s="223"/>
      <c r="ATA101" s="223"/>
      <c r="ATB101" s="223"/>
      <c r="ATC101" s="223"/>
      <c r="ATD101" s="224"/>
      <c r="ATE101" s="222" t="s">
        <v>47</v>
      </c>
      <c r="ATF101" s="223"/>
      <c r="ATG101" s="223"/>
      <c r="ATH101" s="223"/>
      <c r="ATI101" s="223"/>
      <c r="ATJ101" s="223"/>
      <c r="ATK101" s="223"/>
      <c r="ATL101" s="224"/>
      <c r="ATM101" s="222" t="s">
        <v>47</v>
      </c>
      <c r="ATN101" s="223"/>
      <c r="ATO101" s="223"/>
      <c r="ATP101" s="223"/>
      <c r="ATQ101" s="223"/>
      <c r="ATR101" s="223"/>
      <c r="ATS101" s="223"/>
      <c r="ATT101" s="224"/>
      <c r="ATU101" s="222" t="s">
        <v>47</v>
      </c>
      <c r="ATV101" s="223"/>
      <c r="ATW101" s="223"/>
      <c r="ATX101" s="223"/>
      <c r="ATY101" s="223"/>
      <c r="ATZ101" s="223"/>
      <c r="AUA101" s="223"/>
      <c r="AUB101" s="224"/>
      <c r="AUC101" s="222" t="s">
        <v>47</v>
      </c>
      <c r="AUD101" s="223"/>
      <c r="AUE101" s="223"/>
      <c r="AUF101" s="223"/>
      <c r="AUG101" s="223"/>
      <c r="AUH101" s="223"/>
      <c r="AUI101" s="223"/>
      <c r="AUJ101" s="224"/>
      <c r="AUK101" s="222" t="s">
        <v>47</v>
      </c>
      <c r="AUL101" s="223"/>
      <c r="AUM101" s="223"/>
      <c r="AUN101" s="223"/>
      <c r="AUO101" s="223"/>
      <c r="AUP101" s="223"/>
      <c r="AUQ101" s="223"/>
      <c r="AUR101" s="224"/>
      <c r="AUS101" s="222" t="s">
        <v>47</v>
      </c>
      <c r="AUT101" s="223"/>
      <c r="AUU101" s="223"/>
      <c r="AUV101" s="223"/>
      <c r="AUW101" s="223"/>
      <c r="AUX101" s="223"/>
      <c r="AUY101" s="223"/>
      <c r="AUZ101" s="224"/>
      <c r="AVA101" s="222" t="s">
        <v>47</v>
      </c>
      <c r="AVB101" s="223"/>
      <c r="AVC101" s="223"/>
      <c r="AVD101" s="223"/>
      <c r="AVE101" s="223"/>
      <c r="AVF101" s="223"/>
      <c r="AVG101" s="223"/>
      <c r="AVH101" s="224"/>
      <c r="AVI101" s="222" t="s">
        <v>47</v>
      </c>
      <c r="AVJ101" s="223"/>
      <c r="AVK101" s="223"/>
      <c r="AVL101" s="223"/>
      <c r="AVM101" s="223"/>
      <c r="AVN101" s="223"/>
      <c r="AVO101" s="223"/>
      <c r="AVP101" s="224"/>
      <c r="AVQ101" s="222" t="s">
        <v>47</v>
      </c>
      <c r="AVR101" s="223"/>
      <c r="AVS101" s="223"/>
      <c r="AVT101" s="223"/>
      <c r="AVU101" s="223"/>
      <c r="AVV101" s="223"/>
      <c r="AVW101" s="223"/>
      <c r="AVX101" s="224"/>
      <c r="AVY101" s="222" t="s">
        <v>47</v>
      </c>
      <c r="AVZ101" s="223"/>
      <c r="AWA101" s="223"/>
      <c r="AWB101" s="223"/>
      <c r="AWC101" s="223"/>
      <c r="AWD101" s="223"/>
      <c r="AWE101" s="223"/>
      <c r="AWF101" s="224"/>
      <c r="AWG101" s="222" t="s">
        <v>47</v>
      </c>
      <c r="AWH101" s="223"/>
      <c r="AWI101" s="223"/>
      <c r="AWJ101" s="223"/>
      <c r="AWK101" s="223"/>
      <c r="AWL101" s="223"/>
      <c r="AWM101" s="223"/>
      <c r="AWN101" s="224"/>
      <c r="AWO101" s="222" t="s">
        <v>47</v>
      </c>
      <c r="AWP101" s="223"/>
      <c r="AWQ101" s="223"/>
      <c r="AWR101" s="223"/>
      <c r="AWS101" s="223"/>
      <c r="AWT101" s="223"/>
      <c r="AWU101" s="223"/>
      <c r="AWV101" s="224"/>
      <c r="AWW101" s="222" t="s">
        <v>47</v>
      </c>
      <c r="AWX101" s="223"/>
      <c r="AWY101" s="223"/>
      <c r="AWZ101" s="223"/>
      <c r="AXA101" s="223"/>
      <c r="AXB101" s="223"/>
      <c r="AXC101" s="223"/>
      <c r="AXD101" s="224"/>
      <c r="AXE101" s="222" t="s">
        <v>47</v>
      </c>
      <c r="AXF101" s="223"/>
      <c r="AXG101" s="223"/>
      <c r="AXH101" s="223"/>
      <c r="AXI101" s="223"/>
      <c r="AXJ101" s="223"/>
      <c r="AXK101" s="223"/>
      <c r="AXL101" s="224"/>
      <c r="AXM101" s="222" t="s">
        <v>47</v>
      </c>
      <c r="AXN101" s="223"/>
      <c r="AXO101" s="223"/>
      <c r="AXP101" s="223"/>
      <c r="AXQ101" s="223"/>
      <c r="AXR101" s="223"/>
      <c r="AXS101" s="223"/>
      <c r="AXT101" s="224"/>
      <c r="AXU101" s="222" t="s">
        <v>47</v>
      </c>
      <c r="AXV101" s="223"/>
      <c r="AXW101" s="223"/>
      <c r="AXX101" s="223"/>
      <c r="AXY101" s="223"/>
      <c r="AXZ101" s="223"/>
      <c r="AYA101" s="223"/>
      <c r="AYB101" s="224"/>
      <c r="AYC101" s="222" t="s">
        <v>47</v>
      </c>
      <c r="AYD101" s="223"/>
      <c r="AYE101" s="223"/>
      <c r="AYF101" s="223"/>
      <c r="AYG101" s="223"/>
      <c r="AYH101" s="223"/>
      <c r="AYI101" s="223"/>
      <c r="AYJ101" s="224"/>
      <c r="AYK101" s="222" t="s">
        <v>47</v>
      </c>
      <c r="AYL101" s="223"/>
      <c r="AYM101" s="223"/>
      <c r="AYN101" s="223"/>
      <c r="AYO101" s="223"/>
      <c r="AYP101" s="223"/>
      <c r="AYQ101" s="223"/>
      <c r="AYR101" s="224"/>
      <c r="AYS101" s="222" t="s">
        <v>47</v>
      </c>
      <c r="AYT101" s="223"/>
      <c r="AYU101" s="223"/>
      <c r="AYV101" s="223"/>
      <c r="AYW101" s="223"/>
      <c r="AYX101" s="223"/>
      <c r="AYY101" s="223"/>
      <c r="AYZ101" s="224"/>
      <c r="AZA101" s="222" t="s">
        <v>47</v>
      </c>
      <c r="AZB101" s="223"/>
      <c r="AZC101" s="223"/>
      <c r="AZD101" s="223"/>
      <c r="AZE101" s="223"/>
      <c r="AZF101" s="223"/>
      <c r="AZG101" s="223"/>
      <c r="AZH101" s="224"/>
      <c r="AZI101" s="222" t="s">
        <v>47</v>
      </c>
      <c r="AZJ101" s="223"/>
      <c r="AZK101" s="223"/>
      <c r="AZL101" s="223"/>
      <c r="AZM101" s="223"/>
      <c r="AZN101" s="223"/>
      <c r="AZO101" s="223"/>
      <c r="AZP101" s="224"/>
      <c r="AZQ101" s="222" t="s">
        <v>47</v>
      </c>
      <c r="AZR101" s="223"/>
      <c r="AZS101" s="223"/>
      <c r="AZT101" s="223"/>
      <c r="AZU101" s="223"/>
      <c r="AZV101" s="223"/>
      <c r="AZW101" s="223"/>
      <c r="AZX101" s="224"/>
      <c r="AZY101" s="222" t="s">
        <v>47</v>
      </c>
      <c r="AZZ101" s="223"/>
      <c r="BAA101" s="223"/>
      <c r="BAB101" s="223"/>
      <c r="BAC101" s="223"/>
      <c r="BAD101" s="223"/>
      <c r="BAE101" s="223"/>
      <c r="BAF101" s="224"/>
      <c r="BAG101" s="222" t="s">
        <v>47</v>
      </c>
      <c r="BAH101" s="223"/>
      <c r="BAI101" s="223"/>
      <c r="BAJ101" s="223"/>
      <c r="BAK101" s="223"/>
      <c r="BAL101" s="223"/>
      <c r="BAM101" s="223"/>
      <c r="BAN101" s="224"/>
      <c r="BAO101" s="222" t="s">
        <v>47</v>
      </c>
      <c r="BAP101" s="223"/>
      <c r="BAQ101" s="223"/>
      <c r="BAR101" s="223"/>
      <c r="BAS101" s="223"/>
      <c r="BAT101" s="223"/>
      <c r="BAU101" s="223"/>
      <c r="BAV101" s="224"/>
      <c r="BAW101" s="222" t="s">
        <v>47</v>
      </c>
      <c r="BAX101" s="223"/>
      <c r="BAY101" s="223"/>
      <c r="BAZ101" s="223"/>
      <c r="BBA101" s="223"/>
      <c r="BBB101" s="223"/>
      <c r="BBC101" s="223"/>
      <c r="BBD101" s="224"/>
      <c r="BBE101" s="222" t="s">
        <v>47</v>
      </c>
      <c r="BBF101" s="223"/>
      <c r="BBG101" s="223"/>
      <c r="BBH101" s="223"/>
      <c r="BBI101" s="223"/>
      <c r="BBJ101" s="223"/>
      <c r="BBK101" s="223"/>
      <c r="BBL101" s="224"/>
      <c r="BBM101" s="222" t="s">
        <v>47</v>
      </c>
      <c r="BBN101" s="223"/>
      <c r="BBO101" s="223"/>
      <c r="BBP101" s="223"/>
      <c r="BBQ101" s="223"/>
      <c r="BBR101" s="223"/>
      <c r="BBS101" s="223"/>
      <c r="BBT101" s="224"/>
      <c r="BBU101" s="222" t="s">
        <v>47</v>
      </c>
      <c r="BBV101" s="223"/>
      <c r="BBW101" s="223"/>
      <c r="BBX101" s="223"/>
      <c r="BBY101" s="223"/>
      <c r="BBZ101" s="223"/>
      <c r="BCA101" s="223"/>
      <c r="BCB101" s="224"/>
      <c r="BCC101" s="222" t="s">
        <v>47</v>
      </c>
      <c r="BCD101" s="223"/>
      <c r="BCE101" s="223"/>
      <c r="BCF101" s="223"/>
      <c r="BCG101" s="223"/>
      <c r="BCH101" s="223"/>
      <c r="BCI101" s="223"/>
      <c r="BCJ101" s="224"/>
      <c r="BCK101" s="222" t="s">
        <v>47</v>
      </c>
      <c r="BCL101" s="223"/>
      <c r="BCM101" s="223"/>
      <c r="BCN101" s="223"/>
      <c r="BCO101" s="223"/>
      <c r="BCP101" s="223"/>
      <c r="BCQ101" s="223"/>
      <c r="BCR101" s="224"/>
      <c r="BCS101" s="222" t="s">
        <v>47</v>
      </c>
      <c r="BCT101" s="223"/>
      <c r="BCU101" s="223"/>
      <c r="BCV101" s="223"/>
      <c r="BCW101" s="223"/>
      <c r="BCX101" s="223"/>
      <c r="BCY101" s="223"/>
      <c r="BCZ101" s="224"/>
      <c r="BDA101" s="222" t="s">
        <v>47</v>
      </c>
      <c r="BDB101" s="223"/>
      <c r="BDC101" s="223"/>
      <c r="BDD101" s="223"/>
      <c r="BDE101" s="223"/>
      <c r="BDF101" s="223"/>
      <c r="BDG101" s="223"/>
      <c r="BDH101" s="224"/>
      <c r="BDI101" s="222" t="s">
        <v>47</v>
      </c>
      <c r="BDJ101" s="223"/>
      <c r="BDK101" s="223"/>
      <c r="BDL101" s="223"/>
      <c r="BDM101" s="223"/>
      <c r="BDN101" s="223"/>
      <c r="BDO101" s="223"/>
      <c r="BDP101" s="224"/>
      <c r="BDQ101" s="222" t="s">
        <v>47</v>
      </c>
      <c r="BDR101" s="223"/>
      <c r="BDS101" s="223"/>
      <c r="BDT101" s="223"/>
      <c r="BDU101" s="223"/>
      <c r="BDV101" s="223"/>
      <c r="BDW101" s="223"/>
      <c r="BDX101" s="224"/>
      <c r="BDY101" s="222" t="s">
        <v>47</v>
      </c>
      <c r="BDZ101" s="223"/>
      <c r="BEA101" s="223"/>
      <c r="BEB101" s="223"/>
      <c r="BEC101" s="223"/>
      <c r="BED101" s="223"/>
      <c r="BEE101" s="223"/>
      <c r="BEF101" s="224"/>
      <c r="BEG101" s="222" t="s">
        <v>47</v>
      </c>
      <c r="BEH101" s="223"/>
      <c r="BEI101" s="223"/>
      <c r="BEJ101" s="223"/>
      <c r="BEK101" s="223"/>
      <c r="BEL101" s="223"/>
      <c r="BEM101" s="223"/>
      <c r="BEN101" s="224"/>
      <c r="BEO101" s="222" t="s">
        <v>47</v>
      </c>
      <c r="BEP101" s="223"/>
      <c r="BEQ101" s="223"/>
      <c r="BER101" s="223"/>
      <c r="BES101" s="223"/>
      <c r="BET101" s="223"/>
      <c r="BEU101" s="223"/>
      <c r="BEV101" s="224"/>
      <c r="BEW101" s="222" t="s">
        <v>47</v>
      </c>
      <c r="BEX101" s="223"/>
      <c r="BEY101" s="223"/>
      <c r="BEZ101" s="223"/>
      <c r="BFA101" s="223"/>
      <c r="BFB101" s="223"/>
      <c r="BFC101" s="223"/>
      <c r="BFD101" s="224"/>
      <c r="BFE101" s="222" t="s">
        <v>47</v>
      </c>
      <c r="BFF101" s="223"/>
      <c r="BFG101" s="223"/>
      <c r="BFH101" s="223"/>
      <c r="BFI101" s="223"/>
      <c r="BFJ101" s="223"/>
      <c r="BFK101" s="223"/>
      <c r="BFL101" s="224"/>
      <c r="BFM101" s="222" t="s">
        <v>47</v>
      </c>
      <c r="BFN101" s="223"/>
      <c r="BFO101" s="223"/>
      <c r="BFP101" s="223"/>
      <c r="BFQ101" s="223"/>
      <c r="BFR101" s="223"/>
      <c r="BFS101" s="223"/>
      <c r="BFT101" s="224"/>
      <c r="BFU101" s="222" t="s">
        <v>47</v>
      </c>
      <c r="BFV101" s="223"/>
      <c r="BFW101" s="223"/>
      <c r="BFX101" s="223"/>
      <c r="BFY101" s="223"/>
      <c r="BFZ101" s="223"/>
      <c r="BGA101" s="223"/>
      <c r="BGB101" s="224"/>
      <c r="BGC101" s="222" t="s">
        <v>47</v>
      </c>
      <c r="BGD101" s="223"/>
      <c r="BGE101" s="223"/>
      <c r="BGF101" s="223"/>
      <c r="BGG101" s="223"/>
      <c r="BGH101" s="223"/>
      <c r="BGI101" s="223"/>
      <c r="BGJ101" s="224"/>
      <c r="BGK101" s="222" t="s">
        <v>47</v>
      </c>
      <c r="BGL101" s="223"/>
      <c r="BGM101" s="223"/>
      <c r="BGN101" s="223"/>
      <c r="BGO101" s="223"/>
      <c r="BGP101" s="223"/>
      <c r="BGQ101" s="223"/>
      <c r="BGR101" s="224"/>
      <c r="BGS101" s="222" t="s">
        <v>47</v>
      </c>
      <c r="BGT101" s="223"/>
      <c r="BGU101" s="223"/>
      <c r="BGV101" s="223"/>
      <c r="BGW101" s="223"/>
      <c r="BGX101" s="223"/>
      <c r="BGY101" s="223"/>
      <c r="BGZ101" s="224"/>
      <c r="BHA101" s="222" t="s">
        <v>47</v>
      </c>
      <c r="BHB101" s="223"/>
      <c r="BHC101" s="223"/>
      <c r="BHD101" s="223"/>
      <c r="BHE101" s="223"/>
      <c r="BHF101" s="223"/>
      <c r="BHG101" s="223"/>
      <c r="BHH101" s="224"/>
      <c r="BHI101" s="222" t="s">
        <v>47</v>
      </c>
      <c r="BHJ101" s="223"/>
      <c r="BHK101" s="223"/>
      <c r="BHL101" s="223"/>
      <c r="BHM101" s="223"/>
      <c r="BHN101" s="223"/>
      <c r="BHO101" s="223"/>
      <c r="BHP101" s="224"/>
      <c r="BHQ101" s="222" t="s">
        <v>47</v>
      </c>
      <c r="BHR101" s="223"/>
      <c r="BHS101" s="223"/>
      <c r="BHT101" s="223"/>
      <c r="BHU101" s="223"/>
      <c r="BHV101" s="223"/>
      <c r="BHW101" s="223"/>
      <c r="BHX101" s="224"/>
      <c r="BHY101" s="222" t="s">
        <v>47</v>
      </c>
      <c r="BHZ101" s="223"/>
      <c r="BIA101" s="223"/>
      <c r="BIB101" s="223"/>
      <c r="BIC101" s="223"/>
      <c r="BID101" s="223"/>
      <c r="BIE101" s="223"/>
      <c r="BIF101" s="224"/>
      <c r="BIG101" s="222" t="s">
        <v>47</v>
      </c>
      <c r="BIH101" s="223"/>
      <c r="BII101" s="223"/>
      <c r="BIJ101" s="223"/>
      <c r="BIK101" s="223"/>
      <c r="BIL101" s="223"/>
      <c r="BIM101" s="223"/>
      <c r="BIN101" s="224"/>
      <c r="BIO101" s="222" t="s">
        <v>47</v>
      </c>
      <c r="BIP101" s="223"/>
      <c r="BIQ101" s="223"/>
      <c r="BIR101" s="223"/>
      <c r="BIS101" s="223"/>
      <c r="BIT101" s="223"/>
      <c r="BIU101" s="223"/>
      <c r="BIV101" s="224"/>
      <c r="BIW101" s="222" t="s">
        <v>47</v>
      </c>
      <c r="BIX101" s="223"/>
      <c r="BIY101" s="223"/>
      <c r="BIZ101" s="223"/>
      <c r="BJA101" s="223"/>
      <c r="BJB101" s="223"/>
      <c r="BJC101" s="223"/>
      <c r="BJD101" s="224"/>
      <c r="BJE101" s="222" t="s">
        <v>47</v>
      </c>
      <c r="BJF101" s="223"/>
      <c r="BJG101" s="223"/>
      <c r="BJH101" s="223"/>
      <c r="BJI101" s="223"/>
      <c r="BJJ101" s="223"/>
      <c r="BJK101" s="223"/>
      <c r="BJL101" s="224"/>
      <c r="BJM101" s="222" t="s">
        <v>47</v>
      </c>
      <c r="BJN101" s="223"/>
      <c r="BJO101" s="223"/>
      <c r="BJP101" s="223"/>
      <c r="BJQ101" s="223"/>
      <c r="BJR101" s="223"/>
      <c r="BJS101" s="223"/>
      <c r="BJT101" s="224"/>
      <c r="BJU101" s="222" t="s">
        <v>47</v>
      </c>
      <c r="BJV101" s="223"/>
      <c r="BJW101" s="223"/>
      <c r="BJX101" s="223"/>
      <c r="BJY101" s="223"/>
      <c r="BJZ101" s="223"/>
      <c r="BKA101" s="223"/>
      <c r="BKB101" s="224"/>
      <c r="BKC101" s="222" t="s">
        <v>47</v>
      </c>
      <c r="BKD101" s="223"/>
      <c r="BKE101" s="223"/>
      <c r="BKF101" s="223"/>
      <c r="BKG101" s="223"/>
      <c r="BKH101" s="223"/>
      <c r="BKI101" s="223"/>
      <c r="BKJ101" s="224"/>
      <c r="BKK101" s="222" t="s">
        <v>47</v>
      </c>
      <c r="BKL101" s="223"/>
      <c r="BKM101" s="223"/>
      <c r="BKN101" s="223"/>
      <c r="BKO101" s="223"/>
      <c r="BKP101" s="223"/>
      <c r="BKQ101" s="223"/>
      <c r="BKR101" s="224"/>
      <c r="BKS101" s="222" t="s">
        <v>47</v>
      </c>
      <c r="BKT101" s="223"/>
      <c r="BKU101" s="223"/>
      <c r="BKV101" s="223"/>
      <c r="BKW101" s="223"/>
      <c r="BKX101" s="223"/>
      <c r="BKY101" s="223"/>
      <c r="BKZ101" s="224"/>
      <c r="BLA101" s="222" t="s">
        <v>47</v>
      </c>
      <c r="BLB101" s="223"/>
      <c r="BLC101" s="223"/>
      <c r="BLD101" s="223"/>
      <c r="BLE101" s="223"/>
      <c r="BLF101" s="223"/>
      <c r="BLG101" s="223"/>
      <c r="BLH101" s="224"/>
      <c r="BLI101" s="222" t="s">
        <v>47</v>
      </c>
      <c r="BLJ101" s="223"/>
      <c r="BLK101" s="223"/>
      <c r="BLL101" s="223"/>
      <c r="BLM101" s="223"/>
      <c r="BLN101" s="223"/>
      <c r="BLO101" s="223"/>
      <c r="BLP101" s="224"/>
      <c r="BLQ101" s="222" t="s">
        <v>47</v>
      </c>
      <c r="BLR101" s="223"/>
      <c r="BLS101" s="223"/>
      <c r="BLT101" s="223"/>
      <c r="BLU101" s="223"/>
      <c r="BLV101" s="223"/>
      <c r="BLW101" s="223"/>
      <c r="BLX101" s="224"/>
      <c r="BLY101" s="222" t="s">
        <v>47</v>
      </c>
      <c r="BLZ101" s="223"/>
      <c r="BMA101" s="223"/>
      <c r="BMB101" s="223"/>
      <c r="BMC101" s="223"/>
      <c r="BMD101" s="223"/>
      <c r="BME101" s="223"/>
      <c r="BMF101" s="224"/>
      <c r="BMG101" s="222" t="s">
        <v>47</v>
      </c>
      <c r="BMH101" s="223"/>
      <c r="BMI101" s="223"/>
      <c r="BMJ101" s="223"/>
      <c r="BMK101" s="223"/>
      <c r="BML101" s="223"/>
      <c r="BMM101" s="223"/>
      <c r="BMN101" s="224"/>
      <c r="BMO101" s="222" t="s">
        <v>47</v>
      </c>
      <c r="BMP101" s="223"/>
      <c r="BMQ101" s="223"/>
      <c r="BMR101" s="223"/>
      <c r="BMS101" s="223"/>
      <c r="BMT101" s="223"/>
      <c r="BMU101" s="223"/>
      <c r="BMV101" s="224"/>
      <c r="BMW101" s="222" t="s">
        <v>47</v>
      </c>
      <c r="BMX101" s="223"/>
      <c r="BMY101" s="223"/>
      <c r="BMZ101" s="223"/>
      <c r="BNA101" s="223"/>
      <c r="BNB101" s="223"/>
      <c r="BNC101" s="223"/>
      <c r="BND101" s="224"/>
      <c r="BNE101" s="222" t="s">
        <v>47</v>
      </c>
      <c r="BNF101" s="223"/>
      <c r="BNG101" s="223"/>
      <c r="BNH101" s="223"/>
      <c r="BNI101" s="223"/>
      <c r="BNJ101" s="223"/>
      <c r="BNK101" s="223"/>
      <c r="BNL101" s="224"/>
      <c r="BNM101" s="222" t="s">
        <v>47</v>
      </c>
      <c r="BNN101" s="223"/>
      <c r="BNO101" s="223"/>
      <c r="BNP101" s="223"/>
      <c r="BNQ101" s="223"/>
      <c r="BNR101" s="223"/>
      <c r="BNS101" s="223"/>
      <c r="BNT101" s="224"/>
      <c r="BNU101" s="222" t="s">
        <v>47</v>
      </c>
      <c r="BNV101" s="223"/>
      <c r="BNW101" s="223"/>
      <c r="BNX101" s="223"/>
      <c r="BNY101" s="223"/>
      <c r="BNZ101" s="223"/>
      <c r="BOA101" s="223"/>
      <c r="BOB101" s="224"/>
      <c r="BOC101" s="222" t="s">
        <v>47</v>
      </c>
      <c r="BOD101" s="223"/>
      <c r="BOE101" s="223"/>
      <c r="BOF101" s="223"/>
      <c r="BOG101" s="223"/>
      <c r="BOH101" s="223"/>
      <c r="BOI101" s="223"/>
      <c r="BOJ101" s="224"/>
      <c r="BOK101" s="222" t="s">
        <v>47</v>
      </c>
      <c r="BOL101" s="223"/>
      <c r="BOM101" s="223"/>
      <c r="BON101" s="223"/>
      <c r="BOO101" s="223"/>
      <c r="BOP101" s="223"/>
      <c r="BOQ101" s="223"/>
      <c r="BOR101" s="224"/>
      <c r="BOS101" s="222" t="s">
        <v>47</v>
      </c>
      <c r="BOT101" s="223"/>
      <c r="BOU101" s="223"/>
      <c r="BOV101" s="223"/>
      <c r="BOW101" s="223"/>
      <c r="BOX101" s="223"/>
      <c r="BOY101" s="223"/>
      <c r="BOZ101" s="224"/>
      <c r="BPA101" s="222" t="s">
        <v>47</v>
      </c>
      <c r="BPB101" s="223"/>
      <c r="BPC101" s="223"/>
      <c r="BPD101" s="223"/>
      <c r="BPE101" s="223"/>
      <c r="BPF101" s="223"/>
      <c r="BPG101" s="223"/>
      <c r="BPH101" s="224"/>
      <c r="BPI101" s="222" t="s">
        <v>47</v>
      </c>
      <c r="BPJ101" s="223"/>
      <c r="BPK101" s="223"/>
      <c r="BPL101" s="223"/>
      <c r="BPM101" s="223"/>
      <c r="BPN101" s="223"/>
      <c r="BPO101" s="223"/>
      <c r="BPP101" s="224"/>
      <c r="BPQ101" s="222" t="s">
        <v>47</v>
      </c>
      <c r="BPR101" s="223"/>
      <c r="BPS101" s="223"/>
      <c r="BPT101" s="223"/>
      <c r="BPU101" s="223"/>
      <c r="BPV101" s="223"/>
      <c r="BPW101" s="223"/>
      <c r="BPX101" s="224"/>
      <c r="BPY101" s="222" t="s">
        <v>47</v>
      </c>
      <c r="BPZ101" s="223"/>
      <c r="BQA101" s="223"/>
      <c r="BQB101" s="223"/>
      <c r="BQC101" s="223"/>
      <c r="BQD101" s="223"/>
      <c r="BQE101" s="223"/>
      <c r="BQF101" s="224"/>
      <c r="BQG101" s="222" t="s">
        <v>47</v>
      </c>
      <c r="BQH101" s="223"/>
      <c r="BQI101" s="223"/>
      <c r="BQJ101" s="223"/>
      <c r="BQK101" s="223"/>
      <c r="BQL101" s="223"/>
      <c r="BQM101" s="223"/>
      <c r="BQN101" s="224"/>
      <c r="BQO101" s="222" t="s">
        <v>47</v>
      </c>
      <c r="BQP101" s="223"/>
      <c r="BQQ101" s="223"/>
      <c r="BQR101" s="223"/>
      <c r="BQS101" s="223"/>
      <c r="BQT101" s="223"/>
      <c r="BQU101" s="223"/>
      <c r="BQV101" s="224"/>
      <c r="BQW101" s="222" t="s">
        <v>47</v>
      </c>
      <c r="BQX101" s="223"/>
      <c r="BQY101" s="223"/>
      <c r="BQZ101" s="223"/>
      <c r="BRA101" s="223"/>
      <c r="BRB101" s="223"/>
      <c r="BRC101" s="223"/>
      <c r="BRD101" s="224"/>
      <c r="BRE101" s="222" t="s">
        <v>47</v>
      </c>
      <c r="BRF101" s="223"/>
      <c r="BRG101" s="223"/>
      <c r="BRH101" s="223"/>
      <c r="BRI101" s="223"/>
      <c r="BRJ101" s="223"/>
      <c r="BRK101" s="223"/>
      <c r="BRL101" s="224"/>
      <c r="BRM101" s="222" t="s">
        <v>47</v>
      </c>
      <c r="BRN101" s="223"/>
      <c r="BRO101" s="223"/>
      <c r="BRP101" s="223"/>
      <c r="BRQ101" s="223"/>
      <c r="BRR101" s="223"/>
      <c r="BRS101" s="223"/>
      <c r="BRT101" s="224"/>
      <c r="BRU101" s="222" t="s">
        <v>47</v>
      </c>
      <c r="BRV101" s="223"/>
      <c r="BRW101" s="223"/>
      <c r="BRX101" s="223"/>
      <c r="BRY101" s="223"/>
      <c r="BRZ101" s="223"/>
      <c r="BSA101" s="223"/>
      <c r="BSB101" s="224"/>
      <c r="BSC101" s="222" t="s">
        <v>47</v>
      </c>
      <c r="BSD101" s="223"/>
      <c r="BSE101" s="223"/>
      <c r="BSF101" s="223"/>
      <c r="BSG101" s="223"/>
      <c r="BSH101" s="223"/>
      <c r="BSI101" s="223"/>
      <c r="BSJ101" s="224"/>
      <c r="BSK101" s="222" t="s">
        <v>47</v>
      </c>
      <c r="BSL101" s="223"/>
      <c r="BSM101" s="223"/>
      <c r="BSN101" s="223"/>
      <c r="BSO101" s="223"/>
      <c r="BSP101" s="223"/>
      <c r="BSQ101" s="223"/>
      <c r="BSR101" s="224"/>
      <c r="BSS101" s="222" t="s">
        <v>47</v>
      </c>
      <c r="BST101" s="223"/>
      <c r="BSU101" s="223"/>
      <c r="BSV101" s="223"/>
      <c r="BSW101" s="223"/>
      <c r="BSX101" s="223"/>
      <c r="BSY101" s="223"/>
      <c r="BSZ101" s="224"/>
      <c r="BTA101" s="222" t="s">
        <v>47</v>
      </c>
      <c r="BTB101" s="223"/>
      <c r="BTC101" s="223"/>
      <c r="BTD101" s="223"/>
      <c r="BTE101" s="223"/>
      <c r="BTF101" s="223"/>
      <c r="BTG101" s="223"/>
      <c r="BTH101" s="224"/>
      <c r="BTI101" s="222" t="s">
        <v>47</v>
      </c>
      <c r="BTJ101" s="223"/>
      <c r="BTK101" s="223"/>
      <c r="BTL101" s="223"/>
      <c r="BTM101" s="223"/>
      <c r="BTN101" s="223"/>
      <c r="BTO101" s="223"/>
      <c r="BTP101" s="224"/>
      <c r="BTQ101" s="222" t="s">
        <v>47</v>
      </c>
      <c r="BTR101" s="223"/>
      <c r="BTS101" s="223"/>
      <c r="BTT101" s="223"/>
      <c r="BTU101" s="223"/>
      <c r="BTV101" s="223"/>
      <c r="BTW101" s="223"/>
      <c r="BTX101" s="224"/>
      <c r="BTY101" s="222" t="s">
        <v>47</v>
      </c>
      <c r="BTZ101" s="223"/>
      <c r="BUA101" s="223"/>
      <c r="BUB101" s="223"/>
      <c r="BUC101" s="223"/>
      <c r="BUD101" s="223"/>
      <c r="BUE101" s="223"/>
      <c r="BUF101" s="224"/>
      <c r="BUG101" s="222" t="s">
        <v>47</v>
      </c>
      <c r="BUH101" s="223"/>
      <c r="BUI101" s="223"/>
      <c r="BUJ101" s="223"/>
      <c r="BUK101" s="223"/>
      <c r="BUL101" s="223"/>
      <c r="BUM101" s="223"/>
      <c r="BUN101" s="224"/>
      <c r="BUO101" s="222" t="s">
        <v>47</v>
      </c>
      <c r="BUP101" s="223"/>
      <c r="BUQ101" s="223"/>
      <c r="BUR101" s="223"/>
      <c r="BUS101" s="223"/>
      <c r="BUT101" s="223"/>
      <c r="BUU101" s="223"/>
      <c r="BUV101" s="224"/>
      <c r="BUW101" s="222" t="s">
        <v>47</v>
      </c>
      <c r="BUX101" s="223"/>
      <c r="BUY101" s="223"/>
      <c r="BUZ101" s="223"/>
      <c r="BVA101" s="223"/>
      <c r="BVB101" s="223"/>
      <c r="BVC101" s="223"/>
      <c r="BVD101" s="224"/>
      <c r="BVE101" s="222" t="s">
        <v>47</v>
      </c>
      <c r="BVF101" s="223"/>
      <c r="BVG101" s="223"/>
      <c r="BVH101" s="223"/>
      <c r="BVI101" s="223"/>
      <c r="BVJ101" s="223"/>
      <c r="BVK101" s="223"/>
      <c r="BVL101" s="224"/>
      <c r="BVM101" s="222" t="s">
        <v>47</v>
      </c>
      <c r="BVN101" s="223"/>
      <c r="BVO101" s="223"/>
      <c r="BVP101" s="223"/>
      <c r="BVQ101" s="223"/>
      <c r="BVR101" s="223"/>
      <c r="BVS101" s="223"/>
      <c r="BVT101" s="224"/>
      <c r="BVU101" s="222" t="s">
        <v>47</v>
      </c>
      <c r="BVV101" s="223"/>
      <c r="BVW101" s="223"/>
      <c r="BVX101" s="223"/>
      <c r="BVY101" s="223"/>
      <c r="BVZ101" s="223"/>
      <c r="BWA101" s="223"/>
      <c r="BWB101" s="224"/>
      <c r="BWC101" s="222" t="s">
        <v>47</v>
      </c>
      <c r="BWD101" s="223"/>
      <c r="BWE101" s="223"/>
      <c r="BWF101" s="223"/>
      <c r="BWG101" s="223"/>
      <c r="BWH101" s="223"/>
      <c r="BWI101" s="223"/>
      <c r="BWJ101" s="224"/>
      <c r="BWK101" s="222" t="s">
        <v>47</v>
      </c>
      <c r="BWL101" s="223"/>
      <c r="BWM101" s="223"/>
      <c r="BWN101" s="223"/>
      <c r="BWO101" s="223"/>
      <c r="BWP101" s="223"/>
      <c r="BWQ101" s="223"/>
      <c r="BWR101" s="224"/>
      <c r="BWS101" s="222" t="s">
        <v>47</v>
      </c>
      <c r="BWT101" s="223"/>
      <c r="BWU101" s="223"/>
      <c r="BWV101" s="223"/>
      <c r="BWW101" s="223"/>
      <c r="BWX101" s="223"/>
      <c r="BWY101" s="223"/>
      <c r="BWZ101" s="224"/>
      <c r="BXA101" s="222" t="s">
        <v>47</v>
      </c>
      <c r="BXB101" s="223"/>
      <c r="BXC101" s="223"/>
      <c r="BXD101" s="223"/>
      <c r="BXE101" s="223"/>
      <c r="BXF101" s="223"/>
      <c r="BXG101" s="223"/>
      <c r="BXH101" s="224"/>
      <c r="BXI101" s="222" t="s">
        <v>47</v>
      </c>
      <c r="BXJ101" s="223"/>
      <c r="BXK101" s="223"/>
      <c r="BXL101" s="223"/>
      <c r="BXM101" s="223"/>
      <c r="BXN101" s="223"/>
      <c r="BXO101" s="223"/>
      <c r="BXP101" s="224"/>
      <c r="BXQ101" s="222" t="s">
        <v>47</v>
      </c>
      <c r="BXR101" s="223"/>
      <c r="BXS101" s="223"/>
      <c r="BXT101" s="223"/>
      <c r="BXU101" s="223"/>
      <c r="BXV101" s="223"/>
      <c r="BXW101" s="223"/>
      <c r="BXX101" s="224"/>
      <c r="BXY101" s="222" t="s">
        <v>47</v>
      </c>
      <c r="BXZ101" s="223"/>
      <c r="BYA101" s="223"/>
      <c r="BYB101" s="223"/>
      <c r="BYC101" s="223"/>
      <c r="BYD101" s="223"/>
      <c r="BYE101" s="223"/>
      <c r="BYF101" s="224"/>
      <c r="BYG101" s="222" t="s">
        <v>47</v>
      </c>
      <c r="BYH101" s="223"/>
      <c r="BYI101" s="223"/>
      <c r="BYJ101" s="223"/>
      <c r="BYK101" s="223"/>
      <c r="BYL101" s="223"/>
      <c r="BYM101" s="223"/>
      <c r="BYN101" s="224"/>
      <c r="BYO101" s="222" t="s">
        <v>47</v>
      </c>
      <c r="BYP101" s="223"/>
      <c r="BYQ101" s="223"/>
      <c r="BYR101" s="223"/>
      <c r="BYS101" s="223"/>
      <c r="BYT101" s="223"/>
      <c r="BYU101" s="223"/>
      <c r="BYV101" s="224"/>
      <c r="BYW101" s="222" t="s">
        <v>47</v>
      </c>
      <c r="BYX101" s="223"/>
      <c r="BYY101" s="223"/>
      <c r="BYZ101" s="223"/>
      <c r="BZA101" s="223"/>
      <c r="BZB101" s="223"/>
      <c r="BZC101" s="223"/>
      <c r="BZD101" s="224"/>
      <c r="BZE101" s="222" t="s">
        <v>47</v>
      </c>
      <c r="BZF101" s="223"/>
      <c r="BZG101" s="223"/>
      <c r="BZH101" s="223"/>
      <c r="BZI101" s="223"/>
      <c r="BZJ101" s="223"/>
      <c r="BZK101" s="223"/>
      <c r="BZL101" s="224"/>
      <c r="BZM101" s="222" t="s">
        <v>47</v>
      </c>
      <c r="BZN101" s="223"/>
      <c r="BZO101" s="223"/>
      <c r="BZP101" s="223"/>
      <c r="BZQ101" s="223"/>
      <c r="BZR101" s="223"/>
      <c r="BZS101" s="223"/>
      <c r="BZT101" s="224"/>
      <c r="BZU101" s="222" t="s">
        <v>47</v>
      </c>
      <c r="BZV101" s="223"/>
      <c r="BZW101" s="223"/>
      <c r="BZX101" s="223"/>
      <c r="BZY101" s="223"/>
      <c r="BZZ101" s="223"/>
      <c r="CAA101" s="223"/>
      <c r="CAB101" s="224"/>
      <c r="CAC101" s="222" t="s">
        <v>47</v>
      </c>
      <c r="CAD101" s="223"/>
      <c r="CAE101" s="223"/>
      <c r="CAF101" s="223"/>
      <c r="CAG101" s="223"/>
      <c r="CAH101" s="223"/>
      <c r="CAI101" s="223"/>
      <c r="CAJ101" s="224"/>
      <c r="CAK101" s="222" t="s">
        <v>47</v>
      </c>
      <c r="CAL101" s="223"/>
      <c r="CAM101" s="223"/>
      <c r="CAN101" s="223"/>
      <c r="CAO101" s="223"/>
      <c r="CAP101" s="223"/>
      <c r="CAQ101" s="223"/>
      <c r="CAR101" s="224"/>
      <c r="CAS101" s="222" t="s">
        <v>47</v>
      </c>
      <c r="CAT101" s="223"/>
      <c r="CAU101" s="223"/>
      <c r="CAV101" s="223"/>
      <c r="CAW101" s="223"/>
      <c r="CAX101" s="223"/>
      <c r="CAY101" s="223"/>
      <c r="CAZ101" s="224"/>
      <c r="CBA101" s="222" t="s">
        <v>47</v>
      </c>
      <c r="CBB101" s="223"/>
      <c r="CBC101" s="223"/>
      <c r="CBD101" s="223"/>
      <c r="CBE101" s="223"/>
      <c r="CBF101" s="223"/>
      <c r="CBG101" s="223"/>
      <c r="CBH101" s="224"/>
      <c r="CBI101" s="222" t="s">
        <v>47</v>
      </c>
      <c r="CBJ101" s="223"/>
      <c r="CBK101" s="223"/>
      <c r="CBL101" s="223"/>
      <c r="CBM101" s="223"/>
      <c r="CBN101" s="223"/>
      <c r="CBO101" s="223"/>
      <c r="CBP101" s="224"/>
      <c r="CBQ101" s="222" t="s">
        <v>47</v>
      </c>
      <c r="CBR101" s="223"/>
      <c r="CBS101" s="223"/>
      <c r="CBT101" s="223"/>
      <c r="CBU101" s="223"/>
      <c r="CBV101" s="223"/>
      <c r="CBW101" s="223"/>
      <c r="CBX101" s="224"/>
      <c r="CBY101" s="222" t="s">
        <v>47</v>
      </c>
      <c r="CBZ101" s="223"/>
      <c r="CCA101" s="223"/>
      <c r="CCB101" s="223"/>
      <c r="CCC101" s="223"/>
      <c r="CCD101" s="223"/>
      <c r="CCE101" s="223"/>
      <c r="CCF101" s="224"/>
      <c r="CCG101" s="222" t="s">
        <v>47</v>
      </c>
      <c r="CCH101" s="223"/>
      <c r="CCI101" s="223"/>
      <c r="CCJ101" s="223"/>
      <c r="CCK101" s="223"/>
      <c r="CCL101" s="223"/>
      <c r="CCM101" s="223"/>
      <c r="CCN101" s="224"/>
      <c r="CCO101" s="222" t="s">
        <v>47</v>
      </c>
      <c r="CCP101" s="223"/>
      <c r="CCQ101" s="223"/>
      <c r="CCR101" s="223"/>
      <c r="CCS101" s="223"/>
      <c r="CCT101" s="223"/>
      <c r="CCU101" s="223"/>
      <c r="CCV101" s="224"/>
      <c r="CCW101" s="222" t="s">
        <v>47</v>
      </c>
      <c r="CCX101" s="223"/>
      <c r="CCY101" s="223"/>
      <c r="CCZ101" s="223"/>
      <c r="CDA101" s="223"/>
      <c r="CDB101" s="223"/>
      <c r="CDC101" s="223"/>
      <c r="CDD101" s="224"/>
      <c r="CDE101" s="222" t="s">
        <v>47</v>
      </c>
      <c r="CDF101" s="223"/>
      <c r="CDG101" s="223"/>
      <c r="CDH101" s="223"/>
      <c r="CDI101" s="223"/>
      <c r="CDJ101" s="223"/>
      <c r="CDK101" s="223"/>
      <c r="CDL101" s="224"/>
      <c r="CDM101" s="222" t="s">
        <v>47</v>
      </c>
      <c r="CDN101" s="223"/>
      <c r="CDO101" s="223"/>
      <c r="CDP101" s="223"/>
      <c r="CDQ101" s="223"/>
      <c r="CDR101" s="223"/>
      <c r="CDS101" s="223"/>
      <c r="CDT101" s="224"/>
      <c r="CDU101" s="222" t="s">
        <v>47</v>
      </c>
      <c r="CDV101" s="223"/>
      <c r="CDW101" s="223"/>
      <c r="CDX101" s="223"/>
      <c r="CDY101" s="223"/>
      <c r="CDZ101" s="223"/>
      <c r="CEA101" s="223"/>
      <c r="CEB101" s="224"/>
      <c r="CEC101" s="222" t="s">
        <v>47</v>
      </c>
      <c r="CED101" s="223"/>
      <c r="CEE101" s="223"/>
      <c r="CEF101" s="223"/>
      <c r="CEG101" s="223"/>
      <c r="CEH101" s="223"/>
      <c r="CEI101" s="223"/>
      <c r="CEJ101" s="224"/>
      <c r="CEK101" s="222" t="s">
        <v>47</v>
      </c>
      <c r="CEL101" s="223"/>
      <c r="CEM101" s="223"/>
      <c r="CEN101" s="223"/>
      <c r="CEO101" s="223"/>
      <c r="CEP101" s="223"/>
      <c r="CEQ101" s="223"/>
      <c r="CER101" s="224"/>
      <c r="CES101" s="222" t="s">
        <v>47</v>
      </c>
      <c r="CET101" s="223"/>
      <c r="CEU101" s="223"/>
      <c r="CEV101" s="223"/>
      <c r="CEW101" s="223"/>
      <c r="CEX101" s="223"/>
      <c r="CEY101" s="223"/>
      <c r="CEZ101" s="224"/>
      <c r="CFA101" s="222" t="s">
        <v>47</v>
      </c>
      <c r="CFB101" s="223"/>
      <c r="CFC101" s="223"/>
      <c r="CFD101" s="223"/>
      <c r="CFE101" s="223"/>
      <c r="CFF101" s="223"/>
      <c r="CFG101" s="223"/>
      <c r="CFH101" s="224"/>
      <c r="CFI101" s="222" t="s">
        <v>47</v>
      </c>
      <c r="CFJ101" s="223"/>
      <c r="CFK101" s="223"/>
      <c r="CFL101" s="223"/>
      <c r="CFM101" s="223"/>
      <c r="CFN101" s="223"/>
      <c r="CFO101" s="223"/>
      <c r="CFP101" s="224"/>
      <c r="CFQ101" s="222" t="s">
        <v>47</v>
      </c>
      <c r="CFR101" s="223"/>
      <c r="CFS101" s="223"/>
      <c r="CFT101" s="223"/>
      <c r="CFU101" s="223"/>
      <c r="CFV101" s="223"/>
      <c r="CFW101" s="223"/>
      <c r="CFX101" s="224"/>
      <c r="CFY101" s="222" t="s">
        <v>47</v>
      </c>
      <c r="CFZ101" s="223"/>
      <c r="CGA101" s="223"/>
      <c r="CGB101" s="223"/>
      <c r="CGC101" s="223"/>
      <c r="CGD101" s="223"/>
      <c r="CGE101" s="223"/>
      <c r="CGF101" s="224"/>
      <c r="CGG101" s="222" t="s">
        <v>47</v>
      </c>
      <c r="CGH101" s="223"/>
      <c r="CGI101" s="223"/>
      <c r="CGJ101" s="223"/>
      <c r="CGK101" s="223"/>
      <c r="CGL101" s="223"/>
      <c r="CGM101" s="223"/>
      <c r="CGN101" s="224"/>
      <c r="CGO101" s="222" t="s">
        <v>47</v>
      </c>
      <c r="CGP101" s="223"/>
      <c r="CGQ101" s="223"/>
      <c r="CGR101" s="223"/>
      <c r="CGS101" s="223"/>
      <c r="CGT101" s="223"/>
      <c r="CGU101" s="223"/>
      <c r="CGV101" s="224"/>
      <c r="CGW101" s="222" t="s">
        <v>47</v>
      </c>
      <c r="CGX101" s="223"/>
      <c r="CGY101" s="223"/>
      <c r="CGZ101" s="223"/>
      <c r="CHA101" s="223"/>
      <c r="CHB101" s="223"/>
      <c r="CHC101" s="223"/>
      <c r="CHD101" s="224"/>
      <c r="CHE101" s="222" t="s">
        <v>47</v>
      </c>
      <c r="CHF101" s="223"/>
      <c r="CHG101" s="223"/>
      <c r="CHH101" s="223"/>
      <c r="CHI101" s="223"/>
      <c r="CHJ101" s="223"/>
      <c r="CHK101" s="223"/>
      <c r="CHL101" s="224"/>
      <c r="CHM101" s="222" t="s">
        <v>47</v>
      </c>
      <c r="CHN101" s="223"/>
      <c r="CHO101" s="223"/>
      <c r="CHP101" s="223"/>
      <c r="CHQ101" s="223"/>
      <c r="CHR101" s="223"/>
      <c r="CHS101" s="223"/>
      <c r="CHT101" s="224"/>
      <c r="CHU101" s="222" t="s">
        <v>47</v>
      </c>
      <c r="CHV101" s="223"/>
      <c r="CHW101" s="223"/>
      <c r="CHX101" s="223"/>
      <c r="CHY101" s="223"/>
      <c r="CHZ101" s="223"/>
      <c r="CIA101" s="223"/>
      <c r="CIB101" s="224"/>
      <c r="CIC101" s="222" t="s">
        <v>47</v>
      </c>
      <c r="CID101" s="223"/>
      <c r="CIE101" s="223"/>
      <c r="CIF101" s="223"/>
      <c r="CIG101" s="223"/>
      <c r="CIH101" s="223"/>
      <c r="CII101" s="223"/>
      <c r="CIJ101" s="224"/>
      <c r="CIK101" s="222" t="s">
        <v>47</v>
      </c>
      <c r="CIL101" s="223"/>
      <c r="CIM101" s="223"/>
      <c r="CIN101" s="223"/>
      <c r="CIO101" s="223"/>
      <c r="CIP101" s="223"/>
      <c r="CIQ101" s="223"/>
      <c r="CIR101" s="224"/>
      <c r="CIS101" s="222" t="s">
        <v>47</v>
      </c>
      <c r="CIT101" s="223"/>
      <c r="CIU101" s="223"/>
      <c r="CIV101" s="223"/>
      <c r="CIW101" s="223"/>
      <c r="CIX101" s="223"/>
      <c r="CIY101" s="223"/>
      <c r="CIZ101" s="224"/>
      <c r="CJA101" s="222" t="s">
        <v>47</v>
      </c>
      <c r="CJB101" s="223"/>
      <c r="CJC101" s="223"/>
      <c r="CJD101" s="223"/>
      <c r="CJE101" s="223"/>
      <c r="CJF101" s="223"/>
      <c r="CJG101" s="223"/>
      <c r="CJH101" s="224"/>
      <c r="CJI101" s="222" t="s">
        <v>47</v>
      </c>
      <c r="CJJ101" s="223"/>
      <c r="CJK101" s="223"/>
      <c r="CJL101" s="223"/>
      <c r="CJM101" s="223"/>
      <c r="CJN101" s="223"/>
      <c r="CJO101" s="223"/>
      <c r="CJP101" s="224"/>
      <c r="CJQ101" s="222" t="s">
        <v>47</v>
      </c>
      <c r="CJR101" s="223"/>
      <c r="CJS101" s="223"/>
      <c r="CJT101" s="223"/>
      <c r="CJU101" s="223"/>
      <c r="CJV101" s="223"/>
      <c r="CJW101" s="223"/>
      <c r="CJX101" s="224"/>
      <c r="CJY101" s="222" t="s">
        <v>47</v>
      </c>
      <c r="CJZ101" s="223"/>
      <c r="CKA101" s="223"/>
      <c r="CKB101" s="223"/>
      <c r="CKC101" s="223"/>
      <c r="CKD101" s="223"/>
      <c r="CKE101" s="223"/>
      <c r="CKF101" s="224"/>
      <c r="CKG101" s="222" t="s">
        <v>47</v>
      </c>
      <c r="CKH101" s="223"/>
      <c r="CKI101" s="223"/>
      <c r="CKJ101" s="223"/>
      <c r="CKK101" s="223"/>
      <c r="CKL101" s="223"/>
      <c r="CKM101" s="223"/>
      <c r="CKN101" s="224"/>
      <c r="CKO101" s="222" t="s">
        <v>47</v>
      </c>
      <c r="CKP101" s="223"/>
      <c r="CKQ101" s="223"/>
      <c r="CKR101" s="223"/>
      <c r="CKS101" s="223"/>
      <c r="CKT101" s="223"/>
      <c r="CKU101" s="223"/>
      <c r="CKV101" s="224"/>
      <c r="CKW101" s="222" t="s">
        <v>47</v>
      </c>
      <c r="CKX101" s="223"/>
      <c r="CKY101" s="223"/>
      <c r="CKZ101" s="223"/>
      <c r="CLA101" s="223"/>
      <c r="CLB101" s="223"/>
      <c r="CLC101" s="223"/>
      <c r="CLD101" s="224"/>
      <c r="CLE101" s="222" t="s">
        <v>47</v>
      </c>
      <c r="CLF101" s="223"/>
      <c r="CLG101" s="223"/>
      <c r="CLH101" s="223"/>
      <c r="CLI101" s="223"/>
      <c r="CLJ101" s="223"/>
      <c r="CLK101" s="223"/>
      <c r="CLL101" s="224"/>
      <c r="CLM101" s="222" t="s">
        <v>47</v>
      </c>
      <c r="CLN101" s="223"/>
      <c r="CLO101" s="223"/>
      <c r="CLP101" s="223"/>
      <c r="CLQ101" s="223"/>
      <c r="CLR101" s="223"/>
      <c r="CLS101" s="223"/>
      <c r="CLT101" s="224"/>
      <c r="CLU101" s="222" t="s">
        <v>47</v>
      </c>
      <c r="CLV101" s="223"/>
      <c r="CLW101" s="223"/>
      <c r="CLX101" s="223"/>
      <c r="CLY101" s="223"/>
      <c r="CLZ101" s="223"/>
      <c r="CMA101" s="223"/>
      <c r="CMB101" s="224"/>
      <c r="CMC101" s="222" t="s">
        <v>47</v>
      </c>
      <c r="CMD101" s="223"/>
      <c r="CME101" s="223"/>
      <c r="CMF101" s="223"/>
      <c r="CMG101" s="223"/>
      <c r="CMH101" s="223"/>
      <c r="CMI101" s="223"/>
      <c r="CMJ101" s="224"/>
      <c r="CMK101" s="222" t="s">
        <v>47</v>
      </c>
      <c r="CML101" s="223"/>
      <c r="CMM101" s="223"/>
      <c r="CMN101" s="223"/>
      <c r="CMO101" s="223"/>
      <c r="CMP101" s="223"/>
      <c r="CMQ101" s="223"/>
      <c r="CMR101" s="224"/>
      <c r="CMS101" s="222" t="s">
        <v>47</v>
      </c>
      <c r="CMT101" s="223"/>
      <c r="CMU101" s="223"/>
      <c r="CMV101" s="223"/>
      <c r="CMW101" s="223"/>
      <c r="CMX101" s="223"/>
      <c r="CMY101" s="223"/>
      <c r="CMZ101" s="224"/>
      <c r="CNA101" s="222" t="s">
        <v>47</v>
      </c>
      <c r="CNB101" s="223"/>
      <c r="CNC101" s="223"/>
      <c r="CND101" s="223"/>
      <c r="CNE101" s="223"/>
      <c r="CNF101" s="223"/>
      <c r="CNG101" s="223"/>
      <c r="CNH101" s="224"/>
      <c r="CNI101" s="222" t="s">
        <v>47</v>
      </c>
      <c r="CNJ101" s="223"/>
      <c r="CNK101" s="223"/>
      <c r="CNL101" s="223"/>
      <c r="CNM101" s="223"/>
      <c r="CNN101" s="223"/>
      <c r="CNO101" s="223"/>
      <c r="CNP101" s="224"/>
      <c r="CNQ101" s="222" t="s">
        <v>47</v>
      </c>
      <c r="CNR101" s="223"/>
      <c r="CNS101" s="223"/>
      <c r="CNT101" s="223"/>
      <c r="CNU101" s="223"/>
      <c r="CNV101" s="223"/>
      <c r="CNW101" s="223"/>
      <c r="CNX101" s="224"/>
      <c r="CNY101" s="222" t="s">
        <v>47</v>
      </c>
      <c r="CNZ101" s="223"/>
      <c r="COA101" s="223"/>
      <c r="COB101" s="223"/>
      <c r="COC101" s="223"/>
      <c r="COD101" s="223"/>
      <c r="COE101" s="223"/>
      <c r="COF101" s="224"/>
      <c r="COG101" s="222" t="s">
        <v>47</v>
      </c>
      <c r="COH101" s="223"/>
      <c r="COI101" s="223"/>
      <c r="COJ101" s="223"/>
      <c r="COK101" s="223"/>
      <c r="COL101" s="223"/>
      <c r="COM101" s="223"/>
      <c r="CON101" s="224"/>
      <c r="COO101" s="222" t="s">
        <v>47</v>
      </c>
      <c r="COP101" s="223"/>
      <c r="COQ101" s="223"/>
      <c r="COR101" s="223"/>
      <c r="COS101" s="223"/>
      <c r="COT101" s="223"/>
      <c r="COU101" s="223"/>
      <c r="COV101" s="224"/>
      <c r="COW101" s="222" t="s">
        <v>47</v>
      </c>
      <c r="COX101" s="223"/>
      <c r="COY101" s="223"/>
      <c r="COZ101" s="223"/>
      <c r="CPA101" s="223"/>
      <c r="CPB101" s="223"/>
      <c r="CPC101" s="223"/>
      <c r="CPD101" s="224"/>
      <c r="CPE101" s="222" t="s">
        <v>47</v>
      </c>
      <c r="CPF101" s="223"/>
      <c r="CPG101" s="223"/>
      <c r="CPH101" s="223"/>
      <c r="CPI101" s="223"/>
      <c r="CPJ101" s="223"/>
      <c r="CPK101" s="223"/>
      <c r="CPL101" s="224"/>
      <c r="CPM101" s="222" t="s">
        <v>47</v>
      </c>
      <c r="CPN101" s="223"/>
      <c r="CPO101" s="223"/>
      <c r="CPP101" s="223"/>
      <c r="CPQ101" s="223"/>
      <c r="CPR101" s="223"/>
      <c r="CPS101" s="223"/>
      <c r="CPT101" s="224"/>
      <c r="CPU101" s="222" t="s">
        <v>47</v>
      </c>
      <c r="CPV101" s="223"/>
      <c r="CPW101" s="223"/>
      <c r="CPX101" s="223"/>
      <c r="CPY101" s="223"/>
      <c r="CPZ101" s="223"/>
      <c r="CQA101" s="223"/>
      <c r="CQB101" s="224"/>
      <c r="CQC101" s="222" t="s">
        <v>47</v>
      </c>
      <c r="CQD101" s="223"/>
      <c r="CQE101" s="223"/>
      <c r="CQF101" s="223"/>
      <c r="CQG101" s="223"/>
      <c r="CQH101" s="223"/>
      <c r="CQI101" s="223"/>
      <c r="CQJ101" s="224"/>
      <c r="CQK101" s="222" t="s">
        <v>47</v>
      </c>
      <c r="CQL101" s="223"/>
      <c r="CQM101" s="223"/>
      <c r="CQN101" s="223"/>
      <c r="CQO101" s="223"/>
      <c r="CQP101" s="223"/>
      <c r="CQQ101" s="223"/>
      <c r="CQR101" s="224"/>
      <c r="CQS101" s="222" t="s">
        <v>47</v>
      </c>
      <c r="CQT101" s="223"/>
      <c r="CQU101" s="223"/>
      <c r="CQV101" s="223"/>
      <c r="CQW101" s="223"/>
      <c r="CQX101" s="223"/>
      <c r="CQY101" s="223"/>
      <c r="CQZ101" s="224"/>
      <c r="CRA101" s="222" t="s">
        <v>47</v>
      </c>
      <c r="CRB101" s="223"/>
      <c r="CRC101" s="223"/>
      <c r="CRD101" s="223"/>
      <c r="CRE101" s="223"/>
      <c r="CRF101" s="223"/>
      <c r="CRG101" s="223"/>
      <c r="CRH101" s="224"/>
      <c r="CRI101" s="222" t="s">
        <v>47</v>
      </c>
      <c r="CRJ101" s="223"/>
      <c r="CRK101" s="223"/>
      <c r="CRL101" s="223"/>
      <c r="CRM101" s="223"/>
      <c r="CRN101" s="223"/>
      <c r="CRO101" s="223"/>
      <c r="CRP101" s="224"/>
      <c r="CRQ101" s="222" t="s">
        <v>47</v>
      </c>
      <c r="CRR101" s="223"/>
      <c r="CRS101" s="223"/>
      <c r="CRT101" s="223"/>
      <c r="CRU101" s="223"/>
      <c r="CRV101" s="223"/>
      <c r="CRW101" s="223"/>
      <c r="CRX101" s="224"/>
      <c r="CRY101" s="222" t="s">
        <v>47</v>
      </c>
      <c r="CRZ101" s="223"/>
      <c r="CSA101" s="223"/>
      <c r="CSB101" s="223"/>
      <c r="CSC101" s="223"/>
      <c r="CSD101" s="223"/>
      <c r="CSE101" s="223"/>
      <c r="CSF101" s="224"/>
      <c r="CSG101" s="222" t="s">
        <v>47</v>
      </c>
      <c r="CSH101" s="223"/>
      <c r="CSI101" s="223"/>
      <c r="CSJ101" s="223"/>
      <c r="CSK101" s="223"/>
      <c r="CSL101" s="223"/>
      <c r="CSM101" s="223"/>
      <c r="CSN101" s="224"/>
      <c r="CSO101" s="222" t="s">
        <v>47</v>
      </c>
      <c r="CSP101" s="223"/>
      <c r="CSQ101" s="223"/>
      <c r="CSR101" s="223"/>
      <c r="CSS101" s="223"/>
      <c r="CST101" s="223"/>
      <c r="CSU101" s="223"/>
      <c r="CSV101" s="224"/>
      <c r="CSW101" s="222" t="s">
        <v>47</v>
      </c>
      <c r="CSX101" s="223"/>
      <c r="CSY101" s="223"/>
      <c r="CSZ101" s="223"/>
      <c r="CTA101" s="223"/>
      <c r="CTB101" s="223"/>
      <c r="CTC101" s="223"/>
      <c r="CTD101" s="224"/>
      <c r="CTE101" s="222" t="s">
        <v>47</v>
      </c>
      <c r="CTF101" s="223"/>
      <c r="CTG101" s="223"/>
      <c r="CTH101" s="223"/>
      <c r="CTI101" s="223"/>
      <c r="CTJ101" s="223"/>
      <c r="CTK101" s="223"/>
      <c r="CTL101" s="224"/>
      <c r="CTM101" s="222" t="s">
        <v>47</v>
      </c>
      <c r="CTN101" s="223"/>
      <c r="CTO101" s="223"/>
      <c r="CTP101" s="223"/>
      <c r="CTQ101" s="223"/>
      <c r="CTR101" s="223"/>
      <c r="CTS101" s="223"/>
      <c r="CTT101" s="224"/>
      <c r="CTU101" s="222" t="s">
        <v>47</v>
      </c>
      <c r="CTV101" s="223"/>
      <c r="CTW101" s="223"/>
      <c r="CTX101" s="223"/>
      <c r="CTY101" s="223"/>
      <c r="CTZ101" s="223"/>
      <c r="CUA101" s="223"/>
      <c r="CUB101" s="224"/>
      <c r="CUC101" s="222" t="s">
        <v>47</v>
      </c>
      <c r="CUD101" s="223"/>
      <c r="CUE101" s="223"/>
      <c r="CUF101" s="223"/>
      <c r="CUG101" s="223"/>
      <c r="CUH101" s="223"/>
      <c r="CUI101" s="223"/>
      <c r="CUJ101" s="224"/>
      <c r="CUK101" s="222" t="s">
        <v>47</v>
      </c>
      <c r="CUL101" s="223"/>
      <c r="CUM101" s="223"/>
      <c r="CUN101" s="223"/>
      <c r="CUO101" s="223"/>
      <c r="CUP101" s="223"/>
      <c r="CUQ101" s="223"/>
      <c r="CUR101" s="224"/>
      <c r="CUS101" s="222" t="s">
        <v>47</v>
      </c>
      <c r="CUT101" s="223"/>
      <c r="CUU101" s="223"/>
      <c r="CUV101" s="223"/>
      <c r="CUW101" s="223"/>
      <c r="CUX101" s="223"/>
      <c r="CUY101" s="223"/>
      <c r="CUZ101" s="224"/>
      <c r="CVA101" s="222" t="s">
        <v>47</v>
      </c>
      <c r="CVB101" s="223"/>
      <c r="CVC101" s="223"/>
      <c r="CVD101" s="223"/>
      <c r="CVE101" s="223"/>
      <c r="CVF101" s="223"/>
      <c r="CVG101" s="223"/>
      <c r="CVH101" s="224"/>
      <c r="CVI101" s="222" t="s">
        <v>47</v>
      </c>
      <c r="CVJ101" s="223"/>
      <c r="CVK101" s="223"/>
      <c r="CVL101" s="223"/>
      <c r="CVM101" s="223"/>
      <c r="CVN101" s="223"/>
      <c r="CVO101" s="223"/>
      <c r="CVP101" s="224"/>
      <c r="CVQ101" s="222" t="s">
        <v>47</v>
      </c>
      <c r="CVR101" s="223"/>
      <c r="CVS101" s="223"/>
      <c r="CVT101" s="223"/>
      <c r="CVU101" s="223"/>
      <c r="CVV101" s="223"/>
      <c r="CVW101" s="223"/>
      <c r="CVX101" s="224"/>
      <c r="CVY101" s="222" t="s">
        <v>47</v>
      </c>
      <c r="CVZ101" s="223"/>
      <c r="CWA101" s="223"/>
      <c r="CWB101" s="223"/>
      <c r="CWC101" s="223"/>
      <c r="CWD101" s="223"/>
      <c r="CWE101" s="223"/>
      <c r="CWF101" s="224"/>
      <c r="CWG101" s="222" t="s">
        <v>47</v>
      </c>
      <c r="CWH101" s="223"/>
      <c r="CWI101" s="223"/>
      <c r="CWJ101" s="223"/>
      <c r="CWK101" s="223"/>
      <c r="CWL101" s="223"/>
      <c r="CWM101" s="223"/>
      <c r="CWN101" s="224"/>
      <c r="CWO101" s="222" t="s">
        <v>47</v>
      </c>
      <c r="CWP101" s="223"/>
      <c r="CWQ101" s="223"/>
      <c r="CWR101" s="223"/>
      <c r="CWS101" s="223"/>
      <c r="CWT101" s="223"/>
      <c r="CWU101" s="223"/>
      <c r="CWV101" s="224"/>
      <c r="CWW101" s="222" t="s">
        <v>47</v>
      </c>
      <c r="CWX101" s="223"/>
      <c r="CWY101" s="223"/>
      <c r="CWZ101" s="223"/>
      <c r="CXA101" s="223"/>
      <c r="CXB101" s="223"/>
      <c r="CXC101" s="223"/>
      <c r="CXD101" s="224"/>
      <c r="CXE101" s="222" t="s">
        <v>47</v>
      </c>
      <c r="CXF101" s="223"/>
      <c r="CXG101" s="223"/>
      <c r="CXH101" s="223"/>
      <c r="CXI101" s="223"/>
      <c r="CXJ101" s="223"/>
      <c r="CXK101" s="223"/>
      <c r="CXL101" s="224"/>
      <c r="CXM101" s="222" t="s">
        <v>47</v>
      </c>
      <c r="CXN101" s="223"/>
      <c r="CXO101" s="223"/>
      <c r="CXP101" s="223"/>
      <c r="CXQ101" s="223"/>
      <c r="CXR101" s="223"/>
      <c r="CXS101" s="223"/>
      <c r="CXT101" s="224"/>
      <c r="CXU101" s="222" t="s">
        <v>47</v>
      </c>
      <c r="CXV101" s="223"/>
      <c r="CXW101" s="223"/>
      <c r="CXX101" s="223"/>
      <c r="CXY101" s="223"/>
      <c r="CXZ101" s="223"/>
      <c r="CYA101" s="223"/>
      <c r="CYB101" s="224"/>
      <c r="CYC101" s="222" t="s">
        <v>47</v>
      </c>
      <c r="CYD101" s="223"/>
      <c r="CYE101" s="223"/>
      <c r="CYF101" s="223"/>
      <c r="CYG101" s="223"/>
      <c r="CYH101" s="223"/>
      <c r="CYI101" s="223"/>
      <c r="CYJ101" s="224"/>
      <c r="CYK101" s="222" t="s">
        <v>47</v>
      </c>
      <c r="CYL101" s="223"/>
      <c r="CYM101" s="223"/>
      <c r="CYN101" s="223"/>
      <c r="CYO101" s="223"/>
      <c r="CYP101" s="223"/>
      <c r="CYQ101" s="223"/>
      <c r="CYR101" s="224"/>
      <c r="CYS101" s="222" t="s">
        <v>47</v>
      </c>
      <c r="CYT101" s="223"/>
      <c r="CYU101" s="223"/>
      <c r="CYV101" s="223"/>
      <c r="CYW101" s="223"/>
      <c r="CYX101" s="223"/>
      <c r="CYY101" s="223"/>
      <c r="CYZ101" s="224"/>
      <c r="CZA101" s="222" t="s">
        <v>47</v>
      </c>
      <c r="CZB101" s="223"/>
      <c r="CZC101" s="223"/>
      <c r="CZD101" s="223"/>
      <c r="CZE101" s="223"/>
      <c r="CZF101" s="223"/>
      <c r="CZG101" s="223"/>
      <c r="CZH101" s="224"/>
      <c r="CZI101" s="222" t="s">
        <v>47</v>
      </c>
      <c r="CZJ101" s="223"/>
      <c r="CZK101" s="223"/>
      <c r="CZL101" s="223"/>
      <c r="CZM101" s="223"/>
      <c r="CZN101" s="223"/>
      <c r="CZO101" s="223"/>
      <c r="CZP101" s="224"/>
      <c r="CZQ101" s="222" t="s">
        <v>47</v>
      </c>
      <c r="CZR101" s="223"/>
      <c r="CZS101" s="223"/>
      <c r="CZT101" s="223"/>
      <c r="CZU101" s="223"/>
      <c r="CZV101" s="223"/>
      <c r="CZW101" s="223"/>
      <c r="CZX101" s="224"/>
      <c r="CZY101" s="222" t="s">
        <v>47</v>
      </c>
      <c r="CZZ101" s="223"/>
      <c r="DAA101" s="223"/>
      <c r="DAB101" s="223"/>
      <c r="DAC101" s="223"/>
      <c r="DAD101" s="223"/>
      <c r="DAE101" s="223"/>
      <c r="DAF101" s="224"/>
      <c r="DAG101" s="222" t="s">
        <v>47</v>
      </c>
      <c r="DAH101" s="223"/>
      <c r="DAI101" s="223"/>
      <c r="DAJ101" s="223"/>
      <c r="DAK101" s="223"/>
      <c r="DAL101" s="223"/>
      <c r="DAM101" s="223"/>
      <c r="DAN101" s="224"/>
      <c r="DAO101" s="222" t="s">
        <v>47</v>
      </c>
      <c r="DAP101" s="223"/>
      <c r="DAQ101" s="223"/>
      <c r="DAR101" s="223"/>
      <c r="DAS101" s="223"/>
      <c r="DAT101" s="223"/>
      <c r="DAU101" s="223"/>
      <c r="DAV101" s="224"/>
      <c r="DAW101" s="222" t="s">
        <v>47</v>
      </c>
      <c r="DAX101" s="223"/>
      <c r="DAY101" s="223"/>
      <c r="DAZ101" s="223"/>
      <c r="DBA101" s="223"/>
      <c r="DBB101" s="223"/>
      <c r="DBC101" s="223"/>
      <c r="DBD101" s="224"/>
      <c r="DBE101" s="222" t="s">
        <v>47</v>
      </c>
      <c r="DBF101" s="223"/>
      <c r="DBG101" s="223"/>
      <c r="DBH101" s="223"/>
      <c r="DBI101" s="223"/>
      <c r="DBJ101" s="223"/>
      <c r="DBK101" s="223"/>
      <c r="DBL101" s="224"/>
      <c r="DBM101" s="222" t="s">
        <v>47</v>
      </c>
      <c r="DBN101" s="223"/>
      <c r="DBO101" s="223"/>
      <c r="DBP101" s="223"/>
      <c r="DBQ101" s="223"/>
      <c r="DBR101" s="223"/>
      <c r="DBS101" s="223"/>
      <c r="DBT101" s="224"/>
      <c r="DBU101" s="222" t="s">
        <v>47</v>
      </c>
      <c r="DBV101" s="223"/>
      <c r="DBW101" s="223"/>
      <c r="DBX101" s="223"/>
      <c r="DBY101" s="223"/>
      <c r="DBZ101" s="223"/>
      <c r="DCA101" s="223"/>
      <c r="DCB101" s="224"/>
      <c r="DCC101" s="222" t="s">
        <v>47</v>
      </c>
      <c r="DCD101" s="223"/>
      <c r="DCE101" s="223"/>
      <c r="DCF101" s="223"/>
      <c r="DCG101" s="223"/>
      <c r="DCH101" s="223"/>
      <c r="DCI101" s="223"/>
      <c r="DCJ101" s="224"/>
      <c r="DCK101" s="222" t="s">
        <v>47</v>
      </c>
      <c r="DCL101" s="223"/>
      <c r="DCM101" s="223"/>
      <c r="DCN101" s="223"/>
      <c r="DCO101" s="223"/>
      <c r="DCP101" s="223"/>
      <c r="DCQ101" s="223"/>
      <c r="DCR101" s="224"/>
      <c r="DCS101" s="222" t="s">
        <v>47</v>
      </c>
      <c r="DCT101" s="223"/>
      <c r="DCU101" s="223"/>
      <c r="DCV101" s="223"/>
      <c r="DCW101" s="223"/>
      <c r="DCX101" s="223"/>
      <c r="DCY101" s="223"/>
      <c r="DCZ101" s="224"/>
      <c r="DDA101" s="222" t="s">
        <v>47</v>
      </c>
      <c r="DDB101" s="223"/>
      <c r="DDC101" s="223"/>
      <c r="DDD101" s="223"/>
      <c r="DDE101" s="223"/>
      <c r="DDF101" s="223"/>
      <c r="DDG101" s="223"/>
      <c r="DDH101" s="224"/>
      <c r="DDI101" s="222" t="s">
        <v>47</v>
      </c>
      <c r="DDJ101" s="223"/>
      <c r="DDK101" s="223"/>
      <c r="DDL101" s="223"/>
      <c r="DDM101" s="223"/>
      <c r="DDN101" s="223"/>
      <c r="DDO101" s="223"/>
      <c r="DDP101" s="224"/>
      <c r="DDQ101" s="222" t="s">
        <v>47</v>
      </c>
      <c r="DDR101" s="223"/>
      <c r="DDS101" s="223"/>
      <c r="DDT101" s="223"/>
      <c r="DDU101" s="223"/>
      <c r="DDV101" s="223"/>
      <c r="DDW101" s="223"/>
      <c r="DDX101" s="224"/>
      <c r="DDY101" s="222" t="s">
        <v>47</v>
      </c>
      <c r="DDZ101" s="223"/>
      <c r="DEA101" s="223"/>
      <c r="DEB101" s="223"/>
      <c r="DEC101" s="223"/>
      <c r="DED101" s="223"/>
      <c r="DEE101" s="223"/>
      <c r="DEF101" s="224"/>
      <c r="DEG101" s="222" t="s">
        <v>47</v>
      </c>
      <c r="DEH101" s="223"/>
      <c r="DEI101" s="223"/>
      <c r="DEJ101" s="223"/>
      <c r="DEK101" s="223"/>
      <c r="DEL101" s="223"/>
      <c r="DEM101" s="223"/>
      <c r="DEN101" s="224"/>
      <c r="DEO101" s="222" t="s">
        <v>47</v>
      </c>
      <c r="DEP101" s="223"/>
      <c r="DEQ101" s="223"/>
      <c r="DER101" s="223"/>
      <c r="DES101" s="223"/>
      <c r="DET101" s="223"/>
      <c r="DEU101" s="223"/>
      <c r="DEV101" s="224"/>
      <c r="DEW101" s="222" t="s">
        <v>47</v>
      </c>
      <c r="DEX101" s="223"/>
      <c r="DEY101" s="223"/>
      <c r="DEZ101" s="223"/>
      <c r="DFA101" s="223"/>
      <c r="DFB101" s="223"/>
      <c r="DFC101" s="223"/>
      <c r="DFD101" s="224"/>
      <c r="DFE101" s="222" t="s">
        <v>47</v>
      </c>
      <c r="DFF101" s="223"/>
      <c r="DFG101" s="223"/>
      <c r="DFH101" s="223"/>
      <c r="DFI101" s="223"/>
      <c r="DFJ101" s="223"/>
      <c r="DFK101" s="223"/>
      <c r="DFL101" s="224"/>
      <c r="DFM101" s="222" t="s">
        <v>47</v>
      </c>
      <c r="DFN101" s="223"/>
      <c r="DFO101" s="223"/>
      <c r="DFP101" s="223"/>
      <c r="DFQ101" s="223"/>
      <c r="DFR101" s="223"/>
      <c r="DFS101" s="223"/>
      <c r="DFT101" s="224"/>
      <c r="DFU101" s="222" t="s">
        <v>47</v>
      </c>
      <c r="DFV101" s="223"/>
      <c r="DFW101" s="223"/>
      <c r="DFX101" s="223"/>
      <c r="DFY101" s="223"/>
      <c r="DFZ101" s="223"/>
      <c r="DGA101" s="223"/>
      <c r="DGB101" s="224"/>
      <c r="DGC101" s="222" t="s">
        <v>47</v>
      </c>
      <c r="DGD101" s="223"/>
      <c r="DGE101" s="223"/>
      <c r="DGF101" s="223"/>
      <c r="DGG101" s="223"/>
      <c r="DGH101" s="223"/>
      <c r="DGI101" s="223"/>
      <c r="DGJ101" s="224"/>
      <c r="DGK101" s="222" t="s">
        <v>47</v>
      </c>
      <c r="DGL101" s="223"/>
      <c r="DGM101" s="223"/>
      <c r="DGN101" s="223"/>
      <c r="DGO101" s="223"/>
      <c r="DGP101" s="223"/>
      <c r="DGQ101" s="223"/>
      <c r="DGR101" s="224"/>
      <c r="DGS101" s="222" t="s">
        <v>47</v>
      </c>
      <c r="DGT101" s="223"/>
      <c r="DGU101" s="223"/>
      <c r="DGV101" s="223"/>
      <c r="DGW101" s="223"/>
      <c r="DGX101" s="223"/>
      <c r="DGY101" s="223"/>
      <c r="DGZ101" s="224"/>
      <c r="DHA101" s="222" t="s">
        <v>47</v>
      </c>
      <c r="DHB101" s="223"/>
      <c r="DHC101" s="223"/>
      <c r="DHD101" s="223"/>
      <c r="DHE101" s="223"/>
      <c r="DHF101" s="223"/>
      <c r="DHG101" s="223"/>
      <c r="DHH101" s="224"/>
      <c r="DHI101" s="222" t="s">
        <v>47</v>
      </c>
      <c r="DHJ101" s="223"/>
      <c r="DHK101" s="223"/>
      <c r="DHL101" s="223"/>
      <c r="DHM101" s="223"/>
      <c r="DHN101" s="223"/>
      <c r="DHO101" s="223"/>
      <c r="DHP101" s="224"/>
      <c r="DHQ101" s="222" t="s">
        <v>47</v>
      </c>
      <c r="DHR101" s="223"/>
      <c r="DHS101" s="223"/>
      <c r="DHT101" s="223"/>
      <c r="DHU101" s="223"/>
      <c r="DHV101" s="223"/>
      <c r="DHW101" s="223"/>
      <c r="DHX101" s="224"/>
      <c r="DHY101" s="222" t="s">
        <v>47</v>
      </c>
      <c r="DHZ101" s="223"/>
      <c r="DIA101" s="223"/>
      <c r="DIB101" s="223"/>
      <c r="DIC101" s="223"/>
      <c r="DID101" s="223"/>
      <c r="DIE101" s="223"/>
      <c r="DIF101" s="224"/>
      <c r="DIG101" s="222" t="s">
        <v>47</v>
      </c>
      <c r="DIH101" s="223"/>
      <c r="DII101" s="223"/>
      <c r="DIJ101" s="223"/>
      <c r="DIK101" s="223"/>
      <c r="DIL101" s="223"/>
      <c r="DIM101" s="223"/>
      <c r="DIN101" s="224"/>
      <c r="DIO101" s="222" t="s">
        <v>47</v>
      </c>
      <c r="DIP101" s="223"/>
      <c r="DIQ101" s="223"/>
      <c r="DIR101" s="223"/>
      <c r="DIS101" s="223"/>
      <c r="DIT101" s="223"/>
      <c r="DIU101" s="223"/>
      <c r="DIV101" s="224"/>
      <c r="DIW101" s="222" t="s">
        <v>47</v>
      </c>
      <c r="DIX101" s="223"/>
      <c r="DIY101" s="223"/>
      <c r="DIZ101" s="223"/>
      <c r="DJA101" s="223"/>
      <c r="DJB101" s="223"/>
      <c r="DJC101" s="223"/>
      <c r="DJD101" s="224"/>
      <c r="DJE101" s="222" t="s">
        <v>47</v>
      </c>
      <c r="DJF101" s="223"/>
      <c r="DJG101" s="223"/>
      <c r="DJH101" s="223"/>
      <c r="DJI101" s="223"/>
      <c r="DJJ101" s="223"/>
      <c r="DJK101" s="223"/>
      <c r="DJL101" s="224"/>
      <c r="DJM101" s="222" t="s">
        <v>47</v>
      </c>
      <c r="DJN101" s="223"/>
      <c r="DJO101" s="223"/>
      <c r="DJP101" s="223"/>
      <c r="DJQ101" s="223"/>
      <c r="DJR101" s="223"/>
      <c r="DJS101" s="223"/>
      <c r="DJT101" s="224"/>
      <c r="DJU101" s="222" t="s">
        <v>47</v>
      </c>
      <c r="DJV101" s="223"/>
      <c r="DJW101" s="223"/>
      <c r="DJX101" s="223"/>
      <c r="DJY101" s="223"/>
      <c r="DJZ101" s="223"/>
      <c r="DKA101" s="223"/>
      <c r="DKB101" s="224"/>
      <c r="DKC101" s="222" t="s">
        <v>47</v>
      </c>
      <c r="DKD101" s="223"/>
      <c r="DKE101" s="223"/>
      <c r="DKF101" s="223"/>
      <c r="DKG101" s="223"/>
      <c r="DKH101" s="223"/>
      <c r="DKI101" s="223"/>
      <c r="DKJ101" s="224"/>
      <c r="DKK101" s="222" t="s">
        <v>47</v>
      </c>
      <c r="DKL101" s="223"/>
      <c r="DKM101" s="223"/>
      <c r="DKN101" s="223"/>
      <c r="DKO101" s="223"/>
      <c r="DKP101" s="223"/>
      <c r="DKQ101" s="223"/>
      <c r="DKR101" s="224"/>
      <c r="DKS101" s="222" t="s">
        <v>47</v>
      </c>
      <c r="DKT101" s="223"/>
      <c r="DKU101" s="223"/>
      <c r="DKV101" s="223"/>
      <c r="DKW101" s="223"/>
      <c r="DKX101" s="223"/>
      <c r="DKY101" s="223"/>
      <c r="DKZ101" s="224"/>
      <c r="DLA101" s="222" t="s">
        <v>47</v>
      </c>
      <c r="DLB101" s="223"/>
      <c r="DLC101" s="223"/>
      <c r="DLD101" s="223"/>
      <c r="DLE101" s="223"/>
      <c r="DLF101" s="223"/>
      <c r="DLG101" s="223"/>
      <c r="DLH101" s="224"/>
      <c r="DLI101" s="222" t="s">
        <v>47</v>
      </c>
      <c r="DLJ101" s="223"/>
      <c r="DLK101" s="223"/>
      <c r="DLL101" s="223"/>
      <c r="DLM101" s="223"/>
      <c r="DLN101" s="223"/>
      <c r="DLO101" s="223"/>
      <c r="DLP101" s="224"/>
      <c r="DLQ101" s="222" t="s">
        <v>47</v>
      </c>
      <c r="DLR101" s="223"/>
      <c r="DLS101" s="223"/>
      <c r="DLT101" s="223"/>
      <c r="DLU101" s="223"/>
      <c r="DLV101" s="223"/>
      <c r="DLW101" s="223"/>
      <c r="DLX101" s="224"/>
      <c r="DLY101" s="222" t="s">
        <v>47</v>
      </c>
      <c r="DLZ101" s="223"/>
      <c r="DMA101" s="223"/>
      <c r="DMB101" s="223"/>
      <c r="DMC101" s="223"/>
      <c r="DMD101" s="223"/>
      <c r="DME101" s="223"/>
      <c r="DMF101" s="224"/>
      <c r="DMG101" s="222" t="s">
        <v>47</v>
      </c>
      <c r="DMH101" s="223"/>
      <c r="DMI101" s="223"/>
      <c r="DMJ101" s="223"/>
      <c r="DMK101" s="223"/>
      <c r="DML101" s="223"/>
      <c r="DMM101" s="223"/>
      <c r="DMN101" s="224"/>
      <c r="DMO101" s="222" t="s">
        <v>47</v>
      </c>
      <c r="DMP101" s="223"/>
      <c r="DMQ101" s="223"/>
      <c r="DMR101" s="223"/>
      <c r="DMS101" s="223"/>
      <c r="DMT101" s="223"/>
      <c r="DMU101" s="223"/>
      <c r="DMV101" s="224"/>
      <c r="DMW101" s="222" t="s">
        <v>47</v>
      </c>
      <c r="DMX101" s="223"/>
      <c r="DMY101" s="223"/>
      <c r="DMZ101" s="223"/>
      <c r="DNA101" s="223"/>
      <c r="DNB101" s="223"/>
      <c r="DNC101" s="223"/>
      <c r="DND101" s="224"/>
      <c r="DNE101" s="222" t="s">
        <v>47</v>
      </c>
      <c r="DNF101" s="223"/>
      <c r="DNG101" s="223"/>
      <c r="DNH101" s="223"/>
      <c r="DNI101" s="223"/>
      <c r="DNJ101" s="223"/>
      <c r="DNK101" s="223"/>
      <c r="DNL101" s="224"/>
      <c r="DNM101" s="222" t="s">
        <v>47</v>
      </c>
      <c r="DNN101" s="223"/>
      <c r="DNO101" s="223"/>
      <c r="DNP101" s="223"/>
      <c r="DNQ101" s="223"/>
      <c r="DNR101" s="223"/>
      <c r="DNS101" s="223"/>
      <c r="DNT101" s="224"/>
      <c r="DNU101" s="222" t="s">
        <v>47</v>
      </c>
      <c r="DNV101" s="223"/>
      <c r="DNW101" s="223"/>
      <c r="DNX101" s="223"/>
      <c r="DNY101" s="223"/>
      <c r="DNZ101" s="223"/>
      <c r="DOA101" s="223"/>
      <c r="DOB101" s="224"/>
      <c r="DOC101" s="222" t="s">
        <v>47</v>
      </c>
      <c r="DOD101" s="223"/>
      <c r="DOE101" s="223"/>
      <c r="DOF101" s="223"/>
      <c r="DOG101" s="223"/>
      <c r="DOH101" s="223"/>
      <c r="DOI101" s="223"/>
      <c r="DOJ101" s="224"/>
      <c r="DOK101" s="222" t="s">
        <v>47</v>
      </c>
      <c r="DOL101" s="223"/>
      <c r="DOM101" s="223"/>
      <c r="DON101" s="223"/>
      <c r="DOO101" s="223"/>
      <c r="DOP101" s="223"/>
      <c r="DOQ101" s="223"/>
      <c r="DOR101" s="224"/>
      <c r="DOS101" s="222" t="s">
        <v>47</v>
      </c>
      <c r="DOT101" s="223"/>
      <c r="DOU101" s="223"/>
      <c r="DOV101" s="223"/>
      <c r="DOW101" s="223"/>
      <c r="DOX101" s="223"/>
      <c r="DOY101" s="223"/>
      <c r="DOZ101" s="224"/>
      <c r="DPA101" s="222" t="s">
        <v>47</v>
      </c>
      <c r="DPB101" s="223"/>
      <c r="DPC101" s="223"/>
      <c r="DPD101" s="223"/>
      <c r="DPE101" s="223"/>
      <c r="DPF101" s="223"/>
      <c r="DPG101" s="223"/>
      <c r="DPH101" s="224"/>
      <c r="DPI101" s="222" t="s">
        <v>47</v>
      </c>
      <c r="DPJ101" s="223"/>
      <c r="DPK101" s="223"/>
      <c r="DPL101" s="223"/>
      <c r="DPM101" s="223"/>
      <c r="DPN101" s="223"/>
      <c r="DPO101" s="223"/>
      <c r="DPP101" s="224"/>
      <c r="DPQ101" s="222" t="s">
        <v>47</v>
      </c>
      <c r="DPR101" s="223"/>
      <c r="DPS101" s="223"/>
      <c r="DPT101" s="223"/>
      <c r="DPU101" s="223"/>
      <c r="DPV101" s="223"/>
      <c r="DPW101" s="223"/>
      <c r="DPX101" s="224"/>
      <c r="DPY101" s="222" t="s">
        <v>47</v>
      </c>
      <c r="DPZ101" s="223"/>
      <c r="DQA101" s="223"/>
      <c r="DQB101" s="223"/>
      <c r="DQC101" s="223"/>
      <c r="DQD101" s="223"/>
      <c r="DQE101" s="223"/>
      <c r="DQF101" s="224"/>
      <c r="DQG101" s="222" t="s">
        <v>47</v>
      </c>
      <c r="DQH101" s="223"/>
      <c r="DQI101" s="223"/>
      <c r="DQJ101" s="223"/>
      <c r="DQK101" s="223"/>
      <c r="DQL101" s="223"/>
      <c r="DQM101" s="223"/>
      <c r="DQN101" s="224"/>
      <c r="DQO101" s="222" t="s">
        <v>47</v>
      </c>
      <c r="DQP101" s="223"/>
      <c r="DQQ101" s="223"/>
      <c r="DQR101" s="223"/>
      <c r="DQS101" s="223"/>
      <c r="DQT101" s="223"/>
      <c r="DQU101" s="223"/>
      <c r="DQV101" s="224"/>
      <c r="DQW101" s="222" t="s">
        <v>47</v>
      </c>
      <c r="DQX101" s="223"/>
      <c r="DQY101" s="223"/>
      <c r="DQZ101" s="223"/>
      <c r="DRA101" s="223"/>
      <c r="DRB101" s="223"/>
      <c r="DRC101" s="223"/>
      <c r="DRD101" s="224"/>
      <c r="DRE101" s="222" t="s">
        <v>47</v>
      </c>
      <c r="DRF101" s="223"/>
      <c r="DRG101" s="223"/>
      <c r="DRH101" s="223"/>
      <c r="DRI101" s="223"/>
      <c r="DRJ101" s="223"/>
      <c r="DRK101" s="223"/>
      <c r="DRL101" s="224"/>
      <c r="DRM101" s="222" t="s">
        <v>47</v>
      </c>
      <c r="DRN101" s="223"/>
      <c r="DRO101" s="223"/>
      <c r="DRP101" s="223"/>
      <c r="DRQ101" s="223"/>
      <c r="DRR101" s="223"/>
      <c r="DRS101" s="223"/>
      <c r="DRT101" s="224"/>
      <c r="DRU101" s="222" t="s">
        <v>47</v>
      </c>
      <c r="DRV101" s="223"/>
      <c r="DRW101" s="223"/>
      <c r="DRX101" s="223"/>
      <c r="DRY101" s="223"/>
      <c r="DRZ101" s="223"/>
      <c r="DSA101" s="223"/>
      <c r="DSB101" s="224"/>
      <c r="DSC101" s="222" t="s">
        <v>47</v>
      </c>
      <c r="DSD101" s="223"/>
      <c r="DSE101" s="223"/>
      <c r="DSF101" s="223"/>
      <c r="DSG101" s="223"/>
      <c r="DSH101" s="223"/>
      <c r="DSI101" s="223"/>
      <c r="DSJ101" s="224"/>
      <c r="DSK101" s="222" t="s">
        <v>47</v>
      </c>
      <c r="DSL101" s="223"/>
      <c r="DSM101" s="223"/>
      <c r="DSN101" s="223"/>
      <c r="DSO101" s="223"/>
      <c r="DSP101" s="223"/>
      <c r="DSQ101" s="223"/>
      <c r="DSR101" s="224"/>
      <c r="DSS101" s="222" t="s">
        <v>47</v>
      </c>
      <c r="DST101" s="223"/>
      <c r="DSU101" s="223"/>
      <c r="DSV101" s="223"/>
      <c r="DSW101" s="223"/>
      <c r="DSX101" s="223"/>
      <c r="DSY101" s="223"/>
      <c r="DSZ101" s="224"/>
      <c r="DTA101" s="222" t="s">
        <v>47</v>
      </c>
      <c r="DTB101" s="223"/>
      <c r="DTC101" s="223"/>
      <c r="DTD101" s="223"/>
      <c r="DTE101" s="223"/>
      <c r="DTF101" s="223"/>
      <c r="DTG101" s="223"/>
      <c r="DTH101" s="224"/>
      <c r="DTI101" s="222" t="s">
        <v>47</v>
      </c>
      <c r="DTJ101" s="223"/>
      <c r="DTK101" s="223"/>
      <c r="DTL101" s="223"/>
      <c r="DTM101" s="223"/>
      <c r="DTN101" s="223"/>
      <c r="DTO101" s="223"/>
      <c r="DTP101" s="224"/>
      <c r="DTQ101" s="222" t="s">
        <v>47</v>
      </c>
      <c r="DTR101" s="223"/>
      <c r="DTS101" s="223"/>
      <c r="DTT101" s="223"/>
      <c r="DTU101" s="223"/>
      <c r="DTV101" s="223"/>
      <c r="DTW101" s="223"/>
      <c r="DTX101" s="224"/>
      <c r="DTY101" s="222" t="s">
        <v>47</v>
      </c>
      <c r="DTZ101" s="223"/>
      <c r="DUA101" s="223"/>
      <c r="DUB101" s="223"/>
      <c r="DUC101" s="223"/>
      <c r="DUD101" s="223"/>
      <c r="DUE101" s="223"/>
      <c r="DUF101" s="224"/>
      <c r="DUG101" s="222" t="s">
        <v>47</v>
      </c>
      <c r="DUH101" s="223"/>
      <c r="DUI101" s="223"/>
      <c r="DUJ101" s="223"/>
      <c r="DUK101" s="223"/>
      <c r="DUL101" s="223"/>
      <c r="DUM101" s="223"/>
      <c r="DUN101" s="224"/>
      <c r="DUO101" s="222" t="s">
        <v>47</v>
      </c>
      <c r="DUP101" s="223"/>
      <c r="DUQ101" s="223"/>
      <c r="DUR101" s="223"/>
      <c r="DUS101" s="223"/>
      <c r="DUT101" s="223"/>
      <c r="DUU101" s="223"/>
      <c r="DUV101" s="224"/>
      <c r="DUW101" s="222" t="s">
        <v>47</v>
      </c>
      <c r="DUX101" s="223"/>
      <c r="DUY101" s="223"/>
      <c r="DUZ101" s="223"/>
      <c r="DVA101" s="223"/>
      <c r="DVB101" s="223"/>
      <c r="DVC101" s="223"/>
      <c r="DVD101" s="224"/>
      <c r="DVE101" s="222" t="s">
        <v>47</v>
      </c>
      <c r="DVF101" s="223"/>
      <c r="DVG101" s="223"/>
      <c r="DVH101" s="223"/>
      <c r="DVI101" s="223"/>
      <c r="DVJ101" s="223"/>
      <c r="DVK101" s="223"/>
      <c r="DVL101" s="224"/>
      <c r="DVM101" s="222" t="s">
        <v>47</v>
      </c>
      <c r="DVN101" s="223"/>
      <c r="DVO101" s="223"/>
      <c r="DVP101" s="223"/>
      <c r="DVQ101" s="223"/>
      <c r="DVR101" s="223"/>
      <c r="DVS101" s="223"/>
      <c r="DVT101" s="224"/>
      <c r="DVU101" s="222" t="s">
        <v>47</v>
      </c>
      <c r="DVV101" s="223"/>
      <c r="DVW101" s="223"/>
      <c r="DVX101" s="223"/>
      <c r="DVY101" s="223"/>
      <c r="DVZ101" s="223"/>
      <c r="DWA101" s="223"/>
      <c r="DWB101" s="224"/>
      <c r="DWC101" s="222" t="s">
        <v>47</v>
      </c>
      <c r="DWD101" s="223"/>
      <c r="DWE101" s="223"/>
      <c r="DWF101" s="223"/>
      <c r="DWG101" s="223"/>
      <c r="DWH101" s="223"/>
      <c r="DWI101" s="223"/>
      <c r="DWJ101" s="224"/>
      <c r="DWK101" s="222" t="s">
        <v>47</v>
      </c>
      <c r="DWL101" s="223"/>
      <c r="DWM101" s="223"/>
      <c r="DWN101" s="223"/>
      <c r="DWO101" s="223"/>
      <c r="DWP101" s="223"/>
      <c r="DWQ101" s="223"/>
      <c r="DWR101" s="224"/>
      <c r="DWS101" s="222" t="s">
        <v>47</v>
      </c>
      <c r="DWT101" s="223"/>
      <c r="DWU101" s="223"/>
      <c r="DWV101" s="223"/>
      <c r="DWW101" s="223"/>
      <c r="DWX101" s="223"/>
      <c r="DWY101" s="223"/>
      <c r="DWZ101" s="224"/>
      <c r="DXA101" s="222" t="s">
        <v>47</v>
      </c>
      <c r="DXB101" s="223"/>
      <c r="DXC101" s="223"/>
      <c r="DXD101" s="223"/>
      <c r="DXE101" s="223"/>
      <c r="DXF101" s="223"/>
      <c r="DXG101" s="223"/>
      <c r="DXH101" s="224"/>
      <c r="DXI101" s="222" t="s">
        <v>47</v>
      </c>
      <c r="DXJ101" s="223"/>
      <c r="DXK101" s="223"/>
      <c r="DXL101" s="223"/>
      <c r="DXM101" s="223"/>
      <c r="DXN101" s="223"/>
      <c r="DXO101" s="223"/>
      <c r="DXP101" s="224"/>
      <c r="DXQ101" s="222" t="s">
        <v>47</v>
      </c>
      <c r="DXR101" s="223"/>
      <c r="DXS101" s="223"/>
      <c r="DXT101" s="223"/>
      <c r="DXU101" s="223"/>
      <c r="DXV101" s="223"/>
      <c r="DXW101" s="223"/>
      <c r="DXX101" s="224"/>
      <c r="DXY101" s="222" t="s">
        <v>47</v>
      </c>
      <c r="DXZ101" s="223"/>
      <c r="DYA101" s="223"/>
      <c r="DYB101" s="223"/>
      <c r="DYC101" s="223"/>
      <c r="DYD101" s="223"/>
      <c r="DYE101" s="223"/>
      <c r="DYF101" s="224"/>
      <c r="DYG101" s="222" t="s">
        <v>47</v>
      </c>
      <c r="DYH101" s="223"/>
      <c r="DYI101" s="223"/>
      <c r="DYJ101" s="223"/>
      <c r="DYK101" s="223"/>
      <c r="DYL101" s="223"/>
      <c r="DYM101" s="223"/>
      <c r="DYN101" s="224"/>
      <c r="DYO101" s="222" t="s">
        <v>47</v>
      </c>
      <c r="DYP101" s="223"/>
      <c r="DYQ101" s="223"/>
      <c r="DYR101" s="223"/>
      <c r="DYS101" s="223"/>
      <c r="DYT101" s="223"/>
      <c r="DYU101" s="223"/>
      <c r="DYV101" s="224"/>
      <c r="DYW101" s="222" t="s">
        <v>47</v>
      </c>
      <c r="DYX101" s="223"/>
      <c r="DYY101" s="223"/>
      <c r="DYZ101" s="223"/>
      <c r="DZA101" s="223"/>
      <c r="DZB101" s="223"/>
      <c r="DZC101" s="223"/>
      <c r="DZD101" s="224"/>
      <c r="DZE101" s="222" t="s">
        <v>47</v>
      </c>
      <c r="DZF101" s="223"/>
      <c r="DZG101" s="223"/>
      <c r="DZH101" s="223"/>
      <c r="DZI101" s="223"/>
      <c r="DZJ101" s="223"/>
      <c r="DZK101" s="223"/>
      <c r="DZL101" s="224"/>
      <c r="DZM101" s="222" t="s">
        <v>47</v>
      </c>
      <c r="DZN101" s="223"/>
      <c r="DZO101" s="223"/>
      <c r="DZP101" s="223"/>
      <c r="DZQ101" s="223"/>
      <c r="DZR101" s="223"/>
      <c r="DZS101" s="223"/>
      <c r="DZT101" s="224"/>
      <c r="DZU101" s="222" t="s">
        <v>47</v>
      </c>
      <c r="DZV101" s="223"/>
      <c r="DZW101" s="223"/>
      <c r="DZX101" s="223"/>
      <c r="DZY101" s="223"/>
      <c r="DZZ101" s="223"/>
      <c r="EAA101" s="223"/>
      <c r="EAB101" s="224"/>
      <c r="EAC101" s="222" t="s">
        <v>47</v>
      </c>
      <c r="EAD101" s="223"/>
      <c r="EAE101" s="223"/>
      <c r="EAF101" s="223"/>
      <c r="EAG101" s="223"/>
      <c r="EAH101" s="223"/>
      <c r="EAI101" s="223"/>
      <c r="EAJ101" s="224"/>
      <c r="EAK101" s="222" t="s">
        <v>47</v>
      </c>
      <c r="EAL101" s="223"/>
      <c r="EAM101" s="223"/>
      <c r="EAN101" s="223"/>
      <c r="EAO101" s="223"/>
      <c r="EAP101" s="223"/>
      <c r="EAQ101" s="223"/>
      <c r="EAR101" s="224"/>
      <c r="EAS101" s="222" t="s">
        <v>47</v>
      </c>
      <c r="EAT101" s="223"/>
      <c r="EAU101" s="223"/>
      <c r="EAV101" s="223"/>
      <c r="EAW101" s="223"/>
      <c r="EAX101" s="223"/>
      <c r="EAY101" s="223"/>
      <c r="EAZ101" s="224"/>
      <c r="EBA101" s="222" t="s">
        <v>47</v>
      </c>
      <c r="EBB101" s="223"/>
      <c r="EBC101" s="223"/>
      <c r="EBD101" s="223"/>
      <c r="EBE101" s="223"/>
      <c r="EBF101" s="223"/>
      <c r="EBG101" s="223"/>
      <c r="EBH101" s="224"/>
      <c r="EBI101" s="222" t="s">
        <v>47</v>
      </c>
      <c r="EBJ101" s="223"/>
      <c r="EBK101" s="223"/>
      <c r="EBL101" s="223"/>
      <c r="EBM101" s="223"/>
      <c r="EBN101" s="223"/>
      <c r="EBO101" s="223"/>
      <c r="EBP101" s="224"/>
      <c r="EBQ101" s="222" t="s">
        <v>47</v>
      </c>
      <c r="EBR101" s="223"/>
      <c r="EBS101" s="223"/>
      <c r="EBT101" s="223"/>
      <c r="EBU101" s="223"/>
      <c r="EBV101" s="223"/>
      <c r="EBW101" s="223"/>
      <c r="EBX101" s="224"/>
      <c r="EBY101" s="222" t="s">
        <v>47</v>
      </c>
      <c r="EBZ101" s="223"/>
      <c r="ECA101" s="223"/>
      <c r="ECB101" s="223"/>
      <c r="ECC101" s="223"/>
      <c r="ECD101" s="223"/>
      <c r="ECE101" s="223"/>
      <c r="ECF101" s="224"/>
      <c r="ECG101" s="222" t="s">
        <v>47</v>
      </c>
      <c r="ECH101" s="223"/>
      <c r="ECI101" s="223"/>
      <c r="ECJ101" s="223"/>
      <c r="ECK101" s="223"/>
      <c r="ECL101" s="223"/>
      <c r="ECM101" s="223"/>
      <c r="ECN101" s="224"/>
      <c r="ECO101" s="222" t="s">
        <v>47</v>
      </c>
      <c r="ECP101" s="223"/>
      <c r="ECQ101" s="223"/>
      <c r="ECR101" s="223"/>
      <c r="ECS101" s="223"/>
      <c r="ECT101" s="223"/>
      <c r="ECU101" s="223"/>
      <c r="ECV101" s="224"/>
      <c r="ECW101" s="222" t="s">
        <v>47</v>
      </c>
      <c r="ECX101" s="223"/>
      <c r="ECY101" s="223"/>
      <c r="ECZ101" s="223"/>
      <c r="EDA101" s="223"/>
      <c r="EDB101" s="223"/>
      <c r="EDC101" s="223"/>
      <c r="EDD101" s="224"/>
      <c r="EDE101" s="222" t="s">
        <v>47</v>
      </c>
      <c r="EDF101" s="223"/>
      <c r="EDG101" s="223"/>
      <c r="EDH101" s="223"/>
      <c r="EDI101" s="223"/>
      <c r="EDJ101" s="223"/>
      <c r="EDK101" s="223"/>
      <c r="EDL101" s="224"/>
      <c r="EDM101" s="222" t="s">
        <v>47</v>
      </c>
      <c r="EDN101" s="223"/>
      <c r="EDO101" s="223"/>
      <c r="EDP101" s="223"/>
      <c r="EDQ101" s="223"/>
      <c r="EDR101" s="223"/>
      <c r="EDS101" s="223"/>
      <c r="EDT101" s="224"/>
      <c r="EDU101" s="222" t="s">
        <v>47</v>
      </c>
      <c r="EDV101" s="223"/>
      <c r="EDW101" s="223"/>
      <c r="EDX101" s="223"/>
      <c r="EDY101" s="223"/>
      <c r="EDZ101" s="223"/>
      <c r="EEA101" s="223"/>
      <c r="EEB101" s="224"/>
      <c r="EEC101" s="222" t="s">
        <v>47</v>
      </c>
      <c r="EED101" s="223"/>
      <c r="EEE101" s="223"/>
      <c r="EEF101" s="223"/>
      <c r="EEG101" s="223"/>
      <c r="EEH101" s="223"/>
      <c r="EEI101" s="223"/>
      <c r="EEJ101" s="224"/>
      <c r="EEK101" s="222" t="s">
        <v>47</v>
      </c>
      <c r="EEL101" s="223"/>
      <c r="EEM101" s="223"/>
      <c r="EEN101" s="223"/>
      <c r="EEO101" s="223"/>
      <c r="EEP101" s="223"/>
      <c r="EEQ101" s="223"/>
      <c r="EER101" s="224"/>
      <c r="EES101" s="222" t="s">
        <v>47</v>
      </c>
      <c r="EET101" s="223"/>
      <c r="EEU101" s="223"/>
      <c r="EEV101" s="223"/>
      <c r="EEW101" s="223"/>
      <c r="EEX101" s="223"/>
      <c r="EEY101" s="223"/>
      <c r="EEZ101" s="224"/>
      <c r="EFA101" s="222" t="s">
        <v>47</v>
      </c>
      <c r="EFB101" s="223"/>
      <c r="EFC101" s="223"/>
      <c r="EFD101" s="223"/>
      <c r="EFE101" s="223"/>
      <c r="EFF101" s="223"/>
      <c r="EFG101" s="223"/>
      <c r="EFH101" s="224"/>
      <c r="EFI101" s="222" t="s">
        <v>47</v>
      </c>
      <c r="EFJ101" s="223"/>
      <c r="EFK101" s="223"/>
      <c r="EFL101" s="223"/>
      <c r="EFM101" s="223"/>
      <c r="EFN101" s="223"/>
      <c r="EFO101" s="223"/>
      <c r="EFP101" s="224"/>
      <c r="EFQ101" s="222" t="s">
        <v>47</v>
      </c>
      <c r="EFR101" s="223"/>
      <c r="EFS101" s="223"/>
      <c r="EFT101" s="223"/>
      <c r="EFU101" s="223"/>
      <c r="EFV101" s="223"/>
      <c r="EFW101" s="223"/>
      <c r="EFX101" s="224"/>
      <c r="EFY101" s="222" t="s">
        <v>47</v>
      </c>
      <c r="EFZ101" s="223"/>
      <c r="EGA101" s="223"/>
      <c r="EGB101" s="223"/>
      <c r="EGC101" s="223"/>
      <c r="EGD101" s="223"/>
      <c r="EGE101" s="223"/>
      <c r="EGF101" s="224"/>
      <c r="EGG101" s="222" t="s">
        <v>47</v>
      </c>
      <c r="EGH101" s="223"/>
      <c r="EGI101" s="223"/>
      <c r="EGJ101" s="223"/>
      <c r="EGK101" s="223"/>
      <c r="EGL101" s="223"/>
      <c r="EGM101" s="223"/>
      <c r="EGN101" s="224"/>
      <c r="EGO101" s="222" t="s">
        <v>47</v>
      </c>
      <c r="EGP101" s="223"/>
      <c r="EGQ101" s="223"/>
      <c r="EGR101" s="223"/>
      <c r="EGS101" s="223"/>
      <c r="EGT101" s="223"/>
      <c r="EGU101" s="223"/>
      <c r="EGV101" s="224"/>
      <c r="EGW101" s="222" t="s">
        <v>47</v>
      </c>
      <c r="EGX101" s="223"/>
      <c r="EGY101" s="223"/>
      <c r="EGZ101" s="223"/>
      <c r="EHA101" s="223"/>
      <c r="EHB101" s="223"/>
      <c r="EHC101" s="223"/>
      <c r="EHD101" s="224"/>
      <c r="EHE101" s="222" t="s">
        <v>47</v>
      </c>
      <c r="EHF101" s="223"/>
      <c r="EHG101" s="223"/>
      <c r="EHH101" s="223"/>
      <c r="EHI101" s="223"/>
      <c r="EHJ101" s="223"/>
      <c r="EHK101" s="223"/>
      <c r="EHL101" s="224"/>
      <c r="EHM101" s="222" t="s">
        <v>47</v>
      </c>
      <c r="EHN101" s="223"/>
      <c r="EHO101" s="223"/>
      <c r="EHP101" s="223"/>
      <c r="EHQ101" s="223"/>
      <c r="EHR101" s="223"/>
      <c r="EHS101" s="223"/>
      <c r="EHT101" s="224"/>
      <c r="EHU101" s="222" t="s">
        <v>47</v>
      </c>
      <c r="EHV101" s="223"/>
      <c r="EHW101" s="223"/>
      <c r="EHX101" s="223"/>
      <c r="EHY101" s="223"/>
      <c r="EHZ101" s="223"/>
      <c r="EIA101" s="223"/>
      <c r="EIB101" s="224"/>
      <c r="EIC101" s="222" t="s">
        <v>47</v>
      </c>
      <c r="EID101" s="223"/>
      <c r="EIE101" s="223"/>
      <c r="EIF101" s="223"/>
      <c r="EIG101" s="223"/>
      <c r="EIH101" s="223"/>
      <c r="EII101" s="223"/>
      <c r="EIJ101" s="224"/>
      <c r="EIK101" s="222" t="s">
        <v>47</v>
      </c>
      <c r="EIL101" s="223"/>
      <c r="EIM101" s="223"/>
      <c r="EIN101" s="223"/>
      <c r="EIO101" s="223"/>
      <c r="EIP101" s="223"/>
      <c r="EIQ101" s="223"/>
      <c r="EIR101" s="224"/>
      <c r="EIS101" s="222" t="s">
        <v>47</v>
      </c>
      <c r="EIT101" s="223"/>
      <c r="EIU101" s="223"/>
      <c r="EIV101" s="223"/>
      <c r="EIW101" s="223"/>
      <c r="EIX101" s="223"/>
      <c r="EIY101" s="223"/>
      <c r="EIZ101" s="224"/>
      <c r="EJA101" s="222" t="s">
        <v>47</v>
      </c>
      <c r="EJB101" s="223"/>
      <c r="EJC101" s="223"/>
      <c r="EJD101" s="223"/>
      <c r="EJE101" s="223"/>
      <c r="EJF101" s="223"/>
      <c r="EJG101" s="223"/>
      <c r="EJH101" s="224"/>
      <c r="EJI101" s="222" t="s">
        <v>47</v>
      </c>
      <c r="EJJ101" s="223"/>
      <c r="EJK101" s="223"/>
      <c r="EJL101" s="223"/>
      <c r="EJM101" s="223"/>
      <c r="EJN101" s="223"/>
      <c r="EJO101" s="223"/>
      <c r="EJP101" s="224"/>
      <c r="EJQ101" s="222" t="s">
        <v>47</v>
      </c>
      <c r="EJR101" s="223"/>
      <c r="EJS101" s="223"/>
      <c r="EJT101" s="223"/>
      <c r="EJU101" s="223"/>
      <c r="EJV101" s="223"/>
      <c r="EJW101" s="223"/>
      <c r="EJX101" s="224"/>
      <c r="EJY101" s="222" t="s">
        <v>47</v>
      </c>
      <c r="EJZ101" s="223"/>
      <c r="EKA101" s="223"/>
      <c r="EKB101" s="223"/>
      <c r="EKC101" s="223"/>
      <c r="EKD101" s="223"/>
      <c r="EKE101" s="223"/>
      <c r="EKF101" s="224"/>
      <c r="EKG101" s="222" t="s">
        <v>47</v>
      </c>
      <c r="EKH101" s="223"/>
      <c r="EKI101" s="223"/>
      <c r="EKJ101" s="223"/>
      <c r="EKK101" s="223"/>
      <c r="EKL101" s="223"/>
      <c r="EKM101" s="223"/>
      <c r="EKN101" s="224"/>
      <c r="EKO101" s="222" t="s">
        <v>47</v>
      </c>
      <c r="EKP101" s="223"/>
      <c r="EKQ101" s="223"/>
      <c r="EKR101" s="223"/>
      <c r="EKS101" s="223"/>
      <c r="EKT101" s="223"/>
      <c r="EKU101" s="223"/>
      <c r="EKV101" s="224"/>
      <c r="EKW101" s="222" t="s">
        <v>47</v>
      </c>
      <c r="EKX101" s="223"/>
      <c r="EKY101" s="223"/>
      <c r="EKZ101" s="223"/>
      <c r="ELA101" s="223"/>
      <c r="ELB101" s="223"/>
      <c r="ELC101" s="223"/>
      <c r="ELD101" s="224"/>
      <c r="ELE101" s="222" t="s">
        <v>47</v>
      </c>
      <c r="ELF101" s="223"/>
      <c r="ELG101" s="223"/>
      <c r="ELH101" s="223"/>
      <c r="ELI101" s="223"/>
      <c r="ELJ101" s="223"/>
      <c r="ELK101" s="223"/>
      <c r="ELL101" s="224"/>
      <c r="ELM101" s="222" t="s">
        <v>47</v>
      </c>
      <c r="ELN101" s="223"/>
      <c r="ELO101" s="223"/>
      <c r="ELP101" s="223"/>
      <c r="ELQ101" s="223"/>
      <c r="ELR101" s="223"/>
      <c r="ELS101" s="223"/>
      <c r="ELT101" s="224"/>
      <c r="ELU101" s="222" t="s">
        <v>47</v>
      </c>
      <c r="ELV101" s="223"/>
      <c r="ELW101" s="223"/>
      <c r="ELX101" s="223"/>
      <c r="ELY101" s="223"/>
      <c r="ELZ101" s="223"/>
      <c r="EMA101" s="223"/>
      <c r="EMB101" s="224"/>
      <c r="EMC101" s="222" t="s">
        <v>47</v>
      </c>
      <c r="EMD101" s="223"/>
      <c r="EME101" s="223"/>
      <c r="EMF101" s="223"/>
      <c r="EMG101" s="223"/>
      <c r="EMH101" s="223"/>
      <c r="EMI101" s="223"/>
      <c r="EMJ101" s="224"/>
      <c r="EMK101" s="222" t="s">
        <v>47</v>
      </c>
      <c r="EML101" s="223"/>
      <c r="EMM101" s="223"/>
      <c r="EMN101" s="223"/>
      <c r="EMO101" s="223"/>
      <c r="EMP101" s="223"/>
      <c r="EMQ101" s="223"/>
      <c r="EMR101" s="224"/>
      <c r="EMS101" s="222" t="s">
        <v>47</v>
      </c>
      <c r="EMT101" s="223"/>
      <c r="EMU101" s="223"/>
      <c r="EMV101" s="223"/>
      <c r="EMW101" s="223"/>
      <c r="EMX101" s="223"/>
      <c r="EMY101" s="223"/>
      <c r="EMZ101" s="224"/>
      <c r="ENA101" s="222" t="s">
        <v>47</v>
      </c>
      <c r="ENB101" s="223"/>
      <c r="ENC101" s="223"/>
      <c r="END101" s="223"/>
      <c r="ENE101" s="223"/>
      <c r="ENF101" s="223"/>
      <c r="ENG101" s="223"/>
      <c r="ENH101" s="224"/>
      <c r="ENI101" s="222" t="s">
        <v>47</v>
      </c>
      <c r="ENJ101" s="223"/>
      <c r="ENK101" s="223"/>
      <c r="ENL101" s="223"/>
      <c r="ENM101" s="223"/>
      <c r="ENN101" s="223"/>
      <c r="ENO101" s="223"/>
      <c r="ENP101" s="224"/>
      <c r="ENQ101" s="222" t="s">
        <v>47</v>
      </c>
      <c r="ENR101" s="223"/>
      <c r="ENS101" s="223"/>
      <c r="ENT101" s="223"/>
      <c r="ENU101" s="223"/>
      <c r="ENV101" s="223"/>
      <c r="ENW101" s="223"/>
      <c r="ENX101" s="224"/>
      <c r="ENY101" s="222" t="s">
        <v>47</v>
      </c>
      <c r="ENZ101" s="223"/>
      <c r="EOA101" s="223"/>
      <c r="EOB101" s="223"/>
      <c r="EOC101" s="223"/>
      <c r="EOD101" s="223"/>
      <c r="EOE101" s="223"/>
      <c r="EOF101" s="224"/>
      <c r="EOG101" s="222" t="s">
        <v>47</v>
      </c>
      <c r="EOH101" s="223"/>
      <c r="EOI101" s="223"/>
      <c r="EOJ101" s="223"/>
      <c r="EOK101" s="223"/>
      <c r="EOL101" s="223"/>
      <c r="EOM101" s="223"/>
      <c r="EON101" s="224"/>
      <c r="EOO101" s="222" t="s">
        <v>47</v>
      </c>
      <c r="EOP101" s="223"/>
      <c r="EOQ101" s="223"/>
      <c r="EOR101" s="223"/>
      <c r="EOS101" s="223"/>
      <c r="EOT101" s="223"/>
      <c r="EOU101" s="223"/>
      <c r="EOV101" s="224"/>
      <c r="EOW101" s="222" t="s">
        <v>47</v>
      </c>
      <c r="EOX101" s="223"/>
      <c r="EOY101" s="223"/>
      <c r="EOZ101" s="223"/>
      <c r="EPA101" s="223"/>
      <c r="EPB101" s="223"/>
      <c r="EPC101" s="223"/>
      <c r="EPD101" s="224"/>
      <c r="EPE101" s="222" t="s">
        <v>47</v>
      </c>
      <c r="EPF101" s="223"/>
      <c r="EPG101" s="223"/>
      <c r="EPH101" s="223"/>
      <c r="EPI101" s="223"/>
      <c r="EPJ101" s="223"/>
      <c r="EPK101" s="223"/>
      <c r="EPL101" s="224"/>
      <c r="EPM101" s="222" t="s">
        <v>47</v>
      </c>
      <c r="EPN101" s="223"/>
      <c r="EPO101" s="223"/>
      <c r="EPP101" s="223"/>
      <c r="EPQ101" s="223"/>
      <c r="EPR101" s="223"/>
      <c r="EPS101" s="223"/>
      <c r="EPT101" s="224"/>
      <c r="EPU101" s="222" t="s">
        <v>47</v>
      </c>
      <c r="EPV101" s="223"/>
      <c r="EPW101" s="223"/>
      <c r="EPX101" s="223"/>
      <c r="EPY101" s="223"/>
      <c r="EPZ101" s="223"/>
      <c r="EQA101" s="223"/>
      <c r="EQB101" s="224"/>
      <c r="EQC101" s="222" t="s">
        <v>47</v>
      </c>
      <c r="EQD101" s="223"/>
      <c r="EQE101" s="223"/>
      <c r="EQF101" s="223"/>
      <c r="EQG101" s="223"/>
      <c r="EQH101" s="223"/>
      <c r="EQI101" s="223"/>
      <c r="EQJ101" s="224"/>
      <c r="EQK101" s="222" t="s">
        <v>47</v>
      </c>
      <c r="EQL101" s="223"/>
      <c r="EQM101" s="223"/>
      <c r="EQN101" s="223"/>
      <c r="EQO101" s="223"/>
      <c r="EQP101" s="223"/>
      <c r="EQQ101" s="223"/>
      <c r="EQR101" s="224"/>
      <c r="EQS101" s="222" t="s">
        <v>47</v>
      </c>
      <c r="EQT101" s="223"/>
      <c r="EQU101" s="223"/>
      <c r="EQV101" s="223"/>
      <c r="EQW101" s="223"/>
      <c r="EQX101" s="223"/>
      <c r="EQY101" s="223"/>
      <c r="EQZ101" s="224"/>
      <c r="ERA101" s="222" t="s">
        <v>47</v>
      </c>
      <c r="ERB101" s="223"/>
      <c r="ERC101" s="223"/>
      <c r="ERD101" s="223"/>
      <c r="ERE101" s="223"/>
      <c r="ERF101" s="223"/>
      <c r="ERG101" s="223"/>
      <c r="ERH101" s="224"/>
      <c r="ERI101" s="222" t="s">
        <v>47</v>
      </c>
      <c r="ERJ101" s="223"/>
      <c r="ERK101" s="223"/>
      <c r="ERL101" s="223"/>
      <c r="ERM101" s="223"/>
      <c r="ERN101" s="223"/>
      <c r="ERO101" s="223"/>
      <c r="ERP101" s="224"/>
      <c r="ERQ101" s="222" t="s">
        <v>47</v>
      </c>
      <c r="ERR101" s="223"/>
      <c r="ERS101" s="223"/>
      <c r="ERT101" s="223"/>
      <c r="ERU101" s="223"/>
      <c r="ERV101" s="223"/>
      <c r="ERW101" s="223"/>
      <c r="ERX101" s="224"/>
      <c r="ERY101" s="222" t="s">
        <v>47</v>
      </c>
      <c r="ERZ101" s="223"/>
      <c r="ESA101" s="223"/>
      <c r="ESB101" s="223"/>
      <c r="ESC101" s="223"/>
      <c r="ESD101" s="223"/>
      <c r="ESE101" s="223"/>
      <c r="ESF101" s="224"/>
      <c r="ESG101" s="222" t="s">
        <v>47</v>
      </c>
      <c r="ESH101" s="223"/>
      <c r="ESI101" s="223"/>
      <c r="ESJ101" s="223"/>
      <c r="ESK101" s="223"/>
      <c r="ESL101" s="223"/>
      <c r="ESM101" s="223"/>
      <c r="ESN101" s="224"/>
      <c r="ESO101" s="222" t="s">
        <v>47</v>
      </c>
      <c r="ESP101" s="223"/>
      <c r="ESQ101" s="223"/>
      <c r="ESR101" s="223"/>
      <c r="ESS101" s="223"/>
      <c r="EST101" s="223"/>
      <c r="ESU101" s="223"/>
      <c r="ESV101" s="224"/>
      <c r="ESW101" s="222" t="s">
        <v>47</v>
      </c>
      <c r="ESX101" s="223"/>
      <c r="ESY101" s="223"/>
      <c r="ESZ101" s="223"/>
      <c r="ETA101" s="223"/>
      <c r="ETB101" s="223"/>
      <c r="ETC101" s="223"/>
      <c r="ETD101" s="224"/>
      <c r="ETE101" s="222" t="s">
        <v>47</v>
      </c>
      <c r="ETF101" s="223"/>
      <c r="ETG101" s="223"/>
      <c r="ETH101" s="223"/>
      <c r="ETI101" s="223"/>
      <c r="ETJ101" s="223"/>
      <c r="ETK101" s="223"/>
      <c r="ETL101" s="224"/>
      <c r="ETM101" s="222" t="s">
        <v>47</v>
      </c>
      <c r="ETN101" s="223"/>
      <c r="ETO101" s="223"/>
      <c r="ETP101" s="223"/>
      <c r="ETQ101" s="223"/>
      <c r="ETR101" s="223"/>
      <c r="ETS101" s="223"/>
      <c r="ETT101" s="224"/>
      <c r="ETU101" s="222" t="s">
        <v>47</v>
      </c>
      <c r="ETV101" s="223"/>
      <c r="ETW101" s="223"/>
      <c r="ETX101" s="223"/>
      <c r="ETY101" s="223"/>
      <c r="ETZ101" s="223"/>
      <c r="EUA101" s="223"/>
      <c r="EUB101" s="224"/>
      <c r="EUC101" s="222" t="s">
        <v>47</v>
      </c>
      <c r="EUD101" s="223"/>
      <c r="EUE101" s="223"/>
      <c r="EUF101" s="223"/>
      <c r="EUG101" s="223"/>
      <c r="EUH101" s="223"/>
      <c r="EUI101" s="223"/>
      <c r="EUJ101" s="224"/>
      <c r="EUK101" s="222" t="s">
        <v>47</v>
      </c>
      <c r="EUL101" s="223"/>
      <c r="EUM101" s="223"/>
      <c r="EUN101" s="223"/>
      <c r="EUO101" s="223"/>
      <c r="EUP101" s="223"/>
      <c r="EUQ101" s="223"/>
      <c r="EUR101" s="224"/>
      <c r="EUS101" s="222" t="s">
        <v>47</v>
      </c>
      <c r="EUT101" s="223"/>
      <c r="EUU101" s="223"/>
      <c r="EUV101" s="223"/>
      <c r="EUW101" s="223"/>
      <c r="EUX101" s="223"/>
      <c r="EUY101" s="223"/>
      <c r="EUZ101" s="224"/>
      <c r="EVA101" s="222" t="s">
        <v>47</v>
      </c>
      <c r="EVB101" s="223"/>
      <c r="EVC101" s="223"/>
      <c r="EVD101" s="223"/>
      <c r="EVE101" s="223"/>
      <c r="EVF101" s="223"/>
      <c r="EVG101" s="223"/>
      <c r="EVH101" s="224"/>
      <c r="EVI101" s="222" t="s">
        <v>47</v>
      </c>
      <c r="EVJ101" s="223"/>
      <c r="EVK101" s="223"/>
      <c r="EVL101" s="223"/>
      <c r="EVM101" s="223"/>
      <c r="EVN101" s="223"/>
      <c r="EVO101" s="223"/>
      <c r="EVP101" s="224"/>
      <c r="EVQ101" s="222" t="s">
        <v>47</v>
      </c>
      <c r="EVR101" s="223"/>
      <c r="EVS101" s="223"/>
      <c r="EVT101" s="223"/>
      <c r="EVU101" s="223"/>
      <c r="EVV101" s="223"/>
      <c r="EVW101" s="223"/>
      <c r="EVX101" s="224"/>
      <c r="EVY101" s="222" t="s">
        <v>47</v>
      </c>
      <c r="EVZ101" s="223"/>
      <c r="EWA101" s="223"/>
      <c r="EWB101" s="223"/>
      <c r="EWC101" s="223"/>
      <c r="EWD101" s="223"/>
      <c r="EWE101" s="223"/>
      <c r="EWF101" s="224"/>
      <c r="EWG101" s="222" t="s">
        <v>47</v>
      </c>
      <c r="EWH101" s="223"/>
      <c r="EWI101" s="223"/>
      <c r="EWJ101" s="223"/>
      <c r="EWK101" s="223"/>
      <c r="EWL101" s="223"/>
      <c r="EWM101" s="223"/>
      <c r="EWN101" s="224"/>
      <c r="EWO101" s="222" t="s">
        <v>47</v>
      </c>
      <c r="EWP101" s="223"/>
      <c r="EWQ101" s="223"/>
      <c r="EWR101" s="223"/>
      <c r="EWS101" s="223"/>
      <c r="EWT101" s="223"/>
      <c r="EWU101" s="223"/>
      <c r="EWV101" s="224"/>
      <c r="EWW101" s="222" t="s">
        <v>47</v>
      </c>
      <c r="EWX101" s="223"/>
      <c r="EWY101" s="223"/>
      <c r="EWZ101" s="223"/>
      <c r="EXA101" s="223"/>
      <c r="EXB101" s="223"/>
      <c r="EXC101" s="223"/>
      <c r="EXD101" s="224"/>
      <c r="EXE101" s="222" t="s">
        <v>47</v>
      </c>
      <c r="EXF101" s="223"/>
      <c r="EXG101" s="223"/>
      <c r="EXH101" s="223"/>
      <c r="EXI101" s="223"/>
      <c r="EXJ101" s="223"/>
      <c r="EXK101" s="223"/>
      <c r="EXL101" s="224"/>
      <c r="EXM101" s="222" t="s">
        <v>47</v>
      </c>
      <c r="EXN101" s="223"/>
      <c r="EXO101" s="223"/>
      <c r="EXP101" s="223"/>
      <c r="EXQ101" s="223"/>
      <c r="EXR101" s="223"/>
      <c r="EXS101" s="223"/>
      <c r="EXT101" s="224"/>
      <c r="EXU101" s="222" t="s">
        <v>47</v>
      </c>
      <c r="EXV101" s="223"/>
      <c r="EXW101" s="223"/>
      <c r="EXX101" s="223"/>
      <c r="EXY101" s="223"/>
      <c r="EXZ101" s="223"/>
      <c r="EYA101" s="223"/>
      <c r="EYB101" s="224"/>
      <c r="EYC101" s="222" t="s">
        <v>47</v>
      </c>
      <c r="EYD101" s="223"/>
      <c r="EYE101" s="223"/>
      <c r="EYF101" s="223"/>
      <c r="EYG101" s="223"/>
      <c r="EYH101" s="223"/>
      <c r="EYI101" s="223"/>
      <c r="EYJ101" s="224"/>
      <c r="EYK101" s="222" t="s">
        <v>47</v>
      </c>
      <c r="EYL101" s="223"/>
      <c r="EYM101" s="223"/>
      <c r="EYN101" s="223"/>
      <c r="EYO101" s="223"/>
      <c r="EYP101" s="223"/>
      <c r="EYQ101" s="223"/>
      <c r="EYR101" s="224"/>
      <c r="EYS101" s="222" t="s">
        <v>47</v>
      </c>
      <c r="EYT101" s="223"/>
      <c r="EYU101" s="223"/>
      <c r="EYV101" s="223"/>
      <c r="EYW101" s="223"/>
      <c r="EYX101" s="223"/>
      <c r="EYY101" s="223"/>
      <c r="EYZ101" s="224"/>
      <c r="EZA101" s="222" t="s">
        <v>47</v>
      </c>
      <c r="EZB101" s="223"/>
      <c r="EZC101" s="223"/>
      <c r="EZD101" s="223"/>
      <c r="EZE101" s="223"/>
      <c r="EZF101" s="223"/>
      <c r="EZG101" s="223"/>
      <c r="EZH101" s="224"/>
      <c r="EZI101" s="222" t="s">
        <v>47</v>
      </c>
      <c r="EZJ101" s="223"/>
      <c r="EZK101" s="223"/>
      <c r="EZL101" s="223"/>
      <c r="EZM101" s="223"/>
      <c r="EZN101" s="223"/>
      <c r="EZO101" s="223"/>
      <c r="EZP101" s="224"/>
      <c r="EZQ101" s="222" t="s">
        <v>47</v>
      </c>
      <c r="EZR101" s="223"/>
      <c r="EZS101" s="223"/>
      <c r="EZT101" s="223"/>
      <c r="EZU101" s="223"/>
      <c r="EZV101" s="223"/>
      <c r="EZW101" s="223"/>
      <c r="EZX101" s="224"/>
      <c r="EZY101" s="222" t="s">
        <v>47</v>
      </c>
      <c r="EZZ101" s="223"/>
      <c r="FAA101" s="223"/>
      <c r="FAB101" s="223"/>
      <c r="FAC101" s="223"/>
      <c r="FAD101" s="223"/>
      <c r="FAE101" s="223"/>
      <c r="FAF101" s="224"/>
      <c r="FAG101" s="222" t="s">
        <v>47</v>
      </c>
      <c r="FAH101" s="223"/>
      <c r="FAI101" s="223"/>
      <c r="FAJ101" s="223"/>
      <c r="FAK101" s="223"/>
      <c r="FAL101" s="223"/>
      <c r="FAM101" s="223"/>
      <c r="FAN101" s="224"/>
      <c r="FAO101" s="222" t="s">
        <v>47</v>
      </c>
      <c r="FAP101" s="223"/>
      <c r="FAQ101" s="223"/>
      <c r="FAR101" s="223"/>
      <c r="FAS101" s="223"/>
      <c r="FAT101" s="223"/>
      <c r="FAU101" s="223"/>
      <c r="FAV101" s="224"/>
      <c r="FAW101" s="222" t="s">
        <v>47</v>
      </c>
      <c r="FAX101" s="223"/>
      <c r="FAY101" s="223"/>
      <c r="FAZ101" s="223"/>
      <c r="FBA101" s="223"/>
      <c r="FBB101" s="223"/>
      <c r="FBC101" s="223"/>
      <c r="FBD101" s="224"/>
      <c r="FBE101" s="222" t="s">
        <v>47</v>
      </c>
      <c r="FBF101" s="223"/>
      <c r="FBG101" s="223"/>
      <c r="FBH101" s="223"/>
      <c r="FBI101" s="223"/>
      <c r="FBJ101" s="223"/>
      <c r="FBK101" s="223"/>
      <c r="FBL101" s="224"/>
      <c r="FBM101" s="222" t="s">
        <v>47</v>
      </c>
      <c r="FBN101" s="223"/>
      <c r="FBO101" s="223"/>
      <c r="FBP101" s="223"/>
      <c r="FBQ101" s="223"/>
      <c r="FBR101" s="223"/>
      <c r="FBS101" s="223"/>
      <c r="FBT101" s="224"/>
      <c r="FBU101" s="222" t="s">
        <v>47</v>
      </c>
      <c r="FBV101" s="223"/>
      <c r="FBW101" s="223"/>
      <c r="FBX101" s="223"/>
      <c r="FBY101" s="223"/>
      <c r="FBZ101" s="223"/>
      <c r="FCA101" s="223"/>
      <c r="FCB101" s="224"/>
      <c r="FCC101" s="222" t="s">
        <v>47</v>
      </c>
      <c r="FCD101" s="223"/>
      <c r="FCE101" s="223"/>
      <c r="FCF101" s="223"/>
      <c r="FCG101" s="223"/>
      <c r="FCH101" s="223"/>
      <c r="FCI101" s="223"/>
      <c r="FCJ101" s="224"/>
      <c r="FCK101" s="222" t="s">
        <v>47</v>
      </c>
      <c r="FCL101" s="223"/>
      <c r="FCM101" s="223"/>
      <c r="FCN101" s="223"/>
      <c r="FCO101" s="223"/>
      <c r="FCP101" s="223"/>
      <c r="FCQ101" s="223"/>
      <c r="FCR101" s="224"/>
      <c r="FCS101" s="222" t="s">
        <v>47</v>
      </c>
      <c r="FCT101" s="223"/>
      <c r="FCU101" s="223"/>
      <c r="FCV101" s="223"/>
      <c r="FCW101" s="223"/>
      <c r="FCX101" s="223"/>
      <c r="FCY101" s="223"/>
      <c r="FCZ101" s="224"/>
      <c r="FDA101" s="222" t="s">
        <v>47</v>
      </c>
      <c r="FDB101" s="223"/>
      <c r="FDC101" s="223"/>
      <c r="FDD101" s="223"/>
      <c r="FDE101" s="223"/>
      <c r="FDF101" s="223"/>
      <c r="FDG101" s="223"/>
      <c r="FDH101" s="224"/>
      <c r="FDI101" s="222" t="s">
        <v>47</v>
      </c>
      <c r="FDJ101" s="223"/>
      <c r="FDK101" s="223"/>
      <c r="FDL101" s="223"/>
      <c r="FDM101" s="223"/>
      <c r="FDN101" s="223"/>
      <c r="FDO101" s="223"/>
      <c r="FDP101" s="224"/>
      <c r="FDQ101" s="222" t="s">
        <v>47</v>
      </c>
      <c r="FDR101" s="223"/>
      <c r="FDS101" s="223"/>
      <c r="FDT101" s="223"/>
      <c r="FDU101" s="223"/>
      <c r="FDV101" s="223"/>
      <c r="FDW101" s="223"/>
      <c r="FDX101" s="224"/>
      <c r="FDY101" s="222" t="s">
        <v>47</v>
      </c>
      <c r="FDZ101" s="223"/>
      <c r="FEA101" s="223"/>
      <c r="FEB101" s="223"/>
      <c r="FEC101" s="223"/>
      <c r="FED101" s="223"/>
      <c r="FEE101" s="223"/>
      <c r="FEF101" s="224"/>
      <c r="FEG101" s="222" t="s">
        <v>47</v>
      </c>
      <c r="FEH101" s="223"/>
      <c r="FEI101" s="223"/>
      <c r="FEJ101" s="223"/>
      <c r="FEK101" s="223"/>
      <c r="FEL101" s="223"/>
      <c r="FEM101" s="223"/>
      <c r="FEN101" s="224"/>
      <c r="FEO101" s="222" t="s">
        <v>47</v>
      </c>
      <c r="FEP101" s="223"/>
      <c r="FEQ101" s="223"/>
      <c r="FER101" s="223"/>
      <c r="FES101" s="223"/>
      <c r="FET101" s="223"/>
      <c r="FEU101" s="223"/>
      <c r="FEV101" s="224"/>
      <c r="FEW101" s="222" t="s">
        <v>47</v>
      </c>
      <c r="FEX101" s="223"/>
      <c r="FEY101" s="223"/>
      <c r="FEZ101" s="223"/>
      <c r="FFA101" s="223"/>
      <c r="FFB101" s="223"/>
      <c r="FFC101" s="223"/>
      <c r="FFD101" s="224"/>
      <c r="FFE101" s="222" t="s">
        <v>47</v>
      </c>
      <c r="FFF101" s="223"/>
      <c r="FFG101" s="223"/>
      <c r="FFH101" s="223"/>
      <c r="FFI101" s="223"/>
      <c r="FFJ101" s="223"/>
      <c r="FFK101" s="223"/>
      <c r="FFL101" s="224"/>
      <c r="FFM101" s="222" t="s">
        <v>47</v>
      </c>
      <c r="FFN101" s="223"/>
      <c r="FFO101" s="223"/>
      <c r="FFP101" s="223"/>
      <c r="FFQ101" s="223"/>
      <c r="FFR101" s="223"/>
      <c r="FFS101" s="223"/>
      <c r="FFT101" s="224"/>
      <c r="FFU101" s="222" t="s">
        <v>47</v>
      </c>
      <c r="FFV101" s="223"/>
      <c r="FFW101" s="223"/>
      <c r="FFX101" s="223"/>
      <c r="FFY101" s="223"/>
      <c r="FFZ101" s="223"/>
      <c r="FGA101" s="223"/>
      <c r="FGB101" s="224"/>
      <c r="FGC101" s="222" t="s">
        <v>47</v>
      </c>
      <c r="FGD101" s="223"/>
      <c r="FGE101" s="223"/>
      <c r="FGF101" s="223"/>
      <c r="FGG101" s="223"/>
      <c r="FGH101" s="223"/>
      <c r="FGI101" s="223"/>
      <c r="FGJ101" s="224"/>
      <c r="FGK101" s="222" t="s">
        <v>47</v>
      </c>
      <c r="FGL101" s="223"/>
      <c r="FGM101" s="223"/>
      <c r="FGN101" s="223"/>
      <c r="FGO101" s="223"/>
      <c r="FGP101" s="223"/>
      <c r="FGQ101" s="223"/>
      <c r="FGR101" s="224"/>
      <c r="FGS101" s="222" t="s">
        <v>47</v>
      </c>
      <c r="FGT101" s="223"/>
      <c r="FGU101" s="223"/>
      <c r="FGV101" s="223"/>
      <c r="FGW101" s="223"/>
      <c r="FGX101" s="223"/>
      <c r="FGY101" s="223"/>
      <c r="FGZ101" s="224"/>
      <c r="FHA101" s="222" t="s">
        <v>47</v>
      </c>
      <c r="FHB101" s="223"/>
      <c r="FHC101" s="223"/>
      <c r="FHD101" s="223"/>
      <c r="FHE101" s="223"/>
      <c r="FHF101" s="223"/>
      <c r="FHG101" s="223"/>
      <c r="FHH101" s="224"/>
      <c r="FHI101" s="222" t="s">
        <v>47</v>
      </c>
      <c r="FHJ101" s="223"/>
      <c r="FHK101" s="223"/>
      <c r="FHL101" s="223"/>
      <c r="FHM101" s="223"/>
      <c r="FHN101" s="223"/>
      <c r="FHO101" s="223"/>
      <c r="FHP101" s="224"/>
      <c r="FHQ101" s="222" t="s">
        <v>47</v>
      </c>
      <c r="FHR101" s="223"/>
      <c r="FHS101" s="223"/>
      <c r="FHT101" s="223"/>
      <c r="FHU101" s="223"/>
      <c r="FHV101" s="223"/>
      <c r="FHW101" s="223"/>
      <c r="FHX101" s="224"/>
      <c r="FHY101" s="222" t="s">
        <v>47</v>
      </c>
      <c r="FHZ101" s="223"/>
      <c r="FIA101" s="223"/>
      <c r="FIB101" s="223"/>
      <c r="FIC101" s="223"/>
      <c r="FID101" s="223"/>
      <c r="FIE101" s="223"/>
      <c r="FIF101" s="224"/>
      <c r="FIG101" s="222" t="s">
        <v>47</v>
      </c>
      <c r="FIH101" s="223"/>
      <c r="FII101" s="223"/>
      <c r="FIJ101" s="223"/>
      <c r="FIK101" s="223"/>
      <c r="FIL101" s="223"/>
      <c r="FIM101" s="223"/>
      <c r="FIN101" s="224"/>
      <c r="FIO101" s="222" t="s">
        <v>47</v>
      </c>
      <c r="FIP101" s="223"/>
      <c r="FIQ101" s="223"/>
      <c r="FIR101" s="223"/>
      <c r="FIS101" s="223"/>
      <c r="FIT101" s="223"/>
      <c r="FIU101" s="223"/>
      <c r="FIV101" s="224"/>
      <c r="FIW101" s="222" t="s">
        <v>47</v>
      </c>
      <c r="FIX101" s="223"/>
      <c r="FIY101" s="223"/>
      <c r="FIZ101" s="223"/>
      <c r="FJA101" s="223"/>
      <c r="FJB101" s="223"/>
      <c r="FJC101" s="223"/>
      <c r="FJD101" s="224"/>
      <c r="FJE101" s="222" t="s">
        <v>47</v>
      </c>
      <c r="FJF101" s="223"/>
      <c r="FJG101" s="223"/>
      <c r="FJH101" s="223"/>
      <c r="FJI101" s="223"/>
      <c r="FJJ101" s="223"/>
      <c r="FJK101" s="223"/>
      <c r="FJL101" s="224"/>
      <c r="FJM101" s="222" t="s">
        <v>47</v>
      </c>
      <c r="FJN101" s="223"/>
      <c r="FJO101" s="223"/>
      <c r="FJP101" s="223"/>
      <c r="FJQ101" s="223"/>
      <c r="FJR101" s="223"/>
      <c r="FJS101" s="223"/>
      <c r="FJT101" s="224"/>
      <c r="FJU101" s="222" t="s">
        <v>47</v>
      </c>
      <c r="FJV101" s="223"/>
      <c r="FJW101" s="223"/>
      <c r="FJX101" s="223"/>
      <c r="FJY101" s="223"/>
      <c r="FJZ101" s="223"/>
      <c r="FKA101" s="223"/>
      <c r="FKB101" s="224"/>
      <c r="FKC101" s="222" t="s">
        <v>47</v>
      </c>
      <c r="FKD101" s="223"/>
      <c r="FKE101" s="223"/>
      <c r="FKF101" s="223"/>
      <c r="FKG101" s="223"/>
      <c r="FKH101" s="223"/>
      <c r="FKI101" s="223"/>
      <c r="FKJ101" s="224"/>
      <c r="FKK101" s="222" t="s">
        <v>47</v>
      </c>
      <c r="FKL101" s="223"/>
      <c r="FKM101" s="223"/>
      <c r="FKN101" s="223"/>
      <c r="FKO101" s="223"/>
      <c r="FKP101" s="223"/>
      <c r="FKQ101" s="223"/>
      <c r="FKR101" s="224"/>
      <c r="FKS101" s="222" t="s">
        <v>47</v>
      </c>
      <c r="FKT101" s="223"/>
      <c r="FKU101" s="223"/>
      <c r="FKV101" s="223"/>
      <c r="FKW101" s="223"/>
      <c r="FKX101" s="223"/>
      <c r="FKY101" s="223"/>
      <c r="FKZ101" s="224"/>
      <c r="FLA101" s="222" t="s">
        <v>47</v>
      </c>
      <c r="FLB101" s="223"/>
      <c r="FLC101" s="223"/>
      <c r="FLD101" s="223"/>
      <c r="FLE101" s="223"/>
      <c r="FLF101" s="223"/>
      <c r="FLG101" s="223"/>
      <c r="FLH101" s="224"/>
      <c r="FLI101" s="222" t="s">
        <v>47</v>
      </c>
      <c r="FLJ101" s="223"/>
      <c r="FLK101" s="223"/>
      <c r="FLL101" s="223"/>
      <c r="FLM101" s="223"/>
      <c r="FLN101" s="223"/>
      <c r="FLO101" s="223"/>
      <c r="FLP101" s="224"/>
      <c r="FLQ101" s="222" t="s">
        <v>47</v>
      </c>
      <c r="FLR101" s="223"/>
      <c r="FLS101" s="223"/>
      <c r="FLT101" s="223"/>
      <c r="FLU101" s="223"/>
      <c r="FLV101" s="223"/>
      <c r="FLW101" s="223"/>
      <c r="FLX101" s="224"/>
      <c r="FLY101" s="222" t="s">
        <v>47</v>
      </c>
      <c r="FLZ101" s="223"/>
      <c r="FMA101" s="223"/>
      <c r="FMB101" s="223"/>
      <c r="FMC101" s="223"/>
      <c r="FMD101" s="223"/>
      <c r="FME101" s="223"/>
      <c r="FMF101" s="224"/>
      <c r="FMG101" s="222" t="s">
        <v>47</v>
      </c>
      <c r="FMH101" s="223"/>
      <c r="FMI101" s="223"/>
      <c r="FMJ101" s="223"/>
      <c r="FMK101" s="223"/>
      <c r="FML101" s="223"/>
      <c r="FMM101" s="223"/>
      <c r="FMN101" s="224"/>
      <c r="FMO101" s="222" t="s">
        <v>47</v>
      </c>
      <c r="FMP101" s="223"/>
      <c r="FMQ101" s="223"/>
      <c r="FMR101" s="223"/>
      <c r="FMS101" s="223"/>
      <c r="FMT101" s="223"/>
      <c r="FMU101" s="223"/>
      <c r="FMV101" s="224"/>
      <c r="FMW101" s="222" t="s">
        <v>47</v>
      </c>
      <c r="FMX101" s="223"/>
      <c r="FMY101" s="223"/>
      <c r="FMZ101" s="223"/>
      <c r="FNA101" s="223"/>
      <c r="FNB101" s="223"/>
      <c r="FNC101" s="223"/>
      <c r="FND101" s="224"/>
      <c r="FNE101" s="222" t="s">
        <v>47</v>
      </c>
      <c r="FNF101" s="223"/>
      <c r="FNG101" s="223"/>
      <c r="FNH101" s="223"/>
      <c r="FNI101" s="223"/>
      <c r="FNJ101" s="223"/>
      <c r="FNK101" s="223"/>
      <c r="FNL101" s="224"/>
      <c r="FNM101" s="222" t="s">
        <v>47</v>
      </c>
      <c r="FNN101" s="223"/>
      <c r="FNO101" s="223"/>
      <c r="FNP101" s="223"/>
      <c r="FNQ101" s="223"/>
      <c r="FNR101" s="223"/>
      <c r="FNS101" s="223"/>
      <c r="FNT101" s="224"/>
      <c r="FNU101" s="222" t="s">
        <v>47</v>
      </c>
      <c r="FNV101" s="223"/>
      <c r="FNW101" s="223"/>
      <c r="FNX101" s="223"/>
      <c r="FNY101" s="223"/>
      <c r="FNZ101" s="223"/>
      <c r="FOA101" s="223"/>
      <c r="FOB101" s="224"/>
      <c r="FOC101" s="222" t="s">
        <v>47</v>
      </c>
      <c r="FOD101" s="223"/>
      <c r="FOE101" s="223"/>
      <c r="FOF101" s="223"/>
      <c r="FOG101" s="223"/>
      <c r="FOH101" s="223"/>
      <c r="FOI101" s="223"/>
      <c r="FOJ101" s="224"/>
      <c r="FOK101" s="222" t="s">
        <v>47</v>
      </c>
      <c r="FOL101" s="223"/>
      <c r="FOM101" s="223"/>
      <c r="FON101" s="223"/>
      <c r="FOO101" s="223"/>
      <c r="FOP101" s="223"/>
      <c r="FOQ101" s="223"/>
      <c r="FOR101" s="224"/>
      <c r="FOS101" s="222" t="s">
        <v>47</v>
      </c>
      <c r="FOT101" s="223"/>
      <c r="FOU101" s="223"/>
      <c r="FOV101" s="223"/>
      <c r="FOW101" s="223"/>
      <c r="FOX101" s="223"/>
      <c r="FOY101" s="223"/>
      <c r="FOZ101" s="224"/>
      <c r="FPA101" s="222" t="s">
        <v>47</v>
      </c>
      <c r="FPB101" s="223"/>
      <c r="FPC101" s="223"/>
      <c r="FPD101" s="223"/>
      <c r="FPE101" s="223"/>
      <c r="FPF101" s="223"/>
      <c r="FPG101" s="223"/>
      <c r="FPH101" s="224"/>
      <c r="FPI101" s="222" t="s">
        <v>47</v>
      </c>
      <c r="FPJ101" s="223"/>
      <c r="FPK101" s="223"/>
      <c r="FPL101" s="223"/>
      <c r="FPM101" s="223"/>
      <c r="FPN101" s="223"/>
      <c r="FPO101" s="223"/>
      <c r="FPP101" s="224"/>
      <c r="FPQ101" s="222" t="s">
        <v>47</v>
      </c>
      <c r="FPR101" s="223"/>
      <c r="FPS101" s="223"/>
      <c r="FPT101" s="223"/>
      <c r="FPU101" s="223"/>
      <c r="FPV101" s="223"/>
      <c r="FPW101" s="223"/>
      <c r="FPX101" s="224"/>
      <c r="FPY101" s="222" t="s">
        <v>47</v>
      </c>
      <c r="FPZ101" s="223"/>
      <c r="FQA101" s="223"/>
      <c r="FQB101" s="223"/>
      <c r="FQC101" s="223"/>
      <c r="FQD101" s="223"/>
      <c r="FQE101" s="223"/>
      <c r="FQF101" s="224"/>
      <c r="FQG101" s="222" t="s">
        <v>47</v>
      </c>
      <c r="FQH101" s="223"/>
      <c r="FQI101" s="223"/>
      <c r="FQJ101" s="223"/>
      <c r="FQK101" s="223"/>
      <c r="FQL101" s="223"/>
      <c r="FQM101" s="223"/>
      <c r="FQN101" s="224"/>
      <c r="FQO101" s="222" t="s">
        <v>47</v>
      </c>
      <c r="FQP101" s="223"/>
      <c r="FQQ101" s="223"/>
      <c r="FQR101" s="223"/>
      <c r="FQS101" s="223"/>
      <c r="FQT101" s="223"/>
      <c r="FQU101" s="223"/>
      <c r="FQV101" s="224"/>
      <c r="FQW101" s="222" t="s">
        <v>47</v>
      </c>
      <c r="FQX101" s="223"/>
      <c r="FQY101" s="223"/>
      <c r="FQZ101" s="223"/>
      <c r="FRA101" s="223"/>
      <c r="FRB101" s="223"/>
      <c r="FRC101" s="223"/>
      <c r="FRD101" s="224"/>
      <c r="FRE101" s="222" t="s">
        <v>47</v>
      </c>
      <c r="FRF101" s="223"/>
      <c r="FRG101" s="223"/>
      <c r="FRH101" s="223"/>
      <c r="FRI101" s="223"/>
      <c r="FRJ101" s="223"/>
      <c r="FRK101" s="223"/>
      <c r="FRL101" s="224"/>
      <c r="FRM101" s="222" t="s">
        <v>47</v>
      </c>
      <c r="FRN101" s="223"/>
      <c r="FRO101" s="223"/>
      <c r="FRP101" s="223"/>
      <c r="FRQ101" s="223"/>
      <c r="FRR101" s="223"/>
      <c r="FRS101" s="223"/>
      <c r="FRT101" s="224"/>
      <c r="FRU101" s="222" t="s">
        <v>47</v>
      </c>
      <c r="FRV101" s="223"/>
      <c r="FRW101" s="223"/>
      <c r="FRX101" s="223"/>
      <c r="FRY101" s="223"/>
      <c r="FRZ101" s="223"/>
      <c r="FSA101" s="223"/>
      <c r="FSB101" s="224"/>
      <c r="FSC101" s="222" t="s">
        <v>47</v>
      </c>
      <c r="FSD101" s="223"/>
      <c r="FSE101" s="223"/>
      <c r="FSF101" s="223"/>
      <c r="FSG101" s="223"/>
      <c r="FSH101" s="223"/>
      <c r="FSI101" s="223"/>
      <c r="FSJ101" s="224"/>
      <c r="FSK101" s="222" t="s">
        <v>47</v>
      </c>
      <c r="FSL101" s="223"/>
      <c r="FSM101" s="223"/>
      <c r="FSN101" s="223"/>
      <c r="FSO101" s="223"/>
      <c r="FSP101" s="223"/>
      <c r="FSQ101" s="223"/>
      <c r="FSR101" s="224"/>
      <c r="FSS101" s="222" t="s">
        <v>47</v>
      </c>
      <c r="FST101" s="223"/>
      <c r="FSU101" s="223"/>
      <c r="FSV101" s="223"/>
      <c r="FSW101" s="223"/>
      <c r="FSX101" s="223"/>
      <c r="FSY101" s="223"/>
      <c r="FSZ101" s="224"/>
      <c r="FTA101" s="222" t="s">
        <v>47</v>
      </c>
      <c r="FTB101" s="223"/>
      <c r="FTC101" s="223"/>
      <c r="FTD101" s="223"/>
      <c r="FTE101" s="223"/>
      <c r="FTF101" s="223"/>
      <c r="FTG101" s="223"/>
      <c r="FTH101" s="224"/>
      <c r="FTI101" s="222" t="s">
        <v>47</v>
      </c>
      <c r="FTJ101" s="223"/>
      <c r="FTK101" s="223"/>
      <c r="FTL101" s="223"/>
      <c r="FTM101" s="223"/>
      <c r="FTN101" s="223"/>
      <c r="FTO101" s="223"/>
      <c r="FTP101" s="224"/>
      <c r="FTQ101" s="222" t="s">
        <v>47</v>
      </c>
      <c r="FTR101" s="223"/>
      <c r="FTS101" s="223"/>
      <c r="FTT101" s="223"/>
      <c r="FTU101" s="223"/>
      <c r="FTV101" s="223"/>
      <c r="FTW101" s="223"/>
      <c r="FTX101" s="224"/>
      <c r="FTY101" s="222" t="s">
        <v>47</v>
      </c>
      <c r="FTZ101" s="223"/>
      <c r="FUA101" s="223"/>
      <c r="FUB101" s="223"/>
      <c r="FUC101" s="223"/>
      <c r="FUD101" s="223"/>
      <c r="FUE101" s="223"/>
      <c r="FUF101" s="224"/>
      <c r="FUG101" s="222" t="s">
        <v>47</v>
      </c>
      <c r="FUH101" s="223"/>
      <c r="FUI101" s="223"/>
      <c r="FUJ101" s="223"/>
      <c r="FUK101" s="223"/>
      <c r="FUL101" s="223"/>
      <c r="FUM101" s="223"/>
      <c r="FUN101" s="224"/>
      <c r="FUO101" s="222" t="s">
        <v>47</v>
      </c>
      <c r="FUP101" s="223"/>
      <c r="FUQ101" s="223"/>
      <c r="FUR101" s="223"/>
      <c r="FUS101" s="223"/>
      <c r="FUT101" s="223"/>
      <c r="FUU101" s="223"/>
      <c r="FUV101" s="224"/>
      <c r="FUW101" s="222" t="s">
        <v>47</v>
      </c>
      <c r="FUX101" s="223"/>
      <c r="FUY101" s="223"/>
      <c r="FUZ101" s="223"/>
      <c r="FVA101" s="223"/>
      <c r="FVB101" s="223"/>
      <c r="FVC101" s="223"/>
      <c r="FVD101" s="224"/>
      <c r="FVE101" s="222" t="s">
        <v>47</v>
      </c>
      <c r="FVF101" s="223"/>
      <c r="FVG101" s="223"/>
      <c r="FVH101" s="223"/>
      <c r="FVI101" s="223"/>
      <c r="FVJ101" s="223"/>
      <c r="FVK101" s="223"/>
      <c r="FVL101" s="224"/>
      <c r="FVM101" s="222" t="s">
        <v>47</v>
      </c>
      <c r="FVN101" s="223"/>
      <c r="FVO101" s="223"/>
      <c r="FVP101" s="223"/>
      <c r="FVQ101" s="223"/>
      <c r="FVR101" s="223"/>
      <c r="FVS101" s="223"/>
      <c r="FVT101" s="224"/>
      <c r="FVU101" s="222" t="s">
        <v>47</v>
      </c>
      <c r="FVV101" s="223"/>
      <c r="FVW101" s="223"/>
      <c r="FVX101" s="223"/>
      <c r="FVY101" s="223"/>
      <c r="FVZ101" s="223"/>
      <c r="FWA101" s="223"/>
      <c r="FWB101" s="224"/>
      <c r="FWC101" s="222" t="s">
        <v>47</v>
      </c>
      <c r="FWD101" s="223"/>
      <c r="FWE101" s="223"/>
      <c r="FWF101" s="223"/>
      <c r="FWG101" s="223"/>
      <c r="FWH101" s="223"/>
      <c r="FWI101" s="223"/>
      <c r="FWJ101" s="224"/>
      <c r="FWK101" s="222" t="s">
        <v>47</v>
      </c>
      <c r="FWL101" s="223"/>
      <c r="FWM101" s="223"/>
      <c r="FWN101" s="223"/>
      <c r="FWO101" s="223"/>
      <c r="FWP101" s="223"/>
      <c r="FWQ101" s="223"/>
      <c r="FWR101" s="224"/>
      <c r="FWS101" s="222" t="s">
        <v>47</v>
      </c>
      <c r="FWT101" s="223"/>
      <c r="FWU101" s="223"/>
      <c r="FWV101" s="223"/>
      <c r="FWW101" s="223"/>
      <c r="FWX101" s="223"/>
      <c r="FWY101" s="223"/>
      <c r="FWZ101" s="224"/>
      <c r="FXA101" s="222" t="s">
        <v>47</v>
      </c>
      <c r="FXB101" s="223"/>
      <c r="FXC101" s="223"/>
      <c r="FXD101" s="223"/>
      <c r="FXE101" s="223"/>
      <c r="FXF101" s="223"/>
      <c r="FXG101" s="223"/>
      <c r="FXH101" s="224"/>
      <c r="FXI101" s="222" t="s">
        <v>47</v>
      </c>
      <c r="FXJ101" s="223"/>
      <c r="FXK101" s="223"/>
      <c r="FXL101" s="223"/>
      <c r="FXM101" s="223"/>
      <c r="FXN101" s="223"/>
      <c r="FXO101" s="223"/>
      <c r="FXP101" s="224"/>
      <c r="FXQ101" s="222" t="s">
        <v>47</v>
      </c>
      <c r="FXR101" s="223"/>
      <c r="FXS101" s="223"/>
      <c r="FXT101" s="223"/>
      <c r="FXU101" s="223"/>
      <c r="FXV101" s="223"/>
      <c r="FXW101" s="223"/>
      <c r="FXX101" s="224"/>
      <c r="FXY101" s="222" t="s">
        <v>47</v>
      </c>
      <c r="FXZ101" s="223"/>
      <c r="FYA101" s="223"/>
      <c r="FYB101" s="223"/>
      <c r="FYC101" s="223"/>
      <c r="FYD101" s="223"/>
      <c r="FYE101" s="223"/>
      <c r="FYF101" s="224"/>
      <c r="FYG101" s="222" t="s">
        <v>47</v>
      </c>
      <c r="FYH101" s="223"/>
      <c r="FYI101" s="223"/>
      <c r="FYJ101" s="223"/>
      <c r="FYK101" s="223"/>
      <c r="FYL101" s="223"/>
      <c r="FYM101" s="223"/>
      <c r="FYN101" s="224"/>
      <c r="FYO101" s="222" t="s">
        <v>47</v>
      </c>
      <c r="FYP101" s="223"/>
      <c r="FYQ101" s="223"/>
      <c r="FYR101" s="223"/>
      <c r="FYS101" s="223"/>
      <c r="FYT101" s="223"/>
      <c r="FYU101" s="223"/>
      <c r="FYV101" s="224"/>
      <c r="FYW101" s="222" t="s">
        <v>47</v>
      </c>
      <c r="FYX101" s="223"/>
      <c r="FYY101" s="223"/>
      <c r="FYZ101" s="223"/>
      <c r="FZA101" s="223"/>
      <c r="FZB101" s="223"/>
      <c r="FZC101" s="223"/>
      <c r="FZD101" s="224"/>
      <c r="FZE101" s="222" t="s">
        <v>47</v>
      </c>
      <c r="FZF101" s="223"/>
      <c r="FZG101" s="223"/>
      <c r="FZH101" s="223"/>
      <c r="FZI101" s="223"/>
      <c r="FZJ101" s="223"/>
      <c r="FZK101" s="223"/>
      <c r="FZL101" s="224"/>
      <c r="FZM101" s="222" t="s">
        <v>47</v>
      </c>
      <c r="FZN101" s="223"/>
      <c r="FZO101" s="223"/>
      <c r="FZP101" s="223"/>
      <c r="FZQ101" s="223"/>
      <c r="FZR101" s="223"/>
      <c r="FZS101" s="223"/>
      <c r="FZT101" s="224"/>
      <c r="FZU101" s="222" t="s">
        <v>47</v>
      </c>
      <c r="FZV101" s="223"/>
      <c r="FZW101" s="223"/>
      <c r="FZX101" s="223"/>
      <c r="FZY101" s="223"/>
      <c r="FZZ101" s="223"/>
      <c r="GAA101" s="223"/>
      <c r="GAB101" s="224"/>
      <c r="GAC101" s="222" t="s">
        <v>47</v>
      </c>
      <c r="GAD101" s="223"/>
      <c r="GAE101" s="223"/>
      <c r="GAF101" s="223"/>
      <c r="GAG101" s="223"/>
      <c r="GAH101" s="223"/>
      <c r="GAI101" s="223"/>
      <c r="GAJ101" s="224"/>
      <c r="GAK101" s="222" t="s">
        <v>47</v>
      </c>
      <c r="GAL101" s="223"/>
      <c r="GAM101" s="223"/>
      <c r="GAN101" s="223"/>
      <c r="GAO101" s="223"/>
      <c r="GAP101" s="223"/>
      <c r="GAQ101" s="223"/>
      <c r="GAR101" s="224"/>
      <c r="GAS101" s="222" t="s">
        <v>47</v>
      </c>
      <c r="GAT101" s="223"/>
      <c r="GAU101" s="223"/>
      <c r="GAV101" s="223"/>
      <c r="GAW101" s="223"/>
      <c r="GAX101" s="223"/>
      <c r="GAY101" s="223"/>
      <c r="GAZ101" s="224"/>
      <c r="GBA101" s="222" t="s">
        <v>47</v>
      </c>
      <c r="GBB101" s="223"/>
      <c r="GBC101" s="223"/>
      <c r="GBD101" s="223"/>
      <c r="GBE101" s="223"/>
      <c r="GBF101" s="223"/>
      <c r="GBG101" s="223"/>
      <c r="GBH101" s="224"/>
      <c r="GBI101" s="222" t="s">
        <v>47</v>
      </c>
      <c r="GBJ101" s="223"/>
      <c r="GBK101" s="223"/>
      <c r="GBL101" s="223"/>
      <c r="GBM101" s="223"/>
      <c r="GBN101" s="223"/>
      <c r="GBO101" s="223"/>
      <c r="GBP101" s="224"/>
      <c r="GBQ101" s="222" t="s">
        <v>47</v>
      </c>
      <c r="GBR101" s="223"/>
      <c r="GBS101" s="223"/>
      <c r="GBT101" s="223"/>
      <c r="GBU101" s="223"/>
      <c r="GBV101" s="223"/>
      <c r="GBW101" s="223"/>
      <c r="GBX101" s="224"/>
      <c r="GBY101" s="222" t="s">
        <v>47</v>
      </c>
      <c r="GBZ101" s="223"/>
      <c r="GCA101" s="223"/>
      <c r="GCB101" s="223"/>
      <c r="GCC101" s="223"/>
      <c r="GCD101" s="223"/>
      <c r="GCE101" s="223"/>
      <c r="GCF101" s="224"/>
      <c r="GCG101" s="222" t="s">
        <v>47</v>
      </c>
      <c r="GCH101" s="223"/>
      <c r="GCI101" s="223"/>
      <c r="GCJ101" s="223"/>
      <c r="GCK101" s="223"/>
      <c r="GCL101" s="223"/>
      <c r="GCM101" s="223"/>
      <c r="GCN101" s="224"/>
      <c r="GCO101" s="222" t="s">
        <v>47</v>
      </c>
      <c r="GCP101" s="223"/>
      <c r="GCQ101" s="223"/>
      <c r="GCR101" s="223"/>
      <c r="GCS101" s="223"/>
      <c r="GCT101" s="223"/>
      <c r="GCU101" s="223"/>
      <c r="GCV101" s="224"/>
      <c r="GCW101" s="222" t="s">
        <v>47</v>
      </c>
      <c r="GCX101" s="223"/>
      <c r="GCY101" s="223"/>
      <c r="GCZ101" s="223"/>
      <c r="GDA101" s="223"/>
      <c r="GDB101" s="223"/>
      <c r="GDC101" s="223"/>
      <c r="GDD101" s="224"/>
      <c r="GDE101" s="222" t="s">
        <v>47</v>
      </c>
      <c r="GDF101" s="223"/>
      <c r="GDG101" s="223"/>
      <c r="GDH101" s="223"/>
      <c r="GDI101" s="223"/>
      <c r="GDJ101" s="223"/>
      <c r="GDK101" s="223"/>
      <c r="GDL101" s="224"/>
      <c r="GDM101" s="222" t="s">
        <v>47</v>
      </c>
      <c r="GDN101" s="223"/>
      <c r="GDO101" s="223"/>
      <c r="GDP101" s="223"/>
      <c r="GDQ101" s="223"/>
      <c r="GDR101" s="223"/>
      <c r="GDS101" s="223"/>
      <c r="GDT101" s="224"/>
      <c r="GDU101" s="222" t="s">
        <v>47</v>
      </c>
      <c r="GDV101" s="223"/>
      <c r="GDW101" s="223"/>
      <c r="GDX101" s="223"/>
      <c r="GDY101" s="223"/>
      <c r="GDZ101" s="223"/>
      <c r="GEA101" s="223"/>
      <c r="GEB101" s="224"/>
      <c r="GEC101" s="222" t="s">
        <v>47</v>
      </c>
      <c r="GED101" s="223"/>
      <c r="GEE101" s="223"/>
      <c r="GEF101" s="223"/>
      <c r="GEG101" s="223"/>
      <c r="GEH101" s="223"/>
      <c r="GEI101" s="223"/>
      <c r="GEJ101" s="224"/>
      <c r="GEK101" s="222" t="s">
        <v>47</v>
      </c>
      <c r="GEL101" s="223"/>
      <c r="GEM101" s="223"/>
      <c r="GEN101" s="223"/>
      <c r="GEO101" s="223"/>
      <c r="GEP101" s="223"/>
      <c r="GEQ101" s="223"/>
      <c r="GER101" s="224"/>
      <c r="GES101" s="222" t="s">
        <v>47</v>
      </c>
      <c r="GET101" s="223"/>
      <c r="GEU101" s="223"/>
      <c r="GEV101" s="223"/>
      <c r="GEW101" s="223"/>
      <c r="GEX101" s="223"/>
      <c r="GEY101" s="223"/>
      <c r="GEZ101" s="224"/>
      <c r="GFA101" s="222" t="s">
        <v>47</v>
      </c>
      <c r="GFB101" s="223"/>
      <c r="GFC101" s="223"/>
      <c r="GFD101" s="223"/>
      <c r="GFE101" s="223"/>
      <c r="GFF101" s="223"/>
      <c r="GFG101" s="223"/>
      <c r="GFH101" s="224"/>
      <c r="GFI101" s="222" t="s">
        <v>47</v>
      </c>
      <c r="GFJ101" s="223"/>
      <c r="GFK101" s="223"/>
      <c r="GFL101" s="223"/>
      <c r="GFM101" s="223"/>
      <c r="GFN101" s="223"/>
      <c r="GFO101" s="223"/>
      <c r="GFP101" s="224"/>
      <c r="GFQ101" s="222" t="s">
        <v>47</v>
      </c>
      <c r="GFR101" s="223"/>
      <c r="GFS101" s="223"/>
      <c r="GFT101" s="223"/>
      <c r="GFU101" s="223"/>
      <c r="GFV101" s="223"/>
      <c r="GFW101" s="223"/>
      <c r="GFX101" s="224"/>
      <c r="GFY101" s="222" t="s">
        <v>47</v>
      </c>
      <c r="GFZ101" s="223"/>
      <c r="GGA101" s="223"/>
      <c r="GGB101" s="223"/>
      <c r="GGC101" s="223"/>
      <c r="GGD101" s="223"/>
      <c r="GGE101" s="223"/>
      <c r="GGF101" s="224"/>
      <c r="GGG101" s="222" t="s">
        <v>47</v>
      </c>
      <c r="GGH101" s="223"/>
      <c r="GGI101" s="223"/>
      <c r="GGJ101" s="223"/>
      <c r="GGK101" s="223"/>
      <c r="GGL101" s="223"/>
      <c r="GGM101" s="223"/>
      <c r="GGN101" s="224"/>
      <c r="GGO101" s="222" t="s">
        <v>47</v>
      </c>
      <c r="GGP101" s="223"/>
      <c r="GGQ101" s="223"/>
      <c r="GGR101" s="223"/>
      <c r="GGS101" s="223"/>
      <c r="GGT101" s="223"/>
      <c r="GGU101" s="223"/>
      <c r="GGV101" s="224"/>
      <c r="GGW101" s="222" t="s">
        <v>47</v>
      </c>
      <c r="GGX101" s="223"/>
      <c r="GGY101" s="223"/>
      <c r="GGZ101" s="223"/>
      <c r="GHA101" s="223"/>
      <c r="GHB101" s="223"/>
      <c r="GHC101" s="223"/>
      <c r="GHD101" s="224"/>
      <c r="GHE101" s="222" t="s">
        <v>47</v>
      </c>
      <c r="GHF101" s="223"/>
      <c r="GHG101" s="223"/>
      <c r="GHH101" s="223"/>
      <c r="GHI101" s="223"/>
      <c r="GHJ101" s="223"/>
      <c r="GHK101" s="223"/>
      <c r="GHL101" s="224"/>
      <c r="GHM101" s="222" t="s">
        <v>47</v>
      </c>
      <c r="GHN101" s="223"/>
      <c r="GHO101" s="223"/>
      <c r="GHP101" s="223"/>
      <c r="GHQ101" s="223"/>
      <c r="GHR101" s="223"/>
      <c r="GHS101" s="223"/>
      <c r="GHT101" s="224"/>
      <c r="GHU101" s="222" t="s">
        <v>47</v>
      </c>
      <c r="GHV101" s="223"/>
      <c r="GHW101" s="223"/>
      <c r="GHX101" s="223"/>
      <c r="GHY101" s="223"/>
      <c r="GHZ101" s="223"/>
      <c r="GIA101" s="223"/>
      <c r="GIB101" s="224"/>
      <c r="GIC101" s="222" t="s">
        <v>47</v>
      </c>
      <c r="GID101" s="223"/>
      <c r="GIE101" s="223"/>
      <c r="GIF101" s="223"/>
      <c r="GIG101" s="223"/>
      <c r="GIH101" s="223"/>
      <c r="GII101" s="223"/>
      <c r="GIJ101" s="224"/>
      <c r="GIK101" s="222" t="s">
        <v>47</v>
      </c>
      <c r="GIL101" s="223"/>
      <c r="GIM101" s="223"/>
      <c r="GIN101" s="223"/>
      <c r="GIO101" s="223"/>
      <c r="GIP101" s="223"/>
      <c r="GIQ101" s="223"/>
      <c r="GIR101" s="224"/>
      <c r="GIS101" s="222" t="s">
        <v>47</v>
      </c>
      <c r="GIT101" s="223"/>
      <c r="GIU101" s="223"/>
      <c r="GIV101" s="223"/>
      <c r="GIW101" s="223"/>
      <c r="GIX101" s="223"/>
      <c r="GIY101" s="223"/>
      <c r="GIZ101" s="224"/>
      <c r="GJA101" s="222" t="s">
        <v>47</v>
      </c>
      <c r="GJB101" s="223"/>
      <c r="GJC101" s="223"/>
      <c r="GJD101" s="223"/>
      <c r="GJE101" s="223"/>
      <c r="GJF101" s="223"/>
      <c r="GJG101" s="223"/>
      <c r="GJH101" s="224"/>
      <c r="GJI101" s="222" t="s">
        <v>47</v>
      </c>
      <c r="GJJ101" s="223"/>
      <c r="GJK101" s="223"/>
      <c r="GJL101" s="223"/>
      <c r="GJM101" s="223"/>
      <c r="GJN101" s="223"/>
      <c r="GJO101" s="223"/>
      <c r="GJP101" s="224"/>
      <c r="GJQ101" s="222" t="s">
        <v>47</v>
      </c>
      <c r="GJR101" s="223"/>
      <c r="GJS101" s="223"/>
      <c r="GJT101" s="223"/>
      <c r="GJU101" s="223"/>
      <c r="GJV101" s="223"/>
      <c r="GJW101" s="223"/>
      <c r="GJX101" s="224"/>
      <c r="GJY101" s="222" t="s">
        <v>47</v>
      </c>
      <c r="GJZ101" s="223"/>
      <c r="GKA101" s="223"/>
      <c r="GKB101" s="223"/>
      <c r="GKC101" s="223"/>
      <c r="GKD101" s="223"/>
      <c r="GKE101" s="223"/>
      <c r="GKF101" s="224"/>
      <c r="GKG101" s="222" t="s">
        <v>47</v>
      </c>
      <c r="GKH101" s="223"/>
      <c r="GKI101" s="223"/>
      <c r="GKJ101" s="223"/>
      <c r="GKK101" s="223"/>
      <c r="GKL101" s="223"/>
      <c r="GKM101" s="223"/>
      <c r="GKN101" s="224"/>
      <c r="GKO101" s="222" t="s">
        <v>47</v>
      </c>
      <c r="GKP101" s="223"/>
      <c r="GKQ101" s="223"/>
      <c r="GKR101" s="223"/>
      <c r="GKS101" s="223"/>
      <c r="GKT101" s="223"/>
      <c r="GKU101" s="223"/>
      <c r="GKV101" s="224"/>
      <c r="GKW101" s="222" t="s">
        <v>47</v>
      </c>
      <c r="GKX101" s="223"/>
      <c r="GKY101" s="223"/>
      <c r="GKZ101" s="223"/>
      <c r="GLA101" s="223"/>
      <c r="GLB101" s="223"/>
      <c r="GLC101" s="223"/>
      <c r="GLD101" s="224"/>
      <c r="GLE101" s="222" t="s">
        <v>47</v>
      </c>
      <c r="GLF101" s="223"/>
      <c r="GLG101" s="223"/>
      <c r="GLH101" s="223"/>
      <c r="GLI101" s="223"/>
      <c r="GLJ101" s="223"/>
      <c r="GLK101" s="223"/>
      <c r="GLL101" s="224"/>
      <c r="GLM101" s="222" t="s">
        <v>47</v>
      </c>
      <c r="GLN101" s="223"/>
      <c r="GLO101" s="223"/>
      <c r="GLP101" s="223"/>
      <c r="GLQ101" s="223"/>
      <c r="GLR101" s="223"/>
      <c r="GLS101" s="223"/>
      <c r="GLT101" s="224"/>
      <c r="GLU101" s="222" t="s">
        <v>47</v>
      </c>
      <c r="GLV101" s="223"/>
      <c r="GLW101" s="223"/>
      <c r="GLX101" s="223"/>
      <c r="GLY101" s="223"/>
      <c r="GLZ101" s="223"/>
      <c r="GMA101" s="223"/>
      <c r="GMB101" s="224"/>
      <c r="GMC101" s="222" t="s">
        <v>47</v>
      </c>
      <c r="GMD101" s="223"/>
      <c r="GME101" s="223"/>
      <c r="GMF101" s="223"/>
      <c r="GMG101" s="223"/>
      <c r="GMH101" s="223"/>
      <c r="GMI101" s="223"/>
      <c r="GMJ101" s="224"/>
      <c r="GMK101" s="222" t="s">
        <v>47</v>
      </c>
      <c r="GML101" s="223"/>
      <c r="GMM101" s="223"/>
      <c r="GMN101" s="223"/>
      <c r="GMO101" s="223"/>
      <c r="GMP101" s="223"/>
      <c r="GMQ101" s="223"/>
      <c r="GMR101" s="224"/>
      <c r="GMS101" s="222" t="s">
        <v>47</v>
      </c>
      <c r="GMT101" s="223"/>
      <c r="GMU101" s="223"/>
      <c r="GMV101" s="223"/>
      <c r="GMW101" s="223"/>
      <c r="GMX101" s="223"/>
      <c r="GMY101" s="223"/>
      <c r="GMZ101" s="224"/>
      <c r="GNA101" s="222" t="s">
        <v>47</v>
      </c>
      <c r="GNB101" s="223"/>
      <c r="GNC101" s="223"/>
      <c r="GND101" s="223"/>
      <c r="GNE101" s="223"/>
      <c r="GNF101" s="223"/>
      <c r="GNG101" s="223"/>
      <c r="GNH101" s="224"/>
      <c r="GNI101" s="222" t="s">
        <v>47</v>
      </c>
      <c r="GNJ101" s="223"/>
      <c r="GNK101" s="223"/>
      <c r="GNL101" s="223"/>
      <c r="GNM101" s="223"/>
      <c r="GNN101" s="223"/>
      <c r="GNO101" s="223"/>
      <c r="GNP101" s="224"/>
      <c r="GNQ101" s="222" t="s">
        <v>47</v>
      </c>
      <c r="GNR101" s="223"/>
      <c r="GNS101" s="223"/>
      <c r="GNT101" s="223"/>
      <c r="GNU101" s="223"/>
      <c r="GNV101" s="223"/>
      <c r="GNW101" s="223"/>
      <c r="GNX101" s="224"/>
      <c r="GNY101" s="222" t="s">
        <v>47</v>
      </c>
      <c r="GNZ101" s="223"/>
      <c r="GOA101" s="223"/>
      <c r="GOB101" s="223"/>
      <c r="GOC101" s="223"/>
      <c r="GOD101" s="223"/>
      <c r="GOE101" s="223"/>
      <c r="GOF101" s="224"/>
      <c r="GOG101" s="222" t="s">
        <v>47</v>
      </c>
      <c r="GOH101" s="223"/>
      <c r="GOI101" s="223"/>
      <c r="GOJ101" s="223"/>
      <c r="GOK101" s="223"/>
      <c r="GOL101" s="223"/>
      <c r="GOM101" s="223"/>
      <c r="GON101" s="224"/>
      <c r="GOO101" s="222" t="s">
        <v>47</v>
      </c>
      <c r="GOP101" s="223"/>
      <c r="GOQ101" s="223"/>
      <c r="GOR101" s="223"/>
      <c r="GOS101" s="223"/>
      <c r="GOT101" s="223"/>
      <c r="GOU101" s="223"/>
      <c r="GOV101" s="224"/>
      <c r="GOW101" s="222" t="s">
        <v>47</v>
      </c>
      <c r="GOX101" s="223"/>
      <c r="GOY101" s="223"/>
      <c r="GOZ101" s="223"/>
      <c r="GPA101" s="223"/>
      <c r="GPB101" s="223"/>
      <c r="GPC101" s="223"/>
      <c r="GPD101" s="224"/>
      <c r="GPE101" s="222" t="s">
        <v>47</v>
      </c>
      <c r="GPF101" s="223"/>
      <c r="GPG101" s="223"/>
      <c r="GPH101" s="223"/>
      <c r="GPI101" s="223"/>
      <c r="GPJ101" s="223"/>
      <c r="GPK101" s="223"/>
      <c r="GPL101" s="224"/>
      <c r="GPM101" s="222" t="s">
        <v>47</v>
      </c>
      <c r="GPN101" s="223"/>
      <c r="GPO101" s="223"/>
      <c r="GPP101" s="223"/>
      <c r="GPQ101" s="223"/>
      <c r="GPR101" s="223"/>
      <c r="GPS101" s="223"/>
      <c r="GPT101" s="224"/>
      <c r="GPU101" s="222" t="s">
        <v>47</v>
      </c>
      <c r="GPV101" s="223"/>
      <c r="GPW101" s="223"/>
      <c r="GPX101" s="223"/>
      <c r="GPY101" s="223"/>
      <c r="GPZ101" s="223"/>
      <c r="GQA101" s="223"/>
      <c r="GQB101" s="224"/>
      <c r="GQC101" s="222" t="s">
        <v>47</v>
      </c>
      <c r="GQD101" s="223"/>
      <c r="GQE101" s="223"/>
      <c r="GQF101" s="223"/>
      <c r="GQG101" s="223"/>
      <c r="GQH101" s="223"/>
      <c r="GQI101" s="223"/>
      <c r="GQJ101" s="224"/>
      <c r="GQK101" s="222" t="s">
        <v>47</v>
      </c>
      <c r="GQL101" s="223"/>
      <c r="GQM101" s="223"/>
      <c r="GQN101" s="223"/>
      <c r="GQO101" s="223"/>
      <c r="GQP101" s="223"/>
      <c r="GQQ101" s="223"/>
      <c r="GQR101" s="224"/>
      <c r="GQS101" s="222" t="s">
        <v>47</v>
      </c>
      <c r="GQT101" s="223"/>
      <c r="GQU101" s="223"/>
      <c r="GQV101" s="223"/>
      <c r="GQW101" s="223"/>
      <c r="GQX101" s="223"/>
      <c r="GQY101" s="223"/>
      <c r="GQZ101" s="224"/>
      <c r="GRA101" s="222" t="s">
        <v>47</v>
      </c>
      <c r="GRB101" s="223"/>
      <c r="GRC101" s="223"/>
      <c r="GRD101" s="223"/>
      <c r="GRE101" s="223"/>
      <c r="GRF101" s="223"/>
      <c r="GRG101" s="223"/>
      <c r="GRH101" s="224"/>
      <c r="GRI101" s="222" t="s">
        <v>47</v>
      </c>
      <c r="GRJ101" s="223"/>
      <c r="GRK101" s="223"/>
      <c r="GRL101" s="223"/>
      <c r="GRM101" s="223"/>
      <c r="GRN101" s="223"/>
      <c r="GRO101" s="223"/>
      <c r="GRP101" s="224"/>
      <c r="GRQ101" s="222" t="s">
        <v>47</v>
      </c>
      <c r="GRR101" s="223"/>
      <c r="GRS101" s="223"/>
      <c r="GRT101" s="223"/>
      <c r="GRU101" s="223"/>
      <c r="GRV101" s="223"/>
      <c r="GRW101" s="223"/>
      <c r="GRX101" s="224"/>
      <c r="GRY101" s="222" t="s">
        <v>47</v>
      </c>
      <c r="GRZ101" s="223"/>
      <c r="GSA101" s="223"/>
      <c r="GSB101" s="223"/>
      <c r="GSC101" s="223"/>
      <c r="GSD101" s="223"/>
      <c r="GSE101" s="223"/>
      <c r="GSF101" s="224"/>
      <c r="GSG101" s="222" t="s">
        <v>47</v>
      </c>
      <c r="GSH101" s="223"/>
      <c r="GSI101" s="223"/>
      <c r="GSJ101" s="223"/>
      <c r="GSK101" s="223"/>
      <c r="GSL101" s="223"/>
      <c r="GSM101" s="223"/>
      <c r="GSN101" s="224"/>
      <c r="GSO101" s="222" t="s">
        <v>47</v>
      </c>
      <c r="GSP101" s="223"/>
      <c r="GSQ101" s="223"/>
      <c r="GSR101" s="223"/>
      <c r="GSS101" s="223"/>
      <c r="GST101" s="223"/>
      <c r="GSU101" s="223"/>
      <c r="GSV101" s="224"/>
      <c r="GSW101" s="222" t="s">
        <v>47</v>
      </c>
      <c r="GSX101" s="223"/>
      <c r="GSY101" s="223"/>
      <c r="GSZ101" s="223"/>
      <c r="GTA101" s="223"/>
      <c r="GTB101" s="223"/>
      <c r="GTC101" s="223"/>
      <c r="GTD101" s="224"/>
      <c r="GTE101" s="222" t="s">
        <v>47</v>
      </c>
      <c r="GTF101" s="223"/>
      <c r="GTG101" s="223"/>
      <c r="GTH101" s="223"/>
      <c r="GTI101" s="223"/>
      <c r="GTJ101" s="223"/>
      <c r="GTK101" s="223"/>
      <c r="GTL101" s="224"/>
      <c r="GTM101" s="222" t="s">
        <v>47</v>
      </c>
      <c r="GTN101" s="223"/>
      <c r="GTO101" s="223"/>
      <c r="GTP101" s="223"/>
      <c r="GTQ101" s="223"/>
      <c r="GTR101" s="223"/>
      <c r="GTS101" s="223"/>
      <c r="GTT101" s="224"/>
      <c r="GTU101" s="222" t="s">
        <v>47</v>
      </c>
      <c r="GTV101" s="223"/>
      <c r="GTW101" s="223"/>
      <c r="GTX101" s="223"/>
      <c r="GTY101" s="223"/>
      <c r="GTZ101" s="223"/>
      <c r="GUA101" s="223"/>
      <c r="GUB101" s="224"/>
      <c r="GUC101" s="222" t="s">
        <v>47</v>
      </c>
      <c r="GUD101" s="223"/>
      <c r="GUE101" s="223"/>
      <c r="GUF101" s="223"/>
      <c r="GUG101" s="223"/>
      <c r="GUH101" s="223"/>
      <c r="GUI101" s="223"/>
      <c r="GUJ101" s="224"/>
      <c r="GUK101" s="222" t="s">
        <v>47</v>
      </c>
      <c r="GUL101" s="223"/>
      <c r="GUM101" s="223"/>
      <c r="GUN101" s="223"/>
      <c r="GUO101" s="223"/>
      <c r="GUP101" s="223"/>
      <c r="GUQ101" s="223"/>
      <c r="GUR101" s="224"/>
      <c r="GUS101" s="222" t="s">
        <v>47</v>
      </c>
      <c r="GUT101" s="223"/>
      <c r="GUU101" s="223"/>
      <c r="GUV101" s="223"/>
      <c r="GUW101" s="223"/>
      <c r="GUX101" s="223"/>
      <c r="GUY101" s="223"/>
      <c r="GUZ101" s="224"/>
      <c r="GVA101" s="222" t="s">
        <v>47</v>
      </c>
      <c r="GVB101" s="223"/>
      <c r="GVC101" s="223"/>
      <c r="GVD101" s="223"/>
      <c r="GVE101" s="223"/>
      <c r="GVF101" s="223"/>
      <c r="GVG101" s="223"/>
      <c r="GVH101" s="224"/>
      <c r="GVI101" s="222" t="s">
        <v>47</v>
      </c>
      <c r="GVJ101" s="223"/>
      <c r="GVK101" s="223"/>
      <c r="GVL101" s="223"/>
      <c r="GVM101" s="223"/>
      <c r="GVN101" s="223"/>
      <c r="GVO101" s="223"/>
      <c r="GVP101" s="224"/>
      <c r="GVQ101" s="222" t="s">
        <v>47</v>
      </c>
      <c r="GVR101" s="223"/>
      <c r="GVS101" s="223"/>
      <c r="GVT101" s="223"/>
      <c r="GVU101" s="223"/>
      <c r="GVV101" s="223"/>
      <c r="GVW101" s="223"/>
      <c r="GVX101" s="224"/>
      <c r="GVY101" s="222" t="s">
        <v>47</v>
      </c>
      <c r="GVZ101" s="223"/>
      <c r="GWA101" s="223"/>
      <c r="GWB101" s="223"/>
      <c r="GWC101" s="223"/>
      <c r="GWD101" s="223"/>
      <c r="GWE101" s="223"/>
      <c r="GWF101" s="224"/>
      <c r="GWG101" s="222" t="s">
        <v>47</v>
      </c>
      <c r="GWH101" s="223"/>
      <c r="GWI101" s="223"/>
      <c r="GWJ101" s="223"/>
      <c r="GWK101" s="223"/>
      <c r="GWL101" s="223"/>
      <c r="GWM101" s="223"/>
      <c r="GWN101" s="224"/>
      <c r="GWO101" s="222" t="s">
        <v>47</v>
      </c>
      <c r="GWP101" s="223"/>
      <c r="GWQ101" s="223"/>
      <c r="GWR101" s="223"/>
      <c r="GWS101" s="223"/>
      <c r="GWT101" s="223"/>
      <c r="GWU101" s="223"/>
      <c r="GWV101" s="224"/>
      <c r="GWW101" s="222" t="s">
        <v>47</v>
      </c>
      <c r="GWX101" s="223"/>
      <c r="GWY101" s="223"/>
      <c r="GWZ101" s="223"/>
      <c r="GXA101" s="223"/>
      <c r="GXB101" s="223"/>
      <c r="GXC101" s="223"/>
      <c r="GXD101" s="224"/>
      <c r="GXE101" s="222" t="s">
        <v>47</v>
      </c>
      <c r="GXF101" s="223"/>
      <c r="GXG101" s="223"/>
      <c r="GXH101" s="223"/>
      <c r="GXI101" s="223"/>
      <c r="GXJ101" s="223"/>
      <c r="GXK101" s="223"/>
      <c r="GXL101" s="224"/>
      <c r="GXM101" s="222" t="s">
        <v>47</v>
      </c>
      <c r="GXN101" s="223"/>
      <c r="GXO101" s="223"/>
      <c r="GXP101" s="223"/>
      <c r="GXQ101" s="223"/>
      <c r="GXR101" s="223"/>
      <c r="GXS101" s="223"/>
      <c r="GXT101" s="224"/>
      <c r="GXU101" s="222" t="s">
        <v>47</v>
      </c>
      <c r="GXV101" s="223"/>
      <c r="GXW101" s="223"/>
      <c r="GXX101" s="223"/>
      <c r="GXY101" s="223"/>
      <c r="GXZ101" s="223"/>
      <c r="GYA101" s="223"/>
      <c r="GYB101" s="224"/>
      <c r="GYC101" s="222" t="s">
        <v>47</v>
      </c>
      <c r="GYD101" s="223"/>
      <c r="GYE101" s="223"/>
      <c r="GYF101" s="223"/>
      <c r="GYG101" s="223"/>
      <c r="GYH101" s="223"/>
      <c r="GYI101" s="223"/>
      <c r="GYJ101" s="224"/>
      <c r="GYK101" s="222" t="s">
        <v>47</v>
      </c>
      <c r="GYL101" s="223"/>
      <c r="GYM101" s="223"/>
      <c r="GYN101" s="223"/>
      <c r="GYO101" s="223"/>
      <c r="GYP101" s="223"/>
      <c r="GYQ101" s="223"/>
      <c r="GYR101" s="224"/>
      <c r="GYS101" s="222" t="s">
        <v>47</v>
      </c>
      <c r="GYT101" s="223"/>
      <c r="GYU101" s="223"/>
      <c r="GYV101" s="223"/>
      <c r="GYW101" s="223"/>
      <c r="GYX101" s="223"/>
      <c r="GYY101" s="223"/>
      <c r="GYZ101" s="224"/>
      <c r="GZA101" s="222" t="s">
        <v>47</v>
      </c>
      <c r="GZB101" s="223"/>
      <c r="GZC101" s="223"/>
      <c r="GZD101" s="223"/>
      <c r="GZE101" s="223"/>
      <c r="GZF101" s="223"/>
      <c r="GZG101" s="223"/>
      <c r="GZH101" s="224"/>
      <c r="GZI101" s="222" t="s">
        <v>47</v>
      </c>
      <c r="GZJ101" s="223"/>
      <c r="GZK101" s="223"/>
      <c r="GZL101" s="223"/>
      <c r="GZM101" s="223"/>
      <c r="GZN101" s="223"/>
      <c r="GZO101" s="223"/>
      <c r="GZP101" s="224"/>
      <c r="GZQ101" s="222" t="s">
        <v>47</v>
      </c>
      <c r="GZR101" s="223"/>
      <c r="GZS101" s="223"/>
      <c r="GZT101" s="223"/>
      <c r="GZU101" s="223"/>
      <c r="GZV101" s="223"/>
      <c r="GZW101" s="223"/>
      <c r="GZX101" s="224"/>
      <c r="GZY101" s="222" t="s">
        <v>47</v>
      </c>
      <c r="GZZ101" s="223"/>
      <c r="HAA101" s="223"/>
      <c r="HAB101" s="223"/>
      <c r="HAC101" s="223"/>
      <c r="HAD101" s="223"/>
      <c r="HAE101" s="223"/>
      <c r="HAF101" s="224"/>
      <c r="HAG101" s="222" t="s">
        <v>47</v>
      </c>
      <c r="HAH101" s="223"/>
      <c r="HAI101" s="223"/>
      <c r="HAJ101" s="223"/>
      <c r="HAK101" s="223"/>
      <c r="HAL101" s="223"/>
      <c r="HAM101" s="223"/>
      <c r="HAN101" s="224"/>
      <c r="HAO101" s="222" t="s">
        <v>47</v>
      </c>
      <c r="HAP101" s="223"/>
      <c r="HAQ101" s="223"/>
      <c r="HAR101" s="223"/>
      <c r="HAS101" s="223"/>
      <c r="HAT101" s="223"/>
      <c r="HAU101" s="223"/>
      <c r="HAV101" s="224"/>
      <c r="HAW101" s="222" t="s">
        <v>47</v>
      </c>
      <c r="HAX101" s="223"/>
      <c r="HAY101" s="223"/>
      <c r="HAZ101" s="223"/>
      <c r="HBA101" s="223"/>
      <c r="HBB101" s="223"/>
      <c r="HBC101" s="223"/>
      <c r="HBD101" s="224"/>
      <c r="HBE101" s="222" t="s">
        <v>47</v>
      </c>
      <c r="HBF101" s="223"/>
      <c r="HBG101" s="223"/>
      <c r="HBH101" s="223"/>
      <c r="HBI101" s="223"/>
      <c r="HBJ101" s="223"/>
      <c r="HBK101" s="223"/>
      <c r="HBL101" s="224"/>
      <c r="HBM101" s="222" t="s">
        <v>47</v>
      </c>
      <c r="HBN101" s="223"/>
      <c r="HBO101" s="223"/>
      <c r="HBP101" s="223"/>
      <c r="HBQ101" s="223"/>
      <c r="HBR101" s="223"/>
      <c r="HBS101" s="223"/>
      <c r="HBT101" s="224"/>
      <c r="HBU101" s="222" t="s">
        <v>47</v>
      </c>
      <c r="HBV101" s="223"/>
      <c r="HBW101" s="223"/>
      <c r="HBX101" s="223"/>
      <c r="HBY101" s="223"/>
      <c r="HBZ101" s="223"/>
      <c r="HCA101" s="223"/>
      <c r="HCB101" s="224"/>
      <c r="HCC101" s="222" t="s">
        <v>47</v>
      </c>
      <c r="HCD101" s="223"/>
      <c r="HCE101" s="223"/>
      <c r="HCF101" s="223"/>
      <c r="HCG101" s="223"/>
      <c r="HCH101" s="223"/>
      <c r="HCI101" s="223"/>
      <c r="HCJ101" s="224"/>
      <c r="HCK101" s="222" t="s">
        <v>47</v>
      </c>
      <c r="HCL101" s="223"/>
      <c r="HCM101" s="223"/>
      <c r="HCN101" s="223"/>
      <c r="HCO101" s="223"/>
      <c r="HCP101" s="223"/>
      <c r="HCQ101" s="223"/>
      <c r="HCR101" s="224"/>
      <c r="HCS101" s="222" t="s">
        <v>47</v>
      </c>
      <c r="HCT101" s="223"/>
      <c r="HCU101" s="223"/>
      <c r="HCV101" s="223"/>
      <c r="HCW101" s="223"/>
      <c r="HCX101" s="223"/>
      <c r="HCY101" s="223"/>
      <c r="HCZ101" s="224"/>
      <c r="HDA101" s="222" t="s">
        <v>47</v>
      </c>
      <c r="HDB101" s="223"/>
      <c r="HDC101" s="223"/>
      <c r="HDD101" s="223"/>
      <c r="HDE101" s="223"/>
      <c r="HDF101" s="223"/>
      <c r="HDG101" s="223"/>
      <c r="HDH101" s="224"/>
      <c r="HDI101" s="222" t="s">
        <v>47</v>
      </c>
      <c r="HDJ101" s="223"/>
      <c r="HDK101" s="223"/>
      <c r="HDL101" s="223"/>
      <c r="HDM101" s="223"/>
      <c r="HDN101" s="223"/>
      <c r="HDO101" s="223"/>
      <c r="HDP101" s="224"/>
      <c r="HDQ101" s="222" t="s">
        <v>47</v>
      </c>
      <c r="HDR101" s="223"/>
      <c r="HDS101" s="223"/>
      <c r="HDT101" s="223"/>
      <c r="HDU101" s="223"/>
      <c r="HDV101" s="223"/>
      <c r="HDW101" s="223"/>
      <c r="HDX101" s="224"/>
      <c r="HDY101" s="222" t="s">
        <v>47</v>
      </c>
      <c r="HDZ101" s="223"/>
      <c r="HEA101" s="223"/>
      <c r="HEB101" s="223"/>
      <c r="HEC101" s="223"/>
      <c r="HED101" s="223"/>
      <c r="HEE101" s="223"/>
      <c r="HEF101" s="224"/>
      <c r="HEG101" s="222" t="s">
        <v>47</v>
      </c>
      <c r="HEH101" s="223"/>
      <c r="HEI101" s="223"/>
      <c r="HEJ101" s="223"/>
      <c r="HEK101" s="223"/>
      <c r="HEL101" s="223"/>
      <c r="HEM101" s="223"/>
      <c r="HEN101" s="224"/>
      <c r="HEO101" s="222" t="s">
        <v>47</v>
      </c>
      <c r="HEP101" s="223"/>
      <c r="HEQ101" s="223"/>
      <c r="HER101" s="223"/>
      <c r="HES101" s="223"/>
      <c r="HET101" s="223"/>
      <c r="HEU101" s="223"/>
      <c r="HEV101" s="224"/>
      <c r="HEW101" s="222" t="s">
        <v>47</v>
      </c>
      <c r="HEX101" s="223"/>
      <c r="HEY101" s="223"/>
      <c r="HEZ101" s="223"/>
      <c r="HFA101" s="223"/>
      <c r="HFB101" s="223"/>
      <c r="HFC101" s="223"/>
      <c r="HFD101" s="224"/>
      <c r="HFE101" s="222" t="s">
        <v>47</v>
      </c>
      <c r="HFF101" s="223"/>
      <c r="HFG101" s="223"/>
      <c r="HFH101" s="223"/>
      <c r="HFI101" s="223"/>
      <c r="HFJ101" s="223"/>
      <c r="HFK101" s="223"/>
      <c r="HFL101" s="224"/>
      <c r="HFM101" s="222" t="s">
        <v>47</v>
      </c>
      <c r="HFN101" s="223"/>
      <c r="HFO101" s="223"/>
      <c r="HFP101" s="223"/>
      <c r="HFQ101" s="223"/>
      <c r="HFR101" s="223"/>
      <c r="HFS101" s="223"/>
      <c r="HFT101" s="224"/>
      <c r="HFU101" s="222" t="s">
        <v>47</v>
      </c>
      <c r="HFV101" s="223"/>
      <c r="HFW101" s="223"/>
      <c r="HFX101" s="223"/>
      <c r="HFY101" s="223"/>
      <c r="HFZ101" s="223"/>
      <c r="HGA101" s="223"/>
      <c r="HGB101" s="224"/>
      <c r="HGC101" s="222" t="s">
        <v>47</v>
      </c>
      <c r="HGD101" s="223"/>
      <c r="HGE101" s="223"/>
      <c r="HGF101" s="223"/>
      <c r="HGG101" s="223"/>
      <c r="HGH101" s="223"/>
      <c r="HGI101" s="223"/>
      <c r="HGJ101" s="224"/>
      <c r="HGK101" s="222" t="s">
        <v>47</v>
      </c>
      <c r="HGL101" s="223"/>
      <c r="HGM101" s="223"/>
      <c r="HGN101" s="223"/>
      <c r="HGO101" s="223"/>
      <c r="HGP101" s="223"/>
      <c r="HGQ101" s="223"/>
      <c r="HGR101" s="224"/>
      <c r="HGS101" s="222" t="s">
        <v>47</v>
      </c>
      <c r="HGT101" s="223"/>
      <c r="HGU101" s="223"/>
      <c r="HGV101" s="223"/>
      <c r="HGW101" s="223"/>
      <c r="HGX101" s="223"/>
      <c r="HGY101" s="223"/>
      <c r="HGZ101" s="224"/>
      <c r="HHA101" s="222" t="s">
        <v>47</v>
      </c>
      <c r="HHB101" s="223"/>
      <c r="HHC101" s="223"/>
      <c r="HHD101" s="223"/>
      <c r="HHE101" s="223"/>
      <c r="HHF101" s="223"/>
      <c r="HHG101" s="223"/>
      <c r="HHH101" s="224"/>
      <c r="HHI101" s="222" t="s">
        <v>47</v>
      </c>
      <c r="HHJ101" s="223"/>
      <c r="HHK101" s="223"/>
      <c r="HHL101" s="223"/>
      <c r="HHM101" s="223"/>
      <c r="HHN101" s="223"/>
      <c r="HHO101" s="223"/>
      <c r="HHP101" s="224"/>
      <c r="HHQ101" s="222" t="s">
        <v>47</v>
      </c>
      <c r="HHR101" s="223"/>
      <c r="HHS101" s="223"/>
      <c r="HHT101" s="223"/>
      <c r="HHU101" s="223"/>
      <c r="HHV101" s="223"/>
      <c r="HHW101" s="223"/>
      <c r="HHX101" s="224"/>
      <c r="HHY101" s="222" t="s">
        <v>47</v>
      </c>
      <c r="HHZ101" s="223"/>
      <c r="HIA101" s="223"/>
      <c r="HIB101" s="223"/>
      <c r="HIC101" s="223"/>
      <c r="HID101" s="223"/>
      <c r="HIE101" s="223"/>
      <c r="HIF101" s="224"/>
      <c r="HIG101" s="222" t="s">
        <v>47</v>
      </c>
      <c r="HIH101" s="223"/>
      <c r="HII101" s="223"/>
      <c r="HIJ101" s="223"/>
      <c r="HIK101" s="223"/>
      <c r="HIL101" s="223"/>
      <c r="HIM101" s="223"/>
      <c r="HIN101" s="224"/>
      <c r="HIO101" s="222" t="s">
        <v>47</v>
      </c>
      <c r="HIP101" s="223"/>
      <c r="HIQ101" s="223"/>
      <c r="HIR101" s="223"/>
      <c r="HIS101" s="223"/>
      <c r="HIT101" s="223"/>
      <c r="HIU101" s="223"/>
      <c r="HIV101" s="224"/>
      <c r="HIW101" s="222" t="s">
        <v>47</v>
      </c>
      <c r="HIX101" s="223"/>
      <c r="HIY101" s="223"/>
      <c r="HIZ101" s="223"/>
      <c r="HJA101" s="223"/>
      <c r="HJB101" s="223"/>
      <c r="HJC101" s="223"/>
      <c r="HJD101" s="224"/>
      <c r="HJE101" s="222" t="s">
        <v>47</v>
      </c>
      <c r="HJF101" s="223"/>
      <c r="HJG101" s="223"/>
      <c r="HJH101" s="223"/>
      <c r="HJI101" s="223"/>
      <c r="HJJ101" s="223"/>
      <c r="HJK101" s="223"/>
      <c r="HJL101" s="224"/>
      <c r="HJM101" s="222" t="s">
        <v>47</v>
      </c>
      <c r="HJN101" s="223"/>
      <c r="HJO101" s="223"/>
      <c r="HJP101" s="223"/>
      <c r="HJQ101" s="223"/>
      <c r="HJR101" s="223"/>
      <c r="HJS101" s="223"/>
      <c r="HJT101" s="224"/>
      <c r="HJU101" s="222" t="s">
        <v>47</v>
      </c>
      <c r="HJV101" s="223"/>
      <c r="HJW101" s="223"/>
      <c r="HJX101" s="223"/>
      <c r="HJY101" s="223"/>
      <c r="HJZ101" s="223"/>
      <c r="HKA101" s="223"/>
      <c r="HKB101" s="224"/>
      <c r="HKC101" s="222" t="s">
        <v>47</v>
      </c>
      <c r="HKD101" s="223"/>
      <c r="HKE101" s="223"/>
      <c r="HKF101" s="223"/>
      <c r="HKG101" s="223"/>
      <c r="HKH101" s="223"/>
      <c r="HKI101" s="223"/>
      <c r="HKJ101" s="224"/>
      <c r="HKK101" s="222" t="s">
        <v>47</v>
      </c>
      <c r="HKL101" s="223"/>
      <c r="HKM101" s="223"/>
      <c r="HKN101" s="223"/>
      <c r="HKO101" s="223"/>
      <c r="HKP101" s="223"/>
      <c r="HKQ101" s="223"/>
      <c r="HKR101" s="224"/>
      <c r="HKS101" s="222" t="s">
        <v>47</v>
      </c>
      <c r="HKT101" s="223"/>
      <c r="HKU101" s="223"/>
      <c r="HKV101" s="223"/>
      <c r="HKW101" s="223"/>
      <c r="HKX101" s="223"/>
      <c r="HKY101" s="223"/>
      <c r="HKZ101" s="224"/>
      <c r="HLA101" s="222" t="s">
        <v>47</v>
      </c>
      <c r="HLB101" s="223"/>
      <c r="HLC101" s="223"/>
      <c r="HLD101" s="223"/>
      <c r="HLE101" s="223"/>
      <c r="HLF101" s="223"/>
      <c r="HLG101" s="223"/>
      <c r="HLH101" s="224"/>
      <c r="HLI101" s="222" t="s">
        <v>47</v>
      </c>
      <c r="HLJ101" s="223"/>
      <c r="HLK101" s="223"/>
      <c r="HLL101" s="223"/>
      <c r="HLM101" s="223"/>
      <c r="HLN101" s="223"/>
      <c r="HLO101" s="223"/>
      <c r="HLP101" s="224"/>
      <c r="HLQ101" s="222" t="s">
        <v>47</v>
      </c>
      <c r="HLR101" s="223"/>
      <c r="HLS101" s="223"/>
      <c r="HLT101" s="223"/>
      <c r="HLU101" s="223"/>
      <c r="HLV101" s="223"/>
      <c r="HLW101" s="223"/>
      <c r="HLX101" s="224"/>
      <c r="HLY101" s="222" t="s">
        <v>47</v>
      </c>
      <c r="HLZ101" s="223"/>
      <c r="HMA101" s="223"/>
      <c r="HMB101" s="223"/>
      <c r="HMC101" s="223"/>
      <c r="HMD101" s="223"/>
      <c r="HME101" s="223"/>
      <c r="HMF101" s="224"/>
      <c r="HMG101" s="222" t="s">
        <v>47</v>
      </c>
      <c r="HMH101" s="223"/>
      <c r="HMI101" s="223"/>
      <c r="HMJ101" s="223"/>
      <c r="HMK101" s="223"/>
      <c r="HML101" s="223"/>
      <c r="HMM101" s="223"/>
      <c r="HMN101" s="224"/>
      <c r="HMO101" s="222" t="s">
        <v>47</v>
      </c>
      <c r="HMP101" s="223"/>
      <c r="HMQ101" s="223"/>
      <c r="HMR101" s="223"/>
      <c r="HMS101" s="223"/>
      <c r="HMT101" s="223"/>
      <c r="HMU101" s="223"/>
      <c r="HMV101" s="224"/>
      <c r="HMW101" s="222" t="s">
        <v>47</v>
      </c>
      <c r="HMX101" s="223"/>
      <c r="HMY101" s="223"/>
      <c r="HMZ101" s="223"/>
      <c r="HNA101" s="223"/>
      <c r="HNB101" s="223"/>
      <c r="HNC101" s="223"/>
      <c r="HND101" s="224"/>
      <c r="HNE101" s="222" t="s">
        <v>47</v>
      </c>
      <c r="HNF101" s="223"/>
      <c r="HNG101" s="223"/>
      <c r="HNH101" s="223"/>
      <c r="HNI101" s="223"/>
      <c r="HNJ101" s="223"/>
      <c r="HNK101" s="223"/>
      <c r="HNL101" s="224"/>
      <c r="HNM101" s="222" t="s">
        <v>47</v>
      </c>
      <c r="HNN101" s="223"/>
      <c r="HNO101" s="223"/>
      <c r="HNP101" s="223"/>
      <c r="HNQ101" s="223"/>
      <c r="HNR101" s="223"/>
      <c r="HNS101" s="223"/>
      <c r="HNT101" s="224"/>
      <c r="HNU101" s="222" t="s">
        <v>47</v>
      </c>
      <c r="HNV101" s="223"/>
      <c r="HNW101" s="223"/>
      <c r="HNX101" s="223"/>
      <c r="HNY101" s="223"/>
      <c r="HNZ101" s="223"/>
      <c r="HOA101" s="223"/>
      <c r="HOB101" s="224"/>
      <c r="HOC101" s="222" t="s">
        <v>47</v>
      </c>
      <c r="HOD101" s="223"/>
      <c r="HOE101" s="223"/>
      <c r="HOF101" s="223"/>
      <c r="HOG101" s="223"/>
      <c r="HOH101" s="223"/>
      <c r="HOI101" s="223"/>
      <c r="HOJ101" s="224"/>
      <c r="HOK101" s="222" t="s">
        <v>47</v>
      </c>
      <c r="HOL101" s="223"/>
      <c r="HOM101" s="223"/>
      <c r="HON101" s="223"/>
      <c r="HOO101" s="223"/>
      <c r="HOP101" s="223"/>
      <c r="HOQ101" s="223"/>
      <c r="HOR101" s="224"/>
      <c r="HOS101" s="222" t="s">
        <v>47</v>
      </c>
      <c r="HOT101" s="223"/>
      <c r="HOU101" s="223"/>
      <c r="HOV101" s="223"/>
      <c r="HOW101" s="223"/>
      <c r="HOX101" s="223"/>
      <c r="HOY101" s="223"/>
      <c r="HOZ101" s="224"/>
      <c r="HPA101" s="222" t="s">
        <v>47</v>
      </c>
      <c r="HPB101" s="223"/>
      <c r="HPC101" s="223"/>
      <c r="HPD101" s="223"/>
      <c r="HPE101" s="223"/>
      <c r="HPF101" s="223"/>
      <c r="HPG101" s="223"/>
      <c r="HPH101" s="224"/>
      <c r="HPI101" s="222" t="s">
        <v>47</v>
      </c>
      <c r="HPJ101" s="223"/>
      <c r="HPK101" s="223"/>
      <c r="HPL101" s="223"/>
      <c r="HPM101" s="223"/>
      <c r="HPN101" s="223"/>
      <c r="HPO101" s="223"/>
      <c r="HPP101" s="224"/>
      <c r="HPQ101" s="222" t="s">
        <v>47</v>
      </c>
      <c r="HPR101" s="223"/>
      <c r="HPS101" s="223"/>
      <c r="HPT101" s="223"/>
      <c r="HPU101" s="223"/>
      <c r="HPV101" s="223"/>
      <c r="HPW101" s="223"/>
      <c r="HPX101" s="224"/>
      <c r="HPY101" s="222" t="s">
        <v>47</v>
      </c>
      <c r="HPZ101" s="223"/>
      <c r="HQA101" s="223"/>
      <c r="HQB101" s="223"/>
      <c r="HQC101" s="223"/>
      <c r="HQD101" s="223"/>
      <c r="HQE101" s="223"/>
      <c r="HQF101" s="224"/>
      <c r="HQG101" s="222" t="s">
        <v>47</v>
      </c>
      <c r="HQH101" s="223"/>
      <c r="HQI101" s="223"/>
      <c r="HQJ101" s="223"/>
      <c r="HQK101" s="223"/>
      <c r="HQL101" s="223"/>
      <c r="HQM101" s="223"/>
      <c r="HQN101" s="224"/>
      <c r="HQO101" s="222" t="s">
        <v>47</v>
      </c>
      <c r="HQP101" s="223"/>
      <c r="HQQ101" s="223"/>
      <c r="HQR101" s="223"/>
      <c r="HQS101" s="223"/>
      <c r="HQT101" s="223"/>
      <c r="HQU101" s="223"/>
      <c r="HQV101" s="224"/>
      <c r="HQW101" s="222" t="s">
        <v>47</v>
      </c>
      <c r="HQX101" s="223"/>
      <c r="HQY101" s="223"/>
      <c r="HQZ101" s="223"/>
      <c r="HRA101" s="223"/>
      <c r="HRB101" s="223"/>
      <c r="HRC101" s="223"/>
      <c r="HRD101" s="224"/>
      <c r="HRE101" s="222" t="s">
        <v>47</v>
      </c>
      <c r="HRF101" s="223"/>
      <c r="HRG101" s="223"/>
      <c r="HRH101" s="223"/>
      <c r="HRI101" s="223"/>
      <c r="HRJ101" s="223"/>
      <c r="HRK101" s="223"/>
      <c r="HRL101" s="224"/>
      <c r="HRM101" s="222" t="s">
        <v>47</v>
      </c>
      <c r="HRN101" s="223"/>
      <c r="HRO101" s="223"/>
      <c r="HRP101" s="223"/>
      <c r="HRQ101" s="223"/>
      <c r="HRR101" s="223"/>
      <c r="HRS101" s="223"/>
      <c r="HRT101" s="224"/>
      <c r="HRU101" s="222" t="s">
        <v>47</v>
      </c>
      <c r="HRV101" s="223"/>
      <c r="HRW101" s="223"/>
      <c r="HRX101" s="223"/>
      <c r="HRY101" s="223"/>
      <c r="HRZ101" s="223"/>
      <c r="HSA101" s="223"/>
      <c r="HSB101" s="224"/>
      <c r="HSC101" s="222" t="s">
        <v>47</v>
      </c>
      <c r="HSD101" s="223"/>
      <c r="HSE101" s="223"/>
      <c r="HSF101" s="223"/>
      <c r="HSG101" s="223"/>
      <c r="HSH101" s="223"/>
      <c r="HSI101" s="223"/>
      <c r="HSJ101" s="224"/>
      <c r="HSK101" s="222" t="s">
        <v>47</v>
      </c>
      <c r="HSL101" s="223"/>
      <c r="HSM101" s="223"/>
      <c r="HSN101" s="223"/>
      <c r="HSO101" s="223"/>
      <c r="HSP101" s="223"/>
      <c r="HSQ101" s="223"/>
      <c r="HSR101" s="224"/>
      <c r="HSS101" s="222" t="s">
        <v>47</v>
      </c>
      <c r="HST101" s="223"/>
      <c r="HSU101" s="223"/>
      <c r="HSV101" s="223"/>
      <c r="HSW101" s="223"/>
      <c r="HSX101" s="223"/>
      <c r="HSY101" s="223"/>
      <c r="HSZ101" s="224"/>
      <c r="HTA101" s="222" t="s">
        <v>47</v>
      </c>
      <c r="HTB101" s="223"/>
      <c r="HTC101" s="223"/>
      <c r="HTD101" s="223"/>
      <c r="HTE101" s="223"/>
      <c r="HTF101" s="223"/>
      <c r="HTG101" s="223"/>
      <c r="HTH101" s="224"/>
      <c r="HTI101" s="222" t="s">
        <v>47</v>
      </c>
      <c r="HTJ101" s="223"/>
      <c r="HTK101" s="223"/>
      <c r="HTL101" s="223"/>
      <c r="HTM101" s="223"/>
      <c r="HTN101" s="223"/>
      <c r="HTO101" s="223"/>
      <c r="HTP101" s="224"/>
      <c r="HTQ101" s="222" t="s">
        <v>47</v>
      </c>
      <c r="HTR101" s="223"/>
      <c r="HTS101" s="223"/>
      <c r="HTT101" s="223"/>
      <c r="HTU101" s="223"/>
      <c r="HTV101" s="223"/>
      <c r="HTW101" s="223"/>
      <c r="HTX101" s="224"/>
      <c r="HTY101" s="222" t="s">
        <v>47</v>
      </c>
      <c r="HTZ101" s="223"/>
      <c r="HUA101" s="223"/>
      <c r="HUB101" s="223"/>
      <c r="HUC101" s="223"/>
      <c r="HUD101" s="223"/>
      <c r="HUE101" s="223"/>
      <c r="HUF101" s="224"/>
      <c r="HUG101" s="222" t="s">
        <v>47</v>
      </c>
      <c r="HUH101" s="223"/>
      <c r="HUI101" s="223"/>
      <c r="HUJ101" s="223"/>
      <c r="HUK101" s="223"/>
      <c r="HUL101" s="223"/>
      <c r="HUM101" s="223"/>
      <c r="HUN101" s="224"/>
      <c r="HUO101" s="222" t="s">
        <v>47</v>
      </c>
      <c r="HUP101" s="223"/>
      <c r="HUQ101" s="223"/>
      <c r="HUR101" s="223"/>
      <c r="HUS101" s="223"/>
      <c r="HUT101" s="223"/>
      <c r="HUU101" s="223"/>
      <c r="HUV101" s="224"/>
      <c r="HUW101" s="222" t="s">
        <v>47</v>
      </c>
      <c r="HUX101" s="223"/>
      <c r="HUY101" s="223"/>
      <c r="HUZ101" s="223"/>
      <c r="HVA101" s="223"/>
      <c r="HVB101" s="223"/>
      <c r="HVC101" s="223"/>
      <c r="HVD101" s="224"/>
      <c r="HVE101" s="222" t="s">
        <v>47</v>
      </c>
      <c r="HVF101" s="223"/>
      <c r="HVG101" s="223"/>
      <c r="HVH101" s="223"/>
      <c r="HVI101" s="223"/>
      <c r="HVJ101" s="223"/>
      <c r="HVK101" s="223"/>
      <c r="HVL101" s="224"/>
      <c r="HVM101" s="222" t="s">
        <v>47</v>
      </c>
      <c r="HVN101" s="223"/>
      <c r="HVO101" s="223"/>
      <c r="HVP101" s="223"/>
      <c r="HVQ101" s="223"/>
      <c r="HVR101" s="223"/>
      <c r="HVS101" s="223"/>
      <c r="HVT101" s="224"/>
      <c r="HVU101" s="222" t="s">
        <v>47</v>
      </c>
      <c r="HVV101" s="223"/>
      <c r="HVW101" s="223"/>
      <c r="HVX101" s="223"/>
      <c r="HVY101" s="223"/>
      <c r="HVZ101" s="223"/>
      <c r="HWA101" s="223"/>
      <c r="HWB101" s="224"/>
      <c r="HWC101" s="222" t="s">
        <v>47</v>
      </c>
      <c r="HWD101" s="223"/>
      <c r="HWE101" s="223"/>
      <c r="HWF101" s="223"/>
      <c r="HWG101" s="223"/>
      <c r="HWH101" s="223"/>
      <c r="HWI101" s="223"/>
      <c r="HWJ101" s="224"/>
      <c r="HWK101" s="222" t="s">
        <v>47</v>
      </c>
      <c r="HWL101" s="223"/>
      <c r="HWM101" s="223"/>
      <c r="HWN101" s="223"/>
      <c r="HWO101" s="223"/>
      <c r="HWP101" s="223"/>
      <c r="HWQ101" s="223"/>
      <c r="HWR101" s="224"/>
      <c r="HWS101" s="222" t="s">
        <v>47</v>
      </c>
      <c r="HWT101" s="223"/>
      <c r="HWU101" s="223"/>
      <c r="HWV101" s="223"/>
      <c r="HWW101" s="223"/>
      <c r="HWX101" s="223"/>
      <c r="HWY101" s="223"/>
      <c r="HWZ101" s="224"/>
      <c r="HXA101" s="222" t="s">
        <v>47</v>
      </c>
      <c r="HXB101" s="223"/>
      <c r="HXC101" s="223"/>
      <c r="HXD101" s="223"/>
      <c r="HXE101" s="223"/>
      <c r="HXF101" s="223"/>
      <c r="HXG101" s="223"/>
      <c r="HXH101" s="224"/>
      <c r="HXI101" s="222" t="s">
        <v>47</v>
      </c>
      <c r="HXJ101" s="223"/>
      <c r="HXK101" s="223"/>
      <c r="HXL101" s="223"/>
      <c r="HXM101" s="223"/>
      <c r="HXN101" s="223"/>
      <c r="HXO101" s="223"/>
      <c r="HXP101" s="224"/>
      <c r="HXQ101" s="222" t="s">
        <v>47</v>
      </c>
      <c r="HXR101" s="223"/>
      <c r="HXS101" s="223"/>
      <c r="HXT101" s="223"/>
      <c r="HXU101" s="223"/>
      <c r="HXV101" s="223"/>
      <c r="HXW101" s="223"/>
      <c r="HXX101" s="224"/>
      <c r="HXY101" s="222" t="s">
        <v>47</v>
      </c>
      <c r="HXZ101" s="223"/>
      <c r="HYA101" s="223"/>
      <c r="HYB101" s="223"/>
      <c r="HYC101" s="223"/>
      <c r="HYD101" s="223"/>
      <c r="HYE101" s="223"/>
      <c r="HYF101" s="224"/>
      <c r="HYG101" s="222" t="s">
        <v>47</v>
      </c>
      <c r="HYH101" s="223"/>
      <c r="HYI101" s="223"/>
      <c r="HYJ101" s="223"/>
      <c r="HYK101" s="223"/>
      <c r="HYL101" s="223"/>
      <c r="HYM101" s="223"/>
      <c r="HYN101" s="224"/>
      <c r="HYO101" s="222" t="s">
        <v>47</v>
      </c>
      <c r="HYP101" s="223"/>
      <c r="HYQ101" s="223"/>
      <c r="HYR101" s="223"/>
      <c r="HYS101" s="223"/>
      <c r="HYT101" s="223"/>
      <c r="HYU101" s="223"/>
      <c r="HYV101" s="224"/>
      <c r="HYW101" s="222" t="s">
        <v>47</v>
      </c>
      <c r="HYX101" s="223"/>
      <c r="HYY101" s="223"/>
      <c r="HYZ101" s="223"/>
      <c r="HZA101" s="223"/>
      <c r="HZB101" s="223"/>
      <c r="HZC101" s="223"/>
      <c r="HZD101" s="224"/>
      <c r="HZE101" s="222" t="s">
        <v>47</v>
      </c>
      <c r="HZF101" s="223"/>
      <c r="HZG101" s="223"/>
      <c r="HZH101" s="223"/>
      <c r="HZI101" s="223"/>
      <c r="HZJ101" s="223"/>
      <c r="HZK101" s="223"/>
      <c r="HZL101" s="224"/>
      <c r="HZM101" s="222" t="s">
        <v>47</v>
      </c>
      <c r="HZN101" s="223"/>
      <c r="HZO101" s="223"/>
      <c r="HZP101" s="223"/>
      <c r="HZQ101" s="223"/>
      <c r="HZR101" s="223"/>
      <c r="HZS101" s="223"/>
      <c r="HZT101" s="224"/>
      <c r="HZU101" s="222" t="s">
        <v>47</v>
      </c>
      <c r="HZV101" s="223"/>
      <c r="HZW101" s="223"/>
      <c r="HZX101" s="223"/>
      <c r="HZY101" s="223"/>
      <c r="HZZ101" s="223"/>
      <c r="IAA101" s="223"/>
      <c r="IAB101" s="224"/>
      <c r="IAC101" s="222" t="s">
        <v>47</v>
      </c>
      <c r="IAD101" s="223"/>
      <c r="IAE101" s="223"/>
      <c r="IAF101" s="223"/>
      <c r="IAG101" s="223"/>
      <c r="IAH101" s="223"/>
      <c r="IAI101" s="223"/>
      <c r="IAJ101" s="224"/>
      <c r="IAK101" s="222" t="s">
        <v>47</v>
      </c>
      <c r="IAL101" s="223"/>
      <c r="IAM101" s="223"/>
      <c r="IAN101" s="223"/>
      <c r="IAO101" s="223"/>
      <c r="IAP101" s="223"/>
      <c r="IAQ101" s="223"/>
      <c r="IAR101" s="224"/>
      <c r="IAS101" s="222" t="s">
        <v>47</v>
      </c>
      <c r="IAT101" s="223"/>
      <c r="IAU101" s="223"/>
      <c r="IAV101" s="223"/>
      <c r="IAW101" s="223"/>
      <c r="IAX101" s="223"/>
      <c r="IAY101" s="223"/>
      <c r="IAZ101" s="224"/>
      <c r="IBA101" s="222" t="s">
        <v>47</v>
      </c>
      <c r="IBB101" s="223"/>
      <c r="IBC101" s="223"/>
      <c r="IBD101" s="223"/>
      <c r="IBE101" s="223"/>
      <c r="IBF101" s="223"/>
      <c r="IBG101" s="223"/>
      <c r="IBH101" s="224"/>
      <c r="IBI101" s="222" t="s">
        <v>47</v>
      </c>
      <c r="IBJ101" s="223"/>
      <c r="IBK101" s="223"/>
      <c r="IBL101" s="223"/>
      <c r="IBM101" s="223"/>
      <c r="IBN101" s="223"/>
      <c r="IBO101" s="223"/>
      <c r="IBP101" s="224"/>
      <c r="IBQ101" s="222" t="s">
        <v>47</v>
      </c>
      <c r="IBR101" s="223"/>
      <c r="IBS101" s="223"/>
      <c r="IBT101" s="223"/>
      <c r="IBU101" s="223"/>
      <c r="IBV101" s="223"/>
      <c r="IBW101" s="223"/>
      <c r="IBX101" s="224"/>
      <c r="IBY101" s="222" t="s">
        <v>47</v>
      </c>
      <c r="IBZ101" s="223"/>
      <c r="ICA101" s="223"/>
      <c r="ICB101" s="223"/>
      <c r="ICC101" s="223"/>
      <c r="ICD101" s="223"/>
      <c r="ICE101" s="223"/>
      <c r="ICF101" s="224"/>
      <c r="ICG101" s="222" t="s">
        <v>47</v>
      </c>
      <c r="ICH101" s="223"/>
      <c r="ICI101" s="223"/>
      <c r="ICJ101" s="223"/>
      <c r="ICK101" s="223"/>
      <c r="ICL101" s="223"/>
      <c r="ICM101" s="223"/>
      <c r="ICN101" s="224"/>
      <c r="ICO101" s="222" t="s">
        <v>47</v>
      </c>
      <c r="ICP101" s="223"/>
      <c r="ICQ101" s="223"/>
      <c r="ICR101" s="223"/>
      <c r="ICS101" s="223"/>
      <c r="ICT101" s="223"/>
      <c r="ICU101" s="223"/>
      <c r="ICV101" s="224"/>
      <c r="ICW101" s="222" t="s">
        <v>47</v>
      </c>
      <c r="ICX101" s="223"/>
      <c r="ICY101" s="223"/>
      <c r="ICZ101" s="223"/>
      <c r="IDA101" s="223"/>
      <c r="IDB101" s="223"/>
      <c r="IDC101" s="223"/>
      <c r="IDD101" s="224"/>
      <c r="IDE101" s="222" t="s">
        <v>47</v>
      </c>
      <c r="IDF101" s="223"/>
      <c r="IDG101" s="223"/>
      <c r="IDH101" s="223"/>
      <c r="IDI101" s="223"/>
      <c r="IDJ101" s="223"/>
      <c r="IDK101" s="223"/>
      <c r="IDL101" s="224"/>
      <c r="IDM101" s="222" t="s">
        <v>47</v>
      </c>
      <c r="IDN101" s="223"/>
      <c r="IDO101" s="223"/>
      <c r="IDP101" s="223"/>
      <c r="IDQ101" s="223"/>
      <c r="IDR101" s="223"/>
      <c r="IDS101" s="223"/>
      <c r="IDT101" s="224"/>
      <c r="IDU101" s="222" t="s">
        <v>47</v>
      </c>
      <c r="IDV101" s="223"/>
      <c r="IDW101" s="223"/>
      <c r="IDX101" s="223"/>
      <c r="IDY101" s="223"/>
      <c r="IDZ101" s="223"/>
      <c r="IEA101" s="223"/>
      <c r="IEB101" s="224"/>
      <c r="IEC101" s="222" t="s">
        <v>47</v>
      </c>
      <c r="IED101" s="223"/>
      <c r="IEE101" s="223"/>
      <c r="IEF101" s="223"/>
      <c r="IEG101" s="223"/>
      <c r="IEH101" s="223"/>
      <c r="IEI101" s="223"/>
      <c r="IEJ101" s="224"/>
      <c r="IEK101" s="222" t="s">
        <v>47</v>
      </c>
      <c r="IEL101" s="223"/>
      <c r="IEM101" s="223"/>
      <c r="IEN101" s="223"/>
      <c r="IEO101" s="223"/>
      <c r="IEP101" s="223"/>
      <c r="IEQ101" s="223"/>
      <c r="IER101" s="224"/>
      <c r="IES101" s="222" t="s">
        <v>47</v>
      </c>
      <c r="IET101" s="223"/>
      <c r="IEU101" s="223"/>
      <c r="IEV101" s="223"/>
      <c r="IEW101" s="223"/>
      <c r="IEX101" s="223"/>
      <c r="IEY101" s="223"/>
      <c r="IEZ101" s="224"/>
      <c r="IFA101" s="222" t="s">
        <v>47</v>
      </c>
      <c r="IFB101" s="223"/>
      <c r="IFC101" s="223"/>
      <c r="IFD101" s="223"/>
      <c r="IFE101" s="223"/>
      <c r="IFF101" s="223"/>
      <c r="IFG101" s="223"/>
      <c r="IFH101" s="224"/>
      <c r="IFI101" s="222" t="s">
        <v>47</v>
      </c>
      <c r="IFJ101" s="223"/>
      <c r="IFK101" s="223"/>
      <c r="IFL101" s="223"/>
      <c r="IFM101" s="223"/>
      <c r="IFN101" s="223"/>
      <c r="IFO101" s="223"/>
      <c r="IFP101" s="224"/>
      <c r="IFQ101" s="222" t="s">
        <v>47</v>
      </c>
      <c r="IFR101" s="223"/>
      <c r="IFS101" s="223"/>
      <c r="IFT101" s="223"/>
      <c r="IFU101" s="223"/>
      <c r="IFV101" s="223"/>
      <c r="IFW101" s="223"/>
      <c r="IFX101" s="224"/>
      <c r="IFY101" s="222" t="s">
        <v>47</v>
      </c>
      <c r="IFZ101" s="223"/>
      <c r="IGA101" s="223"/>
      <c r="IGB101" s="223"/>
      <c r="IGC101" s="223"/>
      <c r="IGD101" s="223"/>
      <c r="IGE101" s="223"/>
      <c r="IGF101" s="224"/>
      <c r="IGG101" s="222" t="s">
        <v>47</v>
      </c>
      <c r="IGH101" s="223"/>
      <c r="IGI101" s="223"/>
      <c r="IGJ101" s="223"/>
      <c r="IGK101" s="223"/>
      <c r="IGL101" s="223"/>
      <c r="IGM101" s="223"/>
      <c r="IGN101" s="224"/>
      <c r="IGO101" s="222" t="s">
        <v>47</v>
      </c>
      <c r="IGP101" s="223"/>
      <c r="IGQ101" s="223"/>
      <c r="IGR101" s="223"/>
      <c r="IGS101" s="223"/>
      <c r="IGT101" s="223"/>
      <c r="IGU101" s="223"/>
      <c r="IGV101" s="224"/>
      <c r="IGW101" s="222" t="s">
        <v>47</v>
      </c>
      <c r="IGX101" s="223"/>
      <c r="IGY101" s="223"/>
      <c r="IGZ101" s="223"/>
      <c r="IHA101" s="223"/>
      <c r="IHB101" s="223"/>
      <c r="IHC101" s="223"/>
      <c r="IHD101" s="224"/>
      <c r="IHE101" s="222" t="s">
        <v>47</v>
      </c>
      <c r="IHF101" s="223"/>
      <c r="IHG101" s="223"/>
      <c r="IHH101" s="223"/>
      <c r="IHI101" s="223"/>
      <c r="IHJ101" s="223"/>
      <c r="IHK101" s="223"/>
      <c r="IHL101" s="224"/>
      <c r="IHM101" s="222" t="s">
        <v>47</v>
      </c>
      <c r="IHN101" s="223"/>
      <c r="IHO101" s="223"/>
      <c r="IHP101" s="223"/>
      <c r="IHQ101" s="223"/>
      <c r="IHR101" s="223"/>
      <c r="IHS101" s="223"/>
      <c r="IHT101" s="224"/>
      <c r="IHU101" s="222" t="s">
        <v>47</v>
      </c>
      <c r="IHV101" s="223"/>
      <c r="IHW101" s="223"/>
      <c r="IHX101" s="223"/>
      <c r="IHY101" s="223"/>
      <c r="IHZ101" s="223"/>
      <c r="IIA101" s="223"/>
      <c r="IIB101" s="224"/>
      <c r="IIC101" s="222" t="s">
        <v>47</v>
      </c>
      <c r="IID101" s="223"/>
      <c r="IIE101" s="223"/>
      <c r="IIF101" s="223"/>
      <c r="IIG101" s="223"/>
      <c r="IIH101" s="223"/>
      <c r="III101" s="223"/>
      <c r="IIJ101" s="224"/>
      <c r="IIK101" s="222" t="s">
        <v>47</v>
      </c>
      <c r="IIL101" s="223"/>
      <c r="IIM101" s="223"/>
      <c r="IIN101" s="223"/>
      <c r="IIO101" s="223"/>
      <c r="IIP101" s="223"/>
      <c r="IIQ101" s="223"/>
      <c r="IIR101" s="224"/>
      <c r="IIS101" s="222" t="s">
        <v>47</v>
      </c>
      <c r="IIT101" s="223"/>
      <c r="IIU101" s="223"/>
      <c r="IIV101" s="223"/>
      <c r="IIW101" s="223"/>
      <c r="IIX101" s="223"/>
      <c r="IIY101" s="223"/>
      <c r="IIZ101" s="224"/>
      <c r="IJA101" s="222" t="s">
        <v>47</v>
      </c>
      <c r="IJB101" s="223"/>
      <c r="IJC101" s="223"/>
      <c r="IJD101" s="223"/>
      <c r="IJE101" s="223"/>
      <c r="IJF101" s="223"/>
      <c r="IJG101" s="223"/>
      <c r="IJH101" s="224"/>
      <c r="IJI101" s="222" t="s">
        <v>47</v>
      </c>
      <c r="IJJ101" s="223"/>
      <c r="IJK101" s="223"/>
      <c r="IJL101" s="223"/>
      <c r="IJM101" s="223"/>
      <c r="IJN101" s="223"/>
      <c r="IJO101" s="223"/>
      <c r="IJP101" s="224"/>
      <c r="IJQ101" s="222" t="s">
        <v>47</v>
      </c>
      <c r="IJR101" s="223"/>
      <c r="IJS101" s="223"/>
      <c r="IJT101" s="223"/>
      <c r="IJU101" s="223"/>
      <c r="IJV101" s="223"/>
      <c r="IJW101" s="223"/>
      <c r="IJX101" s="224"/>
      <c r="IJY101" s="222" t="s">
        <v>47</v>
      </c>
      <c r="IJZ101" s="223"/>
      <c r="IKA101" s="223"/>
      <c r="IKB101" s="223"/>
      <c r="IKC101" s="223"/>
      <c r="IKD101" s="223"/>
      <c r="IKE101" s="223"/>
      <c r="IKF101" s="224"/>
      <c r="IKG101" s="222" t="s">
        <v>47</v>
      </c>
      <c r="IKH101" s="223"/>
      <c r="IKI101" s="223"/>
      <c r="IKJ101" s="223"/>
      <c r="IKK101" s="223"/>
      <c r="IKL101" s="223"/>
      <c r="IKM101" s="223"/>
      <c r="IKN101" s="224"/>
      <c r="IKO101" s="222" t="s">
        <v>47</v>
      </c>
      <c r="IKP101" s="223"/>
      <c r="IKQ101" s="223"/>
      <c r="IKR101" s="223"/>
      <c r="IKS101" s="223"/>
      <c r="IKT101" s="223"/>
      <c r="IKU101" s="223"/>
      <c r="IKV101" s="224"/>
      <c r="IKW101" s="222" t="s">
        <v>47</v>
      </c>
      <c r="IKX101" s="223"/>
      <c r="IKY101" s="223"/>
      <c r="IKZ101" s="223"/>
      <c r="ILA101" s="223"/>
      <c r="ILB101" s="223"/>
      <c r="ILC101" s="223"/>
      <c r="ILD101" s="224"/>
      <c r="ILE101" s="222" t="s">
        <v>47</v>
      </c>
      <c r="ILF101" s="223"/>
      <c r="ILG101" s="223"/>
      <c r="ILH101" s="223"/>
      <c r="ILI101" s="223"/>
      <c r="ILJ101" s="223"/>
      <c r="ILK101" s="223"/>
      <c r="ILL101" s="224"/>
      <c r="ILM101" s="222" t="s">
        <v>47</v>
      </c>
      <c r="ILN101" s="223"/>
      <c r="ILO101" s="223"/>
      <c r="ILP101" s="223"/>
      <c r="ILQ101" s="223"/>
      <c r="ILR101" s="223"/>
      <c r="ILS101" s="223"/>
      <c r="ILT101" s="224"/>
      <c r="ILU101" s="222" t="s">
        <v>47</v>
      </c>
      <c r="ILV101" s="223"/>
      <c r="ILW101" s="223"/>
      <c r="ILX101" s="223"/>
      <c r="ILY101" s="223"/>
      <c r="ILZ101" s="223"/>
      <c r="IMA101" s="223"/>
      <c r="IMB101" s="224"/>
      <c r="IMC101" s="222" t="s">
        <v>47</v>
      </c>
      <c r="IMD101" s="223"/>
      <c r="IME101" s="223"/>
      <c r="IMF101" s="223"/>
      <c r="IMG101" s="223"/>
      <c r="IMH101" s="223"/>
      <c r="IMI101" s="223"/>
      <c r="IMJ101" s="224"/>
      <c r="IMK101" s="222" t="s">
        <v>47</v>
      </c>
      <c r="IML101" s="223"/>
      <c r="IMM101" s="223"/>
      <c r="IMN101" s="223"/>
      <c r="IMO101" s="223"/>
      <c r="IMP101" s="223"/>
      <c r="IMQ101" s="223"/>
      <c r="IMR101" s="224"/>
      <c r="IMS101" s="222" t="s">
        <v>47</v>
      </c>
      <c r="IMT101" s="223"/>
      <c r="IMU101" s="223"/>
      <c r="IMV101" s="223"/>
      <c r="IMW101" s="223"/>
      <c r="IMX101" s="223"/>
      <c r="IMY101" s="223"/>
      <c r="IMZ101" s="224"/>
      <c r="INA101" s="222" t="s">
        <v>47</v>
      </c>
      <c r="INB101" s="223"/>
      <c r="INC101" s="223"/>
      <c r="IND101" s="223"/>
      <c r="INE101" s="223"/>
      <c r="INF101" s="223"/>
      <c r="ING101" s="223"/>
      <c r="INH101" s="224"/>
      <c r="INI101" s="222" t="s">
        <v>47</v>
      </c>
      <c r="INJ101" s="223"/>
      <c r="INK101" s="223"/>
      <c r="INL101" s="223"/>
      <c r="INM101" s="223"/>
      <c r="INN101" s="223"/>
      <c r="INO101" s="223"/>
      <c r="INP101" s="224"/>
      <c r="INQ101" s="222" t="s">
        <v>47</v>
      </c>
      <c r="INR101" s="223"/>
      <c r="INS101" s="223"/>
      <c r="INT101" s="223"/>
      <c r="INU101" s="223"/>
      <c r="INV101" s="223"/>
      <c r="INW101" s="223"/>
      <c r="INX101" s="224"/>
      <c r="INY101" s="222" t="s">
        <v>47</v>
      </c>
      <c r="INZ101" s="223"/>
      <c r="IOA101" s="223"/>
      <c r="IOB101" s="223"/>
      <c r="IOC101" s="223"/>
      <c r="IOD101" s="223"/>
      <c r="IOE101" s="223"/>
      <c r="IOF101" s="224"/>
      <c r="IOG101" s="222" t="s">
        <v>47</v>
      </c>
      <c r="IOH101" s="223"/>
      <c r="IOI101" s="223"/>
      <c r="IOJ101" s="223"/>
      <c r="IOK101" s="223"/>
      <c r="IOL101" s="223"/>
      <c r="IOM101" s="223"/>
      <c r="ION101" s="224"/>
      <c r="IOO101" s="222" t="s">
        <v>47</v>
      </c>
      <c r="IOP101" s="223"/>
      <c r="IOQ101" s="223"/>
      <c r="IOR101" s="223"/>
      <c r="IOS101" s="223"/>
      <c r="IOT101" s="223"/>
      <c r="IOU101" s="223"/>
      <c r="IOV101" s="224"/>
      <c r="IOW101" s="222" t="s">
        <v>47</v>
      </c>
      <c r="IOX101" s="223"/>
      <c r="IOY101" s="223"/>
      <c r="IOZ101" s="223"/>
      <c r="IPA101" s="223"/>
      <c r="IPB101" s="223"/>
      <c r="IPC101" s="223"/>
      <c r="IPD101" s="224"/>
      <c r="IPE101" s="222" t="s">
        <v>47</v>
      </c>
      <c r="IPF101" s="223"/>
      <c r="IPG101" s="223"/>
      <c r="IPH101" s="223"/>
      <c r="IPI101" s="223"/>
      <c r="IPJ101" s="223"/>
      <c r="IPK101" s="223"/>
      <c r="IPL101" s="224"/>
      <c r="IPM101" s="222" t="s">
        <v>47</v>
      </c>
      <c r="IPN101" s="223"/>
      <c r="IPO101" s="223"/>
      <c r="IPP101" s="223"/>
      <c r="IPQ101" s="223"/>
      <c r="IPR101" s="223"/>
      <c r="IPS101" s="223"/>
      <c r="IPT101" s="224"/>
      <c r="IPU101" s="222" t="s">
        <v>47</v>
      </c>
      <c r="IPV101" s="223"/>
      <c r="IPW101" s="223"/>
      <c r="IPX101" s="223"/>
      <c r="IPY101" s="223"/>
      <c r="IPZ101" s="223"/>
      <c r="IQA101" s="223"/>
      <c r="IQB101" s="224"/>
      <c r="IQC101" s="222" t="s">
        <v>47</v>
      </c>
      <c r="IQD101" s="223"/>
      <c r="IQE101" s="223"/>
      <c r="IQF101" s="223"/>
      <c r="IQG101" s="223"/>
      <c r="IQH101" s="223"/>
      <c r="IQI101" s="223"/>
      <c r="IQJ101" s="224"/>
      <c r="IQK101" s="222" t="s">
        <v>47</v>
      </c>
      <c r="IQL101" s="223"/>
      <c r="IQM101" s="223"/>
      <c r="IQN101" s="223"/>
      <c r="IQO101" s="223"/>
      <c r="IQP101" s="223"/>
      <c r="IQQ101" s="223"/>
      <c r="IQR101" s="224"/>
      <c r="IQS101" s="222" t="s">
        <v>47</v>
      </c>
      <c r="IQT101" s="223"/>
      <c r="IQU101" s="223"/>
      <c r="IQV101" s="223"/>
      <c r="IQW101" s="223"/>
      <c r="IQX101" s="223"/>
      <c r="IQY101" s="223"/>
      <c r="IQZ101" s="224"/>
      <c r="IRA101" s="222" t="s">
        <v>47</v>
      </c>
      <c r="IRB101" s="223"/>
      <c r="IRC101" s="223"/>
      <c r="IRD101" s="223"/>
      <c r="IRE101" s="223"/>
      <c r="IRF101" s="223"/>
      <c r="IRG101" s="223"/>
      <c r="IRH101" s="224"/>
      <c r="IRI101" s="222" t="s">
        <v>47</v>
      </c>
      <c r="IRJ101" s="223"/>
      <c r="IRK101" s="223"/>
      <c r="IRL101" s="223"/>
      <c r="IRM101" s="223"/>
      <c r="IRN101" s="223"/>
      <c r="IRO101" s="223"/>
      <c r="IRP101" s="224"/>
      <c r="IRQ101" s="222" t="s">
        <v>47</v>
      </c>
      <c r="IRR101" s="223"/>
      <c r="IRS101" s="223"/>
      <c r="IRT101" s="223"/>
      <c r="IRU101" s="223"/>
      <c r="IRV101" s="223"/>
      <c r="IRW101" s="223"/>
      <c r="IRX101" s="224"/>
      <c r="IRY101" s="222" t="s">
        <v>47</v>
      </c>
      <c r="IRZ101" s="223"/>
      <c r="ISA101" s="223"/>
      <c r="ISB101" s="223"/>
      <c r="ISC101" s="223"/>
      <c r="ISD101" s="223"/>
      <c r="ISE101" s="223"/>
      <c r="ISF101" s="224"/>
      <c r="ISG101" s="222" t="s">
        <v>47</v>
      </c>
      <c r="ISH101" s="223"/>
      <c r="ISI101" s="223"/>
      <c r="ISJ101" s="223"/>
      <c r="ISK101" s="223"/>
      <c r="ISL101" s="223"/>
      <c r="ISM101" s="223"/>
      <c r="ISN101" s="224"/>
      <c r="ISO101" s="222" t="s">
        <v>47</v>
      </c>
      <c r="ISP101" s="223"/>
      <c r="ISQ101" s="223"/>
      <c r="ISR101" s="223"/>
      <c r="ISS101" s="223"/>
      <c r="IST101" s="223"/>
      <c r="ISU101" s="223"/>
      <c r="ISV101" s="224"/>
      <c r="ISW101" s="222" t="s">
        <v>47</v>
      </c>
      <c r="ISX101" s="223"/>
      <c r="ISY101" s="223"/>
      <c r="ISZ101" s="223"/>
      <c r="ITA101" s="223"/>
      <c r="ITB101" s="223"/>
      <c r="ITC101" s="223"/>
      <c r="ITD101" s="224"/>
      <c r="ITE101" s="222" t="s">
        <v>47</v>
      </c>
      <c r="ITF101" s="223"/>
      <c r="ITG101" s="223"/>
      <c r="ITH101" s="223"/>
      <c r="ITI101" s="223"/>
      <c r="ITJ101" s="223"/>
      <c r="ITK101" s="223"/>
      <c r="ITL101" s="224"/>
      <c r="ITM101" s="222" t="s">
        <v>47</v>
      </c>
      <c r="ITN101" s="223"/>
      <c r="ITO101" s="223"/>
      <c r="ITP101" s="223"/>
      <c r="ITQ101" s="223"/>
      <c r="ITR101" s="223"/>
      <c r="ITS101" s="223"/>
      <c r="ITT101" s="224"/>
      <c r="ITU101" s="222" t="s">
        <v>47</v>
      </c>
      <c r="ITV101" s="223"/>
      <c r="ITW101" s="223"/>
      <c r="ITX101" s="223"/>
      <c r="ITY101" s="223"/>
      <c r="ITZ101" s="223"/>
      <c r="IUA101" s="223"/>
      <c r="IUB101" s="224"/>
      <c r="IUC101" s="222" t="s">
        <v>47</v>
      </c>
      <c r="IUD101" s="223"/>
      <c r="IUE101" s="223"/>
      <c r="IUF101" s="223"/>
      <c r="IUG101" s="223"/>
      <c r="IUH101" s="223"/>
      <c r="IUI101" s="223"/>
      <c r="IUJ101" s="224"/>
      <c r="IUK101" s="222" t="s">
        <v>47</v>
      </c>
      <c r="IUL101" s="223"/>
      <c r="IUM101" s="223"/>
      <c r="IUN101" s="223"/>
      <c r="IUO101" s="223"/>
      <c r="IUP101" s="223"/>
      <c r="IUQ101" s="223"/>
      <c r="IUR101" s="224"/>
      <c r="IUS101" s="222" t="s">
        <v>47</v>
      </c>
      <c r="IUT101" s="223"/>
      <c r="IUU101" s="223"/>
      <c r="IUV101" s="223"/>
      <c r="IUW101" s="223"/>
      <c r="IUX101" s="223"/>
      <c r="IUY101" s="223"/>
      <c r="IUZ101" s="224"/>
      <c r="IVA101" s="222" t="s">
        <v>47</v>
      </c>
      <c r="IVB101" s="223"/>
      <c r="IVC101" s="223"/>
      <c r="IVD101" s="223"/>
      <c r="IVE101" s="223"/>
      <c r="IVF101" s="223"/>
      <c r="IVG101" s="223"/>
      <c r="IVH101" s="224"/>
      <c r="IVI101" s="222" t="s">
        <v>47</v>
      </c>
      <c r="IVJ101" s="223"/>
      <c r="IVK101" s="223"/>
      <c r="IVL101" s="223"/>
      <c r="IVM101" s="223"/>
      <c r="IVN101" s="223"/>
      <c r="IVO101" s="223"/>
      <c r="IVP101" s="224"/>
      <c r="IVQ101" s="222" t="s">
        <v>47</v>
      </c>
      <c r="IVR101" s="223"/>
      <c r="IVS101" s="223"/>
      <c r="IVT101" s="223"/>
      <c r="IVU101" s="223"/>
      <c r="IVV101" s="223"/>
      <c r="IVW101" s="223"/>
      <c r="IVX101" s="224"/>
      <c r="IVY101" s="222" t="s">
        <v>47</v>
      </c>
      <c r="IVZ101" s="223"/>
      <c r="IWA101" s="223"/>
      <c r="IWB101" s="223"/>
      <c r="IWC101" s="223"/>
      <c r="IWD101" s="223"/>
      <c r="IWE101" s="223"/>
      <c r="IWF101" s="224"/>
      <c r="IWG101" s="222" t="s">
        <v>47</v>
      </c>
      <c r="IWH101" s="223"/>
      <c r="IWI101" s="223"/>
      <c r="IWJ101" s="223"/>
      <c r="IWK101" s="223"/>
      <c r="IWL101" s="223"/>
      <c r="IWM101" s="223"/>
      <c r="IWN101" s="224"/>
      <c r="IWO101" s="222" t="s">
        <v>47</v>
      </c>
      <c r="IWP101" s="223"/>
      <c r="IWQ101" s="223"/>
      <c r="IWR101" s="223"/>
      <c r="IWS101" s="223"/>
      <c r="IWT101" s="223"/>
      <c r="IWU101" s="223"/>
      <c r="IWV101" s="224"/>
      <c r="IWW101" s="222" t="s">
        <v>47</v>
      </c>
      <c r="IWX101" s="223"/>
      <c r="IWY101" s="223"/>
      <c r="IWZ101" s="223"/>
      <c r="IXA101" s="223"/>
      <c r="IXB101" s="223"/>
      <c r="IXC101" s="223"/>
      <c r="IXD101" s="224"/>
      <c r="IXE101" s="222" t="s">
        <v>47</v>
      </c>
      <c r="IXF101" s="223"/>
      <c r="IXG101" s="223"/>
      <c r="IXH101" s="223"/>
      <c r="IXI101" s="223"/>
      <c r="IXJ101" s="223"/>
      <c r="IXK101" s="223"/>
      <c r="IXL101" s="224"/>
      <c r="IXM101" s="222" t="s">
        <v>47</v>
      </c>
      <c r="IXN101" s="223"/>
      <c r="IXO101" s="223"/>
      <c r="IXP101" s="223"/>
      <c r="IXQ101" s="223"/>
      <c r="IXR101" s="223"/>
      <c r="IXS101" s="223"/>
      <c r="IXT101" s="224"/>
      <c r="IXU101" s="222" t="s">
        <v>47</v>
      </c>
      <c r="IXV101" s="223"/>
      <c r="IXW101" s="223"/>
      <c r="IXX101" s="223"/>
      <c r="IXY101" s="223"/>
      <c r="IXZ101" s="223"/>
      <c r="IYA101" s="223"/>
      <c r="IYB101" s="224"/>
      <c r="IYC101" s="222" t="s">
        <v>47</v>
      </c>
      <c r="IYD101" s="223"/>
      <c r="IYE101" s="223"/>
      <c r="IYF101" s="223"/>
      <c r="IYG101" s="223"/>
      <c r="IYH101" s="223"/>
      <c r="IYI101" s="223"/>
      <c r="IYJ101" s="224"/>
      <c r="IYK101" s="222" t="s">
        <v>47</v>
      </c>
      <c r="IYL101" s="223"/>
      <c r="IYM101" s="223"/>
      <c r="IYN101" s="223"/>
      <c r="IYO101" s="223"/>
      <c r="IYP101" s="223"/>
      <c r="IYQ101" s="223"/>
      <c r="IYR101" s="224"/>
      <c r="IYS101" s="222" t="s">
        <v>47</v>
      </c>
      <c r="IYT101" s="223"/>
      <c r="IYU101" s="223"/>
      <c r="IYV101" s="223"/>
      <c r="IYW101" s="223"/>
      <c r="IYX101" s="223"/>
      <c r="IYY101" s="223"/>
      <c r="IYZ101" s="224"/>
      <c r="IZA101" s="222" t="s">
        <v>47</v>
      </c>
      <c r="IZB101" s="223"/>
      <c r="IZC101" s="223"/>
      <c r="IZD101" s="223"/>
      <c r="IZE101" s="223"/>
      <c r="IZF101" s="223"/>
      <c r="IZG101" s="223"/>
      <c r="IZH101" s="224"/>
      <c r="IZI101" s="222" t="s">
        <v>47</v>
      </c>
      <c r="IZJ101" s="223"/>
      <c r="IZK101" s="223"/>
      <c r="IZL101" s="223"/>
      <c r="IZM101" s="223"/>
      <c r="IZN101" s="223"/>
      <c r="IZO101" s="223"/>
      <c r="IZP101" s="224"/>
      <c r="IZQ101" s="222" t="s">
        <v>47</v>
      </c>
      <c r="IZR101" s="223"/>
      <c r="IZS101" s="223"/>
      <c r="IZT101" s="223"/>
      <c r="IZU101" s="223"/>
      <c r="IZV101" s="223"/>
      <c r="IZW101" s="223"/>
      <c r="IZX101" s="224"/>
      <c r="IZY101" s="222" t="s">
        <v>47</v>
      </c>
      <c r="IZZ101" s="223"/>
      <c r="JAA101" s="223"/>
      <c r="JAB101" s="223"/>
      <c r="JAC101" s="223"/>
      <c r="JAD101" s="223"/>
      <c r="JAE101" s="223"/>
      <c r="JAF101" s="224"/>
      <c r="JAG101" s="222" t="s">
        <v>47</v>
      </c>
      <c r="JAH101" s="223"/>
      <c r="JAI101" s="223"/>
      <c r="JAJ101" s="223"/>
      <c r="JAK101" s="223"/>
      <c r="JAL101" s="223"/>
      <c r="JAM101" s="223"/>
      <c r="JAN101" s="224"/>
      <c r="JAO101" s="222" t="s">
        <v>47</v>
      </c>
      <c r="JAP101" s="223"/>
      <c r="JAQ101" s="223"/>
      <c r="JAR101" s="223"/>
      <c r="JAS101" s="223"/>
      <c r="JAT101" s="223"/>
      <c r="JAU101" s="223"/>
      <c r="JAV101" s="224"/>
      <c r="JAW101" s="222" t="s">
        <v>47</v>
      </c>
      <c r="JAX101" s="223"/>
      <c r="JAY101" s="223"/>
      <c r="JAZ101" s="223"/>
      <c r="JBA101" s="223"/>
      <c r="JBB101" s="223"/>
      <c r="JBC101" s="223"/>
      <c r="JBD101" s="224"/>
      <c r="JBE101" s="222" t="s">
        <v>47</v>
      </c>
      <c r="JBF101" s="223"/>
      <c r="JBG101" s="223"/>
      <c r="JBH101" s="223"/>
      <c r="JBI101" s="223"/>
      <c r="JBJ101" s="223"/>
      <c r="JBK101" s="223"/>
      <c r="JBL101" s="224"/>
      <c r="JBM101" s="222" t="s">
        <v>47</v>
      </c>
      <c r="JBN101" s="223"/>
      <c r="JBO101" s="223"/>
      <c r="JBP101" s="223"/>
      <c r="JBQ101" s="223"/>
      <c r="JBR101" s="223"/>
      <c r="JBS101" s="223"/>
      <c r="JBT101" s="224"/>
      <c r="JBU101" s="222" t="s">
        <v>47</v>
      </c>
      <c r="JBV101" s="223"/>
      <c r="JBW101" s="223"/>
      <c r="JBX101" s="223"/>
      <c r="JBY101" s="223"/>
      <c r="JBZ101" s="223"/>
      <c r="JCA101" s="223"/>
      <c r="JCB101" s="224"/>
      <c r="JCC101" s="222" t="s">
        <v>47</v>
      </c>
      <c r="JCD101" s="223"/>
      <c r="JCE101" s="223"/>
      <c r="JCF101" s="223"/>
      <c r="JCG101" s="223"/>
      <c r="JCH101" s="223"/>
      <c r="JCI101" s="223"/>
      <c r="JCJ101" s="224"/>
      <c r="JCK101" s="222" t="s">
        <v>47</v>
      </c>
      <c r="JCL101" s="223"/>
      <c r="JCM101" s="223"/>
      <c r="JCN101" s="223"/>
      <c r="JCO101" s="223"/>
      <c r="JCP101" s="223"/>
      <c r="JCQ101" s="223"/>
      <c r="JCR101" s="224"/>
      <c r="JCS101" s="222" t="s">
        <v>47</v>
      </c>
      <c r="JCT101" s="223"/>
      <c r="JCU101" s="223"/>
      <c r="JCV101" s="223"/>
      <c r="JCW101" s="223"/>
      <c r="JCX101" s="223"/>
      <c r="JCY101" s="223"/>
      <c r="JCZ101" s="224"/>
      <c r="JDA101" s="222" t="s">
        <v>47</v>
      </c>
      <c r="JDB101" s="223"/>
      <c r="JDC101" s="223"/>
      <c r="JDD101" s="223"/>
      <c r="JDE101" s="223"/>
      <c r="JDF101" s="223"/>
      <c r="JDG101" s="223"/>
      <c r="JDH101" s="224"/>
      <c r="JDI101" s="222" t="s">
        <v>47</v>
      </c>
      <c r="JDJ101" s="223"/>
      <c r="JDK101" s="223"/>
      <c r="JDL101" s="223"/>
      <c r="JDM101" s="223"/>
      <c r="JDN101" s="223"/>
      <c r="JDO101" s="223"/>
      <c r="JDP101" s="224"/>
      <c r="JDQ101" s="222" t="s">
        <v>47</v>
      </c>
      <c r="JDR101" s="223"/>
      <c r="JDS101" s="223"/>
      <c r="JDT101" s="223"/>
      <c r="JDU101" s="223"/>
      <c r="JDV101" s="223"/>
      <c r="JDW101" s="223"/>
      <c r="JDX101" s="224"/>
      <c r="JDY101" s="222" t="s">
        <v>47</v>
      </c>
      <c r="JDZ101" s="223"/>
      <c r="JEA101" s="223"/>
      <c r="JEB101" s="223"/>
      <c r="JEC101" s="223"/>
      <c r="JED101" s="223"/>
      <c r="JEE101" s="223"/>
      <c r="JEF101" s="224"/>
      <c r="JEG101" s="222" t="s">
        <v>47</v>
      </c>
      <c r="JEH101" s="223"/>
      <c r="JEI101" s="223"/>
      <c r="JEJ101" s="223"/>
      <c r="JEK101" s="223"/>
      <c r="JEL101" s="223"/>
      <c r="JEM101" s="223"/>
      <c r="JEN101" s="224"/>
      <c r="JEO101" s="222" t="s">
        <v>47</v>
      </c>
      <c r="JEP101" s="223"/>
      <c r="JEQ101" s="223"/>
      <c r="JER101" s="223"/>
      <c r="JES101" s="223"/>
      <c r="JET101" s="223"/>
      <c r="JEU101" s="223"/>
      <c r="JEV101" s="224"/>
      <c r="JEW101" s="222" t="s">
        <v>47</v>
      </c>
      <c r="JEX101" s="223"/>
      <c r="JEY101" s="223"/>
      <c r="JEZ101" s="223"/>
      <c r="JFA101" s="223"/>
      <c r="JFB101" s="223"/>
      <c r="JFC101" s="223"/>
      <c r="JFD101" s="224"/>
      <c r="JFE101" s="222" t="s">
        <v>47</v>
      </c>
      <c r="JFF101" s="223"/>
      <c r="JFG101" s="223"/>
      <c r="JFH101" s="223"/>
      <c r="JFI101" s="223"/>
      <c r="JFJ101" s="223"/>
      <c r="JFK101" s="223"/>
      <c r="JFL101" s="224"/>
      <c r="JFM101" s="222" t="s">
        <v>47</v>
      </c>
      <c r="JFN101" s="223"/>
      <c r="JFO101" s="223"/>
      <c r="JFP101" s="223"/>
      <c r="JFQ101" s="223"/>
      <c r="JFR101" s="223"/>
      <c r="JFS101" s="223"/>
      <c r="JFT101" s="224"/>
      <c r="JFU101" s="222" t="s">
        <v>47</v>
      </c>
      <c r="JFV101" s="223"/>
      <c r="JFW101" s="223"/>
      <c r="JFX101" s="223"/>
      <c r="JFY101" s="223"/>
      <c r="JFZ101" s="223"/>
      <c r="JGA101" s="223"/>
      <c r="JGB101" s="224"/>
      <c r="JGC101" s="222" t="s">
        <v>47</v>
      </c>
      <c r="JGD101" s="223"/>
      <c r="JGE101" s="223"/>
      <c r="JGF101" s="223"/>
      <c r="JGG101" s="223"/>
      <c r="JGH101" s="223"/>
      <c r="JGI101" s="223"/>
      <c r="JGJ101" s="224"/>
      <c r="JGK101" s="222" t="s">
        <v>47</v>
      </c>
      <c r="JGL101" s="223"/>
      <c r="JGM101" s="223"/>
      <c r="JGN101" s="223"/>
      <c r="JGO101" s="223"/>
      <c r="JGP101" s="223"/>
      <c r="JGQ101" s="223"/>
      <c r="JGR101" s="224"/>
      <c r="JGS101" s="222" t="s">
        <v>47</v>
      </c>
      <c r="JGT101" s="223"/>
      <c r="JGU101" s="223"/>
      <c r="JGV101" s="223"/>
      <c r="JGW101" s="223"/>
      <c r="JGX101" s="223"/>
      <c r="JGY101" s="223"/>
      <c r="JGZ101" s="224"/>
      <c r="JHA101" s="222" t="s">
        <v>47</v>
      </c>
      <c r="JHB101" s="223"/>
      <c r="JHC101" s="223"/>
      <c r="JHD101" s="223"/>
      <c r="JHE101" s="223"/>
      <c r="JHF101" s="223"/>
      <c r="JHG101" s="223"/>
      <c r="JHH101" s="224"/>
      <c r="JHI101" s="222" t="s">
        <v>47</v>
      </c>
      <c r="JHJ101" s="223"/>
      <c r="JHK101" s="223"/>
      <c r="JHL101" s="223"/>
      <c r="JHM101" s="223"/>
      <c r="JHN101" s="223"/>
      <c r="JHO101" s="223"/>
      <c r="JHP101" s="224"/>
      <c r="JHQ101" s="222" t="s">
        <v>47</v>
      </c>
      <c r="JHR101" s="223"/>
      <c r="JHS101" s="223"/>
      <c r="JHT101" s="223"/>
      <c r="JHU101" s="223"/>
      <c r="JHV101" s="223"/>
      <c r="JHW101" s="223"/>
      <c r="JHX101" s="224"/>
      <c r="JHY101" s="222" t="s">
        <v>47</v>
      </c>
      <c r="JHZ101" s="223"/>
      <c r="JIA101" s="223"/>
      <c r="JIB101" s="223"/>
      <c r="JIC101" s="223"/>
      <c r="JID101" s="223"/>
      <c r="JIE101" s="223"/>
      <c r="JIF101" s="224"/>
      <c r="JIG101" s="222" t="s">
        <v>47</v>
      </c>
      <c r="JIH101" s="223"/>
      <c r="JII101" s="223"/>
      <c r="JIJ101" s="223"/>
      <c r="JIK101" s="223"/>
      <c r="JIL101" s="223"/>
      <c r="JIM101" s="223"/>
      <c r="JIN101" s="224"/>
      <c r="JIO101" s="222" t="s">
        <v>47</v>
      </c>
      <c r="JIP101" s="223"/>
      <c r="JIQ101" s="223"/>
      <c r="JIR101" s="223"/>
      <c r="JIS101" s="223"/>
      <c r="JIT101" s="223"/>
      <c r="JIU101" s="223"/>
      <c r="JIV101" s="224"/>
      <c r="JIW101" s="222" t="s">
        <v>47</v>
      </c>
      <c r="JIX101" s="223"/>
      <c r="JIY101" s="223"/>
      <c r="JIZ101" s="223"/>
      <c r="JJA101" s="223"/>
      <c r="JJB101" s="223"/>
      <c r="JJC101" s="223"/>
      <c r="JJD101" s="224"/>
      <c r="JJE101" s="222" t="s">
        <v>47</v>
      </c>
      <c r="JJF101" s="223"/>
      <c r="JJG101" s="223"/>
      <c r="JJH101" s="223"/>
      <c r="JJI101" s="223"/>
      <c r="JJJ101" s="223"/>
      <c r="JJK101" s="223"/>
      <c r="JJL101" s="224"/>
      <c r="JJM101" s="222" t="s">
        <v>47</v>
      </c>
      <c r="JJN101" s="223"/>
      <c r="JJO101" s="223"/>
      <c r="JJP101" s="223"/>
      <c r="JJQ101" s="223"/>
      <c r="JJR101" s="223"/>
      <c r="JJS101" s="223"/>
      <c r="JJT101" s="224"/>
      <c r="JJU101" s="222" t="s">
        <v>47</v>
      </c>
      <c r="JJV101" s="223"/>
      <c r="JJW101" s="223"/>
      <c r="JJX101" s="223"/>
      <c r="JJY101" s="223"/>
      <c r="JJZ101" s="223"/>
      <c r="JKA101" s="223"/>
      <c r="JKB101" s="224"/>
      <c r="JKC101" s="222" t="s">
        <v>47</v>
      </c>
      <c r="JKD101" s="223"/>
      <c r="JKE101" s="223"/>
      <c r="JKF101" s="223"/>
      <c r="JKG101" s="223"/>
      <c r="JKH101" s="223"/>
      <c r="JKI101" s="223"/>
      <c r="JKJ101" s="224"/>
      <c r="JKK101" s="222" t="s">
        <v>47</v>
      </c>
      <c r="JKL101" s="223"/>
      <c r="JKM101" s="223"/>
      <c r="JKN101" s="223"/>
      <c r="JKO101" s="223"/>
      <c r="JKP101" s="223"/>
      <c r="JKQ101" s="223"/>
      <c r="JKR101" s="224"/>
      <c r="JKS101" s="222" t="s">
        <v>47</v>
      </c>
      <c r="JKT101" s="223"/>
      <c r="JKU101" s="223"/>
      <c r="JKV101" s="223"/>
      <c r="JKW101" s="223"/>
      <c r="JKX101" s="223"/>
      <c r="JKY101" s="223"/>
      <c r="JKZ101" s="224"/>
      <c r="JLA101" s="222" t="s">
        <v>47</v>
      </c>
      <c r="JLB101" s="223"/>
      <c r="JLC101" s="223"/>
      <c r="JLD101" s="223"/>
      <c r="JLE101" s="223"/>
      <c r="JLF101" s="223"/>
      <c r="JLG101" s="223"/>
      <c r="JLH101" s="224"/>
      <c r="JLI101" s="222" t="s">
        <v>47</v>
      </c>
      <c r="JLJ101" s="223"/>
      <c r="JLK101" s="223"/>
      <c r="JLL101" s="223"/>
      <c r="JLM101" s="223"/>
      <c r="JLN101" s="223"/>
      <c r="JLO101" s="223"/>
      <c r="JLP101" s="224"/>
      <c r="JLQ101" s="222" t="s">
        <v>47</v>
      </c>
      <c r="JLR101" s="223"/>
      <c r="JLS101" s="223"/>
      <c r="JLT101" s="223"/>
      <c r="JLU101" s="223"/>
      <c r="JLV101" s="223"/>
      <c r="JLW101" s="223"/>
      <c r="JLX101" s="224"/>
      <c r="JLY101" s="222" t="s">
        <v>47</v>
      </c>
      <c r="JLZ101" s="223"/>
      <c r="JMA101" s="223"/>
      <c r="JMB101" s="223"/>
      <c r="JMC101" s="223"/>
      <c r="JMD101" s="223"/>
      <c r="JME101" s="223"/>
      <c r="JMF101" s="224"/>
      <c r="JMG101" s="222" t="s">
        <v>47</v>
      </c>
      <c r="JMH101" s="223"/>
      <c r="JMI101" s="223"/>
      <c r="JMJ101" s="223"/>
      <c r="JMK101" s="223"/>
      <c r="JML101" s="223"/>
      <c r="JMM101" s="223"/>
      <c r="JMN101" s="224"/>
      <c r="JMO101" s="222" t="s">
        <v>47</v>
      </c>
      <c r="JMP101" s="223"/>
      <c r="JMQ101" s="223"/>
      <c r="JMR101" s="223"/>
      <c r="JMS101" s="223"/>
      <c r="JMT101" s="223"/>
      <c r="JMU101" s="223"/>
      <c r="JMV101" s="224"/>
      <c r="JMW101" s="222" t="s">
        <v>47</v>
      </c>
      <c r="JMX101" s="223"/>
      <c r="JMY101" s="223"/>
      <c r="JMZ101" s="223"/>
      <c r="JNA101" s="223"/>
      <c r="JNB101" s="223"/>
      <c r="JNC101" s="223"/>
      <c r="JND101" s="224"/>
      <c r="JNE101" s="222" t="s">
        <v>47</v>
      </c>
      <c r="JNF101" s="223"/>
      <c r="JNG101" s="223"/>
      <c r="JNH101" s="223"/>
      <c r="JNI101" s="223"/>
      <c r="JNJ101" s="223"/>
      <c r="JNK101" s="223"/>
      <c r="JNL101" s="224"/>
      <c r="JNM101" s="222" t="s">
        <v>47</v>
      </c>
      <c r="JNN101" s="223"/>
      <c r="JNO101" s="223"/>
      <c r="JNP101" s="223"/>
      <c r="JNQ101" s="223"/>
      <c r="JNR101" s="223"/>
      <c r="JNS101" s="223"/>
      <c r="JNT101" s="224"/>
      <c r="JNU101" s="222" t="s">
        <v>47</v>
      </c>
      <c r="JNV101" s="223"/>
      <c r="JNW101" s="223"/>
      <c r="JNX101" s="223"/>
      <c r="JNY101" s="223"/>
      <c r="JNZ101" s="223"/>
      <c r="JOA101" s="223"/>
      <c r="JOB101" s="224"/>
      <c r="JOC101" s="222" t="s">
        <v>47</v>
      </c>
      <c r="JOD101" s="223"/>
      <c r="JOE101" s="223"/>
      <c r="JOF101" s="223"/>
      <c r="JOG101" s="223"/>
      <c r="JOH101" s="223"/>
      <c r="JOI101" s="223"/>
      <c r="JOJ101" s="224"/>
      <c r="JOK101" s="222" t="s">
        <v>47</v>
      </c>
      <c r="JOL101" s="223"/>
      <c r="JOM101" s="223"/>
      <c r="JON101" s="223"/>
      <c r="JOO101" s="223"/>
      <c r="JOP101" s="223"/>
      <c r="JOQ101" s="223"/>
      <c r="JOR101" s="224"/>
      <c r="JOS101" s="222" t="s">
        <v>47</v>
      </c>
      <c r="JOT101" s="223"/>
      <c r="JOU101" s="223"/>
      <c r="JOV101" s="223"/>
      <c r="JOW101" s="223"/>
      <c r="JOX101" s="223"/>
      <c r="JOY101" s="223"/>
      <c r="JOZ101" s="224"/>
      <c r="JPA101" s="222" t="s">
        <v>47</v>
      </c>
      <c r="JPB101" s="223"/>
      <c r="JPC101" s="223"/>
      <c r="JPD101" s="223"/>
      <c r="JPE101" s="223"/>
      <c r="JPF101" s="223"/>
      <c r="JPG101" s="223"/>
      <c r="JPH101" s="224"/>
      <c r="JPI101" s="222" t="s">
        <v>47</v>
      </c>
      <c r="JPJ101" s="223"/>
      <c r="JPK101" s="223"/>
      <c r="JPL101" s="223"/>
      <c r="JPM101" s="223"/>
      <c r="JPN101" s="223"/>
      <c r="JPO101" s="223"/>
      <c r="JPP101" s="224"/>
      <c r="JPQ101" s="222" t="s">
        <v>47</v>
      </c>
      <c r="JPR101" s="223"/>
      <c r="JPS101" s="223"/>
      <c r="JPT101" s="223"/>
      <c r="JPU101" s="223"/>
      <c r="JPV101" s="223"/>
      <c r="JPW101" s="223"/>
      <c r="JPX101" s="224"/>
      <c r="JPY101" s="222" t="s">
        <v>47</v>
      </c>
      <c r="JPZ101" s="223"/>
      <c r="JQA101" s="223"/>
      <c r="JQB101" s="223"/>
      <c r="JQC101" s="223"/>
      <c r="JQD101" s="223"/>
      <c r="JQE101" s="223"/>
      <c r="JQF101" s="224"/>
      <c r="JQG101" s="222" t="s">
        <v>47</v>
      </c>
      <c r="JQH101" s="223"/>
      <c r="JQI101" s="223"/>
      <c r="JQJ101" s="223"/>
      <c r="JQK101" s="223"/>
      <c r="JQL101" s="223"/>
      <c r="JQM101" s="223"/>
      <c r="JQN101" s="224"/>
      <c r="JQO101" s="222" t="s">
        <v>47</v>
      </c>
      <c r="JQP101" s="223"/>
      <c r="JQQ101" s="223"/>
      <c r="JQR101" s="223"/>
      <c r="JQS101" s="223"/>
      <c r="JQT101" s="223"/>
      <c r="JQU101" s="223"/>
      <c r="JQV101" s="224"/>
      <c r="JQW101" s="222" t="s">
        <v>47</v>
      </c>
      <c r="JQX101" s="223"/>
      <c r="JQY101" s="223"/>
      <c r="JQZ101" s="223"/>
      <c r="JRA101" s="223"/>
      <c r="JRB101" s="223"/>
      <c r="JRC101" s="223"/>
      <c r="JRD101" s="224"/>
      <c r="JRE101" s="222" t="s">
        <v>47</v>
      </c>
      <c r="JRF101" s="223"/>
      <c r="JRG101" s="223"/>
      <c r="JRH101" s="223"/>
      <c r="JRI101" s="223"/>
      <c r="JRJ101" s="223"/>
      <c r="JRK101" s="223"/>
      <c r="JRL101" s="224"/>
      <c r="JRM101" s="222" t="s">
        <v>47</v>
      </c>
      <c r="JRN101" s="223"/>
      <c r="JRO101" s="223"/>
      <c r="JRP101" s="223"/>
      <c r="JRQ101" s="223"/>
      <c r="JRR101" s="223"/>
      <c r="JRS101" s="223"/>
      <c r="JRT101" s="224"/>
      <c r="JRU101" s="222" t="s">
        <v>47</v>
      </c>
      <c r="JRV101" s="223"/>
      <c r="JRW101" s="223"/>
      <c r="JRX101" s="223"/>
      <c r="JRY101" s="223"/>
      <c r="JRZ101" s="223"/>
      <c r="JSA101" s="223"/>
      <c r="JSB101" s="224"/>
      <c r="JSC101" s="222" t="s">
        <v>47</v>
      </c>
      <c r="JSD101" s="223"/>
      <c r="JSE101" s="223"/>
      <c r="JSF101" s="223"/>
      <c r="JSG101" s="223"/>
      <c r="JSH101" s="223"/>
      <c r="JSI101" s="223"/>
      <c r="JSJ101" s="224"/>
      <c r="JSK101" s="222" t="s">
        <v>47</v>
      </c>
      <c r="JSL101" s="223"/>
      <c r="JSM101" s="223"/>
      <c r="JSN101" s="223"/>
      <c r="JSO101" s="223"/>
      <c r="JSP101" s="223"/>
      <c r="JSQ101" s="223"/>
      <c r="JSR101" s="224"/>
      <c r="JSS101" s="222" t="s">
        <v>47</v>
      </c>
      <c r="JST101" s="223"/>
      <c r="JSU101" s="223"/>
      <c r="JSV101" s="223"/>
      <c r="JSW101" s="223"/>
      <c r="JSX101" s="223"/>
      <c r="JSY101" s="223"/>
      <c r="JSZ101" s="224"/>
      <c r="JTA101" s="222" t="s">
        <v>47</v>
      </c>
      <c r="JTB101" s="223"/>
      <c r="JTC101" s="223"/>
      <c r="JTD101" s="223"/>
      <c r="JTE101" s="223"/>
      <c r="JTF101" s="223"/>
      <c r="JTG101" s="223"/>
      <c r="JTH101" s="224"/>
      <c r="JTI101" s="222" t="s">
        <v>47</v>
      </c>
      <c r="JTJ101" s="223"/>
      <c r="JTK101" s="223"/>
      <c r="JTL101" s="223"/>
      <c r="JTM101" s="223"/>
      <c r="JTN101" s="223"/>
      <c r="JTO101" s="223"/>
      <c r="JTP101" s="224"/>
      <c r="JTQ101" s="222" t="s">
        <v>47</v>
      </c>
      <c r="JTR101" s="223"/>
      <c r="JTS101" s="223"/>
      <c r="JTT101" s="223"/>
      <c r="JTU101" s="223"/>
      <c r="JTV101" s="223"/>
      <c r="JTW101" s="223"/>
      <c r="JTX101" s="224"/>
      <c r="JTY101" s="222" t="s">
        <v>47</v>
      </c>
      <c r="JTZ101" s="223"/>
      <c r="JUA101" s="223"/>
      <c r="JUB101" s="223"/>
      <c r="JUC101" s="223"/>
      <c r="JUD101" s="223"/>
      <c r="JUE101" s="223"/>
      <c r="JUF101" s="224"/>
      <c r="JUG101" s="222" t="s">
        <v>47</v>
      </c>
      <c r="JUH101" s="223"/>
      <c r="JUI101" s="223"/>
      <c r="JUJ101" s="223"/>
      <c r="JUK101" s="223"/>
      <c r="JUL101" s="223"/>
      <c r="JUM101" s="223"/>
      <c r="JUN101" s="224"/>
      <c r="JUO101" s="222" t="s">
        <v>47</v>
      </c>
      <c r="JUP101" s="223"/>
      <c r="JUQ101" s="223"/>
      <c r="JUR101" s="223"/>
      <c r="JUS101" s="223"/>
      <c r="JUT101" s="223"/>
      <c r="JUU101" s="223"/>
      <c r="JUV101" s="224"/>
      <c r="JUW101" s="222" t="s">
        <v>47</v>
      </c>
      <c r="JUX101" s="223"/>
      <c r="JUY101" s="223"/>
      <c r="JUZ101" s="223"/>
      <c r="JVA101" s="223"/>
      <c r="JVB101" s="223"/>
      <c r="JVC101" s="223"/>
      <c r="JVD101" s="224"/>
      <c r="JVE101" s="222" t="s">
        <v>47</v>
      </c>
      <c r="JVF101" s="223"/>
      <c r="JVG101" s="223"/>
      <c r="JVH101" s="223"/>
      <c r="JVI101" s="223"/>
      <c r="JVJ101" s="223"/>
      <c r="JVK101" s="223"/>
      <c r="JVL101" s="224"/>
      <c r="JVM101" s="222" t="s">
        <v>47</v>
      </c>
      <c r="JVN101" s="223"/>
      <c r="JVO101" s="223"/>
      <c r="JVP101" s="223"/>
      <c r="JVQ101" s="223"/>
      <c r="JVR101" s="223"/>
      <c r="JVS101" s="223"/>
      <c r="JVT101" s="224"/>
      <c r="JVU101" s="222" t="s">
        <v>47</v>
      </c>
      <c r="JVV101" s="223"/>
      <c r="JVW101" s="223"/>
      <c r="JVX101" s="223"/>
      <c r="JVY101" s="223"/>
      <c r="JVZ101" s="223"/>
      <c r="JWA101" s="223"/>
      <c r="JWB101" s="224"/>
      <c r="JWC101" s="222" t="s">
        <v>47</v>
      </c>
      <c r="JWD101" s="223"/>
      <c r="JWE101" s="223"/>
      <c r="JWF101" s="223"/>
      <c r="JWG101" s="223"/>
      <c r="JWH101" s="223"/>
      <c r="JWI101" s="223"/>
      <c r="JWJ101" s="224"/>
      <c r="JWK101" s="222" t="s">
        <v>47</v>
      </c>
      <c r="JWL101" s="223"/>
      <c r="JWM101" s="223"/>
      <c r="JWN101" s="223"/>
      <c r="JWO101" s="223"/>
      <c r="JWP101" s="223"/>
      <c r="JWQ101" s="223"/>
      <c r="JWR101" s="224"/>
      <c r="JWS101" s="222" t="s">
        <v>47</v>
      </c>
      <c r="JWT101" s="223"/>
      <c r="JWU101" s="223"/>
      <c r="JWV101" s="223"/>
      <c r="JWW101" s="223"/>
      <c r="JWX101" s="223"/>
      <c r="JWY101" s="223"/>
      <c r="JWZ101" s="224"/>
      <c r="JXA101" s="222" t="s">
        <v>47</v>
      </c>
      <c r="JXB101" s="223"/>
      <c r="JXC101" s="223"/>
      <c r="JXD101" s="223"/>
      <c r="JXE101" s="223"/>
      <c r="JXF101" s="223"/>
      <c r="JXG101" s="223"/>
      <c r="JXH101" s="224"/>
      <c r="JXI101" s="222" t="s">
        <v>47</v>
      </c>
      <c r="JXJ101" s="223"/>
      <c r="JXK101" s="223"/>
      <c r="JXL101" s="223"/>
      <c r="JXM101" s="223"/>
      <c r="JXN101" s="223"/>
      <c r="JXO101" s="223"/>
      <c r="JXP101" s="224"/>
      <c r="JXQ101" s="222" t="s">
        <v>47</v>
      </c>
      <c r="JXR101" s="223"/>
      <c r="JXS101" s="223"/>
      <c r="JXT101" s="223"/>
      <c r="JXU101" s="223"/>
      <c r="JXV101" s="223"/>
      <c r="JXW101" s="223"/>
      <c r="JXX101" s="224"/>
      <c r="JXY101" s="222" t="s">
        <v>47</v>
      </c>
      <c r="JXZ101" s="223"/>
      <c r="JYA101" s="223"/>
      <c r="JYB101" s="223"/>
      <c r="JYC101" s="223"/>
      <c r="JYD101" s="223"/>
      <c r="JYE101" s="223"/>
      <c r="JYF101" s="224"/>
      <c r="JYG101" s="222" t="s">
        <v>47</v>
      </c>
      <c r="JYH101" s="223"/>
      <c r="JYI101" s="223"/>
      <c r="JYJ101" s="223"/>
      <c r="JYK101" s="223"/>
      <c r="JYL101" s="223"/>
      <c r="JYM101" s="223"/>
      <c r="JYN101" s="224"/>
      <c r="JYO101" s="222" t="s">
        <v>47</v>
      </c>
      <c r="JYP101" s="223"/>
      <c r="JYQ101" s="223"/>
      <c r="JYR101" s="223"/>
      <c r="JYS101" s="223"/>
      <c r="JYT101" s="223"/>
      <c r="JYU101" s="223"/>
      <c r="JYV101" s="224"/>
      <c r="JYW101" s="222" t="s">
        <v>47</v>
      </c>
      <c r="JYX101" s="223"/>
      <c r="JYY101" s="223"/>
      <c r="JYZ101" s="223"/>
      <c r="JZA101" s="223"/>
      <c r="JZB101" s="223"/>
      <c r="JZC101" s="223"/>
      <c r="JZD101" s="224"/>
      <c r="JZE101" s="222" t="s">
        <v>47</v>
      </c>
      <c r="JZF101" s="223"/>
      <c r="JZG101" s="223"/>
      <c r="JZH101" s="223"/>
      <c r="JZI101" s="223"/>
      <c r="JZJ101" s="223"/>
      <c r="JZK101" s="223"/>
      <c r="JZL101" s="224"/>
      <c r="JZM101" s="222" t="s">
        <v>47</v>
      </c>
      <c r="JZN101" s="223"/>
      <c r="JZO101" s="223"/>
      <c r="JZP101" s="223"/>
      <c r="JZQ101" s="223"/>
      <c r="JZR101" s="223"/>
      <c r="JZS101" s="223"/>
      <c r="JZT101" s="224"/>
      <c r="JZU101" s="222" t="s">
        <v>47</v>
      </c>
      <c r="JZV101" s="223"/>
      <c r="JZW101" s="223"/>
      <c r="JZX101" s="223"/>
      <c r="JZY101" s="223"/>
      <c r="JZZ101" s="223"/>
      <c r="KAA101" s="223"/>
      <c r="KAB101" s="224"/>
      <c r="KAC101" s="222" t="s">
        <v>47</v>
      </c>
      <c r="KAD101" s="223"/>
      <c r="KAE101" s="223"/>
      <c r="KAF101" s="223"/>
      <c r="KAG101" s="223"/>
      <c r="KAH101" s="223"/>
      <c r="KAI101" s="223"/>
      <c r="KAJ101" s="224"/>
      <c r="KAK101" s="222" t="s">
        <v>47</v>
      </c>
      <c r="KAL101" s="223"/>
      <c r="KAM101" s="223"/>
      <c r="KAN101" s="223"/>
      <c r="KAO101" s="223"/>
      <c r="KAP101" s="223"/>
      <c r="KAQ101" s="223"/>
      <c r="KAR101" s="224"/>
      <c r="KAS101" s="222" t="s">
        <v>47</v>
      </c>
      <c r="KAT101" s="223"/>
      <c r="KAU101" s="223"/>
      <c r="KAV101" s="223"/>
      <c r="KAW101" s="223"/>
      <c r="KAX101" s="223"/>
      <c r="KAY101" s="223"/>
      <c r="KAZ101" s="224"/>
      <c r="KBA101" s="222" t="s">
        <v>47</v>
      </c>
      <c r="KBB101" s="223"/>
      <c r="KBC101" s="223"/>
      <c r="KBD101" s="223"/>
      <c r="KBE101" s="223"/>
      <c r="KBF101" s="223"/>
      <c r="KBG101" s="223"/>
      <c r="KBH101" s="224"/>
      <c r="KBI101" s="222" t="s">
        <v>47</v>
      </c>
      <c r="KBJ101" s="223"/>
      <c r="KBK101" s="223"/>
      <c r="KBL101" s="223"/>
      <c r="KBM101" s="223"/>
      <c r="KBN101" s="223"/>
      <c r="KBO101" s="223"/>
      <c r="KBP101" s="224"/>
      <c r="KBQ101" s="222" t="s">
        <v>47</v>
      </c>
      <c r="KBR101" s="223"/>
      <c r="KBS101" s="223"/>
      <c r="KBT101" s="223"/>
      <c r="KBU101" s="223"/>
      <c r="KBV101" s="223"/>
      <c r="KBW101" s="223"/>
      <c r="KBX101" s="224"/>
      <c r="KBY101" s="222" t="s">
        <v>47</v>
      </c>
      <c r="KBZ101" s="223"/>
      <c r="KCA101" s="223"/>
      <c r="KCB101" s="223"/>
      <c r="KCC101" s="223"/>
      <c r="KCD101" s="223"/>
      <c r="KCE101" s="223"/>
      <c r="KCF101" s="224"/>
      <c r="KCG101" s="222" t="s">
        <v>47</v>
      </c>
      <c r="KCH101" s="223"/>
      <c r="KCI101" s="223"/>
      <c r="KCJ101" s="223"/>
      <c r="KCK101" s="223"/>
      <c r="KCL101" s="223"/>
      <c r="KCM101" s="223"/>
      <c r="KCN101" s="224"/>
      <c r="KCO101" s="222" t="s">
        <v>47</v>
      </c>
      <c r="KCP101" s="223"/>
      <c r="KCQ101" s="223"/>
      <c r="KCR101" s="223"/>
      <c r="KCS101" s="223"/>
      <c r="KCT101" s="223"/>
      <c r="KCU101" s="223"/>
      <c r="KCV101" s="224"/>
      <c r="KCW101" s="222" t="s">
        <v>47</v>
      </c>
      <c r="KCX101" s="223"/>
      <c r="KCY101" s="223"/>
      <c r="KCZ101" s="223"/>
      <c r="KDA101" s="223"/>
      <c r="KDB101" s="223"/>
      <c r="KDC101" s="223"/>
      <c r="KDD101" s="224"/>
      <c r="KDE101" s="222" t="s">
        <v>47</v>
      </c>
      <c r="KDF101" s="223"/>
      <c r="KDG101" s="223"/>
      <c r="KDH101" s="223"/>
      <c r="KDI101" s="223"/>
      <c r="KDJ101" s="223"/>
      <c r="KDK101" s="223"/>
      <c r="KDL101" s="224"/>
      <c r="KDM101" s="222" t="s">
        <v>47</v>
      </c>
      <c r="KDN101" s="223"/>
      <c r="KDO101" s="223"/>
      <c r="KDP101" s="223"/>
      <c r="KDQ101" s="223"/>
      <c r="KDR101" s="223"/>
      <c r="KDS101" s="223"/>
      <c r="KDT101" s="224"/>
      <c r="KDU101" s="222" t="s">
        <v>47</v>
      </c>
      <c r="KDV101" s="223"/>
      <c r="KDW101" s="223"/>
      <c r="KDX101" s="223"/>
      <c r="KDY101" s="223"/>
      <c r="KDZ101" s="223"/>
      <c r="KEA101" s="223"/>
      <c r="KEB101" s="224"/>
      <c r="KEC101" s="222" t="s">
        <v>47</v>
      </c>
      <c r="KED101" s="223"/>
      <c r="KEE101" s="223"/>
      <c r="KEF101" s="223"/>
      <c r="KEG101" s="223"/>
      <c r="KEH101" s="223"/>
      <c r="KEI101" s="223"/>
      <c r="KEJ101" s="224"/>
      <c r="KEK101" s="222" t="s">
        <v>47</v>
      </c>
      <c r="KEL101" s="223"/>
      <c r="KEM101" s="223"/>
      <c r="KEN101" s="223"/>
      <c r="KEO101" s="223"/>
      <c r="KEP101" s="223"/>
      <c r="KEQ101" s="223"/>
      <c r="KER101" s="224"/>
      <c r="KES101" s="222" t="s">
        <v>47</v>
      </c>
      <c r="KET101" s="223"/>
      <c r="KEU101" s="223"/>
      <c r="KEV101" s="223"/>
      <c r="KEW101" s="223"/>
      <c r="KEX101" s="223"/>
      <c r="KEY101" s="223"/>
      <c r="KEZ101" s="224"/>
      <c r="KFA101" s="222" t="s">
        <v>47</v>
      </c>
      <c r="KFB101" s="223"/>
      <c r="KFC101" s="223"/>
      <c r="KFD101" s="223"/>
      <c r="KFE101" s="223"/>
      <c r="KFF101" s="223"/>
      <c r="KFG101" s="223"/>
      <c r="KFH101" s="224"/>
      <c r="KFI101" s="222" t="s">
        <v>47</v>
      </c>
      <c r="KFJ101" s="223"/>
      <c r="KFK101" s="223"/>
      <c r="KFL101" s="223"/>
      <c r="KFM101" s="223"/>
      <c r="KFN101" s="223"/>
      <c r="KFO101" s="223"/>
      <c r="KFP101" s="224"/>
      <c r="KFQ101" s="222" t="s">
        <v>47</v>
      </c>
      <c r="KFR101" s="223"/>
      <c r="KFS101" s="223"/>
      <c r="KFT101" s="223"/>
      <c r="KFU101" s="223"/>
      <c r="KFV101" s="223"/>
      <c r="KFW101" s="223"/>
      <c r="KFX101" s="224"/>
      <c r="KFY101" s="222" t="s">
        <v>47</v>
      </c>
      <c r="KFZ101" s="223"/>
      <c r="KGA101" s="223"/>
      <c r="KGB101" s="223"/>
      <c r="KGC101" s="223"/>
      <c r="KGD101" s="223"/>
      <c r="KGE101" s="223"/>
      <c r="KGF101" s="224"/>
      <c r="KGG101" s="222" t="s">
        <v>47</v>
      </c>
      <c r="KGH101" s="223"/>
      <c r="KGI101" s="223"/>
      <c r="KGJ101" s="223"/>
      <c r="KGK101" s="223"/>
      <c r="KGL101" s="223"/>
      <c r="KGM101" s="223"/>
      <c r="KGN101" s="224"/>
      <c r="KGO101" s="222" t="s">
        <v>47</v>
      </c>
      <c r="KGP101" s="223"/>
      <c r="KGQ101" s="223"/>
      <c r="KGR101" s="223"/>
      <c r="KGS101" s="223"/>
      <c r="KGT101" s="223"/>
      <c r="KGU101" s="223"/>
      <c r="KGV101" s="224"/>
      <c r="KGW101" s="222" t="s">
        <v>47</v>
      </c>
      <c r="KGX101" s="223"/>
      <c r="KGY101" s="223"/>
      <c r="KGZ101" s="223"/>
      <c r="KHA101" s="223"/>
      <c r="KHB101" s="223"/>
      <c r="KHC101" s="223"/>
      <c r="KHD101" s="224"/>
      <c r="KHE101" s="222" t="s">
        <v>47</v>
      </c>
      <c r="KHF101" s="223"/>
      <c r="KHG101" s="223"/>
      <c r="KHH101" s="223"/>
      <c r="KHI101" s="223"/>
      <c r="KHJ101" s="223"/>
      <c r="KHK101" s="223"/>
      <c r="KHL101" s="224"/>
      <c r="KHM101" s="222" t="s">
        <v>47</v>
      </c>
      <c r="KHN101" s="223"/>
      <c r="KHO101" s="223"/>
      <c r="KHP101" s="223"/>
      <c r="KHQ101" s="223"/>
      <c r="KHR101" s="223"/>
      <c r="KHS101" s="223"/>
      <c r="KHT101" s="224"/>
      <c r="KHU101" s="222" t="s">
        <v>47</v>
      </c>
      <c r="KHV101" s="223"/>
      <c r="KHW101" s="223"/>
      <c r="KHX101" s="223"/>
      <c r="KHY101" s="223"/>
      <c r="KHZ101" s="223"/>
      <c r="KIA101" s="223"/>
      <c r="KIB101" s="224"/>
      <c r="KIC101" s="222" t="s">
        <v>47</v>
      </c>
      <c r="KID101" s="223"/>
      <c r="KIE101" s="223"/>
      <c r="KIF101" s="223"/>
      <c r="KIG101" s="223"/>
      <c r="KIH101" s="223"/>
      <c r="KII101" s="223"/>
      <c r="KIJ101" s="224"/>
      <c r="KIK101" s="222" t="s">
        <v>47</v>
      </c>
      <c r="KIL101" s="223"/>
      <c r="KIM101" s="223"/>
      <c r="KIN101" s="223"/>
      <c r="KIO101" s="223"/>
      <c r="KIP101" s="223"/>
      <c r="KIQ101" s="223"/>
      <c r="KIR101" s="224"/>
      <c r="KIS101" s="222" t="s">
        <v>47</v>
      </c>
      <c r="KIT101" s="223"/>
      <c r="KIU101" s="223"/>
      <c r="KIV101" s="223"/>
      <c r="KIW101" s="223"/>
      <c r="KIX101" s="223"/>
      <c r="KIY101" s="223"/>
      <c r="KIZ101" s="224"/>
      <c r="KJA101" s="222" t="s">
        <v>47</v>
      </c>
      <c r="KJB101" s="223"/>
      <c r="KJC101" s="223"/>
      <c r="KJD101" s="223"/>
      <c r="KJE101" s="223"/>
      <c r="KJF101" s="223"/>
      <c r="KJG101" s="223"/>
      <c r="KJH101" s="224"/>
      <c r="KJI101" s="222" t="s">
        <v>47</v>
      </c>
      <c r="KJJ101" s="223"/>
      <c r="KJK101" s="223"/>
      <c r="KJL101" s="223"/>
      <c r="KJM101" s="223"/>
      <c r="KJN101" s="223"/>
      <c r="KJO101" s="223"/>
      <c r="KJP101" s="224"/>
      <c r="KJQ101" s="222" t="s">
        <v>47</v>
      </c>
      <c r="KJR101" s="223"/>
      <c r="KJS101" s="223"/>
      <c r="KJT101" s="223"/>
      <c r="KJU101" s="223"/>
      <c r="KJV101" s="223"/>
      <c r="KJW101" s="223"/>
      <c r="KJX101" s="224"/>
      <c r="KJY101" s="222" t="s">
        <v>47</v>
      </c>
      <c r="KJZ101" s="223"/>
      <c r="KKA101" s="223"/>
      <c r="KKB101" s="223"/>
      <c r="KKC101" s="223"/>
      <c r="KKD101" s="223"/>
      <c r="KKE101" s="223"/>
      <c r="KKF101" s="224"/>
      <c r="KKG101" s="222" t="s">
        <v>47</v>
      </c>
      <c r="KKH101" s="223"/>
      <c r="KKI101" s="223"/>
      <c r="KKJ101" s="223"/>
      <c r="KKK101" s="223"/>
      <c r="KKL101" s="223"/>
      <c r="KKM101" s="223"/>
      <c r="KKN101" s="224"/>
      <c r="KKO101" s="222" t="s">
        <v>47</v>
      </c>
      <c r="KKP101" s="223"/>
      <c r="KKQ101" s="223"/>
      <c r="KKR101" s="223"/>
      <c r="KKS101" s="223"/>
      <c r="KKT101" s="223"/>
      <c r="KKU101" s="223"/>
      <c r="KKV101" s="224"/>
      <c r="KKW101" s="222" t="s">
        <v>47</v>
      </c>
      <c r="KKX101" s="223"/>
      <c r="KKY101" s="223"/>
      <c r="KKZ101" s="223"/>
      <c r="KLA101" s="223"/>
      <c r="KLB101" s="223"/>
      <c r="KLC101" s="223"/>
      <c r="KLD101" s="224"/>
      <c r="KLE101" s="222" t="s">
        <v>47</v>
      </c>
      <c r="KLF101" s="223"/>
      <c r="KLG101" s="223"/>
      <c r="KLH101" s="223"/>
      <c r="KLI101" s="223"/>
      <c r="KLJ101" s="223"/>
      <c r="KLK101" s="223"/>
      <c r="KLL101" s="224"/>
      <c r="KLM101" s="222" t="s">
        <v>47</v>
      </c>
      <c r="KLN101" s="223"/>
      <c r="KLO101" s="223"/>
      <c r="KLP101" s="223"/>
      <c r="KLQ101" s="223"/>
      <c r="KLR101" s="223"/>
      <c r="KLS101" s="223"/>
      <c r="KLT101" s="224"/>
      <c r="KLU101" s="222" t="s">
        <v>47</v>
      </c>
      <c r="KLV101" s="223"/>
      <c r="KLW101" s="223"/>
      <c r="KLX101" s="223"/>
      <c r="KLY101" s="223"/>
      <c r="KLZ101" s="223"/>
      <c r="KMA101" s="223"/>
      <c r="KMB101" s="224"/>
      <c r="KMC101" s="222" t="s">
        <v>47</v>
      </c>
      <c r="KMD101" s="223"/>
      <c r="KME101" s="223"/>
      <c r="KMF101" s="223"/>
      <c r="KMG101" s="223"/>
      <c r="KMH101" s="223"/>
      <c r="KMI101" s="223"/>
      <c r="KMJ101" s="224"/>
      <c r="KMK101" s="222" t="s">
        <v>47</v>
      </c>
      <c r="KML101" s="223"/>
      <c r="KMM101" s="223"/>
      <c r="KMN101" s="223"/>
      <c r="KMO101" s="223"/>
      <c r="KMP101" s="223"/>
      <c r="KMQ101" s="223"/>
      <c r="KMR101" s="224"/>
      <c r="KMS101" s="222" t="s">
        <v>47</v>
      </c>
      <c r="KMT101" s="223"/>
      <c r="KMU101" s="223"/>
      <c r="KMV101" s="223"/>
      <c r="KMW101" s="223"/>
      <c r="KMX101" s="223"/>
      <c r="KMY101" s="223"/>
      <c r="KMZ101" s="224"/>
      <c r="KNA101" s="222" t="s">
        <v>47</v>
      </c>
      <c r="KNB101" s="223"/>
      <c r="KNC101" s="223"/>
      <c r="KND101" s="223"/>
      <c r="KNE101" s="223"/>
      <c r="KNF101" s="223"/>
      <c r="KNG101" s="223"/>
      <c r="KNH101" s="224"/>
      <c r="KNI101" s="222" t="s">
        <v>47</v>
      </c>
      <c r="KNJ101" s="223"/>
      <c r="KNK101" s="223"/>
      <c r="KNL101" s="223"/>
      <c r="KNM101" s="223"/>
      <c r="KNN101" s="223"/>
      <c r="KNO101" s="223"/>
      <c r="KNP101" s="224"/>
      <c r="KNQ101" s="222" t="s">
        <v>47</v>
      </c>
      <c r="KNR101" s="223"/>
      <c r="KNS101" s="223"/>
      <c r="KNT101" s="223"/>
      <c r="KNU101" s="223"/>
      <c r="KNV101" s="223"/>
      <c r="KNW101" s="223"/>
      <c r="KNX101" s="224"/>
      <c r="KNY101" s="222" t="s">
        <v>47</v>
      </c>
      <c r="KNZ101" s="223"/>
      <c r="KOA101" s="223"/>
      <c r="KOB101" s="223"/>
      <c r="KOC101" s="223"/>
      <c r="KOD101" s="223"/>
      <c r="KOE101" s="223"/>
      <c r="KOF101" s="224"/>
      <c r="KOG101" s="222" t="s">
        <v>47</v>
      </c>
      <c r="KOH101" s="223"/>
      <c r="KOI101" s="223"/>
      <c r="KOJ101" s="223"/>
      <c r="KOK101" s="223"/>
      <c r="KOL101" s="223"/>
      <c r="KOM101" s="223"/>
      <c r="KON101" s="224"/>
      <c r="KOO101" s="222" t="s">
        <v>47</v>
      </c>
      <c r="KOP101" s="223"/>
      <c r="KOQ101" s="223"/>
      <c r="KOR101" s="223"/>
      <c r="KOS101" s="223"/>
      <c r="KOT101" s="223"/>
      <c r="KOU101" s="223"/>
      <c r="KOV101" s="224"/>
      <c r="KOW101" s="222" t="s">
        <v>47</v>
      </c>
      <c r="KOX101" s="223"/>
      <c r="KOY101" s="223"/>
      <c r="KOZ101" s="223"/>
      <c r="KPA101" s="223"/>
      <c r="KPB101" s="223"/>
      <c r="KPC101" s="223"/>
      <c r="KPD101" s="224"/>
      <c r="KPE101" s="222" t="s">
        <v>47</v>
      </c>
      <c r="KPF101" s="223"/>
      <c r="KPG101" s="223"/>
      <c r="KPH101" s="223"/>
      <c r="KPI101" s="223"/>
      <c r="KPJ101" s="223"/>
      <c r="KPK101" s="223"/>
      <c r="KPL101" s="224"/>
      <c r="KPM101" s="222" t="s">
        <v>47</v>
      </c>
      <c r="KPN101" s="223"/>
      <c r="KPO101" s="223"/>
      <c r="KPP101" s="223"/>
      <c r="KPQ101" s="223"/>
      <c r="KPR101" s="223"/>
      <c r="KPS101" s="223"/>
      <c r="KPT101" s="224"/>
      <c r="KPU101" s="222" t="s">
        <v>47</v>
      </c>
      <c r="KPV101" s="223"/>
      <c r="KPW101" s="223"/>
      <c r="KPX101" s="223"/>
      <c r="KPY101" s="223"/>
      <c r="KPZ101" s="223"/>
      <c r="KQA101" s="223"/>
      <c r="KQB101" s="224"/>
      <c r="KQC101" s="222" t="s">
        <v>47</v>
      </c>
      <c r="KQD101" s="223"/>
      <c r="KQE101" s="223"/>
      <c r="KQF101" s="223"/>
      <c r="KQG101" s="223"/>
      <c r="KQH101" s="223"/>
      <c r="KQI101" s="223"/>
      <c r="KQJ101" s="224"/>
      <c r="KQK101" s="222" t="s">
        <v>47</v>
      </c>
      <c r="KQL101" s="223"/>
      <c r="KQM101" s="223"/>
      <c r="KQN101" s="223"/>
      <c r="KQO101" s="223"/>
      <c r="KQP101" s="223"/>
      <c r="KQQ101" s="223"/>
      <c r="KQR101" s="224"/>
      <c r="KQS101" s="222" t="s">
        <v>47</v>
      </c>
      <c r="KQT101" s="223"/>
      <c r="KQU101" s="223"/>
      <c r="KQV101" s="223"/>
      <c r="KQW101" s="223"/>
      <c r="KQX101" s="223"/>
      <c r="KQY101" s="223"/>
      <c r="KQZ101" s="224"/>
      <c r="KRA101" s="222" t="s">
        <v>47</v>
      </c>
      <c r="KRB101" s="223"/>
      <c r="KRC101" s="223"/>
      <c r="KRD101" s="223"/>
      <c r="KRE101" s="223"/>
      <c r="KRF101" s="223"/>
      <c r="KRG101" s="223"/>
      <c r="KRH101" s="224"/>
      <c r="KRI101" s="222" t="s">
        <v>47</v>
      </c>
      <c r="KRJ101" s="223"/>
      <c r="KRK101" s="223"/>
      <c r="KRL101" s="223"/>
      <c r="KRM101" s="223"/>
      <c r="KRN101" s="223"/>
      <c r="KRO101" s="223"/>
      <c r="KRP101" s="224"/>
      <c r="KRQ101" s="222" t="s">
        <v>47</v>
      </c>
      <c r="KRR101" s="223"/>
      <c r="KRS101" s="223"/>
      <c r="KRT101" s="223"/>
      <c r="KRU101" s="223"/>
      <c r="KRV101" s="223"/>
      <c r="KRW101" s="223"/>
      <c r="KRX101" s="224"/>
      <c r="KRY101" s="222" t="s">
        <v>47</v>
      </c>
      <c r="KRZ101" s="223"/>
      <c r="KSA101" s="223"/>
      <c r="KSB101" s="223"/>
      <c r="KSC101" s="223"/>
      <c r="KSD101" s="223"/>
      <c r="KSE101" s="223"/>
      <c r="KSF101" s="224"/>
      <c r="KSG101" s="222" t="s">
        <v>47</v>
      </c>
      <c r="KSH101" s="223"/>
      <c r="KSI101" s="223"/>
      <c r="KSJ101" s="223"/>
      <c r="KSK101" s="223"/>
      <c r="KSL101" s="223"/>
      <c r="KSM101" s="223"/>
      <c r="KSN101" s="224"/>
      <c r="KSO101" s="222" t="s">
        <v>47</v>
      </c>
      <c r="KSP101" s="223"/>
      <c r="KSQ101" s="223"/>
      <c r="KSR101" s="223"/>
      <c r="KSS101" s="223"/>
      <c r="KST101" s="223"/>
      <c r="KSU101" s="223"/>
      <c r="KSV101" s="224"/>
      <c r="KSW101" s="222" t="s">
        <v>47</v>
      </c>
      <c r="KSX101" s="223"/>
      <c r="KSY101" s="223"/>
      <c r="KSZ101" s="223"/>
      <c r="KTA101" s="223"/>
      <c r="KTB101" s="223"/>
      <c r="KTC101" s="223"/>
      <c r="KTD101" s="224"/>
      <c r="KTE101" s="222" t="s">
        <v>47</v>
      </c>
      <c r="KTF101" s="223"/>
      <c r="KTG101" s="223"/>
      <c r="KTH101" s="223"/>
      <c r="KTI101" s="223"/>
      <c r="KTJ101" s="223"/>
      <c r="KTK101" s="223"/>
      <c r="KTL101" s="224"/>
      <c r="KTM101" s="222" t="s">
        <v>47</v>
      </c>
      <c r="KTN101" s="223"/>
      <c r="KTO101" s="223"/>
      <c r="KTP101" s="223"/>
      <c r="KTQ101" s="223"/>
      <c r="KTR101" s="223"/>
      <c r="KTS101" s="223"/>
      <c r="KTT101" s="224"/>
      <c r="KTU101" s="222" t="s">
        <v>47</v>
      </c>
      <c r="KTV101" s="223"/>
      <c r="KTW101" s="223"/>
      <c r="KTX101" s="223"/>
      <c r="KTY101" s="223"/>
      <c r="KTZ101" s="223"/>
      <c r="KUA101" s="223"/>
      <c r="KUB101" s="224"/>
      <c r="KUC101" s="222" t="s">
        <v>47</v>
      </c>
      <c r="KUD101" s="223"/>
      <c r="KUE101" s="223"/>
      <c r="KUF101" s="223"/>
      <c r="KUG101" s="223"/>
      <c r="KUH101" s="223"/>
      <c r="KUI101" s="223"/>
      <c r="KUJ101" s="224"/>
      <c r="KUK101" s="222" t="s">
        <v>47</v>
      </c>
      <c r="KUL101" s="223"/>
      <c r="KUM101" s="223"/>
      <c r="KUN101" s="223"/>
      <c r="KUO101" s="223"/>
      <c r="KUP101" s="223"/>
      <c r="KUQ101" s="223"/>
      <c r="KUR101" s="224"/>
      <c r="KUS101" s="222" t="s">
        <v>47</v>
      </c>
      <c r="KUT101" s="223"/>
      <c r="KUU101" s="223"/>
      <c r="KUV101" s="223"/>
      <c r="KUW101" s="223"/>
      <c r="KUX101" s="223"/>
      <c r="KUY101" s="223"/>
      <c r="KUZ101" s="224"/>
      <c r="KVA101" s="222" t="s">
        <v>47</v>
      </c>
      <c r="KVB101" s="223"/>
      <c r="KVC101" s="223"/>
      <c r="KVD101" s="223"/>
      <c r="KVE101" s="223"/>
      <c r="KVF101" s="223"/>
      <c r="KVG101" s="223"/>
      <c r="KVH101" s="224"/>
      <c r="KVI101" s="222" t="s">
        <v>47</v>
      </c>
      <c r="KVJ101" s="223"/>
      <c r="KVK101" s="223"/>
      <c r="KVL101" s="223"/>
      <c r="KVM101" s="223"/>
      <c r="KVN101" s="223"/>
      <c r="KVO101" s="223"/>
      <c r="KVP101" s="224"/>
      <c r="KVQ101" s="222" t="s">
        <v>47</v>
      </c>
      <c r="KVR101" s="223"/>
      <c r="KVS101" s="223"/>
      <c r="KVT101" s="223"/>
      <c r="KVU101" s="223"/>
      <c r="KVV101" s="223"/>
      <c r="KVW101" s="223"/>
      <c r="KVX101" s="224"/>
      <c r="KVY101" s="222" t="s">
        <v>47</v>
      </c>
      <c r="KVZ101" s="223"/>
      <c r="KWA101" s="223"/>
      <c r="KWB101" s="223"/>
      <c r="KWC101" s="223"/>
      <c r="KWD101" s="223"/>
      <c r="KWE101" s="223"/>
      <c r="KWF101" s="224"/>
      <c r="KWG101" s="222" t="s">
        <v>47</v>
      </c>
      <c r="KWH101" s="223"/>
      <c r="KWI101" s="223"/>
      <c r="KWJ101" s="223"/>
      <c r="KWK101" s="223"/>
      <c r="KWL101" s="223"/>
      <c r="KWM101" s="223"/>
      <c r="KWN101" s="224"/>
      <c r="KWO101" s="222" t="s">
        <v>47</v>
      </c>
      <c r="KWP101" s="223"/>
      <c r="KWQ101" s="223"/>
      <c r="KWR101" s="223"/>
      <c r="KWS101" s="223"/>
      <c r="KWT101" s="223"/>
      <c r="KWU101" s="223"/>
      <c r="KWV101" s="224"/>
      <c r="KWW101" s="222" t="s">
        <v>47</v>
      </c>
      <c r="KWX101" s="223"/>
      <c r="KWY101" s="223"/>
      <c r="KWZ101" s="223"/>
      <c r="KXA101" s="223"/>
      <c r="KXB101" s="223"/>
      <c r="KXC101" s="223"/>
      <c r="KXD101" s="224"/>
      <c r="KXE101" s="222" t="s">
        <v>47</v>
      </c>
      <c r="KXF101" s="223"/>
      <c r="KXG101" s="223"/>
      <c r="KXH101" s="223"/>
      <c r="KXI101" s="223"/>
      <c r="KXJ101" s="223"/>
      <c r="KXK101" s="223"/>
      <c r="KXL101" s="224"/>
      <c r="KXM101" s="222" t="s">
        <v>47</v>
      </c>
      <c r="KXN101" s="223"/>
      <c r="KXO101" s="223"/>
      <c r="KXP101" s="223"/>
      <c r="KXQ101" s="223"/>
      <c r="KXR101" s="223"/>
      <c r="KXS101" s="223"/>
      <c r="KXT101" s="224"/>
      <c r="KXU101" s="222" t="s">
        <v>47</v>
      </c>
      <c r="KXV101" s="223"/>
      <c r="KXW101" s="223"/>
      <c r="KXX101" s="223"/>
      <c r="KXY101" s="223"/>
      <c r="KXZ101" s="223"/>
      <c r="KYA101" s="223"/>
      <c r="KYB101" s="224"/>
      <c r="KYC101" s="222" t="s">
        <v>47</v>
      </c>
      <c r="KYD101" s="223"/>
      <c r="KYE101" s="223"/>
      <c r="KYF101" s="223"/>
      <c r="KYG101" s="223"/>
      <c r="KYH101" s="223"/>
      <c r="KYI101" s="223"/>
      <c r="KYJ101" s="224"/>
      <c r="KYK101" s="222" t="s">
        <v>47</v>
      </c>
      <c r="KYL101" s="223"/>
      <c r="KYM101" s="223"/>
      <c r="KYN101" s="223"/>
      <c r="KYO101" s="223"/>
      <c r="KYP101" s="223"/>
      <c r="KYQ101" s="223"/>
      <c r="KYR101" s="224"/>
      <c r="KYS101" s="222" t="s">
        <v>47</v>
      </c>
      <c r="KYT101" s="223"/>
      <c r="KYU101" s="223"/>
      <c r="KYV101" s="223"/>
      <c r="KYW101" s="223"/>
      <c r="KYX101" s="223"/>
      <c r="KYY101" s="223"/>
      <c r="KYZ101" s="224"/>
      <c r="KZA101" s="222" t="s">
        <v>47</v>
      </c>
      <c r="KZB101" s="223"/>
      <c r="KZC101" s="223"/>
      <c r="KZD101" s="223"/>
      <c r="KZE101" s="223"/>
      <c r="KZF101" s="223"/>
      <c r="KZG101" s="223"/>
      <c r="KZH101" s="224"/>
      <c r="KZI101" s="222" t="s">
        <v>47</v>
      </c>
      <c r="KZJ101" s="223"/>
      <c r="KZK101" s="223"/>
      <c r="KZL101" s="223"/>
      <c r="KZM101" s="223"/>
      <c r="KZN101" s="223"/>
      <c r="KZO101" s="223"/>
      <c r="KZP101" s="224"/>
      <c r="KZQ101" s="222" t="s">
        <v>47</v>
      </c>
      <c r="KZR101" s="223"/>
      <c r="KZS101" s="223"/>
      <c r="KZT101" s="223"/>
      <c r="KZU101" s="223"/>
      <c r="KZV101" s="223"/>
      <c r="KZW101" s="223"/>
      <c r="KZX101" s="224"/>
      <c r="KZY101" s="222" t="s">
        <v>47</v>
      </c>
      <c r="KZZ101" s="223"/>
      <c r="LAA101" s="223"/>
      <c r="LAB101" s="223"/>
      <c r="LAC101" s="223"/>
      <c r="LAD101" s="223"/>
      <c r="LAE101" s="223"/>
      <c r="LAF101" s="224"/>
      <c r="LAG101" s="222" t="s">
        <v>47</v>
      </c>
      <c r="LAH101" s="223"/>
      <c r="LAI101" s="223"/>
      <c r="LAJ101" s="223"/>
      <c r="LAK101" s="223"/>
      <c r="LAL101" s="223"/>
      <c r="LAM101" s="223"/>
      <c r="LAN101" s="224"/>
      <c r="LAO101" s="222" t="s">
        <v>47</v>
      </c>
      <c r="LAP101" s="223"/>
      <c r="LAQ101" s="223"/>
      <c r="LAR101" s="223"/>
      <c r="LAS101" s="223"/>
      <c r="LAT101" s="223"/>
      <c r="LAU101" s="223"/>
      <c r="LAV101" s="224"/>
      <c r="LAW101" s="222" t="s">
        <v>47</v>
      </c>
      <c r="LAX101" s="223"/>
      <c r="LAY101" s="223"/>
      <c r="LAZ101" s="223"/>
      <c r="LBA101" s="223"/>
      <c r="LBB101" s="223"/>
      <c r="LBC101" s="223"/>
      <c r="LBD101" s="224"/>
      <c r="LBE101" s="222" t="s">
        <v>47</v>
      </c>
      <c r="LBF101" s="223"/>
      <c r="LBG101" s="223"/>
      <c r="LBH101" s="223"/>
      <c r="LBI101" s="223"/>
      <c r="LBJ101" s="223"/>
      <c r="LBK101" s="223"/>
      <c r="LBL101" s="224"/>
      <c r="LBM101" s="222" t="s">
        <v>47</v>
      </c>
      <c r="LBN101" s="223"/>
      <c r="LBO101" s="223"/>
      <c r="LBP101" s="223"/>
      <c r="LBQ101" s="223"/>
      <c r="LBR101" s="223"/>
      <c r="LBS101" s="223"/>
      <c r="LBT101" s="224"/>
      <c r="LBU101" s="222" t="s">
        <v>47</v>
      </c>
      <c r="LBV101" s="223"/>
      <c r="LBW101" s="223"/>
      <c r="LBX101" s="223"/>
      <c r="LBY101" s="223"/>
      <c r="LBZ101" s="223"/>
      <c r="LCA101" s="223"/>
      <c r="LCB101" s="224"/>
      <c r="LCC101" s="222" t="s">
        <v>47</v>
      </c>
      <c r="LCD101" s="223"/>
      <c r="LCE101" s="223"/>
      <c r="LCF101" s="223"/>
      <c r="LCG101" s="223"/>
      <c r="LCH101" s="223"/>
      <c r="LCI101" s="223"/>
      <c r="LCJ101" s="224"/>
      <c r="LCK101" s="222" t="s">
        <v>47</v>
      </c>
      <c r="LCL101" s="223"/>
      <c r="LCM101" s="223"/>
      <c r="LCN101" s="223"/>
      <c r="LCO101" s="223"/>
      <c r="LCP101" s="223"/>
      <c r="LCQ101" s="223"/>
      <c r="LCR101" s="224"/>
      <c r="LCS101" s="222" t="s">
        <v>47</v>
      </c>
      <c r="LCT101" s="223"/>
      <c r="LCU101" s="223"/>
      <c r="LCV101" s="223"/>
      <c r="LCW101" s="223"/>
      <c r="LCX101" s="223"/>
      <c r="LCY101" s="223"/>
      <c r="LCZ101" s="224"/>
      <c r="LDA101" s="222" t="s">
        <v>47</v>
      </c>
      <c r="LDB101" s="223"/>
      <c r="LDC101" s="223"/>
      <c r="LDD101" s="223"/>
      <c r="LDE101" s="223"/>
      <c r="LDF101" s="223"/>
      <c r="LDG101" s="223"/>
      <c r="LDH101" s="224"/>
      <c r="LDI101" s="222" t="s">
        <v>47</v>
      </c>
      <c r="LDJ101" s="223"/>
      <c r="LDK101" s="223"/>
      <c r="LDL101" s="223"/>
      <c r="LDM101" s="223"/>
      <c r="LDN101" s="223"/>
      <c r="LDO101" s="223"/>
      <c r="LDP101" s="224"/>
      <c r="LDQ101" s="222" t="s">
        <v>47</v>
      </c>
      <c r="LDR101" s="223"/>
      <c r="LDS101" s="223"/>
      <c r="LDT101" s="223"/>
      <c r="LDU101" s="223"/>
      <c r="LDV101" s="223"/>
      <c r="LDW101" s="223"/>
      <c r="LDX101" s="224"/>
      <c r="LDY101" s="222" t="s">
        <v>47</v>
      </c>
      <c r="LDZ101" s="223"/>
      <c r="LEA101" s="223"/>
      <c r="LEB101" s="223"/>
      <c r="LEC101" s="223"/>
      <c r="LED101" s="223"/>
      <c r="LEE101" s="223"/>
      <c r="LEF101" s="224"/>
      <c r="LEG101" s="222" t="s">
        <v>47</v>
      </c>
      <c r="LEH101" s="223"/>
      <c r="LEI101" s="223"/>
      <c r="LEJ101" s="223"/>
      <c r="LEK101" s="223"/>
      <c r="LEL101" s="223"/>
      <c r="LEM101" s="223"/>
      <c r="LEN101" s="224"/>
      <c r="LEO101" s="222" t="s">
        <v>47</v>
      </c>
      <c r="LEP101" s="223"/>
      <c r="LEQ101" s="223"/>
      <c r="LER101" s="223"/>
      <c r="LES101" s="223"/>
      <c r="LET101" s="223"/>
      <c r="LEU101" s="223"/>
      <c r="LEV101" s="224"/>
      <c r="LEW101" s="222" t="s">
        <v>47</v>
      </c>
      <c r="LEX101" s="223"/>
      <c r="LEY101" s="223"/>
      <c r="LEZ101" s="223"/>
      <c r="LFA101" s="223"/>
      <c r="LFB101" s="223"/>
      <c r="LFC101" s="223"/>
      <c r="LFD101" s="224"/>
      <c r="LFE101" s="222" t="s">
        <v>47</v>
      </c>
      <c r="LFF101" s="223"/>
      <c r="LFG101" s="223"/>
      <c r="LFH101" s="223"/>
      <c r="LFI101" s="223"/>
      <c r="LFJ101" s="223"/>
      <c r="LFK101" s="223"/>
      <c r="LFL101" s="224"/>
      <c r="LFM101" s="222" t="s">
        <v>47</v>
      </c>
      <c r="LFN101" s="223"/>
      <c r="LFO101" s="223"/>
      <c r="LFP101" s="223"/>
      <c r="LFQ101" s="223"/>
      <c r="LFR101" s="223"/>
      <c r="LFS101" s="223"/>
      <c r="LFT101" s="224"/>
      <c r="LFU101" s="222" t="s">
        <v>47</v>
      </c>
      <c r="LFV101" s="223"/>
      <c r="LFW101" s="223"/>
      <c r="LFX101" s="223"/>
      <c r="LFY101" s="223"/>
      <c r="LFZ101" s="223"/>
      <c r="LGA101" s="223"/>
      <c r="LGB101" s="224"/>
      <c r="LGC101" s="222" t="s">
        <v>47</v>
      </c>
      <c r="LGD101" s="223"/>
      <c r="LGE101" s="223"/>
      <c r="LGF101" s="223"/>
      <c r="LGG101" s="223"/>
      <c r="LGH101" s="223"/>
      <c r="LGI101" s="223"/>
      <c r="LGJ101" s="224"/>
      <c r="LGK101" s="222" t="s">
        <v>47</v>
      </c>
      <c r="LGL101" s="223"/>
      <c r="LGM101" s="223"/>
      <c r="LGN101" s="223"/>
      <c r="LGO101" s="223"/>
      <c r="LGP101" s="223"/>
      <c r="LGQ101" s="223"/>
      <c r="LGR101" s="224"/>
      <c r="LGS101" s="222" t="s">
        <v>47</v>
      </c>
      <c r="LGT101" s="223"/>
      <c r="LGU101" s="223"/>
      <c r="LGV101" s="223"/>
      <c r="LGW101" s="223"/>
      <c r="LGX101" s="223"/>
      <c r="LGY101" s="223"/>
      <c r="LGZ101" s="224"/>
      <c r="LHA101" s="222" t="s">
        <v>47</v>
      </c>
      <c r="LHB101" s="223"/>
      <c r="LHC101" s="223"/>
      <c r="LHD101" s="223"/>
      <c r="LHE101" s="223"/>
      <c r="LHF101" s="223"/>
      <c r="LHG101" s="223"/>
      <c r="LHH101" s="224"/>
      <c r="LHI101" s="222" t="s">
        <v>47</v>
      </c>
      <c r="LHJ101" s="223"/>
      <c r="LHK101" s="223"/>
      <c r="LHL101" s="223"/>
      <c r="LHM101" s="223"/>
      <c r="LHN101" s="223"/>
      <c r="LHO101" s="223"/>
      <c r="LHP101" s="224"/>
      <c r="LHQ101" s="222" t="s">
        <v>47</v>
      </c>
      <c r="LHR101" s="223"/>
      <c r="LHS101" s="223"/>
      <c r="LHT101" s="223"/>
      <c r="LHU101" s="223"/>
      <c r="LHV101" s="223"/>
      <c r="LHW101" s="223"/>
      <c r="LHX101" s="224"/>
      <c r="LHY101" s="222" t="s">
        <v>47</v>
      </c>
      <c r="LHZ101" s="223"/>
      <c r="LIA101" s="223"/>
      <c r="LIB101" s="223"/>
      <c r="LIC101" s="223"/>
      <c r="LID101" s="223"/>
      <c r="LIE101" s="223"/>
      <c r="LIF101" s="224"/>
      <c r="LIG101" s="222" t="s">
        <v>47</v>
      </c>
      <c r="LIH101" s="223"/>
      <c r="LII101" s="223"/>
      <c r="LIJ101" s="223"/>
      <c r="LIK101" s="223"/>
      <c r="LIL101" s="223"/>
      <c r="LIM101" s="223"/>
      <c r="LIN101" s="224"/>
      <c r="LIO101" s="222" t="s">
        <v>47</v>
      </c>
      <c r="LIP101" s="223"/>
      <c r="LIQ101" s="223"/>
      <c r="LIR101" s="223"/>
      <c r="LIS101" s="223"/>
      <c r="LIT101" s="223"/>
      <c r="LIU101" s="223"/>
      <c r="LIV101" s="224"/>
      <c r="LIW101" s="222" t="s">
        <v>47</v>
      </c>
      <c r="LIX101" s="223"/>
      <c r="LIY101" s="223"/>
      <c r="LIZ101" s="223"/>
      <c r="LJA101" s="223"/>
      <c r="LJB101" s="223"/>
      <c r="LJC101" s="223"/>
      <c r="LJD101" s="224"/>
      <c r="LJE101" s="222" t="s">
        <v>47</v>
      </c>
      <c r="LJF101" s="223"/>
      <c r="LJG101" s="223"/>
      <c r="LJH101" s="223"/>
      <c r="LJI101" s="223"/>
      <c r="LJJ101" s="223"/>
      <c r="LJK101" s="223"/>
      <c r="LJL101" s="224"/>
      <c r="LJM101" s="222" t="s">
        <v>47</v>
      </c>
      <c r="LJN101" s="223"/>
      <c r="LJO101" s="223"/>
      <c r="LJP101" s="223"/>
      <c r="LJQ101" s="223"/>
      <c r="LJR101" s="223"/>
      <c r="LJS101" s="223"/>
      <c r="LJT101" s="224"/>
      <c r="LJU101" s="222" t="s">
        <v>47</v>
      </c>
      <c r="LJV101" s="223"/>
      <c r="LJW101" s="223"/>
      <c r="LJX101" s="223"/>
      <c r="LJY101" s="223"/>
      <c r="LJZ101" s="223"/>
      <c r="LKA101" s="223"/>
      <c r="LKB101" s="224"/>
      <c r="LKC101" s="222" t="s">
        <v>47</v>
      </c>
      <c r="LKD101" s="223"/>
      <c r="LKE101" s="223"/>
      <c r="LKF101" s="223"/>
      <c r="LKG101" s="223"/>
      <c r="LKH101" s="223"/>
      <c r="LKI101" s="223"/>
      <c r="LKJ101" s="224"/>
      <c r="LKK101" s="222" t="s">
        <v>47</v>
      </c>
      <c r="LKL101" s="223"/>
      <c r="LKM101" s="223"/>
      <c r="LKN101" s="223"/>
      <c r="LKO101" s="223"/>
      <c r="LKP101" s="223"/>
      <c r="LKQ101" s="223"/>
      <c r="LKR101" s="224"/>
      <c r="LKS101" s="222" t="s">
        <v>47</v>
      </c>
      <c r="LKT101" s="223"/>
      <c r="LKU101" s="223"/>
      <c r="LKV101" s="223"/>
      <c r="LKW101" s="223"/>
      <c r="LKX101" s="223"/>
      <c r="LKY101" s="223"/>
      <c r="LKZ101" s="224"/>
      <c r="LLA101" s="222" t="s">
        <v>47</v>
      </c>
      <c r="LLB101" s="223"/>
      <c r="LLC101" s="223"/>
      <c r="LLD101" s="223"/>
      <c r="LLE101" s="223"/>
      <c r="LLF101" s="223"/>
      <c r="LLG101" s="223"/>
      <c r="LLH101" s="224"/>
      <c r="LLI101" s="222" t="s">
        <v>47</v>
      </c>
      <c r="LLJ101" s="223"/>
      <c r="LLK101" s="223"/>
      <c r="LLL101" s="223"/>
      <c r="LLM101" s="223"/>
      <c r="LLN101" s="223"/>
      <c r="LLO101" s="223"/>
      <c r="LLP101" s="224"/>
      <c r="LLQ101" s="222" t="s">
        <v>47</v>
      </c>
      <c r="LLR101" s="223"/>
      <c r="LLS101" s="223"/>
      <c r="LLT101" s="223"/>
      <c r="LLU101" s="223"/>
      <c r="LLV101" s="223"/>
      <c r="LLW101" s="223"/>
      <c r="LLX101" s="224"/>
      <c r="LLY101" s="222" t="s">
        <v>47</v>
      </c>
      <c r="LLZ101" s="223"/>
      <c r="LMA101" s="223"/>
      <c r="LMB101" s="223"/>
      <c r="LMC101" s="223"/>
      <c r="LMD101" s="223"/>
      <c r="LME101" s="223"/>
      <c r="LMF101" s="224"/>
      <c r="LMG101" s="222" t="s">
        <v>47</v>
      </c>
      <c r="LMH101" s="223"/>
      <c r="LMI101" s="223"/>
      <c r="LMJ101" s="223"/>
      <c r="LMK101" s="223"/>
      <c r="LML101" s="223"/>
      <c r="LMM101" s="223"/>
      <c r="LMN101" s="224"/>
      <c r="LMO101" s="222" t="s">
        <v>47</v>
      </c>
      <c r="LMP101" s="223"/>
      <c r="LMQ101" s="223"/>
      <c r="LMR101" s="223"/>
      <c r="LMS101" s="223"/>
      <c r="LMT101" s="223"/>
      <c r="LMU101" s="223"/>
      <c r="LMV101" s="224"/>
      <c r="LMW101" s="222" t="s">
        <v>47</v>
      </c>
      <c r="LMX101" s="223"/>
      <c r="LMY101" s="223"/>
      <c r="LMZ101" s="223"/>
      <c r="LNA101" s="223"/>
      <c r="LNB101" s="223"/>
      <c r="LNC101" s="223"/>
      <c r="LND101" s="224"/>
      <c r="LNE101" s="222" t="s">
        <v>47</v>
      </c>
      <c r="LNF101" s="223"/>
      <c r="LNG101" s="223"/>
      <c r="LNH101" s="223"/>
      <c r="LNI101" s="223"/>
      <c r="LNJ101" s="223"/>
      <c r="LNK101" s="223"/>
      <c r="LNL101" s="224"/>
      <c r="LNM101" s="222" t="s">
        <v>47</v>
      </c>
      <c r="LNN101" s="223"/>
      <c r="LNO101" s="223"/>
      <c r="LNP101" s="223"/>
      <c r="LNQ101" s="223"/>
      <c r="LNR101" s="223"/>
      <c r="LNS101" s="223"/>
      <c r="LNT101" s="224"/>
      <c r="LNU101" s="222" t="s">
        <v>47</v>
      </c>
      <c r="LNV101" s="223"/>
      <c r="LNW101" s="223"/>
      <c r="LNX101" s="223"/>
      <c r="LNY101" s="223"/>
      <c r="LNZ101" s="223"/>
      <c r="LOA101" s="223"/>
      <c r="LOB101" s="224"/>
      <c r="LOC101" s="222" t="s">
        <v>47</v>
      </c>
      <c r="LOD101" s="223"/>
      <c r="LOE101" s="223"/>
      <c r="LOF101" s="223"/>
      <c r="LOG101" s="223"/>
      <c r="LOH101" s="223"/>
      <c r="LOI101" s="223"/>
      <c r="LOJ101" s="224"/>
      <c r="LOK101" s="222" t="s">
        <v>47</v>
      </c>
      <c r="LOL101" s="223"/>
      <c r="LOM101" s="223"/>
      <c r="LON101" s="223"/>
      <c r="LOO101" s="223"/>
      <c r="LOP101" s="223"/>
      <c r="LOQ101" s="223"/>
      <c r="LOR101" s="224"/>
      <c r="LOS101" s="222" t="s">
        <v>47</v>
      </c>
      <c r="LOT101" s="223"/>
      <c r="LOU101" s="223"/>
      <c r="LOV101" s="223"/>
      <c r="LOW101" s="223"/>
      <c r="LOX101" s="223"/>
      <c r="LOY101" s="223"/>
      <c r="LOZ101" s="224"/>
      <c r="LPA101" s="222" t="s">
        <v>47</v>
      </c>
      <c r="LPB101" s="223"/>
      <c r="LPC101" s="223"/>
      <c r="LPD101" s="223"/>
      <c r="LPE101" s="223"/>
      <c r="LPF101" s="223"/>
      <c r="LPG101" s="223"/>
      <c r="LPH101" s="224"/>
      <c r="LPI101" s="222" t="s">
        <v>47</v>
      </c>
      <c r="LPJ101" s="223"/>
      <c r="LPK101" s="223"/>
      <c r="LPL101" s="223"/>
      <c r="LPM101" s="223"/>
      <c r="LPN101" s="223"/>
      <c r="LPO101" s="223"/>
      <c r="LPP101" s="224"/>
      <c r="LPQ101" s="222" t="s">
        <v>47</v>
      </c>
      <c r="LPR101" s="223"/>
      <c r="LPS101" s="223"/>
      <c r="LPT101" s="223"/>
      <c r="LPU101" s="223"/>
      <c r="LPV101" s="223"/>
      <c r="LPW101" s="223"/>
      <c r="LPX101" s="224"/>
      <c r="LPY101" s="222" t="s">
        <v>47</v>
      </c>
      <c r="LPZ101" s="223"/>
      <c r="LQA101" s="223"/>
      <c r="LQB101" s="223"/>
      <c r="LQC101" s="223"/>
      <c r="LQD101" s="223"/>
      <c r="LQE101" s="223"/>
      <c r="LQF101" s="224"/>
      <c r="LQG101" s="222" t="s">
        <v>47</v>
      </c>
      <c r="LQH101" s="223"/>
      <c r="LQI101" s="223"/>
      <c r="LQJ101" s="223"/>
      <c r="LQK101" s="223"/>
      <c r="LQL101" s="223"/>
      <c r="LQM101" s="223"/>
      <c r="LQN101" s="224"/>
      <c r="LQO101" s="222" t="s">
        <v>47</v>
      </c>
      <c r="LQP101" s="223"/>
      <c r="LQQ101" s="223"/>
      <c r="LQR101" s="223"/>
      <c r="LQS101" s="223"/>
      <c r="LQT101" s="223"/>
      <c r="LQU101" s="223"/>
      <c r="LQV101" s="224"/>
      <c r="LQW101" s="222" t="s">
        <v>47</v>
      </c>
      <c r="LQX101" s="223"/>
      <c r="LQY101" s="223"/>
      <c r="LQZ101" s="223"/>
      <c r="LRA101" s="223"/>
      <c r="LRB101" s="223"/>
      <c r="LRC101" s="223"/>
      <c r="LRD101" s="224"/>
      <c r="LRE101" s="222" t="s">
        <v>47</v>
      </c>
      <c r="LRF101" s="223"/>
      <c r="LRG101" s="223"/>
      <c r="LRH101" s="223"/>
      <c r="LRI101" s="223"/>
      <c r="LRJ101" s="223"/>
      <c r="LRK101" s="223"/>
      <c r="LRL101" s="224"/>
      <c r="LRM101" s="222" t="s">
        <v>47</v>
      </c>
      <c r="LRN101" s="223"/>
      <c r="LRO101" s="223"/>
      <c r="LRP101" s="223"/>
      <c r="LRQ101" s="223"/>
      <c r="LRR101" s="223"/>
      <c r="LRS101" s="223"/>
      <c r="LRT101" s="224"/>
      <c r="LRU101" s="222" t="s">
        <v>47</v>
      </c>
      <c r="LRV101" s="223"/>
      <c r="LRW101" s="223"/>
      <c r="LRX101" s="223"/>
      <c r="LRY101" s="223"/>
      <c r="LRZ101" s="223"/>
      <c r="LSA101" s="223"/>
      <c r="LSB101" s="224"/>
      <c r="LSC101" s="222" t="s">
        <v>47</v>
      </c>
      <c r="LSD101" s="223"/>
      <c r="LSE101" s="223"/>
      <c r="LSF101" s="223"/>
      <c r="LSG101" s="223"/>
      <c r="LSH101" s="223"/>
      <c r="LSI101" s="223"/>
      <c r="LSJ101" s="224"/>
      <c r="LSK101" s="222" t="s">
        <v>47</v>
      </c>
      <c r="LSL101" s="223"/>
      <c r="LSM101" s="223"/>
      <c r="LSN101" s="223"/>
      <c r="LSO101" s="223"/>
      <c r="LSP101" s="223"/>
      <c r="LSQ101" s="223"/>
      <c r="LSR101" s="224"/>
      <c r="LSS101" s="222" t="s">
        <v>47</v>
      </c>
      <c r="LST101" s="223"/>
      <c r="LSU101" s="223"/>
      <c r="LSV101" s="223"/>
      <c r="LSW101" s="223"/>
      <c r="LSX101" s="223"/>
      <c r="LSY101" s="223"/>
      <c r="LSZ101" s="224"/>
      <c r="LTA101" s="222" t="s">
        <v>47</v>
      </c>
      <c r="LTB101" s="223"/>
      <c r="LTC101" s="223"/>
      <c r="LTD101" s="223"/>
      <c r="LTE101" s="223"/>
      <c r="LTF101" s="223"/>
      <c r="LTG101" s="223"/>
      <c r="LTH101" s="224"/>
      <c r="LTI101" s="222" t="s">
        <v>47</v>
      </c>
      <c r="LTJ101" s="223"/>
      <c r="LTK101" s="223"/>
      <c r="LTL101" s="223"/>
      <c r="LTM101" s="223"/>
      <c r="LTN101" s="223"/>
      <c r="LTO101" s="223"/>
      <c r="LTP101" s="224"/>
      <c r="LTQ101" s="222" t="s">
        <v>47</v>
      </c>
      <c r="LTR101" s="223"/>
      <c r="LTS101" s="223"/>
      <c r="LTT101" s="223"/>
      <c r="LTU101" s="223"/>
      <c r="LTV101" s="223"/>
      <c r="LTW101" s="223"/>
      <c r="LTX101" s="224"/>
      <c r="LTY101" s="222" t="s">
        <v>47</v>
      </c>
      <c r="LTZ101" s="223"/>
      <c r="LUA101" s="223"/>
      <c r="LUB101" s="223"/>
      <c r="LUC101" s="223"/>
      <c r="LUD101" s="223"/>
      <c r="LUE101" s="223"/>
      <c r="LUF101" s="224"/>
      <c r="LUG101" s="222" t="s">
        <v>47</v>
      </c>
      <c r="LUH101" s="223"/>
      <c r="LUI101" s="223"/>
      <c r="LUJ101" s="223"/>
      <c r="LUK101" s="223"/>
      <c r="LUL101" s="223"/>
      <c r="LUM101" s="223"/>
      <c r="LUN101" s="224"/>
      <c r="LUO101" s="222" t="s">
        <v>47</v>
      </c>
      <c r="LUP101" s="223"/>
      <c r="LUQ101" s="223"/>
      <c r="LUR101" s="223"/>
      <c r="LUS101" s="223"/>
      <c r="LUT101" s="223"/>
      <c r="LUU101" s="223"/>
      <c r="LUV101" s="224"/>
      <c r="LUW101" s="222" t="s">
        <v>47</v>
      </c>
      <c r="LUX101" s="223"/>
      <c r="LUY101" s="223"/>
      <c r="LUZ101" s="223"/>
      <c r="LVA101" s="223"/>
      <c r="LVB101" s="223"/>
      <c r="LVC101" s="223"/>
      <c r="LVD101" s="224"/>
      <c r="LVE101" s="222" t="s">
        <v>47</v>
      </c>
      <c r="LVF101" s="223"/>
      <c r="LVG101" s="223"/>
      <c r="LVH101" s="223"/>
      <c r="LVI101" s="223"/>
      <c r="LVJ101" s="223"/>
      <c r="LVK101" s="223"/>
      <c r="LVL101" s="224"/>
      <c r="LVM101" s="222" t="s">
        <v>47</v>
      </c>
      <c r="LVN101" s="223"/>
      <c r="LVO101" s="223"/>
      <c r="LVP101" s="223"/>
      <c r="LVQ101" s="223"/>
      <c r="LVR101" s="223"/>
      <c r="LVS101" s="223"/>
      <c r="LVT101" s="224"/>
      <c r="LVU101" s="222" t="s">
        <v>47</v>
      </c>
      <c r="LVV101" s="223"/>
      <c r="LVW101" s="223"/>
      <c r="LVX101" s="223"/>
      <c r="LVY101" s="223"/>
      <c r="LVZ101" s="223"/>
      <c r="LWA101" s="223"/>
      <c r="LWB101" s="224"/>
      <c r="LWC101" s="222" t="s">
        <v>47</v>
      </c>
      <c r="LWD101" s="223"/>
      <c r="LWE101" s="223"/>
      <c r="LWF101" s="223"/>
      <c r="LWG101" s="223"/>
      <c r="LWH101" s="223"/>
      <c r="LWI101" s="223"/>
      <c r="LWJ101" s="224"/>
      <c r="LWK101" s="222" t="s">
        <v>47</v>
      </c>
      <c r="LWL101" s="223"/>
      <c r="LWM101" s="223"/>
      <c r="LWN101" s="223"/>
      <c r="LWO101" s="223"/>
      <c r="LWP101" s="223"/>
      <c r="LWQ101" s="223"/>
      <c r="LWR101" s="224"/>
      <c r="LWS101" s="222" t="s">
        <v>47</v>
      </c>
      <c r="LWT101" s="223"/>
      <c r="LWU101" s="223"/>
      <c r="LWV101" s="223"/>
      <c r="LWW101" s="223"/>
      <c r="LWX101" s="223"/>
      <c r="LWY101" s="223"/>
      <c r="LWZ101" s="224"/>
      <c r="LXA101" s="222" t="s">
        <v>47</v>
      </c>
      <c r="LXB101" s="223"/>
      <c r="LXC101" s="223"/>
      <c r="LXD101" s="223"/>
      <c r="LXE101" s="223"/>
      <c r="LXF101" s="223"/>
      <c r="LXG101" s="223"/>
      <c r="LXH101" s="224"/>
      <c r="LXI101" s="222" t="s">
        <v>47</v>
      </c>
      <c r="LXJ101" s="223"/>
      <c r="LXK101" s="223"/>
      <c r="LXL101" s="223"/>
      <c r="LXM101" s="223"/>
      <c r="LXN101" s="223"/>
      <c r="LXO101" s="223"/>
      <c r="LXP101" s="224"/>
      <c r="LXQ101" s="222" t="s">
        <v>47</v>
      </c>
      <c r="LXR101" s="223"/>
      <c r="LXS101" s="223"/>
      <c r="LXT101" s="223"/>
      <c r="LXU101" s="223"/>
      <c r="LXV101" s="223"/>
      <c r="LXW101" s="223"/>
      <c r="LXX101" s="224"/>
      <c r="LXY101" s="222" t="s">
        <v>47</v>
      </c>
      <c r="LXZ101" s="223"/>
      <c r="LYA101" s="223"/>
      <c r="LYB101" s="223"/>
      <c r="LYC101" s="223"/>
      <c r="LYD101" s="223"/>
      <c r="LYE101" s="223"/>
      <c r="LYF101" s="224"/>
      <c r="LYG101" s="222" t="s">
        <v>47</v>
      </c>
      <c r="LYH101" s="223"/>
      <c r="LYI101" s="223"/>
      <c r="LYJ101" s="223"/>
      <c r="LYK101" s="223"/>
      <c r="LYL101" s="223"/>
      <c r="LYM101" s="223"/>
      <c r="LYN101" s="224"/>
      <c r="LYO101" s="222" t="s">
        <v>47</v>
      </c>
      <c r="LYP101" s="223"/>
      <c r="LYQ101" s="223"/>
      <c r="LYR101" s="223"/>
      <c r="LYS101" s="223"/>
      <c r="LYT101" s="223"/>
      <c r="LYU101" s="223"/>
      <c r="LYV101" s="224"/>
      <c r="LYW101" s="222" t="s">
        <v>47</v>
      </c>
      <c r="LYX101" s="223"/>
      <c r="LYY101" s="223"/>
      <c r="LYZ101" s="223"/>
      <c r="LZA101" s="223"/>
      <c r="LZB101" s="223"/>
      <c r="LZC101" s="223"/>
      <c r="LZD101" s="224"/>
      <c r="LZE101" s="222" t="s">
        <v>47</v>
      </c>
      <c r="LZF101" s="223"/>
      <c r="LZG101" s="223"/>
      <c r="LZH101" s="223"/>
      <c r="LZI101" s="223"/>
      <c r="LZJ101" s="223"/>
      <c r="LZK101" s="223"/>
      <c r="LZL101" s="224"/>
      <c r="LZM101" s="222" t="s">
        <v>47</v>
      </c>
      <c r="LZN101" s="223"/>
      <c r="LZO101" s="223"/>
      <c r="LZP101" s="223"/>
      <c r="LZQ101" s="223"/>
      <c r="LZR101" s="223"/>
      <c r="LZS101" s="223"/>
      <c r="LZT101" s="224"/>
      <c r="LZU101" s="222" t="s">
        <v>47</v>
      </c>
      <c r="LZV101" s="223"/>
      <c r="LZW101" s="223"/>
      <c r="LZX101" s="223"/>
      <c r="LZY101" s="223"/>
      <c r="LZZ101" s="223"/>
      <c r="MAA101" s="223"/>
      <c r="MAB101" s="224"/>
      <c r="MAC101" s="222" t="s">
        <v>47</v>
      </c>
      <c r="MAD101" s="223"/>
      <c r="MAE101" s="223"/>
      <c r="MAF101" s="223"/>
      <c r="MAG101" s="223"/>
      <c r="MAH101" s="223"/>
      <c r="MAI101" s="223"/>
      <c r="MAJ101" s="224"/>
      <c r="MAK101" s="222" t="s">
        <v>47</v>
      </c>
      <c r="MAL101" s="223"/>
      <c r="MAM101" s="223"/>
      <c r="MAN101" s="223"/>
      <c r="MAO101" s="223"/>
      <c r="MAP101" s="223"/>
      <c r="MAQ101" s="223"/>
      <c r="MAR101" s="224"/>
      <c r="MAS101" s="222" t="s">
        <v>47</v>
      </c>
      <c r="MAT101" s="223"/>
      <c r="MAU101" s="223"/>
      <c r="MAV101" s="223"/>
      <c r="MAW101" s="223"/>
      <c r="MAX101" s="223"/>
      <c r="MAY101" s="223"/>
      <c r="MAZ101" s="224"/>
      <c r="MBA101" s="222" t="s">
        <v>47</v>
      </c>
      <c r="MBB101" s="223"/>
      <c r="MBC101" s="223"/>
      <c r="MBD101" s="223"/>
      <c r="MBE101" s="223"/>
      <c r="MBF101" s="223"/>
      <c r="MBG101" s="223"/>
      <c r="MBH101" s="224"/>
      <c r="MBI101" s="222" t="s">
        <v>47</v>
      </c>
      <c r="MBJ101" s="223"/>
      <c r="MBK101" s="223"/>
      <c r="MBL101" s="223"/>
      <c r="MBM101" s="223"/>
      <c r="MBN101" s="223"/>
      <c r="MBO101" s="223"/>
      <c r="MBP101" s="224"/>
      <c r="MBQ101" s="222" t="s">
        <v>47</v>
      </c>
      <c r="MBR101" s="223"/>
      <c r="MBS101" s="223"/>
      <c r="MBT101" s="223"/>
      <c r="MBU101" s="223"/>
      <c r="MBV101" s="223"/>
      <c r="MBW101" s="223"/>
      <c r="MBX101" s="224"/>
      <c r="MBY101" s="222" t="s">
        <v>47</v>
      </c>
      <c r="MBZ101" s="223"/>
      <c r="MCA101" s="223"/>
      <c r="MCB101" s="223"/>
      <c r="MCC101" s="223"/>
      <c r="MCD101" s="223"/>
      <c r="MCE101" s="223"/>
      <c r="MCF101" s="224"/>
      <c r="MCG101" s="222" t="s">
        <v>47</v>
      </c>
      <c r="MCH101" s="223"/>
      <c r="MCI101" s="223"/>
      <c r="MCJ101" s="223"/>
      <c r="MCK101" s="223"/>
      <c r="MCL101" s="223"/>
      <c r="MCM101" s="223"/>
      <c r="MCN101" s="224"/>
      <c r="MCO101" s="222" t="s">
        <v>47</v>
      </c>
      <c r="MCP101" s="223"/>
      <c r="MCQ101" s="223"/>
      <c r="MCR101" s="223"/>
      <c r="MCS101" s="223"/>
      <c r="MCT101" s="223"/>
      <c r="MCU101" s="223"/>
      <c r="MCV101" s="224"/>
      <c r="MCW101" s="222" t="s">
        <v>47</v>
      </c>
      <c r="MCX101" s="223"/>
      <c r="MCY101" s="223"/>
      <c r="MCZ101" s="223"/>
      <c r="MDA101" s="223"/>
      <c r="MDB101" s="223"/>
      <c r="MDC101" s="223"/>
      <c r="MDD101" s="224"/>
      <c r="MDE101" s="222" t="s">
        <v>47</v>
      </c>
      <c r="MDF101" s="223"/>
      <c r="MDG101" s="223"/>
      <c r="MDH101" s="223"/>
      <c r="MDI101" s="223"/>
      <c r="MDJ101" s="223"/>
      <c r="MDK101" s="223"/>
      <c r="MDL101" s="224"/>
      <c r="MDM101" s="222" t="s">
        <v>47</v>
      </c>
      <c r="MDN101" s="223"/>
      <c r="MDO101" s="223"/>
      <c r="MDP101" s="223"/>
      <c r="MDQ101" s="223"/>
      <c r="MDR101" s="223"/>
      <c r="MDS101" s="223"/>
      <c r="MDT101" s="224"/>
      <c r="MDU101" s="222" t="s">
        <v>47</v>
      </c>
      <c r="MDV101" s="223"/>
      <c r="MDW101" s="223"/>
      <c r="MDX101" s="223"/>
      <c r="MDY101" s="223"/>
      <c r="MDZ101" s="223"/>
      <c r="MEA101" s="223"/>
      <c r="MEB101" s="224"/>
      <c r="MEC101" s="222" t="s">
        <v>47</v>
      </c>
      <c r="MED101" s="223"/>
      <c r="MEE101" s="223"/>
      <c r="MEF101" s="223"/>
      <c r="MEG101" s="223"/>
      <c r="MEH101" s="223"/>
      <c r="MEI101" s="223"/>
      <c r="MEJ101" s="224"/>
      <c r="MEK101" s="222" t="s">
        <v>47</v>
      </c>
      <c r="MEL101" s="223"/>
      <c r="MEM101" s="223"/>
      <c r="MEN101" s="223"/>
      <c r="MEO101" s="223"/>
      <c r="MEP101" s="223"/>
      <c r="MEQ101" s="223"/>
      <c r="MER101" s="224"/>
      <c r="MES101" s="222" t="s">
        <v>47</v>
      </c>
      <c r="MET101" s="223"/>
      <c r="MEU101" s="223"/>
      <c r="MEV101" s="223"/>
      <c r="MEW101" s="223"/>
      <c r="MEX101" s="223"/>
      <c r="MEY101" s="223"/>
      <c r="MEZ101" s="224"/>
      <c r="MFA101" s="222" t="s">
        <v>47</v>
      </c>
      <c r="MFB101" s="223"/>
      <c r="MFC101" s="223"/>
      <c r="MFD101" s="223"/>
      <c r="MFE101" s="223"/>
      <c r="MFF101" s="223"/>
      <c r="MFG101" s="223"/>
      <c r="MFH101" s="224"/>
      <c r="MFI101" s="222" t="s">
        <v>47</v>
      </c>
      <c r="MFJ101" s="223"/>
      <c r="MFK101" s="223"/>
      <c r="MFL101" s="223"/>
      <c r="MFM101" s="223"/>
      <c r="MFN101" s="223"/>
      <c r="MFO101" s="223"/>
      <c r="MFP101" s="224"/>
      <c r="MFQ101" s="222" t="s">
        <v>47</v>
      </c>
      <c r="MFR101" s="223"/>
      <c r="MFS101" s="223"/>
      <c r="MFT101" s="223"/>
      <c r="MFU101" s="223"/>
      <c r="MFV101" s="223"/>
      <c r="MFW101" s="223"/>
      <c r="MFX101" s="224"/>
      <c r="MFY101" s="222" t="s">
        <v>47</v>
      </c>
      <c r="MFZ101" s="223"/>
      <c r="MGA101" s="223"/>
      <c r="MGB101" s="223"/>
      <c r="MGC101" s="223"/>
      <c r="MGD101" s="223"/>
      <c r="MGE101" s="223"/>
      <c r="MGF101" s="224"/>
      <c r="MGG101" s="222" t="s">
        <v>47</v>
      </c>
      <c r="MGH101" s="223"/>
      <c r="MGI101" s="223"/>
      <c r="MGJ101" s="223"/>
      <c r="MGK101" s="223"/>
      <c r="MGL101" s="223"/>
      <c r="MGM101" s="223"/>
      <c r="MGN101" s="224"/>
      <c r="MGO101" s="222" t="s">
        <v>47</v>
      </c>
      <c r="MGP101" s="223"/>
      <c r="MGQ101" s="223"/>
      <c r="MGR101" s="223"/>
      <c r="MGS101" s="223"/>
      <c r="MGT101" s="223"/>
      <c r="MGU101" s="223"/>
      <c r="MGV101" s="224"/>
      <c r="MGW101" s="222" t="s">
        <v>47</v>
      </c>
      <c r="MGX101" s="223"/>
      <c r="MGY101" s="223"/>
      <c r="MGZ101" s="223"/>
      <c r="MHA101" s="223"/>
      <c r="MHB101" s="223"/>
      <c r="MHC101" s="223"/>
      <c r="MHD101" s="224"/>
      <c r="MHE101" s="222" t="s">
        <v>47</v>
      </c>
      <c r="MHF101" s="223"/>
      <c r="MHG101" s="223"/>
      <c r="MHH101" s="223"/>
      <c r="MHI101" s="223"/>
      <c r="MHJ101" s="223"/>
      <c r="MHK101" s="223"/>
      <c r="MHL101" s="224"/>
      <c r="MHM101" s="222" t="s">
        <v>47</v>
      </c>
      <c r="MHN101" s="223"/>
      <c r="MHO101" s="223"/>
      <c r="MHP101" s="223"/>
      <c r="MHQ101" s="223"/>
      <c r="MHR101" s="223"/>
      <c r="MHS101" s="223"/>
      <c r="MHT101" s="224"/>
      <c r="MHU101" s="222" t="s">
        <v>47</v>
      </c>
      <c r="MHV101" s="223"/>
      <c r="MHW101" s="223"/>
      <c r="MHX101" s="223"/>
      <c r="MHY101" s="223"/>
      <c r="MHZ101" s="223"/>
      <c r="MIA101" s="223"/>
      <c r="MIB101" s="224"/>
      <c r="MIC101" s="222" t="s">
        <v>47</v>
      </c>
      <c r="MID101" s="223"/>
      <c r="MIE101" s="223"/>
      <c r="MIF101" s="223"/>
      <c r="MIG101" s="223"/>
      <c r="MIH101" s="223"/>
      <c r="MII101" s="223"/>
      <c r="MIJ101" s="224"/>
      <c r="MIK101" s="222" t="s">
        <v>47</v>
      </c>
      <c r="MIL101" s="223"/>
      <c r="MIM101" s="223"/>
      <c r="MIN101" s="223"/>
      <c r="MIO101" s="223"/>
      <c r="MIP101" s="223"/>
      <c r="MIQ101" s="223"/>
      <c r="MIR101" s="224"/>
      <c r="MIS101" s="222" t="s">
        <v>47</v>
      </c>
      <c r="MIT101" s="223"/>
      <c r="MIU101" s="223"/>
      <c r="MIV101" s="223"/>
      <c r="MIW101" s="223"/>
      <c r="MIX101" s="223"/>
      <c r="MIY101" s="223"/>
      <c r="MIZ101" s="224"/>
      <c r="MJA101" s="222" t="s">
        <v>47</v>
      </c>
      <c r="MJB101" s="223"/>
      <c r="MJC101" s="223"/>
      <c r="MJD101" s="223"/>
      <c r="MJE101" s="223"/>
      <c r="MJF101" s="223"/>
      <c r="MJG101" s="223"/>
      <c r="MJH101" s="224"/>
      <c r="MJI101" s="222" t="s">
        <v>47</v>
      </c>
      <c r="MJJ101" s="223"/>
      <c r="MJK101" s="223"/>
      <c r="MJL101" s="223"/>
      <c r="MJM101" s="223"/>
      <c r="MJN101" s="223"/>
      <c r="MJO101" s="223"/>
      <c r="MJP101" s="224"/>
      <c r="MJQ101" s="222" t="s">
        <v>47</v>
      </c>
      <c r="MJR101" s="223"/>
      <c r="MJS101" s="223"/>
      <c r="MJT101" s="223"/>
      <c r="MJU101" s="223"/>
      <c r="MJV101" s="223"/>
      <c r="MJW101" s="223"/>
      <c r="MJX101" s="224"/>
      <c r="MJY101" s="222" t="s">
        <v>47</v>
      </c>
      <c r="MJZ101" s="223"/>
      <c r="MKA101" s="223"/>
      <c r="MKB101" s="223"/>
      <c r="MKC101" s="223"/>
      <c r="MKD101" s="223"/>
      <c r="MKE101" s="223"/>
      <c r="MKF101" s="224"/>
      <c r="MKG101" s="222" t="s">
        <v>47</v>
      </c>
      <c r="MKH101" s="223"/>
      <c r="MKI101" s="223"/>
      <c r="MKJ101" s="223"/>
      <c r="MKK101" s="223"/>
      <c r="MKL101" s="223"/>
      <c r="MKM101" s="223"/>
      <c r="MKN101" s="224"/>
      <c r="MKO101" s="222" t="s">
        <v>47</v>
      </c>
      <c r="MKP101" s="223"/>
      <c r="MKQ101" s="223"/>
      <c r="MKR101" s="223"/>
      <c r="MKS101" s="223"/>
      <c r="MKT101" s="223"/>
      <c r="MKU101" s="223"/>
      <c r="MKV101" s="224"/>
      <c r="MKW101" s="222" t="s">
        <v>47</v>
      </c>
      <c r="MKX101" s="223"/>
      <c r="MKY101" s="223"/>
      <c r="MKZ101" s="223"/>
      <c r="MLA101" s="223"/>
      <c r="MLB101" s="223"/>
      <c r="MLC101" s="223"/>
      <c r="MLD101" s="224"/>
      <c r="MLE101" s="222" t="s">
        <v>47</v>
      </c>
      <c r="MLF101" s="223"/>
      <c r="MLG101" s="223"/>
      <c r="MLH101" s="223"/>
      <c r="MLI101" s="223"/>
      <c r="MLJ101" s="223"/>
      <c r="MLK101" s="223"/>
      <c r="MLL101" s="224"/>
      <c r="MLM101" s="222" t="s">
        <v>47</v>
      </c>
      <c r="MLN101" s="223"/>
      <c r="MLO101" s="223"/>
      <c r="MLP101" s="223"/>
      <c r="MLQ101" s="223"/>
      <c r="MLR101" s="223"/>
      <c r="MLS101" s="223"/>
      <c r="MLT101" s="224"/>
      <c r="MLU101" s="222" t="s">
        <v>47</v>
      </c>
      <c r="MLV101" s="223"/>
      <c r="MLW101" s="223"/>
      <c r="MLX101" s="223"/>
      <c r="MLY101" s="223"/>
      <c r="MLZ101" s="223"/>
      <c r="MMA101" s="223"/>
      <c r="MMB101" s="224"/>
      <c r="MMC101" s="222" t="s">
        <v>47</v>
      </c>
      <c r="MMD101" s="223"/>
      <c r="MME101" s="223"/>
      <c r="MMF101" s="223"/>
      <c r="MMG101" s="223"/>
      <c r="MMH101" s="223"/>
      <c r="MMI101" s="223"/>
      <c r="MMJ101" s="224"/>
      <c r="MMK101" s="222" t="s">
        <v>47</v>
      </c>
      <c r="MML101" s="223"/>
      <c r="MMM101" s="223"/>
      <c r="MMN101" s="223"/>
      <c r="MMO101" s="223"/>
      <c r="MMP101" s="223"/>
      <c r="MMQ101" s="223"/>
      <c r="MMR101" s="224"/>
      <c r="MMS101" s="222" t="s">
        <v>47</v>
      </c>
      <c r="MMT101" s="223"/>
      <c r="MMU101" s="223"/>
      <c r="MMV101" s="223"/>
      <c r="MMW101" s="223"/>
      <c r="MMX101" s="223"/>
      <c r="MMY101" s="223"/>
      <c r="MMZ101" s="224"/>
      <c r="MNA101" s="222" t="s">
        <v>47</v>
      </c>
      <c r="MNB101" s="223"/>
      <c r="MNC101" s="223"/>
      <c r="MND101" s="223"/>
      <c r="MNE101" s="223"/>
      <c r="MNF101" s="223"/>
      <c r="MNG101" s="223"/>
      <c r="MNH101" s="224"/>
      <c r="MNI101" s="222" t="s">
        <v>47</v>
      </c>
      <c r="MNJ101" s="223"/>
      <c r="MNK101" s="223"/>
      <c r="MNL101" s="223"/>
      <c r="MNM101" s="223"/>
      <c r="MNN101" s="223"/>
      <c r="MNO101" s="223"/>
      <c r="MNP101" s="224"/>
      <c r="MNQ101" s="222" t="s">
        <v>47</v>
      </c>
      <c r="MNR101" s="223"/>
      <c r="MNS101" s="223"/>
      <c r="MNT101" s="223"/>
      <c r="MNU101" s="223"/>
      <c r="MNV101" s="223"/>
      <c r="MNW101" s="223"/>
      <c r="MNX101" s="224"/>
      <c r="MNY101" s="222" t="s">
        <v>47</v>
      </c>
      <c r="MNZ101" s="223"/>
      <c r="MOA101" s="223"/>
      <c r="MOB101" s="223"/>
      <c r="MOC101" s="223"/>
      <c r="MOD101" s="223"/>
      <c r="MOE101" s="223"/>
      <c r="MOF101" s="224"/>
      <c r="MOG101" s="222" t="s">
        <v>47</v>
      </c>
      <c r="MOH101" s="223"/>
      <c r="MOI101" s="223"/>
      <c r="MOJ101" s="223"/>
      <c r="MOK101" s="223"/>
      <c r="MOL101" s="223"/>
      <c r="MOM101" s="223"/>
      <c r="MON101" s="224"/>
      <c r="MOO101" s="222" t="s">
        <v>47</v>
      </c>
      <c r="MOP101" s="223"/>
      <c r="MOQ101" s="223"/>
      <c r="MOR101" s="223"/>
      <c r="MOS101" s="223"/>
      <c r="MOT101" s="223"/>
      <c r="MOU101" s="223"/>
      <c r="MOV101" s="224"/>
      <c r="MOW101" s="222" t="s">
        <v>47</v>
      </c>
      <c r="MOX101" s="223"/>
      <c r="MOY101" s="223"/>
      <c r="MOZ101" s="223"/>
      <c r="MPA101" s="223"/>
      <c r="MPB101" s="223"/>
      <c r="MPC101" s="223"/>
      <c r="MPD101" s="224"/>
      <c r="MPE101" s="222" t="s">
        <v>47</v>
      </c>
      <c r="MPF101" s="223"/>
      <c r="MPG101" s="223"/>
      <c r="MPH101" s="223"/>
      <c r="MPI101" s="223"/>
      <c r="MPJ101" s="223"/>
      <c r="MPK101" s="223"/>
      <c r="MPL101" s="224"/>
      <c r="MPM101" s="222" t="s">
        <v>47</v>
      </c>
      <c r="MPN101" s="223"/>
      <c r="MPO101" s="223"/>
      <c r="MPP101" s="223"/>
      <c r="MPQ101" s="223"/>
      <c r="MPR101" s="223"/>
      <c r="MPS101" s="223"/>
      <c r="MPT101" s="224"/>
      <c r="MPU101" s="222" t="s">
        <v>47</v>
      </c>
      <c r="MPV101" s="223"/>
      <c r="MPW101" s="223"/>
      <c r="MPX101" s="223"/>
      <c r="MPY101" s="223"/>
      <c r="MPZ101" s="223"/>
      <c r="MQA101" s="223"/>
      <c r="MQB101" s="224"/>
      <c r="MQC101" s="222" t="s">
        <v>47</v>
      </c>
      <c r="MQD101" s="223"/>
      <c r="MQE101" s="223"/>
      <c r="MQF101" s="223"/>
      <c r="MQG101" s="223"/>
      <c r="MQH101" s="223"/>
      <c r="MQI101" s="223"/>
      <c r="MQJ101" s="224"/>
      <c r="MQK101" s="222" t="s">
        <v>47</v>
      </c>
      <c r="MQL101" s="223"/>
      <c r="MQM101" s="223"/>
      <c r="MQN101" s="223"/>
      <c r="MQO101" s="223"/>
      <c r="MQP101" s="223"/>
      <c r="MQQ101" s="223"/>
      <c r="MQR101" s="224"/>
      <c r="MQS101" s="222" t="s">
        <v>47</v>
      </c>
      <c r="MQT101" s="223"/>
      <c r="MQU101" s="223"/>
      <c r="MQV101" s="223"/>
      <c r="MQW101" s="223"/>
      <c r="MQX101" s="223"/>
      <c r="MQY101" s="223"/>
      <c r="MQZ101" s="224"/>
      <c r="MRA101" s="222" t="s">
        <v>47</v>
      </c>
      <c r="MRB101" s="223"/>
      <c r="MRC101" s="223"/>
      <c r="MRD101" s="223"/>
      <c r="MRE101" s="223"/>
      <c r="MRF101" s="223"/>
      <c r="MRG101" s="223"/>
      <c r="MRH101" s="224"/>
      <c r="MRI101" s="222" t="s">
        <v>47</v>
      </c>
      <c r="MRJ101" s="223"/>
      <c r="MRK101" s="223"/>
      <c r="MRL101" s="223"/>
      <c r="MRM101" s="223"/>
      <c r="MRN101" s="223"/>
      <c r="MRO101" s="223"/>
      <c r="MRP101" s="224"/>
      <c r="MRQ101" s="222" t="s">
        <v>47</v>
      </c>
      <c r="MRR101" s="223"/>
      <c r="MRS101" s="223"/>
      <c r="MRT101" s="223"/>
      <c r="MRU101" s="223"/>
      <c r="MRV101" s="223"/>
      <c r="MRW101" s="223"/>
      <c r="MRX101" s="224"/>
      <c r="MRY101" s="222" t="s">
        <v>47</v>
      </c>
      <c r="MRZ101" s="223"/>
      <c r="MSA101" s="223"/>
      <c r="MSB101" s="223"/>
      <c r="MSC101" s="223"/>
      <c r="MSD101" s="223"/>
      <c r="MSE101" s="223"/>
      <c r="MSF101" s="224"/>
      <c r="MSG101" s="222" t="s">
        <v>47</v>
      </c>
      <c r="MSH101" s="223"/>
      <c r="MSI101" s="223"/>
      <c r="MSJ101" s="223"/>
      <c r="MSK101" s="223"/>
      <c r="MSL101" s="223"/>
      <c r="MSM101" s="223"/>
      <c r="MSN101" s="224"/>
      <c r="MSO101" s="222" t="s">
        <v>47</v>
      </c>
      <c r="MSP101" s="223"/>
      <c r="MSQ101" s="223"/>
      <c r="MSR101" s="223"/>
      <c r="MSS101" s="223"/>
      <c r="MST101" s="223"/>
      <c r="MSU101" s="223"/>
      <c r="MSV101" s="224"/>
      <c r="MSW101" s="222" t="s">
        <v>47</v>
      </c>
      <c r="MSX101" s="223"/>
      <c r="MSY101" s="223"/>
      <c r="MSZ101" s="223"/>
      <c r="MTA101" s="223"/>
      <c r="MTB101" s="223"/>
      <c r="MTC101" s="223"/>
      <c r="MTD101" s="224"/>
      <c r="MTE101" s="222" t="s">
        <v>47</v>
      </c>
      <c r="MTF101" s="223"/>
      <c r="MTG101" s="223"/>
      <c r="MTH101" s="223"/>
      <c r="MTI101" s="223"/>
      <c r="MTJ101" s="223"/>
      <c r="MTK101" s="223"/>
      <c r="MTL101" s="224"/>
      <c r="MTM101" s="222" t="s">
        <v>47</v>
      </c>
      <c r="MTN101" s="223"/>
      <c r="MTO101" s="223"/>
      <c r="MTP101" s="223"/>
      <c r="MTQ101" s="223"/>
      <c r="MTR101" s="223"/>
      <c r="MTS101" s="223"/>
      <c r="MTT101" s="224"/>
      <c r="MTU101" s="222" t="s">
        <v>47</v>
      </c>
      <c r="MTV101" s="223"/>
      <c r="MTW101" s="223"/>
      <c r="MTX101" s="223"/>
      <c r="MTY101" s="223"/>
      <c r="MTZ101" s="223"/>
      <c r="MUA101" s="223"/>
      <c r="MUB101" s="224"/>
      <c r="MUC101" s="222" t="s">
        <v>47</v>
      </c>
      <c r="MUD101" s="223"/>
      <c r="MUE101" s="223"/>
      <c r="MUF101" s="223"/>
      <c r="MUG101" s="223"/>
      <c r="MUH101" s="223"/>
      <c r="MUI101" s="223"/>
      <c r="MUJ101" s="224"/>
      <c r="MUK101" s="222" t="s">
        <v>47</v>
      </c>
      <c r="MUL101" s="223"/>
      <c r="MUM101" s="223"/>
      <c r="MUN101" s="223"/>
      <c r="MUO101" s="223"/>
      <c r="MUP101" s="223"/>
      <c r="MUQ101" s="223"/>
      <c r="MUR101" s="224"/>
      <c r="MUS101" s="222" t="s">
        <v>47</v>
      </c>
      <c r="MUT101" s="223"/>
      <c r="MUU101" s="223"/>
      <c r="MUV101" s="223"/>
      <c r="MUW101" s="223"/>
      <c r="MUX101" s="223"/>
      <c r="MUY101" s="223"/>
      <c r="MUZ101" s="224"/>
      <c r="MVA101" s="222" t="s">
        <v>47</v>
      </c>
      <c r="MVB101" s="223"/>
      <c r="MVC101" s="223"/>
      <c r="MVD101" s="223"/>
      <c r="MVE101" s="223"/>
      <c r="MVF101" s="223"/>
      <c r="MVG101" s="223"/>
      <c r="MVH101" s="224"/>
      <c r="MVI101" s="222" t="s">
        <v>47</v>
      </c>
      <c r="MVJ101" s="223"/>
      <c r="MVK101" s="223"/>
      <c r="MVL101" s="223"/>
      <c r="MVM101" s="223"/>
      <c r="MVN101" s="223"/>
      <c r="MVO101" s="223"/>
      <c r="MVP101" s="224"/>
      <c r="MVQ101" s="222" t="s">
        <v>47</v>
      </c>
      <c r="MVR101" s="223"/>
      <c r="MVS101" s="223"/>
      <c r="MVT101" s="223"/>
      <c r="MVU101" s="223"/>
      <c r="MVV101" s="223"/>
      <c r="MVW101" s="223"/>
      <c r="MVX101" s="224"/>
      <c r="MVY101" s="222" t="s">
        <v>47</v>
      </c>
      <c r="MVZ101" s="223"/>
      <c r="MWA101" s="223"/>
      <c r="MWB101" s="223"/>
      <c r="MWC101" s="223"/>
      <c r="MWD101" s="223"/>
      <c r="MWE101" s="223"/>
      <c r="MWF101" s="224"/>
      <c r="MWG101" s="222" t="s">
        <v>47</v>
      </c>
      <c r="MWH101" s="223"/>
      <c r="MWI101" s="223"/>
      <c r="MWJ101" s="223"/>
      <c r="MWK101" s="223"/>
      <c r="MWL101" s="223"/>
      <c r="MWM101" s="223"/>
      <c r="MWN101" s="224"/>
      <c r="MWO101" s="222" t="s">
        <v>47</v>
      </c>
      <c r="MWP101" s="223"/>
      <c r="MWQ101" s="223"/>
      <c r="MWR101" s="223"/>
      <c r="MWS101" s="223"/>
      <c r="MWT101" s="223"/>
      <c r="MWU101" s="223"/>
      <c r="MWV101" s="224"/>
      <c r="MWW101" s="222" t="s">
        <v>47</v>
      </c>
      <c r="MWX101" s="223"/>
      <c r="MWY101" s="223"/>
      <c r="MWZ101" s="223"/>
      <c r="MXA101" s="223"/>
      <c r="MXB101" s="223"/>
      <c r="MXC101" s="223"/>
      <c r="MXD101" s="224"/>
      <c r="MXE101" s="222" t="s">
        <v>47</v>
      </c>
      <c r="MXF101" s="223"/>
      <c r="MXG101" s="223"/>
      <c r="MXH101" s="223"/>
      <c r="MXI101" s="223"/>
      <c r="MXJ101" s="223"/>
      <c r="MXK101" s="223"/>
      <c r="MXL101" s="224"/>
      <c r="MXM101" s="222" t="s">
        <v>47</v>
      </c>
      <c r="MXN101" s="223"/>
      <c r="MXO101" s="223"/>
      <c r="MXP101" s="223"/>
      <c r="MXQ101" s="223"/>
      <c r="MXR101" s="223"/>
      <c r="MXS101" s="223"/>
      <c r="MXT101" s="224"/>
      <c r="MXU101" s="222" t="s">
        <v>47</v>
      </c>
      <c r="MXV101" s="223"/>
      <c r="MXW101" s="223"/>
      <c r="MXX101" s="223"/>
      <c r="MXY101" s="223"/>
      <c r="MXZ101" s="223"/>
      <c r="MYA101" s="223"/>
      <c r="MYB101" s="224"/>
      <c r="MYC101" s="222" t="s">
        <v>47</v>
      </c>
      <c r="MYD101" s="223"/>
      <c r="MYE101" s="223"/>
      <c r="MYF101" s="223"/>
      <c r="MYG101" s="223"/>
      <c r="MYH101" s="223"/>
      <c r="MYI101" s="223"/>
      <c r="MYJ101" s="224"/>
      <c r="MYK101" s="222" t="s">
        <v>47</v>
      </c>
      <c r="MYL101" s="223"/>
      <c r="MYM101" s="223"/>
      <c r="MYN101" s="223"/>
      <c r="MYO101" s="223"/>
      <c r="MYP101" s="223"/>
      <c r="MYQ101" s="223"/>
      <c r="MYR101" s="224"/>
      <c r="MYS101" s="222" t="s">
        <v>47</v>
      </c>
      <c r="MYT101" s="223"/>
      <c r="MYU101" s="223"/>
      <c r="MYV101" s="223"/>
      <c r="MYW101" s="223"/>
      <c r="MYX101" s="223"/>
      <c r="MYY101" s="223"/>
      <c r="MYZ101" s="224"/>
      <c r="MZA101" s="222" t="s">
        <v>47</v>
      </c>
      <c r="MZB101" s="223"/>
      <c r="MZC101" s="223"/>
      <c r="MZD101" s="223"/>
      <c r="MZE101" s="223"/>
      <c r="MZF101" s="223"/>
      <c r="MZG101" s="223"/>
      <c r="MZH101" s="224"/>
      <c r="MZI101" s="222" t="s">
        <v>47</v>
      </c>
      <c r="MZJ101" s="223"/>
      <c r="MZK101" s="223"/>
      <c r="MZL101" s="223"/>
      <c r="MZM101" s="223"/>
      <c r="MZN101" s="223"/>
      <c r="MZO101" s="223"/>
      <c r="MZP101" s="224"/>
      <c r="MZQ101" s="222" t="s">
        <v>47</v>
      </c>
      <c r="MZR101" s="223"/>
      <c r="MZS101" s="223"/>
      <c r="MZT101" s="223"/>
      <c r="MZU101" s="223"/>
      <c r="MZV101" s="223"/>
      <c r="MZW101" s="223"/>
      <c r="MZX101" s="224"/>
      <c r="MZY101" s="222" t="s">
        <v>47</v>
      </c>
      <c r="MZZ101" s="223"/>
      <c r="NAA101" s="223"/>
      <c r="NAB101" s="223"/>
      <c r="NAC101" s="223"/>
      <c r="NAD101" s="223"/>
      <c r="NAE101" s="223"/>
      <c r="NAF101" s="224"/>
      <c r="NAG101" s="222" t="s">
        <v>47</v>
      </c>
      <c r="NAH101" s="223"/>
      <c r="NAI101" s="223"/>
      <c r="NAJ101" s="223"/>
      <c r="NAK101" s="223"/>
      <c r="NAL101" s="223"/>
      <c r="NAM101" s="223"/>
      <c r="NAN101" s="224"/>
      <c r="NAO101" s="222" t="s">
        <v>47</v>
      </c>
      <c r="NAP101" s="223"/>
      <c r="NAQ101" s="223"/>
      <c r="NAR101" s="223"/>
      <c r="NAS101" s="223"/>
      <c r="NAT101" s="223"/>
      <c r="NAU101" s="223"/>
      <c r="NAV101" s="224"/>
      <c r="NAW101" s="222" t="s">
        <v>47</v>
      </c>
      <c r="NAX101" s="223"/>
      <c r="NAY101" s="223"/>
      <c r="NAZ101" s="223"/>
      <c r="NBA101" s="223"/>
      <c r="NBB101" s="223"/>
      <c r="NBC101" s="223"/>
      <c r="NBD101" s="224"/>
      <c r="NBE101" s="222" t="s">
        <v>47</v>
      </c>
      <c r="NBF101" s="223"/>
      <c r="NBG101" s="223"/>
      <c r="NBH101" s="223"/>
      <c r="NBI101" s="223"/>
      <c r="NBJ101" s="223"/>
      <c r="NBK101" s="223"/>
      <c r="NBL101" s="224"/>
      <c r="NBM101" s="222" t="s">
        <v>47</v>
      </c>
      <c r="NBN101" s="223"/>
      <c r="NBO101" s="223"/>
      <c r="NBP101" s="223"/>
      <c r="NBQ101" s="223"/>
      <c r="NBR101" s="223"/>
      <c r="NBS101" s="223"/>
      <c r="NBT101" s="224"/>
      <c r="NBU101" s="222" t="s">
        <v>47</v>
      </c>
      <c r="NBV101" s="223"/>
      <c r="NBW101" s="223"/>
      <c r="NBX101" s="223"/>
      <c r="NBY101" s="223"/>
      <c r="NBZ101" s="223"/>
      <c r="NCA101" s="223"/>
      <c r="NCB101" s="224"/>
      <c r="NCC101" s="222" t="s">
        <v>47</v>
      </c>
      <c r="NCD101" s="223"/>
      <c r="NCE101" s="223"/>
      <c r="NCF101" s="223"/>
      <c r="NCG101" s="223"/>
      <c r="NCH101" s="223"/>
      <c r="NCI101" s="223"/>
      <c r="NCJ101" s="224"/>
      <c r="NCK101" s="222" t="s">
        <v>47</v>
      </c>
      <c r="NCL101" s="223"/>
      <c r="NCM101" s="223"/>
      <c r="NCN101" s="223"/>
      <c r="NCO101" s="223"/>
      <c r="NCP101" s="223"/>
      <c r="NCQ101" s="223"/>
      <c r="NCR101" s="224"/>
      <c r="NCS101" s="222" t="s">
        <v>47</v>
      </c>
      <c r="NCT101" s="223"/>
      <c r="NCU101" s="223"/>
      <c r="NCV101" s="223"/>
      <c r="NCW101" s="223"/>
      <c r="NCX101" s="223"/>
      <c r="NCY101" s="223"/>
      <c r="NCZ101" s="224"/>
      <c r="NDA101" s="222" t="s">
        <v>47</v>
      </c>
      <c r="NDB101" s="223"/>
      <c r="NDC101" s="223"/>
      <c r="NDD101" s="223"/>
      <c r="NDE101" s="223"/>
      <c r="NDF101" s="223"/>
      <c r="NDG101" s="223"/>
      <c r="NDH101" s="224"/>
      <c r="NDI101" s="222" t="s">
        <v>47</v>
      </c>
      <c r="NDJ101" s="223"/>
      <c r="NDK101" s="223"/>
      <c r="NDL101" s="223"/>
      <c r="NDM101" s="223"/>
      <c r="NDN101" s="223"/>
      <c r="NDO101" s="223"/>
      <c r="NDP101" s="224"/>
      <c r="NDQ101" s="222" t="s">
        <v>47</v>
      </c>
      <c r="NDR101" s="223"/>
      <c r="NDS101" s="223"/>
      <c r="NDT101" s="223"/>
      <c r="NDU101" s="223"/>
      <c r="NDV101" s="223"/>
      <c r="NDW101" s="223"/>
      <c r="NDX101" s="224"/>
      <c r="NDY101" s="222" t="s">
        <v>47</v>
      </c>
      <c r="NDZ101" s="223"/>
      <c r="NEA101" s="223"/>
      <c r="NEB101" s="223"/>
      <c r="NEC101" s="223"/>
      <c r="NED101" s="223"/>
      <c r="NEE101" s="223"/>
      <c r="NEF101" s="224"/>
      <c r="NEG101" s="222" t="s">
        <v>47</v>
      </c>
      <c r="NEH101" s="223"/>
      <c r="NEI101" s="223"/>
      <c r="NEJ101" s="223"/>
      <c r="NEK101" s="223"/>
      <c r="NEL101" s="223"/>
      <c r="NEM101" s="223"/>
      <c r="NEN101" s="224"/>
      <c r="NEO101" s="222" t="s">
        <v>47</v>
      </c>
      <c r="NEP101" s="223"/>
      <c r="NEQ101" s="223"/>
      <c r="NER101" s="223"/>
      <c r="NES101" s="223"/>
      <c r="NET101" s="223"/>
      <c r="NEU101" s="223"/>
      <c r="NEV101" s="224"/>
      <c r="NEW101" s="222" t="s">
        <v>47</v>
      </c>
      <c r="NEX101" s="223"/>
      <c r="NEY101" s="223"/>
      <c r="NEZ101" s="223"/>
      <c r="NFA101" s="223"/>
      <c r="NFB101" s="223"/>
      <c r="NFC101" s="223"/>
      <c r="NFD101" s="224"/>
      <c r="NFE101" s="222" t="s">
        <v>47</v>
      </c>
      <c r="NFF101" s="223"/>
      <c r="NFG101" s="223"/>
      <c r="NFH101" s="223"/>
      <c r="NFI101" s="223"/>
      <c r="NFJ101" s="223"/>
      <c r="NFK101" s="223"/>
      <c r="NFL101" s="224"/>
      <c r="NFM101" s="222" t="s">
        <v>47</v>
      </c>
      <c r="NFN101" s="223"/>
      <c r="NFO101" s="223"/>
      <c r="NFP101" s="223"/>
      <c r="NFQ101" s="223"/>
      <c r="NFR101" s="223"/>
      <c r="NFS101" s="223"/>
      <c r="NFT101" s="224"/>
      <c r="NFU101" s="222" t="s">
        <v>47</v>
      </c>
      <c r="NFV101" s="223"/>
      <c r="NFW101" s="223"/>
      <c r="NFX101" s="223"/>
      <c r="NFY101" s="223"/>
      <c r="NFZ101" s="223"/>
      <c r="NGA101" s="223"/>
      <c r="NGB101" s="224"/>
      <c r="NGC101" s="222" t="s">
        <v>47</v>
      </c>
      <c r="NGD101" s="223"/>
      <c r="NGE101" s="223"/>
      <c r="NGF101" s="223"/>
      <c r="NGG101" s="223"/>
      <c r="NGH101" s="223"/>
      <c r="NGI101" s="223"/>
      <c r="NGJ101" s="224"/>
      <c r="NGK101" s="222" t="s">
        <v>47</v>
      </c>
      <c r="NGL101" s="223"/>
      <c r="NGM101" s="223"/>
      <c r="NGN101" s="223"/>
      <c r="NGO101" s="223"/>
      <c r="NGP101" s="223"/>
      <c r="NGQ101" s="223"/>
      <c r="NGR101" s="224"/>
      <c r="NGS101" s="222" t="s">
        <v>47</v>
      </c>
      <c r="NGT101" s="223"/>
      <c r="NGU101" s="223"/>
      <c r="NGV101" s="223"/>
      <c r="NGW101" s="223"/>
      <c r="NGX101" s="223"/>
      <c r="NGY101" s="223"/>
      <c r="NGZ101" s="224"/>
      <c r="NHA101" s="222" t="s">
        <v>47</v>
      </c>
      <c r="NHB101" s="223"/>
      <c r="NHC101" s="223"/>
      <c r="NHD101" s="223"/>
      <c r="NHE101" s="223"/>
      <c r="NHF101" s="223"/>
      <c r="NHG101" s="223"/>
      <c r="NHH101" s="224"/>
      <c r="NHI101" s="222" t="s">
        <v>47</v>
      </c>
      <c r="NHJ101" s="223"/>
      <c r="NHK101" s="223"/>
      <c r="NHL101" s="223"/>
      <c r="NHM101" s="223"/>
      <c r="NHN101" s="223"/>
      <c r="NHO101" s="223"/>
      <c r="NHP101" s="224"/>
      <c r="NHQ101" s="222" t="s">
        <v>47</v>
      </c>
      <c r="NHR101" s="223"/>
      <c r="NHS101" s="223"/>
      <c r="NHT101" s="223"/>
      <c r="NHU101" s="223"/>
      <c r="NHV101" s="223"/>
      <c r="NHW101" s="223"/>
      <c r="NHX101" s="224"/>
      <c r="NHY101" s="222" t="s">
        <v>47</v>
      </c>
      <c r="NHZ101" s="223"/>
      <c r="NIA101" s="223"/>
      <c r="NIB101" s="223"/>
      <c r="NIC101" s="223"/>
      <c r="NID101" s="223"/>
      <c r="NIE101" s="223"/>
      <c r="NIF101" s="224"/>
      <c r="NIG101" s="222" t="s">
        <v>47</v>
      </c>
      <c r="NIH101" s="223"/>
      <c r="NII101" s="223"/>
      <c r="NIJ101" s="223"/>
      <c r="NIK101" s="223"/>
      <c r="NIL101" s="223"/>
      <c r="NIM101" s="223"/>
      <c r="NIN101" s="224"/>
      <c r="NIO101" s="222" t="s">
        <v>47</v>
      </c>
      <c r="NIP101" s="223"/>
      <c r="NIQ101" s="223"/>
      <c r="NIR101" s="223"/>
      <c r="NIS101" s="223"/>
      <c r="NIT101" s="223"/>
      <c r="NIU101" s="223"/>
      <c r="NIV101" s="224"/>
      <c r="NIW101" s="222" t="s">
        <v>47</v>
      </c>
      <c r="NIX101" s="223"/>
      <c r="NIY101" s="223"/>
      <c r="NIZ101" s="223"/>
      <c r="NJA101" s="223"/>
      <c r="NJB101" s="223"/>
      <c r="NJC101" s="223"/>
      <c r="NJD101" s="224"/>
      <c r="NJE101" s="222" t="s">
        <v>47</v>
      </c>
      <c r="NJF101" s="223"/>
      <c r="NJG101" s="223"/>
      <c r="NJH101" s="223"/>
      <c r="NJI101" s="223"/>
      <c r="NJJ101" s="223"/>
      <c r="NJK101" s="223"/>
      <c r="NJL101" s="224"/>
      <c r="NJM101" s="222" t="s">
        <v>47</v>
      </c>
      <c r="NJN101" s="223"/>
      <c r="NJO101" s="223"/>
      <c r="NJP101" s="223"/>
      <c r="NJQ101" s="223"/>
      <c r="NJR101" s="223"/>
      <c r="NJS101" s="223"/>
      <c r="NJT101" s="224"/>
      <c r="NJU101" s="222" t="s">
        <v>47</v>
      </c>
      <c r="NJV101" s="223"/>
      <c r="NJW101" s="223"/>
      <c r="NJX101" s="223"/>
      <c r="NJY101" s="223"/>
      <c r="NJZ101" s="223"/>
      <c r="NKA101" s="223"/>
      <c r="NKB101" s="224"/>
      <c r="NKC101" s="222" t="s">
        <v>47</v>
      </c>
      <c r="NKD101" s="223"/>
      <c r="NKE101" s="223"/>
      <c r="NKF101" s="223"/>
      <c r="NKG101" s="223"/>
      <c r="NKH101" s="223"/>
      <c r="NKI101" s="223"/>
      <c r="NKJ101" s="224"/>
      <c r="NKK101" s="222" t="s">
        <v>47</v>
      </c>
      <c r="NKL101" s="223"/>
      <c r="NKM101" s="223"/>
      <c r="NKN101" s="223"/>
      <c r="NKO101" s="223"/>
      <c r="NKP101" s="223"/>
      <c r="NKQ101" s="223"/>
      <c r="NKR101" s="224"/>
      <c r="NKS101" s="222" t="s">
        <v>47</v>
      </c>
      <c r="NKT101" s="223"/>
      <c r="NKU101" s="223"/>
      <c r="NKV101" s="223"/>
      <c r="NKW101" s="223"/>
      <c r="NKX101" s="223"/>
      <c r="NKY101" s="223"/>
      <c r="NKZ101" s="224"/>
      <c r="NLA101" s="222" t="s">
        <v>47</v>
      </c>
      <c r="NLB101" s="223"/>
      <c r="NLC101" s="223"/>
      <c r="NLD101" s="223"/>
      <c r="NLE101" s="223"/>
      <c r="NLF101" s="223"/>
      <c r="NLG101" s="223"/>
      <c r="NLH101" s="224"/>
      <c r="NLI101" s="222" t="s">
        <v>47</v>
      </c>
      <c r="NLJ101" s="223"/>
      <c r="NLK101" s="223"/>
      <c r="NLL101" s="223"/>
      <c r="NLM101" s="223"/>
      <c r="NLN101" s="223"/>
      <c r="NLO101" s="223"/>
      <c r="NLP101" s="224"/>
      <c r="NLQ101" s="222" t="s">
        <v>47</v>
      </c>
      <c r="NLR101" s="223"/>
      <c r="NLS101" s="223"/>
      <c r="NLT101" s="223"/>
      <c r="NLU101" s="223"/>
      <c r="NLV101" s="223"/>
      <c r="NLW101" s="223"/>
      <c r="NLX101" s="224"/>
      <c r="NLY101" s="222" t="s">
        <v>47</v>
      </c>
      <c r="NLZ101" s="223"/>
      <c r="NMA101" s="223"/>
      <c r="NMB101" s="223"/>
      <c r="NMC101" s="223"/>
      <c r="NMD101" s="223"/>
      <c r="NME101" s="223"/>
      <c r="NMF101" s="224"/>
      <c r="NMG101" s="222" t="s">
        <v>47</v>
      </c>
      <c r="NMH101" s="223"/>
      <c r="NMI101" s="223"/>
      <c r="NMJ101" s="223"/>
      <c r="NMK101" s="223"/>
      <c r="NML101" s="223"/>
      <c r="NMM101" s="223"/>
      <c r="NMN101" s="224"/>
      <c r="NMO101" s="222" t="s">
        <v>47</v>
      </c>
      <c r="NMP101" s="223"/>
      <c r="NMQ101" s="223"/>
      <c r="NMR101" s="223"/>
      <c r="NMS101" s="223"/>
      <c r="NMT101" s="223"/>
      <c r="NMU101" s="223"/>
      <c r="NMV101" s="224"/>
      <c r="NMW101" s="222" t="s">
        <v>47</v>
      </c>
      <c r="NMX101" s="223"/>
      <c r="NMY101" s="223"/>
      <c r="NMZ101" s="223"/>
      <c r="NNA101" s="223"/>
      <c r="NNB101" s="223"/>
      <c r="NNC101" s="223"/>
      <c r="NND101" s="224"/>
      <c r="NNE101" s="222" t="s">
        <v>47</v>
      </c>
      <c r="NNF101" s="223"/>
      <c r="NNG101" s="223"/>
      <c r="NNH101" s="223"/>
      <c r="NNI101" s="223"/>
      <c r="NNJ101" s="223"/>
      <c r="NNK101" s="223"/>
      <c r="NNL101" s="224"/>
      <c r="NNM101" s="222" t="s">
        <v>47</v>
      </c>
      <c r="NNN101" s="223"/>
      <c r="NNO101" s="223"/>
      <c r="NNP101" s="223"/>
      <c r="NNQ101" s="223"/>
      <c r="NNR101" s="223"/>
      <c r="NNS101" s="223"/>
      <c r="NNT101" s="224"/>
      <c r="NNU101" s="222" t="s">
        <v>47</v>
      </c>
      <c r="NNV101" s="223"/>
      <c r="NNW101" s="223"/>
      <c r="NNX101" s="223"/>
      <c r="NNY101" s="223"/>
      <c r="NNZ101" s="223"/>
      <c r="NOA101" s="223"/>
      <c r="NOB101" s="224"/>
      <c r="NOC101" s="222" t="s">
        <v>47</v>
      </c>
      <c r="NOD101" s="223"/>
      <c r="NOE101" s="223"/>
      <c r="NOF101" s="223"/>
      <c r="NOG101" s="223"/>
      <c r="NOH101" s="223"/>
      <c r="NOI101" s="223"/>
      <c r="NOJ101" s="224"/>
      <c r="NOK101" s="222" t="s">
        <v>47</v>
      </c>
      <c r="NOL101" s="223"/>
      <c r="NOM101" s="223"/>
      <c r="NON101" s="223"/>
      <c r="NOO101" s="223"/>
      <c r="NOP101" s="223"/>
      <c r="NOQ101" s="223"/>
      <c r="NOR101" s="224"/>
      <c r="NOS101" s="222" t="s">
        <v>47</v>
      </c>
      <c r="NOT101" s="223"/>
      <c r="NOU101" s="223"/>
      <c r="NOV101" s="223"/>
      <c r="NOW101" s="223"/>
      <c r="NOX101" s="223"/>
      <c r="NOY101" s="223"/>
      <c r="NOZ101" s="224"/>
      <c r="NPA101" s="222" t="s">
        <v>47</v>
      </c>
      <c r="NPB101" s="223"/>
      <c r="NPC101" s="223"/>
      <c r="NPD101" s="223"/>
      <c r="NPE101" s="223"/>
      <c r="NPF101" s="223"/>
      <c r="NPG101" s="223"/>
      <c r="NPH101" s="224"/>
      <c r="NPI101" s="222" t="s">
        <v>47</v>
      </c>
      <c r="NPJ101" s="223"/>
      <c r="NPK101" s="223"/>
      <c r="NPL101" s="223"/>
      <c r="NPM101" s="223"/>
      <c r="NPN101" s="223"/>
      <c r="NPO101" s="223"/>
      <c r="NPP101" s="224"/>
      <c r="NPQ101" s="222" t="s">
        <v>47</v>
      </c>
      <c r="NPR101" s="223"/>
      <c r="NPS101" s="223"/>
      <c r="NPT101" s="223"/>
      <c r="NPU101" s="223"/>
      <c r="NPV101" s="223"/>
      <c r="NPW101" s="223"/>
      <c r="NPX101" s="224"/>
      <c r="NPY101" s="222" t="s">
        <v>47</v>
      </c>
      <c r="NPZ101" s="223"/>
      <c r="NQA101" s="223"/>
      <c r="NQB101" s="223"/>
      <c r="NQC101" s="223"/>
      <c r="NQD101" s="223"/>
      <c r="NQE101" s="223"/>
      <c r="NQF101" s="224"/>
      <c r="NQG101" s="222" t="s">
        <v>47</v>
      </c>
      <c r="NQH101" s="223"/>
      <c r="NQI101" s="223"/>
      <c r="NQJ101" s="223"/>
      <c r="NQK101" s="223"/>
      <c r="NQL101" s="223"/>
      <c r="NQM101" s="223"/>
      <c r="NQN101" s="224"/>
      <c r="NQO101" s="222" t="s">
        <v>47</v>
      </c>
      <c r="NQP101" s="223"/>
      <c r="NQQ101" s="223"/>
      <c r="NQR101" s="223"/>
      <c r="NQS101" s="223"/>
      <c r="NQT101" s="223"/>
      <c r="NQU101" s="223"/>
      <c r="NQV101" s="224"/>
      <c r="NQW101" s="222" t="s">
        <v>47</v>
      </c>
      <c r="NQX101" s="223"/>
      <c r="NQY101" s="223"/>
      <c r="NQZ101" s="223"/>
      <c r="NRA101" s="223"/>
      <c r="NRB101" s="223"/>
      <c r="NRC101" s="223"/>
      <c r="NRD101" s="224"/>
      <c r="NRE101" s="222" t="s">
        <v>47</v>
      </c>
      <c r="NRF101" s="223"/>
      <c r="NRG101" s="223"/>
      <c r="NRH101" s="223"/>
      <c r="NRI101" s="223"/>
      <c r="NRJ101" s="223"/>
      <c r="NRK101" s="223"/>
      <c r="NRL101" s="224"/>
      <c r="NRM101" s="222" t="s">
        <v>47</v>
      </c>
      <c r="NRN101" s="223"/>
      <c r="NRO101" s="223"/>
      <c r="NRP101" s="223"/>
      <c r="NRQ101" s="223"/>
      <c r="NRR101" s="223"/>
      <c r="NRS101" s="223"/>
      <c r="NRT101" s="224"/>
      <c r="NRU101" s="222" t="s">
        <v>47</v>
      </c>
      <c r="NRV101" s="223"/>
      <c r="NRW101" s="223"/>
      <c r="NRX101" s="223"/>
      <c r="NRY101" s="223"/>
      <c r="NRZ101" s="223"/>
      <c r="NSA101" s="223"/>
      <c r="NSB101" s="224"/>
      <c r="NSC101" s="222" t="s">
        <v>47</v>
      </c>
      <c r="NSD101" s="223"/>
      <c r="NSE101" s="223"/>
      <c r="NSF101" s="223"/>
      <c r="NSG101" s="223"/>
      <c r="NSH101" s="223"/>
      <c r="NSI101" s="223"/>
      <c r="NSJ101" s="224"/>
      <c r="NSK101" s="222" t="s">
        <v>47</v>
      </c>
      <c r="NSL101" s="223"/>
      <c r="NSM101" s="223"/>
      <c r="NSN101" s="223"/>
      <c r="NSO101" s="223"/>
      <c r="NSP101" s="223"/>
      <c r="NSQ101" s="223"/>
      <c r="NSR101" s="224"/>
      <c r="NSS101" s="222" t="s">
        <v>47</v>
      </c>
      <c r="NST101" s="223"/>
      <c r="NSU101" s="223"/>
      <c r="NSV101" s="223"/>
      <c r="NSW101" s="223"/>
      <c r="NSX101" s="223"/>
      <c r="NSY101" s="223"/>
      <c r="NSZ101" s="224"/>
      <c r="NTA101" s="222" t="s">
        <v>47</v>
      </c>
      <c r="NTB101" s="223"/>
      <c r="NTC101" s="223"/>
      <c r="NTD101" s="223"/>
      <c r="NTE101" s="223"/>
      <c r="NTF101" s="223"/>
      <c r="NTG101" s="223"/>
      <c r="NTH101" s="224"/>
      <c r="NTI101" s="222" t="s">
        <v>47</v>
      </c>
      <c r="NTJ101" s="223"/>
      <c r="NTK101" s="223"/>
      <c r="NTL101" s="223"/>
      <c r="NTM101" s="223"/>
      <c r="NTN101" s="223"/>
      <c r="NTO101" s="223"/>
      <c r="NTP101" s="224"/>
      <c r="NTQ101" s="222" t="s">
        <v>47</v>
      </c>
      <c r="NTR101" s="223"/>
      <c r="NTS101" s="223"/>
      <c r="NTT101" s="223"/>
      <c r="NTU101" s="223"/>
      <c r="NTV101" s="223"/>
      <c r="NTW101" s="223"/>
      <c r="NTX101" s="224"/>
      <c r="NTY101" s="222" t="s">
        <v>47</v>
      </c>
      <c r="NTZ101" s="223"/>
      <c r="NUA101" s="223"/>
      <c r="NUB101" s="223"/>
      <c r="NUC101" s="223"/>
      <c r="NUD101" s="223"/>
      <c r="NUE101" s="223"/>
      <c r="NUF101" s="224"/>
      <c r="NUG101" s="222" t="s">
        <v>47</v>
      </c>
      <c r="NUH101" s="223"/>
      <c r="NUI101" s="223"/>
      <c r="NUJ101" s="223"/>
      <c r="NUK101" s="223"/>
      <c r="NUL101" s="223"/>
      <c r="NUM101" s="223"/>
      <c r="NUN101" s="224"/>
      <c r="NUO101" s="222" t="s">
        <v>47</v>
      </c>
      <c r="NUP101" s="223"/>
      <c r="NUQ101" s="223"/>
      <c r="NUR101" s="223"/>
      <c r="NUS101" s="223"/>
      <c r="NUT101" s="223"/>
      <c r="NUU101" s="223"/>
      <c r="NUV101" s="224"/>
      <c r="NUW101" s="222" t="s">
        <v>47</v>
      </c>
      <c r="NUX101" s="223"/>
      <c r="NUY101" s="223"/>
      <c r="NUZ101" s="223"/>
      <c r="NVA101" s="223"/>
      <c r="NVB101" s="223"/>
      <c r="NVC101" s="223"/>
      <c r="NVD101" s="224"/>
      <c r="NVE101" s="222" t="s">
        <v>47</v>
      </c>
      <c r="NVF101" s="223"/>
      <c r="NVG101" s="223"/>
      <c r="NVH101" s="223"/>
      <c r="NVI101" s="223"/>
      <c r="NVJ101" s="223"/>
      <c r="NVK101" s="223"/>
      <c r="NVL101" s="224"/>
      <c r="NVM101" s="222" t="s">
        <v>47</v>
      </c>
      <c r="NVN101" s="223"/>
      <c r="NVO101" s="223"/>
      <c r="NVP101" s="223"/>
      <c r="NVQ101" s="223"/>
      <c r="NVR101" s="223"/>
      <c r="NVS101" s="223"/>
      <c r="NVT101" s="224"/>
      <c r="NVU101" s="222" t="s">
        <v>47</v>
      </c>
      <c r="NVV101" s="223"/>
      <c r="NVW101" s="223"/>
      <c r="NVX101" s="223"/>
      <c r="NVY101" s="223"/>
      <c r="NVZ101" s="223"/>
      <c r="NWA101" s="223"/>
      <c r="NWB101" s="224"/>
      <c r="NWC101" s="222" t="s">
        <v>47</v>
      </c>
      <c r="NWD101" s="223"/>
      <c r="NWE101" s="223"/>
      <c r="NWF101" s="223"/>
      <c r="NWG101" s="223"/>
      <c r="NWH101" s="223"/>
      <c r="NWI101" s="223"/>
      <c r="NWJ101" s="224"/>
      <c r="NWK101" s="222" t="s">
        <v>47</v>
      </c>
      <c r="NWL101" s="223"/>
      <c r="NWM101" s="223"/>
      <c r="NWN101" s="223"/>
      <c r="NWO101" s="223"/>
      <c r="NWP101" s="223"/>
      <c r="NWQ101" s="223"/>
      <c r="NWR101" s="224"/>
      <c r="NWS101" s="222" t="s">
        <v>47</v>
      </c>
      <c r="NWT101" s="223"/>
      <c r="NWU101" s="223"/>
      <c r="NWV101" s="223"/>
      <c r="NWW101" s="223"/>
      <c r="NWX101" s="223"/>
      <c r="NWY101" s="223"/>
      <c r="NWZ101" s="224"/>
      <c r="NXA101" s="222" t="s">
        <v>47</v>
      </c>
      <c r="NXB101" s="223"/>
      <c r="NXC101" s="223"/>
      <c r="NXD101" s="223"/>
      <c r="NXE101" s="223"/>
      <c r="NXF101" s="223"/>
      <c r="NXG101" s="223"/>
      <c r="NXH101" s="224"/>
      <c r="NXI101" s="222" t="s">
        <v>47</v>
      </c>
      <c r="NXJ101" s="223"/>
      <c r="NXK101" s="223"/>
      <c r="NXL101" s="223"/>
      <c r="NXM101" s="223"/>
      <c r="NXN101" s="223"/>
      <c r="NXO101" s="223"/>
      <c r="NXP101" s="224"/>
      <c r="NXQ101" s="222" t="s">
        <v>47</v>
      </c>
      <c r="NXR101" s="223"/>
      <c r="NXS101" s="223"/>
      <c r="NXT101" s="223"/>
      <c r="NXU101" s="223"/>
      <c r="NXV101" s="223"/>
      <c r="NXW101" s="223"/>
      <c r="NXX101" s="224"/>
      <c r="NXY101" s="222" t="s">
        <v>47</v>
      </c>
      <c r="NXZ101" s="223"/>
      <c r="NYA101" s="223"/>
      <c r="NYB101" s="223"/>
      <c r="NYC101" s="223"/>
      <c r="NYD101" s="223"/>
      <c r="NYE101" s="223"/>
      <c r="NYF101" s="224"/>
      <c r="NYG101" s="222" t="s">
        <v>47</v>
      </c>
      <c r="NYH101" s="223"/>
      <c r="NYI101" s="223"/>
      <c r="NYJ101" s="223"/>
      <c r="NYK101" s="223"/>
      <c r="NYL101" s="223"/>
      <c r="NYM101" s="223"/>
      <c r="NYN101" s="224"/>
      <c r="NYO101" s="222" t="s">
        <v>47</v>
      </c>
      <c r="NYP101" s="223"/>
      <c r="NYQ101" s="223"/>
      <c r="NYR101" s="223"/>
      <c r="NYS101" s="223"/>
      <c r="NYT101" s="223"/>
      <c r="NYU101" s="223"/>
      <c r="NYV101" s="224"/>
      <c r="NYW101" s="222" t="s">
        <v>47</v>
      </c>
      <c r="NYX101" s="223"/>
      <c r="NYY101" s="223"/>
      <c r="NYZ101" s="223"/>
      <c r="NZA101" s="223"/>
      <c r="NZB101" s="223"/>
      <c r="NZC101" s="223"/>
      <c r="NZD101" s="224"/>
      <c r="NZE101" s="222" t="s">
        <v>47</v>
      </c>
      <c r="NZF101" s="223"/>
      <c r="NZG101" s="223"/>
      <c r="NZH101" s="223"/>
      <c r="NZI101" s="223"/>
      <c r="NZJ101" s="223"/>
      <c r="NZK101" s="223"/>
      <c r="NZL101" s="224"/>
      <c r="NZM101" s="222" t="s">
        <v>47</v>
      </c>
      <c r="NZN101" s="223"/>
      <c r="NZO101" s="223"/>
      <c r="NZP101" s="223"/>
      <c r="NZQ101" s="223"/>
      <c r="NZR101" s="223"/>
      <c r="NZS101" s="223"/>
      <c r="NZT101" s="224"/>
      <c r="NZU101" s="222" t="s">
        <v>47</v>
      </c>
      <c r="NZV101" s="223"/>
      <c r="NZW101" s="223"/>
      <c r="NZX101" s="223"/>
      <c r="NZY101" s="223"/>
      <c r="NZZ101" s="223"/>
      <c r="OAA101" s="223"/>
      <c r="OAB101" s="224"/>
      <c r="OAC101" s="222" t="s">
        <v>47</v>
      </c>
      <c r="OAD101" s="223"/>
      <c r="OAE101" s="223"/>
      <c r="OAF101" s="223"/>
      <c r="OAG101" s="223"/>
      <c r="OAH101" s="223"/>
      <c r="OAI101" s="223"/>
      <c r="OAJ101" s="224"/>
      <c r="OAK101" s="222" t="s">
        <v>47</v>
      </c>
      <c r="OAL101" s="223"/>
      <c r="OAM101" s="223"/>
      <c r="OAN101" s="223"/>
      <c r="OAO101" s="223"/>
      <c r="OAP101" s="223"/>
      <c r="OAQ101" s="223"/>
      <c r="OAR101" s="224"/>
      <c r="OAS101" s="222" t="s">
        <v>47</v>
      </c>
      <c r="OAT101" s="223"/>
      <c r="OAU101" s="223"/>
      <c r="OAV101" s="223"/>
      <c r="OAW101" s="223"/>
      <c r="OAX101" s="223"/>
      <c r="OAY101" s="223"/>
      <c r="OAZ101" s="224"/>
      <c r="OBA101" s="222" t="s">
        <v>47</v>
      </c>
      <c r="OBB101" s="223"/>
      <c r="OBC101" s="223"/>
      <c r="OBD101" s="223"/>
      <c r="OBE101" s="223"/>
      <c r="OBF101" s="223"/>
      <c r="OBG101" s="223"/>
      <c r="OBH101" s="224"/>
      <c r="OBI101" s="222" t="s">
        <v>47</v>
      </c>
      <c r="OBJ101" s="223"/>
      <c r="OBK101" s="223"/>
      <c r="OBL101" s="223"/>
      <c r="OBM101" s="223"/>
      <c r="OBN101" s="223"/>
      <c r="OBO101" s="223"/>
      <c r="OBP101" s="224"/>
      <c r="OBQ101" s="222" t="s">
        <v>47</v>
      </c>
      <c r="OBR101" s="223"/>
      <c r="OBS101" s="223"/>
      <c r="OBT101" s="223"/>
      <c r="OBU101" s="223"/>
      <c r="OBV101" s="223"/>
      <c r="OBW101" s="223"/>
      <c r="OBX101" s="224"/>
      <c r="OBY101" s="222" t="s">
        <v>47</v>
      </c>
      <c r="OBZ101" s="223"/>
      <c r="OCA101" s="223"/>
      <c r="OCB101" s="223"/>
      <c r="OCC101" s="223"/>
      <c r="OCD101" s="223"/>
      <c r="OCE101" s="223"/>
      <c r="OCF101" s="224"/>
      <c r="OCG101" s="222" t="s">
        <v>47</v>
      </c>
      <c r="OCH101" s="223"/>
      <c r="OCI101" s="223"/>
      <c r="OCJ101" s="223"/>
      <c r="OCK101" s="223"/>
      <c r="OCL101" s="223"/>
      <c r="OCM101" s="223"/>
      <c r="OCN101" s="224"/>
      <c r="OCO101" s="222" t="s">
        <v>47</v>
      </c>
      <c r="OCP101" s="223"/>
      <c r="OCQ101" s="223"/>
      <c r="OCR101" s="223"/>
      <c r="OCS101" s="223"/>
      <c r="OCT101" s="223"/>
      <c r="OCU101" s="223"/>
      <c r="OCV101" s="224"/>
      <c r="OCW101" s="222" t="s">
        <v>47</v>
      </c>
      <c r="OCX101" s="223"/>
      <c r="OCY101" s="223"/>
      <c r="OCZ101" s="223"/>
      <c r="ODA101" s="223"/>
      <c r="ODB101" s="223"/>
      <c r="ODC101" s="223"/>
      <c r="ODD101" s="224"/>
      <c r="ODE101" s="222" t="s">
        <v>47</v>
      </c>
      <c r="ODF101" s="223"/>
      <c r="ODG101" s="223"/>
      <c r="ODH101" s="223"/>
      <c r="ODI101" s="223"/>
      <c r="ODJ101" s="223"/>
      <c r="ODK101" s="223"/>
      <c r="ODL101" s="224"/>
      <c r="ODM101" s="222" t="s">
        <v>47</v>
      </c>
      <c r="ODN101" s="223"/>
      <c r="ODO101" s="223"/>
      <c r="ODP101" s="223"/>
      <c r="ODQ101" s="223"/>
      <c r="ODR101" s="223"/>
      <c r="ODS101" s="223"/>
      <c r="ODT101" s="224"/>
      <c r="ODU101" s="222" t="s">
        <v>47</v>
      </c>
      <c r="ODV101" s="223"/>
      <c r="ODW101" s="223"/>
      <c r="ODX101" s="223"/>
      <c r="ODY101" s="223"/>
      <c r="ODZ101" s="223"/>
      <c r="OEA101" s="223"/>
      <c r="OEB101" s="224"/>
      <c r="OEC101" s="222" t="s">
        <v>47</v>
      </c>
      <c r="OED101" s="223"/>
      <c r="OEE101" s="223"/>
      <c r="OEF101" s="223"/>
      <c r="OEG101" s="223"/>
      <c r="OEH101" s="223"/>
      <c r="OEI101" s="223"/>
      <c r="OEJ101" s="224"/>
      <c r="OEK101" s="222" t="s">
        <v>47</v>
      </c>
      <c r="OEL101" s="223"/>
      <c r="OEM101" s="223"/>
      <c r="OEN101" s="223"/>
      <c r="OEO101" s="223"/>
      <c r="OEP101" s="223"/>
      <c r="OEQ101" s="223"/>
      <c r="OER101" s="224"/>
      <c r="OES101" s="222" t="s">
        <v>47</v>
      </c>
      <c r="OET101" s="223"/>
      <c r="OEU101" s="223"/>
      <c r="OEV101" s="223"/>
      <c r="OEW101" s="223"/>
      <c r="OEX101" s="223"/>
      <c r="OEY101" s="223"/>
      <c r="OEZ101" s="224"/>
      <c r="OFA101" s="222" t="s">
        <v>47</v>
      </c>
      <c r="OFB101" s="223"/>
      <c r="OFC101" s="223"/>
      <c r="OFD101" s="223"/>
      <c r="OFE101" s="223"/>
      <c r="OFF101" s="223"/>
      <c r="OFG101" s="223"/>
      <c r="OFH101" s="224"/>
      <c r="OFI101" s="222" t="s">
        <v>47</v>
      </c>
      <c r="OFJ101" s="223"/>
      <c r="OFK101" s="223"/>
      <c r="OFL101" s="223"/>
      <c r="OFM101" s="223"/>
      <c r="OFN101" s="223"/>
      <c r="OFO101" s="223"/>
      <c r="OFP101" s="224"/>
      <c r="OFQ101" s="222" t="s">
        <v>47</v>
      </c>
      <c r="OFR101" s="223"/>
      <c r="OFS101" s="223"/>
      <c r="OFT101" s="223"/>
      <c r="OFU101" s="223"/>
      <c r="OFV101" s="223"/>
      <c r="OFW101" s="223"/>
      <c r="OFX101" s="224"/>
      <c r="OFY101" s="222" t="s">
        <v>47</v>
      </c>
      <c r="OFZ101" s="223"/>
      <c r="OGA101" s="223"/>
      <c r="OGB101" s="223"/>
      <c r="OGC101" s="223"/>
      <c r="OGD101" s="223"/>
      <c r="OGE101" s="223"/>
      <c r="OGF101" s="224"/>
      <c r="OGG101" s="222" t="s">
        <v>47</v>
      </c>
      <c r="OGH101" s="223"/>
      <c r="OGI101" s="223"/>
      <c r="OGJ101" s="223"/>
      <c r="OGK101" s="223"/>
      <c r="OGL101" s="223"/>
      <c r="OGM101" s="223"/>
      <c r="OGN101" s="224"/>
      <c r="OGO101" s="222" t="s">
        <v>47</v>
      </c>
      <c r="OGP101" s="223"/>
      <c r="OGQ101" s="223"/>
      <c r="OGR101" s="223"/>
      <c r="OGS101" s="223"/>
      <c r="OGT101" s="223"/>
      <c r="OGU101" s="223"/>
      <c r="OGV101" s="224"/>
      <c r="OGW101" s="222" t="s">
        <v>47</v>
      </c>
      <c r="OGX101" s="223"/>
      <c r="OGY101" s="223"/>
      <c r="OGZ101" s="223"/>
      <c r="OHA101" s="223"/>
      <c r="OHB101" s="223"/>
      <c r="OHC101" s="223"/>
      <c r="OHD101" s="224"/>
      <c r="OHE101" s="222" t="s">
        <v>47</v>
      </c>
      <c r="OHF101" s="223"/>
      <c r="OHG101" s="223"/>
      <c r="OHH101" s="223"/>
      <c r="OHI101" s="223"/>
      <c r="OHJ101" s="223"/>
      <c r="OHK101" s="223"/>
      <c r="OHL101" s="224"/>
      <c r="OHM101" s="222" t="s">
        <v>47</v>
      </c>
      <c r="OHN101" s="223"/>
      <c r="OHO101" s="223"/>
      <c r="OHP101" s="223"/>
      <c r="OHQ101" s="223"/>
      <c r="OHR101" s="223"/>
      <c r="OHS101" s="223"/>
      <c r="OHT101" s="224"/>
      <c r="OHU101" s="222" t="s">
        <v>47</v>
      </c>
      <c r="OHV101" s="223"/>
      <c r="OHW101" s="223"/>
      <c r="OHX101" s="223"/>
      <c r="OHY101" s="223"/>
      <c r="OHZ101" s="223"/>
      <c r="OIA101" s="223"/>
      <c r="OIB101" s="224"/>
      <c r="OIC101" s="222" t="s">
        <v>47</v>
      </c>
      <c r="OID101" s="223"/>
      <c r="OIE101" s="223"/>
      <c r="OIF101" s="223"/>
      <c r="OIG101" s="223"/>
      <c r="OIH101" s="223"/>
      <c r="OII101" s="223"/>
      <c r="OIJ101" s="224"/>
      <c r="OIK101" s="222" t="s">
        <v>47</v>
      </c>
      <c r="OIL101" s="223"/>
      <c r="OIM101" s="223"/>
      <c r="OIN101" s="223"/>
      <c r="OIO101" s="223"/>
      <c r="OIP101" s="223"/>
      <c r="OIQ101" s="223"/>
      <c r="OIR101" s="224"/>
      <c r="OIS101" s="222" t="s">
        <v>47</v>
      </c>
      <c r="OIT101" s="223"/>
      <c r="OIU101" s="223"/>
      <c r="OIV101" s="223"/>
      <c r="OIW101" s="223"/>
      <c r="OIX101" s="223"/>
      <c r="OIY101" s="223"/>
      <c r="OIZ101" s="224"/>
      <c r="OJA101" s="222" t="s">
        <v>47</v>
      </c>
      <c r="OJB101" s="223"/>
      <c r="OJC101" s="223"/>
      <c r="OJD101" s="223"/>
      <c r="OJE101" s="223"/>
      <c r="OJF101" s="223"/>
      <c r="OJG101" s="223"/>
      <c r="OJH101" s="224"/>
      <c r="OJI101" s="222" t="s">
        <v>47</v>
      </c>
      <c r="OJJ101" s="223"/>
      <c r="OJK101" s="223"/>
      <c r="OJL101" s="223"/>
      <c r="OJM101" s="223"/>
      <c r="OJN101" s="223"/>
      <c r="OJO101" s="223"/>
      <c r="OJP101" s="224"/>
      <c r="OJQ101" s="222" t="s">
        <v>47</v>
      </c>
      <c r="OJR101" s="223"/>
      <c r="OJS101" s="223"/>
      <c r="OJT101" s="223"/>
      <c r="OJU101" s="223"/>
      <c r="OJV101" s="223"/>
      <c r="OJW101" s="223"/>
      <c r="OJX101" s="224"/>
      <c r="OJY101" s="222" t="s">
        <v>47</v>
      </c>
      <c r="OJZ101" s="223"/>
      <c r="OKA101" s="223"/>
      <c r="OKB101" s="223"/>
      <c r="OKC101" s="223"/>
      <c r="OKD101" s="223"/>
      <c r="OKE101" s="223"/>
      <c r="OKF101" s="224"/>
      <c r="OKG101" s="222" t="s">
        <v>47</v>
      </c>
      <c r="OKH101" s="223"/>
      <c r="OKI101" s="223"/>
      <c r="OKJ101" s="223"/>
      <c r="OKK101" s="223"/>
      <c r="OKL101" s="223"/>
      <c r="OKM101" s="223"/>
      <c r="OKN101" s="224"/>
      <c r="OKO101" s="222" t="s">
        <v>47</v>
      </c>
      <c r="OKP101" s="223"/>
      <c r="OKQ101" s="223"/>
      <c r="OKR101" s="223"/>
      <c r="OKS101" s="223"/>
      <c r="OKT101" s="223"/>
      <c r="OKU101" s="223"/>
      <c r="OKV101" s="224"/>
      <c r="OKW101" s="222" t="s">
        <v>47</v>
      </c>
      <c r="OKX101" s="223"/>
      <c r="OKY101" s="223"/>
      <c r="OKZ101" s="223"/>
      <c r="OLA101" s="223"/>
      <c r="OLB101" s="223"/>
      <c r="OLC101" s="223"/>
      <c r="OLD101" s="224"/>
      <c r="OLE101" s="222" t="s">
        <v>47</v>
      </c>
      <c r="OLF101" s="223"/>
      <c r="OLG101" s="223"/>
      <c r="OLH101" s="223"/>
      <c r="OLI101" s="223"/>
      <c r="OLJ101" s="223"/>
      <c r="OLK101" s="223"/>
      <c r="OLL101" s="224"/>
      <c r="OLM101" s="222" t="s">
        <v>47</v>
      </c>
      <c r="OLN101" s="223"/>
      <c r="OLO101" s="223"/>
      <c r="OLP101" s="223"/>
      <c r="OLQ101" s="223"/>
      <c r="OLR101" s="223"/>
      <c r="OLS101" s="223"/>
      <c r="OLT101" s="224"/>
      <c r="OLU101" s="222" t="s">
        <v>47</v>
      </c>
      <c r="OLV101" s="223"/>
      <c r="OLW101" s="223"/>
      <c r="OLX101" s="223"/>
      <c r="OLY101" s="223"/>
      <c r="OLZ101" s="223"/>
      <c r="OMA101" s="223"/>
      <c r="OMB101" s="224"/>
      <c r="OMC101" s="222" t="s">
        <v>47</v>
      </c>
      <c r="OMD101" s="223"/>
      <c r="OME101" s="223"/>
      <c r="OMF101" s="223"/>
      <c r="OMG101" s="223"/>
      <c r="OMH101" s="223"/>
      <c r="OMI101" s="223"/>
      <c r="OMJ101" s="224"/>
      <c r="OMK101" s="222" t="s">
        <v>47</v>
      </c>
      <c r="OML101" s="223"/>
      <c r="OMM101" s="223"/>
      <c r="OMN101" s="223"/>
      <c r="OMO101" s="223"/>
      <c r="OMP101" s="223"/>
      <c r="OMQ101" s="223"/>
      <c r="OMR101" s="224"/>
      <c r="OMS101" s="222" t="s">
        <v>47</v>
      </c>
      <c r="OMT101" s="223"/>
      <c r="OMU101" s="223"/>
      <c r="OMV101" s="223"/>
      <c r="OMW101" s="223"/>
      <c r="OMX101" s="223"/>
      <c r="OMY101" s="223"/>
      <c r="OMZ101" s="224"/>
      <c r="ONA101" s="222" t="s">
        <v>47</v>
      </c>
      <c r="ONB101" s="223"/>
      <c r="ONC101" s="223"/>
      <c r="OND101" s="223"/>
      <c r="ONE101" s="223"/>
      <c r="ONF101" s="223"/>
      <c r="ONG101" s="223"/>
      <c r="ONH101" s="224"/>
      <c r="ONI101" s="222" t="s">
        <v>47</v>
      </c>
      <c r="ONJ101" s="223"/>
      <c r="ONK101" s="223"/>
      <c r="ONL101" s="223"/>
      <c r="ONM101" s="223"/>
      <c r="ONN101" s="223"/>
      <c r="ONO101" s="223"/>
      <c r="ONP101" s="224"/>
      <c r="ONQ101" s="222" t="s">
        <v>47</v>
      </c>
      <c r="ONR101" s="223"/>
      <c r="ONS101" s="223"/>
      <c r="ONT101" s="223"/>
      <c r="ONU101" s="223"/>
      <c r="ONV101" s="223"/>
      <c r="ONW101" s="223"/>
      <c r="ONX101" s="224"/>
      <c r="ONY101" s="222" t="s">
        <v>47</v>
      </c>
      <c r="ONZ101" s="223"/>
      <c r="OOA101" s="223"/>
      <c r="OOB101" s="223"/>
      <c r="OOC101" s="223"/>
      <c r="OOD101" s="223"/>
      <c r="OOE101" s="223"/>
      <c r="OOF101" s="224"/>
      <c r="OOG101" s="222" t="s">
        <v>47</v>
      </c>
      <c r="OOH101" s="223"/>
      <c r="OOI101" s="223"/>
      <c r="OOJ101" s="223"/>
      <c r="OOK101" s="223"/>
      <c r="OOL101" s="223"/>
      <c r="OOM101" s="223"/>
      <c r="OON101" s="224"/>
      <c r="OOO101" s="222" t="s">
        <v>47</v>
      </c>
      <c r="OOP101" s="223"/>
      <c r="OOQ101" s="223"/>
      <c r="OOR101" s="223"/>
      <c r="OOS101" s="223"/>
      <c r="OOT101" s="223"/>
      <c r="OOU101" s="223"/>
      <c r="OOV101" s="224"/>
      <c r="OOW101" s="222" t="s">
        <v>47</v>
      </c>
      <c r="OOX101" s="223"/>
      <c r="OOY101" s="223"/>
      <c r="OOZ101" s="223"/>
      <c r="OPA101" s="223"/>
      <c r="OPB101" s="223"/>
      <c r="OPC101" s="223"/>
      <c r="OPD101" s="224"/>
      <c r="OPE101" s="222" t="s">
        <v>47</v>
      </c>
      <c r="OPF101" s="223"/>
      <c r="OPG101" s="223"/>
      <c r="OPH101" s="223"/>
      <c r="OPI101" s="223"/>
      <c r="OPJ101" s="223"/>
      <c r="OPK101" s="223"/>
      <c r="OPL101" s="224"/>
      <c r="OPM101" s="222" t="s">
        <v>47</v>
      </c>
      <c r="OPN101" s="223"/>
      <c r="OPO101" s="223"/>
      <c r="OPP101" s="223"/>
      <c r="OPQ101" s="223"/>
      <c r="OPR101" s="223"/>
      <c r="OPS101" s="223"/>
      <c r="OPT101" s="224"/>
      <c r="OPU101" s="222" t="s">
        <v>47</v>
      </c>
      <c r="OPV101" s="223"/>
      <c r="OPW101" s="223"/>
      <c r="OPX101" s="223"/>
      <c r="OPY101" s="223"/>
      <c r="OPZ101" s="223"/>
      <c r="OQA101" s="223"/>
      <c r="OQB101" s="224"/>
      <c r="OQC101" s="222" t="s">
        <v>47</v>
      </c>
      <c r="OQD101" s="223"/>
      <c r="OQE101" s="223"/>
      <c r="OQF101" s="223"/>
      <c r="OQG101" s="223"/>
      <c r="OQH101" s="223"/>
      <c r="OQI101" s="223"/>
      <c r="OQJ101" s="224"/>
      <c r="OQK101" s="222" t="s">
        <v>47</v>
      </c>
      <c r="OQL101" s="223"/>
      <c r="OQM101" s="223"/>
      <c r="OQN101" s="223"/>
      <c r="OQO101" s="223"/>
      <c r="OQP101" s="223"/>
      <c r="OQQ101" s="223"/>
      <c r="OQR101" s="224"/>
      <c r="OQS101" s="222" t="s">
        <v>47</v>
      </c>
      <c r="OQT101" s="223"/>
      <c r="OQU101" s="223"/>
      <c r="OQV101" s="223"/>
      <c r="OQW101" s="223"/>
      <c r="OQX101" s="223"/>
      <c r="OQY101" s="223"/>
      <c r="OQZ101" s="224"/>
      <c r="ORA101" s="222" t="s">
        <v>47</v>
      </c>
      <c r="ORB101" s="223"/>
      <c r="ORC101" s="223"/>
      <c r="ORD101" s="223"/>
      <c r="ORE101" s="223"/>
      <c r="ORF101" s="223"/>
      <c r="ORG101" s="223"/>
      <c r="ORH101" s="224"/>
      <c r="ORI101" s="222" t="s">
        <v>47</v>
      </c>
      <c r="ORJ101" s="223"/>
      <c r="ORK101" s="223"/>
      <c r="ORL101" s="223"/>
      <c r="ORM101" s="223"/>
      <c r="ORN101" s="223"/>
      <c r="ORO101" s="223"/>
      <c r="ORP101" s="224"/>
      <c r="ORQ101" s="222" t="s">
        <v>47</v>
      </c>
      <c r="ORR101" s="223"/>
      <c r="ORS101" s="223"/>
      <c r="ORT101" s="223"/>
      <c r="ORU101" s="223"/>
      <c r="ORV101" s="223"/>
      <c r="ORW101" s="223"/>
      <c r="ORX101" s="224"/>
      <c r="ORY101" s="222" t="s">
        <v>47</v>
      </c>
      <c r="ORZ101" s="223"/>
      <c r="OSA101" s="223"/>
      <c r="OSB101" s="223"/>
      <c r="OSC101" s="223"/>
      <c r="OSD101" s="223"/>
      <c r="OSE101" s="223"/>
      <c r="OSF101" s="224"/>
      <c r="OSG101" s="222" t="s">
        <v>47</v>
      </c>
      <c r="OSH101" s="223"/>
      <c r="OSI101" s="223"/>
      <c r="OSJ101" s="223"/>
      <c r="OSK101" s="223"/>
      <c r="OSL101" s="223"/>
      <c r="OSM101" s="223"/>
      <c r="OSN101" s="224"/>
      <c r="OSO101" s="222" t="s">
        <v>47</v>
      </c>
      <c r="OSP101" s="223"/>
      <c r="OSQ101" s="223"/>
      <c r="OSR101" s="223"/>
      <c r="OSS101" s="223"/>
      <c r="OST101" s="223"/>
      <c r="OSU101" s="223"/>
      <c r="OSV101" s="224"/>
      <c r="OSW101" s="222" t="s">
        <v>47</v>
      </c>
      <c r="OSX101" s="223"/>
      <c r="OSY101" s="223"/>
      <c r="OSZ101" s="223"/>
      <c r="OTA101" s="223"/>
      <c r="OTB101" s="223"/>
      <c r="OTC101" s="223"/>
      <c r="OTD101" s="224"/>
      <c r="OTE101" s="222" t="s">
        <v>47</v>
      </c>
      <c r="OTF101" s="223"/>
      <c r="OTG101" s="223"/>
      <c r="OTH101" s="223"/>
      <c r="OTI101" s="223"/>
      <c r="OTJ101" s="223"/>
      <c r="OTK101" s="223"/>
      <c r="OTL101" s="224"/>
      <c r="OTM101" s="222" t="s">
        <v>47</v>
      </c>
      <c r="OTN101" s="223"/>
      <c r="OTO101" s="223"/>
      <c r="OTP101" s="223"/>
      <c r="OTQ101" s="223"/>
      <c r="OTR101" s="223"/>
      <c r="OTS101" s="223"/>
      <c r="OTT101" s="224"/>
      <c r="OTU101" s="222" t="s">
        <v>47</v>
      </c>
      <c r="OTV101" s="223"/>
      <c r="OTW101" s="223"/>
      <c r="OTX101" s="223"/>
      <c r="OTY101" s="223"/>
      <c r="OTZ101" s="223"/>
      <c r="OUA101" s="223"/>
      <c r="OUB101" s="224"/>
      <c r="OUC101" s="222" t="s">
        <v>47</v>
      </c>
      <c r="OUD101" s="223"/>
      <c r="OUE101" s="223"/>
      <c r="OUF101" s="223"/>
      <c r="OUG101" s="223"/>
      <c r="OUH101" s="223"/>
      <c r="OUI101" s="223"/>
      <c r="OUJ101" s="224"/>
      <c r="OUK101" s="222" t="s">
        <v>47</v>
      </c>
      <c r="OUL101" s="223"/>
      <c r="OUM101" s="223"/>
      <c r="OUN101" s="223"/>
      <c r="OUO101" s="223"/>
      <c r="OUP101" s="223"/>
      <c r="OUQ101" s="223"/>
      <c r="OUR101" s="224"/>
      <c r="OUS101" s="222" t="s">
        <v>47</v>
      </c>
      <c r="OUT101" s="223"/>
      <c r="OUU101" s="223"/>
      <c r="OUV101" s="223"/>
      <c r="OUW101" s="223"/>
      <c r="OUX101" s="223"/>
      <c r="OUY101" s="223"/>
      <c r="OUZ101" s="224"/>
      <c r="OVA101" s="222" t="s">
        <v>47</v>
      </c>
      <c r="OVB101" s="223"/>
      <c r="OVC101" s="223"/>
      <c r="OVD101" s="223"/>
      <c r="OVE101" s="223"/>
      <c r="OVF101" s="223"/>
      <c r="OVG101" s="223"/>
      <c r="OVH101" s="224"/>
      <c r="OVI101" s="222" t="s">
        <v>47</v>
      </c>
      <c r="OVJ101" s="223"/>
      <c r="OVK101" s="223"/>
      <c r="OVL101" s="223"/>
      <c r="OVM101" s="223"/>
      <c r="OVN101" s="223"/>
      <c r="OVO101" s="223"/>
      <c r="OVP101" s="224"/>
      <c r="OVQ101" s="222" t="s">
        <v>47</v>
      </c>
      <c r="OVR101" s="223"/>
      <c r="OVS101" s="223"/>
      <c r="OVT101" s="223"/>
      <c r="OVU101" s="223"/>
      <c r="OVV101" s="223"/>
      <c r="OVW101" s="223"/>
      <c r="OVX101" s="224"/>
      <c r="OVY101" s="222" t="s">
        <v>47</v>
      </c>
      <c r="OVZ101" s="223"/>
      <c r="OWA101" s="223"/>
      <c r="OWB101" s="223"/>
      <c r="OWC101" s="223"/>
      <c r="OWD101" s="223"/>
      <c r="OWE101" s="223"/>
      <c r="OWF101" s="224"/>
      <c r="OWG101" s="222" t="s">
        <v>47</v>
      </c>
      <c r="OWH101" s="223"/>
      <c r="OWI101" s="223"/>
      <c r="OWJ101" s="223"/>
      <c r="OWK101" s="223"/>
      <c r="OWL101" s="223"/>
      <c r="OWM101" s="223"/>
      <c r="OWN101" s="224"/>
      <c r="OWO101" s="222" t="s">
        <v>47</v>
      </c>
      <c r="OWP101" s="223"/>
      <c r="OWQ101" s="223"/>
      <c r="OWR101" s="223"/>
      <c r="OWS101" s="223"/>
      <c r="OWT101" s="223"/>
      <c r="OWU101" s="223"/>
      <c r="OWV101" s="224"/>
      <c r="OWW101" s="222" t="s">
        <v>47</v>
      </c>
      <c r="OWX101" s="223"/>
      <c r="OWY101" s="223"/>
      <c r="OWZ101" s="223"/>
      <c r="OXA101" s="223"/>
      <c r="OXB101" s="223"/>
      <c r="OXC101" s="223"/>
      <c r="OXD101" s="224"/>
      <c r="OXE101" s="222" t="s">
        <v>47</v>
      </c>
      <c r="OXF101" s="223"/>
      <c r="OXG101" s="223"/>
      <c r="OXH101" s="223"/>
      <c r="OXI101" s="223"/>
      <c r="OXJ101" s="223"/>
      <c r="OXK101" s="223"/>
      <c r="OXL101" s="224"/>
      <c r="OXM101" s="222" t="s">
        <v>47</v>
      </c>
      <c r="OXN101" s="223"/>
      <c r="OXO101" s="223"/>
      <c r="OXP101" s="223"/>
      <c r="OXQ101" s="223"/>
      <c r="OXR101" s="223"/>
      <c r="OXS101" s="223"/>
      <c r="OXT101" s="224"/>
      <c r="OXU101" s="222" t="s">
        <v>47</v>
      </c>
      <c r="OXV101" s="223"/>
      <c r="OXW101" s="223"/>
      <c r="OXX101" s="223"/>
      <c r="OXY101" s="223"/>
      <c r="OXZ101" s="223"/>
      <c r="OYA101" s="223"/>
      <c r="OYB101" s="224"/>
      <c r="OYC101" s="222" t="s">
        <v>47</v>
      </c>
      <c r="OYD101" s="223"/>
      <c r="OYE101" s="223"/>
      <c r="OYF101" s="223"/>
      <c r="OYG101" s="223"/>
      <c r="OYH101" s="223"/>
      <c r="OYI101" s="223"/>
      <c r="OYJ101" s="224"/>
      <c r="OYK101" s="222" t="s">
        <v>47</v>
      </c>
      <c r="OYL101" s="223"/>
      <c r="OYM101" s="223"/>
      <c r="OYN101" s="223"/>
      <c r="OYO101" s="223"/>
      <c r="OYP101" s="223"/>
      <c r="OYQ101" s="223"/>
      <c r="OYR101" s="224"/>
      <c r="OYS101" s="222" t="s">
        <v>47</v>
      </c>
      <c r="OYT101" s="223"/>
      <c r="OYU101" s="223"/>
      <c r="OYV101" s="223"/>
      <c r="OYW101" s="223"/>
      <c r="OYX101" s="223"/>
      <c r="OYY101" s="223"/>
      <c r="OYZ101" s="224"/>
      <c r="OZA101" s="222" t="s">
        <v>47</v>
      </c>
      <c r="OZB101" s="223"/>
      <c r="OZC101" s="223"/>
      <c r="OZD101" s="223"/>
      <c r="OZE101" s="223"/>
      <c r="OZF101" s="223"/>
      <c r="OZG101" s="223"/>
      <c r="OZH101" s="224"/>
      <c r="OZI101" s="222" t="s">
        <v>47</v>
      </c>
      <c r="OZJ101" s="223"/>
      <c r="OZK101" s="223"/>
      <c r="OZL101" s="223"/>
      <c r="OZM101" s="223"/>
      <c r="OZN101" s="223"/>
      <c r="OZO101" s="223"/>
      <c r="OZP101" s="224"/>
      <c r="OZQ101" s="222" t="s">
        <v>47</v>
      </c>
      <c r="OZR101" s="223"/>
      <c r="OZS101" s="223"/>
      <c r="OZT101" s="223"/>
      <c r="OZU101" s="223"/>
      <c r="OZV101" s="223"/>
      <c r="OZW101" s="223"/>
      <c r="OZX101" s="224"/>
      <c r="OZY101" s="222" t="s">
        <v>47</v>
      </c>
      <c r="OZZ101" s="223"/>
      <c r="PAA101" s="223"/>
      <c r="PAB101" s="223"/>
      <c r="PAC101" s="223"/>
      <c r="PAD101" s="223"/>
      <c r="PAE101" s="223"/>
      <c r="PAF101" s="224"/>
      <c r="PAG101" s="222" t="s">
        <v>47</v>
      </c>
      <c r="PAH101" s="223"/>
      <c r="PAI101" s="223"/>
      <c r="PAJ101" s="223"/>
      <c r="PAK101" s="223"/>
      <c r="PAL101" s="223"/>
      <c r="PAM101" s="223"/>
      <c r="PAN101" s="224"/>
      <c r="PAO101" s="222" t="s">
        <v>47</v>
      </c>
      <c r="PAP101" s="223"/>
      <c r="PAQ101" s="223"/>
      <c r="PAR101" s="223"/>
      <c r="PAS101" s="223"/>
      <c r="PAT101" s="223"/>
      <c r="PAU101" s="223"/>
      <c r="PAV101" s="224"/>
      <c r="PAW101" s="222" t="s">
        <v>47</v>
      </c>
      <c r="PAX101" s="223"/>
      <c r="PAY101" s="223"/>
      <c r="PAZ101" s="223"/>
      <c r="PBA101" s="223"/>
      <c r="PBB101" s="223"/>
      <c r="PBC101" s="223"/>
      <c r="PBD101" s="224"/>
      <c r="PBE101" s="222" t="s">
        <v>47</v>
      </c>
      <c r="PBF101" s="223"/>
      <c r="PBG101" s="223"/>
      <c r="PBH101" s="223"/>
      <c r="PBI101" s="223"/>
      <c r="PBJ101" s="223"/>
      <c r="PBK101" s="223"/>
      <c r="PBL101" s="224"/>
      <c r="PBM101" s="222" t="s">
        <v>47</v>
      </c>
      <c r="PBN101" s="223"/>
      <c r="PBO101" s="223"/>
      <c r="PBP101" s="223"/>
      <c r="PBQ101" s="223"/>
      <c r="PBR101" s="223"/>
      <c r="PBS101" s="223"/>
      <c r="PBT101" s="224"/>
      <c r="PBU101" s="222" t="s">
        <v>47</v>
      </c>
      <c r="PBV101" s="223"/>
      <c r="PBW101" s="223"/>
      <c r="PBX101" s="223"/>
      <c r="PBY101" s="223"/>
      <c r="PBZ101" s="223"/>
      <c r="PCA101" s="223"/>
      <c r="PCB101" s="224"/>
      <c r="PCC101" s="222" t="s">
        <v>47</v>
      </c>
      <c r="PCD101" s="223"/>
      <c r="PCE101" s="223"/>
      <c r="PCF101" s="223"/>
      <c r="PCG101" s="223"/>
      <c r="PCH101" s="223"/>
      <c r="PCI101" s="223"/>
      <c r="PCJ101" s="224"/>
      <c r="PCK101" s="222" t="s">
        <v>47</v>
      </c>
      <c r="PCL101" s="223"/>
      <c r="PCM101" s="223"/>
      <c r="PCN101" s="223"/>
      <c r="PCO101" s="223"/>
      <c r="PCP101" s="223"/>
      <c r="PCQ101" s="223"/>
      <c r="PCR101" s="224"/>
      <c r="PCS101" s="222" t="s">
        <v>47</v>
      </c>
      <c r="PCT101" s="223"/>
      <c r="PCU101" s="223"/>
      <c r="PCV101" s="223"/>
      <c r="PCW101" s="223"/>
      <c r="PCX101" s="223"/>
      <c r="PCY101" s="223"/>
      <c r="PCZ101" s="224"/>
      <c r="PDA101" s="222" t="s">
        <v>47</v>
      </c>
      <c r="PDB101" s="223"/>
      <c r="PDC101" s="223"/>
      <c r="PDD101" s="223"/>
      <c r="PDE101" s="223"/>
      <c r="PDF101" s="223"/>
      <c r="PDG101" s="223"/>
      <c r="PDH101" s="224"/>
      <c r="PDI101" s="222" t="s">
        <v>47</v>
      </c>
      <c r="PDJ101" s="223"/>
      <c r="PDK101" s="223"/>
      <c r="PDL101" s="223"/>
      <c r="PDM101" s="223"/>
      <c r="PDN101" s="223"/>
      <c r="PDO101" s="223"/>
      <c r="PDP101" s="224"/>
      <c r="PDQ101" s="222" t="s">
        <v>47</v>
      </c>
      <c r="PDR101" s="223"/>
      <c r="PDS101" s="223"/>
      <c r="PDT101" s="223"/>
      <c r="PDU101" s="223"/>
      <c r="PDV101" s="223"/>
      <c r="PDW101" s="223"/>
      <c r="PDX101" s="224"/>
      <c r="PDY101" s="222" t="s">
        <v>47</v>
      </c>
      <c r="PDZ101" s="223"/>
      <c r="PEA101" s="223"/>
      <c r="PEB101" s="223"/>
      <c r="PEC101" s="223"/>
      <c r="PED101" s="223"/>
      <c r="PEE101" s="223"/>
      <c r="PEF101" s="224"/>
      <c r="PEG101" s="222" t="s">
        <v>47</v>
      </c>
      <c r="PEH101" s="223"/>
      <c r="PEI101" s="223"/>
      <c r="PEJ101" s="223"/>
      <c r="PEK101" s="223"/>
      <c r="PEL101" s="223"/>
      <c r="PEM101" s="223"/>
      <c r="PEN101" s="224"/>
      <c r="PEO101" s="222" t="s">
        <v>47</v>
      </c>
      <c r="PEP101" s="223"/>
      <c r="PEQ101" s="223"/>
      <c r="PER101" s="223"/>
      <c r="PES101" s="223"/>
      <c r="PET101" s="223"/>
      <c r="PEU101" s="223"/>
      <c r="PEV101" s="224"/>
      <c r="PEW101" s="222" t="s">
        <v>47</v>
      </c>
      <c r="PEX101" s="223"/>
      <c r="PEY101" s="223"/>
      <c r="PEZ101" s="223"/>
      <c r="PFA101" s="223"/>
      <c r="PFB101" s="223"/>
      <c r="PFC101" s="223"/>
      <c r="PFD101" s="224"/>
      <c r="PFE101" s="222" t="s">
        <v>47</v>
      </c>
      <c r="PFF101" s="223"/>
      <c r="PFG101" s="223"/>
      <c r="PFH101" s="223"/>
      <c r="PFI101" s="223"/>
      <c r="PFJ101" s="223"/>
      <c r="PFK101" s="223"/>
      <c r="PFL101" s="224"/>
      <c r="PFM101" s="222" t="s">
        <v>47</v>
      </c>
      <c r="PFN101" s="223"/>
      <c r="PFO101" s="223"/>
      <c r="PFP101" s="223"/>
      <c r="PFQ101" s="223"/>
      <c r="PFR101" s="223"/>
      <c r="PFS101" s="223"/>
      <c r="PFT101" s="224"/>
      <c r="PFU101" s="222" t="s">
        <v>47</v>
      </c>
      <c r="PFV101" s="223"/>
      <c r="PFW101" s="223"/>
      <c r="PFX101" s="223"/>
      <c r="PFY101" s="223"/>
      <c r="PFZ101" s="223"/>
      <c r="PGA101" s="223"/>
      <c r="PGB101" s="224"/>
      <c r="PGC101" s="222" t="s">
        <v>47</v>
      </c>
      <c r="PGD101" s="223"/>
      <c r="PGE101" s="223"/>
      <c r="PGF101" s="223"/>
      <c r="PGG101" s="223"/>
      <c r="PGH101" s="223"/>
      <c r="PGI101" s="223"/>
      <c r="PGJ101" s="224"/>
      <c r="PGK101" s="222" t="s">
        <v>47</v>
      </c>
      <c r="PGL101" s="223"/>
      <c r="PGM101" s="223"/>
      <c r="PGN101" s="223"/>
      <c r="PGO101" s="223"/>
      <c r="PGP101" s="223"/>
      <c r="PGQ101" s="223"/>
      <c r="PGR101" s="224"/>
      <c r="PGS101" s="222" t="s">
        <v>47</v>
      </c>
      <c r="PGT101" s="223"/>
      <c r="PGU101" s="223"/>
      <c r="PGV101" s="223"/>
      <c r="PGW101" s="223"/>
      <c r="PGX101" s="223"/>
      <c r="PGY101" s="223"/>
      <c r="PGZ101" s="224"/>
      <c r="PHA101" s="222" t="s">
        <v>47</v>
      </c>
      <c r="PHB101" s="223"/>
      <c r="PHC101" s="223"/>
      <c r="PHD101" s="223"/>
      <c r="PHE101" s="223"/>
      <c r="PHF101" s="223"/>
      <c r="PHG101" s="223"/>
      <c r="PHH101" s="224"/>
      <c r="PHI101" s="222" t="s">
        <v>47</v>
      </c>
      <c r="PHJ101" s="223"/>
      <c r="PHK101" s="223"/>
      <c r="PHL101" s="223"/>
      <c r="PHM101" s="223"/>
      <c r="PHN101" s="223"/>
      <c r="PHO101" s="223"/>
      <c r="PHP101" s="224"/>
      <c r="PHQ101" s="222" t="s">
        <v>47</v>
      </c>
      <c r="PHR101" s="223"/>
      <c r="PHS101" s="223"/>
      <c r="PHT101" s="223"/>
      <c r="PHU101" s="223"/>
      <c r="PHV101" s="223"/>
      <c r="PHW101" s="223"/>
      <c r="PHX101" s="224"/>
      <c r="PHY101" s="222" t="s">
        <v>47</v>
      </c>
      <c r="PHZ101" s="223"/>
      <c r="PIA101" s="223"/>
      <c r="PIB101" s="223"/>
      <c r="PIC101" s="223"/>
      <c r="PID101" s="223"/>
      <c r="PIE101" s="223"/>
      <c r="PIF101" s="224"/>
      <c r="PIG101" s="222" t="s">
        <v>47</v>
      </c>
      <c r="PIH101" s="223"/>
      <c r="PII101" s="223"/>
      <c r="PIJ101" s="223"/>
      <c r="PIK101" s="223"/>
      <c r="PIL101" s="223"/>
      <c r="PIM101" s="223"/>
      <c r="PIN101" s="224"/>
      <c r="PIO101" s="222" t="s">
        <v>47</v>
      </c>
      <c r="PIP101" s="223"/>
      <c r="PIQ101" s="223"/>
      <c r="PIR101" s="223"/>
      <c r="PIS101" s="223"/>
      <c r="PIT101" s="223"/>
      <c r="PIU101" s="223"/>
      <c r="PIV101" s="224"/>
      <c r="PIW101" s="222" t="s">
        <v>47</v>
      </c>
      <c r="PIX101" s="223"/>
      <c r="PIY101" s="223"/>
      <c r="PIZ101" s="223"/>
      <c r="PJA101" s="223"/>
      <c r="PJB101" s="223"/>
      <c r="PJC101" s="223"/>
      <c r="PJD101" s="224"/>
      <c r="PJE101" s="222" t="s">
        <v>47</v>
      </c>
      <c r="PJF101" s="223"/>
      <c r="PJG101" s="223"/>
      <c r="PJH101" s="223"/>
      <c r="PJI101" s="223"/>
      <c r="PJJ101" s="223"/>
      <c r="PJK101" s="223"/>
      <c r="PJL101" s="224"/>
      <c r="PJM101" s="222" t="s">
        <v>47</v>
      </c>
      <c r="PJN101" s="223"/>
      <c r="PJO101" s="223"/>
      <c r="PJP101" s="223"/>
      <c r="PJQ101" s="223"/>
      <c r="PJR101" s="223"/>
      <c r="PJS101" s="223"/>
      <c r="PJT101" s="224"/>
      <c r="PJU101" s="222" t="s">
        <v>47</v>
      </c>
      <c r="PJV101" s="223"/>
      <c r="PJW101" s="223"/>
      <c r="PJX101" s="223"/>
      <c r="PJY101" s="223"/>
      <c r="PJZ101" s="223"/>
      <c r="PKA101" s="223"/>
      <c r="PKB101" s="224"/>
      <c r="PKC101" s="222" t="s">
        <v>47</v>
      </c>
      <c r="PKD101" s="223"/>
      <c r="PKE101" s="223"/>
      <c r="PKF101" s="223"/>
      <c r="PKG101" s="223"/>
      <c r="PKH101" s="223"/>
      <c r="PKI101" s="223"/>
      <c r="PKJ101" s="224"/>
      <c r="PKK101" s="222" t="s">
        <v>47</v>
      </c>
      <c r="PKL101" s="223"/>
      <c r="PKM101" s="223"/>
      <c r="PKN101" s="223"/>
      <c r="PKO101" s="223"/>
      <c r="PKP101" s="223"/>
      <c r="PKQ101" s="223"/>
      <c r="PKR101" s="224"/>
      <c r="PKS101" s="222" t="s">
        <v>47</v>
      </c>
      <c r="PKT101" s="223"/>
      <c r="PKU101" s="223"/>
      <c r="PKV101" s="223"/>
      <c r="PKW101" s="223"/>
      <c r="PKX101" s="223"/>
      <c r="PKY101" s="223"/>
      <c r="PKZ101" s="224"/>
      <c r="PLA101" s="222" t="s">
        <v>47</v>
      </c>
      <c r="PLB101" s="223"/>
      <c r="PLC101" s="223"/>
      <c r="PLD101" s="223"/>
      <c r="PLE101" s="223"/>
      <c r="PLF101" s="223"/>
      <c r="PLG101" s="223"/>
      <c r="PLH101" s="224"/>
      <c r="PLI101" s="222" t="s">
        <v>47</v>
      </c>
      <c r="PLJ101" s="223"/>
      <c r="PLK101" s="223"/>
      <c r="PLL101" s="223"/>
      <c r="PLM101" s="223"/>
      <c r="PLN101" s="223"/>
      <c r="PLO101" s="223"/>
      <c r="PLP101" s="224"/>
      <c r="PLQ101" s="222" t="s">
        <v>47</v>
      </c>
      <c r="PLR101" s="223"/>
      <c r="PLS101" s="223"/>
      <c r="PLT101" s="223"/>
      <c r="PLU101" s="223"/>
      <c r="PLV101" s="223"/>
      <c r="PLW101" s="223"/>
      <c r="PLX101" s="224"/>
      <c r="PLY101" s="222" t="s">
        <v>47</v>
      </c>
      <c r="PLZ101" s="223"/>
      <c r="PMA101" s="223"/>
      <c r="PMB101" s="223"/>
      <c r="PMC101" s="223"/>
      <c r="PMD101" s="223"/>
      <c r="PME101" s="223"/>
      <c r="PMF101" s="224"/>
      <c r="PMG101" s="222" t="s">
        <v>47</v>
      </c>
      <c r="PMH101" s="223"/>
      <c r="PMI101" s="223"/>
      <c r="PMJ101" s="223"/>
      <c r="PMK101" s="223"/>
      <c r="PML101" s="223"/>
      <c r="PMM101" s="223"/>
      <c r="PMN101" s="224"/>
      <c r="PMO101" s="222" t="s">
        <v>47</v>
      </c>
      <c r="PMP101" s="223"/>
      <c r="PMQ101" s="223"/>
      <c r="PMR101" s="223"/>
      <c r="PMS101" s="223"/>
      <c r="PMT101" s="223"/>
      <c r="PMU101" s="223"/>
      <c r="PMV101" s="224"/>
      <c r="PMW101" s="222" t="s">
        <v>47</v>
      </c>
      <c r="PMX101" s="223"/>
      <c r="PMY101" s="223"/>
      <c r="PMZ101" s="223"/>
      <c r="PNA101" s="223"/>
      <c r="PNB101" s="223"/>
      <c r="PNC101" s="223"/>
      <c r="PND101" s="224"/>
      <c r="PNE101" s="222" t="s">
        <v>47</v>
      </c>
      <c r="PNF101" s="223"/>
      <c r="PNG101" s="223"/>
      <c r="PNH101" s="223"/>
      <c r="PNI101" s="223"/>
      <c r="PNJ101" s="223"/>
      <c r="PNK101" s="223"/>
      <c r="PNL101" s="224"/>
      <c r="PNM101" s="222" t="s">
        <v>47</v>
      </c>
      <c r="PNN101" s="223"/>
      <c r="PNO101" s="223"/>
      <c r="PNP101" s="223"/>
      <c r="PNQ101" s="223"/>
      <c r="PNR101" s="223"/>
      <c r="PNS101" s="223"/>
      <c r="PNT101" s="224"/>
      <c r="PNU101" s="222" t="s">
        <v>47</v>
      </c>
      <c r="PNV101" s="223"/>
      <c r="PNW101" s="223"/>
      <c r="PNX101" s="223"/>
      <c r="PNY101" s="223"/>
      <c r="PNZ101" s="223"/>
      <c r="POA101" s="223"/>
      <c r="POB101" s="224"/>
      <c r="POC101" s="222" t="s">
        <v>47</v>
      </c>
      <c r="POD101" s="223"/>
      <c r="POE101" s="223"/>
      <c r="POF101" s="223"/>
      <c r="POG101" s="223"/>
      <c r="POH101" s="223"/>
      <c r="POI101" s="223"/>
      <c r="POJ101" s="224"/>
      <c r="POK101" s="222" t="s">
        <v>47</v>
      </c>
      <c r="POL101" s="223"/>
      <c r="POM101" s="223"/>
      <c r="PON101" s="223"/>
      <c r="POO101" s="223"/>
      <c r="POP101" s="223"/>
      <c r="POQ101" s="223"/>
      <c r="POR101" s="224"/>
      <c r="POS101" s="222" t="s">
        <v>47</v>
      </c>
      <c r="POT101" s="223"/>
      <c r="POU101" s="223"/>
      <c r="POV101" s="223"/>
      <c r="POW101" s="223"/>
      <c r="POX101" s="223"/>
      <c r="POY101" s="223"/>
      <c r="POZ101" s="224"/>
      <c r="PPA101" s="222" t="s">
        <v>47</v>
      </c>
      <c r="PPB101" s="223"/>
      <c r="PPC101" s="223"/>
      <c r="PPD101" s="223"/>
      <c r="PPE101" s="223"/>
      <c r="PPF101" s="223"/>
      <c r="PPG101" s="223"/>
      <c r="PPH101" s="224"/>
      <c r="PPI101" s="222" t="s">
        <v>47</v>
      </c>
      <c r="PPJ101" s="223"/>
      <c r="PPK101" s="223"/>
      <c r="PPL101" s="223"/>
      <c r="PPM101" s="223"/>
      <c r="PPN101" s="223"/>
      <c r="PPO101" s="223"/>
      <c r="PPP101" s="224"/>
      <c r="PPQ101" s="222" t="s">
        <v>47</v>
      </c>
      <c r="PPR101" s="223"/>
      <c r="PPS101" s="223"/>
      <c r="PPT101" s="223"/>
      <c r="PPU101" s="223"/>
      <c r="PPV101" s="223"/>
      <c r="PPW101" s="223"/>
      <c r="PPX101" s="224"/>
      <c r="PPY101" s="222" t="s">
        <v>47</v>
      </c>
      <c r="PPZ101" s="223"/>
      <c r="PQA101" s="223"/>
      <c r="PQB101" s="223"/>
      <c r="PQC101" s="223"/>
      <c r="PQD101" s="223"/>
      <c r="PQE101" s="223"/>
      <c r="PQF101" s="224"/>
      <c r="PQG101" s="222" t="s">
        <v>47</v>
      </c>
      <c r="PQH101" s="223"/>
      <c r="PQI101" s="223"/>
      <c r="PQJ101" s="223"/>
      <c r="PQK101" s="223"/>
      <c r="PQL101" s="223"/>
      <c r="PQM101" s="223"/>
      <c r="PQN101" s="224"/>
      <c r="PQO101" s="222" t="s">
        <v>47</v>
      </c>
      <c r="PQP101" s="223"/>
      <c r="PQQ101" s="223"/>
      <c r="PQR101" s="223"/>
      <c r="PQS101" s="223"/>
      <c r="PQT101" s="223"/>
      <c r="PQU101" s="223"/>
      <c r="PQV101" s="224"/>
      <c r="PQW101" s="222" t="s">
        <v>47</v>
      </c>
      <c r="PQX101" s="223"/>
      <c r="PQY101" s="223"/>
      <c r="PQZ101" s="223"/>
      <c r="PRA101" s="223"/>
      <c r="PRB101" s="223"/>
      <c r="PRC101" s="223"/>
      <c r="PRD101" s="224"/>
      <c r="PRE101" s="222" t="s">
        <v>47</v>
      </c>
      <c r="PRF101" s="223"/>
      <c r="PRG101" s="223"/>
      <c r="PRH101" s="223"/>
      <c r="PRI101" s="223"/>
      <c r="PRJ101" s="223"/>
      <c r="PRK101" s="223"/>
      <c r="PRL101" s="224"/>
      <c r="PRM101" s="222" t="s">
        <v>47</v>
      </c>
      <c r="PRN101" s="223"/>
      <c r="PRO101" s="223"/>
      <c r="PRP101" s="223"/>
      <c r="PRQ101" s="223"/>
      <c r="PRR101" s="223"/>
      <c r="PRS101" s="223"/>
      <c r="PRT101" s="224"/>
      <c r="PRU101" s="222" t="s">
        <v>47</v>
      </c>
      <c r="PRV101" s="223"/>
      <c r="PRW101" s="223"/>
      <c r="PRX101" s="223"/>
      <c r="PRY101" s="223"/>
      <c r="PRZ101" s="223"/>
      <c r="PSA101" s="223"/>
      <c r="PSB101" s="224"/>
      <c r="PSC101" s="222" t="s">
        <v>47</v>
      </c>
      <c r="PSD101" s="223"/>
      <c r="PSE101" s="223"/>
      <c r="PSF101" s="223"/>
      <c r="PSG101" s="223"/>
      <c r="PSH101" s="223"/>
      <c r="PSI101" s="223"/>
      <c r="PSJ101" s="224"/>
      <c r="PSK101" s="222" t="s">
        <v>47</v>
      </c>
      <c r="PSL101" s="223"/>
      <c r="PSM101" s="223"/>
      <c r="PSN101" s="223"/>
      <c r="PSO101" s="223"/>
      <c r="PSP101" s="223"/>
      <c r="PSQ101" s="223"/>
      <c r="PSR101" s="224"/>
      <c r="PSS101" s="222" t="s">
        <v>47</v>
      </c>
      <c r="PST101" s="223"/>
      <c r="PSU101" s="223"/>
      <c r="PSV101" s="223"/>
      <c r="PSW101" s="223"/>
      <c r="PSX101" s="223"/>
      <c r="PSY101" s="223"/>
      <c r="PSZ101" s="224"/>
      <c r="PTA101" s="222" t="s">
        <v>47</v>
      </c>
      <c r="PTB101" s="223"/>
      <c r="PTC101" s="223"/>
      <c r="PTD101" s="223"/>
      <c r="PTE101" s="223"/>
      <c r="PTF101" s="223"/>
      <c r="PTG101" s="223"/>
      <c r="PTH101" s="224"/>
      <c r="PTI101" s="222" t="s">
        <v>47</v>
      </c>
      <c r="PTJ101" s="223"/>
      <c r="PTK101" s="223"/>
      <c r="PTL101" s="223"/>
      <c r="PTM101" s="223"/>
      <c r="PTN101" s="223"/>
      <c r="PTO101" s="223"/>
      <c r="PTP101" s="224"/>
      <c r="PTQ101" s="222" t="s">
        <v>47</v>
      </c>
      <c r="PTR101" s="223"/>
      <c r="PTS101" s="223"/>
      <c r="PTT101" s="223"/>
      <c r="PTU101" s="223"/>
      <c r="PTV101" s="223"/>
      <c r="PTW101" s="223"/>
      <c r="PTX101" s="224"/>
      <c r="PTY101" s="222" t="s">
        <v>47</v>
      </c>
      <c r="PTZ101" s="223"/>
      <c r="PUA101" s="223"/>
      <c r="PUB101" s="223"/>
      <c r="PUC101" s="223"/>
      <c r="PUD101" s="223"/>
      <c r="PUE101" s="223"/>
      <c r="PUF101" s="224"/>
      <c r="PUG101" s="222" t="s">
        <v>47</v>
      </c>
      <c r="PUH101" s="223"/>
      <c r="PUI101" s="223"/>
      <c r="PUJ101" s="223"/>
      <c r="PUK101" s="223"/>
      <c r="PUL101" s="223"/>
      <c r="PUM101" s="223"/>
      <c r="PUN101" s="224"/>
      <c r="PUO101" s="222" t="s">
        <v>47</v>
      </c>
      <c r="PUP101" s="223"/>
      <c r="PUQ101" s="223"/>
      <c r="PUR101" s="223"/>
      <c r="PUS101" s="223"/>
      <c r="PUT101" s="223"/>
      <c r="PUU101" s="223"/>
      <c r="PUV101" s="224"/>
      <c r="PUW101" s="222" t="s">
        <v>47</v>
      </c>
      <c r="PUX101" s="223"/>
      <c r="PUY101" s="223"/>
      <c r="PUZ101" s="223"/>
      <c r="PVA101" s="223"/>
      <c r="PVB101" s="223"/>
      <c r="PVC101" s="223"/>
      <c r="PVD101" s="224"/>
      <c r="PVE101" s="222" t="s">
        <v>47</v>
      </c>
      <c r="PVF101" s="223"/>
      <c r="PVG101" s="223"/>
      <c r="PVH101" s="223"/>
      <c r="PVI101" s="223"/>
      <c r="PVJ101" s="223"/>
      <c r="PVK101" s="223"/>
      <c r="PVL101" s="224"/>
      <c r="PVM101" s="222" t="s">
        <v>47</v>
      </c>
      <c r="PVN101" s="223"/>
      <c r="PVO101" s="223"/>
      <c r="PVP101" s="223"/>
      <c r="PVQ101" s="223"/>
      <c r="PVR101" s="223"/>
      <c r="PVS101" s="223"/>
      <c r="PVT101" s="224"/>
      <c r="PVU101" s="222" t="s">
        <v>47</v>
      </c>
      <c r="PVV101" s="223"/>
      <c r="PVW101" s="223"/>
      <c r="PVX101" s="223"/>
      <c r="PVY101" s="223"/>
      <c r="PVZ101" s="223"/>
      <c r="PWA101" s="223"/>
      <c r="PWB101" s="224"/>
      <c r="PWC101" s="222" t="s">
        <v>47</v>
      </c>
      <c r="PWD101" s="223"/>
      <c r="PWE101" s="223"/>
      <c r="PWF101" s="223"/>
      <c r="PWG101" s="223"/>
      <c r="PWH101" s="223"/>
      <c r="PWI101" s="223"/>
      <c r="PWJ101" s="224"/>
      <c r="PWK101" s="222" t="s">
        <v>47</v>
      </c>
      <c r="PWL101" s="223"/>
      <c r="PWM101" s="223"/>
      <c r="PWN101" s="223"/>
      <c r="PWO101" s="223"/>
      <c r="PWP101" s="223"/>
      <c r="PWQ101" s="223"/>
      <c r="PWR101" s="224"/>
      <c r="PWS101" s="222" t="s">
        <v>47</v>
      </c>
      <c r="PWT101" s="223"/>
      <c r="PWU101" s="223"/>
      <c r="PWV101" s="223"/>
      <c r="PWW101" s="223"/>
      <c r="PWX101" s="223"/>
      <c r="PWY101" s="223"/>
      <c r="PWZ101" s="224"/>
      <c r="PXA101" s="222" t="s">
        <v>47</v>
      </c>
      <c r="PXB101" s="223"/>
      <c r="PXC101" s="223"/>
      <c r="PXD101" s="223"/>
      <c r="PXE101" s="223"/>
      <c r="PXF101" s="223"/>
      <c r="PXG101" s="223"/>
      <c r="PXH101" s="224"/>
      <c r="PXI101" s="222" t="s">
        <v>47</v>
      </c>
      <c r="PXJ101" s="223"/>
      <c r="PXK101" s="223"/>
      <c r="PXL101" s="223"/>
      <c r="PXM101" s="223"/>
      <c r="PXN101" s="223"/>
      <c r="PXO101" s="223"/>
      <c r="PXP101" s="224"/>
      <c r="PXQ101" s="222" t="s">
        <v>47</v>
      </c>
      <c r="PXR101" s="223"/>
      <c r="PXS101" s="223"/>
      <c r="PXT101" s="223"/>
      <c r="PXU101" s="223"/>
      <c r="PXV101" s="223"/>
      <c r="PXW101" s="223"/>
      <c r="PXX101" s="224"/>
      <c r="PXY101" s="222" t="s">
        <v>47</v>
      </c>
      <c r="PXZ101" s="223"/>
      <c r="PYA101" s="223"/>
      <c r="PYB101" s="223"/>
      <c r="PYC101" s="223"/>
      <c r="PYD101" s="223"/>
      <c r="PYE101" s="223"/>
      <c r="PYF101" s="224"/>
      <c r="PYG101" s="222" t="s">
        <v>47</v>
      </c>
      <c r="PYH101" s="223"/>
      <c r="PYI101" s="223"/>
      <c r="PYJ101" s="223"/>
      <c r="PYK101" s="223"/>
      <c r="PYL101" s="223"/>
      <c r="PYM101" s="223"/>
      <c r="PYN101" s="224"/>
      <c r="PYO101" s="222" t="s">
        <v>47</v>
      </c>
      <c r="PYP101" s="223"/>
      <c r="PYQ101" s="223"/>
      <c r="PYR101" s="223"/>
      <c r="PYS101" s="223"/>
      <c r="PYT101" s="223"/>
      <c r="PYU101" s="223"/>
      <c r="PYV101" s="224"/>
      <c r="PYW101" s="222" t="s">
        <v>47</v>
      </c>
      <c r="PYX101" s="223"/>
      <c r="PYY101" s="223"/>
      <c r="PYZ101" s="223"/>
      <c r="PZA101" s="223"/>
      <c r="PZB101" s="223"/>
      <c r="PZC101" s="223"/>
      <c r="PZD101" s="224"/>
      <c r="PZE101" s="222" t="s">
        <v>47</v>
      </c>
      <c r="PZF101" s="223"/>
      <c r="PZG101" s="223"/>
      <c r="PZH101" s="223"/>
      <c r="PZI101" s="223"/>
      <c r="PZJ101" s="223"/>
      <c r="PZK101" s="223"/>
      <c r="PZL101" s="224"/>
      <c r="PZM101" s="222" t="s">
        <v>47</v>
      </c>
      <c r="PZN101" s="223"/>
      <c r="PZO101" s="223"/>
      <c r="PZP101" s="223"/>
      <c r="PZQ101" s="223"/>
      <c r="PZR101" s="223"/>
      <c r="PZS101" s="223"/>
      <c r="PZT101" s="224"/>
      <c r="PZU101" s="222" t="s">
        <v>47</v>
      </c>
      <c r="PZV101" s="223"/>
      <c r="PZW101" s="223"/>
      <c r="PZX101" s="223"/>
      <c r="PZY101" s="223"/>
      <c r="PZZ101" s="223"/>
      <c r="QAA101" s="223"/>
      <c r="QAB101" s="224"/>
      <c r="QAC101" s="222" t="s">
        <v>47</v>
      </c>
      <c r="QAD101" s="223"/>
      <c r="QAE101" s="223"/>
      <c r="QAF101" s="223"/>
      <c r="QAG101" s="223"/>
      <c r="QAH101" s="223"/>
      <c r="QAI101" s="223"/>
      <c r="QAJ101" s="224"/>
      <c r="QAK101" s="222" t="s">
        <v>47</v>
      </c>
      <c r="QAL101" s="223"/>
      <c r="QAM101" s="223"/>
      <c r="QAN101" s="223"/>
      <c r="QAO101" s="223"/>
      <c r="QAP101" s="223"/>
      <c r="QAQ101" s="223"/>
      <c r="QAR101" s="224"/>
      <c r="QAS101" s="222" t="s">
        <v>47</v>
      </c>
      <c r="QAT101" s="223"/>
      <c r="QAU101" s="223"/>
      <c r="QAV101" s="223"/>
      <c r="QAW101" s="223"/>
      <c r="QAX101" s="223"/>
      <c r="QAY101" s="223"/>
      <c r="QAZ101" s="224"/>
      <c r="QBA101" s="222" t="s">
        <v>47</v>
      </c>
      <c r="QBB101" s="223"/>
      <c r="QBC101" s="223"/>
      <c r="QBD101" s="223"/>
      <c r="QBE101" s="223"/>
      <c r="QBF101" s="223"/>
      <c r="QBG101" s="223"/>
      <c r="QBH101" s="224"/>
      <c r="QBI101" s="222" t="s">
        <v>47</v>
      </c>
      <c r="QBJ101" s="223"/>
      <c r="QBK101" s="223"/>
      <c r="QBL101" s="223"/>
      <c r="QBM101" s="223"/>
      <c r="QBN101" s="223"/>
      <c r="QBO101" s="223"/>
      <c r="QBP101" s="224"/>
      <c r="QBQ101" s="222" t="s">
        <v>47</v>
      </c>
      <c r="QBR101" s="223"/>
      <c r="QBS101" s="223"/>
      <c r="QBT101" s="223"/>
      <c r="QBU101" s="223"/>
      <c r="QBV101" s="223"/>
      <c r="QBW101" s="223"/>
      <c r="QBX101" s="224"/>
      <c r="QBY101" s="222" t="s">
        <v>47</v>
      </c>
      <c r="QBZ101" s="223"/>
      <c r="QCA101" s="223"/>
      <c r="QCB101" s="223"/>
      <c r="QCC101" s="223"/>
      <c r="QCD101" s="223"/>
      <c r="QCE101" s="223"/>
      <c r="QCF101" s="224"/>
      <c r="QCG101" s="222" t="s">
        <v>47</v>
      </c>
      <c r="QCH101" s="223"/>
      <c r="QCI101" s="223"/>
      <c r="QCJ101" s="223"/>
      <c r="QCK101" s="223"/>
      <c r="QCL101" s="223"/>
      <c r="QCM101" s="223"/>
      <c r="QCN101" s="224"/>
      <c r="QCO101" s="222" t="s">
        <v>47</v>
      </c>
      <c r="QCP101" s="223"/>
      <c r="QCQ101" s="223"/>
      <c r="QCR101" s="223"/>
      <c r="QCS101" s="223"/>
      <c r="QCT101" s="223"/>
      <c r="QCU101" s="223"/>
      <c r="QCV101" s="224"/>
      <c r="QCW101" s="222" t="s">
        <v>47</v>
      </c>
      <c r="QCX101" s="223"/>
      <c r="QCY101" s="223"/>
      <c r="QCZ101" s="223"/>
      <c r="QDA101" s="223"/>
      <c r="QDB101" s="223"/>
      <c r="QDC101" s="223"/>
      <c r="QDD101" s="224"/>
      <c r="QDE101" s="222" t="s">
        <v>47</v>
      </c>
      <c r="QDF101" s="223"/>
      <c r="QDG101" s="223"/>
      <c r="QDH101" s="223"/>
      <c r="QDI101" s="223"/>
      <c r="QDJ101" s="223"/>
      <c r="QDK101" s="223"/>
      <c r="QDL101" s="224"/>
      <c r="QDM101" s="222" t="s">
        <v>47</v>
      </c>
      <c r="QDN101" s="223"/>
      <c r="QDO101" s="223"/>
      <c r="QDP101" s="223"/>
      <c r="QDQ101" s="223"/>
      <c r="QDR101" s="223"/>
      <c r="QDS101" s="223"/>
      <c r="QDT101" s="224"/>
      <c r="QDU101" s="222" t="s">
        <v>47</v>
      </c>
      <c r="QDV101" s="223"/>
      <c r="QDW101" s="223"/>
      <c r="QDX101" s="223"/>
      <c r="QDY101" s="223"/>
      <c r="QDZ101" s="223"/>
      <c r="QEA101" s="223"/>
      <c r="QEB101" s="224"/>
      <c r="QEC101" s="222" t="s">
        <v>47</v>
      </c>
      <c r="QED101" s="223"/>
      <c r="QEE101" s="223"/>
      <c r="QEF101" s="223"/>
      <c r="QEG101" s="223"/>
      <c r="QEH101" s="223"/>
      <c r="QEI101" s="223"/>
      <c r="QEJ101" s="224"/>
      <c r="QEK101" s="222" t="s">
        <v>47</v>
      </c>
      <c r="QEL101" s="223"/>
      <c r="QEM101" s="223"/>
      <c r="QEN101" s="223"/>
      <c r="QEO101" s="223"/>
      <c r="QEP101" s="223"/>
      <c r="QEQ101" s="223"/>
      <c r="QER101" s="224"/>
      <c r="QES101" s="222" t="s">
        <v>47</v>
      </c>
      <c r="QET101" s="223"/>
      <c r="QEU101" s="223"/>
      <c r="QEV101" s="223"/>
      <c r="QEW101" s="223"/>
      <c r="QEX101" s="223"/>
      <c r="QEY101" s="223"/>
      <c r="QEZ101" s="224"/>
      <c r="QFA101" s="222" t="s">
        <v>47</v>
      </c>
      <c r="QFB101" s="223"/>
      <c r="QFC101" s="223"/>
      <c r="QFD101" s="223"/>
      <c r="QFE101" s="223"/>
      <c r="QFF101" s="223"/>
      <c r="QFG101" s="223"/>
      <c r="QFH101" s="224"/>
      <c r="QFI101" s="222" t="s">
        <v>47</v>
      </c>
      <c r="QFJ101" s="223"/>
      <c r="QFK101" s="223"/>
      <c r="QFL101" s="223"/>
      <c r="QFM101" s="223"/>
      <c r="QFN101" s="223"/>
      <c r="QFO101" s="223"/>
      <c r="QFP101" s="224"/>
      <c r="QFQ101" s="222" t="s">
        <v>47</v>
      </c>
      <c r="QFR101" s="223"/>
      <c r="QFS101" s="223"/>
      <c r="QFT101" s="223"/>
      <c r="QFU101" s="223"/>
      <c r="QFV101" s="223"/>
      <c r="QFW101" s="223"/>
      <c r="QFX101" s="224"/>
      <c r="QFY101" s="222" t="s">
        <v>47</v>
      </c>
      <c r="QFZ101" s="223"/>
      <c r="QGA101" s="223"/>
      <c r="QGB101" s="223"/>
      <c r="QGC101" s="223"/>
      <c r="QGD101" s="223"/>
      <c r="QGE101" s="223"/>
      <c r="QGF101" s="224"/>
      <c r="QGG101" s="222" t="s">
        <v>47</v>
      </c>
      <c r="QGH101" s="223"/>
      <c r="QGI101" s="223"/>
      <c r="QGJ101" s="223"/>
      <c r="QGK101" s="223"/>
      <c r="QGL101" s="223"/>
      <c r="QGM101" s="223"/>
      <c r="QGN101" s="224"/>
      <c r="QGO101" s="222" t="s">
        <v>47</v>
      </c>
      <c r="QGP101" s="223"/>
      <c r="QGQ101" s="223"/>
      <c r="QGR101" s="223"/>
      <c r="QGS101" s="223"/>
      <c r="QGT101" s="223"/>
      <c r="QGU101" s="223"/>
      <c r="QGV101" s="224"/>
      <c r="QGW101" s="222" t="s">
        <v>47</v>
      </c>
      <c r="QGX101" s="223"/>
      <c r="QGY101" s="223"/>
      <c r="QGZ101" s="223"/>
      <c r="QHA101" s="223"/>
      <c r="QHB101" s="223"/>
      <c r="QHC101" s="223"/>
      <c r="QHD101" s="224"/>
      <c r="QHE101" s="222" t="s">
        <v>47</v>
      </c>
      <c r="QHF101" s="223"/>
      <c r="QHG101" s="223"/>
      <c r="QHH101" s="223"/>
      <c r="QHI101" s="223"/>
      <c r="QHJ101" s="223"/>
      <c r="QHK101" s="223"/>
      <c r="QHL101" s="224"/>
      <c r="QHM101" s="222" t="s">
        <v>47</v>
      </c>
      <c r="QHN101" s="223"/>
      <c r="QHO101" s="223"/>
      <c r="QHP101" s="223"/>
      <c r="QHQ101" s="223"/>
      <c r="QHR101" s="223"/>
      <c r="QHS101" s="223"/>
      <c r="QHT101" s="224"/>
      <c r="QHU101" s="222" t="s">
        <v>47</v>
      </c>
      <c r="QHV101" s="223"/>
      <c r="QHW101" s="223"/>
      <c r="QHX101" s="223"/>
      <c r="QHY101" s="223"/>
      <c r="QHZ101" s="223"/>
      <c r="QIA101" s="223"/>
      <c r="QIB101" s="224"/>
      <c r="QIC101" s="222" t="s">
        <v>47</v>
      </c>
      <c r="QID101" s="223"/>
      <c r="QIE101" s="223"/>
      <c r="QIF101" s="223"/>
      <c r="QIG101" s="223"/>
      <c r="QIH101" s="223"/>
      <c r="QII101" s="223"/>
      <c r="QIJ101" s="224"/>
      <c r="QIK101" s="222" t="s">
        <v>47</v>
      </c>
      <c r="QIL101" s="223"/>
      <c r="QIM101" s="223"/>
      <c r="QIN101" s="223"/>
      <c r="QIO101" s="223"/>
      <c r="QIP101" s="223"/>
      <c r="QIQ101" s="223"/>
      <c r="QIR101" s="224"/>
      <c r="QIS101" s="222" t="s">
        <v>47</v>
      </c>
      <c r="QIT101" s="223"/>
      <c r="QIU101" s="223"/>
      <c r="QIV101" s="223"/>
      <c r="QIW101" s="223"/>
      <c r="QIX101" s="223"/>
      <c r="QIY101" s="223"/>
      <c r="QIZ101" s="224"/>
      <c r="QJA101" s="222" t="s">
        <v>47</v>
      </c>
      <c r="QJB101" s="223"/>
      <c r="QJC101" s="223"/>
      <c r="QJD101" s="223"/>
      <c r="QJE101" s="223"/>
      <c r="QJF101" s="223"/>
      <c r="QJG101" s="223"/>
      <c r="QJH101" s="224"/>
      <c r="QJI101" s="222" t="s">
        <v>47</v>
      </c>
      <c r="QJJ101" s="223"/>
      <c r="QJK101" s="223"/>
      <c r="QJL101" s="223"/>
      <c r="QJM101" s="223"/>
      <c r="QJN101" s="223"/>
      <c r="QJO101" s="223"/>
      <c r="QJP101" s="224"/>
      <c r="QJQ101" s="222" t="s">
        <v>47</v>
      </c>
      <c r="QJR101" s="223"/>
      <c r="QJS101" s="223"/>
      <c r="QJT101" s="223"/>
      <c r="QJU101" s="223"/>
      <c r="QJV101" s="223"/>
      <c r="QJW101" s="223"/>
      <c r="QJX101" s="224"/>
      <c r="QJY101" s="222" t="s">
        <v>47</v>
      </c>
      <c r="QJZ101" s="223"/>
      <c r="QKA101" s="223"/>
      <c r="QKB101" s="223"/>
      <c r="QKC101" s="223"/>
      <c r="QKD101" s="223"/>
      <c r="QKE101" s="223"/>
      <c r="QKF101" s="224"/>
      <c r="QKG101" s="222" t="s">
        <v>47</v>
      </c>
      <c r="QKH101" s="223"/>
      <c r="QKI101" s="223"/>
      <c r="QKJ101" s="223"/>
      <c r="QKK101" s="223"/>
      <c r="QKL101" s="223"/>
      <c r="QKM101" s="223"/>
      <c r="QKN101" s="224"/>
      <c r="QKO101" s="222" t="s">
        <v>47</v>
      </c>
      <c r="QKP101" s="223"/>
      <c r="QKQ101" s="223"/>
      <c r="QKR101" s="223"/>
      <c r="QKS101" s="223"/>
      <c r="QKT101" s="223"/>
      <c r="QKU101" s="223"/>
      <c r="QKV101" s="224"/>
      <c r="QKW101" s="222" t="s">
        <v>47</v>
      </c>
      <c r="QKX101" s="223"/>
      <c r="QKY101" s="223"/>
      <c r="QKZ101" s="223"/>
      <c r="QLA101" s="223"/>
      <c r="QLB101" s="223"/>
      <c r="QLC101" s="223"/>
      <c r="QLD101" s="224"/>
      <c r="QLE101" s="222" t="s">
        <v>47</v>
      </c>
      <c r="QLF101" s="223"/>
      <c r="QLG101" s="223"/>
      <c r="QLH101" s="223"/>
      <c r="QLI101" s="223"/>
      <c r="QLJ101" s="223"/>
      <c r="QLK101" s="223"/>
      <c r="QLL101" s="224"/>
      <c r="QLM101" s="222" t="s">
        <v>47</v>
      </c>
      <c r="QLN101" s="223"/>
      <c r="QLO101" s="223"/>
      <c r="QLP101" s="223"/>
      <c r="QLQ101" s="223"/>
      <c r="QLR101" s="223"/>
      <c r="QLS101" s="223"/>
      <c r="QLT101" s="224"/>
      <c r="QLU101" s="222" t="s">
        <v>47</v>
      </c>
      <c r="QLV101" s="223"/>
      <c r="QLW101" s="223"/>
      <c r="QLX101" s="223"/>
      <c r="QLY101" s="223"/>
      <c r="QLZ101" s="223"/>
      <c r="QMA101" s="223"/>
      <c r="QMB101" s="224"/>
      <c r="QMC101" s="222" t="s">
        <v>47</v>
      </c>
      <c r="QMD101" s="223"/>
      <c r="QME101" s="223"/>
      <c r="QMF101" s="223"/>
      <c r="QMG101" s="223"/>
      <c r="QMH101" s="223"/>
      <c r="QMI101" s="223"/>
      <c r="QMJ101" s="224"/>
      <c r="QMK101" s="222" t="s">
        <v>47</v>
      </c>
      <c r="QML101" s="223"/>
      <c r="QMM101" s="223"/>
      <c r="QMN101" s="223"/>
      <c r="QMO101" s="223"/>
      <c r="QMP101" s="223"/>
      <c r="QMQ101" s="223"/>
      <c r="QMR101" s="224"/>
      <c r="QMS101" s="222" t="s">
        <v>47</v>
      </c>
      <c r="QMT101" s="223"/>
      <c r="QMU101" s="223"/>
      <c r="QMV101" s="223"/>
      <c r="QMW101" s="223"/>
      <c r="QMX101" s="223"/>
      <c r="QMY101" s="223"/>
      <c r="QMZ101" s="224"/>
      <c r="QNA101" s="222" t="s">
        <v>47</v>
      </c>
      <c r="QNB101" s="223"/>
      <c r="QNC101" s="223"/>
      <c r="QND101" s="223"/>
      <c r="QNE101" s="223"/>
      <c r="QNF101" s="223"/>
      <c r="QNG101" s="223"/>
      <c r="QNH101" s="224"/>
      <c r="QNI101" s="222" t="s">
        <v>47</v>
      </c>
      <c r="QNJ101" s="223"/>
      <c r="QNK101" s="223"/>
      <c r="QNL101" s="223"/>
      <c r="QNM101" s="223"/>
      <c r="QNN101" s="223"/>
      <c r="QNO101" s="223"/>
      <c r="QNP101" s="224"/>
      <c r="QNQ101" s="222" t="s">
        <v>47</v>
      </c>
      <c r="QNR101" s="223"/>
      <c r="QNS101" s="223"/>
      <c r="QNT101" s="223"/>
      <c r="QNU101" s="223"/>
      <c r="QNV101" s="223"/>
      <c r="QNW101" s="223"/>
      <c r="QNX101" s="224"/>
      <c r="QNY101" s="222" t="s">
        <v>47</v>
      </c>
      <c r="QNZ101" s="223"/>
      <c r="QOA101" s="223"/>
      <c r="QOB101" s="223"/>
      <c r="QOC101" s="223"/>
      <c r="QOD101" s="223"/>
      <c r="QOE101" s="223"/>
      <c r="QOF101" s="224"/>
      <c r="QOG101" s="222" t="s">
        <v>47</v>
      </c>
      <c r="QOH101" s="223"/>
      <c r="QOI101" s="223"/>
      <c r="QOJ101" s="223"/>
      <c r="QOK101" s="223"/>
      <c r="QOL101" s="223"/>
      <c r="QOM101" s="223"/>
      <c r="QON101" s="224"/>
      <c r="QOO101" s="222" t="s">
        <v>47</v>
      </c>
      <c r="QOP101" s="223"/>
      <c r="QOQ101" s="223"/>
      <c r="QOR101" s="223"/>
      <c r="QOS101" s="223"/>
      <c r="QOT101" s="223"/>
      <c r="QOU101" s="223"/>
      <c r="QOV101" s="224"/>
      <c r="QOW101" s="222" t="s">
        <v>47</v>
      </c>
      <c r="QOX101" s="223"/>
      <c r="QOY101" s="223"/>
      <c r="QOZ101" s="223"/>
      <c r="QPA101" s="223"/>
      <c r="QPB101" s="223"/>
      <c r="QPC101" s="223"/>
      <c r="QPD101" s="224"/>
      <c r="QPE101" s="222" t="s">
        <v>47</v>
      </c>
      <c r="QPF101" s="223"/>
      <c r="QPG101" s="223"/>
      <c r="QPH101" s="223"/>
      <c r="QPI101" s="223"/>
      <c r="QPJ101" s="223"/>
      <c r="QPK101" s="223"/>
      <c r="QPL101" s="224"/>
      <c r="QPM101" s="222" t="s">
        <v>47</v>
      </c>
      <c r="QPN101" s="223"/>
      <c r="QPO101" s="223"/>
      <c r="QPP101" s="223"/>
      <c r="QPQ101" s="223"/>
      <c r="QPR101" s="223"/>
      <c r="QPS101" s="223"/>
      <c r="QPT101" s="224"/>
      <c r="QPU101" s="222" t="s">
        <v>47</v>
      </c>
      <c r="QPV101" s="223"/>
      <c r="QPW101" s="223"/>
      <c r="QPX101" s="223"/>
      <c r="QPY101" s="223"/>
      <c r="QPZ101" s="223"/>
      <c r="QQA101" s="223"/>
      <c r="QQB101" s="224"/>
      <c r="QQC101" s="222" t="s">
        <v>47</v>
      </c>
      <c r="QQD101" s="223"/>
      <c r="QQE101" s="223"/>
      <c r="QQF101" s="223"/>
      <c r="QQG101" s="223"/>
      <c r="QQH101" s="223"/>
      <c r="QQI101" s="223"/>
      <c r="QQJ101" s="224"/>
      <c r="QQK101" s="222" t="s">
        <v>47</v>
      </c>
      <c r="QQL101" s="223"/>
      <c r="QQM101" s="223"/>
      <c r="QQN101" s="223"/>
      <c r="QQO101" s="223"/>
      <c r="QQP101" s="223"/>
      <c r="QQQ101" s="223"/>
      <c r="QQR101" s="224"/>
      <c r="QQS101" s="222" t="s">
        <v>47</v>
      </c>
      <c r="QQT101" s="223"/>
      <c r="QQU101" s="223"/>
      <c r="QQV101" s="223"/>
      <c r="QQW101" s="223"/>
      <c r="QQX101" s="223"/>
      <c r="QQY101" s="223"/>
      <c r="QQZ101" s="224"/>
      <c r="QRA101" s="222" t="s">
        <v>47</v>
      </c>
      <c r="QRB101" s="223"/>
      <c r="QRC101" s="223"/>
      <c r="QRD101" s="223"/>
      <c r="QRE101" s="223"/>
      <c r="QRF101" s="223"/>
      <c r="QRG101" s="223"/>
      <c r="QRH101" s="224"/>
      <c r="QRI101" s="222" t="s">
        <v>47</v>
      </c>
      <c r="QRJ101" s="223"/>
      <c r="QRK101" s="223"/>
      <c r="QRL101" s="223"/>
      <c r="QRM101" s="223"/>
      <c r="QRN101" s="223"/>
      <c r="QRO101" s="223"/>
      <c r="QRP101" s="224"/>
      <c r="QRQ101" s="222" t="s">
        <v>47</v>
      </c>
      <c r="QRR101" s="223"/>
      <c r="QRS101" s="223"/>
      <c r="QRT101" s="223"/>
      <c r="QRU101" s="223"/>
      <c r="QRV101" s="223"/>
      <c r="QRW101" s="223"/>
      <c r="QRX101" s="224"/>
      <c r="QRY101" s="222" t="s">
        <v>47</v>
      </c>
      <c r="QRZ101" s="223"/>
      <c r="QSA101" s="223"/>
      <c r="QSB101" s="223"/>
      <c r="QSC101" s="223"/>
      <c r="QSD101" s="223"/>
      <c r="QSE101" s="223"/>
      <c r="QSF101" s="224"/>
      <c r="QSG101" s="222" t="s">
        <v>47</v>
      </c>
      <c r="QSH101" s="223"/>
      <c r="QSI101" s="223"/>
      <c r="QSJ101" s="223"/>
      <c r="QSK101" s="223"/>
      <c r="QSL101" s="223"/>
      <c r="QSM101" s="223"/>
      <c r="QSN101" s="224"/>
      <c r="QSO101" s="222" t="s">
        <v>47</v>
      </c>
      <c r="QSP101" s="223"/>
      <c r="QSQ101" s="223"/>
      <c r="QSR101" s="223"/>
      <c r="QSS101" s="223"/>
      <c r="QST101" s="223"/>
      <c r="QSU101" s="223"/>
      <c r="QSV101" s="224"/>
      <c r="QSW101" s="222" t="s">
        <v>47</v>
      </c>
      <c r="QSX101" s="223"/>
      <c r="QSY101" s="223"/>
      <c r="QSZ101" s="223"/>
      <c r="QTA101" s="223"/>
      <c r="QTB101" s="223"/>
      <c r="QTC101" s="223"/>
      <c r="QTD101" s="224"/>
      <c r="QTE101" s="222" t="s">
        <v>47</v>
      </c>
      <c r="QTF101" s="223"/>
      <c r="QTG101" s="223"/>
      <c r="QTH101" s="223"/>
      <c r="QTI101" s="223"/>
      <c r="QTJ101" s="223"/>
      <c r="QTK101" s="223"/>
      <c r="QTL101" s="224"/>
      <c r="QTM101" s="222" t="s">
        <v>47</v>
      </c>
      <c r="QTN101" s="223"/>
      <c r="QTO101" s="223"/>
      <c r="QTP101" s="223"/>
      <c r="QTQ101" s="223"/>
      <c r="QTR101" s="223"/>
      <c r="QTS101" s="223"/>
      <c r="QTT101" s="224"/>
      <c r="QTU101" s="222" t="s">
        <v>47</v>
      </c>
      <c r="QTV101" s="223"/>
      <c r="QTW101" s="223"/>
      <c r="QTX101" s="223"/>
      <c r="QTY101" s="223"/>
      <c r="QTZ101" s="223"/>
      <c r="QUA101" s="223"/>
      <c r="QUB101" s="224"/>
      <c r="QUC101" s="222" t="s">
        <v>47</v>
      </c>
      <c r="QUD101" s="223"/>
      <c r="QUE101" s="223"/>
      <c r="QUF101" s="223"/>
      <c r="QUG101" s="223"/>
      <c r="QUH101" s="223"/>
      <c r="QUI101" s="223"/>
      <c r="QUJ101" s="224"/>
      <c r="QUK101" s="222" t="s">
        <v>47</v>
      </c>
      <c r="QUL101" s="223"/>
      <c r="QUM101" s="223"/>
      <c r="QUN101" s="223"/>
      <c r="QUO101" s="223"/>
      <c r="QUP101" s="223"/>
      <c r="QUQ101" s="223"/>
      <c r="QUR101" s="224"/>
      <c r="QUS101" s="222" t="s">
        <v>47</v>
      </c>
      <c r="QUT101" s="223"/>
      <c r="QUU101" s="223"/>
      <c r="QUV101" s="223"/>
      <c r="QUW101" s="223"/>
      <c r="QUX101" s="223"/>
      <c r="QUY101" s="223"/>
      <c r="QUZ101" s="224"/>
      <c r="QVA101" s="222" t="s">
        <v>47</v>
      </c>
      <c r="QVB101" s="223"/>
      <c r="QVC101" s="223"/>
      <c r="QVD101" s="223"/>
      <c r="QVE101" s="223"/>
      <c r="QVF101" s="223"/>
      <c r="QVG101" s="223"/>
      <c r="QVH101" s="224"/>
      <c r="QVI101" s="222" t="s">
        <v>47</v>
      </c>
      <c r="QVJ101" s="223"/>
      <c r="QVK101" s="223"/>
      <c r="QVL101" s="223"/>
      <c r="QVM101" s="223"/>
      <c r="QVN101" s="223"/>
      <c r="QVO101" s="223"/>
      <c r="QVP101" s="224"/>
      <c r="QVQ101" s="222" t="s">
        <v>47</v>
      </c>
      <c r="QVR101" s="223"/>
      <c r="QVS101" s="223"/>
      <c r="QVT101" s="223"/>
      <c r="QVU101" s="223"/>
      <c r="QVV101" s="223"/>
      <c r="QVW101" s="223"/>
      <c r="QVX101" s="224"/>
      <c r="QVY101" s="222" t="s">
        <v>47</v>
      </c>
      <c r="QVZ101" s="223"/>
      <c r="QWA101" s="223"/>
      <c r="QWB101" s="223"/>
      <c r="QWC101" s="223"/>
      <c r="QWD101" s="223"/>
      <c r="QWE101" s="223"/>
      <c r="QWF101" s="224"/>
      <c r="QWG101" s="222" t="s">
        <v>47</v>
      </c>
      <c r="QWH101" s="223"/>
      <c r="QWI101" s="223"/>
      <c r="QWJ101" s="223"/>
      <c r="QWK101" s="223"/>
      <c r="QWL101" s="223"/>
      <c r="QWM101" s="223"/>
      <c r="QWN101" s="224"/>
      <c r="QWO101" s="222" t="s">
        <v>47</v>
      </c>
      <c r="QWP101" s="223"/>
      <c r="QWQ101" s="223"/>
      <c r="QWR101" s="223"/>
      <c r="QWS101" s="223"/>
      <c r="QWT101" s="223"/>
      <c r="QWU101" s="223"/>
      <c r="QWV101" s="224"/>
      <c r="QWW101" s="222" t="s">
        <v>47</v>
      </c>
      <c r="QWX101" s="223"/>
      <c r="QWY101" s="223"/>
      <c r="QWZ101" s="223"/>
      <c r="QXA101" s="223"/>
      <c r="QXB101" s="223"/>
      <c r="QXC101" s="223"/>
      <c r="QXD101" s="224"/>
      <c r="QXE101" s="222" t="s">
        <v>47</v>
      </c>
      <c r="QXF101" s="223"/>
      <c r="QXG101" s="223"/>
      <c r="QXH101" s="223"/>
      <c r="QXI101" s="223"/>
      <c r="QXJ101" s="223"/>
      <c r="QXK101" s="223"/>
      <c r="QXL101" s="224"/>
      <c r="QXM101" s="222" t="s">
        <v>47</v>
      </c>
      <c r="QXN101" s="223"/>
      <c r="QXO101" s="223"/>
      <c r="QXP101" s="223"/>
      <c r="QXQ101" s="223"/>
      <c r="QXR101" s="223"/>
      <c r="QXS101" s="223"/>
      <c r="QXT101" s="224"/>
      <c r="QXU101" s="222" t="s">
        <v>47</v>
      </c>
      <c r="QXV101" s="223"/>
      <c r="QXW101" s="223"/>
      <c r="QXX101" s="223"/>
      <c r="QXY101" s="223"/>
      <c r="QXZ101" s="223"/>
      <c r="QYA101" s="223"/>
      <c r="QYB101" s="224"/>
      <c r="QYC101" s="222" t="s">
        <v>47</v>
      </c>
      <c r="QYD101" s="223"/>
      <c r="QYE101" s="223"/>
      <c r="QYF101" s="223"/>
      <c r="QYG101" s="223"/>
      <c r="QYH101" s="223"/>
      <c r="QYI101" s="223"/>
      <c r="QYJ101" s="224"/>
      <c r="QYK101" s="222" t="s">
        <v>47</v>
      </c>
      <c r="QYL101" s="223"/>
      <c r="QYM101" s="223"/>
      <c r="QYN101" s="223"/>
      <c r="QYO101" s="223"/>
      <c r="QYP101" s="223"/>
      <c r="QYQ101" s="223"/>
      <c r="QYR101" s="224"/>
      <c r="QYS101" s="222" t="s">
        <v>47</v>
      </c>
      <c r="QYT101" s="223"/>
      <c r="QYU101" s="223"/>
      <c r="QYV101" s="223"/>
      <c r="QYW101" s="223"/>
      <c r="QYX101" s="223"/>
      <c r="QYY101" s="223"/>
      <c r="QYZ101" s="224"/>
      <c r="QZA101" s="222" t="s">
        <v>47</v>
      </c>
      <c r="QZB101" s="223"/>
      <c r="QZC101" s="223"/>
      <c r="QZD101" s="223"/>
      <c r="QZE101" s="223"/>
      <c r="QZF101" s="223"/>
      <c r="QZG101" s="223"/>
      <c r="QZH101" s="224"/>
      <c r="QZI101" s="222" t="s">
        <v>47</v>
      </c>
      <c r="QZJ101" s="223"/>
      <c r="QZK101" s="223"/>
      <c r="QZL101" s="223"/>
      <c r="QZM101" s="223"/>
      <c r="QZN101" s="223"/>
      <c r="QZO101" s="223"/>
      <c r="QZP101" s="224"/>
      <c r="QZQ101" s="222" t="s">
        <v>47</v>
      </c>
      <c r="QZR101" s="223"/>
      <c r="QZS101" s="223"/>
      <c r="QZT101" s="223"/>
      <c r="QZU101" s="223"/>
      <c r="QZV101" s="223"/>
      <c r="QZW101" s="223"/>
      <c r="QZX101" s="224"/>
      <c r="QZY101" s="222" t="s">
        <v>47</v>
      </c>
      <c r="QZZ101" s="223"/>
      <c r="RAA101" s="223"/>
      <c r="RAB101" s="223"/>
      <c r="RAC101" s="223"/>
      <c r="RAD101" s="223"/>
      <c r="RAE101" s="223"/>
      <c r="RAF101" s="224"/>
      <c r="RAG101" s="222" t="s">
        <v>47</v>
      </c>
      <c r="RAH101" s="223"/>
      <c r="RAI101" s="223"/>
      <c r="RAJ101" s="223"/>
      <c r="RAK101" s="223"/>
      <c r="RAL101" s="223"/>
      <c r="RAM101" s="223"/>
      <c r="RAN101" s="224"/>
      <c r="RAO101" s="222" t="s">
        <v>47</v>
      </c>
      <c r="RAP101" s="223"/>
      <c r="RAQ101" s="223"/>
      <c r="RAR101" s="223"/>
      <c r="RAS101" s="223"/>
      <c r="RAT101" s="223"/>
      <c r="RAU101" s="223"/>
      <c r="RAV101" s="224"/>
      <c r="RAW101" s="222" t="s">
        <v>47</v>
      </c>
      <c r="RAX101" s="223"/>
      <c r="RAY101" s="223"/>
      <c r="RAZ101" s="223"/>
      <c r="RBA101" s="223"/>
      <c r="RBB101" s="223"/>
      <c r="RBC101" s="223"/>
      <c r="RBD101" s="224"/>
      <c r="RBE101" s="222" t="s">
        <v>47</v>
      </c>
      <c r="RBF101" s="223"/>
      <c r="RBG101" s="223"/>
      <c r="RBH101" s="223"/>
      <c r="RBI101" s="223"/>
      <c r="RBJ101" s="223"/>
      <c r="RBK101" s="223"/>
      <c r="RBL101" s="224"/>
      <c r="RBM101" s="222" t="s">
        <v>47</v>
      </c>
      <c r="RBN101" s="223"/>
      <c r="RBO101" s="223"/>
      <c r="RBP101" s="223"/>
      <c r="RBQ101" s="223"/>
      <c r="RBR101" s="223"/>
      <c r="RBS101" s="223"/>
      <c r="RBT101" s="224"/>
      <c r="RBU101" s="222" t="s">
        <v>47</v>
      </c>
      <c r="RBV101" s="223"/>
      <c r="RBW101" s="223"/>
      <c r="RBX101" s="223"/>
      <c r="RBY101" s="223"/>
      <c r="RBZ101" s="223"/>
      <c r="RCA101" s="223"/>
      <c r="RCB101" s="224"/>
      <c r="RCC101" s="222" t="s">
        <v>47</v>
      </c>
      <c r="RCD101" s="223"/>
      <c r="RCE101" s="223"/>
      <c r="RCF101" s="223"/>
      <c r="RCG101" s="223"/>
      <c r="RCH101" s="223"/>
      <c r="RCI101" s="223"/>
      <c r="RCJ101" s="224"/>
      <c r="RCK101" s="222" t="s">
        <v>47</v>
      </c>
      <c r="RCL101" s="223"/>
      <c r="RCM101" s="223"/>
      <c r="RCN101" s="223"/>
      <c r="RCO101" s="223"/>
      <c r="RCP101" s="223"/>
      <c r="RCQ101" s="223"/>
      <c r="RCR101" s="224"/>
      <c r="RCS101" s="222" t="s">
        <v>47</v>
      </c>
      <c r="RCT101" s="223"/>
      <c r="RCU101" s="223"/>
      <c r="RCV101" s="223"/>
      <c r="RCW101" s="223"/>
      <c r="RCX101" s="223"/>
      <c r="RCY101" s="223"/>
      <c r="RCZ101" s="224"/>
      <c r="RDA101" s="222" t="s">
        <v>47</v>
      </c>
      <c r="RDB101" s="223"/>
      <c r="RDC101" s="223"/>
      <c r="RDD101" s="223"/>
      <c r="RDE101" s="223"/>
      <c r="RDF101" s="223"/>
      <c r="RDG101" s="223"/>
      <c r="RDH101" s="224"/>
      <c r="RDI101" s="222" t="s">
        <v>47</v>
      </c>
      <c r="RDJ101" s="223"/>
      <c r="RDK101" s="223"/>
      <c r="RDL101" s="223"/>
      <c r="RDM101" s="223"/>
      <c r="RDN101" s="223"/>
      <c r="RDO101" s="223"/>
      <c r="RDP101" s="224"/>
      <c r="RDQ101" s="222" t="s">
        <v>47</v>
      </c>
      <c r="RDR101" s="223"/>
      <c r="RDS101" s="223"/>
      <c r="RDT101" s="223"/>
      <c r="RDU101" s="223"/>
      <c r="RDV101" s="223"/>
      <c r="RDW101" s="223"/>
      <c r="RDX101" s="224"/>
      <c r="RDY101" s="222" t="s">
        <v>47</v>
      </c>
      <c r="RDZ101" s="223"/>
      <c r="REA101" s="223"/>
      <c r="REB101" s="223"/>
      <c r="REC101" s="223"/>
      <c r="RED101" s="223"/>
      <c r="REE101" s="223"/>
      <c r="REF101" s="224"/>
      <c r="REG101" s="222" t="s">
        <v>47</v>
      </c>
      <c r="REH101" s="223"/>
      <c r="REI101" s="223"/>
      <c r="REJ101" s="223"/>
      <c r="REK101" s="223"/>
      <c r="REL101" s="223"/>
      <c r="REM101" s="223"/>
      <c r="REN101" s="224"/>
      <c r="REO101" s="222" t="s">
        <v>47</v>
      </c>
      <c r="REP101" s="223"/>
      <c r="REQ101" s="223"/>
      <c r="RER101" s="223"/>
      <c r="RES101" s="223"/>
      <c r="RET101" s="223"/>
      <c r="REU101" s="223"/>
      <c r="REV101" s="224"/>
      <c r="REW101" s="222" t="s">
        <v>47</v>
      </c>
      <c r="REX101" s="223"/>
      <c r="REY101" s="223"/>
      <c r="REZ101" s="223"/>
      <c r="RFA101" s="223"/>
      <c r="RFB101" s="223"/>
      <c r="RFC101" s="223"/>
      <c r="RFD101" s="224"/>
      <c r="RFE101" s="222" t="s">
        <v>47</v>
      </c>
      <c r="RFF101" s="223"/>
      <c r="RFG101" s="223"/>
      <c r="RFH101" s="223"/>
      <c r="RFI101" s="223"/>
      <c r="RFJ101" s="223"/>
      <c r="RFK101" s="223"/>
      <c r="RFL101" s="224"/>
      <c r="RFM101" s="222" t="s">
        <v>47</v>
      </c>
      <c r="RFN101" s="223"/>
      <c r="RFO101" s="223"/>
      <c r="RFP101" s="223"/>
      <c r="RFQ101" s="223"/>
      <c r="RFR101" s="223"/>
      <c r="RFS101" s="223"/>
      <c r="RFT101" s="224"/>
      <c r="RFU101" s="222" t="s">
        <v>47</v>
      </c>
      <c r="RFV101" s="223"/>
      <c r="RFW101" s="223"/>
      <c r="RFX101" s="223"/>
      <c r="RFY101" s="223"/>
      <c r="RFZ101" s="223"/>
      <c r="RGA101" s="223"/>
      <c r="RGB101" s="224"/>
      <c r="RGC101" s="222" t="s">
        <v>47</v>
      </c>
      <c r="RGD101" s="223"/>
      <c r="RGE101" s="223"/>
      <c r="RGF101" s="223"/>
      <c r="RGG101" s="223"/>
      <c r="RGH101" s="223"/>
      <c r="RGI101" s="223"/>
      <c r="RGJ101" s="224"/>
      <c r="RGK101" s="222" t="s">
        <v>47</v>
      </c>
      <c r="RGL101" s="223"/>
      <c r="RGM101" s="223"/>
      <c r="RGN101" s="223"/>
      <c r="RGO101" s="223"/>
      <c r="RGP101" s="223"/>
      <c r="RGQ101" s="223"/>
      <c r="RGR101" s="224"/>
      <c r="RGS101" s="222" t="s">
        <v>47</v>
      </c>
      <c r="RGT101" s="223"/>
      <c r="RGU101" s="223"/>
      <c r="RGV101" s="223"/>
      <c r="RGW101" s="223"/>
      <c r="RGX101" s="223"/>
      <c r="RGY101" s="223"/>
      <c r="RGZ101" s="224"/>
      <c r="RHA101" s="222" t="s">
        <v>47</v>
      </c>
      <c r="RHB101" s="223"/>
      <c r="RHC101" s="223"/>
      <c r="RHD101" s="223"/>
      <c r="RHE101" s="223"/>
      <c r="RHF101" s="223"/>
      <c r="RHG101" s="223"/>
      <c r="RHH101" s="224"/>
      <c r="RHI101" s="222" t="s">
        <v>47</v>
      </c>
      <c r="RHJ101" s="223"/>
      <c r="RHK101" s="223"/>
      <c r="RHL101" s="223"/>
      <c r="RHM101" s="223"/>
      <c r="RHN101" s="223"/>
      <c r="RHO101" s="223"/>
      <c r="RHP101" s="224"/>
      <c r="RHQ101" s="222" t="s">
        <v>47</v>
      </c>
      <c r="RHR101" s="223"/>
      <c r="RHS101" s="223"/>
      <c r="RHT101" s="223"/>
      <c r="RHU101" s="223"/>
      <c r="RHV101" s="223"/>
      <c r="RHW101" s="223"/>
      <c r="RHX101" s="224"/>
      <c r="RHY101" s="222" t="s">
        <v>47</v>
      </c>
      <c r="RHZ101" s="223"/>
      <c r="RIA101" s="223"/>
      <c r="RIB101" s="223"/>
      <c r="RIC101" s="223"/>
      <c r="RID101" s="223"/>
      <c r="RIE101" s="223"/>
      <c r="RIF101" s="224"/>
      <c r="RIG101" s="222" t="s">
        <v>47</v>
      </c>
      <c r="RIH101" s="223"/>
      <c r="RII101" s="223"/>
      <c r="RIJ101" s="223"/>
      <c r="RIK101" s="223"/>
      <c r="RIL101" s="223"/>
      <c r="RIM101" s="223"/>
      <c r="RIN101" s="224"/>
      <c r="RIO101" s="222" t="s">
        <v>47</v>
      </c>
      <c r="RIP101" s="223"/>
      <c r="RIQ101" s="223"/>
      <c r="RIR101" s="223"/>
      <c r="RIS101" s="223"/>
      <c r="RIT101" s="223"/>
      <c r="RIU101" s="223"/>
      <c r="RIV101" s="224"/>
      <c r="RIW101" s="222" t="s">
        <v>47</v>
      </c>
      <c r="RIX101" s="223"/>
      <c r="RIY101" s="223"/>
      <c r="RIZ101" s="223"/>
      <c r="RJA101" s="223"/>
      <c r="RJB101" s="223"/>
      <c r="RJC101" s="223"/>
      <c r="RJD101" s="224"/>
      <c r="RJE101" s="222" t="s">
        <v>47</v>
      </c>
      <c r="RJF101" s="223"/>
      <c r="RJG101" s="223"/>
      <c r="RJH101" s="223"/>
      <c r="RJI101" s="223"/>
      <c r="RJJ101" s="223"/>
      <c r="RJK101" s="223"/>
      <c r="RJL101" s="224"/>
      <c r="RJM101" s="222" t="s">
        <v>47</v>
      </c>
      <c r="RJN101" s="223"/>
      <c r="RJO101" s="223"/>
      <c r="RJP101" s="223"/>
      <c r="RJQ101" s="223"/>
      <c r="RJR101" s="223"/>
      <c r="RJS101" s="223"/>
      <c r="RJT101" s="224"/>
      <c r="RJU101" s="222" t="s">
        <v>47</v>
      </c>
      <c r="RJV101" s="223"/>
      <c r="RJW101" s="223"/>
      <c r="RJX101" s="223"/>
      <c r="RJY101" s="223"/>
      <c r="RJZ101" s="223"/>
      <c r="RKA101" s="223"/>
      <c r="RKB101" s="224"/>
      <c r="RKC101" s="222" t="s">
        <v>47</v>
      </c>
      <c r="RKD101" s="223"/>
      <c r="RKE101" s="223"/>
      <c r="RKF101" s="223"/>
      <c r="RKG101" s="223"/>
      <c r="RKH101" s="223"/>
      <c r="RKI101" s="223"/>
      <c r="RKJ101" s="224"/>
      <c r="RKK101" s="222" t="s">
        <v>47</v>
      </c>
      <c r="RKL101" s="223"/>
      <c r="RKM101" s="223"/>
      <c r="RKN101" s="223"/>
      <c r="RKO101" s="223"/>
      <c r="RKP101" s="223"/>
      <c r="RKQ101" s="223"/>
      <c r="RKR101" s="224"/>
      <c r="RKS101" s="222" t="s">
        <v>47</v>
      </c>
      <c r="RKT101" s="223"/>
      <c r="RKU101" s="223"/>
      <c r="RKV101" s="223"/>
      <c r="RKW101" s="223"/>
      <c r="RKX101" s="223"/>
      <c r="RKY101" s="223"/>
      <c r="RKZ101" s="224"/>
      <c r="RLA101" s="222" t="s">
        <v>47</v>
      </c>
      <c r="RLB101" s="223"/>
      <c r="RLC101" s="223"/>
      <c r="RLD101" s="223"/>
      <c r="RLE101" s="223"/>
      <c r="RLF101" s="223"/>
      <c r="RLG101" s="223"/>
      <c r="RLH101" s="224"/>
      <c r="RLI101" s="222" t="s">
        <v>47</v>
      </c>
      <c r="RLJ101" s="223"/>
      <c r="RLK101" s="223"/>
      <c r="RLL101" s="223"/>
      <c r="RLM101" s="223"/>
      <c r="RLN101" s="223"/>
      <c r="RLO101" s="223"/>
      <c r="RLP101" s="224"/>
      <c r="RLQ101" s="222" t="s">
        <v>47</v>
      </c>
      <c r="RLR101" s="223"/>
      <c r="RLS101" s="223"/>
      <c r="RLT101" s="223"/>
      <c r="RLU101" s="223"/>
      <c r="RLV101" s="223"/>
      <c r="RLW101" s="223"/>
      <c r="RLX101" s="224"/>
      <c r="RLY101" s="222" t="s">
        <v>47</v>
      </c>
      <c r="RLZ101" s="223"/>
      <c r="RMA101" s="223"/>
      <c r="RMB101" s="223"/>
      <c r="RMC101" s="223"/>
      <c r="RMD101" s="223"/>
      <c r="RME101" s="223"/>
      <c r="RMF101" s="224"/>
      <c r="RMG101" s="222" t="s">
        <v>47</v>
      </c>
      <c r="RMH101" s="223"/>
      <c r="RMI101" s="223"/>
      <c r="RMJ101" s="223"/>
      <c r="RMK101" s="223"/>
      <c r="RML101" s="223"/>
      <c r="RMM101" s="223"/>
      <c r="RMN101" s="224"/>
      <c r="RMO101" s="222" t="s">
        <v>47</v>
      </c>
      <c r="RMP101" s="223"/>
      <c r="RMQ101" s="223"/>
      <c r="RMR101" s="223"/>
      <c r="RMS101" s="223"/>
      <c r="RMT101" s="223"/>
      <c r="RMU101" s="223"/>
      <c r="RMV101" s="224"/>
      <c r="RMW101" s="222" t="s">
        <v>47</v>
      </c>
      <c r="RMX101" s="223"/>
      <c r="RMY101" s="223"/>
      <c r="RMZ101" s="223"/>
      <c r="RNA101" s="223"/>
      <c r="RNB101" s="223"/>
      <c r="RNC101" s="223"/>
      <c r="RND101" s="224"/>
      <c r="RNE101" s="222" t="s">
        <v>47</v>
      </c>
      <c r="RNF101" s="223"/>
      <c r="RNG101" s="223"/>
      <c r="RNH101" s="223"/>
      <c r="RNI101" s="223"/>
      <c r="RNJ101" s="223"/>
      <c r="RNK101" s="223"/>
      <c r="RNL101" s="224"/>
      <c r="RNM101" s="222" t="s">
        <v>47</v>
      </c>
      <c r="RNN101" s="223"/>
      <c r="RNO101" s="223"/>
      <c r="RNP101" s="223"/>
      <c r="RNQ101" s="223"/>
      <c r="RNR101" s="223"/>
      <c r="RNS101" s="223"/>
      <c r="RNT101" s="224"/>
      <c r="RNU101" s="222" t="s">
        <v>47</v>
      </c>
      <c r="RNV101" s="223"/>
      <c r="RNW101" s="223"/>
      <c r="RNX101" s="223"/>
      <c r="RNY101" s="223"/>
      <c r="RNZ101" s="223"/>
      <c r="ROA101" s="223"/>
      <c r="ROB101" s="224"/>
      <c r="ROC101" s="222" t="s">
        <v>47</v>
      </c>
      <c r="ROD101" s="223"/>
      <c r="ROE101" s="223"/>
      <c r="ROF101" s="223"/>
      <c r="ROG101" s="223"/>
      <c r="ROH101" s="223"/>
      <c r="ROI101" s="223"/>
      <c r="ROJ101" s="224"/>
      <c r="ROK101" s="222" t="s">
        <v>47</v>
      </c>
      <c r="ROL101" s="223"/>
      <c r="ROM101" s="223"/>
      <c r="RON101" s="223"/>
      <c r="ROO101" s="223"/>
      <c r="ROP101" s="223"/>
      <c r="ROQ101" s="223"/>
      <c r="ROR101" s="224"/>
      <c r="ROS101" s="222" t="s">
        <v>47</v>
      </c>
      <c r="ROT101" s="223"/>
      <c r="ROU101" s="223"/>
      <c r="ROV101" s="223"/>
      <c r="ROW101" s="223"/>
      <c r="ROX101" s="223"/>
      <c r="ROY101" s="223"/>
      <c r="ROZ101" s="224"/>
      <c r="RPA101" s="222" t="s">
        <v>47</v>
      </c>
      <c r="RPB101" s="223"/>
      <c r="RPC101" s="223"/>
      <c r="RPD101" s="223"/>
      <c r="RPE101" s="223"/>
      <c r="RPF101" s="223"/>
      <c r="RPG101" s="223"/>
      <c r="RPH101" s="224"/>
      <c r="RPI101" s="222" t="s">
        <v>47</v>
      </c>
      <c r="RPJ101" s="223"/>
      <c r="RPK101" s="223"/>
      <c r="RPL101" s="223"/>
      <c r="RPM101" s="223"/>
      <c r="RPN101" s="223"/>
      <c r="RPO101" s="223"/>
      <c r="RPP101" s="224"/>
      <c r="RPQ101" s="222" t="s">
        <v>47</v>
      </c>
      <c r="RPR101" s="223"/>
      <c r="RPS101" s="223"/>
      <c r="RPT101" s="223"/>
      <c r="RPU101" s="223"/>
      <c r="RPV101" s="223"/>
      <c r="RPW101" s="223"/>
      <c r="RPX101" s="224"/>
      <c r="RPY101" s="222" t="s">
        <v>47</v>
      </c>
      <c r="RPZ101" s="223"/>
      <c r="RQA101" s="223"/>
      <c r="RQB101" s="223"/>
      <c r="RQC101" s="223"/>
      <c r="RQD101" s="223"/>
      <c r="RQE101" s="223"/>
      <c r="RQF101" s="224"/>
      <c r="RQG101" s="222" t="s">
        <v>47</v>
      </c>
      <c r="RQH101" s="223"/>
      <c r="RQI101" s="223"/>
      <c r="RQJ101" s="223"/>
      <c r="RQK101" s="223"/>
      <c r="RQL101" s="223"/>
      <c r="RQM101" s="223"/>
      <c r="RQN101" s="224"/>
      <c r="RQO101" s="222" t="s">
        <v>47</v>
      </c>
      <c r="RQP101" s="223"/>
      <c r="RQQ101" s="223"/>
      <c r="RQR101" s="223"/>
      <c r="RQS101" s="223"/>
      <c r="RQT101" s="223"/>
      <c r="RQU101" s="223"/>
      <c r="RQV101" s="224"/>
      <c r="RQW101" s="222" t="s">
        <v>47</v>
      </c>
      <c r="RQX101" s="223"/>
      <c r="RQY101" s="223"/>
      <c r="RQZ101" s="223"/>
      <c r="RRA101" s="223"/>
      <c r="RRB101" s="223"/>
      <c r="RRC101" s="223"/>
      <c r="RRD101" s="224"/>
      <c r="RRE101" s="222" t="s">
        <v>47</v>
      </c>
      <c r="RRF101" s="223"/>
      <c r="RRG101" s="223"/>
      <c r="RRH101" s="223"/>
      <c r="RRI101" s="223"/>
      <c r="RRJ101" s="223"/>
      <c r="RRK101" s="223"/>
      <c r="RRL101" s="224"/>
      <c r="RRM101" s="222" t="s">
        <v>47</v>
      </c>
      <c r="RRN101" s="223"/>
      <c r="RRO101" s="223"/>
      <c r="RRP101" s="223"/>
      <c r="RRQ101" s="223"/>
      <c r="RRR101" s="223"/>
      <c r="RRS101" s="223"/>
      <c r="RRT101" s="224"/>
      <c r="RRU101" s="222" t="s">
        <v>47</v>
      </c>
      <c r="RRV101" s="223"/>
      <c r="RRW101" s="223"/>
      <c r="RRX101" s="223"/>
      <c r="RRY101" s="223"/>
      <c r="RRZ101" s="223"/>
      <c r="RSA101" s="223"/>
      <c r="RSB101" s="224"/>
      <c r="RSC101" s="222" t="s">
        <v>47</v>
      </c>
      <c r="RSD101" s="223"/>
      <c r="RSE101" s="223"/>
      <c r="RSF101" s="223"/>
      <c r="RSG101" s="223"/>
      <c r="RSH101" s="223"/>
      <c r="RSI101" s="223"/>
      <c r="RSJ101" s="224"/>
      <c r="RSK101" s="222" t="s">
        <v>47</v>
      </c>
      <c r="RSL101" s="223"/>
      <c r="RSM101" s="223"/>
      <c r="RSN101" s="223"/>
      <c r="RSO101" s="223"/>
      <c r="RSP101" s="223"/>
      <c r="RSQ101" s="223"/>
      <c r="RSR101" s="224"/>
      <c r="RSS101" s="222" t="s">
        <v>47</v>
      </c>
      <c r="RST101" s="223"/>
      <c r="RSU101" s="223"/>
      <c r="RSV101" s="223"/>
      <c r="RSW101" s="223"/>
      <c r="RSX101" s="223"/>
      <c r="RSY101" s="223"/>
      <c r="RSZ101" s="224"/>
      <c r="RTA101" s="222" t="s">
        <v>47</v>
      </c>
      <c r="RTB101" s="223"/>
      <c r="RTC101" s="223"/>
      <c r="RTD101" s="223"/>
      <c r="RTE101" s="223"/>
      <c r="RTF101" s="223"/>
      <c r="RTG101" s="223"/>
      <c r="RTH101" s="224"/>
      <c r="RTI101" s="222" t="s">
        <v>47</v>
      </c>
      <c r="RTJ101" s="223"/>
      <c r="RTK101" s="223"/>
      <c r="RTL101" s="223"/>
      <c r="RTM101" s="223"/>
      <c r="RTN101" s="223"/>
      <c r="RTO101" s="223"/>
      <c r="RTP101" s="224"/>
      <c r="RTQ101" s="222" t="s">
        <v>47</v>
      </c>
      <c r="RTR101" s="223"/>
      <c r="RTS101" s="223"/>
      <c r="RTT101" s="223"/>
      <c r="RTU101" s="223"/>
      <c r="RTV101" s="223"/>
      <c r="RTW101" s="223"/>
      <c r="RTX101" s="224"/>
      <c r="RTY101" s="222" t="s">
        <v>47</v>
      </c>
      <c r="RTZ101" s="223"/>
      <c r="RUA101" s="223"/>
      <c r="RUB101" s="223"/>
      <c r="RUC101" s="223"/>
      <c r="RUD101" s="223"/>
      <c r="RUE101" s="223"/>
      <c r="RUF101" s="224"/>
      <c r="RUG101" s="222" t="s">
        <v>47</v>
      </c>
      <c r="RUH101" s="223"/>
      <c r="RUI101" s="223"/>
      <c r="RUJ101" s="223"/>
      <c r="RUK101" s="223"/>
      <c r="RUL101" s="223"/>
      <c r="RUM101" s="223"/>
      <c r="RUN101" s="224"/>
      <c r="RUO101" s="222" t="s">
        <v>47</v>
      </c>
      <c r="RUP101" s="223"/>
      <c r="RUQ101" s="223"/>
      <c r="RUR101" s="223"/>
      <c r="RUS101" s="223"/>
      <c r="RUT101" s="223"/>
      <c r="RUU101" s="223"/>
      <c r="RUV101" s="224"/>
      <c r="RUW101" s="222" t="s">
        <v>47</v>
      </c>
      <c r="RUX101" s="223"/>
      <c r="RUY101" s="223"/>
      <c r="RUZ101" s="223"/>
      <c r="RVA101" s="223"/>
      <c r="RVB101" s="223"/>
      <c r="RVC101" s="223"/>
      <c r="RVD101" s="224"/>
      <c r="RVE101" s="222" t="s">
        <v>47</v>
      </c>
      <c r="RVF101" s="223"/>
      <c r="RVG101" s="223"/>
      <c r="RVH101" s="223"/>
      <c r="RVI101" s="223"/>
      <c r="RVJ101" s="223"/>
      <c r="RVK101" s="223"/>
      <c r="RVL101" s="224"/>
      <c r="RVM101" s="222" t="s">
        <v>47</v>
      </c>
      <c r="RVN101" s="223"/>
      <c r="RVO101" s="223"/>
      <c r="RVP101" s="223"/>
      <c r="RVQ101" s="223"/>
      <c r="RVR101" s="223"/>
      <c r="RVS101" s="223"/>
      <c r="RVT101" s="224"/>
      <c r="RVU101" s="222" t="s">
        <v>47</v>
      </c>
      <c r="RVV101" s="223"/>
      <c r="RVW101" s="223"/>
      <c r="RVX101" s="223"/>
      <c r="RVY101" s="223"/>
      <c r="RVZ101" s="223"/>
      <c r="RWA101" s="223"/>
      <c r="RWB101" s="224"/>
      <c r="RWC101" s="222" t="s">
        <v>47</v>
      </c>
      <c r="RWD101" s="223"/>
      <c r="RWE101" s="223"/>
      <c r="RWF101" s="223"/>
      <c r="RWG101" s="223"/>
      <c r="RWH101" s="223"/>
      <c r="RWI101" s="223"/>
      <c r="RWJ101" s="224"/>
      <c r="RWK101" s="222" t="s">
        <v>47</v>
      </c>
      <c r="RWL101" s="223"/>
      <c r="RWM101" s="223"/>
      <c r="RWN101" s="223"/>
      <c r="RWO101" s="223"/>
      <c r="RWP101" s="223"/>
      <c r="RWQ101" s="223"/>
      <c r="RWR101" s="224"/>
      <c r="RWS101" s="222" t="s">
        <v>47</v>
      </c>
      <c r="RWT101" s="223"/>
      <c r="RWU101" s="223"/>
      <c r="RWV101" s="223"/>
      <c r="RWW101" s="223"/>
      <c r="RWX101" s="223"/>
      <c r="RWY101" s="223"/>
      <c r="RWZ101" s="224"/>
      <c r="RXA101" s="222" t="s">
        <v>47</v>
      </c>
      <c r="RXB101" s="223"/>
      <c r="RXC101" s="223"/>
      <c r="RXD101" s="223"/>
      <c r="RXE101" s="223"/>
      <c r="RXF101" s="223"/>
      <c r="RXG101" s="223"/>
      <c r="RXH101" s="224"/>
      <c r="RXI101" s="222" t="s">
        <v>47</v>
      </c>
      <c r="RXJ101" s="223"/>
      <c r="RXK101" s="223"/>
      <c r="RXL101" s="223"/>
      <c r="RXM101" s="223"/>
      <c r="RXN101" s="223"/>
      <c r="RXO101" s="223"/>
      <c r="RXP101" s="224"/>
      <c r="RXQ101" s="222" t="s">
        <v>47</v>
      </c>
      <c r="RXR101" s="223"/>
      <c r="RXS101" s="223"/>
      <c r="RXT101" s="223"/>
      <c r="RXU101" s="223"/>
      <c r="RXV101" s="223"/>
      <c r="RXW101" s="223"/>
      <c r="RXX101" s="224"/>
      <c r="RXY101" s="222" t="s">
        <v>47</v>
      </c>
      <c r="RXZ101" s="223"/>
      <c r="RYA101" s="223"/>
      <c r="RYB101" s="223"/>
      <c r="RYC101" s="223"/>
      <c r="RYD101" s="223"/>
      <c r="RYE101" s="223"/>
      <c r="RYF101" s="224"/>
      <c r="RYG101" s="222" t="s">
        <v>47</v>
      </c>
      <c r="RYH101" s="223"/>
      <c r="RYI101" s="223"/>
      <c r="RYJ101" s="223"/>
      <c r="RYK101" s="223"/>
      <c r="RYL101" s="223"/>
      <c r="RYM101" s="223"/>
      <c r="RYN101" s="224"/>
      <c r="RYO101" s="222" t="s">
        <v>47</v>
      </c>
      <c r="RYP101" s="223"/>
      <c r="RYQ101" s="223"/>
      <c r="RYR101" s="223"/>
      <c r="RYS101" s="223"/>
      <c r="RYT101" s="223"/>
      <c r="RYU101" s="223"/>
      <c r="RYV101" s="224"/>
      <c r="RYW101" s="222" t="s">
        <v>47</v>
      </c>
      <c r="RYX101" s="223"/>
      <c r="RYY101" s="223"/>
      <c r="RYZ101" s="223"/>
      <c r="RZA101" s="223"/>
      <c r="RZB101" s="223"/>
      <c r="RZC101" s="223"/>
      <c r="RZD101" s="224"/>
      <c r="RZE101" s="222" t="s">
        <v>47</v>
      </c>
      <c r="RZF101" s="223"/>
      <c r="RZG101" s="223"/>
      <c r="RZH101" s="223"/>
      <c r="RZI101" s="223"/>
      <c r="RZJ101" s="223"/>
      <c r="RZK101" s="223"/>
      <c r="RZL101" s="224"/>
      <c r="RZM101" s="222" t="s">
        <v>47</v>
      </c>
      <c r="RZN101" s="223"/>
      <c r="RZO101" s="223"/>
      <c r="RZP101" s="223"/>
      <c r="RZQ101" s="223"/>
      <c r="RZR101" s="223"/>
      <c r="RZS101" s="223"/>
      <c r="RZT101" s="224"/>
      <c r="RZU101" s="222" t="s">
        <v>47</v>
      </c>
      <c r="RZV101" s="223"/>
      <c r="RZW101" s="223"/>
      <c r="RZX101" s="223"/>
      <c r="RZY101" s="223"/>
      <c r="RZZ101" s="223"/>
      <c r="SAA101" s="223"/>
      <c r="SAB101" s="224"/>
      <c r="SAC101" s="222" t="s">
        <v>47</v>
      </c>
      <c r="SAD101" s="223"/>
      <c r="SAE101" s="223"/>
      <c r="SAF101" s="223"/>
      <c r="SAG101" s="223"/>
      <c r="SAH101" s="223"/>
      <c r="SAI101" s="223"/>
      <c r="SAJ101" s="224"/>
      <c r="SAK101" s="222" t="s">
        <v>47</v>
      </c>
      <c r="SAL101" s="223"/>
      <c r="SAM101" s="223"/>
      <c r="SAN101" s="223"/>
      <c r="SAO101" s="223"/>
      <c r="SAP101" s="223"/>
      <c r="SAQ101" s="223"/>
      <c r="SAR101" s="224"/>
      <c r="SAS101" s="222" t="s">
        <v>47</v>
      </c>
      <c r="SAT101" s="223"/>
      <c r="SAU101" s="223"/>
      <c r="SAV101" s="223"/>
      <c r="SAW101" s="223"/>
      <c r="SAX101" s="223"/>
      <c r="SAY101" s="223"/>
      <c r="SAZ101" s="224"/>
      <c r="SBA101" s="222" t="s">
        <v>47</v>
      </c>
      <c r="SBB101" s="223"/>
      <c r="SBC101" s="223"/>
      <c r="SBD101" s="223"/>
      <c r="SBE101" s="223"/>
      <c r="SBF101" s="223"/>
      <c r="SBG101" s="223"/>
      <c r="SBH101" s="224"/>
      <c r="SBI101" s="222" t="s">
        <v>47</v>
      </c>
      <c r="SBJ101" s="223"/>
      <c r="SBK101" s="223"/>
      <c r="SBL101" s="223"/>
      <c r="SBM101" s="223"/>
      <c r="SBN101" s="223"/>
      <c r="SBO101" s="223"/>
      <c r="SBP101" s="224"/>
      <c r="SBQ101" s="222" t="s">
        <v>47</v>
      </c>
      <c r="SBR101" s="223"/>
      <c r="SBS101" s="223"/>
      <c r="SBT101" s="223"/>
      <c r="SBU101" s="223"/>
      <c r="SBV101" s="223"/>
      <c r="SBW101" s="223"/>
      <c r="SBX101" s="224"/>
      <c r="SBY101" s="222" t="s">
        <v>47</v>
      </c>
      <c r="SBZ101" s="223"/>
      <c r="SCA101" s="223"/>
      <c r="SCB101" s="223"/>
      <c r="SCC101" s="223"/>
      <c r="SCD101" s="223"/>
      <c r="SCE101" s="223"/>
      <c r="SCF101" s="224"/>
      <c r="SCG101" s="222" t="s">
        <v>47</v>
      </c>
      <c r="SCH101" s="223"/>
      <c r="SCI101" s="223"/>
      <c r="SCJ101" s="223"/>
      <c r="SCK101" s="223"/>
      <c r="SCL101" s="223"/>
      <c r="SCM101" s="223"/>
      <c r="SCN101" s="224"/>
      <c r="SCO101" s="222" t="s">
        <v>47</v>
      </c>
      <c r="SCP101" s="223"/>
      <c r="SCQ101" s="223"/>
      <c r="SCR101" s="223"/>
      <c r="SCS101" s="223"/>
      <c r="SCT101" s="223"/>
      <c r="SCU101" s="223"/>
      <c r="SCV101" s="224"/>
      <c r="SCW101" s="222" t="s">
        <v>47</v>
      </c>
      <c r="SCX101" s="223"/>
      <c r="SCY101" s="223"/>
      <c r="SCZ101" s="223"/>
      <c r="SDA101" s="223"/>
      <c r="SDB101" s="223"/>
      <c r="SDC101" s="223"/>
      <c r="SDD101" s="224"/>
      <c r="SDE101" s="222" t="s">
        <v>47</v>
      </c>
      <c r="SDF101" s="223"/>
      <c r="SDG101" s="223"/>
      <c r="SDH101" s="223"/>
      <c r="SDI101" s="223"/>
      <c r="SDJ101" s="223"/>
      <c r="SDK101" s="223"/>
      <c r="SDL101" s="224"/>
      <c r="SDM101" s="222" t="s">
        <v>47</v>
      </c>
      <c r="SDN101" s="223"/>
      <c r="SDO101" s="223"/>
      <c r="SDP101" s="223"/>
      <c r="SDQ101" s="223"/>
      <c r="SDR101" s="223"/>
      <c r="SDS101" s="223"/>
      <c r="SDT101" s="224"/>
      <c r="SDU101" s="222" t="s">
        <v>47</v>
      </c>
      <c r="SDV101" s="223"/>
      <c r="SDW101" s="223"/>
      <c r="SDX101" s="223"/>
      <c r="SDY101" s="223"/>
      <c r="SDZ101" s="223"/>
      <c r="SEA101" s="223"/>
      <c r="SEB101" s="224"/>
      <c r="SEC101" s="222" t="s">
        <v>47</v>
      </c>
      <c r="SED101" s="223"/>
      <c r="SEE101" s="223"/>
      <c r="SEF101" s="223"/>
      <c r="SEG101" s="223"/>
      <c r="SEH101" s="223"/>
      <c r="SEI101" s="223"/>
      <c r="SEJ101" s="224"/>
      <c r="SEK101" s="222" t="s">
        <v>47</v>
      </c>
      <c r="SEL101" s="223"/>
      <c r="SEM101" s="223"/>
      <c r="SEN101" s="223"/>
      <c r="SEO101" s="223"/>
      <c r="SEP101" s="223"/>
      <c r="SEQ101" s="223"/>
      <c r="SER101" s="224"/>
      <c r="SES101" s="222" t="s">
        <v>47</v>
      </c>
      <c r="SET101" s="223"/>
      <c r="SEU101" s="223"/>
      <c r="SEV101" s="223"/>
      <c r="SEW101" s="223"/>
      <c r="SEX101" s="223"/>
      <c r="SEY101" s="223"/>
      <c r="SEZ101" s="224"/>
      <c r="SFA101" s="222" t="s">
        <v>47</v>
      </c>
      <c r="SFB101" s="223"/>
      <c r="SFC101" s="223"/>
      <c r="SFD101" s="223"/>
      <c r="SFE101" s="223"/>
      <c r="SFF101" s="223"/>
      <c r="SFG101" s="223"/>
      <c r="SFH101" s="224"/>
      <c r="SFI101" s="222" t="s">
        <v>47</v>
      </c>
      <c r="SFJ101" s="223"/>
      <c r="SFK101" s="223"/>
      <c r="SFL101" s="223"/>
      <c r="SFM101" s="223"/>
      <c r="SFN101" s="223"/>
      <c r="SFO101" s="223"/>
      <c r="SFP101" s="224"/>
      <c r="SFQ101" s="222" t="s">
        <v>47</v>
      </c>
      <c r="SFR101" s="223"/>
      <c r="SFS101" s="223"/>
      <c r="SFT101" s="223"/>
      <c r="SFU101" s="223"/>
      <c r="SFV101" s="223"/>
      <c r="SFW101" s="223"/>
      <c r="SFX101" s="224"/>
      <c r="SFY101" s="222" t="s">
        <v>47</v>
      </c>
      <c r="SFZ101" s="223"/>
      <c r="SGA101" s="223"/>
      <c r="SGB101" s="223"/>
      <c r="SGC101" s="223"/>
      <c r="SGD101" s="223"/>
      <c r="SGE101" s="223"/>
      <c r="SGF101" s="224"/>
      <c r="SGG101" s="222" t="s">
        <v>47</v>
      </c>
      <c r="SGH101" s="223"/>
      <c r="SGI101" s="223"/>
      <c r="SGJ101" s="223"/>
      <c r="SGK101" s="223"/>
      <c r="SGL101" s="223"/>
      <c r="SGM101" s="223"/>
      <c r="SGN101" s="224"/>
      <c r="SGO101" s="222" t="s">
        <v>47</v>
      </c>
      <c r="SGP101" s="223"/>
      <c r="SGQ101" s="223"/>
      <c r="SGR101" s="223"/>
      <c r="SGS101" s="223"/>
      <c r="SGT101" s="223"/>
      <c r="SGU101" s="223"/>
      <c r="SGV101" s="224"/>
      <c r="SGW101" s="222" t="s">
        <v>47</v>
      </c>
      <c r="SGX101" s="223"/>
      <c r="SGY101" s="223"/>
      <c r="SGZ101" s="223"/>
      <c r="SHA101" s="223"/>
      <c r="SHB101" s="223"/>
      <c r="SHC101" s="223"/>
      <c r="SHD101" s="224"/>
      <c r="SHE101" s="222" t="s">
        <v>47</v>
      </c>
      <c r="SHF101" s="223"/>
      <c r="SHG101" s="223"/>
      <c r="SHH101" s="223"/>
      <c r="SHI101" s="223"/>
      <c r="SHJ101" s="223"/>
      <c r="SHK101" s="223"/>
      <c r="SHL101" s="224"/>
      <c r="SHM101" s="222" t="s">
        <v>47</v>
      </c>
      <c r="SHN101" s="223"/>
      <c r="SHO101" s="223"/>
      <c r="SHP101" s="223"/>
      <c r="SHQ101" s="223"/>
      <c r="SHR101" s="223"/>
      <c r="SHS101" s="223"/>
      <c r="SHT101" s="224"/>
      <c r="SHU101" s="222" t="s">
        <v>47</v>
      </c>
      <c r="SHV101" s="223"/>
      <c r="SHW101" s="223"/>
      <c r="SHX101" s="223"/>
      <c r="SHY101" s="223"/>
      <c r="SHZ101" s="223"/>
      <c r="SIA101" s="223"/>
      <c r="SIB101" s="224"/>
      <c r="SIC101" s="222" t="s">
        <v>47</v>
      </c>
      <c r="SID101" s="223"/>
      <c r="SIE101" s="223"/>
      <c r="SIF101" s="223"/>
      <c r="SIG101" s="223"/>
      <c r="SIH101" s="223"/>
      <c r="SII101" s="223"/>
      <c r="SIJ101" s="224"/>
      <c r="SIK101" s="222" t="s">
        <v>47</v>
      </c>
      <c r="SIL101" s="223"/>
      <c r="SIM101" s="223"/>
      <c r="SIN101" s="223"/>
      <c r="SIO101" s="223"/>
      <c r="SIP101" s="223"/>
      <c r="SIQ101" s="223"/>
      <c r="SIR101" s="224"/>
      <c r="SIS101" s="222" t="s">
        <v>47</v>
      </c>
      <c r="SIT101" s="223"/>
      <c r="SIU101" s="223"/>
      <c r="SIV101" s="223"/>
      <c r="SIW101" s="223"/>
      <c r="SIX101" s="223"/>
      <c r="SIY101" s="223"/>
      <c r="SIZ101" s="224"/>
      <c r="SJA101" s="222" t="s">
        <v>47</v>
      </c>
      <c r="SJB101" s="223"/>
      <c r="SJC101" s="223"/>
      <c r="SJD101" s="223"/>
      <c r="SJE101" s="223"/>
      <c r="SJF101" s="223"/>
      <c r="SJG101" s="223"/>
      <c r="SJH101" s="224"/>
      <c r="SJI101" s="222" t="s">
        <v>47</v>
      </c>
      <c r="SJJ101" s="223"/>
      <c r="SJK101" s="223"/>
      <c r="SJL101" s="223"/>
      <c r="SJM101" s="223"/>
      <c r="SJN101" s="223"/>
      <c r="SJO101" s="223"/>
      <c r="SJP101" s="224"/>
      <c r="SJQ101" s="222" t="s">
        <v>47</v>
      </c>
      <c r="SJR101" s="223"/>
      <c r="SJS101" s="223"/>
      <c r="SJT101" s="223"/>
      <c r="SJU101" s="223"/>
      <c r="SJV101" s="223"/>
      <c r="SJW101" s="223"/>
      <c r="SJX101" s="224"/>
      <c r="SJY101" s="222" t="s">
        <v>47</v>
      </c>
      <c r="SJZ101" s="223"/>
      <c r="SKA101" s="223"/>
      <c r="SKB101" s="223"/>
      <c r="SKC101" s="223"/>
      <c r="SKD101" s="223"/>
      <c r="SKE101" s="223"/>
      <c r="SKF101" s="224"/>
      <c r="SKG101" s="222" t="s">
        <v>47</v>
      </c>
      <c r="SKH101" s="223"/>
      <c r="SKI101" s="223"/>
      <c r="SKJ101" s="223"/>
      <c r="SKK101" s="223"/>
      <c r="SKL101" s="223"/>
      <c r="SKM101" s="223"/>
      <c r="SKN101" s="224"/>
      <c r="SKO101" s="222" t="s">
        <v>47</v>
      </c>
      <c r="SKP101" s="223"/>
      <c r="SKQ101" s="223"/>
      <c r="SKR101" s="223"/>
      <c r="SKS101" s="223"/>
      <c r="SKT101" s="223"/>
      <c r="SKU101" s="223"/>
      <c r="SKV101" s="224"/>
      <c r="SKW101" s="222" t="s">
        <v>47</v>
      </c>
      <c r="SKX101" s="223"/>
      <c r="SKY101" s="223"/>
      <c r="SKZ101" s="223"/>
      <c r="SLA101" s="223"/>
      <c r="SLB101" s="223"/>
      <c r="SLC101" s="223"/>
      <c r="SLD101" s="224"/>
      <c r="SLE101" s="222" t="s">
        <v>47</v>
      </c>
      <c r="SLF101" s="223"/>
      <c r="SLG101" s="223"/>
      <c r="SLH101" s="223"/>
      <c r="SLI101" s="223"/>
      <c r="SLJ101" s="223"/>
      <c r="SLK101" s="223"/>
      <c r="SLL101" s="224"/>
      <c r="SLM101" s="222" t="s">
        <v>47</v>
      </c>
      <c r="SLN101" s="223"/>
      <c r="SLO101" s="223"/>
      <c r="SLP101" s="223"/>
      <c r="SLQ101" s="223"/>
      <c r="SLR101" s="223"/>
      <c r="SLS101" s="223"/>
      <c r="SLT101" s="224"/>
      <c r="SLU101" s="222" t="s">
        <v>47</v>
      </c>
      <c r="SLV101" s="223"/>
      <c r="SLW101" s="223"/>
      <c r="SLX101" s="223"/>
      <c r="SLY101" s="223"/>
      <c r="SLZ101" s="223"/>
      <c r="SMA101" s="223"/>
      <c r="SMB101" s="224"/>
      <c r="SMC101" s="222" t="s">
        <v>47</v>
      </c>
      <c r="SMD101" s="223"/>
      <c r="SME101" s="223"/>
      <c r="SMF101" s="223"/>
      <c r="SMG101" s="223"/>
      <c r="SMH101" s="223"/>
      <c r="SMI101" s="223"/>
      <c r="SMJ101" s="224"/>
      <c r="SMK101" s="222" t="s">
        <v>47</v>
      </c>
      <c r="SML101" s="223"/>
      <c r="SMM101" s="223"/>
      <c r="SMN101" s="223"/>
      <c r="SMO101" s="223"/>
      <c r="SMP101" s="223"/>
      <c r="SMQ101" s="223"/>
      <c r="SMR101" s="224"/>
      <c r="SMS101" s="222" t="s">
        <v>47</v>
      </c>
      <c r="SMT101" s="223"/>
      <c r="SMU101" s="223"/>
      <c r="SMV101" s="223"/>
      <c r="SMW101" s="223"/>
      <c r="SMX101" s="223"/>
      <c r="SMY101" s="223"/>
      <c r="SMZ101" s="224"/>
      <c r="SNA101" s="222" t="s">
        <v>47</v>
      </c>
      <c r="SNB101" s="223"/>
      <c r="SNC101" s="223"/>
      <c r="SND101" s="223"/>
      <c r="SNE101" s="223"/>
      <c r="SNF101" s="223"/>
      <c r="SNG101" s="223"/>
      <c r="SNH101" s="224"/>
      <c r="SNI101" s="222" t="s">
        <v>47</v>
      </c>
      <c r="SNJ101" s="223"/>
      <c r="SNK101" s="223"/>
      <c r="SNL101" s="223"/>
      <c r="SNM101" s="223"/>
      <c r="SNN101" s="223"/>
      <c r="SNO101" s="223"/>
      <c r="SNP101" s="224"/>
      <c r="SNQ101" s="222" t="s">
        <v>47</v>
      </c>
      <c r="SNR101" s="223"/>
      <c r="SNS101" s="223"/>
      <c r="SNT101" s="223"/>
      <c r="SNU101" s="223"/>
      <c r="SNV101" s="223"/>
      <c r="SNW101" s="223"/>
      <c r="SNX101" s="224"/>
      <c r="SNY101" s="222" t="s">
        <v>47</v>
      </c>
      <c r="SNZ101" s="223"/>
      <c r="SOA101" s="223"/>
      <c r="SOB101" s="223"/>
      <c r="SOC101" s="223"/>
      <c r="SOD101" s="223"/>
      <c r="SOE101" s="223"/>
      <c r="SOF101" s="224"/>
      <c r="SOG101" s="222" t="s">
        <v>47</v>
      </c>
      <c r="SOH101" s="223"/>
      <c r="SOI101" s="223"/>
      <c r="SOJ101" s="223"/>
      <c r="SOK101" s="223"/>
      <c r="SOL101" s="223"/>
      <c r="SOM101" s="223"/>
      <c r="SON101" s="224"/>
      <c r="SOO101" s="222" t="s">
        <v>47</v>
      </c>
      <c r="SOP101" s="223"/>
      <c r="SOQ101" s="223"/>
      <c r="SOR101" s="223"/>
      <c r="SOS101" s="223"/>
      <c r="SOT101" s="223"/>
      <c r="SOU101" s="223"/>
      <c r="SOV101" s="224"/>
      <c r="SOW101" s="222" t="s">
        <v>47</v>
      </c>
      <c r="SOX101" s="223"/>
      <c r="SOY101" s="223"/>
      <c r="SOZ101" s="223"/>
      <c r="SPA101" s="223"/>
      <c r="SPB101" s="223"/>
      <c r="SPC101" s="223"/>
      <c r="SPD101" s="224"/>
      <c r="SPE101" s="222" t="s">
        <v>47</v>
      </c>
      <c r="SPF101" s="223"/>
      <c r="SPG101" s="223"/>
      <c r="SPH101" s="223"/>
      <c r="SPI101" s="223"/>
      <c r="SPJ101" s="223"/>
      <c r="SPK101" s="223"/>
      <c r="SPL101" s="224"/>
      <c r="SPM101" s="222" t="s">
        <v>47</v>
      </c>
      <c r="SPN101" s="223"/>
      <c r="SPO101" s="223"/>
      <c r="SPP101" s="223"/>
      <c r="SPQ101" s="223"/>
      <c r="SPR101" s="223"/>
      <c r="SPS101" s="223"/>
      <c r="SPT101" s="224"/>
      <c r="SPU101" s="222" t="s">
        <v>47</v>
      </c>
      <c r="SPV101" s="223"/>
      <c r="SPW101" s="223"/>
      <c r="SPX101" s="223"/>
      <c r="SPY101" s="223"/>
      <c r="SPZ101" s="223"/>
      <c r="SQA101" s="223"/>
      <c r="SQB101" s="224"/>
      <c r="SQC101" s="222" t="s">
        <v>47</v>
      </c>
      <c r="SQD101" s="223"/>
      <c r="SQE101" s="223"/>
      <c r="SQF101" s="223"/>
      <c r="SQG101" s="223"/>
      <c r="SQH101" s="223"/>
      <c r="SQI101" s="223"/>
      <c r="SQJ101" s="224"/>
      <c r="SQK101" s="222" t="s">
        <v>47</v>
      </c>
      <c r="SQL101" s="223"/>
      <c r="SQM101" s="223"/>
      <c r="SQN101" s="223"/>
      <c r="SQO101" s="223"/>
      <c r="SQP101" s="223"/>
      <c r="SQQ101" s="223"/>
      <c r="SQR101" s="224"/>
      <c r="SQS101" s="222" t="s">
        <v>47</v>
      </c>
      <c r="SQT101" s="223"/>
      <c r="SQU101" s="223"/>
      <c r="SQV101" s="223"/>
      <c r="SQW101" s="223"/>
      <c r="SQX101" s="223"/>
      <c r="SQY101" s="223"/>
      <c r="SQZ101" s="224"/>
      <c r="SRA101" s="222" t="s">
        <v>47</v>
      </c>
      <c r="SRB101" s="223"/>
      <c r="SRC101" s="223"/>
      <c r="SRD101" s="223"/>
      <c r="SRE101" s="223"/>
      <c r="SRF101" s="223"/>
      <c r="SRG101" s="223"/>
      <c r="SRH101" s="224"/>
      <c r="SRI101" s="222" t="s">
        <v>47</v>
      </c>
      <c r="SRJ101" s="223"/>
      <c r="SRK101" s="223"/>
      <c r="SRL101" s="223"/>
      <c r="SRM101" s="223"/>
      <c r="SRN101" s="223"/>
      <c r="SRO101" s="223"/>
      <c r="SRP101" s="224"/>
      <c r="SRQ101" s="222" t="s">
        <v>47</v>
      </c>
      <c r="SRR101" s="223"/>
      <c r="SRS101" s="223"/>
      <c r="SRT101" s="223"/>
      <c r="SRU101" s="223"/>
      <c r="SRV101" s="223"/>
      <c r="SRW101" s="223"/>
      <c r="SRX101" s="224"/>
      <c r="SRY101" s="222" t="s">
        <v>47</v>
      </c>
      <c r="SRZ101" s="223"/>
      <c r="SSA101" s="223"/>
      <c r="SSB101" s="223"/>
      <c r="SSC101" s="223"/>
      <c r="SSD101" s="223"/>
      <c r="SSE101" s="223"/>
      <c r="SSF101" s="224"/>
      <c r="SSG101" s="222" t="s">
        <v>47</v>
      </c>
      <c r="SSH101" s="223"/>
      <c r="SSI101" s="223"/>
      <c r="SSJ101" s="223"/>
      <c r="SSK101" s="223"/>
      <c r="SSL101" s="223"/>
      <c r="SSM101" s="223"/>
      <c r="SSN101" s="224"/>
      <c r="SSO101" s="222" t="s">
        <v>47</v>
      </c>
      <c r="SSP101" s="223"/>
      <c r="SSQ101" s="223"/>
      <c r="SSR101" s="223"/>
      <c r="SSS101" s="223"/>
      <c r="SST101" s="223"/>
      <c r="SSU101" s="223"/>
      <c r="SSV101" s="224"/>
      <c r="SSW101" s="222" t="s">
        <v>47</v>
      </c>
      <c r="SSX101" s="223"/>
      <c r="SSY101" s="223"/>
      <c r="SSZ101" s="223"/>
      <c r="STA101" s="223"/>
      <c r="STB101" s="223"/>
      <c r="STC101" s="223"/>
      <c r="STD101" s="224"/>
      <c r="STE101" s="222" t="s">
        <v>47</v>
      </c>
      <c r="STF101" s="223"/>
      <c r="STG101" s="223"/>
      <c r="STH101" s="223"/>
      <c r="STI101" s="223"/>
      <c r="STJ101" s="223"/>
      <c r="STK101" s="223"/>
      <c r="STL101" s="224"/>
      <c r="STM101" s="222" t="s">
        <v>47</v>
      </c>
      <c r="STN101" s="223"/>
      <c r="STO101" s="223"/>
      <c r="STP101" s="223"/>
      <c r="STQ101" s="223"/>
      <c r="STR101" s="223"/>
      <c r="STS101" s="223"/>
      <c r="STT101" s="224"/>
      <c r="STU101" s="222" t="s">
        <v>47</v>
      </c>
      <c r="STV101" s="223"/>
      <c r="STW101" s="223"/>
      <c r="STX101" s="223"/>
      <c r="STY101" s="223"/>
      <c r="STZ101" s="223"/>
      <c r="SUA101" s="223"/>
      <c r="SUB101" s="224"/>
      <c r="SUC101" s="222" t="s">
        <v>47</v>
      </c>
      <c r="SUD101" s="223"/>
      <c r="SUE101" s="223"/>
      <c r="SUF101" s="223"/>
      <c r="SUG101" s="223"/>
      <c r="SUH101" s="223"/>
      <c r="SUI101" s="223"/>
      <c r="SUJ101" s="224"/>
      <c r="SUK101" s="222" t="s">
        <v>47</v>
      </c>
      <c r="SUL101" s="223"/>
      <c r="SUM101" s="223"/>
      <c r="SUN101" s="223"/>
      <c r="SUO101" s="223"/>
      <c r="SUP101" s="223"/>
      <c r="SUQ101" s="223"/>
      <c r="SUR101" s="224"/>
      <c r="SUS101" s="222" t="s">
        <v>47</v>
      </c>
      <c r="SUT101" s="223"/>
      <c r="SUU101" s="223"/>
      <c r="SUV101" s="223"/>
      <c r="SUW101" s="223"/>
      <c r="SUX101" s="223"/>
      <c r="SUY101" s="223"/>
      <c r="SUZ101" s="224"/>
      <c r="SVA101" s="222" t="s">
        <v>47</v>
      </c>
      <c r="SVB101" s="223"/>
      <c r="SVC101" s="223"/>
      <c r="SVD101" s="223"/>
      <c r="SVE101" s="223"/>
      <c r="SVF101" s="223"/>
      <c r="SVG101" s="223"/>
      <c r="SVH101" s="224"/>
      <c r="SVI101" s="222" t="s">
        <v>47</v>
      </c>
      <c r="SVJ101" s="223"/>
      <c r="SVK101" s="223"/>
      <c r="SVL101" s="223"/>
      <c r="SVM101" s="223"/>
      <c r="SVN101" s="223"/>
      <c r="SVO101" s="223"/>
      <c r="SVP101" s="224"/>
      <c r="SVQ101" s="222" t="s">
        <v>47</v>
      </c>
      <c r="SVR101" s="223"/>
      <c r="SVS101" s="223"/>
      <c r="SVT101" s="223"/>
      <c r="SVU101" s="223"/>
      <c r="SVV101" s="223"/>
      <c r="SVW101" s="223"/>
      <c r="SVX101" s="224"/>
      <c r="SVY101" s="222" t="s">
        <v>47</v>
      </c>
      <c r="SVZ101" s="223"/>
      <c r="SWA101" s="223"/>
      <c r="SWB101" s="223"/>
      <c r="SWC101" s="223"/>
      <c r="SWD101" s="223"/>
      <c r="SWE101" s="223"/>
      <c r="SWF101" s="224"/>
      <c r="SWG101" s="222" t="s">
        <v>47</v>
      </c>
      <c r="SWH101" s="223"/>
      <c r="SWI101" s="223"/>
      <c r="SWJ101" s="223"/>
      <c r="SWK101" s="223"/>
      <c r="SWL101" s="223"/>
      <c r="SWM101" s="223"/>
      <c r="SWN101" s="224"/>
      <c r="SWO101" s="222" t="s">
        <v>47</v>
      </c>
      <c r="SWP101" s="223"/>
      <c r="SWQ101" s="223"/>
      <c r="SWR101" s="223"/>
      <c r="SWS101" s="223"/>
      <c r="SWT101" s="223"/>
      <c r="SWU101" s="223"/>
      <c r="SWV101" s="224"/>
      <c r="SWW101" s="222" t="s">
        <v>47</v>
      </c>
      <c r="SWX101" s="223"/>
      <c r="SWY101" s="223"/>
      <c r="SWZ101" s="223"/>
      <c r="SXA101" s="223"/>
      <c r="SXB101" s="223"/>
      <c r="SXC101" s="223"/>
      <c r="SXD101" s="224"/>
      <c r="SXE101" s="222" t="s">
        <v>47</v>
      </c>
      <c r="SXF101" s="223"/>
      <c r="SXG101" s="223"/>
      <c r="SXH101" s="223"/>
      <c r="SXI101" s="223"/>
      <c r="SXJ101" s="223"/>
      <c r="SXK101" s="223"/>
      <c r="SXL101" s="224"/>
      <c r="SXM101" s="222" t="s">
        <v>47</v>
      </c>
      <c r="SXN101" s="223"/>
      <c r="SXO101" s="223"/>
      <c r="SXP101" s="223"/>
      <c r="SXQ101" s="223"/>
      <c r="SXR101" s="223"/>
      <c r="SXS101" s="223"/>
      <c r="SXT101" s="224"/>
      <c r="SXU101" s="222" t="s">
        <v>47</v>
      </c>
      <c r="SXV101" s="223"/>
      <c r="SXW101" s="223"/>
      <c r="SXX101" s="223"/>
      <c r="SXY101" s="223"/>
      <c r="SXZ101" s="223"/>
      <c r="SYA101" s="223"/>
      <c r="SYB101" s="224"/>
      <c r="SYC101" s="222" t="s">
        <v>47</v>
      </c>
      <c r="SYD101" s="223"/>
      <c r="SYE101" s="223"/>
      <c r="SYF101" s="223"/>
      <c r="SYG101" s="223"/>
      <c r="SYH101" s="223"/>
      <c r="SYI101" s="223"/>
      <c r="SYJ101" s="224"/>
      <c r="SYK101" s="222" t="s">
        <v>47</v>
      </c>
      <c r="SYL101" s="223"/>
      <c r="SYM101" s="223"/>
      <c r="SYN101" s="223"/>
      <c r="SYO101" s="223"/>
      <c r="SYP101" s="223"/>
      <c r="SYQ101" s="223"/>
      <c r="SYR101" s="224"/>
      <c r="SYS101" s="222" t="s">
        <v>47</v>
      </c>
      <c r="SYT101" s="223"/>
      <c r="SYU101" s="223"/>
      <c r="SYV101" s="223"/>
      <c r="SYW101" s="223"/>
      <c r="SYX101" s="223"/>
      <c r="SYY101" s="223"/>
      <c r="SYZ101" s="224"/>
      <c r="SZA101" s="222" t="s">
        <v>47</v>
      </c>
      <c r="SZB101" s="223"/>
      <c r="SZC101" s="223"/>
      <c r="SZD101" s="223"/>
      <c r="SZE101" s="223"/>
      <c r="SZF101" s="223"/>
      <c r="SZG101" s="223"/>
      <c r="SZH101" s="224"/>
      <c r="SZI101" s="222" t="s">
        <v>47</v>
      </c>
      <c r="SZJ101" s="223"/>
      <c r="SZK101" s="223"/>
      <c r="SZL101" s="223"/>
      <c r="SZM101" s="223"/>
      <c r="SZN101" s="223"/>
      <c r="SZO101" s="223"/>
      <c r="SZP101" s="224"/>
      <c r="SZQ101" s="222" t="s">
        <v>47</v>
      </c>
      <c r="SZR101" s="223"/>
      <c r="SZS101" s="223"/>
      <c r="SZT101" s="223"/>
      <c r="SZU101" s="223"/>
      <c r="SZV101" s="223"/>
      <c r="SZW101" s="223"/>
      <c r="SZX101" s="224"/>
      <c r="SZY101" s="222" t="s">
        <v>47</v>
      </c>
      <c r="SZZ101" s="223"/>
      <c r="TAA101" s="223"/>
      <c r="TAB101" s="223"/>
      <c r="TAC101" s="223"/>
      <c r="TAD101" s="223"/>
      <c r="TAE101" s="223"/>
      <c r="TAF101" s="224"/>
      <c r="TAG101" s="222" t="s">
        <v>47</v>
      </c>
      <c r="TAH101" s="223"/>
      <c r="TAI101" s="223"/>
      <c r="TAJ101" s="223"/>
      <c r="TAK101" s="223"/>
      <c r="TAL101" s="223"/>
      <c r="TAM101" s="223"/>
      <c r="TAN101" s="224"/>
      <c r="TAO101" s="222" t="s">
        <v>47</v>
      </c>
      <c r="TAP101" s="223"/>
      <c r="TAQ101" s="223"/>
      <c r="TAR101" s="223"/>
      <c r="TAS101" s="223"/>
      <c r="TAT101" s="223"/>
      <c r="TAU101" s="223"/>
      <c r="TAV101" s="224"/>
      <c r="TAW101" s="222" t="s">
        <v>47</v>
      </c>
      <c r="TAX101" s="223"/>
      <c r="TAY101" s="223"/>
      <c r="TAZ101" s="223"/>
      <c r="TBA101" s="223"/>
      <c r="TBB101" s="223"/>
      <c r="TBC101" s="223"/>
      <c r="TBD101" s="224"/>
      <c r="TBE101" s="222" t="s">
        <v>47</v>
      </c>
      <c r="TBF101" s="223"/>
      <c r="TBG101" s="223"/>
      <c r="TBH101" s="223"/>
      <c r="TBI101" s="223"/>
      <c r="TBJ101" s="223"/>
      <c r="TBK101" s="223"/>
      <c r="TBL101" s="224"/>
      <c r="TBM101" s="222" t="s">
        <v>47</v>
      </c>
      <c r="TBN101" s="223"/>
      <c r="TBO101" s="223"/>
      <c r="TBP101" s="223"/>
      <c r="TBQ101" s="223"/>
      <c r="TBR101" s="223"/>
      <c r="TBS101" s="223"/>
      <c r="TBT101" s="224"/>
      <c r="TBU101" s="222" t="s">
        <v>47</v>
      </c>
      <c r="TBV101" s="223"/>
      <c r="TBW101" s="223"/>
      <c r="TBX101" s="223"/>
      <c r="TBY101" s="223"/>
      <c r="TBZ101" s="223"/>
      <c r="TCA101" s="223"/>
      <c r="TCB101" s="224"/>
      <c r="TCC101" s="222" t="s">
        <v>47</v>
      </c>
      <c r="TCD101" s="223"/>
      <c r="TCE101" s="223"/>
      <c r="TCF101" s="223"/>
      <c r="TCG101" s="223"/>
      <c r="TCH101" s="223"/>
      <c r="TCI101" s="223"/>
      <c r="TCJ101" s="224"/>
      <c r="TCK101" s="222" t="s">
        <v>47</v>
      </c>
      <c r="TCL101" s="223"/>
      <c r="TCM101" s="223"/>
      <c r="TCN101" s="223"/>
      <c r="TCO101" s="223"/>
      <c r="TCP101" s="223"/>
      <c r="TCQ101" s="223"/>
      <c r="TCR101" s="224"/>
      <c r="TCS101" s="222" t="s">
        <v>47</v>
      </c>
      <c r="TCT101" s="223"/>
      <c r="TCU101" s="223"/>
      <c r="TCV101" s="223"/>
      <c r="TCW101" s="223"/>
      <c r="TCX101" s="223"/>
      <c r="TCY101" s="223"/>
      <c r="TCZ101" s="224"/>
      <c r="TDA101" s="222" t="s">
        <v>47</v>
      </c>
      <c r="TDB101" s="223"/>
      <c r="TDC101" s="223"/>
      <c r="TDD101" s="223"/>
      <c r="TDE101" s="223"/>
      <c r="TDF101" s="223"/>
      <c r="TDG101" s="223"/>
      <c r="TDH101" s="224"/>
      <c r="TDI101" s="222" t="s">
        <v>47</v>
      </c>
      <c r="TDJ101" s="223"/>
      <c r="TDK101" s="223"/>
      <c r="TDL101" s="223"/>
      <c r="TDM101" s="223"/>
      <c r="TDN101" s="223"/>
      <c r="TDO101" s="223"/>
      <c r="TDP101" s="224"/>
      <c r="TDQ101" s="222" t="s">
        <v>47</v>
      </c>
      <c r="TDR101" s="223"/>
      <c r="TDS101" s="223"/>
      <c r="TDT101" s="223"/>
      <c r="TDU101" s="223"/>
      <c r="TDV101" s="223"/>
      <c r="TDW101" s="223"/>
      <c r="TDX101" s="224"/>
      <c r="TDY101" s="222" t="s">
        <v>47</v>
      </c>
      <c r="TDZ101" s="223"/>
      <c r="TEA101" s="223"/>
      <c r="TEB101" s="223"/>
      <c r="TEC101" s="223"/>
      <c r="TED101" s="223"/>
      <c r="TEE101" s="223"/>
      <c r="TEF101" s="224"/>
      <c r="TEG101" s="222" t="s">
        <v>47</v>
      </c>
      <c r="TEH101" s="223"/>
      <c r="TEI101" s="223"/>
      <c r="TEJ101" s="223"/>
      <c r="TEK101" s="223"/>
      <c r="TEL101" s="223"/>
      <c r="TEM101" s="223"/>
      <c r="TEN101" s="224"/>
      <c r="TEO101" s="222" t="s">
        <v>47</v>
      </c>
      <c r="TEP101" s="223"/>
      <c r="TEQ101" s="223"/>
      <c r="TER101" s="223"/>
      <c r="TES101" s="223"/>
      <c r="TET101" s="223"/>
      <c r="TEU101" s="223"/>
      <c r="TEV101" s="224"/>
      <c r="TEW101" s="222" t="s">
        <v>47</v>
      </c>
      <c r="TEX101" s="223"/>
      <c r="TEY101" s="223"/>
      <c r="TEZ101" s="223"/>
      <c r="TFA101" s="223"/>
      <c r="TFB101" s="223"/>
      <c r="TFC101" s="223"/>
      <c r="TFD101" s="224"/>
      <c r="TFE101" s="222" t="s">
        <v>47</v>
      </c>
      <c r="TFF101" s="223"/>
      <c r="TFG101" s="223"/>
      <c r="TFH101" s="223"/>
      <c r="TFI101" s="223"/>
      <c r="TFJ101" s="223"/>
      <c r="TFK101" s="223"/>
      <c r="TFL101" s="224"/>
      <c r="TFM101" s="222" t="s">
        <v>47</v>
      </c>
      <c r="TFN101" s="223"/>
      <c r="TFO101" s="223"/>
      <c r="TFP101" s="223"/>
      <c r="TFQ101" s="223"/>
      <c r="TFR101" s="223"/>
      <c r="TFS101" s="223"/>
      <c r="TFT101" s="224"/>
      <c r="TFU101" s="222" t="s">
        <v>47</v>
      </c>
      <c r="TFV101" s="223"/>
      <c r="TFW101" s="223"/>
      <c r="TFX101" s="223"/>
      <c r="TFY101" s="223"/>
      <c r="TFZ101" s="223"/>
      <c r="TGA101" s="223"/>
      <c r="TGB101" s="224"/>
      <c r="TGC101" s="222" t="s">
        <v>47</v>
      </c>
      <c r="TGD101" s="223"/>
      <c r="TGE101" s="223"/>
      <c r="TGF101" s="223"/>
      <c r="TGG101" s="223"/>
      <c r="TGH101" s="223"/>
      <c r="TGI101" s="223"/>
      <c r="TGJ101" s="224"/>
      <c r="TGK101" s="222" t="s">
        <v>47</v>
      </c>
      <c r="TGL101" s="223"/>
      <c r="TGM101" s="223"/>
      <c r="TGN101" s="223"/>
      <c r="TGO101" s="223"/>
      <c r="TGP101" s="223"/>
      <c r="TGQ101" s="223"/>
      <c r="TGR101" s="224"/>
      <c r="TGS101" s="222" t="s">
        <v>47</v>
      </c>
      <c r="TGT101" s="223"/>
      <c r="TGU101" s="223"/>
      <c r="TGV101" s="223"/>
      <c r="TGW101" s="223"/>
      <c r="TGX101" s="223"/>
      <c r="TGY101" s="223"/>
      <c r="TGZ101" s="224"/>
      <c r="THA101" s="222" t="s">
        <v>47</v>
      </c>
      <c r="THB101" s="223"/>
      <c r="THC101" s="223"/>
      <c r="THD101" s="223"/>
      <c r="THE101" s="223"/>
      <c r="THF101" s="223"/>
      <c r="THG101" s="223"/>
      <c r="THH101" s="224"/>
      <c r="THI101" s="222" t="s">
        <v>47</v>
      </c>
      <c r="THJ101" s="223"/>
      <c r="THK101" s="223"/>
      <c r="THL101" s="223"/>
      <c r="THM101" s="223"/>
      <c r="THN101" s="223"/>
      <c r="THO101" s="223"/>
      <c r="THP101" s="224"/>
      <c r="THQ101" s="222" t="s">
        <v>47</v>
      </c>
      <c r="THR101" s="223"/>
      <c r="THS101" s="223"/>
      <c r="THT101" s="223"/>
      <c r="THU101" s="223"/>
      <c r="THV101" s="223"/>
      <c r="THW101" s="223"/>
      <c r="THX101" s="224"/>
      <c r="THY101" s="222" t="s">
        <v>47</v>
      </c>
      <c r="THZ101" s="223"/>
      <c r="TIA101" s="223"/>
      <c r="TIB101" s="223"/>
      <c r="TIC101" s="223"/>
      <c r="TID101" s="223"/>
      <c r="TIE101" s="223"/>
      <c r="TIF101" s="224"/>
      <c r="TIG101" s="222" t="s">
        <v>47</v>
      </c>
      <c r="TIH101" s="223"/>
      <c r="TII101" s="223"/>
      <c r="TIJ101" s="223"/>
      <c r="TIK101" s="223"/>
      <c r="TIL101" s="223"/>
      <c r="TIM101" s="223"/>
      <c r="TIN101" s="224"/>
      <c r="TIO101" s="222" t="s">
        <v>47</v>
      </c>
      <c r="TIP101" s="223"/>
      <c r="TIQ101" s="223"/>
      <c r="TIR101" s="223"/>
      <c r="TIS101" s="223"/>
      <c r="TIT101" s="223"/>
      <c r="TIU101" s="223"/>
      <c r="TIV101" s="224"/>
      <c r="TIW101" s="222" t="s">
        <v>47</v>
      </c>
      <c r="TIX101" s="223"/>
      <c r="TIY101" s="223"/>
      <c r="TIZ101" s="223"/>
      <c r="TJA101" s="223"/>
      <c r="TJB101" s="223"/>
      <c r="TJC101" s="223"/>
      <c r="TJD101" s="224"/>
      <c r="TJE101" s="222" t="s">
        <v>47</v>
      </c>
      <c r="TJF101" s="223"/>
      <c r="TJG101" s="223"/>
      <c r="TJH101" s="223"/>
      <c r="TJI101" s="223"/>
      <c r="TJJ101" s="223"/>
      <c r="TJK101" s="223"/>
      <c r="TJL101" s="224"/>
      <c r="TJM101" s="222" t="s">
        <v>47</v>
      </c>
      <c r="TJN101" s="223"/>
      <c r="TJO101" s="223"/>
      <c r="TJP101" s="223"/>
      <c r="TJQ101" s="223"/>
      <c r="TJR101" s="223"/>
      <c r="TJS101" s="223"/>
      <c r="TJT101" s="224"/>
      <c r="TJU101" s="222" t="s">
        <v>47</v>
      </c>
      <c r="TJV101" s="223"/>
      <c r="TJW101" s="223"/>
      <c r="TJX101" s="223"/>
      <c r="TJY101" s="223"/>
      <c r="TJZ101" s="223"/>
      <c r="TKA101" s="223"/>
      <c r="TKB101" s="224"/>
      <c r="TKC101" s="222" t="s">
        <v>47</v>
      </c>
      <c r="TKD101" s="223"/>
      <c r="TKE101" s="223"/>
      <c r="TKF101" s="223"/>
      <c r="TKG101" s="223"/>
      <c r="TKH101" s="223"/>
      <c r="TKI101" s="223"/>
      <c r="TKJ101" s="224"/>
      <c r="TKK101" s="222" t="s">
        <v>47</v>
      </c>
      <c r="TKL101" s="223"/>
      <c r="TKM101" s="223"/>
      <c r="TKN101" s="223"/>
      <c r="TKO101" s="223"/>
      <c r="TKP101" s="223"/>
      <c r="TKQ101" s="223"/>
      <c r="TKR101" s="224"/>
      <c r="TKS101" s="222" t="s">
        <v>47</v>
      </c>
      <c r="TKT101" s="223"/>
      <c r="TKU101" s="223"/>
      <c r="TKV101" s="223"/>
      <c r="TKW101" s="223"/>
      <c r="TKX101" s="223"/>
      <c r="TKY101" s="223"/>
      <c r="TKZ101" s="224"/>
      <c r="TLA101" s="222" t="s">
        <v>47</v>
      </c>
      <c r="TLB101" s="223"/>
      <c r="TLC101" s="223"/>
      <c r="TLD101" s="223"/>
      <c r="TLE101" s="223"/>
      <c r="TLF101" s="223"/>
      <c r="TLG101" s="223"/>
      <c r="TLH101" s="224"/>
      <c r="TLI101" s="222" t="s">
        <v>47</v>
      </c>
      <c r="TLJ101" s="223"/>
      <c r="TLK101" s="223"/>
      <c r="TLL101" s="223"/>
      <c r="TLM101" s="223"/>
      <c r="TLN101" s="223"/>
      <c r="TLO101" s="223"/>
      <c r="TLP101" s="224"/>
      <c r="TLQ101" s="222" t="s">
        <v>47</v>
      </c>
      <c r="TLR101" s="223"/>
      <c r="TLS101" s="223"/>
      <c r="TLT101" s="223"/>
      <c r="TLU101" s="223"/>
      <c r="TLV101" s="223"/>
      <c r="TLW101" s="223"/>
      <c r="TLX101" s="224"/>
      <c r="TLY101" s="222" t="s">
        <v>47</v>
      </c>
      <c r="TLZ101" s="223"/>
      <c r="TMA101" s="223"/>
      <c r="TMB101" s="223"/>
      <c r="TMC101" s="223"/>
      <c r="TMD101" s="223"/>
      <c r="TME101" s="223"/>
      <c r="TMF101" s="224"/>
      <c r="TMG101" s="222" t="s">
        <v>47</v>
      </c>
      <c r="TMH101" s="223"/>
      <c r="TMI101" s="223"/>
      <c r="TMJ101" s="223"/>
      <c r="TMK101" s="223"/>
      <c r="TML101" s="223"/>
      <c r="TMM101" s="223"/>
      <c r="TMN101" s="224"/>
      <c r="TMO101" s="222" t="s">
        <v>47</v>
      </c>
      <c r="TMP101" s="223"/>
      <c r="TMQ101" s="223"/>
      <c r="TMR101" s="223"/>
      <c r="TMS101" s="223"/>
      <c r="TMT101" s="223"/>
      <c r="TMU101" s="223"/>
      <c r="TMV101" s="224"/>
      <c r="TMW101" s="222" t="s">
        <v>47</v>
      </c>
      <c r="TMX101" s="223"/>
      <c r="TMY101" s="223"/>
      <c r="TMZ101" s="223"/>
      <c r="TNA101" s="223"/>
      <c r="TNB101" s="223"/>
      <c r="TNC101" s="223"/>
      <c r="TND101" s="224"/>
      <c r="TNE101" s="222" t="s">
        <v>47</v>
      </c>
      <c r="TNF101" s="223"/>
      <c r="TNG101" s="223"/>
      <c r="TNH101" s="223"/>
      <c r="TNI101" s="223"/>
      <c r="TNJ101" s="223"/>
      <c r="TNK101" s="223"/>
      <c r="TNL101" s="224"/>
      <c r="TNM101" s="222" t="s">
        <v>47</v>
      </c>
      <c r="TNN101" s="223"/>
      <c r="TNO101" s="223"/>
      <c r="TNP101" s="223"/>
      <c r="TNQ101" s="223"/>
      <c r="TNR101" s="223"/>
      <c r="TNS101" s="223"/>
      <c r="TNT101" s="224"/>
      <c r="TNU101" s="222" t="s">
        <v>47</v>
      </c>
      <c r="TNV101" s="223"/>
      <c r="TNW101" s="223"/>
      <c r="TNX101" s="223"/>
      <c r="TNY101" s="223"/>
      <c r="TNZ101" s="223"/>
      <c r="TOA101" s="223"/>
      <c r="TOB101" s="224"/>
      <c r="TOC101" s="222" t="s">
        <v>47</v>
      </c>
      <c r="TOD101" s="223"/>
      <c r="TOE101" s="223"/>
      <c r="TOF101" s="223"/>
      <c r="TOG101" s="223"/>
      <c r="TOH101" s="223"/>
      <c r="TOI101" s="223"/>
      <c r="TOJ101" s="224"/>
      <c r="TOK101" s="222" t="s">
        <v>47</v>
      </c>
      <c r="TOL101" s="223"/>
      <c r="TOM101" s="223"/>
      <c r="TON101" s="223"/>
      <c r="TOO101" s="223"/>
      <c r="TOP101" s="223"/>
      <c r="TOQ101" s="223"/>
      <c r="TOR101" s="224"/>
      <c r="TOS101" s="222" t="s">
        <v>47</v>
      </c>
      <c r="TOT101" s="223"/>
      <c r="TOU101" s="223"/>
      <c r="TOV101" s="223"/>
      <c r="TOW101" s="223"/>
      <c r="TOX101" s="223"/>
      <c r="TOY101" s="223"/>
      <c r="TOZ101" s="224"/>
      <c r="TPA101" s="222" t="s">
        <v>47</v>
      </c>
      <c r="TPB101" s="223"/>
      <c r="TPC101" s="223"/>
      <c r="TPD101" s="223"/>
      <c r="TPE101" s="223"/>
      <c r="TPF101" s="223"/>
      <c r="TPG101" s="223"/>
      <c r="TPH101" s="224"/>
      <c r="TPI101" s="222" t="s">
        <v>47</v>
      </c>
      <c r="TPJ101" s="223"/>
      <c r="TPK101" s="223"/>
      <c r="TPL101" s="223"/>
      <c r="TPM101" s="223"/>
      <c r="TPN101" s="223"/>
      <c r="TPO101" s="223"/>
      <c r="TPP101" s="224"/>
      <c r="TPQ101" s="222" t="s">
        <v>47</v>
      </c>
      <c r="TPR101" s="223"/>
      <c r="TPS101" s="223"/>
      <c r="TPT101" s="223"/>
      <c r="TPU101" s="223"/>
      <c r="TPV101" s="223"/>
      <c r="TPW101" s="223"/>
      <c r="TPX101" s="224"/>
      <c r="TPY101" s="222" t="s">
        <v>47</v>
      </c>
      <c r="TPZ101" s="223"/>
      <c r="TQA101" s="223"/>
      <c r="TQB101" s="223"/>
      <c r="TQC101" s="223"/>
      <c r="TQD101" s="223"/>
      <c r="TQE101" s="223"/>
      <c r="TQF101" s="224"/>
      <c r="TQG101" s="222" t="s">
        <v>47</v>
      </c>
      <c r="TQH101" s="223"/>
      <c r="TQI101" s="223"/>
      <c r="TQJ101" s="223"/>
      <c r="TQK101" s="223"/>
      <c r="TQL101" s="223"/>
      <c r="TQM101" s="223"/>
      <c r="TQN101" s="224"/>
      <c r="TQO101" s="222" t="s">
        <v>47</v>
      </c>
      <c r="TQP101" s="223"/>
      <c r="TQQ101" s="223"/>
      <c r="TQR101" s="223"/>
      <c r="TQS101" s="223"/>
      <c r="TQT101" s="223"/>
      <c r="TQU101" s="223"/>
      <c r="TQV101" s="224"/>
      <c r="TQW101" s="222" t="s">
        <v>47</v>
      </c>
      <c r="TQX101" s="223"/>
      <c r="TQY101" s="223"/>
      <c r="TQZ101" s="223"/>
      <c r="TRA101" s="223"/>
      <c r="TRB101" s="223"/>
      <c r="TRC101" s="223"/>
      <c r="TRD101" s="224"/>
      <c r="TRE101" s="222" t="s">
        <v>47</v>
      </c>
      <c r="TRF101" s="223"/>
      <c r="TRG101" s="223"/>
      <c r="TRH101" s="223"/>
      <c r="TRI101" s="223"/>
      <c r="TRJ101" s="223"/>
      <c r="TRK101" s="223"/>
      <c r="TRL101" s="224"/>
      <c r="TRM101" s="222" t="s">
        <v>47</v>
      </c>
      <c r="TRN101" s="223"/>
      <c r="TRO101" s="223"/>
      <c r="TRP101" s="223"/>
      <c r="TRQ101" s="223"/>
      <c r="TRR101" s="223"/>
      <c r="TRS101" s="223"/>
      <c r="TRT101" s="224"/>
      <c r="TRU101" s="222" t="s">
        <v>47</v>
      </c>
      <c r="TRV101" s="223"/>
      <c r="TRW101" s="223"/>
      <c r="TRX101" s="223"/>
      <c r="TRY101" s="223"/>
      <c r="TRZ101" s="223"/>
      <c r="TSA101" s="223"/>
      <c r="TSB101" s="224"/>
      <c r="TSC101" s="222" t="s">
        <v>47</v>
      </c>
      <c r="TSD101" s="223"/>
      <c r="TSE101" s="223"/>
      <c r="TSF101" s="223"/>
      <c r="TSG101" s="223"/>
      <c r="TSH101" s="223"/>
      <c r="TSI101" s="223"/>
      <c r="TSJ101" s="224"/>
      <c r="TSK101" s="222" t="s">
        <v>47</v>
      </c>
      <c r="TSL101" s="223"/>
      <c r="TSM101" s="223"/>
      <c r="TSN101" s="223"/>
      <c r="TSO101" s="223"/>
      <c r="TSP101" s="223"/>
      <c r="TSQ101" s="223"/>
      <c r="TSR101" s="224"/>
      <c r="TSS101" s="222" t="s">
        <v>47</v>
      </c>
      <c r="TST101" s="223"/>
      <c r="TSU101" s="223"/>
      <c r="TSV101" s="223"/>
      <c r="TSW101" s="223"/>
      <c r="TSX101" s="223"/>
      <c r="TSY101" s="223"/>
      <c r="TSZ101" s="224"/>
      <c r="TTA101" s="222" t="s">
        <v>47</v>
      </c>
      <c r="TTB101" s="223"/>
      <c r="TTC101" s="223"/>
      <c r="TTD101" s="223"/>
      <c r="TTE101" s="223"/>
      <c r="TTF101" s="223"/>
      <c r="TTG101" s="223"/>
      <c r="TTH101" s="224"/>
      <c r="TTI101" s="222" t="s">
        <v>47</v>
      </c>
      <c r="TTJ101" s="223"/>
      <c r="TTK101" s="223"/>
      <c r="TTL101" s="223"/>
      <c r="TTM101" s="223"/>
      <c r="TTN101" s="223"/>
      <c r="TTO101" s="223"/>
      <c r="TTP101" s="224"/>
      <c r="TTQ101" s="222" t="s">
        <v>47</v>
      </c>
      <c r="TTR101" s="223"/>
      <c r="TTS101" s="223"/>
      <c r="TTT101" s="223"/>
      <c r="TTU101" s="223"/>
      <c r="TTV101" s="223"/>
      <c r="TTW101" s="223"/>
      <c r="TTX101" s="224"/>
      <c r="TTY101" s="222" t="s">
        <v>47</v>
      </c>
      <c r="TTZ101" s="223"/>
      <c r="TUA101" s="223"/>
      <c r="TUB101" s="223"/>
      <c r="TUC101" s="223"/>
      <c r="TUD101" s="223"/>
      <c r="TUE101" s="223"/>
      <c r="TUF101" s="224"/>
      <c r="TUG101" s="222" t="s">
        <v>47</v>
      </c>
      <c r="TUH101" s="223"/>
      <c r="TUI101" s="223"/>
      <c r="TUJ101" s="223"/>
      <c r="TUK101" s="223"/>
      <c r="TUL101" s="223"/>
      <c r="TUM101" s="223"/>
      <c r="TUN101" s="224"/>
      <c r="TUO101" s="222" t="s">
        <v>47</v>
      </c>
      <c r="TUP101" s="223"/>
      <c r="TUQ101" s="223"/>
      <c r="TUR101" s="223"/>
      <c r="TUS101" s="223"/>
      <c r="TUT101" s="223"/>
      <c r="TUU101" s="223"/>
      <c r="TUV101" s="224"/>
      <c r="TUW101" s="222" t="s">
        <v>47</v>
      </c>
      <c r="TUX101" s="223"/>
      <c r="TUY101" s="223"/>
      <c r="TUZ101" s="223"/>
      <c r="TVA101" s="223"/>
      <c r="TVB101" s="223"/>
      <c r="TVC101" s="223"/>
      <c r="TVD101" s="224"/>
      <c r="TVE101" s="222" t="s">
        <v>47</v>
      </c>
      <c r="TVF101" s="223"/>
      <c r="TVG101" s="223"/>
      <c r="TVH101" s="223"/>
      <c r="TVI101" s="223"/>
      <c r="TVJ101" s="223"/>
      <c r="TVK101" s="223"/>
      <c r="TVL101" s="224"/>
      <c r="TVM101" s="222" t="s">
        <v>47</v>
      </c>
      <c r="TVN101" s="223"/>
      <c r="TVO101" s="223"/>
      <c r="TVP101" s="223"/>
      <c r="TVQ101" s="223"/>
      <c r="TVR101" s="223"/>
      <c r="TVS101" s="223"/>
      <c r="TVT101" s="224"/>
      <c r="TVU101" s="222" t="s">
        <v>47</v>
      </c>
      <c r="TVV101" s="223"/>
      <c r="TVW101" s="223"/>
      <c r="TVX101" s="223"/>
      <c r="TVY101" s="223"/>
      <c r="TVZ101" s="223"/>
      <c r="TWA101" s="223"/>
      <c r="TWB101" s="224"/>
      <c r="TWC101" s="222" t="s">
        <v>47</v>
      </c>
      <c r="TWD101" s="223"/>
      <c r="TWE101" s="223"/>
      <c r="TWF101" s="223"/>
      <c r="TWG101" s="223"/>
      <c r="TWH101" s="223"/>
      <c r="TWI101" s="223"/>
      <c r="TWJ101" s="224"/>
      <c r="TWK101" s="222" t="s">
        <v>47</v>
      </c>
      <c r="TWL101" s="223"/>
      <c r="TWM101" s="223"/>
      <c r="TWN101" s="223"/>
      <c r="TWO101" s="223"/>
      <c r="TWP101" s="223"/>
      <c r="TWQ101" s="223"/>
      <c r="TWR101" s="224"/>
      <c r="TWS101" s="222" t="s">
        <v>47</v>
      </c>
      <c r="TWT101" s="223"/>
      <c r="TWU101" s="223"/>
      <c r="TWV101" s="223"/>
      <c r="TWW101" s="223"/>
      <c r="TWX101" s="223"/>
      <c r="TWY101" s="223"/>
      <c r="TWZ101" s="224"/>
      <c r="TXA101" s="222" t="s">
        <v>47</v>
      </c>
      <c r="TXB101" s="223"/>
      <c r="TXC101" s="223"/>
      <c r="TXD101" s="223"/>
      <c r="TXE101" s="223"/>
      <c r="TXF101" s="223"/>
      <c r="TXG101" s="223"/>
      <c r="TXH101" s="224"/>
      <c r="TXI101" s="222" t="s">
        <v>47</v>
      </c>
      <c r="TXJ101" s="223"/>
      <c r="TXK101" s="223"/>
      <c r="TXL101" s="223"/>
      <c r="TXM101" s="223"/>
      <c r="TXN101" s="223"/>
      <c r="TXO101" s="223"/>
      <c r="TXP101" s="224"/>
      <c r="TXQ101" s="222" t="s">
        <v>47</v>
      </c>
      <c r="TXR101" s="223"/>
      <c r="TXS101" s="223"/>
      <c r="TXT101" s="223"/>
      <c r="TXU101" s="223"/>
      <c r="TXV101" s="223"/>
      <c r="TXW101" s="223"/>
      <c r="TXX101" s="224"/>
      <c r="TXY101" s="222" t="s">
        <v>47</v>
      </c>
      <c r="TXZ101" s="223"/>
      <c r="TYA101" s="223"/>
      <c r="TYB101" s="223"/>
      <c r="TYC101" s="223"/>
      <c r="TYD101" s="223"/>
      <c r="TYE101" s="223"/>
      <c r="TYF101" s="224"/>
      <c r="TYG101" s="222" t="s">
        <v>47</v>
      </c>
      <c r="TYH101" s="223"/>
      <c r="TYI101" s="223"/>
      <c r="TYJ101" s="223"/>
      <c r="TYK101" s="223"/>
      <c r="TYL101" s="223"/>
      <c r="TYM101" s="223"/>
      <c r="TYN101" s="224"/>
      <c r="TYO101" s="222" t="s">
        <v>47</v>
      </c>
      <c r="TYP101" s="223"/>
      <c r="TYQ101" s="223"/>
      <c r="TYR101" s="223"/>
      <c r="TYS101" s="223"/>
      <c r="TYT101" s="223"/>
      <c r="TYU101" s="223"/>
      <c r="TYV101" s="224"/>
      <c r="TYW101" s="222" t="s">
        <v>47</v>
      </c>
      <c r="TYX101" s="223"/>
      <c r="TYY101" s="223"/>
      <c r="TYZ101" s="223"/>
      <c r="TZA101" s="223"/>
      <c r="TZB101" s="223"/>
      <c r="TZC101" s="223"/>
      <c r="TZD101" s="224"/>
      <c r="TZE101" s="222" t="s">
        <v>47</v>
      </c>
      <c r="TZF101" s="223"/>
      <c r="TZG101" s="223"/>
      <c r="TZH101" s="223"/>
      <c r="TZI101" s="223"/>
      <c r="TZJ101" s="223"/>
      <c r="TZK101" s="223"/>
      <c r="TZL101" s="224"/>
      <c r="TZM101" s="222" t="s">
        <v>47</v>
      </c>
      <c r="TZN101" s="223"/>
      <c r="TZO101" s="223"/>
      <c r="TZP101" s="223"/>
      <c r="TZQ101" s="223"/>
      <c r="TZR101" s="223"/>
      <c r="TZS101" s="223"/>
      <c r="TZT101" s="224"/>
      <c r="TZU101" s="222" t="s">
        <v>47</v>
      </c>
      <c r="TZV101" s="223"/>
      <c r="TZW101" s="223"/>
      <c r="TZX101" s="223"/>
      <c r="TZY101" s="223"/>
      <c r="TZZ101" s="223"/>
      <c r="UAA101" s="223"/>
      <c r="UAB101" s="224"/>
      <c r="UAC101" s="222" t="s">
        <v>47</v>
      </c>
      <c r="UAD101" s="223"/>
      <c r="UAE101" s="223"/>
      <c r="UAF101" s="223"/>
      <c r="UAG101" s="223"/>
      <c r="UAH101" s="223"/>
      <c r="UAI101" s="223"/>
      <c r="UAJ101" s="224"/>
      <c r="UAK101" s="222" t="s">
        <v>47</v>
      </c>
      <c r="UAL101" s="223"/>
      <c r="UAM101" s="223"/>
      <c r="UAN101" s="223"/>
      <c r="UAO101" s="223"/>
      <c r="UAP101" s="223"/>
      <c r="UAQ101" s="223"/>
      <c r="UAR101" s="224"/>
      <c r="UAS101" s="222" t="s">
        <v>47</v>
      </c>
      <c r="UAT101" s="223"/>
      <c r="UAU101" s="223"/>
      <c r="UAV101" s="223"/>
      <c r="UAW101" s="223"/>
      <c r="UAX101" s="223"/>
      <c r="UAY101" s="223"/>
      <c r="UAZ101" s="224"/>
      <c r="UBA101" s="222" t="s">
        <v>47</v>
      </c>
      <c r="UBB101" s="223"/>
      <c r="UBC101" s="223"/>
      <c r="UBD101" s="223"/>
      <c r="UBE101" s="223"/>
      <c r="UBF101" s="223"/>
      <c r="UBG101" s="223"/>
      <c r="UBH101" s="224"/>
      <c r="UBI101" s="222" t="s">
        <v>47</v>
      </c>
      <c r="UBJ101" s="223"/>
      <c r="UBK101" s="223"/>
      <c r="UBL101" s="223"/>
      <c r="UBM101" s="223"/>
      <c r="UBN101" s="223"/>
      <c r="UBO101" s="223"/>
      <c r="UBP101" s="224"/>
      <c r="UBQ101" s="222" t="s">
        <v>47</v>
      </c>
      <c r="UBR101" s="223"/>
      <c r="UBS101" s="223"/>
      <c r="UBT101" s="223"/>
      <c r="UBU101" s="223"/>
      <c r="UBV101" s="223"/>
      <c r="UBW101" s="223"/>
      <c r="UBX101" s="224"/>
      <c r="UBY101" s="222" t="s">
        <v>47</v>
      </c>
      <c r="UBZ101" s="223"/>
      <c r="UCA101" s="223"/>
      <c r="UCB101" s="223"/>
      <c r="UCC101" s="223"/>
      <c r="UCD101" s="223"/>
      <c r="UCE101" s="223"/>
      <c r="UCF101" s="224"/>
      <c r="UCG101" s="222" t="s">
        <v>47</v>
      </c>
      <c r="UCH101" s="223"/>
      <c r="UCI101" s="223"/>
      <c r="UCJ101" s="223"/>
      <c r="UCK101" s="223"/>
      <c r="UCL101" s="223"/>
      <c r="UCM101" s="223"/>
      <c r="UCN101" s="224"/>
      <c r="UCO101" s="222" t="s">
        <v>47</v>
      </c>
      <c r="UCP101" s="223"/>
      <c r="UCQ101" s="223"/>
      <c r="UCR101" s="223"/>
      <c r="UCS101" s="223"/>
      <c r="UCT101" s="223"/>
      <c r="UCU101" s="223"/>
      <c r="UCV101" s="224"/>
      <c r="UCW101" s="222" t="s">
        <v>47</v>
      </c>
      <c r="UCX101" s="223"/>
      <c r="UCY101" s="223"/>
      <c r="UCZ101" s="223"/>
      <c r="UDA101" s="223"/>
      <c r="UDB101" s="223"/>
      <c r="UDC101" s="223"/>
      <c r="UDD101" s="224"/>
      <c r="UDE101" s="222" t="s">
        <v>47</v>
      </c>
      <c r="UDF101" s="223"/>
      <c r="UDG101" s="223"/>
      <c r="UDH101" s="223"/>
      <c r="UDI101" s="223"/>
      <c r="UDJ101" s="223"/>
      <c r="UDK101" s="223"/>
      <c r="UDL101" s="224"/>
      <c r="UDM101" s="222" t="s">
        <v>47</v>
      </c>
      <c r="UDN101" s="223"/>
      <c r="UDO101" s="223"/>
      <c r="UDP101" s="223"/>
      <c r="UDQ101" s="223"/>
      <c r="UDR101" s="223"/>
      <c r="UDS101" s="223"/>
      <c r="UDT101" s="224"/>
      <c r="UDU101" s="222" t="s">
        <v>47</v>
      </c>
      <c r="UDV101" s="223"/>
      <c r="UDW101" s="223"/>
      <c r="UDX101" s="223"/>
      <c r="UDY101" s="223"/>
      <c r="UDZ101" s="223"/>
      <c r="UEA101" s="223"/>
      <c r="UEB101" s="224"/>
      <c r="UEC101" s="222" t="s">
        <v>47</v>
      </c>
      <c r="UED101" s="223"/>
      <c r="UEE101" s="223"/>
      <c r="UEF101" s="223"/>
      <c r="UEG101" s="223"/>
      <c r="UEH101" s="223"/>
      <c r="UEI101" s="223"/>
      <c r="UEJ101" s="224"/>
      <c r="UEK101" s="222" t="s">
        <v>47</v>
      </c>
      <c r="UEL101" s="223"/>
      <c r="UEM101" s="223"/>
      <c r="UEN101" s="223"/>
      <c r="UEO101" s="223"/>
      <c r="UEP101" s="223"/>
      <c r="UEQ101" s="223"/>
      <c r="UER101" s="224"/>
      <c r="UES101" s="222" t="s">
        <v>47</v>
      </c>
      <c r="UET101" s="223"/>
      <c r="UEU101" s="223"/>
      <c r="UEV101" s="223"/>
      <c r="UEW101" s="223"/>
      <c r="UEX101" s="223"/>
      <c r="UEY101" s="223"/>
      <c r="UEZ101" s="224"/>
      <c r="UFA101" s="222" t="s">
        <v>47</v>
      </c>
      <c r="UFB101" s="223"/>
      <c r="UFC101" s="223"/>
      <c r="UFD101" s="223"/>
      <c r="UFE101" s="223"/>
      <c r="UFF101" s="223"/>
      <c r="UFG101" s="223"/>
      <c r="UFH101" s="224"/>
      <c r="UFI101" s="222" t="s">
        <v>47</v>
      </c>
      <c r="UFJ101" s="223"/>
      <c r="UFK101" s="223"/>
      <c r="UFL101" s="223"/>
      <c r="UFM101" s="223"/>
      <c r="UFN101" s="223"/>
      <c r="UFO101" s="223"/>
      <c r="UFP101" s="224"/>
      <c r="UFQ101" s="222" t="s">
        <v>47</v>
      </c>
      <c r="UFR101" s="223"/>
      <c r="UFS101" s="223"/>
      <c r="UFT101" s="223"/>
      <c r="UFU101" s="223"/>
      <c r="UFV101" s="223"/>
      <c r="UFW101" s="223"/>
      <c r="UFX101" s="224"/>
      <c r="UFY101" s="222" t="s">
        <v>47</v>
      </c>
      <c r="UFZ101" s="223"/>
      <c r="UGA101" s="223"/>
      <c r="UGB101" s="223"/>
      <c r="UGC101" s="223"/>
      <c r="UGD101" s="223"/>
      <c r="UGE101" s="223"/>
      <c r="UGF101" s="224"/>
      <c r="UGG101" s="222" t="s">
        <v>47</v>
      </c>
      <c r="UGH101" s="223"/>
      <c r="UGI101" s="223"/>
      <c r="UGJ101" s="223"/>
      <c r="UGK101" s="223"/>
      <c r="UGL101" s="223"/>
      <c r="UGM101" s="223"/>
      <c r="UGN101" s="224"/>
      <c r="UGO101" s="222" t="s">
        <v>47</v>
      </c>
      <c r="UGP101" s="223"/>
      <c r="UGQ101" s="223"/>
      <c r="UGR101" s="223"/>
      <c r="UGS101" s="223"/>
      <c r="UGT101" s="223"/>
      <c r="UGU101" s="223"/>
      <c r="UGV101" s="224"/>
      <c r="UGW101" s="222" t="s">
        <v>47</v>
      </c>
      <c r="UGX101" s="223"/>
      <c r="UGY101" s="223"/>
      <c r="UGZ101" s="223"/>
      <c r="UHA101" s="223"/>
      <c r="UHB101" s="223"/>
      <c r="UHC101" s="223"/>
      <c r="UHD101" s="224"/>
      <c r="UHE101" s="222" t="s">
        <v>47</v>
      </c>
      <c r="UHF101" s="223"/>
      <c r="UHG101" s="223"/>
      <c r="UHH101" s="223"/>
      <c r="UHI101" s="223"/>
      <c r="UHJ101" s="223"/>
      <c r="UHK101" s="223"/>
      <c r="UHL101" s="224"/>
      <c r="UHM101" s="222" t="s">
        <v>47</v>
      </c>
      <c r="UHN101" s="223"/>
      <c r="UHO101" s="223"/>
      <c r="UHP101" s="223"/>
      <c r="UHQ101" s="223"/>
      <c r="UHR101" s="223"/>
      <c r="UHS101" s="223"/>
      <c r="UHT101" s="224"/>
      <c r="UHU101" s="222" t="s">
        <v>47</v>
      </c>
      <c r="UHV101" s="223"/>
      <c r="UHW101" s="223"/>
      <c r="UHX101" s="223"/>
      <c r="UHY101" s="223"/>
      <c r="UHZ101" s="223"/>
      <c r="UIA101" s="223"/>
      <c r="UIB101" s="224"/>
      <c r="UIC101" s="222" t="s">
        <v>47</v>
      </c>
      <c r="UID101" s="223"/>
      <c r="UIE101" s="223"/>
      <c r="UIF101" s="223"/>
      <c r="UIG101" s="223"/>
      <c r="UIH101" s="223"/>
      <c r="UII101" s="223"/>
      <c r="UIJ101" s="224"/>
      <c r="UIK101" s="222" t="s">
        <v>47</v>
      </c>
      <c r="UIL101" s="223"/>
      <c r="UIM101" s="223"/>
      <c r="UIN101" s="223"/>
      <c r="UIO101" s="223"/>
      <c r="UIP101" s="223"/>
      <c r="UIQ101" s="223"/>
      <c r="UIR101" s="224"/>
      <c r="UIS101" s="222" t="s">
        <v>47</v>
      </c>
      <c r="UIT101" s="223"/>
      <c r="UIU101" s="223"/>
      <c r="UIV101" s="223"/>
      <c r="UIW101" s="223"/>
      <c r="UIX101" s="223"/>
      <c r="UIY101" s="223"/>
      <c r="UIZ101" s="224"/>
      <c r="UJA101" s="222" t="s">
        <v>47</v>
      </c>
      <c r="UJB101" s="223"/>
      <c r="UJC101" s="223"/>
      <c r="UJD101" s="223"/>
      <c r="UJE101" s="223"/>
      <c r="UJF101" s="223"/>
      <c r="UJG101" s="223"/>
      <c r="UJH101" s="224"/>
      <c r="UJI101" s="222" t="s">
        <v>47</v>
      </c>
      <c r="UJJ101" s="223"/>
      <c r="UJK101" s="223"/>
      <c r="UJL101" s="223"/>
      <c r="UJM101" s="223"/>
      <c r="UJN101" s="223"/>
      <c r="UJO101" s="223"/>
      <c r="UJP101" s="224"/>
      <c r="UJQ101" s="222" t="s">
        <v>47</v>
      </c>
      <c r="UJR101" s="223"/>
      <c r="UJS101" s="223"/>
      <c r="UJT101" s="223"/>
      <c r="UJU101" s="223"/>
      <c r="UJV101" s="223"/>
      <c r="UJW101" s="223"/>
      <c r="UJX101" s="224"/>
      <c r="UJY101" s="222" t="s">
        <v>47</v>
      </c>
      <c r="UJZ101" s="223"/>
      <c r="UKA101" s="223"/>
      <c r="UKB101" s="223"/>
      <c r="UKC101" s="223"/>
      <c r="UKD101" s="223"/>
      <c r="UKE101" s="223"/>
      <c r="UKF101" s="224"/>
      <c r="UKG101" s="222" t="s">
        <v>47</v>
      </c>
      <c r="UKH101" s="223"/>
      <c r="UKI101" s="223"/>
      <c r="UKJ101" s="223"/>
      <c r="UKK101" s="223"/>
      <c r="UKL101" s="223"/>
      <c r="UKM101" s="223"/>
      <c r="UKN101" s="224"/>
      <c r="UKO101" s="222" t="s">
        <v>47</v>
      </c>
      <c r="UKP101" s="223"/>
      <c r="UKQ101" s="223"/>
      <c r="UKR101" s="223"/>
      <c r="UKS101" s="223"/>
      <c r="UKT101" s="223"/>
      <c r="UKU101" s="223"/>
      <c r="UKV101" s="224"/>
      <c r="UKW101" s="222" t="s">
        <v>47</v>
      </c>
      <c r="UKX101" s="223"/>
      <c r="UKY101" s="223"/>
      <c r="UKZ101" s="223"/>
      <c r="ULA101" s="223"/>
      <c r="ULB101" s="223"/>
      <c r="ULC101" s="223"/>
      <c r="ULD101" s="224"/>
      <c r="ULE101" s="222" t="s">
        <v>47</v>
      </c>
      <c r="ULF101" s="223"/>
      <c r="ULG101" s="223"/>
      <c r="ULH101" s="223"/>
      <c r="ULI101" s="223"/>
      <c r="ULJ101" s="223"/>
      <c r="ULK101" s="223"/>
      <c r="ULL101" s="224"/>
      <c r="ULM101" s="222" t="s">
        <v>47</v>
      </c>
      <c r="ULN101" s="223"/>
      <c r="ULO101" s="223"/>
      <c r="ULP101" s="223"/>
      <c r="ULQ101" s="223"/>
      <c r="ULR101" s="223"/>
      <c r="ULS101" s="223"/>
      <c r="ULT101" s="224"/>
      <c r="ULU101" s="222" t="s">
        <v>47</v>
      </c>
      <c r="ULV101" s="223"/>
      <c r="ULW101" s="223"/>
      <c r="ULX101" s="223"/>
      <c r="ULY101" s="223"/>
      <c r="ULZ101" s="223"/>
      <c r="UMA101" s="223"/>
      <c r="UMB101" s="224"/>
      <c r="UMC101" s="222" t="s">
        <v>47</v>
      </c>
      <c r="UMD101" s="223"/>
      <c r="UME101" s="223"/>
      <c r="UMF101" s="223"/>
      <c r="UMG101" s="223"/>
      <c r="UMH101" s="223"/>
      <c r="UMI101" s="223"/>
      <c r="UMJ101" s="224"/>
      <c r="UMK101" s="222" t="s">
        <v>47</v>
      </c>
      <c r="UML101" s="223"/>
      <c r="UMM101" s="223"/>
      <c r="UMN101" s="223"/>
      <c r="UMO101" s="223"/>
      <c r="UMP101" s="223"/>
      <c r="UMQ101" s="223"/>
      <c r="UMR101" s="224"/>
      <c r="UMS101" s="222" t="s">
        <v>47</v>
      </c>
      <c r="UMT101" s="223"/>
      <c r="UMU101" s="223"/>
      <c r="UMV101" s="223"/>
      <c r="UMW101" s="223"/>
      <c r="UMX101" s="223"/>
      <c r="UMY101" s="223"/>
      <c r="UMZ101" s="224"/>
      <c r="UNA101" s="222" t="s">
        <v>47</v>
      </c>
      <c r="UNB101" s="223"/>
      <c r="UNC101" s="223"/>
      <c r="UND101" s="223"/>
      <c r="UNE101" s="223"/>
      <c r="UNF101" s="223"/>
      <c r="UNG101" s="223"/>
      <c r="UNH101" s="224"/>
      <c r="UNI101" s="222" t="s">
        <v>47</v>
      </c>
      <c r="UNJ101" s="223"/>
      <c r="UNK101" s="223"/>
      <c r="UNL101" s="223"/>
      <c r="UNM101" s="223"/>
      <c r="UNN101" s="223"/>
      <c r="UNO101" s="223"/>
      <c r="UNP101" s="224"/>
      <c r="UNQ101" s="222" t="s">
        <v>47</v>
      </c>
      <c r="UNR101" s="223"/>
      <c r="UNS101" s="223"/>
      <c r="UNT101" s="223"/>
      <c r="UNU101" s="223"/>
      <c r="UNV101" s="223"/>
      <c r="UNW101" s="223"/>
      <c r="UNX101" s="224"/>
      <c r="UNY101" s="222" t="s">
        <v>47</v>
      </c>
      <c r="UNZ101" s="223"/>
      <c r="UOA101" s="223"/>
      <c r="UOB101" s="223"/>
      <c r="UOC101" s="223"/>
      <c r="UOD101" s="223"/>
      <c r="UOE101" s="223"/>
      <c r="UOF101" s="224"/>
      <c r="UOG101" s="222" t="s">
        <v>47</v>
      </c>
      <c r="UOH101" s="223"/>
      <c r="UOI101" s="223"/>
      <c r="UOJ101" s="223"/>
      <c r="UOK101" s="223"/>
      <c r="UOL101" s="223"/>
      <c r="UOM101" s="223"/>
      <c r="UON101" s="224"/>
      <c r="UOO101" s="222" t="s">
        <v>47</v>
      </c>
      <c r="UOP101" s="223"/>
      <c r="UOQ101" s="223"/>
      <c r="UOR101" s="223"/>
      <c r="UOS101" s="223"/>
      <c r="UOT101" s="223"/>
      <c r="UOU101" s="223"/>
      <c r="UOV101" s="224"/>
      <c r="UOW101" s="222" t="s">
        <v>47</v>
      </c>
      <c r="UOX101" s="223"/>
      <c r="UOY101" s="223"/>
      <c r="UOZ101" s="223"/>
      <c r="UPA101" s="223"/>
      <c r="UPB101" s="223"/>
      <c r="UPC101" s="223"/>
      <c r="UPD101" s="224"/>
      <c r="UPE101" s="222" t="s">
        <v>47</v>
      </c>
      <c r="UPF101" s="223"/>
      <c r="UPG101" s="223"/>
      <c r="UPH101" s="223"/>
      <c r="UPI101" s="223"/>
      <c r="UPJ101" s="223"/>
      <c r="UPK101" s="223"/>
      <c r="UPL101" s="224"/>
      <c r="UPM101" s="222" t="s">
        <v>47</v>
      </c>
      <c r="UPN101" s="223"/>
      <c r="UPO101" s="223"/>
      <c r="UPP101" s="223"/>
      <c r="UPQ101" s="223"/>
      <c r="UPR101" s="223"/>
      <c r="UPS101" s="223"/>
      <c r="UPT101" s="224"/>
      <c r="UPU101" s="222" t="s">
        <v>47</v>
      </c>
      <c r="UPV101" s="223"/>
      <c r="UPW101" s="223"/>
      <c r="UPX101" s="223"/>
      <c r="UPY101" s="223"/>
      <c r="UPZ101" s="223"/>
      <c r="UQA101" s="223"/>
      <c r="UQB101" s="224"/>
      <c r="UQC101" s="222" t="s">
        <v>47</v>
      </c>
      <c r="UQD101" s="223"/>
      <c r="UQE101" s="223"/>
      <c r="UQF101" s="223"/>
      <c r="UQG101" s="223"/>
      <c r="UQH101" s="223"/>
      <c r="UQI101" s="223"/>
      <c r="UQJ101" s="224"/>
      <c r="UQK101" s="222" t="s">
        <v>47</v>
      </c>
      <c r="UQL101" s="223"/>
      <c r="UQM101" s="223"/>
      <c r="UQN101" s="223"/>
      <c r="UQO101" s="223"/>
      <c r="UQP101" s="223"/>
      <c r="UQQ101" s="223"/>
      <c r="UQR101" s="224"/>
      <c r="UQS101" s="222" t="s">
        <v>47</v>
      </c>
      <c r="UQT101" s="223"/>
      <c r="UQU101" s="223"/>
      <c r="UQV101" s="223"/>
      <c r="UQW101" s="223"/>
      <c r="UQX101" s="223"/>
      <c r="UQY101" s="223"/>
      <c r="UQZ101" s="224"/>
      <c r="URA101" s="222" t="s">
        <v>47</v>
      </c>
      <c r="URB101" s="223"/>
      <c r="URC101" s="223"/>
      <c r="URD101" s="223"/>
      <c r="URE101" s="223"/>
      <c r="URF101" s="223"/>
      <c r="URG101" s="223"/>
      <c r="URH101" s="224"/>
      <c r="URI101" s="222" t="s">
        <v>47</v>
      </c>
      <c r="URJ101" s="223"/>
      <c r="URK101" s="223"/>
      <c r="URL101" s="223"/>
      <c r="URM101" s="223"/>
      <c r="URN101" s="223"/>
      <c r="URO101" s="223"/>
      <c r="URP101" s="224"/>
      <c r="URQ101" s="222" t="s">
        <v>47</v>
      </c>
      <c r="URR101" s="223"/>
      <c r="URS101" s="223"/>
      <c r="URT101" s="223"/>
      <c r="URU101" s="223"/>
      <c r="URV101" s="223"/>
      <c r="URW101" s="223"/>
      <c r="URX101" s="224"/>
      <c r="URY101" s="222" t="s">
        <v>47</v>
      </c>
      <c r="URZ101" s="223"/>
      <c r="USA101" s="223"/>
      <c r="USB101" s="223"/>
      <c r="USC101" s="223"/>
      <c r="USD101" s="223"/>
      <c r="USE101" s="223"/>
      <c r="USF101" s="224"/>
      <c r="USG101" s="222" t="s">
        <v>47</v>
      </c>
      <c r="USH101" s="223"/>
      <c r="USI101" s="223"/>
      <c r="USJ101" s="223"/>
      <c r="USK101" s="223"/>
      <c r="USL101" s="223"/>
      <c r="USM101" s="223"/>
      <c r="USN101" s="224"/>
      <c r="USO101" s="222" t="s">
        <v>47</v>
      </c>
      <c r="USP101" s="223"/>
      <c r="USQ101" s="223"/>
      <c r="USR101" s="223"/>
      <c r="USS101" s="223"/>
      <c r="UST101" s="223"/>
      <c r="USU101" s="223"/>
      <c r="USV101" s="224"/>
      <c r="USW101" s="222" t="s">
        <v>47</v>
      </c>
      <c r="USX101" s="223"/>
      <c r="USY101" s="223"/>
      <c r="USZ101" s="223"/>
      <c r="UTA101" s="223"/>
      <c r="UTB101" s="223"/>
      <c r="UTC101" s="223"/>
      <c r="UTD101" s="224"/>
      <c r="UTE101" s="222" t="s">
        <v>47</v>
      </c>
      <c r="UTF101" s="223"/>
      <c r="UTG101" s="223"/>
      <c r="UTH101" s="223"/>
      <c r="UTI101" s="223"/>
      <c r="UTJ101" s="223"/>
      <c r="UTK101" s="223"/>
      <c r="UTL101" s="224"/>
      <c r="UTM101" s="222" t="s">
        <v>47</v>
      </c>
      <c r="UTN101" s="223"/>
      <c r="UTO101" s="223"/>
      <c r="UTP101" s="223"/>
      <c r="UTQ101" s="223"/>
      <c r="UTR101" s="223"/>
      <c r="UTS101" s="223"/>
      <c r="UTT101" s="224"/>
      <c r="UTU101" s="222" t="s">
        <v>47</v>
      </c>
      <c r="UTV101" s="223"/>
      <c r="UTW101" s="223"/>
      <c r="UTX101" s="223"/>
      <c r="UTY101" s="223"/>
      <c r="UTZ101" s="223"/>
      <c r="UUA101" s="223"/>
      <c r="UUB101" s="224"/>
      <c r="UUC101" s="222" t="s">
        <v>47</v>
      </c>
      <c r="UUD101" s="223"/>
      <c r="UUE101" s="223"/>
      <c r="UUF101" s="223"/>
      <c r="UUG101" s="223"/>
      <c r="UUH101" s="223"/>
      <c r="UUI101" s="223"/>
      <c r="UUJ101" s="224"/>
      <c r="UUK101" s="222" t="s">
        <v>47</v>
      </c>
      <c r="UUL101" s="223"/>
      <c r="UUM101" s="223"/>
      <c r="UUN101" s="223"/>
      <c r="UUO101" s="223"/>
      <c r="UUP101" s="223"/>
      <c r="UUQ101" s="223"/>
      <c r="UUR101" s="224"/>
      <c r="UUS101" s="222" t="s">
        <v>47</v>
      </c>
      <c r="UUT101" s="223"/>
      <c r="UUU101" s="223"/>
      <c r="UUV101" s="223"/>
      <c r="UUW101" s="223"/>
      <c r="UUX101" s="223"/>
      <c r="UUY101" s="223"/>
      <c r="UUZ101" s="224"/>
      <c r="UVA101" s="222" t="s">
        <v>47</v>
      </c>
      <c r="UVB101" s="223"/>
      <c r="UVC101" s="223"/>
      <c r="UVD101" s="223"/>
      <c r="UVE101" s="223"/>
      <c r="UVF101" s="223"/>
      <c r="UVG101" s="223"/>
      <c r="UVH101" s="224"/>
      <c r="UVI101" s="222" t="s">
        <v>47</v>
      </c>
      <c r="UVJ101" s="223"/>
      <c r="UVK101" s="223"/>
      <c r="UVL101" s="223"/>
      <c r="UVM101" s="223"/>
      <c r="UVN101" s="223"/>
      <c r="UVO101" s="223"/>
      <c r="UVP101" s="224"/>
      <c r="UVQ101" s="222" t="s">
        <v>47</v>
      </c>
      <c r="UVR101" s="223"/>
      <c r="UVS101" s="223"/>
      <c r="UVT101" s="223"/>
      <c r="UVU101" s="223"/>
      <c r="UVV101" s="223"/>
      <c r="UVW101" s="223"/>
      <c r="UVX101" s="224"/>
      <c r="UVY101" s="222" t="s">
        <v>47</v>
      </c>
      <c r="UVZ101" s="223"/>
      <c r="UWA101" s="223"/>
      <c r="UWB101" s="223"/>
      <c r="UWC101" s="223"/>
      <c r="UWD101" s="223"/>
      <c r="UWE101" s="223"/>
      <c r="UWF101" s="224"/>
      <c r="UWG101" s="222" t="s">
        <v>47</v>
      </c>
      <c r="UWH101" s="223"/>
      <c r="UWI101" s="223"/>
      <c r="UWJ101" s="223"/>
      <c r="UWK101" s="223"/>
      <c r="UWL101" s="223"/>
      <c r="UWM101" s="223"/>
      <c r="UWN101" s="224"/>
      <c r="UWO101" s="222" t="s">
        <v>47</v>
      </c>
      <c r="UWP101" s="223"/>
      <c r="UWQ101" s="223"/>
      <c r="UWR101" s="223"/>
      <c r="UWS101" s="223"/>
      <c r="UWT101" s="223"/>
      <c r="UWU101" s="223"/>
      <c r="UWV101" s="224"/>
      <c r="UWW101" s="222" t="s">
        <v>47</v>
      </c>
      <c r="UWX101" s="223"/>
      <c r="UWY101" s="223"/>
      <c r="UWZ101" s="223"/>
      <c r="UXA101" s="223"/>
      <c r="UXB101" s="223"/>
      <c r="UXC101" s="223"/>
      <c r="UXD101" s="224"/>
      <c r="UXE101" s="222" t="s">
        <v>47</v>
      </c>
      <c r="UXF101" s="223"/>
      <c r="UXG101" s="223"/>
      <c r="UXH101" s="223"/>
      <c r="UXI101" s="223"/>
      <c r="UXJ101" s="223"/>
      <c r="UXK101" s="223"/>
      <c r="UXL101" s="224"/>
      <c r="UXM101" s="222" t="s">
        <v>47</v>
      </c>
      <c r="UXN101" s="223"/>
      <c r="UXO101" s="223"/>
      <c r="UXP101" s="223"/>
      <c r="UXQ101" s="223"/>
      <c r="UXR101" s="223"/>
      <c r="UXS101" s="223"/>
      <c r="UXT101" s="224"/>
      <c r="UXU101" s="222" t="s">
        <v>47</v>
      </c>
      <c r="UXV101" s="223"/>
      <c r="UXW101" s="223"/>
      <c r="UXX101" s="223"/>
      <c r="UXY101" s="223"/>
      <c r="UXZ101" s="223"/>
      <c r="UYA101" s="223"/>
      <c r="UYB101" s="224"/>
      <c r="UYC101" s="222" t="s">
        <v>47</v>
      </c>
      <c r="UYD101" s="223"/>
      <c r="UYE101" s="223"/>
      <c r="UYF101" s="223"/>
      <c r="UYG101" s="223"/>
      <c r="UYH101" s="223"/>
      <c r="UYI101" s="223"/>
      <c r="UYJ101" s="224"/>
      <c r="UYK101" s="222" t="s">
        <v>47</v>
      </c>
      <c r="UYL101" s="223"/>
      <c r="UYM101" s="223"/>
      <c r="UYN101" s="223"/>
      <c r="UYO101" s="223"/>
      <c r="UYP101" s="223"/>
      <c r="UYQ101" s="223"/>
      <c r="UYR101" s="224"/>
      <c r="UYS101" s="222" t="s">
        <v>47</v>
      </c>
      <c r="UYT101" s="223"/>
      <c r="UYU101" s="223"/>
      <c r="UYV101" s="223"/>
      <c r="UYW101" s="223"/>
      <c r="UYX101" s="223"/>
      <c r="UYY101" s="223"/>
      <c r="UYZ101" s="224"/>
      <c r="UZA101" s="222" t="s">
        <v>47</v>
      </c>
      <c r="UZB101" s="223"/>
      <c r="UZC101" s="223"/>
      <c r="UZD101" s="223"/>
      <c r="UZE101" s="223"/>
      <c r="UZF101" s="223"/>
      <c r="UZG101" s="223"/>
      <c r="UZH101" s="224"/>
      <c r="UZI101" s="222" t="s">
        <v>47</v>
      </c>
      <c r="UZJ101" s="223"/>
      <c r="UZK101" s="223"/>
      <c r="UZL101" s="223"/>
      <c r="UZM101" s="223"/>
      <c r="UZN101" s="223"/>
      <c r="UZO101" s="223"/>
      <c r="UZP101" s="224"/>
      <c r="UZQ101" s="222" t="s">
        <v>47</v>
      </c>
      <c r="UZR101" s="223"/>
      <c r="UZS101" s="223"/>
      <c r="UZT101" s="223"/>
      <c r="UZU101" s="223"/>
      <c r="UZV101" s="223"/>
      <c r="UZW101" s="223"/>
      <c r="UZX101" s="224"/>
      <c r="UZY101" s="222" t="s">
        <v>47</v>
      </c>
      <c r="UZZ101" s="223"/>
      <c r="VAA101" s="223"/>
      <c r="VAB101" s="223"/>
      <c r="VAC101" s="223"/>
      <c r="VAD101" s="223"/>
      <c r="VAE101" s="223"/>
      <c r="VAF101" s="224"/>
      <c r="VAG101" s="222" t="s">
        <v>47</v>
      </c>
      <c r="VAH101" s="223"/>
      <c r="VAI101" s="223"/>
      <c r="VAJ101" s="223"/>
      <c r="VAK101" s="223"/>
      <c r="VAL101" s="223"/>
      <c r="VAM101" s="223"/>
      <c r="VAN101" s="224"/>
      <c r="VAO101" s="222" t="s">
        <v>47</v>
      </c>
      <c r="VAP101" s="223"/>
      <c r="VAQ101" s="223"/>
      <c r="VAR101" s="223"/>
      <c r="VAS101" s="223"/>
      <c r="VAT101" s="223"/>
      <c r="VAU101" s="223"/>
      <c r="VAV101" s="224"/>
      <c r="VAW101" s="222" t="s">
        <v>47</v>
      </c>
      <c r="VAX101" s="223"/>
      <c r="VAY101" s="223"/>
      <c r="VAZ101" s="223"/>
      <c r="VBA101" s="223"/>
      <c r="VBB101" s="223"/>
      <c r="VBC101" s="223"/>
      <c r="VBD101" s="224"/>
      <c r="VBE101" s="222" t="s">
        <v>47</v>
      </c>
      <c r="VBF101" s="223"/>
      <c r="VBG101" s="223"/>
      <c r="VBH101" s="223"/>
      <c r="VBI101" s="223"/>
      <c r="VBJ101" s="223"/>
      <c r="VBK101" s="223"/>
      <c r="VBL101" s="224"/>
      <c r="VBM101" s="222" t="s">
        <v>47</v>
      </c>
      <c r="VBN101" s="223"/>
      <c r="VBO101" s="223"/>
      <c r="VBP101" s="223"/>
      <c r="VBQ101" s="223"/>
      <c r="VBR101" s="223"/>
      <c r="VBS101" s="223"/>
      <c r="VBT101" s="224"/>
      <c r="VBU101" s="222" t="s">
        <v>47</v>
      </c>
      <c r="VBV101" s="223"/>
      <c r="VBW101" s="223"/>
      <c r="VBX101" s="223"/>
      <c r="VBY101" s="223"/>
      <c r="VBZ101" s="223"/>
      <c r="VCA101" s="223"/>
      <c r="VCB101" s="224"/>
      <c r="VCC101" s="222" t="s">
        <v>47</v>
      </c>
      <c r="VCD101" s="223"/>
      <c r="VCE101" s="223"/>
      <c r="VCF101" s="223"/>
      <c r="VCG101" s="223"/>
      <c r="VCH101" s="223"/>
      <c r="VCI101" s="223"/>
      <c r="VCJ101" s="224"/>
      <c r="VCK101" s="222" t="s">
        <v>47</v>
      </c>
      <c r="VCL101" s="223"/>
      <c r="VCM101" s="223"/>
      <c r="VCN101" s="223"/>
      <c r="VCO101" s="223"/>
      <c r="VCP101" s="223"/>
      <c r="VCQ101" s="223"/>
      <c r="VCR101" s="224"/>
      <c r="VCS101" s="222" t="s">
        <v>47</v>
      </c>
      <c r="VCT101" s="223"/>
      <c r="VCU101" s="223"/>
      <c r="VCV101" s="223"/>
      <c r="VCW101" s="223"/>
      <c r="VCX101" s="223"/>
      <c r="VCY101" s="223"/>
      <c r="VCZ101" s="224"/>
      <c r="VDA101" s="222" t="s">
        <v>47</v>
      </c>
      <c r="VDB101" s="223"/>
      <c r="VDC101" s="223"/>
      <c r="VDD101" s="223"/>
      <c r="VDE101" s="223"/>
      <c r="VDF101" s="223"/>
      <c r="VDG101" s="223"/>
      <c r="VDH101" s="224"/>
      <c r="VDI101" s="222" t="s">
        <v>47</v>
      </c>
      <c r="VDJ101" s="223"/>
      <c r="VDK101" s="223"/>
      <c r="VDL101" s="223"/>
      <c r="VDM101" s="223"/>
      <c r="VDN101" s="223"/>
      <c r="VDO101" s="223"/>
      <c r="VDP101" s="224"/>
      <c r="VDQ101" s="222" t="s">
        <v>47</v>
      </c>
      <c r="VDR101" s="223"/>
      <c r="VDS101" s="223"/>
      <c r="VDT101" s="223"/>
      <c r="VDU101" s="223"/>
      <c r="VDV101" s="223"/>
      <c r="VDW101" s="223"/>
      <c r="VDX101" s="224"/>
      <c r="VDY101" s="222" t="s">
        <v>47</v>
      </c>
      <c r="VDZ101" s="223"/>
      <c r="VEA101" s="223"/>
      <c r="VEB101" s="223"/>
      <c r="VEC101" s="223"/>
      <c r="VED101" s="223"/>
      <c r="VEE101" s="223"/>
      <c r="VEF101" s="224"/>
      <c r="VEG101" s="222" t="s">
        <v>47</v>
      </c>
      <c r="VEH101" s="223"/>
      <c r="VEI101" s="223"/>
      <c r="VEJ101" s="223"/>
      <c r="VEK101" s="223"/>
      <c r="VEL101" s="223"/>
      <c r="VEM101" s="223"/>
      <c r="VEN101" s="224"/>
      <c r="VEO101" s="222" t="s">
        <v>47</v>
      </c>
      <c r="VEP101" s="223"/>
      <c r="VEQ101" s="223"/>
      <c r="VER101" s="223"/>
      <c r="VES101" s="223"/>
      <c r="VET101" s="223"/>
      <c r="VEU101" s="223"/>
      <c r="VEV101" s="224"/>
      <c r="VEW101" s="222" t="s">
        <v>47</v>
      </c>
      <c r="VEX101" s="223"/>
      <c r="VEY101" s="223"/>
      <c r="VEZ101" s="223"/>
      <c r="VFA101" s="223"/>
      <c r="VFB101" s="223"/>
      <c r="VFC101" s="223"/>
      <c r="VFD101" s="224"/>
      <c r="VFE101" s="222" t="s">
        <v>47</v>
      </c>
      <c r="VFF101" s="223"/>
      <c r="VFG101" s="223"/>
      <c r="VFH101" s="223"/>
      <c r="VFI101" s="223"/>
      <c r="VFJ101" s="223"/>
      <c r="VFK101" s="223"/>
      <c r="VFL101" s="224"/>
      <c r="VFM101" s="222" t="s">
        <v>47</v>
      </c>
      <c r="VFN101" s="223"/>
      <c r="VFO101" s="223"/>
      <c r="VFP101" s="223"/>
      <c r="VFQ101" s="223"/>
      <c r="VFR101" s="223"/>
      <c r="VFS101" s="223"/>
      <c r="VFT101" s="224"/>
      <c r="VFU101" s="222" t="s">
        <v>47</v>
      </c>
      <c r="VFV101" s="223"/>
      <c r="VFW101" s="223"/>
      <c r="VFX101" s="223"/>
      <c r="VFY101" s="223"/>
      <c r="VFZ101" s="223"/>
      <c r="VGA101" s="223"/>
      <c r="VGB101" s="224"/>
      <c r="VGC101" s="222" t="s">
        <v>47</v>
      </c>
      <c r="VGD101" s="223"/>
      <c r="VGE101" s="223"/>
      <c r="VGF101" s="223"/>
      <c r="VGG101" s="223"/>
      <c r="VGH101" s="223"/>
      <c r="VGI101" s="223"/>
      <c r="VGJ101" s="224"/>
      <c r="VGK101" s="222" t="s">
        <v>47</v>
      </c>
      <c r="VGL101" s="223"/>
      <c r="VGM101" s="223"/>
      <c r="VGN101" s="223"/>
      <c r="VGO101" s="223"/>
      <c r="VGP101" s="223"/>
      <c r="VGQ101" s="223"/>
      <c r="VGR101" s="224"/>
      <c r="VGS101" s="222" t="s">
        <v>47</v>
      </c>
      <c r="VGT101" s="223"/>
      <c r="VGU101" s="223"/>
      <c r="VGV101" s="223"/>
      <c r="VGW101" s="223"/>
      <c r="VGX101" s="223"/>
      <c r="VGY101" s="223"/>
      <c r="VGZ101" s="224"/>
      <c r="VHA101" s="222" t="s">
        <v>47</v>
      </c>
      <c r="VHB101" s="223"/>
      <c r="VHC101" s="223"/>
      <c r="VHD101" s="223"/>
      <c r="VHE101" s="223"/>
      <c r="VHF101" s="223"/>
      <c r="VHG101" s="223"/>
      <c r="VHH101" s="224"/>
      <c r="VHI101" s="222" t="s">
        <v>47</v>
      </c>
      <c r="VHJ101" s="223"/>
      <c r="VHK101" s="223"/>
      <c r="VHL101" s="223"/>
      <c r="VHM101" s="223"/>
      <c r="VHN101" s="223"/>
      <c r="VHO101" s="223"/>
      <c r="VHP101" s="224"/>
      <c r="VHQ101" s="222" t="s">
        <v>47</v>
      </c>
      <c r="VHR101" s="223"/>
      <c r="VHS101" s="223"/>
      <c r="VHT101" s="223"/>
      <c r="VHU101" s="223"/>
      <c r="VHV101" s="223"/>
      <c r="VHW101" s="223"/>
      <c r="VHX101" s="224"/>
      <c r="VHY101" s="222" t="s">
        <v>47</v>
      </c>
      <c r="VHZ101" s="223"/>
      <c r="VIA101" s="223"/>
      <c r="VIB101" s="223"/>
      <c r="VIC101" s="223"/>
      <c r="VID101" s="223"/>
      <c r="VIE101" s="223"/>
      <c r="VIF101" s="224"/>
      <c r="VIG101" s="222" t="s">
        <v>47</v>
      </c>
      <c r="VIH101" s="223"/>
      <c r="VII101" s="223"/>
      <c r="VIJ101" s="223"/>
      <c r="VIK101" s="223"/>
      <c r="VIL101" s="223"/>
      <c r="VIM101" s="223"/>
      <c r="VIN101" s="224"/>
      <c r="VIO101" s="222" t="s">
        <v>47</v>
      </c>
      <c r="VIP101" s="223"/>
      <c r="VIQ101" s="223"/>
      <c r="VIR101" s="223"/>
      <c r="VIS101" s="223"/>
      <c r="VIT101" s="223"/>
      <c r="VIU101" s="223"/>
      <c r="VIV101" s="224"/>
      <c r="VIW101" s="222" t="s">
        <v>47</v>
      </c>
      <c r="VIX101" s="223"/>
      <c r="VIY101" s="223"/>
      <c r="VIZ101" s="223"/>
      <c r="VJA101" s="223"/>
      <c r="VJB101" s="223"/>
      <c r="VJC101" s="223"/>
      <c r="VJD101" s="224"/>
      <c r="VJE101" s="222" t="s">
        <v>47</v>
      </c>
      <c r="VJF101" s="223"/>
      <c r="VJG101" s="223"/>
      <c r="VJH101" s="223"/>
      <c r="VJI101" s="223"/>
      <c r="VJJ101" s="223"/>
      <c r="VJK101" s="223"/>
      <c r="VJL101" s="224"/>
      <c r="VJM101" s="222" t="s">
        <v>47</v>
      </c>
      <c r="VJN101" s="223"/>
      <c r="VJO101" s="223"/>
      <c r="VJP101" s="223"/>
      <c r="VJQ101" s="223"/>
      <c r="VJR101" s="223"/>
      <c r="VJS101" s="223"/>
      <c r="VJT101" s="224"/>
      <c r="VJU101" s="222" t="s">
        <v>47</v>
      </c>
      <c r="VJV101" s="223"/>
      <c r="VJW101" s="223"/>
      <c r="VJX101" s="223"/>
      <c r="VJY101" s="223"/>
      <c r="VJZ101" s="223"/>
      <c r="VKA101" s="223"/>
      <c r="VKB101" s="224"/>
      <c r="VKC101" s="222" t="s">
        <v>47</v>
      </c>
      <c r="VKD101" s="223"/>
      <c r="VKE101" s="223"/>
      <c r="VKF101" s="223"/>
      <c r="VKG101" s="223"/>
      <c r="VKH101" s="223"/>
      <c r="VKI101" s="223"/>
      <c r="VKJ101" s="224"/>
      <c r="VKK101" s="222" t="s">
        <v>47</v>
      </c>
      <c r="VKL101" s="223"/>
      <c r="VKM101" s="223"/>
      <c r="VKN101" s="223"/>
      <c r="VKO101" s="223"/>
      <c r="VKP101" s="223"/>
      <c r="VKQ101" s="223"/>
      <c r="VKR101" s="224"/>
      <c r="VKS101" s="222" t="s">
        <v>47</v>
      </c>
      <c r="VKT101" s="223"/>
      <c r="VKU101" s="223"/>
      <c r="VKV101" s="223"/>
      <c r="VKW101" s="223"/>
      <c r="VKX101" s="223"/>
      <c r="VKY101" s="223"/>
      <c r="VKZ101" s="224"/>
      <c r="VLA101" s="222" t="s">
        <v>47</v>
      </c>
      <c r="VLB101" s="223"/>
      <c r="VLC101" s="223"/>
      <c r="VLD101" s="223"/>
      <c r="VLE101" s="223"/>
      <c r="VLF101" s="223"/>
      <c r="VLG101" s="223"/>
      <c r="VLH101" s="224"/>
      <c r="VLI101" s="222" t="s">
        <v>47</v>
      </c>
      <c r="VLJ101" s="223"/>
      <c r="VLK101" s="223"/>
      <c r="VLL101" s="223"/>
      <c r="VLM101" s="223"/>
      <c r="VLN101" s="223"/>
      <c r="VLO101" s="223"/>
      <c r="VLP101" s="224"/>
      <c r="VLQ101" s="222" t="s">
        <v>47</v>
      </c>
      <c r="VLR101" s="223"/>
      <c r="VLS101" s="223"/>
      <c r="VLT101" s="223"/>
      <c r="VLU101" s="223"/>
      <c r="VLV101" s="223"/>
      <c r="VLW101" s="223"/>
      <c r="VLX101" s="224"/>
      <c r="VLY101" s="222" t="s">
        <v>47</v>
      </c>
      <c r="VLZ101" s="223"/>
      <c r="VMA101" s="223"/>
      <c r="VMB101" s="223"/>
      <c r="VMC101" s="223"/>
      <c r="VMD101" s="223"/>
      <c r="VME101" s="223"/>
      <c r="VMF101" s="224"/>
      <c r="VMG101" s="222" t="s">
        <v>47</v>
      </c>
      <c r="VMH101" s="223"/>
      <c r="VMI101" s="223"/>
      <c r="VMJ101" s="223"/>
      <c r="VMK101" s="223"/>
      <c r="VML101" s="223"/>
      <c r="VMM101" s="223"/>
      <c r="VMN101" s="224"/>
      <c r="VMO101" s="222" t="s">
        <v>47</v>
      </c>
      <c r="VMP101" s="223"/>
      <c r="VMQ101" s="223"/>
      <c r="VMR101" s="223"/>
      <c r="VMS101" s="223"/>
      <c r="VMT101" s="223"/>
      <c r="VMU101" s="223"/>
      <c r="VMV101" s="224"/>
      <c r="VMW101" s="222" t="s">
        <v>47</v>
      </c>
      <c r="VMX101" s="223"/>
      <c r="VMY101" s="223"/>
      <c r="VMZ101" s="223"/>
      <c r="VNA101" s="223"/>
      <c r="VNB101" s="223"/>
      <c r="VNC101" s="223"/>
      <c r="VND101" s="224"/>
      <c r="VNE101" s="222" t="s">
        <v>47</v>
      </c>
      <c r="VNF101" s="223"/>
      <c r="VNG101" s="223"/>
      <c r="VNH101" s="223"/>
      <c r="VNI101" s="223"/>
      <c r="VNJ101" s="223"/>
      <c r="VNK101" s="223"/>
      <c r="VNL101" s="224"/>
      <c r="VNM101" s="222" t="s">
        <v>47</v>
      </c>
      <c r="VNN101" s="223"/>
      <c r="VNO101" s="223"/>
      <c r="VNP101" s="223"/>
      <c r="VNQ101" s="223"/>
      <c r="VNR101" s="223"/>
      <c r="VNS101" s="223"/>
      <c r="VNT101" s="224"/>
      <c r="VNU101" s="222" t="s">
        <v>47</v>
      </c>
      <c r="VNV101" s="223"/>
      <c r="VNW101" s="223"/>
      <c r="VNX101" s="223"/>
      <c r="VNY101" s="223"/>
      <c r="VNZ101" s="223"/>
      <c r="VOA101" s="223"/>
      <c r="VOB101" s="224"/>
      <c r="VOC101" s="222" t="s">
        <v>47</v>
      </c>
      <c r="VOD101" s="223"/>
      <c r="VOE101" s="223"/>
      <c r="VOF101" s="223"/>
      <c r="VOG101" s="223"/>
      <c r="VOH101" s="223"/>
      <c r="VOI101" s="223"/>
      <c r="VOJ101" s="224"/>
      <c r="VOK101" s="222" t="s">
        <v>47</v>
      </c>
      <c r="VOL101" s="223"/>
      <c r="VOM101" s="223"/>
      <c r="VON101" s="223"/>
      <c r="VOO101" s="223"/>
      <c r="VOP101" s="223"/>
      <c r="VOQ101" s="223"/>
      <c r="VOR101" s="224"/>
      <c r="VOS101" s="222" t="s">
        <v>47</v>
      </c>
      <c r="VOT101" s="223"/>
      <c r="VOU101" s="223"/>
      <c r="VOV101" s="223"/>
      <c r="VOW101" s="223"/>
      <c r="VOX101" s="223"/>
      <c r="VOY101" s="223"/>
      <c r="VOZ101" s="224"/>
      <c r="VPA101" s="222" t="s">
        <v>47</v>
      </c>
      <c r="VPB101" s="223"/>
      <c r="VPC101" s="223"/>
      <c r="VPD101" s="223"/>
      <c r="VPE101" s="223"/>
      <c r="VPF101" s="223"/>
      <c r="VPG101" s="223"/>
      <c r="VPH101" s="224"/>
      <c r="VPI101" s="222" t="s">
        <v>47</v>
      </c>
      <c r="VPJ101" s="223"/>
      <c r="VPK101" s="223"/>
      <c r="VPL101" s="223"/>
      <c r="VPM101" s="223"/>
      <c r="VPN101" s="223"/>
      <c r="VPO101" s="223"/>
      <c r="VPP101" s="224"/>
      <c r="VPQ101" s="222" t="s">
        <v>47</v>
      </c>
      <c r="VPR101" s="223"/>
      <c r="VPS101" s="223"/>
      <c r="VPT101" s="223"/>
      <c r="VPU101" s="223"/>
      <c r="VPV101" s="223"/>
      <c r="VPW101" s="223"/>
      <c r="VPX101" s="224"/>
      <c r="VPY101" s="222" t="s">
        <v>47</v>
      </c>
      <c r="VPZ101" s="223"/>
      <c r="VQA101" s="223"/>
      <c r="VQB101" s="223"/>
      <c r="VQC101" s="223"/>
      <c r="VQD101" s="223"/>
      <c r="VQE101" s="223"/>
      <c r="VQF101" s="224"/>
      <c r="VQG101" s="222" t="s">
        <v>47</v>
      </c>
      <c r="VQH101" s="223"/>
      <c r="VQI101" s="223"/>
      <c r="VQJ101" s="223"/>
      <c r="VQK101" s="223"/>
      <c r="VQL101" s="223"/>
      <c r="VQM101" s="223"/>
      <c r="VQN101" s="224"/>
      <c r="VQO101" s="222" t="s">
        <v>47</v>
      </c>
      <c r="VQP101" s="223"/>
      <c r="VQQ101" s="223"/>
      <c r="VQR101" s="223"/>
      <c r="VQS101" s="223"/>
      <c r="VQT101" s="223"/>
      <c r="VQU101" s="223"/>
      <c r="VQV101" s="224"/>
      <c r="VQW101" s="222" t="s">
        <v>47</v>
      </c>
      <c r="VQX101" s="223"/>
      <c r="VQY101" s="223"/>
      <c r="VQZ101" s="223"/>
      <c r="VRA101" s="223"/>
      <c r="VRB101" s="223"/>
      <c r="VRC101" s="223"/>
      <c r="VRD101" s="224"/>
      <c r="VRE101" s="222" t="s">
        <v>47</v>
      </c>
      <c r="VRF101" s="223"/>
      <c r="VRG101" s="223"/>
      <c r="VRH101" s="223"/>
      <c r="VRI101" s="223"/>
      <c r="VRJ101" s="223"/>
      <c r="VRK101" s="223"/>
      <c r="VRL101" s="224"/>
      <c r="VRM101" s="222" t="s">
        <v>47</v>
      </c>
      <c r="VRN101" s="223"/>
      <c r="VRO101" s="223"/>
      <c r="VRP101" s="223"/>
      <c r="VRQ101" s="223"/>
      <c r="VRR101" s="223"/>
      <c r="VRS101" s="223"/>
      <c r="VRT101" s="224"/>
      <c r="VRU101" s="222" t="s">
        <v>47</v>
      </c>
      <c r="VRV101" s="223"/>
      <c r="VRW101" s="223"/>
      <c r="VRX101" s="223"/>
      <c r="VRY101" s="223"/>
      <c r="VRZ101" s="223"/>
      <c r="VSA101" s="223"/>
      <c r="VSB101" s="224"/>
      <c r="VSC101" s="222" t="s">
        <v>47</v>
      </c>
      <c r="VSD101" s="223"/>
      <c r="VSE101" s="223"/>
      <c r="VSF101" s="223"/>
      <c r="VSG101" s="223"/>
      <c r="VSH101" s="223"/>
      <c r="VSI101" s="223"/>
      <c r="VSJ101" s="224"/>
      <c r="VSK101" s="222" t="s">
        <v>47</v>
      </c>
      <c r="VSL101" s="223"/>
      <c r="VSM101" s="223"/>
      <c r="VSN101" s="223"/>
      <c r="VSO101" s="223"/>
      <c r="VSP101" s="223"/>
      <c r="VSQ101" s="223"/>
      <c r="VSR101" s="224"/>
      <c r="VSS101" s="222" t="s">
        <v>47</v>
      </c>
      <c r="VST101" s="223"/>
      <c r="VSU101" s="223"/>
      <c r="VSV101" s="223"/>
      <c r="VSW101" s="223"/>
      <c r="VSX101" s="223"/>
      <c r="VSY101" s="223"/>
      <c r="VSZ101" s="224"/>
      <c r="VTA101" s="222" t="s">
        <v>47</v>
      </c>
      <c r="VTB101" s="223"/>
      <c r="VTC101" s="223"/>
      <c r="VTD101" s="223"/>
      <c r="VTE101" s="223"/>
      <c r="VTF101" s="223"/>
      <c r="VTG101" s="223"/>
      <c r="VTH101" s="224"/>
      <c r="VTI101" s="222" t="s">
        <v>47</v>
      </c>
      <c r="VTJ101" s="223"/>
      <c r="VTK101" s="223"/>
      <c r="VTL101" s="223"/>
      <c r="VTM101" s="223"/>
      <c r="VTN101" s="223"/>
      <c r="VTO101" s="223"/>
      <c r="VTP101" s="224"/>
      <c r="VTQ101" s="222" t="s">
        <v>47</v>
      </c>
      <c r="VTR101" s="223"/>
      <c r="VTS101" s="223"/>
      <c r="VTT101" s="223"/>
      <c r="VTU101" s="223"/>
      <c r="VTV101" s="223"/>
      <c r="VTW101" s="223"/>
      <c r="VTX101" s="224"/>
      <c r="VTY101" s="222" t="s">
        <v>47</v>
      </c>
      <c r="VTZ101" s="223"/>
      <c r="VUA101" s="223"/>
      <c r="VUB101" s="223"/>
      <c r="VUC101" s="223"/>
      <c r="VUD101" s="223"/>
      <c r="VUE101" s="223"/>
      <c r="VUF101" s="224"/>
      <c r="VUG101" s="222" t="s">
        <v>47</v>
      </c>
      <c r="VUH101" s="223"/>
      <c r="VUI101" s="223"/>
      <c r="VUJ101" s="223"/>
      <c r="VUK101" s="223"/>
      <c r="VUL101" s="223"/>
      <c r="VUM101" s="223"/>
      <c r="VUN101" s="224"/>
      <c r="VUO101" s="222" t="s">
        <v>47</v>
      </c>
      <c r="VUP101" s="223"/>
      <c r="VUQ101" s="223"/>
      <c r="VUR101" s="223"/>
      <c r="VUS101" s="223"/>
      <c r="VUT101" s="223"/>
      <c r="VUU101" s="223"/>
      <c r="VUV101" s="224"/>
      <c r="VUW101" s="222" t="s">
        <v>47</v>
      </c>
      <c r="VUX101" s="223"/>
      <c r="VUY101" s="223"/>
      <c r="VUZ101" s="223"/>
      <c r="VVA101" s="223"/>
      <c r="VVB101" s="223"/>
      <c r="VVC101" s="223"/>
      <c r="VVD101" s="224"/>
      <c r="VVE101" s="222" t="s">
        <v>47</v>
      </c>
      <c r="VVF101" s="223"/>
      <c r="VVG101" s="223"/>
      <c r="VVH101" s="223"/>
      <c r="VVI101" s="223"/>
      <c r="VVJ101" s="223"/>
      <c r="VVK101" s="223"/>
      <c r="VVL101" s="224"/>
      <c r="VVM101" s="222" t="s">
        <v>47</v>
      </c>
      <c r="VVN101" s="223"/>
      <c r="VVO101" s="223"/>
      <c r="VVP101" s="223"/>
      <c r="VVQ101" s="223"/>
      <c r="VVR101" s="223"/>
      <c r="VVS101" s="223"/>
      <c r="VVT101" s="224"/>
      <c r="VVU101" s="222" t="s">
        <v>47</v>
      </c>
      <c r="VVV101" s="223"/>
      <c r="VVW101" s="223"/>
      <c r="VVX101" s="223"/>
      <c r="VVY101" s="223"/>
      <c r="VVZ101" s="223"/>
      <c r="VWA101" s="223"/>
      <c r="VWB101" s="224"/>
      <c r="VWC101" s="222" t="s">
        <v>47</v>
      </c>
      <c r="VWD101" s="223"/>
      <c r="VWE101" s="223"/>
      <c r="VWF101" s="223"/>
      <c r="VWG101" s="223"/>
      <c r="VWH101" s="223"/>
      <c r="VWI101" s="223"/>
      <c r="VWJ101" s="224"/>
      <c r="VWK101" s="222" t="s">
        <v>47</v>
      </c>
      <c r="VWL101" s="223"/>
      <c r="VWM101" s="223"/>
      <c r="VWN101" s="223"/>
      <c r="VWO101" s="223"/>
      <c r="VWP101" s="223"/>
      <c r="VWQ101" s="223"/>
      <c r="VWR101" s="224"/>
      <c r="VWS101" s="222" t="s">
        <v>47</v>
      </c>
      <c r="VWT101" s="223"/>
      <c r="VWU101" s="223"/>
      <c r="VWV101" s="223"/>
      <c r="VWW101" s="223"/>
      <c r="VWX101" s="223"/>
      <c r="VWY101" s="223"/>
      <c r="VWZ101" s="224"/>
      <c r="VXA101" s="222" t="s">
        <v>47</v>
      </c>
      <c r="VXB101" s="223"/>
      <c r="VXC101" s="223"/>
      <c r="VXD101" s="223"/>
      <c r="VXE101" s="223"/>
      <c r="VXF101" s="223"/>
      <c r="VXG101" s="223"/>
      <c r="VXH101" s="224"/>
      <c r="VXI101" s="222" t="s">
        <v>47</v>
      </c>
      <c r="VXJ101" s="223"/>
      <c r="VXK101" s="223"/>
      <c r="VXL101" s="223"/>
      <c r="VXM101" s="223"/>
      <c r="VXN101" s="223"/>
      <c r="VXO101" s="223"/>
      <c r="VXP101" s="224"/>
      <c r="VXQ101" s="222" t="s">
        <v>47</v>
      </c>
      <c r="VXR101" s="223"/>
      <c r="VXS101" s="223"/>
      <c r="VXT101" s="223"/>
      <c r="VXU101" s="223"/>
      <c r="VXV101" s="223"/>
      <c r="VXW101" s="223"/>
      <c r="VXX101" s="224"/>
      <c r="VXY101" s="222" t="s">
        <v>47</v>
      </c>
      <c r="VXZ101" s="223"/>
      <c r="VYA101" s="223"/>
      <c r="VYB101" s="223"/>
      <c r="VYC101" s="223"/>
      <c r="VYD101" s="223"/>
      <c r="VYE101" s="223"/>
      <c r="VYF101" s="224"/>
      <c r="VYG101" s="222" t="s">
        <v>47</v>
      </c>
      <c r="VYH101" s="223"/>
      <c r="VYI101" s="223"/>
      <c r="VYJ101" s="223"/>
      <c r="VYK101" s="223"/>
      <c r="VYL101" s="223"/>
      <c r="VYM101" s="223"/>
      <c r="VYN101" s="224"/>
      <c r="VYO101" s="222" t="s">
        <v>47</v>
      </c>
      <c r="VYP101" s="223"/>
      <c r="VYQ101" s="223"/>
      <c r="VYR101" s="223"/>
      <c r="VYS101" s="223"/>
      <c r="VYT101" s="223"/>
      <c r="VYU101" s="223"/>
      <c r="VYV101" s="224"/>
      <c r="VYW101" s="222" t="s">
        <v>47</v>
      </c>
      <c r="VYX101" s="223"/>
      <c r="VYY101" s="223"/>
      <c r="VYZ101" s="223"/>
      <c r="VZA101" s="223"/>
      <c r="VZB101" s="223"/>
      <c r="VZC101" s="223"/>
      <c r="VZD101" s="224"/>
      <c r="VZE101" s="222" t="s">
        <v>47</v>
      </c>
      <c r="VZF101" s="223"/>
      <c r="VZG101" s="223"/>
      <c r="VZH101" s="223"/>
      <c r="VZI101" s="223"/>
      <c r="VZJ101" s="223"/>
      <c r="VZK101" s="223"/>
      <c r="VZL101" s="224"/>
      <c r="VZM101" s="222" t="s">
        <v>47</v>
      </c>
      <c r="VZN101" s="223"/>
      <c r="VZO101" s="223"/>
      <c r="VZP101" s="223"/>
      <c r="VZQ101" s="223"/>
      <c r="VZR101" s="223"/>
      <c r="VZS101" s="223"/>
      <c r="VZT101" s="224"/>
      <c r="VZU101" s="222" t="s">
        <v>47</v>
      </c>
      <c r="VZV101" s="223"/>
      <c r="VZW101" s="223"/>
      <c r="VZX101" s="223"/>
      <c r="VZY101" s="223"/>
      <c r="VZZ101" s="223"/>
      <c r="WAA101" s="223"/>
      <c r="WAB101" s="224"/>
      <c r="WAC101" s="222" t="s">
        <v>47</v>
      </c>
      <c r="WAD101" s="223"/>
      <c r="WAE101" s="223"/>
      <c r="WAF101" s="223"/>
      <c r="WAG101" s="223"/>
      <c r="WAH101" s="223"/>
      <c r="WAI101" s="223"/>
      <c r="WAJ101" s="224"/>
      <c r="WAK101" s="222" t="s">
        <v>47</v>
      </c>
      <c r="WAL101" s="223"/>
      <c r="WAM101" s="223"/>
      <c r="WAN101" s="223"/>
      <c r="WAO101" s="223"/>
      <c r="WAP101" s="223"/>
      <c r="WAQ101" s="223"/>
      <c r="WAR101" s="224"/>
      <c r="WAS101" s="222" t="s">
        <v>47</v>
      </c>
      <c r="WAT101" s="223"/>
      <c r="WAU101" s="223"/>
      <c r="WAV101" s="223"/>
      <c r="WAW101" s="223"/>
      <c r="WAX101" s="223"/>
      <c r="WAY101" s="223"/>
      <c r="WAZ101" s="224"/>
      <c r="WBA101" s="222" t="s">
        <v>47</v>
      </c>
      <c r="WBB101" s="223"/>
      <c r="WBC101" s="223"/>
      <c r="WBD101" s="223"/>
      <c r="WBE101" s="223"/>
      <c r="WBF101" s="223"/>
      <c r="WBG101" s="223"/>
      <c r="WBH101" s="224"/>
      <c r="WBI101" s="222" t="s">
        <v>47</v>
      </c>
      <c r="WBJ101" s="223"/>
      <c r="WBK101" s="223"/>
      <c r="WBL101" s="223"/>
      <c r="WBM101" s="223"/>
      <c r="WBN101" s="223"/>
      <c r="WBO101" s="223"/>
      <c r="WBP101" s="224"/>
      <c r="WBQ101" s="222" t="s">
        <v>47</v>
      </c>
      <c r="WBR101" s="223"/>
      <c r="WBS101" s="223"/>
      <c r="WBT101" s="223"/>
      <c r="WBU101" s="223"/>
      <c r="WBV101" s="223"/>
      <c r="WBW101" s="223"/>
      <c r="WBX101" s="224"/>
      <c r="WBY101" s="222" t="s">
        <v>47</v>
      </c>
      <c r="WBZ101" s="223"/>
      <c r="WCA101" s="223"/>
      <c r="WCB101" s="223"/>
      <c r="WCC101" s="223"/>
      <c r="WCD101" s="223"/>
      <c r="WCE101" s="223"/>
      <c r="WCF101" s="224"/>
      <c r="WCG101" s="222" t="s">
        <v>47</v>
      </c>
      <c r="WCH101" s="223"/>
      <c r="WCI101" s="223"/>
      <c r="WCJ101" s="223"/>
      <c r="WCK101" s="223"/>
      <c r="WCL101" s="223"/>
      <c r="WCM101" s="223"/>
      <c r="WCN101" s="224"/>
      <c r="WCO101" s="222" t="s">
        <v>47</v>
      </c>
      <c r="WCP101" s="223"/>
      <c r="WCQ101" s="223"/>
      <c r="WCR101" s="223"/>
      <c r="WCS101" s="223"/>
      <c r="WCT101" s="223"/>
      <c r="WCU101" s="223"/>
      <c r="WCV101" s="224"/>
      <c r="WCW101" s="222" t="s">
        <v>47</v>
      </c>
      <c r="WCX101" s="223"/>
      <c r="WCY101" s="223"/>
      <c r="WCZ101" s="223"/>
      <c r="WDA101" s="223"/>
      <c r="WDB101" s="223"/>
      <c r="WDC101" s="223"/>
      <c r="WDD101" s="224"/>
      <c r="WDE101" s="222" t="s">
        <v>47</v>
      </c>
      <c r="WDF101" s="223"/>
      <c r="WDG101" s="223"/>
      <c r="WDH101" s="223"/>
      <c r="WDI101" s="223"/>
      <c r="WDJ101" s="223"/>
      <c r="WDK101" s="223"/>
      <c r="WDL101" s="224"/>
      <c r="WDM101" s="222" t="s">
        <v>47</v>
      </c>
      <c r="WDN101" s="223"/>
      <c r="WDO101" s="223"/>
      <c r="WDP101" s="223"/>
      <c r="WDQ101" s="223"/>
      <c r="WDR101" s="223"/>
      <c r="WDS101" s="223"/>
      <c r="WDT101" s="224"/>
      <c r="WDU101" s="222" t="s">
        <v>47</v>
      </c>
      <c r="WDV101" s="223"/>
      <c r="WDW101" s="223"/>
      <c r="WDX101" s="223"/>
      <c r="WDY101" s="223"/>
      <c r="WDZ101" s="223"/>
      <c r="WEA101" s="223"/>
      <c r="WEB101" s="224"/>
      <c r="WEC101" s="222" t="s">
        <v>47</v>
      </c>
      <c r="WED101" s="223"/>
      <c r="WEE101" s="223"/>
      <c r="WEF101" s="223"/>
      <c r="WEG101" s="223"/>
      <c r="WEH101" s="223"/>
      <c r="WEI101" s="223"/>
      <c r="WEJ101" s="224"/>
      <c r="WEK101" s="222" t="s">
        <v>47</v>
      </c>
      <c r="WEL101" s="223"/>
      <c r="WEM101" s="223"/>
      <c r="WEN101" s="223"/>
      <c r="WEO101" s="223"/>
      <c r="WEP101" s="223"/>
      <c r="WEQ101" s="223"/>
      <c r="WER101" s="224"/>
      <c r="WES101" s="222" t="s">
        <v>47</v>
      </c>
      <c r="WET101" s="223"/>
      <c r="WEU101" s="223"/>
      <c r="WEV101" s="223"/>
      <c r="WEW101" s="223"/>
      <c r="WEX101" s="223"/>
      <c r="WEY101" s="223"/>
      <c r="WEZ101" s="224"/>
      <c r="WFA101" s="222" t="s">
        <v>47</v>
      </c>
      <c r="WFB101" s="223"/>
      <c r="WFC101" s="223"/>
      <c r="WFD101" s="223"/>
      <c r="WFE101" s="223"/>
      <c r="WFF101" s="223"/>
      <c r="WFG101" s="223"/>
      <c r="WFH101" s="224"/>
      <c r="WFI101" s="222" t="s">
        <v>47</v>
      </c>
      <c r="WFJ101" s="223"/>
      <c r="WFK101" s="223"/>
      <c r="WFL101" s="223"/>
      <c r="WFM101" s="223"/>
      <c r="WFN101" s="223"/>
      <c r="WFO101" s="223"/>
      <c r="WFP101" s="224"/>
      <c r="WFQ101" s="222" t="s">
        <v>47</v>
      </c>
      <c r="WFR101" s="223"/>
      <c r="WFS101" s="223"/>
      <c r="WFT101" s="223"/>
      <c r="WFU101" s="223"/>
      <c r="WFV101" s="223"/>
      <c r="WFW101" s="223"/>
      <c r="WFX101" s="224"/>
      <c r="WFY101" s="222" t="s">
        <v>47</v>
      </c>
      <c r="WFZ101" s="223"/>
      <c r="WGA101" s="223"/>
      <c r="WGB101" s="223"/>
      <c r="WGC101" s="223"/>
      <c r="WGD101" s="223"/>
      <c r="WGE101" s="223"/>
      <c r="WGF101" s="224"/>
      <c r="WGG101" s="222" t="s">
        <v>47</v>
      </c>
      <c r="WGH101" s="223"/>
      <c r="WGI101" s="223"/>
      <c r="WGJ101" s="223"/>
      <c r="WGK101" s="223"/>
      <c r="WGL101" s="223"/>
      <c r="WGM101" s="223"/>
      <c r="WGN101" s="224"/>
      <c r="WGO101" s="222" t="s">
        <v>47</v>
      </c>
      <c r="WGP101" s="223"/>
      <c r="WGQ101" s="223"/>
      <c r="WGR101" s="223"/>
      <c r="WGS101" s="223"/>
      <c r="WGT101" s="223"/>
      <c r="WGU101" s="223"/>
      <c r="WGV101" s="224"/>
      <c r="WGW101" s="222" t="s">
        <v>47</v>
      </c>
      <c r="WGX101" s="223"/>
      <c r="WGY101" s="223"/>
      <c r="WGZ101" s="223"/>
      <c r="WHA101" s="223"/>
      <c r="WHB101" s="223"/>
      <c r="WHC101" s="223"/>
      <c r="WHD101" s="224"/>
      <c r="WHE101" s="222" t="s">
        <v>47</v>
      </c>
      <c r="WHF101" s="223"/>
      <c r="WHG101" s="223"/>
      <c r="WHH101" s="223"/>
      <c r="WHI101" s="223"/>
      <c r="WHJ101" s="223"/>
      <c r="WHK101" s="223"/>
      <c r="WHL101" s="224"/>
      <c r="WHM101" s="222" t="s">
        <v>47</v>
      </c>
      <c r="WHN101" s="223"/>
      <c r="WHO101" s="223"/>
      <c r="WHP101" s="223"/>
      <c r="WHQ101" s="223"/>
      <c r="WHR101" s="223"/>
      <c r="WHS101" s="223"/>
      <c r="WHT101" s="224"/>
      <c r="WHU101" s="222" t="s">
        <v>47</v>
      </c>
      <c r="WHV101" s="223"/>
      <c r="WHW101" s="223"/>
      <c r="WHX101" s="223"/>
      <c r="WHY101" s="223"/>
      <c r="WHZ101" s="223"/>
      <c r="WIA101" s="223"/>
      <c r="WIB101" s="224"/>
      <c r="WIC101" s="222" t="s">
        <v>47</v>
      </c>
      <c r="WID101" s="223"/>
      <c r="WIE101" s="223"/>
      <c r="WIF101" s="223"/>
      <c r="WIG101" s="223"/>
      <c r="WIH101" s="223"/>
      <c r="WII101" s="223"/>
      <c r="WIJ101" s="224"/>
      <c r="WIK101" s="222" t="s">
        <v>47</v>
      </c>
      <c r="WIL101" s="223"/>
      <c r="WIM101" s="223"/>
      <c r="WIN101" s="223"/>
      <c r="WIO101" s="223"/>
      <c r="WIP101" s="223"/>
      <c r="WIQ101" s="223"/>
      <c r="WIR101" s="224"/>
      <c r="WIS101" s="222" t="s">
        <v>47</v>
      </c>
      <c r="WIT101" s="223"/>
      <c r="WIU101" s="223"/>
      <c r="WIV101" s="223"/>
      <c r="WIW101" s="223"/>
      <c r="WIX101" s="223"/>
      <c r="WIY101" s="223"/>
      <c r="WIZ101" s="224"/>
      <c r="WJA101" s="222" t="s">
        <v>47</v>
      </c>
      <c r="WJB101" s="223"/>
      <c r="WJC101" s="223"/>
      <c r="WJD101" s="223"/>
      <c r="WJE101" s="223"/>
      <c r="WJF101" s="223"/>
      <c r="WJG101" s="223"/>
      <c r="WJH101" s="224"/>
      <c r="WJI101" s="222" t="s">
        <v>47</v>
      </c>
      <c r="WJJ101" s="223"/>
      <c r="WJK101" s="223"/>
      <c r="WJL101" s="223"/>
      <c r="WJM101" s="223"/>
      <c r="WJN101" s="223"/>
      <c r="WJO101" s="223"/>
      <c r="WJP101" s="224"/>
      <c r="WJQ101" s="222" t="s">
        <v>47</v>
      </c>
      <c r="WJR101" s="223"/>
      <c r="WJS101" s="223"/>
      <c r="WJT101" s="223"/>
      <c r="WJU101" s="223"/>
      <c r="WJV101" s="223"/>
      <c r="WJW101" s="223"/>
      <c r="WJX101" s="224"/>
      <c r="WJY101" s="222" t="s">
        <v>47</v>
      </c>
      <c r="WJZ101" s="223"/>
      <c r="WKA101" s="223"/>
      <c r="WKB101" s="223"/>
      <c r="WKC101" s="223"/>
      <c r="WKD101" s="223"/>
      <c r="WKE101" s="223"/>
      <c r="WKF101" s="224"/>
      <c r="WKG101" s="222" t="s">
        <v>47</v>
      </c>
      <c r="WKH101" s="223"/>
      <c r="WKI101" s="223"/>
      <c r="WKJ101" s="223"/>
      <c r="WKK101" s="223"/>
      <c r="WKL101" s="223"/>
      <c r="WKM101" s="223"/>
      <c r="WKN101" s="224"/>
      <c r="WKO101" s="222" t="s">
        <v>47</v>
      </c>
      <c r="WKP101" s="223"/>
      <c r="WKQ101" s="223"/>
      <c r="WKR101" s="223"/>
      <c r="WKS101" s="223"/>
      <c r="WKT101" s="223"/>
      <c r="WKU101" s="223"/>
      <c r="WKV101" s="224"/>
      <c r="WKW101" s="222" t="s">
        <v>47</v>
      </c>
      <c r="WKX101" s="223"/>
      <c r="WKY101" s="223"/>
      <c r="WKZ101" s="223"/>
      <c r="WLA101" s="223"/>
      <c r="WLB101" s="223"/>
      <c r="WLC101" s="223"/>
      <c r="WLD101" s="224"/>
      <c r="WLE101" s="222" t="s">
        <v>47</v>
      </c>
      <c r="WLF101" s="223"/>
      <c r="WLG101" s="223"/>
      <c r="WLH101" s="223"/>
      <c r="WLI101" s="223"/>
      <c r="WLJ101" s="223"/>
      <c r="WLK101" s="223"/>
      <c r="WLL101" s="224"/>
      <c r="WLM101" s="222" t="s">
        <v>47</v>
      </c>
      <c r="WLN101" s="223"/>
      <c r="WLO101" s="223"/>
      <c r="WLP101" s="223"/>
      <c r="WLQ101" s="223"/>
      <c r="WLR101" s="223"/>
      <c r="WLS101" s="223"/>
      <c r="WLT101" s="224"/>
      <c r="WLU101" s="222" t="s">
        <v>47</v>
      </c>
      <c r="WLV101" s="223"/>
      <c r="WLW101" s="223"/>
      <c r="WLX101" s="223"/>
      <c r="WLY101" s="223"/>
      <c r="WLZ101" s="223"/>
      <c r="WMA101" s="223"/>
      <c r="WMB101" s="224"/>
      <c r="WMC101" s="222" t="s">
        <v>47</v>
      </c>
      <c r="WMD101" s="223"/>
      <c r="WME101" s="223"/>
      <c r="WMF101" s="223"/>
      <c r="WMG101" s="223"/>
      <c r="WMH101" s="223"/>
      <c r="WMI101" s="223"/>
      <c r="WMJ101" s="224"/>
      <c r="WMK101" s="222" t="s">
        <v>47</v>
      </c>
      <c r="WML101" s="223"/>
      <c r="WMM101" s="223"/>
      <c r="WMN101" s="223"/>
      <c r="WMO101" s="223"/>
      <c r="WMP101" s="223"/>
      <c r="WMQ101" s="223"/>
      <c r="WMR101" s="224"/>
      <c r="WMS101" s="222" t="s">
        <v>47</v>
      </c>
      <c r="WMT101" s="223"/>
      <c r="WMU101" s="223"/>
      <c r="WMV101" s="223"/>
      <c r="WMW101" s="223"/>
      <c r="WMX101" s="223"/>
      <c r="WMY101" s="223"/>
      <c r="WMZ101" s="224"/>
      <c r="WNA101" s="222" t="s">
        <v>47</v>
      </c>
      <c r="WNB101" s="223"/>
      <c r="WNC101" s="223"/>
      <c r="WND101" s="223"/>
      <c r="WNE101" s="223"/>
      <c r="WNF101" s="223"/>
      <c r="WNG101" s="223"/>
      <c r="WNH101" s="224"/>
      <c r="WNI101" s="222" t="s">
        <v>47</v>
      </c>
      <c r="WNJ101" s="223"/>
      <c r="WNK101" s="223"/>
      <c r="WNL101" s="223"/>
      <c r="WNM101" s="223"/>
      <c r="WNN101" s="223"/>
      <c r="WNO101" s="223"/>
      <c r="WNP101" s="224"/>
      <c r="WNQ101" s="222" t="s">
        <v>47</v>
      </c>
      <c r="WNR101" s="223"/>
      <c r="WNS101" s="223"/>
      <c r="WNT101" s="223"/>
      <c r="WNU101" s="223"/>
      <c r="WNV101" s="223"/>
      <c r="WNW101" s="223"/>
      <c r="WNX101" s="224"/>
      <c r="WNY101" s="222" t="s">
        <v>47</v>
      </c>
      <c r="WNZ101" s="223"/>
      <c r="WOA101" s="223"/>
      <c r="WOB101" s="223"/>
      <c r="WOC101" s="223"/>
      <c r="WOD101" s="223"/>
      <c r="WOE101" s="223"/>
      <c r="WOF101" s="224"/>
      <c r="WOG101" s="222" t="s">
        <v>47</v>
      </c>
      <c r="WOH101" s="223"/>
      <c r="WOI101" s="223"/>
      <c r="WOJ101" s="223"/>
      <c r="WOK101" s="223"/>
      <c r="WOL101" s="223"/>
      <c r="WOM101" s="223"/>
      <c r="WON101" s="224"/>
      <c r="WOO101" s="222" t="s">
        <v>47</v>
      </c>
      <c r="WOP101" s="223"/>
      <c r="WOQ101" s="223"/>
      <c r="WOR101" s="223"/>
      <c r="WOS101" s="223"/>
      <c r="WOT101" s="223"/>
      <c r="WOU101" s="223"/>
      <c r="WOV101" s="224"/>
      <c r="WOW101" s="222" t="s">
        <v>47</v>
      </c>
      <c r="WOX101" s="223"/>
      <c r="WOY101" s="223"/>
      <c r="WOZ101" s="223"/>
      <c r="WPA101" s="223"/>
      <c r="WPB101" s="223"/>
      <c r="WPC101" s="223"/>
      <c r="WPD101" s="224"/>
      <c r="WPE101" s="222" t="s">
        <v>47</v>
      </c>
      <c r="WPF101" s="223"/>
      <c r="WPG101" s="223"/>
      <c r="WPH101" s="223"/>
      <c r="WPI101" s="223"/>
      <c r="WPJ101" s="223"/>
      <c r="WPK101" s="223"/>
      <c r="WPL101" s="224"/>
      <c r="WPM101" s="222" t="s">
        <v>47</v>
      </c>
      <c r="WPN101" s="223"/>
      <c r="WPO101" s="223"/>
      <c r="WPP101" s="223"/>
      <c r="WPQ101" s="223"/>
      <c r="WPR101" s="223"/>
      <c r="WPS101" s="223"/>
      <c r="WPT101" s="224"/>
      <c r="WPU101" s="222" t="s">
        <v>47</v>
      </c>
      <c r="WPV101" s="223"/>
      <c r="WPW101" s="223"/>
      <c r="WPX101" s="223"/>
      <c r="WPY101" s="223"/>
      <c r="WPZ101" s="223"/>
      <c r="WQA101" s="223"/>
      <c r="WQB101" s="224"/>
      <c r="WQC101" s="222" t="s">
        <v>47</v>
      </c>
      <c r="WQD101" s="223"/>
      <c r="WQE101" s="223"/>
      <c r="WQF101" s="223"/>
      <c r="WQG101" s="223"/>
      <c r="WQH101" s="223"/>
      <c r="WQI101" s="223"/>
      <c r="WQJ101" s="224"/>
      <c r="WQK101" s="222" t="s">
        <v>47</v>
      </c>
      <c r="WQL101" s="223"/>
      <c r="WQM101" s="223"/>
      <c r="WQN101" s="223"/>
      <c r="WQO101" s="223"/>
      <c r="WQP101" s="223"/>
      <c r="WQQ101" s="223"/>
      <c r="WQR101" s="224"/>
      <c r="WQS101" s="222" t="s">
        <v>47</v>
      </c>
      <c r="WQT101" s="223"/>
      <c r="WQU101" s="223"/>
      <c r="WQV101" s="223"/>
      <c r="WQW101" s="223"/>
      <c r="WQX101" s="223"/>
      <c r="WQY101" s="223"/>
      <c r="WQZ101" s="224"/>
      <c r="WRA101" s="222" t="s">
        <v>47</v>
      </c>
      <c r="WRB101" s="223"/>
      <c r="WRC101" s="223"/>
      <c r="WRD101" s="223"/>
      <c r="WRE101" s="223"/>
      <c r="WRF101" s="223"/>
      <c r="WRG101" s="223"/>
      <c r="WRH101" s="224"/>
      <c r="WRI101" s="222" t="s">
        <v>47</v>
      </c>
      <c r="WRJ101" s="223"/>
      <c r="WRK101" s="223"/>
      <c r="WRL101" s="223"/>
      <c r="WRM101" s="223"/>
      <c r="WRN101" s="223"/>
      <c r="WRO101" s="223"/>
      <c r="WRP101" s="224"/>
      <c r="WRQ101" s="222" t="s">
        <v>47</v>
      </c>
      <c r="WRR101" s="223"/>
      <c r="WRS101" s="223"/>
      <c r="WRT101" s="223"/>
      <c r="WRU101" s="223"/>
      <c r="WRV101" s="223"/>
      <c r="WRW101" s="223"/>
      <c r="WRX101" s="224"/>
      <c r="WRY101" s="222" t="s">
        <v>47</v>
      </c>
      <c r="WRZ101" s="223"/>
      <c r="WSA101" s="223"/>
      <c r="WSB101" s="223"/>
      <c r="WSC101" s="223"/>
      <c r="WSD101" s="223"/>
      <c r="WSE101" s="223"/>
      <c r="WSF101" s="224"/>
      <c r="WSG101" s="222" t="s">
        <v>47</v>
      </c>
      <c r="WSH101" s="223"/>
      <c r="WSI101" s="223"/>
      <c r="WSJ101" s="223"/>
      <c r="WSK101" s="223"/>
      <c r="WSL101" s="223"/>
      <c r="WSM101" s="223"/>
      <c r="WSN101" s="224"/>
      <c r="WSO101" s="222" t="s">
        <v>47</v>
      </c>
      <c r="WSP101" s="223"/>
      <c r="WSQ101" s="223"/>
      <c r="WSR101" s="223"/>
      <c r="WSS101" s="223"/>
      <c r="WST101" s="223"/>
      <c r="WSU101" s="223"/>
      <c r="WSV101" s="224"/>
      <c r="WSW101" s="222" t="s">
        <v>47</v>
      </c>
      <c r="WSX101" s="223"/>
      <c r="WSY101" s="223"/>
      <c r="WSZ101" s="223"/>
      <c r="WTA101" s="223"/>
      <c r="WTB101" s="223"/>
      <c r="WTC101" s="223"/>
      <c r="WTD101" s="224"/>
      <c r="WTE101" s="222" t="s">
        <v>47</v>
      </c>
      <c r="WTF101" s="223"/>
      <c r="WTG101" s="223"/>
      <c r="WTH101" s="223"/>
      <c r="WTI101" s="223"/>
      <c r="WTJ101" s="223"/>
      <c r="WTK101" s="223"/>
      <c r="WTL101" s="224"/>
      <c r="WTM101" s="222" t="s">
        <v>47</v>
      </c>
      <c r="WTN101" s="223"/>
      <c r="WTO101" s="223"/>
      <c r="WTP101" s="223"/>
      <c r="WTQ101" s="223"/>
      <c r="WTR101" s="223"/>
      <c r="WTS101" s="223"/>
      <c r="WTT101" s="224"/>
      <c r="WTU101" s="222" t="s">
        <v>47</v>
      </c>
      <c r="WTV101" s="223"/>
      <c r="WTW101" s="223"/>
      <c r="WTX101" s="223"/>
      <c r="WTY101" s="223"/>
      <c r="WTZ101" s="223"/>
      <c r="WUA101" s="223"/>
      <c r="WUB101" s="224"/>
      <c r="WUC101" s="222" t="s">
        <v>47</v>
      </c>
      <c r="WUD101" s="223"/>
      <c r="WUE101" s="223"/>
      <c r="WUF101" s="223"/>
      <c r="WUG101" s="223"/>
      <c r="WUH101" s="223"/>
      <c r="WUI101" s="223"/>
      <c r="WUJ101" s="224"/>
      <c r="WUK101" s="222" t="s">
        <v>47</v>
      </c>
      <c r="WUL101" s="223"/>
      <c r="WUM101" s="223"/>
      <c r="WUN101" s="223"/>
      <c r="WUO101" s="223"/>
      <c r="WUP101" s="223"/>
      <c r="WUQ101" s="223"/>
      <c r="WUR101" s="224"/>
      <c r="WUS101" s="222" t="s">
        <v>47</v>
      </c>
      <c r="WUT101" s="223"/>
      <c r="WUU101" s="223"/>
      <c r="WUV101" s="223"/>
      <c r="WUW101" s="223"/>
      <c r="WUX101" s="223"/>
      <c r="WUY101" s="223"/>
      <c r="WUZ101" s="224"/>
      <c r="WVA101" s="222" t="s">
        <v>47</v>
      </c>
      <c r="WVB101" s="223"/>
      <c r="WVC101" s="223"/>
      <c r="WVD101" s="223"/>
      <c r="WVE101" s="223"/>
      <c r="WVF101" s="223"/>
      <c r="WVG101" s="223"/>
      <c r="WVH101" s="224"/>
      <c r="WVI101" s="222" t="s">
        <v>47</v>
      </c>
      <c r="WVJ101" s="223"/>
      <c r="WVK101" s="223"/>
      <c r="WVL101" s="223"/>
      <c r="WVM101" s="223"/>
      <c r="WVN101" s="223"/>
      <c r="WVO101" s="223"/>
      <c r="WVP101" s="224"/>
      <c r="WVQ101" s="222" t="s">
        <v>47</v>
      </c>
      <c r="WVR101" s="223"/>
      <c r="WVS101" s="223"/>
      <c r="WVT101" s="223"/>
      <c r="WVU101" s="223"/>
      <c r="WVV101" s="223"/>
      <c r="WVW101" s="223"/>
      <c r="WVX101" s="224"/>
      <c r="WVY101" s="222" t="s">
        <v>47</v>
      </c>
      <c r="WVZ101" s="223"/>
      <c r="WWA101" s="223"/>
      <c r="WWB101" s="223"/>
      <c r="WWC101" s="223"/>
      <c r="WWD101" s="223"/>
      <c r="WWE101" s="223"/>
      <c r="WWF101" s="224"/>
      <c r="WWG101" s="222" t="s">
        <v>47</v>
      </c>
      <c r="WWH101" s="223"/>
      <c r="WWI101" s="223"/>
      <c r="WWJ101" s="223"/>
      <c r="WWK101" s="223"/>
      <c r="WWL101" s="223"/>
      <c r="WWM101" s="223"/>
      <c r="WWN101" s="224"/>
      <c r="WWO101" s="222" t="s">
        <v>47</v>
      </c>
      <c r="WWP101" s="223"/>
      <c r="WWQ101" s="223"/>
      <c r="WWR101" s="223"/>
      <c r="WWS101" s="223"/>
      <c r="WWT101" s="223"/>
      <c r="WWU101" s="223"/>
      <c r="WWV101" s="224"/>
      <c r="WWW101" s="222" t="s">
        <v>47</v>
      </c>
      <c r="WWX101" s="223"/>
      <c r="WWY101" s="223"/>
      <c r="WWZ101" s="223"/>
      <c r="WXA101" s="223"/>
      <c r="WXB101" s="223"/>
      <c r="WXC101" s="223"/>
      <c r="WXD101" s="224"/>
      <c r="WXE101" s="222" t="s">
        <v>47</v>
      </c>
      <c r="WXF101" s="223"/>
      <c r="WXG101" s="223"/>
      <c r="WXH101" s="223"/>
      <c r="WXI101" s="223"/>
      <c r="WXJ101" s="223"/>
      <c r="WXK101" s="223"/>
      <c r="WXL101" s="224"/>
      <c r="WXM101" s="222" t="s">
        <v>47</v>
      </c>
      <c r="WXN101" s="223"/>
      <c r="WXO101" s="223"/>
      <c r="WXP101" s="223"/>
      <c r="WXQ101" s="223"/>
      <c r="WXR101" s="223"/>
      <c r="WXS101" s="223"/>
      <c r="WXT101" s="224"/>
      <c r="WXU101" s="222" t="s">
        <v>47</v>
      </c>
      <c r="WXV101" s="223"/>
      <c r="WXW101" s="223"/>
      <c r="WXX101" s="223"/>
      <c r="WXY101" s="223"/>
      <c r="WXZ101" s="223"/>
      <c r="WYA101" s="223"/>
      <c r="WYB101" s="224"/>
      <c r="WYC101" s="222" t="s">
        <v>47</v>
      </c>
      <c r="WYD101" s="223"/>
      <c r="WYE101" s="223"/>
      <c r="WYF101" s="223"/>
      <c r="WYG101" s="223"/>
      <c r="WYH101" s="223"/>
      <c r="WYI101" s="223"/>
      <c r="WYJ101" s="224"/>
      <c r="WYK101" s="222" t="s">
        <v>47</v>
      </c>
      <c r="WYL101" s="223"/>
      <c r="WYM101" s="223"/>
      <c r="WYN101" s="223"/>
      <c r="WYO101" s="223"/>
      <c r="WYP101" s="223"/>
      <c r="WYQ101" s="223"/>
      <c r="WYR101" s="224"/>
      <c r="WYS101" s="222" t="s">
        <v>47</v>
      </c>
      <c r="WYT101" s="223"/>
      <c r="WYU101" s="223"/>
      <c r="WYV101" s="223"/>
      <c r="WYW101" s="223"/>
      <c r="WYX101" s="223"/>
      <c r="WYY101" s="223"/>
      <c r="WYZ101" s="224"/>
      <c r="WZA101" s="222" t="s">
        <v>47</v>
      </c>
      <c r="WZB101" s="223"/>
      <c r="WZC101" s="223"/>
      <c r="WZD101" s="223"/>
      <c r="WZE101" s="223"/>
      <c r="WZF101" s="223"/>
      <c r="WZG101" s="223"/>
      <c r="WZH101" s="224"/>
      <c r="WZI101" s="222" t="s">
        <v>47</v>
      </c>
      <c r="WZJ101" s="223"/>
      <c r="WZK101" s="223"/>
      <c r="WZL101" s="223"/>
      <c r="WZM101" s="223"/>
      <c r="WZN101" s="223"/>
      <c r="WZO101" s="223"/>
      <c r="WZP101" s="224"/>
      <c r="WZQ101" s="222" t="s">
        <v>47</v>
      </c>
      <c r="WZR101" s="223"/>
      <c r="WZS101" s="223"/>
      <c r="WZT101" s="223"/>
      <c r="WZU101" s="223"/>
      <c r="WZV101" s="223"/>
      <c r="WZW101" s="223"/>
      <c r="WZX101" s="224"/>
      <c r="WZY101" s="222" t="s">
        <v>47</v>
      </c>
      <c r="WZZ101" s="223"/>
      <c r="XAA101" s="223"/>
      <c r="XAB101" s="223"/>
      <c r="XAC101" s="223"/>
      <c r="XAD101" s="223"/>
      <c r="XAE101" s="223"/>
      <c r="XAF101" s="224"/>
      <c r="XAG101" s="222" t="s">
        <v>47</v>
      </c>
      <c r="XAH101" s="223"/>
      <c r="XAI101" s="223"/>
      <c r="XAJ101" s="223"/>
      <c r="XAK101" s="223"/>
      <c r="XAL101" s="223"/>
      <c r="XAM101" s="223"/>
      <c r="XAN101" s="224"/>
      <c r="XAO101" s="222" t="s">
        <v>47</v>
      </c>
      <c r="XAP101" s="223"/>
      <c r="XAQ101" s="223"/>
      <c r="XAR101" s="223"/>
      <c r="XAS101" s="223"/>
      <c r="XAT101" s="223"/>
      <c r="XAU101" s="223"/>
      <c r="XAV101" s="224"/>
      <c r="XAW101" s="222" t="s">
        <v>47</v>
      </c>
      <c r="XAX101" s="223"/>
      <c r="XAY101" s="223"/>
      <c r="XAZ101" s="223"/>
      <c r="XBA101" s="223"/>
      <c r="XBB101" s="223"/>
      <c r="XBC101" s="223"/>
      <c r="XBD101" s="224"/>
      <c r="XBE101" s="222" t="s">
        <v>47</v>
      </c>
      <c r="XBF101" s="223"/>
      <c r="XBG101" s="223"/>
      <c r="XBH101" s="223"/>
      <c r="XBI101" s="223"/>
      <c r="XBJ101" s="223"/>
      <c r="XBK101" s="223"/>
      <c r="XBL101" s="224"/>
      <c r="XBM101" s="222" t="s">
        <v>47</v>
      </c>
      <c r="XBN101" s="223"/>
      <c r="XBO101" s="223"/>
      <c r="XBP101" s="223"/>
      <c r="XBQ101" s="223"/>
      <c r="XBR101" s="223"/>
      <c r="XBS101" s="223"/>
      <c r="XBT101" s="224"/>
      <c r="XBU101" s="222" t="s">
        <v>47</v>
      </c>
      <c r="XBV101" s="223"/>
      <c r="XBW101" s="223"/>
      <c r="XBX101" s="223"/>
      <c r="XBY101" s="223"/>
      <c r="XBZ101" s="223"/>
      <c r="XCA101" s="223"/>
      <c r="XCB101" s="224"/>
      <c r="XCC101" s="222" t="s">
        <v>47</v>
      </c>
      <c r="XCD101" s="223"/>
      <c r="XCE101" s="223"/>
      <c r="XCF101" s="223"/>
      <c r="XCG101" s="223"/>
      <c r="XCH101" s="223"/>
      <c r="XCI101" s="223"/>
      <c r="XCJ101" s="224"/>
      <c r="XCK101" s="222" t="s">
        <v>47</v>
      </c>
      <c r="XCL101" s="223"/>
      <c r="XCM101" s="223"/>
      <c r="XCN101" s="223"/>
      <c r="XCO101" s="223"/>
      <c r="XCP101" s="223"/>
      <c r="XCQ101" s="223"/>
      <c r="XCR101" s="224"/>
      <c r="XCS101" s="222" t="s">
        <v>47</v>
      </c>
      <c r="XCT101" s="223"/>
      <c r="XCU101" s="223"/>
      <c r="XCV101" s="223"/>
      <c r="XCW101" s="223"/>
      <c r="XCX101" s="223"/>
      <c r="XCY101" s="223"/>
      <c r="XCZ101" s="224"/>
      <c r="XDA101" s="222" t="s">
        <v>47</v>
      </c>
      <c r="XDB101" s="223"/>
      <c r="XDC101" s="223"/>
      <c r="XDD101" s="223"/>
      <c r="XDE101" s="223"/>
      <c r="XDF101" s="223"/>
      <c r="XDG101" s="223"/>
      <c r="XDH101" s="224"/>
      <c r="XDI101" s="222" t="s">
        <v>47</v>
      </c>
      <c r="XDJ101" s="223"/>
      <c r="XDK101" s="223"/>
      <c r="XDL101" s="223"/>
      <c r="XDM101" s="223"/>
      <c r="XDN101" s="223"/>
      <c r="XDO101" s="223"/>
      <c r="XDP101" s="224"/>
      <c r="XDQ101" s="222" t="s">
        <v>47</v>
      </c>
      <c r="XDR101" s="223"/>
      <c r="XDS101" s="223"/>
      <c r="XDT101" s="223"/>
      <c r="XDU101" s="223"/>
      <c r="XDV101" s="223"/>
      <c r="XDW101" s="223"/>
      <c r="XDX101" s="224"/>
      <c r="XDY101" s="222" t="s">
        <v>47</v>
      </c>
      <c r="XDZ101" s="223"/>
      <c r="XEA101" s="223"/>
      <c r="XEB101" s="223"/>
      <c r="XEC101" s="223"/>
      <c r="XED101" s="223"/>
      <c r="XEE101" s="223"/>
      <c r="XEF101" s="224"/>
      <c r="XEG101" s="222" t="s">
        <v>47</v>
      </c>
      <c r="XEH101" s="223"/>
      <c r="XEI101" s="223"/>
      <c r="XEJ101" s="223"/>
      <c r="XEK101" s="223"/>
      <c r="XEL101" s="223"/>
      <c r="XEM101" s="223"/>
      <c r="XEN101" s="224"/>
      <c r="XEO101" s="222" t="s">
        <v>47</v>
      </c>
      <c r="XEP101" s="223"/>
      <c r="XEQ101" s="223"/>
      <c r="XER101" s="223"/>
      <c r="XES101" s="223"/>
      <c r="XET101" s="223"/>
      <c r="XEU101" s="223"/>
      <c r="XEV101" s="224"/>
      <c r="XEW101" s="222" t="s">
        <v>47</v>
      </c>
      <c r="XEX101" s="222"/>
      <c r="XEY101" s="222"/>
      <c r="XEZ101" s="222"/>
      <c r="XFA101" s="222"/>
      <c r="XFB101" s="222"/>
      <c r="XFC101" s="222"/>
      <c r="XFD101" s="222"/>
    </row>
    <row r="102" spans="1:16384" customFormat="1" ht="15.75" customHeight="1" x14ac:dyDescent="0.3">
      <c r="A102" s="42" t="s">
        <v>48</v>
      </c>
      <c r="B102" s="42"/>
      <c r="C102" s="42"/>
      <c r="D102" s="42"/>
      <c r="E102" s="42"/>
      <c r="F102" s="42"/>
      <c r="G102" s="42"/>
      <c r="H102" s="43">
        <v>84000</v>
      </c>
      <c r="CC102" s="42" t="s">
        <v>48</v>
      </c>
      <c r="CD102" s="42"/>
      <c r="CE102" s="42"/>
      <c r="CF102" s="42"/>
      <c r="CG102" s="42"/>
      <c r="CH102" s="42"/>
      <c r="CI102" s="42"/>
      <c r="CJ102" s="43">
        <v>0</v>
      </c>
      <c r="CK102" s="42" t="s">
        <v>48</v>
      </c>
      <c r="CL102" s="42"/>
      <c r="CM102" s="42"/>
      <c r="CN102" s="42"/>
      <c r="CO102" s="42"/>
      <c r="CP102" s="42"/>
      <c r="CQ102" s="42"/>
      <c r="CR102" s="43">
        <v>0</v>
      </c>
      <c r="CS102" s="42" t="s">
        <v>48</v>
      </c>
      <c r="CT102" s="42"/>
      <c r="CU102" s="42"/>
      <c r="CV102" s="42"/>
      <c r="CW102" s="42"/>
      <c r="CX102" s="42"/>
      <c r="CY102" s="42"/>
      <c r="CZ102" s="43">
        <v>0</v>
      </c>
      <c r="DA102" s="42" t="s">
        <v>48</v>
      </c>
      <c r="DB102" s="42"/>
      <c r="DC102" s="42"/>
      <c r="DD102" s="42"/>
      <c r="DE102" s="42"/>
      <c r="DF102" s="42"/>
      <c r="DG102" s="42"/>
      <c r="DH102" s="43">
        <v>0</v>
      </c>
      <c r="DI102" s="42" t="s">
        <v>48</v>
      </c>
      <c r="DJ102" s="42"/>
      <c r="DK102" s="42"/>
      <c r="DL102" s="42"/>
      <c r="DM102" s="42"/>
      <c r="DN102" s="42"/>
      <c r="DO102" s="42"/>
      <c r="DP102" s="43">
        <v>0</v>
      </c>
      <c r="DQ102" s="42" t="s">
        <v>48</v>
      </c>
      <c r="DR102" s="42"/>
      <c r="DS102" s="42"/>
      <c r="DT102" s="42"/>
      <c r="DU102" s="42"/>
      <c r="DV102" s="42"/>
      <c r="DW102" s="42"/>
      <c r="DX102" s="43">
        <v>0</v>
      </c>
      <c r="DY102" s="42" t="s">
        <v>48</v>
      </c>
      <c r="DZ102" s="42"/>
      <c r="EA102" s="42"/>
      <c r="EB102" s="42"/>
      <c r="EC102" s="42"/>
      <c r="ED102" s="42"/>
      <c r="EE102" s="42"/>
      <c r="EF102" s="43">
        <v>0</v>
      </c>
      <c r="EG102" s="42" t="s">
        <v>48</v>
      </c>
      <c r="EH102" s="42"/>
      <c r="EI102" s="42"/>
      <c r="EJ102" s="42"/>
      <c r="EK102" s="42"/>
      <c r="EL102" s="42"/>
      <c r="EM102" s="42"/>
      <c r="EN102" s="43">
        <v>0</v>
      </c>
      <c r="EO102" s="42" t="s">
        <v>48</v>
      </c>
      <c r="EP102" s="42"/>
      <c r="EQ102" s="42"/>
      <c r="ER102" s="42"/>
      <c r="ES102" s="42"/>
      <c r="ET102" s="42"/>
      <c r="EU102" s="42"/>
      <c r="EV102" s="43">
        <v>0</v>
      </c>
      <c r="EW102" s="42" t="s">
        <v>48</v>
      </c>
      <c r="EX102" s="42"/>
      <c r="EY102" s="42"/>
      <c r="EZ102" s="42"/>
      <c r="FA102" s="42"/>
      <c r="FB102" s="42"/>
      <c r="FC102" s="42"/>
      <c r="FD102" s="43">
        <v>0</v>
      </c>
      <c r="FE102" s="42" t="s">
        <v>48</v>
      </c>
      <c r="FF102" s="42"/>
      <c r="FG102" s="42"/>
      <c r="FH102" s="42"/>
      <c r="FI102" s="42"/>
      <c r="FJ102" s="42"/>
      <c r="FK102" s="42"/>
      <c r="FL102" s="43">
        <v>0</v>
      </c>
      <c r="FM102" s="42" t="s">
        <v>48</v>
      </c>
      <c r="FN102" s="42"/>
      <c r="FO102" s="42"/>
      <c r="FP102" s="42"/>
      <c r="FQ102" s="42"/>
      <c r="FR102" s="42"/>
      <c r="FS102" s="42"/>
      <c r="FT102" s="43">
        <v>0</v>
      </c>
      <c r="FU102" s="42" t="s">
        <v>48</v>
      </c>
      <c r="FV102" s="42"/>
      <c r="FW102" s="42"/>
      <c r="FX102" s="42"/>
      <c r="FY102" s="42"/>
      <c r="FZ102" s="42"/>
      <c r="GA102" s="42"/>
      <c r="GB102" s="43">
        <v>0</v>
      </c>
      <c r="GC102" s="42" t="s">
        <v>48</v>
      </c>
      <c r="GD102" s="42"/>
      <c r="GE102" s="42"/>
      <c r="GF102" s="42"/>
      <c r="GG102" s="42"/>
      <c r="GH102" s="42"/>
      <c r="GI102" s="42"/>
      <c r="GJ102" s="43">
        <v>0</v>
      </c>
      <c r="GK102" s="42" t="s">
        <v>48</v>
      </c>
      <c r="GL102" s="42"/>
      <c r="GM102" s="42"/>
      <c r="GN102" s="42"/>
      <c r="GO102" s="42"/>
      <c r="GP102" s="42"/>
      <c r="GQ102" s="42"/>
      <c r="GR102" s="43">
        <v>0</v>
      </c>
      <c r="GS102" s="42" t="s">
        <v>48</v>
      </c>
      <c r="GT102" s="42"/>
      <c r="GU102" s="42"/>
      <c r="GV102" s="42"/>
      <c r="GW102" s="42"/>
      <c r="GX102" s="42"/>
      <c r="GY102" s="42"/>
      <c r="GZ102" s="43">
        <v>0</v>
      </c>
      <c r="HA102" s="42" t="s">
        <v>48</v>
      </c>
      <c r="HB102" s="42"/>
      <c r="HC102" s="42"/>
      <c r="HD102" s="42"/>
      <c r="HE102" s="42"/>
      <c r="HF102" s="42"/>
      <c r="HG102" s="42"/>
      <c r="HH102" s="43">
        <v>0</v>
      </c>
      <c r="HI102" s="42" t="s">
        <v>48</v>
      </c>
      <c r="HJ102" s="42"/>
      <c r="HK102" s="42"/>
      <c r="HL102" s="42"/>
      <c r="HM102" s="42"/>
      <c r="HN102" s="42"/>
      <c r="HO102" s="42"/>
      <c r="HP102" s="43">
        <v>0</v>
      </c>
      <c r="HQ102" s="42" t="s">
        <v>48</v>
      </c>
      <c r="HR102" s="42"/>
      <c r="HS102" s="42"/>
      <c r="HT102" s="42"/>
      <c r="HU102" s="42"/>
      <c r="HV102" s="42"/>
      <c r="HW102" s="42"/>
      <c r="HX102" s="43">
        <v>0</v>
      </c>
      <c r="HY102" s="42" t="s">
        <v>48</v>
      </c>
      <c r="HZ102" s="42"/>
      <c r="IA102" s="42"/>
      <c r="IB102" s="42"/>
      <c r="IC102" s="42"/>
      <c r="ID102" s="42"/>
      <c r="IE102" s="42"/>
      <c r="IF102" s="43">
        <v>0</v>
      </c>
      <c r="IG102" s="42" t="s">
        <v>48</v>
      </c>
      <c r="IH102" s="42"/>
      <c r="II102" s="42"/>
      <c r="IJ102" s="42"/>
      <c r="IK102" s="42"/>
      <c r="IL102" s="42"/>
      <c r="IM102" s="42"/>
      <c r="IN102" s="43">
        <v>0</v>
      </c>
      <c r="IO102" s="42" t="s">
        <v>48</v>
      </c>
      <c r="IP102" s="42"/>
      <c r="IQ102" s="42"/>
      <c r="IR102" s="42"/>
      <c r="IS102" s="42"/>
      <c r="IT102" s="42"/>
      <c r="IU102" s="42"/>
      <c r="IV102" s="43">
        <v>0</v>
      </c>
      <c r="IW102" s="42" t="s">
        <v>48</v>
      </c>
      <c r="IX102" s="42"/>
      <c r="IY102" s="42"/>
      <c r="IZ102" s="42"/>
      <c r="JA102" s="42"/>
      <c r="JB102" s="42"/>
      <c r="JC102" s="42"/>
      <c r="JD102" s="43">
        <v>0</v>
      </c>
      <c r="JE102" s="42" t="s">
        <v>48</v>
      </c>
      <c r="JF102" s="42"/>
      <c r="JG102" s="42"/>
      <c r="JH102" s="42"/>
      <c r="JI102" s="42"/>
      <c r="JJ102" s="42"/>
      <c r="JK102" s="42"/>
      <c r="JL102" s="43">
        <v>0</v>
      </c>
      <c r="JM102" s="42" t="s">
        <v>48</v>
      </c>
      <c r="JN102" s="42"/>
      <c r="JO102" s="42"/>
      <c r="JP102" s="42"/>
      <c r="JQ102" s="42"/>
      <c r="JR102" s="42"/>
      <c r="JS102" s="42"/>
      <c r="JT102" s="43">
        <v>0</v>
      </c>
      <c r="JU102" s="42" t="s">
        <v>48</v>
      </c>
      <c r="JV102" s="42"/>
      <c r="JW102" s="42"/>
      <c r="JX102" s="42"/>
      <c r="JY102" s="42"/>
      <c r="JZ102" s="42"/>
      <c r="KA102" s="42"/>
      <c r="KB102" s="43">
        <v>0</v>
      </c>
      <c r="KC102" s="42" t="s">
        <v>48</v>
      </c>
      <c r="KD102" s="42"/>
      <c r="KE102" s="42"/>
      <c r="KF102" s="42"/>
      <c r="KG102" s="42"/>
      <c r="KH102" s="42"/>
      <c r="KI102" s="42"/>
      <c r="KJ102" s="43">
        <v>0</v>
      </c>
      <c r="KK102" s="42" t="s">
        <v>48</v>
      </c>
      <c r="KL102" s="42"/>
      <c r="KM102" s="42"/>
      <c r="KN102" s="42"/>
      <c r="KO102" s="42"/>
      <c r="KP102" s="42"/>
      <c r="KQ102" s="42"/>
      <c r="KR102" s="43">
        <v>0</v>
      </c>
      <c r="KS102" s="42" t="s">
        <v>48</v>
      </c>
      <c r="KT102" s="42"/>
      <c r="KU102" s="42"/>
      <c r="KV102" s="42"/>
      <c r="KW102" s="42"/>
      <c r="KX102" s="42"/>
      <c r="KY102" s="42"/>
      <c r="KZ102" s="43">
        <v>0</v>
      </c>
      <c r="LA102" s="42" t="s">
        <v>48</v>
      </c>
      <c r="LB102" s="42"/>
      <c r="LC102" s="42"/>
      <c r="LD102" s="42"/>
      <c r="LE102" s="42"/>
      <c r="LF102" s="42"/>
      <c r="LG102" s="42"/>
      <c r="LH102" s="43">
        <v>0</v>
      </c>
      <c r="LI102" s="42" t="s">
        <v>48</v>
      </c>
      <c r="LJ102" s="42"/>
      <c r="LK102" s="42"/>
      <c r="LL102" s="42"/>
      <c r="LM102" s="42"/>
      <c r="LN102" s="42"/>
      <c r="LO102" s="42"/>
      <c r="LP102" s="43">
        <v>0</v>
      </c>
      <c r="LQ102" s="42" t="s">
        <v>48</v>
      </c>
      <c r="LR102" s="42"/>
      <c r="LS102" s="42"/>
      <c r="LT102" s="42"/>
      <c r="LU102" s="42"/>
      <c r="LV102" s="42"/>
      <c r="LW102" s="42"/>
      <c r="LX102" s="43">
        <v>0</v>
      </c>
      <c r="LY102" s="42" t="s">
        <v>48</v>
      </c>
      <c r="LZ102" s="42"/>
      <c r="MA102" s="42"/>
      <c r="MB102" s="42"/>
      <c r="MC102" s="42"/>
      <c r="MD102" s="42"/>
      <c r="ME102" s="42"/>
      <c r="MF102" s="43">
        <v>0</v>
      </c>
      <c r="MG102" s="42" t="s">
        <v>48</v>
      </c>
      <c r="MH102" s="42"/>
      <c r="MI102" s="42"/>
      <c r="MJ102" s="42"/>
      <c r="MK102" s="42"/>
      <c r="ML102" s="42"/>
      <c r="MM102" s="42"/>
      <c r="MN102" s="43">
        <v>0</v>
      </c>
      <c r="MO102" s="42" t="s">
        <v>48</v>
      </c>
      <c r="MP102" s="42"/>
      <c r="MQ102" s="42"/>
      <c r="MR102" s="42"/>
      <c r="MS102" s="42"/>
      <c r="MT102" s="42"/>
      <c r="MU102" s="42"/>
      <c r="MV102" s="43">
        <v>0</v>
      </c>
      <c r="MW102" s="42" t="s">
        <v>48</v>
      </c>
      <c r="MX102" s="42"/>
      <c r="MY102" s="42"/>
      <c r="MZ102" s="42"/>
      <c r="NA102" s="42"/>
      <c r="NB102" s="42"/>
      <c r="NC102" s="42"/>
      <c r="ND102" s="43">
        <v>0</v>
      </c>
      <c r="NE102" s="42" t="s">
        <v>48</v>
      </c>
      <c r="NF102" s="42"/>
      <c r="NG102" s="42"/>
      <c r="NH102" s="42"/>
      <c r="NI102" s="42"/>
      <c r="NJ102" s="42"/>
      <c r="NK102" s="42"/>
      <c r="NL102" s="43">
        <v>0</v>
      </c>
      <c r="NM102" s="42" t="s">
        <v>48</v>
      </c>
      <c r="NN102" s="42"/>
      <c r="NO102" s="42"/>
      <c r="NP102" s="42"/>
      <c r="NQ102" s="42"/>
      <c r="NR102" s="42"/>
      <c r="NS102" s="42"/>
      <c r="NT102" s="43">
        <v>0</v>
      </c>
      <c r="NU102" s="42" t="s">
        <v>48</v>
      </c>
      <c r="NV102" s="42"/>
      <c r="NW102" s="42"/>
      <c r="NX102" s="42"/>
      <c r="NY102" s="42"/>
      <c r="NZ102" s="42"/>
      <c r="OA102" s="42"/>
      <c r="OB102" s="43">
        <v>0</v>
      </c>
      <c r="OC102" s="42" t="s">
        <v>48</v>
      </c>
      <c r="OD102" s="42"/>
      <c r="OE102" s="42"/>
      <c r="OF102" s="42"/>
      <c r="OG102" s="42"/>
      <c r="OH102" s="42"/>
      <c r="OI102" s="42"/>
      <c r="OJ102" s="43">
        <v>0</v>
      </c>
      <c r="OK102" s="42" t="s">
        <v>48</v>
      </c>
      <c r="OL102" s="42"/>
      <c r="OM102" s="42"/>
      <c r="ON102" s="42"/>
      <c r="OO102" s="42"/>
      <c r="OP102" s="42"/>
      <c r="OQ102" s="42"/>
      <c r="OR102" s="43">
        <v>0</v>
      </c>
      <c r="OS102" s="42" t="s">
        <v>48</v>
      </c>
      <c r="OT102" s="42"/>
      <c r="OU102" s="42"/>
      <c r="OV102" s="42"/>
      <c r="OW102" s="42"/>
      <c r="OX102" s="42"/>
      <c r="OY102" s="42"/>
      <c r="OZ102" s="43">
        <v>0</v>
      </c>
      <c r="PA102" s="42" t="s">
        <v>48</v>
      </c>
      <c r="PB102" s="42"/>
      <c r="PC102" s="42"/>
      <c r="PD102" s="42"/>
      <c r="PE102" s="42"/>
      <c r="PF102" s="42"/>
      <c r="PG102" s="42"/>
      <c r="PH102" s="43">
        <v>0</v>
      </c>
      <c r="PI102" s="42" t="s">
        <v>48</v>
      </c>
      <c r="PJ102" s="42"/>
      <c r="PK102" s="42"/>
      <c r="PL102" s="42"/>
      <c r="PM102" s="42"/>
      <c r="PN102" s="42"/>
      <c r="PO102" s="42"/>
      <c r="PP102" s="43">
        <v>0</v>
      </c>
      <c r="PQ102" s="42" t="s">
        <v>48</v>
      </c>
      <c r="PR102" s="42"/>
      <c r="PS102" s="42"/>
      <c r="PT102" s="42"/>
      <c r="PU102" s="42"/>
      <c r="PV102" s="42"/>
      <c r="PW102" s="42"/>
      <c r="PX102" s="43">
        <v>0</v>
      </c>
      <c r="PY102" s="42" t="s">
        <v>48</v>
      </c>
      <c r="PZ102" s="42"/>
      <c r="QA102" s="42"/>
      <c r="QB102" s="42"/>
      <c r="QC102" s="42"/>
      <c r="QD102" s="42"/>
      <c r="QE102" s="42"/>
      <c r="QF102" s="43">
        <v>0</v>
      </c>
      <c r="QG102" s="42" t="s">
        <v>48</v>
      </c>
      <c r="QH102" s="42"/>
      <c r="QI102" s="42"/>
      <c r="QJ102" s="42"/>
      <c r="QK102" s="42"/>
      <c r="QL102" s="42"/>
      <c r="QM102" s="42"/>
      <c r="QN102" s="43">
        <v>0</v>
      </c>
      <c r="QO102" s="42" t="s">
        <v>48</v>
      </c>
      <c r="QP102" s="42"/>
      <c r="QQ102" s="42"/>
      <c r="QR102" s="42"/>
      <c r="QS102" s="42"/>
      <c r="QT102" s="42"/>
      <c r="QU102" s="42"/>
      <c r="QV102" s="43">
        <v>0</v>
      </c>
      <c r="QW102" s="42" t="s">
        <v>48</v>
      </c>
      <c r="QX102" s="42"/>
      <c r="QY102" s="42"/>
      <c r="QZ102" s="42"/>
      <c r="RA102" s="42"/>
      <c r="RB102" s="42"/>
      <c r="RC102" s="42"/>
      <c r="RD102" s="43">
        <v>0</v>
      </c>
      <c r="RE102" s="42" t="s">
        <v>48</v>
      </c>
      <c r="RF102" s="42"/>
      <c r="RG102" s="42"/>
      <c r="RH102" s="42"/>
      <c r="RI102" s="42"/>
      <c r="RJ102" s="42"/>
      <c r="RK102" s="42"/>
      <c r="RL102" s="43">
        <v>0</v>
      </c>
      <c r="RM102" s="42" t="s">
        <v>48</v>
      </c>
      <c r="RN102" s="42"/>
      <c r="RO102" s="42"/>
      <c r="RP102" s="42"/>
      <c r="RQ102" s="42"/>
      <c r="RR102" s="42"/>
      <c r="RS102" s="42"/>
      <c r="RT102" s="43">
        <v>0</v>
      </c>
      <c r="RU102" s="42" t="s">
        <v>48</v>
      </c>
      <c r="RV102" s="42"/>
      <c r="RW102" s="42"/>
      <c r="RX102" s="42"/>
      <c r="RY102" s="42"/>
      <c r="RZ102" s="42"/>
      <c r="SA102" s="42"/>
      <c r="SB102" s="43">
        <v>0</v>
      </c>
      <c r="SC102" s="42" t="s">
        <v>48</v>
      </c>
      <c r="SD102" s="42"/>
      <c r="SE102" s="42"/>
      <c r="SF102" s="42"/>
      <c r="SG102" s="42"/>
      <c r="SH102" s="42"/>
      <c r="SI102" s="42"/>
      <c r="SJ102" s="43">
        <v>0</v>
      </c>
      <c r="SK102" s="42" t="s">
        <v>48</v>
      </c>
      <c r="SL102" s="42"/>
      <c r="SM102" s="42"/>
      <c r="SN102" s="42"/>
      <c r="SO102" s="42"/>
      <c r="SP102" s="42"/>
      <c r="SQ102" s="42"/>
      <c r="SR102" s="43">
        <v>0</v>
      </c>
      <c r="SS102" s="42" t="s">
        <v>48</v>
      </c>
      <c r="ST102" s="42"/>
      <c r="SU102" s="42"/>
      <c r="SV102" s="42"/>
      <c r="SW102" s="42"/>
      <c r="SX102" s="42"/>
      <c r="SY102" s="42"/>
      <c r="SZ102" s="43">
        <v>0</v>
      </c>
      <c r="TA102" s="42" t="s">
        <v>48</v>
      </c>
      <c r="TB102" s="42"/>
      <c r="TC102" s="42"/>
      <c r="TD102" s="42"/>
      <c r="TE102" s="42"/>
      <c r="TF102" s="42"/>
      <c r="TG102" s="42"/>
      <c r="TH102" s="43">
        <v>0</v>
      </c>
      <c r="TI102" s="42" t="s">
        <v>48</v>
      </c>
      <c r="TJ102" s="42"/>
      <c r="TK102" s="42"/>
      <c r="TL102" s="42"/>
      <c r="TM102" s="42"/>
      <c r="TN102" s="42"/>
      <c r="TO102" s="42"/>
      <c r="TP102" s="43">
        <v>0</v>
      </c>
      <c r="TQ102" s="42" t="s">
        <v>48</v>
      </c>
      <c r="TR102" s="42"/>
      <c r="TS102" s="42"/>
      <c r="TT102" s="42"/>
      <c r="TU102" s="42"/>
      <c r="TV102" s="42"/>
      <c r="TW102" s="42"/>
      <c r="TX102" s="43">
        <v>0</v>
      </c>
      <c r="TY102" s="42" t="s">
        <v>48</v>
      </c>
      <c r="TZ102" s="42"/>
      <c r="UA102" s="42"/>
      <c r="UB102" s="42"/>
      <c r="UC102" s="42"/>
      <c r="UD102" s="42"/>
      <c r="UE102" s="42"/>
      <c r="UF102" s="43">
        <v>0</v>
      </c>
      <c r="UG102" s="42" t="s">
        <v>48</v>
      </c>
      <c r="UH102" s="42"/>
      <c r="UI102" s="42"/>
      <c r="UJ102" s="42"/>
      <c r="UK102" s="42"/>
      <c r="UL102" s="42"/>
      <c r="UM102" s="42"/>
      <c r="UN102" s="43">
        <v>0</v>
      </c>
      <c r="UO102" s="42" t="s">
        <v>48</v>
      </c>
      <c r="UP102" s="42"/>
      <c r="UQ102" s="42"/>
      <c r="UR102" s="42"/>
      <c r="US102" s="42"/>
      <c r="UT102" s="42"/>
      <c r="UU102" s="42"/>
      <c r="UV102" s="43">
        <v>0</v>
      </c>
      <c r="UW102" s="42" t="s">
        <v>48</v>
      </c>
      <c r="UX102" s="42"/>
      <c r="UY102" s="42"/>
      <c r="UZ102" s="42"/>
      <c r="VA102" s="42"/>
      <c r="VB102" s="42"/>
      <c r="VC102" s="42"/>
      <c r="VD102" s="43">
        <v>0</v>
      </c>
      <c r="VE102" s="42" t="s">
        <v>48</v>
      </c>
      <c r="VF102" s="42"/>
      <c r="VG102" s="42"/>
      <c r="VH102" s="42"/>
      <c r="VI102" s="42"/>
      <c r="VJ102" s="42"/>
      <c r="VK102" s="42"/>
      <c r="VL102" s="43">
        <v>0</v>
      </c>
      <c r="VM102" s="42" t="s">
        <v>48</v>
      </c>
      <c r="VN102" s="42"/>
      <c r="VO102" s="42"/>
      <c r="VP102" s="42"/>
      <c r="VQ102" s="42"/>
      <c r="VR102" s="42"/>
      <c r="VS102" s="42"/>
      <c r="VT102" s="43">
        <v>0</v>
      </c>
      <c r="VU102" s="42" t="s">
        <v>48</v>
      </c>
      <c r="VV102" s="42"/>
      <c r="VW102" s="42"/>
      <c r="VX102" s="42"/>
      <c r="VY102" s="42"/>
      <c r="VZ102" s="42"/>
      <c r="WA102" s="42"/>
      <c r="WB102" s="43">
        <v>0</v>
      </c>
      <c r="WC102" s="42" t="s">
        <v>48</v>
      </c>
      <c r="WD102" s="42"/>
      <c r="WE102" s="42"/>
      <c r="WF102" s="42"/>
      <c r="WG102" s="42"/>
      <c r="WH102" s="42"/>
      <c r="WI102" s="42"/>
      <c r="WJ102" s="43">
        <v>0</v>
      </c>
      <c r="WK102" s="42" t="s">
        <v>48</v>
      </c>
      <c r="WL102" s="42"/>
      <c r="WM102" s="42"/>
      <c r="WN102" s="42"/>
      <c r="WO102" s="42"/>
      <c r="WP102" s="42"/>
      <c r="WQ102" s="42"/>
      <c r="WR102" s="43">
        <v>0</v>
      </c>
      <c r="WS102" s="42" t="s">
        <v>48</v>
      </c>
      <c r="WT102" s="42"/>
      <c r="WU102" s="42"/>
      <c r="WV102" s="42"/>
      <c r="WW102" s="42"/>
      <c r="WX102" s="42"/>
      <c r="WY102" s="42"/>
      <c r="WZ102" s="43">
        <v>0</v>
      </c>
      <c r="XA102" s="42" t="s">
        <v>48</v>
      </c>
      <c r="XB102" s="42"/>
      <c r="XC102" s="42"/>
      <c r="XD102" s="42"/>
      <c r="XE102" s="42"/>
      <c r="XF102" s="42"/>
      <c r="XG102" s="42"/>
      <c r="XH102" s="43">
        <v>0</v>
      </c>
      <c r="XI102" s="42" t="s">
        <v>48</v>
      </c>
      <c r="XJ102" s="42"/>
      <c r="XK102" s="42"/>
      <c r="XL102" s="42"/>
      <c r="XM102" s="42"/>
      <c r="XN102" s="42"/>
      <c r="XO102" s="42"/>
      <c r="XP102" s="43">
        <v>0</v>
      </c>
      <c r="XQ102" s="42" t="s">
        <v>48</v>
      </c>
      <c r="XR102" s="42"/>
      <c r="XS102" s="42"/>
      <c r="XT102" s="42"/>
      <c r="XU102" s="42"/>
      <c r="XV102" s="42"/>
      <c r="XW102" s="42"/>
      <c r="XX102" s="43">
        <v>0</v>
      </c>
      <c r="XY102" s="42" t="s">
        <v>48</v>
      </c>
      <c r="XZ102" s="42"/>
      <c r="YA102" s="42"/>
      <c r="YB102" s="42"/>
      <c r="YC102" s="42"/>
      <c r="YD102" s="42"/>
      <c r="YE102" s="42"/>
      <c r="YF102" s="43">
        <v>0</v>
      </c>
      <c r="YG102" s="42" t="s">
        <v>48</v>
      </c>
      <c r="YH102" s="42"/>
      <c r="YI102" s="42"/>
      <c r="YJ102" s="42"/>
      <c r="YK102" s="42"/>
      <c r="YL102" s="42"/>
      <c r="YM102" s="42"/>
      <c r="YN102" s="43">
        <v>0</v>
      </c>
      <c r="YO102" s="42" t="s">
        <v>48</v>
      </c>
      <c r="YP102" s="42"/>
      <c r="YQ102" s="42"/>
      <c r="YR102" s="42"/>
      <c r="YS102" s="42"/>
      <c r="YT102" s="42"/>
      <c r="YU102" s="42"/>
      <c r="YV102" s="43">
        <v>0</v>
      </c>
      <c r="YW102" s="42" t="s">
        <v>48</v>
      </c>
      <c r="YX102" s="42"/>
      <c r="YY102" s="42"/>
      <c r="YZ102" s="42"/>
      <c r="ZA102" s="42"/>
      <c r="ZB102" s="42"/>
      <c r="ZC102" s="42"/>
      <c r="ZD102" s="43">
        <v>0</v>
      </c>
      <c r="ZE102" s="42" t="s">
        <v>48</v>
      </c>
      <c r="ZF102" s="42"/>
      <c r="ZG102" s="42"/>
      <c r="ZH102" s="42"/>
      <c r="ZI102" s="42"/>
      <c r="ZJ102" s="42"/>
      <c r="ZK102" s="42"/>
      <c r="ZL102" s="43">
        <v>0</v>
      </c>
      <c r="ZM102" s="42" t="s">
        <v>48</v>
      </c>
      <c r="ZN102" s="42"/>
      <c r="ZO102" s="42"/>
      <c r="ZP102" s="42"/>
      <c r="ZQ102" s="42"/>
      <c r="ZR102" s="42"/>
      <c r="ZS102" s="42"/>
      <c r="ZT102" s="43">
        <v>0</v>
      </c>
      <c r="ZU102" s="42" t="s">
        <v>48</v>
      </c>
      <c r="ZV102" s="42"/>
      <c r="ZW102" s="42"/>
      <c r="ZX102" s="42"/>
      <c r="ZY102" s="42"/>
      <c r="ZZ102" s="42"/>
      <c r="AAA102" s="42"/>
      <c r="AAB102" s="43">
        <v>0</v>
      </c>
      <c r="AAC102" s="42" t="s">
        <v>48</v>
      </c>
      <c r="AAD102" s="42"/>
      <c r="AAE102" s="42"/>
      <c r="AAF102" s="42"/>
      <c r="AAG102" s="42"/>
      <c r="AAH102" s="42"/>
      <c r="AAI102" s="42"/>
      <c r="AAJ102" s="43">
        <v>0</v>
      </c>
      <c r="AAK102" s="42" t="s">
        <v>48</v>
      </c>
      <c r="AAL102" s="42"/>
      <c r="AAM102" s="42"/>
      <c r="AAN102" s="42"/>
      <c r="AAO102" s="42"/>
      <c r="AAP102" s="42"/>
      <c r="AAQ102" s="42"/>
      <c r="AAR102" s="43">
        <v>0</v>
      </c>
      <c r="AAS102" s="42" t="s">
        <v>48</v>
      </c>
      <c r="AAT102" s="42"/>
      <c r="AAU102" s="42"/>
      <c r="AAV102" s="42"/>
      <c r="AAW102" s="42"/>
      <c r="AAX102" s="42"/>
      <c r="AAY102" s="42"/>
      <c r="AAZ102" s="43">
        <v>0</v>
      </c>
      <c r="ABA102" s="42" t="s">
        <v>48</v>
      </c>
      <c r="ABB102" s="42"/>
      <c r="ABC102" s="42"/>
      <c r="ABD102" s="42"/>
      <c r="ABE102" s="42"/>
      <c r="ABF102" s="42"/>
      <c r="ABG102" s="42"/>
      <c r="ABH102" s="43">
        <v>0</v>
      </c>
      <c r="ABI102" s="42" t="s">
        <v>48</v>
      </c>
      <c r="ABJ102" s="42"/>
      <c r="ABK102" s="42"/>
      <c r="ABL102" s="42"/>
      <c r="ABM102" s="42"/>
      <c r="ABN102" s="42"/>
      <c r="ABO102" s="42"/>
      <c r="ABP102" s="43">
        <v>0</v>
      </c>
      <c r="ABQ102" s="42" t="s">
        <v>48</v>
      </c>
      <c r="ABR102" s="42"/>
      <c r="ABS102" s="42"/>
      <c r="ABT102" s="42"/>
      <c r="ABU102" s="42"/>
      <c r="ABV102" s="42"/>
      <c r="ABW102" s="42"/>
      <c r="ABX102" s="43">
        <v>0</v>
      </c>
      <c r="ABY102" s="42" t="s">
        <v>48</v>
      </c>
      <c r="ABZ102" s="42"/>
      <c r="ACA102" s="42"/>
      <c r="ACB102" s="42"/>
      <c r="ACC102" s="42"/>
      <c r="ACD102" s="42"/>
      <c r="ACE102" s="42"/>
      <c r="ACF102" s="43">
        <v>0</v>
      </c>
      <c r="ACG102" s="42" t="s">
        <v>48</v>
      </c>
      <c r="ACH102" s="42"/>
      <c r="ACI102" s="42"/>
      <c r="ACJ102" s="42"/>
      <c r="ACK102" s="42"/>
      <c r="ACL102" s="42"/>
      <c r="ACM102" s="42"/>
      <c r="ACN102" s="43">
        <v>0</v>
      </c>
      <c r="ACO102" s="42" t="s">
        <v>48</v>
      </c>
      <c r="ACP102" s="42"/>
      <c r="ACQ102" s="42"/>
      <c r="ACR102" s="42"/>
      <c r="ACS102" s="42"/>
      <c r="ACT102" s="42"/>
      <c r="ACU102" s="42"/>
      <c r="ACV102" s="43">
        <v>0</v>
      </c>
      <c r="ACW102" s="42" t="s">
        <v>48</v>
      </c>
      <c r="ACX102" s="42"/>
      <c r="ACY102" s="42"/>
      <c r="ACZ102" s="42"/>
      <c r="ADA102" s="42"/>
      <c r="ADB102" s="42"/>
      <c r="ADC102" s="42"/>
      <c r="ADD102" s="43">
        <v>0</v>
      </c>
      <c r="ADE102" s="42" t="s">
        <v>48</v>
      </c>
      <c r="ADF102" s="42"/>
      <c r="ADG102" s="42"/>
      <c r="ADH102" s="42"/>
      <c r="ADI102" s="42"/>
      <c r="ADJ102" s="42"/>
      <c r="ADK102" s="42"/>
      <c r="ADL102" s="43">
        <v>0</v>
      </c>
      <c r="ADM102" s="42" t="s">
        <v>48</v>
      </c>
      <c r="ADN102" s="42"/>
      <c r="ADO102" s="42"/>
      <c r="ADP102" s="42"/>
      <c r="ADQ102" s="42"/>
      <c r="ADR102" s="42"/>
      <c r="ADS102" s="42"/>
      <c r="ADT102" s="43">
        <v>0</v>
      </c>
      <c r="ADU102" s="42" t="s">
        <v>48</v>
      </c>
      <c r="ADV102" s="42"/>
      <c r="ADW102" s="42"/>
      <c r="ADX102" s="42"/>
      <c r="ADY102" s="42"/>
      <c r="ADZ102" s="42"/>
      <c r="AEA102" s="42"/>
      <c r="AEB102" s="43">
        <v>0</v>
      </c>
      <c r="AEC102" s="42" t="s">
        <v>48</v>
      </c>
      <c r="AED102" s="42"/>
      <c r="AEE102" s="42"/>
      <c r="AEF102" s="42"/>
      <c r="AEG102" s="42"/>
      <c r="AEH102" s="42"/>
      <c r="AEI102" s="42"/>
      <c r="AEJ102" s="43">
        <v>0</v>
      </c>
      <c r="AEK102" s="42" t="s">
        <v>48</v>
      </c>
      <c r="AEL102" s="42"/>
      <c r="AEM102" s="42"/>
      <c r="AEN102" s="42"/>
      <c r="AEO102" s="42"/>
      <c r="AEP102" s="42"/>
      <c r="AEQ102" s="42"/>
      <c r="AER102" s="43">
        <v>0</v>
      </c>
      <c r="AES102" s="42" t="s">
        <v>48</v>
      </c>
      <c r="AET102" s="42"/>
      <c r="AEU102" s="42"/>
      <c r="AEV102" s="42"/>
      <c r="AEW102" s="42"/>
      <c r="AEX102" s="42"/>
      <c r="AEY102" s="42"/>
      <c r="AEZ102" s="43">
        <v>0</v>
      </c>
      <c r="AFA102" s="42" t="s">
        <v>48</v>
      </c>
      <c r="AFB102" s="42"/>
      <c r="AFC102" s="42"/>
      <c r="AFD102" s="42"/>
      <c r="AFE102" s="42"/>
      <c r="AFF102" s="42"/>
      <c r="AFG102" s="42"/>
      <c r="AFH102" s="43">
        <v>0</v>
      </c>
      <c r="AFI102" s="42" t="s">
        <v>48</v>
      </c>
      <c r="AFJ102" s="42"/>
      <c r="AFK102" s="42"/>
      <c r="AFL102" s="42"/>
      <c r="AFM102" s="42"/>
      <c r="AFN102" s="42"/>
      <c r="AFO102" s="42"/>
      <c r="AFP102" s="43">
        <v>0</v>
      </c>
      <c r="AFQ102" s="42" t="s">
        <v>48</v>
      </c>
      <c r="AFR102" s="42"/>
      <c r="AFS102" s="42"/>
      <c r="AFT102" s="42"/>
      <c r="AFU102" s="42"/>
      <c r="AFV102" s="42"/>
      <c r="AFW102" s="42"/>
      <c r="AFX102" s="43">
        <v>0</v>
      </c>
      <c r="AFY102" s="42" t="s">
        <v>48</v>
      </c>
      <c r="AFZ102" s="42"/>
      <c r="AGA102" s="42"/>
      <c r="AGB102" s="42"/>
      <c r="AGC102" s="42"/>
      <c r="AGD102" s="42"/>
      <c r="AGE102" s="42"/>
      <c r="AGF102" s="43">
        <v>0</v>
      </c>
      <c r="AGG102" s="42" t="s">
        <v>48</v>
      </c>
      <c r="AGH102" s="42"/>
      <c r="AGI102" s="42"/>
      <c r="AGJ102" s="42"/>
      <c r="AGK102" s="42"/>
      <c r="AGL102" s="42"/>
      <c r="AGM102" s="42"/>
      <c r="AGN102" s="43">
        <v>0</v>
      </c>
      <c r="AGO102" s="42" t="s">
        <v>48</v>
      </c>
      <c r="AGP102" s="42"/>
      <c r="AGQ102" s="42"/>
      <c r="AGR102" s="42"/>
      <c r="AGS102" s="42"/>
      <c r="AGT102" s="42"/>
      <c r="AGU102" s="42"/>
      <c r="AGV102" s="43">
        <v>0</v>
      </c>
      <c r="AGW102" s="42" t="s">
        <v>48</v>
      </c>
      <c r="AGX102" s="42"/>
      <c r="AGY102" s="42"/>
      <c r="AGZ102" s="42"/>
      <c r="AHA102" s="42"/>
      <c r="AHB102" s="42"/>
      <c r="AHC102" s="42"/>
      <c r="AHD102" s="43">
        <v>0</v>
      </c>
      <c r="AHE102" s="42" t="s">
        <v>48</v>
      </c>
      <c r="AHF102" s="42"/>
      <c r="AHG102" s="42"/>
      <c r="AHH102" s="42"/>
      <c r="AHI102" s="42"/>
      <c r="AHJ102" s="42"/>
      <c r="AHK102" s="42"/>
      <c r="AHL102" s="43">
        <v>0</v>
      </c>
      <c r="AHM102" s="42" t="s">
        <v>48</v>
      </c>
      <c r="AHN102" s="42"/>
      <c r="AHO102" s="42"/>
      <c r="AHP102" s="42"/>
      <c r="AHQ102" s="42"/>
      <c r="AHR102" s="42"/>
      <c r="AHS102" s="42"/>
      <c r="AHT102" s="43">
        <v>0</v>
      </c>
      <c r="AHU102" s="42" t="s">
        <v>48</v>
      </c>
      <c r="AHV102" s="42"/>
      <c r="AHW102" s="42"/>
      <c r="AHX102" s="42"/>
      <c r="AHY102" s="42"/>
      <c r="AHZ102" s="42"/>
      <c r="AIA102" s="42"/>
      <c r="AIB102" s="43">
        <v>0</v>
      </c>
      <c r="AIC102" s="42" t="s">
        <v>48</v>
      </c>
      <c r="AID102" s="42"/>
      <c r="AIE102" s="42"/>
      <c r="AIF102" s="42"/>
      <c r="AIG102" s="42"/>
      <c r="AIH102" s="42"/>
      <c r="AII102" s="42"/>
      <c r="AIJ102" s="43">
        <v>0</v>
      </c>
      <c r="AIK102" s="42" t="s">
        <v>48</v>
      </c>
      <c r="AIL102" s="42"/>
      <c r="AIM102" s="42"/>
      <c r="AIN102" s="42"/>
      <c r="AIO102" s="42"/>
      <c r="AIP102" s="42"/>
      <c r="AIQ102" s="42"/>
      <c r="AIR102" s="43">
        <v>0</v>
      </c>
      <c r="AIS102" s="42" t="s">
        <v>48</v>
      </c>
      <c r="AIT102" s="42"/>
      <c r="AIU102" s="42"/>
      <c r="AIV102" s="42"/>
      <c r="AIW102" s="42"/>
      <c r="AIX102" s="42"/>
      <c r="AIY102" s="42"/>
      <c r="AIZ102" s="43">
        <v>0</v>
      </c>
      <c r="AJA102" s="42" t="s">
        <v>48</v>
      </c>
      <c r="AJB102" s="42"/>
      <c r="AJC102" s="42"/>
      <c r="AJD102" s="42"/>
      <c r="AJE102" s="42"/>
      <c r="AJF102" s="42"/>
      <c r="AJG102" s="42"/>
      <c r="AJH102" s="43">
        <v>0</v>
      </c>
      <c r="AJI102" s="42" t="s">
        <v>48</v>
      </c>
      <c r="AJJ102" s="42"/>
      <c r="AJK102" s="42"/>
      <c r="AJL102" s="42"/>
      <c r="AJM102" s="42"/>
      <c r="AJN102" s="42"/>
      <c r="AJO102" s="42"/>
      <c r="AJP102" s="43">
        <v>0</v>
      </c>
      <c r="AJQ102" s="42" t="s">
        <v>48</v>
      </c>
      <c r="AJR102" s="42"/>
      <c r="AJS102" s="42"/>
      <c r="AJT102" s="42"/>
      <c r="AJU102" s="42"/>
      <c r="AJV102" s="42"/>
      <c r="AJW102" s="42"/>
      <c r="AJX102" s="43">
        <v>0</v>
      </c>
      <c r="AJY102" s="42" t="s">
        <v>48</v>
      </c>
      <c r="AJZ102" s="42"/>
      <c r="AKA102" s="42"/>
      <c r="AKB102" s="42"/>
      <c r="AKC102" s="42"/>
      <c r="AKD102" s="42"/>
      <c r="AKE102" s="42"/>
      <c r="AKF102" s="43">
        <v>0</v>
      </c>
      <c r="AKG102" s="42" t="s">
        <v>48</v>
      </c>
      <c r="AKH102" s="42"/>
      <c r="AKI102" s="42"/>
      <c r="AKJ102" s="42"/>
      <c r="AKK102" s="42"/>
      <c r="AKL102" s="42"/>
      <c r="AKM102" s="42"/>
      <c r="AKN102" s="43">
        <v>0</v>
      </c>
      <c r="AKO102" s="42" t="s">
        <v>48</v>
      </c>
      <c r="AKP102" s="42"/>
      <c r="AKQ102" s="42"/>
      <c r="AKR102" s="42"/>
      <c r="AKS102" s="42"/>
      <c r="AKT102" s="42"/>
      <c r="AKU102" s="42"/>
      <c r="AKV102" s="43">
        <v>0</v>
      </c>
      <c r="AKW102" s="42" t="s">
        <v>48</v>
      </c>
      <c r="AKX102" s="42"/>
      <c r="AKY102" s="42"/>
      <c r="AKZ102" s="42"/>
      <c r="ALA102" s="42"/>
      <c r="ALB102" s="42"/>
      <c r="ALC102" s="42"/>
      <c r="ALD102" s="43">
        <v>0</v>
      </c>
      <c r="ALE102" s="42" t="s">
        <v>48</v>
      </c>
      <c r="ALF102" s="42"/>
      <c r="ALG102" s="42"/>
      <c r="ALH102" s="42"/>
      <c r="ALI102" s="42"/>
      <c r="ALJ102" s="42"/>
      <c r="ALK102" s="42"/>
      <c r="ALL102" s="43">
        <v>0</v>
      </c>
      <c r="ALM102" s="42" t="s">
        <v>48</v>
      </c>
      <c r="ALN102" s="42"/>
      <c r="ALO102" s="42"/>
      <c r="ALP102" s="42"/>
      <c r="ALQ102" s="42"/>
      <c r="ALR102" s="42"/>
      <c r="ALS102" s="42"/>
      <c r="ALT102" s="43">
        <v>0</v>
      </c>
      <c r="ALU102" s="42" t="s">
        <v>48</v>
      </c>
      <c r="ALV102" s="42"/>
      <c r="ALW102" s="42"/>
      <c r="ALX102" s="42"/>
      <c r="ALY102" s="42"/>
      <c r="ALZ102" s="42"/>
      <c r="AMA102" s="42"/>
      <c r="AMB102" s="43">
        <v>0</v>
      </c>
      <c r="AMC102" s="42" t="s">
        <v>48</v>
      </c>
      <c r="AMD102" s="42"/>
      <c r="AME102" s="42"/>
      <c r="AMF102" s="42"/>
      <c r="AMG102" s="42"/>
      <c r="AMH102" s="42"/>
      <c r="AMI102" s="42"/>
      <c r="AMJ102" s="43">
        <v>0</v>
      </c>
      <c r="AMK102" s="42" t="s">
        <v>48</v>
      </c>
      <c r="AML102" s="42"/>
      <c r="AMM102" s="42"/>
      <c r="AMN102" s="42"/>
      <c r="AMO102" s="42"/>
      <c r="AMP102" s="42"/>
      <c r="AMQ102" s="42"/>
      <c r="AMR102" s="43">
        <v>0</v>
      </c>
      <c r="AMS102" s="42" t="s">
        <v>48</v>
      </c>
      <c r="AMT102" s="42"/>
      <c r="AMU102" s="42"/>
      <c r="AMV102" s="42"/>
      <c r="AMW102" s="42"/>
      <c r="AMX102" s="42"/>
      <c r="AMY102" s="42"/>
      <c r="AMZ102" s="43">
        <v>0</v>
      </c>
      <c r="ANA102" s="42" t="s">
        <v>48</v>
      </c>
      <c r="ANB102" s="42"/>
      <c r="ANC102" s="42"/>
      <c r="AND102" s="42"/>
      <c r="ANE102" s="42"/>
      <c r="ANF102" s="42"/>
      <c r="ANG102" s="42"/>
      <c r="ANH102" s="43">
        <v>0</v>
      </c>
      <c r="ANI102" s="42" t="s">
        <v>48</v>
      </c>
      <c r="ANJ102" s="42"/>
      <c r="ANK102" s="42"/>
      <c r="ANL102" s="42"/>
      <c r="ANM102" s="42"/>
      <c r="ANN102" s="42"/>
      <c r="ANO102" s="42"/>
      <c r="ANP102" s="43">
        <v>0</v>
      </c>
      <c r="ANQ102" s="42" t="s">
        <v>48</v>
      </c>
      <c r="ANR102" s="42"/>
      <c r="ANS102" s="42"/>
      <c r="ANT102" s="42"/>
      <c r="ANU102" s="42"/>
      <c r="ANV102" s="42"/>
      <c r="ANW102" s="42"/>
      <c r="ANX102" s="43">
        <v>0</v>
      </c>
      <c r="ANY102" s="42" t="s">
        <v>48</v>
      </c>
      <c r="ANZ102" s="42"/>
      <c r="AOA102" s="42"/>
      <c r="AOB102" s="42"/>
      <c r="AOC102" s="42"/>
      <c r="AOD102" s="42"/>
      <c r="AOE102" s="42"/>
      <c r="AOF102" s="43">
        <v>0</v>
      </c>
      <c r="AOG102" s="42" t="s">
        <v>48</v>
      </c>
      <c r="AOH102" s="42"/>
      <c r="AOI102" s="42"/>
      <c r="AOJ102" s="42"/>
      <c r="AOK102" s="42"/>
      <c r="AOL102" s="42"/>
      <c r="AOM102" s="42"/>
      <c r="AON102" s="43">
        <v>0</v>
      </c>
      <c r="AOO102" s="42" t="s">
        <v>48</v>
      </c>
      <c r="AOP102" s="42"/>
      <c r="AOQ102" s="42"/>
      <c r="AOR102" s="42"/>
      <c r="AOS102" s="42"/>
      <c r="AOT102" s="42"/>
      <c r="AOU102" s="42"/>
      <c r="AOV102" s="43">
        <v>0</v>
      </c>
      <c r="AOW102" s="42" t="s">
        <v>48</v>
      </c>
      <c r="AOX102" s="42"/>
      <c r="AOY102" s="42"/>
      <c r="AOZ102" s="42"/>
      <c r="APA102" s="42"/>
      <c r="APB102" s="42"/>
      <c r="APC102" s="42"/>
      <c r="APD102" s="43">
        <v>0</v>
      </c>
      <c r="APE102" s="42" t="s">
        <v>48</v>
      </c>
      <c r="APF102" s="42"/>
      <c r="APG102" s="42"/>
      <c r="APH102" s="42"/>
      <c r="API102" s="42"/>
      <c r="APJ102" s="42"/>
      <c r="APK102" s="42"/>
      <c r="APL102" s="43">
        <v>0</v>
      </c>
      <c r="APM102" s="42" t="s">
        <v>48</v>
      </c>
      <c r="APN102" s="42"/>
      <c r="APO102" s="42"/>
      <c r="APP102" s="42"/>
      <c r="APQ102" s="42"/>
      <c r="APR102" s="42"/>
      <c r="APS102" s="42"/>
      <c r="APT102" s="43">
        <v>0</v>
      </c>
      <c r="APU102" s="42" t="s">
        <v>48</v>
      </c>
      <c r="APV102" s="42"/>
      <c r="APW102" s="42"/>
      <c r="APX102" s="42"/>
      <c r="APY102" s="42"/>
      <c r="APZ102" s="42"/>
      <c r="AQA102" s="42"/>
      <c r="AQB102" s="43">
        <v>0</v>
      </c>
      <c r="AQC102" s="42" t="s">
        <v>48</v>
      </c>
      <c r="AQD102" s="42"/>
      <c r="AQE102" s="42"/>
      <c r="AQF102" s="42"/>
      <c r="AQG102" s="42"/>
      <c r="AQH102" s="42"/>
      <c r="AQI102" s="42"/>
      <c r="AQJ102" s="43">
        <v>0</v>
      </c>
      <c r="AQK102" s="42" t="s">
        <v>48</v>
      </c>
      <c r="AQL102" s="42"/>
      <c r="AQM102" s="42"/>
      <c r="AQN102" s="42"/>
      <c r="AQO102" s="42"/>
      <c r="AQP102" s="42"/>
      <c r="AQQ102" s="42"/>
      <c r="AQR102" s="43">
        <v>0</v>
      </c>
      <c r="AQS102" s="42" t="s">
        <v>48</v>
      </c>
      <c r="AQT102" s="42"/>
      <c r="AQU102" s="42"/>
      <c r="AQV102" s="42"/>
      <c r="AQW102" s="42"/>
      <c r="AQX102" s="42"/>
      <c r="AQY102" s="42"/>
      <c r="AQZ102" s="43">
        <v>0</v>
      </c>
      <c r="ARA102" s="42" t="s">
        <v>48</v>
      </c>
      <c r="ARB102" s="42"/>
      <c r="ARC102" s="42"/>
      <c r="ARD102" s="42"/>
      <c r="ARE102" s="42"/>
      <c r="ARF102" s="42"/>
      <c r="ARG102" s="42"/>
      <c r="ARH102" s="43">
        <v>0</v>
      </c>
      <c r="ARI102" s="42" t="s">
        <v>48</v>
      </c>
      <c r="ARJ102" s="42"/>
      <c r="ARK102" s="42"/>
      <c r="ARL102" s="42"/>
      <c r="ARM102" s="42"/>
      <c r="ARN102" s="42"/>
      <c r="ARO102" s="42"/>
      <c r="ARP102" s="43">
        <v>0</v>
      </c>
      <c r="ARQ102" s="42" t="s">
        <v>48</v>
      </c>
      <c r="ARR102" s="42"/>
      <c r="ARS102" s="42"/>
      <c r="ART102" s="42"/>
      <c r="ARU102" s="42"/>
      <c r="ARV102" s="42"/>
      <c r="ARW102" s="42"/>
      <c r="ARX102" s="43">
        <v>0</v>
      </c>
      <c r="ARY102" s="42" t="s">
        <v>48</v>
      </c>
      <c r="ARZ102" s="42"/>
      <c r="ASA102" s="42"/>
      <c r="ASB102" s="42"/>
      <c r="ASC102" s="42"/>
      <c r="ASD102" s="42"/>
      <c r="ASE102" s="42"/>
      <c r="ASF102" s="43">
        <v>0</v>
      </c>
      <c r="ASG102" s="42" t="s">
        <v>48</v>
      </c>
      <c r="ASH102" s="42"/>
      <c r="ASI102" s="42"/>
      <c r="ASJ102" s="42"/>
      <c r="ASK102" s="42"/>
      <c r="ASL102" s="42"/>
      <c r="ASM102" s="42"/>
      <c r="ASN102" s="43">
        <v>0</v>
      </c>
      <c r="ASO102" s="42" t="s">
        <v>48</v>
      </c>
      <c r="ASP102" s="42"/>
      <c r="ASQ102" s="42"/>
      <c r="ASR102" s="42"/>
      <c r="ASS102" s="42"/>
      <c r="AST102" s="42"/>
      <c r="ASU102" s="42"/>
      <c r="ASV102" s="43">
        <v>0</v>
      </c>
      <c r="ASW102" s="42" t="s">
        <v>48</v>
      </c>
      <c r="ASX102" s="42"/>
      <c r="ASY102" s="42"/>
      <c r="ASZ102" s="42"/>
      <c r="ATA102" s="42"/>
      <c r="ATB102" s="42"/>
      <c r="ATC102" s="42"/>
      <c r="ATD102" s="43">
        <v>0</v>
      </c>
      <c r="ATE102" s="42" t="s">
        <v>48</v>
      </c>
      <c r="ATF102" s="42"/>
      <c r="ATG102" s="42"/>
      <c r="ATH102" s="42"/>
      <c r="ATI102" s="42"/>
      <c r="ATJ102" s="42"/>
      <c r="ATK102" s="42"/>
      <c r="ATL102" s="43">
        <v>0</v>
      </c>
      <c r="ATM102" s="42" t="s">
        <v>48</v>
      </c>
      <c r="ATN102" s="42"/>
      <c r="ATO102" s="42"/>
      <c r="ATP102" s="42"/>
      <c r="ATQ102" s="42"/>
      <c r="ATR102" s="42"/>
      <c r="ATS102" s="42"/>
      <c r="ATT102" s="43">
        <v>0</v>
      </c>
      <c r="ATU102" s="42" t="s">
        <v>48</v>
      </c>
      <c r="ATV102" s="42"/>
      <c r="ATW102" s="42"/>
      <c r="ATX102" s="42"/>
      <c r="ATY102" s="42"/>
      <c r="ATZ102" s="42"/>
      <c r="AUA102" s="42"/>
      <c r="AUB102" s="43">
        <v>0</v>
      </c>
      <c r="AUC102" s="42" t="s">
        <v>48</v>
      </c>
      <c r="AUD102" s="42"/>
      <c r="AUE102" s="42"/>
      <c r="AUF102" s="42"/>
      <c r="AUG102" s="42"/>
      <c r="AUH102" s="42"/>
      <c r="AUI102" s="42"/>
      <c r="AUJ102" s="43">
        <v>0</v>
      </c>
      <c r="AUK102" s="42" t="s">
        <v>48</v>
      </c>
      <c r="AUL102" s="42"/>
      <c r="AUM102" s="42"/>
      <c r="AUN102" s="42"/>
      <c r="AUO102" s="42"/>
      <c r="AUP102" s="42"/>
      <c r="AUQ102" s="42"/>
      <c r="AUR102" s="43">
        <v>0</v>
      </c>
      <c r="AUS102" s="42" t="s">
        <v>48</v>
      </c>
      <c r="AUT102" s="42"/>
      <c r="AUU102" s="42"/>
      <c r="AUV102" s="42"/>
      <c r="AUW102" s="42"/>
      <c r="AUX102" s="42"/>
      <c r="AUY102" s="42"/>
      <c r="AUZ102" s="43">
        <v>0</v>
      </c>
      <c r="AVA102" s="42" t="s">
        <v>48</v>
      </c>
      <c r="AVB102" s="42"/>
      <c r="AVC102" s="42"/>
      <c r="AVD102" s="42"/>
      <c r="AVE102" s="42"/>
      <c r="AVF102" s="42"/>
      <c r="AVG102" s="42"/>
      <c r="AVH102" s="43">
        <v>0</v>
      </c>
      <c r="AVI102" s="42" t="s">
        <v>48</v>
      </c>
      <c r="AVJ102" s="42"/>
      <c r="AVK102" s="42"/>
      <c r="AVL102" s="42"/>
      <c r="AVM102" s="42"/>
      <c r="AVN102" s="42"/>
      <c r="AVO102" s="42"/>
      <c r="AVP102" s="43">
        <v>0</v>
      </c>
      <c r="AVQ102" s="42" t="s">
        <v>48</v>
      </c>
      <c r="AVR102" s="42"/>
      <c r="AVS102" s="42"/>
      <c r="AVT102" s="42"/>
      <c r="AVU102" s="42"/>
      <c r="AVV102" s="42"/>
      <c r="AVW102" s="42"/>
      <c r="AVX102" s="43">
        <v>0</v>
      </c>
      <c r="AVY102" s="42" t="s">
        <v>48</v>
      </c>
      <c r="AVZ102" s="42"/>
      <c r="AWA102" s="42"/>
      <c r="AWB102" s="42"/>
      <c r="AWC102" s="42"/>
      <c r="AWD102" s="42"/>
      <c r="AWE102" s="42"/>
      <c r="AWF102" s="43">
        <v>0</v>
      </c>
      <c r="AWG102" s="42" t="s">
        <v>48</v>
      </c>
      <c r="AWH102" s="42"/>
      <c r="AWI102" s="42"/>
      <c r="AWJ102" s="42"/>
      <c r="AWK102" s="42"/>
      <c r="AWL102" s="42"/>
      <c r="AWM102" s="42"/>
      <c r="AWN102" s="43">
        <v>0</v>
      </c>
      <c r="AWO102" s="42" t="s">
        <v>48</v>
      </c>
      <c r="AWP102" s="42"/>
      <c r="AWQ102" s="42"/>
      <c r="AWR102" s="42"/>
      <c r="AWS102" s="42"/>
      <c r="AWT102" s="42"/>
      <c r="AWU102" s="42"/>
      <c r="AWV102" s="43">
        <v>0</v>
      </c>
      <c r="AWW102" s="42" t="s">
        <v>48</v>
      </c>
      <c r="AWX102" s="42"/>
      <c r="AWY102" s="42"/>
      <c r="AWZ102" s="42"/>
      <c r="AXA102" s="42"/>
      <c r="AXB102" s="42"/>
      <c r="AXC102" s="42"/>
      <c r="AXD102" s="43">
        <v>0</v>
      </c>
      <c r="AXE102" s="42" t="s">
        <v>48</v>
      </c>
      <c r="AXF102" s="42"/>
      <c r="AXG102" s="42"/>
      <c r="AXH102" s="42"/>
      <c r="AXI102" s="42"/>
      <c r="AXJ102" s="42"/>
      <c r="AXK102" s="42"/>
      <c r="AXL102" s="43">
        <v>0</v>
      </c>
      <c r="AXM102" s="42" t="s">
        <v>48</v>
      </c>
      <c r="AXN102" s="42"/>
      <c r="AXO102" s="42"/>
      <c r="AXP102" s="42"/>
      <c r="AXQ102" s="42"/>
      <c r="AXR102" s="42"/>
      <c r="AXS102" s="42"/>
      <c r="AXT102" s="43">
        <v>0</v>
      </c>
      <c r="AXU102" s="42" t="s">
        <v>48</v>
      </c>
      <c r="AXV102" s="42"/>
      <c r="AXW102" s="42"/>
      <c r="AXX102" s="42"/>
      <c r="AXY102" s="42"/>
      <c r="AXZ102" s="42"/>
      <c r="AYA102" s="42"/>
      <c r="AYB102" s="43">
        <v>0</v>
      </c>
      <c r="AYC102" s="42" t="s">
        <v>48</v>
      </c>
      <c r="AYD102" s="42"/>
      <c r="AYE102" s="42"/>
      <c r="AYF102" s="42"/>
      <c r="AYG102" s="42"/>
      <c r="AYH102" s="42"/>
      <c r="AYI102" s="42"/>
      <c r="AYJ102" s="43">
        <v>0</v>
      </c>
      <c r="AYK102" s="42" t="s">
        <v>48</v>
      </c>
      <c r="AYL102" s="42"/>
      <c r="AYM102" s="42"/>
      <c r="AYN102" s="42"/>
      <c r="AYO102" s="42"/>
      <c r="AYP102" s="42"/>
      <c r="AYQ102" s="42"/>
      <c r="AYR102" s="43">
        <v>0</v>
      </c>
      <c r="AYS102" s="42" t="s">
        <v>48</v>
      </c>
      <c r="AYT102" s="42"/>
      <c r="AYU102" s="42"/>
      <c r="AYV102" s="42"/>
      <c r="AYW102" s="42"/>
      <c r="AYX102" s="42"/>
      <c r="AYY102" s="42"/>
      <c r="AYZ102" s="43">
        <v>0</v>
      </c>
      <c r="AZA102" s="42" t="s">
        <v>48</v>
      </c>
      <c r="AZB102" s="42"/>
      <c r="AZC102" s="42"/>
      <c r="AZD102" s="42"/>
      <c r="AZE102" s="42"/>
      <c r="AZF102" s="42"/>
      <c r="AZG102" s="42"/>
      <c r="AZH102" s="43">
        <v>0</v>
      </c>
      <c r="AZI102" s="42" t="s">
        <v>48</v>
      </c>
      <c r="AZJ102" s="42"/>
      <c r="AZK102" s="42"/>
      <c r="AZL102" s="42"/>
      <c r="AZM102" s="42"/>
      <c r="AZN102" s="42"/>
      <c r="AZO102" s="42"/>
      <c r="AZP102" s="43">
        <v>0</v>
      </c>
      <c r="AZQ102" s="42" t="s">
        <v>48</v>
      </c>
      <c r="AZR102" s="42"/>
      <c r="AZS102" s="42"/>
      <c r="AZT102" s="42"/>
      <c r="AZU102" s="42"/>
      <c r="AZV102" s="42"/>
      <c r="AZW102" s="42"/>
      <c r="AZX102" s="43">
        <v>0</v>
      </c>
      <c r="AZY102" s="42" t="s">
        <v>48</v>
      </c>
      <c r="AZZ102" s="42"/>
      <c r="BAA102" s="42"/>
      <c r="BAB102" s="42"/>
      <c r="BAC102" s="42"/>
      <c r="BAD102" s="42"/>
      <c r="BAE102" s="42"/>
      <c r="BAF102" s="43">
        <v>0</v>
      </c>
      <c r="BAG102" s="42" t="s">
        <v>48</v>
      </c>
      <c r="BAH102" s="42"/>
      <c r="BAI102" s="42"/>
      <c r="BAJ102" s="42"/>
      <c r="BAK102" s="42"/>
      <c r="BAL102" s="42"/>
      <c r="BAM102" s="42"/>
      <c r="BAN102" s="43">
        <v>0</v>
      </c>
      <c r="BAO102" s="42" t="s">
        <v>48</v>
      </c>
      <c r="BAP102" s="42"/>
      <c r="BAQ102" s="42"/>
      <c r="BAR102" s="42"/>
      <c r="BAS102" s="42"/>
      <c r="BAT102" s="42"/>
      <c r="BAU102" s="42"/>
      <c r="BAV102" s="43">
        <v>0</v>
      </c>
      <c r="BAW102" s="42" t="s">
        <v>48</v>
      </c>
      <c r="BAX102" s="42"/>
      <c r="BAY102" s="42"/>
      <c r="BAZ102" s="42"/>
      <c r="BBA102" s="42"/>
      <c r="BBB102" s="42"/>
      <c r="BBC102" s="42"/>
      <c r="BBD102" s="43">
        <v>0</v>
      </c>
      <c r="BBE102" s="42" t="s">
        <v>48</v>
      </c>
      <c r="BBF102" s="42"/>
      <c r="BBG102" s="42"/>
      <c r="BBH102" s="42"/>
      <c r="BBI102" s="42"/>
      <c r="BBJ102" s="42"/>
      <c r="BBK102" s="42"/>
      <c r="BBL102" s="43">
        <v>0</v>
      </c>
      <c r="BBM102" s="42" t="s">
        <v>48</v>
      </c>
      <c r="BBN102" s="42"/>
      <c r="BBO102" s="42"/>
      <c r="BBP102" s="42"/>
      <c r="BBQ102" s="42"/>
      <c r="BBR102" s="42"/>
      <c r="BBS102" s="42"/>
      <c r="BBT102" s="43">
        <v>0</v>
      </c>
      <c r="BBU102" s="42" t="s">
        <v>48</v>
      </c>
      <c r="BBV102" s="42"/>
      <c r="BBW102" s="42"/>
      <c r="BBX102" s="42"/>
      <c r="BBY102" s="42"/>
      <c r="BBZ102" s="42"/>
      <c r="BCA102" s="42"/>
      <c r="BCB102" s="43">
        <v>0</v>
      </c>
      <c r="BCC102" s="42" t="s">
        <v>48</v>
      </c>
      <c r="BCD102" s="42"/>
      <c r="BCE102" s="42"/>
      <c r="BCF102" s="42"/>
      <c r="BCG102" s="42"/>
      <c r="BCH102" s="42"/>
      <c r="BCI102" s="42"/>
      <c r="BCJ102" s="43">
        <v>0</v>
      </c>
      <c r="BCK102" s="42" t="s">
        <v>48</v>
      </c>
      <c r="BCL102" s="42"/>
      <c r="BCM102" s="42"/>
      <c r="BCN102" s="42"/>
      <c r="BCO102" s="42"/>
      <c r="BCP102" s="42"/>
      <c r="BCQ102" s="42"/>
      <c r="BCR102" s="43">
        <v>0</v>
      </c>
      <c r="BCS102" s="42" t="s">
        <v>48</v>
      </c>
      <c r="BCT102" s="42"/>
      <c r="BCU102" s="42"/>
      <c r="BCV102" s="42"/>
      <c r="BCW102" s="42"/>
      <c r="BCX102" s="42"/>
      <c r="BCY102" s="42"/>
      <c r="BCZ102" s="43">
        <v>0</v>
      </c>
      <c r="BDA102" s="42" t="s">
        <v>48</v>
      </c>
      <c r="BDB102" s="42"/>
      <c r="BDC102" s="42"/>
      <c r="BDD102" s="42"/>
      <c r="BDE102" s="42"/>
      <c r="BDF102" s="42"/>
      <c r="BDG102" s="42"/>
      <c r="BDH102" s="43">
        <v>0</v>
      </c>
      <c r="BDI102" s="42" t="s">
        <v>48</v>
      </c>
      <c r="BDJ102" s="42"/>
      <c r="BDK102" s="42"/>
      <c r="BDL102" s="42"/>
      <c r="BDM102" s="42"/>
      <c r="BDN102" s="42"/>
      <c r="BDO102" s="42"/>
      <c r="BDP102" s="43">
        <v>0</v>
      </c>
      <c r="BDQ102" s="42" t="s">
        <v>48</v>
      </c>
      <c r="BDR102" s="42"/>
      <c r="BDS102" s="42"/>
      <c r="BDT102" s="42"/>
      <c r="BDU102" s="42"/>
      <c r="BDV102" s="42"/>
      <c r="BDW102" s="42"/>
      <c r="BDX102" s="43">
        <v>0</v>
      </c>
      <c r="BDY102" s="42" t="s">
        <v>48</v>
      </c>
      <c r="BDZ102" s="42"/>
      <c r="BEA102" s="42"/>
      <c r="BEB102" s="42"/>
      <c r="BEC102" s="42"/>
      <c r="BED102" s="42"/>
      <c r="BEE102" s="42"/>
      <c r="BEF102" s="43">
        <v>0</v>
      </c>
      <c r="BEG102" s="42" t="s">
        <v>48</v>
      </c>
      <c r="BEH102" s="42"/>
      <c r="BEI102" s="42"/>
      <c r="BEJ102" s="42"/>
      <c r="BEK102" s="42"/>
      <c r="BEL102" s="42"/>
      <c r="BEM102" s="42"/>
      <c r="BEN102" s="43">
        <v>0</v>
      </c>
      <c r="BEO102" s="42" t="s">
        <v>48</v>
      </c>
      <c r="BEP102" s="42"/>
      <c r="BEQ102" s="42"/>
      <c r="BER102" s="42"/>
      <c r="BES102" s="42"/>
      <c r="BET102" s="42"/>
      <c r="BEU102" s="42"/>
      <c r="BEV102" s="43">
        <v>0</v>
      </c>
      <c r="BEW102" s="42" t="s">
        <v>48</v>
      </c>
      <c r="BEX102" s="42"/>
      <c r="BEY102" s="42"/>
      <c r="BEZ102" s="42"/>
      <c r="BFA102" s="42"/>
      <c r="BFB102" s="42"/>
      <c r="BFC102" s="42"/>
      <c r="BFD102" s="43">
        <v>0</v>
      </c>
      <c r="BFE102" s="42" t="s">
        <v>48</v>
      </c>
      <c r="BFF102" s="42"/>
      <c r="BFG102" s="42"/>
      <c r="BFH102" s="42"/>
      <c r="BFI102" s="42"/>
      <c r="BFJ102" s="42"/>
      <c r="BFK102" s="42"/>
      <c r="BFL102" s="43">
        <v>0</v>
      </c>
      <c r="BFM102" s="42" t="s">
        <v>48</v>
      </c>
      <c r="BFN102" s="42"/>
      <c r="BFO102" s="42"/>
      <c r="BFP102" s="42"/>
      <c r="BFQ102" s="42"/>
      <c r="BFR102" s="42"/>
      <c r="BFS102" s="42"/>
      <c r="BFT102" s="43">
        <v>0</v>
      </c>
      <c r="BFU102" s="42" t="s">
        <v>48</v>
      </c>
      <c r="BFV102" s="42"/>
      <c r="BFW102" s="42"/>
      <c r="BFX102" s="42"/>
      <c r="BFY102" s="42"/>
      <c r="BFZ102" s="42"/>
      <c r="BGA102" s="42"/>
      <c r="BGB102" s="43">
        <v>0</v>
      </c>
      <c r="BGC102" s="42" t="s">
        <v>48</v>
      </c>
      <c r="BGD102" s="42"/>
      <c r="BGE102" s="42"/>
      <c r="BGF102" s="42"/>
      <c r="BGG102" s="42"/>
      <c r="BGH102" s="42"/>
      <c r="BGI102" s="42"/>
      <c r="BGJ102" s="43">
        <v>0</v>
      </c>
      <c r="BGK102" s="42" t="s">
        <v>48</v>
      </c>
      <c r="BGL102" s="42"/>
      <c r="BGM102" s="42"/>
      <c r="BGN102" s="42"/>
      <c r="BGO102" s="42"/>
      <c r="BGP102" s="42"/>
      <c r="BGQ102" s="42"/>
      <c r="BGR102" s="43">
        <v>0</v>
      </c>
      <c r="BGS102" s="42" t="s">
        <v>48</v>
      </c>
      <c r="BGT102" s="42"/>
      <c r="BGU102" s="42"/>
      <c r="BGV102" s="42"/>
      <c r="BGW102" s="42"/>
      <c r="BGX102" s="42"/>
      <c r="BGY102" s="42"/>
      <c r="BGZ102" s="43">
        <v>0</v>
      </c>
      <c r="BHA102" s="42" t="s">
        <v>48</v>
      </c>
      <c r="BHB102" s="42"/>
      <c r="BHC102" s="42"/>
      <c r="BHD102" s="42"/>
      <c r="BHE102" s="42"/>
      <c r="BHF102" s="42"/>
      <c r="BHG102" s="42"/>
      <c r="BHH102" s="43">
        <v>0</v>
      </c>
      <c r="BHI102" s="42" t="s">
        <v>48</v>
      </c>
      <c r="BHJ102" s="42"/>
      <c r="BHK102" s="42"/>
      <c r="BHL102" s="42"/>
      <c r="BHM102" s="42"/>
      <c r="BHN102" s="42"/>
      <c r="BHO102" s="42"/>
      <c r="BHP102" s="43">
        <v>0</v>
      </c>
      <c r="BHQ102" s="42" t="s">
        <v>48</v>
      </c>
      <c r="BHR102" s="42"/>
      <c r="BHS102" s="42"/>
      <c r="BHT102" s="42"/>
      <c r="BHU102" s="42"/>
      <c r="BHV102" s="42"/>
      <c r="BHW102" s="42"/>
      <c r="BHX102" s="43">
        <v>0</v>
      </c>
      <c r="BHY102" s="42" t="s">
        <v>48</v>
      </c>
      <c r="BHZ102" s="42"/>
      <c r="BIA102" s="42"/>
      <c r="BIB102" s="42"/>
      <c r="BIC102" s="42"/>
      <c r="BID102" s="42"/>
      <c r="BIE102" s="42"/>
      <c r="BIF102" s="43">
        <v>0</v>
      </c>
      <c r="BIG102" s="42" t="s">
        <v>48</v>
      </c>
      <c r="BIH102" s="42"/>
      <c r="BII102" s="42"/>
      <c r="BIJ102" s="42"/>
      <c r="BIK102" s="42"/>
      <c r="BIL102" s="42"/>
      <c r="BIM102" s="42"/>
      <c r="BIN102" s="43">
        <v>0</v>
      </c>
      <c r="BIO102" s="42" t="s">
        <v>48</v>
      </c>
      <c r="BIP102" s="42"/>
      <c r="BIQ102" s="42"/>
      <c r="BIR102" s="42"/>
      <c r="BIS102" s="42"/>
      <c r="BIT102" s="42"/>
      <c r="BIU102" s="42"/>
      <c r="BIV102" s="43">
        <v>0</v>
      </c>
      <c r="BIW102" s="42" t="s">
        <v>48</v>
      </c>
      <c r="BIX102" s="42"/>
      <c r="BIY102" s="42"/>
      <c r="BIZ102" s="42"/>
      <c r="BJA102" s="42"/>
      <c r="BJB102" s="42"/>
      <c r="BJC102" s="42"/>
      <c r="BJD102" s="43">
        <v>0</v>
      </c>
      <c r="BJE102" s="42" t="s">
        <v>48</v>
      </c>
      <c r="BJF102" s="42"/>
      <c r="BJG102" s="42"/>
      <c r="BJH102" s="42"/>
      <c r="BJI102" s="42"/>
      <c r="BJJ102" s="42"/>
      <c r="BJK102" s="42"/>
      <c r="BJL102" s="43">
        <v>0</v>
      </c>
      <c r="BJM102" s="42" t="s">
        <v>48</v>
      </c>
      <c r="BJN102" s="42"/>
      <c r="BJO102" s="42"/>
      <c r="BJP102" s="42"/>
      <c r="BJQ102" s="42"/>
      <c r="BJR102" s="42"/>
      <c r="BJS102" s="42"/>
      <c r="BJT102" s="43">
        <v>0</v>
      </c>
      <c r="BJU102" s="42" t="s">
        <v>48</v>
      </c>
      <c r="BJV102" s="42"/>
      <c r="BJW102" s="42"/>
      <c r="BJX102" s="42"/>
      <c r="BJY102" s="42"/>
      <c r="BJZ102" s="42"/>
      <c r="BKA102" s="42"/>
      <c r="BKB102" s="43">
        <v>0</v>
      </c>
      <c r="BKC102" s="42" t="s">
        <v>48</v>
      </c>
      <c r="BKD102" s="42"/>
      <c r="BKE102" s="42"/>
      <c r="BKF102" s="42"/>
      <c r="BKG102" s="42"/>
      <c r="BKH102" s="42"/>
      <c r="BKI102" s="42"/>
      <c r="BKJ102" s="43">
        <v>0</v>
      </c>
      <c r="BKK102" s="42" t="s">
        <v>48</v>
      </c>
      <c r="BKL102" s="42"/>
      <c r="BKM102" s="42"/>
      <c r="BKN102" s="42"/>
      <c r="BKO102" s="42"/>
      <c r="BKP102" s="42"/>
      <c r="BKQ102" s="42"/>
      <c r="BKR102" s="43">
        <v>0</v>
      </c>
      <c r="BKS102" s="42" t="s">
        <v>48</v>
      </c>
      <c r="BKT102" s="42"/>
      <c r="BKU102" s="42"/>
      <c r="BKV102" s="42"/>
      <c r="BKW102" s="42"/>
      <c r="BKX102" s="42"/>
      <c r="BKY102" s="42"/>
      <c r="BKZ102" s="43">
        <v>0</v>
      </c>
      <c r="BLA102" s="42" t="s">
        <v>48</v>
      </c>
      <c r="BLB102" s="42"/>
      <c r="BLC102" s="42"/>
      <c r="BLD102" s="42"/>
      <c r="BLE102" s="42"/>
      <c r="BLF102" s="42"/>
      <c r="BLG102" s="42"/>
      <c r="BLH102" s="43">
        <v>0</v>
      </c>
      <c r="BLI102" s="42" t="s">
        <v>48</v>
      </c>
      <c r="BLJ102" s="42"/>
      <c r="BLK102" s="42"/>
      <c r="BLL102" s="42"/>
      <c r="BLM102" s="42"/>
      <c r="BLN102" s="42"/>
      <c r="BLO102" s="42"/>
      <c r="BLP102" s="43">
        <v>0</v>
      </c>
      <c r="BLQ102" s="42" t="s">
        <v>48</v>
      </c>
      <c r="BLR102" s="42"/>
      <c r="BLS102" s="42"/>
      <c r="BLT102" s="42"/>
      <c r="BLU102" s="42"/>
      <c r="BLV102" s="42"/>
      <c r="BLW102" s="42"/>
      <c r="BLX102" s="43">
        <v>0</v>
      </c>
      <c r="BLY102" s="42" t="s">
        <v>48</v>
      </c>
      <c r="BLZ102" s="42"/>
      <c r="BMA102" s="42"/>
      <c r="BMB102" s="42"/>
      <c r="BMC102" s="42"/>
      <c r="BMD102" s="42"/>
      <c r="BME102" s="42"/>
      <c r="BMF102" s="43">
        <v>0</v>
      </c>
      <c r="BMG102" s="42" t="s">
        <v>48</v>
      </c>
      <c r="BMH102" s="42"/>
      <c r="BMI102" s="42"/>
      <c r="BMJ102" s="42"/>
      <c r="BMK102" s="42"/>
      <c r="BML102" s="42"/>
      <c r="BMM102" s="42"/>
      <c r="BMN102" s="43">
        <v>0</v>
      </c>
      <c r="BMO102" s="42" t="s">
        <v>48</v>
      </c>
      <c r="BMP102" s="42"/>
      <c r="BMQ102" s="42"/>
      <c r="BMR102" s="42"/>
      <c r="BMS102" s="42"/>
      <c r="BMT102" s="42"/>
      <c r="BMU102" s="42"/>
      <c r="BMV102" s="43">
        <v>0</v>
      </c>
      <c r="BMW102" s="42" t="s">
        <v>48</v>
      </c>
      <c r="BMX102" s="42"/>
      <c r="BMY102" s="42"/>
      <c r="BMZ102" s="42"/>
      <c r="BNA102" s="42"/>
      <c r="BNB102" s="42"/>
      <c r="BNC102" s="42"/>
      <c r="BND102" s="43">
        <v>0</v>
      </c>
      <c r="BNE102" s="42" t="s">
        <v>48</v>
      </c>
      <c r="BNF102" s="42"/>
      <c r="BNG102" s="42"/>
      <c r="BNH102" s="42"/>
      <c r="BNI102" s="42"/>
      <c r="BNJ102" s="42"/>
      <c r="BNK102" s="42"/>
      <c r="BNL102" s="43">
        <v>0</v>
      </c>
      <c r="BNM102" s="42" t="s">
        <v>48</v>
      </c>
      <c r="BNN102" s="42"/>
      <c r="BNO102" s="42"/>
      <c r="BNP102" s="42"/>
      <c r="BNQ102" s="42"/>
      <c r="BNR102" s="42"/>
      <c r="BNS102" s="42"/>
      <c r="BNT102" s="43">
        <v>0</v>
      </c>
      <c r="BNU102" s="42" t="s">
        <v>48</v>
      </c>
      <c r="BNV102" s="42"/>
      <c r="BNW102" s="42"/>
      <c r="BNX102" s="42"/>
      <c r="BNY102" s="42"/>
      <c r="BNZ102" s="42"/>
      <c r="BOA102" s="42"/>
      <c r="BOB102" s="43">
        <v>0</v>
      </c>
      <c r="BOC102" s="42" t="s">
        <v>48</v>
      </c>
      <c r="BOD102" s="42"/>
      <c r="BOE102" s="42"/>
      <c r="BOF102" s="42"/>
      <c r="BOG102" s="42"/>
      <c r="BOH102" s="42"/>
      <c r="BOI102" s="42"/>
      <c r="BOJ102" s="43">
        <v>0</v>
      </c>
      <c r="BOK102" s="42" t="s">
        <v>48</v>
      </c>
      <c r="BOL102" s="42"/>
      <c r="BOM102" s="42"/>
      <c r="BON102" s="42"/>
      <c r="BOO102" s="42"/>
      <c r="BOP102" s="42"/>
      <c r="BOQ102" s="42"/>
      <c r="BOR102" s="43">
        <v>0</v>
      </c>
      <c r="BOS102" s="42" t="s">
        <v>48</v>
      </c>
      <c r="BOT102" s="42"/>
      <c r="BOU102" s="42"/>
      <c r="BOV102" s="42"/>
      <c r="BOW102" s="42"/>
      <c r="BOX102" s="42"/>
      <c r="BOY102" s="42"/>
      <c r="BOZ102" s="43">
        <v>0</v>
      </c>
      <c r="BPA102" s="42" t="s">
        <v>48</v>
      </c>
      <c r="BPB102" s="42"/>
      <c r="BPC102" s="42"/>
      <c r="BPD102" s="42"/>
      <c r="BPE102" s="42"/>
      <c r="BPF102" s="42"/>
      <c r="BPG102" s="42"/>
      <c r="BPH102" s="43">
        <v>0</v>
      </c>
      <c r="BPI102" s="42" t="s">
        <v>48</v>
      </c>
      <c r="BPJ102" s="42"/>
      <c r="BPK102" s="42"/>
      <c r="BPL102" s="42"/>
      <c r="BPM102" s="42"/>
      <c r="BPN102" s="42"/>
      <c r="BPO102" s="42"/>
      <c r="BPP102" s="43">
        <v>0</v>
      </c>
      <c r="BPQ102" s="42" t="s">
        <v>48</v>
      </c>
      <c r="BPR102" s="42"/>
      <c r="BPS102" s="42"/>
      <c r="BPT102" s="42"/>
      <c r="BPU102" s="42"/>
      <c r="BPV102" s="42"/>
      <c r="BPW102" s="42"/>
      <c r="BPX102" s="43">
        <v>0</v>
      </c>
      <c r="BPY102" s="42" t="s">
        <v>48</v>
      </c>
      <c r="BPZ102" s="42"/>
      <c r="BQA102" s="42"/>
      <c r="BQB102" s="42"/>
      <c r="BQC102" s="42"/>
      <c r="BQD102" s="42"/>
      <c r="BQE102" s="42"/>
      <c r="BQF102" s="43">
        <v>0</v>
      </c>
      <c r="BQG102" s="42" t="s">
        <v>48</v>
      </c>
      <c r="BQH102" s="42"/>
      <c r="BQI102" s="42"/>
      <c r="BQJ102" s="42"/>
      <c r="BQK102" s="42"/>
      <c r="BQL102" s="42"/>
      <c r="BQM102" s="42"/>
      <c r="BQN102" s="43">
        <v>0</v>
      </c>
      <c r="BQO102" s="42" t="s">
        <v>48</v>
      </c>
      <c r="BQP102" s="42"/>
      <c r="BQQ102" s="42"/>
      <c r="BQR102" s="42"/>
      <c r="BQS102" s="42"/>
      <c r="BQT102" s="42"/>
      <c r="BQU102" s="42"/>
      <c r="BQV102" s="43">
        <v>0</v>
      </c>
      <c r="BQW102" s="42" t="s">
        <v>48</v>
      </c>
      <c r="BQX102" s="42"/>
      <c r="BQY102" s="42"/>
      <c r="BQZ102" s="42"/>
      <c r="BRA102" s="42"/>
      <c r="BRB102" s="42"/>
      <c r="BRC102" s="42"/>
      <c r="BRD102" s="43">
        <v>0</v>
      </c>
      <c r="BRE102" s="42" t="s">
        <v>48</v>
      </c>
      <c r="BRF102" s="42"/>
      <c r="BRG102" s="42"/>
      <c r="BRH102" s="42"/>
      <c r="BRI102" s="42"/>
      <c r="BRJ102" s="42"/>
      <c r="BRK102" s="42"/>
      <c r="BRL102" s="43">
        <v>0</v>
      </c>
      <c r="BRM102" s="42" t="s">
        <v>48</v>
      </c>
      <c r="BRN102" s="42"/>
      <c r="BRO102" s="42"/>
      <c r="BRP102" s="42"/>
      <c r="BRQ102" s="42"/>
      <c r="BRR102" s="42"/>
      <c r="BRS102" s="42"/>
      <c r="BRT102" s="43">
        <v>0</v>
      </c>
      <c r="BRU102" s="42" t="s">
        <v>48</v>
      </c>
      <c r="BRV102" s="42"/>
      <c r="BRW102" s="42"/>
      <c r="BRX102" s="42"/>
      <c r="BRY102" s="42"/>
      <c r="BRZ102" s="42"/>
      <c r="BSA102" s="42"/>
      <c r="BSB102" s="43">
        <v>0</v>
      </c>
      <c r="BSC102" s="42" t="s">
        <v>48</v>
      </c>
      <c r="BSD102" s="42"/>
      <c r="BSE102" s="42"/>
      <c r="BSF102" s="42"/>
      <c r="BSG102" s="42"/>
      <c r="BSH102" s="42"/>
      <c r="BSI102" s="42"/>
      <c r="BSJ102" s="43">
        <v>0</v>
      </c>
      <c r="BSK102" s="42" t="s">
        <v>48</v>
      </c>
      <c r="BSL102" s="42"/>
      <c r="BSM102" s="42"/>
      <c r="BSN102" s="42"/>
      <c r="BSO102" s="42"/>
      <c r="BSP102" s="42"/>
      <c r="BSQ102" s="42"/>
      <c r="BSR102" s="43">
        <v>0</v>
      </c>
      <c r="BSS102" s="42" t="s">
        <v>48</v>
      </c>
      <c r="BST102" s="42"/>
      <c r="BSU102" s="42"/>
      <c r="BSV102" s="42"/>
      <c r="BSW102" s="42"/>
      <c r="BSX102" s="42"/>
      <c r="BSY102" s="42"/>
      <c r="BSZ102" s="43">
        <v>0</v>
      </c>
      <c r="BTA102" s="42" t="s">
        <v>48</v>
      </c>
      <c r="BTB102" s="42"/>
      <c r="BTC102" s="42"/>
      <c r="BTD102" s="42"/>
      <c r="BTE102" s="42"/>
      <c r="BTF102" s="42"/>
      <c r="BTG102" s="42"/>
      <c r="BTH102" s="43">
        <v>0</v>
      </c>
      <c r="BTI102" s="42" t="s">
        <v>48</v>
      </c>
      <c r="BTJ102" s="42"/>
      <c r="BTK102" s="42"/>
      <c r="BTL102" s="42"/>
      <c r="BTM102" s="42"/>
      <c r="BTN102" s="42"/>
      <c r="BTO102" s="42"/>
      <c r="BTP102" s="43">
        <v>0</v>
      </c>
      <c r="BTQ102" s="42" t="s">
        <v>48</v>
      </c>
      <c r="BTR102" s="42"/>
      <c r="BTS102" s="42"/>
      <c r="BTT102" s="42"/>
      <c r="BTU102" s="42"/>
      <c r="BTV102" s="42"/>
      <c r="BTW102" s="42"/>
      <c r="BTX102" s="43">
        <v>0</v>
      </c>
      <c r="BTY102" s="42" t="s">
        <v>48</v>
      </c>
      <c r="BTZ102" s="42"/>
      <c r="BUA102" s="42"/>
      <c r="BUB102" s="42"/>
      <c r="BUC102" s="42"/>
      <c r="BUD102" s="42"/>
      <c r="BUE102" s="42"/>
      <c r="BUF102" s="43">
        <v>0</v>
      </c>
      <c r="BUG102" s="42" t="s">
        <v>48</v>
      </c>
      <c r="BUH102" s="42"/>
      <c r="BUI102" s="42"/>
      <c r="BUJ102" s="42"/>
      <c r="BUK102" s="42"/>
      <c r="BUL102" s="42"/>
      <c r="BUM102" s="42"/>
      <c r="BUN102" s="43">
        <v>0</v>
      </c>
      <c r="BUO102" s="42" t="s">
        <v>48</v>
      </c>
      <c r="BUP102" s="42"/>
      <c r="BUQ102" s="42"/>
      <c r="BUR102" s="42"/>
      <c r="BUS102" s="42"/>
      <c r="BUT102" s="42"/>
      <c r="BUU102" s="42"/>
      <c r="BUV102" s="43">
        <v>0</v>
      </c>
      <c r="BUW102" s="42" t="s">
        <v>48</v>
      </c>
      <c r="BUX102" s="42"/>
      <c r="BUY102" s="42"/>
      <c r="BUZ102" s="42"/>
      <c r="BVA102" s="42"/>
      <c r="BVB102" s="42"/>
      <c r="BVC102" s="42"/>
      <c r="BVD102" s="43">
        <v>0</v>
      </c>
      <c r="BVE102" s="42" t="s">
        <v>48</v>
      </c>
      <c r="BVF102" s="42"/>
      <c r="BVG102" s="42"/>
      <c r="BVH102" s="42"/>
      <c r="BVI102" s="42"/>
      <c r="BVJ102" s="42"/>
      <c r="BVK102" s="42"/>
      <c r="BVL102" s="43">
        <v>0</v>
      </c>
      <c r="BVM102" s="42" t="s">
        <v>48</v>
      </c>
      <c r="BVN102" s="42"/>
      <c r="BVO102" s="42"/>
      <c r="BVP102" s="42"/>
      <c r="BVQ102" s="42"/>
      <c r="BVR102" s="42"/>
      <c r="BVS102" s="42"/>
      <c r="BVT102" s="43">
        <v>0</v>
      </c>
      <c r="BVU102" s="42" t="s">
        <v>48</v>
      </c>
      <c r="BVV102" s="42"/>
      <c r="BVW102" s="42"/>
      <c r="BVX102" s="42"/>
      <c r="BVY102" s="42"/>
      <c r="BVZ102" s="42"/>
      <c r="BWA102" s="42"/>
      <c r="BWB102" s="43">
        <v>0</v>
      </c>
      <c r="BWC102" s="42" t="s">
        <v>48</v>
      </c>
      <c r="BWD102" s="42"/>
      <c r="BWE102" s="42"/>
      <c r="BWF102" s="42"/>
      <c r="BWG102" s="42"/>
      <c r="BWH102" s="42"/>
      <c r="BWI102" s="42"/>
      <c r="BWJ102" s="43">
        <v>0</v>
      </c>
      <c r="BWK102" s="42" t="s">
        <v>48</v>
      </c>
      <c r="BWL102" s="42"/>
      <c r="BWM102" s="42"/>
      <c r="BWN102" s="42"/>
      <c r="BWO102" s="42"/>
      <c r="BWP102" s="42"/>
      <c r="BWQ102" s="42"/>
      <c r="BWR102" s="43">
        <v>0</v>
      </c>
      <c r="BWS102" s="42" t="s">
        <v>48</v>
      </c>
      <c r="BWT102" s="42"/>
      <c r="BWU102" s="42"/>
      <c r="BWV102" s="42"/>
      <c r="BWW102" s="42"/>
      <c r="BWX102" s="42"/>
      <c r="BWY102" s="42"/>
      <c r="BWZ102" s="43">
        <v>0</v>
      </c>
      <c r="BXA102" s="42" t="s">
        <v>48</v>
      </c>
      <c r="BXB102" s="42"/>
      <c r="BXC102" s="42"/>
      <c r="BXD102" s="42"/>
      <c r="BXE102" s="42"/>
      <c r="BXF102" s="42"/>
      <c r="BXG102" s="42"/>
      <c r="BXH102" s="43">
        <v>0</v>
      </c>
      <c r="BXI102" s="42" t="s">
        <v>48</v>
      </c>
      <c r="BXJ102" s="42"/>
      <c r="BXK102" s="42"/>
      <c r="BXL102" s="42"/>
      <c r="BXM102" s="42"/>
      <c r="BXN102" s="42"/>
      <c r="BXO102" s="42"/>
      <c r="BXP102" s="43">
        <v>0</v>
      </c>
      <c r="BXQ102" s="42" t="s">
        <v>48</v>
      </c>
      <c r="BXR102" s="42"/>
      <c r="BXS102" s="42"/>
      <c r="BXT102" s="42"/>
      <c r="BXU102" s="42"/>
      <c r="BXV102" s="42"/>
      <c r="BXW102" s="42"/>
      <c r="BXX102" s="43">
        <v>0</v>
      </c>
      <c r="BXY102" s="42" t="s">
        <v>48</v>
      </c>
      <c r="BXZ102" s="42"/>
      <c r="BYA102" s="42"/>
      <c r="BYB102" s="42"/>
      <c r="BYC102" s="42"/>
      <c r="BYD102" s="42"/>
      <c r="BYE102" s="42"/>
      <c r="BYF102" s="43">
        <v>0</v>
      </c>
      <c r="BYG102" s="42" t="s">
        <v>48</v>
      </c>
      <c r="BYH102" s="42"/>
      <c r="BYI102" s="42"/>
      <c r="BYJ102" s="42"/>
      <c r="BYK102" s="42"/>
      <c r="BYL102" s="42"/>
      <c r="BYM102" s="42"/>
      <c r="BYN102" s="43">
        <v>0</v>
      </c>
      <c r="BYO102" s="42" t="s">
        <v>48</v>
      </c>
      <c r="BYP102" s="42"/>
      <c r="BYQ102" s="42"/>
      <c r="BYR102" s="42"/>
      <c r="BYS102" s="42"/>
      <c r="BYT102" s="42"/>
      <c r="BYU102" s="42"/>
      <c r="BYV102" s="43">
        <v>0</v>
      </c>
      <c r="BYW102" s="42" t="s">
        <v>48</v>
      </c>
      <c r="BYX102" s="42"/>
      <c r="BYY102" s="42"/>
      <c r="BYZ102" s="42"/>
      <c r="BZA102" s="42"/>
      <c r="BZB102" s="42"/>
      <c r="BZC102" s="42"/>
      <c r="BZD102" s="43">
        <v>0</v>
      </c>
      <c r="BZE102" s="42" t="s">
        <v>48</v>
      </c>
      <c r="BZF102" s="42"/>
      <c r="BZG102" s="42"/>
      <c r="BZH102" s="42"/>
      <c r="BZI102" s="42"/>
      <c r="BZJ102" s="42"/>
      <c r="BZK102" s="42"/>
      <c r="BZL102" s="43">
        <v>0</v>
      </c>
      <c r="BZM102" s="42" t="s">
        <v>48</v>
      </c>
      <c r="BZN102" s="42"/>
      <c r="BZO102" s="42"/>
      <c r="BZP102" s="42"/>
      <c r="BZQ102" s="42"/>
      <c r="BZR102" s="42"/>
      <c r="BZS102" s="42"/>
      <c r="BZT102" s="43">
        <v>0</v>
      </c>
      <c r="BZU102" s="42" t="s">
        <v>48</v>
      </c>
      <c r="BZV102" s="42"/>
      <c r="BZW102" s="42"/>
      <c r="BZX102" s="42"/>
      <c r="BZY102" s="42"/>
      <c r="BZZ102" s="42"/>
      <c r="CAA102" s="42"/>
      <c r="CAB102" s="43">
        <v>0</v>
      </c>
      <c r="CAC102" s="42" t="s">
        <v>48</v>
      </c>
      <c r="CAD102" s="42"/>
      <c r="CAE102" s="42"/>
      <c r="CAF102" s="42"/>
      <c r="CAG102" s="42"/>
      <c r="CAH102" s="42"/>
      <c r="CAI102" s="42"/>
      <c r="CAJ102" s="43">
        <v>0</v>
      </c>
      <c r="CAK102" s="42" t="s">
        <v>48</v>
      </c>
      <c r="CAL102" s="42"/>
      <c r="CAM102" s="42"/>
      <c r="CAN102" s="42"/>
      <c r="CAO102" s="42"/>
      <c r="CAP102" s="42"/>
      <c r="CAQ102" s="42"/>
      <c r="CAR102" s="43">
        <v>0</v>
      </c>
      <c r="CAS102" s="42" t="s">
        <v>48</v>
      </c>
      <c r="CAT102" s="42"/>
      <c r="CAU102" s="42"/>
      <c r="CAV102" s="42"/>
      <c r="CAW102" s="42"/>
      <c r="CAX102" s="42"/>
      <c r="CAY102" s="42"/>
      <c r="CAZ102" s="43">
        <v>0</v>
      </c>
      <c r="CBA102" s="42" t="s">
        <v>48</v>
      </c>
      <c r="CBB102" s="42"/>
      <c r="CBC102" s="42"/>
      <c r="CBD102" s="42"/>
      <c r="CBE102" s="42"/>
      <c r="CBF102" s="42"/>
      <c r="CBG102" s="42"/>
      <c r="CBH102" s="43">
        <v>0</v>
      </c>
      <c r="CBI102" s="42" t="s">
        <v>48</v>
      </c>
      <c r="CBJ102" s="42"/>
      <c r="CBK102" s="42"/>
      <c r="CBL102" s="42"/>
      <c r="CBM102" s="42"/>
      <c r="CBN102" s="42"/>
      <c r="CBO102" s="42"/>
      <c r="CBP102" s="43">
        <v>0</v>
      </c>
      <c r="CBQ102" s="42" t="s">
        <v>48</v>
      </c>
      <c r="CBR102" s="42"/>
      <c r="CBS102" s="42"/>
      <c r="CBT102" s="42"/>
      <c r="CBU102" s="42"/>
      <c r="CBV102" s="42"/>
      <c r="CBW102" s="42"/>
      <c r="CBX102" s="43">
        <v>0</v>
      </c>
      <c r="CBY102" s="42" t="s">
        <v>48</v>
      </c>
      <c r="CBZ102" s="42"/>
      <c r="CCA102" s="42"/>
      <c r="CCB102" s="42"/>
      <c r="CCC102" s="42"/>
      <c r="CCD102" s="42"/>
      <c r="CCE102" s="42"/>
      <c r="CCF102" s="43">
        <v>0</v>
      </c>
      <c r="CCG102" s="42" t="s">
        <v>48</v>
      </c>
      <c r="CCH102" s="42"/>
      <c r="CCI102" s="42"/>
      <c r="CCJ102" s="42"/>
      <c r="CCK102" s="42"/>
      <c r="CCL102" s="42"/>
      <c r="CCM102" s="42"/>
      <c r="CCN102" s="43">
        <v>0</v>
      </c>
      <c r="CCO102" s="42" t="s">
        <v>48</v>
      </c>
      <c r="CCP102" s="42"/>
      <c r="CCQ102" s="42"/>
      <c r="CCR102" s="42"/>
      <c r="CCS102" s="42"/>
      <c r="CCT102" s="42"/>
      <c r="CCU102" s="42"/>
      <c r="CCV102" s="43">
        <v>0</v>
      </c>
      <c r="CCW102" s="42" t="s">
        <v>48</v>
      </c>
      <c r="CCX102" s="42"/>
      <c r="CCY102" s="42"/>
      <c r="CCZ102" s="42"/>
      <c r="CDA102" s="42"/>
      <c r="CDB102" s="42"/>
      <c r="CDC102" s="42"/>
      <c r="CDD102" s="43">
        <v>0</v>
      </c>
      <c r="CDE102" s="42" t="s">
        <v>48</v>
      </c>
      <c r="CDF102" s="42"/>
      <c r="CDG102" s="42"/>
      <c r="CDH102" s="42"/>
      <c r="CDI102" s="42"/>
      <c r="CDJ102" s="42"/>
      <c r="CDK102" s="42"/>
      <c r="CDL102" s="43">
        <v>0</v>
      </c>
      <c r="CDM102" s="42" t="s">
        <v>48</v>
      </c>
      <c r="CDN102" s="42"/>
      <c r="CDO102" s="42"/>
      <c r="CDP102" s="42"/>
      <c r="CDQ102" s="42"/>
      <c r="CDR102" s="42"/>
      <c r="CDS102" s="42"/>
      <c r="CDT102" s="43">
        <v>0</v>
      </c>
      <c r="CDU102" s="42" t="s">
        <v>48</v>
      </c>
      <c r="CDV102" s="42"/>
      <c r="CDW102" s="42"/>
      <c r="CDX102" s="42"/>
      <c r="CDY102" s="42"/>
      <c r="CDZ102" s="42"/>
      <c r="CEA102" s="42"/>
      <c r="CEB102" s="43">
        <v>0</v>
      </c>
      <c r="CEC102" s="42" t="s">
        <v>48</v>
      </c>
      <c r="CED102" s="42"/>
      <c r="CEE102" s="42"/>
      <c r="CEF102" s="42"/>
      <c r="CEG102" s="42"/>
      <c r="CEH102" s="42"/>
      <c r="CEI102" s="42"/>
      <c r="CEJ102" s="43">
        <v>0</v>
      </c>
      <c r="CEK102" s="42" t="s">
        <v>48</v>
      </c>
      <c r="CEL102" s="42"/>
      <c r="CEM102" s="42"/>
      <c r="CEN102" s="42"/>
      <c r="CEO102" s="42"/>
      <c r="CEP102" s="42"/>
      <c r="CEQ102" s="42"/>
      <c r="CER102" s="43">
        <v>0</v>
      </c>
      <c r="CES102" s="42" t="s">
        <v>48</v>
      </c>
      <c r="CET102" s="42"/>
      <c r="CEU102" s="42"/>
      <c r="CEV102" s="42"/>
      <c r="CEW102" s="42"/>
      <c r="CEX102" s="42"/>
      <c r="CEY102" s="42"/>
      <c r="CEZ102" s="43">
        <v>0</v>
      </c>
      <c r="CFA102" s="42" t="s">
        <v>48</v>
      </c>
      <c r="CFB102" s="42"/>
      <c r="CFC102" s="42"/>
      <c r="CFD102" s="42"/>
      <c r="CFE102" s="42"/>
      <c r="CFF102" s="42"/>
      <c r="CFG102" s="42"/>
      <c r="CFH102" s="43">
        <v>0</v>
      </c>
      <c r="CFI102" s="42" t="s">
        <v>48</v>
      </c>
      <c r="CFJ102" s="42"/>
      <c r="CFK102" s="42"/>
      <c r="CFL102" s="42"/>
      <c r="CFM102" s="42"/>
      <c r="CFN102" s="42"/>
      <c r="CFO102" s="42"/>
      <c r="CFP102" s="43">
        <v>0</v>
      </c>
      <c r="CFQ102" s="42" t="s">
        <v>48</v>
      </c>
      <c r="CFR102" s="42"/>
      <c r="CFS102" s="42"/>
      <c r="CFT102" s="42"/>
      <c r="CFU102" s="42"/>
      <c r="CFV102" s="42"/>
      <c r="CFW102" s="42"/>
      <c r="CFX102" s="43">
        <v>0</v>
      </c>
      <c r="CFY102" s="42" t="s">
        <v>48</v>
      </c>
      <c r="CFZ102" s="42"/>
      <c r="CGA102" s="42"/>
      <c r="CGB102" s="42"/>
      <c r="CGC102" s="42"/>
      <c r="CGD102" s="42"/>
      <c r="CGE102" s="42"/>
      <c r="CGF102" s="43">
        <v>0</v>
      </c>
      <c r="CGG102" s="42" t="s">
        <v>48</v>
      </c>
      <c r="CGH102" s="42"/>
      <c r="CGI102" s="42"/>
      <c r="CGJ102" s="42"/>
      <c r="CGK102" s="42"/>
      <c r="CGL102" s="42"/>
      <c r="CGM102" s="42"/>
      <c r="CGN102" s="43">
        <v>0</v>
      </c>
      <c r="CGO102" s="42" t="s">
        <v>48</v>
      </c>
      <c r="CGP102" s="42"/>
      <c r="CGQ102" s="42"/>
      <c r="CGR102" s="42"/>
      <c r="CGS102" s="42"/>
      <c r="CGT102" s="42"/>
      <c r="CGU102" s="42"/>
      <c r="CGV102" s="43">
        <v>0</v>
      </c>
      <c r="CGW102" s="42" t="s">
        <v>48</v>
      </c>
      <c r="CGX102" s="42"/>
      <c r="CGY102" s="42"/>
      <c r="CGZ102" s="42"/>
      <c r="CHA102" s="42"/>
      <c r="CHB102" s="42"/>
      <c r="CHC102" s="42"/>
      <c r="CHD102" s="43">
        <v>0</v>
      </c>
      <c r="CHE102" s="42" t="s">
        <v>48</v>
      </c>
      <c r="CHF102" s="42"/>
      <c r="CHG102" s="42"/>
      <c r="CHH102" s="42"/>
      <c r="CHI102" s="42"/>
      <c r="CHJ102" s="42"/>
      <c r="CHK102" s="42"/>
      <c r="CHL102" s="43">
        <v>0</v>
      </c>
      <c r="CHM102" s="42" t="s">
        <v>48</v>
      </c>
      <c r="CHN102" s="42"/>
      <c r="CHO102" s="42"/>
      <c r="CHP102" s="42"/>
      <c r="CHQ102" s="42"/>
      <c r="CHR102" s="42"/>
      <c r="CHS102" s="42"/>
      <c r="CHT102" s="43">
        <v>0</v>
      </c>
      <c r="CHU102" s="42" t="s">
        <v>48</v>
      </c>
      <c r="CHV102" s="42"/>
      <c r="CHW102" s="42"/>
      <c r="CHX102" s="42"/>
      <c r="CHY102" s="42"/>
      <c r="CHZ102" s="42"/>
      <c r="CIA102" s="42"/>
      <c r="CIB102" s="43">
        <v>0</v>
      </c>
      <c r="CIC102" s="42" t="s">
        <v>48</v>
      </c>
      <c r="CID102" s="42"/>
      <c r="CIE102" s="42"/>
      <c r="CIF102" s="42"/>
      <c r="CIG102" s="42"/>
      <c r="CIH102" s="42"/>
      <c r="CII102" s="42"/>
      <c r="CIJ102" s="43">
        <v>0</v>
      </c>
      <c r="CIK102" s="42" t="s">
        <v>48</v>
      </c>
      <c r="CIL102" s="42"/>
      <c r="CIM102" s="42"/>
      <c r="CIN102" s="42"/>
      <c r="CIO102" s="42"/>
      <c r="CIP102" s="42"/>
      <c r="CIQ102" s="42"/>
      <c r="CIR102" s="43">
        <v>0</v>
      </c>
      <c r="CIS102" s="42" t="s">
        <v>48</v>
      </c>
      <c r="CIT102" s="42"/>
      <c r="CIU102" s="42"/>
      <c r="CIV102" s="42"/>
      <c r="CIW102" s="42"/>
      <c r="CIX102" s="42"/>
      <c r="CIY102" s="42"/>
      <c r="CIZ102" s="43">
        <v>0</v>
      </c>
      <c r="CJA102" s="42" t="s">
        <v>48</v>
      </c>
      <c r="CJB102" s="42"/>
      <c r="CJC102" s="42"/>
      <c r="CJD102" s="42"/>
      <c r="CJE102" s="42"/>
      <c r="CJF102" s="42"/>
      <c r="CJG102" s="42"/>
      <c r="CJH102" s="43">
        <v>0</v>
      </c>
      <c r="CJI102" s="42" t="s">
        <v>48</v>
      </c>
      <c r="CJJ102" s="42"/>
      <c r="CJK102" s="42"/>
      <c r="CJL102" s="42"/>
      <c r="CJM102" s="42"/>
      <c r="CJN102" s="42"/>
      <c r="CJO102" s="42"/>
      <c r="CJP102" s="43">
        <v>0</v>
      </c>
      <c r="CJQ102" s="42" t="s">
        <v>48</v>
      </c>
      <c r="CJR102" s="42"/>
      <c r="CJS102" s="42"/>
      <c r="CJT102" s="42"/>
      <c r="CJU102" s="42"/>
      <c r="CJV102" s="42"/>
      <c r="CJW102" s="42"/>
      <c r="CJX102" s="43">
        <v>0</v>
      </c>
      <c r="CJY102" s="42" t="s">
        <v>48</v>
      </c>
      <c r="CJZ102" s="42"/>
      <c r="CKA102" s="42"/>
      <c r="CKB102" s="42"/>
      <c r="CKC102" s="42"/>
      <c r="CKD102" s="42"/>
      <c r="CKE102" s="42"/>
      <c r="CKF102" s="43">
        <v>0</v>
      </c>
      <c r="CKG102" s="42" t="s">
        <v>48</v>
      </c>
      <c r="CKH102" s="42"/>
      <c r="CKI102" s="42"/>
      <c r="CKJ102" s="42"/>
      <c r="CKK102" s="42"/>
      <c r="CKL102" s="42"/>
      <c r="CKM102" s="42"/>
      <c r="CKN102" s="43">
        <v>0</v>
      </c>
      <c r="CKO102" s="42" t="s">
        <v>48</v>
      </c>
      <c r="CKP102" s="42"/>
      <c r="CKQ102" s="42"/>
      <c r="CKR102" s="42"/>
      <c r="CKS102" s="42"/>
      <c r="CKT102" s="42"/>
      <c r="CKU102" s="42"/>
      <c r="CKV102" s="43">
        <v>0</v>
      </c>
      <c r="CKW102" s="42" t="s">
        <v>48</v>
      </c>
      <c r="CKX102" s="42"/>
      <c r="CKY102" s="42"/>
      <c r="CKZ102" s="42"/>
      <c r="CLA102" s="42"/>
      <c r="CLB102" s="42"/>
      <c r="CLC102" s="42"/>
      <c r="CLD102" s="43">
        <v>0</v>
      </c>
      <c r="CLE102" s="42" t="s">
        <v>48</v>
      </c>
      <c r="CLF102" s="42"/>
      <c r="CLG102" s="42"/>
      <c r="CLH102" s="42"/>
      <c r="CLI102" s="42"/>
      <c r="CLJ102" s="42"/>
      <c r="CLK102" s="42"/>
      <c r="CLL102" s="43">
        <v>0</v>
      </c>
      <c r="CLM102" s="42" t="s">
        <v>48</v>
      </c>
      <c r="CLN102" s="42"/>
      <c r="CLO102" s="42"/>
      <c r="CLP102" s="42"/>
      <c r="CLQ102" s="42"/>
      <c r="CLR102" s="42"/>
      <c r="CLS102" s="42"/>
      <c r="CLT102" s="43">
        <v>0</v>
      </c>
      <c r="CLU102" s="42" t="s">
        <v>48</v>
      </c>
      <c r="CLV102" s="42"/>
      <c r="CLW102" s="42"/>
      <c r="CLX102" s="42"/>
      <c r="CLY102" s="42"/>
      <c r="CLZ102" s="42"/>
      <c r="CMA102" s="42"/>
      <c r="CMB102" s="43">
        <v>0</v>
      </c>
      <c r="CMC102" s="42" t="s">
        <v>48</v>
      </c>
      <c r="CMD102" s="42"/>
      <c r="CME102" s="42"/>
      <c r="CMF102" s="42"/>
      <c r="CMG102" s="42"/>
      <c r="CMH102" s="42"/>
      <c r="CMI102" s="42"/>
      <c r="CMJ102" s="43">
        <v>0</v>
      </c>
      <c r="CMK102" s="42" t="s">
        <v>48</v>
      </c>
      <c r="CML102" s="42"/>
      <c r="CMM102" s="42"/>
      <c r="CMN102" s="42"/>
      <c r="CMO102" s="42"/>
      <c r="CMP102" s="42"/>
      <c r="CMQ102" s="42"/>
      <c r="CMR102" s="43">
        <v>0</v>
      </c>
      <c r="CMS102" s="42" t="s">
        <v>48</v>
      </c>
      <c r="CMT102" s="42"/>
      <c r="CMU102" s="42"/>
      <c r="CMV102" s="42"/>
      <c r="CMW102" s="42"/>
      <c r="CMX102" s="42"/>
      <c r="CMY102" s="42"/>
      <c r="CMZ102" s="43">
        <v>0</v>
      </c>
      <c r="CNA102" s="42" t="s">
        <v>48</v>
      </c>
      <c r="CNB102" s="42"/>
      <c r="CNC102" s="42"/>
      <c r="CND102" s="42"/>
      <c r="CNE102" s="42"/>
      <c r="CNF102" s="42"/>
      <c r="CNG102" s="42"/>
      <c r="CNH102" s="43">
        <v>0</v>
      </c>
      <c r="CNI102" s="42" t="s">
        <v>48</v>
      </c>
      <c r="CNJ102" s="42"/>
      <c r="CNK102" s="42"/>
      <c r="CNL102" s="42"/>
      <c r="CNM102" s="42"/>
      <c r="CNN102" s="42"/>
      <c r="CNO102" s="42"/>
      <c r="CNP102" s="43">
        <v>0</v>
      </c>
      <c r="CNQ102" s="42" t="s">
        <v>48</v>
      </c>
      <c r="CNR102" s="42"/>
      <c r="CNS102" s="42"/>
      <c r="CNT102" s="42"/>
      <c r="CNU102" s="42"/>
      <c r="CNV102" s="42"/>
      <c r="CNW102" s="42"/>
      <c r="CNX102" s="43">
        <v>0</v>
      </c>
      <c r="CNY102" s="42" t="s">
        <v>48</v>
      </c>
      <c r="CNZ102" s="42"/>
      <c r="COA102" s="42"/>
      <c r="COB102" s="42"/>
      <c r="COC102" s="42"/>
      <c r="COD102" s="42"/>
      <c r="COE102" s="42"/>
      <c r="COF102" s="43">
        <v>0</v>
      </c>
      <c r="COG102" s="42" t="s">
        <v>48</v>
      </c>
      <c r="COH102" s="42"/>
      <c r="COI102" s="42"/>
      <c r="COJ102" s="42"/>
      <c r="COK102" s="42"/>
      <c r="COL102" s="42"/>
      <c r="COM102" s="42"/>
      <c r="CON102" s="43">
        <v>0</v>
      </c>
      <c r="COO102" s="42" t="s">
        <v>48</v>
      </c>
      <c r="COP102" s="42"/>
      <c r="COQ102" s="42"/>
      <c r="COR102" s="42"/>
      <c r="COS102" s="42"/>
      <c r="COT102" s="42"/>
      <c r="COU102" s="42"/>
      <c r="COV102" s="43">
        <v>0</v>
      </c>
      <c r="COW102" s="42" t="s">
        <v>48</v>
      </c>
      <c r="COX102" s="42"/>
      <c r="COY102" s="42"/>
      <c r="COZ102" s="42"/>
      <c r="CPA102" s="42"/>
      <c r="CPB102" s="42"/>
      <c r="CPC102" s="42"/>
      <c r="CPD102" s="43">
        <v>0</v>
      </c>
      <c r="CPE102" s="42" t="s">
        <v>48</v>
      </c>
      <c r="CPF102" s="42"/>
      <c r="CPG102" s="42"/>
      <c r="CPH102" s="42"/>
      <c r="CPI102" s="42"/>
      <c r="CPJ102" s="42"/>
      <c r="CPK102" s="42"/>
      <c r="CPL102" s="43">
        <v>0</v>
      </c>
      <c r="CPM102" s="42" t="s">
        <v>48</v>
      </c>
      <c r="CPN102" s="42"/>
      <c r="CPO102" s="42"/>
      <c r="CPP102" s="42"/>
      <c r="CPQ102" s="42"/>
      <c r="CPR102" s="42"/>
      <c r="CPS102" s="42"/>
      <c r="CPT102" s="43">
        <v>0</v>
      </c>
      <c r="CPU102" s="42" t="s">
        <v>48</v>
      </c>
      <c r="CPV102" s="42"/>
      <c r="CPW102" s="42"/>
      <c r="CPX102" s="42"/>
      <c r="CPY102" s="42"/>
      <c r="CPZ102" s="42"/>
      <c r="CQA102" s="42"/>
      <c r="CQB102" s="43">
        <v>0</v>
      </c>
      <c r="CQC102" s="42" t="s">
        <v>48</v>
      </c>
      <c r="CQD102" s="42"/>
      <c r="CQE102" s="42"/>
      <c r="CQF102" s="42"/>
      <c r="CQG102" s="42"/>
      <c r="CQH102" s="42"/>
      <c r="CQI102" s="42"/>
      <c r="CQJ102" s="43">
        <v>0</v>
      </c>
      <c r="CQK102" s="42" t="s">
        <v>48</v>
      </c>
      <c r="CQL102" s="42"/>
      <c r="CQM102" s="42"/>
      <c r="CQN102" s="42"/>
      <c r="CQO102" s="42"/>
      <c r="CQP102" s="42"/>
      <c r="CQQ102" s="42"/>
      <c r="CQR102" s="43">
        <v>0</v>
      </c>
      <c r="CQS102" s="42" t="s">
        <v>48</v>
      </c>
      <c r="CQT102" s="42"/>
      <c r="CQU102" s="42"/>
      <c r="CQV102" s="42"/>
      <c r="CQW102" s="42"/>
      <c r="CQX102" s="42"/>
      <c r="CQY102" s="42"/>
      <c r="CQZ102" s="43">
        <v>0</v>
      </c>
      <c r="CRA102" s="42" t="s">
        <v>48</v>
      </c>
      <c r="CRB102" s="42"/>
      <c r="CRC102" s="42"/>
      <c r="CRD102" s="42"/>
      <c r="CRE102" s="42"/>
      <c r="CRF102" s="42"/>
      <c r="CRG102" s="42"/>
      <c r="CRH102" s="43">
        <v>0</v>
      </c>
      <c r="CRI102" s="42" t="s">
        <v>48</v>
      </c>
      <c r="CRJ102" s="42"/>
      <c r="CRK102" s="42"/>
      <c r="CRL102" s="42"/>
      <c r="CRM102" s="42"/>
      <c r="CRN102" s="42"/>
      <c r="CRO102" s="42"/>
      <c r="CRP102" s="43">
        <v>0</v>
      </c>
      <c r="CRQ102" s="42" t="s">
        <v>48</v>
      </c>
      <c r="CRR102" s="42"/>
      <c r="CRS102" s="42"/>
      <c r="CRT102" s="42"/>
      <c r="CRU102" s="42"/>
      <c r="CRV102" s="42"/>
      <c r="CRW102" s="42"/>
      <c r="CRX102" s="43">
        <v>0</v>
      </c>
      <c r="CRY102" s="42" t="s">
        <v>48</v>
      </c>
      <c r="CRZ102" s="42"/>
      <c r="CSA102" s="42"/>
      <c r="CSB102" s="42"/>
      <c r="CSC102" s="42"/>
      <c r="CSD102" s="42"/>
      <c r="CSE102" s="42"/>
      <c r="CSF102" s="43">
        <v>0</v>
      </c>
      <c r="CSG102" s="42" t="s">
        <v>48</v>
      </c>
      <c r="CSH102" s="42"/>
      <c r="CSI102" s="42"/>
      <c r="CSJ102" s="42"/>
      <c r="CSK102" s="42"/>
      <c r="CSL102" s="42"/>
      <c r="CSM102" s="42"/>
      <c r="CSN102" s="43">
        <v>0</v>
      </c>
      <c r="CSO102" s="42" t="s">
        <v>48</v>
      </c>
      <c r="CSP102" s="42"/>
      <c r="CSQ102" s="42"/>
      <c r="CSR102" s="42"/>
      <c r="CSS102" s="42"/>
      <c r="CST102" s="42"/>
      <c r="CSU102" s="42"/>
      <c r="CSV102" s="43">
        <v>0</v>
      </c>
      <c r="CSW102" s="42" t="s">
        <v>48</v>
      </c>
      <c r="CSX102" s="42"/>
      <c r="CSY102" s="42"/>
      <c r="CSZ102" s="42"/>
      <c r="CTA102" s="42"/>
      <c r="CTB102" s="42"/>
      <c r="CTC102" s="42"/>
      <c r="CTD102" s="43">
        <v>0</v>
      </c>
      <c r="CTE102" s="42" t="s">
        <v>48</v>
      </c>
      <c r="CTF102" s="42"/>
      <c r="CTG102" s="42"/>
      <c r="CTH102" s="42"/>
      <c r="CTI102" s="42"/>
      <c r="CTJ102" s="42"/>
      <c r="CTK102" s="42"/>
      <c r="CTL102" s="43">
        <v>0</v>
      </c>
      <c r="CTM102" s="42" t="s">
        <v>48</v>
      </c>
      <c r="CTN102" s="42"/>
      <c r="CTO102" s="42"/>
      <c r="CTP102" s="42"/>
      <c r="CTQ102" s="42"/>
      <c r="CTR102" s="42"/>
      <c r="CTS102" s="42"/>
      <c r="CTT102" s="43">
        <v>0</v>
      </c>
      <c r="CTU102" s="42" t="s">
        <v>48</v>
      </c>
      <c r="CTV102" s="42"/>
      <c r="CTW102" s="42"/>
      <c r="CTX102" s="42"/>
      <c r="CTY102" s="42"/>
      <c r="CTZ102" s="42"/>
      <c r="CUA102" s="42"/>
      <c r="CUB102" s="43">
        <v>0</v>
      </c>
      <c r="CUC102" s="42" t="s">
        <v>48</v>
      </c>
      <c r="CUD102" s="42"/>
      <c r="CUE102" s="42"/>
      <c r="CUF102" s="42"/>
      <c r="CUG102" s="42"/>
      <c r="CUH102" s="42"/>
      <c r="CUI102" s="42"/>
      <c r="CUJ102" s="43">
        <v>0</v>
      </c>
      <c r="CUK102" s="42" t="s">
        <v>48</v>
      </c>
      <c r="CUL102" s="42"/>
      <c r="CUM102" s="42"/>
      <c r="CUN102" s="42"/>
      <c r="CUO102" s="42"/>
      <c r="CUP102" s="42"/>
      <c r="CUQ102" s="42"/>
      <c r="CUR102" s="43">
        <v>0</v>
      </c>
      <c r="CUS102" s="42" t="s">
        <v>48</v>
      </c>
      <c r="CUT102" s="42"/>
      <c r="CUU102" s="42"/>
      <c r="CUV102" s="42"/>
      <c r="CUW102" s="42"/>
      <c r="CUX102" s="42"/>
      <c r="CUY102" s="42"/>
      <c r="CUZ102" s="43">
        <v>0</v>
      </c>
      <c r="CVA102" s="42" t="s">
        <v>48</v>
      </c>
      <c r="CVB102" s="42"/>
      <c r="CVC102" s="42"/>
      <c r="CVD102" s="42"/>
      <c r="CVE102" s="42"/>
      <c r="CVF102" s="42"/>
      <c r="CVG102" s="42"/>
      <c r="CVH102" s="43">
        <v>0</v>
      </c>
      <c r="CVI102" s="42" t="s">
        <v>48</v>
      </c>
      <c r="CVJ102" s="42"/>
      <c r="CVK102" s="42"/>
      <c r="CVL102" s="42"/>
      <c r="CVM102" s="42"/>
      <c r="CVN102" s="42"/>
      <c r="CVO102" s="42"/>
      <c r="CVP102" s="43">
        <v>0</v>
      </c>
      <c r="CVQ102" s="42" t="s">
        <v>48</v>
      </c>
      <c r="CVR102" s="42"/>
      <c r="CVS102" s="42"/>
      <c r="CVT102" s="42"/>
      <c r="CVU102" s="42"/>
      <c r="CVV102" s="42"/>
      <c r="CVW102" s="42"/>
      <c r="CVX102" s="43">
        <v>0</v>
      </c>
      <c r="CVY102" s="42" t="s">
        <v>48</v>
      </c>
      <c r="CVZ102" s="42"/>
      <c r="CWA102" s="42"/>
      <c r="CWB102" s="42"/>
      <c r="CWC102" s="42"/>
      <c r="CWD102" s="42"/>
      <c r="CWE102" s="42"/>
      <c r="CWF102" s="43">
        <v>0</v>
      </c>
      <c r="CWG102" s="42" t="s">
        <v>48</v>
      </c>
      <c r="CWH102" s="42"/>
      <c r="CWI102" s="42"/>
      <c r="CWJ102" s="42"/>
      <c r="CWK102" s="42"/>
      <c r="CWL102" s="42"/>
      <c r="CWM102" s="42"/>
      <c r="CWN102" s="43">
        <v>0</v>
      </c>
      <c r="CWO102" s="42" t="s">
        <v>48</v>
      </c>
      <c r="CWP102" s="42"/>
      <c r="CWQ102" s="42"/>
      <c r="CWR102" s="42"/>
      <c r="CWS102" s="42"/>
      <c r="CWT102" s="42"/>
      <c r="CWU102" s="42"/>
      <c r="CWV102" s="43">
        <v>0</v>
      </c>
      <c r="CWW102" s="42" t="s">
        <v>48</v>
      </c>
      <c r="CWX102" s="42"/>
      <c r="CWY102" s="42"/>
      <c r="CWZ102" s="42"/>
      <c r="CXA102" s="42"/>
      <c r="CXB102" s="42"/>
      <c r="CXC102" s="42"/>
      <c r="CXD102" s="43">
        <v>0</v>
      </c>
      <c r="CXE102" s="42" t="s">
        <v>48</v>
      </c>
      <c r="CXF102" s="42"/>
      <c r="CXG102" s="42"/>
      <c r="CXH102" s="42"/>
      <c r="CXI102" s="42"/>
      <c r="CXJ102" s="42"/>
      <c r="CXK102" s="42"/>
      <c r="CXL102" s="43">
        <v>0</v>
      </c>
      <c r="CXM102" s="42" t="s">
        <v>48</v>
      </c>
      <c r="CXN102" s="42"/>
      <c r="CXO102" s="42"/>
      <c r="CXP102" s="42"/>
      <c r="CXQ102" s="42"/>
      <c r="CXR102" s="42"/>
      <c r="CXS102" s="42"/>
      <c r="CXT102" s="43">
        <v>0</v>
      </c>
      <c r="CXU102" s="42" t="s">
        <v>48</v>
      </c>
      <c r="CXV102" s="42"/>
      <c r="CXW102" s="42"/>
      <c r="CXX102" s="42"/>
      <c r="CXY102" s="42"/>
      <c r="CXZ102" s="42"/>
      <c r="CYA102" s="42"/>
      <c r="CYB102" s="43">
        <v>0</v>
      </c>
      <c r="CYC102" s="42" t="s">
        <v>48</v>
      </c>
      <c r="CYD102" s="42"/>
      <c r="CYE102" s="42"/>
      <c r="CYF102" s="42"/>
      <c r="CYG102" s="42"/>
      <c r="CYH102" s="42"/>
      <c r="CYI102" s="42"/>
      <c r="CYJ102" s="43">
        <v>0</v>
      </c>
      <c r="CYK102" s="42" t="s">
        <v>48</v>
      </c>
      <c r="CYL102" s="42"/>
      <c r="CYM102" s="42"/>
      <c r="CYN102" s="42"/>
      <c r="CYO102" s="42"/>
      <c r="CYP102" s="42"/>
      <c r="CYQ102" s="42"/>
      <c r="CYR102" s="43">
        <v>0</v>
      </c>
      <c r="CYS102" s="42" t="s">
        <v>48</v>
      </c>
      <c r="CYT102" s="42"/>
      <c r="CYU102" s="42"/>
      <c r="CYV102" s="42"/>
      <c r="CYW102" s="42"/>
      <c r="CYX102" s="42"/>
      <c r="CYY102" s="42"/>
      <c r="CYZ102" s="43">
        <v>0</v>
      </c>
      <c r="CZA102" s="42" t="s">
        <v>48</v>
      </c>
      <c r="CZB102" s="42"/>
      <c r="CZC102" s="42"/>
      <c r="CZD102" s="42"/>
      <c r="CZE102" s="42"/>
      <c r="CZF102" s="42"/>
      <c r="CZG102" s="42"/>
      <c r="CZH102" s="43">
        <v>0</v>
      </c>
      <c r="CZI102" s="42" t="s">
        <v>48</v>
      </c>
      <c r="CZJ102" s="42"/>
      <c r="CZK102" s="42"/>
      <c r="CZL102" s="42"/>
      <c r="CZM102" s="42"/>
      <c r="CZN102" s="42"/>
      <c r="CZO102" s="42"/>
      <c r="CZP102" s="43">
        <v>0</v>
      </c>
      <c r="CZQ102" s="42" t="s">
        <v>48</v>
      </c>
      <c r="CZR102" s="42"/>
      <c r="CZS102" s="42"/>
      <c r="CZT102" s="42"/>
      <c r="CZU102" s="42"/>
      <c r="CZV102" s="42"/>
      <c r="CZW102" s="42"/>
      <c r="CZX102" s="43">
        <v>0</v>
      </c>
      <c r="CZY102" s="42" t="s">
        <v>48</v>
      </c>
      <c r="CZZ102" s="42"/>
      <c r="DAA102" s="42"/>
      <c r="DAB102" s="42"/>
      <c r="DAC102" s="42"/>
      <c r="DAD102" s="42"/>
      <c r="DAE102" s="42"/>
      <c r="DAF102" s="43">
        <v>0</v>
      </c>
      <c r="DAG102" s="42" t="s">
        <v>48</v>
      </c>
      <c r="DAH102" s="42"/>
      <c r="DAI102" s="42"/>
      <c r="DAJ102" s="42"/>
      <c r="DAK102" s="42"/>
      <c r="DAL102" s="42"/>
      <c r="DAM102" s="42"/>
      <c r="DAN102" s="43">
        <v>0</v>
      </c>
      <c r="DAO102" s="42" t="s">
        <v>48</v>
      </c>
      <c r="DAP102" s="42"/>
      <c r="DAQ102" s="42"/>
      <c r="DAR102" s="42"/>
      <c r="DAS102" s="42"/>
      <c r="DAT102" s="42"/>
      <c r="DAU102" s="42"/>
      <c r="DAV102" s="43">
        <v>0</v>
      </c>
      <c r="DAW102" s="42" t="s">
        <v>48</v>
      </c>
      <c r="DAX102" s="42"/>
      <c r="DAY102" s="42"/>
      <c r="DAZ102" s="42"/>
      <c r="DBA102" s="42"/>
      <c r="DBB102" s="42"/>
      <c r="DBC102" s="42"/>
      <c r="DBD102" s="43">
        <v>0</v>
      </c>
      <c r="DBE102" s="42" t="s">
        <v>48</v>
      </c>
      <c r="DBF102" s="42"/>
      <c r="DBG102" s="42"/>
      <c r="DBH102" s="42"/>
      <c r="DBI102" s="42"/>
      <c r="DBJ102" s="42"/>
      <c r="DBK102" s="42"/>
      <c r="DBL102" s="43">
        <v>0</v>
      </c>
      <c r="DBM102" s="42" t="s">
        <v>48</v>
      </c>
      <c r="DBN102" s="42"/>
      <c r="DBO102" s="42"/>
      <c r="DBP102" s="42"/>
      <c r="DBQ102" s="42"/>
      <c r="DBR102" s="42"/>
      <c r="DBS102" s="42"/>
      <c r="DBT102" s="43">
        <v>0</v>
      </c>
      <c r="DBU102" s="42" t="s">
        <v>48</v>
      </c>
      <c r="DBV102" s="42"/>
      <c r="DBW102" s="42"/>
      <c r="DBX102" s="42"/>
      <c r="DBY102" s="42"/>
      <c r="DBZ102" s="42"/>
      <c r="DCA102" s="42"/>
      <c r="DCB102" s="43">
        <v>0</v>
      </c>
      <c r="DCC102" s="42" t="s">
        <v>48</v>
      </c>
      <c r="DCD102" s="42"/>
      <c r="DCE102" s="42"/>
      <c r="DCF102" s="42"/>
      <c r="DCG102" s="42"/>
      <c r="DCH102" s="42"/>
      <c r="DCI102" s="42"/>
      <c r="DCJ102" s="43">
        <v>0</v>
      </c>
      <c r="DCK102" s="42" t="s">
        <v>48</v>
      </c>
      <c r="DCL102" s="42"/>
      <c r="DCM102" s="42"/>
      <c r="DCN102" s="42"/>
      <c r="DCO102" s="42"/>
      <c r="DCP102" s="42"/>
      <c r="DCQ102" s="42"/>
      <c r="DCR102" s="43">
        <v>0</v>
      </c>
      <c r="DCS102" s="42" t="s">
        <v>48</v>
      </c>
      <c r="DCT102" s="42"/>
      <c r="DCU102" s="42"/>
      <c r="DCV102" s="42"/>
      <c r="DCW102" s="42"/>
      <c r="DCX102" s="42"/>
      <c r="DCY102" s="42"/>
      <c r="DCZ102" s="43">
        <v>0</v>
      </c>
      <c r="DDA102" s="42" t="s">
        <v>48</v>
      </c>
      <c r="DDB102" s="42"/>
      <c r="DDC102" s="42"/>
      <c r="DDD102" s="42"/>
      <c r="DDE102" s="42"/>
      <c r="DDF102" s="42"/>
      <c r="DDG102" s="42"/>
      <c r="DDH102" s="43">
        <v>0</v>
      </c>
      <c r="DDI102" s="42" t="s">
        <v>48</v>
      </c>
      <c r="DDJ102" s="42"/>
      <c r="DDK102" s="42"/>
      <c r="DDL102" s="42"/>
      <c r="DDM102" s="42"/>
      <c r="DDN102" s="42"/>
      <c r="DDO102" s="42"/>
      <c r="DDP102" s="43">
        <v>0</v>
      </c>
      <c r="DDQ102" s="42" t="s">
        <v>48</v>
      </c>
      <c r="DDR102" s="42"/>
      <c r="DDS102" s="42"/>
      <c r="DDT102" s="42"/>
      <c r="DDU102" s="42"/>
      <c r="DDV102" s="42"/>
      <c r="DDW102" s="42"/>
      <c r="DDX102" s="43">
        <v>0</v>
      </c>
      <c r="DDY102" s="42" t="s">
        <v>48</v>
      </c>
      <c r="DDZ102" s="42"/>
      <c r="DEA102" s="42"/>
      <c r="DEB102" s="42"/>
      <c r="DEC102" s="42"/>
      <c r="DED102" s="42"/>
      <c r="DEE102" s="42"/>
      <c r="DEF102" s="43">
        <v>0</v>
      </c>
      <c r="DEG102" s="42" t="s">
        <v>48</v>
      </c>
      <c r="DEH102" s="42"/>
      <c r="DEI102" s="42"/>
      <c r="DEJ102" s="42"/>
      <c r="DEK102" s="42"/>
      <c r="DEL102" s="42"/>
      <c r="DEM102" s="42"/>
      <c r="DEN102" s="43">
        <v>0</v>
      </c>
      <c r="DEO102" s="42" t="s">
        <v>48</v>
      </c>
      <c r="DEP102" s="42"/>
      <c r="DEQ102" s="42"/>
      <c r="DER102" s="42"/>
      <c r="DES102" s="42"/>
      <c r="DET102" s="42"/>
      <c r="DEU102" s="42"/>
      <c r="DEV102" s="43">
        <v>0</v>
      </c>
      <c r="DEW102" s="42" t="s">
        <v>48</v>
      </c>
      <c r="DEX102" s="42"/>
      <c r="DEY102" s="42"/>
      <c r="DEZ102" s="42"/>
      <c r="DFA102" s="42"/>
      <c r="DFB102" s="42"/>
      <c r="DFC102" s="42"/>
      <c r="DFD102" s="43">
        <v>0</v>
      </c>
      <c r="DFE102" s="42" t="s">
        <v>48</v>
      </c>
      <c r="DFF102" s="42"/>
      <c r="DFG102" s="42"/>
      <c r="DFH102" s="42"/>
      <c r="DFI102" s="42"/>
      <c r="DFJ102" s="42"/>
      <c r="DFK102" s="42"/>
      <c r="DFL102" s="43">
        <v>0</v>
      </c>
      <c r="DFM102" s="42" t="s">
        <v>48</v>
      </c>
      <c r="DFN102" s="42"/>
      <c r="DFO102" s="42"/>
      <c r="DFP102" s="42"/>
      <c r="DFQ102" s="42"/>
      <c r="DFR102" s="42"/>
      <c r="DFS102" s="42"/>
      <c r="DFT102" s="43">
        <v>0</v>
      </c>
      <c r="DFU102" s="42" t="s">
        <v>48</v>
      </c>
      <c r="DFV102" s="42"/>
      <c r="DFW102" s="42"/>
      <c r="DFX102" s="42"/>
      <c r="DFY102" s="42"/>
      <c r="DFZ102" s="42"/>
      <c r="DGA102" s="42"/>
      <c r="DGB102" s="43">
        <v>0</v>
      </c>
      <c r="DGC102" s="42" t="s">
        <v>48</v>
      </c>
      <c r="DGD102" s="42"/>
      <c r="DGE102" s="42"/>
      <c r="DGF102" s="42"/>
      <c r="DGG102" s="42"/>
      <c r="DGH102" s="42"/>
      <c r="DGI102" s="42"/>
      <c r="DGJ102" s="43">
        <v>0</v>
      </c>
      <c r="DGK102" s="42" t="s">
        <v>48</v>
      </c>
      <c r="DGL102" s="42"/>
      <c r="DGM102" s="42"/>
      <c r="DGN102" s="42"/>
      <c r="DGO102" s="42"/>
      <c r="DGP102" s="42"/>
      <c r="DGQ102" s="42"/>
      <c r="DGR102" s="43">
        <v>0</v>
      </c>
      <c r="DGS102" s="42" t="s">
        <v>48</v>
      </c>
      <c r="DGT102" s="42"/>
      <c r="DGU102" s="42"/>
      <c r="DGV102" s="42"/>
      <c r="DGW102" s="42"/>
      <c r="DGX102" s="42"/>
      <c r="DGY102" s="42"/>
      <c r="DGZ102" s="43">
        <v>0</v>
      </c>
      <c r="DHA102" s="42" t="s">
        <v>48</v>
      </c>
      <c r="DHB102" s="42"/>
      <c r="DHC102" s="42"/>
      <c r="DHD102" s="42"/>
      <c r="DHE102" s="42"/>
      <c r="DHF102" s="42"/>
      <c r="DHG102" s="42"/>
      <c r="DHH102" s="43">
        <v>0</v>
      </c>
      <c r="DHI102" s="42" t="s">
        <v>48</v>
      </c>
      <c r="DHJ102" s="42"/>
      <c r="DHK102" s="42"/>
      <c r="DHL102" s="42"/>
      <c r="DHM102" s="42"/>
      <c r="DHN102" s="42"/>
      <c r="DHO102" s="42"/>
      <c r="DHP102" s="43">
        <v>0</v>
      </c>
      <c r="DHQ102" s="42" t="s">
        <v>48</v>
      </c>
      <c r="DHR102" s="42"/>
      <c r="DHS102" s="42"/>
      <c r="DHT102" s="42"/>
      <c r="DHU102" s="42"/>
      <c r="DHV102" s="42"/>
      <c r="DHW102" s="42"/>
      <c r="DHX102" s="43">
        <v>0</v>
      </c>
      <c r="DHY102" s="42" t="s">
        <v>48</v>
      </c>
      <c r="DHZ102" s="42"/>
      <c r="DIA102" s="42"/>
      <c r="DIB102" s="42"/>
      <c r="DIC102" s="42"/>
      <c r="DID102" s="42"/>
      <c r="DIE102" s="42"/>
      <c r="DIF102" s="43">
        <v>0</v>
      </c>
      <c r="DIG102" s="42" t="s">
        <v>48</v>
      </c>
      <c r="DIH102" s="42"/>
      <c r="DII102" s="42"/>
      <c r="DIJ102" s="42"/>
      <c r="DIK102" s="42"/>
      <c r="DIL102" s="42"/>
      <c r="DIM102" s="42"/>
      <c r="DIN102" s="43">
        <v>0</v>
      </c>
      <c r="DIO102" s="42" t="s">
        <v>48</v>
      </c>
      <c r="DIP102" s="42"/>
      <c r="DIQ102" s="42"/>
      <c r="DIR102" s="42"/>
      <c r="DIS102" s="42"/>
      <c r="DIT102" s="42"/>
      <c r="DIU102" s="42"/>
      <c r="DIV102" s="43">
        <v>0</v>
      </c>
      <c r="DIW102" s="42" t="s">
        <v>48</v>
      </c>
      <c r="DIX102" s="42"/>
      <c r="DIY102" s="42"/>
      <c r="DIZ102" s="42"/>
      <c r="DJA102" s="42"/>
      <c r="DJB102" s="42"/>
      <c r="DJC102" s="42"/>
      <c r="DJD102" s="43">
        <v>0</v>
      </c>
      <c r="DJE102" s="42" t="s">
        <v>48</v>
      </c>
      <c r="DJF102" s="42"/>
      <c r="DJG102" s="42"/>
      <c r="DJH102" s="42"/>
      <c r="DJI102" s="42"/>
      <c r="DJJ102" s="42"/>
      <c r="DJK102" s="42"/>
      <c r="DJL102" s="43">
        <v>0</v>
      </c>
      <c r="DJM102" s="42" t="s">
        <v>48</v>
      </c>
      <c r="DJN102" s="42"/>
      <c r="DJO102" s="42"/>
      <c r="DJP102" s="42"/>
      <c r="DJQ102" s="42"/>
      <c r="DJR102" s="42"/>
      <c r="DJS102" s="42"/>
      <c r="DJT102" s="43">
        <v>0</v>
      </c>
      <c r="DJU102" s="42" t="s">
        <v>48</v>
      </c>
      <c r="DJV102" s="42"/>
      <c r="DJW102" s="42"/>
      <c r="DJX102" s="42"/>
      <c r="DJY102" s="42"/>
      <c r="DJZ102" s="42"/>
      <c r="DKA102" s="42"/>
      <c r="DKB102" s="43">
        <v>0</v>
      </c>
      <c r="DKC102" s="42" t="s">
        <v>48</v>
      </c>
      <c r="DKD102" s="42"/>
      <c r="DKE102" s="42"/>
      <c r="DKF102" s="42"/>
      <c r="DKG102" s="42"/>
      <c r="DKH102" s="42"/>
      <c r="DKI102" s="42"/>
      <c r="DKJ102" s="43">
        <v>0</v>
      </c>
      <c r="DKK102" s="42" t="s">
        <v>48</v>
      </c>
      <c r="DKL102" s="42"/>
      <c r="DKM102" s="42"/>
      <c r="DKN102" s="42"/>
      <c r="DKO102" s="42"/>
      <c r="DKP102" s="42"/>
      <c r="DKQ102" s="42"/>
      <c r="DKR102" s="43">
        <v>0</v>
      </c>
      <c r="DKS102" s="42" t="s">
        <v>48</v>
      </c>
      <c r="DKT102" s="42"/>
      <c r="DKU102" s="42"/>
      <c r="DKV102" s="42"/>
      <c r="DKW102" s="42"/>
      <c r="DKX102" s="42"/>
      <c r="DKY102" s="42"/>
      <c r="DKZ102" s="43">
        <v>0</v>
      </c>
      <c r="DLA102" s="42" t="s">
        <v>48</v>
      </c>
      <c r="DLB102" s="42"/>
      <c r="DLC102" s="42"/>
      <c r="DLD102" s="42"/>
      <c r="DLE102" s="42"/>
      <c r="DLF102" s="42"/>
      <c r="DLG102" s="42"/>
      <c r="DLH102" s="43">
        <v>0</v>
      </c>
      <c r="DLI102" s="42" t="s">
        <v>48</v>
      </c>
      <c r="DLJ102" s="42"/>
      <c r="DLK102" s="42"/>
      <c r="DLL102" s="42"/>
      <c r="DLM102" s="42"/>
      <c r="DLN102" s="42"/>
      <c r="DLO102" s="42"/>
      <c r="DLP102" s="43">
        <v>0</v>
      </c>
      <c r="DLQ102" s="42" t="s">
        <v>48</v>
      </c>
      <c r="DLR102" s="42"/>
      <c r="DLS102" s="42"/>
      <c r="DLT102" s="42"/>
      <c r="DLU102" s="42"/>
      <c r="DLV102" s="42"/>
      <c r="DLW102" s="42"/>
      <c r="DLX102" s="43">
        <v>0</v>
      </c>
      <c r="DLY102" s="42" t="s">
        <v>48</v>
      </c>
      <c r="DLZ102" s="42"/>
      <c r="DMA102" s="42"/>
      <c r="DMB102" s="42"/>
      <c r="DMC102" s="42"/>
      <c r="DMD102" s="42"/>
      <c r="DME102" s="42"/>
      <c r="DMF102" s="43">
        <v>0</v>
      </c>
      <c r="DMG102" s="42" t="s">
        <v>48</v>
      </c>
      <c r="DMH102" s="42"/>
      <c r="DMI102" s="42"/>
      <c r="DMJ102" s="42"/>
      <c r="DMK102" s="42"/>
      <c r="DML102" s="42"/>
      <c r="DMM102" s="42"/>
      <c r="DMN102" s="43">
        <v>0</v>
      </c>
      <c r="DMO102" s="42" t="s">
        <v>48</v>
      </c>
      <c r="DMP102" s="42"/>
      <c r="DMQ102" s="42"/>
      <c r="DMR102" s="42"/>
      <c r="DMS102" s="42"/>
      <c r="DMT102" s="42"/>
      <c r="DMU102" s="42"/>
      <c r="DMV102" s="43">
        <v>0</v>
      </c>
      <c r="DMW102" s="42" t="s">
        <v>48</v>
      </c>
      <c r="DMX102" s="42"/>
      <c r="DMY102" s="42"/>
      <c r="DMZ102" s="42"/>
      <c r="DNA102" s="42"/>
      <c r="DNB102" s="42"/>
      <c r="DNC102" s="42"/>
      <c r="DND102" s="43">
        <v>0</v>
      </c>
      <c r="DNE102" s="42" t="s">
        <v>48</v>
      </c>
      <c r="DNF102" s="42"/>
      <c r="DNG102" s="42"/>
      <c r="DNH102" s="42"/>
      <c r="DNI102" s="42"/>
      <c r="DNJ102" s="42"/>
      <c r="DNK102" s="42"/>
      <c r="DNL102" s="43">
        <v>0</v>
      </c>
      <c r="DNM102" s="42" t="s">
        <v>48</v>
      </c>
      <c r="DNN102" s="42"/>
      <c r="DNO102" s="42"/>
      <c r="DNP102" s="42"/>
      <c r="DNQ102" s="42"/>
      <c r="DNR102" s="42"/>
      <c r="DNS102" s="42"/>
      <c r="DNT102" s="43">
        <v>0</v>
      </c>
      <c r="DNU102" s="42" t="s">
        <v>48</v>
      </c>
      <c r="DNV102" s="42"/>
      <c r="DNW102" s="42"/>
      <c r="DNX102" s="42"/>
      <c r="DNY102" s="42"/>
      <c r="DNZ102" s="42"/>
      <c r="DOA102" s="42"/>
      <c r="DOB102" s="43">
        <v>0</v>
      </c>
      <c r="DOC102" s="42" t="s">
        <v>48</v>
      </c>
      <c r="DOD102" s="42"/>
      <c r="DOE102" s="42"/>
      <c r="DOF102" s="42"/>
      <c r="DOG102" s="42"/>
      <c r="DOH102" s="42"/>
      <c r="DOI102" s="42"/>
      <c r="DOJ102" s="43">
        <v>0</v>
      </c>
      <c r="DOK102" s="42" t="s">
        <v>48</v>
      </c>
      <c r="DOL102" s="42"/>
      <c r="DOM102" s="42"/>
      <c r="DON102" s="42"/>
      <c r="DOO102" s="42"/>
      <c r="DOP102" s="42"/>
      <c r="DOQ102" s="42"/>
      <c r="DOR102" s="43">
        <v>0</v>
      </c>
      <c r="DOS102" s="42" t="s">
        <v>48</v>
      </c>
      <c r="DOT102" s="42"/>
      <c r="DOU102" s="42"/>
      <c r="DOV102" s="42"/>
      <c r="DOW102" s="42"/>
      <c r="DOX102" s="42"/>
      <c r="DOY102" s="42"/>
      <c r="DOZ102" s="43">
        <v>0</v>
      </c>
      <c r="DPA102" s="42" t="s">
        <v>48</v>
      </c>
      <c r="DPB102" s="42"/>
      <c r="DPC102" s="42"/>
      <c r="DPD102" s="42"/>
      <c r="DPE102" s="42"/>
      <c r="DPF102" s="42"/>
      <c r="DPG102" s="42"/>
      <c r="DPH102" s="43">
        <v>0</v>
      </c>
      <c r="DPI102" s="42" t="s">
        <v>48</v>
      </c>
      <c r="DPJ102" s="42"/>
      <c r="DPK102" s="42"/>
      <c r="DPL102" s="42"/>
      <c r="DPM102" s="42"/>
      <c r="DPN102" s="42"/>
      <c r="DPO102" s="42"/>
      <c r="DPP102" s="43">
        <v>0</v>
      </c>
      <c r="DPQ102" s="42" t="s">
        <v>48</v>
      </c>
      <c r="DPR102" s="42"/>
      <c r="DPS102" s="42"/>
      <c r="DPT102" s="42"/>
      <c r="DPU102" s="42"/>
      <c r="DPV102" s="42"/>
      <c r="DPW102" s="42"/>
      <c r="DPX102" s="43">
        <v>0</v>
      </c>
      <c r="DPY102" s="42" t="s">
        <v>48</v>
      </c>
      <c r="DPZ102" s="42"/>
      <c r="DQA102" s="42"/>
      <c r="DQB102" s="42"/>
      <c r="DQC102" s="42"/>
      <c r="DQD102" s="42"/>
      <c r="DQE102" s="42"/>
      <c r="DQF102" s="43">
        <v>0</v>
      </c>
      <c r="DQG102" s="42" t="s">
        <v>48</v>
      </c>
      <c r="DQH102" s="42"/>
      <c r="DQI102" s="42"/>
      <c r="DQJ102" s="42"/>
      <c r="DQK102" s="42"/>
      <c r="DQL102" s="42"/>
      <c r="DQM102" s="42"/>
      <c r="DQN102" s="43">
        <v>0</v>
      </c>
      <c r="DQO102" s="42" t="s">
        <v>48</v>
      </c>
      <c r="DQP102" s="42"/>
      <c r="DQQ102" s="42"/>
      <c r="DQR102" s="42"/>
      <c r="DQS102" s="42"/>
      <c r="DQT102" s="42"/>
      <c r="DQU102" s="42"/>
      <c r="DQV102" s="43">
        <v>0</v>
      </c>
      <c r="DQW102" s="42" t="s">
        <v>48</v>
      </c>
      <c r="DQX102" s="42"/>
      <c r="DQY102" s="42"/>
      <c r="DQZ102" s="42"/>
      <c r="DRA102" s="42"/>
      <c r="DRB102" s="42"/>
      <c r="DRC102" s="42"/>
      <c r="DRD102" s="43">
        <v>0</v>
      </c>
      <c r="DRE102" s="42" t="s">
        <v>48</v>
      </c>
      <c r="DRF102" s="42"/>
      <c r="DRG102" s="42"/>
      <c r="DRH102" s="42"/>
      <c r="DRI102" s="42"/>
      <c r="DRJ102" s="42"/>
      <c r="DRK102" s="42"/>
      <c r="DRL102" s="43">
        <v>0</v>
      </c>
      <c r="DRM102" s="42" t="s">
        <v>48</v>
      </c>
      <c r="DRN102" s="42"/>
      <c r="DRO102" s="42"/>
      <c r="DRP102" s="42"/>
      <c r="DRQ102" s="42"/>
      <c r="DRR102" s="42"/>
      <c r="DRS102" s="42"/>
      <c r="DRT102" s="43">
        <v>0</v>
      </c>
      <c r="DRU102" s="42" t="s">
        <v>48</v>
      </c>
      <c r="DRV102" s="42"/>
      <c r="DRW102" s="42"/>
      <c r="DRX102" s="42"/>
      <c r="DRY102" s="42"/>
      <c r="DRZ102" s="42"/>
      <c r="DSA102" s="42"/>
      <c r="DSB102" s="43">
        <v>0</v>
      </c>
      <c r="DSC102" s="42" t="s">
        <v>48</v>
      </c>
      <c r="DSD102" s="42"/>
      <c r="DSE102" s="42"/>
      <c r="DSF102" s="42"/>
      <c r="DSG102" s="42"/>
      <c r="DSH102" s="42"/>
      <c r="DSI102" s="42"/>
      <c r="DSJ102" s="43">
        <v>0</v>
      </c>
      <c r="DSK102" s="42" t="s">
        <v>48</v>
      </c>
      <c r="DSL102" s="42"/>
      <c r="DSM102" s="42"/>
      <c r="DSN102" s="42"/>
      <c r="DSO102" s="42"/>
      <c r="DSP102" s="42"/>
      <c r="DSQ102" s="42"/>
      <c r="DSR102" s="43">
        <v>0</v>
      </c>
      <c r="DSS102" s="42" t="s">
        <v>48</v>
      </c>
      <c r="DST102" s="42"/>
      <c r="DSU102" s="42"/>
      <c r="DSV102" s="42"/>
      <c r="DSW102" s="42"/>
      <c r="DSX102" s="42"/>
      <c r="DSY102" s="42"/>
      <c r="DSZ102" s="43">
        <v>0</v>
      </c>
      <c r="DTA102" s="42" t="s">
        <v>48</v>
      </c>
      <c r="DTB102" s="42"/>
      <c r="DTC102" s="42"/>
      <c r="DTD102" s="42"/>
      <c r="DTE102" s="42"/>
      <c r="DTF102" s="42"/>
      <c r="DTG102" s="42"/>
      <c r="DTH102" s="43">
        <v>0</v>
      </c>
      <c r="DTI102" s="42" t="s">
        <v>48</v>
      </c>
      <c r="DTJ102" s="42"/>
      <c r="DTK102" s="42"/>
      <c r="DTL102" s="42"/>
      <c r="DTM102" s="42"/>
      <c r="DTN102" s="42"/>
      <c r="DTO102" s="42"/>
      <c r="DTP102" s="43">
        <v>0</v>
      </c>
      <c r="DTQ102" s="42" t="s">
        <v>48</v>
      </c>
      <c r="DTR102" s="42"/>
      <c r="DTS102" s="42"/>
      <c r="DTT102" s="42"/>
      <c r="DTU102" s="42"/>
      <c r="DTV102" s="42"/>
      <c r="DTW102" s="42"/>
      <c r="DTX102" s="43">
        <v>0</v>
      </c>
      <c r="DTY102" s="42" t="s">
        <v>48</v>
      </c>
      <c r="DTZ102" s="42"/>
      <c r="DUA102" s="42"/>
      <c r="DUB102" s="42"/>
      <c r="DUC102" s="42"/>
      <c r="DUD102" s="42"/>
      <c r="DUE102" s="42"/>
      <c r="DUF102" s="43">
        <v>0</v>
      </c>
      <c r="DUG102" s="42" t="s">
        <v>48</v>
      </c>
      <c r="DUH102" s="42"/>
      <c r="DUI102" s="42"/>
      <c r="DUJ102" s="42"/>
      <c r="DUK102" s="42"/>
      <c r="DUL102" s="42"/>
      <c r="DUM102" s="42"/>
      <c r="DUN102" s="43">
        <v>0</v>
      </c>
      <c r="DUO102" s="42" t="s">
        <v>48</v>
      </c>
      <c r="DUP102" s="42"/>
      <c r="DUQ102" s="42"/>
      <c r="DUR102" s="42"/>
      <c r="DUS102" s="42"/>
      <c r="DUT102" s="42"/>
      <c r="DUU102" s="42"/>
      <c r="DUV102" s="43">
        <v>0</v>
      </c>
      <c r="DUW102" s="42" t="s">
        <v>48</v>
      </c>
      <c r="DUX102" s="42"/>
      <c r="DUY102" s="42"/>
      <c r="DUZ102" s="42"/>
      <c r="DVA102" s="42"/>
      <c r="DVB102" s="42"/>
      <c r="DVC102" s="42"/>
      <c r="DVD102" s="43">
        <v>0</v>
      </c>
      <c r="DVE102" s="42" t="s">
        <v>48</v>
      </c>
      <c r="DVF102" s="42"/>
      <c r="DVG102" s="42"/>
      <c r="DVH102" s="42"/>
      <c r="DVI102" s="42"/>
      <c r="DVJ102" s="42"/>
      <c r="DVK102" s="42"/>
      <c r="DVL102" s="43">
        <v>0</v>
      </c>
      <c r="DVM102" s="42" t="s">
        <v>48</v>
      </c>
      <c r="DVN102" s="42"/>
      <c r="DVO102" s="42"/>
      <c r="DVP102" s="42"/>
      <c r="DVQ102" s="42"/>
      <c r="DVR102" s="42"/>
      <c r="DVS102" s="42"/>
      <c r="DVT102" s="43">
        <v>0</v>
      </c>
      <c r="DVU102" s="42" t="s">
        <v>48</v>
      </c>
      <c r="DVV102" s="42"/>
      <c r="DVW102" s="42"/>
      <c r="DVX102" s="42"/>
      <c r="DVY102" s="42"/>
      <c r="DVZ102" s="42"/>
      <c r="DWA102" s="42"/>
      <c r="DWB102" s="43">
        <v>0</v>
      </c>
      <c r="DWC102" s="42" t="s">
        <v>48</v>
      </c>
      <c r="DWD102" s="42"/>
      <c r="DWE102" s="42"/>
      <c r="DWF102" s="42"/>
      <c r="DWG102" s="42"/>
      <c r="DWH102" s="42"/>
      <c r="DWI102" s="42"/>
      <c r="DWJ102" s="43">
        <v>0</v>
      </c>
      <c r="DWK102" s="42" t="s">
        <v>48</v>
      </c>
      <c r="DWL102" s="42"/>
      <c r="DWM102" s="42"/>
      <c r="DWN102" s="42"/>
      <c r="DWO102" s="42"/>
      <c r="DWP102" s="42"/>
      <c r="DWQ102" s="42"/>
      <c r="DWR102" s="43">
        <v>0</v>
      </c>
      <c r="DWS102" s="42" t="s">
        <v>48</v>
      </c>
      <c r="DWT102" s="42"/>
      <c r="DWU102" s="42"/>
      <c r="DWV102" s="42"/>
      <c r="DWW102" s="42"/>
      <c r="DWX102" s="42"/>
      <c r="DWY102" s="42"/>
      <c r="DWZ102" s="43">
        <v>0</v>
      </c>
      <c r="DXA102" s="42" t="s">
        <v>48</v>
      </c>
      <c r="DXB102" s="42"/>
      <c r="DXC102" s="42"/>
      <c r="DXD102" s="42"/>
      <c r="DXE102" s="42"/>
      <c r="DXF102" s="42"/>
      <c r="DXG102" s="42"/>
      <c r="DXH102" s="43">
        <v>0</v>
      </c>
      <c r="DXI102" s="42" t="s">
        <v>48</v>
      </c>
      <c r="DXJ102" s="42"/>
      <c r="DXK102" s="42"/>
      <c r="DXL102" s="42"/>
      <c r="DXM102" s="42"/>
      <c r="DXN102" s="42"/>
      <c r="DXO102" s="42"/>
      <c r="DXP102" s="43">
        <v>0</v>
      </c>
      <c r="DXQ102" s="42" t="s">
        <v>48</v>
      </c>
      <c r="DXR102" s="42"/>
      <c r="DXS102" s="42"/>
      <c r="DXT102" s="42"/>
      <c r="DXU102" s="42"/>
      <c r="DXV102" s="42"/>
      <c r="DXW102" s="42"/>
      <c r="DXX102" s="43">
        <v>0</v>
      </c>
      <c r="DXY102" s="42" t="s">
        <v>48</v>
      </c>
      <c r="DXZ102" s="42"/>
      <c r="DYA102" s="42"/>
      <c r="DYB102" s="42"/>
      <c r="DYC102" s="42"/>
      <c r="DYD102" s="42"/>
      <c r="DYE102" s="42"/>
      <c r="DYF102" s="43">
        <v>0</v>
      </c>
      <c r="DYG102" s="42" t="s">
        <v>48</v>
      </c>
      <c r="DYH102" s="42"/>
      <c r="DYI102" s="42"/>
      <c r="DYJ102" s="42"/>
      <c r="DYK102" s="42"/>
      <c r="DYL102" s="42"/>
      <c r="DYM102" s="42"/>
      <c r="DYN102" s="43">
        <v>0</v>
      </c>
      <c r="DYO102" s="42" t="s">
        <v>48</v>
      </c>
      <c r="DYP102" s="42"/>
      <c r="DYQ102" s="42"/>
      <c r="DYR102" s="42"/>
      <c r="DYS102" s="42"/>
      <c r="DYT102" s="42"/>
      <c r="DYU102" s="42"/>
      <c r="DYV102" s="43">
        <v>0</v>
      </c>
      <c r="DYW102" s="42" t="s">
        <v>48</v>
      </c>
      <c r="DYX102" s="42"/>
      <c r="DYY102" s="42"/>
      <c r="DYZ102" s="42"/>
      <c r="DZA102" s="42"/>
      <c r="DZB102" s="42"/>
      <c r="DZC102" s="42"/>
      <c r="DZD102" s="43">
        <v>0</v>
      </c>
      <c r="DZE102" s="42" t="s">
        <v>48</v>
      </c>
      <c r="DZF102" s="42"/>
      <c r="DZG102" s="42"/>
      <c r="DZH102" s="42"/>
      <c r="DZI102" s="42"/>
      <c r="DZJ102" s="42"/>
      <c r="DZK102" s="42"/>
      <c r="DZL102" s="43">
        <v>0</v>
      </c>
      <c r="DZM102" s="42" t="s">
        <v>48</v>
      </c>
      <c r="DZN102" s="42"/>
      <c r="DZO102" s="42"/>
      <c r="DZP102" s="42"/>
      <c r="DZQ102" s="42"/>
      <c r="DZR102" s="42"/>
      <c r="DZS102" s="42"/>
      <c r="DZT102" s="43">
        <v>0</v>
      </c>
      <c r="DZU102" s="42" t="s">
        <v>48</v>
      </c>
      <c r="DZV102" s="42"/>
      <c r="DZW102" s="42"/>
      <c r="DZX102" s="42"/>
      <c r="DZY102" s="42"/>
      <c r="DZZ102" s="42"/>
      <c r="EAA102" s="42"/>
      <c r="EAB102" s="43">
        <v>0</v>
      </c>
      <c r="EAC102" s="42" t="s">
        <v>48</v>
      </c>
      <c r="EAD102" s="42"/>
      <c r="EAE102" s="42"/>
      <c r="EAF102" s="42"/>
      <c r="EAG102" s="42"/>
      <c r="EAH102" s="42"/>
      <c r="EAI102" s="42"/>
      <c r="EAJ102" s="43">
        <v>0</v>
      </c>
      <c r="EAK102" s="42" t="s">
        <v>48</v>
      </c>
      <c r="EAL102" s="42"/>
      <c r="EAM102" s="42"/>
      <c r="EAN102" s="42"/>
      <c r="EAO102" s="42"/>
      <c r="EAP102" s="42"/>
      <c r="EAQ102" s="42"/>
      <c r="EAR102" s="43">
        <v>0</v>
      </c>
      <c r="EAS102" s="42" t="s">
        <v>48</v>
      </c>
      <c r="EAT102" s="42"/>
      <c r="EAU102" s="42"/>
      <c r="EAV102" s="42"/>
      <c r="EAW102" s="42"/>
      <c r="EAX102" s="42"/>
      <c r="EAY102" s="42"/>
      <c r="EAZ102" s="43">
        <v>0</v>
      </c>
      <c r="EBA102" s="42" t="s">
        <v>48</v>
      </c>
      <c r="EBB102" s="42"/>
      <c r="EBC102" s="42"/>
      <c r="EBD102" s="42"/>
      <c r="EBE102" s="42"/>
      <c r="EBF102" s="42"/>
      <c r="EBG102" s="42"/>
      <c r="EBH102" s="43">
        <v>0</v>
      </c>
      <c r="EBI102" s="42" t="s">
        <v>48</v>
      </c>
      <c r="EBJ102" s="42"/>
      <c r="EBK102" s="42"/>
      <c r="EBL102" s="42"/>
      <c r="EBM102" s="42"/>
      <c r="EBN102" s="42"/>
      <c r="EBO102" s="42"/>
      <c r="EBP102" s="43">
        <v>0</v>
      </c>
      <c r="EBQ102" s="42" t="s">
        <v>48</v>
      </c>
      <c r="EBR102" s="42"/>
      <c r="EBS102" s="42"/>
      <c r="EBT102" s="42"/>
      <c r="EBU102" s="42"/>
      <c r="EBV102" s="42"/>
      <c r="EBW102" s="42"/>
      <c r="EBX102" s="43">
        <v>0</v>
      </c>
      <c r="EBY102" s="42" t="s">
        <v>48</v>
      </c>
      <c r="EBZ102" s="42"/>
      <c r="ECA102" s="42"/>
      <c r="ECB102" s="42"/>
      <c r="ECC102" s="42"/>
      <c r="ECD102" s="42"/>
      <c r="ECE102" s="42"/>
      <c r="ECF102" s="43">
        <v>0</v>
      </c>
      <c r="ECG102" s="42" t="s">
        <v>48</v>
      </c>
      <c r="ECH102" s="42"/>
      <c r="ECI102" s="42"/>
      <c r="ECJ102" s="42"/>
      <c r="ECK102" s="42"/>
      <c r="ECL102" s="42"/>
      <c r="ECM102" s="42"/>
      <c r="ECN102" s="43">
        <v>0</v>
      </c>
      <c r="ECO102" s="42" t="s">
        <v>48</v>
      </c>
      <c r="ECP102" s="42"/>
      <c r="ECQ102" s="42"/>
      <c r="ECR102" s="42"/>
      <c r="ECS102" s="42"/>
      <c r="ECT102" s="42"/>
      <c r="ECU102" s="42"/>
      <c r="ECV102" s="43">
        <v>0</v>
      </c>
      <c r="ECW102" s="42" t="s">
        <v>48</v>
      </c>
      <c r="ECX102" s="42"/>
      <c r="ECY102" s="42"/>
      <c r="ECZ102" s="42"/>
      <c r="EDA102" s="42"/>
      <c r="EDB102" s="42"/>
      <c r="EDC102" s="42"/>
      <c r="EDD102" s="43">
        <v>0</v>
      </c>
      <c r="EDE102" s="42" t="s">
        <v>48</v>
      </c>
      <c r="EDF102" s="42"/>
      <c r="EDG102" s="42"/>
      <c r="EDH102" s="42"/>
      <c r="EDI102" s="42"/>
      <c r="EDJ102" s="42"/>
      <c r="EDK102" s="42"/>
      <c r="EDL102" s="43">
        <v>0</v>
      </c>
      <c r="EDM102" s="42" t="s">
        <v>48</v>
      </c>
      <c r="EDN102" s="42"/>
      <c r="EDO102" s="42"/>
      <c r="EDP102" s="42"/>
      <c r="EDQ102" s="42"/>
      <c r="EDR102" s="42"/>
      <c r="EDS102" s="42"/>
      <c r="EDT102" s="43">
        <v>0</v>
      </c>
      <c r="EDU102" s="42" t="s">
        <v>48</v>
      </c>
      <c r="EDV102" s="42"/>
      <c r="EDW102" s="42"/>
      <c r="EDX102" s="42"/>
      <c r="EDY102" s="42"/>
      <c r="EDZ102" s="42"/>
      <c r="EEA102" s="42"/>
      <c r="EEB102" s="43">
        <v>0</v>
      </c>
      <c r="EEC102" s="42" t="s">
        <v>48</v>
      </c>
      <c r="EED102" s="42"/>
      <c r="EEE102" s="42"/>
      <c r="EEF102" s="42"/>
      <c r="EEG102" s="42"/>
      <c r="EEH102" s="42"/>
      <c r="EEI102" s="42"/>
      <c r="EEJ102" s="43">
        <v>0</v>
      </c>
      <c r="EEK102" s="42" t="s">
        <v>48</v>
      </c>
      <c r="EEL102" s="42"/>
      <c r="EEM102" s="42"/>
      <c r="EEN102" s="42"/>
      <c r="EEO102" s="42"/>
      <c r="EEP102" s="42"/>
      <c r="EEQ102" s="42"/>
      <c r="EER102" s="43">
        <v>0</v>
      </c>
      <c r="EES102" s="42" t="s">
        <v>48</v>
      </c>
      <c r="EET102" s="42"/>
      <c r="EEU102" s="42"/>
      <c r="EEV102" s="42"/>
      <c r="EEW102" s="42"/>
      <c r="EEX102" s="42"/>
      <c r="EEY102" s="42"/>
      <c r="EEZ102" s="43">
        <v>0</v>
      </c>
      <c r="EFA102" s="42" t="s">
        <v>48</v>
      </c>
      <c r="EFB102" s="42"/>
      <c r="EFC102" s="42"/>
      <c r="EFD102" s="42"/>
      <c r="EFE102" s="42"/>
      <c r="EFF102" s="42"/>
      <c r="EFG102" s="42"/>
      <c r="EFH102" s="43">
        <v>0</v>
      </c>
      <c r="EFI102" s="42" t="s">
        <v>48</v>
      </c>
      <c r="EFJ102" s="42"/>
      <c r="EFK102" s="42"/>
      <c r="EFL102" s="42"/>
      <c r="EFM102" s="42"/>
      <c r="EFN102" s="42"/>
      <c r="EFO102" s="42"/>
      <c r="EFP102" s="43">
        <v>0</v>
      </c>
      <c r="EFQ102" s="42" t="s">
        <v>48</v>
      </c>
      <c r="EFR102" s="42"/>
      <c r="EFS102" s="42"/>
      <c r="EFT102" s="42"/>
      <c r="EFU102" s="42"/>
      <c r="EFV102" s="42"/>
      <c r="EFW102" s="42"/>
      <c r="EFX102" s="43">
        <v>0</v>
      </c>
      <c r="EFY102" s="42" t="s">
        <v>48</v>
      </c>
      <c r="EFZ102" s="42"/>
      <c r="EGA102" s="42"/>
      <c r="EGB102" s="42"/>
      <c r="EGC102" s="42"/>
      <c r="EGD102" s="42"/>
      <c r="EGE102" s="42"/>
      <c r="EGF102" s="43">
        <v>0</v>
      </c>
      <c r="EGG102" s="42" t="s">
        <v>48</v>
      </c>
      <c r="EGH102" s="42"/>
      <c r="EGI102" s="42"/>
      <c r="EGJ102" s="42"/>
      <c r="EGK102" s="42"/>
      <c r="EGL102" s="42"/>
      <c r="EGM102" s="42"/>
      <c r="EGN102" s="43">
        <v>0</v>
      </c>
      <c r="EGO102" s="42" t="s">
        <v>48</v>
      </c>
      <c r="EGP102" s="42"/>
      <c r="EGQ102" s="42"/>
      <c r="EGR102" s="42"/>
      <c r="EGS102" s="42"/>
      <c r="EGT102" s="42"/>
      <c r="EGU102" s="42"/>
      <c r="EGV102" s="43">
        <v>0</v>
      </c>
      <c r="EGW102" s="42" t="s">
        <v>48</v>
      </c>
      <c r="EGX102" s="42"/>
      <c r="EGY102" s="42"/>
      <c r="EGZ102" s="42"/>
      <c r="EHA102" s="42"/>
      <c r="EHB102" s="42"/>
      <c r="EHC102" s="42"/>
      <c r="EHD102" s="43">
        <v>0</v>
      </c>
      <c r="EHE102" s="42" t="s">
        <v>48</v>
      </c>
      <c r="EHF102" s="42"/>
      <c r="EHG102" s="42"/>
      <c r="EHH102" s="42"/>
      <c r="EHI102" s="42"/>
      <c r="EHJ102" s="42"/>
      <c r="EHK102" s="42"/>
      <c r="EHL102" s="43">
        <v>0</v>
      </c>
      <c r="EHM102" s="42" t="s">
        <v>48</v>
      </c>
      <c r="EHN102" s="42"/>
      <c r="EHO102" s="42"/>
      <c r="EHP102" s="42"/>
      <c r="EHQ102" s="42"/>
      <c r="EHR102" s="42"/>
      <c r="EHS102" s="42"/>
      <c r="EHT102" s="43">
        <v>0</v>
      </c>
      <c r="EHU102" s="42" t="s">
        <v>48</v>
      </c>
      <c r="EHV102" s="42"/>
      <c r="EHW102" s="42"/>
      <c r="EHX102" s="42"/>
      <c r="EHY102" s="42"/>
      <c r="EHZ102" s="42"/>
      <c r="EIA102" s="42"/>
      <c r="EIB102" s="43">
        <v>0</v>
      </c>
      <c r="EIC102" s="42" t="s">
        <v>48</v>
      </c>
      <c r="EID102" s="42"/>
      <c r="EIE102" s="42"/>
      <c r="EIF102" s="42"/>
      <c r="EIG102" s="42"/>
      <c r="EIH102" s="42"/>
      <c r="EII102" s="42"/>
      <c r="EIJ102" s="43">
        <v>0</v>
      </c>
      <c r="EIK102" s="42" t="s">
        <v>48</v>
      </c>
      <c r="EIL102" s="42"/>
      <c r="EIM102" s="42"/>
      <c r="EIN102" s="42"/>
      <c r="EIO102" s="42"/>
      <c r="EIP102" s="42"/>
      <c r="EIQ102" s="42"/>
      <c r="EIR102" s="43">
        <v>0</v>
      </c>
      <c r="EIS102" s="42" t="s">
        <v>48</v>
      </c>
      <c r="EIT102" s="42"/>
      <c r="EIU102" s="42"/>
      <c r="EIV102" s="42"/>
      <c r="EIW102" s="42"/>
      <c r="EIX102" s="42"/>
      <c r="EIY102" s="42"/>
      <c r="EIZ102" s="43">
        <v>0</v>
      </c>
      <c r="EJA102" s="42" t="s">
        <v>48</v>
      </c>
      <c r="EJB102" s="42"/>
      <c r="EJC102" s="42"/>
      <c r="EJD102" s="42"/>
      <c r="EJE102" s="42"/>
      <c r="EJF102" s="42"/>
      <c r="EJG102" s="42"/>
      <c r="EJH102" s="43">
        <v>0</v>
      </c>
      <c r="EJI102" s="42" t="s">
        <v>48</v>
      </c>
      <c r="EJJ102" s="42"/>
      <c r="EJK102" s="42"/>
      <c r="EJL102" s="42"/>
      <c r="EJM102" s="42"/>
      <c r="EJN102" s="42"/>
      <c r="EJO102" s="42"/>
      <c r="EJP102" s="43">
        <v>0</v>
      </c>
      <c r="EJQ102" s="42" t="s">
        <v>48</v>
      </c>
      <c r="EJR102" s="42"/>
      <c r="EJS102" s="42"/>
      <c r="EJT102" s="42"/>
      <c r="EJU102" s="42"/>
      <c r="EJV102" s="42"/>
      <c r="EJW102" s="42"/>
      <c r="EJX102" s="43">
        <v>0</v>
      </c>
      <c r="EJY102" s="42" t="s">
        <v>48</v>
      </c>
      <c r="EJZ102" s="42"/>
      <c r="EKA102" s="42"/>
      <c r="EKB102" s="42"/>
      <c r="EKC102" s="42"/>
      <c r="EKD102" s="42"/>
      <c r="EKE102" s="42"/>
      <c r="EKF102" s="43">
        <v>0</v>
      </c>
      <c r="EKG102" s="42" t="s">
        <v>48</v>
      </c>
      <c r="EKH102" s="42"/>
      <c r="EKI102" s="42"/>
      <c r="EKJ102" s="42"/>
      <c r="EKK102" s="42"/>
      <c r="EKL102" s="42"/>
      <c r="EKM102" s="42"/>
      <c r="EKN102" s="43">
        <v>0</v>
      </c>
      <c r="EKO102" s="42" t="s">
        <v>48</v>
      </c>
      <c r="EKP102" s="42"/>
      <c r="EKQ102" s="42"/>
      <c r="EKR102" s="42"/>
      <c r="EKS102" s="42"/>
      <c r="EKT102" s="42"/>
      <c r="EKU102" s="42"/>
      <c r="EKV102" s="43">
        <v>0</v>
      </c>
      <c r="EKW102" s="42" t="s">
        <v>48</v>
      </c>
      <c r="EKX102" s="42"/>
      <c r="EKY102" s="42"/>
      <c r="EKZ102" s="42"/>
      <c r="ELA102" s="42"/>
      <c r="ELB102" s="42"/>
      <c r="ELC102" s="42"/>
      <c r="ELD102" s="43">
        <v>0</v>
      </c>
      <c r="ELE102" s="42" t="s">
        <v>48</v>
      </c>
      <c r="ELF102" s="42"/>
      <c r="ELG102" s="42"/>
      <c r="ELH102" s="42"/>
      <c r="ELI102" s="42"/>
      <c r="ELJ102" s="42"/>
      <c r="ELK102" s="42"/>
      <c r="ELL102" s="43">
        <v>0</v>
      </c>
      <c r="ELM102" s="42" t="s">
        <v>48</v>
      </c>
      <c r="ELN102" s="42"/>
      <c r="ELO102" s="42"/>
      <c r="ELP102" s="42"/>
      <c r="ELQ102" s="42"/>
      <c r="ELR102" s="42"/>
      <c r="ELS102" s="42"/>
      <c r="ELT102" s="43">
        <v>0</v>
      </c>
      <c r="ELU102" s="42" t="s">
        <v>48</v>
      </c>
      <c r="ELV102" s="42"/>
      <c r="ELW102" s="42"/>
      <c r="ELX102" s="42"/>
      <c r="ELY102" s="42"/>
      <c r="ELZ102" s="42"/>
      <c r="EMA102" s="42"/>
      <c r="EMB102" s="43">
        <v>0</v>
      </c>
      <c r="EMC102" s="42" t="s">
        <v>48</v>
      </c>
      <c r="EMD102" s="42"/>
      <c r="EME102" s="42"/>
      <c r="EMF102" s="42"/>
      <c r="EMG102" s="42"/>
      <c r="EMH102" s="42"/>
      <c r="EMI102" s="42"/>
      <c r="EMJ102" s="43">
        <v>0</v>
      </c>
      <c r="EMK102" s="42" t="s">
        <v>48</v>
      </c>
      <c r="EML102" s="42"/>
      <c r="EMM102" s="42"/>
      <c r="EMN102" s="42"/>
      <c r="EMO102" s="42"/>
      <c r="EMP102" s="42"/>
      <c r="EMQ102" s="42"/>
      <c r="EMR102" s="43">
        <v>0</v>
      </c>
      <c r="EMS102" s="42" t="s">
        <v>48</v>
      </c>
      <c r="EMT102" s="42"/>
      <c r="EMU102" s="42"/>
      <c r="EMV102" s="42"/>
      <c r="EMW102" s="42"/>
      <c r="EMX102" s="42"/>
      <c r="EMY102" s="42"/>
      <c r="EMZ102" s="43">
        <v>0</v>
      </c>
      <c r="ENA102" s="42" t="s">
        <v>48</v>
      </c>
      <c r="ENB102" s="42"/>
      <c r="ENC102" s="42"/>
      <c r="END102" s="42"/>
      <c r="ENE102" s="42"/>
      <c r="ENF102" s="42"/>
      <c r="ENG102" s="42"/>
      <c r="ENH102" s="43">
        <v>0</v>
      </c>
      <c r="ENI102" s="42" t="s">
        <v>48</v>
      </c>
      <c r="ENJ102" s="42"/>
      <c r="ENK102" s="42"/>
      <c r="ENL102" s="42"/>
      <c r="ENM102" s="42"/>
      <c r="ENN102" s="42"/>
      <c r="ENO102" s="42"/>
      <c r="ENP102" s="43">
        <v>0</v>
      </c>
      <c r="ENQ102" s="42" t="s">
        <v>48</v>
      </c>
      <c r="ENR102" s="42"/>
      <c r="ENS102" s="42"/>
      <c r="ENT102" s="42"/>
      <c r="ENU102" s="42"/>
      <c r="ENV102" s="42"/>
      <c r="ENW102" s="42"/>
      <c r="ENX102" s="43">
        <v>0</v>
      </c>
      <c r="ENY102" s="42" t="s">
        <v>48</v>
      </c>
      <c r="ENZ102" s="42"/>
      <c r="EOA102" s="42"/>
      <c r="EOB102" s="42"/>
      <c r="EOC102" s="42"/>
      <c r="EOD102" s="42"/>
      <c r="EOE102" s="42"/>
      <c r="EOF102" s="43">
        <v>0</v>
      </c>
      <c r="EOG102" s="42" t="s">
        <v>48</v>
      </c>
      <c r="EOH102" s="42"/>
      <c r="EOI102" s="42"/>
      <c r="EOJ102" s="42"/>
      <c r="EOK102" s="42"/>
      <c r="EOL102" s="42"/>
      <c r="EOM102" s="42"/>
      <c r="EON102" s="43">
        <v>0</v>
      </c>
      <c r="EOO102" s="42" t="s">
        <v>48</v>
      </c>
      <c r="EOP102" s="42"/>
      <c r="EOQ102" s="42"/>
      <c r="EOR102" s="42"/>
      <c r="EOS102" s="42"/>
      <c r="EOT102" s="42"/>
      <c r="EOU102" s="42"/>
      <c r="EOV102" s="43">
        <v>0</v>
      </c>
      <c r="EOW102" s="42" t="s">
        <v>48</v>
      </c>
      <c r="EOX102" s="42"/>
      <c r="EOY102" s="42"/>
      <c r="EOZ102" s="42"/>
      <c r="EPA102" s="42"/>
      <c r="EPB102" s="42"/>
      <c r="EPC102" s="42"/>
      <c r="EPD102" s="43">
        <v>0</v>
      </c>
      <c r="EPE102" s="42" t="s">
        <v>48</v>
      </c>
      <c r="EPF102" s="42"/>
      <c r="EPG102" s="42"/>
      <c r="EPH102" s="42"/>
      <c r="EPI102" s="42"/>
      <c r="EPJ102" s="42"/>
      <c r="EPK102" s="42"/>
      <c r="EPL102" s="43">
        <v>0</v>
      </c>
      <c r="EPM102" s="42" t="s">
        <v>48</v>
      </c>
      <c r="EPN102" s="42"/>
      <c r="EPO102" s="42"/>
      <c r="EPP102" s="42"/>
      <c r="EPQ102" s="42"/>
      <c r="EPR102" s="42"/>
      <c r="EPS102" s="42"/>
      <c r="EPT102" s="43">
        <v>0</v>
      </c>
      <c r="EPU102" s="42" t="s">
        <v>48</v>
      </c>
      <c r="EPV102" s="42"/>
      <c r="EPW102" s="42"/>
      <c r="EPX102" s="42"/>
      <c r="EPY102" s="42"/>
      <c r="EPZ102" s="42"/>
      <c r="EQA102" s="42"/>
      <c r="EQB102" s="43">
        <v>0</v>
      </c>
      <c r="EQC102" s="42" t="s">
        <v>48</v>
      </c>
      <c r="EQD102" s="42"/>
      <c r="EQE102" s="42"/>
      <c r="EQF102" s="42"/>
      <c r="EQG102" s="42"/>
      <c r="EQH102" s="42"/>
      <c r="EQI102" s="42"/>
      <c r="EQJ102" s="43">
        <v>0</v>
      </c>
      <c r="EQK102" s="42" t="s">
        <v>48</v>
      </c>
      <c r="EQL102" s="42"/>
      <c r="EQM102" s="42"/>
      <c r="EQN102" s="42"/>
      <c r="EQO102" s="42"/>
      <c r="EQP102" s="42"/>
      <c r="EQQ102" s="42"/>
      <c r="EQR102" s="43">
        <v>0</v>
      </c>
      <c r="EQS102" s="42" t="s">
        <v>48</v>
      </c>
      <c r="EQT102" s="42"/>
      <c r="EQU102" s="42"/>
      <c r="EQV102" s="42"/>
      <c r="EQW102" s="42"/>
      <c r="EQX102" s="42"/>
      <c r="EQY102" s="42"/>
      <c r="EQZ102" s="43">
        <v>0</v>
      </c>
      <c r="ERA102" s="42" t="s">
        <v>48</v>
      </c>
      <c r="ERB102" s="42"/>
      <c r="ERC102" s="42"/>
      <c r="ERD102" s="42"/>
      <c r="ERE102" s="42"/>
      <c r="ERF102" s="42"/>
      <c r="ERG102" s="42"/>
      <c r="ERH102" s="43">
        <v>0</v>
      </c>
      <c r="ERI102" s="42" t="s">
        <v>48</v>
      </c>
      <c r="ERJ102" s="42"/>
      <c r="ERK102" s="42"/>
      <c r="ERL102" s="42"/>
      <c r="ERM102" s="42"/>
      <c r="ERN102" s="42"/>
      <c r="ERO102" s="42"/>
      <c r="ERP102" s="43">
        <v>0</v>
      </c>
      <c r="ERQ102" s="42" t="s">
        <v>48</v>
      </c>
      <c r="ERR102" s="42"/>
      <c r="ERS102" s="42"/>
      <c r="ERT102" s="42"/>
      <c r="ERU102" s="42"/>
      <c r="ERV102" s="42"/>
      <c r="ERW102" s="42"/>
      <c r="ERX102" s="43">
        <v>0</v>
      </c>
      <c r="ERY102" s="42" t="s">
        <v>48</v>
      </c>
      <c r="ERZ102" s="42"/>
      <c r="ESA102" s="42"/>
      <c r="ESB102" s="42"/>
      <c r="ESC102" s="42"/>
      <c r="ESD102" s="42"/>
      <c r="ESE102" s="42"/>
      <c r="ESF102" s="43">
        <v>0</v>
      </c>
      <c r="ESG102" s="42" t="s">
        <v>48</v>
      </c>
      <c r="ESH102" s="42"/>
      <c r="ESI102" s="42"/>
      <c r="ESJ102" s="42"/>
      <c r="ESK102" s="42"/>
      <c r="ESL102" s="42"/>
      <c r="ESM102" s="42"/>
      <c r="ESN102" s="43">
        <v>0</v>
      </c>
      <c r="ESO102" s="42" t="s">
        <v>48</v>
      </c>
      <c r="ESP102" s="42"/>
      <c r="ESQ102" s="42"/>
      <c r="ESR102" s="42"/>
      <c r="ESS102" s="42"/>
      <c r="EST102" s="42"/>
      <c r="ESU102" s="42"/>
      <c r="ESV102" s="43">
        <v>0</v>
      </c>
      <c r="ESW102" s="42" t="s">
        <v>48</v>
      </c>
      <c r="ESX102" s="42"/>
      <c r="ESY102" s="42"/>
      <c r="ESZ102" s="42"/>
      <c r="ETA102" s="42"/>
      <c r="ETB102" s="42"/>
      <c r="ETC102" s="42"/>
      <c r="ETD102" s="43">
        <v>0</v>
      </c>
      <c r="ETE102" s="42" t="s">
        <v>48</v>
      </c>
      <c r="ETF102" s="42"/>
      <c r="ETG102" s="42"/>
      <c r="ETH102" s="42"/>
      <c r="ETI102" s="42"/>
      <c r="ETJ102" s="42"/>
      <c r="ETK102" s="42"/>
      <c r="ETL102" s="43">
        <v>0</v>
      </c>
      <c r="ETM102" s="42" t="s">
        <v>48</v>
      </c>
      <c r="ETN102" s="42"/>
      <c r="ETO102" s="42"/>
      <c r="ETP102" s="42"/>
      <c r="ETQ102" s="42"/>
      <c r="ETR102" s="42"/>
      <c r="ETS102" s="42"/>
      <c r="ETT102" s="43">
        <v>0</v>
      </c>
      <c r="ETU102" s="42" t="s">
        <v>48</v>
      </c>
      <c r="ETV102" s="42"/>
      <c r="ETW102" s="42"/>
      <c r="ETX102" s="42"/>
      <c r="ETY102" s="42"/>
      <c r="ETZ102" s="42"/>
      <c r="EUA102" s="42"/>
      <c r="EUB102" s="43">
        <v>0</v>
      </c>
      <c r="EUC102" s="42" t="s">
        <v>48</v>
      </c>
      <c r="EUD102" s="42"/>
      <c r="EUE102" s="42"/>
      <c r="EUF102" s="42"/>
      <c r="EUG102" s="42"/>
      <c r="EUH102" s="42"/>
      <c r="EUI102" s="42"/>
      <c r="EUJ102" s="43">
        <v>0</v>
      </c>
      <c r="EUK102" s="42" t="s">
        <v>48</v>
      </c>
      <c r="EUL102" s="42"/>
      <c r="EUM102" s="42"/>
      <c r="EUN102" s="42"/>
      <c r="EUO102" s="42"/>
      <c r="EUP102" s="42"/>
      <c r="EUQ102" s="42"/>
      <c r="EUR102" s="43">
        <v>0</v>
      </c>
      <c r="EUS102" s="42" t="s">
        <v>48</v>
      </c>
      <c r="EUT102" s="42"/>
      <c r="EUU102" s="42"/>
      <c r="EUV102" s="42"/>
      <c r="EUW102" s="42"/>
      <c r="EUX102" s="42"/>
      <c r="EUY102" s="42"/>
      <c r="EUZ102" s="43">
        <v>0</v>
      </c>
      <c r="EVA102" s="42" t="s">
        <v>48</v>
      </c>
      <c r="EVB102" s="42"/>
      <c r="EVC102" s="42"/>
      <c r="EVD102" s="42"/>
      <c r="EVE102" s="42"/>
      <c r="EVF102" s="42"/>
      <c r="EVG102" s="42"/>
      <c r="EVH102" s="43">
        <v>0</v>
      </c>
      <c r="EVI102" s="42" t="s">
        <v>48</v>
      </c>
      <c r="EVJ102" s="42"/>
      <c r="EVK102" s="42"/>
      <c r="EVL102" s="42"/>
      <c r="EVM102" s="42"/>
      <c r="EVN102" s="42"/>
      <c r="EVO102" s="42"/>
      <c r="EVP102" s="43">
        <v>0</v>
      </c>
      <c r="EVQ102" s="42" t="s">
        <v>48</v>
      </c>
      <c r="EVR102" s="42"/>
      <c r="EVS102" s="42"/>
      <c r="EVT102" s="42"/>
      <c r="EVU102" s="42"/>
      <c r="EVV102" s="42"/>
      <c r="EVW102" s="42"/>
      <c r="EVX102" s="43">
        <v>0</v>
      </c>
      <c r="EVY102" s="42" t="s">
        <v>48</v>
      </c>
      <c r="EVZ102" s="42"/>
      <c r="EWA102" s="42"/>
      <c r="EWB102" s="42"/>
      <c r="EWC102" s="42"/>
      <c r="EWD102" s="42"/>
      <c r="EWE102" s="42"/>
      <c r="EWF102" s="43">
        <v>0</v>
      </c>
      <c r="EWG102" s="42" t="s">
        <v>48</v>
      </c>
      <c r="EWH102" s="42"/>
      <c r="EWI102" s="42"/>
      <c r="EWJ102" s="42"/>
      <c r="EWK102" s="42"/>
      <c r="EWL102" s="42"/>
      <c r="EWM102" s="42"/>
      <c r="EWN102" s="43">
        <v>0</v>
      </c>
      <c r="EWO102" s="42" t="s">
        <v>48</v>
      </c>
      <c r="EWP102" s="42"/>
      <c r="EWQ102" s="42"/>
      <c r="EWR102" s="42"/>
      <c r="EWS102" s="42"/>
      <c r="EWT102" s="42"/>
      <c r="EWU102" s="42"/>
      <c r="EWV102" s="43">
        <v>0</v>
      </c>
      <c r="EWW102" s="42" t="s">
        <v>48</v>
      </c>
      <c r="EWX102" s="42"/>
      <c r="EWY102" s="42"/>
      <c r="EWZ102" s="42"/>
      <c r="EXA102" s="42"/>
      <c r="EXB102" s="42"/>
      <c r="EXC102" s="42"/>
      <c r="EXD102" s="43">
        <v>0</v>
      </c>
      <c r="EXE102" s="42" t="s">
        <v>48</v>
      </c>
      <c r="EXF102" s="42"/>
      <c r="EXG102" s="42"/>
      <c r="EXH102" s="42"/>
      <c r="EXI102" s="42"/>
      <c r="EXJ102" s="42"/>
      <c r="EXK102" s="42"/>
      <c r="EXL102" s="43">
        <v>0</v>
      </c>
      <c r="EXM102" s="42" t="s">
        <v>48</v>
      </c>
      <c r="EXN102" s="42"/>
      <c r="EXO102" s="42"/>
      <c r="EXP102" s="42"/>
      <c r="EXQ102" s="42"/>
      <c r="EXR102" s="42"/>
      <c r="EXS102" s="42"/>
      <c r="EXT102" s="43">
        <v>0</v>
      </c>
      <c r="EXU102" s="42" t="s">
        <v>48</v>
      </c>
      <c r="EXV102" s="42"/>
      <c r="EXW102" s="42"/>
      <c r="EXX102" s="42"/>
      <c r="EXY102" s="42"/>
      <c r="EXZ102" s="42"/>
      <c r="EYA102" s="42"/>
      <c r="EYB102" s="43">
        <v>0</v>
      </c>
      <c r="EYC102" s="42" t="s">
        <v>48</v>
      </c>
      <c r="EYD102" s="42"/>
      <c r="EYE102" s="42"/>
      <c r="EYF102" s="42"/>
      <c r="EYG102" s="42"/>
      <c r="EYH102" s="42"/>
      <c r="EYI102" s="42"/>
      <c r="EYJ102" s="43">
        <v>0</v>
      </c>
      <c r="EYK102" s="42" t="s">
        <v>48</v>
      </c>
      <c r="EYL102" s="42"/>
      <c r="EYM102" s="42"/>
      <c r="EYN102" s="42"/>
      <c r="EYO102" s="42"/>
      <c r="EYP102" s="42"/>
      <c r="EYQ102" s="42"/>
      <c r="EYR102" s="43">
        <v>0</v>
      </c>
      <c r="EYS102" s="42" t="s">
        <v>48</v>
      </c>
      <c r="EYT102" s="42"/>
      <c r="EYU102" s="42"/>
      <c r="EYV102" s="42"/>
      <c r="EYW102" s="42"/>
      <c r="EYX102" s="42"/>
      <c r="EYY102" s="42"/>
      <c r="EYZ102" s="43">
        <v>0</v>
      </c>
      <c r="EZA102" s="42" t="s">
        <v>48</v>
      </c>
      <c r="EZB102" s="42"/>
      <c r="EZC102" s="42"/>
      <c r="EZD102" s="42"/>
      <c r="EZE102" s="42"/>
      <c r="EZF102" s="42"/>
      <c r="EZG102" s="42"/>
      <c r="EZH102" s="43">
        <v>0</v>
      </c>
      <c r="EZI102" s="42" t="s">
        <v>48</v>
      </c>
      <c r="EZJ102" s="42"/>
      <c r="EZK102" s="42"/>
      <c r="EZL102" s="42"/>
      <c r="EZM102" s="42"/>
      <c r="EZN102" s="42"/>
      <c r="EZO102" s="42"/>
      <c r="EZP102" s="43">
        <v>0</v>
      </c>
      <c r="EZQ102" s="42" t="s">
        <v>48</v>
      </c>
      <c r="EZR102" s="42"/>
      <c r="EZS102" s="42"/>
      <c r="EZT102" s="42"/>
      <c r="EZU102" s="42"/>
      <c r="EZV102" s="42"/>
      <c r="EZW102" s="42"/>
      <c r="EZX102" s="43">
        <v>0</v>
      </c>
      <c r="EZY102" s="42" t="s">
        <v>48</v>
      </c>
      <c r="EZZ102" s="42"/>
      <c r="FAA102" s="42"/>
      <c r="FAB102" s="42"/>
      <c r="FAC102" s="42"/>
      <c r="FAD102" s="42"/>
      <c r="FAE102" s="42"/>
      <c r="FAF102" s="43">
        <v>0</v>
      </c>
      <c r="FAG102" s="42" t="s">
        <v>48</v>
      </c>
      <c r="FAH102" s="42"/>
      <c r="FAI102" s="42"/>
      <c r="FAJ102" s="42"/>
      <c r="FAK102" s="42"/>
      <c r="FAL102" s="42"/>
      <c r="FAM102" s="42"/>
      <c r="FAN102" s="43">
        <v>0</v>
      </c>
      <c r="FAO102" s="42" t="s">
        <v>48</v>
      </c>
      <c r="FAP102" s="42"/>
      <c r="FAQ102" s="42"/>
      <c r="FAR102" s="42"/>
      <c r="FAS102" s="42"/>
      <c r="FAT102" s="42"/>
      <c r="FAU102" s="42"/>
      <c r="FAV102" s="43">
        <v>0</v>
      </c>
      <c r="FAW102" s="42" t="s">
        <v>48</v>
      </c>
      <c r="FAX102" s="42"/>
      <c r="FAY102" s="42"/>
      <c r="FAZ102" s="42"/>
      <c r="FBA102" s="42"/>
      <c r="FBB102" s="42"/>
      <c r="FBC102" s="42"/>
      <c r="FBD102" s="43">
        <v>0</v>
      </c>
      <c r="FBE102" s="42" t="s">
        <v>48</v>
      </c>
      <c r="FBF102" s="42"/>
      <c r="FBG102" s="42"/>
      <c r="FBH102" s="42"/>
      <c r="FBI102" s="42"/>
      <c r="FBJ102" s="42"/>
      <c r="FBK102" s="42"/>
      <c r="FBL102" s="43">
        <v>0</v>
      </c>
      <c r="FBM102" s="42" t="s">
        <v>48</v>
      </c>
      <c r="FBN102" s="42"/>
      <c r="FBO102" s="42"/>
      <c r="FBP102" s="42"/>
      <c r="FBQ102" s="42"/>
      <c r="FBR102" s="42"/>
      <c r="FBS102" s="42"/>
      <c r="FBT102" s="43">
        <v>0</v>
      </c>
      <c r="FBU102" s="42" t="s">
        <v>48</v>
      </c>
      <c r="FBV102" s="42"/>
      <c r="FBW102" s="42"/>
      <c r="FBX102" s="42"/>
      <c r="FBY102" s="42"/>
      <c r="FBZ102" s="42"/>
      <c r="FCA102" s="42"/>
      <c r="FCB102" s="43">
        <v>0</v>
      </c>
      <c r="FCC102" s="42" t="s">
        <v>48</v>
      </c>
      <c r="FCD102" s="42"/>
      <c r="FCE102" s="42"/>
      <c r="FCF102" s="42"/>
      <c r="FCG102" s="42"/>
      <c r="FCH102" s="42"/>
      <c r="FCI102" s="42"/>
      <c r="FCJ102" s="43">
        <v>0</v>
      </c>
      <c r="FCK102" s="42" t="s">
        <v>48</v>
      </c>
      <c r="FCL102" s="42"/>
      <c r="FCM102" s="42"/>
      <c r="FCN102" s="42"/>
      <c r="FCO102" s="42"/>
      <c r="FCP102" s="42"/>
      <c r="FCQ102" s="42"/>
      <c r="FCR102" s="43">
        <v>0</v>
      </c>
      <c r="FCS102" s="42" t="s">
        <v>48</v>
      </c>
      <c r="FCT102" s="42"/>
      <c r="FCU102" s="42"/>
      <c r="FCV102" s="42"/>
      <c r="FCW102" s="42"/>
      <c r="FCX102" s="42"/>
      <c r="FCY102" s="42"/>
      <c r="FCZ102" s="43">
        <v>0</v>
      </c>
      <c r="FDA102" s="42" t="s">
        <v>48</v>
      </c>
      <c r="FDB102" s="42"/>
      <c r="FDC102" s="42"/>
      <c r="FDD102" s="42"/>
      <c r="FDE102" s="42"/>
      <c r="FDF102" s="42"/>
      <c r="FDG102" s="42"/>
      <c r="FDH102" s="43">
        <v>0</v>
      </c>
      <c r="FDI102" s="42" t="s">
        <v>48</v>
      </c>
      <c r="FDJ102" s="42"/>
      <c r="FDK102" s="42"/>
      <c r="FDL102" s="42"/>
      <c r="FDM102" s="42"/>
      <c r="FDN102" s="42"/>
      <c r="FDO102" s="42"/>
      <c r="FDP102" s="43">
        <v>0</v>
      </c>
      <c r="FDQ102" s="42" t="s">
        <v>48</v>
      </c>
      <c r="FDR102" s="42"/>
      <c r="FDS102" s="42"/>
      <c r="FDT102" s="42"/>
      <c r="FDU102" s="42"/>
      <c r="FDV102" s="42"/>
      <c r="FDW102" s="42"/>
      <c r="FDX102" s="43">
        <v>0</v>
      </c>
      <c r="FDY102" s="42" t="s">
        <v>48</v>
      </c>
      <c r="FDZ102" s="42"/>
      <c r="FEA102" s="42"/>
      <c r="FEB102" s="42"/>
      <c r="FEC102" s="42"/>
      <c r="FED102" s="42"/>
      <c r="FEE102" s="42"/>
      <c r="FEF102" s="43">
        <v>0</v>
      </c>
      <c r="FEG102" s="42" t="s">
        <v>48</v>
      </c>
      <c r="FEH102" s="42"/>
      <c r="FEI102" s="42"/>
      <c r="FEJ102" s="42"/>
      <c r="FEK102" s="42"/>
      <c r="FEL102" s="42"/>
      <c r="FEM102" s="42"/>
      <c r="FEN102" s="43">
        <v>0</v>
      </c>
      <c r="FEO102" s="42" t="s">
        <v>48</v>
      </c>
      <c r="FEP102" s="42"/>
      <c r="FEQ102" s="42"/>
      <c r="FER102" s="42"/>
      <c r="FES102" s="42"/>
      <c r="FET102" s="42"/>
      <c r="FEU102" s="42"/>
      <c r="FEV102" s="43">
        <v>0</v>
      </c>
      <c r="FEW102" s="42" t="s">
        <v>48</v>
      </c>
      <c r="FEX102" s="42"/>
      <c r="FEY102" s="42"/>
      <c r="FEZ102" s="42"/>
      <c r="FFA102" s="42"/>
      <c r="FFB102" s="42"/>
      <c r="FFC102" s="42"/>
      <c r="FFD102" s="43">
        <v>0</v>
      </c>
      <c r="FFE102" s="42" t="s">
        <v>48</v>
      </c>
      <c r="FFF102" s="42"/>
      <c r="FFG102" s="42"/>
      <c r="FFH102" s="42"/>
      <c r="FFI102" s="42"/>
      <c r="FFJ102" s="42"/>
      <c r="FFK102" s="42"/>
      <c r="FFL102" s="43">
        <v>0</v>
      </c>
      <c r="FFM102" s="42" t="s">
        <v>48</v>
      </c>
      <c r="FFN102" s="42"/>
      <c r="FFO102" s="42"/>
      <c r="FFP102" s="42"/>
      <c r="FFQ102" s="42"/>
      <c r="FFR102" s="42"/>
      <c r="FFS102" s="42"/>
      <c r="FFT102" s="43">
        <v>0</v>
      </c>
      <c r="FFU102" s="42" t="s">
        <v>48</v>
      </c>
      <c r="FFV102" s="42"/>
      <c r="FFW102" s="42"/>
      <c r="FFX102" s="42"/>
      <c r="FFY102" s="42"/>
      <c r="FFZ102" s="42"/>
      <c r="FGA102" s="42"/>
      <c r="FGB102" s="43">
        <v>0</v>
      </c>
      <c r="FGC102" s="42" t="s">
        <v>48</v>
      </c>
      <c r="FGD102" s="42"/>
      <c r="FGE102" s="42"/>
      <c r="FGF102" s="42"/>
      <c r="FGG102" s="42"/>
      <c r="FGH102" s="42"/>
      <c r="FGI102" s="42"/>
      <c r="FGJ102" s="43">
        <v>0</v>
      </c>
      <c r="FGK102" s="42" t="s">
        <v>48</v>
      </c>
      <c r="FGL102" s="42"/>
      <c r="FGM102" s="42"/>
      <c r="FGN102" s="42"/>
      <c r="FGO102" s="42"/>
      <c r="FGP102" s="42"/>
      <c r="FGQ102" s="42"/>
      <c r="FGR102" s="43">
        <v>0</v>
      </c>
      <c r="FGS102" s="42" t="s">
        <v>48</v>
      </c>
      <c r="FGT102" s="42"/>
      <c r="FGU102" s="42"/>
      <c r="FGV102" s="42"/>
      <c r="FGW102" s="42"/>
      <c r="FGX102" s="42"/>
      <c r="FGY102" s="42"/>
      <c r="FGZ102" s="43">
        <v>0</v>
      </c>
      <c r="FHA102" s="42" t="s">
        <v>48</v>
      </c>
      <c r="FHB102" s="42"/>
      <c r="FHC102" s="42"/>
      <c r="FHD102" s="42"/>
      <c r="FHE102" s="42"/>
      <c r="FHF102" s="42"/>
      <c r="FHG102" s="42"/>
      <c r="FHH102" s="43">
        <v>0</v>
      </c>
      <c r="FHI102" s="42" t="s">
        <v>48</v>
      </c>
      <c r="FHJ102" s="42"/>
      <c r="FHK102" s="42"/>
      <c r="FHL102" s="42"/>
      <c r="FHM102" s="42"/>
      <c r="FHN102" s="42"/>
      <c r="FHO102" s="42"/>
      <c r="FHP102" s="43">
        <v>0</v>
      </c>
      <c r="FHQ102" s="42" t="s">
        <v>48</v>
      </c>
      <c r="FHR102" s="42"/>
      <c r="FHS102" s="42"/>
      <c r="FHT102" s="42"/>
      <c r="FHU102" s="42"/>
      <c r="FHV102" s="42"/>
      <c r="FHW102" s="42"/>
      <c r="FHX102" s="43">
        <v>0</v>
      </c>
      <c r="FHY102" s="42" t="s">
        <v>48</v>
      </c>
      <c r="FHZ102" s="42"/>
      <c r="FIA102" s="42"/>
      <c r="FIB102" s="42"/>
      <c r="FIC102" s="42"/>
      <c r="FID102" s="42"/>
      <c r="FIE102" s="42"/>
      <c r="FIF102" s="43">
        <v>0</v>
      </c>
      <c r="FIG102" s="42" t="s">
        <v>48</v>
      </c>
      <c r="FIH102" s="42"/>
      <c r="FII102" s="42"/>
      <c r="FIJ102" s="42"/>
      <c r="FIK102" s="42"/>
      <c r="FIL102" s="42"/>
      <c r="FIM102" s="42"/>
      <c r="FIN102" s="43">
        <v>0</v>
      </c>
      <c r="FIO102" s="42" t="s">
        <v>48</v>
      </c>
      <c r="FIP102" s="42"/>
      <c r="FIQ102" s="42"/>
      <c r="FIR102" s="42"/>
      <c r="FIS102" s="42"/>
      <c r="FIT102" s="42"/>
      <c r="FIU102" s="42"/>
      <c r="FIV102" s="43">
        <v>0</v>
      </c>
      <c r="FIW102" s="42" t="s">
        <v>48</v>
      </c>
      <c r="FIX102" s="42"/>
      <c r="FIY102" s="42"/>
      <c r="FIZ102" s="42"/>
      <c r="FJA102" s="42"/>
      <c r="FJB102" s="42"/>
      <c r="FJC102" s="42"/>
      <c r="FJD102" s="43">
        <v>0</v>
      </c>
      <c r="FJE102" s="42" t="s">
        <v>48</v>
      </c>
      <c r="FJF102" s="42"/>
      <c r="FJG102" s="42"/>
      <c r="FJH102" s="42"/>
      <c r="FJI102" s="42"/>
      <c r="FJJ102" s="42"/>
      <c r="FJK102" s="42"/>
      <c r="FJL102" s="43">
        <v>0</v>
      </c>
      <c r="FJM102" s="42" t="s">
        <v>48</v>
      </c>
      <c r="FJN102" s="42"/>
      <c r="FJO102" s="42"/>
      <c r="FJP102" s="42"/>
      <c r="FJQ102" s="42"/>
      <c r="FJR102" s="42"/>
      <c r="FJS102" s="42"/>
      <c r="FJT102" s="43">
        <v>0</v>
      </c>
      <c r="FJU102" s="42" t="s">
        <v>48</v>
      </c>
      <c r="FJV102" s="42"/>
      <c r="FJW102" s="42"/>
      <c r="FJX102" s="42"/>
      <c r="FJY102" s="42"/>
      <c r="FJZ102" s="42"/>
      <c r="FKA102" s="42"/>
      <c r="FKB102" s="43">
        <v>0</v>
      </c>
      <c r="FKC102" s="42" t="s">
        <v>48</v>
      </c>
      <c r="FKD102" s="42"/>
      <c r="FKE102" s="42"/>
      <c r="FKF102" s="42"/>
      <c r="FKG102" s="42"/>
      <c r="FKH102" s="42"/>
      <c r="FKI102" s="42"/>
      <c r="FKJ102" s="43">
        <v>0</v>
      </c>
      <c r="FKK102" s="42" t="s">
        <v>48</v>
      </c>
      <c r="FKL102" s="42"/>
      <c r="FKM102" s="42"/>
      <c r="FKN102" s="42"/>
      <c r="FKO102" s="42"/>
      <c r="FKP102" s="42"/>
      <c r="FKQ102" s="42"/>
      <c r="FKR102" s="43">
        <v>0</v>
      </c>
      <c r="FKS102" s="42" t="s">
        <v>48</v>
      </c>
      <c r="FKT102" s="42"/>
      <c r="FKU102" s="42"/>
      <c r="FKV102" s="42"/>
      <c r="FKW102" s="42"/>
      <c r="FKX102" s="42"/>
      <c r="FKY102" s="42"/>
      <c r="FKZ102" s="43">
        <v>0</v>
      </c>
      <c r="FLA102" s="42" t="s">
        <v>48</v>
      </c>
      <c r="FLB102" s="42"/>
      <c r="FLC102" s="42"/>
      <c r="FLD102" s="42"/>
      <c r="FLE102" s="42"/>
      <c r="FLF102" s="42"/>
      <c r="FLG102" s="42"/>
      <c r="FLH102" s="43">
        <v>0</v>
      </c>
      <c r="FLI102" s="42" t="s">
        <v>48</v>
      </c>
      <c r="FLJ102" s="42"/>
      <c r="FLK102" s="42"/>
      <c r="FLL102" s="42"/>
      <c r="FLM102" s="42"/>
      <c r="FLN102" s="42"/>
      <c r="FLO102" s="42"/>
      <c r="FLP102" s="43">
        <v>0</v>
      </c>
      <c r="FLQ102" s="42" t="s">
        <v>48</v>
      </c>
      <c r="FLR102" s="42"/>
      <c r="FLS102" s="42"/>
      <c r="FLT102" s="42"/>
      <c r="FLU102" s="42"/>
      <c r="FLV102" s="42"/>
      <c r="FLW102" s="42"/>
      <c r="FLX102" s="43">
        <v>0</v>
      </c>
      <c r="FLY102" s="42" t="s">
        <v>48</v>
      </c>
      <c r="FLZ102" s="42"/>
      <c r="FMA102" s="42"/>
      <c r="FMB102" s="42"/>
      <c r="FMC102" s="42"/>
      <c r="FMD102" s="42"/>
      <c r="FME102" s="42"/>
      <c r="FMF102" s="43">
        <v>0</v>
      </c>
      <c r="FMG102" s="42" t="s">
        <v>48</v>
      </c>
      <c r="FMH102" s="42"/>
      <c r="FMI102" s="42"/>
      <c r="FMJ102" s="42"/>
      <c r="FMK102" s="42"/>
      <c r="FML102" s="42"/>
      <c r="FMM102" s="42"/>
      <c r="FMN102" s="43">
        <v>0</v>
      </c>
      <c r="FMO102" s="42" t="s">
        <v>48</v>
      </c>
      <c r="FMP102" s="42"/>
      <c r="FMQ102" s="42"/>
      <c r="FMR102" s="42"/>
      <c r="FMS102" s="42"/>
      <c r="FMT102" s="42"/>
      <c r="FMU102" s="42"/>
      <c r="FMV102" s="43">
        <v>0</v>
      </c>
      <c r="FMW102" s="42" t="s">
        <v>48</v>
      </c>
      <c r="FMX102" s="42"/>
      <c r="FMY102" s="42"/>
      <c r="FMZ102" s="42"/>
      <c r="FNA102" s="42"/>
      <c r="FNB102" s="42"/>
      <c r="FNC102" s="42"/>
      <c r="FND102" s="43">
        <v>0</v>
      </c>
      <c r="FNE102" s="42" t="s">
        <v>48</v>
      </c>
      <c r="FNF102" s="42"/>
      <c r="FNG102" s="42"/>
      <c r="FNH102" s="42"/>
      <c r="FNI102" s="42"/>
      <c r="FNJ102" s="42"/>
      <c r="FNK102" s="42"/>
      <c r="FNL102" s="43">
        <v>0</v>
      </c>
      <c r="FNM102" s="42" t="s">
        <v>48</v>
      </c>
      <c r="FNN102" s="42"/>
      <c r="FNO102" s="42"/>
      <c r="FNP102" s="42"/>
      <c r="FNQ102" s="42"/>
      <c r="FNR102" s="42"/>
      <c r="FNS102" s="42"/>
      <c r="FNT102" s="43">
        <v>0</v>
      </c>
      <c r="FNU102" s="42" t="s">
        <v>48</v>
      </c>
      <c r="FNV102" s="42"/>
      <c r="FNW102" s="42"/>
      <c r="FNX102" s="42"/>
      <c r="FNY102" s="42"/>
      <c r="FNZ102" s="42"/>
      <c r="FOA102" s="42"/>
      <c r="FOB102" s="43">
        <v>0</v>
      </c>
      <c r="FOC102" s="42" t="s">
        <v>48</v>
      </c>
      <c r="FOD102" s="42"/>
      <c r="FOE102" s="42"/>
      <c r="FOF102" s="42"/>
      <c r="FOG102" s="42"/>
      <c r="FOH102" s="42"/>
      <c r="FOI102" s="42"/>
      <c r="FOJ102" s="43">
        <v>0</v>
      </c>
      <c r="FOK102" s="42" t="s">
        <v>48</v>
      </c>
      <c r="FOL102" s="42"/>
      <c r="FOM102" s="42"/>
      <c r="FON102" s="42"/>
      <c r="FOO102" s="42"/>
      <c r="FOP102" s="42"/>
      <c r="FOQ102" s="42"/>
      <c r="FOR102" s="43">
        <v>0</v>
      </c>
      <c r="FOS102" s="42" t="s">
        <v>48</v>
      </c>
      <c r="FOT102" s="42"/>
      <c r="FOU102" s="42"/>
      <c r="FOV102" s="42"/>
      <c r="FOW102" s="42"/>
      <c r="FOX102" s="42"/>
      <c r="FOY102" s="42"/>
      <c r="FOZ102" s="43">
        <v>0</v>
      </c>
      <c r="FPA102" s="42" t="s">
        <v>48</v>
      </c>
      <c r="FPB102" s="42"/>
      <c r="FPC102" s="42"/>
      <c r="FPD102" s="42"/>
      <c r="FPE102" s="42"/>
      <c r="FPF102" s="42"/>
      <c r="FPG102" s="42"/>
      <c r="FPH102" s="43">
        <v>0</v>
      </c>
      <c r="FPI102" s="42" t="s">
        <v>48</v>
      </c>
      <c r="FPJ102" s="42"/>
      <c r="FPK102" s="42"/>
      <c r="FPL102" s="42"/>
      <c r="FPM102" s="42"/>
      <c r="FPN102" s="42"/>
      <c r="FPO102" s="42"/>
      <c r="FPP102" s="43">
        <v>0</v>
      </c>
      <c r="FPQ102" s="42" t="s">
        <v>48</v>
      </c>
      <c r="FPR102" s="42"/>
      <c r="FPS102" s="42"/>
      <c r="FPT102" s="42"/>
      <c r="FPU102" s="42"/>
      <c r="FPV102" s="42"/>
      <c r="FPW102" s="42"/>
      <c r="FPX102" s="43">
        <v>0</v>
      </c>
      <c r="FPY102" s="42" t="s">
        <v>48</v>
      </c>
      <c r="FPZ102" s="42"/>
      <c r="FQA102" s="42"/>
      <c r="FQB102" s="42"/>
      <c r="FQC102" s="42"/>
      <c r="FQD102" s="42"/>
      <c r="FQE102" s="42"/>
      <c r="FQF102" s="43">
        <v>0</v>
      </c>
      <c r="FQG102" s="42" t="s">
        <v>48</v>
      </c>
      <c r="FQH102" s="42"/>
      <c r="FQI102" s="42"/>
      <c r="FQJ102" s="42"/>
      <c r="FQK102" s="42"/>
      <c r="FQL102" s="42"/>
      <c r="FQM102" s="42"/>
      <c r="FQN102" s="43">
        <v>0</v>
      </c>
      <c r="FQO102" s="42" t="s">
        <v>48</v>
      </c>
      <c r="FQP102" s="42"/>
      <c r="FQQ102" s="42"/>
      <c r="FQR102" s="42"/>
      <c r="FQS102" s="42"/>
      <c r="FQT102" s="42"/>
      <c r="FQU102" s="42"/>
      <c r="FQV102" s="43">
        <v>0</v>
      </c>
      <c r="FQW102" s="42" t="s">
        <v>48</v>
      </c>
      <c r="FQX102" s="42"/>
      <c r="FQY102" s="42"/>
      <c r="FQZ102" s="42"/>
      <c r="FRA102" s="42"/>
      <c r="FRB102" s="42"/>
      <c r="FRC102" s="42"/>
      <c r="FRD102" s="43">
        <v>0</v>
      </c>
      <c r="FRE102" s="42" t="s">
        <v>48</v>
      </c>
      <c r="FRF102" s="42"/>
      <c r="FRG102" s="42"/>
      <c r="FRH102" s="42"/>
      <c r="FRI102" s="42"/>
      <c r="FRJ102" s="42"/>
      <c r="FRK102" s="42"/>
      <c r="FRL102" s="43">
        <v>0</v>
      </c>
      <c r="FRM102" s="42" t="s">
        <v>48</v>
      </c>
      <c r="FRN102" s="42"/>
      <c r="FRO102" s="42"/>
      <c r="FRP102" s="42"/>
      <c r="FRQ102" s="42"/>
      <c r="FRR102" s="42"/>
      <c r="FRS102" s="42"/>
      <c r="FRT102" s="43">
        <v>0</v>
      </c>
      <c r="FRU102" s="42" t="s">
        <v>48</v>
      </c>
      <c r="FRV102" s="42"/>
      <c r="FRW102" s="42"/>
      <c r="FRX102" s="42"/>
      <c r="FRY102" s="42"/>
      <c r="FRZ102" s="42"/>
      <c r="FSA102" s="42"/>
      <c r="FSB102" s="43">
        <v>0</v>
      </c>
      <c r="FSC102" s="42" t="s">
        <v>48</v>
      </c>
      <c r="FSD102" s="42"/>
      <c r="FSE102" s="42"/>
      <c r="FSF102" s="42"/>
      <c r="FSG102" s="42"/>
      <c r="FSH102" s="42"/>
      <c r="FSI102" s="42"/>
      <c r="FSJ102" s="43">
        <v>0</v>
      </c>
      <c r="FSK102" s="42" t="s">
        <v>48</v>
      </c>
      <c r="FSL102" s="42"/>
      <c r="FSM102" s="42"/>
      <c r="FSN102" s="42"/>
      <c r="FSO102" s="42"/>
      <c r="FSP102" s="42"/>
      <c r="FSQ102" s="42"/>
      <c r="FSR102" s="43">
        <v>0</v>
      </c>
      <c r="FSS102" s="42" t="s">
        <v>48</v>
      </c>
      <c r="FST102" s="42"/>
      <c r="FSU102" s="42"/>
      <c r="FSV102" s="42"/>
      <c r="FSW102" s="42"/>
      <c r="FSX102" s="42"/>
      <c r="FSY102" s="42"/>
      <c r="FSZ102" s="43">
        <v>0</v>
      </c>
      <c r="FTA102" s="42" t="s">
        <v>48</v>
      </c>
      <c r="FTB102" s="42"/>
      <c r="FTC102" s="42"/>
      <c r="FTD102" s="42"/>
      <c r="FTE102" s="42"/>
      <c r="FTF102" s="42"/>
      <c r="FTG102" s="42"/>
      <c r="FTH102" s="43">
        <v>0</v>
      </c>
      <c r="FTI102" s="42" t="s">
        <v>48</v>
      </c>
      <c r="FTJ102" s="42"/>
      <c r="FTK102" s="42"/>
      <c r="FTL102" s="42"/>
      <c r="FTM102" s="42"/>
      <c r="FTN102" s="42"/>
      <c r="FTO102" s="42"/>
      <c r="FTP102" s="43">
        <v>0</v>
      </c>
      <c r="FTQ102" s="42" t="s">
        <v>48</v>
      </c>
      <c r="FTR102" s="42"/>
      <c r="FTS102" s="42"/>
      <c r="FTT102" s="42"/>
      <c r="FTU102" s="42"/>
      <c r="FTV102" s="42"/>
      <c r="FTW102" s="42"/>
      <c r="FTX102" s="43">
        <v>0</v>
      </c>
      <c r="FTY102" s="42" t="s">
        <v>48</v>
      </c>
      <c r="FTZ102" s="42"/>
      <c r="FUA102" s="42"/>
      <c r="FUB102" s="42"/>
      <c r="FUC102" s="42"/>
      <c r="FUD102" s="42"/>
      <c r="FUE102" s="42"/>
      <c r="FUF102" s="43">
        <v>0</v>
      </c>
      <c r="FUG102" s="42" t="s">
        <v>48</v>
      </c>
      <c r="FUH102" s="42"/>
      <c r="FUI102" s="42"/>
      <c r="FUJ102" s="42"/>
      <c r="FUK102" s="42"/>
      <c r="FUL102" s="42"/>
      <c r="FUM102" s="42"/>
      <c r="FUN102" s="43">
        <v>0</v>
      </c>
      <c r="FUO102" s="42" t="s">
        <v>48</v>
      </c>
      <c r="FUP102" s="42"/>
      <c r="FUQ102" s="42"/>
      <c r="FUR102" s="42"/>
      <c r="FUS102" s="42"/>
      <c r="FUT102" s="42"/>
      <c r="FUU102" s="42"/>
      <c r="FUV102" s="43">
        <v>0</v>
      </c>
      <c r="FUW102" s="42" t="s">
        <v>48</v>
      </c>
      <c r="FUX102" s="42"/>
      <c r="FUY102" s="42"/>
      <c r="FUZ102" s="42"/>
      <c r="FVA102" s="42"/>
      <c r="FVB102" s="42"/>
      <c r="FVC102" s="42"/>
      <c r="FVD102" s="43">
        <v>0</v>
      </c>
      <c r="FVE102" s="42" t="s">
        <v>48</v>
      </c>
      <c r="FVF102" s="42"/>
      <c r="FVG102" s="42"/>
      <c r="FVH102" s="42"/>
      <c r="FVI102" s="42"/>
      <c r="FVJ102" s="42"/>
      <c r="FVK102" s="42"/>
      <c r="FVL102" s="43">
        <v>0</v>
      </c>
      <c r="FVM102" s="42" t="s">
        <v>48</v>
      </c>
      <c r="FVN102" s="42"/>
      <c r="FVO102" s="42"/>
      <c r="FVP102" s="42"/>
      <c r="FVQ102" s="42"/>
      <c r="FVR102" s="42"/>
      <c r="FVS102" s="42"/>
      <c r="FVT102" s="43">
        <v>0</v>
      </c>
      <c r="FVU102" s="42" t="s">
        <v>48</v>
      </c>
      <c r="FVV102" s="42"/>
      <c r="FVW102" s="42"/>
      <c r="FVX102" s="42"/>
      <c r="FVY102" s="42"/>
      <c r="FVZ102" s="42"/>
      <c r="FWA102" s="42"/>
      <c r="FWB102" s="43">
        <v>0</v>
      </c>
      <c r="FWC102" s="42" t="s">
        <v>48</v>
      </c>
      <c r="FWD102" s="42"/>
      <c r="FWE102" s="42"/>
      <c r="FWF102" s="42"/>
      <c r="FWG102" s="42"/>
      <c r="FWH102" s="42"/>
      <c r="FWI102" s="42"/>
      <c r="FWJ102" s="43">
        <v>0</v>
      </c>
      <c r="FWK102" s="42" t="s">
        <v>48</v>
      </c>
      <c r="FWL102" s="42"/>
      <c r="FWM102" s="42"/>
      <c r="FWN102" s="42"/>
      <c r="FWO102" s="42"/>
      <c r="FWP102" s="42"/>
      <c r="FWQ102" s="42"/>
      <c r="FWR102" s="43">
        <v>0</v>
      </c>
      <c r="FWS102" s="42" t="s">
        <v>48</v>
      </c>
      <c r="FWT102" s="42"/>
      <c r="FWU102" s="42"/>
      <c r="FWV102" s="42"/>
      <c r="FWW102" s="42"/>
      <c r="FWX102" s="42"/>
      <c r="FWY102" s="42"/>
      <c r="FWZ102" s="43">
        <v>0</v>
      </c>
      <c r="FXA102" s="42" t="s">
        <v>48</v>
      </c>
      <c r="FXB102" s="42"/>
      <c r="FXC102" s="42"/>
      <c r="FXD102" s="42"/>
      <c r="FXE102" s="42"/>
      <c r="FXF102" s="42"/>
      <c r="FXG102" s="42"/>
      <c r="FXH102" s="43">
        <v>0</v>
      </c>
      <c r="FXI102" s="42" t="s">
        <v>48</v>
      </c>
      <c r="FXJ102" s="42"/>
      <c r="FXK102" s="42"/>
      <c r="FXL102" s="42"/>
      <c r="FXM102" s="42"/>
      <c r="FXN102" s="42"/>
      <c r="FXO102" s="42"/>
      <c r="FXP102" s="43">
        <v>0</v>
      </c>
      <c r="FXQ102" s="42" t="s">
        <v>48</v>
      </c>
      <c r="FXR102" s="42"/>
      <c r="FXS102" s="42"/>
      <c r="FXT102" s="42"/>
      <c r="FXU102" s="42"/>
      <c r="FXV102" s="42"/>
      <c r="FXW102" s="42"/>
      <c r="FXX102" s="43">
        <v>0</v>
      </c>
      <c r="FXY102" s="42" t="s">
        <v>48</v>
      </c>
      <c r="FXZ102" s="42"/>
      <c r="FYA102" s="42"/>
      <c r="FYB102" s="42"/>
      <c r="FYC102" s="42"/>
      <c r="FYD102" s="42"/>
      <c r="FYE102" s="42"/>
      <c r="FYF102" s="43">
        <v>0</v>
      </c>
      <c r="FYG102" s="42" t="s">
        <v>48</v>
      </c>
      <c r="FYH102" s="42"/>
      <c r="FYI102" s="42"/>
      <c r="FYJ102" s="42"/>
      <c r="FYK102" s="42"/>
      <c r="FYL102" s="42"/>
      <c r="FYM102" s="42"/>
      <c r="FYN102" s="43">
        <v>0</v>
      </c>
      <c r="FYO102" s="42" t="s">
        <v>48</v>
      </c>
      <c r="FYP102" s="42"/>
      <c r="FYQ102" s="42"/>
      <c r="FYR102" s="42"/>
      <c r="FYS102" s="42"/>
      <c r="FYT102" s="42"/>
      <c r="FYU102" s="42"/>
      <c r="FYV102" s="43">
        <v>0</v>
      </c>
      <c r="FYW102" s="42" t="s">
        <v>48</v>
      </c>
      <c r="FYX102" s="42"/>
      <c r="FYY102" s="42"/>
      <c r="FYZ102" s="42"/>
      <c r="FZA102" s="42"/>
      <c r="FZB102" s="42"/>
      <c r="FZC102" s="42"/>
      <c r="FZD102" s="43">
        <v>0</v>
      </c>
      <c r="FZE102" s="42" t="s">
        <v>48</v>
      </c>
      <c r="FZF102" s="42"/>
      <c r="FZG102" s="42"/>
      <c r="FZH102" s="42"/>
      <c r="FZI102" s="42"/>
      <c r="FZJ102" s="42"/>
      <c r="FZK102" s="42"/>
      <c r="FZL102" s="43">
        <v>0</v>
      </c>
      <c r="FZM102" s="42" t="s">
        <v>48</v>
      </c>
      <c r="FZN102" s="42"/>
      <c r="FZO102" s="42"/>
      <c r="FZP102" s="42"/>
      <c r="FZQ102" s="42"/>
      <c r="FZR102" s="42"/>
      <c r="FZS102" s="42"/>
      <c r="FZT102" s="43">
        <v>0</v>
      </c>
      <c r="FZU102" s="42" t="s">
        <v>48</v>
      </c>
      <c r="FZV102" s="42"/>
      <c r="FZW102" s="42"/>
      <c r="FZX102" s="42"/>
      <c r="FZY102" s="42"/>
      <c r="FZZ102" s="42"/>
      <c r="GAA102" s="42"/>
      <c r="GAB102" s="43">
        <v>0</v>
      </c>
      <c r="GAC102" s="42" t="s">
        <v>48</v>
      </c>
      <c r="GAD102" s="42"/>
      <c r="GAE102" s="42"/>
      <c r="GAF102" s="42"/>
      <c r="GAG102" s="42"/>
      <c r="GAH102" s="42"/>
      <c r="GAI102" s="42"/>
      <c r="GAJ102" s="43">
        <v>0</v>
      </c>
      <c r="GAK102" s="42" t="s">
        <v>48</v>
      </c>
      <c r="GAL102" s="42"/>
      <c r="GAM102" s="42"/>
      <c r="GAN102" s="42"/>
      <c r="GAO102" s="42"/>
      <c r="GAP102" s="42"/>
      <c r="GAQ102" s="42"/>
      <c r="GAR102" s="43">
        <v>0</v>
      </c>
      <c r="GAS102" s="42" t="s">
        <v>48</v>
      </c>
      <c r="GAT102" s="42"/>
      <c r="GAU102" s="42"/>
      <c r="GAV102" s="42"/>
      <c r="GAW102" s="42"/>
      <c r="GAX102" s="42"/>
      <c r="GAY102" s="42"/>
      <c r="GAZ102" s="43">
        <v>0</v>
      </c>
      <c r="GBA102" s="42" t="s">
        <v>48</v>
      </c>
      <c r="GBB102" s="42"/>
      <c r="GBC102" s="42"/>
      <c r="GBD102" s="42"/>
      <c r="GBE102" s="42"/>
      <c r="GBF102" s="42"/>
      <c r="GBG102" s="42"/>
      <c r="GBH102" s="43">
        <v>0</v>
      </c>
      <c r="GBI102" s="42" t="s">
        <v>48</v>
      </c>
      <c r="GBJ102" s="42"/>
      <c r="GBK102" s="42"/>
      <c r="GBL102" s="42"/>
      <c r="GBM102" s="42"/>
      <c r="GBN102" s="42"/>
      <c r="GBO102" s="42"/>
      <c r="GBP102" s="43">
        <v>0</v>
      </c>
      <c r="GBQ102" s="42" t="s">
        <v>48</v>
      </c>
      <c r="GBR102" s="42"/>
      <c r="GBS102" s="42"/>
      <c r="GBT102" s="42"/>
      <c r="GBU102" s="42"/>
      <c r="GBV102" s="42"/>
      <c r="GBW102" s="42"/>
      <c r="GBX102" s="43">
        <v>0</v>
      </c>
      <c r="GBY102" s="42" t="s">
        <v>48</v>
      </c>
      <c r="GBZ102" s="42"/>
      <c r="GCA102" s="42"/>
      <c r="GCB102" s="42"/>
      <c r="GCC102" s="42"/>
      <c r="GCD102" s="42"/>
      <c r="GCE102" s="42"/>
      <c r="GCF102" s="43">
        <v>0</v>
      </c>
      <c r="GCG102" s="42" t="s">
        <v>48</v>
      </c>
      <c r="GCH102" s="42"/>
      <c r="GCI102" s="42"/>
      <c r="GCJ102" s="42"/>
      <c r="GCK102" s="42"/>
      <c r="GCL102" s="42"/>
      <c r="GCM102" s="42"/>
      <c r="GCN102" s="43">
        <v>0</v>
      </c>
      <c r="GCO102" s="42" t="s">
        <v>48</v>
      </c>
      <c r="GCP102" s="42"/>
      <c r="GCQ102" s="42"/>
      <c r="GCR102" s="42"/>
      <c r="GCS102" s="42"/>
      <c r="GCT102" s="42"/>
      <c r="GCU102" s="42"/>
      <c r="GCV102" s="43">
        <v>0</v>
      </c>
      <c r="GCW102" s="42" t="s">
        <v>48</v>
      </c>
      <c r="GCX102" s="42"/>
      <c r="GCY102" s="42"/>
      <c r="GCZ102" s="42"/>
      <c r="GDA102" s="42"/>
      <c r="GDB102" s="42"/>
      <c r="GDC102" s="42"/>
      <c r="GDD102" s="43">
        <v>0</v>
      </c>
      <c r="GDE102" s="42" t="s">
        <v>48</v>
      </c>
      <c r="GDF102" s="42"/>
      <c r="GDG102" s="42"/>
      <c r="GDH102" s="42"/>
      <c r="GDI102" s="42"/>
      <c r="GDJ102" s="42"/>
      <c r="GDK102" s="42"/>
      <c r="GDL102" s="43">
        <v>0</v>
      </c>
      <c r="GDM102" s="42" t="s">
        <v>48</v>
      </c>
      <c r="GDN102" s="42"/>
      <c r="GDO102" s="42"/>
      <c r="GDP102" s="42"/>
      <c r="GDQ102" s="42"/>
      <c r="GDR102" s="42"/>
      <c r="GDS102" s="42"/>
      <c r="GDT102" s="43">
        <v>0</v>
      </c>
      <c r="GDU102" s="42" t="s">
        <v>48</v>
      </c>
      <c r="GDV102" s="42"/>
      <c r="GDW102" s="42"/>
      <c r="GDX102" s="42"/>
      <c r="GDY102" s="42"/>
      <c r="GDZ102" s="42"/>
      <c r="GEA102" s="42"/>
      <c r="GEB102" s="43">
        <v>0</v>
      </c>
      <c r="GEC102" s="42" t="s">
        <v>48</v>
      </c>
      <c r="GED102" s="42"/>
      <c r="GEE102" s="42"/>
      <c r="GEF102" s="42"/>
      <c r="GEG102" s="42"/>
      <c r="GEH102" s="42"/>
      <c r="GEI102" s="42"/>
      <c r="GEJ102" s="43">
        <v>0</v>
      </c>
      <c r="GEK102" s="42" t="s">
        <v>48</v>
      </c>
      <c r="GEL102" s="42"/>
      <c r="GEM102" s="42"/>
      <c r="GEN102" s="42"/>
      <c r="GEO102" s="42"/>
      <c r="GEP102" s="42"/>
      <c r="GEQ102" s="42"/>
      <c r="GER102" s="43">
        <v>0</v>
      </c>
      <c r="GES102" s="42" t="s">
        <v>48</v>
      </c>
      <c r="GET102" s="42"/>
      <c r="GEU102" s="42"/>
      <c r="GEV102" s="42"/>
      <c r="GEW102" s="42"/>
      <c r="GEX102" s="42"/>
      <c r="GEY102" s="42"/>
      <c r="GEZ102" s="43">
        <v>0</v>
      </c>
      <c r="GFA102" s="42" t="s">
        <v>48</v>
      </c>
      <c r="GFB102" s="42"/>
      <c r="GFC102" s="42"/>
      <c r="GFD102" s="42"/>
      <c r="GFE102" s="42"/>
      <c r="GFF102" s="42"/>
      <c r="GFG102" s="42"/>
      <c r="GFH102" s="43">
        <v>0</v>
      </c>
      <c r="GFI102" s="42" t="s">
        <v>48</v>
      </c>
      <c r="GFJ102" s="42"/>
      <c r="GFK102" s="42"/>
      <c r="GFL102" s="42"/>
      <c r="GFM102" s="42"/>
      <c r="GFN102" s="42"/>
      <c r="GFO102" s="42"/>
      <c r="GFP102" s="43">
        <v>0</v>
      </c>
      <c r="GFQ102" s="42" t="s">
        <v>48</v>
      </c>
      <c r="GFR102" s="42"/>
      <c r="GFS102" s="42"/>
      <c r="GFT102" s="42"/>
      <c r="GFU102" s="42"/>
      <c r="GFV102" s="42"/>
      <c r="GFW102" s="42"/>
      <c r="GFX102" s="43">
        <v>0</v>
      </c>
      <c r="GFY102" s="42" t="s">
        <v>48</v>
      </c>
      <c r="GFZ102" s="42"/>
      <c r="GGA102" s="42"/>
      <c r="GGB102" s="42"/>
      <c r="GGC102" s="42"/>
      <c r="GGD102" s="42"/>
      <c r="GGE102" s="42"/>
      <c r="GGF102" s="43">
        <v>0</v>
      </c>
      <c r="GGG102" s="42" t="s">
        <v>48</v>
      </c>
      <c r="GGH102" s="42"/>
      <c r="GGI102" s="42"/>
      <c r="GGJ102" s="42"/>
      <c r="GGK102" s="42"/>
      <c r="GGL102" s="42"/>
      <c r="GGM102" s="42"/>
      <c r="GGN102" s="43">
        <v>0</v>
      </c>
      <c r="GGO102" s="42" t="s">
        <v>48</v>
      </c>
      <c r="GGP102" s="42"/>
      <c r="GGQ102" s="42"/>
      <c r="GGR102" s="42"/>
      <c r="GGS102" s="42"/>
      <c r="GGT102" s="42"/>
      <c r="GGU102" s="42"/>
      <c r="GGV102" s="43">
        <v>0</v>
      </c>
      <c r="GGW102" s="42" t="s">
        <v>48</v>
      </c>
      <c r="GGX102" s="42"/>
      <c r="GGY102" s="42"/>
      <c r="GGZ102" s="42"/>
      <c r="GHA102" s="42"/>
      <c r="GHB102" s="42"/>
      <c r="GHC102" s="42"/>
      <c r="GHD102" s="43">
        <v>0</v>
      </c>
      <c r="GHE102" s="42" t="s">
        <v>48</v>
      </c>
      <c r="GHF102" s="42"/>
      <c r="GHG102" s="42"/>
      <c r="GHH102" s="42"/>
      <c r="GHI102" s="42"/>
      <c r="GHJ102" s="42"/>
      <c r="GHK102" s="42"/>
      <c r="GHL102" s="43">
        <v>0</v>
      </c>
      <c r="GHM102" s="42" t="s">
        <v>48</v>
      </c>
      <c r="GHN102" s="42"/>
      <c r="GHO102" s="42"/>
      <c r="GHP102" s="42"/>
      <c r="GHQ102" s="42"/>
      <c r="GHR102" s="42"/>
      <c r="GHS102" s="42"/>
      <c r="GHT102" s="43">
        <v>0</v>
      </c>
      <c r="GHU102" s="42" t="s">
        <v>48</v>
      </c>
      <c r="GHV102" s="42"/>
      <c r="GHW102" s="42"/>
      <c r="GHX102" s="42"/>
      <c r="GHY102" s="42"/>
      <c r="GHZ102" s="42"/>
      <c r="GIA102" s="42"/>
      <c r="GIB102" s="43">
        <v>0</v>
      </c>
      <c r="GIC102" s="42" t="s">
        <v>48</v>
      </c>
      <c r="GID102" s="42"/>
      <c r="GIE102" s="42"/>
      <c r="GIF102" s="42"/>
      <c r="GIG102" s="42"/>
      <c r="GIH102" s="42"/>
      <c r="GII102" s="42"/>
      <c r="GIJ102" s="43">
        <v>0</v>
      </c>
      <c r="GIK102" s="42" t="s">
        <v>48</v>
      </c>
      <c r="GIL102" s="42"/>
      <c r="GIM102" s="42"/>
      <c r="GIN102" s="42"/>
      <c r="GIO102" s="42"/>
      <c r="GIP102" s="42"/>
      <c r="GIQ102" s="42"/>
      <c r="GIR102" s="43">
        <v>0</v>
      </c>
      <c r="GIS102" s="42" t="s">
        <v>48</v>
      </c>
      <c r="GIT102" s="42"/>
      <c r="GIU102" s="42"/>
      <c r="GIV102" s="42"/>
      <c r="GIW102" s="42"/>
      <c r="GIX102" s="42"/>
      <c r="GIY102" s="42"/>
      <c r="GIZ102" s="43">
        <v>0</v>
      </c>
      <c r="GJA102" s="42" t="s">
        <v>48</v>
      </c>
      <c r="GJB102" s="42"/>
      <c r="GJC102" s="42"/>
      <c r="GJD102" s="42"/>
      <c r="GJE102" s="42"/>
      <c r="GJF102" s="42"/>
      <c r="GJG102" s="42"/>
      <c r="GJH102" s="43">
        <v>0</v>
      </c>
      <c r="GJI102" s="42" t="s">
        <v>48</v>
      </c>
      <c r="GJJ102" s="42"/>
      <c r="GJK102" s="42"/>
      <c r="GJL102" s="42"/>
      <c r="GJM102" s="42"/>
      <c r="GJN102" s="42"/>
      <c r="GJO102" s="42"/>
      <c r="GJP102" s="43">
        <v>0</v>
      </c>
      <c r="GJQ102" s="42" t="s">
        <v>48</v>
      </c>
      <c r="GJR102" s="42"/>
      <c r="GJS102" s="42"/>
      <c r="GJT102" s="42"/>
      <c r="GJU102" s="42"/>
      <c r="GJV102" s="42"/>
      <c r="GJW102" s="42"/>
      <c r="GJX102" s="43">
        <v>0</v>
      </c>
      <c r="GJY102" s="42" t="s">
        <v>48</v>
      </c>
      <c r="GJZ102" s="42"/>
      <c r="GKA102" s="42"/>
      <c r="GKB102" s="42"/>
      <c r="GKC102" s="42"/>
      <c r="GKD102" s="42"/>
      <c r="GKE102" s="42"/>
      <c r="GKF102" s="43">
        <v>0</v>
      </c>
      <c r="GKG102" s="42" t="s">
        <v>48</v>
      </c>
      <c r="GKH102" s="42"/>
      <c r="GKI102" s="42"/>
      <c r="GKJ102" s="42"/>
      <c r="GKK102" s="42"/>
      <c r="GKL102" s="42"/>
      <c r="GKM102" s="42"/>
      <c r="GKN102" s="43">
        <v>0</v>
      </c>
      <c r="GKO102" s="42" t="s">
        <v>48</v>
      </c>
      <c r="GKP102" s="42"/>
      <c r="GKQ102" s="42"/>
      <c r="GKR102" s="42"/>
      <c r="GKS102" s="42"/>
      <c r="GKT102" s="42"/>
      <c r="GKU102" s="42"/>
      <c r="GKV102" s="43">
        <v>0</v>
      </c>
      <c r="GKW102" s="42" t="s">
        <v>48</v>
      </c>
      <c r="GKX102" s="42"/>
      <c r="GKY102" s="42"/>
      <c r="GKZ102" s="42"/>
      <c r="GLA102" s="42"/>
      <c r="GLB102" s="42"/>
      <c r="GLC102" s="42"/>
      <c r="GLD102" s="43">
        <v>0</v>
      </c>
      <c r="GLE102" s="42" t="s">
        <v>48</v>
      </c>
      <c r="GLF102" s="42"/>
      <c r="GLG102" s="42"/>
      <c r="GLH102" s="42"/>
      <c r="GLI102" s="42"/>
      <c r="GLJ102" s="42"/>
      <c r="GLK102" s="42"/>
      <c r="GLL102" s="43">
        <v>0</v>
      </c>
      <c r="GLM102" s="42" t="s">
        <v>48</v>
      </c>
      <c r="GLN102" s="42"/>
      <c r="GLO102" s="42"/>
      <c r="GLP102" s="42"/>
      <c r="GLQ102" s="42"/>
      <c r="GLR102" s="42"/>
      <c r="GLS102" s="42"/>
      <c r="GLT102" s="43">
        <v>0</v>
      </c>
      <c r="GLU102" s="42" t="s">
        <v>48</v>
      </c>
      <c r="GLV102" s="42"/>
      <c r="GLW102" s="42"/>
      <c r="GLX102" s="42"/>
      <c r="GLY102" s="42"/>
      <c r="GLZ102" s="42"/>
      <c r="GMA102" s="42"/>
      <c r="GMB102" s="43">
        <v>0</v>
      </c>
      <c r="GMC102" s="42" t="s">
        <v>48</v>
      </c>
      <c r="GMD102" s="42"/>
      <c r="GME102" s="42"/>
      <c r="GMF102" s="42"/>
      <c r="GMG102" s="42"/>
      <c r="GMH102" s="42"/>
      <c r="GMI102" s="42"/>
      <c r="GMJ102" s="43">
        <v>0</v>
      </c>
      <c r="GMK102" s="42" t="s">
        <v>48</v>
      </c>
      <c r="GML102" s="42"/>
      <c r="GMM102" s="42"/>
      <c r="GMN102" s="42"/>
      <c r="GMO102" s="42"/>
      <c r="GMP102" s="42"/>
      <c r="GMQ102" s="42"/>
      <c r="GMR102" s="43">
        <v>0</v>
      </c>
      <c r="GMS102" s="42" t="s">
        <v>48</v>
      </c>
      <c r="GMT102" s="42"/>
      <c r="GMU102" s="42"/>
      <c r="GMV102" s="42"/>
      <c r="GMW102" s="42"/>
      <c r="GMX102" s="42"/>
      <c r="GMY102" s="42"/>
      <c r="GMZ102" s="43">
        <v>0</v>
      </c>
      <c r="GNA102" s="42" t="s">
        <v>48</v>
      </c>
      <c r="GNB102" s="42"/>
      <c r="GNC102" s="42"/>
      <c r="GND102" s="42"/>
      <c r="GNE102" s="42"/>
      <c r="GNF102" s="42"/>
      <c r="GNG102" s="42"/>
      <c r="GNH102" s="43">
        <v>0</v>
      </c>
      <c r="GNI102" s="42" t="s">
        <v>48</v>
      </c>
      <c r="GNJ102" s="42"/>
      <c r="GNK102" s="42"/>
      <c r="GNL102" s="42"/>
      <c r="GNM102" s="42"/>
      <c r="GNN102" s="42"/>
      <c r="GNO102" s="42"/>
      <c r="GNP102" s="43">
        <v>0</v>
      </c>
      <c r="GNQ102" s="42" t="s">
        <v>48</v>
      </c>
      <c r="GNR102" s="42"/>
      <c r="GNS102" s="42"/>
      <c r="GNT102" s="42"/>
      <c r="GNU102" s="42"/>
      <c r="GNV102" s="42"/>
      <c r="GNW102" s="42"/>
      <c r="GNX102" s="43">
        <v>0</v>
      </c>
      <c r="GNY102" s="42" t="s">
        <v>48</v>
      </c>
      <c r="GNZ102" s="42"/>
      <c r="GOA102" s="42"/>
      <c r="GOB102" s="42"/>
      <c r="GOC102" s="42"/>
      <c r="GOD102" s="42"/>
      <c r="GOE102" s="42"/>
      <c r="GOF102" s="43">
        <v>0</v>
      </c>
      <c r="GOG102" s="42" t="s">
        <v>48</v>
      </c>
      <c r="GOH102" s="42"/>
      <c r="GOI102" s="42"/>
      <c r="GOJ102" s="42"/>
      <c r="GOK102" s="42"/>
      <c r="GOL102" s="42"/>
      <c r="GOM102" s="42"/>
      <c r="GON102" s="43">
        <v>0</v>
      </c>
      <c r="GOO102" s="42" t="s">
        <v>48</v>
      </c>
      <c r="GOP102" s="42"/>
      <c r="GOQ102" s="42"/>
      <c r="GOR102" s="42"/>
      <c r="GOS102" s="42"/>
      <c r="GOT102" s="42"/>
      <c r="GOU102" s="42"/>
      <c r="GOV102" s="43">
        <v>0</v>
      </c>
      <c r="GOW102" s="42" t="s">
        <v>48</v>
      </c>
      <c r="GOX102" s="42"/>
      <c r="GOY102" s="42"/>
      <c r="GOZ102" s="42"/>
      <c r="GPA102" s="42"/>
      <c r="GPB102" s="42"/>
      <c r="GPC102" s="42"/>
      <c r="GPD102" s="43">
        <v>0</v>
      </c>
      <c r="GPE102" s="42" t="s">
        <v>48</v>
      </c>
      <c r="GPF102" s="42"/>
      <c r="GPG102" s="42"/>
      <c r="GPH102" s="42"/>
      <c r="GPI102" s="42"/>
      <c r="GPJ102" s="42"/>
      <c r="GPK102" s="42"/>
      <c r="GPL102" s="43">
        <v>0</v>
      </c>
      <c r="GPM102" s="42" t="s">
        <v>48</v>
      </c>
      <c r="GPN102" s="42"/>
      <c r="GPO102" s="42"/>
      <c r="GPP102" s="42"/>
      <c r="GPQ102" s="42"/>
      <c r="GPR102" s="42"/>
      <c r="GPS102" s="42"/>
      <c r="GPT102" s="43">
        <v>0</v>
      </c>
      <c r="GPU102" s="42" t="s">
        <v>48</v>
      </c>
      <c r="GPV102" s="42"/>
      <c r="GPW102" s="42"/>
      <c r="GPX102" s="42"/>
      <c r="GPY102" s="42"/>
      <c r="GPZ102" s="42"/>
      <c r="GQA102" s="42"/>
      <c r="GQB102" s="43">
        <v>0</v>
      </c>
      <c r="GQC102" s="42" t="s">
        <v>48</v>
      </c>
      <c r="GQD102" s="42"/>
      <c r="GQE102" s="42"/>
      <c r="GQF102" s="42"/>
      <c r="GQG102" s="42"/>
      <c r="GQH102" s="42"/>
      <c r="GQI102" s="42"/>
      <c r="GQJ102" s="43">
        <v>0</v>
      </c>
      <c r="GQK102" s="42" t="s">
        <v>48</v>
      </c>
      <c r="GQL102" s="42"/>
      <c r="GQM102" s="42"/>
      <c r="GQN102" s="42"/>
      <c r="GQO102" s="42"/>
      <c r="GQP102" s="42"/>
      <c r="GQQ102" s="42"/>
      <c r="GQR102" s="43">
        <v>0</v>
      </c>
      <c r="GQS102" s="42" t="s">
        <v>48</v>
      </c>
      <c r="GQT102" s="42"/>
      <c r="GQU102" s="42"/>
      <c r="GQV102" s="42"/>
      <c r="GQW102" s="42"/>
      <c r="GQX102" s="42"/>
      <c r="GQY102" s="42"/>
      <c r="GQZ102" s="43">
        <v>0</v>
      </c>
      <c r="GRA102" s="42" t="s">
        <v>48</v>
      </c>
      <c r="GRB102" s="42"/>
      <c r="GRC102" s="42"/>
      <c r="GRD102" s="42"/>
      <c r="GRE102" s="42"/>
      <c r="GRF102" s="42"/>
      <c r="GRG102" s="42"/>
      <c r="GRH102" s="43">
        <v>0</v>
      </c>
      <c r="GRI102" s="42" t="s">
        <v>48</v>
      </c>
      <c r="GRJ102" s="42"/>
      <c r="GRK102" s="42"/>
      <c r="GRL102" s="42"/>
      <c r="GRM102" s="42"/>
      <c r="GRN102" s="42"/>
      <c r="GRO102" s="42"/>
      <c r="GRP102" s="43">
        <v>0</v>
      </c>
      <c r="GRQ102" s="42" t="s">
        <v>48</v>
      </c>
      <c r="GRR102" s="42"/>
      <c r="GRS102" s="42"/>
      <c r="GRT102" s="42"/>
      <c r="GRU102" s="42"/>
      <c r="GRV102" s="42"/>
      <c r="GRW102" s="42"/>
      <c r="GRX102" s="43">
        <v>0</v>
      </c>
      <c r="GRY102" s="42" t="s">
        <v>48</v>
      </c>
      <c r="GRZ102" s="42"/>
      <c r="GSA102" s="42"/>
      <c r="GSB102" s="42"/>
      <c r="GSC102" s="42"/>
      <c r="GSD102" s="42"/>
      <c r="GSE102" s="42"/>
      <c r="GSF102" s="43">
        <v>0</v>
      </c>
      <c r="GSG102" s="42" t="s">
        <v>48</v>
      </c>
      <c r="GSH102" s="42"/>
      <c r="GSI102" s="42"/>
      <c r="GSJ102" s="42"/>
      <c r="GSK102" s="42"/>
      <c r="GSL102" s="42"/>
      <c r="GSM102" s="42"/>
      <c r="GSN102" s="43">
        <v>0</v>
      </c>
      <c r="GSO102" s="42" t="s">
        <v>48</v>
      </c>
      <c r="GSP102" s="42"/>
      <c r="GSQ102" s="42"/>
      <c r="GSR102" s="42"/>
      <c r="GSS102" s="42"/>
      <c r="GST102" s="42"/>
      <c r="GSU102" s="42"/>
      <c r="GSV102" s="43">
        <v>0</v>
      </c>
      <c r="GSW102" s="42" t="s">
        <v>48</v>
      </c>
      <c r="GSX102" s="42"/>
      <c r="GSY102" s="42"/>
      <c r="GSZ102" s="42"/>
      <c r="GTA102" s="42"/>
      <c r="GTB102" s="42"/>
      <c r="GTC102" s="42"/>
      <c r="GTD102" s="43">
        <v>0</v>
      </c>
      <c r="GTE102" s="42" t="s">
        <v>48</v>
      </c>
      <c r="GTF102" s="42"/>
      <c r="GTG102" s="42"/>
      <c r="GTH102" s="42"/>
      <c r="GTI102" s="42"/>
      <c r="GTJ102" s="42"/>
      <c r="GTK102" s="42"/>
      <c r="GTL102" s="43">
        <v>0</v>
      </c>
      <c r="GTM102" s="42" t="s">
        <v>48</v>
      </c>
      <c r="GTN102" s="42"/>
      <c r="GTO102" s="42"/>
      <c r="GTP102" s="42"/>
      <c r="GTQ102" s="42"/>
      <c r="GTR102" s="42"/>
      <c r="GTS102" s="42"/>
      <c r="GTT102" s="43">
        <v>0</v>
      </c>
      <c r="GTU102" s="42" t="s">
        <v>48</v>
      </c>
      <c r="GTV102" s="42"/>
      <c r="GTW102" s="42"/>
      <c r="GTX102" s="42"/>
      <c r="GTY102" s="42"/>
      <c r="GTZ102" s="42"/>
      <c r="GUA102" s="42"/>
      <c r="GUB102" s="43">
        <v>0</v>
      </c>
      <c r="GUC102" s="42" t="s">
        <v>48</v>
      </c>
      <c r="GUD102" s="42"/>
      <c r="GUE102" s="42"/>
      <c r="GUF102" s="42"/>
      <c r="GUG102" s="42"/>
      <c r="GUH102" s="42"/>
      <c r="GUI102" s="42"/>
      <c r="GUJ102" s="43">
        <v>0</v>
      </c>
      <c r="GUK102" s="42" t="s">
        <v>48</v>
      </c>
      <c r="GUL102" s="42"/>
      <c r="GUM102" s="42"/>
      <c r="GUN102" s="42"/>
      <c r="GUO102" s="42"/>
      <c r="GUP102" s="42"/>
      <c r="GUQ102" s="42"/>
      <c r="GUR102" s="43">
        <v>0</v>
      </c>
      <c r="GUS102" s="42" t="s">
        <v>48</v>
      </c>
      <c r="GUT102" s="42"/>
      <c r="GUU102" s="42"/>
      <c r="GUV102" s="42"/>
      <c r="GUW102" s="42"/>
      <c r="GUX102" s="42"/>
      <c r="GUY102" s="42"/>
      <c r="GUZ102" s="43">
        <v>0</v>
      </c>
      <c r="GVA102" s="42" t="s">
        <v>48</v>
      </c>
      <c r="GVB102" s="42"/>
      <c r="GVC102" s="42"/>
      <c r="GVD102" s="42"/>
      <c r="GVE102" s="42"/>
      <c r="GVF102" s="42"/>
      <c r="GVG102" s="42"/>
      <c r="GVH102" s="43">
        <v>0</v>
      </c>
      <c r="GVI102" s="42" t="s">
        <v>48</v>
      </c>
      <c r="GVJ102" s="42"/>
      <c r="GVK102" s="42"/>
      <c r="GVL102" s="42"/>
      <c r="GVM102" s="42"/>
      <c r="GVN102" s="42"/>
      <c r="GVO102" s="42"/>
      <c r="GVP102" s="43">
        <v>0</v>
      </c>
      <c r="GVQ102" s="42" t="s">
        <v>48</v>
      </c>
      <c r="GVR102" s="42"/>
      <c r="GVS102" s="42"/>
      <c r="GVT102" s="42"/>
      <c r="GVU102" s="42"/>
      <c r="GVV102" s="42"/>
      <c r="GVW102" s="42"/>
      <c r="GVX102" s="43">
        <v>0</v>
      </c>
      <c r="GVY102" s="42" t="s">
        <v>48</v>
      </c>
      <c r="GVZ102" s="42"/>
      <c r="GWA102" s="42"/>
      <c r="GWB102" s="42"/>
      <c r="GWC102" s="42"/>
      <c r="GWD102" s="42"/>
      <c r="GWE102" s="42"/>
      <c r="GWF102" s="43">
        <v>0</v>
      </c>
      <c r="GWG102" s="42" t="s">
        <v>48</v>
      </c>
      <c r="GWH102" s="42"/>
      <c r="GWI102" s="42"/>
      <c r="GWJ102" s="42"/>
      <c r="GWK102" s="42"/>
      <c r="GWL102" s="42"/>
      <c r="GWM102" s="42"/>
      <c r="GWN102" s="43">
        <v>0</v>
      </c>
      <c r="GWO102" s="42" t="s">
        <v>48</v>
      </c>
      <c r="GWP102" s="42"/>
      <c r="GWQ102" s="42"/>
      <c r="GWR102" s="42"/>
      <c r="GWS102" s="42"/>
      <c r="GWT102" s="42"/>
      <c r="GWU102" s="42"/>
      <c r="GWV102" s="43">
        <v>0</v>
      </c>
      <c r="GWW102" s="42" t="s">
        <v>48</v>
      </c>
      <c r="GWX102" s="42"/>
      <c r="GWY102" s="42"/>
      <c r="GWZ102" s="42"/>
      <c r="GXA102" s="42"/>
      <c r="GXB102" s="42"/>
      <c r="GXC102" s="42"/>
      <c r="GXD102" s="43">
        <v>0</v>
      </c>
      <c r="GXE102" s="42" t="s">
        <v>48</v>
      </c>
      <c r="GXF102" s="42"/>
      <c r="GXG102" s="42"/>
      <c r="GXH102" s="42"/>
      <c r="GXI102" s="42"/>
      <c r="GXJ102" s="42"/>
      <c r="GXK102" s="42"/>
      <c r="GXL102" s="43">
        <v>0</v>
      </c>
      <c r="GXM102" s="42" t="s">
        <v>48</v>
      </c>
      <c r="GXN102" s="42"/>
      <c r="GXO102" s="42"/>
      <c r="GXP102" s="42"/>
      <c r="GXQ102" s="42"/>
      <c r="GXR102" s="42"/>
      <c r="GXS102" s="42"/>
      <c r="GXT102" s="43">
        <v>0</v>
      </c>
      <c r="GXU102" s="42" t="s">
        <v>48</v>
      </c>
      <c r="GXV102" s="42"/>
      <c r="GXW102" s="42"/>
      <c r="GXX102" s="42"/>
      <c r="GXY102" s="42"/>
      <c r="GXZ102" s="42"/>
      <c r="GYA102" s="42"/>
      <c r="GYB102" s="43">
        <v>0</v>
      </c>
      <c r="GYC102" s="42" t="s">
        <v>48</v>
      </c>
      <c r="GYD102" s="42"/>
      <c r="GYE102" s="42"/>
      <c r="GYF102" s="42"/>
      <c r="GYG102" s="42"/>
      <c r="GYH102" s="42"/>
      <c r="GYI102" s="42"/>
      <c r="GYJ102" s="43">
        <v>0</v>
      </c>
      <c r="GYK102" s="42" t="s">
        <v>48</v>
      </c>
      <c r="GYL102" s="42"/>
      <c r="GYM102" s="42"/>
      <c r="GYN102" s="42"/>
      <c r="GYO102" s="42"/>
      <c r="GYP102" s="42"/>
      <c r="GYQ102" s="42"/>
      <c r="GYR102" s="43">
        <v>0</v>
      </c>
      <c r="GYS102" s="42" t="s">
        <v>48</v>
      </c>
      <c r="GYT102" s="42"/>
      <c r="GYU102" s="42"/>
      <c r="GYV102" s="42"/>
      <c r="GYW102" s="42"/>
      <c r="GYX102" s="42"/>
      <c r="GYY102" s="42"/>
      <c r="GYZ102" s="43">
        <v>0</v>
      </c>
      <c r="GZA102" s="42" t="s">
        <v>48</v>
      </c>
      <c r="GZB102" s="42"/>
      <c r="GZC102" s="42"/>
      <c r="GZD102" s="42"/>
      <c r="GZE102" s="42"/>
      <c r="GZF102" s="42"/>
      <c r="GZG102" s="42"/>
      <c r="GZH102" s="43">
        <v>0</v>
      </c>
      <c r="GZI102" s="42" t="s">
        <v>48</v>
      </c>
      <c r="GZJ102" s="42"/>
      <c r="GZK102" s="42"/>
      <c r="GZL102" s="42"/>
      <c r="GZM102" s="42"/>
      <c r="GZN102" s="42"/>
      <c r="GZO102" s="42"/>
      <c r="GZP102" s="43">
        <v>0</v>
      </c>
      <c r="GZQ102" s="42" t="s">
        <v>48</v>
      </c>
      <c r="GZR102" s="42"/>
      <c r="GZS102" s="42"/>
      <c r="GZT102" s="42"/>
      <c r="GZU102" s="42"/>
      <c r="GZV102" s="42"/>
      <c r="GZW102" s="42"/>
      <c r="GZX102" s="43">
        <v>0</v>
      </c>
      <c r="GZY102" s="42" t="s">
        <v>48</v>
      </c>
      <c r="GZZ102" s="42"/>
      <c r="HAA102" s="42"/>
      <c r="HAB102" s="42"/>
      <c r="HAC102" s="42"/>
      <c r="HAD102" s="42"/>
      <c r="HAE102" s="42"/>
      <c r="HAF102" s="43">
        <v>0</v>
      </c>
      <c r="HAG102" s="42" t="s">
        <v>48</v>
      </c>
      <c r="HAH102" s="42"/>
      <c r="HAI102" s="42"/>
      <c r="HAJ102" s="42"/>
      <c r="HAK102" s="42"/>
      <c r="HAL102" s="42"/>
      <c r="HAM102" s="42"/>
      <c r="HAN102" s="43">
        <v>0</v>
      </c>
      <c r="HAO102" s="42" t="s">
        <v>48</v>
      </c>
      <c r="HAP102" s="42"/>
      <c r="HAQ102" s="42"/>
      <c r="HAR102" s="42"/>
      <c r="HAS102" s="42"/>
      <c r="HAT102" s="42"/>
      <c r="HAU102" s="42"/>
      <c r="HAV102" s="43">
        <v>0</v>
      </c>
      <c r="HAW102" s="42" t="s">
        <v>48</v>
      </c>
      <c r="HAX102" s="42"/>
      <c r="HAY102" s="42"/>
      <c r="HAZ102" s="42"/>
      <c r="HBA102" s="42"/>
      <c r="HBB102" s="42"/>
      <c r="HBC102" s="42"/>
      <c r="HBD102" s="43">
        <v>0</v>
      </c>
      <c r="HBE102" s="42" t="s">
        <v>48</v>
      </c>
      <c r="HBF102" s="42"/>
      <c r="HBG102" s="42"/>
      <c r="HBH102" s="42"/>
      <c r="HBI102" s="42"/>
      <c r="HBJ102" s="42"/>
      <c r="HBK102" s="42"/>
      <c r="HBL102" s="43">
        <v>0</v>
      </c>
      <c r="HBM102" s="42" t="s">
        <v>48</v>
      </c>
      <c r="HBN102" s="42"/>
      <c r="HBO102" s="42"/>
      <c r="HBP102" s="42"/>
      <c r="HBQ102" s="42"/>
      <c r="HBR102" s="42"/>
      <c r="HBS102" s="42"/>
      <c r="HBT102" s="43">
        <v>0</v>
      </c>
      <c r="HBU102" s="42" t="s">
        <v>48</v>
      </c>
      <c r="HBV102" s="42"/>
      <c r="HBW102" s="42"/>
      <c r="HBX102" s="42"/>
      <c r="HBY102" s="42"/>
      <c r="HBZ102" s="42"/>
      <c r="HCA102" s="42"/>
      <c r="HCB102" s="43">
        <v>0</v>
      </c>
      <c r="HCC102" s="42" t="s">
        <v>48</v>
      </c>
      <c r="HCD102" s="42"/>
      <c r="HCE102" s="42"/>
      <c r="HCF102" s="42"/>
      <c r="HCG102" s="42"/>
      <c r="HCH102" s="42"/>
      <c r="HCI102" s="42"/>
      <c r="HCJ102" s="43">
        <v>0</v>
      </c>
      <c r="HCK102" s="42" t="s">
        <v>48</v>
      </c>
      <c r="HCL102" s="42"/>
      <c r="HCM102" s="42"/>
      <c r="HCN102" s="42"/>
      <c r="HCO102" s="42"/>
      <c r="HCP102" s="42"/>
      <c r="HCQ102" s="42"/>
      <c r="HCR102" s="43">
        <v>0</v>
      </c>
      <c r="HCS102" s="42" t="s">
        <v>48</v>
      </c>
      <c r="HCT102" s="42"/>
      <c r="HCU102" s="42"/>
      <c r="HCV102" s="42"/>
      <c r="HCW102" s="42"/>
      <c r="HCX102" s="42"/>
      <c r="HCY102" s="42"/>
      <c r="HCZ102" s="43">
        <v>0</v>
      </c>
      <c r="HDA102" s="42" t="s">
        <v>48</v>
      </c>
      <c r="HDB102" s="42"/>
      <c r="HDC102" s="42"/>
      <c r="HDD102" s="42"/>
      <c r="HDE102" s="42"/>
      <c r="HDF102" s="42"/>
      <c r="HDG102" s="42"/>
      <c r="HDH102" s="43">
        <v>0</v>
      </c>
      <c r="HDI102" s="42" t="s">
        <v>48</v>
      </c>
      <c r="HDJ102" s="42"/>
      <c r="HDK102" s="42"/>
      <c r="HDL102" s="42"/>
      <c r="HDM102" s="42"/>
      <c r="HDN102" s="42"/>
      <c r="HDO102" s="42"/>
      <c r="HDP102" s="43">
        <v>0</v>
      </c>
      <c r="HDQ102" s="42" t="s">
        <v>48</v>
      </c>
      <c r="HDR102" s="42"/>
      <c r="HDS102" s="42"/>
      <c r="HDT102" s="42"/>
      <c r="HDU102" s="42"/>
      <c r="HDV102" s="42"/>
      <c r="HDW102" s="42"/>
      <c r="HDX102" s="43">
        <v>0</v>
      </c>
      <c r="HDY102" s="42" t="s">
        <v>48</v>
      </c>
      <c r="HDZ102" s="42"/>
      <c r="HEA102" s="42"/>
      <c r="HEB102" s="42"/>
      <c r="HEC102" s="42"/>
      <c r="HED102" s="42"/>
      <c r="HEE102" s="42"/>
      <c r="HEF102" s="43">
        <v>0</v>
      </c>
      <c r="HEG102" s="42" t="s">
        <v>48</v>
      </c>
      <c r="HEH102" s="42"/>
      <c r="HEI102" s="42"/>
      <c r="HEJ102" s="42"/>
      <c r="HEK102" s="42"/>
      <c r="HEL102" s="42"/>
      <c r="HEM102" s="42"/>
      <c r="HEN102" s="43">
        <v>0</v>
      </c>
      <c r="HEO102" s="42" t="s">
        <v>48</v>
      </c>
      <c r="HEP102" s="42"/>
      <c r="HEQ102" s="42"/>
      <c r="HER102" s="42"/>
      <c r="HES102" s="42"/>
      <c r="HET102" s="42"/>
      <c r="HEU102" s="42"/>
      <c r="HEV102" s="43">
        <v>0</v>
      </c>
      <c r="HEW102" s="42" t="s">
        <v>48</v>
      </c>
      <c r="HEX102" s="42"/>
      <c r="HEY102" s="42"/>
      <c r="HEZ102" s="42"/>
      <c r="HFA102" s="42"/>
      <c r="HFB102" s="42"/>
      <c r="HFC102" s="42"/>
      <c r="HFD102" s="43">
        <v>0</v>
      </c>
      <c r="HFE102" s="42" t="s">
        <v>48</v>
      </c>
      <c r="HFF102" s="42"/>
      <c r="HFG102" s="42"/>
      <c r="HFH102" s="42"/>
      <c r="HFI102" s="42"/>
      <c r="HFJ102" s="42"/>
      <c r="HFK102" s="42"/>
      <c r="HFL102" s="43">
        <v>0</v>
      </c>
      <c r="HFM102" s="42" t="s">
        <v>48</v>
      </c>
      <c r="HFN102" s="42"/>
      <c r="HFO102" s="42"/>
      <c r="HFP102" s="42"/>
      <c r="HFQ102" s="42"/>
      <c r="HFR102" s="42"/>
      <c r="HFS102" s="42"/>
      <c r="HFT102" s="43">
        <v>0</v>
      </c>
      <c r="HFU102" s="42" t="s">
        <v>48</v>
      </c>
      <c r="HFV102" s="42"/>
      <c r="HFW102" s="42"/>
      <c r="HFX102" s="42"/>
      <c r="HFY102" s="42"/>
      <c r="HFZ102" s="42"/>
      <c r="HGA102" s="42"/>
      <c r="HGB102" s="43">
        <v>0</v>
      </c>
      <c r="HGC102" s="42" t="s">
        <v>48</v>
      </c>
      <c r="HGD102" s="42"/>
      <c r="HGE102" s="42"/>
      <c r="HGF102" s="42"/>
      <c r="HGG102" s="42"/>
      <c r="HGH102" s="42"/>
      <c r="HGI102" s="42"/>
      <c r="HGJ102" s="43">
        <v>0</v>
      </c>
      <c r="HGK102" s="42" t="s">
        <v>48</v>
      </c>
      <c r="HGL102" s="42"/>
      <c r="HGM102" s="42"/>
      <c r="HGN102" s="42"/>
      <c r="HGO102" s="42"/>
      <c r="HGP102" s="42"/>
      <c r="HGQ102" s="42"/>
      <c r="HGR102" s="43">
        <v>0</v>
      </c>
      <c r="HGS102" s="42" t="s">
        <v>48</v>
      </c>
      <c r="HGT102" s="42"/>
      <c r="HGU102" s="42"/>
      <c r="HGV102" s="42"/>
      <c r="HGW102" s="42"/>
      <c r="HGX102" s="42"/>
      <c r="HGY102" s="42"/>
      <c r="HGZ102" s="43">
        <v>0</v>
      </c>
      <c r="HHA102" s="42" t="s">
        <v>48</v>
      </c>
      <c r="HHB102" s="42"/>
      <c r="HHC102" s="42"/>
      <c r="HHD102" s="42"/>
      <c r="HHE102" s="42"/>
      <c r="HHF102" s="42"/>
      <c r="HHG102" s="42"/>
      <c r="HHH102" s="43">
        <v>0</v>
      </c>
      <c r="HHI102" s="42" t="s">
        <v>48</v>
      </c>
      <c r="HHJ102" s="42"/>
      <c r="HHK102" s="42"/>
      <c r="HHL102" s="42"/>
      <c r="HHM102" s="42"/>
      <c r="HHN102" s="42"/>
      <c r="HHO102" s="42"/>
      <c r="HHP102" s="43">
        <v>0</v>
      </c>
      <c r="HHQ102" s="42" t="s">
        <v>48</v>
      </c>
      <c r="HHR102" s="42"/>
      <c r="HHS102" s="42"/>
      <c r="HHT102" s="42"/>
      <c r="HHU102" s="42"/>
      <c r="HHV102" s="42"/>
      <c r="HHW102" s="42"/>
      <c r="HHX102" s="43">
        <v>0</v>
      </c>
      <c r="HHY102" s="42" t="s">
        <v>48</v>
      </c>
      <c r="HHZ102" s="42"/>
      <c r="HIA102" s="42"/>
      <c r="HIB102" s="42"/>
      <c r="HIC102" s="42"/>
      <c r="HID102" s="42"/>
      <c r="HIE102" s="42"/>
      <c r="HIF102" s="43">
        <v>0</v>
      </c>
      <c r="HIG102" s="42" t="s">
        <v>48</v>
      </c>
      <c r="HIH102" s="42"/>
      <c r="HII102" s="42"/>
      <c r="HIJ102" s="42"/>
      <c r="HIK102" s="42"/>
      <c r="HIL102" s="42"/>
      <c r="HIM102" s="42"/>
      <c r="HIN102" s="43">
        <v>0</v>
      </c>
      <c r="HIO102" s="42" t="s">
        <v>48</v>
      </c>
      <c r="HIP102" s="42"/>
      <c r="HIQ102" s="42"/>
      <c r="HIR102" s="42"/>
      <c r="HIS102" s="42"/>
      <c r="HIT102" s="42"/>
      <c r="HIU102" s="42"/>
      <c r="HIV102" s="43">
        <v>0</v>
      </c>
      <c r="HIW102" s="42" t="s">
        <v>48</v>
      </c>
      <c r="HIX102" s="42"/>
      <c r="HIY102" s="42"/>
      <c r="HIZ102" s="42"/>
      <c r="HJA102" s="42"/>
      <c r="HJB102" s="42"/>
      <c r="HJC102" s="42"/>
      <c r="HJD102" s="43">
        <v>0</v>
      </c>
      <c r="HJE102" s="42" t="s">
        <v>48</v>
      </c>
      <c r="HJF102" s="42"/>
      <c r="HJG102" s="42"/>
      <c r="HJH102" s="42"/>
      <c r="HJI102" s="42"/>
      <c r="HJJ102" s="42"/>
      <c r="HJK102" s="42"/>
      <c r="HJL102" s="43">
        <v>0</v>
      </c>
      <c r="HJM102" s="42" t="s">
        <v>48</v>
      </c>
      <c r="HJN102" s="42"/>
      <c r="HJO102" s="42"/>
      <c r="HJP102" s="42"/>
      <c r="HJQ102" s="42"/>
      <c r="HJR102" s="42"/>
      <c r="HJS102" s="42"/>
      <c r="HJT102" s="43">
        <v>0</v>
      </c>
      <c r="HJU102" s="42" t="s">
        <v>48</v>
      </c>
      <c r="HJV102" s="42"/>
      <c r="HJW102" s="42"/>
      <c r="HJX102" s="42"/>
      <c r="HJY102" s="42"/>
      <c r="HJZ102" s="42"/>
      <c r="HKA102" s="42"/>
      <c r="HKB102" s="43">
        <v>0</v>
      </c>
      <c r="HKC102" s="42" t="s">
        <v>48</v>
      </c>
      <c r="HKD102" s="42"/>
      <c r="HKE102" s="42"/>
      <c r="HKF102" s="42"/>
      <c r="HKG102" s="42"/>
      <c r="HKH102" s="42"/>
      <c r="HKI102" s="42"/>
      <c r="HKJ102" s="43">
        <v>0</v>
      </c>
      <c r="HKK102" s="42" t="s">
        <v>48</v>
      </c>
      <c r="HKL102" s="42"/>
      <c r="HKM102" s="42"/>
      <c r="HKN102" s="42"/>
      <c r="HKO102" s="42"/>
      <c r="HKP102" s="42"/>
      <c r="HKQ102" s="42"/>
      <c r="HKR102" s="43">
        <v>0</v>
      </c>
      <c r="HKS102" s="42" t="s">
        <v>48</v>
      </c>
      <c r="HKT102" s="42"/>
      <c r="HKU102" s="42"/>
      <c r="HKV102" s="42"/>
      <c r="HKW102" s="42"/>
      <c r="HKX102" s="42"/>
      <c r="HKY102" s="42"/>
      <c r="HKZ102" s="43">
        <v>0</v>
      </c>
      <c r="HLA102" s="42" t="s">
        <v>48</v>
      </c>
      <c r="HLB102" s="42"/>
      <c r="HLC102" s="42"/>
      <c r="HLD102" s="42"/>
      <c r="HLE102" s="42"/>
      <c r="HLF102" s="42"/>
      <c r="HLG102" s="42"/>
      <c r="HLH102" s="43">
        <v>0</v>
      </c>
      <c r="HLI102" s="42" t="s">
        <v>48</v>
      </c>
      <c r="HLJ102" s="42"/>
      <c r="HLK102" s="42"/>
      <c r="HLL102" s="42"/>
      <c r="HLM102" s="42"/>
      <c r="HLN102" s="42"/>
      <c r="HLO102" s="42"/>
      <c r="HLP102" s="43">
        <v>0</v>
      </c>
      <c r="HLQ102" s="42" t="s">
        <v>48</v>
      </c>
      <c r="HLR102" s="42"/>
      <c r="HLS102" s="42"/>
      <c r="HLT102" s="42"/>
      <c r="HLU102" s="42"/>
      <c r="HLV102" s="42"/>
      <c r="HLW102" s="42"/>
      <c r="HLX102" s="43">
        <v>0</v>
      </c>
      <c r="HLY102" s="42" t="s">
        <v>48</v>
      </c>
      <c r="HLZ102" s="42"/>
      <c r="HMA102" s="42"/>
      <c r="HMB102" s="42"/>
      <c r="HMC102" s="42"/>
      <c r="HMD102" s="42"/>
      <c r="HME102" s="42"/>
      <c r="HMF102" s="43">
        <v>0</v>
      </c>
      <c r="HMG102" s="42" t="s">
        <v>48</v>
      </c>
      <c r="HMH102" s="42"/>
      <c r="HMI102" s="42"/>
      <c r="HMJ102" s="42"/>
      <c r="HMK102" s="42"/>
      <c r="HML102" s="42"/>
      <c r="HMM102" s="42"/>
      <c r="HMN102" s="43">
        <v>0</v>
      </c>
      <c r="HMO102" s="42" t="s">
        <v>48</v>
      </c>
      <c r="HMP102" s="42"/>
      <c r="HMQ102" s="42"/>
      <c r="HMR102" s="42"/>
      <c r="HMS102" s="42"/>
      <c r="HMT102" s="42"/>
      <c r="HMU102" s="42"/>
      <c r="HMV102" s="43">
        <v>0</v>
      </c>
      <c r="HMW102" s="42" t="s">
        <v>48</v>
      </c>
      <c r="HMX102" s="42"/>
      <c r="HMY102" s="42"/>
      <c r="HMZ102" s="42"/>
      <c r="HNA102" s="42"/>
      <c r="HNB102" s="42"/>
      <c r="HNC102" s="42"/>
      <c r="HND102" s="43">
        <v>0</v>
      </c>
      <c r="HNE102" s="42" t="s">
        <v>48</v>
      </c>
      <c r="HNF102" s="42"/>
      <c r="HNG102" s="42"/>
      <c r="HNH102" s="42"/>
      <c r="HNI102" s="42"/>
      <c r="HNJ102" s="42"/>
      <c r="HNK102" s="42"/>
      <c r="HNL102" s="43">
        <v>0</v>
      </c>
      <c r="HNM102" s="42" t="s">
        <v>48</v>
      </c>
      <c r="HNN102" s="42"/>
      <c r="HNO102" s="42"/>
      <c r="HNP102" s="42"/>
      <c r="HNQ102" s="42"/>
      <c r="HNR102" s="42"/>
      <c r="HNS102" s="42"/>
      <c r="HNT102" s="43">
        <v>0</v>
      </c>
      <c r="HNU102" s="42" t="s">
        <v>48</v>
      </c>
      <c r="HNV102" s="42"/>
      <c r="HNW102" s="42"/>
      <c r="HNX102" s="42"/>
      <c r="HNY102" s="42"/>
      <c r="HNZ102" s="42"/>
      <c r="HOA102" s="42"/>
      <c r="HOB102" s="43">
        <v>0</v>
      </c>
      <c r="HOC102" s="42" t="s">
        <v>48</v>
      </c>
      <c r="HOD102" s="42"/>
      <c r="HOE102" s="42"/>
      <c r="HOF102" s="42"/>
      <c r="HOG102" s="42"/>
      <c r="HOH102" s="42"/>
      <c r="HOI102" s="42"/>
      <c r="HOJ102" s="43">
        <v>0</v>
      </c>
      <c r="HOK102" s="42" t="s">
        <v>48</v>
      </c>
      <c r="HOL102" s="42"/>
      <c r="HOM102" s="42"/>
      <c r="HON102" s="42"/>
      <c r="HOO102" s="42"/>
      <c r="HOP102" s="42"/>
      <c r="HOQ102" s="42"/>
      <c r="HOR102" s="43">
        <v>0</v>
      </c>
      <c r="HOS102" s="42" t="s">
        <v>48</v>
      </c>
      <c r="HOT102" s="42"/>
      <c r="HOU102" s="42"/>
      <c r="HOV102" s="42"/>
      <c r="HOW102" s="42"/>
      <c r="HOX102" s="42"/>
      <c r="HOY102" s="42"/>
      <c r="HOZ102" s="43">
        <v>0</v>
      </c>
      <c r="HPA102" s="42" t="s">
        <v>48</v>
      </c>
      <c r="HPB102" s="42"/>
      <c r="HPC102" s="42"/>
      <c r="HPD102" s="42"/>
      <c r="HPE102" s="42"/>
      <c r="HPF102" s="42"/>
      <c r="HPG102" s="42"/>
      <c r="HPH102" s="43">
        <v>0</v>
      </c>
      <c r="HPI102" s="42" t="s">
        <v>48</v>
      </c>
      <c r="HPJ102" s="42"/>
      <c r="HPK102" s="42"/>
      <c r="HPL102" s="42"/>
      <c r="HPM102" s="42"/>
      <c r="HPN102" s="42"/>
      <c r="HPO102" s="42"/>
      <c r="HPP102" s="43">
        <v>0</v>
      </c>
      <c r="HPQ102" s="42" t="s">
        <v>48</v>
      </c>
      <c r="HPR102" s="42"/>
      <c r="HPS102" s="42"/>
      <c r="HPT102" s="42"/>
      <c r="HPU102" s="42"/>
      <c r="HPV102" s="42"/>
      <c r="HPW102" s="42"/>
      <c r="HPX102" s="43">
        <v>0</v>
      </c>
      <c r="HPY102" s="42" t="s">
        <v>48</v>
      </c>
      <c r="HPZ102" s="42"/>
      <c r="HQA102" s="42"/>
      <c r="HQB102" s="42"/>
      <c r="HQC102" s="42"/>
      <c r="HQD102" s="42"/>
      <c r="HQE102" s="42"/>
      <c r="HQF102" s="43">
        <v>0</v>
      </c>
      <c r="HQG102" s="42" t="s">
        <v>48</v>
      </c>
      <c r="HQH102" s="42"/>
      <c r="HQI102" s="42"/>
      <c r="HQJ102" s="42"/>
      <c r="HQK102" s="42"/>
      <c r="HQL102" s="42"/>
      <c r="HQM102" s="42"/>
      <c r="HQN102" s="43">
        <v>0</v>
      </c>
      <c r="HQO102" s="42" t="s">
        <v>48</v>
      </c>
      <c r="HQP102" s="42"/>
      <c r="HQQ102" s="42"/>
      <c r="HQR102" s="42"/>
      <c r="HQS102" s="42"/>
      <c r="HQT102" s="42"/>
      <c r="HQU102" s="42"/>
      <c r="HQV102" s="43">
        <v>0</v>
      </c>
      <c r="HQW102" s="42" t="s">
        <v>48</v>
      </c>
      <c r="HQX102" s="42"/>
      <c r="HQY102" s="42"/>
      <c r="HQZ102" s="42"/>
      <c r="HRA102" s="42"/>
      <c r="HRB102" s="42"/>
      <c r="HRC102" s="42"/>
      <c r="HRD102" s="43">
        <v>0</v>
      </c>
      <c r="HRE102" s="42" t="s">
        <v>48</v>
      </c>
      <c r="HRF102" s="42"/>
      <c r="HRG102" s="42"/>
      <c r="HRH102" s="42"/>
      <c r="HRI102" s="42"/>
      <c r="HRJ102" s="42"/>
      <c r="HRK102" s="42"/>
      <c r="HRL102" s="43">
        <v>0</v>
      </c>
      <c r="HRM102" s="42" t="s">
        <v>48</v>
      </c>
      <c r="HRN102" s="42"/>
      <c r="HRO102" s="42"/>
      <c r="HRP102" s="42"/>
      <c r="HRQ102" s="42"/>
      <c r="HRR102" s="42"/>
      <c r="HRS102" s="42"/>
      <c r="HRT102" s="43">
        <v>0</v>
      </c>
      <c r="HRU102" s="42" t="s">
        <v>48</v>
      </c>
      <c r="HRV102" s="42"/>
      <c r="HRW102" s="42"/>
      <c r="HRX102" s="42"/>
      <c r="HRY102" s="42"/>
      <c r="HRZ102" s="42"/>
      <c r="HSA102" s="42"/>
      <c r="HSB102" s="43">
        <v>0</v>
      </c>
      <c r="HSC102" s="42" t="s">
        <v>48</v>
      </c>
      <c r="HSD102" s="42"/>
      <c r="HSE102" s="42"/>
      <c r="HSF102" s="42"/>
      <c r="HSG102" s="42"/>
      <c r="HSH102" s="42"/>
      <c r="HSI102" s="42"/>
      <c r="HSJ102" s="43">
        <v>0</v>
      </c>
      <c r="HSK102" s="42" t="s">
        <v>48</v>
      </c>
      <c r="HSL102" s="42"/>
      <c r="HSM102" s="42"/>
      <c r="HSN102" s="42"/>
      <c r="HSO102" s="42"/>
      <c r="HSP102" s="42"/>
      <c r="HSQ102" s="42"/>
      <c r="HSR102" s="43">
        <v>0</v>
      </c>
      <c r="HSS102" s="42" t="s">
        <v>48</v>
      </c>
      <c r="HST102" s="42"/>
      <c r="HSU102" s="42"/>
      <c r="HSV102" s="42"/>
      <c r="HSW102" s="42"/>
      <c r="HSX102" s="42"/>
      <c r="HSY102" s="42"/>
      <c r="HSZ102" s="43">
        <v>0</v>
      </c>
      <c r="HTA102" s="42" t="s">
        <v>48</v>
      </c>
      <c r="HTB102" s="42"/>
      <c r="HTC102" s="42"/>
      <c r="HTD102" s="42"/>
      <c r="HTE102" s="42"/>
      <c r="HTF102" s="42"/>
      <c r="HTG102" s="42"/>
      <c r="HTH102" s="43">
        <v>0</v>
      </c>
      <c r="HTI102" s="42" t="s">
        <v>48</v>
      </c>
      <c r="HTJ102" s="42"/>
      <c r="HTK102" s="42"/>
      <c r="HTL102" s="42"/>
      <c r="HTM102" s="42"/>
      <c r="HTN102" s="42"/>
      <c r="HTO102" s="42"/>
      <c r="HTP102" s="43">
        <v>0</v>
      </c>
      <c r="HTQ102" s="42" t="s">
        <v>48</v>
      </c>
      <c r="HTR102" s="42"/>
      <c r="HTS102" s="42"/>
      <c r="HTT102" s="42"/>
      <c r="HTU102" s="42"/>
      <c r="HTV102" s="42"/>
      <c r="HTW102" s="42"/>
      <c r="HTX102" s="43">
        <v>0</v>
      </c>
      <c r="HTY102" s="42" t="s">
        <v>48</v>
      </c>
      <c r="HTZ102" s="42"/>
      <c r="HUA102" s="42"/>
      <c r="HUB102" s="42"/>
      <c r="HUC102" s="42"/>
      <c r="HUD102" s="42"/>
      <c r="HUE102" s="42"/>
      <c r="HUF102" s="43">
        <v>0</v>
      </c>
      <c r="HUG102" s="42" t="s">
        <v>48</v>
      </c>
      <c r="HUH102" s="42"/>
      <c r="HUI102" s="42"/>
      <c r="HUJ102" s="42"/>
      <c r="HUK102" s="42"/>
      <c r="HUL102" s="42"/>
      <c r="HUM102" s="42"/>
      <c r="HUN102" s="43">
        <v>0</v>
      </c>
      <c r="HUO102" s="42" t="s">
        <v>48</v>
      </c>
      <c r="HUP102" s="42"/>
      <c r="HUQ102" s="42"/>
      <c r="HUR102" s="42"/>
      <c r="HUS102" s="42"/>
      <c r="HUT102" s="42"/>
      <c r="HUU102" s="42"/>
      <c r="HUV102" s="43">
        <v>0</v>
      </c>
      <c r="HUW102" s="42" t="s">
        <v>48</v>
      </c>
      <c r="HUX102" s="42"/>
      <c r="HUY102" s="42"/>
      <c r="HUZ102" s="42"/>
      <c r="HVA102" s="42"/>
      <c r="HVB102" s="42"/>
      <c r="HVC102" s="42"/>
      <c r="HVD102" s="43">
        <v>0</v>
      </c>
      <c r="HVE102" s="42" t="s">
        <v>48</v>
      </c>
      <c r="HVF102" s="42"/>
      <c r="HVG102" s="42"/>
      <c r="HVH102" s="42"/>
      <c r="HVI102" s="42"/>
      <c r="HVJ102" s="42"/>
      <c r="HVK102" s="42"/>
      <c r="HVL102" s="43">
        <v>0</v>
      </c>
      <c r="HVM102" s="42" t="s">
        <v>48</v>
      </c>
      <c r="HVN102" s="42"/>
      <c r="HVO102" s="42"/>
      <c r="HVP102" s="42"/>
      <c r="HVQ102" s="42"/>
      <c r="HVR102" s="42"/>
      <c r="HVS102" s="42"/>
      <c r="HVT102" s="43">
        <v>0</v>
      </c>
      <c r="HVU102" s="42" t="s">
        <v>48</v>
      </c>
      <c r="HVV102" s="42"/>
      <c r="HVW102" s="42"/>
      <c r="HVX102" s="42"/>
      <c r="HVY102" s="42"/>
      <c r="HVZ102" s="42"/>
      <c r="HWA102" s="42"/>
      <c r="HWB102" s="43">
        <v>0</v>
      </c>
      <c r="HWC102" s="42" t="s">
        <v>48</v>
      </c>
      <c r="HWD102" s="42"/>
      <c r="HWE102" s="42"/>
      <c r="HWF102" s="42"/>
      <c r="HWG102" s="42"/>
      <c r="HWH102" s="42"/>
      <c r="HWI102" s="42"/>
      <c r="HWJ102" s="43">
        <v>0</v>
      </c>
      <c r="HWK102" s="42" t="s">
        <v>48</v>
      </c>
      <c r="HWL102" s="42"/>
      <c r="HWM102" s="42"/>
      <c r="HWN102" s="42"/>
      <c r="HWO102" s="42"/>
      <c r="HWP102" s="42"/>
      <c r="HWQ102" s="42"/>
      <c r="HWR102" s="43">
        <v>0</v>
      </c>
      <c r="HWS102" s="42" t="s">
        <v>48</v>
      </c>
      <c r="HWT102" s="42"/>
      <c r="HWU102" s="42"/>
      <c r="HWV102" s="42"/>
      <c r="HWW102" s="42"/>
      <c r="HWX102" s="42"/>
      <c r="HWY102" s="42"/>
      <c r="HWZ102" s="43">
        <v>0</v>
      </c>
      <c r="HXA102" s="42" t="s">
        <v>48</v>
      </c>
      <c r="HXB102" s="42"/>
      <c r="HXC102" s="42"/>
      <c r="HXD102" s="42"/>
      <c r="HXE102" s="42"/>
      <c r="HXF102" s="42"/>
      <c r="HXG102" s="42"/>
      <c r="HXH102" s="43">
        <v>0</v>
      </c>
      <c r="HXI102" s="42" t="s">
        <v>48</v>
      </c>
      <c r="HXJ102" s="42"/>
      <c r="HXK102" s="42"/>
      <c r="HXL102" s="42"/>
      <c r="HXM102" s="42"/>
      <c r="HXN102" s="42"/>
      <c r="HXO102" s="42"/>
      <c r="HXP102" s="43">
        <v>0</v>
      </c>
      <c r="HXQ102" s="42" t="s">
        <v>48</v>
      </c>
      <c r="HXR102" s="42"/>
      <c r="HXS102" s="42"/>
      <c r="HXT102" s="42"/>
      <c r="HXU102" s="42"/>
      <c r="HXV102" s="42"/>
      <c r="HXW102" s="42"/>
      <c r="HXX102" s="43">
        <v>0</v>
      </c>
      <c r="HXY102" s="42" t="s">
        <v>48</v>
      </c>
      <c r="HXZ102" s="42"/>
      <c r="HYA102" s="42"/>
      <c r="HYB102" s="42"/>
      <c r="HYC102" s="42"/>
      <c r="HYD102" s="42"/>
      <c r="HYE102" s="42"/>
      <c r="HYF102" s="43">
        <v>0</v>
      </c>
      <c r="HYG102" s="42" t="s">
        <v>48</v>
      </c>
      <c r="HYH102" s="42"/>
      <c r="HYI102" s="42"/>
      <c r="HYJ102" s="42"/>
      <c r="HYK102" s="42"/>
      <c r="HYL102" s="42"/>
      <c r="HYM102" s="42"/>
      <c r="HYN102" s="43">
        <v>0</v>
      </c>
      <c r="HYO102" s="42" t="s">
        <v>48</v>
      </c>
      <c r="HYP102" s="42"/>
      <c r="HYQ102" s="42"/>
      <c r="HYR102" s="42"/>
      <c r="HYS102" s="42"/>
      <c r="HYT102" s="42"/>
      <c r="HYU102" s="42"/>
      <c r="HYV102" s="43">
        <v>0</v>
      </c>
      <c r="HYW102" s="42" t="s">
        <v>48</v>
      </c>
      <c r="HYX102" s="42"/>
      <c r="HYY102" s="42"/>
      <c r="HYZ102" s="42"/>
      <c r="HZA102" s="42"/>
      <c r="HZB102" s="42"/>
      <c r="HZC102" s="42"/>
      <c r="HZD102" s="43">
        <v>0</v>
      </c>
      <c r="HZE102" s="42" t="s">
        <v>48</v>
      </c>
      <c r="HZF102" s="42"/>
      <c r="HZG102" s="42"/>
      <c r="HZH102" s="42"/>
      <c r="HZI102" s="42"/>
      <c r="HZJ102" s="42"/>
      <c r="HZK102" s="42"/>
      <c r="HZL102" s="43">
        <v>0</v>
      </c>
      <c r="HZM102" s="42" t="s">
        <v>48</v>
      </c>
      <c r="HZN102" s="42"/>
      <c r="HZO102" s="42"/>
      <c r="HZP102" s="42"/>
      <c r="HZQ102" s="42"/>
      <c r="HZR102" s="42"/>
      <c r="HZS102" s="42"/>
      <c r="HZT102" s="43">
        <v>0</v>
      </c>
      <c r="HZU102" s="42" t="s">
        <v>48</v>
      </c>
      <c r="HZV102" s="42"/>
      <c r="HZW102" s="42"/>
      <c r="HZX102" s="42"/>
      <c r="HZY102" s="42"/>
      <c r="HZZ102" s="42"/>
      <c r="IAA102" s="42"/>
      <c r="IAB102" s="43">
        <v>0</v>
      </c>
      <c r="IAC102" s="42" t="s">
        <v>48</v>
      </c>
      <c r="IAD102" s="42"/>
      <c r="IAE102" s="42"/>
      <c r="IAF102" s="42"/>
      <c r="IAG102" s="42"/>
      <c r="IAH102" s="42"/>
      <c r="IAI102" s="42"/>
      <c r="IAJ102" s="43">
        <v>0</v>
      </c>
      <c r="IAK102" s="42" t="s">
        <v>48</v>
      </c>
      <c r="IAL102" s="42"/>
      <c r="IAM102" s="42"/>
      <c r="IAN102" s="42"/>
      <c r="IAO102" s="42"/>
      <c r="IAP102" s="42"/>
      <c r="IAQ102" s="42"/>
      <c r="IAR102" s="43">
        <v>0</v>
      </c>
      <c r="IAS102" s="42" t="s">
        <v>48</v>
      </c>
      <c r="IAT102" s="42"/>
      <c r="IAU102" s="42"/>
      <c r="IAV102" s="42"/>
      <c r="IAW102" s="42"/>
      <c r="IAX102" s="42"/>
      <c r="IAY102" s="42"/>
      <c r="IAZ102" s="43">
        <v>0</v>
      </c>
      <c r="IBA102" s="42" t="s">
        <v>48</v>
      </c>
      <c r="IBB102" s="42"/>
      <c r="IBC102" s="42"/>
      <c r="IBD102" s="42"/>
      <c r="IBE102" s="42"/>
      <c r="IBF102" s="42"/>
      <c r="IBG102" s="42"/>
      <c r="IBH102" s="43">
        <v>0</v>
      </c>
      <c r="IBI102" s="42" t="s">
        <v>48</v>
      </c>
      <c r="IBJ102" s="42"/>
      <c r="IBK102" s="42"/>
      <c r="IBL102" s="42"/>
      <c r="IBM102" s="42"/>
      <c r="IBN102" s="42"/>
      <c r="IBO102" s="42"/>
      <c r="IBP102" s="43">
        <v>0</v>
      </c>
      <c r="IBQ102" s="42" t="s">
        <v>48</v>
      </c>
      <c r="IBR102" s="42"/>
      <c r="IBS102" s="42"/>
      <c r="IBT102" s="42"/>
      <c r="IBU102" s="42"/>
      <c r="IBV102" s="42"/>
      <c r="IBW102" s="42"/>
      <c r="IBX102" s="43">
        <v>0</v>
      </c>
      <c r="IBY102" s="42" t="s">
        <v>48</v>
      </c>
      <c r="IBZ102" s="42"/>
      <c r="ICA102" s="42"/>
      <c r="ICB102" s="42"/>
      <c r="ICC102" s="42"/>
      <c r="ICD102" s="42"/>
      <c r="ICE102" s="42"/>
      <c r="ICF102" s="43">
        <v>0</v>
      </c>
      <c r="ICG102" s="42" t="s">
        <v>48</v>
      </c>
      <c r="ICH102" s="42"/>
      <c r="ICI102" s="42"/>
      <c r="ICJ102" s="42"/>
      <c r="ICK102" s="42"/>
      <c r="ICL102" s="42"/>
      <c r="ICM102" s="42"/>
      <c r="ICN102" s="43">
        <v>0</v>
      </c>
      <c r="ICO102" s="42" t="s">
        <v>48</v>
      </c>
      <c r="ICP102" s="42"/>
      <c r="ICQ102" s="42"/>
      <c r="ICR102" s="42"/>
      <c r="ICS102" s="42"/>
      <c r="ICT102" s="42"/>
      <c r="ICU102" s="42"/>
      <c r="ICV102" s="43">
        <v>0</v>
      </c>
      <c r="ICW102" s="42" t="s">
        <v>48</v>
      </c>
      <c r="ICX102" s="42"/>
      <c r="ICY102" s="42"/>
      <c r="ICZ102" s="42"/>
      <c r="IDA102" s="42"/>
      <c r="IDB102" s="42"/>
      <c r="IDC102" s="42"/>
      <c r="IDD102" s="43">
        <v>0</v>
      </c>
      <c r="IDE102" s="42" t="s">
        <v>48</v>
      </c>
      <c r="IDF102" s="42"/>
      <c r="IDG102" s="42"/>
      <c r="IDH102" s="42"/>
      <c r="IDI102" s="42"/>
      <c r="IDJ102" s="42"/>
      <c r="IDK102" s="42"/>
      <c r="IDL102" s="43">
        <v>0</v>
      </c>
      <c r="IDM102" s="42" t="s">
        <v>48</v>
      </c>
      <c r="IDN102" s="42"/>
      <c r="IDO102" s="42"/>
      <c r="IDP102" s="42"/>
      <c r="IDQ102" s="42"/>
      <c r="IDR102" s="42"/>
      <c r="IDS102" s="42"/>
      <c r="IDT102" s="43">
        <v>0</v>
      </c>
      <c r="IDU102" s="42" t="s">
        <v>48</v>
      </c>
      <c r="IDV102" s="42"/>
      <c r="IDW102" s="42"/>
      <c r="IDX102" s="42"/>
      <c r="IDY102" s="42"/>
      <c r="IDZ102" s="42"/>
      <c r="IEA102" s="42"/>
      <c r="IEB102" s="43">
        <v>0</v>
      </c>
      <c r="IEC102" s="42" t="s">
        <v>48</v>
      </c>
      <c r="IED102" s="42"/>
      <c r="IEE102" s="42"/>
      <c r="IEF102" s="42"/>
      <c r="IEG102" s="42"/>
      <c r="IEH102" s="42"/>
      <c r="IEI102" s="42"/>
      <c r="IEJ102" s="43">
        <v>0</v>
      </c>
      <c r="IEK102" s="42" t="s">
        <v>48</v>
      </c>
      <c r="IEL102" s="42"/>
      <c r="IEM102" s="42"/>
      <c r="IEN102" s="42"/>
      <c r="IEO102" s="42"/>
      <c r="IEP102" s="42"/>
      <c r="IEQ102" s="42"/>
      <c r="IER102" s="43">
        <v>0</v>
      </c>
      <c r="IES102" s="42" t="s">
        <v>48</v>
      </c>
      <c r="IET102" s="42"/>
      <c r="IEU102" s="42"/>
      <c r="IEV102" s="42"/>
      <c r="IEW102" s="42"/>
      <c r="IEX102" s="42"/>
      <c r="IEY102" s="42"/>
      <c r="IEZ102" s="43">
        <v>0</v>
      </c>
      <c r="IFA102" s="42" t="s">
        <v>48</v>
      </c>
      <c r="IFB102" s="42"/>
      <c r="IFC102" s="42"/>
      <c r="IFD102" s="42"/>
      <c r="IFE102" s="42"/>
      <c r="IFF102" s="42"/>
      <c r="IFG102" s="42"/>
      <c r="IFH102" s="43">
        <v>0</v>
      </c>
      <c r="IFI102" s="42" t="s">
        <v>48</v>
      </c>
      <c r="IFJ102" s="42"/>
      <c r="IFK102" s="42"/>
      <c r="IFL102" s="42"/>
      <c r="IFM102" s="42"/>
      <c r="IFN102" s="42"/>
      <c r="IFO102" s="42"/>
      <c r="IFP102" s="43">
        <v>0</v>
      </c>
      <c r="IFQ102" s="42" t="s">
        <v>48</v>
      </c>
      <c r="IFR102" s="42"/>
      <c r="IFS102" s="42"/>
      <c r="IFT102" s="42"/>
      <c r="IFU102" s="42"/>
      <c r="IFV102" s="42"/>
      <c r="IFW102" s="42"/>
      <c r="IFX102" s="43">
        <v>0</v>
      </c>
      <c r="IFY102" s="42" t="s">
        <v>48</v>
      </c>
      <c r="IFZ102" s="42"/>
      <c r="IGA102" s="42"/>
      <c r="IGB102" s="42"/>
      <c r="IGC102" s="42"/>
      <c r="IGD102" s="42"/>
      <c r="IGE102" s="42"/>
      <c r="IGF102" s="43">
        <v>0</v>
      </c>
      <c r="IGG102" s="42" t="s">
        <v>48</v>
      </c>
      <c r="IGH102" s="42"/>
      <c r="IGI102" s="42"/>
      <c r="IGJ102" s="42"/>
      <c r="IGK102" s="42"/>
      <c r="IGL102" s="42"/>
      <c r="IGM102" s="42"/>
      <c r="IGN102" s="43">
        <v>0</v>
      </c>
      <c r="IGO102" s="42" t="s">
        <v>48</v>
      </c>
      <c r="IGP102" s="42"/>
      <c r="IGQ102" s="42"/>
      <c r="IGR102" s="42"/>
      <c r="IGS102" s="42"/>
      <c r="IGT102" s="42"/>
      <c r="IGU102" s="42"/>
      <c r="IGV102" s="43">
        <v>0</v>
      </c>
      <c r="IGW102" s="42" t="s">
        <v>48</v>
      </c>
      <c r="IGX102" s="42"/>
      <c r="IGY102" s="42"/>
      <c r="IGZ102" s="42"/>
      <c r="IHA102" s="42"/>
      <c r="IHB102" s="42"/>
      <c r="IHC102" s="42"/>
      <c r="IHD102" s="43">
        <v>0</v>
      </c>
      <c r="IHE102" s="42" t="s">
        <v>48</v>
      </c>
      <c r="IHF102" s="42"/>
      <c r="IHG102" s="42"/>
      <c r="IHH102" s="42"/>
      <c r="IHI102" s="42"/>
      <c r="IHJ102" s="42"/>
      <c r="IHK102" s="42"/>
      <c r="IHL102" s="43">
        <v>0</v>
      </c>
      <c r="IHM102" s="42" t="s">
        <v>48</v>
      </c>
      <c r="IHN102" s="42"/>
      <c r="IHO102" s="42"/>
      <c r="IHP102" s="42"/>
      <c r="IHQ102" s="42"/>
      <c r="IHR102" s="42"/>
      <c r="IHS102" s="42"/>
      <c r="IHT102" s="43">
        <v>0</v>
      </c>
      <c r="IHU102" s="42" t="s">
        <v>48</v>
      </c>
      <c r="IHV102" s="42"/>
      <c r="IHW102" s="42"/>
      <c r="IHX102" s="42"/>
      <c r="IHY102" s="42"/>
      <c r="IHZ102" s="42"/>
      <c r="IIA102" s="42"/>
      <c r="IIB102" s="43">
        <v>0</v>
      </c>
      <c r="IIC102" s="42" t="s">
        <v>48</v>
      </c>
      <c r="IID102" s="42"/>
      <c r="IIE102" s="42"/>
      <c r="IIF102" s="42"/>
      <c r="IIG102" s="42"/>
      <c r="IIH102" s="42"/>
      <c r="III102" s="42"/>
      <c r="IIJ102" s="43">
        <v>0</v>
      </c>
      <c r="IIK102" s="42" t="s">
        <v>48</v>
      </c>
      <c r="IIL102" s="42"/>
      <c r="IIM102" s="42"/>
      <c r="IIN102" s="42"/>
      <c r="IIO102" s="42"/>
      <c r="IIP102" s="42"/>
      <c r="IIQ102" s="42"/>
      <c r="IIR102" s="43">
        <v>0</v>
      </c>
      <c r="IIS102" s="42" t="s">
        <v>48</v>
      </c>
      <c r="IIT102" s="42"/>
      <c r="IIU102" s="42"/>
      <c r="IIV102" s="42"/>
      <c r="IIW102" s="42"/>
      <c r="IIX102" s="42"/>
      <c r="IIY102" s="42"/>
      <c r="IIZ102" s="43">
        <v>0</v>
      </c>
      <c r="IJA102" s="42" t="s">
        <v>48</v>
      </c>
      <c r="IJB102" s="42"/>
      <c r="IJC102" s="42"/>
      <c r="IJD102" s="42"/>
      <c r="IJE102" s="42"/>
      <c r="IJF102" s="42"/>
      <c r="IJG102" s="42"/>
      <c r="IJH102" s="43">
        <v>0</v>
      </c>
      <c r="IJI102" s="42" t="s">
        <v>48</v>
      </c>
      <c r="IJJ102" s="42"/>
      <c r="IJK102" s="42"/>
      <c r="IJL102" s="42"/>
      <c r="IJM102" s="42"/>
      <c r="IJN102" s="42"/>
      <c r="IJO102" s="42"/>
      <c r="IJP102" s="43">
        <v>0</v>
      </c>
      <c r="IJQ102" s="42" t="s">
        <v>48</v>
      </c>
      <c r="IJR102" s="42"/>
      <c r="IJS102" s="42"/>
      <c r="IJT102" s="42"/>
      <c r="IJU102" s="42"/>
      <c r="IJV102" s="42"/>
      <c r="IJW102" s="42"/>
      <c r="IJX102" s="43">
        <v>0</v>
      </c>
      <c r="IJY102" s="42" t="s">
        <v>48</v>
      </c>
      <c r="IJZ102" s="42"/>
      <c r="IKA102" s="42"/>
      <c r="IKB102" s="42"/>
      <c r="IKC102" s="42"/>
      <c r="IKD102" s="42"/>
      <c r="IKE102" s="42"/>
      <c r="IKF102" s="43">
        <v>0</v>
      </c>
      <c r="IKG102" s="42" t="s">
        <v>48</v>
      </c>
      <c r="IKH102" s="42"/>
      <c r="IKI102" s="42"/>
      <c r="IKJ102" s="42"/>
      <c r="IKK102" s="42"/>
      <c r="IKL102" s="42"/>
      <c r="IKM102" s="42"/>
      <c r="IKN102" s="43">
        <v>0</v>
      </c>
      <c r="IKO102" s="42" t="s">
        <v>48</v>
      </c>
      <c r="IKP102" s="42"/>
      <c r="IKQ102" s="42"/>
      <c r="IKR102" s="42"/>
      <c r="IKS102" s="42"/>
      <c r="IKT102" s="42"/>
      <c r="IKU102" s="42"/>
      <c r="IKV102" s="43">
        <v>0</v>
      </c>
      <c r="IKW102" s="42" t="s">
        <v>48</v>
      </c>
      <c r="IKX102" s="42"/>
      <c r="IKY102" s="42"/>
      <c r="IKZ102" s="42"/>
      <c r="ILA102" s="42"/>
      <c r="ILB102" s="42"/>
      <c r="ILC102" s="42"/>
      <c r="ILD102" s="43">
        <v>0</v>
      </c>
      <c r="ILE102" s="42" t="s">
        <v>48</v>
      </c>
      <c r="ILF102" s="42"/>
      <c r="ILG102" s="42"/>
      <c r="ILH102" s="42"/>
      <c r="ILI102" s="42"/>
      <c r="ILJ102" s="42"/>
      <c r="ILK102" s="42"/>
      <c r="ILL102" s="43">
        <v>0</v>
      </c>
      <c r="ILM102" s="42" t="s">
        <v>48</v>
      </c>
      <c r="ILN102" s="42"/>
      <c r="ILO102" s="42"/>
      <c r="ILP102" s="42"/>
      <c r="ILQ102" s="42"/>
      <c r="ILR102" s="42"/>
      <c r="ILS102" s="42"/>
      <c r="ILT102" s="43">
        <v>0</v>
      </c>
      <c r="ILU102" s="42" t="s">
        <v>48</v>
      </c>
      <c r="ILV102" s="42"/>
      <c r="ILW102" s="42"/>
      <c r="ILX102" s="42"/>
      <c r="ILY102" s="42"/>
      <c r="ILZ102" s="42"/>
      <c r="IMA102" s="42"/>
      <c r="IMB102" s="43">
        <v>0</v>
      </c>
      <c r="IMC102" s="42" t="s">
        <v>48</v>
      </c>
      <c r="IMD102" s="42"/>
      <c r="IME102" s="42"/>
      <c r="IMF102" s="42"/>
      <c r="IMG102" s="42"/>
      <c r="IMH102" s="42"/>
      <c r="IMI102" s="42"/>
      <c r="IMJ102" s="43">
        <v>0</v>
      </c>
      <c r="IMK102" s="42" t="s">
        <v>48</v>
      </c>
      <c r="IML102" s="42"/>
      <c r="IMM102" s="42"/>
      <c r="IMN102" s="42"/>
      <c r="IMO102" s="42"/>
      <c r="IMP102" s="42"/>
      <c r="IMQ102" s="42"/>
      <c r="IMR102" s="43">
        <v>0</v>
      </c>
      <c r="IMS102" s="42" t="s">
        <v>48</v>
      </c>
      <c r="IMT102" s="42"/>
      <c r="IMU102" s="42"/>
      <c r="IMV102" s="42"/>
      <c r="IMW102" s="42"/>
      <c r="IMX102" s="42"/>
      <c r="IMY102" s="42"/>
      <c r="IMZ102" s="43">
        <v>0</v>
      </c>
      <c r="INA102" s="42" t="s">
        <v>48</v>
      </c>
      <c r="INB102" s="42"/>
      <c r="INC102" s="42"/>
      <c r="IND102" s="42"/>
      <c r="INE102" s="42"/>
      <c r="INF102" s="42"/>
      <c r="ING102" s="42"/>
      <c r="INH102" s="43">
        <v>0</v>
      </c>
      <c r="INI102" s="42" t="s">
        <v>48</v>
      </c>
      <c r="INJ102" s="42"/>
      <c r="INK102" s="42"/>
      <c r="INL102" s="42"/>
      <c r="INM102" s="42"/>
      <c r="INN102" s="42"/>
      <c r="INO102" s="42"/>
      <c r="INP102" s="43">
        <v>0</v>
      </c>
      <c r="INQ102" s="42" t="s">
        <v>48</v>
      </c>
      <c r="INR102" s="42"/>
      <c r="INS102" s="42"/>
      <c r="INT102" s="42"/>
      <c r="INU102" s="42"/>
      <c r="INV102" s="42"/>
      <c r="INW102" s="42"/>
      <c r="INX102" s="43">
        <v>0</v>
      </c>
      <c r="INY102" s="42" t="s">
        <v>48</v>
      </c>
      <c r="INZ102" s="42"/>
      <c r="IOA102" s="42"/>
      <c r="IOB102" s="42"/>
      <c r="IOC102" s="42"/>
      <c r="IOD102" s="42"/>
      <c r="IOE102" s="42"/>
      <c r="IOF102" s="43">
        <v>0</v>
      </c>
      <c r="IOG102" s="42" t="s">
        <v>48</v>
      </c>
      <c r="IOH102" s="42"/>
      <c r="IOI102" s="42"/>
      <c r="IOJ102" s="42"/>
      <c r="IOK102" s="42"/>
      <c r="IOL102" s="42"/>
      <c r="IOM102" s="42"/>
      <c r="ION102" s="43">
        <v>0</v>
      </c>
      <c r="IOO102" s="42" t="s">
        <v>48</v>
      </c>
      <c r="IOP102" s="42"/>
      <c r="IOQ102" s="42"/>
      <c r="IOR102" s="42"/>
      <c r="IOS102" s="42"/>
      <c r="IOT102" s="42"/>
      <c r="IOU102" s="42"/>
      <c r="IOV102" s="43">
        <v>0</v>
      </c>
      <c r="IOW102" s="42" t="s">
        <v>48</v>
      </c>
      <c r="IOX102" s="42"/>
      <c r="IOY102" s="42"/>
      <c r="IOZ102" s="42"/>
      <c r="IPA102" s="42"/>
      <c r="IPB102" s="42"/>
      <c r="IPC102" s="42"/>
      <c r="IPD102" s="43">
        <v>0</v>
      </c>
      <c r="IPE102" s="42" t="s">
        <v>48</v>
      </c>
      <c r="IPF102" s="42"/>
      <c r="IPG102" s="42"/>
      <c r="IPH102" s="42"/>
      <c r="IPI102" s="42"/>
      <c r="IPJ102" s="42"/>
      <c r="IPK102" s="42"/>
      <c r="IPL102" s="43">
        <v>0</v>
      </c>
      <c r="IPM102" s="42" t="s">
        <v>48</v>
      </c>
      <c r="IPN102" s="42"/>
      <c r="IPO102" s="42"/>
      <c r="IPP102" s="42"/>
      <c r="IPQ102" s="42"/>
      <c r="IPR102" s="42"/>
      <c r="IPS102" s="42"/>
      <c r="IPT102" s="43">
        <v>0</v>
      </c>
      <c r="IPU102" s="42" t="s">
        <v>48</v>
      </c>
      <c r="IPV102" s="42"/>
      <c r="IPW102" s="42"/>
      <c r="IPX102" s="42"/>
      <c r="IPY102" s="42"/>
      <c r="IPZ102" s="42"/>
      <c r="IQA102" s="42"/>
      <c r="IQB102" s="43">
        <v>0</v>
      </c>
      <c r="IQC102" s="42" t="s">
        <v>48</v>
      </c>
      <c r="IQD102" s="42"/>
      <c r="IQE102" s="42"/>
      <c r="IQF102" s="42"/>
      <c r="IQG102" s="42"/>
      <c r="IQH102" s="42"/>
      <c r="IQI102" s="42"/>
      <c r="IQJ102" s="43">
        <v>0</v>
      </c>
      <c r="IQK102" s="42" t="s">
        <v>48</v>
      </c>
      <c r="IQL102" s="42"/>
      <c r="IQM102" s="42"/>
      <c r="IQN102" s="42"/>
      <c r="IQO102" s="42"/>
      <c r="IQP102" s="42"/>
      <c r="IQQ102" s="42"/>
      <c r="IQR102" s="43">
        <v>0</v>
      </c>
      <c r="IQS102" s="42" t="s">
        <v>48</v>
      </c>
      <c r="IQT102" s="42"/>
      <c r="IQU102" s="42"/>
      <c r="IQV102" s="42"/>
      <c r="IQW102" s="42"/>
      <c r="IQX102" s="42"/>
      <c r="IQY102" s="42"/>
      <c r="IQZ102" s="43">
        <v>0</v>
      </c>
      <c r="IRA102" s="42" t="s">
        <v>48</v>
      </c>
      <c r="IRB102" s="42"/>
      <c r="IRC102" s="42"/>
      <c r="IRD102" s="42"/>
      <c r="IRE102" s="42"/>
      <c r="IRF102" s="42"/>
      <c r="IRG102" s="42"/>
      <c r="IRH102" s="43">
        <v>0</v>
      </c>
      <c r="IRI102" s="42" t="s">
        <v>48</v>
      </c>
      <c r="IRJ102" s="42"/>
      <c r="IRK102" s="42"/>
      <c r="IRL102" s="42"/>
      <c r="IRM102" s="42"/>
      <c r="IRN102" s="42"/>
      <c r="IRO102" s="42"/>
      <c r="IRP102" s="43">
        <v>0</v>
      </c>
      <c r="IRQ102" s="42" t="s">
        <v>48</v>
      </c>
      <c r="IRR102" s="42"/>
      <c r="IRS102" s="42"/>
      <c r="IRT102" s="42"/>
      <c r="IRU102" s="42"/>
      <c r="IRV102" s="42"/>
      <c r="IRW102" s="42"/>
      <c r="IRX102" s="43">
        <v>0</v>
      </c>
      <c r="IRY102" s="42" t="s">
        <v>48</v>
      </c>
      <c r="IRZ102" s="42"/>
      <c r="ISA102" s="42"/>
      <c r="ISB102" s="42"/>
      <c r="ISC102" s="42"/>
      <c r="ISD102" s="42"/>
      <c r="ISE102" s="42"/>
      <c r="ISF102" s="43">
        <v>0</v>
      </c>
      <c r="ISG102" s="42" t="s">
        <v>48</v>
      </c>
      <c r="ISH102" s="42"/>
      <c r="ISI102" s="42"/>
      <c r="ISJ102" s="42"/>
      <c r="ISK102" s="42"/>
      <c r="ISL102" s="42"/>
      <c r="ISM102" s="42"/>
      <c r="ISN102" s="43">
        <v>0</v>
      </c>
      <c r="ISO102" s="42" t="s">
        <v>48</v>
      </c>
      <c r="ISP102" s="42"/>
      <c r="ISQ102" s="42"/>
      <c r="ISR102" s="42"/>
      <c r="ISS102" s="42"/>
      <c r="IST102" s="42"/>
      <c r="ISU102" s="42"/>
      <c r="ISV102" s="43">
        <v>0</v>
      </c>
      <c r="ISW102" s="42" t="s">
        <v>48</v>
      </c>
      <c r="ISX102" s="42"/>
      <c r="ISY102" s="42"/>
      <c r="ISZ102" s="42"/>
      <c r="ITA102" s="42"/>
      <c r="ITB102" s="42"/>
      <c r="ITC102" s="42"/>
      <c r="ITD102" s="43">
        <v>0</v>
      </c>
      <c r="ITE102" s="42" t="s">
        <v>48</v>
      </c>
      <c r="ITF102" s="42"/>
      <c r="ITG102" s="42"/>
      <c r="ITH102" s="42"/>
      <c r="ITI102" s="42"/>
      <c r="ITJ102" s="42"/>
      <c r="ITK102" s="42"/>
      <c r="ITL102" s="43">
        <v>0</v>
      </c>
      <c r="ITM102" s="42" t="s">
        <v>48</v>
      </c>
      <c r="ITN102" s="42"/>
      <c r="ITO102" s="42"/>
      <c r="ITP102" s="42"/>
      <c r="ITQ102" s="42"/>
      <c r="ITR102" s="42"/>
      <c r="ITS102" s="42"/>
      <c r="ITT102" s="43">
        <v>0</v>
      </c>
      <c r="ITU102" s="42" t="s">
        <v>48</v>
      </c>
      <c r="ITV102" s="42"/>
      <c r="ITW102" s="42"/>
      <c r="ITX102" s="42"/>
      <c r="ITY102" s="42"/>
      <c r="ITZ102" s="42"/>
      <c r="IUA102" s="42"/>
      <c r="IUB102" s="43">
        <v>0</v>
      </c>
      <c r="IUC102" s="42" t="s">
        <v>48</v>
      </c>
      <c r="IUD102" s="42"/>
      <c r="IUE102" s="42"/>
      <c r="IUF102" s="42"/>
      <c r="IUG102" s="42"/>
      <c r="IUH102" s="42"/>
      <c r="IUI102" s="42"/>
      <c r="IUJ102" s="43">
        <v>0</v>
      </c>
      <c r="IUK102" s="42" t="s">
        <v>48</v>
      </c>
      <c r="IUL102" s="42"/>
      <c r="IUM102" s="42"/>
      <c r="IUN102" s="42"/>
      <c r="IUO102" s="42"/>
      <c r="IUP102" s="42"/>
      <c r="IUQ102" s="42"/>
      <c r="IUR102" s="43">
        <v>0</v>
      </c>
      <c r="IUS102" s="42" t="s">
        <v>48</v>
      </c>
      <c r="IUT102" s="42"/>
      <c r="IUU102" s="42"/>
      <c r="IUV102" s="42"/>
      <c r="IUW102" s="42"/>
      <c r="IUX102" s="42"/>
      <c r="IUY102" s="42"/>
      <c r="IUZ102" s="43">
        <v>0</v>
      </c>
      <c r="IVA102" s="42" t="s">
        <v>48</v>
      </c>
      <c r="IVB102" s="42"/>
      <c r="IVC102" s="42"/>
      <c r="IVD102" s="42"/>
      <c r="IVE102" s="42"/>
      <c r="IVF102" s="42"/>
      <c r="IVG102" s="42"/>
      <c r="IVH102" s="43">
        <v>0</v>
      </c>
      <c r="IVI102" s="42" t="s">
        <v>48</v>
      </c>
      <c r="IVJ102" s="42"/>
      <c r="IVK102" s="42"/>
      <c r="IVL102" s="42"/>
      <c r="IVM102" s="42"/>
      <c r="IVN102" s="42"/>
      <c r="IVO102" s="42"/>
      <c r="IVP102" s="43">
        <v>0</v>
      </c>
      <c r="IVQ102" s="42" t="s">
        <v>48</v>
      </c>
      <c r="IVR102" s="42"/>
      <c r="IVS102" s="42"/>
      <c r="IVT102" s="42"/>
      <c r="IVU102" s="42"/>
      <c r="IVV102" s="42"/>
      <c r="IVW102" s="42"/>
      <c r="IVX102" s="43">
        <v>0</v>
      </c>
      <c r="IVY102" s="42" t="s">
        <v>48</v>
      </c>
      <c r="IVZ102" s="42"/>
      <c r="IWA102" s="42"/>
      <c r="IWB102" s="42"/>
      <c r="IWC102" s="42"/>
      <c r="IWD102" s="42"/>
      <c r="IWE102" s="42"/>
      <c r="IWF102" s="43">
        <v>0</v>
      </c>
      <c r="IWG102" s="42" t="s">
        <v>48</v>
      </c>
      <c r="IWH102" s="42"/>
      <c r="IWI102" s="42"/>
      <c r="IWJ102" s="42"/>
      <c r="IWK102" s="42"/>
      <c r="IWL102" s="42"/>
      <c r="IWM102" s="42"/>
      <c r="IWN102" s="43">
        <v>0</v>
      </c>
      <c r="IWO102" s="42" t="s">
        <v>48</v>
      </c>
      <c r="IWP102" s="42"/>
      <c r="IWQ102" s="42"/>
      <c r="IWR102" s="42"/>
      <c r="IWS102" s="42"/>
      <c r="IWT102" s="42"/>
      <c r="IWU102" s="42"/>
      <c r="IWV102" s="43">
        <v>0</v>
      </c>
      <c r="IWW102" s="42" t="s">
        <v>48</v>
      </c>
      <c r="IWX102" s="42"/>
      <c r="IWY102" s="42"/>
      <c r="IWZ102" s="42"/>
      <c r="IXA102" s="42"/>
      <c r="IXB102" s="42"/>
      <c r="IXC102" s="42"/>
      <c r="IXD102" s="43">
        <v>0</v>
      </c>
      <c r="IXE102" s="42" t="s">
        <v>48</v>
      </c>
      <c r="IXF102" s="42"/>
      <c r="IXG102" s="42"/>
      <c r="IXH102" s="42"/>
      <c r="IXI102" s="42"/>
      <c r="IXJ102" s="42"/>
      <c r="IXK102" s="42"/>
      <c r="IXL102" s="43">
        <v>0</v>
      </c>
      <c r="IXM102" s="42" t="s">
        <v>48</v>
      </c>
      <c r="IXN102" s="42"/>
      <c r="IXO102" s="42"/>
      <c r="IXP102" s="42"/>
      <c r="IXQ102" s="42"/>
      <c r="IXR102" s="42"/>
      <c r="IXS102" s="42"/>
      <c r="IXT102" s="43">
        <v>0</v>
      </c>
      <c r="IXU102" s="42" t="s">
        <v>48</v>
      </c>
      <c r="IXV102" s="42"/>
      <c r="IXW102" s="42"/>
      <c r="IXX102" s="42"/>
      <c r="IXY102" s="42"/>
      <c r="IXZ102" s="42"/>
      <c r="IYA102" s="42"/>
      <c r="IYB102" s="43">
        <v>0</v>
      </c>
      <c r="IYC102" s="42" t="s">
        <v>48</v>
      </c>
      <c r="IYD102" s="42"/>
      <c r="IYE102" s="42"/>
      <c r="IYF102" s="42"/>
      <c r="IYG102" s="42"/>
      <c r="IYH102" s="42"/>
      <c r="IYI102" s="42"/>
      <c r="IYJ102" s="43">
        <v>0</v>
      </c>
      <c r="IYK102" s="42" t="s">
        <v>48</v>
      </c>
      <c r="IYL102" s="42"/>
      <c r="IYM102" s="42"/>
      <c r="IYN102" s="42"/>
      <c r="IYO102" s="42"/>
      <c r="IYP102" s="42"/>
      <c r="IYQ102" s="42"/>
      <c r="IYR102" s="43">
        <v>0</v>
      </c>
      <c r="IYS102" s="42" t="s">
        <v>48</v>
      </c>
      <c r="IYT102" s="42"/>
      <c r="IYU102" s="42"/>
      <c r="IYV102" s="42"/>
      <c r="IYW102" s="42"/>
      <c r="IYX102" s="42"/>
      <c r="IYY102" s="42"/>
      <c r="IYZ102" s="43">
        <v>0</v>
      </c>
      <c r="IZA102" s="42" t="s">
        <v>48</v>
      </c>
      <c r="IZB102" s="42"/>
      <c r="IZC102" s="42"/>
      <c r="IZD102" s="42"/>
      <c r="IZE102" s="42"/>
      <c r="IZF102" s="42"/>
      <c r="IZG102" s="42"/>
      <c r="IZH102" s="43">
        <v>0</v>
      </c>
      <c r="IZI102" s="42" t="s">
        <v>48</v>
      </c>
      <c r="IZJ102" s="42"/>
      <c r="IZK102" s="42"/>
      <c r="IZL102" s="42"/>
      <c r="IZM102" s="42"/>
      <c r="IZN102" s="42"/>
      <c r="IZO102" s="42"/>
      <c r="IZP102" s="43">
        <v>0</v>
      </c>
      <c r="IZQ102" s="42" t="s">
        <v>48</v>
      </c>
      <c r="IZR102" s="42"/>
      <c r="IZS102" s="42"/>
      <c r="IZT102" s="42"/>
      <c r="IZU102" s="42"/>
      <c r="IZV102" s="42"/>
      <c r="IZW102" s="42"/>
      <c r="IZX102" s="43">
        <v>0</v>
      </c>
      <c r="IZY102" s="42" t="s">
        <v>48</v>
      </c>
      <c r="IZZ102" s="42"/>
      <c r="JAA102" s="42"/>
      <c r="JAB102" s="42"/>
      <c r="JAC102" s="42"/>
      <c r="JAD102" s="42"/>
      <c r="JAE102" s="42"/>
      <c r="JAF102" s="43">
        <v>0</v>
      </c>
      <c r="JAG102" s="42" t="s">
        <v>48</v>
      </c>
      <c r="JAH102" s="42"/>
      <c r="JAI102" s="42"/>
      <c r="JAJ102" s="42"/>
      <c r="JAK102" s="42"/>
      <c r="JAL102" s="42"/>
      <c r="JAM102" s="42"/>
      <c r="JAN102" s="43">
        <v>0</v>
      </c>
      <c r="JAO102" s="42" t="s">
        <v>48</v>
      </c>
      <c r="JAP102" s="42"/>
      <c r="JAQ102" s="42"/>
      <c r="JAR102" s="42"/>
      <c r="JAS102" s="42"/>
      <c r="JAT102" s="42"/>
      <c r="JAU102" s="42"/>
      <c r="JAV102" s="43">
        <v>0</v>
      </c>
      <c r="JAW102" s="42" t="s">
        <v>48</v>
      </c>
      <c r="JAX102" s="42"/>
      <c r="JAY102" s="42"/>
      <c r="JAZ102" s="42"/>
      <c r="JBA102" s="42"/>
      <c r="JBB102" s="42"/>
      <c r="JBC102" s="42"/>
      <c r="JBD102" s="43">
        <v>0</v>
      </c>
      <c r="JBE102" s="42" t="s">
        <v>48</v>
      </c>
      <c r="JBF102" s="42"/>
      <c r="JBG102" s="42"/>
      <c r="JBH102" s="42"/>
      <c r="JBI102" s="42"/>
      <c r="JBJ102" s="42"/>
      <c r="JBK102" s="42"/>
      <c r="JBL102" s="43">
        <v>0</v>
      </c>
      <c r="JBM102" s="42" t="s">
        <v>48</v>
      </c>
      <c r="JBN102" s="42"/>
      <c r="JBO102" s="42"/>
      <c r="JBP102" s="42"/>
      <c r="JBQ102" s="42"/>
      <c r="JBR102" s="42"/>
      <c r="JBS102" s="42"/>
      <c r="JBT102" s="43">
        <v>0</v>
      </c>
      <c r="JBU102" s="42" t="s">
        <v>48</v>
      </c>
      <c r="JBV102" s="42"/>
      <c r="JBW102" s="42"/>
      <c r="JBX102" s="42"/>
      <c r="JBY102" s="42"/>
      <c r="JBZ102" s="42"/>
      <c r="JCA102" s="42"/>
      <c r="JCB102" s="43">
        <v>0</v>
      </c>
      <c r="JCC102" s="42" t="s">
        <v>48</v>
      </c>
      <c r="JCD102" s="42"/>
      <c r="JCE102" s="42"/>
      <c r="JCF102" s="42"/>
      <c r="JCG102" s="42"/>
      <c r="JCH102" s="42"/>
      <c r="JCI102" s="42"/>
      <c r="JCJ102" s="43">
        <v>0</v>
      </c>
      <c r="JCK102" s="42" t="s">
        <v>48</v>
      </c>
      <c r="JCL102" s="42"/>
      <c r="JCM102" s="42"/>
      <c r="JCN102" s="42"/>
      <c r="JCO102" s="42"/>
      <c r="JCP102" s="42"/>
      <c r="JCQ102" s="42"/>
      <c r="JCR102" s="43">
        <v>0</v>
      </c>
      <c r="JCS102" s="42" t="s">
        <v>48</v>
      </c>
      <c r="JCT102" s="42"/>
      <c r="JCU102" s="42"/>
      <c r="JCV102" s="42"/>
      <c r="JCW102" s="42"/>
      <c r="JCX102" s="42"/>
      <c r="JCY102" s="42"/>
      <c r="JCZ102" s="43">
        <v>0</v>
      </c>
      <c r="JDA102" s="42" t="s">
        <v>48</v>
      </c>
      <c r="JDB102" s="42"/>
      <c r="JDC102" s="42"/>
      <c r="JDD102" s="42"/>
      <c r="JDE102" s="42"/>
      <c r="JDF102" s="42"/>
      <c r="JDG102" s="42"/>
      <c r="JDH102" s="43">
        <v>0</v>
      </c>
      <c r="JDI102" s="42" t="s">
        <v>48</v>
      </c>
      <c r="JDJ102" s="42"/>
      <c r="JDK102" s="42"/>
      <c r="JDL102" s="42"/>
      <c r="JDM102" s="42"/>
      <c r="JDN102" s="42"/>
      <c r="JDO102" s="42"/>
      <c r="JDP102" s="43">
        <v>0</v>
      </c>
      <c r="JDQ102" s="42" t="s">
        <v>48</v>
      </c>
      <c r="JDR102" s="42"/>
      <c r="JDS102" s="42"/>
      <c r="JDT102" s="42"/>
      <c r="JDU102" s="42"/>
      <c r="JDV102" s="42"/>
      <c r="JDW102" s="42"/>
      <c r="JDX102" s="43">
        <v>0</v>
      </c>
      <c r="JDY102" s="42" t="s">
        <v>48</v>
      </c>
      <c r="JDZ102" s="42"/>
      <c r="JEA102" s="42"/>
      <c r="JEB102" s="42"/>
      <c r="JEC102" s="42"/>
      <c r="JED102" s="42"/>
      <c r="JEE102" s="42"/>
      <c r="JEF102" s="43">
        <v>0</v>
      </c>
      <c r="JEG102" s="42" t="s">
        <v>48</v>
      </c>
      <c r="JEH102" s="42"/>
      <c r="JEI102" s="42"/>
      <c r="JEJ102" s="42"/>
      <c r="JEK102" s="42"/>
      <c r="JEL102" s="42"/>
      <c r="JEM102" s="42"/>
      <c r="JEN102" s="43">
        <v>0</v>
      </c>
      <c r="JEO102" s="42" t="s">
        <v>48</v>
      </c>
      <c r="JEP102" s="42"/>
      <c r="JEQ102" s="42"/>
      <c r="JER102" s="42"/>
      <c r="JES102" s="42"/>
      <c r="JET102" s="42"/>
      <c r="JEU102" s="42"/>
      <c r="JEV102" s="43">
        <v>0</v>
      </c>
      <c r="JEW102" s="42" t="s">
        <v>48</v>
      </c>
      <c r="JEX102" s="42"/>
      <c r="JEY102" s="42"/>
      <c r="JEZ102" s="42"/>
      <c r="JFA102" s="42"/>
      <c r="JFB102" s="42"/>
      <c r="JFC102" s="42"/>
      <c r="JFD102" s="43">
        <v>0</v>
      </c>
      <c r="JFE102" s="42" t="s">
        <v>48</v>
      </c>
      <c r="JFF102" s="42"/>
      <c r="JFG102" s="42"/>
      <c r="JFH102" s="42"/>
      <c r="JFI102" s="42"/>
      <c r="JFJ102" s="42"/>
      <c r="JFK102" s="42"/>
      <c r="JFL102" s="43">
        <v>0</v>
      </c>
      <c r="JFM102" s="42" t="s">
        <v>48</v>
      </c>
      <c r="JFN102" s="42"/>
      <c r="JFO102" s="42"/>
      <c r="JFP102" s="42"/>
      <c r="JFQ102" s="42"/>
      <c r="JFR102" s="42"/>
      <c r="JFS102" s="42"/>
      <c r="JFT102" s="43">
        <v>0</v>
      </c>
      <c r="JFU102" s="42" t="s">
        <v>48</v>
      </c>
      <c r="JFV102" s="42"/>
      <c r="JFW102" s="42"/>
      <c r="JFX102" s="42"/>
      <c r="JFY102" s="42"/>
      <c r="JFZ102" s="42"/>
      <c r="JGA102" s="42"/>
      <c r="JGB102" s="43">
        <v>0</v>
      </c>
      <c r="JGC102" s="42" t="s">
        <v>48</v>
      </c>
      <c r="JGD102" s="42"/>
      <c r="JGE102" s="42"/>
      <c r="JGF102" s="42"/>
      <c r="JGG102" s="42"/>
      <c r="JGH102" s="42"/>
      <c r="JGI102" s="42"/>
      <c r="JGJ102" s="43">
        <v>0</v>
      </c>
      <c r="JGK102" s="42" t="s">
        <v>48</v>
      </c>
      <c r="JGL102" s="42"/>
      <c r="JGM102" s="42"/>
      <c r="JGN102" s="42"/>
      <c r="JGO102" s="42"/>
      <c r="JGP102" s="42"/>
      <c r="JGQ102" s="42"/>
      <c r="JGR102" s="43">
        <v>0</v>
      </c>
      <c r="JGS102" s="42" t="s">
        <v>48</v>
      </c>
      <c r="JGT102" s="42"/>
      <c r="JGU102" s="42"/>
      <c r="JGV102" s="42"/>
      <c r="JGW102" s="42"/>
      <c r="JGX102" s="42"/>
      <c r="JGY102" s="42"/>
      <c r="JGZ102" s="43">
        <v>0</v>
      </c>
      <c r="JHA102" s="42" t="s">
        <v>48</v>
      </c>
      <c r="JHB102" s="42"/>
      <c r="JHC102" s="42"/>
      <c r="JHD102" s="42"/>
      <c r="JHE102" s="42"/>
      <c r="JHF102" s="42"/>
      <c r="JHG102" s="42"/>
      <c r="JHH102" s="43">
        <v>0</v>
      </c>
      <c r="JHI102" s="42" t="s">
        <v>48</v>
      </c>
      <c r="JHJ102" s="42"/>
      <c r="JHK102" s="42"/>
      <c r="JHL102" s="42"/>
      <c r="JHM102" s="42"/>
      <c r="JHN102" s="42"/>
      <c r="JHO102" s="42"/>
      <c r="JHP102" s="43">
        <v>0</v>
      </c>
      <c r="JHQ102" s="42" t="s">
        <v>48</v>
      </c>
      <c r="JHR102" s="42"/>
      <c r="JHS102" s="42"/>
      <c r="JHT102" s="42"/>
      <c r="JHU102" s="42"/>
      <c r="JHV102" s="42"/>
      <c r="JHW102" s="42"/>
      <c r="JHX102" s="43">
        <v>0</v>
      </c>
      <c r="JHY102" s="42" t="s">
        <v>48</v>
      </c>
      <c r="JHZ102" s="42"/>
      <c r="JIA102" s="42"/>
      <c r="JIB102" s="42"/>
      <c r="JIC102" s="42"/>
      <c r="JID102" s="42"/>
      <c r="JIE102" s="42"/>
      <c r="JIF102" s="43">
        <v>0</v>
      </c>
      <c r="JIG102" s="42" t="s">
        <v>48</v>
      </c>
      <c r="JIH102" s="42"/>
      <c r="JII102" s="42"/>
      <c r="JIJ102" s="42"/>
      <c r="JIK102" s="42"/>
      <c r="JIL102" s="42"/>
      <c r="JIM102" s="42"/>
      <c r="JIN102" s="43">
        <v>0</v>
      </c>
      <c r="JIO102" s="42" t="s">
        <v>48</v>
      </c>
      <c r="JIP102" s="42"/>
      <c r="JIQ102" s="42"/>
      <c r="JIR102" s="42"/>
      <c r="JIS102" s="42"/>
      <c r="JIT102" s="42"/>
      <c r="JIU102" s="42"/>
      <c r="JIV102" s="43">
        <v>0</v>
      </c>
      <c r="JIW102" s="42" t="s">
        <v>48</v>
      </c>
      <c r="JIX102" s="42"/>
      <c r="JIY102" s="42"/>
      <c r="JIZ102" s="42"/>
      <c r="JJA102" s="42"/>
      <c r="JJB102" s="42"/>
      <c r="JJC102" s="42"/>
      <c r="JJD102" s="43">
        <v>0</v>
      </c>
      <c r="JJE102" s="42" t="s">
        <v>48</v>
      </c>
      <c r="JJF102" s="42"/>
      <c r="JJG102" s="42"/>
      <c r="JJH102" s="42"/>
      <c r="JJI102" s="42"/>
      <c r="JJJ102" s="42"/>
      <c r="JJK102" s="42"/>
      <c r="JJL102" s="43">
        <v>0</v>
      </c>
      <c r="JJM102" s="42" t="s">
        <v>48</v>
      </c>
      <c r="JJN102" s="42"/>
      <c r="JJO102" s="42"/>
      <c r="JJP102" s="42"/>
      <c r="JJQ102" s="42"/>
      <c r="JJR102" s="42"/>
      <c r="JJS102" s="42"/>
      <c r="JJT102" s="43">
        <v>0</v>
      </c>
      <c r="JJU102" s="42" t="s">
        <v>48</v>
      </c>
      <c r="JJV102" s="42"/>
      <c r="JJW102" s="42"/>
      <c r="JJX102" s="42"/>
      <c r="JJY102" s="42"/>
      <c r="JJZ102" s="42"/>
      <c r="JKA102" s="42"/>
      <c r="JKB102" s="43">
        <v>0</v>
      </c>
      <c r="JKC102" s="42" t="s">
        <v>48</v>
      </c>
      <c r="JKD102" s="42"/>
      <c r="JKE102" s="42"/>
      <c r="JKF102" s="42"/>
      <c r="JKG102" s="42"/>
      <c r="JKH102" s="42"/>
      <c r="JKI102" s="42"/>
      <c r="JKJ102" s="43">
        <v>0</v>
      </c>
      <c r="JKK102" s="42" t="s">
        <v>48</v>
      </c>
      <c r="JKL102" s="42"/>
      <c r="JKM102" s="42"/>
      <c r="JKN102" s="42"/>
      <c r="JKO102" s="42"/>
      <c r="JKP102" s="42"/>
      <c r="JKQ102" s="42"/>
      <c r="JKR102" s="43">
        <v>0</v>
      </c>
      <c r="JKS102" s="42" t="s">
        <v>48</v>
      </c>
      <c r="JKT102" s="42"/>
      <c r="JKU102" s="42"/>
      <c r="JKV102" s="42"/>
      <c r="JKW102" s="42"/>
      <c r="JKX102" s="42"/>
      <c r="JKY102" s="42"/>
      <c r="JKZ102" s="43">
        <v>0</v>
      </c>
      <c r="JLA102" s="42" t="s">
        <v>48</v>
      </c>
      <c r="JLB102" s="42"/>
      <c r="JLC102" s="42"/>
      <c r="JLD102" s="42"/>
      <c r="JLE102" s="42"/>
      <c r="JLF102" s="42"/>
      <c r="JLG102" s="42"/>
      <c r="JLH102" s="43">
        <v>0</v>
      </c>
      <c r="JLI102" s="42" t="s">
        <v>48</v>
      </c>
      <c r="JLJ102" s="42"/>
      <c r="JLK102" s="42"/>
      <c r="JLL102" s="42"/>
      <c r="JLM102" s="42"/>
      <c r="JLN102" s="42"/>
      <c r="JLO102" s="42"/>
      <c r="JLP102" s="43">
        <v>0</v>
      </c>
      <c r="JLQ102" s="42" t="s">
        <v>48</v>
      </c>
      <c r="JLR102" s="42"/>
      <c r="JLS102" s="42"/>
      <c r="JLT102" s="42"/>
      <c r="JLU102" s="42"/>
      <c r="JLV102" s="42"/>
      <c r="JLW102" s="42"/>
      <c r="JLX102" s="43">
        <v>0</v>
      </c>
      <c r="JLY102" s="42" t="s">
        <v>48</v>
      </c>
      <c r="JLZ102" s="42"/>
      <c r="JMA102" s="42"/>
      <c r="JMB102" s="42"/>
      <c r="JMC102" s="42"/>
      <c r="JMD102" s="42"/>
      <c r="JME102" s="42"/>
      <c r="JMF102" s="43">
        <v>0</v>
      </c>
      <c r="JMG102" s="42" t="s">
        <v>48</v>
      </c>
      <c r="JMH102" s="42"/>
      <c r="JMI102" s="42"/>
      <c r="JMJ102" s="42"/>
      <c r="JMK102" s="42"/>
      <c r="JML102" s="42"/>
      <c r="JMM102" s="42"/>
      <c r="JMN102" s="43">
        <v>0</v>
      </c>
      <c r="JMO102" s="42" t="s">
        <v>48</v>
      </c>
      <c r="JMP102" s="42"/>
      <c r="JMQ102" s="42"/>
      <c r="JMR102" s="42"/>
      <c r="JMS102" s="42"/>
      <c r="JMT102" s="42"/>
      <c r="JMU102" s="42"/>
      <c r="JMV102" s="43">
        <v>0</v>
      </c>
      <c r="JMW102" s="42" t="s">
        <v>48</v>
      </c>
      <c r="JMX102" s="42"/>
      <c r="JMY102" s="42"/>
      <c r="JMZ102" s="42"/>
      <c r="JNA102" s="42"/>
      <c r="JNB102" s="42"/>
      <c r="JNC102" s="42"/>
      <c r="JND102" s="43">
        <v>0</v>
      </c>
      <c r="JNE102" s="42" t="s">
        <v>48</v>
      </c>
      <c r="JNF102" s="42"/>
      <c r="JNG102" s="42"/>
      <c r="JNH102" s="42"/>
      <c r="JNI102" s="42"/>
      <c r="JNJ102" s="42"/>
      <c r="JNK102" s="42"/>
      <c r="JNL102" s="43">
        <v>0</v>
      </c>
      <c r="JNM102" s="42" t="s">
        <v>48</v>
      </c>
      <c r="JNN102" s="42"/>
      <c r="JNO102" s="42"/>
      <c r="JNP102" s="42"/>
      <c r="JNQ102" s="42"/>
      <c r="JNR102" s="42"/>
      <c r="JNS102" s="42"/>
      <c r="JNT102" s="43">
        <v>0</v>
      </c>
      <c r="JNU102" s="42" t="s">
        <v>48</v>
      </c>
      <c r="JNV102" s="42"/>
      <c r="JNW102" s="42"/>
      <c r="JNX102" s="42"/>
      <c r="JNY102" s="42"/>
      <c r="JNZ102" s="42"/>
      <c r="JOA102" s="42"/>
      <c r="JOB102" s="43">
        <v>0</v>
      </c>
      <c r="JOC102" s="42" t="s">
        <v>48</v>
      </c>
      <c r="JOD102" s="42"/>
      <c r="JOE102" s="42"/>
      <c r="JOF102" s="42"/>
      <c r="JOG102" s="42"/>
      <c r="JOH102" s="42"/>
      <c r="JOI102" s="42"/>
      <c r="JOJ102" s="43">
        <v>0</v>
      </c>
      <c r="JOK102" s="42" t="s">
        <v>48</v>
      </c>
      <c r="JOL102" s="42"/>
      <c r="JOM102" s="42"/>
      <c r="JON102" s="42"/>
      <c r="JOO102" s="42"/>
      <c r="JOP102" s="42"/>
      <c r="JOQ102" s="42"/>
      <c r="JOR102" s="43">
        <v>0</v>
      </c>
      <c r="JOS102" s="42" t="s">
        <v>48</v>
      </c>
      <c r="JOT102" s="42"/>
      <c r="JOU102" s="42"/>
      <c r="JOV102" s="42"/>
      <c r="JOW102" s="42"/>
      <c r="JOX102" s="42"/>
      <c r="JOY102" s="42"/>
      <c r="JOZ102" s="43">
        <v>0</v>
      </c>
      <c r="JPA102" s="42" t="s">
        <v>48</v>
      </c>
      <c r="JPB102" s="42"/>
      <c r="JPC102" s="42"/>
      <c r="JPD102" s="42"/>
      <c r="JPE102" s="42"/>
      <c r="JPF102" s="42"/>
      <c r="JPG102" s="42"/>
      <c r="JPH102" s="43">
        <v>0</v>
      </c>
      <c r="JPI102" s="42" t="s">
        <v>48</v>
      </c>
      <c r="JPJ102" s="42"/>
      <c r="JPK102" s="42"/>
      <c r="JPL102" s="42"/>
      <c r="JPM102" s="42"/>
      <c r="JPN102" s="42"/>
      <c r="JPO102" s="42"/>
      <c r="JPP102" s="43">
        <v>0</v>
      </c>
      <c r="JPQ102" s="42" t="s">
        <v>48</v>
      </c>
      <c r="JPR102" s="42"/>
      <c r="JPS102" s="42"/>
      <c r="JPT102" s="42"/>
      <c r="JPU102" s="42"/>
      <c r="JPV102" s="42"/>
      <c r="JPW102" s="42"/>
      <c r="JPX102" s="43">
        <v>0</v>
      </c>
      <c r="JPY102" s="42" t="s">
        <v>48</v>
      </c>
      <c r="JPZ102" s="42"/>
      <c r="JQA102" s="42"/>
      <c r="JQB102" s="42"/>
      <c r="JQC102" s="42"/>
      <c r="JQD102" s="42"/>
      <c r="JQE102" s="42"/>
      <c r="JQF102" s="43">
        <v>0</v>
      </c>
      <c r="JQG102" s="42" t="s">
        <v>48</v>
      </c>
      <c r="JQH102" s="42"/>
      <c r="JQI102" s="42"/>
      <c r="JQJ102" s="42"/>
      <c r="JQK102" s="42"/>
      <c r="JQL102" s="42"/>
      <c r="JQM102" s="42"/>
      <c r="JQN102" s="43">
        <v>0</v>
      </c>
      <c r="JQO102" s="42" t="s">
        <v>48</v>
      </c>
      <c r="JQP102" s="42"/>
      <c r="JQQ102" s="42"/>
      <c r="JQR102" s="42"/>
      <c r="JQS102" s="42"/>
      <c r="JQT102" s="42"/>
      <c r="JQU102" s="42"/>
      <c r="JQV102" s="43">
        <v>0</v>
      </c>
      <c r="JQW102" s="42" t="s">
        <v>48</v>
      </c>
      <c r="JQX102" s="42"/>
      <c r="JQY102" s="42"/>
      <c r="JQZ102" s="42"/>
      <c r="JRA102" s="42"/>
      <c r="JRB102" s="42"/>
      <c r="JRC102" s="42"/>
      <c r="JRD102" s="43">
        <v>0</v>
      </c>
      <c r="JRE102" s="42" t="s">
        <v>48</v>
      </c>
      <c r="JRF102" s="42"/>
      <c r="JRG102" s="42"/>
      <c r="JRH102" s="42"/>
      <c r="JRI102" s="42"/>
      <c r="JRJ102" s="42"/>
      <c r="JRK102" s="42"/>
      <c r="JRL102" s="43">
        <v>0</v>
      </c>
      <c r="JRM102" s="42" t="s">
        <v>48</v>
      </c>
      <c r="JRN102" s="42"/>
      <c r="JRO102" s="42"/>
      <c r="JRP102" s="42"/>
      <c r="JRQ102" s="42"/>
      <c r="JRR102" s="42"/>
      <c r="JRS102" s="42"/>
      <c r="JRT102" s="43">
        <v>0</v>
      </c>
      <c r="JRU102" s="42" t="s">
        <v>48</v>
      </c>
      <c r="JRV102" s="42"/>
      <c r="JRW102" s="42"/>
      <c r="JRX102" s="42"/>
      <c r="JRY102" s="42"/>
      <c r="JRZ102" s="42"/>
      <c r="JSA102" s="42"/>
      <c r="JSB102" s="43">
        <v>0</v>
      </c>
      <c r="JSC102" s="42" t="s">
        <v>48</v>
      </c>
      <c r="JSD102" s="42"/>
      <c r="JSE102" s="42"/>
      <c r="JSF102" s="42"/>
      <c r="JSG102" s="42"/>
      <c r="JSH102" s="42"/>
      <c r="JSI102" s="42"/>
      <c r="JSJ102" s="43">
        <v>0</v>
      </c>
      <c r="JSK102" s="42" t="s">
        <v>48</v>
      </c>
      <c r="JSL102" s="42"/>
      <c r="JSM102" s="42"/>
      <c r="JSN102" s="42"/>
      <c r="JSO102" s="42"/>
      <c r="JSP102" s="42"/>
      <c r="JSQ102" s="42"/>
      <c r="JSR102" s="43">
        <v>0</v>
      </c>
      <c r="JSS102" s="42" t="s">
        <v>48</v>
      </c>
      <c r="JST102" s="42"/>
      <c r="JSU102" s="42"/>
      <c r="JSV102" s="42"/>
      <c r="JSW102" s="42"/>
      <c r="JSX102" s="42"/>
      <c r="JSY102" s="42"/>
      <c r="JSZ102" s="43">
        <v>0</v>
      </c>
      <c r="JTA102" s="42" t="s">
        <v>48</v>
      </c>
      <c r="JTB102" s="42"/>
      <c r="JTC102" s="42"/>
      <c r="JTD102" s="42"/>
      <c r="JTE102" s="42"/>
      <c r="JTF102" s="42"/>
      <c r="JTG102" s="42"/>
      <c r="JTH102" s="43">
        <v>0</v>
      </c>
      <c r="JTI102" s="42" t="s">
        <v>48</v>
      </c>
      <c r="JTJ102" s="42"/>
      <c r="JTK102" s="42"/>
      <c r="JTL102" s="42"/>
      <c r="JTM102" s="42"/>
      <c r="JTN102" s="42"/>
      <c r="JTO102" s="42"/>
      <c r="JTP102" s="43">
        <v>0</v>
      </c>
      <c r="JTQ102" s="42" t="s">
        <v>48</v>
      </c>
      <c r="JTR102" s="42"/>
      <c r="JTS102" s="42"/>
      <c r="JTT102" s="42"/>
      <c r="JTU102" s="42"/>
      <c r="JTV102" s="42"/>
      <c r="JTW102" s="42"/>
      <c r="JTX102" s="43">
        <v>0</v>
      </c>
      <c r="JTY102" s="42" t="s">
        <v>48</v>
      </c>
      <c r="JTZ102" s="42"/>
      <c r="JUA102" s="42"/>
      <c r="JUB102" s="42"/>
      <c r="JUC102" s="42"/>
      <c r="JUD102" s="42"/>
      <c r="JUE102" s="42"/>
      <c r="JUF102" s="43">
        <v>0</v>
      </c>
      <c r="JUG102" s="42" t="s">
        <v>48</v>
      </c>
      <c r="JUH102" s="42"/>
      <c r="JUI102" s="42"/>
      <c r="JUJ102" s="42"/>
      <c r="JUK102" s="42"/>
      <c r="JUL102" s="42"/>
      <c r="JUM102" s="42"/>
      <c r="JUN102" s="43">
        <v>0</v>
      </c>
      <c r="JUO102" s="42" t="s">
        <v>48</v>
      </c>
      <c r="JUP102" s="42"/>
      <c r="JUQ102" s="42"/>
      <c r="JUR102" s="42"/>
      <c r="JUS102" s="42"/>
      <c r="JUT102" s="42"/>
      <c r="JUU102" s="42"/>
      <c r="JUV102" s="43">
        <v>0</v>
      </c>
      <c r="JUW102" s="42" t="s">
        <v>48</v>
      </c>
      <c r="JUX102" s="42"/>
      <c r="JUY102" s="42"/>
      <c r="JUZ102" s="42"/>
      <c r="JVA102" s="42"/>
      <c r="JVB102" s="42"/>
      <c r="JVC102" s="42"/>
      <c r="JVD102" s="43">
        <v>0</v>
      </c>
      <c r="JVE102" s="42" t="s">
        <v>48</v>
      </c>
      <c r="JVF102" s="42"/>
      <c r="JVG102" s="42"/>
      <c r="JVH102" s="42"/>
      <c r="JVI102" s="42"/>
      <c r="JVJ102" s="42"/>
      <c r="JVK102" s="42"/>
      <c r="JVL102" s="43">
        <v>0</v>
      </c>
      <c r="JVM102" s="42" t="s">
        <v>48</v>
      </c>
      <c r="JVN102" s="42"/>
      <c r="JVO102" s="42"/>
      <c r="JVP102" s="42"/>
      <c r="JVQ102" s="42"/>
      <c r="JVR102" s="42"/>
      <c r="JVS102" s="42"/>
      <c r="JVT102" s="43">
        <v>0</v>
      </c>
      <c r="JVU102" s="42" t="s">
        <v>48</v>
      </c>
      <c r="JVV102" s="42"/>
      <c r="JVW102" s="42"/>
      <c r="JVX102" s="42"/>
      <c r="JVY102" s="42"/>
      <c r="JVZ102" s="42"/>
      <c r="JWA102" s="42"/>
      <c r="JWB102" s="43">
        <v>0</v>
      </c>
      <c r="JWC102" s="42" t="s">
        <v>48</v>
      </c>
      <c r="JWD102" s="42"/>
      <c r="JWE102" s="42"/>
      <c r="JWF102" s="42"/>
      <c r="JWG102" s="42"/>
      <c r="JWH102" s="42"/>
      <c r="JWI102" s="42"/>
      <c r="JWJ102" s="43">
        <v>0</v>
      </c>
      <c r="JWK102" s="42" t="s">
        <v>48</v>
      </c>
      <c r="JWL102" s="42"/>
      <c r="JWM102" s="42"/>
      <c r="JWN102" s="42"/>
      <c r="JWO102" s="42"/>
      <c r="JWP102" s="42"/>
      <c r="JWQ102" s="42"/>
      <c r="JWR102" s="43">
        <v>0</v>
      </c>
      <c r="JWS102" s="42" t="s">
        <v>48</v>
      </c>
      <c r="JWT102" s="42"/>
      <c r="JWU102" s="42"/>
      <c r="JWV102" s="42"/>
      <c r="JWW102" s="42"/>
      <c r="JWX102" s="42"/>
      <c r="JWY102" s="42"/>
      <c r="JWZ102" s="43">
        <v>0</v>
      </c>
      <c r="JXA102" s="42" t="s">
        <v>48</v>
      </c>
      <c r="JXB102" s="42"/>
      <c r="JXC102" s="42"/>
      <c r="JXD102" s="42"/>
      <c r="JXE102" s="42"/>
      <c r="JXF102" s="42"/>
      <c r="JXG102" s="42"/>
      <c r="JXH102" s="43">
        <v>0</v>
      </c>
      <c r="JXI102" s="42" t="s">
        <v>48</v>
      </c>
      <c r="JXJ102" s="42"/>
      <c r="JXK102" s="42"/>
      <c r="JXL102" s="42"/>
      <c r="JXM102" s="42"/>
      <c r="JXN102" s="42"/>
      <c r="JXO102" s="42"/>
      <c r="JXP102" s="43">
        <v>0</v>
      </c>
      <c r="JXQ102" s="42" t="s">
        <v>48</v>
      </c>
      <c r="JXR102" s="42"/>
      <c r="JXS102" s="42"/>
      <c r="JXT102" s="42"/>
      <c r="JXU102" s="42"/>
      <c r="JXV102" s="42"/>
      <c r="JXW102" s="42"/>
      <c r="JXX102" s="43">
        <v>0</v>
      </c>
      <c r="JXY102" s="42" t="s">
        <v>48</v>
      </c>
      <c r="JXZ102" s="42"/>
      <c r="JYA102" s="42"/>
      <c r="JYB102" s="42"/>
      <c r="JYC102" s="42"/>
      <c r="JYD102" s="42"/>
      <c r="JYE102" s="42"/>
      <c r="JYF102" s="43">
        <v>0</v>
      </c>
      <c r="JYG102" s="42" t="s">
        <v>48</v>
      </c>
      <c r="JYH102" s="42"/>
      <c r="JYI102" s="42"/>
      <c r="JYJ102" s="42"/>
      <c r="JYK102" s="42"/>
      <c r="JYL102" s="42"/>
      <c r="JYM102" s="42"/>
      <c r="JYN102" s="43">
        <v>0</v>
      </c>
      <c r="JYO102" s="42" t="s">
        <v>48</v>
      </c>
      <c r="JYP102" s="42"/>
      <c r="JYQ102" s="42"/>
      <c r="JYR102" s="42"/>
      <c r="JYS102" s="42"/>
      <c r="JYT102" s="42"/>
      <c r="JYU102" s="42"/>
      <c r="JYV102" s="43">
        <v>0</v>
      </c>
      <c r="JYW102" s="42" t="s">
        <v>48</v>
      </c>
      <c r="JYX102" s="42"/>
      <c r="JYY102" s="42"/>
      <c r="JYZ102" s="42"/>
      <c r="JZA102" s="42"/>
      <c r="JZB102" s="42"/>
      <c r="JZC102" s="42"/>
      <c r="JZD102" s="43">
        <v>0</v>
      </c>
      <c r="JZE102" s="42" t="s">
        <v>48</v>
      </c>
      <c r="JZF102" s="42"/>
      <c r="JZG102" s="42"/>
      <c r="JZH102" s="42"/>
      <c r="JZI102" s="42"/>
      <c r="JZJ102" s="42"/>
      <c r="JZK102" s="42"/>
      <c r="JZL102" s="43">
        <v>0</v>
      </c>
      <c r="JZM102" s="42" t="s">
        <v>48</v>
      </c>
      <c r="JZN102" s="42"/>
      <c r="JZO102" s="42"/>
      <c r="JZP102" s="42"/>
      <c r="JZQ102" s="42"/>
      <c r="JZR102" s="42"/>
      <c r="JZS102" s="42"/>
      <c r="JZT102" s="43">
        <v>0</v>
      </c>
      <c r="JZU102" s="42" t="s">
        <v>48</v>
      </c>
      <c r="JZV102" s="42"/>
      <c r="JZW102" s="42"/>
      <c r="JZX102" s="42"/>
      <c r="JZY102" s="42"/>
      <c r="JZZ102" s="42"/>
      <c r="KAA102" s="42"/>
      <c r="KAB102" s="43">
        <v>0</v>
      </c>
      <c r="KAC102" s="42" t="s">
        <v>48</v>
      </c>
      <c r="KAD102" s="42"/>
      <c r="KAE102" s="42"/>
      <c r="KAF102" s="42"/>
      <c r="KAG102" s="42"/>
      <c r="KAH102" s="42"/>
      <c r="KAI102" s="42"/>
      <c r="KAJ102" s="43">
        <v>0</v>
      </c>
      <c r="KAK102" s="42" t="s">
        <v>48</v>
      </c>
      <c r="KAL102" s="42"/>
      <c r="KAM102" s="42"/>
      <c r="KAN102" s="42"/>
      <c r="KAO102" s="42"/>
      <c r="KAP102" s="42"/>
      <c r="KAQ102" s="42"/>
      <c r="KAR102" s="43">
        <v>0</v>
      </c>
      <c r="KAS102" s="42" t="s">
        <v>48</v>
      </c>
      <c r="KAT102" s="42"/>
      <c r="KAU102" s="42"/>
      <c r="KAV102" s="42"/>
      <c r="KAW102" s="42"/>
      <c r="KAX102" s="42"/>
      <c r="KAY102" s="42"/>
      <c r="KAZ102" s="43">
        <v>0</v>
      </c>
      <c r="KBA102" s="42" t="s">
        <v>48</v>
      </c>
      <c r="KBB102" s="42"/>
      <c r="KBC102" s="42"/>
      <c r="KBD102" s="42"/>
      <c r="KBE102" s="42"/>
      <c r="KBF102" s="42"/>
      <c r="KBG102" s="42"/>
      <c r="KBH102" s="43">
        <v>0</v>
      </c>
      <c r="KBI102" s="42" t="s">
        <v>48</v>
      </c>
      <c r="KBJ102" s="42"/>
      <c r="KBK102" s="42"/>
      <c r="KBL102" s="42"/>
      <c r="KBM102" s="42"/>
      <c r="KBN102" s="42"/>
      <c r="KBO102" s="42"/>
      <c r="KBP102" s="43">
        <v>0</v>
      </c>
      <c r="KBQ102" s="42" t="s">
        <v>48</v>
      </c>
      <c r="KBR102" s="42"/>
      <c r="KBS102" s="42"/>
      <c r="KBT102" s="42"/>
      <c r="KBU102" s="42"/>
      <c r="KBV102" s="42"/>
      <c r="KBW102" s="42"/>
      <c r="KBX102" s="43">
        <v>0</v>
      </c>
      <c r="KBY102" s="42" t="s">
        <v>48</v>
      </c>
      <c r="KBZ102" s="42"/>
      <c r="KCA102" s="42"/>
      <c r="KCB102" s="42"/>
      <c r="KCC102" s="42"/>
      <c r="KCD102" s="42"/>
      <c r="KCE102" s="42"/>
      <c r="KCF102" s="43">
        <v>0</v>
      </c>
      <c r="KCG102" s="42" t="s">
        <v>48</v>
      </c>
      <c r="KCH102" s="42"/>
      <c r="KCI102" s="42"/>
      <c r="KCJ102" s="42"/>
      <c r="KCK102" s="42"/>
      <c r="KCL102" s="42"/>
      <c r="KCM102" s="42"/>
      <c r="KCN102" s="43">
        <v>0</v>
      </c>
      <c r="KCO102" s="42" t="s">
        <v>48</v>
      </c>
      <c r="KCP102" s="42"/>
      <c r="KCQ102" s="42"/>
      <c r="KCR102" s="42"/>
      <c r="KCS102" s="42"/>
      <c r="KCT102" s="42"/>
      <c r="KCU102" s="42"/>
      <c r="KCV102" s="43">
        <v>0</v>
      </c>
      <c r="KCW102" s="42" t="s">
        <v>48</v>
      </c>
      <c r="KCX102" s="42"/>
      <c r="KCY102" s="42"/>
      <c r="KCZ102" s="42"/>
      <c r="KDA102" s="42"/>
      <c r="KDB102" s="42"/>
      <c r="KDC102" s="42"/>
      <c r="KDD102" s="43">
        <v>0</v>
      </c>
      <c r="KDE102" s="42" t="s">
        <v>48</v>
      </c>
      <c r="KDF102" s="42"/>
      <c r="KDG102" s="42"/>
      <c r="KDH102" s="42"/>
      <c r="KDI102" s="42"/>
      <c r="KDJ102" s="42"/>
      <c r="KDK102" s="42"/>
      <c r="KDL102" s="43">
        <v>0</v>
      </c>
      <c r="KDM102" s="42" t="s">
        <v>48</v>
      </c>
      <c r="KDN102" s="42"/>
      <c r="KDO102" s="42"/>
      <c r="KDP102" s="42"/>
      <c r="KDQ102" s="42"/>
      <c r="KDR102" s="42"/>
      <c r="KDS102" s="42"/>
      <c r="KDT102" s="43">
        <v>0</v>
      </c>
      <c r="KDU102" s="42" t="s">
        <v>48</v>
      </c>
      <c r="KDV102" s="42"/>
      <c r="KDW102" s="42"/>
      <c r="KDX102" s="42"/>
      <c r="KDY102" s="42"/>
      <c r="KDZ102" s="42"/>
      <c r="KEA102" s="42"/>
      <c r="KEB102" s="43">
        <v>0</v>
      </c>
      <c r="KEC102" s="42" t="s">
        <v>48</v>
      </c>
      <c r="KED102" s="42"/>
      <c r="KEE102" s="42"/>
      <c r="KEF102" s="42"/>
      <c r="KEG102" s="42"/>
      <c r="KEH102" s="42"/>
      <c r="KEI102" s="42"/>
      <c r="KEJ102" s="43">
        <v>0</v>
      </c>
      <c r="KEK102" s="42" t="s">
        <v>48</v>
      </c>
      <c r="KEL102" s="42"/>
      <c r="KEM102" s="42"/>
      <c r="KEN102" s="42"/>
      <c r="KEO102" s="42"/>
      <c r="KEP102" s="42"/>
      <c r="KEQ102" s="42"/>
      <c r="KER102" s="43">
        <v>0</v>
      </c>
      <c r="KES102" s="42" t="s">
        <v>48</v>
      </c>
      <c r="KET102" s="42"/>
      <c r="KEU102" s="42"/>
      <c r="KEV102" s="42"/>
      <c r="KEW102" s="42"/>
      <c r="KEX102" s="42"/>
      <c r="KEY102" s="42"/>
      <c r="KEZ102" s="43">
        <v>0</v>
      </c>
      <c r="KFA102" s="42" t="s">
        <v>48</v>
      </c>
      <c r="KFB102" s="42"/>
      <c r="KFC102" s="42"/>
      <c r="KFD102" s="42"/>
      <c r="KFE102" s="42"/>
      <c r="KFF102" s="42"/>
      <c r="KFG102" s="42"/>
      <c r="KFH102" s="43">
        <v>0</v>
      </c>
      <c r="KFI102" s="42" t="s">
        <v>48</v>
      </c>
      <c r="KFJ102" s="42"/>
      <c r="KFK102" s="42"/>
      <c r="KFL102" s="42"/>
      <c r="KFM102" s="42"/>
      <c r="KFN102" s="42"/>
      <c r="KFO102" s="42"/>
      <c r="KFP102" s="43">
        <v>0</v>
      </c>
      <c r="KFQ102" s="42" t="s">
        <v>48</v>
      </c>
      <c r="KFR102" s="42"/>
      <c r="KFS102" s="42"/>
      <c r="KFT102" s="42"/>
      <c r="KFU102" s="42"/>
      <c r="KFV102" s="42"/>
      <c r="KFW102" s="42"/>
      <c r="KFX102" s="43">
        <v>0</v>
      </c>
      <c r="KFY102" s="42" t="s">
        <v>48</v>
      </c>
      <c r="KFZ102" s="42"/>
      <c r="KGA102" s="42"/>
      <c r="KGB102" s="42"/>
      <c r="KGC102" s="42"/>
      <c r="KGD102" s="42"/>
      <c r="KGE102" s="42"/>
      <c r="KGF102" s="43">
        <v>0</v>
      </c>
      <c r="KGG102" s="42" t="s">
        <v>48</v>
      </c>
      <c r="KGH102" s="42"/>
      <c r="KGI102" s="42"/>
      <c r="KGJ102" s="42"/>
      <c r="KGK102" s="42"/>
      <c r="KGL102" s="42"/>
      <c r="KGM102" s="42"/>
      <c r="KGN102" s="43">
        <v>0</v>
      </c>
      <c r="KGO102" s="42" t="s">
        <v>48</v>
      </c>
      <c r="KGP102" s="42"/>
      <c r="KGQ102" s="42"/>
      <c r="KGR102" s="42"/>
      <c r="KGS102" s="42"/>
      <c r="KGT102" s="42"/>
      <c r="KGU102" s="42"/>
      <c r="KGV102" s="43">
        <v>0</v>
      </c>
      <c r="KGW102" s="42" t="s">
        <v>48</v>
      </c>
      <c r="KGX102" s="42"/>
      <c r="KGY102" s="42"/>
      <c r="KGZ102" s="42"/>
      <c r="KHA102" s="42"/>
      <c r="KHB102" s="42"/>
      <c r="KHC102" s="42"/>
      <c r="KHD102" s="43">
        <v>0</v>
      </c>
      <c r="KHE102" s="42" t="s">
        <v>48</v>
      </c>
      <c r="KHF102" s="42"/>
      <c r="KHG102" s="42"/>
      <c r="KHH102" s="42"/>
      <c r="KHI102" s="42"/>
      <c r="KHJ102" s="42"/>
      <c r="KHK102" s="42"/>
      <c r="KHL102" s="43">
        <v>0</v>
      </c>
      <c r="KHM102" s="42" t="s">
        <v>48</v>
      </c>
      <c r="KHN102" s="42"/>
      <c r="KHO102" s="42"/>
      <c r="KHP102" s="42"/>
      <c r="KHQ102" s="42"/>
      <c r="KHR102" s="42"/>
      <c r="KHS102" s="42"/>
      <c r="KHT102" s="43">
        <v>0</v>
      </c>
      <c r="KHU102" s="42" t="s">
        <v>48</v>
      </c>
      <c r="KHV102" s="42"/>
      <c r="KHW102" s="42"/>
      <c r="KHX102" s="42"/>
      <c r="KHY102" s="42"/>
      <c r="KHZ102" s="42"/>
      <c r="KIA102" s="42"/>
      <c r="KIB102" s="43">
        <v>0</v>
      </c>
      <c r="KIC102" s="42" t="s">
        <v>48</v>
      </c>
      <c r="KID102" s="42"/>
      <c r="KIE102" s="42"/>
      <c r="KIF102" s="42"/>
      <c r="KIG102" s="42"/>
      <c r="KIH102" s="42"/>
      <c r="KII102" s="42"/>
      <c r="KIJ102" s="43">
        <v>0</v>
      </c>
      <c r="KIK102" s="42" t="s">
        <v>48</v>
      </c>
      <c r="KIL102" s="42"/>
      <c r="KIM102" s="42"/>
      <c r="KIN102" s="42"/>
      <c r="KIO102" s="42"/>
      <c r="KIP102" s="42"/>
      <c r="KIQ102" s="42"/>
      <c r="KIR102" s="43">
        <v>0</v>
      </c>
      <c r="KIS102" s="42" t="s">
        <v>48</v>
      </c>
      <c r="KIT102" s="42"/>
      <c r="KIU102" s="42"/>
      <c r="KIV102" s="42"/>
      <c r="KIW102" s="42"/>
      <c r="KIX102" s="42"/>
      <c r="KIY102" s="42"/>
      <c r="KIZ102" s="43">
        <v>0</v>
      </c>
      <c r="KJA102" s="42" t="s">
        <v>48</v>
      </c>
      <c r="KJB102" s="42"/>
      <c r="KJC102" s="42"/>
      <c r="KJD102" s="42"/>
      <c r="KJE102" s="42"/>
      <c r="KJF102" s="42"/>
      <c r="KJG102" s="42"/>
      <c r="KJH102" s="43">
        <v>0</v>
      </c>
      <c r="KJI102" s="42" t="s">
        <v>48</v>
      </c>
      <c r="KJJ102" s="42"/>
      <c r="KJK102" s="42"/>
      <c r="KJL102" s="42"/>
      <c r="KJM102" s="42"/>
      <c r="KJN102" s="42"/>
      <c r="KJO102" s="42"/>
      <c r="KJP102" s="43">
        <v>0</v>
      </c>
      <c r="KJQ102" s="42" t="s">
        <v>48</v>
      </c>
      <c r="KJR102" s="42"/>
      <c r="KJS102" s="42"/>
      <c r="KJT102" s="42"/>
      <c r="KJU102" s="42"/>
      <c r="KJV102" s="42"/>
      <c r="KJW102" s="42"/>
      <c r="KJX102" s="43">
        <v>0</v>
      </c>
      <c r="KJY102" s="42" t="s">
        <v>48</v>
      </c>
      <c r="KJZ102" s="42"/>
      <c r="KKA102" s="42"/>
      <c r="KKB102" s="42"/>
      <c r="KKC102" s="42"/>
      <c r="KKD102" s="42"/>
      <c r="KKE102" s="42"/>
      <c r="KKF102" s="43">
        <v>0</v>
      </c>
      <c r="KKG102" s="42" t="s">
        <v>48</v>
      </c>
      <c r="KKH102" s="42"/>
      <c r="KKI102" s="42"/>
      <c r="KKJ102" s="42"/>
      <c r="KKK102" s="42"/>
      <c r="KKL102" s="42"/>
      <c r="KKM102" s="42"/>
      <c r="KKN102" s="43">
        <v>0</v>
      </c>
      <c r="KKO102" s="42" t="s">
        <v>48</v>
      </c>
      <c r="KKP102" s="42"/>
      <c r="KKQ102" s="42"/>
      <c r="KKR102" s="42"/>
      <c r="KKS102" s="42"/>
      <c r="KKT102" s="42"/>
      <c r="KKU102" s="42"/>
      <c r="KKV102" s="43">
        <v>0</v>
      </c>
      <c r="KKW102" s="42" t="s">
        <v>48</v>
      </c>
      <c r="KKX102" s="42"/>
      <c r="KKY102" s="42"/>
      <c r="KKZ102" s="42"/>
      <c r="KLA102" s="42"/>
      <c r="KLB102" s="42"/>
      <c r="KLC102" s="42"/>
      <c r="KLD102" s="43">
        <v>0</v>
      </c>
      <c r="KLE102" s="42" t="s">
        <v>48</v>
      </c>
      <c r="KLF102" s="42"/>
      <c r="KLG102" s="42"/>
      <c r="KLH102" s="42"/>
      <c r="KLI102" s="42"/>
      <c r="KLJ102" s="42"/>
      <c r="KLK102" s="42"/>
      <c r="KLL102" s="43">
        <v>0</v>
      </c>
      <c r="KLM102" s="42" t="s">
        <v>48</v>
      </c>
      <c r="KLN102" s="42"/>
      <c r="KLO102" s="42"/>
      <c r="KLP102" s="42"/>
      <c r="KLQ102" s="42"/>
      <c r="KLR102" s="42"/>
      <c r="KLS102" s="42"/>
      <c r="KLT102" s="43">
        <v>0</v>
      </c>
      <c r="KLU102" s="42" t="s">
        <v>48</v>
      </c>
      <c r="KLV102" s="42"/>
      <c r="KLW102" s="42"/>
      <c r="KLX102" s="42"/>
      <c r="KLY102" s="42"/>
      <c r="KLZ102" s="42"/>
      <c r="KMA102" s="42"/>
      <c r="KMB102" s="43">
        <v>0</v>
      </c>
      <c r="KMC102" s="42" t="s">
        <v>48</v>
      </c>
      <c r="KMD102" s="42"/>
      <c r="KME102" s="42"/>
      <c r="KMF102" s="42"/>
      <c r="KMG102" s="42"/>
      <c r="KMH102" s="42"/>
      <c r="KMI102" s="42"/>
      <c r="KMJ102" s="43">
        <v>0</v>
      </c>
      <c r="KMK102" s="42" t="s">
        <v>48</v>
      </c>
      <c r="KML102" s="42"/>
      <c r="KMM102" s="42"/>
      <c r="KMN102" s="42"/>
      <c r="KMO102" s="42"/>
      <c r="KMP102" s="42"/>
      <c r="KMQ102" s="42"/>
      <c r="KMR102" s="43">
        <v>0</v>
      </c>
      <c r="KMS102" s="42" t="s">
        <v>48</v>
      </c>
      <c r="KMT102" s="42"/>
      <c r="KMU102" s="42"/>
      <c r="KMV102" s="42"/>
      <c r="KMW102" s="42"/>
      <c r="KMX102" s="42"/>
      <c r="KMY102" s="42"/>
      <c r="KMZ102" s="43">
        <v>0</v>
      </c>
      <c r="KNA102" s="42" t="s">
        <v>48</v>
      </c>
      <c r="KNB102" s="42"/>
      <c r="KNC102" s="42"/>
      <c r="KND102" s="42"/>
      <c r="KNE102" s="42"/>
      <c r="KNF102" s="42"/>
      <c r="KNG102" s="42"/>
      <c r="KNH102" s="43">
        <v>0</v>
      </c>
      <c r="KNI102" s="42" t="s">
        <v>48</v>
      </c>
      <c r="KNJ102" s="42"/>
      <c r="KNK102" s="42"/>
      <c r="KNL102" s="42"/>
      <c r="KNM102" s="42"/>
      <c r="KNN102" s="42"/>
      <c r="KNO102" s="42"/>
      <c r="KNP102" s="43">
        <v>0</v>
      </c>
      <c r="KNQ102" s="42" t="s">
        <v>48</v>
      </c>
      <c r="KNR102" s="42"/>
      <c r="KNS102" s="42"/>
      <c r="KNT102" s="42"/>
      <c r="KNU102" s="42"/>
      <c r="KNV102" s="42"/>
      <c r="KNW102" s="42"/>
      <c r="KNX102" s="43">
        <v>0</v>
      </c>
      <c r="KNY102" s="42" t="s">
        <v>48</v>
      </c>
      <c r="KNZ102" s="42"/>
      <c r="KOA102" s="42"/>
      <c r="KOB102" s="42"/>
      <c r="KOC102" s="42"/>
      <c r="KOD102" s="42"/>
      <c r="KOE102" s="42"/>
      <c r="KOF102" s="43">
        <v>0</v>
      </c>
      <c r="KOG102" s="42" t="s">
        <v>48</v>
      </c>
      <c r="KOH102" s="42"/>
      <c r="KOI102" s="42"/>
      <c r="KOJ102" s="42"/>
      <c r="KOK102" s="42"/>
      <c r="KOL102" s="42"/>
      <c r="KOM102" s="42"/>
      <c r="KON102" s="43">
        <v>0</v>
      </c>
      <c r="KOO102" s="42" t="s">
        <v>48</v>
      </c>
      <c r="KOP102" s="42"/>
      <c r="KOQ102" s="42"/>
      <c r="KOR102" s="42"/>
      <c r="KOS102" s="42"/>
      <c r="KOT102" s="42"/>
      <c r="KOU102" s="42"/>
      <c r="KOV102" s="43">
        <v>0</v>
      </c>
      <c r="KOW102" s="42" t="s">
        <v>48</v>
      </c>
      <c r="KOX102" s="42"/>
      <c r="KOY102" s="42"/>
      <c r="KOZ102" s="42"/>
      <c r="KPA102" s="42"/>
      <c r="KPB102" s="42"/>
      <c r="KPC102" s="42"/>
      <c r="KPD102" s="43">
        <v>0</v>
      </c>
      <c r="KPE102" s="42" t="s">
        <v>48</v>
      </c>
      <c r="KPF102" s="42"/>
      <c r="KPG102" s="42"/>
      <c r="KPH102" s="42"/>
      <c r="KPI102" s="42"/>
      <c r="KPJ102" s="42"/>
      <c r="KPK102" s="42"/>
      <c r="KPL102" s="43">
        <v>0</v>
      </c>
      <c r="KPM102" s="42" t="s">
        <v>48</v>
      </c>
      <c r="KPN102" s="42"/>
      <c r="KPO102" s="42"/>
      <c r="KPP102" s="42"/>
      <c r="KPQ102" s="42"/>
      <c r="KPR102" s="42"/>
      <c r="KPS102" s="42"/>
      <c r="KPT102" s="43">
        <v>0</v>
      </c>
      <c r="KPU102" s="42" t="s">
        <v>48</v>
      </c>
      <c r="KPV102" s="42"/>
      <c r="KPW102" s="42"/>
      <c r="KPX102" s="42"/>
      <c r="KPY102" s="42"/>
      <c r="KPZ102" s="42"/>
      <c r="KQA102" s="42"/>
      <c r="KQB102" s="43">
        <v>0</v>
      </c>
      <c r="KQC102" s="42" t="s">
        <v>48</v>
      </c>
      <c r="KQD102" s="42"/>
      <c r="KQE102" s="42"/>
      <c r="KQF102" s="42"/>
      <c r="KQG102" s="42"/>
      <c r="KQH102" s="42"/>
      <c r="KQI102" s="42"/>
      <c r="KQJ102" s="43">
        <v>0</v>
      </c>
      <c r="KQK102" s="42" t="s">
        <v>48</v>
      </c>
      <c r="KQL102" s="42"/>
      <c r="KQM102" s="42"/>
      <c r="KQN102" s="42"/>
      <c r="KQO102" s="42"/>
      <c r="KQP102" s="42"/>
      <c r="KQQ102" s="42"/>
      <c r="KQR102" s="43">
        <v>0</v>
      </c>
      <c r="KQS102" s="42" t="s">
        <v>48</v>
      </c>
      <c r="KQT102" s="42"/>
      <c r="KQU102" s="42"/>
      <c r="KQV102" s="42"/>
      <c r="KQW102" s="42"/>
      <c r="KQX102" s="42"/>
      <c r="KQY102" s="42"/>
      <c r="KQZ102" s="43">
        <v>0</v>
      </c>
      <c r="KRA102" s="42" t="s">
        <v>48</v>
      </c>
      <c r="KRB102" s="42"/>
      <c r="KRC102" s="42"/>
      <c r="KRD102" s="42"/>
      <c r="KRE102" s="42"/>
      <c r="KRF102" s="42"/>
      <c r="KRG102" s="42"/>
      <c r="KRH102" s="43">
        <v>0</v>
      </c>
      <c r="KRI102" s="42" t="s">
        <v>48</v>
      </c>
      <c r="KRJ102" s="42"/>
      <c r="KRK102" s="42"/>
      <c r="KRL102" s="42"/>
      <c r="KRM102" s="42"/>
      <c r="KRN102" s="42"/>
      <c r="KRO102" s="42"/>
      <c r="KRP102" s="43">
        <v>0</v>
      </c>
      <c r="KRQ102" s="42" t="s">
        <v>48</v>
      </c>
      <c r="KRR102" s="42"/>
      <c r="KRS102" s="42"/>
      <c r="KRT102" s="42"/>
      <c r="KRU102" s="42"/>
      <c r="KRV102" s="42"/>
      <c r="KRW102" s="42"/>
      <c r="KRX102" s="43">
        <v>0</v>
      </c>
      <c r="KRY102" s="42" t="s">
        <v>48</v>
      </c>
      <c r="KRZ102" s="42"/>
      <c r="KSA102" s="42"/>
      <c r="KSB102" s="42"/>
      <c r="KSC102" s="42"/>
      <c r="KSD102" s="42"/>
      <c r="KSE102" s="42"/>
      <c r="KSF102" s="43">
        <v>0</v>
      </c>
      <c r="KSG102" s="42" t="s">
        <v>48</v>
      </c>
      <c r="KSH102" s="42"/>
      <c r="KSI102" s="42"/>
      <c r="KSJ102" s="42"/>
      <c r="KSK102" s="42"/>
      <c r="KSL102" s="42"/>
      <c r="KSM102" s="42"/>
      <c r="KSN102" s="43">
        <v>0</v>
      </c>
      <c r="KSO102" s="42" t="s">
        <v>48</v>
      </c>
      <c r="KSP102" s="42"/>
      <c r="KSQ102" s="42"/>
      <c r="KSR102" s="42"/>
      <c r="KSS102" s="42"/>
      <c r="KST102" s="42"/>
      <c r="KSU102" s="42"/>
      <c r="KSV102" s="43">
        <v>0</v>
      </c>
      <c r="KSW102" s="42" t="s">
        <v>48</v>
      </c>
      <c r="KSX102" s="42"/>
      <c r="KSY102" s="42"/>
      <c r="KSZ102" s="42"/>
      <c r="KTA102" s="42"/>
      <c r="KTB102" s="42"/>
      <c r="KTC102" s="42"/>
      <c r="KTD102" s="43">
        <v>0</v>
      </c>
      <c r="KTE102" s="42" t="s">
        <v>48</v>
      </c>
      <c r="KTF102" s="42"/>
      <c r="KTG102" s="42"/>
      <c r="KTH102" s="42"/>
      <c r="KTI102" s="42"/>
      <c r="KTJ102" s="42"/>
      <c r="KTK102" s="42"/>
      <c r="KTL102" s="43">
        <v>0</v>
      </c>
      <c r="KTM102" s="42" t="s">
        <v>48</v>
      </c>
      <c r="KTN102" s="42"/>
      <c r="KTO102" s="42"/>
      <c r="KTP102" s="42"/>
      <c r="KTQ102" s="42"/>
      <c r="KTR102" s="42"/>
      <c r="KTS102" s="42"/>
      <c r="KTT102" s="43">
        <v>0</v>
      </c>
      <c r="KTU102" s="42" t="s">
        <v>48</v>
      </c>
      <c r="KTV102" s="42"/>
      <c r="KTW102" s="42"/>
      <c r="KTX102" s="42"/>
      <c r="KTY102" s="42"/>
      <c r="KTZ102" s="42"/>
      <c r="KUA102" s="42"/>
      <c r="KUB102" s="43">
        <v>0</v>
      </c>
      <c r="KUC102" s="42" t="s">
        <v>48</v>
      </c>
      <c r="KUD102" s="42"/>
      <c r="KUE102" s="42"/>
      <c r="KUF102" s="42"/>
      <c r="KUG102" s="42"/>
      <c r="KUH102" s="42"/>
      <c r="KUI102" s="42"/>
      <c r="KUJ102" s="43">
        <v>0</v>
      </c>
      <c r="KUK102" s="42" t="s">
        <v>48</v>
      </c>
      <c r="KUL102" s="42"/>
      <c r="KUM102" s="42"/>
      <c r="KUN102" s="42"/>
      <c r="KUO102" s="42"/>
      <c r="KUP102" s="42"/>
      <c r="KUQ102" s="42"/>
      <c r="KUR102" s="43">
        <v>0</v>
      </c>
      <c r="KUS102" s="42" t="s">
        <v>48</v>
      </c>
      <c r="KUT102" s="42"/>
      <c r="KUU102" s="42"/>
      <c r="KUV102" s="42"/>
      <c r="KUW102" s="42"/>
      <c r="KUX102" s="42"/>
      <c r="KUY102" s="42"/>
      <c r="KUZ102" s="43">
        <v>0</v>
      </c>
      <c r="KVA102" s="42" t="s">
        <v>48</v>
      </c>
      <c r="KVB102" s="42"/>
      <c r="KVC102" s="42"/>
      <c r="KVD102" s="42"/>
      <c r="KVE102" s="42"/>
      <c r="KVF102" s="42"/>
      <c r="KVG102" s="42"/>
      <c r="KVH102" s="43">
        <v>0</v>
      </c>
      <c r="KVI102" s="42" t="s">
        <v>48</v>
      </c>
      <c r="KVJ102" s="42"/>
      <c r="KVK102" s="42"/>
      <c r="KVL102" s="42"/>
      <c r="KVM102" s="42"/>
      <c r="KVN102" s="42"/>
      <c r="KVO102" s="42"/>
      <c r="KVP102" s="43">
        <v>0</v>
      </c>
      <c r="KVQ102" s="42" t="s">
        <v>48</v>
      </c>
      <c r="KVR102" s="42"/>
      <c r="KVS102" s="42"/>
      <c r="KVT102" s="42"/>
      <c r="KVU102" s="42"/>
      <c r="KVV102" s="42"/>
      <c r="KVW102" s="42"/>
      <c r="KVX102" s="43">
        <v>0</v>
      </c>
      <c r="KVY102" s="42" t="s">
        <v>48</v>
      </c>
      <c r="KVZ102" s="42"/>
      <c r="KWA102" s="42"/>
      <c r="KWB102" s="42"/>
      <c r="KWC102" s="42"/>
      <c r="KWD102" s="42"/>
      <c r="KWE102" s="42"/>
      <c r="KWF102" s="43">
        <v>0</v>
      </c>
      <c r="KWG102" s="42" t="s">
        <v>48</v>
      </c>
      <c r="KWH102" s="42"/>
      <c r="KWI102" s="42"/>
      <c r="KWJ102" s="42"/>
      <c r="KWK102" s="42"/>
      <c r="KWL102" s="42"/>
      <c r="KWM102" s="42"/>
      <c r="KWN102" s="43">
        <v>0</v>
      </c>
      <c r="KWO102" s="42" t="s">
        <v>48</v>
      </c>
      <c r="KWP102" s="42"/>
      <c r="KWQ102" s="42"/>
      <c r="KWR102" s="42"/>
      <c r="KWS102" s="42"/>
      <c r="KWT102" s="42"/>
      <c r="KWU102" s="42"/>
      <c r="KWV102" s="43">
        <v>0</v>
      </c>
      <c r="KWW102" s="42" t="s">
        <v>48</v>
      </c>
      <c r="KWX102" s="42"/>
      <c r="KWY102" s="42"/>
      <c r="KWZ102" s="42"/>
      <c r="KXA102" s="42"/>
      <c r="KXB102" s="42"/>
      <c r="KXC102" s="42"/>
      <c r="KXD102" s="43">
        <v>0</v>
      </c>
      <c r="KXE102" s="42" t="s">
        <v>48</v>
      </c>
      <c r="KXF102" s="42"/>
      <c r="KXG102" s="42"/>
      <c r="KXH102" s="42"/>
      <c r="KXI102" s="42"/>
      <c r="KXJ102" s="42"/>
      <c r="KXK102" s="42"/>
      <c r="KXL102" s="43">
        <v>0</v>
      </c>
      <c r="KXM102" s="42" t="s">
        <v>48</v>
      </c>
      <c r="KXN102" s="42"/>
      <c r="KXO102" s="42"/>
      <c r="KXP102" s="42"/>
      <c r="KXQ102" s="42"/>
      <c r="KXR102" s="42"/>
      <c r="KXS102" s="42"/>
      <c r="KXT102" s="43">
        <v>0</v>
      </c>
      <c r="KXU102" s="42" t="s">
        <v>48</v>
      </c>
      <c r="KXV102" s="42"/>
      <c r="KXW102" s="42"/>
      <c r="KXX102" s="42"/>
      <c r="KXY102" s="42"/>
      <c r="KXZ102" s="42"/>
      <c r="KYA102" s="42"/>
      <c r="KYB102" s="43">
        <v>0</v>
      </c>
      <c r="KYC102" s="42" t="s">
        <v>48</v>
      </c>
      <c r="KYD102" s="42"/>
      <c r="KYE102" s="42"/>
      <c r="KYF102" s="42"/>
      <c r="KYG102" s="42"/>
      <c r="KYH102" s="42"/>
      <c r="KYI102" s="42"/>
      <c r="KYJ102" s="43">
        <v>0</v>
      </c>
      <c r="KYK102" s="42" t="s">
        <v>48</v>
      </c>
      <c r="KYL102" s="42"/>
      <c r="KYM102" s="42"/>
      <c r="KYN102" s="42"/>
      <c r="KYO102" s="42"/>
      <c r="KYP102" s="42"/>
      <c r="KYQ102" s="42"/>
      <c r="KYR102" s="43">
        <v>0</v>
      </c>
      <c r="KYS102" s="42" t="s">
        <v>48</v>
      </c>
      <c r="KYT102" s="42"/>
      <c r="KYU102" s="42"/>
      <c r="KYV102" s="42"/>
      <c r="KYW102" s="42"/>
      <c r="KYX102" s="42"/>
      <c r="KYY102" s="42"/>
      <c r="KYZ102" s="43">
        <v>0</v>
      </c>
      <c r="KZA102" s="42" t="s">
        <v>48</v>
      </c>
      <c r="KZB102" s="42"/>
      <c r="KZC102" s="42"/>
      <c r="KZD102" s="42"/>
      <c r="KZE102" s="42"/>
      <c r="KZF102" s="42"/>
      <c r="KZG102" s="42"/>
      <c r="KZH102" s="43">
        <v>0</v>
      </c>
      <c r="KZI102" s="42" t="s">
        <v>48</v>
      </c>
      <c r="KZJ102" s="42"/>
      <c r="KZK102" s="42"/>
      <c r="KZL102" s="42"/>
      <c r="KZM102" s="42"/>
      <c r="KZN102" s="42"/>
      <c r="KZO102" s="42"/>
      <c r="KZP102" s="43">
        <v>0</v>
      </c>
      <c r="KZQ102" s="42" t="s">
        <v>48</v>
      </c>
      <c r="KZR102" s="42"/>
      <c r="KZS102" s="42"/>
      <c r="KZT102" s="42"/>
      <c r="KZU102" s="42"/>
      <c r="KZV102" s="42"/>
      <c r="KZW102" s="42"/>
      <c r="KZX102" s="43">
        <v>0</v>
      </c>
      <c r="KZY102" s="42" t="s">
        <v>48</v>
      </c>
      <c r="KZZ102" s="42"/>
      <c r="LAA102" s="42"/>
      <c r="LAB102" s="42"/>
      <c r="LAC102" s="42"/>
      <c r="LAD102" s="42"/>
      <c r="LAE102" s="42"/>
      <c r="LAF102" s="43">
        <v>0</v>
      </c>
      <c r="LAG102" s="42" t="s">
        <v>48</v>
      </c>
      <c r="LAH102" s="42"/>
      <c r="LAI102" s="42"/>
      <c r="LAJ102" s="42"/>
      <c r="LAK102" s="42"/>
      <c r="LAL102" s="42"/>
      <c r="LAM102" s="42"/>
      <c r="LAN102" s="43">
        <v>0</v>
      </c>
      <c r="LAO102" s="42" t="s">
        <v>48</v>
      </c>
      <c r="LAP102" s="42"/>
      <c r="LAQ102" s="42"/>
      <c r="LAR102" s="42"/>
      <c r="LAS102" s="42"/>
      <c r="LAT102" s="42"/>
      <c r="LAU102" s="42"/>
      <c r="LAV102" s="43">
        <v>0</v>
      </c>
      <c r="LAW102" s="42" t="s">
        <v>48</v>
      </c>
      <c r="LAX102" s="42"/>
      <c r="LAY102" s="42"/>
      <c r="LAZ102" s="42"/>
      <c r="LBA102" s="42"/>
      <c r="LBB102" s="42"/>
      <c r="LBC102" s="42"/>
      <c r="LBD102" s="43">
        <v>0</v>
      </c>
      <c r="LBE102" s="42" t="s">
        <v>48</v>
      </c>
      <c r="LBF102" s="42"/>
      <c r="LBG102" s="42"/>
      <c r="LBH102" s="42"/>
      <c r="LBI102" s="42"/>
      <c r="LBJ102" s="42"/>
      <c r="LBK102" s="42"/>
      <c r="LBL102" s="43">
        <v>0</v>
      </c>
      <c r="LBM102" s="42" t="s">
        <v>48</v>
      </c>
      <c r="LBN102" s="42"/>
      <c r="LBO102" s="42"/>
      <c r="LBP102" s="42"/>
      <c r="LBQ102" s="42"/>
      <c r="LBR102" s="42"/>
      <c r="LBS102" s="42"/>
      <c r="LBT102" s="43">
        <v>0</v>
      </c>
      <c r="LBU102" s="42" t="s">
        <v>48</v>
      </c>
      <c r="LBV102" s="42"/>
      <c r="LBW102" s="42"/>
      <c r="LBX102" s="42"/>
      <c r="LBY102" s="42"/>
      <c r="LBZ102" s="42"/>
      <c r="LCA102" s="42"/>
      <c r="LCB102" s="43">
        <v>0</v>
      </c>
      <c r="LCC102" s="42" t="s">
        <v>48</v>
      </c>
      <c r="LCD102" s="42"/>
      <c r="LCE102" s="42"/>
      <c r="LCF102" s="42"/>
      <c r="LCG102" s="42"/>
      <c r="LCH102" s="42"/>
      <c r="LCI102" s="42"/>
      <c r="LCJ102" s="43">
        <v>0</v>
      </c>
      <c r="LCK102" s="42" t="s">
        <v>48</v>
      </c>
      <c r="LCL102" s="42"/>
      <c r="LCM102" s="42"/>
      <c r="LCN102" s="42"/>
      <c r="LCO102" s="42"/>
      <c r="LCP102" s="42"/>
      <c r="LCQ102" s="42"/>
      <c r="LCR102" s="43">
        <v>0</v>
      </c>
      <c r="LCS102" s="42" t="s">
        <v>48</v>
      </c>
      <c r="LCT102" s="42"/>
      <c r="LCU102" s="42"/>
      <c r="LCV102" s="42"/>
      <c r="LCW102" s="42"/>
      <c r="LCX102" s="42"/>
      <c r="LCY102" s="42"/>
      <c r="LCZ102" s="43">
        <v>0</v>
      </c>
      <c r="LDA102" s="42" t="s">
        <v>48</v>
      </c>
      <c r="LDB102" s="42"/>
      <c r="LDC102" s="42"/>
      <c r="LDD102" s="42"/>
      <c r="LDE102" s="42"/>
      <c r="LDF102" s="42"/>
      <c r="LDG102" s="42"/>
      <c r="LDH102" s="43">
        <v>0</v>
      </c>
      <c r="LDI102" s="42" t="s">
        <v>48</v>
      </c>
      <c r="LDJ102" s="42"/>
      <c r="LDK102" s="42"/>
      <c r="LDL102" s="42"/>
      <c r="LDM102" s="42"/>
      <c r="LDN102" s="42"/>
      <c r="LDO102" s="42"/>
      <c r="LDP102" s="43">
        <v>0</v>
      </c>
      <c r="LDQ102" s="42" t="s">
        <v>48</v>
      </c>
      <c r="LDR102" s="42"/>
      <c r="LDS102" s="42"/>
      <c r="LDT102" s="42"/>
      <c r="LDU102" s="42"/>
      <c r="LDV102" s="42"/>
      <c r="LDW102" s="42"/>
      <c r="LDX102" s="43">
        <v>0</v>
      </c>
      <c r="LDY102" s="42" t="s">
        <v>48</v>
      </c>
      <c r="LDZ102" s="42"/>
      <c r="LEA102" s="42"/>
      <c r="LEB102" s="42"/>
      <c r="LEC102" s="42"/>
      <c r="LED102" s="42"/>
      <c r="LEE102" s="42"/>
      <c r="LEF102" s="43">
        <v>0</v>
      </c>
      <c r="LEG102" s="42" t="s">
        <v>48</v>
      </c>
      <c r="LEH102" s="42"/>
      <c r="LEI102" s="42"/>
      <c r="LEJ102" s="42"/>
      <c r="LEK102" s="42"/>
      <c r="LEL102" s="42"/>
      <c r="LEM102" s="42"/>
      <c r="LEN102" s="43">
        <v>0</v>
      </c>
      <c r="LEO102" s="42" t="s">
        <v>48</v>
      </c>
      <c r="LEP102" s="42"/>
      <c r="LEQ102" s="42"/>
      <c r="LER102" s="42"/>
      <c r="LES102" s="42"/>
      <c r="LET102" s="42"/>
      <c r="LEU102" s="42"/>
      <c r="LEV102" s="43">
        <v>0</v>
      </c>
      <c r="LEW102" s="42" t="s">
        <v>48</v>
      </c>
      <c r="LEX102" s="42"/>
      <c r="LEY102" s="42"/>
      <c r="LEZ102" s="42"/>
      <c r="LFA102" s="42"/>
      <c r="LFB102" s="42"/>
      <c r="LFC102" s="42"/>
      <c r="LFD102" s="43">
        <v>0</v>
      </c>
      <c r="LFE102" s="42" t="s">
        <v>48</v>
      </c>
      <c r="LFF102" s="42"/>
      <c r="LFG102" s="42"/>
      <c r="LFH102" s="42"/>
      <c r="LFI102" s="42"/>
      <c r="LFJ102" s="42"/>
      <c r="LFK102" s="42"/>
      <c r="LFL102" s="43">
        <v>0</v>
      </c>
      <c r="LFM102" s="42" t="s">
        <v>48</v>
      </c>
      <c r="LFN102" s="42"/>
      <c r="LFO102" s="42"/>
      <c r="LFP102" s="42"/>
      <c r="LFQ102" s="42"/>
      <c r="LFR102" s="42"/>
      <c r="LFS102" s="42"/>
      <c r="LFT102" s="43">
        <v>0</v>
      </c>
      <c r="LFU102" s="42" t="s">
        <v>48</v>
      </c>
      <c r="LFV102" s="42"/>
      <c r="LFW102" s="42"/>
      <c r="LFX102" s="42"/>
      <c r="LFY102" s="42"/>
      <c r="LFZ102" s="42"/>
      <c r="LGA102" s="42"/>
      <c r="LGB102" s="43">
        <v>0</v>
      </c>
      <c r="LGC102" s="42" t="s">
        <v>48</v>
      </c>
      <c r="LGD102" s="42"/>
      <c r="LGE102" s="42"/>
      <c r="LGF102" s="42"/>
      <c r="LGG102" s="42"/>
      <c r="LGH102" s="42"/>
      <c r="LGI102" s="42"/>
      <c r="LGJ102" s="43">
        <v>0</v>
      </c>
      <c r="LGK102" s="42" t="s">
        <v>48</v>
      </c>
      <c r="LGL102" s="42"/>
      <c r="LGM102" s="42"/>
      <c r="LGN102" s="42"/>
      <c r="LGO102" s="42"/>
      <c r="LGP102" s="42"/>
      <c r="LGQ102" s="42"/>
      <c r="LGR102" s="43">
        <v>0</v>
      </c>
      <c r="LGS102" s="42" t="s">
        <v>48</v>
      </c>
      <c r="LGT102" s="42"/>
      <c r="LGU102" s="42"/>
      <c r="LGV102" s="42"/>
      <c r="LGW102" s="42"/>
      <c r="LGX102" s="42"/>
      <c r="LGY102" s="42"/>
      <c r="LGZ102" s="43">
        <v>0</v>
      </c>
      <c r="LHA102" s="42" t="s">
        <v>48</v>
      </c>
      <c r="LHB102" s="42"/>
      <c r="LHC102" s="42"/>
      <c r="LHD102" s="42"/>
      <c r="LHE102" s="42"/>
      <c r="LHF102" s="42"/>
      <c r="LHG102" s="42"/>
      <c r="LHH102" s="43">
        <v>0</v>
      </c>
      <c r="LHI102" s="42" t="s">
        <v>48</v>
      </c>
      <c r="LHJ102" s="42"/>
      <c r="LHK102" s="42"/>
      <c r="LHL102" s="42"/>
      <c r="LHM102" s="42"/>
      <c r="LHN102" s="42"/>
      <c r="LHO102" s="42"/>
      <c r="LHP102" s="43">
        <v>0</v>
      </c>
      <c r="LHQ102" s="42" t="s">
        <v>48</v>
      </c>
      <c r="LHR102" s="42"/>
      <c r="LHS102" s="42"/>
      <c r="LHT102" s="42"/>
      <c r="LHU102" s="42"/>
      <c r="LHV102" s="42"/>
      <c r="LHW102" s="42"/>
      <c r="LHX102" s="43">
        <v>0</v>
      </c>
      <c r="LHY102" s="42" t="s">
        <v>48</v>
      </c>
      <c r="LHZ102" s="42"/>
      <c r="LIA102" s="42"/>
      <c r="LIB102" s="42"/>
      <c r="LIC102" s="42"/>
      <c r="LID102" s="42"/>
      <c r="LIE102" s="42"/>
      <c r="LIF102" s="43">
        <v>0</v>
      </c>
      <c r="LIG102" s="42" t="s">
        <v>48</v>
      </c>
      <c r="LIH102" s="42"/>
      <c r="LII102" s="42"/>
      <c r="LIJ102" s="42"/>
      <c r="LIK102" s="42"/>
      <c r="LIL102" s="42"/>
      <c r="LIM102" s="42"/>
      <c r="LIN102" s="43">
        <v>0</v>
      </c>
      <c r="LIO102" s="42" t="s">
        <v>48</v>
      </c>
      <c r="LIP102" s="42"/>
      <c r="LIQ102" s="42"/>
      <c r="LIR102" s="42"/>
      <c r="LIS102" s="42"/>
      <c r="LIT102" s="42"/>
      <c r="LIU102" s="42"/>
      <c r="LIV102" s="43">
        <v>0</v>
      </c>
      <c r="LIW102" s="42" t="s">
        <v>48</v>
      </c>
      <c r="LIX102" s="42"/>
      <c r="LIY102" s="42"/>
      <c r="LIZ102" s="42"/>
      <c r="LJA102" s="42"/>
      <c r="LJB102" s="42"/>
      <c r="LJC102" s="42"/>
      <c r="LJD102" s="43">
        <v>0</v>
      </c>
      <c r="LJE102" s="42" t="s">
        <v>48</v>
      </c>
      <c r="LJF102" s="42"/>
      <c r="LJG102" s="42"/>
      <c r="LJH102" s="42"/>
      <c r="LJI102" s="42"/>
      <c r="LJJ102" s="42"/>
      <c r="LJK102" s="42"/>
      <c r="LJL102" s="43">
        <v>0</v>
      </c>
      <c r="LJM102" s="42" t="s">
        <v>48</v>
      </c>
      <c r="LJN102" s="42"/>
      <c r="LJO102" s="42"/>
      <c r="LJP102" s="42"/>
      <c r="LJQ102" s="42"/>
      <c r="LJR102" s="42"/>
      <c r="LJS102" s="42"/>
      <c r="LJT102" s="43">
        <v>0</v>
      </c>
      <c r="LJU102" s="42" t="s">
        <v>48</v>
      </c>
      <c r="LJV102" s="42"/>
      <c r="LJW102" s="42"/>
      <c r="LJX102" s="42"/>
      <c r="LJY102" s="42"/>
      <c r="LJZ102" s="42"/>
      <c r="LKA102" s="42"/>
      <c r="LKB102" s="43">
        <v>0</v>
      </c>
      <c r="LKC102" s="42" t="s">
        <v>48</v>
      </c>
      <c r="LKD102" s="42"/>
      <c r="LKE102" s="42"/>
      <c r="LKF102" s="42"/>
      <c r="LKG102" s="42"/>
      <c r="LKH102" s="42"/>
      <c r="LKI102" s="42"/>
      <c r="LKJ102" s="43">
        <v>0</v>
      </c>
      <c r="LKK102" s="42" t="s">
        <v>48</v>
      </c>
      <c r="LKL102" s="42"/>
      <c r="LKM102" s="42"/>
      <c r="LKN102" s="42"/>
      <c r="LKO102" s="42"/>
      <c r="LKP102" s="42"/>
      <c r="LKQ102" s="42"/>
      <c r="LKR102" s="43">
        <v>0</v>
      </c>
      <c r="LKS102" s="42" t="s">
        <v>48</v>
      </c>
      <c r="LKT102" s="42"/>
      <c r="LKU102" s="42"/>
      <c r="LKV102" s="42"/>
      <c r="LKW102" s="42"/>
      <c r="LKX102" s="42"/>
      <c r="LKY102" s="42"/>
      <c r="LKZ102" s="43">
        <v>0</v>
      </c>
      <c r="LLA102" s="42" t="s">
        <v>48</v>
      </c>
      <c r="LLB102" s="42"/>
      <c r="LLC102" s="42"/>
      <c r="LLD102" s="42"/>
      <c r="LLE102" s="42"/>
      <c r="LLF102" s="42"/>
      <c r="LLG102" s="42"/>
      <c r="LLH102" s="43">
        <v>0</v>
      </c>
      <c r="LLI102" s="42" t="s">
        <v>48</v>
      </c>
      <c r="LLJ102" s="42"/>
      <c r="LLK102" s="42"/>
      <c r="LLL102" s="42"/>
      <c r="LLM102" s="42"/>
      <c r="LLN102" s="42"/>
      <c r="LLO102" s="42"/>
      <c r="LLP102" s="43">
        <v>0</v>
      </c>
      <c r="LLQ102" s="42" t="s">
        <v>48</v>
      </c>
      <c r="LLR102" s="42"/>
      <c r="LLS102" s="42"/>
      <c r="LLT102" s="42"/>
      <c r="LLU102" s="42"/>
      <c r="LLV102" s="42"/>
      <c r="LLW102" s="42"/>
      <c r="LLX102" s="43">
        <v>0</v>
      </c>
      <c r="LLY102" s="42" t="s">
        <v>48</v>
      </c>
      <c r="LLZ102" s="42"/>
      <c r="LMA102" s="42"/>
      <c r="LMB102" s="42"/>
      <c r="LMC102" s="42"/>
      <c r="LMD102" s="42"/>
      <c r="LME102" s="42"/>
      <c r="LMF102" s="43">
        <v>0</v>
      </c>
      <c r="LMG102" s="42" t="s">
        <v>48</v>
      </c>
      <c r="LMH102" s="42"/>
      <c r="LMI102" s="42"/>
      <c r="LMJ102" s="42"/>
      <c r="LMK102" s="42"/>
      <c r="LML102" s="42"/>
      <c r="LMM102" s="42"/>
      <c r="LMN102" s="43">
        <v>0</v>
      </c>
      <c r="LMO102" s="42" t="s">
        <v>48</v>
      </c>
      <c r="LMP102" s="42"/>
      <c r="LMQ102" s="42"/>
      <c r="LMR102" s="42"/>
      <c r="LMS102" s="42"/>
      <c r="LMT102" s="42"/>
      <c r="LMU102" s="42"/>
      <c r="LMV102" s="43">
        <v>0</v>
      </c>
      <c r="LMW102" s="42" t="s">
        <v>48</v>
      </c>
      <c r="LMX102" s="42"/>
      <c r="LMY102" s="42"/>
      <c r="LMZ102" s="42"/>
      <c r="LNA102" s="42"/>
      <c r="LNB102" s="42"/>
      <c r="LNC102" s="42"/>
      <c r="LND102" s="43">
        <v>0</v>
      </c>
      <c r="LNE102" s="42" t="s">
        <v>48</v>
      </c>
      <c r="LNF102" s="42"/>
      <c r="LNG102" s="42"/>
      <c r="LNH102" s="42"/>
      <c r="LNI102" s="42"/>
      <c r="LNJ102" s="42"/>
      <c r="LNK102" s="42"/>
      <c r="LNL102" s="43">
        <v>0</v>
      </c>
      <c r="LNM102" s="42" t="s">
        <v>48</v>
      </c>
      <c r="LNN102" s="42"/>
      <c r="LNO102" s="42"/>
      <c r="LNP102" s="42"/>
      <c r="LNQ102" s="42"/>
      <c r="LNR102" s="42"/>
      <c r="LNS102" s="42"/>
      <c r="LNT102" s="43">
        <v>0</v>
      </c>
      <c r="LNU102" s="42" t="s">
        <v>48</v>
      </c>
      <c r="LNV102" s="42"/>
      <c r="LNW102" s="42"/>
      <c r="LNX102" s="42"/>
      <c r="LNY102" s="42"/>
      <c r="LNZ102" s="42"/>
      <c r="LOA102" s="42"/>
      <c r="LOB102" s="43">
        <v>0</v>
      </c>
      <c r="LOC102" s="42" t="s">
        <v>48</v>
      </c>
      <c r="LOD102" s="42"/>
      <c r="LOE102" s="42"/>
      <c r="LOF102" s="42"/>
      <c r="LOG102" s="42"/>
      <c r="LOH102" s="42"/>
      <c r="LOI102" s="42"/>
      <c r="LOJ102" s="43">
        <v>0</v>
      </c>
      <c r="LOK102" s="42" t="s">
        <v>48</v>
      </c>
      <c r="LOL102" s="42"/>
      <c r="LOM102" s="42"/>
      <c r="LON102" s="42"/>
      <c r="LOO102" s="42"/>
      <c r="LOP102" s="42"/>
      <c r="LOQ102" s="42"/>
      <c r="LOR102" s="43">
        <v>0</v>
      </c>
      <c r="LOS102" s="42" t="s">
        <v>48</v>
      </c>
      <c r="LOT102" s="42"/>
      <c r="LOU102" s="42"/>
      <c r="LOV102" s="42"/>
      <c r="LOW102" s="42"/>
      <c r="LOX102" s="42"/>
      <c r="LOY102" s="42"/>
      <c r="LOZ102" s="43">
        <v>0</v>
      </c>
      <c r="LPA102" s="42" t="s">
        <v>48</v>
      </c>
      <c r="LPB102" s="42"/>
      <c r="LPC102" s="42"/>
      <c r="LPD102" s="42"/>
      <c r="LPE102" s="42"/>
      <c r="LPF102" s="42"/>
      <c r="LPG102" s="42"/>
      <c r="LPH102" s="43">
        <v>0</v>
      </c>
      <c r="LPI102" s="42" t="s">
        <v>48</v>
      </c>
      <c r="LPJ102" s="42"/>
      <c r="LPK102" s="42"/>
      <c r="LPL102" s="42"/>
      <c r="LPM102" s="42"/>
      <c r="LPN102" s="42"/>
      <c r="LPO102" s="42"/>
      <c r="LPP102" s="43">
        <v>0</v>
      </c>
      <c r="LPQ102" s="42" t="s">
        <v>48</v>
      </c>
      <c r="LPR102" s="42"/>
      <c r="LPS102" s="42"/>
      <c r="LPT102" s="42"/>
      <c r="LPU102" s="42"/>
      <c r="LPV102" s="42"/>
      <c r="LPW102" s="42"/>
      <c r="LPX102" s="43">
        <v>0</v>
      </c>
      <c r="LPY102" s="42" t="s">
        <v>48</v>
      </c>
      <c r="LPZ102" s="42"/>
      <c r="LQA102" s="42"/>
      <c r="LQB102" s="42"/>
      <c r="LQC102" s="42"/>
      <c r="LQD102" s="42"/>
      <c r="LQE102" s="42"/>
      <c r="LQF102" s="43">
        <v>0</v>
      </c>
      <c r="LQG102" s="42" t="s">
        <v>48</v>
      </c>
      <c r="LQH102" s="42"/>
      <c r="LQI102" s="42"/>
      <c r="LQJ102" s="42"/>
      <c r="LQK102" s="42"/>
      <c r="LQL102" s="42"/>
      <c r="LQM102" s="42"/>
      <c r="LQN102" s="43">
        <v>0</v>
      </c>
      <c r="LQO102" s="42" t="s">
        <v>48</v>
      </c>
      <c r="LQP102" s="42"/>
      <c r="LQQ102" s="42"/>
      <c r="LQR102" s="42"/>
      <c r="LQS102" s="42"/>
      <c r="LQT102" s="42"/>
      <c r="LQU102" s="42"/>
      <c r="LQV102" s="43">
        <v>0</v>
      </c>
      <c r="LQW102" s="42" t="s">
        <v>48</v>
      </c>
      <c r="LQX102" s="42"/>
      <c r="LQY102" s="42"/>
      <c r="LQZ102" s="42"/>
      <c r="LRA102" s="42"/>
      <c r="LRB102" s="42"/>
      <c r="LRC102" s="42"/>
      <c r="LRD102" s="43">
        <v>0</v>
      </c>
      <c r="LRE102" s="42" t="s">
        <v>48</v>
      </c>
      <c r="LRF102" s="42"/>
      <c r="LRG102" s="42"/>
      <c r="LRH102" s="42"/>
      <c r="LRI102" s="42"/>
      <c r="LRJ102" s="42"/>
      <c r="LRK102" s="42"/>
      <c r="LRL102" s="43">
        <v>0</v>
      </c>
      <c r="LRM102" s="42" t="s">
        <v>48</v>
      </c>
      <c r="LRN102" s="42"/>
      <c r="LRO102" s="42"/>
      <c r="LRP102" s="42"/>
      <c r="LRQ102" s="42"/>
      <c r="LRR102" s="42"/>
      <c r="LRS102" s="42"/>
      <c r="LRT102" s="43">
        <v>0</v>
      </c>
      <c r="LRU102" s="42" t="s">
        <v>48</v>
      </c>
      <c r="LRV102" s="42"/>
      <c r="LRW102" s="42"/>
      <c r="LRX102" s="42"/>
      <c r="LRY102" s="42"/>
      <c r="LRZ102" s="42"/>
      <c r="LSA102" s="42"/>
      <c r="LSB102" s="43">
        <v>0</v>
      </c>
      <c r="LSC102" s="42" t="s">
        <v>48</v>
      </c>
      <c r="LSD102" s="42"/>
      <c r="LSE102" s="42"/>
      <c r="LSF102" s="42"/>
      <c r="LSG102" s="42"/>
      <c r="LSH102" s="42"/>
      <c r="LSI102" s="42"/>
      <c r="LSJ102" s="43">
        <v>0</v>
      </c>
      <c r="LSK102" s="42" t="s">
        <v>48</v>
      </c>
      <c r="LSL102" s="42"/>
      <c r="LSM102" s="42"/>
      <c r="LSN102" s="42"/>
      <c r="LSO102" s="42"/>
      <c r="LSP102" s="42"/>
      <c r="LSQ102" s="42"/>
      <c r="LSR102" s="43">
        <v>0</v>
      </c>
      <c r="LSS102" s="42" t="s">
        <v>48</v>
      </c>
      <c r="LST102" s="42"/>
      <c r="LSU102" s="42"/>
      <c r="LSV102" s="42"/>
      <c r="LSW102" s="42"/>
      <c r="LSX102" s="42"/>
      <c r="LSY102" s="42"/>
      <c r="LSZ102" s="43">
        <v>0</v>
      </c>
      <c r="LTA102" s="42" t="s">
        <v>48</v>
      </c>
      <c r="LTB102" s="42"/>
      <c r="LTC102" s="42"/>
      <c r="LTD102" s="42"/>
      <c r="LTE102" s="42"/>
      <c r="LTF102" s="42"/>
      <c r="LTG102" s="42"/>
      <c r="LTH102" s="43">
        <v>0</v>
      </c>
      <c r="LTI102" s="42" t="s">
        <v>48</v>
      </c>
      <c r="LTJ102" s="42"/>
      <c r="LTK102" s="42"/>
      <c r="LTL102" s="42"/>
      <c r="LTM102" s="42"/>
      <c r="LTN102" s="42"/>
      <c r="LTO102" s="42"/>
      <c r="LTP102" s="43">
        <v>0</v>
      </c>
      <c r="LTQ102" s="42" t="s">
        <v>48</v>
      </c>
      <c r="LTR102" s="42"/>
      <c r="LTS102" s="42"/>
      <c r="LTT102" s="42"/>
      <c r="LTU102" s="42"/>
      <c r="LTV102" s="42"/>
      <c r="LTW102" s="42"/>
      <c r="LTX102" s="43">
        <v>0</v>
      </c>
      <c r="LTY102" s="42" t="s">
        <v>48</v>
      </c>
      <c r="LTZ102" s="42"/>
      <c r="LUA102" s="42"/>
      <c r="LUB102" s="42"/>
      <c r="LUC102" s="42"/>
      <c r="LUD102" s="42"/>
      <c r="LUE102" s="42"/>
      <c r="LUF102" s="43">
        <v>0</v>
      </c>
      <c r="LUG102" s="42" t="s">
        <v>48</v>
      </c>
      <c r="LUH102" s="42"/>
      <c r="LUI102" s="42"/>
      <c r="LUJ102" s="42"/>
      <c r="LUK102" s="42"/>
      <c r="LUL102" s="42"/>
      <c r="LUM102" s="42"/>
      <c r="LUN102" s="43">
        <v>0</v>
      </c>
      <c r="LUO102" s="42" t="s">
        <v>48</v>
      </c>
      <c r="LUP102" s="42"/>
      <c r="LUQ102" s="42"/>
      <c r="LUR102" s="42"/>
      <c r="LUS102" s="42"/>
      <c r="LUT102" s="42"/>
      <c r="LUU102" s="42"/>
      <c r="LUV102" s="43">
        <v>0</v>
      </c>
      <c r="LUW102" s="42" t="s">
        <v>48</v>
      </c>
      <c r="LUX102" s="42"/>
      <c r="LUY102" s="42"/>
      <c r="LUZ102" s="42"/>
      <c r="LVA102" s="42"/>
      <c r="LVB102" s="42"/>
      <c r="LVC102" s="42"/>
      <c r="LVD102" s="43">
        <v>0</v>
      </c>
      <c r="LVE102" s="42" t="s">
        <v>48</v>
      </c>
      <c r="LVF102" s="42"/>
      <c r="LVG102" s="42"/>
      <c r="LVH102" s="42"/>
      <c r="LVI102" s="42"/>
      <c r="LVJ102" s="42"/>
      <c r="LVK102" s="42"/>
      <c r="LVL102" s="43">
        <v>0</v>
      </c>
      <c r="LVM102" s="42" t="s">
        <v>48</v>
      </c>
      <c r="LVN102" s="42"/>
      <c r="LVO102" s="42"/>
      <c r="LVP102" s="42"/>
      <c r="LVQ102" s="42"/>
      <c r="LVR102" s="42"/>
      <c r="LVS102" s="42"/>
      <c r="LVT102" s="43">
        <v>0</v>
      </c>
      <c r="LVU102" s="42" t="s">
        <v>48</v>
      </c>
      <c r="LVV102" s="42"/>
      <c r="LVW102" s="42"/>
      <c r="LVX102" s="42"/>
      <c r="LVY102" s="42"/>
      <c r="LVZ102" s="42"/>
      <c r="LWA102" s="42"/>
      <c r="LWB102" s="43">
        <v>0</v>
      </c>
      <c r="LWC102" s="42" t="s">
        <v>48</v>
      </c>
      <c r="LWD102" s="42"/>
      <c r="LWE102" s="42"/>
      <c r="LWF102" s="42"/>
      <c r="LWG102" s="42"/>
      <c r="LWH102" s="42"/>
      <c r="LWI102" s="42"/>
      <c r="LWJ102" s="43">
        <v>0</v>
      </c>
      <c r="LWK102" s="42" t="s">
        <v>48</v>
      </c>
      <c r="LWL102" s="42"/>
      <c r="LWM102" s="42"/>
      <c r="LWN102" s="42"/>
      <c r="LWO102" s="42"/>
      <c r="LWP102" s="42"/>
      <c r="LWQ102" s="42"/>
      <c r="LWR102" s="43">
        <v>0</v>
      </c>
      <c r="LWS102" s="42" t="s">
        <v>48</v>
      </c>
      <c r="LWT102" s="42"/>
      <c r="LWU102" s="42"/>
      <c r="LWV102" s="42"/>
      <c r="LWW102" s="42"/>
      <c r="LWX102" s="42"/>
      <c r="LWY102" s="42"/>
      <c r="LWZ102" s="43">
        <v>0</v>
      </c>
      <c r="LXA102" s="42" t="s">
        <v>48</v>
      </c>
      <c r="LXB102" s="42"/>
      <c r="LXC102" s="42"/>
      <c r="LXD102" s="42"/>
      <c r="LXE102" s="42"/>
      <c r="LXF102" s="42"/>
      <c r="LXG102" s="42"/>
      <c r="LXH102" s="43">
        <v>0</v>
      </c>
      <c r="LXI102" s="42" t="s">
        <v>48</v>
      </c>
      <c r="LXJ102" s="42"/>
      <c r="LXK102" s="42"/>
      <c r="LXL102" s="42"/>
      <c r="LXM102" s="42"/>
      <c r="LXN102" s="42"/>
      <c r="LXO102" s="42"/>
      <c r="LXP102" s="43">
        <v>0</v>
      </c>
      <c r="LXQ102" s="42" t="s">
        <v>48</v>
      </c>
      <c r="LXR102" s="42"/>
      <c r="LXS102" s="42"/>
      <c r="LXT102" s="42"/>
      <c r="LXU102" s="42"/>
      <c r="LXV102" s="42"/>
      <c r="LXW102" s="42"/>
      <c r="LXX102" s="43">
        <v>0</v>
      </c>
      <c r="LXY102" s="42" t="s">
        <v>48</v>
      </c>
      <c r="LXZ102" s="42"/>
      <c r="LYA102" s="42"/>
      <c r="LYB102" s="42"/>
      <c r="LYC102" s="42"/>
      <c r="LYD102" s="42"/>
      <c r="LYE102" s="42"/>
      <c r="LYF102" s="43">
        <v>0</v>
      </c>
      <c r="LYG102" s="42" t="s">
        <v>48</v>
      </c>
      <c r="LYH102" s="42"/>
      <c r="LYI102" s="42"/>
      <c r="LYJ102" s="42"/>
      <c r="LYK102" s="42"/>
      <c r="LYL102" s="42"/>
      <c r="LYM102" s="42"/>
      <c r="LYN102" s="43">
        <v>0</v>
      </c>
      <c r="LYO102" s="42" t="s">
        <v>48</v>
      </c>
      <c r="LYP102" s="42"/>
      <c r="LYQ102" s="42"/>
      <c r="LYR102" s="42"/>
      <c r="LYS102" s="42"/>
      <c r="LYT102" s="42"/>
      <c r="LYU102" s="42"/>
      <c r="LYV102" s="43">
        <v>0</v>
      </c>
      <c r="LYW102" s="42" t="s">
        <v>48</v>
      </c>
      <c r="LYX102" s="42"/>
      <c r="LYY102" s="42"/>
      <c r="LYZ102" s="42"/>
      <c r="LZA102" s="42"/>
      <c r="LZB102" s="42"/>
      <c r="LZC102" s="42"/>
      <c r="LZD102" s="43">
        <v>0</v>
      </c>
      <c r="LZE102" s="42" t="s">
        <v>48</v>
      </c>
      <c r="LZF102" s="42"/>
      <c r="LZG102" s="42"/>
      <c r="LZH102" s="42"/>
      <c r="LZI102" s="42"/>
      <c r="LZJ102" s="42"/>
      <c r="LZK102" s="42"/>
      <c r="LZL102" s="43">
        <v>0</v>
      </c>
      <c r="LZM102" s="42" t="s">
        <v>48</v>
      </c>
      <c r="LZN102" s="42"/>
      <c r="LZO102" s="42"/>
      <c r="LZP102" s="42"/>
      <c r="LZQ102" s="42"/>
      <c r="LZR102" s="42"/>
      <c r="LZS102" s="42"/>
      <c r="LZT102" s="43">
        <v>0</v>
      </c>
      <c r="LZU102" s="42" t="s">
        <v>48</v>
      </c>
      <c r="LZV102" s="42"/>
      <c r="LZW102" s="42"/>
      <c r="LZX102" s="42"/>
      <c r="LZY102" s="42"/>
      <c r="LZZ102" s="42"/>
      <c r="MAA102" s="42"/>
      <c r="MAB102" s="43">
        <v>0</v>
      </c>
      <c r="MAC102" s="42" t="s">
        <v>48</v>
      </c>
      <c r="MAD102" s="42"/>
      <c r="MAE102" s="42"/>
      <c r="MAF102" s="42"/>
      <c r="MAG102" s="42"/>
      <c r="MAH102" s="42"/>
      <c r="MAI102" s="42"/>
      <c r="MAJ102" s="43">
        <v>0</v>
      </c>
      <c r="MAK102" s="42" t="s">
        <v>48</v>
      </c>
      <c r="MAL102" s="42"/>
      <c r="MAM102" s="42"/>
      <c r="MAN102" s="42"/>
      <c r="MAO102" s="42"/>
      <c r="MAP102" s="42"/>
      <c r="MAQ102" s="42"/>
      <c r="MAR102" s="43">
        <v>0</v>
      </c>
      <c r="MAS102" s="42" t="s">
        <v>48</v>
      </c>
      <c r="MAT102" s="42"/>
      <c r="MAU102" s="42"/>
      <c r="MAV102" s="42"/>
      <c r="MAW102" s="42"/>
      <c r="MAX102" s="42"/>
      <c r="MAY102" s="42"/>
      <c r="MAZ102" s="43">
        <v>0</v>
      </c>
      <c r="MBA102" s="42" t="s">
        <v>48</v>
      </c>
      <c r="MBB102" s="42"/>
      <c r="MBC102" s="42"/>
      <c r="MBD102" s="42"/>
      <c r="MBE102" s="42"/>
      <c r="MBF102" s="42"/>
      <c r="MBG102" s="42"/>
      <c r="MBH102" s="43">
        <v>0</v>
      </c>
      <c r="MBI102" s="42" t="s">
        <v>48</v>
      </c>
      <c r="MBJ102" s="42"/>
      <c r="MBK102" s="42"/>
      <c r="MBL102" s="42"/>
      <c r="MBM102" s="42"/>
      <c r="MBN102" s="42"/>
      <c r="MBO102" s="42"/>
      <c r="MBP102" s="43">
        <v>0</v>
      </c>
      <c r="MBQ102" s="42" t="s">
        <v>48</v>
      </c>
      <c r="MBR102" s="42"/>
      <c r="MBS102" s="42"/>
      <c r="MBT102" s="42"/>
      <c r="MBU102" s="42"/>
      <c r="MBV102" s="42"/>
      <c r="MBW102" s="42"/>
      <c r="MBX102" s="43">
        <v>0</v>
      </c>
      <c r="MBY102" s="42" t="s">
        <v>48</v>
      </c>
      <c r="MBZ102" s="42"/>
      <c r="MCA102" s="42"/>
      <c r="MCB102" s="42"/>
      <c r="MCC102" s="42"/>
      <c r="MCD102" s="42"/>
      <c r="MCE102" s="42"/>
      <c r="MCF102" s="43">
        <v>0</v>
      </c>
      <c r="MCG102" s="42" t="s">
        <v>48</v>
      </c>
      <c r="MCH102" s="42"/>
      <c r="MCI102" s="42"/>
      <c r="MCJ102" s="42"/>
      <c r="MCK102" s="42"/>
      <c r="MCL102" s="42"/>
      <c r="MCM102" s="42"/>
      <c r="MCN102" s="43">
        <v>0</v>
      </c>
      <c r="MCO102" s="42" t="s">
        <v>48</v>
      </c>
      <c r="MCP102" s="42"/>
      <c r="MCQ102" s="42"/>
      <c r="MCR102" s="42"/>
      <c r="MCS102" s="42"/>
      <c r="MCT102" s="42"/>
      <c r="MCU102" s="42"/>
      <c r="MCV102" s="43">
        <v>0</v>
      </c>
      <c r="MCW102" s="42" t="s">
        <v>48</v>
      </c>
      <c r="MCX102" s="42"/>
      <c r="MCY102" s="42"/>
      <c r="MCZ102" s="42"/>
      <c r="MDA102" s="42"/>
      <c r="MDB102" s="42"/>
      <c r="MDC102" s="42"/>
      <c r="MDD102" s="43">
        <v>0</v>
      </c>
      <c r="MDE102" s="42" t="s">
        <v>48</v>
      </c>
      <c r="MDF102" s="42"/>
      <c r="MDG102" s="42"/>
      <c r="MDH102" s="42"/>
      <c r="MDI102" s="42"/>
      <c r="MDJ102" s="42"/>
      <c r="MDK102" s="42"/>
      <c r="MDL102" s="43">
        <v>0</v>
      </c>
      <c r="MDM102" s="42" t="s">
        <v>48</v>
      </c>
      <c r="MDN102" s="42"/>
      <c r="MDO102" s="42"/>
      <c r="MDP102" s="42"/>
      <c r="MDQ102" s="42"/>
      <c r="MDR102" s="42"/>
      <c r="MDS102" s="42"/>
      <c r="MDT102" s="43">
        <v>0</v>
      </c>
      <c r="MDU102" s="42" t="s">
        <v>48</v>
      </c>
      <c r="MDV102" s="42"/>
      <c r="MDW102" s="42"/>
      <c r="MDX102" s="42"/>
      <c r="MDY102" s="42"/>
      <c r="MDZ102" s="42"/>
      <c r="MEA102" s="42"/>
      <c r="MEB102" s="43">
        <v>0</v>
      </c>
      <c r="MEC102" s="42" t="s">
        <v>48</v>
      </c>
      <c r="MED102" s="42"/>
      <c r="MEE102" s="42"/>
      <c r="MEF102" s="42"/>
      <c r="MEG102" s="42"/>
      <c r="MEH102" s="42"/>
      <c r="MEI102" s="42"/>
      <c r="MEJ102" s="43">
        <v>0</v>
      </c>
      <c r="MEK102" s="42" t="s">
        <v>48</v>
      </c>
      <c r="MEL102" s="42"/>
      <c r="MEM102" s="42"/>
      <c r="MEN102" s="42"/>
      <c r="MEO102" s="42"/>
      <c r="MEP102" s="42"/>
      <c r="MEQ102" s="42"/>
      <c r="MER102" s="43">
        <v>0</v>
      </c>
      <c r="MES102" s="42" t="s">
        <v>48</v>
      </c>
      <c r="MET102" s="42"/>
      <c r="MEU102" s="42"/>
      <c r="MEV102" s="42"/>
      <c r="MEW102" s="42"/>
      <c r="MEX102" s="42"/>
      <c r="MEY102" s="42"/>
      <c r="MEZ102" s="43">
        <v>0</v>
      </c>
      <c r="MFA102" s="42" t="s">
        <v>48</v>
      </c>
      <c r="MFB102" s="42"/>
      <c r="MFC102" s="42"/>
      <c r="MFD102" s="42"/>
      <c r="MFE102" s="42"/>
      <c r="MFF102" s="42"/>
      <c r="MFG102" s="42"/>
      <c r="MFH102" s="43">
        <v>0</v>
      </c>
      <c r="MFI102" s="42" t="s">
        <v>48</v>
      </c>
      <c r="MFJ102" s="42"/>
      <c r="MFK102" s="42"/>
      <c r="MFL102" s="42"/>
      <c r="MFM102" s="42"/>
      <c r="MFN102" s="42"/>
      <c r="MFO102" s="42"/>
      <c r="MFP102" s="43">
        <v>0</v>
      </c>
      <c r="MFQ102" s="42" t="s">
        <v>48</v>
      </c>
      <c r="MFR102" s="42"/>
      <c r="MFS102" s="42"/>
      <c r="MFT102" s="42"/>
      <c r="MFU102" s="42"/>
      <c r="MFV102" s="42"/>
      <c r="MFW102" s="42"/>
      <c r="MFX102" s="43">
        <v>0</v>
      </c>
      <c r="MFY102" s="42" t="s">
        <v>48</v>
      </c>
      <c r="MFZ102" s="42"/>
      <c r="MGA102" s="42"/>
      <c r="MGB102" s="42"/>
      <c r="MGC102" s="42"/>
      <c r="MGD102" s="42"/>
      <c r="MGE102" s="42"/>
      <c r="MGF102" s="43">
        <v>0</v>
      </c>
      <c r="MGG102" s="42" t="s">
        <v>48</v>
      </c>
      <c r="MGH102" s="42"/>
      <c r="MGI102" s="42"/>
      <c r="MGJ102" s="42"/>
      <c r="MGK102" s="42"/>
      <c r="MGL102" s="42"/>
      <c r="MGM102" s="42"/>
      <c r="MGN102" s="43">
        <v>0</v>
      </c>
      <c r="MGO102" s="42" t="s">
        <v>48</v>
      </c>
      <c r="MGP102" s="42"/>
      <c r="MGQ102" s="42"/>
      <c r="MGR102" s="42"/>
      <c r="MGS102" s="42"/>
      <c r="MGT102" s="42"/>
      <c r="MGU102" s="42"/>
      <c r="MGV102" s="43">
        <v>0</v>
      </c>
      <c r="MGW102" s="42" t="s">
        <v>48</v>
      </c>
      <c r="MGX102" s="42"/>
      <c r="MGY102" s="42"/>
      <c r="MGZ102" s="42"/>
      <c r="MHA102" s="42"/>
      <c r="MHB102" s="42"/>
      <c r="MHC102" s="42"/>
      <c r="MHD102" s="43">
        <v>0</v>
      </c>
      <c r="MHE102" s="42" t="s">
        <v>48</v>
      </c>
      <c r="MHF102" s="42"/>
      <c r="MHG102" s="42"/>
      <c r="MHH102" s="42"/>
      <c r="MHI102" s="42"/>
      <c r="MHJ102" s="42"/>
      <c r="MHK102" s="42"/>
      <c r="MHL102" s="43">
        <v>0</v>
      </c>
      <c r="MHM102" s="42" t="s">
        <v>48</v>
      </c>
      <c r="MHN102" s="42"/>
      <c r="MHO102" s="42"/>
      <c r="MHP102" s="42"/>
      <c r="MHQ102" s="42"/>
      <c r="MHR102" s="42"/>
      <c r="MHS102" s="42"/>
      <c r="MHT102" s="43">
        <v>0</v>
      </c>
      <c r="MHU102" s="42" t="s">
        <v>48</v>
      </c>
      <c r="MHV102" s="42"/>
      <c r="MHW102" s="42"/>
      <c r="MHX102" s="42"/>
      <c r="MHY102" s="42"/>
      <c r="MHZ102" s="42"/>
      <c r="MIA102" s="42"/>
      <c r="MIB102" s="43">
        <v>0</v>
      </c>
      <c r="MIC102" s="42" t="s">
        <v>48</v>
      </c>
      <c r="MID102" s="42"/>
      <c r="MIE102" s="42"/>
      <c r="MIF102" s="42"/>
      <c r="MIG102" s="42"/>
      <c r="MIH102" s="42"/>
      <c r="MII102" s="42"/>
      <c r="MIJ102" s="43">
        <v>0</v>
      </c>
      <c r="MIK102" s="42" t="s">
        <v>48</v>
      </c>
      <c r="MIL102" s="42"/>
      <c r="MIM102" s="42"/>
      <c r="MIN102" s="42"/>
      <c r="MIO102" s="42"/>
      <c r="MIP102" s="42"/>
      <c r="MIQ102" s="42"/>
      <c r="MIR102" s="43">
        <v>0</v>
      </c>
      <c r="MIS102" s="42" t="s">
        <v>48</v>
      </c>
      <c r="MIT102" s="42"/>
      <c r="MIU102" s="42"/>
      <c r="MIV102" s="42"/>
      <c r="MIW102" s="42"/>
      <c r="MIX102" s="42"/>
      <c r="MIY102" s="42"/>
      <c r="MIZ102" s="43">
        <v>0</v>
      </c>
      <c r="MJA102" s="42" t="s">
        <v>48</v>
      </c>
      <c r="MJB102" s="42"/>
      <c r="MJC102" s="42"/>
      <c r="MJD102" s="42"/>
      <c r="MJE102" s="42"/>
      <c r="MJF102" s="42"/>
      <c r="MJG102" s="42"/>
      <c r="MJH102" s="43">
        <v>0</v>
      </c>
      <c r="MJI102" s="42" t="s">
        <v>48</v>
      </c>
      <c r="MJJ102" s="42"/>
      <c r="MJK102" s="42"/>
      <c r="MJL102" s="42"/>
      <c r="MJM102" s="42"/>
      <c r="MJN102" s="42"/>
      <c r="MJO102" s="42"/>
      <c r="MJP102" s="43">
        <v>0</v>
      </c>
      <c r="MJQ102" s="42" t="s">
        <v>48</v>
      </c>
      <c r="MJR102" s="42"/>
      <c r="MJS102" s="42"/>
      <c r="MJT102" s="42"/>
      <c r="MJU102" s="42"/>
      <c r="MJV102" s="42"/>
      <c r="MJW102" s="42"/>
      <c r="MJX102" s="43">
        <v>0</v>
      </c>
      <c r="MJY102" s="42" t="s">
        <v>48</v>
      </c>
      <c r="MJZ102" s="42"/>
      <c r="MKA102" s="42"/>
      <c r="MKB102" s="42"/>
      <c r="MKC102" s="42"/>
      <c r="MKD102" s="42"/>
      <c r="MKE102" s="42"/>
      <c r="MKF102" s="43">
        <v>0</v>
      </c>
      <c r="MKG102" s="42" t="s">
        <v>48</v>
      </c>
      <c r="MKH102" s="42"/>
      <c r="MKI102" s="42"/>
      <c r="MKJ102" s="42"/>
      <c r="MKK102" s="42"/>
      <c r="MKL102" s="42"/>
      <c r="MKM102" s="42"/>
      <c r="MKN102" s="43">
        <v>0</v>
      </c>
      <c r="MKO102" s="42" t="s">
        <v>48</v>
      </c>
      <c r="MKP102" s="42"/>
      <c r="MKQ102" s="42"/>
      <c r="MKR102" s="42"/>
      <c r="MKS102" s="42"/>
      <c r="MKT102" s="42"/>
      <c r="MKU102" s="42"/>
      <c r="MKV102" s="43">
        <v>0</v>
      </c>
      <c r="MKW102" s="42" t="s">
        <v>48</v>
      </c>
      <c r="MKX102" s="42"/>
      <c r="MKY102" s="42"/>
      <c r="MKZ102" s="42"/>
      <c r="MLA102" s="42"/>
      <c r="MLB102" s="42"/>
      <c r="MLC102" s="42"/>
      <c r="MLD102" s="43">
        <v>0</v>
      </c>
      <c r="MLE102" s="42" t="s">
        <v>48</v>
      </c>
      <c r="MLF102" s="42"/>
      <c r="MLG102" s="42"/>
      <c r="MLH102" s="42"/>
      <c r="MLI102" s="42"/>
      <c r="MLJ102" s="42"/>
      <c r="MLK102" s="42"/>
      <c r="MLL102" s="43">
        <v>0</v>
      </c>
      <c r="MLM102" s="42" t="s">
        <v>48</v>
      </c>
      <c r="MLN102" s="42"/>
      <c r="MLO102" s="42"/>
      <c r="MLP102" s="42"/>
      <c r="MLQ102" s="42"/>
      <c r="MLR102" s="42"/>
      <c r="MLS102" s="42"/>
      <c r="MLT102" s="43">
        <v>0</v>
      </c>
      <c r="MLU102" s="42" t="s">
        <v>48</v>
      </c>
      <c r="MLV102" s="42"/>
      <c r="MLW102" s="42"/>
      <c r="MLX102" s="42"/>
      <c r="MLY102" s="42"/>
      <c r="MLZ102" s="42"/>
      <c r="MMA102" s="42"/>
      <c r="MMB102" s="43">
        <v>0</v>
      </c>
      <c r="MMC102" s="42" t="s">
        <v>48</v>
      </c>
      <c r="MMD102" s="42"/>
      <c r="MME102" s="42"/>
      <c r="MMF102" s="42"/>
      <c r="MMG102" s="42"/>
      <c r="MMH102" s="42"/>
      <c r="MMI102" s="42"/>
      <c r="MMJ102" s="43">
        <v>0</v>
      </c>
      <c r="MMK102" s="42" t="s">
        <v>48</v>
      </c>
      <c r="MML102" s="42"/>
      <c r="MMM102" s="42"/>
      <c r="MMN102" s="42"/>
      <c r="MMO102" s="42"/>
      <c r="MMP102" s="42"/>
      <c r="MMQ102" s="42"/>
      <c r="MMR102" s="43">
        <v>0</v>
      </c>
      <c r="MMS102" s="42" t="s">
        <v>48</v>
      </c>
      <c r="MMT102" s="42"/>
      <c r="MMU102" s="42"/>
      <c r="MMV102" s="42"/>
      <c r="MMW102" s="42"/>
      <c r="MMX102" s="42"/>
      <c r="MMY102" s="42"/>
      <c r="MMZ102" s="43">
        <v>0</v>
      </c>
      <c r="MNA102" s="42" t="s">
        <v>48</v>
      </c>
      <c r="MNB102" s="42"/>
      <c r="MNC102" s="42"/>
      <c r="MND102" s="42"/>
      <c r="MNE102" s="42"/>
      <c r="MNF102" s="42"/>
      <c r="MNG102" s="42"/>
      <c r="MNH102" s="43">
        <v>0</v>
      </c>
      <c r="MNI102" s="42" t="s">
        <v>48</v>
      </c>
      <c r="MNJ102" s="42"/>
      <c r="MNK102" s="42"/>
      <c r="MNL102" s="42"/>
      <c r="MNM102" s="42"/>
      <c r="MNN102" s="42"/>
      <c r="MNO102" s="42"/>
      <c r="MNP102" s="43">
        <v>0</v>
      </c>
      <c r="MNQ102" s="42" t="s">
        <v>48</v>
      </c>
      <c r="MNR102" s="42"/>
      <c r="MNS102" s="42"/>
      <c r="MNT102" s="42"/>
      <c r="MNU102" s="42"/>
      <c r="MNV102" s="42"/>
      <c r="MNW102" s="42"/>
      <c r="MNX102" s="43">
        <v>0</v>
      </c>
      <c r="MNY102" s="42" t="s">
        <v>48</v>
      </c>
      <c r="MNZ102" s="42"/>
      <c r="MOA102" s="42"/>
      <c r="MOB102" s="42"/>
      <c r="MOC102" s="42"/>
      <c r="MOD102" s="42"/>
      <c r="MOE102" s="42"/>
      <c r="MOF102" s="43">
        <v>0</v>
      </c>
      <c r="MOG102" s="42" t="s">
        <v>48</v>
      </c>
      <c r="MOH102" s="42"/>
      <c r="MOI102" s="42"/>
      <c r="MOJ102" s="42"/>
      <c r="MOK102" s="42"/>
      <c r="MOL102" s="42"/>
      <c r="MOM102" s="42"/>
      <c r="MON102" s="43">
        <v>0</v>
      </c>
      <c r="MOO102" s="42" t="s">
        <v>48</v>
      </c>
      <c r="MOP102" s="42"/>
      <c r="MOQ102" s="42"/>
      <c r="MOR102" s="42"/>
      <c r="MOS102" s="42"/>
      <c r="MOT102" s="42"/>
      <c r="MOU102" s="42"/>
      <c r="MOV102" s="43">
        <v>0</v>
      </c>
      <c r="MOW102" s="42" t="s">
        <v>48</v>
      </c>
      <c r="MOX102" s="42"/>
      <c r="MOY102" s="42"/>
      <c r="MOZ102" s="42"/>
      <c r="MPA102" s="42"/>
      <c r="MPB102" s="42"/>
      <c r="MPC102" s="42"/>
      <c r="MPD102" s="43">
        <v>0</v>
      </c>
      <c r="MPE102" s="42" t="s">
        <v>48</v>
      </c>
      <c r="MPF102" s="42"/>
      <c r="MPG102" s="42"/>
      <c r="MPH102" s="42"/>
      <c r="MPI102" s="42"/>
      <c r="MPJ102" s="42"/>
      <c r="MPK102" s="42"/>
      <c r="MPL102" s="43">
        <v>0</v>
      </c>
      <c r="MPM102" s="42" t="s">
        <v>48</v>
      </c>
      <c r="MPN102" s="42"/>
      <c r="MPO102" s="42"/>
      <c r="MPP102" s="42"/>
      <c r="MPQ102" s="42"/>
      <c r="MPR102" s="42"/>
      <c r="MPS102" s="42"/>
      <c r="MPT102" s="43">
        <v>0</v>
      </c>
      <c r="MPU102" s="42" t="s">
        <v>48</v>
      </c>
      <c r="MPV102" s="42"/>
      <c r="MPW102" s="42"/>
      <c r="MPX102" s="42"/>
      <c r="MPY102" s="42"/>
      <c r="MPZ102" s="42"/>
      <c r="MQA102" s="42"/>
      <c r="MQB102" s="43">
        <v>0</v>
      </c>
      <c r="MQC102" s="42" t="s">
        <v>48</v>
      </c>
      <c r="MQD102" s="42"/>
      <c r="MQE102" s="42"/>
      <c r="MQF102" s="42"/>
      <c r="MQG102" s="42"/>
      <c r="MQH102" s="42"/>
      <c r="MQI102" s="42"/>
      <c r="MQJ102" s="43">
        <v>0</v>
      </c>
      <c r="MQK102" s="42" t="s">
        <v>48</v>
      </c>
      <c r="MQL102" s="42"/>
      <c r="MQM102" s="42"/>
      <c r="MQN102" s="42"/>
      <c r="MQO102" s="42"/>
      <c r="MQP102" s="42"/>
      <c r="MQQ102" s="42"/>
      <c r="MQR102" s="43">
        <v>0</v>
      </c>
      <c r="MQS102" s="42" t="s">
        <v>48</v>
      </c>
      <c r="MQT102" s="42"/>
      <c r="MQU102" s="42"/>
      <c r="MQV102" s="42"/>
      <c r="MQW102" s="42"/>
      <c r="MQX102" s="42"/>
      <c r="MQY102" s="42"/>
      <c r="MQZ102" s="43">
        <v>0</v>
      </c>
      <c r="MRA102" s="42" t="s">
        <v>48</v>
      </c>
      <c r="MRB102" s="42"/>
      <c r="MRC102" s="42"/>
      <c r="MRD102" s="42"/>
      <c r="MRE102" s="42"/>
      <c r="MRF102" s="42"/>
      <c r="MRG102" s="42"/>
      <c r="MRH102" s="43">
        <v>0</v>
      </c>
      <c r="MRI102" s="42" t="s">
        <v>48</v>
      </c>
      <c r="MRJ102" s="42"/>
      <c r="MRK102" s="42"/>
      <c r="MRL102" s="42"/>
      <c r="MRM102" s="42"/>
      <c r="MRN102" s="42"/>
      <c r="MRO102" s="42"/>
      <c r="MRP102" s="43">
        <v>0</v>
      </c>
      <c r="MRQ102" s="42" t="s">
        <v>48</v>
      </c>
      <c r="MRR102" s="42"/>
      <c r="MRS102" s="42"/>
      <c r="MRT102" s="42"/>
      <c r="MRU102" s="42"/>
      <c r="MRV102" s="42"/>
      <c r="MRW102" s="42"/>
      <c r="MRX102" s="43">
        <v>0</v>
      </c>
      <c r="MRY102" s="42" t="s">
        <v>48</v>
      </c>
      <c r="MRZ102" s="42"/>
      <c r="MSA102" s="42"/>
      <c r="MSB102" s="42"/>
      <c r="MSC102" s="42"/>
      <c r="MSD102" s="42"/>
      <c r="MSE102" s="42"/>
      <c r="MSF102" s="43">
        <v>0</v>
      </c>
      <c r="MSG102" s="42" t="s">
        <v>48</v>
      </c>
      <c r="MSH102" s="42"/>
      <c r="MSI102" s="42"/>
      <c r="MSJ102" s="42"/>
      <c r="MSK102" s="42"/>
      <c r="MSL102" s="42"/>
      <c r="MSM102" s="42"/>
      <c r="MSN102" s="43">
        <v>0</v>
      </c>
      <c r="MSO102" s="42" t="s">
        <v>48</v>
      </c>
      <c r="MSP102" s="42"/>
      <c r="MSQ102" s="42"/>
      <c r="MSR102" s="42"/>
      <c r="MSS102" s="42"/>
      <c r="MST102" s="42"/>
      <c r="MSU102" s="42"/>
      <c r="MSV102" s="43">
        <v>0</v>
      </c>
      <c r="MSW102" s="42" t="s">
        <v>48</v>
      </c>
      <c r="MSX102" s="42"/>
      <c r="MSY102" s="42"/>
      <c r="MSZ102" s="42"/>
      <c r="MTA102" s="42"/>
      <c r="MTB102" s="42"/>
      <c r="MTC102" s="42"/>
      <c r="MTD102" s="43">
        <v>0</v>
      </c>
      <c r="MTE102" s="42" t="s">
        <v>48</v>
      </c>
      <c r="MTF102" s="42"/>
      <c r="MTG102" s="42"/>
      <c r="MTH102" s="42"/>
      <c r="MTI102" s="42"/>
      <c r="MTJ102" s="42"/>
      <c r="MTK102" s="42"/>
      <c r="MTL102" s="43">
        <v>0</v>
      </c>
      <c r="MTM102" s="42" t="s">
        <v>48</v>
      </c>
      <c r="MTN102" s="42"/>
      <c r="MTO102" s="42"/>
      <c r="MTP102" s="42"/>
      <c r="MTQ102" s="42"/>
      <c r="MTR102" s="42"/>
      <c r="MTS102" s="42"/>
      <c r="MTT102" s="43">
        <v>0</v>
      </c>
      <c r="MTU102" s="42" t="s">
        <v>48</v>
      </c>
      <c r="MTV102" s="42"/>
      <c r="MTW102" s="42"/>
      <c r="MTX102" s="42"/>
      <c r="MTY102" s="42"/>
      <c r="MTZ102" s="42"/>
      <c r="MUA102" s="42"/>
      <c r="MUB102" s="43">
        <v>0</v>
      </c>
      <c r="MUC102" s="42" t="s">
        <v>48</v>
      </c>
      <c r="MUD102" s="42"/>
      <c r="MUE102" s="42"/>
      <c r="MUF102" s="42"/>
      <c r="MUG102" s="42"/>
      <c r="MUH102" s="42"/>
      <c r="MUI102" s="42"/>
      <c r="MUJ102" s="43">
        <v>0</v>
      </c>
      <c r="MUK102" s="42" t="s">
        <v>48</v>
      </c>
      <c r="MUL102" s="42"/>
      <c r="MUM102" s="42"/>
      <c r="MUN102" s="42"/>
      <c r="MUO102" s="42"/>
      <c r="MUP102" s="42"/>
      <c r="MUQ102" s="42"/>
      <c r="MUR102" s="43">
        <v>0</v>
      </c>
      <c r="MUS102" s="42" t="s">
        <v>48</v>
      </c>
      <c r="MUT102" s="42"/>
      <c r="MUU102" s="42"/>
      <c r="MUV102" s="42"/>
      <c r="MUW102" s="42"/>
      <c r="MUX102" s="42"/>
      <c r="MUY102" s="42"/>
      <c r="MUZ102" s="43">
        <v>0</v>
      </c>
      <c r="MVA102" s="42" t="s">
        <v>48</v>
      </c>
      <c r="MVB102" s="42"/>
      <c r="MVC102" s="42"/>
      <c r="MVD102" s="42"/>
      <c r="MVE102" s="42"/>
      <c r="MVF102" s="42"/>
      <c r="MVG102" s="42"/>
      <c r="MVH102" s="43">
        <v>0</v>
      </c>
      <c r="MVI102" s="42" t="s">
        <v>48</v>
      </c>
      <c r="MVJ102" s="42"/>
      <c r="MVK102" s="42"/>
      <c r="MVL102" s="42"/>
      <c r="MVM102" s="42"/>
      <c r="MVN102" s="42"/>
      <c r="MVO102" s="42"/>
      <c r="MVP102" s="43">
        <v>0</v>
      </c>
      <c r="MVQ102" s="42" t="s">
        <v>48</v>
      </c>
      <c r="MVR102" s="42"/>
      <c r="MVS102" s="42"/>
      <c r="MVT102" s="42"/>
      <c r="MVU102" s="42"/>
      <c r="MVV102" s="42"/>
      <c r="MVW102" s="42"/>
      <c r="MVX102" s="43">
        <v>0</v>
      </c>
      <c r="MVY102" s="42" t="s">
        <v>48</v>
      </c>
      <c r="MVZ102" s="42"/>
      <c r="MWA102" s="42"/>
      <c r="MWB102" s="42"/>
      <c r="MWC102" s="42"/>
      <c r="MWD102" s="42"/>
      <c r="MWE102" s="42"/>
      <c r="MWF102" s="43">
        <v>0</v>
      </c>
      <c r="MWG102" s="42" t="s">
        <v>48</v>
      </c>
      <c r="MWH102" s="42"/>
      <c r="MWI102" s="42"/>
      <c r="MWJ102" s="42"/>
      <c r="MWK102" s="42"/>
      <c r="MWL102" s="42"/>
      <c r="MWM102" s="42"/>
      <c r="MWN102" s="43">
        <v>0</v>
      </c>
      <c r="MWO102" s="42" t="s">
        <v>48</v>
      </c>
      <c r="MWP102" s="42"/>
      <c r="MWQ102" s="42"/>
      <c r="MWR102" s="42"/>
      <c r="MWS102" s="42"/>
      <c r="MWT102" s="42"/>
      <c r="MWU102" s="42"/>
      <c r="MWV102" s="43">
        <v>0</v>
      </c>
      <c r="MWW102" s="42" t="s">
        <v>48</v>
      </c>
      <c r="MWX102" s="42"/>
      <c r="MWY102" s="42"/>
      <c r="MWZ102" s="42"/>
      <c r="MXA102" s="42"/>
      <c r="MXB102" s="42"/>
      <c r="MXC102" s="42"/>
      <c r="MXD102" s="43">
        <v>0</v>
      </c>
      <c r="MXE102" s="42" t="s">
        <v>48</v>
      </c>
      <c r="MXF102" s="42"/>
      <c r="MXG102" s="42"/>
      <c r="MXH102" s="42"/>
      <c r="MXI102" s="42"/>
      <c r="MXJ102" s="42"/>
      <c r="MXK102" s="42"/>
      <c r="MXL102" s="43">
        <v>0</v>
      </c>
      <c r="MXM102" s="42" t="s">
        <v>48</v>
      </c>
      <c r="MXN102" s="42"/>
      <c r="MXO102" s="42"/>
      <c r="MXP102" s="42"/>
      <c r="MXQ102" s="42"/>
      <c r="MXR102" s="42"/>
      <c r="MXS102" s="42"/>
      <c r="MXT102" s="43">
        <v>0</v>
      </c>
      <c r="MXU102" s="42" t="s">
        <v>48</v>
      </c>
      <c r="MXV102" s="42"/>
      <c r="MXW102" s="42"/>
      <c r="MXX102" s="42"/>
      <c r="MXY102" s="42"/>
      <c r="MXZ102" s="42"/>
      <c r="MYA102" s="42"/>
      <c r="MYB102" s="43">
        <v>0</v>
      </c>
      <c r="MYC102" s="42" t="s">
        <v>48</v>
      </c>
      <c r="MYD102" s="42"/>
      <c r="MYE102" s="42"/>
      <c r="MYF102" s="42"/>
      <c r="MYG102" s="42"/>
      <c r="MYH102" s="42"/>
      <c r="MYI102" s="42"/>
      <c r="MYJ102" s="43">
        <v>0</v>
      </c>
      <c r="MYK102" s="42" t="s">
        <v>48</v>
      </c>
      <c r="MYL102" s="42"/>
      <c r="MYM102" s="42"/>
      <c r="MYN102" s="42"/>
      <c r="MYO102" s="42"/>
      <c r="MYP102" s="42"/>
      <c r="MYQ102" s="42"/>
      <c r="MYR102" s="43">
        <v>0</v>
      </c>
      <c r="MYS102" s="42" t="s">
        <v>48</v>
      </c>
      <c r="MYT102" s="42"/>
      <c r="MYU102" s="42"/>
      <c r="MYV102" s="42"/>
      <c r="MYW102" s="42"/>
      <c r="MYX102" s="42"/>
      <c r="MYY102" s="42"/>
      <c r="MYZ102" s="43">
        <v>0</v>
      </c>
      <c r="MZA102" s="42" t="s">
        <v>48</v>
      </c>
      <c r="MZB102" s="42"/>
      <c r="MZC102" s="42"/>
      <c r="MZD102" s="42"/>
      <c r="MZE102" s="42"/>
      <c r="MZF102" s="42"/>
      <c r="MZG102" s="42"/>
      <c r="MZH102" s="43">
        <v>0</v>
      </c>
      <c r="MZI102" s="42" t="s">
        <v>48</v>
      </c>
      <c r="MZJ102" s="42"/>
      <c r="MZK102" s="42"/>
      <c r="MZL102" s="42"/>
      <c r="MZM102" s="42"/>
      <c r="MZN102" s="42"/>
      <c r="MZO102" s="42"/>
      <c r="MZP102" s="43">
        <v>0</v>
      </c>
      <c r="MZQ102" s="42" t="s">
        <v>48</v>
      </c>
      <c r="MZR102" s="42"/>
      <c r="MZS102" s="42"/>
      <c r="MZT102" s="42"/>
      <c r="MZU102" s="42"/>
      <c r="MZV102" s="42"/>
      <c r="MZW102" s="42"/>
      <c r="MZX102" s="43">
        <v>0</v>
      </c>
      <c r="MZY102" s="42" t="s">
        <v>48</v>
      </c>
      <c r="MZZ102" s="42"/>
      <c r="NAA102" s="42"/>
      <c r="NAB102" s="42"/>
      <c r="NAC102" s="42"/>
      <c r="NAD102" s="42"/>
      <c r="NAE102" s="42"/>
      <c r="NAF102" s="43">
        <v>0</v>
      </c>
      <c r="NAG102" s="42" t="s">
        <v>48</v>
      </c>
      <c r="NAH102" s="42"/>
      <c r="NAI102" s="42"/>
      <c r="NAJ102" s="42"/>
      <c r="NAK102" s="42"/>
      <c r="NAL102" s="42"/>
      <c r="NAM102" s="42"/>
      <c r="NAN102" s="43">
        <v>0</v>
      </c>
      <c r="NAO102" s="42" t="s">
        <v>48</v>
      </c>
      <c r="NAP102" s="42"/>
      <c r="NAQ102" s="42"/>
      <c r="NAR102" s="42"/>
      <c r="NAS102" s="42"/>
      <c r="NAT102" s="42"/>
      <c r="NAU102" s="42"/>
      <c r="NAV102" s="43">
        <v>0</v>
      </c>
      <c r="NAW102" s="42" t="s">
        <v>48</v>
      </c>
      <c r="NAX102" s="42"/>
      <c r="NAY102" s="42"/>
      <c r="NAZ102" s="42"/>
      <c r="NBA102" s="42"/>
      <c r="NBB102" s="42"/>
      <c r="NBC102" s="42"/>
      <c r="NBD102" s="43">
        <v>0</v>
      </c>
      <c r="NBE102" s="42" t="s">
        <v>48</v>
      </c>
      <c r="NBF102" s="42"/>
      <c r="NBG102" s="42"/>
      <c r="NBH102" s="42"/>
      <c r="NBI102" s="42"/>
      <c r="NBJ102" s="42"/>
      <c r="NBK102" s="42"/>
      <c r="NBL102" s="43">
        <v>0</v>
      </c>
      <c r="NBM102" s="42" t="s">
        <v>48</v>
      </c>
      <c r="NBN102" s="42"/>
      <c r="NBO102" s="42"/>
      <c r="NBP102" s="42"/>
      <c r="NBQ102" s="42"/>
      <c r="NBR102" s="42"/>
      <c r="NBS102" s="42"/>
      <c r="NBT102" s="43">
        <v>0</v>
      </c>
      <c r="NBU102" s="42" t="s">
        <v>48</v>
      </c>
      <c r="NBV102" s="42"/>
      <c r="NBW102" s="42"/>
      <c r="NBX102" s="42"/>
      <c r="NBY102" s="42"/>
      <c r="NBZ102" s="42"/>
      <c r="NCA102" s="42"/>
      <c r="NCB102" s="43">
        <v>0</v>
      </c>
      <c r="NCC102" s="42" t="s">
        <v>48</v>
      </c>
      <c r="NCD102" s="42"/>
      <c r="NCE102" s="42"/>
      <c r="NCF102" s="42"/>
      <c r="NCG102" s="42"/>
      <c r="NCH102" s="42"/>
      <c r="NCI102" s="42"/>
      <c r="NCJ102" s="43">
        <v>0</v>
      </c>
      <c r="NCK102" s="42" t="s">
        <v>48</v>
      </c>
      <c r="NCL102" s="42"/>
      <c r="NCM102" s="42"/>
      <c r="NCN102" s="42"/>
      <c r="NCO102" s="42"/>
      <c r="NCP102" s="42"/>
      <c r="NCQ102" s="42"/>
      <c r="NCR102" s="43">
        <v>0</v>
      </c>
      <c r="NCS102" s="42" t="s">
        <v>48</v>
      </c>
      <c r="NCT102" s="42"/>
      <c r="NCU102" s="42"/>
      <c r="NCV102" s="42"/>
      <c r="NCW102" s="42"/>
      <c r="NCX102" s="42"/>
      <c r="NCY102" s="42"/>
      <c r="NCZ102" s="43">
        <v>0</v>
      </c>
      <c r="NDA102" s="42" t="s">
        <v>48</v>
      </c>
      <c r="NDB102" s="42"/>
      <c r="NDC102" s="42"/>
      <c r="NDD102" s="42"/>
      <c r="NDE102" s="42"/>
      <c r="NDF102" s="42"/>
      <c r="NDG102" s="42"/>
      <c r="NDH102" s="43">
        <v>0</v>
      </c>
      <c r="NDI102" s="42" t="s">
        <v>48</v>
      </c>
      <c r="NDJ102" s="42"/>
      <c r="NDK102" s="42"/>
      <c r="NDL102" s="42"/>
      <c r="NDM102" s="42"/>
      <c r="NDN102" s="42"/>
      <c r="NDO102" s="42"/>
      <c r="NDP102" s="43">
        <v>0</v>
      </c>
      <c r="NDQ102" s="42" t="s">
        <v>48</v>
      </c>
      <c r="NDR102" s="42"/>
      <c r="NDS102" s="42"/>
      <c r="NDT102" s="42"/>
      <c r="NDU102" s="42"/>
      <c r="NDV102" s="42"/>
      <c r="NDW102" s="42"/>
      <c r="NDX102" s="43">
        <v>0</v>
      </c>
      <c r="NDY102" s="42" t="s">
        <v>48</v>
      </c>
      <c r="NDZ102" s="42"/>
      <c r="NEA102" s="42"/>
      <c r="NEB102" s="42"/>
      <c r="NEC102" s="42"/>
      <c r="NED102" s="42"/>
      <c r="NEE102" s="42"/>
      <c r="NEF102" s="43">
        <v>0</v>
      </c>
      <c r="NEG102" s="42" t="s">
        <v>48</v>
      </c>
      <c r="NEH102" s="42"/>
      <c r="NEI102" s="42"/>
      <c r="NEJ102" s="42"/>
      <c r="NEK102" s="42"/>
      <c r="NEL102" s="42"/>
      <c r="NEM102" s="42"/>
      <c r="NEN102" s="43">
        <v>0</v>
      </c>
      <c r="NEO102" s="42" t="s">
        <v>48</v>
      </c>
      <c r="NEP102" s="42"/>
      <c r="NEQ102" s="42"/>
      <c r="NER102" s="42"/>
      <c r="NES102" s="42"/>
      <c r="NET102" s="42"/>
      <c r="NEU102" s="42"/>
      <c r="NEV102" s="43">
        <v>0</v>
      </c>
      <c r="NEW102" s="42" t="s">
        <v>48</v>
      </c>
      <c r="NEX102" s="42"/>
      <c r="NEY102" s="42"/>
      <c r="NEZ102" s="42"/>
      <c r="NFA102" s="42"/>
      <c r="NFB102" s="42"/>
      <c r="NFC102" s="42"/>
      <c r="NFD102" s="43">
        <v>0</v>
      </c>
      <c r="NFE102" s="42" t="s">
        <v>48</v>
      </c>
      <c r="NFF102" s="42"/>
      <c r="NFG102" s="42"/>
      <c r="NFH102" s="42"/>
      <c r="NFI102" s="42"/>
      <c r="NFJ102" s="42"/>
      <c r="NFK102" s="42"/>
      <c r="NFL102" s="43">
        <v>0</v>
      </c>
      <c r="NFM102" s="42" t="s">
        <v>48</v>
      </c>
      <c r="NFN102" s="42"/>
      <c r="NFO102" s="42"/>
      <c r="NFP102" s="42"/>
      <c r="NFQ102" s="42"/>
      <c r="NFR102" s="42"/>
      <c r="NFS102" s="42"/>
      <c r="NFT102" s="43">
        <v>0</v>
      </c>
      <c r="NFU102" s="42" t="s">
        <v>48</v>
      </c>
      <c r="NFV102" s="42"/>
      <c r="NFW102" s="42"/>
      <c r="NFX102" s="42"/>
      <c r="NFY102" s="42"/>
      <c r="NFZ102" s="42"/>
      <c r="NGA102" s="42"/>
      <c r="NGB102" s="43">
        <v>0</v>
      </c>
      <c r="NGC102" s="42" t="s">
        <v>48</v>
      </c>
      <c r="NGD102" s="42"/>
      <c r="NGE102" s="42"/>
      <c r="NGF102" s="42"/>
      <c r="NGG102" s="42"/>
      <c r="NGH102" s="42"/>
      <c r="NGI102" s="42"/>
      <c r="NGJ102" s="43">
        <v>0</v>
      </c>
      <c r="NGK102" s="42" t="s">
        <v>48</v>
      </c>
      <c r="NGL102" s="42"/>
      <c r="NGM102" s="42"/>
      <c r="NGN102" s="42"/>
      <c r="NGO102" s="42"/>
      <c r="NGP102" s="42"/>
      <c r="NGQ102" s="42"/>
      <c r="NGR102" s="43">
        <v>0</v>
      </c>
      <c r="NGS102" s="42" t="s">
        <v>48</v>
      </c>
      <c r="NGT102" s="42"/>
      <c r="NGU102" s="42"/>
      <c r="NGV102" s="42"/>
      <c r="NGW102" s="42"/>
      <c r="NGX102" s="42"/>
      <c r="NGY102" s="42"/>
      <c r="NGZ102" s="43">
        <v>0</v>
      </c>
      <c r="NHA102" s="42" t="s">
        <v>48</v>
      </c>
      <c r="NHB102" s="42"/>
      <c r="NHC102" s="42"/>
      <c r="NHD102" s="42"/>
      <c r="NHE102" s="42"/>
      <c r="NHF102" s="42"/>
      <c r="NHG102" s="42"/>
      <c r="NHH102" s="43">
        <v>0</v>
      </c>
      <c r="NHI102" s="42" t="s">
        <v>48</v>
      </c>
      <c r="NHJ102" s="42"/>
      <c r="NHK102" s="42"/>
      <c r="NHL102" s="42"/>
      <c r="NHM102" s="42"/>
      <c r="NHN102" s="42"/>
      <c r="NHO102" s="42"/>
      <c r="NHP102" s="43">
        <v>0</v>
      </c>
      <c r="NHQ102" s="42" t="s">
        <v>48</v>
      </c>
      <c r="NHR102" s="42"/>
      <c r="NHS102" s="42"/>
      <c r="NHT102" s="42"/>
      <c r="NHU102" s="42"/>
      <c r="NHV102" s="42"/>
      <c r="NHW102" s="42"/>
      <c r="NHX102" s="43">
        <v>0</v>
      </c>
      <c r="NHY102" s="42" t="s">
        <v>48</v>
      </c>
      <c r="NHZ102" s="42"/>
      <c r="NIA102" s="42"/>
      <c r="NIB102" s="42"/>
      <c r="NIC102" s="42"/>
      <c r="NID102" s="42"/>
      <c r="NIE102" s="42"/>
      <c r="NIF102" s="43">
        <v>0</v>
      </c>
      <c r="NIG102" s="42" t="s">
        <v>48</v>
      </c>
      <c r="NIH102" s="42"/>
      <c r="NII102" s="42"/>
      <c r="NIJ102" s="42"/>
      <c r="NIK102" s="42"/>
      <c r="NIL102" s="42"/>
      <c r="NIM102" s="42"/>
      <c r="NIN102" s="43">
        <v>0</v>
      </c>
      <c r="NIO102" s="42" t="s">
        <v>48</v>
      </c>
      <c r="NIP102" s="42"/>
      <c r="NIQ102" s="42"/>
      <c r="NIR102" s="42"/>
      <c r="NIS102" s="42"/>
      <c r="NIT102" s="42"/>
      <c r="NIU102" s="42"/>
      <c r="NIV102" s="43">
        <v>0</v>
      </c>
      <c r="NIW102" s="42" t="s">
        <v>48</v>
      </c>
      <c r="NIX102" s="42"/>
      <c r="NIY102" s="42"/>
      <c r="NIZ102" s="42"/>
      <c r="NJA102" s="42"/>
      <c r="NJB102" s="42"/>
      <c r="NJC102" s="42"/>
      <c r="NJD102" s="43">
        <v>0</v>
      </c>
      <c r="NJE102" s="42" t="s">
        <v>48</v>
      </c>
      <c r="NJF102" s="42"/>
      <c r="NJG102" s="42"/>
      <c r="NJH102" s="42"/>
      <c r="NJI102" s="42"/>
      <c r="NJJ102" s="42"/>
      <c r="NJK102" s="42"/>
      <c r="NJL102" s="43">
        <v>0</v>
      </c>
      <c r="NJM102" s="42" t="s">
        <v>48</v>
      </c>
      <c r="NJN102" s="42"/>
      <c r="NJO102" s="42"/>
      <c r="NJP102" s="42"/>
      <c r="NJQ102" s="42"/>
      <c r="NJR102" s="42"/>
      <c r="NJS102" s="42"/>
      <c r="NJT102" s="43">
        <v>0</v>
      </c>
      <c r="NJU102" s="42" t="s">
        <v>48</v>
      </c>
      <c r="NJV102" s="42"/>
      <c r="NJW102" s="42"/>
      <c r="NJX102" s="42"/>
      <c r="NJY102" s="42"/>
      <c r="NJZ102" s="42"/>
      <c r="NKA102" s="42"/>
      <c r="NKB102" s="43">
        <v>0</v>
      </c>
      <c r="NKC102" s="42" t="s">
        <v>48</v>
      </c>
      <c r="NKD102" s="42"/>
      <c r="NKE102" s="42"/>
      <c r="NKF102" s="42"/>
      <c r="NKG102" s="42"/>
      <c r="NKH102" s="42"/>
      <c r="NKI102" s="42"/>
      <c r="NKJ102" s="43">
        <v>0</v>
      </c>
      <c r="NKK102" s="42" t="s">
        <v>48</v>
      </c>
      <c r="NKL102" s="42"/>
      <c r="NKM102" s="42"/>
      <c r="NKN102" s="42"/>
      <c r="NKO102" s="42"/>
      <c r="NKP102" s="42"/>
      <c r="NKQ102" s="42"/>
      <c r="NKR102" s="43">
        <v>0</v>
      </c>
      <c r="NKS102" s="42" t="s">
        <v>48</v>
      </c>
      <c r="NKT102" s="42"/>
      <c r="NKU102" s="42"/>
      <c r="NKV102" s="42"/>
      <c r="NKW102" s="42"/>
      <c r="NKX102" s="42"/>
      <c r="NKY102" s="42"/>
      <c r="NKZ102" s="43">
        <v>0</v>
      </c>
      <c r="NLA102" s="42" t="s">
        <v>48</v>
      </c>
      <c r="NLB102" s="42"/>
      <c r="NLC102" s="42"/>
      <c r="NLD102" s="42"/>
      <c r="NLE102" s="42"/>
      <c r="NLF102" s="42"/>
      <c r="NLG102" s="42"/>
      <c r="NLH102" s="43">
        <v>0</v>
      </c>
      <c r="NLI102" s="42" t="s">
        <v>48</v>
      </c>
      <c r="NLJ102" s="42"/>
      <c r="NLK102" s="42"/>
      <c r="NLL102" s="42"/>
      <c r="NLM102" s="42"/>
      <c r="NLN102" s="42"/>
      <c r="NLO102" s="42"/>
      <c r="NLP102" s="43">
        <v>0</v>
      </c>
      <c r="NLQ102" s="42" t="s">
        <v>48</v>
      </c>
      <c r="NLR102" s="42"/>
      <c r="NLS102" s="42"/>
      <c r="NLT102" s="42"/>
      <c r="NLU102" s="42"/>
      <c r="NLV102" s="42"/>
      <c r="NLW102" s="42"/>
      <c r="NLX102" s="43">
        <v>0</v>
      </c>
      <c r="NLY102" s="42" t="s">
        <v>48</v>
      </c>
      <c r="NLZ102" s="42"/>
      <c r="NMA102" s="42"/>
      <c r="NMB102" s="42"/>
      <c r="NMC102" s="42"/>
      <c r="NMD102" s="42"/>
      <c r="NME102" s="42"/>
      <c r="NMF102" s="43">
        <v>0</v>
      </c>
      <c r="NMG102" s="42" t="s">
        <v>48</v>
      </c>
      <c r="NMH102" s="42"/>
      <c r="NMI102" s="42"/>
      <c r="NMJ102" s="42"/>
      <c r="NMK102" s="42"/>
      <c r="NML102" s="42"/>
      <c r="NMM102" s="42"/>
      <c r="NMN102" s="43">
        <v>0</v>
      </c>
      <c r="NMO102" s="42" t="s">
        <v>48</v>
      </c>
      <c r="NMP102" s="42"/>
      <c r="NMQ102" s="42"/>
      <c r="NMR102" s="42"/>
      <c r="NMS102" s="42"/>
      <c r="NMT102" s="42"/>
      <c r="NMU102" s="42"/>
      <c r="NMV102" s="43">
        <v>0</v>
      </c>
      <c r="NMW102" s="42" t="s">
        <v>48</v>
      </c>
      <c r="NMX102" s="42"/>
      <c r="NMY102" s="42"/>
      <c r="NMZ102" s="42"/>
      <c r="NNA102" s="42"/>
      <c r="NNB102" s="42"/>
      <c r="NNC102" s="42"/>
      <c r="NND102" s="43">
        <v>0</v>
      </c>
      <c r="NNE102" s="42" t="s">
        <v>48</v>
      </c>
      <c r="NNF102" s="42"/>
      <c r="NNG102" s="42"/>
      <c r="NNH102" s="42"/>
      <c r="NNI102" s="42"/>
      <c r="NNJ102" s="42"/>
      <c r="NNK102" s="42"/>
      <c r="NNL102" s="43">
        <v>0</v>
      </c>
      <c r="NNM102" s="42" t="s">
        <v>48</v>
      </c>
      <c r="NNN102" s="42"/>
      <c r="NNO102" s="42"/>
      <c r="NNP102" s="42"/>
      <c r="NNQ102" s="42"/>
      <c r="NNR102" s="42"/>
      <c r="NNS102" s="42"/>
      <c r="NNT102" s="43">
        <v>0</v>
      </c>
      <c r="NNU102" s="42" t="s">
        <v>48</v>
      </c>
      <c r="NNV102" s="42"/>
      <c r="NNW102" s="42"/>
      <c r="NNX102" s="42"/>
      <c r="NNY102" s="42"/>
      <c r="NNZ102" s="42"/>
      <c r="NOA102" s="42"/>
      <c r="NOB102" s="43">
        <v>0</v>
      </c>
      <c r="NOC102" s="42" t="s">
        <v>48</v>
      </c>
      <c r="NOD102" s="42"/>
      <c r="NOE102" s="42"/>
      <c r="NOF102" s="42"/>
      <c r="NOG102" s="42"/>
      <c r="NOH102" s="42"/>
      <c r="NOI102" s="42"/>
      <c r="NOJ102" s="43">
        <v>0</v>
      </c>
      <c r="NOK102" s="42" t="s">
        <v>48</v>
      </c>
      <c r="NOL102" s="42"/>
      <c r="NOM102" s="42"/>
      <c r="NON102" s="42"/>
      <c r="NOO102" s="42"/>
      <c r="NOP102" s="42"/>
      <c r="NOQ102" s="42"/>
      <c r="NOR102" s="43">
        <v>0</v>
      </c>
      <c r="NOS102" s="42" t="s">
        <v>48</v>
      </c>
      <c r="NOT102" s="42"/>
      <c r="NOU102" s="42"/>
      <c r="NOV102" s="42"/>
      <c r="NOW102" s="42"/>
      <c r="NOX102" s="42"/>
      <c r="NOY102" s="42"/>
      <c r="NOZ102" s="43">
        <v>0</v>
      </c>
      <c r="NPA102" s="42" t="s">
        <v>48</v>
      </c>
      <c r="NPB102" s="42"/>
      <c r="NPC102" s="42"/>
      <c r="NPD102" s="42"/>
      <c r="NPE102" s="42"/>
      <c r="NPF102" s="42"/>
      <c r="NPG102" s="42"/>
      <c r="NPH102" s="43">
        <v>0</v>
      </c>
      <c r="NPI102" s="42" t="s">
        <v>48</v>
      </c>
      <c r="NPJ102" s="42"/>
      <c r="NPK102" s="42"/>
      <c r="NPL102" s="42"/>
      <c r="NPM102" s="42"/>
      <c r="NPN102" s="42"/>
      <c r="NPO102" s="42"/>
      <c r="NPP102" s="43">
        <v>0</v>
      </c>
      <c r="NPQ102" s="42" t="s">
        <v>48</v>
      </c>
      <c r="NPR102" s="42"/>
      <c r="NPS102" s="42"/>
      <c r="NPT102" s="42"/>
      <c r="NPU102" s="42"/>
      <c r="NPV102" s="42"/>
      <c r="NPW102" s="42"/>
      <c r="NPX102" s="43">
        <v>0</v>
      </c>
      <c r="NPY102" s="42" t="s">
        <v>48</v>
      </c>
      <c r="NPZ102" s="42"/>
      <c r="NQA102" s="42"/>
      <c r="NQB102" s="42"/>
      <c r="NQC102" s="42"/>
      <c r="NQD102" s="42"/>
      <c r="NQE102" s="42"/>
      <c r="NQF102" s="43">
        <v>0</v>
      </c>
      <c r="NQG102" s="42" t="s">
        <v>48</v>
      </c>
      <c r="NQH102" s="42"/>
      <c r="NQI102" s="42"/>
      <c r="NQJ102" s="42"/>
      <c r="NQK102" s="42"/>
      <c r="NQL102" s="42"/>
      <c r="NQM102" s="42"/>
      <c r="NQN102" s="43">
        <v>0</v>
      </c>
      <c r="NQO102" s="42" t="s">
        <v>48</v>
      </c>
      <c r="NQP102" s="42"/>
      <c r="NQQ102" s="42"/>
      <c r="NQR102" s="42"/>
      <c r="NQS102" s="42"/>
      <c r="NQT102" s="42"/>
      <c r="NQU102" s="42"/>
      <c r="NQV102" s="43">
        <v>0</v>
      </c>
      <c r="NQW102" s="42" t="s">
        <v>48</v>
      </c>
      <c r="NQX102" s="42"/>
      <c r="NQY102" s="42"/>
      <c r="NQZ102" s="42"/>
      <c r="NRA102" s="42"/>
      <c r="NRB102" s="42"/>
      <c r="NRC102" s="42"/>
      <c r="NRD102" s="43">
        <v>0</v>
      </c>
      <c r="NRE102" s="42" t="s">
        <v>48</v>
      </c>
      <c r="NRF102" s="42"/>
      <c r="NRG102" s="42"/>
      <c r="NRH102" s="42"/>
      <c r="NRI102" s="42"/>
      <c r="NRJ102" s="42"/>
      <c r="NRK102" s="42"/>
      <c r="NRL102" s="43">
        <v>0</v>
      </c>
      <c r="NRM102" s="42" t="s">
        <v>48</v>
      </c>
      <c r="NRN102" s="42"/>
      <c r="NRO102" s="42"/>
      <c r="NRP102" s="42"/>
      <c r="NRQ102" s="42"/>
      <c r="NRR102" s="42"/>
      <c r="NRS102" s="42"/>
      <c r="NRT102" s="43">
        <v>0</v>
      </c>
      <c r="NRU102" s="42" t="s">
        <v>48</v>
      </c>
      <c r="NRV102" s="42"/>
      <c r="NRW102" s="42"/>
      <c r="NRX102" s="42"/>
      <c r="NRY102" s="42"/>
      <c r="NRZ102" s="42"/>
      <c r="NSA102" s="42"/>
      <c r="NSB102" s="43">
        <v>0</v>
      </c>
      <c r="NSC102" s="42" t="s">
        <v>48</v>
      </c>
      <c r="NSD102" s="42"/>
      <c r="NSE102" s="42"/>
      <c r="NSF102" s="42"/>
      <c r="NSG102" s="42"/>
      <c r="NSH102" s="42"/>
      <c r="NSI102" s="42"/>
      <c r="NSJ102" s="43">
        <v>0</v>
      </c>
      <c r="NSK102" s="42" t="s">
        <v>48</v>
      </c>
      <c r="NSL102" s="42"/>
      <c r="NSM102" s="42"/>
      <c r="NSN102" s="42"/>
      <c r="NSO102" s="42"/>
      <c r="NSP102" s="42"/>
      <c r="NSQ102" s="42"/>
      <c r="NSR102" s="43">
        <v>0</v>
      </c>
      <c r="NSS102" s="42" t="s">
        <v>48</v>
      </c>
      <c r="NST102" s="42"/>
      <c r="NSU102" s="42"/>
      <c r="NSV102" s="42"/>
      <c r="NSW102" s="42"/>
      <c r="NSX102" s="42"/>
      <c r="NSY102" s="42"/>
      <c r="NSZ102" s="43">
        <v>0</v>
      </c>
      <c r="NTA102" s="42" t="s">
        <v>48</v>
      </c>
      <c r="NTB102" s="42"/>
      <c r="NTC102" s="42"/>
      <c r="NTD102" s="42"/>
      <c r="NTE102" s="42"/>
      <c r="NTF102" s="42"/>
      <c r="NTG102" s="42"/>
      <c r="NTH102" s="43">
        <v>0</v>
      </c>
      <c r="NTI102" s="42" t="s">
        <v>48</v>
      </c>
      <c r="NTJ102" s="42"/>
      <c r="NTK102" s="42"/>
      <c r="NTL102" s="42"/>
      <c r="NTM102" s="42"/>
      <c r="NTN102" s="42"/>
      <c r="NTO102" s="42"/>
      <c r="NTP102" s="43">
        <v>0</v>
      </c>
      <c r="NTQ102" s="42" t="s">
        <v>48</v>
      </c>
      <c r="NTR102" s="42"/>
      <c r="NTS102" s="42"/>
      <c r="NTT102" s="42"/>
      <c r="NTU102" s="42"/>
      <c r="NTV102" s="42"/>
      <c r="NTW102" s="42"/>
      <c r="NTX102" s="43">
        <v>0</v>
      </c>
      <c r="NTY102" s="42" t="s">
        <v>48</v>
      </c>
      <c r="NTZ102" s="42"/>
      <c r="NUA102" s="42"/>
      <c r="NUB102" s="42"/>
      <c r="NUC102" s="42"/>
      <c r="NUD102" s="42"/>
      <c r="NUE102" s="42"/>
      <c r="NUF102" s="43">
        <v>0</v>
      </c>
      <c r="NUG102" s="42" t="s">
        <v>48</v>
      </c>
      <c r="NUH102" s="42"/>
      <c r="NUI102" s="42"/>
      <c r="NUJ102" s="42"/>
      <c r="NUK102" s="42"/>
      <c r="NUL102" s="42"/>
      <c r="NUM102" s="42"/>
      <c r="NUN102" s="43">
        <v>0</v>
      </c>
      <c r="NUO102" s="42" t="s">
        <v>48</v>
      </c>
      <c r="NUP102" s="42"/>
      <c r="NUQ102" s="42"/>
      <c r="NUR102" s="42"/>
      <c r="NUS102" s="42"/>
      <c r="NUT102" s="42"/>
      <c r="NUU102" s="42"/>
      <c r="NUV102" s="43">
        <v>0</v>
      </c>
      <c r="NUW102" s="42" t="s">
        <v>48</v>
      </c>
      <c r="NUX102" s="42"/>
      <c r="NUY102" s="42"/>
      <c r="NUZ102" s="42"/>
      <c r="NVA102" s="42"/>
      <c r="NVB102" s="42"/>
      <c r="NVC102" s="42"/>
      <c r="NVD102" s="43">
        <v>0</v>
      </c>
      <c r="NVE102" s="42" t="s">
        <v>48</v>
      </c>
      <c r="NVF102" s="42"/>
      <c r="NVG102" s="42"/>
      <c r="NVH102" s="42"/>
      <c r="NVI102" s="42"/>
      <c r="NVJ102" s="42"/>
      <c r="NVK102" s="42"/>
      <c r="NVL102" s="43">
        <v>0</v>
      </c>
      <c r="NVM102" s="42" t="s">
        <v>48</v>
      </c>
      <c r="NVN102" s="42"/>
      <c r="NVO102" s="42"/>
      <c r="NVP102" s="42"/>
      <c r="NVQ102" s="42"/>
      <c r="NVR102" s="42"/>
      <c r="NVS102" s="42"/>
      <c r="NVT102" s="43">
        <v>0</v>
      </c>
      <c r="NVU102" s="42" t="s">
        <v>48</v>
      </c>
      <c r="NVV102" s="42"/>
      <c r="NVW102" s="42"/>
      <c r="NVX102" s="42"/>
      <c r="NVY102" s="42"/>
      <c r="NVZ102" s="42"/>
      <c r="NWA102" s="42"/>
      <c r="NWB102" s="43">
        <v>0</v>
      </c>
      <c r="NWC102" s="42" t="s">
        <v>48</v>
      </c>
      <c r="NWD102" s="42"/>
      <c r="NWE102" s="42"/>
      <c r="NWF102" s="42"/>
      <c r="NWG102" s="42"/>
      <c r="NWH102" s="42"/>
      <c r="NWI102" s="42"/>
      <c r="NWJ102" s="43">
        <v>0</v>
      </c>
      <c r="NWK102" s="42" t="s">
        <v>48</v>
      </c>
      <c r="NWL102" s="42"/>
      <c r="NWM102" s="42"/>
      <c r="NWN102" s="42"/>
      <c r="NWO102" s="42"/>
      <c r="NWP102" s="42"/>
      <c r="NWQ102" s="42"/>
      <c r="NWR102" s="43">
        <v>0</v>
      </c>
      <c r="NWS102" s="42" t="s">
        <v>48</v>
      </c>
      <c r="NWT102" s="42"/>
      <c r="NWU102" s="42"/>
      <c r="NWV102" s="42"/>
      <c r="NWW102" s="42"/>
      <c r="NWX102" s="42"/>
      <c r="NWY102" s="42"/>
      <c r="NWZ102" s="43">
        <v>0</v>
      </c>
      <c r="NXA102" s="42" t="s">
        <v>48</v>
      </c>
      <c r="NXB102" s="42"/>
      <c r="NXC102" s="42"/>
      <c r="NXD102" s="42"/>
      <c r="NXE102" s="42"/>
      <c r="NXF102" s="42"/>
      <c r="NXG102" s="42"/>
      <c r="NXH102" s="43">
        <v>0</v>
      </c>
      <c r="NXI102" s="42" t="s">
        <v>48</v>
      </c>
      <c r="NXJ102" s="42"/>
      <c r="NXK102" s="42"/>
      <c r="NXL102" s="42"/>
      <c r="NXM102" s="42"/>
      <c r="NXN102" s="42"/>
      <c r="NXO102" s="42"/>
      <c r="NXP102" s="43">
        <v>0</v>
      </c>
      <c r="NXQ102" s="42" t="s">
        <v>48</v>
      </c>
      <c r="NXR102" s="42"/>
      <c r="NXS102" s="42"/>
      <c r="NXT102" s="42"/>
      <c r="NXU102" s="42"/>
      <c r="NXV102" s="42"/>
      <c r="NXW102" s="42"/>
      <c r="NXX102" s="43">
        <v>0</v>
      </c>
      <c r="NXY102" s="42" t="s">
        <v>48</v>
      </c>
      <c r="NXZ102" s="42"/>
      <c r="NYA102" s="42"/>
      <c r="NYB102" s="42"/>
      <c r="NYC102" s="42"/>
      <c r="NYD102" s="42"/>
      <c r="NYE102" s="42"/>
      <c r="NYF102" s="43">
        <v>0</v>
      </c>
      <c r="NYG102" s="42" t="s">
        <v>48</v>
      </c>
      <c r="NYH102" s="42"/>
      <c r="NYI102" s="42"/>
      <c r="NYJ102" s="42"/>
      <c r="NYK102" s="42"/>
      <c r="NYL102" s="42"/>
      <c r="NYM102" s="42"/>
      <c r="NYN102" s="43">
        <v>0</v>
      </c>
      <c r="NYO102" s="42" t="s">
        <v>48</v>
      </c>
      <c r="NYP102" s="42"/>
      <c r="NYQ102" s="42"/>
      <c r="NYR102" s="42"/>
      <c r="NYS102" s="42"/>
      <c r="NYT102" s="42"/>
      <c r="NYU102" s="42"/>
      <c r="NYV102" s="43">
        <v>0</v>
      </c>
      <c r="NYW102" s="42" t="s">
        <v>48</v>
      </c>
      <c r="NYX102" s="42"/>
      <c r="NYY102" s="42"/>
      <c r="NYZ102" s="42"/>
      <c r="NZA102" s="42"/>
      <c r="NZB102" s="42"/>
      <c r="NZC102" s="42"/>
      <c r="NZD102" s="43">
        <v>0</v>
      </c>
      <c r="NZE102" s="42" t="s">
        <v>48</v>
      </c>
      <c r="NZF102" s="42"/>
      <c r="NZG102" s="42"/>
      <c r="NZH102" s="42"/>
      <c r="NZI102" s="42"/>
      <c r="NZJ102" s="42"/>
      <c r="NZK102" s="42"/>
      <c r="NZL102" s="43">
        <v>0</v>
      </c>
      <c r="NZM102" s="42" t="s">
        <v>48</v>
      </c>
      <c r="NZN102" s="42"/>
      <c r="NZO102" s="42"/>
      <c r="NZP102" s="42"/>
      <c r="NZQ102" s="42"/>
      <c r="NZR102" s="42"/>
      <c r="NZS102" s="42"/>
      <c r="NZT102" s="43">
        <v>0</v>
      </c>
      <c r="NZU102" s="42" t="s">
        <v>48</v>
      </c>
      <c r="NZV102" s="42"/>
      <c r="NZW102" s="42"/>
      <c r="NZX102" s="42"/>
      <c r="NZY102" s="42"/>
      <c r="NZZ102" s="42"/>
      <c r="OAA102" s="42"/>
      <c r="OAB102" s="43">
        <v>0</v>
      </c>
      <c r="OAC102" s="42" t="s">
        <v>48</v>
      </c>
      <c r="OAD102" s="42"/>
      <c r="OAE102" s="42"/>
      <c r="OAF102" s="42"/>
      <c r="OAG102" s="42"/>
      <c r="OAH102" s="42"/>
      <c r="OAI102" s="42"/>
      <c r="OAJ102" s="43">
        <v>0</v>
      </c>
      <c r="OAK102" s="42" t="s">
        <v>48</v>
      </c>
      <c r="OAL102" s="42"/>
      <c r="OAM102" s="42"/>
      <c r="OAN102" s="42"/>
      <c r="OAO102" s="42"/>
      <c r="OAP102" s="42"/>
      <c r="OAQ102" s="42"/>
      <c r="OAR102" s="43">
        <v>0</v>
      </c>
      <c r="OAS102" s="42" t="s">
        <v>48</v>
      </c>
      <c r="OAT102" s="42"/>
      <c r="OAU102" s="42"/>
      <c r="OAV102" s="42"/>
      <c r="OAW102" s="42"/>
      <c r="OAX102" s="42"/>
      <c r="OAY102" s="42"/>
      <c r="OAZ102" s="43">
        <v>0</v>
      </c>
      <c r="OBA102" s="42" t="s">
        <v>48</v>
      </c>
      <c r="OBB102" s="42"/>
      <c r="OBC102" s="42"/>
      <c r="OBD102" s="42"/>
      <c r="OBE102" s="42"/>
      <c r="OBF102" s="42"/>
      <c r="OBG102" s="42"/>
      <c r="OBH102" s="43">
        <v>0</v>
      </c>
      <c r="OBI102" s="42" t="s">
        <v>48</v>
      </c>
      <c r="OBJ102" s="42"/>
      <c r="OBK102" s="42"/>
      <c r="OBL102" s="42"/>
      <c r="OBM102" s="42"/>
      <c r="OBN102" s="42"/>
      <c r="OBO102" s="42"/>
      <c r="OBP102" s="43">
        <v>0</v>
      </c>
      <c r="OBQ102" s="42" t="s">
        <v>48</v>
      </c>
      <c r="OBR102" s="42"/>
      <c r="OBS102" s="42"/>
      <c r="OBT102" s="42"/>
      <c r="OBU102" s="42"/>
      <c r="OBV102" s="42"/>
      <c r="OBW102" s="42"/>
      <c r="OBX102" s="43">
        <v>0</v>
      </c>
      <c r="OBY102" s="42" t="s">
        <v>48</v>
      </c>
      <c r="OBZ102" s="42"/>
      <c r="OCA102" s="42"/>
      <c r="OCB102" s="42"/>
      <c r="OCC102" s="42"/>
      <c r="OCD102" s="42"/>
      <c r="OCE102" s="42"/>
      <c r="OCF102" s="43">
        <v>0</v>
      </c>
      <c r="OCG102" s="42" t="s">
        <v>48</v>
      </c>
      <c r="OCH102" s="42"/>
      <c r="OCI102" s="42"/>
      <c r="OCJ102" s="42"/>
      <c r="OCK102" s="42"/>
      <c r="OCL102" s="42"/>
      <c r="OCM102" s="42"/>
      <c r="OCN102" s="43">
        <v>0</v>
      </c>
      <c r="OCO102" s="42" t="s">
        <v>48</v>
      </c>
      <c r="OCP102" s="42"/>
      <c r="OCQ102" s="42"/>
      <c r="OCR102" s="42"/>
      <c r="OCS102" s="42"/>
      <c r="OCT102" s="42"/>
      <c r="OCU102" s="42"/>
      <c r="OCV102" s="43">
        <v>0</v>
      </c>
      <c r="OCW102" s="42" t="s">
        <v>48</v>
      </c>
      <c r="OCX102" s="42"/>
      <c r="OCY102" s="42"/>
      <c r="OCZ102" s="42"/>
      <c r="ODA102" s="42"/>
      <c r="ODB102" s="42"/>
      <c r="ODC102" s="42"/>
      <c r="ODD102" s="43">
        <v>0</v>
      </c>
      <c r="ODE102" s="42" t="s">
        <v>48</v>
      </c>
      <c r="ODF102" s="42"/>
      <c r="ODG102" s="42"/>
      <c r="ODH102" s="42"/>
      <c r="ODI102" s="42"/>
      <c r="ODJ102" s="42"/>
      <c r="ODK102" s="42"/>
      <c r="ODL102" s="43">
        <v>0</v>
      </c>
      <c r="ODM102" s="42" t="s">
        <v>48</v>
      </c>
      <c r="ODN102" s="42"/>
      <c r="ODO102" s="42"/>
      <c r="ODP102" s="42"/>
      <c r="ODQ102" s="42"/>
      <c r="ODR102" s="42"/>
      <c r="ODS102" s="42"/>
      <c r="ODT102" s="43">
        <v>0</v>
      </c>
      <c r="ODU102" s="42" t="s">
        <v>48</v>
      </c>
      <c r="ODV102" s="42"/>
      <c r="ODW102" s="42"/>
      <c r="ODX102" s="42"/>
      <c r="ODY102" s="42"/>
      <c r="ODZ102" s="42"/>
      <c r="OEA102" s="42"/>
      <c r="OEB102" s="43">
        <v>0</v>
      </c>
      <c r="OEC102" s="42" t="s">
        <v>48</v>
      </c>
      <c r="OED102" s="42"/>
      <c r="OEE102" s="42"/>
      <c r="OEF102" s="42"/>
      <c r="OEG102" s="42"/>
      <c r="OEH102" s="42"/>
      <c r="OEI102" s="42"/>
      <c r="OEJ102" s="43">
        <v>0</v>
      </c>
      <c r="OEK102" s="42" t="s">
        <v>48</v>
      </c>
      <c r="OEL102" s="42"/>
      <c r="OEM102" s="42"/>
      <c r="OEN102" s="42"/>
      <c r="OEO102" s="42"/>
      <c r="OEP102" s="42"/>
      <c r="OEQ102" s="42"/>
      <c r="OER102" s="43">
        <v>0</v>
      </c>
      <c r="OES102" s="42" t="s">
        <v>48</v>
      </c>
      <c r="OET102" s="42"/>
      <c r="OEU102" s="42"/>
      <c r="OEV102" s="42"/>
      <c r="OEW102" s="42"/>
      <c r="OEX102" s="42"/>
      <c r="OEY102" s="42"/>
      <c r="OEZ102" s="43">
        <v>0</v>
      </c>
      <c r="OFA102" s="42" t="s">
        <v>48</v>
      </c>
      <c r="OFB102" s="42"/>
      <c r="OFC102" s="42"/>
      <c r="OFD102" s="42"/>
      <c r="OFE102" s="42"/>
      <c r="OFF102" s="42"/>
      <c r="OFG102" s="42"/>
      <c r="OFH102" s="43">
        <v>0</v>
      </c>
      <c r="OFI102" s="42" t="s">
        <v>48</v>
      </c>
      <c r="OFJ102" s="42"/>
      <c r="OFK102" s="42"/>
      <c r="OFL102" s="42"/>
      <c r="OFM102" s="42"/>
      <c r="OFN102" s="42"/>
      <c r="OFO102" s="42"/>
      <c r="OFP102" s="43">
        <v>0</v>
      </c>
      <c r="OFQ102" s="42" t="s">
        <v>48</v>
      </c>
      <c r="OFR102" s="42"/>
      <c r="OFS102" s="42"/>
      <c r="OFT102" s="42"/>
      <c r="OFU102" s="42"/>
      <c r="OFV102" s="42"/>
      <c r="OFW102" s="42"/>
      <c r="OFX102" s="43">
        <v>0</v>
      </c>
      <c r="OFY102" s="42" t="s">
        <v>48</v>
      </c>
      <c r="OFZ102" s="42"/>
      <c r="OGA102" s="42"/>
      <c r="OGB102" s="42"/>
      <c r="OGC102" s="42"/>
      <c r="OGD102" s="42"/>
      <c r="OGE102" s="42"/>
      <c r="OGF102" s="43">
        <v>0</v>
      </c>
      <c r="OGG102" s="42" t="s">
        <v>48</v>
      </c>
      <c r="OGH102" s="42"/>
      <c r="OGI102" s="42"/>
      <c r="OGJ102" s="42"/>
      <c r="OGK102" s="42"/>
      <c r="OGL102" s="42"/>
      <c r="OGM102" s="42"/>
      <c r="OGN102" s="43">
        <v>0</v>
      </c>
      <c r="OGO102" s="42" t="s">
        <v>48</v>
      </c>
      <c r="OGP102" s="42"/>
      <c r="OGQ102" s="42"/>
      <c r="OGR102" s="42"/>
      <c r="OGS102" s="42"/>
      <c r="OGT102" s="42"/>
      <c r="OGU102" s="42"/>
      <c r="OGV102" s="43">
        <v>0</v>
      </c>
      <c r="OGW102" s="42" t="s">
        <v>48</v>
      </c>
      <c r="OGX102" s="42"/>
      <c r="OGY102" s="42"/>
      <c r="OGZ102" s="42"/>
      <c r="OHA102" s="42"/>
      <c r="OHB102" s="42"/>
      <c r="OHC102" s="42"/>
      <c r="OHD102" s="43">
        <v>0</v>
      </c>
      <c r="OHE102" s="42" t="s">
        <v>48</v>
      </c>
      <c r="OHF102" s="42"/>
      <c r="OHG102" s="42"/>
      <c r="OHH102" s="42"/>
      <c r="OHI102" s="42"/>
      <c r="OHJ102" s="42"/>
      <c r="OHK102" s="42"/>
      <c r="OHL102" s="43">
        <v>0</v>
      </c>
      <c r="OHM102" s="42" t="s">
        <v>48</v>
      </c>
      <c r="OHN102" s="42"/>
      <c r="OHO102" s="42"/>
      <c r="OHP102" s="42"/>
      <c r="OHQ102" s="42"/>
      <c r="OHR102" s="42"/>
      <c r="OHS102" s="42"/>
      <c r="OHT102" s="43">
        <v>0</v>
      </c>
      <c r="OHU102" s="42" t="s">
        <v>48</v>
      </c>
      <c r="OHV102" s="42"/>
      <c r="OHW102" s="42"/>
      <c r="OHX102" s="42"/>
      <c r="OHY102" s="42"/>
      <c r="OHZ102" s="42"/>
      <c r="OIA102" s="42"/>
      <c r="OIB102" s="43">
        <v>0</v>
      </c>
      <c r="OIC102" s="42" t="s">
        <v>48</v>
      </c>
      <c r="OID102" s="42"/>
      <c r="OIE102" s="42"/>
      <c r="OIF102" s="42"/>
      <c r="OIG102" s="42"/>
      <c r="OIH102" s="42"/>
      <c r="OII102" s="42"/>
      <c r="OIJ102" s="43">
        <v>0</v>
      </c>
      <c r="OIK102" s="42" t="s">
        <v>48</v>
      </c>
      <c r="OIL102" s="42"/>
      <c r="OIM102" s="42"/>
      <c r="OIN102" s="42"/>
      <c r="OIO102" s="42"/>
      <c r="OIP102" s="42"/>
      <c r="OIQ102" s="42"/>
      <c r="OIR102" s="43">
        <v>0</v>
      </c>
      <c r="OIS102" s="42" t="s">
        <v>48</v>
      </c>
      <c r="OIT102" s="42"/>
      <c r="OIU102" s="42"/>
      <c r="OIV102" s="42"/>
      <c r="OIW102" s="42"/>
      <c r="OIX102" s="42"/>
      <c r="OIY102" s="42"/>
      <c r="OIZ102" s="43">
        <v>0</v>
      </c>
      <c r="OJA102" s="42" t="s">
        <v>48</v>
      </c>
      <c r="OJB102" s="42"/>
      <c r="OJC102" s="42"/>
      <c r="OJD102" s="42"/>
      <c r="OJE102" s="42"/>
      <c r="OJF102" s="42"/>
      <c r="OJG102" s="42"/>
      <c r="OJH102" s="43">
        <v>0</v>
      </c>
      <c r="OJI102" s="42" t="s">
        <v>48</v>
      </c>
      <c r="OJJ102" s="42"/>
      <c r="OJK102" s="42"/>
      <c r="OJL102" s="42"/>
      <c r="OJM102" s="42"/>
      <c r="OJN102" s="42"/>
      <c r="OJO102" s="42"/>
      <c r="OJP102" s="43">
        <v>0</v>
      </c>
      <c r="OJQ102" s="42" t="s">
        <v>48</v>
      </c>
      <c r="OJR102" s="42"/>
      <c r="OJS102" s="42"/>
      <c r="OJT102" s="42"/>
      <c r="OJU102" s="42"/>
      <c r="OJV102" s="42"/>
      <c r="OJW102" s="42"/>
      <c r="OJX102" s="43">
        <v>0</v>
      </c>
      <c r="OJY102" s="42" t="s">
        <v>48</v>
      </c>
      <c r="OJZ102" s="42"/>
      <c r="OKA102" s="42"/>
      <c r="OKB102" s="42"/>
      <c r="OKC102" s="42"/>
      <c r="OKD102" s="42"/>
      <c r="OKE102" s="42"/>
      <c r="OKF102" s="43">
        <v>0</v>
      </c>
      <c r="OKG102" s="42" t="s">
        <v>48</v>
      </c>
      <c r="OKH102" s="42"/>
      <c r="OKI102" s="42"/>
      <c r="OKJ102" s="42"/>
      <c r="OKK102" s="42"/>
      <c r="OKL102" s="42"/>
      <c r="OKM102" s="42"/>
      <c r="OKN102" s="43">
        <v>0</v>
      </c>
      <c r="OKO102" s="42" t="s">
        <v>48</v>
      </c>
      <c r="OKP102" s="42"/>
      <c r="OKQ102" s="42"/>
      <c r="OKR102" s="42"/>
      <c r="OKS102" s="42"/>
      <c r="OKT102" s="42"/>
      <c r="OKU102" s="42"/>
      <c r="OKV102" s="43">
        <v>0</v>
      </c>
      <c r="OKW102" s="42" t="s">
        <v>48</v>
      </c>
      <c r="OKX102" s="42"/>
      <c r="OKY102" s="42"/>
      <c r="OKZ102" s="42"/>
      <c r="OLA102" s="42"/>
      <c r="OLB102" s="42"/>
      <c r="OLC102" s="42"/>
      <c r="OLD102" s="43">
        <v>0</v>
      </c>
      <c r="OLE102" s="42" t="s">
        <v>48</v>
      </c>
      <c r="OLF102" s="42"/>
      <c r="OLG102" s="42"/>
      <c r="OLH102" s="42"/>
      <c r="OLI102" s="42"/>
      <c r="OLJ102" s="42"/>
      <c r="OLK102" s="42"/>
      <c r="OLL102" s="43">
        <v>0</v>
      </c>
      <c r="OLM102" s="42" t="s">
        <v>48</v>
      </c>
      <c r="OLN102" s="42"/>
      <c r="OLO102" s="42"/>
      <c r="OLP102" s="42"/>
      <c r="OLQ102" s="42"/>
      <c r="OLR102" s="42"/>
      <c r="OLS102" s="42"/>
      <c r="OLT102" s="43">
        <v>0</v>
      </c>
      <c r="OLU102" s="42" t="s">
        <v>48</v>
      </c>
      <c r="OLV102" s="42"/>
      <c r="OLW102" s="42"/>
      <c r="OLX102" s="42"/>
      <c r="OLY102" s="42"/>
      <c r="OLZ102" s="42"/>
      <c r="OMA102" s="42"/>
      <c r="OMB102" s="43">
        <v>0</v>
      </c>
      <c r="OMC102" s="42" t="s">
        <v>48</v>
      </c>
      <c r="OMD102" s="42"/>
      <c r="OME102" s="42"/>
      <c r="OMF102" s="42"/>
      <c r="OMG102" s="42"/>
      <c r="OMH102" s="42"/>
      <c r="OMI102" s="42"/>
      <c r="OMJ102" s="43">
        <v>0</v>
      </c>
      <c r="OMK102" s="42" t="s">
        <v>48</v>
      </c>
      <c r="OML102" s="42"/>
      <c r="OMM102" s="42"/>
      <c r="OMN102" s="42"/>
      <c r="OMO102" s="42"/>
      <c r="OMP102" s="42"/>
      <c r="OMQ102" s="42"/>
      <c r="OMR102" s="43">
        <v>0</v>
      </c>
      <c r="OMS102" s="42" t="s">
        <v>48</v>
      </c>
      <c r="OMT102" s="42"/>
      <c r="OMU102" s="42"/>
      <c r="OMV102" s="42"/>
      <c r="OMW102" s="42"/>
      <c r="OMX102" s="42"/>
      <c r="OMY102" s="42"/>
      <c r="OMZ102" s="43">
        <v>0</v>
      </c>
      <c r="ONA102" s="42" t="s">
        <v>48</v>
      </c>
      <c r="ONB102" s="42"/>
      <c r="ONC102" s="42"/>
      <c r="OND102" s="42"/>
      <c r="ONE102" s="42"/>
      <c r="ONF102" s="42"/>
      <c r="ONG102" s="42"/>
      <c r="ONH102" s="43">
        <v>0</v>
      </c>
      <c r="ONI102" s="42" t="s">
        <v>48</v>
      </c>
      <c r="ONJ102" s="42"/>
      <c r="ONK102" s="42"/>
      <c r="ONL102" s="42"/>
      <c r="ONM102" s="42"/>
      <c r="ONN102" s="42"/>
      <c r="ONO102" s="42"/>
      <c r="ONP102" s="43">
        <v>0</v>
      </c>
      <c r="ONQ102" s="42" t="s">
        <v>48</v>
      </c>
      <c r="ONR102" s="42"/>
      <c r="ONS102" s="42"/>
      <c r="ONT102" s="42"/>
      <c r="ONU102" s="42"/>
      <c r="ONV102" s="42"/>
      <c r="ONW102" s="42"/>
      <c r="ONX102" s="43">
        <v>0</v>
      </c>
      <c r="ONY102" s="42" t="s">
        <v>48</v>
      </c>
      <c r="ONZ102" s="42"/>
      <c r="OOA102" s="42"/>
      <c r="OOB102" s="42"/>
      <c r="OOC102" s="42"/>
      <c r="OOD102" s="42"/>
      <c r="OOE102" s="42"/>
      <c r="OOF102" s="43">
        <v>0</v>
      </c>
      <c r="OOG102" s="42" t="s">
        <v>48</v>
      </c>
      <c r="OOH102" s="42"/>
      <c r="OOI102" s="42"/>
      <c r="OOJ102" s="42"/>
      <c r="OOK102" s="42"/>
      <c r="OOL102" s="42"/>
      <c r="OOM102" s="42"/>
      <c r="OON102" s="43">
        <v>0</v>
      </c>
      <c r="OOO102" s="42" t="s">
        <v>48</v>
      </c>
      <c r="OOP102" s="42"/>
      <c r="OOQ102" s="42"/>
      <c r="OOR102" s="42"/>
      <c r="OOS102" s="42"/>
      <c r="OOT102" s="42"/>
      <c r="OOU102" s="42"/>
      <c r="OOV102" s="43">
        <v>0</v>
      </c>
      <c r="OOW102" s="42" t="s">
        <v>48</v>
      </c>
      <c r="OOX102" s="42"/>
      <c r="OOY102" s="42"/>
      <c r="OOZ102" s="42"/>
      <c r="OPA102" s="42"/>
      <c r="OPB102" s="42"/>
      <c r="OPC102" s="42"/>
      <c r="OPD102" s="43">
        <v>0</v>
      </c>
      <c r="OPE102" s="42" t="s">
        <v>48</v>
      </c>
      <c r="OPF102" s="42"/>
      <c r="OPG102" s="42"/>
      <c r="OPH102" s="42"/>
      <c r="OPI102" s="42"/>
      <c r="OPJ102" s="42"/>
      <c r="OPK102" s="42"/>
      <c r="OPL102" s="43">
        <v>0</v>
      </c>
      <c r="OPM102" s="42" t="s">
        <v>48</v>
      </c>
      <c r="OPN102" s="42"/>
      <c r="OPO102" s="42"/>
      <c r="OPP102" s="42"/>
      <c r="OPQ102" s="42"/>
      <c r="OPR102" s="42"/>
      <c r="OPS102" s="42"/>
      <c r="OPT102" s="43">
        <v>0</v>
      </c>
      <c r="OPU102" s="42" t="s">
        <v>48</v>
      </c>
      <c r="OPV102" s="42"/>
      <c r="OPW102" s="42"/>
      <c r="OPX102" s="42"/>
      <c r="OPY102" s="42"/>
      <c r="OPZ102" s="42"/>
      <c r="OQA102" s="42"/>
      <c r="OQB102" s="43">
        <v>0</v>
      </c>
      <c r="OQC102" s="42" t="s">
        <v>48</v>
      </c>
      <c r="OQD102" s="42"/>
      <c r="OQE102" s="42"/>
      <c r="OQF102" s="42"/>
      <c r="OQG102" s="42"/>
      <c r="OQH102" s="42"/>
      <c r="OQI102" s="42"/>
      <c r="OQJ102" s="43">
        <v>0</v>
      </c>
      <c r="OQK102" s="42" t="s">
        <v>48</v>
      </c>
      <c r="OQL102" s="42"/>
      <c r="OQM102" s="42"/>
      <c r="OQN102" s="42"/>
      <c r="OQO102" s="42"/>
      <c r="OQP102" s="42"/>
      <c r="OQQ102" s="42"/>
      <c r="OQR102" s="43">
        <v>0</v>
      </c>
      <c r="OQS102" s="42" t="s">
        <v>48</v>
      </c>
      <c r="OQT102" s="42"/>
      <c r="OQU102" s="42"/>
      <c r="OQV102" s="42"/>
      <c r="OQW102" s="42"/>
      <c r="OQX102" s="42"/>
      <c r="OQY102" s="42"/>
      <c r="OQZ102" s="43">
        <v>0</v>
      </c>
      <c r="ORA102" s="42" t="s">
        <v>48</v>
      </c>
      <c r="ORB102" s="42"/>
      <c r="ORC102" s="42"/>
      <c r="ORD102" s="42"/>
      <c r="ORE102" s="42"/>
      <c r="ORF102" s="42"/>
      <c r="ORG102" s="42"/>
      <c r="ORH102" s="43">
        <v>0</v>
      </c>
      <c r="ORI102" s="42" t="s">
        <v>48</v>
      </c>
      <c r="ORJ102" s="42"/>
      <c r="ORK102" s="42"/>
      <c r="ORL102" s="42"/>
      <c r="ORM102" s="42"/>
      <c r="ORN102" s="42"/>
      <c r="ORO102" s="42"/>
      <c r="ORP102" s="43">
        <v>0</v>
      </c>
      <c r="ORQ102" s="42" t="s">
        <v>48</v>
      </c>
      <c r="ORR102" s="42"/>
      <c r="ORS102" s="42"/>
      <c r="ORT102" s="42"/>
      <c r="ORU102" s="42"/>
      <c r="ORV102" s="42"/>
      <c r="ORW102" s="42"/>
      <c r="ORX102" s="43">
        <v>0</v>
      </c>
      <c r="ORY102" s="42" t="s">
        <v>48</v>
      </c>
      <c r="ORZ102" s="42"/>
      <c r="OSA102" s="42"/>
      <c r="OSB102" s="42"/>
      <c r="OSC102" s="42"/>
      <c r="OSD102" s="42"/>
      <c r="OSE102" s="42"/>
      <c r="OSF102" s="43">
        <v>0</v>
      </c>
      <c r="OSG102" s="42" t="s">
        <v>48</v>
      </c>
      <c r="OSH102" s="42"/>
      <c r="OSI102" s="42"/>
      <c r="OSJ102" s="42"/>
      <c r="OSK102" s="42"/>
      <c r="OSL102" s="42"/>
      <c r="OSM102" s="42"/>
      <c r="OSN102" s="43">
        <v>0</v>
      </c>
      <c r="OSO102" s="42" t="s">
        <v>48</v>
      </c>
      <c r="OSP102" s="42"/>
      <c r="OSQ102" s="42"/>
      <c r="OSR102" s="42"/>
      <c r="OSS102" s="42"/>
      <c r="OST102" s="42"/>
      <c r="OSU102" s="42"/>
      <c r="OSV102" s="43">
        <v>0</v>
      </c>
      <c r="OSW102" s="42" t="s">
        <v>48</v>
      </c>
      <c r="OSX102" s="42"/>
      <c r="OSY102" s="42"/>
      <c r="OSZ102" s="42"/>
      <c r="OTA102" s="42"/>
      <c r="OTB102" s="42"/>
      <c r="OTC102" s="42"/>
      <c r="OTD102" s="43">
        <v>0</v>
      </c>
      <c r="OTE102" s="42" t="s">
        <v>48</v>
      </c>
      <c r="OTF102" s="42"/>
      <c r="OTG102" s="42"/>
      <c r="OTH102" s="42"/>
      <c r="OTI102" s="42"/>
      <c r="OTJ102" s="42"/>
      <c r="OTK102" s="42"/>
      <c r="OTL102" s="43">
        <v>0</v>
      </c>
      <c r="OTM102" s="42" t="s">
        <v>48</v>
      </c>
      <c r="OTN102" s="42"/>
      <c r="OTO102" s="42"/>
      <c r="OTP102" s="42"/>
      <c r="OTQ102" s="42"/>
      <c r="OTR102" s="42"/>
      <c r="OTS102" s="42"/>
      <c r="OTT102" s="43">
        <v>0</v>
      </c>
      <c r="OTU102" s="42" t="s">
        <v>48</v>
      </c>
      <c r="OTV102" s="42"/>
      <c r="OTW102" s="42"/>
      <c r="OTX102" s="42"/>
      <c r="OTY102" s="42"/>
      <c r="OTZ102" s="42"/>
      <c r="OUA102" s="42"/>
      <c r="OUB102" s="43">
        <v>0</v>
      </c>
      <c r="OUC102" s="42" t="s">
        <v>48</v>
      </c>
      <c r="OUD102" s="42"/>
      <c r="OUE102" s="42"/>
      <c r="OUF102" s="42"/>
      <c r="OUG102" s="42"/>
      <c r="OUH102" s="42"/>
      <c r="OUI102" s="42"/>
      <c r="OUJ102" s="43">
        <v>0</v>
      </c>
      <c r="OUK102" s="42" t="s">
        <v>48</v>
      </c>
      <c r="OUL102" s="42"/>
      <c r="OUM102" s="42"/>
      <c r="OUN102" s="42"/>
      <c r="OUO102" s="42"/>
      <c r="OUP102" s="42"/>
      <c r="OUQ102" s="42"/>
      <c r="OUR102" s="43">
        <v>0</v>
      </c>
      <c r="OUS102" s="42" t="s">
        <v>48</v>
      </c>
      <c r="OUT102" s="42"/>
      <c r="OUU102" s="42"/>
      <c r="OUV102" s="42"/>
      <c r="OUW102" s="42"/>
      <c r="OUX102" s="42"/>
      <c r="OUY102" s="42"/>
      <c r="OUZ102" s="43">
        <v>0</v>
      </c>
      <c r="OVA102" s="42" t="s">
        <v>48</v>
      </c>
      <c r="OVB102" s="42"/>
      <c r="OVC102" s="42"/>
      <c r="OVD102" s="42"/>
      <c r="OVE102" s="42"/>
      <c r="OVF102" s="42"/>
      <c r="OVG102" s="42"/>
      <c r="OVH102" s="43">
        <v>0</v>
      </c>
      <c r="OVI102" s="42" t="s">
        <v>48</v>
      </c>
      <c r="OVJ102" s="42"/>
      <c r="OVK102" s="42"/>
      <c r="OVL102" s="42"/>
      <c r="OVM102" s="42"/>
      <c r="OVN102" s="42"/>
      <c r="OVO102" s="42"/>
      <c r="OVP102" s="43">
        <v>0</v>
      </c>
      <c r="OVQ102" s="42" t="s">
        <v>48</v>
      </c>
      <c r="OVR102" s="42"/>
      <c r="OVS102" s="42"/>
      <c r="OVT102" s="42"/>
      <c r="OVU102" s="42"/>
      <c r="OVV102" s="42"/>
      <c r="OVW102" s="42"/>
      <c r="OVX102" s="43">
        <v>0</v>
      </c>
      <c r="OVY102" s="42" t="s">
        <v>48</v>
      </c>
      <c r="OVZ102" s="42"/>
      <c r="OWA102" s="42"/>
      <c r="OWB102" s="42"/>
      <c r="OWC102" s="42"/>
      <c r="OWD102" s="42"/>
      <c r="OWE102" s="42"/>
      <c r="OWF102" s="43">
        <v>0</v>
      </c>
      <c r="OWG102" s="42" t="s">
        <v>48</v>
      </c>
      <c r="OWH102" s="42"/>
      <c r="OWI102" s="42"/>
      <c r="OWJ102" s="42"/>
      <c r="OWK102" s="42"/>
      <c r="OWL102" s="42"/>
      <c r="OWM102" s="42"/>
      <c r="OWN102" s="43">
        <v>0</v>
      </c>
      <c r="OWO102" s="42" t="s">
        <v>48</v>
      </c>
      <c r="OWP102" s="42"/>
      <c r="OWQ102" s="42"/>
      <c r="OWR102" s="42"/>
      <c r="OWS102" s="42"/>
      <c r="OWT102" s="42"/>
      <c r="OWU102" s="42"/>
      <c r="OWV102" s="43">
        <v>0</v>
      </c>
      <c r="OWW102" s="42" t="s">
        <v>48</v>
      </c>
      <c r="OWX102" s="42"/>
      <c r="OWY102" s="42"/>
      <c r="OWZ102" s="42"/>
      <c r="OXA102" s="42"/>
      <c r="OXB102" s="42"/>
      <c r="OXC102" s="42"/>
      <c r="OXD102" s="43">
        <v>0</v>
      </c>
      <c r="OXE102" s="42" t="s">
        <v>48</v>
      </c>
      <c r="OXF102" s="42"/>
      <c r="OXG102" s="42"/>
      <c r="OXH102" s="42"/>
      <c r="OXI102" s="42"/>
      <c r="OXJ102" s="42"/>
      <c r="OXK102" s="42"/>
      <c r="OXL102" s="43">
        <v>0</v>
      </c>
      <c r="OXM102" s="42" t="s">
        <v>48</v>
      </c>
      <c r="OXN102" s="42"/>
      <c r="OXO102" s="42"/>
      <c r="OXP102" s="42"/>
      <c r="OXQ102" s="42"/>
      <c r="OXR102" s="42"/>
      <c r="OXS102" s="42"/>
      <c r="OXT102" s="43">
        <v>0</v>
      </c>
      <c r="OXU102" s="42" t="s">
        <v>48</v>
      </c>
      <c r="OXV102" s="42"/>
      <c r="OXW102" s="42"/>
      <c r="OXX102" s="42"/>
      <c r="OXY102" s="42"/>
      <c r="OXZ102" s="42"/>
      <c r="OYA102" s="42"/>
      <c r="OYB102" s="43">
        <v>0</v>
      </c>
      <c r="OYC102" s="42" t="s">
        <v>48</v>
      </c>
      <c r="OYD102" s="42"/>
      <c r="OYE102" s="42"/>
      <c r="OYF102" s="42"/>
      <c r="OYG102" s="42"/>
      <c r="OYH102" s="42"/>
      <c r="OYI102" s="42"/>
      <c r="OYJ102" s="43">
        <v>0</v>
      </c>
      <c r="OYK102" s="42" t="s">
        <v>48</v>
      </c>
      <c r="OYL102" s="42"/>
      <c r="OYM102" s="42"/>
      <c r="OYN102" s="42"/>
      <c r="OYO102" s="42"/>
      <c r="OYP102" s="42"/>
      <c r="OYQ102" s="42"/>
      <c r="OYR102" s="43">
        <v>0</v>
      </c>
      <c r="OYS102" s="42" t="s">
        <v>48</v>
      </c>
      <c r="OYT102" s="42"/>
      <c r="OYU102" s="42"/>
      <c r="OYV102" s="42"/>
      <c r="OYW102" s="42"/>
      <c r="OYX102" s="42"/>
      <c r="OYY102" s="42"/>
      <c r="OYZ102" s="43">
        <v>0</v>
      </c>
      <c r="OZA102" s="42" t="s">
        <v>48</v>
      </c>
      <c r="OZB102" s="42"/>
      <c r="OZC102" s="42"/>
      <c r="OZD102" s="42"/>
      <c r="OZE102" s="42"/>
      <c r="OZF102" s="42"/>
      <c r="OZG102" s="42"/>
      <c r="OZH102" s="43">
        <v>0</v>
      </c>
      <c r="OZI102" s="42" t="s">
        <v>48</v>
      </c>
      <c r="OZJ102" s="42"/>
      <c r="OZK102" s="42"/>
      <c r="OZL102" s="42"/>
      <c r="OZM102" s="42"/>
      <c r="OZN102" s="42"/>
      <c r="OZO102" s="42"/>
      <c r="OZP102" s="43">
        <v>0</v>
      </c>
      <c r="OZQ102" s="42" t="s">
        <v>48</v>
      </c>
      <c r="OZR102" s="42"/>
      <c r="OZS102" s="42"/>
      <c r="OZT102" s="42"/>
      <c r="OZU102" s="42"/>
      <c r="OZV102" s="42"/>
      <c r="OZW102" s="42"/>
      <c r="OZX102" s="43">
        <v>0</v>
      </c>
      <c r="OZY102" s="42" t="s">
        <v>48</v>
      </c>
      <c r="OZZ102" s="42"/>
      <c r="PAA102" s="42"/>
      <c r="PAB102" s="42"/>
      <c r="PAC102" s="42"/>
      <c r="PAD102" s="42"/>
      <c r="PAE102" s="42"/>
      <c r="PAF102" s="43">
        <v>0</v>
      </c>
      <c r="PAG102" s="42" t="s">
        <v>48</v>
      </c>
      <c r="PAH102" s="42"/>
      <c r="PAI102" s="42"/>
      <c r="PAJ102" s="42"/>
      <c r="PAK102" s="42"/>
      <c r="PAL102" s="42"/>
      <c r="PAM102" s="42"/>
      <c r="PAN102" s="43">
        <v>0</v>
      </c>
      <c r="PAO102" s="42" t="s">
        <v>48</v>
      </c>
      <c r="PAP102" s="42"/>
      <c r="PAQ102" s="42"/>
      <c r="PAR102" s="42"/>
      <c r="PAS102" s="42"/>
      <c r="PAT102" s="42"/>
      <c r="PAU102" s="42"/>
      <c r="PAV102" s="43">
        <v>0</v>
      </c>
      <c r="PAW102" s="42" t="s">
        <v>48</v>
      </c>
      <c r="PAX102" s="42"/>
      <c r="PAY102" s="42"/>
      <c r="PAZ102" s="42"/>
      <c r="PBA102" s="42"/>
      <c r="PBB102" s="42"/>
      <c r="PBC102" s="42"/>
      <c r="PBD102" s="43">
        <v>0</v>
      </c>
      <c r="PBE102" s="42" t="s">
        <v>48</v>
      </c>
      <c r="PBF102" s="42"/>
      <c r="PBG102" s="42"/>
      <c r="PBH102" s="42"/>
      <c r="PBI102" s="42"/>
      <c r="PBJ102" s="42"/>
      <c r="PBK102" s="42"/>
      <c r="PBL102" s="43">
        <v>0</v>
      </c>
      <c r="PBM102" s="42" t="s">
        <v>48</v>
      </c>
      <c r="PBN102" s="42"/>
      <c r="PBO102" s="42"/>
      <c r="PBP102" s="42"/>
      <c r="PBQ102" s="42"/>
      <c r="PBR102" s="42"/>
      <c r="PBS102" s="42"/>
      <c r="PBT102" s="43">
        <v>0</v>
      </c>
      <c r="PBU102" s="42" t="s">
        <v>48</v>
      </c>
      <c r="PBV102" s="42"/>
      <c r="PBW102" s="42"/>
      <c r="PBX102" s="42"/>
      <c r="PBY102" s="42"/>
      <c r="PBZ102" s="42"/>
      <c r="PCA102" s="42"/>
      <c r="PCB102" s="43">
        <v>0</v>
      </c>
      <c r="PCC102" s="42" t="s">
        <v>48</v>
      </c>
      <c r="PCD102" s="42"/>
      <c r="PCE102" s="42"/>
      <c r="PCF102" s="42"/>
      <c r="PCG102" s="42"/>
      <c r="PCH102" s="42"/>
      <c r="PCI102" s="42"/>
      <c r="PCJ102" s="43">
        <v>0</v>
      </c>
      <c r="PCK102" s="42" t="s">
        <v>48</v>
      </c>
      <c r="PCL102" s="42"/>
      <c r="PCM102" s="42"/>
      <c r="PCN102" s="42"/>
      <c r="PCO102" s="42"/>
      <c r="PCP102" s="42"/>
      <c r="PCQ102" s="42"/>
      <c r="PCR102" s="43">
        <v>0</v>
      </c>
      <c r="PCS102" s="42" t="s">
        <v>48</v>
      </c>
      <c r="PCT102" s="42"/>
      <c r="PCU102" s="42"/>
      <c r="PCV102" s="42"/>
      <c r="PCW102" s="42"/>
      <c r="PCX102" s="42"/>
      <c r="PCY102" s="42"/>
      <c r="PCZ102" s="43">
        <v>0</v>
      </c>
      <c r="PDA102" s="42" t="s">
        <v>48</v>
      </c>
      <c r="PDB102" s="42"/>
      <c r="PDC102" s="42"/>
      <c r="PDD102" s="42"/>
      <c r="PDE102" s="42"/>
      <c r="PDF102" s="42"/>
      <c r="PDG102" s="42"/>
      <c r="PDH102" s="43">
        <v>0</v>
      </c>
      <c r="PDI102" s="42" t="s">
        <v>48</v>
      </c>
      <c r="PDJ102" s="42"/>
      <c r="PDK102" s="42"/>
      <c r="PDL102" s="42"/>
      <c r="PDM102" s="42"/>
      <c r="PDN102" s="42"/>
      <c r="PDO102" s="42"/>
      <c r="PDP102" s="43">
        <v>0</v>
      </c>
      <c r="PDQ102" s="42" t="s">
        <v>48</v>
      </c>
      <c r="PDR102" s="42"/>
      <c r="PDS102" s="42"/>
      <c r="PDT102" s="42"/>
      <c r="PDU102" s="42"/>
      <c r="PDV102" s="42"/>
      <c r="PDW102" s="42"/>
      <c r="PDX102" s="43">
        <v>0</v>
      </c>
      <c r="PDY102" s="42" t="s">
        <v>48</v>
      </c>
      <c r="PDZ102" s="42"/>
      <c r="PEA102" s="42"/>
      <c r="PEB102" s="42"/>
      <c r="PEC102" s="42"/>
      <c r="PED102" s="42"/>
      <c r="PEE102" s="42"/>
      <c r="PEF102" s="43">
        <v>0</v>
      </c>
      <c r="PEG102" s="42" t="s">
        <v>48</v>
      </c>
      <c r="PEH102" s="42"/>
      <c r="PEI102" s="42"/>
      <c r="PEJ102" s="42"/>
      <c r="PEK102" s="42"/>
      <c r="PEL102" s="42"/>
      <c r="PEM102" s="42"/>
      <c r="PEN102" s="43">
        <v>0</v>
      </c>
      <c r="PEO102" s="42" t="s">
        <v>48</v>
      </c>
      <c r="PEP102" s="42"/>
      <c r="PEQ102" s="42"/>
      <c r="PER102" s="42"/>
      <c r="PES102" s="42"/>
      <c r="PET102" s="42"/>
      <c r="PEU102" s="42"/>
      <c r="PEV102" s="43">
        <v>0</v>
      </c>
      <c r="PEW102" s="42" t="s">
        <v>48</v>
      </c>
      <c r="PEX102" s="42"/>
      <c r="PEY102" s="42"/>
      <c r="PEZ102" s="42"/>
      <c r="PFA102" s="42"/>
      <c r="PFB102" s="42"/>
      <c r="PFC102" s="42"/>
      <c r="PFD102" s="43">
        <v>0</v>
      </c>
      <c r="PFE102" s="42" t="s">
        <v>48</v>
      </c>
      <c r="PFF102" s="42"/>
      <c r="PFG102" s="42"/>
      <c r="PFH102" s="42"/>
      <c r="PFI102" s="42"/>
      <c r="PFJ102" s="42"/>
      <c r="PFK102" s="42"/>
      <c r="PFL102" s="43">
        <v>0</v>
      </c>
      <c r="PFM102" s="42" t="s">
        <v>48</v>
      </c>
      <c r="PFN102" s="42"/>
      <c r="PFO102" s="42"/>
      <c r="PFP102" s="42"/>
      <c r="PFQ102" s="42"/>
      <c r="PFR102" s="42"/>
      <c r="PFS102" s="42"/>
      <c r="PFT102" s="43">
        <v>0</v>
      </c>
      <c r="PFU102" s="42" t="s">
        <v>48</v>
      </c>
      <c r="PFV102" s="42"/>
      <c r="PFW102" s="42"/>
      <c r="PFX102" s="42"/>
      <c r="PFY102" s="42"/>
      <c r="PFZ102" s="42"/>
      <c r="PGA102" s="42"/>
      <c r="PGB102" s="43">
        <v>0</v>
      </c>
      <c r="PGC102" s="42" t="s">
        <v>48</v>
      </c>
      <c r="PGD102" s="42"/>
      <c r="PGE102" s="42"/>
      <c r="PGF102" s="42"/>
      <c r="PGG102" s="42"/>
      <c r="PGH102" s="42"/>
      <c r="PGI102" s="42"/>
      <c r="PGJ102" s="43">
        <v>0</v>
      </c>
      <c r="PGK102" s="42" t="s">
        <v>48</v>
      </c>
      <c r="PGL102" s="42"/>
      <c r="PGM102" s="42"/>
      <c r="PGN102" s="42"/>
      <c r="PGO102" s="42"/>
      <c r="PGP102" s="42"/>
      <c r="PGQ102" s="42"/>
      <c r="PGR102" s="43">
        <v>0</v>
      </c>
      <c r="PGS102" s="42" t="s">
        <v>48</v>
      </c>
      <c r="PGT102" s="42"/>
      <c r="PGU102" s="42"/>
      <c r="PGV102" s="42"/>
      <c r="PGW102" s="42"/>
      <c r="PGX102" s="42"/>
      <c r="PGY102" s="42"/>
      <c r="PGZ102" s="43">
        <v>0</v>
      </c>
      <c r="PHA102" s="42" t="s">
        <v>48</v>
      </c>
      <c r="PHB102" s="42"/>
      <c r="PHC102" s="42"/>
      <c r="PHD102" s="42"/>
      <c r="PHE102" s="42"/>
      <c r="PHF102" s="42"/>
      <c r="PHG102" s="42"/>
      <c r="PHH102" s="43">
        <v>0</v>
      </c>
      <c r="PHI102" s="42" t="s">
        <v>48</v>
      </c>
      <c r="PHJ102" s="42"/>
      <c r="PHK102" s="42"/>
      <c r="PHL102" s="42"/>
      <c r="PHM102" s="42"/>
      <c r="PHN102" s="42"/>
      <c r="PHO102" s="42"/>
      <c r="PHP102" s="43">
        <v>0</v>
      </c>
      <c r="PHQ102" s="42" t="s">
        <v>48</v>
      </c>
      <c r="PHR102" s="42"/>
      <c r="PHS102" s="42"/>
      <c r="PHT102" s="42"/>
      <c r="PHU102" s="42"/>
      <c r="PHV102" s="42"/>
      <c r="PHW102" s="42"/>
      <c r="PHX102" s="43">
        <v>0</v>
      </c>
      <c r="PHY102" s="42" t="s">
        <v>48</v>
      </c>
      <c r="PHZ102" s="42"/>
      <c r="PIA102" s="42"/>
      <c r="PIB102" s="42"/>
      <c r="PIC102" s="42"/>
      <c r="PID102" s="42"/>
      <c r="PIE102" s="42"/>
      <c r="PIF102" s="43">
        <v>0</v>
      </c>
      <c r="PIG102" s="42" t="s">
        <v>48</v>
      </c>
      <c r="PIH102" s="42"/>
      <c r="PII102" s="42"/>
      <c r="PIJ102" s="42"/>
      <c r="PIK102" s="42"/>
      <c r="PIL102" s="42"/>
      <c r="PIM102" s="42"/>
      <c r="PIN102" s="43">
        <v>0</v>
      </c>
      <c r="PIO102" s="42" t="s">
        <v>48</v>
      </c>
      <c r="PIP102" s="42"/>
      <c r="PIQ102" s="42"/>
      <c r="PIR102" s="42"/>
      <c r="PIS102" s="42"/>
      <c r="PIT102" s="42"/>
      <c r="PIU102" s="42"/>
      <c r="PIV102" s="43">
        <v>0</v>
      </c>
      <c r="PIW102" s="42" t="s">
        <v>48</v>
      </c>
      <c r="PIX102" s="42"/>
      <c r="PIY102" s="42"/>
      <c r="PIZ102" s="42"/>
      <c r="PJA102" s="42"/>
      <c r="PJB102" s="42"/>
      <c r="PJC102" s="42"/>
      <c r="PJD102" s="43">
        <v>0</v>
      </c>
      <c r="PJE102" s="42" t="s">
        <v>48</v>
      </c>
      <c r="PJF102" s="42"/>
      <c r="PJG102" s="42"/>
      <c r="PJH102" s="42"/>
      <c r="PJI102" s="42"/>
      <c r="PJJ102" s="42"/>
      <c r="PJK102" s="42"/>
      <c r="PJL102" s="43">
        <v>0</v>
      </c>
      <c r="PJM102" s="42" t="s">
        <v>48</v>
      </c>
      <c r="PJN102" s="42"/>
      <c r="PJO102" s="42"/>
      <c r="PJP102" s="42"/>
      <c r="PJQ102" s="42"/>
      <c r="PJR102" s="42"/>
      <c r="PJS102" s="42"/>
      <c r="PJT102" s="43">
        <v>0</v>
      </c>
      <c r="PJU102" s="42" t="s">
        <v>48</v>
      </c>
      <c r="PJV102" s="42"/>
      <c r="PJW102" s="42"/>
      <c r="PJX102" s="42"/>
      <c r="PJY102" s="42"/>
      <c r="PJZ102" s="42"/>
      <c r="PKA102" s="42"/>
      <c r="PKB102" s="43">
        <v>0</v>
      </c>
      <c r="PKC102" s="42" t="s">
        <v>48</v>
      </c>
      <c r="PKD102" s="42"/>
      <c r="PKE102" s="42"/>
      <c r="PKF102" s="42"/>
      <c r="PKG102" s="42"/>
      <c r="PKH102" s="42"/>
      <c r="PKI102" s="42"/>
      <c r="PKJ102" s="43">
        <v>0</v>
      </c>
      <c r="PKK102" s="42" t="s">
        <v>48</v>
      </c>
      <c r="PKL102" s="42"/>
      <c r="PKM102" s="42"/>
      <c r="PKN102" s="42"/>
      <c r="PKO102" s="42"/>
      <c r="PKP102" s="42"/>
      <c r="PKQ102" s="42"/>
      <c r="PKR102" s="43">
        <v>0</v>
      </c>
      <c r="PKS102" s="42" t="s">
        <v>48</v>
      </c>
      <c r="PKT102" s="42"/>
      <c r="PKU102" s="42"/>
      <c r="PKV102" s="42"/>
      <c r="PKW102" s="42"/>
      <c r="PKX102" s="42"/>
      <c r="PKY102" s="42"/>
      <c r="PKZ102" s="43">
        <v>0</v>
      </c>
      <c r="PLA102" s="42" t="s">
        <v>48</v>
      </c>
      <c r="PLB102" s="42"/>
      <c r="PLC102" s="42"/>
      <c r="PLD102" s="42"/>
      <c r="PLE102" s="42"/>
      <c r="PLF102" s="42"/>
      <c r="PLG102" s="42"/>
      <c r="PLH102" s="43">
        <v>0</v>
      </c>
      <c r="PLI102" s="42" t="s">
        <v>48</v>
      </c>
      <c r="PLJ102" s="42"/>
      <c r="PLK102" s="42"/>
      <c r="PLL102" s="42"/>
      <c r="PLM102" s="42"/>
      <c r="PLN102" s="42"/>
      <c r="PLO102" s="42"/>
      <c r="PLP102" s="43">
        <v>0</v>
      </c>
      <c r="PLQ102" s="42" t="s">
        <v>48</v>
      </c>
      <c r="PLR102" s="42"/>
      <c r="PLS102" s="42"/>
      <c r="PLT102" s="42"/>
      <c r="PLU102" s="42"/>
      <c r="PLV102" s="42"/>
      <c r="PLW102" s="42"/>
      <c r="PLX102" s="43">
        <v>0</v>
      </c>
      <c r="PLY102" s="42" t="s">
        <v>48</v>
      </c>
      <c r="PLZ102" s="42"/>
      <c r="PMA102" s="42"/>
      <c r="PMB102" s="42"/>
      <c r="PMC102" s="42"/>
      <c r="PMD102" s="42"/>
      <c r="PME102" s="42"/>
      <c r="PMF102" s="43">
        <v>0</v>
      </c>
      <c r="PMG102" s="42" t="s">
        <v>48</v>
      </c>
      <c r="PMH102" s="42"/>
      <c r="PMI102" s="42"/>
      <c r="PMJ102" s="42"/>
      <c r="PMK102" s="42"/>
      <c r="PML102" s="42"/>
      <c r="PMM102" s="42"/>
      <c r="PMN102" s="43">
        <v>0</v>
      </c>
      <c r="PMO102" s="42" t="s">
        <v>48</v>
      </c>
      <c r="PMP102" s="42"/>
      <c r="PMQ102" s="42"/>
      <c r="PMR102" s="42"/>
      <c r="PMS102" s="42"/>
      <c r="PMT102" s="42"/>
      <c r="PMU102" s="42"/>
      <c r="PMV102" s="43">
        <v>0</v>
      </c>
      <c r="PMW102" s="42" t="s">
        <v>48</v>
      </c>
      <c r="PMX102" s="42"/>
      <c r="PMY102" s="42"/>
      <c r="PMZ102" s="42"/>
      <c r="PNA102" s="42"/>
      <c r="PNB102" s="42"/>
      <c r="PNC102" s="42"/>
      <c r="PND102" s="43">
        <v>0</v>
      </c>
      <c r="PNE102" s="42" t="s">
        <v>48</v>
      </c>
      <c r="PNF102" s="42"/>
      <c r="PNG102" s="42"/>
      <c r="PNH102" s="42"/>
      <c r="PNI102" s="42"/>
      <c r="PNJ102" s="42"/>
      <c r="PNK102" s="42"/>
      <c r="PNL102" s="43">
        <v>0</v>
      </c>
      <c r="PNM102" s="42" t="s">
        <v>48</v>
      </c>
      <c r="PNN102" s="42"/>
      <c r="PNO102" s="42"/>
      <c r="PNP102" s="42"/>
      <c r="PNQ102" s="42"/>
      <c r="PNR102" s="42"/>
      <c r="PNS102" s="42"/>
      <c r="PNT102" s="43">
        <v>0</v>
      </c>
      <c r="PNU102" s="42" t="s">
        <v>48</v>
      </c>
      <c r="PNV102" s="42"/>
      <c r="PNW102" s="42"/>
      <c r="PNX102" s="42"/>
      <c r="PNY102" s="42"/>
      <c r="PNZ102" s="42"/>
      <c r="POA102" s="42"/>
      <c r="POB102" s="43">
        <v>0</v>
      </c>
      <c r="POC102" s="42" t="s">
        <v>48</v>
      </c>
      <c r="POD102" s="42"/>
      <c r="POE102" s="42"/>
      <c r="POF102" s="42"/>
      <c r="POG102" s="42"/>
      <c r="POH102" s="42"/>
      <c r="POI102" s="42"/>
      <c r="POJ102" s="43">
        <v>0</v>
      </c>
      <c r="POK102" s="42" t="s">
        <v>48</v>
      </c>
      <c r="POL102" s="42"/>
      <c r="POM102" s="42"/>
      <c r="PON102" s="42"/>
      <c r="POO102" s="42"/>
      <c r="POP102" s="42"/>
      <c r="POQ102" s="42"/>
      <c r="POR102" s="43">
        <v>0</v>
      </c>
      <c r="POS102" s="42" t="s">
        <v>48</v>
      </c>
      <c r="POT102" s="42"/>
      <c r="POU102" s="42"/>
      <c r="POV102" s="42"/>
      <c r="POW102" s="42"/>
      <c r="POX102" s="42"/>
      <c r="POY102" s="42"/>
      <c r="POZ102" s="43">
        <v>0</v>
      </c>
      <c r="PPA102" s="42" t="s">
        <v>48</v>
      </c>
      <c r="PPB102" s="42"/>
      <c r="PPC102" s="42"/>
      <c r="PPD102" s="42"/>
      <c r="PPE102" s="42"/>
      <c r="PPF102" s="42"/>
      <c r="PPG102" s="42"/>
      <c r="PPH102" s="43">
        <v>0</v>
      </c>
      <c r="PPI102" s="42" t="s">
        <v>48</v>
      </c>
      <c r="PPJ102" s="42"/>
      <c r="PPK102" s="42"/>
      <c r="PPL102" s="42"/>
      <c r="PPM102" s="42"/>
      <c r="PPN102" s="42"/>
      <c r="PPO102" s="42"/>
      <c r="PPP102" s="43">
        <v>0</v>
      </c>
      <c r="PPQ102" s="42" t="s">
        <v>48</v>
      </c>
      <c r="PPR102" s="42"/>
      <c r="PPS102" s="42"/>
      <c r="PPT102" s="42"/>
      <c r="PPU102" s="42"/>
      <c r="PPV102" s="42"/>
      <c r="PPW102" s="42"/>
      <c r="PPX102" s="43">
        <v>0</v>
      </c>
      <c r="PPY102" s="42" t="s">
        <v>48</v>
      </c>
      <c r="PPZ102" s="42"/>
      <c r="PQA102" s="42"/>
      <c r="PQB102" s="42"/>
      <c r="PQC102" s="42"/>
      <c r="PQD102" s="42"/>
      <c r="PQE102" s="42"/>
      <c r="PQF102" s="43">
        <v>0</v>
      </c>
      <c r="PQG102" s="42" t="s">
        <v>48</v>
      </c>
      <c r="PQH102" s="42"/>
      <c r="PQI102" s="42"/>
      <c r="PQJ102" s="42"/>
      <c r="PQK102" s="42"/>
      <c r="PQL102" s="42"/>
      <c r="PQM102" s="42"/>
      <c r="PQN102" s="43">
        <v>0</v>
      </c>
      <c r="PQO102" s="42" t="s">
        <v>48</v>
      </c>
      <c r="PQP102" s="42"/>
      <c r="PQQ102" s="42"/>
      <c r="PQR102" s="42"/>
      <c r="PQS102" s="42"/>
      <c r="PQT102" s="42"/>
      <c r="PQU102" s="42"/>
      <c r="PQV102" s="43">
        <v>0</v>
      </c>
      <c r="PQW102" s="42" t="s">
        <v>48</v>
      </c>
      <c r="PQX102" s="42"/>
      <c r="PQY102" s="42"/>
      <c r="PQZ102" s="42"/>
      <c r="PRA102" s="42"/>
      <c r="PRB102" s="42"/>
      <c r="PRC102" s="42"/>
      <c r="PRD102" s="43">
        <v>0</v>
      </c>
      <c r="PRE102" s="42" t="s">
        <v>48</v>
      </c>
      <c r="PRF102" s="42"/>
      <c r="PRG102" s="42"/>
      <c r="PRH102" s="42"/>
      <c r="PRI102" s="42"/>
      <c r="PRJ102" s="42"/>
      <c r="PRK102" s="42"/>
      <c r="PRL102" s="43">
        <v>0</v>
      </c>
      <c r="PRM102" s="42" t="s">
        <v>48</v>
      </c>
      <c r="PRN102" s="42"/>
      <c r="PRO102" s="42"/>
      <c r="PRP102" s="42"/>
      <c r="PRQ102" s="42"/>
      <c r="PRR102" s="42"/>
      <c r="PRS102" s="42"/>
      <c r="PRT102" s="43">
        <v>0</v>
      </c>
      <c r="PRU102" s="42" t="s">
        <v>48</v>
      </c>
      <c r="PRV102" s="42"/>
      <c r="PRW102" s="42"/>
      <c r="PRX102" s="42"/>
      <c r="PRY102" s="42"/>
      <c r="PRZ102" s="42"/>
      <c r="PSA102" s="42"/>
      <c r="PSB102" s="43">
        <v>0</v>
      </c>
      <c r="PSC102" s="42" t="s">
        <v>48</v>
      </c>
      <c r="PSD102" s="42"/>
      <c r="PSE102" s="42"/>
      <c r="PSF102" s="42"/>
      <c r="PSG102" s="42"/>
      <c r="PSH102" s="42"/>
      <c r="PSI102" s="42"/>
      <c r="PSJ102" s="43">
        <v>0</v>
      </c>
      <c r="PSK102" s="42" t="s">
        <v>48</v>
      </c>
      <c r="PSL102" s="42"/>
      <c r="PSM102" s="42"/>
      <c r="PSN102" s="42"/>
      <c r="PSO102" s="42"/>
      <c r="PSP102" s="42"/>
      <c r="PSQ102" s="42"/>
      <c r="PSR102" s="43">
        <v>0</v>
      </c>
      <c r="PSS102" s="42" t="s">
        <v>48</v>
      </c>
      <c r="PST102" s="42"/>
      <c r="PSU102" s="42"/>
      <c r="PSV102" s="42"/>
      <c r="PSW102" s="42"/>
      <c r="PSX102" s="42"/>
      <c r="PSY102" s="42"/>
      <c r="PSZ102" s="43">
        <v>0</v>
      </c>
      <c r="PTA102" s="42" t="s">
        <v>48</v>
      </c>
      <c r="PTB102" s="42"/>
      <c r="PTC102" s="42"/>
      <c r="PTD102" s="42"/>
      <c r="PTE102" s="42"/>
      <c r="PTF102" s="42"/>
      <c r="PTG102" s="42"/>
      <c r="PTH102" s="43">
        <v>0</v>
      </c>
      <c r="PTI102" s="42" t="s">
        <v>48</v>
      </c>
      <c r="PTJ102" s="42"/>
      <c r="PTK102" s="42"/>
      <c r="PTL102" s="42"/>
      <c r="PTM102" s="42"/>
      <c r="PTN102" s="42"/>
      <c r="PTO102" s="42"/>
      <c r="PTP102" s="43">
        <v>0</v>
      </c>
      <c r="PTQ102" s="42" t="s">
        <v>48</v>
      </c>
      <c r="PTR102" s="42"/>
      <c r="PTS102" s="42"/>
      <c r="PTT102" s="42"/>
      <c r="PTU102" s="42"/>
      <c r="PTV102" s="42"/>
      <c r="PTW102" s="42"/>
      <c r="PTX102" s="43">
        <v>0</v>
      </c>
      <c r="PTY102" s="42" t="s">
        <v>48</v>
      </c>
      <c r="PTZ102" s="42"/>
      <c r="PUA102" s="42"/>
      <c r="PUB102" s="42"/>
      <c r="PUC102" s="42"/>
      <c r="PUD102" s="42"/>
      <c r="PUE102" s="42"/>
      <c r="PUF102" s="43">
        <v>0</v>
      </c>
      <c r="PUG102" s="42" t="s">
        <v>48</v>
      </c>
      <c r="PUH102" s="42"/>
      <c r="PUI102" s="42"/>
      <c r="PUJ102" s="42"/>
      <c r="PUK102" s="42"/>
      <c r="PUL102" s="42"/>
      <c r="PUM102" s="42"/>
      <c r="PUN102" s="43">
        <v>0</v>
      </c>
      <c r="PUO102" s="42" t="s">
        <v>48</v>
      </c>
      <c r="PUP102" s="42"/>
      <c r="PUQ102" s="42"/>
      <c r="PUR102" s="42"/>
      <c r="PUS102" s="42"/>
      <c r="PUT102" s="42"/>
      <c r="PUU102" s="42"/>
      <c r="PUV102" s="43">
        <v>0</v>
      </c>
      <c r="PUW102" s="42" t="s">
        <v>48</v>
      </c>
      <c r="PUX102" s="42"/>
      <c r="PUY102" s="42"/>
      <c r="PUZ102" s="42"/>
      <c r="PVA102" s="42"/>
      <c r="PVB102" s="42"/>
      <c r="PVC102" s="42"/>
      <c r="PVD102" s="43">
        <v>0</v>
      </c>
      <c r="PVE102" s="42" t="s">
        <v>48</v>
      </c>
      <c r="PVF102" s="42"/>
      <c r="PVG102" s="42"/>
      <c r="PVH102" s="42"/>
      <c r="PVI102" s="42"/>
      <c r="PVJ102" s="42"/>
      <c r="PVK102" s="42"/>
      <c r="PVL102" s="43">
        <v>0</v>
      </c>
      <c r="PVM102" s="42" t="s">
        <v>48</v>
      </c>
      <c r="PVN102" s="42"/>
      <c r="PVO102" s="42"/>
      <c r="PVP102" s="42"/>
      <c r="PVQ102" s="42"/>
      <c r="PVR102" s="42"/>
      <c r="PVS102" s="42"/>
      <c r="PVT102" s="43">
        <v>0</v>
      </c>
      <c r="PVU102" s="42" t="s">
        <v>48</v>
      </c>
      <c r="PVV102" s="42"/>
      <c r="PVW102" s="42"/>
      <c r="PVX102" s="42"/>
      <c r="PVY102" s="42"/>
      <c r="PVZ102" s="42"/>
      <c r="PWA102" s="42"/>
      <c r="PWB102" s="43">
        <v>0</v>
      </c>
      <c r="PWC102" s="42" t="s">
        <v>48</v>
      </c>
      <c r="PWD102" s="42"/>
      <c r="PWE102" s="42"/>
      <c r="PWF102" s="42"/>
      <c r="PWG102" s="42"/>
      <c r="PWH102" s="42"/>
      <c r="PWI102" s="42"/>
      <c r="PWJ102" s="43">
        <v>0</v>
      </c>
      <c r="PWK102" s="42" t="s">
        <v>48</v>
      </c>
      <c r="PWL102" s="42"/>
      <c r="PWM102" s="42"/>
      <c r="PWN102" s="42"/>
      <c r="PWO102" s="42"/>
      <c r="PWP102" s="42"/>
      <c r="PWQ102" s="42"/>
      <c r="PWR102" s="43">
        <v>0</v>
      </c>
      <c r="PWS102" s="42" t="s">
        <v>48</v>
      </c>
      <c r="PWT102" s="42"/>
      <c r="PWU102" s="42"/>
      <c r="PWV102" s="42"/>
      <c r="PWW102" s="42"/>
      <c r="PWX102" s="42"/>
      <c r="PWY102" s="42"/>
      <c r="PWZ102" s="43">
        <v>0</v>
      </c>
      <c r="PXA102" s="42" t="s">
        <v>48</v>
      </c>
      <c r="PXB102" s="42"/>
      <c r="PXC102" s="42"/>
      <c r="PXD102" s="42"/>
      <c r="PXE102" s="42"/>
      <c r="PXF102" s="42"/>
      <c r="PXG102" s="42"/>
      <c r="PXH102" s="43">
        <v>0</v>
      </c>
      <c r="PXI102" s="42" t="s">
        <v>48</v>
      </c>
      <c r="PXJ102" s="42"/>
      <c r="PXK102" s="42"/>
      <c r="PXL102" s="42"/>
      <c r="PXM102" s="42"/>
      <c r="PXN102" s="42"/>
      <c r="PXO102" s="42"/>
      <c r="PXP102" s="43">
        <v>0</v>
      </c>
      <c r="PXQ102" s="42" t="s">
        <v>48</v>
      </c>
      <c r="PXR102" s="42"/>
      <c r="PXS102" s="42"/>
      <c r="PXT102" s="42"/>
      <c r="PXU102" s="42"/>
      <c r="PXV102" s="42"/>
      <c r="PXW102" s="42"/>
      <c r="PXX102" s="43">
        <v>0</v>
      </c>
      <c r="PXY102" s="42" t="s">
        <v>48</v>
      </c>
      <c r="PXZ102" s="42"/>
      <c r="PYA102" s="42"/>
      <c r="PYB102" s="42"/>
      <c r="PYC102" s="42"/>
      <c r="PYD102" s="42"/>
      <c r="PYE102" s="42"/>
      <c r="PYF102" s="43">
        <v>0</v>
      </c>
      <c r="PYG102" s="42" t="s">
        <v>48</v>
      </c>
      <c r="PYH102" s="42"/>
      <c r="PYI102" s="42"/>
      <c r="PYJ102" s="42"/>
      <c r="PYK102" s="42"/>
      <c r="PYL102" s="42"/>
      <c r="PYM102" s="42"/>
      <c r="PYN102" s="43">
        <v>0</v>
      </c>
      <c r="PYO102" s="42" t="s">
        <v>48</v>
      </c>
      <c r="PYP102" s="42"/>
      <c r="PYQ102" s="42"/>
      <c r="PYR102" s="42"/>
      <c r="PYS102" s="42"/>
      <c r="PYT102" s="42"/>
      <c r="PYU102" s="42"/>
      <c r="PYV102" s="43">
        <v>0</v>
      </c>
      <c r="PYW102" s="42" t="s">
        <v>48</v>
      </c>
      <c r="PYX102" s="42"/>
      <c r="PYY102" s="42"/>
      <c r="PYZ102" s="42"/>
      <c r="PZA102" s="42"/>
      <c r="PZB102" s="42"/>
      <c r="PZC102" s="42"/>
      <c r="PZD102" s="43">
        <v>0</v>
      </c>
      <c r="PZE102" s="42" t="s">
        <v>48</v>
      </c>
      <c r="PZF102" s="42"/>
      <c r="PZG102" s="42"/>
      <c r="PZH102" s="42"/>
      <c r="PZI102" s="42"/>
      <c r="PZJ102" s="42"/>
      <c r="PZK102" s="42"/>
      <c r="PZL102" s="43">
        <v>0</v>
      </c>
      <c r="PZM102" s="42" t="s">
        <v>48</v>
      </c>
      <c r="PZN102" s="42"/>
      <c r="PZO102" s="42"/>
      <c r="PZP102" s="42"/>
      <c r="PZQ102" s="42"/>
      <c r="PZR102" s="42"/>
      <c r="PZS102" s="42"/>
      <c r="PZT102" s="43">
        <v>0</v>
      </c>
      <c r="PZU102" s="42" t="s">
        <v>48</v>
      </c>
      <c r="PZV102" s="42"/>
      <c r="PZW102" s="42"/>
      <c r="PZX102" s="42"/>
      <c r="PZY102" s="42"/>
      <c r="PZZ102" s="42"/>
      <c r="QAA102" s="42"/>
      <c r="QAB102" s="43">
        <v>0</v>
      </c>
      <c r="QAC102" s="42" t="s">
        <v>48</v>
      </c>
      <c r="QAD102" s="42"/>
      <c r="QAE102" s="42"/>
      <c r="QAF102" s="42"/>
      <c r="QAG102" s="42"/>
      <c r="QAH102" s="42"/>
      <c r="QAI102" s="42"/>
      <c r="QAJ102" s="43">
        <v>0</v>
      </c>
      <c r="QAK102" s="42" t="s">
        <v>48</v>
      </c>
      <c r="QAL102" s="42"/>
      <c r="QAM102" s="42"/>
      <c r="QAN102" s="42"/>
      <c r="QAO102" s="42"/>
      <c r="QAP102" s="42"/>
      <c r="QAQ102" s="42"/>
      <c r="QAR102" s="43">
        <v>0</v>
      </c>
      <c r="QAS102" s="42" t="s">
        <v>48</v>
      </c>
      <c r="QAT102" s="42"/>
      <c r="QAU102" s="42"/>
      <c r="QAV102" s="42"/>
      <c r="QAW102" s="42"/>
      <c r="QAX102" s="42"/>
      <c r="QAY102" s="42"/>
      <c r="QAZ102" s="43">
        <v>0</v>
      </c>
      <c r="QBA102" s="42" t="s">
        <v>48</v>
      </c>
      <c r="QBB102" s="42"/>
      <c r="QBC102" s="42"/>
      <c r="QBD102" s="42"/>
      <c r="QBE102" s="42"/>
      <c r="QBF102" s="42"/>
      <c r="QBG102" s="42"/>
      <c r="QBH102" s="43">
        <v>0</v>
      </c>
      <c r="QBI102" s="42" t="s">
        <v>48</v>
      </c>
      <c r="QBJ102" s="42"/>
      <c r="QBK102" s="42"/>
      <c r="QBL102" s="42"/>
      <c r="QBM102" s="42"/>
      <c r="QBN102" s="42"/>
      <c r="QBO102" s="42"/>
      <c r="QBP102" s="43">
        <v>0</v>
      </c>
      <c r="QBQ102" s="42" t="s">
        <v>48</v>
      </c>
      <c r="QBR102" s="42"/>
      <c r="QBS102" s="42"/>
      <c r="QBT102" s="42"/>
      <c r="QBU102" s="42"/>
      <c r="QBV102" s="42"/>
      <c r="QBW102" s="42"/>
      <c r="QBX102" s="43">
        <v>0</v>
      </c>
      <c r="QBY102" s="42" t="s">
        <v>48</v>
      </c>
      <c r="QBZ102" s="42"/>
      <c r="QCA102" s="42"/>
      <c r="QCB102" s="42"/>
      <c r="QCC102" s="42"/>
      <c r="QCD102" s="42"/>
      <c r="QCE102" s="42"/>
      <c r="QCF102" s="43">
        <v>0</v>
      </c>
      <c r="QCG102" s="42" t="s">
        <v>48</v>
      </c>
      <c r="QCH102" s="42"/>
      <c r="QCI102" s="42"/>
      <c r="QCJ102" s="42"/>
      <c r="QCK102" s="42"/>
      <c r="QCL102" s="42"/>
      <c r="QCM102" s="42"/>
      <c r="QCN102" s="43">
        <v>0</v>
      </c>
      <c r="QCO102" s="42" t="s">
        <v>48</v>
      </c>
      <c r="QCP102" s="42"/>
      <c r="QCQ102" s="42"/>
      <c r="QCR102" s="42"/>
      <c r="QCS102" s="42"/>
      <c r="QCT102" s="42"/>
      <c r="QCU102" s="42"/>
      <c r="QCV102" s="43">
        <v>0</v>
      </c>
      <c r="QCW102" s="42" t="s">
        <v>48</v>
      </c>
      <c r="QCX102" s="42"/>
      <c r="QCY102" s="42"/>
      <c r="QCZ102" s="42"/>
      <c r="QDA102" s="42"/>
      <c r="QDB102" s="42"/>
      <c r="QDC102" s="42"/>
      <c r="QDD102" s="43">
        <v>0</v>
      </c>
      <c r="QDE102" s="42" t="s">
        <v>48</v>
      </c>
      <c r="QDF102" s="42"/>
      <c r="QDG102" s="42"/>
      <c r="QDH102" s="42"/>
      <c r="QDI102" s="42"/>
      <c r="QDJ102" s="42"/>
      <c r="QDK102" s="42"/>
      <c r="QDL102" s="43">
        <v>0</v>
      </c>
      <c r="QDM102" s="42" t="s">
        <v>48</v>
      </c>
      <c r="QDN102" s="42"/>
      <c r="QDO102" s="42"/>
      <c r="QDP102" s="42"/>
      <c r="QDQ102" s="42"/>
      <c r="QDR102" s="42"/>
      <c r="QDS102" s="42"/>
      <c r="QDT102" s="43">
        <v>0</v>
      </c>
      <c r="QDU102" s="42" t="s">
        <v>48</v>
      </c>
      <c r="QDV102" s="42"/>
      <c r="QDW102" s="42"/>
      <c r="QDX102" s="42"/>
      <c r="QDY102" s="42"/>
      <c r="QDZ102" s="42"/>
      <c r="QEA102" s="42"/>
      <c r="QEB102" s="43">
        <v>0</v>
      </c>
      <c r="QEC102" s="42" t="s">
        <v>48</v>
      </c>
      <c r="QED102" s="42"/>
      <c r="QEE102" s="42"/>
      <c r="QEF102" s="42"/>
      <c r="QEG102" s="42"/>
      <c r="QEH102" s="42"/>
      <c r="QEI102" s="42"/>
      <c r="QEJ102" s="43">
        <v>0</v>
      </c>
      <c r="QEK102" s="42" t="s">
        <v>48</v>
      </c>
      <c r="QEL102" s="42"/>
      <c r="QEM102" s="42"/>
      <c r="QEN102" s="42"/>
      <c r="QEO102" s="42"/>
      <c r="QEP102" s="42"/>
      <c r="QEQ102" s="42"/>
      <c r="QER102" s="43">
        <v>0</v>
      </c>
      <c r="QES102" s="42" t="s">
        <v>48</v>
      </c>
      <c r="QET102" s="42"/>
      <c r="QEU102" s="42"/>
      <c r="QEV102" s="42"/>
      <c r="QEW102" s="42"/>
      <c r="QEX102" s="42"/>
      <c r="QEY102" s="42"/>
      <c r="QEZ102" s="43">
        <v>0</v>
      </c>
      <c r="QFA102" s="42" t="s">
        <v>48</v>
      </c>
      <c r="QFB102" s="42"/>
      <c r="QFC102" s="42"/>
      <c r="QFD102" s="42"/>
      <c r="QFE102" s="42"/>
      <c r="QFF102" s="42"/>
      <c r="QFG102" s="42"/>
      <c r="QFH102" s="43">
        <v>0</v>
      </c>
      <c r="QFI102" s="42" t="s">
        <v>48</v>
      </c>
      <c r="QFJ102" s="42"/>
      <c r="QFK102" s="42"/>
      <c r="QFL102" s="42"/>
      <c r="QFM102" s="42"/>
      <c r="QFN102" s="42"/>
      <c r="QFO102" s="42"/>
      <c r="QFP102" s="43">
        <v>0</v>
      </c>
      <c r="QFQ102" s="42" t="s">
        <v>48</v>
      </c>
      <c r="QFR102" s="42"/>
      <c r="QFS102" s="42"/>
      <c r="QFT102" s="42"/>
      <c r="QFU102" s="42"/>
      <c r="QFV102" s="42"/>
      <c r="QFW102" s="42"/>
      <c r="QFX102" s="43">
        <v>0</v>
      </c>
      <c r="QFY102" s="42" t="s">
        <v>48</v>
      </c>
      <c r="QFZ102" s="42"/>
      <c r="QGA102" s="42"/>
      <c r="QGB102" s="42"/>
      <c r="QGC102" s="42"/>
      <c r="QGD102" s="42"/>
      <c r="QGE102" s="42"/>
      <c r="QGF102" s="43">
        <v>0</v>
      </c>
      <c r="QGG102" s="42" t="s">
        <v>48</v>
      </c>
      <c r="QGH102" s="42"/>
      <c r="QGI102" s="42"/>
      <c r="QGJ102" s="42"/>
      <c r="QGK102" s="42"/>
      <c r="QGL102" s="42"/>
      <c r="QGM102" s="42"/>
      <c r="QGN102" s="43">
        <v>0</v>
      </c>
      <c r="QGO102" s="42" t="s">
        <v>48</v>
      </c>
      <c r="QGP102" s="42"/>
      <c r="QGQ102" s="42"/>
      <c r="QGR102" s="42"/>
      <c r="QGS102" s="42"/>
      <c r="QGT102" s="42"/>
      <c r="QGU102" s="42"/>
      <c r="QGV102" s="43">
        <v>0</v>
      </c>
      <c r="QGW102" s="42" t="s">
        <v>48</v>
      </c>
      <c r="QGX102" s="42"/>
      <c r="QGY102" s="42"/>
      <c r="QGZ102" s="42"/>
      <c r="QHA102" s="42"/>
      <c r="QHB102" s="42"/>
      <c r="QHC102" s="42"/>
      <c r="QHD102" s="43">
        <v>0</v>
      </c>
      <c r="QHE102" s="42" t="s">
        <v>48</v>
      </c>
      <c r="QHF102" s="42"/>
      <c r="QHG102" s="42"/>
      <c r="QHH102" s="42"/>
      <c r="QHI102" s="42"/>
      <c r="QHJ102" s="42"/>
      <c r="QHK102" s="42"/>
      <c r="QHL102" s="43">
        <v>0</v>
      </c>
      <c r="QHM102" s="42" t="s">
        <v>48</v>
      </c>
      <c r="QHN102" s="42"/>
      <c r="QHO102" s="42"/>
      <c r="QHP102" s="42"/>
      <c r="QHQ102" s="42"/>
      <c r="QHR102" s="42"/>
      <c r="QHS102" s="42"/>
      <c r="QHT102" s="43">
        <v>0</v>
      </c>
      <c r="QHU102" s="42" t="s">
        <v>48</v>
      </c>
      <c r="QHV102" s="42"/>
      <c r="QHW102" s="42"/>
      <c r="QHX102" s="42"/>
      <c r="QHY102" s="42"/>
      <c r="QHZ102" s="42"/>
      <c r="QIA102" s="42"/>
      <c r="QIB102" s="43">
        <v>0</v>
      </c>
      <c r="QIC102" s="42" t="s">
        <v>48</v>
      </c>
      <c r="QID102" s="42"/>
      <c r="QIE102" s="42"/>
      <c r="QIF102" s="42"/>
      <c r="QIG102" s="42"/>
      <c r="QIH102" s="42"/>
      <c r="QII102" s="42"/>
      <c r="QIJ102" s="43">
        <v>0</v>
      </c>
      <c r="QIK102" s="42" t="s">
        <v>48</v>
      </c>
      <c r="QIL102" s="42"/>
      <c r="QIM102" s="42"/>
      <c r="QIN102" s="42"/>
      <c r="QIO102" s="42"/>
      <c r="QIP102" s="42"/>
      <c r="QIQ102" s="42"/>
      <c r="QIR102" s="43">
        <v>0</v>
      </c>
      <c r="QIS102" s="42" t="s">
        <v>48</v>
      </c>
      <c r="QIT102" s="42"/>
      <c r="QIU102" s="42"/>
      <c r="QIV102" s="42"/>
      <c r="QIW102" s="42"/>
      <c r="QIX102" s="42"/>
      <c r="QIY102" s="42"/>
      <c r="QIZ102" s="43">
        <v>0</v>
      </c>
      <c r="QJA102" s="42" t="s">
        <v>48</v>
      </c>
      <c r="QJB102" s="42"/>
      <c r="QJC102" s="42"/>
      <c r="QJD102" s="42"/>
      <c r="QJE102" s="42"/>
      <c r="QJF102" s="42"/>
      <c r="QJG102" s="42"/>
      <c r="QJH102" s="43">
        <v>0</v>
      </c>
      <c r="QJI102" s="42" t="s">
        <v>48</v>
      </c>
      <c r="QJJ102" s="42"/>
      <c r="QJK102" s="42"/>
      <c r="QJL102" s="42"/>
      <c r="QJM102" s="42"/>
      <c r="QJN102" s="42"/>
      <c r="QJO102" s="42"/>
      <c r="QJP102" s="43">
        <v>0</v>
      </c>
      <c r="QJQ102" s="42" t="s">
        <v>48</v>
      </c>
      <c r="QJR102" s="42"/>
      <c r="QJS102" s="42"/>
      <c r="QJT102" s="42"/>
      <c r="QJU102" s="42"/>
      <c r="QJV102" s="42"/>
      <c r="QJW102" s="42"/>
      <c r="QJX102" s="43">
        <v>0</v>
      </c>
      <c r="QJY102" s="42" t="s">
        <v>48</v>
      </c>
      <c r="QJZ102" s="42"/>
      <c r="QKA102" s="42"/>
      <c r="QKB102" s="42"/>
      <c r="QKC102" s="42"/>
      <c r="QKD102" s="42"/>
      <c r="QKE102" s="42"/>
      <c r="QKF102" s="43">
        <v>0</v>
      </c>
      <c r="QKG102" s="42" t="s">
        <v>48</v>
      </c>
      <c r="QKH102" s="42"/>
      <c r="QKI102" s="42"/>
      <c r="QKJ102" s="42"/>
      <c r="QKK102" s="42"/>
      <c r="QKL102" s="42"/>
      <c r="QKM102" s="42"/>
      <c r="QKN102" s="43">
        <v>0</v>
      </c>
      <c r="QKO102" s="42" t="s">
        <v>48</v>
      </c>
      <c r="QKP102" s="42"/>
      <c r="QKQ102" s="42"/>
      <c r="QKR102" s="42"/>
      <c r="QKS102" s="42"/>
      <c r="QKT102" s="42"/>
      <c r="QKU102" s="42"/>
      <c r="QKV102" s="43">
        <v>0</v>
      </c>
      <c r="QKW102" s="42" t="s">
        <v>48</v>
      </c>
      <c r="QKX102" s="42"/>
      <c r="QKY102" s="42"/>
      <c r="QKZ102" s="42"/>
      <c r="QLA102" s="42"/>
      <c r="QLB102" s="42"/>
      <c r="QLC102" s="42"/>
      <c r="QLD102" s="43">
        <v>0</v>
      </c>
      <c r="QLE102" s="42" t="s">
        <v>48</v>
      </c>
      <c r="QLF102" s="42"/>
      <c r="QLG102" s="42"/>
      <c r="QLH102" s="42"/>
      <c r="QLI102" s="42"/>
      <c r="QLJ102" s="42"/>
      <c r="QLK102" s="42"/>
      <c r="QLL102" s="43">
        <v>0</v>
      </c>
      <c r="QLM102" s="42" t="s">
        <v>48</v>
      </c>
      <c r="QLN102" s="42"/>
      <c r="QLO102" s="42"/>
      <c r="QLP102" s="42"/>
      <c r="QLQ102" s="42"/>
      <c r="QLR102" s="42"/>
      <c r="QLS102" s="42"/>
      <c r="QLT102" s="43">
        <v>0</v>
      </c>
      <c r="QLU102" s="42" t="s">
        <v>48</v>
      </c>
      <c r="QLV102" s="42"/>
      <c r="QLW102" s="42"/>
      <c r="QLX102" s="42"/>
      <c r="QLY102" s="42"/>
      <c r="QLZ102" s="42"/>
      <c r="QMA102" s="42"/>
      <c r="QMB102" s="43">
        <v>0</v>
      </c>
      <c r="QMC102" s="42" t="s">
        <v>48</v>
      </c>
      <c r="QMD102" s="42"/>
      <c r="QME102" s="42"/>
      <c r="QMF102" s="42"/>
      <c r="QMG102" s="42"/>
      <c r="QMH102" s="42"/>
      <c r="QMI102" s="42"/>
      <c r="QMJ102" s="43">
        <v>0</v>
      </c>
      <c r="QMK102" s="42" t="s">
        <v>48</v>
      </c>
      <c r="QML102" s="42"/>
      <c r="QMM102" s="42"/>
      <c r="QMN102" s="42"/>
      <c r="QMO102" s="42"/>
      <c r="QMP102" s="42"/>
      <c r="QMQ102" s="42"/>
      <c r="QMR102" s="43">
        <v>0</v>
      </c>
      <c r="QMS102" s="42" t="s">
        <v>48</v>
      </c>
      <c r="QMT102" s="42"/>
      <c r="QMU102" s="42"/>
      <c r="QMV102" s="42"/>
      <c r="QMW102" s="42"/>
      <c r="QMX102" s="42"/>
      <c r="QMY102" s="42"/>
      <c r="QMZ102" s="43">
        <v>0</v>
      </c>
      <c r="QNA102" s="42" t="s">
        <v>48</v>
      </c>
      <c r="QNB102" s="42"/>
      <c r="QNC102" s="42"/>
      <c r="QND102" s="42"/>
      <c r="QNE102" s="42"/>
      <c r="QNF102" s="42"/>
      <c r="QNG102" s="42"/>
      <c r="QNH102" s="43">
        <v>0</v>
      </c>
      <c r="QNI102" s="42" t="s">
        <v>48</v>
      </c>
      <c r="QNJ102" s="42"/>
      <c r="QNK102" s="42"/>
      <c r="QNL102" s="42"/>
      <c r="QNM102" s="42"/>
      <c r="QNN102" s="42"/>
      <c r="QNO102" s="42"/>
      <c r="QNP102" s="43">
        <v>0</v>
      </c>
      <c r="QNQ102" s="42" t="s">
        <v>48</v>
      </c>
      <c r="QNR102" s="42"/>
      <c r="QNS102" s="42"/>
      <c r="QNT102" s="42"/>
      <c r="QNU102" s="42"/>
      <c r="QNV102" s="42"/>
      <c r="QNW102" s="42"/>
      <c r="QNX102" s="43">
        <v>0</v>
      </c>
      <c r="QNY102" s="42" t="s">
        <v>48</v>
      </c>
      <c r="QNZ102" s="42"/>
      <c r="QOA102" s="42"/>
      <c r="QOB102" s="42"/>
      <c r="QOC102" s="42"/>
      <c r="QOD102" s="42"/>
      <c r="QOE102" s="42"/>
      <c r="QOF102" s="43">
        <v>0</v>
      </c>
      <c r="QOG102" s="42" t="s">
        <v>48</v>
      </c>
      <c r="QOH102" s="42"/>
      <c r="QOI102" s="42"/>
      <c r="QOJ102" s="42"/>
      <c r="QOK102" s="42"/>
      <c r="QOL102" s="42"/>
      <c r="QOM102" s="42"/>
      <c r="QON102" s="43">
        <v>0</v>
      </c>
      <c r="QOO102" s="42" t="s">
        <v>48</v>
      </c>
      <c r="QOP102" s="42"/>
      <c r="QOQ102" s="42"/>
      <c r="QOR102" s="42"/>
      <c r="QOS102" s="42"/>
      <c r="QOT102" s="42"/>
      <c r="QOU102" s="42"/>
      <c r="QOV102" s="43">
        <v>0</v>
      </c>
      <c r="QOW102" s="42" t="s">
        <v>48</v>
      </c>
      <c r="QOX102" s="42"/>
      <c r="QOY102" s="42"/>
      <c r="QOZ102" s="42"/>
      <c r="QPA102" s="42"/>
      <c r="QPB102" s="42"/>
      <c r="QPC102" s="42"/>
      <c r="QPD102" s="43">
        <v>0</v>
      </c>
      <c r="QPE102" s="42" t="s">
        <v>48</v>
      </c>
      <c r="QPF102" s="42"/>
      <c r="QPG102" s="42"/>
      <c r="QPH102" s="42"/>
      <c r="QPI102" s="42"/>
      <c r="QPJ102" s="42"/>
      <c r="QPK102" s="42"/>
      <c r="QPL102" s="43">
        <v>0</v>
      </c>
      <c r="QPM102" s="42" t="s">
        <v>48</v>
      </c>
      <c r="QPN102" s="42"/>
      <c r="QPO102" s="42"/>
      <c r="QPP102" s="42"/>
      <c r="QPQ102" s="42"/>
      <c r="QPR102" s="42"/>
      <c r="QPS102" s="42"/>
      <c r="QPT102" s="43">
        <v>0</v>
      </c>
      <c r="QPU102" s="42" t="s">
        <v>48</v>
      </c>
      <c r="QPV102" s="42"/>
      <c r="QPW102" s="42"/>
      <c r="QPX102" s="42"/>
      <c r="QPY102" s="42"/>
      <c r="QPZ102" s="42"/>
      <c r="QQA102" s="42"/>
      <c r="QQB102" s="43">
        <v>0</v>
      </c>
      <c r="QQC102" s="42" t="s">
        <v>48</v>
      </c>
      <c r="QQD102" s="42"/>
      <c r="QQE102" s="42"/>
      <c r="QQF102" s="42"/>
      <c r="QQG102" s="42"/>
      <c r="QQH102" s="42"/>
      <c r="QQI102" s="42"/>
      <c r="QQJ102" s="43">
        <v>0</v>
      </c>
      <c r="QQK102" s="42" t="s">
        <v>48</v>
      </c>
      <c r="QQL102" s="42"/>
      <c r="QQM102" s="42"/>
      <c r="QQN102" s="42"/>
      <c r="QQO102" s="42"/>
      <c r="QQP102" s="42"/>
      <c r="QQQ102" s="42"/>
      <c r="QQR102" s="43">
        <v>0</v>
      </c>
      <c r="QQS102" s="42" t="s">
        <v>48</v>
      </c>
      <c r="QQT102" s="42"/>
      <c r="QQU102" s="42"/>
      <c r="QQV102" s="42"/>
      <c r="QQW102" s="42"/>
      <c r="QQX102" s="42"/>
      <c r="QQY102" s="42"/>
      <c r="QQZ102" s="43">
        <v>0</v>
      </c>
      <c r="QRA102" s="42" t="s">
        <v>48</v>
      </c>
      <c r="QRB102" s="42"/>
      <c r="QRC102" s="42"/>
      <c r="QRD102" s="42"/>
      <c r="QRE102" s="42"/>
      <c r="QRF102" s="42"/>
      <c r="QRG102" s="42"/>
      <c r="QRH102" s="43">
        <v>0</v>
      </c>
      <c r="QRI102" s="42" t="s">
        <v>48</v>
      </c>
      <c r="QRJ102" s="42"/>
      <c r="QRK102" s="42"/>
      <c r="QRL102" s="42"/>
      <c r="QRM102" s="42"/>
      <c r="QRN102" s="42"/>
      <c r="QRO102" s="42"/>
      <c r="QRP102" s="43">
        <v>0</v>
      </c>
      <c r="QRQ102" s="42" t="s">
        <v>48</v>
      </c>
      <c r="QRR102" s="42"/>
      <c r="QRS102" s="42"/>
      <c r="QRT102" s="42"/>
      <c r="QRU102" s="42"/>
      <c r="QRV102" s="42"/>
      <c r="QRW102" s="42"/>
      <c r="QRX102" s="43">
        <v>0</v>
      </c>
      <c r="QRY102" s="42" t="s">
        <v>48</v>
      </c>
      <c r="QRZ102" s="42"/>
      <c r="QSA102" s="42"/>
      <c r="QSB102" s="42"/>
      <c r="QSC102" s="42"/>
      <c r="QSD102" s="42"/>
      <c r="QSE102" s="42"/>
      <c r="QSF102" s="43">
        <v>0</v>
      </c>
      <c r="QSG102" s="42" t="s">
        <v>48</v>
      </c>
      <c r="QSH102" s="42"/>
      <c r="QSI102" s="42"/>
      <c r="QSJ102" s="42"/>
      <c r="QSK102" s="42"/>
      <c r="QSL102" s="42"/>
      <c r="QSM102" s="42"/>
      <c r="QSN102" s="43">
        <v>0</v>
      </c>
      <c r="QSO102" s="42" t="s">
        <v>48</v>
      </c>
      <c r="QSP102" s="42"/>
      <c r="QSQ102" s="42"/>
      <c r="QSR102" s="42"/>
      <c r="QSS102" s="42"/>
      <c r="QST102" s="42"/>
      <c r="QSU102" s="42"/>
      <c r="QSV102" s="43">
        <v>0</v>
      </c>
      <c r="QSW102" s="42" t="s">
        <v>48</v>
      </c>
      <c r="QSX102" s="42"/>
      <c r="QSY102" s="42"/>
      <c r="QSZ102" s="42"/>
      <c r="QTA102" s="42"/>
      <c r="QTB102" s="42"/>
      <c r="QTC102" s="42"/>
      <c r="QTD102" s="43">
        <v>0</v>
      </c>
      <c r="QTE102" s="42" t="s">
        <v>48</v>
      </c>
      <c r="QTF102" s="42"/>
      <c r="QTG102" s="42"/>
      <c r="QTH102" s="42"/>
      <c r="QTI102" s="42"/>
      <c r="QTJ102" s="42"/>
      <c r="QTK102" s="42"/>
      <c r="QTL102" s="43">
        <v>0</v>
      </c>
      <c r="QTM102" s="42" t="s">
        <v>48</v>
      </c>
      <c r="QTN102" s="42"/>
      <c r="QTO102" s="42"/>
      <c r="QTP102" s="42"/>
      <c r="QTQ102" s="42"/>
      <c r="QTR102" s="42"/>
      <c r="QTS102" s="42"/>
      <c r="QTT102" s="43">
        <v>0</v>
      </c>
      <c r="QTU102" s="42" t="s">
        <v>48</v>
      </c>
      <c r="QTV102" s="42"/>
      <c r="QTW102" s="42"/>
      <c r="QTX102" s="42"/>
      <c r="QTY102" s="42"/>
      <c r="QTZ102" s="42"/>
      <c r="QUA102" s="42"/>
      <c r="QUB102" s="43">
        <v>0</v>
      </c>
      <c r="QUC102" s="42" t="s">
        <v>48</v>
      </c>
      <c r="QUD102" s="42"/>
      <c r="QUE102" s="42"/>
      <c r="QUF102" s="42"/>
      <c r="QUG102" s="42"/>
      <c r="QUH102" s="42"/>
      <c r="QUI102" s="42"/>
      <c r="QUJ102" s="43">
        <v>0</v>
      </c>
      <c r="QUK102" s="42" t="s">
        <v>48</v>
      </c>
      <c r="QUL102" s="42"/>
      <c r="QUM102" s="42"/>
      <c r="QUN102" s="42"/>
      <c r="QUO102" s="42"/>
      <c r="QUP102" s="42"/>
      <c r="QUQ102" s="42"/>
      <c r="QUR102" s="43">
        <v>0</v>
      </c>
      <c r="QUS102" s="42" t="s">
        <v>48</v>
      </c>
      <c r="QUT102" s="42"/>
      <c r="QUU102" s="42"/>
      <c r="QUV102" s="42"/>
      <c r="QUW102" s="42"/>
      <c r="QUX102" s="42"/>
      <c r="QUY102" s="42"/>
      <c r="QUZ102" s="43">
        <v>0</v>
      </c>
      <c r="QVA102" s="42" t="s">
        <v>48</v>
      </c>
      <c r="QVB102" s="42"/>
      <c r="QVC102" s="42"/>
      <c r="QVD102" s="42"/>
      <c r="QVE102" s="42"/>
      <c r="QVF102" s="42"/>
      <c r="QVG102" s="42"/>
      <c r="QVH102" s="43">
        <v>0</v>
      </c>
      <c r="QVI102" s="42" t="s">
        <v>48</v>
      </c>
      <c r="QVJ102" s="42"/>
      <c r="QVK102" s="42"/>
      <c r="QVL102" s="42"/>
      <c r="QVM102" s="42"/>
      <c r="QVN102" s="42"/>
      <c r="QVO102" s="42"/>
      <c r="QVP102" s="43">
        <v>0</v>
      </c>
      <c r="QVQ102" s="42" t="s">
        <v>48</v>
      </c>
      <c r="QVR102" s="42"/>
      <c r="QVS102" s="42"/>
      <c r="QVT102" s="42"/>
      <c r="QVU102" s="42"/>
      <c r="QVV102" s="42"/>
      <c r="QVW102" s="42"/>
      <c r="QVX102" s="43">
        <v>0</v>
      </c>
      <c r="QVY102" s="42" t="s">
        <v>48</v>
      </c>
      <c r="QVZ102" s="42"/>
      <c r="QWA102" s="42"/>
      <c r="QWB102" s="42"/>
      <c r="QWC102" s="42"/>
      <c r="QWD102" s="42"/>
      <c r="QWE102" s="42"/>
      <c r="QWF102" s="43">
        <v>0</v>
      </c>
      <c r="QWG102" s="42" t="s">
        <v>48</v>
      </c>
      <c r="QWH102" s="42"/>
      <c r="QWI102" s="42"/>
      <c r="QWJ102" s="42"/>
      <c r="QWK102" s="42"/>
      <c r="QWL102" s="42"/>
      <c r="QWM102" s="42"/>
      <c r="QWN102" s="43">
        <v>0</v>
      </c>
      <c r="QWO102" s="42" t="s">
        <v>48</v>
      </c>
      <c r="QWP102" s="42"/>
      <c r="QWQ102" s="42"/>
      <c r="QWR102" s="42"/>
      <c r="QWS102" s="42"/>
      <c r="QWT102" s="42"/>
      <c r="QWU102" s="42"/>
      <c r="QWV102" s="43">
        <v>0</v>
      </c>
      <c r="QWW102" s="42" t="s">
        <v>48</v>
      </c>
      <c r="QWX102" s="42"/>
      <c r="QWY102" s="42"/>
      <c r="QWZ102" s="42"/>
      <c r="QXA102" s="42"/>
      <c r="QXB102" s="42"/>
      <c r="QXC102" s="42"/>
      <c r="QXD102" s="43">
        <v>0</v>
      </c>
      <c r="QXE102" s="42" t="s">
        <v>48</v>
      </c>
      <c r="QXF102" s="42"/>
      <c r="QXG102" s="42"/>
      <c r="QXH102" s="42"/>
      <c r="QXI102" s="42"/>
      <c r="QXJ102" s="42"/>
      <c r="QXK102" s="42"/>
      <c r="QXL102" s="43">
        <v>0</v>
      </c>
      <c r="QXM102" s="42" t="s">
        <v>48</v>
      </c>
      <c r="QXN102" s="42"/>
      <c r="QXO102" s="42"/>
      <c r="QXP102" s="42"/>
      <c r="QXQ102" s="42"/>
      <c r="QXR102" s="42"/>
      <c r="QXS102" s="42"/>
      <c r="QXT102" s="43">
        <v>0</v>
      </c>
      <c r="QXU102" s="42" t="s">
        <v>48</v>
      </c>
      <c r="QXV102" s="42"/>
      <c r="QXW102" s="42"/>
      <c r="QXX102" s="42"/>
      <c r="QXY102" s="42"/>
      <c r="QXZ102" s="42"/>
      <c r="QYA102" s="42"/>
      <c r="QYB102" s="43">
        <v>0</v>
      </c>
      <c r="QYC102" s="42" t="s">
        <v>48</v>
      </c>
      <c r="QYD102" s="42"/>
      <c r="QYE102" s="42"/>
      <c r="QYF102" s="42"/>
      <c r="QYG102" s="42"/>
      <c r="QYH102" s="42"/>
      <c r="QYI102" s="42"/>
      <c r="QYJ102" s="43">
        <v>0</v>
      </c>
      <c r="QYK102" s="42" t="s">
        <v>48</v>
      </c>
      <c r="QYL102" s="42"/>
      <c r="QYM102" s="42"/>
      <c r="QYN102" s="42"/>
      <c r="QYO102" s="42"/>
      <c r="QYP102" s="42"/>
      <c r="QYQ102" s="42"/>
      <c r="QYR102" s="43">
        <v>0</v>
      </c>
      <c r="QYS102" s="42" t="s">
        <v>48</v>
      </c>
      <c r="QYT102" s="42"/>
      <c r="QYU102" s="42"/>
      <c r="QYV102" s="42"/>
      <c r="QYW102" s="42"/>
      <c r="QYX102" s="42"/>
      <c r="QYY102" s="42"/>
      <c r="QYZ102" s="43">
        <v>0</v>
      </c>
      <c r="QZA102" s="42" t="s">
        <v>48</v>
      </c>
      <c r="QZB102" s="42"/>
      <c r="QZC102" s="42"/>
      <c r="QZD102" s="42"/>
      <c r="QZE102" s="42"/>
      <c r="QZF102" s="42"/>
      <c r="QZG102" s="42"/>
      <c r="QZH102" s="43">
        <v>0</v>
      </c>
      <c r="QZI102" s="42" t="s">
        <v>48</v>
      </c>
      <c r="QZJ102" s="42"/>
      <c r="QZK102" s="42"/>
      <c r="QZL102" s="42"/>
      <c r="QZM102" s="42"/>
      <c r="QZN102" s="42"/>
      <c r="QZO102" s="42"/>
      <c r="QZP102" s="43">
        <v>0</v>
      </c>
      <c r="QZQ102" s="42" t="s">
        <v>48</v>
      </c>
      <c r="QZR102" s="42"/>
      <c r="QZS102" s="42"/>
      <c r="QZT102" s="42"/>
      <c r="QZU102" s="42"/>
      <c r="QZV102" s="42"/>
      <c r="QZW102" s="42"/>
      <c r="QZX102" s="43">
        <v>0</v>
      </c>
      <c r="QZY102" s="42" t="s">
        <v>48</v>
      </c>
      <c r="QZZ102" s="42"/>
      <c r="RAA102" s="42"/>
      <c r="RAB102" s="42"/>
      <c r="RAC102" s="42"/>
      <c r="RAD102" s="42"/>
      <c r="RAE102" s="42"/>
      <c r="RAF102" s="43">
        <v>0</v>
      </c>
      <c r="RAG102" s="42" t="s">
        <v>48</v>
      </c>
      <c r="RAH102" s="42"/>
      <c r="RAI102" s="42"/>
      <c r="RAJ102" s="42"/>
      <c r="RAK102" s="42"/>
      <c r="RAL102" s="42"/>
      <c r="RAM102" s="42"/>
      <c r="RAN102" s="43">
        <v>0</v>
      </c>
      <c r="RAO102" s="42" t="s">
        <v>48</v>
      </c>
      <c r="RAP102" s="42"/>
      <c r="RAQ102" s="42"/>
      <c r="RAR102" s="42"/>
      <c r="RAS102" s="42"/>
      <c r="RAT102" s="42"/>
      <c r="RAU102" s="42"/>
      <c r="RAV102" s="43">
        <v>0</v>
      </c>
      <c r="RAW102" s="42" t="s">
        <v>48</v>
      </c>
      <c r="RAX102" s="42"/>
      <c r="RAY102" s="42"/>
      <c r="RAZ102" s="42"/>
      <c r="RBA102" s="42"/>
      <c r="RBB102" s="42"/>
      <c r="RBC102" s="42"/>
      <c r="RBD102" s="43">
        <v>0</v>
      </c>
      <c r="RBE102" s="42" t="s">
        <v>48</v>
      </c>
      <c r="RBF102" s="42"/>
      <c r="RBG102" s="42"/>
      <c r="RBH102" s="42"/>
      <c r="RBI102" s="42"/>
      <c r="RBJ102" s="42"/>
      <c r="RBK102" s="42"/>
      <c r="RBL102" s="43">
        <v>0</v>
      </c>
      <c r="RBM102" s="42" t="s">
        <v>48</v>
      </c>
      <c r="RBN102" s="42"/>
      <c r="RBO102" s="42"/>
      <c r="RBP102" s="42"/>
      <c r="RBQ102" s="42"/>
      <c r="RBR102" s="42"/>
      <c r="RBS102" s="42"/>
      <c r="RBT102" s="43">
        <v>0</v>
      </c>
      <c r="RBU102" s="42" t="s">
        <v>48</v>
      </c>
      <c r="RBV102" s="42"/>
      <c r="RBW102" s="42"/>
      <c r="RBX102" s="42"/>
      <c r="RBY102" s="42"/>
      <c r="RBZ102" s="42"/>
      <c r="RCA102" s="42"/>
      <c r="RCB102" s="43">
        <v>0</v>
      </c>
      <c r="RCC102" s="42" t="s">
        <v>48</v>
      </c>
      <c r="RCD102" s="42"/>
      <c r="RCE102" s="42"/>
      <c r="RCF102" s="42"/>
      <c r="RCG102" s="42"/>
      <c r="RCH102" s="42"/>
      <c r="RCI102" s="42"/>
      <c r="RCJ102" s="43">
        <v>0</v>
      </c>
      <c r="RCK102" s="42" t="s">
        <v>48</v>
      </c>
      <c r="RCL102" s="42"/>
      <c r="RCM102" s="42"/>
      <c r="RCN102" s="42"/>
      <c r="RCO102" s="42"/>
      <c r="RCP102" s="42"/>
      <c r="RCQ102" s="42"/>
      <c r="RCR102" s="43">
        <v>0</v>
      </c>
      <c r="RCS102" s="42" t="s">
        <v>48</v>
      </c>
      <c r="RCT102" s="42"/>
      <c r="RCU102" s="42"/>
      <c r="RCV102" s="42"/>
      <c r="RCW102" s="42"/>
      <c r="RCX102" s="42"/>
      <c r="RCY102" s="42"/>
      <c r="RCZ102" s="43">
        <v>0</v>
      </c>
      <c r="RDA102" s="42" t="s">
        <v>48</v>
      </c>
      <c r="RDB102" s="42"/>
      <c r="RDC102" s="42"/>
      <c r="RDD102" s="42"/>
      <c r="RDE102" s="42"/>
      <c r="RDF102" s="42"/>
      <c r="RDG102" s="42"/>
      <c r="RDH102" s="43">
        <v>0</v>
      </c>
      <c r="RDI102" s="42" t="s">
        <v>48</v>
      </c>
      <c r="RDJ102" s="42"/>
      <c r="RDK102" s="42"/>
      <c r="RDL102" s="42"/>
      <c r="RDM102" s="42"/>
      <c r="RDN102" s="42"/>
      <c r="RDO102" s="42"/>
      <c r="RDP102" s="43">
        <v>0</v>
      </c>
      <c r="RDQ102" s="42" t="s">
        <v>48</v>
      </c>
      <c r="RDR102" s="42"/>
      <c r="RDS102" s="42"/>
      <c r="RDT102" s="42"/>
      <c r="RDU102" s="42"/>
      <c r="RDV102" s="42"/>
      <c r="RDW102" s="42"/>
      <c r="RDX102" s="43">
        <v>0</v>
      </c>
      <c r="RDY102" s="42" t="s">
        <v>48</v>
      </c>
      <c r="RDZ102" s="42"/>
      <c r="REA102" s="42"/>
      <c r="REB102" s="42"/>
      <c r="REC102" s="42"/>
      <c r="RED102" s="42"/>
      <c r="REE102" s="42"/>
      <c r="REF102" s="43">
        <v>0</v>
      </c>
      <c r="REG102" s="42" t="s">
        <v>48</v>
      </c>
      <c r="REH102" s="42"/>
      <c r="REI102" s="42"/>
      <c r="REJ102" s="42"/>
      <c r="REK102" s="42"/>
      <c r="REL102" s="42"/>
      <c r="REM102" s="42"/>
      <c r="REN102" s="43">
        <v>0</v>
      </c>
      <c r="REO102" s="42" t="s">
        <v>48</v>
      </c>
      <c r="REP102" s="42"/>
      <c r="REQ102" s="42"/>
      <c r="RER102" s="42"/>
      <c r="RES102" s="42"/>
      <c r="RET102" s="42"/>
      <c r="REU102" s="42"/>
      <c r="REV102" s="43">
        <v>0</v>
      </c>
      <c r="REW102" s="42" t="s">
        <v>48</v>
      </c>
      <c r="REX102" s="42"/>
      <c r="REY102" s="42"/>
      <c r="REZ102" s="42"/>
      <c r="RFA102" s="42"/>
      <c r="RFB102" s="42"/>
      <c r="RFC102" s="42"/>
      <c r="RFD102" s="43">
        <v>0</v>
      </c>
      <c r="RFE102" s="42" t="s">
        <v>48</v>
      </c>
      <c r="RFF102" s="42"/>
      <c r="RFG102" s="42"/>
      <c r="RFH102" s="42"/>
      <c r="RFI102" s="42"/>
      <c r="RFJ102" s="42"/>
      <c r="RFK102" s="42"/>
      <c r="RFL102" s="43">
        <v>0</v>
      </c>
      <c r="RFM102" s="42" t="s">
        <v>48</v>
      </c>
      <c r="RFN102" s="42"/>
      <c r="RFO102" s="42"/>
      <c r="RFP102" s="42"/>
      <c r="RFQ102" s="42"/>
      <c r="RFR102" s="42"/>
      <c r="RFS102" s="42"/>
      <c r="RFT102" s="43">
        <v>0</v>
      </c>
      <c r="RFU102" s="42" t="s">
        <v>48</v>
      </c>
      <c r="RFV102" s="42"/>
      <c r="RFW102" s="42"/>
      <c r="RFX102" s="42"/>
      <c r="RFY102" s="42"/>
      <c r="RFZ102" s="42"/>
      <c r="RGA102" s="42"/>
      <c r="RGB102" s="43">
        <v>0</v>
      </c>
      <c r="RGC102" s="42" t="s">
        <v>48</v>
      </c>
      <c r="RGD102" s="42"/>
      <c r="RGE102" s="42"/>
      <c r="RGF102" s="42"/>
      <c r="RGG102" s="42"/>
      <c r="RGH102" s="42"/>
      <c r="RGI102" s="42"/>
      <c r="RGJ102" s="43">
        <v>0</v>
      </c>
      <c r="RGK102" s="42" t="s">
        <v>48</v>
      </c>
      <c r="RGL102" s="42"/>
      <c r="RGM102" s="42"/>
      <c r="RGN102" s="42"/>
      <c r="RGO102" s="42"/>
      <c r="RGP102" s="42"/>
      <c r="RGQ102" s="42"/>
      <c r="RGR102" s="43">
        <v>0</v>
      </c>
      <c r="RGS102" s="42" t="s">
        <v>48</v>
      </c>
      <c r="RGT102" s="42"/>
      <c r="RGU102" s="42"/>
      <c r="RGV102" s="42"/>
      <c r="RGW102" s="42"/>
      <c r="RGX102" s="42"/>
      <c r="RGY102" s="42"/>
      <c r="RGZ102" s="43">
        <v>0</v>
      </c>
      <c r="RHA102" s="42" t="s">
        <v>48</v>
      </c>
      <c r="RHB102" s="42"/>
      <c r="RHC102" s="42"/>
      <c r="RHD102" s="42"/>
      <c r="RHE102" s="42"/>
      <c r="RHF102" s="42"/>
      <c r="RHG102" s="42"/>
      <c r="RHH102" s="43">
        <v>0</v>
      </c>
      <c r="RHI102" s="42" t="s">
        <v>48</v>
      </c>
      <c r="RHJ102" s="42"/>
      <c r="RHK102" s="42"/>
      <c r="RHL102" s="42"/>
      <c r="RHM102" s="42"/>
      <c r="RHN102" s="42"/>
      <c r="RHO102" s="42"/>
      <c r="RHP102" s="43">
        <v>0</v>
      </c>
      <c r="RHQ102" s="42" t="s">
        <v>48</v>
      </c>
      <c r="RHR102" s="42"/>
      <c r="RHS102" s="42"/>
      <c r="RHT102" s="42"/>
      <c r="RHU102" s="42"/>
      <c r="RHV102" s="42"/>
      <c r="RHW102" s="42"/>
      <c r="RHX102" s="43">
        <v>0</v>
      </c>
      <c r="RHY102" s="42" t="s">
        <v>48</v>
      </c>
      <c r="RHZ102" s="42"/>
      <c r="RIA102" s="42"/>
      <c r="RIB102" s="42"/>
      <c r="RIC102" s="42"/>
      <c r="RID102" s="42"/>
      <c r="RIE102" s="42"/>
      <c r="RIF102" s="43">
        <v>0</v>
      </c>
      <c r="RIG102" s="42" t="s">
        <v>48</v>
      </c>
      <c r="RIH102" s="42"/>
      <c r="RII102" s="42"/>
      <c r="RIJ102" s="42"/>
      <c r="RIK102" s="42"/>
      <c r="RIL102" s="42"/>
      <c r="RIM102" s="42"/>
      <c r="RIN102" s="43">
        <v>0</v>
      </c>
      <c r="RIO102" s="42" t="s">
        <v>48</v>
      </c>
      <c r="RIP102" s="42"/>
      <c r="RIQ102" s="42"/>
      <c r="RIR102" s="42"/>
      <c r="RIS102" s="42"/>
      <c r="RIT102" s="42"/>
      <c r="RIU102" s="42"/>
      <c r="RIV102" s="43">
        <v>0</v>
      </c>
      <c r="RIW102" s="42" t="s">
        <v>48</v>
      </c>
      <c r="RIX102" s="42"/>
      <c r="RIY102" s="42"/>
      <c r="RIZ102" s="42"/>
      <c r="RJA102" s="42"/>
      <c r="RJB102" s="42"/>
      <c r="RJC102" s="42"/>
      <c r="RJD102" s="43">
        <v>0</v>
      </c>
      <c r="RJE102" s="42" t="s">
        <v>48</v>
      </c>
      <c r="RJF102" s="42"/>
      <c r="RJG102" s="42"/>
      <c r="RJH102" s="42"/>
      <c r="RJI102" s="42"/>
      <c r="RJJ102" s="42"/>
      <c r="RJK102" s="42"/>
      <c r="RJL102" s="43">
        <v>0</v>
      </c>
      <c r="RJM102" s="42" t="s">
        <v>48</v>
      </c>
      <c r="RJN102" s="42"/>
      <c r="RJO102" s="42"/>
      <c r="RJP102" s="42"/>
      <c r="RJQ102" s="42"/>
      <c r="RJR102" s="42"/>
      <c r="RJS102" s="42"/>
      <c r="RJT102" s="43">
        <v>0</v>
      </c>
      <c r="RJU102" s="42" t="s">
        <v>48</v>
      </c>
      <c r="RJV102" s="42"/>
      <c r="RJW102" s="42"/>
      <c r="RJX102" s="42"/>
      <c r="RJY102" s="42"/>
      <c r="RJZ102" s="42"/>
      <c r="RKA102" s="42"/>
      <c r="RKB102" s="43">
        <v>0</v>
      </c>
      <c r="RKC102" s="42" t="s">
        <v>48</v>
      </c>
      <c r="RKD102" s="42"/>
      <c r="RKE102" s="42"/>
      <c r="RKF102" s="42"/>
      <c r="RKG102" s="42"/>
      <c r="RKH102" s="42"/>
      <c r="RKI102" s="42"/>
      <c r="RKJ102" s="43">
        <v>0</v>
      </c>
      <c r="RKK102" s="42" t="s">
        <v>48</v>
      </c>
      <c r="RKL102" s="42"/>
      <c r="RKM102" s="42"/>
      <c r="RKN102" s="42"/>
      <c r="RKO102" s="42"/>
      <c r="RKP102" s="42"/>
      <c r="RKQ102" s="42"/>
      <c r="RKR102" s="43">
        <v>0</v>
      </c>
      <c r="RKS102" s="42" t="s">
        <v>48</v>
      </c>
      <c r="RKT102" s="42"/>
      <c r="RKU102" s="42"/>
      <c r="RKV102" s="42"/>
      <c r="RKW102" s="42"/>
      <c r="RKX102" s="42"/>
      <c r="RKY102" s="42"/>
      <c r="RKZ102" s="43">
        <v>0</v>
      </c>
      <c r="RLA102" s="42" t="s">
        <v>48</v>
      </c>
      <c r="RLB102" s="42"/>
      <c r="RLC102" s="42"/>
      <c r="RLD102" s="42"/>
      <c r="RLE102" s="42"/>
      <c r="RLF102" s="42"/>
      <c r="RLG102" s="42"/>
      <c r="RLH102" s="43">
        <v>0</v>
      </c>
      <c r="RLI102" s="42" t="s">
        <v>48</v>
      </c>
      <c r="RLJ102" s="42"/>
      <c r="RLK102" s="42"/>
      <c r="RLL102" s="42"/>
      <c r="RLM102" s="42"/>
      <c r="RLN102" s="42"/>
      <c r="RLO102" s="42"/>
      <c r="RLP102" s="43">
        <v>0</v>
      </c>
      <c r="RLQ102" s="42" t="s">
        <v>48</v>
      </c>
      <c r="RLR102" s="42"/>
      <c r="RLS102" s="42"/>
      <c r="RLT102" s="42"/>
      <c r="RLU102" s="42"/>
      <c r="RLV102" s="42"/>
      <c r="RLW102" s="42"/>
      <c r="RLX102" s="43">
        <v>0</v>
      </c>
      <c r="RLY102" s="42" t="s">
        <v>48</v>
      </c>
      <c r="RLZ102" s="42"/>
      <c r="RMA102" s="42"/>
      <c r="RMB102" s="42"/>
      <c r="RMC102" s="42"/>
      <c r="RMD102" s="42"/>
      <c r="RME102" s="42"/>
      <c r="RMF102" s="43">
        <v>0</v>
      </c>
      <c r="RMG102" s="42" t="s">
        <v>48</v>
      </c>
      <c r="RMH102" s="42"/>
      <c r="RMI102" s="42"/>
      <c r="RMJ102" s="42"/>
      <c r="RMK102" s="42"/>
      <c r="RML102" s="42"/>
      <c r="RMM102" s="42"/>
      <c r="RMN102" s="43">
        <v>0</v>
      </c>
      <c r="RMO102" s="42" t="s">
        <v>48</v>
      </c>
      <c r="RMP102" s="42"/>
      <c r="RMQ102" s="42"/>
      <c r="RMR102" s="42"/>
      <c r="RMS102" s="42"/>
      <c r="RMT102" s="42"/>
      <c r="RMU102" s="42"/>
      <c r="RMV102" s="43">
        <v>0</v>
      </c>
      <c r="RMW102" s="42" t="s">
        <v>48</v>
      </c>
      <c r="RMX102" s="42"/>
      <c r="RMY102" s="42"/>
      <c r="RMZ102" s="42"/>
      <c r="RNA102" s="42"/>
      <c r="RNB102" s="42"/>
      <c r="RNC102" s="42"/>
      <c r="RND102" s="43">
        <v>0</v>
      </c>
      <c r="RNE102" s="42" t="s">
        <v>48</v>
      </c>
      <c r="RNF102" s="42"/>
      <c r="RNG102" s="42"/>
      <c r="RNH102" s="42"/>
      <c r="RNI102" s="42"/>
      <c r="RNJ102" s="42"/>
      <c r="RNK102" s="42"/>
      <c r="RNL102" s="43">
        <v>0</v>
      </c>
      <c r="RNM102" s="42" t="s">
        <v>48</v>
      </c>
      <c r="RNN102" s="42"/>
      <c r="RNO102" s="42"/>
      <c r="RNP102" s="42"/>
      <c r="RNQ102" s="42"/>
      <c r="RNR102" s="42"/>
      <c r="RNS102" s="42"/>
      <c r="RNT102" s="43">
        <v>0</v>
      </c>
      <c r="RNU102" s="42" t="s">
        <v>48</v>
      </c>
      <c r="RNV102" s="42"/>
      <c r="RNW102" s="42"/>
      <c r="RNX102" s="42"/>
      <c r="RNY102" s="42"/>
      <c r="RNZ102" s="42"/>
      <c r="ROA102" s="42"/>
      <c r="ROB102" s="43">
        <v>0</v>
      </c>
      <c r="ROC102" s="42" t="s">
        <v>48</v>
      </c>
      <c r="ROD102" s="42"/>
      <c r="ROE102" s="42"/>
      <c r="ROF102" s="42"/>
      <c r="ROG102" s="42"/>
      <c r="ROH102" s="42"/>
      <c r="ROI102" s="42"/>
      <c r="ROJ102" s="43">
        <v>0</v>
      </c>
      <c r="ROK102" s="42" t="s">
        <v>48</v>
      </c>
      <c r="ROL102" s="42"/>
      <c r="ROM102" s="42"/>
      <c r="RON102" s="42"/>
      <c r="ROO102" s="42"/>
      <c r="ROP102" s="42"/>
      <c r="ROQ102" s="42"/>
      <c r="ROR102" s="43">
        <v>0</v>
      </c>
      <c r="ROS102" s="42" t="s">
        <v>48</v>
      </c>
      <c r="ROT102" s="42"/>
      <c r="ROU102" s="42"/>
      <c r="ROV102" s="42"/>
      <c r="ROW102" s="42"/>
      <c r="ROX102" s="42"/>
      <c r="ROY102" s="42"/>
      <c r="ROZ102" s="43">
        <v>0</v>
      </c>
      <c r="RPA102" s="42" t="s">
        <v>48</v>
      </c>
      <c r="RPB102" s="42"/>
      <c r="RPC102" s="42"/>
      <c r="RPD102" s="42"/>
      <c r="RPE102" s="42"/>
      <c r="RPF102" s="42"/>
      <c r="RPG102" s="42"/>
      <c r="RPH102" s="43">
        <v>0</v>
      </c>
      <c r="RPI102" s="42" t="s">
        <v>48</v>
      </c>
      <c r="RPJ102" s="42"/>
      <c r="RPK102" s="42"/>
      <c r="RPL102" s="42"/>
      <c r="RPM102" s="42"/>
      <c r="RPN102" s="42"/>
      <c r="RPO102" s="42"/>
      <c r="RPP102" s="43">
        <v>0</v>
      </c>
      <c r="RPQ102" s="42" t="s">
        <v>48</v>
      </c>
      <c r="RPR102" s="42"/>
      <c r="RPS102" s="42"/>
      <c r="RPT102" s="42"/>
      <c r="RPU102" s="42"/>
      <c r="RPV102" s="42"/>
      <c r="RPW102" s="42"/>
      <c r="RPX102" s="43">
        <v>0</v>
      </c>
      <c r="RPY102" s="42" t="s">
        <v>48</v>
      </c>
      <c r="RPZ102" s="42"/>
      <c r="RQA102" s="42"/>
      <c r="RQB102" s="42"/>
      <c r="RQC102" s="42"/>
      <c r="RQD102" s="42"/>
      <c r="RQE102" s="42"/>
      <c r="RQF102" s="43">
        <v>0</v>
      </c>
      <c r="RQG102" s="42" t="s">
        <v>48</v>
      </c>
      <c r="RQH102" s="42"/>
      <c r="RQI102" s="42"/>
      <c r="RQJ102" s="42"/>
      <c r="RQK102" s="42"/>
      <c r="RQL102" s="42"/>
      <c r="RQM102" s="42"/>
      <c r="RQN102" s="43">
        <v>0</v>
      </c>
      <c r="RQO102" s="42" t="s">
        <v>48</v>
      </c>
      <c r="RQP102" s="42"/>
      <c r="RQQ102" s="42"/>
      <c r="RQR102" s="42"/>
      <c r="RQS102" s="42"/>
      <c r="RQT102" s="42"/>
      <c r="RQU102" s="42"/>
      <c r="RQV102" s="43">
        <v>0</v>
      </c>
      <c r="RQW102" s="42" t="s">
        <v>48</v>
      </c>
      <c r="RQX102" s="42"/>
      <c r="RQY102" s="42"/>
      <c r="RQZ102" s="42"/>
      <c r="RRA102" s="42"/>
      <c r="RRB102" s="42"/>
      <c r="RRC102" s="42"/>
      <c r="RRD102" s="43">
        <v>0</v>
      </c>
      <c r="RRE102" s="42" t="s">
        <v>48</v>
      </c>
      <c r="RRF102" s="42"/>
      <c r="RRG102" s="42"/>
      <c r="RRH102" s="42"/>
      <c r="RRI102" s="42"/>
      <c r="RRJ102" s="42"/>
      <c r="RRK102" s="42"/>
      <c r="RRL102" s="43">
        <v>0</v>
      </c>
      <c r="RRM102" s="42" t="s">
        <v>48</v>
      </c>
      <c r="RRN102" s="42"/>
      <c r="RRO102" s="42"/>
      <c r="RRP102" s="42"/>
      <c r="RRQ102" s="42"/>
      <c r="RRR102" s="42"/>
      <c r="RRS102" s="42"/>
      <c r="RRT102" s="43">
        <v>0</v>
      </c>
      <c r="RRU102" s="42" t="s">
        <v>48</v>
      </c>
      <c r="RRV102" s="42"/>
      <c r="RRW102" s="42"/>
      <c r="RRX102" s="42"/>
      <c r="RRY102" s="42"/>
      <c r="RRZ102" s="42"/>
      <c r="RSA102" s="42"/>
      <c r="RSB102" s="43">
        <v>0</v>
      </c>
      <c r="RSC102" s="42" t="s">
        <v>48</v>
      </c>
      <c r="RSD102" s="42"/>
      <c r="RSE102" s="42"/>
      <c r="RSF102" s="42"/>
      <c r="RSG102" s="42"/>
      <c r="RSH102" s="42"/>
      <c r="RSI102" s="42"/>
      <c r="RSJ102" s="43">
        <v>0</v>
      </c>
      <c r="RSK102" s="42" t="s">
        <v>48</v>
      </c>
      <c r="RSL102" s="42"/>
      <c r="RSM102" s="42"/>
      <c r="RSN102" s="42"/>
      <c r="RSO102" s="42"/>
      <c r="RSP102" s="42"/>
      <c r="RSQ102" s="42"/>
      <c r="RSR102" s="43">
        <v>0</v>
      </c>
      <c r="RSS102" s="42" t="s">
        <v>48</v>
      </c>
      <c r="RST102" s="42"/>
      <c r="RSU102" s="42"/>
      <c r="RSV102" s="42"/>
      <c r="RSW102" s="42"/>
      <c r="RSX102" s="42"/>
      <c r="RSY102" s="42"/>
      <c r="RSZ102" s="43">
        <v>0</v>
      </c>
      <c r="RTA102" s="42" t="s">
        <v>48</v>
      </c>
      <c r="RTB102" s="42"/>
      <c r="RTC102" s="42"/>
      <c r="RTD102" s="42"/>
      <c r="RTE102" s="42"/>
      <c r="RTF102" s="42"/>
      <c r="RTG102" s="42"/>
      <c r="RTH102" s="43">
        <v>0</v>
      </c>
      <c r="RTI102" s="42" t="s">
        <v>48</v>
      </c>
      <c r="RTJ102" s="42"/>
      <c r="RTK102" s="42"/>
      <c r="RTL102" s="42"/>
      <c r="RTM102" s="42"/>
      <c r="RTN102" s="42"/>
      <c r="RTO102" s="42"/>
      <c r="RTP102" s="43">
        <v>0</v>
      </c>
      <c r="RTQ102" s="42" t="s">
        <v>48</v>
      </c>
      <c r="RTR102" s="42"/>
      <c r="RTS102" s="42"/>
      <c r="RTT102" s="42"/>
      <c r="RTU102" s="42"/>
      <c r="RTV102" s="42"/>
      <c r="RTW102" s="42"/>
      <c r="RTX102" s="43">
        <v>0</v>
      </c>
      <c r="RTY102" s="42" t="s">
        <v>48</v>
      </c>
      <c r="RTZ102" s="42"/>
      <c r="RUA102" s="42"/>
      <c r="RUB102" s="42"/>
      <c r="RUC102" s="42"/>
      <c r="RUD102" s="42"/>
      <c r="RUE102" s="42"/>
      <c r="RUF102" s="43">
        <v>0</v>
      </c>
      <c r="RUG102" s="42" t="s">
        <v>48</v>
      </c>
      <c r="RUH102" s="42"/>
      <c r="RUI102" s="42"/>
      <c r="RUJ102" s="42"/>
      <c r="RUK102" s="42"/>
      <c r="RUL102" s="42"/>
      <c r="RUM102" s="42"/>
      <c r="RUN102" s="43">
        <v>0</v>
      </c>
      <c r="RUO102" s="42" t="s">
        <v>48</v>
      </c>
      <c r="RUP102" s="42"/>
      <c r="RUQ102" s="42"/>
      <c r="RUR102" s="42"/>
      <c r="RUS102" s="42"/>
      <c r="RUT102" s="42"/>
      <c r="RUU102" s="42"/>
      <c r="RUV102" s="43">
        <v>0</v>
      </c>
      <c r="RUW102" s="42" t="s">
        <v>48</v>
      </c>
      <c r="RUX102" s="42"/>
      <c r="RUY102" s="42"/>
      <c r="RUZ102" s="42"/>
      <c r="RVA102" s="42"/>
      <c r="RVB102" s="42"/>
      <c r="RVC102" s="42"/>
      <c r="RVD102" s="43">
        <v>0</v>
      </c>
      <c r="RVE102" s="42" t="s">
        <v>48</v>
      </c>
      <c r="RVF102" s="42"/>
      <c r="RVG102" s="42"/>
      <c r="RVH102" s="42"/>
      <c r="RVI102" s="42"/>
      <c r="RVJ102" s="42"/>
      <c r="RVK102" s="42"/>
      <c r="RVL102" s="43">
        <v>0</v>
      </c>
      <c r="RVM102" s="42" t="s">
        <v>48</v>
      </c>
      <c r="RVN102" s="42"/>
      <c r="RVO102" s="42"/>
      <c r="RVP102" s="42"/>
      <c r="RVQ102" s="42"/>
      <c r="RVR102" s="42"/>
      <c r="RVS102" s="42"/>
      <c r="RVT102" s="43">
        <v>0</v>
      </c>
      <c r="RVU102" s="42" t="s">
        <v>48</v>
      </c>
      <c r="RVV102" s="42"/>
      <c r="RVW102" s="42"/>
      <c r="RVX102" s="42"/>
      <c r="RVY102" s="42"/>
      <c r="RVZ102" s="42"/>
      <c r="RWA102" s="42"/>
      <c r="RWB102" s="43">
        <v>0</v>
      </c>
      <c r="RWC102" s="42" t="s">
        <v>48</v>
      </c>
      <c r="RWD102" s="42"/>
      <c r="RWE102" s="42"/>
      <c r="RWF102" s="42"/>
      <c r="RWG102" s="42"/>
      <c r="RWH102" s="42"/>
      <c r="RWI102" s="42"/>
      <c r="RWJ102" s="43">
        <v>0</v>
      </c>
      <c r="RWK102" s="42" t="s">
        <v>48</v>
      </c>
      <c r="RWL102" s="42"/>
      <c r="RWM102" s="42"/>
      <c r="RWN102" s="42"/>
      <c r="RWO102" s="42"/>
      <c r="RWP102" s="42"/>
      <c r="RWQ102" s="42"/>
      <c r="RWR102" s="43">
        <v>0</v>
      </c>
      <c r="RWS102" s="42" t="s">
        <v>48</v>
      </c>
      <c r="RWT102" s="42"/>
      <c r="RWU102" s="42"/>
      <c r="RWV102" s="42"/>
      <c r="RWW102" s="42"/>
      <c r="RWX102" s="42"/>
      <c r="RWY102" s="42"/>
      <c r="RWZ102" s="43">
        <v>0</v>
      </c>
      <c r="RXA102" s="42" t="s">
        <v>48</v>
      </c>
      <c r="RXB102" s="42"/>
      <c r="RXC102" s="42"/>
      <c r="RXD102" s="42"/>
      <c r="RXE102" s="42"/>
      <c r="RXF102" s="42"/>
      <c r="RXG102" s="42"/>
      <c r="RXH102" s="43">
        <v>0</v>
      </c>
      <c r="RXI102" s="42" t="s">
        <v>48</v>
      </c>
      <c r="RXJ102" s="42"/>
      <c r="RXK102" s="42"/>
      <c r="RXL102" s="42"/>
      <c r="RXM102" s="42"/>
      <c r="RXN102" s="42"/>
      <c r="RXO102" s="42"/>
      <c r="RXP102" s="43">
        <v>0</v>
      </c>
      <c r="RXQ102" s="42" t="s">
        <v>48</v>
      </c>
      <c r="RXR102" s="42"/>
      <c r="RXS102" s="42"/>
      <c r="RXT102" s="42"/>
      <c r="RXU102" s="42"/>
      <c r="RXV102" s="42"/>
      <c r="RXW102" s="42"/>
      <c r="RXX102" s="43">
        <v>0</v>
      </c>
      <c r="RXY102" s="42" t="s">
        <v>48</v>
      </c>
      <c r="RXZ102" s="42"/>
      <c r="RYA102" s="42"/>
      <c r="RYB102" s="42"/>
      <c r="RYC102" s="42"/>
      <c r="RYD102" s="42"/>
      <c r="RYE102" s="42"/>
      <c r="RYF102" s="43">
        <v>0</v>
      </c>
      <c r="RYG102" s="42" t="s">
        <v>48</v>
      </c>
      <c r="RYH102" s="42"/>
      <c r="RYI102" s="42"/>
      <c r="RYJ102" s="42"/>
      <c r="RYK102" s="42"/>
      <c r="RYL102" s="42"/>
      <c r="RYM102" s="42"/>
      <c r="RYN102" s="43">
        <v>0</v>
      </c>
      <c r="RYO102" s="42" t="s">
        <v>48</v>
      </c>
      <c r="RYP102" s="42"/>
      <c r="RYQ102" s="42"/>
      <c r="RYR102" s="42"/>
      <c r="RYS102" s="42"/>
      <c r="RYT102" s="42"/>
      <c r="RYU102" s="42"/>
      <c r="RYV102" s="43">
        <v>0</v>
      </c>
      <c r="RYW102" s="42" t="s">
        <v>48</v>
      </c>
      <c r="RYX102" s="42"/>
      <c r="RYY102" s="42"/>
      <c r="RYZ102" s="42"/>
      <c r="RZA102" s="42"/>
      <c r="RZB102" s="42"/>
      <c r="RZC102" s="42"/>
      <c r="RZD102" s="43">
        <v>0</v>
      </c>
      <c r="RZE102" s="42" t="s">
        <v>48</v>
      </c>
      <c r="RZF102" s="42"/>
      <c r="RZG102" s="42"/>
      <c r="RZH102" s="42"/>
      <c r="RZI102" s="42"/>
      <c r="RZJ102" s="42"/>
      <c r="RZK102" s="42"/>
      <c r="RZL102" s="43">
        <v>0</v>
      </c>
      <c r="RZM102" s="42" t="s">
        <v>48</v>
      </c>
      <c r="RZN102" s="42"/>
      <c r="RZO102" s="42"/>
      <c r="RZP102" s="42"/>
      <c r="RZQ102" s="42"/>
      <c r="RZR102" s="42"/>
      <c r="RZS102" s="42"/>
      <c r="RZT102" s="43">
        <v>0</v>
      </c>
      <c r="RZU102" s="42" t="s">
        <v>48</v>
      </c>
      <c r="RZV102" s="42"/>
      <c r="RZW102" s="42"/>
      <c r="RZX102" s="42"/>
      <c r="RZY102" s="42"/>
      <c r="RZZ102" s="42"/>
      <c r="SAA102" s="42"/>
      <c r="SAB102" s="43">
        <v>0</v>
      </c>
      <c r="SAC102" s="42" t="s">
        <v>48</v>
      </c>
      <c r="SAD102" s="42"/>
      <c r="SAE102" s="42"/>
      <c r="SAF102" s="42"/>
      <c r="SAG102" s="42"/>
      <c r="SAH102" s="42"/>
      <c r="SAI102" s="42"/>
      <c r="SAJ102" s="43">
        <v>0</v>
      </c>
      <c r="SAK102" s="42" t="s">
        <v>48</v>
      </c>
      <c r="SAL102" s="42"/>
      <c r="SAM102" s="42"/>
      <c r="SAN102" s="42"/>
      <c r="SAO102" s="42"/>
      <c r="SAP102" s="42"/>
      <c r="SAQ102" s="42"/>
      <c r="SAR102" s="43">
        <v>0</v>
      </c>
      <c r="SAS102" s="42" t="s">
        <v>48</v>
      </c>
      <c r="SAT102" s="42"/>
      <c r="SAU102" s="42"/>
      <c r="SAV102" s="42"/>
      <c r="SAW102" s="42"/>
      <c r="SAX102" s="42"/>
      <c r="SAY102" s="42"/>
      <c r="SAZ102" s="43">
        <v>0</v>
      </c>
      <c r="SBA102" s="42" t="s">
        <v>48</v>
      </c>
      <c r="SBB102" s="42"/>
      <c r="SBC102" s="42"/>
      <c r="SBD102" s="42"/>
      <c r="SBE102" s="42"/>
      <c r="SBF102" s="42"/>
      <c r="SBG102" s="42"/>
      <c r="SBH102" s="43">
        <v>0</v>
      </c>
      <c r="SBI102" s="42" t="s">
        <v>48</v>
      </c>
      <c r="SBJ102" s="42"/>
      <c r="SBK102" s="42"/>
      <c r="SBL102" s="42"/>
      <c r="SBM102" s="42"/>
      <c r="SBN102" s="42"/>
      <c r="SBO102" s="42"/>
      <c r="SBP102" s="43">
        <v>0</v>
      </c>
      <c r="SBQ102" s="42" t="s">
        <v>48</v>
      </c>
      <c r="SBR102" s="42"/>
      <c r="SBS102" s="42"/>
      <c r="SBT102" s="42"/>
      <c r="SBU102" s="42"/>
      <c r="SBV102" s="42"/>
      <c r="SBW102" s="42"/>
      <c r="SBX102" s="43">
        <v>0</v>
      </c>
      <c r="SBY102" s="42" t="s">
        <v>48</v>
      </c>
      <c r="SBZ102" s="42"/>
      <c r="SCA102" s="42"/>
      <c r="SCB102" s="42"/>
      <c r="SCC102" s="42"/>
      <c r="SCD102" s="42"/>
      <c r="SCE102" s="42"/>
      <c r="SCF102" s="43">
        <v>0</v>
      </c>
      <c r="SCG102" s="42" t="s">
        <v>48</v>
      </c>
      <c r="SCH102" s="42"/>
      <c r="SCI102" s="42"/>
      <c r="SCJ102" s="42"/>
      <c r="SCK102" s="42"/>
      <c r="SCL102" s="42"/>
      <c r="SCM102" s="42"/>
      <c r="SCN102" s="43">
        <v>0</v>
      </c>
      <c r="SCO102" s="42" t="s">
        <v>48</v>
      </c>
      <c r="SCP102" s="42"/>
      <c r="SCQ102" s="42"/>
      <c r="SCR102" s="42"/>
      <c r="SCS102" s="42"/>
      <c r="SCT102" s="42"/>
      <c r="SCU102" s="42"/>
      <c r="SCV102" s="43">
        <v>0</v>
      </c>
      <c r="SCW102" s="42" t="s">
        <v>48</v>
      </c>
      <c r="SCX102" s="42"/>
      <c r="SCY102" s="42"/>
      <c r="SCZ102" s="42"/>
      <c r="SDA102" s="42"/>
      <c r="SDB102" s="42"/>
      <c r="SDC102" s="42"/>
      <c r="SDD102" s="43">
        <v>0</v>
      </c>
      <c r="SDE102" s="42" t="s">
        <v>48</v>
      </c>
      <c r="SDF102" s="42"/>
      <c r="SDG102" s="42"/>
      <c r="SDH102" s="42"/>
      <c r="SDI102" s="42"/>
      <c r="SDJ102" s="42"/>
      <c r="SDK102" s="42"/>
      <c r="SDL102" s="43">
        <v>0</v>
      </c>
      <c r="SDM102" s="42" t="s">
        <v>48</v>
      </c>
      <c r="SDN102" s="42"/>
      <c r="SDO102" s="42"/>
      <c r="SDP102" s="42"/>
      <c r="SDQ102" s="42"/>
      <c r="SDR102" s="42"/>
      <c r="SDS102" s="42"/>
      <c r="SDT102" s="43">
        <v>0</v>
      </c>
      <c r="SDU102" s="42" t="s">
        <v>48</v>
      </c>
      <c r="SDV102" s="42"/>
      <c r="SDW102" s="42"/>
      <c r="SDX102" s="42"/>
      <c r="SDY102" s="42"/>
      <c r="SDZ102" s="42"/>
      <c r="SEA102" s="42"/>
      <c r="SEB102" s="43">
        <v>0</v>
      </c>
      <c r="SEC102" s="42" t="s">
        <v>48</v>
      </c>
      <c r="SED102" s="42"/>
      <c r="SEE102" s="42"/>
      <c r="SEF102" s="42"/>
      <c r="SEG102" s="42"/>
      <c r="SEH102" s="42"/>
      <c r="SEI102" s="42"/>
      <c r="SEJ102" s="43">
        <v>0</v>
      </c>
      <c r="SEK102" s="42" t="s">
        <v>48</v>
      </c>
      <c r="SEL102" s="42"/>
      <c r="SEM102" s="42"/>
      <c r="SEN102" s="42"/>
      <c r="SEO102" s="42"/>
      <c r="SEP102" s="42"/>
      <c r="SEQ102" s="42"/>
      <c r="SER102" s="43">
        <v>0</v>
      </c>
      <c r="SES102" s="42" t="s">
        <v>48</v>
      </c>
      <c r="SET102" s="42"/>
      <c r="SEU102" s="42"/>
      <c r="SEV102" s="42"/>
      <c r="SEW102" s="42"/>
      <c r="SEX102" s="42"/>
      <c r="SEY102" s="42"/>
      <c r="SEZ102" s="43">
        <v>0</v>
      </c>
      <c r="SFA102" s="42" t="s">
        <v>48</v>
      </c>
      <c r="SFB102" s="42"/>
      <c r="SFC102" s="42"/>
      <c r="SFD102" s="42"/>
      <c r="SFE102" s="42"/>
      <c r="SFF102" s="42"/>
      <c r="SFG102" s="42"/>
      <c r="SFH102" s="43">
        <v>0</v>
      </c>
      <c r="SFI102" s="42" t="s">
        <v>48</v>
      </c>
      <c r="SFJ102" s="42"/>
      <c r="SFK102" s="42"/>
      <c r="SFL102" s="42"/>
      <c r="SFM102" s="42"/>
      <c r="SFN102" s="42"/>
      <c r="SFO102" s="42"/>
      <c r="SFP102" s="43">
        <v>0</v>
      </c>
      <c r="SFQ102" s="42" t="s">
        <v>48</v>
      </c>
      <c r="SFR102" s="42"/>
      <c r="SFS102" s="42"/>
      <c r="SFT102" s="42"/>
      <c r="SFU102" s="42"/>
      <c r="SFV102" s="42"/>
      <c r="SFW102" s="42"/>
      <c r="SFX102" s="43">
        <v>0</v>
      </c>
      <c r="SFY102" s="42" t="s">
        <v>48</v>
      </c>
      <c r="SFZ102" s="42"/>
      <c r="SGA102" s="42"/>
      <c r="SGB102" s="42"/>
      <c r="SGC102" s="42"/>
      <c r="SGD102" s="42"/>
      <c r="SGE102" s="42"/>
      <c r="SGF102" s="43">
        <v>0</v>
      </c>
      <c r="SGG102" s="42" t="s">
        <v>48</v>
      </c>
      <c r="SGH102" s="42"/>
      <c r="SGI102" s="42"/>
      <c r="SGJ102" s="42"/>
      <c r="SGK102" s="42"/>
      <c r="SGL102" s="42"/>
      <c r="SGM102" s="42"/>
      <c r="SGN102" s="43">
        <v>0</v>
      </c>
      <c r="SGO102" s="42" t="s">
        <v>48</v>
      </c>
      <c r="SGP102" s="42"/>
      <c r="SGQ102" s="42"/>
      <c r="SGR102" s="42"/>
      <c r="SGS102" s="42"/>
      <c r="SGT102" s="42"/>
      <c r="SGU102" s="42"/>
      <c r="SGV102" s="43">
        <v>0</v>
      </c>
      <c r="SGW102" s="42" t="s">
        <v>48</v>
      </c>
      <c r="SGX102" s="42"/>
      <c r="SGY102" s="42"/>
      <c r="SGZ102" s="42"/>
      <c r="SHA102" s="42"/>
      <c r="SHB102" s="42"/>
      <c r="SHC102" s="42"/>
      <c r="SHD102" s="43">
        <v>0</v>
      </c>
      <c r="SHE102" s="42" t="s">
        <v>48</v>
      </c>
      <c r="SHF102" s="42"/>
      <c r="SHG102" s="42"/>
      <c r="SHH102" s="42"/>
      <c r="SHI102" s="42"/>
      <c r="SHJ102" s="42"/>
      <c r="SHK102" s="42"/>
      <c r="SHL102" s="43">
        <v>0</v>
      </c>
      <c r="SHM102" s="42" t="s">
        <v>48</v>
      </c>
      <c r="SHN102" s="42"/>
      <c r="SHO102" s="42"/>
      <c r="SHP102" s="42"/>
      <c r="SHQ102" s="42"/>
      <c r="SHR102" s="42"/>
      <c r="SHS102" s="42"/>
      <c r="SHT102" s="43">
        <v>0</v>
      </c>
      <c r="SHU102" s="42" t="s">
        <v>48</v>
      </c>
      <c r="SHV102" s="42"/>
      <c r="SHW102" s="42"/>
      <c r="SHX102" s="42"/>
      <c r="SHY102" s="42"/>
      <c r="SHZ102" s="42"/>
      <c r="SIA102" s="42"/>
      <c r="SIB102" s="43">
        <v>0</v>
      </c>
      <c r="SIC102" s="42" t="s">
        <v>48</v>
      </c>
      <c r="SID102" s="42"/>
      <c r="SIE102" s="42"/>
      <c r="SIF102" s="42"/>
      <c r="SIG102" s="42"/>
      <c r="SIH102" s="42"/>
      <c r="SII102" s="42"/>
      <c r="SIJ102" s="43">
        <v>0</v>
      </c>
      <c r="SIK102" s="42" t="s">
        <v>48</v>
      </c>
      <c r="SIL102" s="42"/>
      <c r="SIM102" s="42"/>
      <c r="SIN102" s="42"/>
      <c r="SIO102" s="42"/>
      <c r="SIP102" s="42"/>
      <c r="SIQ102" s="42"/>
      <c r="SIR102" s="43">
        <v>0</v>
      </c>
      <c r="SIS102" s="42" t="s">
        <v>48</v>
      </c>
      <c r="SIT102" s="42"/>
      <c r="SIU102" s="42"/>
      <c r="SIV102" s="42"/>
      <c r="SIW102" s="42"/>
      <c r="SIX102" s="42"/>
      <c r="SIY102" s="42"/>
      <c r="SIZ102" s="43">
        <v>0</v>
      </c>
      <c r="SJA102" s="42" t="s">
        <v>48</v>
      </c>
      <c r="SJB102" s="42"/>
      <c r="SJC102" s="42"/>
      <c r="SJD102" s="42"/>
      <c r="SJE102" s="42"/>
      <c r="SJF102" s="42"/>
      <c r="SJG102" s="42"/>
      <c r="SJH102" s="43">
        <v>0</v>
      </c>
      <c r="SJI102" s="42" t="s">
        <v>48</v>
      </c>
      <c r="SJJ102" s="42"/>
      <c r="SJK102" s="42"/>
      <c r="SJL102" s="42"/>
      <c r="SJM102" s="42"/>
      <c r="SJN102" s="42"/>
      <c r="SJO102" s="42"/>
      <c r="SJP102" s="43">
        <v>0</v>
      </c>
      <c r="SJQ102" s="42" t="s">
        <v>48</v>
      </c>
      <c r="SJR102" s="42"/>
      <c r="SJS102" s="42"/>
      <c r="SJT102" s="42"/>
      <c r="SJU102" s="42"/>
      <c r="SJV102" s="42"/>
      <c r="SJW102" s="42"/>
      <c r="SJX102" s="43">
        <v>0</v>
      </c>
      <c r="SJY102" s="42" t="s">
        <v>48</v>
      </c>
      <c r="SJZ102" s="42"/>
      <c r="SKA102" s="42"/>
      <c r="SKB102" s="42"/>
      <c r="SKC102" s="42"/>
      <c r="SKD102" s="42"/>
      <c r="SKE102" s="42"/>
      <c r="SKF102" s="43">
        <v>0</v>
      </c>
      <c r="SKG102" s="42" t="s">
        <v>48</v>
      </c>
      <c r="SKH102" s="42"/>
      <c r="SKI102" s="42"/>
      <c r="SKJ102" s="42"/>
      <c r="SKK102" s="42"/>
      <c r="SKL102" s="42"/>
      <c r="SKM102" s="42"/>
      <c r="SKN102" s="43">
        <v>0</v>
      </c>
      <c r="SKO102" s="42" t="s">
        <v>48</v>
      </c>
      <c r="SKP102" s="42"/>
      <c r="SKQ102" s="42"/>
      <c r="SKR102" s="42"/>
      <c r="SKS102" s="42"/>
      <c r="SKT102" s="42"/>
      <c r="SKU102" s="42"/>
      <c r="SKV102" s="43">
        <v>0</v>
      </c>
      <c r="SKW102" s="42" t="s">
        <v>48</v>
      </c>
      <c r="SKX102" s="42"/>
      <c r="SKY102" s="42"/>
      <c r="SKZ102" s="42"/>
      <c r="SLA102" s="42"/>
      <c r="SLB102" s="42"/>
      <c r="SLC102" s="42"/>
      <c r="SLD102" s="43">
        <v>0</v>
      </c>
      <c r="SLE102" s="42" t="s">
        <v>48</v>
      </c>
      <c r="SLF102" s="42"/>
      <c r="SLG102" s="42"/>
      <c r="SLH102" s="42"/>
      <c r="SLI102" s="42"/>
      <c r="SLJ102" s="42"/>
      <c r="SLK102" s="42"/>
      <c r="SLL102" s="43">
        <v>0</v>
      </c>
      <c r="SLM102" s="42" t="s">
        <v>48</v>
      </c>
      <c r="SLN102" s="42"/>
      <c r="SLO102" s="42"/>
      <c r="SLP102" s="42"/>
      <c r="SLQ102" s="42"/>
      <c r="SLR102" s="42"/>
      <c r="SLS102" s="42"/>
      <c r="SLT102" s="43">
        <v>0</v>
      </c>
      <c r="SLU102" s="42" t="s">
        <v>48</v>
      </c>
      <c r="SLV102" s="42"/>
      <c r="SLW102" s="42"/>
      <c r="SLX102" s="42"/>
      <c r="SLY102" s="42"/>
      <c r="SLZ102" s="42"/>
      <c r="SMA102" s="42"/>
      <c r="SMB102" s="43">
        <v>0</v>
      </c>
      <c r="SMC102" s="42" t="s">
        <v>48</v>
      </c>
      <c r="SMD102" s="42"/>
      <c r="SME102" s="42"/>
      <c r="SMF102" s="42"/>
      <c r="SMG102" s="42"/>
      <c r="SMH102" s="42"/>
      <c r="SMI102" s="42"/>
      <c r="SMJ102" s="43">
        <v>0</v>
      </c>
      <c r="SMK102" s="42" t="s">
        <v>48</v>
      </c>
      <c r="SML102" s="42"/>
      <c r="SMM102" s="42"/>
      <c r="SMN102" s="42"/>
      <c r="SMO102" s="42"/>
      <c r="SMP102" s="42"/>
      <c r="SMQ102" s="42"/>
      <c r="SMR102" s="43">
        <v>0</v>
      </c>
      <c r="SMS102" s="42" t="s">
        <v>48</v>
      </c>
      <c r="SMT102" s="42"/>
      <c r="SMU102" s="42"/>
      <c r="SMV102" s="42"/>
      <c r="SMW102" s="42"/>
      <c r="SMX102" s="42"/>
      <c r="SMY102" s="42"/>
      <c r="SMZ102" s="43">
        <v>0</v>
      </c>
      <c r="SNA102" s="42" t="s">
        <v>48</v>
      </c>
      <c r="SNB102" s="42"/>
      <c r="SNC102" s="42"/>
      <c r="SND102" s="42"/>
      <c r="SNE102" s="42"/>
      <c r="SNF102" s="42"/>
      <c r="SNG102" s="42"/>
      <c r="SNH102" s="43">
        <v>0</v>
      </c>
      <c r="SNI102" s="42" t="s">
        <v>48</v>
      </c>
      <c r="SNJ102" s="42"/>
      <c r="SNK102" s="42"/>
      <c r="SNL102" s="42"/>
      <c r="SNM102" s="42"/>
      <c r="SNN102" s="42"/>
      <c r="SNO102" s="42"/>
      <c r="SNP102" s="43">
        <v>0</v>
      </c>
      <c r="SNQ102" s="42" t="s">
        <v>48</v>
      </c>
      <c r="SNR102" s="42"/>
      <c r="SNS102" s="42"/>
      <c r="SNT102" s="42"/>
      <c r="SNU102" s="42"/>
      <c r="SNV102" s="42"/>
      <c r="SNW102" s="42"/>
      <c r="SNX102" s="43">
        <v>0</v>
      </c>
      <c r="SNY102" s="42" t="s">
        <v>48</v>
      </c>
      <c r="SNZ102" s="42"/>
      <c r="SOA102" s="42"/>
      <c r="SOB102" s="42"/>
      <c r="SOC102" s="42"/>
      <c r="SOD102" s="42"/>
      <c r="SOE102" s="42"/>
      <c r="SOF102" s="43">
        <v>0</v>
      </c>
      <c r="SOG102" s="42" t="s">
        <v>48</v>
      </c>
      <c r="SOH102" s="42"/>
      <c r="SOI102" s="42"/>
      <c r="SOJ102" s="42"/>
      <c r="SOK102" s="42"/>
      <c r="SOL102" s="42"/>
      <c r="SOM102" s="42"/>
      <c r="SON102" s="43">
        <v>0</v>
      </c>
      <c r="SOO102" s="42" t="s">
        <v>48</v>
      </c>
      <c r="SOP102" s="42"/>
      <c r="SOQ102" s="42"/>
      <c r="SOR102" s="42"/>
      <c r="SOS102" s="42"/>
      <c r="SOT102" s="42"/>
      <c r="SOU102" s="42"/>
      <c r="SOV102" s="43">
        <v>0</v>
      </c>
      <c r="SOW102" s="42" t="s">
        <v>48</v>
      </c>
      <c r="SOX102" s="42"/>
      <c r="SOY102" s="42"/>
      <c r="SOZ102" s="42"/>
      <c r="SPA102" s="42"/>
      <c r="SPB102" s="42"/>
      <c r="SPC102" s="42"/>
      <c r="SPD102" s="43">
        <v>0</v>
      </c>
      <c r="SPE102" s="42" t="s">
        <v>48</v>
      </c>
      <c r="SPF102" s="42"/>
      <c r="SPG102" s="42"/>
      <c r="SPH102" s="42"/>
      <c r="SPI102" s="42"/>
      <c r="SPJ102" s="42"/>
      <c r="SPK102" s="42"/>
      <c r="SPL102" s="43">
        <v>0</v>
      </c>
      <c r="SPM102" s="42" t="s">
        <v>48</v>
      </c>
      <c r="SPN102" s="42"/>
      <c r="SPO102" s="42"/>
      <c r="SPP102" s="42"/>
      <c r="SPQ102" s="42"/>
      <c r="SPR102" s="42"/>
      <c r="SPS102" s="42"/>
      <c r="SPT102" s="43">
        <v>0</v>
      </c>
      <c r="SPU102" s="42" t="s">
        <v>48</v>
      </c>
      <c r="SPV102" s="42"/>
      <c r="SPW102" s="42"/>
      <c r="SPX102" s="42"/>
      <c r="SPY102" s="42"/>
      <c r="SPZ102" s="42"/>
      <c r="SQA102" s="42"/>
      <c r="SQB102" s="43">
        <v>0</v>
      </c>
      <c r="SQC102" s="42" t="s">
        <v>48</v>
      </c>
      <c r="SQD102" s="42"/>
      <c r="SQE102" s="42"/>
      <c r="SQF102" s="42"/>
      <c r="SQG102" s="42"/>
      <c r="SQH102" s="42"/>
      <c r="SQI102" s="42"/>
      <c r="SQJ102" s="43">
        <v>0</v>
      </c>
      <c r="SQK102" s="42" t="s">
        <v>48</v>
      </c>
      <c r="SQL102" s="42"/>
      <c r="SQM102" s="42"/>
      <c r="SQN102" s="42"/>
      <c r="SQO102" s="42"/>
      <c r="SQP102" s="42"/>
      <c r="SQQ102" s="42"/>
      <c r="SQR102" s="43">
        <v>0</v>
      </c>
      <c r="SQS102" s="42" t="s">
        <v>48</v>
      </c>
      <c r="SQT102" s="42"/>
      <c r="SQU102" s="42"/>
      <c r="SQV102" s="42"/>
      <c r="SQW102" s="42"/>
      <c r="SQX102" s="42"/>
      <c r="SQY102" s="42"/>
      <c r="SQZ102" s="43">
        <v>0</v>
      </c>
      <c r="SRA102" s="42" t="s">
        <v>48</v>
      </c>
      <c r="SRB102" s="42"/>
      <c r="SRC102" s="42"/>
      <c r="SRD102" s="42"/>
      <c r="SRE102" s="42"/>
      <c r="SRF102" s="42"/>
      <c r="SRG102" s="42"/>
      <c r="SRH102" s="43">
        <v>0</v>
      </c>
      <c r="SRI102" s="42" t="s">
        <v>48</v>
      </c>
      <c r="SRJ102" s="42"/>
      <c r="SRK102" s="42"/>
      <c r="SRL102" s="42"/>
      <c r="SRM102" s="42"/>
      <c r="SRN102" s="42"/>
      <c r="SRO102" s="42"/>
      <c r="SRP102" s="43">
        <v>0</v>
      </c>
      <c r="SRQ102" s="42" t="s">
        <v>48</v>
      </c>
      <c r="SRR102" s="42"/>
      <c r="SRS102" s="42"/>
      <c r="SRT102" s="42"/>
      <c r="SRU102" s="42"/>
      <c r="SRV102" s="42"/>
      <c r="SRW102" s="42"/>
      <c r="SRX102" s="43">
        <v>0</v>
      </c>
      <c r="SRY102" s="42" t="s">
        <v>48</v>
      </c>
      <c r="SRZ102" s="42"/>
      <c r="SSA102" s="42"/>
      <c r="SSB102" s="42"/>
      <c r="SSC102" s="42"/>
      <c r="SSD102" s="42"/>
      <c r="SSE102" s="42"/>
      <c r="SSF102" s="43">
        <v>0</v>
      </c>
      <c r="SSG102" s="42" t="s">
        <v>48</v>
      </c>
      <c r="SSH102" s="42"/>
      <c r="SSI102" s="42"/>
      <c r="SSJ102" s="42"/>
      <c r="SSK102" s="42"/>
      <c r="SSL102" s="42"/>
      <c r="SSM102" s="42"/>
      <c r="SSN102" s="43">
        <v>0</v>
      </c>
      <c r="SSO102" s="42" t="s">
        <v>48</v>
      </c>
      <c r="SSP102" s="42"/>
      <c r="SSQ102" s="42"/>
      <c r="SSR102" s="42"/>
      <c r="SSS102" s="42"/>
      <c r="SST102" s="42"/>
      <c r="SSU102" s="42"/>
      <c r="SSV102" s="43">
        <v>0</v>
      </c>
      <c r="SSW102" s="42" t="s">
        <v>48</v>
      </c>
      <c r="SSX102" s="42"/>
      <c r="SSY102" s="42"/>
      <c r="SSZ102" s="42"/>
      <c r="STA102" s="42"/>
      <c r="STB102" s="42"/>
      <c r="STC102" s="42"/>
      <c r="STD102" s="43">
        <v>0</v>
      </c>
      <c r="STE102" s="42" t="s">
        <v>48</v>
      </c>
      <c r="STF102" s="42"/>
      <c r="STG102" s="42"/>
      <c r="STH102" s="42"/>
      <c r="STI102" s="42"/>
      <c r="STJ102" s="42"/>
      <c r="STK102" s="42"/>
      <c r="STL102" s="43">
        <v>0</v>
      </c>
      <c r="STM102" s="42" t="s">
        <v>48</v>
      </c>
      <c r="STN102" s="42"/>
      <c r="STO102" s="42"/>
      <c r="STP102" s="42"/>
      <c r="STQ102" s="42"/>
      <c r="STR102" s="42"/>
      <c r="STS102" s="42"/>
      <c r="STT102" s="43">
        <v>0</v>
      </c>
      <c r="STU102" s="42" t="s">
        <v>48</v>
      </c>
      <c r="STV102" s="42"/>
      <c r="STW102" s="42"/>
      <c r="STX102" s="42"/>
      <c r="STY102" s="42"/>
      <c r="STZ102" s="42"/>
      <c r="SUA102" s="42"/>
      <c r="SUB102" s="43">
        <v>0</v>
      </c>
      <c r="SUC102" s="42" t="s">
        <v>48</v>
      </c>
      <c r="SUD102" s="42"/>
      <c r="SUE102" s="42"/>
      <c r="SUF102" s="42"/>
      <c r="SUG102" s="42"/>
      <c r="SUH102" s="42"/>
      <c r="SUI102" s="42"/>
      <c r="SUJ102" s="43">
        <v>0</v>
      </c>
      <c r="SUK102" s="42" t="s">
        <v>48</v>
      </c>
      <c r="SUL102" s="42"/>
      <c r="SUM102" s="42"/>
      <c r="SUN102" s="42"/>
      <c r="SUO102" s="42"/>
      <c r="SUP102" s="42"/>
      <c r="SUQ102" s="42"/>
      <c r="SUR102" s="43">
        <v>0</v>
      </c>
      <c r="SUS102" s="42" t="s">
        <v>48</v>
      </c>
      <c r="SUT102" s="42"/>
      <c r="SUU102" s="42"/>
      <c r="SUV102" s="42"/>
      <c r="SUW102" s="42"/>
      <c r="SUX102" s="42"/>
      <c r="SUY102" s="42"/>
      <c r="SUZ102" s="43">
        <v>0</v>
      </c>
      <c r="SVA102" s="42" t="s">
        <v>48</v>
      </c>
      <c r="SVB102" s="42"/>
      <c r="SVC102" s="42"/>
      <c r="SVD102" s="42"/>
      <c r="SVE102" s="42"/>
      <c r="SVF102" s="42"/>
      <c r="SVG102" s="42"/>
      <c r="SVH102" s="43">
        <v>0</v>
      </c>
      <c r="SVI102" s="42" t="s">
        <v>48</v>
      </c>
      <c r="SVJ102" s="42"/>
      <c r="SVK102" s="42"/>
      <c r="SVL102" s="42"/>
      <c r="SVM102" s="42"/>
      <c r="SVN102" s="42"/>
      <c r="SVO102" s="42"/>
      <c r="SVP102" s="43">
        <v>0</v>
      </c>
      <c r="SVQ102" s="42" t="s">
        <v>48</v>
      </c>
      <c r="SVR102" s="42"/>
      <c r="SVS102" s="42"/>
      <c r="SVT102" s="42"/>
      <c r="SVU102" s="42"/>
      <c r="SVV102" s="42"/>
      <c r="SVW102" s="42"/>
      <c r="SVX102" s="43">
        <v>0</v>
      </c>
      <c r="SVY102" s="42" t="s">
        <v>48</v>
      </c>
      <c r="SVZ102" s="42"/>
      <c r="SWA102" s="42"/>
      <c r="SWB102" s="42"/>
      <c r="SWC102" s="42"/>
      <c r="SWD102" s="42"/>
      <c r="SWE102" s="42"/>
      <c r="SWF102" s="43">
        <v>0</v>
      </c>
      <c r="SWG102" s="42" t="s">
        <v>48</v>
      </c>
      <c r="SWH102" s="42"/>
      <c r="SWI102" s="42"/>
      <c r="SWJ102" s="42"/>
      <c r="SWK102" s="42"/>
      <c r="SWL102" s="42"/>
      <c r="SWM102" s="42"/>
      <c r="SWN102" s="43">
        <v>0</v>
      </c>
      <c r="SWO102" s="42" t="s">
        <v>48</v>
      </c>
      <c r="SWP102" s="42"/>
      <c r="SWQ102" s="42"/>
      <c r="SWR102" s="42"/>
      <c r="SWS102" s="42"/>
      <c r="SWT102" s="42"/>
      <c r="SWU102" s="42"/>
      <c r="SWV102" s="43">
        <v>0</v>
      </c>
      <c r="SWW102" s="42" t="s">
        <v>48</v>
      </c>
      <c r="SWX102" s="42"/>
      <c r="SWY102" s="42"/>
      <c r="SWZ102" s="42"/>
      <c r="SXA102" s="42"/>
      <c r="SXB102" s="42"/>
      <c r="SXC102" s="42"/>
      <c r="SXD102" s="43">
        <v>0</v>
      </c>
      <c r="SXE102" s="42" t="s">
        <v>48</v>
      </c>
      <c r="SXF102" s="42"/>
      <c r="SXG102" s="42"/>
      <c r="SXH102" s="42"/>
      <c r="SXI102" s="42"/>
      <c r="SXJ102" s="42"/>
      <c r="SXK102" s="42"/>
      <c r="SXL102" s="43">
        <v>0</v>
      </c>
      <c r="SXM102" s="42" t="s">
        <v>48</v>
      </c>
      <c r="SXN102" s="42"/>
      <c r="SXO102" s="42"/>
      <c r="SXP102" s="42"/>
      <c r="SXQ102" s="42"/>
      <c r="SXR102" s="42"/>
      <c r="SXS102" s="42"/>
      <c r="SXT102" s="43">
        <v>0</v>
      </c>
      <c r="SXU102" s="42" t="s">
        <v>48</v>
      </c>
      <c r="SXV102" s="42"/>
      <c r="SXW102" s="42"/>
      <c r="SXX102" s="42"/>
      <c r="SXY102" s="42"/>
      <c r="SXZ102" s="42"/>
      <c r="SYA102" s="42"/>
      <c r="SYB102" s="43">
        <v>0</v>
      </c>
      <c r="SYC102" s="42" t="s">
        <v>48</v>
      </c>
      <c r="SYD102" s="42"/>
      <c r="SYE102" s="42"/>
      <c r="SYF102" s="42"/>
      <c r="SYG102" s="42"/>
      <c r="SYH102" s="42"/>
      <c r="SYI102" s="42"/>
      <c r="SYJ102" s="43">
        <v>0</v>
      </c>
      <c r="SYK102" s="42" t="s">
        <v>48</v>
      </c>
      <c r="SYL102" s="42"/>
      <c r="SYM102" s="42"/>
      <c r="SYN102" s="42"/>
      <c r="SYO102" s="42"/>
      <c r="SYP102" s="42"/>
      <c r="SYQ102" s="42"/>
      <c r="SYR102" s="43">
        <v>0</v>
      </c>
      <c r="SYS102" s="42" t="s">
        <v>48</v>
      </c>
      <c r="SYT102" s="42"/>
      <c r="SYU102" s="42"/>
      <c r="SYV102" s="42"/>
      <c r="SYW102" s="42"/>
      <c r="SYX102" s="42"/>
      <c r="SYY102" s="42"/>
      <c r="SYZ102" s="43">
        <v>0</v>
      </c>
      <c r="SZA102" s="42" t="s">
        <v>48</v>
      </c>
      <c r="SZB102" s="42"/>
      <c r="SZC102" s="42"/>
      <c r="SZD102" s="42"/>
      <c r="SZE102" s="42"/>
      <c r="SZF102" s="42"/>
      <c r="SZG102" s="42"/>
      <c r="SZH102" s="43">
        <v>0</v>
      </c>
      <c r="SZI102" s="42" t="s">
        <v>48</v>
      </c>
      <c r="SZJ102" s="42"/>
      <c r="SZK102" s="42"/>
      <c r="SZL102" s="42"/>
      <c r="SZM102" s="42"/>
      <c r="SZN102" s="42"/>
      <c r="SZO102" s="42"/>
      <c r="SZP102" s="43">
        <v>0</v>
      </c>
      <c r="SZQ102" s="42" t="s">
        <v>48</v>
      </c>
      <c r="SZR102" s="42"/>
      <c r="SZS102" s="42"/>
      <c r="SZT102" s="42"/>
      <c r="SZU102" s="42"/>
      <c r="SZV102" s="42"/>
      <c r="SZW102" s="42"/>
      <c r="SZX102" s="43">
        <v>0</v>
      </c>
      <c r="SZY102" s="42" t="s">
        <v>48</v>
      </c>
      <c r="SZZ102" s="42"/>
      <c r="TAA102" s="42"/>
      <c r="TAB102" s="42"/>
      <c r="TAC102" s="42"/>
      <c r="TAD102" s="42"/>
      <c r="TAE102" s="42"/>
      <c r="TAF102" s="43">
        <v>0</v>
      </c>
      <c r="TAG102" s="42" t="s">
        <v>48</v>
      </c>
      <c r="TAH102" s="42"/>
      <c r="TAI102" s="42"/>
      <c r="TAJ102" s="42"/>
      <c r="TAK102" s="42"/>
      <c r="TAL102" s="42"/>
      <c r="TAM102" s="42"/>
      <c r="TAN102" s="43">
        <v>0</v>
      </c>
      <c r="TAO102" s="42" t="s">
        <v>48</v>
      </c>
      <c r="TAP102" s="42"/>
      <c r="TAQ102" s="42"/>
      <c r="TAR102" s="42"/>
      <c r="TAS102" s="42"/>
      <c r="TAT102" s="42"/>
      <c r="TAU102" s="42"/>
      <c r="TAV102" s="43">
        <v>0</v>
      </c>
      <c r="TAW102" s="42" t="s">
        <v>48</v>
      </c>
      <c r="TAX102" s="42"/>
      <c r="TAY102" s="42"/>
      <c r="TAZ102" s="42"/>
      <c r="TBA102" s="42"/>
      <c r="TBB102" s="42"/>
      <c r="TBC102" s="42"/>
      <c r="TBD102" s="43">
        <v>0</v>
      </c>
      <c r="TBE102" s="42" t="s">
        <v>48</v>
      </c>
      <c r="TBF102" s="42"/>
      <c r="TBG102" s="42"/>
      <c r="TBH102" s="42"/>
      <c r="TBI102" s="42"/>
      <c r="TBJ102" s="42"/>
      <c r="TBK102" s="42"/>
      <c r="TBL102" s="43">
        <v>0</v>
      </c>
      <c r="TBM102" s="42" t="s">
        <v>48</v>
      </c>
      <c r="TBN102" s="42"/>
      <c r="TBO102" s="42"/>
      <c r="TBP102" s="42"/>
      <c r="TBQ102" s="42"/>
      <c r="TBR102" s="42"/>
      <c r="TBS102" s="42"/>
      <c r="TBT102" s="43">
        <v>0</v>
      </c>
      <c r="TBU102" s="42" t="s">
        <v>48</v>
      </c>
      <c r="TBV102" s="42"/>
      <c r="TBW102" s="42"/>
      <c r="TBX102" s="42"/>
      <c r="TBY102" s="42"/>
      <c r="TBZ102" s="42"/>
      <c r="TCA102" s="42"/>
      <c r="TCB102" s="43">
        <v>0</v>
      </c>
      <c r="TCC102" s="42" t="s">
        <v>48</v>
      </c>
      <c r="TCD102" s="42"/>
      <c r="TCE102" s="42"/>
      <c r="TCF102" s="42"/>
      <c r="TCG102" s="42"/>
      <c r="TCH102" s="42"/>
      <c r="TCI102" s="42"/>
      <c r="TCJ102" s="43">
        <v>0</v>
      </c>
      <c r="TCK102" s="42" t="s">
        <v>48</v>
      </c>
      <c r="TCL102" s="42"/>
      <c r="TCM102" s="42"/>
      <c r="TCN102" s="42"/>
      <c r="TCO102" s="42"/>
      <c r="TCP102" s="42"/>
      <c r="TCQ102" s="42"/>
      <c r="TCR102" s="43">
        <v>0</v>
      </c>
      <c r="TCS102" s="42" t="s">
        <v>48</v>
      </c>
      <c r="TCT102" s="42"/>
      <c r="TCU102" s="42"/>
      <c r="TCV102" s="42"/>
      <c r="TCW102" s="42"/>
      <c r="TCX102" s="42"/>
      <c r="TCY102" s="42"/>
      <c r="TCZ102" s="43">
        <v>0</v>
      </c>
      <c r="TDA102" s="42" t="s">
        <v>48</v>
      </c>
      <c r="TDB102" s="42"/>
      <c r="TDC102" s="42"/>
      <c r="TDD102" s="42"/>
      <c r="TDE102" s="42"/>
      <c r="TDF102" s="42"/>
      <c r="TDG102" s="42"/>
      <c r="TDH102" s="43">
        <v>0</v>
      </c>
      <c r="TDI102" s="42" t="s">
        <v>48</v>
      </c>
      <c r="TDJ102" s="42"/>
      <c r="TDK102" s="42"/>
      <c r="TDL102" s="42"/>
      <c r="TDM102" s="42"/>
      <c r="TDN102" s="42"/>
      <c r="TDO102" s="42"/>
      <c r="TDP102" s="43">
        <v>0</v>
      </c>
      <c r="TDQ102" s="42" t="s">
        <v>48</v>
      </c>
      <c r="TDR102" s="42"/>
      <c r="TDS102" s="42"/>
      <c r="TDT102" s="42"/>
      <c r="TDU102" s="42"/>
      <c r="TDV102" s="42"/>
      <c r="TDW102" s="42"/>
      <c r="TDX102" s="43">
        <v>0</v>
      </c>
      <c r="TDY102" s="42" t="s">
        <v>48</v>
      </c>
      <c r="TDZ102" s="42"/>
      <c r="TEA102" s="42"/>
      <c r="TEB102" s="42"/>
      <c r="TEC102" s="42"/>
      <c r="TED102" s="42"/>
      <c r="TEE102" s="42"/>
      <c r="TEF102" s="43">
        <v>0</v>
      </c>
      <c r="TEG102" s="42" t="s">
        <v>48</v>
      </c>
      <c r="TEH102" s="42"/>
      <c r="TEI102" s="42"/>
      <c r="TEJ102" s="42"/>
      <c r="TEK102" s="42"/>
      <c r="TEL102" s="42"/>
      <c r="TEM102" s="42"/>
      <c r="TEN102" s="43">
        <v>0</v>
      </c>
      <c r="TEO102" s="42" t="s">
        <v>48</v>
      </c>
      <c r="TEP102" s="42"/>
      <c r="TEQ102" s="42"/>
      <c r="TER102" s="42"/>
      <c r="TES102" s="42"/>
      <c r="TET102" s="42"/>
      <c r="TEU102" s="42"/>
      <c r="TEV102" s="43">
        <v>0</v>
      </c>
      <c r="TEW102" s="42" t="s">
        <v>48</v>
      </c>
      <c r="TEX102" s="42"/>
      <c r="TEY102" s="42"/>
      <c r="TEZ102" s="42"/>
      <c r="TFA102" s="42"/>
      <c r="TFB102" s="42"/>
      <c r="TFC102" s="42"/>
      <c r="TFD102" s="43">
        <v>0</v>
      </c>
      <c r="TFE102" s="42" t="s">
        <v>48</v>
      </c>
      <c r="TFF102" s="42"/>
      <c r="TFG102" s="42"/>
      <c r="TFH102" s="42"/>
      <c r="TFI102" s="42"/>
      <c r="TFJ102" s="42"/>
      <c r="TFK102" s="42"/>
      <c r="TFL102" s="43">
        <v>0</v>
      </c>
      <c r="TFM102" s="42" t="s">
        <v>48</v>
      </c>
      <c r="TFN102" s="42"/>
      <c r="TFO102" s="42"/>
      <c r="TFP102" s="42"/>
      <c r="TFQ102" s="42"/>
      <c r="TFR102" s="42"/>
      <c r="TFS102" s="42"/>
      <c r="TFT102" s="43">
        <v>0</v>
      </c>
      <c r="TFU102" s="42" t="s">
        <v>48</v>
      </c>
      <c r="TFV102" s="42"/>
      <c r="TFW102" s="42"/>
      <c r="TFX102" s="42"/>
      <c r="TFY102" s="42"/>
      <c r="TFZ102" s="42"/>
      <c r="TGA102" s="42"/>
      <c r="TGB102" s="43">
        <v>0</v>
      </c>
      <c r="TGC102" s="42" t="s">
        <v>48</v>
      </c>
      <c r="TGD102" s="42"/>
      <c r="TGE102" s="42"/>
      <c r="TGF102" s="42"/>
      <c r="TGG102" s="42"/>
      <c r="TGH102" s="42"/>
      <c r="TGI102" s="42"/>
      <c r="TGJ102" s="43">
        <v>0</v>
      </c>
      <c r="TGK102" s="42" t="s">
        <v>48</v>
      </c>
      <c r="TGL102" s="42"/>
      <c r="TGM102" s="42"/>
      <c r="TGN102" s="42"/>
      <c r="TGO102" s="42"/>
      <c r="TGP102" s="42"/>
      <c r="TGQ102" s="42"/>
      <c r="TGR102" s="43">
        <v>0</v>
      </c>
      <c r="TGS102" s="42" t="s">
        <v>48</v>
      </c>
      <c r="TGT102" s="42"/>
      <c r="TGU102" s="42"/>
      <c r="TGV102" s="42"/>
      <c r="TGW102" s="42"/>
      <c r="TGX102" s="42"/>
      <c r="TGY102" s="42"/>
      <c r="TGZ102" s="43">
        <v>0</v>
      </c>
      <c r="THA102" s="42" t="s">
        <v>48</v>
      </c>
      <c r="THB102" s="42"/>
      <c r="THC102" s="42"/>
      <c r="THD102" s="42"/>
      <c r="THE102" s="42"/>
      <c r="THF102" s="42"/>
      <c r="THG102" s="42"/>
      <c r="THH102" s="43">
        <v>0</v>
      </c>
      <c r="THI102" s="42" t="s">
        <v>48</v>
      </c>
      <c r="THJ102" s="42"/>
      <c r="THK102" s="42"/>
      <c r="THL102" s="42"/>
      <c r="THM102" s="42"/>
      <c r="THN102" s="42"/>
      <c r="THO102" s="42"/>
      <c r="THP102" s="43">
        <v>0</v>
      </c>
      <c r="THQ102" s="42" t="s">
        <v>48</v>
      </c>
      <c r="THR102" s="42"/>
      <c r="THS102" s="42"/>
      <c r="THT102" s="42"/>
      <c r="THU102" s="42"/>
      <c r="THV102" s="42"/>
      <c r="THW102" s="42"/>
      <c r="THX102" s="43">
        <v>0</v>
      </c>
      <c r="THY102" s="42" t="s">
        <v>48</v>
      </c>
      <c r="THZ102" s="42"/>
      <c r="TIA102" s="42"/>
      <c r="TIB102" s="42"/>
      <c r="TIC102" s="42"/>
      <c r="TID102" s="42"/>
      <c r="TIE102" s="42"/>
      <c r="TIF102" s="43">
        <v>0</v>
      </c>
      <c r="TIG102" s="42" t="s">
        <v>48</v>
      </c>
      <c r="TIH102" s="42"/>
      <c r="TII102" s="42"/>
      <c r="TIJ102" s="42"/>
      <c r="TIK102" s="42"/>
      <c r="TIL102" s="42"/>
      <c r="TIM102" s="42"/>
      <c r="TIN102" s="43">
        <v>0</v>
      </c>
      <c r="TIO102" s="42" t="s">
        <v>48</v>
      </c>
      <c r="TIP102" s="42"/>
      <c r="TIQ102" s="42"/>
      <c r="TIR102" s="42"/>
      <c r="TIS102" s="42"/>
      <c r="TIT102" s="42"/>
      <c r="TIU102" s="42"/>
      <c r="TIV102" s="43">
        <v>0</v>
      </c>
      <c r="TIW102" s="42" t="s">
        <v>48</v>
      </c>
      <c r="TIX102" s="42"/>
      <c r="TIY102" s="42"/>
      <c r="TIZ102" s="42"/>
      <c r="TJA102" s="42"/>
      <c r="TJB102" s="42"/>
      <c r="TJC102" s="42"/>
      <c r="TJD102" s="43">
        <v>0</v>
      </c>
      <c r="TJE102" s="42" t="s">
        <v>48</v>
      </c>
      <c r="TJF102" s="42"/>
      <c r="TJG102" s="42"/>
      <c r="TJH102" s="42"/>
      <c r="TJI102" s="42"/>
      <c r="TJJ102" s="42"/>
      <c r="TJK102" s="42"/>
      <c r="TJL102" s="43">
        <v>0</v>
      </c>
      <c r="TJM102" s="42" t="s">
        <v>48</v>
      </c>
      <c r="TJN102" s="42"/>
      <c r="TJO102" s="42"/>
      <c r="TJP102" s="42"/>
      <c r="TJQ102" s="42"/>
      <c r="TJR102" s="42"/>
      <c r="TJS102" s="42"/>
      <c r="TJT102" s="43">
        <v>0</v>
      </c>
      <c r="TJU102" s="42" t="s">
        <v>48</v>
      </c>
      <c r="TJV102" s="42"/>
      <c r="TJW102" s="42"/>
      <c r="TJX102" s="42"/>
      <c r="TJY102" s="42"/>
      <c r="TJZ102" s="42"/>
      <c r="TKA102" s="42"/>
      <c r="TKB102" s="43">
        <v>0</v>
      </c>
      <c r="TKC102" s="42" t="s">
        <v>48</v>
      </c>
      <c r="TKD102" s="42"/>
      <c r="TKE102" s="42"/>
      <c r="TKF102" s="42"/>
      <c r="TKG102" s="42"/>
      <c r="TKH102" s="42"/>
      <c r="TKI102" s="42"/>
      <c r="TKJ102" s="43">
        <v>0</v>
      </c>
      <c r="TKK102" s="42" t="s">
        <v>48</v>
      </c>
      <c r="TKL102" s="42"/>
      <c r="TKM102" s="42"/>
      <c r="TKN102" s="42"/>
      <c r="TKO102" s="42"/>
      <c r="TKP102" s="42"/>
      <c r="TKQ102" s="42"/>
      <c r="TKR102" s="43">
        <v>0</v>
      </c>
      <c r="TKS102" s="42" t="s">
        <v>48</v>
      </c>
      <c r="TKT102" s="42"/>
      <c r="TKU102" s="42"/>
      <c r="TKV102" s="42"/>
      <c r="TKW102" s="42"/>
      <c r="TKX102" s="42"/>
      <c r="TKY102" s="42"/>
      <c r="TKZ102" s="43">
        <v>0</v>
      </c>
      <c r="TLA102" s="42" t="s">
        <v>48</v>
      </c>
      <c r="TLB102" s="42"/>
      <c r="TLC102" s="42"/>
      <c r="TLD102" s="42"/>
      <c r="TLE102" s="42"/>
      <c r="TLF102" s="42"/>
      <c r="TLG102" s="42"/>
      <c r="TLH102" s="43">
        <v>0</v>
      </c>
      <c r="TLI102" s="42" t="s">
        <v>48</v>
      </c>
      <c r="TLJ102" s="42"/>
      <c r="TLK102" s="42"/>
      <c r="TLL102" s="42"/>
      <c r="TLM102" s="42"/>
      <c r="TLN102" s="42"/>
      <c r="TLO102" s="42"/>
      <c r="TLP102" s="43">
        <v>0</v>
      </c>
      <c r="TLQ102" s="42" t="s">
        <v>48</v>
      </c>
      <c r="TLR102" s="42"/>
      <c r="TLS102" s="42"/>
      <c r="TLT102" s="42"/>
      <c r="TLU102" s="42"/>
      <c r="TLV102" s="42"/>
      <c r="TLW102" s="42"/>
      <c r="TLX102" s="43">
        <v>0</v>
      </c>
      <c r="TLY102" s="42" t="s">
        <v>48</v>
      </c>
      <c r="TLZ102" s="42"/>
      <c r="TMA102" s="42"/>
      <c r="TMB102" s="42"/>
      <c r="TMC102" s="42"/>
      <c r="TMD102" s="42"/>
      <c r="TME102" s="42"/>
      <c r="TMF102" s="43">
        <v>0</v>
      </c>
      <c r="TMG102" s="42" t="s">
        <v>48</v>
      </c>
      <c r="TMH102" s="42"/>
      <c r="TMI102" s="42"/>
      <c r="TMJ102" s="42"/>
      <c r="TMK102" s="42"/>
      <c r="TML102" s="42"/>
      <c r="TMM102" s="42"/>
      <c r="TMN102" s="43">
        <v>0</v>
      </c>
      <c r="TMO102" s="42" t="s">
        <v>48</v>
      </c>
      <c r="TMP102" s="42"/>
      <c r="TMQ102" s="42"/>
      <c r="TMR102" s="42"/>
      <c r="TMS102" s="42"/>
      <c r="TMT102" s="42"/>
      <c r="TMU102" s="42"/>
      <c r="TMV102" s="43">
        <v>0</v>
      </c>
      <c r="TMW102" s="42" t="s">
        <v>48</v>
      </c>
      <c r="TMX102" s="42"/>
      <c r="TMY102" s="42"/>
      <c r="TMZ102" s="42"/>
      <c r="TNA102" s="42"/>
      <c r="TNB102" s="42"/>
      <c r="TNC102" s="42"/>
      <c r="TND102" s="43">
        <v>0</v>
      </c>
      <c r="TNE102" s="42" t="s">
        <v>48</v>
      </c>
      <c r="TNF102" s="42"/>
      <c r="TNG102" s="42"/>
      <c r="TNH102" s="42"/>
      <c r="TNI102" s="42"/>
      <c r="TNJ102" s="42"/>
      <c r="TNK102" s="42"/>
      <c r="TNL102" s="43">
        <v>0</v>
      </c>
      <c r="TNM102" s="42" t="s">
        <v>48</v>
      </c>
      <c r="TNN102" s="42"/>
      <c r="TNO102" s="42"/>
      <c r="TNP102" s="42"/>
      <c r="TNQ102" s="42"/>
      <c r="TNR102" s="42"/>
      <c r="TNS102" s="42"/>
      <c r="TNT102" s="43">
        <v>0</v>
      </c>
      <c r="TNU102" s="42" t="s">
        <v>48</v>
      </c>
      <c r="TNV102" s="42"/>
      <c r="TNW102" s="42"/>
      <c r="TNX102" s="42"/>
      <c r="TNY102" s="42"/>
      <c r="TNZ102" s="42"/>
      <c r="TOA102" s="42"/>
      <c r="TOB102" s="43">
        <v>0</v>
      </c>
      <c r="TOC102" s="42" t="s">
        <v>48</v>
      </c>
      <c r="TOD102" s="42"/>
      <c r="TOE102" s="42"/>
      <c r="TOF102" s="42"/>
      <c r="TOG102" s="42"/>
      <c r="TOH102" s="42"/>
      <c r="TOI102" s="42"/>
      <c r="TOJ102" s="43">
        <v>0</v>
      </c>
      <c r="TOK102" s="42" t="s">
        <v>48</v>
      </c>
      <c r="TOL102" s="42"/>
      <c r="TOM102" s="42"/>
      <c r="TON102" s="42"/>
      <c r="TOO102" s="42"/>
      <c r="TOP102" s="42"/>
      <c r="TOQ102" s="42"/>
      <c r="TOR102" s="43">
        <v>0</v>
      </c>
      <c r="TOS102" s="42" t="s">
        <v>48</v>
      </c>
      <c r="TOT102" s="42"/>
      <c r="TOU102" s="42"/>
      <c r="TOV102" s="42"/>
      <c r="TOW102" s="42"/>
      <c r="TOX102" s="42"/>
      <c r="TOY102" s="42"/>
      <c r="TOZ102" s="43">
        <v>0</v>
      </c>
      <c r="TPA102" s="42" t="s">
        <v>48</v>
      </c>
      <c r="TPB102" s="42"/>
      <c r="TPC102" s="42"/>
      <c r="TPD102" s="42"/>
      <c r="TPE102" s="42"/>
      <c r="TPF102" s="42"/>
      <c r="TPG102" s="42"/>
      <c r="TPH102" s="43">
        <v>0</v>
      </c>
      <c r="TPI102" s="42" t="s">
        <v>48</v>
      </c>
      <c r="TPJ102" s="42"/>
      <c r="TPK102" s="42"/>
      <c r="TPL102" s="42"/>
      <c r="TPM102" s="42"/>
      <c r="TPN102" s="42"/>
      <c r="TPO102" s="42"/>
      <c r="TPP102" s="43">
        <v>0</v>
      </c>
      <c r="TPQ102" s="42" t="s">
        <v>48</v>
      </c>
      <c r="TPR102" s="42"/>
      <c r="TPS102" s="42"/>
      <c r="TPT102" s="42"/>
      <c r="TPU102" s="42"/>
      <c r="TPV102" s="42"/>
      <c r="TPW102" s="42"/>
      <c r="TPX102" s="43">
        <v>0</v>
      </c>
      <c r="TPY102" s="42" t="s">
        <v>48</v>
      </c>
      <c r="TPZ102" s="42"/>
      <c r="TQA102" s="42"/>
      <c r="TQB102" s="42"/>
      <c r="TQC102" s="42"/>
      <c r="TQD102" s="42"/>
      <c r="TQE102" s="42"/>
      <c r="TQF102" s="43">
        <v>0</v>
      </c>
      <c r="TQG102" s="42" t="s">
        <v>48</v>
      </c>
      <c r="TQH102" s="42"/>
      <c r="TQI102" s="42"/>
      <c r="TQJ102" s="42"/>
      <c r="TQK102" s="42"/>
      <c r="TQL102" s="42"/>
      <c r="TQM102" s="42"/>
      <c r="TQN102" s="43">
        <v>0</v>
      </c>
      <c r="TQO102" s="42" t="s">
        <v>48</v>
      </c>
      <c r="TQP102" s="42"/>
      <c r="TQQ102" s="42"/>
      <c r="TQR102" s="42"/>
      <c r="TQS102" s="42"/>
      <c r="TQT102" s="42"/>
      <c r="TQU102" s="42"/>
      <c r="TQV102" s="43">
        <v>0</v>
      </c>
      <c r="TQW102" s="42" t="s">
        <v>48</v>
      </c>
      <c r="TQX102" s="42"/>
      <c r="TQY102" s="42"/>
      <c r="TQZ102" s="42"/>
      <c r="TRA102" s="42"/>
      <c r="TRB102" s="42"/>
      <c r="TRC102" s="42"/>
      <c r="TRD102" s="43">
        <v>0</v>
      </c>
      <c r="TRE102" s="42" t="s">
        <v>48</v>
      </c>
      <c r="TRF102" s="42"/>
      <c r="TRG102" s="42"/>
      <c r="TRH102" s="42"/>
      <c r="TRI102" s="42"/>
      <c r="TRJ102" s="42"/>
      <c r="TRK102" s="42"/>
      <c r="TRL102" s="43">
        <v>0</v>
      </c>
      <c r="TRM102" s="42" t="s">
        <v>48</v>
      </c>
      <c r="TRN102" s="42"/>
      <c r="TRO102" s="42"/>
      <c r="TRP102" s="42"/>
      <c r="TRQ102" s="42"/>
      <c r="TRR102" s="42"/>
      <c r="TRS102" s="42"/>
      <c r="TRT102" s="43">
        <v>0</v>
      </c>
      <c r="TRU102" s="42" t="s">
        <v>48</v>
      </c>
      <c r="TRV102" s="42"/>
      <c r="TRW102" s="42"/>
      <c r="TRX102" s="42"/>
      <c r="TRY102" s="42"/>
      <c r="TRZ102" s="42"/>
      <c r="TSA102" s="42"/>
      <c r="TSB102" s="43">
        <v>0</v>
      </c>
      <c r="TSC102" s="42" t="s">
        <v>48</v>
      </c>
      <c r="TSD102" s="42"/>
      <c r="TSE102" s="42"/>
      <c r="TSF102" s="42"/>
      <c r="TSG102" s="42"/>
      <c r="TSH102" s="42"/>
      <c r="TSI102" s="42"/>
      <c r="TSJ102" s="43">
        <v>0</v>
      </c>
      <c r="TSK102" s="42" t="s">
        <v>48</v>
      </c>
      <c r="TSL102" s="42"/>
      <c r="TSM102" s="42"/>
      <c r="TSN102" s="42"/>
      <c r="TSO102" s="42"/>
      <c r="TSP102" s="42"/>
      <c r="TSQ102" s="42"/>
      <c r="TSR102" s="43">
        <v>0</v>
      </c>
      <c r="TSS102" s="42" t="s">
        <v>48</v>
      </c>
      <c r="TST102" s="42"/>
      <c r="TSU102" s="42"/>
      <c r="TSV102" s="42"/>
      <c r="TSW102" s="42"/>
      <c r="TSX102" s="42"/>
      <c r="TSY102" s="42"/>
      <c r="TSZ102" s="43">
        <v>0</v>
      </c>
      <c r="TTA102" s="42" t="s">
        <v>48</v>
      </c>
      <c r="TTB102" s="42"/>
      <c r="TTC102" s="42"/>
      <c r="TTD102" s="42"/>
      <c r="TTE102" s="42"/>
      <c r="TTF102" s="42"/>
      <c r="TTG102" s="42"/>
      <c r="TTH102" s="43">
        <v>0</v>
      </c>
      <c r="TTI102" s="42" t="s">
        <v>48</v>
      </c>
      <c r="TTJ102" s="42"/>
      <c r="TTK102" s="42"/>
      <c r="TTL102" s="42"/>
      <c r="TTM102" s="42"/>
      <c r="TTN102" s="42"/>
      <c r="TTO102" s="42"/>
      <c r="TTP102" s="43">
        <v>0</v>
      </c>
      <c r="TTQ102" s="42" t="s">
        <v>48</v>
      </c>
      <c r="TTR102" s="42"/>
      <c r="TTS102" s="42"/>
      <c r="TTT102" s="42"/>
      <c r="TTU102" s="42"/>
      <c r="TTV102" s="42"/>
      <c r="TTW102" s="42"/>
      <c r="TTX102" s="43">
        <v>0</v>
      </c>
      <c r="TTY102" s="42" t="s">
        <v>48</v>
      </c>
      <c r="TTZ102" s="42"/>
      <c r="TUA102" s="42"/>
      <c r="TUB102" s="42"/>
      <c r="TUC102" s="42"/>
      <c r="TUD102" s="42"/>
      <c r="TUE102" s="42"/>
      <c r="TUF102" s="43">
        <v>0</v>
      </c>
      <c r="TUG102" s="42" t="s">
        <v>48</v>
      </c>
      <c r="TUH102" s="42"/>
      <c r="TUI102" s="42"/>
      <c r="TUJ102" s="42"/>
      <c r="TUK102" s="42"/>
      <c r="TUL102" s="42"/>
      <c r="TUM102" s="42"/>
      <c r="TUN102" s="43">
        <v>0</v>
      </c>
      <c r="TUO102" s="42" t="s">
        <v>48</v>
      </c>
      <c r="TUP102" s="42"/>
      <c r="TUQ102" s="42"/>
      <c r="TUR102" s="42"/>
      <c r="TUS102" s="42"/>
      <c r="TUT102" s="42"/>
      <c r="TUU102" s="42"/>
      <c r="TUV102" s="43">
        <v>0</v>
      </c>
      <c r="TUW102" s="42" t="s">
        <v>48</v>
      </c>
      <c r="TUX102" s="42"/>
      <c r="TUY102" s="42"/>
      <c r="TUZ102" s="42"/>
      <c r="TVA102" s="42"/>
      <c r="TVB102" s="42"/>
      <c r="TVC102" s="42"/>
      <c r="TVD102" s="43">
        <v>0</v>
      </c>
      <c r="TVE102" s="42" t="s">
        <v>48</v>
      </c>
      <c r="TVF102" s="42"/>
      <c r="TVG102" s="42"/>
      <c r="TVH102" s="42"/>
      <c r="TVI102" s="42"/>
      <c r="TVJ102" s="42"/>
      <c r="TVK102" s="42"/>
      <c r="TVL102" s="43">
        <v>0</v>
      </c>
      <c r="TVM102" s="42" t="s">
        <v>48</v>
      </c>
      <c r="TVN102" s="42"/>
      <c r="TVO102" s="42"/>
      <c r="TVP102" s="42"/>
      <c r="TVQ102" s="42"/>
      <c r="TVR102" s="42"/>
      <c r="TVS102" s="42"/>
      <c r="TVT102" s="43">
        <v>0</v>
      </c>
      <c r="TVU102" s="42" t="s">
        <v>48</v>
      </c>
      <c r="TVV102" s="42"/>
      <c r="TVW102" s="42"/>
      <c r="TVX102" s="42"/>
      <c r="TVY102" s="42"/>
      <c r="TVZ102" s="42"/>
      <c r="TWA102" s="42"/>
      <c r="TWB102" s="43">
        <v>0</v>
      </c>
      <c r="TWC102" s="42" t="s">
        <v>48</v>
      </c>
      <c r="TWD102" s="42"/>
      <c r="TWE102" s="42"/>
      <c r="TWF102" s="42"/>
      <c r="TWG102" s="42"/>
      <c r="TWH102" s="42"/>
      <c r="TWI102" s="42"/>
      <c r="TWJ102" s="43">
        <v>0</v>
      </c>
      <c r="TWK102" s="42" t="s">
        <v>48</v>
      </c>
      <c r="TWL102" s="42"/>
      <c r="TWM102" s="42"/>
      <c r="TWN102" s="42"/>
      <c r="TWO102" s="42"/>
      <c r="TWP102" s="42"/>
      <c r="TWQ102" s="42"/>
      <c r="TWR102" s="43">
        <v>0</v>
      </c>
      <c r="TWS102" s="42" t="s">
        <v>48</v>
      </c>
      <c r="TWT102" s="42"/>
      <c r="TWU102" s="42"/>
      <c r="TWV102" s="42"/>
      <c r="TWW102" s="42"/>
      <c r="TWX102" s="42"/>
      <c r="TWY102" s="42"/>
      <c r="TWZ102" s="43">
        <v>0</v>
      </c>
      <c r="TXA102" s="42" t="s">
        <v>48</v>
      </c>
      <c r="TXB102" s="42"/>
      <c r="TXC102" s="42"/>
      <c r="TXD102" s="42"/>
      <c r="TXE102" s="42"/>
      <c r="TXF102" s="42"/>
      <c r="TXG102" s="42"/>
      <c r="TXH102" s="43">
        <v>0</v>
      </c>
      <c r="TXI102" s="42" t="s">
        <v>48</v>
      </c>
      <c r="TXJ102" s="42"/>
      <c r="TXK102" s="42"/>
      <c r="TXL102" s="42"/>
      <c r="TXM102" s="42"/>
      <c r="TXN102" s="42"/>
      <c r="TXO102" s="42"/>
      <c r="TXP102" s="43">
        <v>0</v>
      </c>
      <c r="TXQ102" s="42" t="s">
        <v>48</v>
      </c>
      <c r="TXR102" s="42"/>
      <c r="TXS102" s="42"/>
      <c r="TXT102" s="42"/>
      <c r="TXU102" s="42"/>
      <c r="TXV102" s="42"/>
      <c r="TXW102" s="42"/>
      <c r="TXX102" s="43">
        <v>0</v>
      </c>
      <c r="TXY102" s="42" t="s">
        <v>48</v>
      </c>
      <c r="TXZ102" s="42"/>
      <c r="TYA102" s="42"/>
      <c r="TYB102" s="42"/>
      <c r="TYC102" s="42"/>
      <c r="TYD102" s="42"/>
      <c r="TYE102" s="42"/>
      <c r="TYF102" s="43">
        <v>0</v>
      </c>
      <c r="TYG102" s="42" t="s">
        <v>48</v>
      </c>
      <c r="TYH102" s="42"/>
      <c r="TYI102" s="42"/>
      <c r="TYJ102" s="42"/>
      <c r="TYK102" s="42"/>
      <c r="TYL102" s="42"/>
      <c r="TYM102" s="42"/>
      <c r="TYN102" s="43">
        <v>0</v>
      </c>
      <c r="TYO102" s="42" t="s">
        <v>48</v>
      </c>
      <c r="TYP102" s="42"/>
      <c r="TYQ102" s="42"/>
      <c r="TYR102" s="42"/>
      <c r="TYS102" s="42"/>
      <c r="TYT102" s="42"/>
      <c r="TYU102" s="42"/>
      <c r="TYV102" s="43">
        <v>0</v>
      </c>
      <c r="TYW102" s="42" t="s">
        <v>48</v>
      </c>
      <c r="TYX102" s="42"/>
      <c r="TYY102" s="42"/>
      <c r="TYZ102" s="42"/>
      <c r="TZA102" s="42"/>
      <c r="TZB102" s="42"/>
      <c r="TZC102" s="42"/>
      <c r="TZD102" s="43">
        <v>0</v>
      </c>
      <c r="TZE102" s="42" t="s">
        <v>48</v>
      </c>
      <c r="TZF102" s="42"/>
      <c r="TZG102" s="42"/>
      <c r="TZH102" s="42"/>
      <c r="TZI102" s="42"/>
      <c r="TZJ102" s="42"/>
      <c r="TZK102" s="42"/>
      <c r="TZL102" s="43">
        <v>0</v>
      </c>
      <c r="TZM102" s="42" t="s">
        <v>48</v>
      </c>
      <c r="TZN102" s="42"/>
      <c r="TZO102" s="42"/>
      <c r="TZP102" s="42"/>
      <c r="TZQ102" s="42"/>
      <c r="TZR102" s="42"/>
      <c r="TZS102" s="42"/>
      <c r="TZT102" s="43">
        <v>0</v>
      </c>
      <c r="TZU102" s="42" t="s">
        <v>48</v>
      </c>
      <c r="TZV102" s="42"/>
      <c r="TZW102" s="42"/>
      <c r="TZX102" s="42"/>
      <c r="TZY102" s="42"/>
      <c r="TZZ102" s="42"/>
      <c r="UAA102" s="42"/>
      <c r="UAB102" s="43">
        <v>0</v>
      </c>
      <c r="UAC102" s="42" t="s">
        <v>48</v>
      </c>
      <c r="UAD102" s="42"/>
      <c r="UAE102" s="42"/>
      <c r="UAF102" s="42"/>
      <c r="UAG102" s="42"/>
      <c r="UAH102" s="42"/>
      <c r="UAI102" s="42"/>
      <c r="UAJ102" s="43">
        <v>0</v>
      </c>
      <c r="UAK102" s="42" t="s">
        <v>48</v>
      </c>
      <c r="UAL102" s="42"/>
      <c r="UAM102" s="42"/>
      <c r="UAN102" s="42"/>
      <c r="UAO102" s="42"/>
      <c r="UAP102" s="42"/>
      <c r="UAQ102" s="42"/>
      <c r="UAR102" s="43">
        <v>0</v>
      </c>
      <c r="UAS102" s="42" t="s">
        <v>48</v>
      </c>
      <c r="UAT102" s="42"/>
      <c r="UAU102" s="42"/>
      <c r="UAV102" s="42"/>
      <c r="UAW102" s="42"/>
      <c r="UAX102" s="42"/>
      <c r="UAY102" s="42"/>
      <c r="UAZ102" s="43">
        <v>0</v>
      </c>
      <c r="UBA102" s="42" t="s">
        <v>48</v>
      </c>
      <c r="UBB102" s="42"/>
      <c r="UBC102" s="42"/>
      <c r="UBD102" s="42"/>
      <c r="UBE102" s="42"/>
      <c r="UBF102" s="42"/>
      <c r="UBG102" s="42"/>
      <c r="UBH102" s="43">
        <v>0</v>
      </c>
      <c r="UBI102" s="42" t="s">
        <v>48</v>
      </c>
      <c r="UBJ102" s="42"/>
      <c r="UBK102" s="42"/>
      <c r="UBL102" s="42"/>
      <c r="UBM102" s="42"/>
      <c r="UBN102" s="42"/>
      <c r="UBO102" s="42"/>
      <c r="UBP102" s="43">
        <v>0</v>
      </c>
      <c r="UBQ102" s="42" t="s">
        <v>48</v>
      </c>
      <c r="UBR102" s="42"/>
      <c r="UBS102" s="42"/>
      <c r="UBT102" s="42"/>
      <c r="UBU102" s="42"/>
      <c r="UBV102" s="42"/>
      <c r="UBW102" s="42"/>
      <c r="UBX102" s="43">
        <v>0</v>
      </c>
      <c r="UBY102" s="42" t="s">
        <v>48</v>
      </c>
      <c r="UBZ102" s="42"/>
      <c r="UCA102" s="42"/>
      <c r="UCB102" s="42"/>
      <c r="UCC102" s="42"/>
      <c r="UCD102" s="42"/>
      <c r="UCE102" s="42"/>
      <c r="UCF102" s="43">
        <v>0</v>
      </c>
      <c r="UCG102" s="42" t="s">
        <v>48</v>
      </c>
      <c r="UCH102" s="42"/>
      <c r="UCI102" s="42"/>
      <c r="UCJ102" s="42"/>
      <c r="UCK102" s="42"/>
      <c r="UCL102" s="42"/>
      <c r="UCM102" s="42"/>
      <c r="UCN102" s="43">
        <v>0</v>
      </c>
      <c r="UCO102" s="42" t="s">
        <v>48</v>
      </c>
      <c r="UCP102" s="42"/>
      <c r="UCQ102" s="42"/>
      <c r="UCR102" s="42"/>
      <c r="UCS102" s="42"/>
      <c r="UCT102" s="42"/>
      <c r="UCU102" s="42"/>
      <c r="UCV102" s="43">
        <v>0</v>
      </c>
      <c r="UCW102" s="42" t="s">
        <v>48</v>
      </c>
      <c r="UCX102" s="42"/>
      <c r="UCY102" s="42"/>
      <c r="UCZ102" s="42"/>
      <c r="UDA102" s="42"/>
      <c r="UDB102" s="42"/>
      <c r="UDC102" s="42"/>
      <c r="UDD102" s="43">
        <v>0</v>
      </c>
      <c r="UDE102" s="42" t="s">
        <v>48</v>
      </c>
      <c r="UDF102" s="42"/>
      <c r="UDG102" s="42"/>
      <c r="UDH102" s="42"/>
      <c r="UDI102" s="42"/>
      <c r="UDJ102" s="42"/>
      <c r="UDK102" s="42"/>
      <c r="UDL102" s="43">
        <v>0</v>
      </c>
      <c r="UDM102" s="42" t="s">
        <v>48</v>
      </c>
      <c r="UDN102" s="42"/>
      <c r="UDO102" s="42"/>
      <c r="UDP102" s="42"/>
      <c r="UDQ102" s="42"/>
      <c r="UDR102" s="42"/>
      <c r="UDS102" s="42"/>
      <c r="UDT102" s="43">
        <v>0</v>
      </c>
      <c r="UDU102" s="42" t="s">
        <v>48</v>
      </c>
      <c r="UDV102" s="42"/>
      <c r="UDW102" s="42"/>
      <c r="UDX102" s="42"/>
      <c r="UDY102" s="42"/>
      <c r="UDZ102" s="42"/>
      <c r="UEA102" s="42"/>
      <c r="UEB102" s="43">
        <v>0</v>
      </c>
      <c r="UEC102" s="42" t="s">
        <v>48</v>
      </c>
      <c r="UED102" s="42"/>
      <c r="UEE102" s="42"/>
      <c r="UEF102" s="42"/>
      <c r="UEG102" s="42"/>
      <c r="UEH102" s="42"/>
      <c r="UEI102" s="42"/>
      <c r="UEJ102" s="43">
        <v>0</v>
      </c>
      <c r="UEK102" s="42" t="s">
        <v>48</v>
      </c>
      <c r="UEL102" s="42"/>
      <c r="UEM102" s="42"/>
      <c r="UEN102" s="42"/>
      <c r="UEO102" s="42"/>
      <c r="UEP102" s="42"/>
      <c r="UEQ102" s="42"/>
      <c r="UER102" s="43">
        <v>0</v>
      </c>
      <c r="UES102" s="42" t="s">
        <v>48</v>
      </c>
      <c r="UET102" s="42"/>
      <c r="UEU102" s="42"/>
      <c r="UEV102" s="42"/>
      <c r="UEW102" s="42"/>
      <c r="UEX102" s="42"/>
      <c r="UEY102" s="42"/>
      <c r="UEZ102" s="43">
        <v>0</v>
      </c>
      <c r="UFA102" s="42" t="s">
        <v>48</v>
      </c>
      <c r="UFB102" s="42"/>
      <c r="UFC102" s="42"/>
      <c r="UFD102" s="42"/>
      <c r="UFE102" s="42"/>
      <c r="UFF102" s="42"/>
      <c r="UFG102" s="42"/>
      <c r="UFH102" s="43">
        <v>0</v>
      </c>
      <c r="UFI102" s="42" t="s">
        <v>48</v>
      </c>
      <c r="UFJ102" s="42"/>
      <c r="UFK102" s="42"/>
      <c r="UFL102" s="42"/>
      <c r="UFM102" s="42"/>
      <c r="UFN102" s="42"/>
      <c r="UFO102" s="42"/>
      <c r="UFP102" s="43">
        <v>0</v>
      </c>
      <c r="UFQ102" s="42" t="s">
        <v>48</v>
      </c>
      <c r="UFR102" s="42"/>
      <c r="UFS102" s="42"/>
      <c r="UFT102" s="42"/>
      <c r="UFU102" s="42"/>
      <c r="UFV102" s="42"/>
      <c r="UFW102" s="42"/>
      <c r="UFX102" s="43">
        <v>0</v>
      </c>
      <c r="UFY102" s="42" t="s">
        <v>48</v>
      </c>
      <c r="UFZ102" s="42"/>
      <c r="UGA102" s="42"/>
      <c r="UGB102" s="42"/>
      <c r="UGC102" s="42"/>
      <c r="UGD102" s="42"/>
      <c r="UGE102" s="42"/>
      <c r="UGF102" s="43">
        <v>0</v>
      </c>
      <c r="UGG102" s="42" t="s">
        <v>48</v>
      </c>
      <c r="UGH102" s="42"/>
      <c r="UGI102" s="42"/>
      <c r="UGJ102" s="42"/>
      <c r="UGK102" s="42"/>
      <c r="UGL102" s="42"/>
      <c r="UGM102" s="42"/>
      <c r="UGN102" s="43">
        <v>0</v>
      </c>
      <c r="UGO102" s="42" t="s">
        <v>48</v>
      </c>
      <c r="UGP102" s="42"/>
      <c r="UGQ102" s="42"/>
      <c r="UGR102" s="42"/>
      <c r="UGS102" s="42"/>
      <c r="UGT102" s="42"/>
      <c r="UGU102" s="42"/>
      <c r="UGV102" s="43">
        <v>0</v>
      </c>
      <c r="UGW102" s="42" t="s">
        <v>48</v>
      </c>
      <c r="UGX102" s="42"/>
      <c r="UGY102" s="42"/>
      <c r="UGZ102" s="42"/>
      <c r="UHA102" s="42"/>
      <c r="UHB102" s="42"/>
      <c r="UHC102" s="42"/>
      <c r="UHD102" s="43">
        <v>0</v>
      </c>
      <c r="UHE102" s="42" t="s">
        <v>48</v>
      </c>
      <c r="UHF102" s="42"/>
      <c r="UHG102" s="42"/>
      <c r="UHH102" s="42"/>
      <c r="UHI102" s="42"/>
      <c r="UHJ102" s="42"/>
      <c r="UHK102" s="42"/>
      <c r="UHL102" s="43">
        <v>0</v>
      </c>
      <c r="UHM102" s="42" t="s">
        <v>48</v>
      </c>
      <c r="UHN102" s="42"/>
      <c r="UHO102" s="42"/>
      <c r="UHP102" s="42"/>
      <c r="UHQ102" s="42"/>
      <c r="UHR102" s="42"/>
      <c r="UHS102" s="42"/>
      <c r="UHT102" s="43">
        <v>0</v>
      </c>
      <c r="UHU102" s="42" t="s">
        <v>48</v>
      </c>
      <c r="UHV102" s="42"/>
      <c r="UHW102" s="42"/>
      <c r="UHX102" s="42"/>
      <c r="UHY102" s="42"/>
      <c r="UHZ102" s="42"/>
      <c r="UIA102" s="42"/>
      <c r="UIB102" s="43">
        <v>0</v>
      </c>
      <c r="UIC102" s="42" t="s">
        <v>48</v>
      </c>
      <c r="UID102" s="42"/>
      <c r="UIE102" s="42"/>
      <c r="UIF102" s="42"/>
      <c r="UIG102" s="42"/>
      <c r="UIH102" s="42"/>
      <c r="UII102" s="42"/>
      <c r="UIJ102" s="43">
        <v>0</v>
      </c>
      <c r="UIK102" s="42" t="s">
        <v>48</v>
      </c>
      <c r="UIL102" s="42"/>
      <c r="UIM102" s="42"/>
      <c r="UIN102" s="42"/>
      <c r="UIO102" s="42"/>
      <c r="UIP102" s="42"/>
      <c r="UIQ102" s="42"/>
      <c r="UIR102" s="43">
        <v>0</v>
      </c>
      <c r="UIS102" s="42" t="s">
        <v>48</v>
      </c>
      <c r="UIT102" s="42"/>
      <c r="UIU102" s="42"/>
      <c r="UIV102" s="42"/>
      <c r="UIW102" s="42"/>
      <c r="UIX102" s="42"/>
      <c r="UIY102" s="42"/>
      <c r="UIZ102" s="43">
        <v>0</v>
      </c>
      <c r="UJA102" s="42" t="s">
        <v>48</v>
      </c>
      <c r="UJB102" s="42"/>
      <c r="UJC102" s="42"/>
      <c r="UJD102" s="42"/>
      <c r="UJE102" s="42"/>
      <c r="UJF102" s="42"/>
      <c r="UJG102" s="42"/>
      <c r="UJH102" s="43">
        <v>0</v>
      </c>
      <c r="UJI102" s="42" t="s">
        <v>48</v>
      </c>
      <c r="UJJ102" s="42"/>
      <c r="UJK102" s="42"/>
      <c r="UJL102" s="42"/>
      <c r="UJM102" s="42"/>
      <c r="UJN102" s="42"/>
      <c r="UJO102" s="42"/>
      <c r="UJP102" s="43">
        <v>0</v>
      </c>
      <c r="UJQ102" s="42" t="s">
        <v>48</v>
      </c>
      <c r="UJR102" s="42"/>
      <c r="UJS102" s="42"/>
      <c r="UJT102" s="42"/>
      <c r="UJU102" s="42"/>
      <c r="UJV102" s="42"/>
      <c r="UJW102" s="42"/>
      <c r="UJX102" s="43">
        <v>0</v>
      </c>
      <c r="UJY102" s="42" t="s">
        <v>48</v>
      </c>
      <c r="UJZ102" s="42"/>
      <c r="UKA102" s="42"/>
      <c r="UKB102" s="42"/>
      <c r="UKC102" s="42"/>
      <c r="UKD102" s="42"/>
      <c r="UKE102" s="42"/>
      <c r="UKF102" s="43">
        <v>0</v>
      </c>
      <c r="UKG102" s="42" t="s">
        <v>48</v>
      </c>
      <c r="UKH102" s="42"/>
      <c r="UKI102" s="42"/>
      <c r="UKJ102" s="42"/>
      <c r="UKK102" s="42"/>
      <c r="UKL102" s="42"/>
      <c r="UKM102" s="42"/>
      <c r="UKN102" s="43">
        <v>0</v>
      </c>
      <c r="UKO102" s="42" t="s">
        <v>48</v>
      </c>
      <c r="UKP102" s="42"/>
      <c r="UKQ102" s="42"/>
      <c r="UKR102" s="42"/>
      <c r="UKS102" s="42"/>
      <c r="UKT102" s="42"/>
      <c r="UKU102" s="42"/>
      <c r="UKV102" s="43">
        <v>0</v>
      </c>
      <c r="UKW102" s="42" t="s">
        <v>48</v>
      </c>
      <c r="UKX102" s="42"/>
      <c r="UKY102" s="42"/>
      <c r="UKZ102" s="42"/>
      <c r="ULA102" s="42"/>
      <c r="ULB102" s="42"/>
      <c r="ULC102" s="42"/>
      <c r="ULD102" s="43">
        <v>0</v>
      </c>
      <c r="ULE102" s="42" t="s">
        <v>48</v>
      </c>
      <c r="ULF102" s="42"/>
      <c r="ULG102" s="42"/>
      <c r="ULH102" s="42"/>
      <c r="ULI102" s="42"/>
      <c r="ULJ102" s="42"/>
      <c r="ULK102" s="42"/>
      <c r="ULL102" s="43">
        <v>0</v>
      </c>
      <c r="ULM102" s="42" t="s">
        <v>48</v>
      </c>
      <c r="ULN102" s="42"/>
      <c r="ULO102" s="42"/>
      <c r="ULP102" s="42"/>
      <c r="ULQ102" s="42"/>
      <c r="ULR102" s="42"/>
      <c r="ULS102" s="42"/>
      <c r="ULT102" s="43">
        <v>0</v>
      </c>
      <c r="ULU102" s="42" t="s">
        <v>48</v>
      </c>
      <c r="ULV102" s="42"/>
      <c r="ULW102" s="42"/>
      <c r="ULX102" s="42"/>
      <c r="ULY102" s="42"/>
      <c r="ULZ102" s="42"/>
      <c r="UMA102" s="42"/>
      <c r="UMB102" s="43">
        <v>0</v>
      </c>
      <c r="UMC102" s="42" t="s">
        <v>48</v>
      </c>
      <c r="UMD102" s="42"/>
      <c r="UME102" s="42"/>
      <c r="UMF102" s="42"/>
      <c r="UMG102" s="42"/>
      <c r="UMH102" s="42"/>
      <c r="UMI102" s="42"/>
      <c r="UMJ102" s="43">
        <v>0</v>
      </c>
      <c r="UMK102" s="42" t="s">
        <v>48</v>
      </c>
      <c r="UML102" s="42"/>
      <c r="UMM102" s="42"/>
      <c r="UMN102" s="42"/>
      <c r="UMO102" s="42"/>
      <c r="UMP102" s="42"/>
      <c r="UMQ102" s="42"/>
      <c r="UMR102" s="43">
        <v>0</v>
      </c>
      <c r="UMS102" s="42" t="s">
        <v>48</v>
      </c>
      <c r="UMT102" s="42"/>
      <c r="UMU102" s="42"/>
      <c r="UMV102" s="42"/>
      <c r="UMW102" s="42"/>
      <c r="UMX102" s="42"/>
      <c r="UMY102" s="42"/>
      <c r="UMZ102" s="43">
        <v>0</v>
      </c>
      <c r="UNA102" s="42" t="s">
        <v>48</v>
      </c>
      <c r="UNB102" s="42"/>
      <c r="UNC102" s="42"/>
      <c r="UND102" s="42"/>
      <c r="UNE102" s="42"/>
      <c r="UNF102" s="42"/>
      <c r="UNG102" s="42"/>
      <c r="UNH102" s="43">
        <v>0</v>
      </c>
      <c r="UNI102" s="42" t="s">
        <v>48</v>
      </c>
      <c r="UNJ102" s="42"/>
      <c r="UNK102" s="42"/>
      <c r="UNL102" s="42"/>
      <c r="UNM102" s="42"/>
      <c r="UNN102" s="42"/>
      <c r="UNO102" s="42"/>
      <c r="UNP102" s="43">
        <v>0</v>
      </c>
      <c r="UNQ102" s="42" t="s">
        <v>48</v>
      </c>
      <c r="UNR102" s="42"/>
      <c r="UNS102" s="42"/>
      <c r="UNT102" s="42"/>
      <c r="UNU102" s="42"/>
      <c r="UNV102" s="42"/>
      <c r="UNW102" s="42"/>
      <c r="UNX102" s="43">
        <v>0</v>
      </c>
      <c r="UNY102" s="42" t="s">
        <v>48</v>
      </c>
      <c r="UNZ102" s="42"/>
      <c r="UOA102" s="42"/>
      <c r="UOB102" s="42"/>
      <c r="UOC102" s="42"/>
      <c r="UOD102" s="42"/>
      <c r="UOE102" s="42"/>
      <c r="UOF102" s="43">
        <v>0</v>
      </c>
      <c r="UOG102" s="42" t="s">
        <v>48</v>
      </c>
      <c r="UOH102" s="42"/>
      <c r="UOI102" s="42"/>
      <c r="UOJ102" s="42"/>
      <c r="UOK102" s="42"/>
      <c r="UOL102" s="42"/>
      <c r="UOM102" s="42"/>
      <c r="UON102" s="43">
        <v>0</v>
      </c>
      <c r="UOO102" s="42" t="s">
        <v>48</v>
      </c>
      <c r="UOP102" s="42"/>
      <c r="UOQ102" s="42"/>
      <c r="UOR102" s="42"/>
      <c r="UOS102" s="42"/>
      <c r="UOT102" s="42"/>
      <c r="UOU102" s="42"/>
      <c r="UOV102" s="43">
        <v>0</v>
      </c>
      <c r="UOW102" s="42" t="s">
        <v>48</v>
      </c>
      <c r="UOX102" s="42"/>
      <c r="UOY102" s="42"/>
      <c r="UOZ102" s="42"/>
      <c r="UPA102" s="42"/>
      <c r="UPB102" s="42"/>
      <c r="UPC102" s="42"/>
      <c r="UPD102" s="43">
        <v>0</v>
      </c>
      <c r="UPE102" s="42" t="s">
        <v>48</v>
      </c>
      <c r="UPF102" s="42"/>
      <c r="UPG102" s="42"/>
      <c r="UPH102" s="42"/>
      <c r="UPI102" s="42"/>
      <c r="UPJ102" s="42"/>
      <c r="UPK102" s="42"/>
      <c r="UPL102" s="43">
        <v>0</v>
      </c>
      <c r="UPM102" s="42" t="s">
        <v>48</v>
      </c>
      <c r="UPN102" s="42"/>
      <c r="UPO102" s="42"/>
      <c r="UPP102" s="42"/>
      <c r="UPQ102" s="42"/>
      <c r="UPR102" s="42"/>
      <c r="UPS102" s="42"/>
      <c r="UPT102" s="43">
        <v>0</v>
      </c>
      <c r="UPU102" s="42" t="s">
        <v>48</v>
      </c>
      <c r="UPV102" s="42"/>
      <c r="UPW102" s="42"/>
      <c r="UPX102" s="42"/>
      <c r="UPY102" s="42"/>
      <c r="UPZ102" s="42"/>
      <c r="UQA102" s="42"/>
      <c r="UQB102" s="43">
        <v>0</v>
      </c>
      <c r="UQC102" s="42" t="s">
        <v>48</v>
      </c>
      <c r="UQD102" s="42"/>
      <c r="UQE102" s="42"/>
      <c r="UQF102" s="42"/>
      <c r="UQG102" s="42"/>
      <c r="UQH102" s="42"/>
      <c r="UQI102" s="42"/>
      <c r="UQJ102" s="43">
        <v>0</v>
      </c>
      <c r="UQK102" s="42" t="s">
        <v>48</v>
      </c>
      <c r="UQL102" s="42"/>
      <c r="UQM102" s="42"/>
      <c r="UQN102" s="42"/>
      <c r="UQO102" s="42"/>
      <c r="UQP102" s="42"/>
      <c r="UQQ102" s="42"/>
      <c r="UQR102" s="43">
        <v>0</v>
      </c>
      <c r="UQS102" s="42" t="s">
        <v>48</v>
      </c>
      <c r="UQT102" s="42"/>
      <c r="UQU102" s="42"/>
      <c r="UQV102" s="42"/>
      <c r="UQW102" s="42"/>
      <c r="UQX102" s="42"/>
      <c r="UQY102" s="42"/>
      <c r="UQZ102" s="43">
        <v>0</v>
      </c>
      <c r="URA102" s="42" t="s">
        <v>48</v>
      </c>
      <c r="URB102" s="42"/>
      <c r="URC102" s="42"/>
      <c r="URD102" s="42"/>
      <c r="URE102" s="42"/>
      <c r="URF102" s="42"/>
      <c r="URG102" s="42"/>
      <c r="URH102" s="43">
        <v>0</v>
      </c>
      <c r="URI102" s="42" t="s">
        <v>48</v>
      </c>
      <c r="URJ102" s="42"/>
      <c r="URK102" s="42"/>
      <c r="URL102" s="42"/>
      <c r="URM102" s="42"/>
      <c r="URN102" s="42"/>
      <c r="URO102" s="42"/>
      <c r="URP102" s="43">
        <v>0</v>
      </c>
      <c r="URQ102" s="42" t="s">
        <v>48</v>
      </c>
      <c r="URR102" s="42"/>
      <c r="URS102" s="42"/>
      <c r="URT102" s="42"/>
      <c r="URU102" s="42"/>
      <c r="URV102" s="42"/>
      <c r="URW102" s="42"/>
      <c r="URX102" s="43">
        <v>0</v>
      </c>
      <c r="URY102" s="42" t="s">
        <v>48</v>
      </c>
      <c r="URZ102" s="42"/>
      <c r="USA102" s="42"/>
      <c r="USB102" s="42"/>
      <c r="USC102" s="42"/>
      <c r="USD102" s="42"/>
      <c r="USE102" s="42"/>
      <c r="USF102" s="43">
        <v>0</v>
      </c>
      <c r="USG102" s="42" t="s">
        <v>48</v>
      </c>
      <c r="USH102" s="42"/>
      <c r="USI102" s="42"/>
      <c r="USJ102" s="42"/>
      <c r="USK102" s="42"/>
      <c r="USL102" s="42"/>
      <c r="USM102" s="42"/>
      <c r="USN102" s="43">
        <v>0</v>
      </c>
      <c r="USO102" s="42" t="s">
        <v>48</v>
      </c>
      <c r="USP102" s="42"/>
      <c r="USQ102" s="42"/>
      <c r="USR102" s="42"/>
      <c r="USS102" s="42"/>
      <c r="UST102" s="42"/>
      <c r="USU102" s="42"/>
      <c r="USV102" s="43">
        <v>0</v>
      </c>
      <c r="USW102" s="42" t="s">
        <v>48</v>
      </c>
      <c r="USX102" s="42"/>
      <c r="USY102" s="42"/>
      <c r="USZ102" s="42"/>
      <c r="UTA102" s="42"/>
      <c r="UTB102" s="42"/>
      <c r="UTC102" s="42"/>
      <c r="UTD102" s="43">
        <v>0</v>
      </c>
      <c r="UTE102" s="42" t="s">
        <v>48</v>
      </c>
      <c r="UTF102" s="42"/>
      <c r="UTG102" s="42"/>
      <c r="UTH102" s="42"/>
      <c r="UTI102" s="42"/>
      <c r="UTJ102" s="42"/>
      <c r="UTK102" s="42"/>
      <c r="UTL102" s="43">
        <v>0</v>
      </c>
      <c r="UTM102" s="42" t="s">
        <v>48</v>
      </c>
      <c r="UTN102" s="42"/>
      <c r="UTO102" s="42"/>
      <c r="UTP102" s="42"/>
      <c r="UTQ102" s="42"/>
      <c r="UTR102" s="42"/>
      <c r="UTS102" s="42"/>
      <c r="UTT102" s="43">
        <v>0</v>
      </c>
      <c r="UTU102" s="42" t="s">
        <v>48</v>
      </c>
      <c r="UTV102" s="42"/>
      <c r="UTW102" s="42"/>
      <c r="UTX102" s="42"/>
      <c r="UTY102" s="42"/>
      <c r="UTZ102" s="42"/>
      <c r="UUA102" s="42"/>
      <c r="UUB102" s="43">
        <v>0</v>
      </c>
      <c r="UUC102" s="42" t="s">
        <v>48</v>
      </c>
      <c r="UUD102" s="42"/>
      <c r="UUE102" s="42"/>
      <c r="UUF102" s="42"/>
      <c r="UUG102" s="42"/>
      <c r="UUH102" s="42"/>
      <c r="UUI102" s="42"/>
      <c r="UUJ102" s="43">
        <v>0</v>
      </c>
      <c r="UUK102" s="42" t="s">
        <v>48</v>
      </c>
      <c r="UUL102" s="42"/>
      <c r="UUM102" s="42"/>
      <c r="UUN102" s="42"/>
      <c r="UUO102" s="42"/>
      <c r="UUP102" s="42"/>
      <c r="UUQ102" s="42"/>
      <c r="UUR102" s="43">
        <v>0</v>
      </c>
      <c r="UUS102" s="42" t="s">
        <v>48</v>
      </c>
      <c r="UUT102" s="42"/>
      <c r="UUU102" s="42"/>
      <c r="UUV102" s="42"/>
      <c r="UUW102" s="42"/>
      <c r="UUX102" s="42"/>
      <c r="UUY102" s="42"/>
      <c r="UUZ102" s="43">
        <v>0</v>
      </c>
      <c r="UVA102" s="42" t="s">
        <v>48</v>
      </c>
      <c r="UVB102" s="42"/>
      <c r="UVC102" s="42"/>
      <c r="UVD102" s="42"/>
      <c r="UVE102" s="42"/>
      <c r="UVF102" s="42"/>
      <c r="UVG102" s="42"/>
      <c r="UVH102" s="43">
        <v>0</v>
      </c>
      <c r="UVI102" s="42" t="s">
        <v>48</v>
      </c>
      <c r="UVJ102" s="42"/>
      <c r="UVK102" s="42"/>
      <c r="UVL102" s="42"/>
      <c r="UVM102" s="42"/>
      <c r="UVN102" s="42"/>
      <c r="UVO102" s="42"/>
      <c r="UVP102" s="43">
        <v>0</v>
      </c>
      <c r="UVQ102" s="42" t="s">
        <v>48</v>
      </c>
      <c r="UVR102" s="42"/>
      <c r="UVS102" s="42"/>
      <c r="UVT102" s="42"/>
      <c r="UVU102" s="42"/>
      <c r="UVV102" s="42"/>
      <c r="UVW102" s="42"/>
      <c r="UVX102" s="43">
        <v>0</v>
      </c>
      <c r="UVY102" s="42" t="s">
        <v>48</v>
      </c>
      <c r="UVZ102" s="42"/>
      <c r="UWA102" s="42"/>
      <c r="UWB102" s="42"/>
      <c r="UWC102" s="42"/>
      <c r="UWD102" s="42"/>
      <c r="UWE102" s="42"/>
      <c r="UWF102" s="43">
        <v>0</v>
      </c>
      <c r="UWG102" s="42" t="s">
        <v>48</v>
      </c>
      <c r="UWH102" s="42"/>
      <c r="UWI102" s="42"/>
      <c r="UWJ102" s="42"/>
      <c r="UWK102" s="42"/>
      <c r="UWL102" s="42"/>
      <c r="UWM102" s="42"/>
      <c r="UWN102" s="43">
        <v>0</v>
      </c>
      <c r="UWO102" s="42" t="s">
        <v>48</v>
      </c>
      <c r="UWP102" s="42"/>
      <c r="UWQ102" s="42"/>
      <c r="UWR102" s="42"/>
      <c r="UWS102" s="42"/>
      <c r="UWT102" s="42"/>
      <c r="UWU102" s="42"/>
      <c r="UWV102" s="43">
        <v>0</v>
      </c>
      <c r="UWW102" s="42" t="s">
        <v>48</v>
      </c>
      <c r="UWX102" s="42"/>
      <c r="UWY102" s="42"/>
      <c r="UWZ102" s="42"/>
      <c r="UXA102" s="42"/>
      <c r="UXB102" s="42"/>
      <c r="UXC102" s="42"/>
      <c r="UXD102" s="43">
        <v>0</v>
      </c>
      <c r="UXE102" s="42" t="s">
        <v>48</v>
      </c>
      <c r="UXF102" s="42"/>
      <c r="UXG102" s="42"/>
      <c r="UXH102" s="42"/>
      <c r="UXI102" s="42"/>
      <c r="UXJ102" s="42"/>
      <c r="UXK102" s="42"/>
      <c r="UXL102" s="43">
        <v>0</v>
      </c>
      <c r="UXM102" s="42" t="s">
        <v>48</v>
      </c>
      <c r="UXN102" s="42"/>
      <c r="UXO102" s="42"/>
      <c r="UXP102" s="42"/>
      <c r="UXQ102" s="42"/>
      <c r="UXR102" s="42"/>
      <c r="UXS102" s="42"/>
      <c r="UXT102" s="43">
        <v>0</v>
      </c>
      <c r="UXU102" s="42" t="s">
        <v>48</v>
      </c>
      <c r="UXV102" s="42"/>
      <c r="UXW102" s="42"/>
      <c r="UXX102" s="42"/>
      <c r="UXY102" s="42"/>
      <c r="UXZ102" s="42"/>
      <c r="UYA102" s="42"/>
      <c r="UYB102" s="43">
        <v>0</v>
      </c>
      <c r="UYC102" s="42" t="s">
        <v>48</v>
      </c>
      <c r="UYD102" s="42"/>
      <c r="UYE102" s="42"/>
      <c r="UYF102" s="42"/>
      <c r="UYG102" s="42"/>
      <c r="UYH102" s="42"/>
      <c r="UYI102" s="42"/>
      <c r="UYJ102" s="43">
        <v>0</v>
      </c>
      <c r="UYK102" s="42" t="s">
        <v>48</v>
      </c>
      <c r="UYL102" s="42"/>
      <c r="UYM102" s="42"/>
      <c r="UYN102" s="42"/>
      <c r="UYO102" s="42"/>
      <c r="UYP102" s="42"/>
      <c r="UYQ102" s="42"/>
      <c r="UYR102" s="43">
        <v>0</v>
      </c>
      <c r="UYS102" s="42" t="s">
        <v>48</v>
      </c>
      <c r="UYT102" s="42"/>
      <c r="UYU102" s="42"/>
      <c r="UYV102" s="42"/>
      <c r="UYW102" s="42"/>
      <c r="UYX102" s="42"/>
      <c r="UYY102" s="42"/>
      <c r="UYZ102" s="43">
        <v>0</v>
      </c>
      <c r="UZA102" s="42" t="s">
        <v>48</v>
      </c>
      <c r="UZB102" s="42"/>
      <c r="UZC102" s="42"/>
      <c r="UZD102" s="42"/>
      <c r="UZE102" s="42"/>
      <c r="UZF102" s="42"/>
      <c r="UZG102" s="42"/>
      <c r="UZH102" s="43">
        <v>0</v>
      </c>
      <c r="UZI102" s="42" t="s">
        <v>48</v>
      </c>
      <c r="UZJ102" s="42"/>
      <c r="UZK102" s="42"/>
      <c r="UZL102" s="42"/>
      <c r="UZM102" s="42"/>
      <c r="UZN102" s="42"/>
      <c r="UZO102" s="42"/>
      <c r="UZP102" s="43">
        <v>0</v>
      </c>
      <c r="UZQ102" s="42" t="s">
        <v>48</v>
      </c>
      <c r="UZR102" s="42"/>
      <c r="UZS102" s="42"/>
      <c r="UZT102" s="42"/>
      <c r="UZU102" s="42"/>
      <c r="UZV102" s="42"/>
      <c r="UZW102" s="42"/>
      <c r="UZX102" s="43">
        <v>0</v>
      </c>
      <c r="UZY102" s="42" t="s">
        <v>48</v>
      </c>
      <c r="UZZ102" s="42"/>
      <c r="VAA102" s="42"/>
      <c r="VAB102" s="42"/>
      <c r="VAC102" s="42"/>
      <c r="VAD102" s="42"/>
      <c r="VAE102" s="42"/>
      <c r="VAF102" s="43">
        <v>0</v>
      </c>
      <c r="VAG102" s="42" t="s">
        <v>48</v>
      </c>
      <c r="VAH102" s="42"/>
      <c r="VAI102" s="42"/>
      <c r="VAJ102" s="42"/>
      <c r="VAK102" s="42"/>
      <c r="VAL102" s="42"/>
      <c r="VAM102" s="42"/>
      <c r="VAN102" s="43">
        <v>0</v>
      </c>
      <c r="VAO102" s="42" t="s">
        <v>48</v>
      </c>
      <c r="VAP102" s="42"/>
      <c r="VAQ102" s="42"/>
      <c r="VAR102" s="42"/>
      <c r="VAS102" s="42"/>
      <c r="VAT102" s="42"/>
      <c r="VAU102" s="42"/>
      <c r="VAV102" s="43">
        <v>0</v>
      </c>
      <c r="VAW102" s="42" t="s">
        <v>48</v>
      </c>
      <c r="VAX102" s="42"/>
      <c r="VAY102" s="42"/>
      <c r="VAZ102" s="42"/>
      <c r="VBA102" s="42"/>
      <c r="VBB102" s="42"/>
      <c r="VBC102" s="42"/>
      <c r="VBD102" s="43">
        <v>0</v>
      </c>
      <c r="VBE102" s="42" t="s">
        <v>48</v>
      </c>
      <c r="VBF102" s="42"/>
      <c r="VBG102" s="42"/>
      <c r="VBH102" s="42"/>
      <c r="VBI102" s="42"/>
      <c r="VBJ102" s="42"/>
      <c r="VBK102" s="42"/>
      <c r="VBL102" s="43">
        <v>0</v>
      </c>
      <c r="VBM102" s="42" t="s">
        <v>48</v>
      </c>
      <c r="VBN102" s="42"/>
      <c r="VBO102" s="42"/>
      <c r="VBP102" s="42"/>
      <c r="VBQ102" s="42"/>
      <c r="VBR102" s="42"/>
      <c r="VBS102" s="42"/>
      <c r="VBT102" s="43">
        <v>0</v>
      </c>
      <c r="VBU102" s="42" t="s">
        <v>48</v>
      </c>
      <c r="VBV102" s="42"/>
      <c r="VBW102" s="42"/>
      <c r="VBX102" s="42"/>
      <c r="VBY102" s="42"/>
      <c r="VBZ102" s="42"/>
      <c r="VCA102" s="42"/>
      <c r="VCB102" s="43">
        <v>0</v>
      </c>
      <c r="VCC102" s="42" t="s">
        <v>48</v>
      </c>
      <c r="VCD102" s="42"/>
      <c r="VCE102" s="42"/>
      <c r="VCF102" s="42"/>
      <c r="VCG102" s="42"/>
      <c r="VCH102" s="42"/>
      <c r="VCI102" s="42"/>
      <c r="VCJ102" s="43">
        <v>0</v>
      </c>
      <c r="VCK102" s="42" t="s">
        <v>48</v>
      </c>
      <c r="VCL102" s="42"/>
      <c r="VCM102" s="42"/>
      <c r="VCN102" s="42"/>
      <c r="VCO102" s="42"/>
      <c r="VCP102" s="42"/>
      <c r="VCQ102" s="42"/>
      <c r="VCR102" s="43">
        <v>0</v>
      </c>
      <c r="VCS102" s="42" t="s">
        <v>48</v>
      </c>
      <c r="VCT102" s="42"/>
      <c r="VCU102" s="42"/>
      <c r="VCV102" s="42"/>
      <c r="VCW102" s="42"/>
      <c r="VCX102" s="42"/>
      <c r="VCY102" s="42"/>
      <c r="VCZ102" s="43">
        <v>0</v>
      </c>
      <c r="VDA102" s="42" t="s">
        <v>48</v>
      </c>
      <c r="VDB102" s="42"/>
      <c r="VDC102" s="42"/>
      <c r="VDD102" s="42"/>
      <c r="VDE102" s="42"/>
      <c r="VDF102" s="42"/>
      <c r="VDG102" s="42"/>
      <c r="VDH102" s="43">
        <v>0</v>
      </c>
      <c r="VDI102" s="42" t="s">
        <v>48</v>
      </c>
      <c r="VDJ102" s="42"/>
      <c r="VDK102" s="42"/>
      <c r="VDL102" s="42"/>
      <c r="VDM102" s="42"/>
      <c r="VDN102" s="42"/>
      <c r="VDO102" s="42"/>
      <c r="VDP102" s="43">
        <v>0</v>
      </c>
      <c r="VDQ102" s="42" t="s">
        <v>48</v>
      </c>
      <c r="VDR102" s="42"/>
      <c r="VDS102" s="42"/>
      <c r="VDT102" s="42"/>
      <c r="VDU102" s="42"/>
      <c r="VDV102" s="42"/>
      <c r="VDW102" s="42"/>
      <c r="VDX102" s="43">
        <v>0</v>
      </c>
      <c r="VDY102" s="42" t="s">
        <v>48</v>
      </c>
      <c r="VDZ102" s="42"/>
      <c r="VEA102" s="42"/>
      <c r="VEB102" s="42"/>
      <c r="VEC102" s="42"/>
      <c r="VED102" s="42"/>
      <c r="VEE102" s="42"/>
      <c r="VEF102" s="43">
        <v>0</v>
      </c>
      <c r="VEG102" s="42" t="s">
        <v>48</v>
      </c>
      <c r="VEH102" s="42"/>
      <c r="VEI102" s="42"/>
      <c r="VEJ102" s="42"/>
      <c r="VEK102" s="42"/>
      <c r="VEL102" s="42"/>
      <c r="VEM102" s="42"/>
      <c r="VEN102" s="43">
        <v>0</v>
      </c>
      <c r="VEO102" s="42" t="s">
        <v>48</v>
      </c>
      <c r="VEP102" s="42"/>
      <c r="VEQ102" s="42"/>
      <c r="VER102" s="42"/>
      <c r="VES102" s="42"/>
      <c r="VET102" s="42"/>
      <c r="VEU102" s="42"/>
      <c r="VEV102" s="43">
        <v>0</v>
      </c>
      <c r="VEW102" s="42" t="s">
        <v>48</v>
      </c>
      <c r="VEX102" s="42"/>
      <c r="VEY102" s="42"/>
      <c r="VEZ102" s="42"/>
      <c r="VFA102" s="42"/>
      <c r="VFB102" s="42"/>
      <c r="VFC102" s="42"/>
      <c r="VFD102" s="43">
        <v>0</v>
      </c>
      <c r="VFE102" s="42" t="s">
        <v>48</v>
      </c>
      <c r="VFF102" s="42"/>
      <c r="VFG102" s="42"/>
      <c r="VFH102" s="42"/>
      <c r="VFI102" s="42"/>
      <c r="VFJ102" s="42"/>
      <c r="VFK102" s="42"/>
      <c r="VFL102" s="43">
        <v>0</v>
      </c>
      <c r="VFM102" s="42" t="s">
        <v>48</v>
      </c>
      <c r="VFN102" s="42"/>
      <c r="VFO102" s="42"/>
      <c r="VFP102" s="42"/>
      <c r="VFQ102" s="42"/>
      <c r="VFR102" s="42"/>
      <c r="VFS102" s="42"/>
      <c r="VFT102" s="43">
        <v>0</v>
      </c>
      <c r="VFU102" s="42" t="s">
        <v>48</v>
      </c>
      <c r="VFV102" s="42"/>
      <c r="VFW102" s="42"/>
      <c r="VFX102" s="42"/>
      <c r="VFY102" s="42"/>
      <c r="VFZ102" s="42"/>
      <c r="VGA102" s="42"/>
      <c r="VGB102" s="43">
        <v>0</v>
      </c>
      <c r="VGC102" s="42" t="s">
        <v>48</v>
      </c>
      <c r="VGD102" s="42"/>
      <c r="VGE102" s="42"/>
      <c r="VGF102" s="42"/>
      <c r="VGG102" s="42"/>
      <c r="VGH102" s="42"/>
      <c r="VGI102" s="42"/>
      <c r="VGJ102" s="43">
        <v>0</v>
      </c>
      <c r="VGK102" s="42" t="s">
        <v>48</v>
      </c>
      <c r="VGL102" s="42"/>
      <c r="VGM102" s="42"/>
      <c r="VGN102" s="42"/>
      <c r="VGO102" s="42"/>
      <c r="VGP102" s="42"/>
      <c r="VGQ102" s="42"/>
      <c r="VGR102" s="43">
        <v>0</v>
      </c>
      <c r="VGS102" s="42" t="s">
        <v>48</v>
      </c>
      <c r="VGT102" s="42"/>
      <c r="VGU102" s="42"/>
      <c r="VGV102" s="42"/>
      <c r="VGW102" s="42"/>
      <c r="VGX102" s="42"/>
      <c r="VGY102" s="42"/>
      <c r="VGZ102" s="43">
        <v>0</v>
      </c>
      <c r="VHA102" s="42" t="s">
        <v>48</v>
      </c>
      <c r="VHB102" s="42"/>
      <c r="VHC102" s="42"/>
      <c r="VHD102" s="42"/>
      <c r="VHE102" s="42"/>
      <c r="VHF102" s="42"/>
      <c r="VHG102" s="42"/>
      <c r="VHH102" s="43">
        <v>0</v>
      </c>
      <c r="VHI102" s="42" t="s">
        <v>48</v>
      </c>
      <c r="VHJ102" s="42"/>
      <c r="VHK102" s="42"/>
      <c r="VHL102" s="42"/>
      <c r="VHM102" s="42"/>
      <c r="VHN102" s="42"/>
      <c r="VHO102" s="42"/>
      <c r="VHP102" s="43">
        <v>0</v>
      </c>
      <c r="VHQ102" s="42" t="s">
        <v>48</v>
      </c>
      <c r="VHR102" s="42"/>
      <c r="VHS102" s="42"/>
      <c r="VHT102" s="42"/>
      <c r="VHU102" s="42"/>
      <c r="VHV102" s="42"/>
      <c r="VHW102" s="42"/>
      <c r="VHX102" s="43">
        <v>0</v>
      </c>
      <c r="VHY102" s="42" t="s">
        <v>48</v>
      </c>
      <c r="VHZ102" s="42"/>
      <c r="VIA102" s="42"/>
      <c r="VIB102" s="42"/>
      <c r="VIC102" s="42"/>
      <c r="VID102" s="42"/>
      <c r="VIE102" s="42"/>
      <c r="VIF102" s="43">
        <v>0</v>
      </c>
      <c r="VIG102" s="42" t="s">
        <v>48</v>
      </c>
      <c r="VIH102" s="42"/>
      <c r="VII102" s="42"/>
      <c r="VIJ102" s="42"/>
      <c r="VIK102" s="42"/>
      <c r="VIL102" s="42"/>
      <c r="VIM102" s="42"/>
      <c r="VIN102" s="43">
        <v>0</v>
      </c>
      <c r="VIO102" s="42" t="s">
        <v>48</v>
      </c>
      <c r="VIP102" s="42"/>
      <c r="VIQ102" s="42"/>
      <c r="VIR102" s="42"/>
      <c r="VIS102" s="42"/>
      <c r="VIT102" s="42"/>
      <c r="VIU102" s="42"/>
      <c r="VIV102" s="43">
        <v>0</v>
      </c>
      <c r="VIW102" s="42" t="s">
        <v>48</v>
      </c>
      <c r="VIX102" s="42"/>
      <c r="VIY102" s="42"/>
      <c r="VIZ102" s="42"/>
      <c r="VJA102" s="42"/>
      <c r="VJB102" s="42"/>
      <c r="VJC102" s="42"/>
      <c r="VJD102" s="43">
        <v>0</v>
      </c>
      <c r="VJE102" s="42" t="s">
        <v>48</v>
      </c>
      <c r="VJF102" s="42"/>
      <c r="VJG102" s="42"/>
      <c r="VJH102" s="42"/>
      <c r="VJI102" s="42"/>
      <c r="VJJ102" s="42"/>
      <c r="VJK102" s="42"/>
      <c r="VJL102" s="43">
        <v>0</v>
      </c>
      <c r="VJM102" s="42" t="s">
        <v>48</v>
      </c>
      <c r="VJN102" s="42"/>
      <c r="VJO102" s="42"/>
      <c r="VJP102" s="42"/>
      <c r="VJQ102" s="42"/>
      <c r="VJR102" s="42"/>
      <c r="VJS102" s="42"/>
      <c r="VJT102" s="43">
        <v>0</v>
      </c>
      <c r="VJU102" s="42" t="s">
        <v>48</v>
      </c>
      <c r="VJV102" s="42"/>
      <c r="VJW102" s="42"/>
      <c r="VJX102" s="42"/>
      <c r="VJY102" s="42"/>
      <c r="VJZ102" s="42"/>
      <c r="VKA102" s="42"/>
      <c r="VKB102" s="43">
        <v>0</v>
      </c>
      <c r="VKC102" s="42" t="s">
        <v>48</v>
      </c>
      <c r="VKD102" s="42"/>
      <c r="VKE102" s="42"/>
      <c r="VKF102" s="42"/>
      <c r="VKG102" s="42"/>
      <c r="VKH102" s="42"/>
      <c r="VKI102" s="42"/>
      <c r="VKJ102" s="43">
        <v>0</v>
      </c>
      <c r="VKK102" s="42" t="s">
        <v>48</v>
      </c>
      <c r="VKL102" s="42"/>
      <c r="VKM102" s="42"/>
      <c r="VKN102" s="42"/>
      <c r="VKO102" s="42"/>
      <c r="VKP102" s="42"/>
      <c r="VKQ102" s="42"/>
      <c r="VKR102" s="43">
        <v>0</v>
      </c>
      <c r="VKS102" s="42" t="s">
        <v>48</v>
      </c>
      <c r="VKT102" s="42"/>
      <c r="VKU102" s="42"/>
      <c r="VKV102" s="42"/>
      <c r="VKW102" s="42"/>
      <c r="VKX102" s="42"/>
      <c r="VKY102" s="42"/>
      <c r="VKZ102" s="43">
        <v>0</v>
      </c>
      <c r="VLA102" s="42" t="s">
        <v>48</v>
      </c>
      <c r="VLB102" s="42"/>
      <c r="VLC102" s="42"/>
      <c r="VLD102" s="42"/>
      <c r="VLE102" s="42"/>
      <c r="VLF102" s="42"/>
      <c r="VLG102" s="42"/>
      <c r="VLH102" s="43">
        <v>0</v>
      </c>
      <c r="VLI102" s="42" t="s">
        <v>48</v>
      </c>
      <c r="VLJ102" s="42"/>
      <c r="VLK102" s="42"/>
      <c r="VLL102" s="42"/>
      <c r="VLM102" s="42"/>
      <c r="VLN102" s="42"/>
      <c r="VLO102" s="42"/>
      <c r="VLP102" s="43">
        <v>0</v>
      </c>
      <c r="VLQ102" s="42" t="s">
        <v>48</v>
      </c>
      <c r="VLR102" s="42"/>
      <c r="VLS102" s="42"/>
      <c r="VLT102" s="42"/>
      <c r="VLU102" s="42"/>
      <c r="VLV102" s="42"/>
      <c r="VLW102" s="42"/>
      <c r="VLX102" s="43">
        <v>0</v>
      </c>
      <c r="VLY102" s="42" t="s">
        <v>48</v>
      </c>
      <c r="VLZ102" s="42"/>
      <c r="VMA102" s="42"/>
      <c r="VMB102" s="42"/>
      <c r="VMC102" s="42"/>
      <c r="VMD102" s="42"/>
      <c r="VME102" s="42"/>
      <c r="VMF102" s="43">
        <v>0</v>
      </c>
      <c r="VMG102" s="42" t="s">
        <v>48</v>
      </c>
      <c r="VMH102" s="42"/>
      <c r="VMI102" s="42"/>
      <c r="VMJ102" s="42"/>
      <c r="VMK102" s="42"/>
      <c r="VML102" s="42"/>
      <c r="VMM102" s="42"/>
      <c r="VMN102" s="43">
        <v>0</v>
      </c>
      <c r="VMO102" s="42" t="s">
        <v>48</v>
      </c>
      <c r="VMP102" s="42"/>
      <c r="VMQ102" s="42"/>
      <c r="VMR102" s="42"/>
      <c r="VMS102" s="42"/>
      <c r="VMT102" s="42"/>
      <c r="VMU102" s="42"/>
      <c r="VMV102" s="43">
        <v>0</v>
      </c>
      <c r="VMW102" s="42" t="s">
        <v>48</v>
      </c>
      <c r="VMX102" s="42"/>
      <c r="VMY102" s="42"/>
      <c r="VMZ102" s="42"/>
      <c r="VNA102" s="42"/>
      <c r="VNB102" s="42"/>
      <c r="VNC102" s="42"/>
      <c r="VND102" s="43">
        <v>0</v>
      </c>
      <c r="VNE102" s="42" t="s">
        <v>48</v>
      </c>
      <c r="VNF102" s="42"/>
      <c r="VNG102" s="42"/>
      <c r="VNH102" s="42"/>
      <c r="VNI102" s="42"/>
      <c r="VNJ102" s="42"/>
      <c r="VNK102" s="42"/>
      <c r="VNL102" s="43">
        <v>0</v>
      </c>
      <c r="VNM102" s="42" t="s">
        <v>48</v>
      </c>
      <c r="VNN102" s="42"/>
      <c r="VNO102" s="42"/>
      <c r="VNP102" s="42"/>
      <c r="VNQ102" s="42"/>
      <c r="VNR102" s="42"/>
      <c r="VNS102" s="42"/>
      <c r="VNT102" s="43">
        <v>0</v>
      </c>
      <c r="VNU102" s="42" t="s">
        <v>48</v>
      </c>
      <c r="VNV102" s="42"/>
      <c r="VNW102" s="42"/>
      <c r="VNX102" s="42"/>
      <c r="VNY102" s="42"/>
      <c r="VNZ102" s="42"/>
      <c r="VOA102" s="42"/>
      <c r="VOB102" s="43">
        <v>0</v>
      </c>
      <c r="VOC102" s="42" t="s">
        <v>48</v>
      </c>
      <c r="VOD102" s="42"/>
      <c r="VOE102" s="42"/>
      <c r="VOF102" s="42"/>
      <c r="VOG102" s="42"/>
      <c r="VOH102" s="42"/>
      <c r="VOI102" s="42"/>
      <c r="VOJ102" s="43">
        <v>0</v>
      </c>
      <c r="VOK102" s="42" t="s">
        <v>48</v>
      </c>
      <c r="VOL102" s="42"/>
      <c r="VOM102" s="42"/>
      <c r="VON102" s="42"/>
      <c r="VOO102" s="42"/>
      <c r="VOP102" s="42"/>
      <c r="VOQ102" s="42"/>
      <c r="VOR102" s="43">
        <v>0</v>
      </c>
      <c r="VOS102" s="42" t="s">
        <v>48</v>
      </c>
      <c r="VOT102" s="42"/>
      <c r="VOU102" s="42"/>
      <c r="VOV102" s="42"/>
      <c r="VOW102" s="42"/>
      <c r="VOX102" s="42"/>
      <c r="VOY102" s="42"/>
      <c r="VOZ102" s="43">
        <v>0</v>
      </c>
      <c r="VPA102" s="42" t="s">
        <v>48</v>
      </c>
      <c r="VPB102" s="42"/>
      <c r="VPC102" s="42"/>
      <c r="VPD102" s="42"/>
      <c r="VPE102" s="42"/>
      <c r="VPF102" s="42"/>
      <c r="VPG102" s="42"/>
      <c r="VPH102" s="43">
        <v>0</v>
      </c>
      <c r="VPI102" s="42" t="s">
        <v>48</v>
      </c>
      <c r="VPJ102" s="42"/>
      <c r="VPK102" s="42"/>
      <c r="VPL102" s="42"/>
      <c r="VPM102" s="42"/>
      <c r="VPN102" s="42"/>
      <c r="VPO102" s="42"/>
      <c r="VPP102" s="43">
        <v>0</v>
      </c>
      <c r="VPQ102" s="42" t="s">
        <v>48</v>
      </c>
      <c r="VPR102" s="42"/>
      <c r="VPS102" s="42"/>
      <c r="VPT102" s="42"/>
      <c r="VPU102" s="42"/>
      <c r="VPV102" s="42"/>
      <c r="VPW102" s="42"/>
      <c r="VPX102" s="43">
        <v>0</v>
      </c>
      <c r="VPY102" s="42" t="s">
        <v>48</v>
      </c>
      <c r="VPZ102" s="42"/>
      <c r="VQA102" s="42"/>
      <c r="VQB102" s="42"/>
      <c r="VQC102" s="42"/>
      <c r="VQD102" s="42"/>
      <c r="VQE102" s="42"/>
      <c r="VQF102" s="43">
        <v>0</v>
      </c>
      <c r="VQG102" s="42" t="s">
        <v>48</v>
      </c>
      <c r="VQH102" s="42"/>
      <c r="VQI102" s="42"/>
      <c r="VQJ102" s="42"/>
      <c r="VQK102" s="42"/>
      <c r="VQL102" s="42"/>
      <c r="VQM102" s="42"/>
      <c r="VQN102" s="43">
        <v>0</v>
      </c>
      <c r="VQO102" s="42" t="s">
        <v>48</v>
      </c>
      <c r="VQP102" s="42"/>
      <c r="VQQ102" s="42"/>
      <c r="VQR102" s="42"/>
      <c r="VQS102" s="42"/>
      <c r="VQT102" s="42"/>
      <c r="VQU102" s="42"/>
      <c r="VQV102" s="43">
        <v>0</v>
      </c>
      <c r="VQW102" s="42" t="s">
        <v>48</v>
      </c>
      <c r="VQX102" s="42"/>
      <c r="VQY102" s="42"/>
      <c r="VQZ102" s="42"/>
      <c r="VRA102" s="42"/>
      <c r="VRB102" s="42"/>
      <c r="VRC102" s="42"/>
      <c r="VRD102" s="43">
        <v>0</v>
      </c>
      <c r="VRE102" s="42" t="s">
        <v>48</v>
      </c>
      <c r="VRF102" s="42"/>
      <c r="VRG102" s="42"/>
      <c r="VRH102" s="42"/>
      <c r="VRI102" s="42"/>
      <c r="VRJ102" s="42"/>
      <c r="VRK102" s="42"/>
      <c r="VRL102" s="43">
        <v>0</v>
      </c>
      <c r="VRM102" s="42" t="s">
        <v>48</v>
      </c>
      <c r="VRN102" s="42"/>
      <c r="VRO102" s="42"/>
      <c r="VRP102" s="42"/>
      <c r="VRQ102" s="42"/>
      <c r="VRR102" s="42"/>
      <c r="VRS102" s="42"/>
      <c r="VRT102" s="43">
        <v>0</v>
      </c>
      <c r="VRU102" s="42" t="s">
        <v>48</v>
      </c>
      <c r="VRV102" s="42"/>
      <c r="VRW102" s="42"/>
      <c r="VRX102" s="42"/>
      <c r="VRY102" s="42"/>
      <c r="VRZ102" s="42"/>
      <c r="VSA102" s="42"/>
      <c r="VSB102" s="43">
        <v>0</v>
      </c>
      <c r="VSC102" s="42" t="s">
        <v>48</v>
      </c>
      <c r="VSD102" s="42"/>
      <c r="VSE102" s="42"/>
      <c r="VSF102" s="42"/>
      <c r="VSG102" s="42"/>
      <c r="VSH102" s="42"/>
      <c r="VSI102" s="42"/>
      <c r="VSJ102" s="43">
        <v>0</v>
      </c>
      <c r="VSK102" s="42" t="s">
        <v>48</v>
      </c>
      <c r="VSL102" s="42"/>
      <c r="VSM102" s="42"/>
      <c r="VSN102" s="42"/>
      <c r="VSO102" s="42"/>
      <c r="VSP102" s="42"/>
      <c r="VSQ102" s="42"/>
      <c r="VSR102" s="43">
        <v>0</v>
      </c>
      <c r="VSS102" s="42" t="s">
        <v>48</v>
      </c>
      <c r="VST102" s="42"/>
      <c r="VSU102" s="42"/>
      <c r="VSV102" s="42"/>
      <c r="VSW102" s="42"/>
      <c r="VSX102" s="42"/>
      <c r="VSY102" s="42"/>
      <c r="VSZ102" s="43">
        <v>0</v>
      </c>
      <c r="VTA102" s="42" t="s">
        <v>48</v>
      </c>
      <c r="VTB102" s="42"/>
      <c r="VTC102" s="42"/>
      <c r="VTD102" s="42"/>
      <c r="VTE102" s="42"/>
      <c r="VTF102" s="42"/>
      <c r="VTG102" s="42"/>
      <c r="VTH102" s="43">
        <v>0</v>
      </c>
      <c r="VTI102" s="42" t="s">
        <v>48</v>
      </c>
      <c r="VTJ102" s="42"/>
      <c r="VTK102" s="42"/>
      <c r="VTL102" s="42"/>
      <c r="VTM102" s="42"/>
      <c r="VTN102" s="42"/>
      <c r="VTO102" s="42"/>
      <c r="VTP102" s="43">
        <v>0</v>
      </c>
      <c r="VTQ102" s="42" t="s">
        <v>48</v>
      </c>
      <c r="VTR102" s="42"/>
      <c r="VTS102" s="42"/>
      <c r="VTT102" s="42"/>
      <c r="VTU102" s="42"/>
      <c r="VTV102" s="42"/>
      <c r="VTW102" s="42"/>
      <c r="VTX102" s="43">
        <v>0</v>
      </c>
      <c r="VTY102" s="42" t="s">
        <v>48</v>
      </c>
      <c r="VTZ102" s="42"/>
      <c r="VUA102" s="42"/>
      <c r="VUB102" s="42"/>
      <c r="VUC102" s="42"/>
      <c r="VUD102" s="42"/>
      <c r="VUE102" s="42"/>
      <c r="VUF102" s="43">
        <v>0</v>
      </c>
      <c r="VUG102" s="42" t="s">
        <v>48</v>
      </c>
      <c r="VUH102" s="42"/>
      <c r="VUI102" s="42"/>
      <c r="VUJ102" s="42"/>
      <c r="VUK102" s="42"/>
      <c r="VUL102" s="42"/>
      <c r="VUM102" s="42"/>
      <c r="VUN102" s="43">
        <v>0</v>
      </c>
      <c r="VUO102" s="42" t="s">
        <v>48</v>
      </c>
      <c r="VUP102" s="42"/>
      <c r="VUQ102" s="42"/>
      <c r="VUR102" s="42"/>
      <c r="VUS102" s="42"/>
      <c r="VUT102" s="42"/>
      <c r="VUU102" s="42"/>
      <c r="VUV102" s="43">
        <v>0</v>
      </c>
      <c r="VUW102" s="42" t="s">
        <v>48</v>
      </c>
      <c r="VUX102" s="42"/>
      <c r="VUY102" s="42"/>
      <c r="VUZ102" s="42"/>
      <c r="VVA102" s="42"/>
      <c r="VVB102" s="42"/>
      <c r="VVC102" s="42"/>
      <c r="VVD102" s="43">
        <v>0</v>
      </c>
      <c r="VVE102" s="42" t="s">
        <v>48</v>
      </c>
      <c r="VVF102" s="42"/>
      <c r="VVG102" s="42"/>
      <c r="VVH102" s="42"/>
      <c r="VVI102" s="42"/>
      <c r="VVJ102" s="42"/>
      <c r="VVK102" s="42"/>
      <c r="VVL102" s="43">
        <v>0</v>
      </c>
      <c r="VVM102" s="42" t="s">
        <v>48</v>
      </c>
      <c r="VVN102" s="42"/>
      <c r="VVO102" s="42"/>
      <c r="VVP102" s="42"/>
      <c r="VVQ102" s="42"/>
      <c r="VVR102" s="42"/>
      <c r="VVS102" s="42"/>
      <c r="VVT102" s="43">
        <v>0</v>
      </c>
      <c r="VVU102" s="42" t="s">
        <v>48</v>
      </c>
      <c r="VVV102" s="42"/>
      <c r="VVW102" s="42"/>
      <c r="VVX102" s="42"/>
      <c r="VVY102" s="42"/>
      <c r="VVZ102" s="42"/>
      <c r="VWA102" s="42"/>
      <c r="VWB102" s="43">
        <v>0</v>
      </c>
      <c r="VWC102" s="42" t="s">
        <v>48</v>
      </c>
      <c r="VWD102" s="42"/>
      <c r="VWE102" s="42"/>
      <c r="VWF102" s="42"/>
      <c r="VWG102" s="42"/>
      <c r="VWH102" s="42"/>
      <c r="VWI102" s="42"/>
      <c r="VWJ102" s="43">
        <v>0</v>
      </c>
      <c r="VWK102" s="42" t="s">
        <v>48</v>
      </c>
      <c r="VWL102" s="42"/>
      <c r="VWM102" s="42"/>
      <c r="VWN102" s="42"/>
      <c r="VWO102" s="42"/>
      <c r="VWP102" s="42"/>
      <c r="VWQ102" s="42"/>
      <c r="VWR102" s="43">
        <v>0</v>
      </c>
      <c r="VWS102" s="42" t="s">
        <v>48</v>
      </c>
      <c r="VWT102" s="42"/>
      <c r="VWU102" s="42"/>
      <c r="VWV102" s="42"/>
      <c r="VWW102" s="42"/>
      <c r="VWX102" s="42"/>
      <c r="VWY102" s="42"/>
      <c r="VWZ102" s="43">
        <v>0</v>
      </c>
      <c r="VXA102" s="42" t="s">
        <v>48</v>
      </c>
      <c r="VXB102" s="42"/>
      <c r="VXC102" s="42"/>
      <c r="VXD102" s="42"/>
      <c r="VXE102" s="42"/>
      <c r="VXF102" s="42"/>
      <c r="VXG102" s="42"/>
      <c r="VXH102" s="43">
        <v>0</v>
      </c>
      <c r="VXI102" s="42" t="s">
        <v>48</v>
      </c>
      <c r="VXJ102" s="42"/>
      <c r="VXK102" s="42"/>
      <c r="VXL102" s="42"/>
      <c r="VXM102" s="42"/>
      <c r="VXN102" s="42"/>
      <c r="VXO102" s="42"/>
      <c r="VXP102" s="43">
        <v>0</v>
      </c>
      <c r="VXQ102" s="42" t="s">
        <v>48</v>
      </c>
      <c r="VXR102" s="42"/>
      <c r="VXS102" s="42"/>
      <c r="VXT102" s="42"/>
      <c r="VXU102" s="42"/>
      <c r="VXV102" s="42"/>
      <c r="VXW102" s="42"/>
      <c r="VXX102" s="43">
        <v>0</v>
      </c>
      <c r="VXY102" s="42" t="s">
        <v>48</v>
      </c>
      <c r="VXZ102" s="42"/>
      <c r="VYA102" s="42"/>
      <c r="VYB102" s="42"/>
      <c r="VYC102" s="42"/>
      <c r="VYD102" s="42"/>
      <c r="VYE102" s="42"/>
      <c r="VYF102" s="43">
        <v>0</v>
      </c>
      <c r="VYG102" s="42" t="s">
        <v>48</v>
      </c>
      <c r="VYH102" s="42"/>
      <c r="VYI102" s="42"/>
      <c r="VYJ102" s="42"/>
      <c r="VYK102" s="42"/>
      <c r="VYL102" s="42"/>
      <c r="VYM102" s="42"/>
      <c r="VYN102" s="43">
        <v>0</v>
      </c>
      <c r="VYO102" s="42" t="s">
        <v>48</v>
      </c>
      <c r="VYP102" s="42"/>
      <c r="VYQ102" s="42"/>
      <c r="VYR102" s="42"/>
      <c r="VYS102" s="42"/>
      <c r="VYT102" s="42"/>
      <c r="VYU102" s="42"/>
      <c r="VYV102" s="43">
        <v>0</v>
      </c>
      <c r="VYW102" s="42" t="s">
        <v>48</v>
      </c>
      <c r="VYX102" s="42"/>
      <c r="VYY102" s="42"/>
      <c r="VYZ102" s="42"/>
      <c r="VZA102" s="42"/>
      <c r="VZB102" s="42"/>
      <c r="VZC102" s="42"/>
      <c r="VZD102" s="43">
        <v>0</v>
      </c>
      <c r="VZE102" s="42" t="s">
        <v>48</v>
      </c>
      <c r="VZF102" s="42"/>
      <c r="VZG102" s="42"/>
      <c r="VZH102" s="42"/>
      <c r="VZI102" s="42"/>
      <c r="VZJ102" s="42"/>
      <c r="VZK102" s="42"/>
      <c r="VZL102" s="43">
        <v>0</v>
      </c>
      <c r="VZM102" s="42" t="s">
        <v>48</v>
      </c>
      <c r="VZN102" s="42"/>
      <c r="VZO102" s="42"/>
      <c r="VZP102" s="42"/>
      <c r="VZQ102" s="42"/>
      <c r="VZR102" s="42"/>
      <c r="VZS102" s="42"/>
      <c r="VZT102" s="43">
        <v>0</v>
      </c>
      <c r="VZU102" s="42" t="s">
        <v>48</v>
      </c>
      <c r="VZV102" s="42"/>
      <c r="VZW102" s="42"/>
      <c r="VZX102" s="42"/>
      <c r="VZY102" s="42"/>
      <c r="VZZ102" s="42"/>
      <c r="WAA102" s="42"/>
      <c r="WAB102" s="43">
        <v>0</v>
      </c>
      <c r="WAC102" s="42" t="s">
        <v>48</v>
      </c>
      <c r="WAD102" s="42"/>
      <c r="WAE102" s="42"/>
      <c r="WAF102" s="42"/>
      <c r="WAG102" s="42"/>
      <c r="WAH102" s="42"/>
      <c r="WAI102" s="42"/>
      <c r="WAJ102" s="43">
        <v>0</v>
      </c>
      <c r="WAK102" s="42" t="s">
        <v>48</v>
      </c>
      <c r="WAL102" s="42"/>
      <c r="WAM102" s="42"/>
      <c r="WAN102" s="42"/>
      <c r="WAO102" s="42"/>
      <c r="WAP102" s="42"/>
      <c r="WAQ102" s="42"/>
      <c r="WAR102" s="43">
        <v>0</v>
      </c>
      <c r="WAS102" s="42" t="s">
        <v>48</v>
      </c>
      <c r="WAT102" s="42"/>
      <c r="WAU102" s="42"/>
      <c r="WAV102" s="42"/>
      <c r="WAW102" s="42"/>
      <c r="WAX102" s="42"/>
      <c r="WAY102" s="42"/>
      <c r="WAZ102" s="43">
        <v>0</v>
      </c>
      <c r="WBA102" s="42" t="s">
        <v>48</v>
      </c>
      <c r="WBB102" s="42"/>
      <c r="WBC102" s="42"/>
      <c r="WBD102" s="42"/>
      <c r="WBE102" s="42"/>
      <c r="WBF102" s="42"/>
      <c r="WBG102" s="42"/>
      <c r="WBH102" s="43">
        <v>0</v>
      </c>
      <c r="WBI102" s="42" t="s">
        <v>48</v>
      </c>
      <c r="WBJ102" s="42"/>
      <c r="WBK102" s="42"/>
      <c r="WBL102" s="42"/>
      <c r="WBM102" s="42"/>
      <c r="WBN102" s="42"/>
      <c r="WBO102" s="42"/>
      <c r="WBP102" s="43">
        <v>0</v>
      </c>
      <c r="WBQ102" s="42" t="s">
        <v>48</v>
      </c>
      <c r="WBR102" s="42"/>
      <c r="WBS102" s="42"/>
      <c r="WBT102" s="42"/>
      <c r="WBU102" s="42"/>
      <c r="WBV102" s="42"/>
      <c r="WBW102" s="42"/>
      <c r="WBX102" s="43">
        <v>0</v>
      </c>
      <c r="WBY102" s="42" t="s">
        <v>48</v>
      </c>
      <c r="WBZ102" s="42"/>
      <c r="WCA102" s="42"/>
      <c r="WCB102" s="42"/>
      <c r="WCC102" s="42"/>
      <c r="WCD102" s="42"/>
      <c r="WCE102" s="42"/>
      <c r="WCF102" s="43">
        <v>0</v>
      </c>
      <c r="WCG102" s="42" t="s">
        <v>48</v>
      </c>
      <c r="WCH102" s="42"/>
      <c r="WCI102" s="42"/>
      <c r="WCJ102" s="42"/>
      <c r="WCK102" s="42"/>
      <c r="WCL102" s="42"/>
      <c r="WCM102" s="42"/>
      <c r="WCN102" s="43">
        <v>0</v>
      </c>
      <c r="WCO102" s="42" t="s">
        <v>48</v>
      </c>
      <c r="WCP102" s="42"/>
      <c r="WCQ102" s="42"/>
      <c r="WCR102" s="42"/>
      <c r="WCS102" s="42"/>
      <c r="WCT102" s="42"/>
      <c r="WCU102" s="42"/>
      <c r="WCV102" s="43">
        <v>0</v>
      </c>
      <c r="WCW102" s="42" t="s">
        <v>48</v>
      </c>
      <c r="WCX102" s="42"/>
      <c r="WCY102" s="42"/>
      <c r="WCZ102" s="42"/>
      <c r="WDA102" s="42"/>
      <c r="WDB102" s="42"/>
      <c r="WDC102" s="42"/>
      <c r="WDD102" s="43">
        <v>0</v>
      </c>
      <c r="WDE102" s="42" t="s">
        <v>48</v>
      </c>
      <c r="WDF102" s="42"/>
      <c r="WDG102" s="42"/>
      <c r="WDH102" s="42"/>
      <c r="WDI102" s="42"/>
      <c r="WDJ102" s="42"/>
      <c r="WDK102" s="42"/>
      <c r="WDL102" s="43">
        <v>0</v>
      </c>
      <c r="WDM102" s="42" t="s">
        <v>48</v>
      </c>
      <c r="WDN102" s="42"/>
      <c r="WDO102" s="42"/>
      <c r="WDP102" s="42"/>
      <c r="WDQ102" s="42"/>
      <c r="WDR102" s="42"/>
      <c r="WDS102" s="42"/>
      <c r="WDT102" s="43">
        <v>0</v>
      </c>
      <c r="WDU102" s="42" t="s">
        <v>48</v>
      </c>
      <c r="WDV102" s="42"/>
      <c r="WDW102" s="42"/>
      <c r="WDX102" s="42"/>
      <c r="WDY102" s="42"/>
      <c r="WDZ102" s="42"/>
      <c r="WEA102" s="42"/>
      <c r="WEB102" s="43">
        <v>0</v>
      </c>
      <c r="WEC102" s="42" t="s">
        <v>48</v>
      </c>
      <c r="WED102" s="42"/>
      <c r="WEE102" s="42"/>
      <c r="WEF102" s="42"/>
      <c r="WEG102" s="42"/>
      <c r="WEH102" s="42"/>
      <c r="WEI102" s="42"/>
      <c r="WEJ102" s="43">
        <v>0</v>
      </c>
      <c r="WEK102" s="42" t="s">
        <v>48</v>
      </c>
      <c r="WEL102" s="42"/>
      <c r="WEM102" s="42"/>
      <c r="WEN102" s="42"/>
      <c r="WEO102" s="42"/>
      <c r="WEP102" s="42"/>
      <c r="WEQ102" s="42"/>
      <c r="WER102" s="43">
        <v>0</v>
      </c>
      <c r="WES102" s="42" t="s">
        <v>48</v>
      </c>
      <c r="WET102" s="42"/>
      <c r="WEU102" s="42"/>
      <c r="WEV102" s="42"/>
      <c r="WEW102" s="42"/>
      <c r="WEX102" s="42"/>
      <c r="WEY102" s="42"/>
      <c r="WEZ102" s="43">
        <v>0</v>
      </c>
      <c r="WFA102" s="42" t="s">
        <v>48</v>
      </c>
      <c r="WFB102" s="42"/>
      <c r="WFC102" s="42"/>
      <c r="WFD102" s="42"/>
      <c r="WFE102" s="42"/>
      <c r="WFF102" s="42"/>
      <c r="WFG102" s="42"/>
      <c r="WFH102" s="43">
        <v>0</v>
      </c>
      <c r="WFI102" s="42" t="s">
        <v>48</v>
      </c>
      <c r="WFJ102" s="42"/>
      <c r="WFK102" s="42"/>
      <c r="WFL102" s="42"/>
      <c r="WFM102" s="42"/>
      <c r="WFN102" s="42"/>
      <c r="WFO102" s="42"/>
      <c r="WFP102" s="43">
        <v>0</v>
      </c>
      <c r="WFQ102" s="42" t="s">
        <v>48</v>
      </c>
      <c r="WFR102" s="42"/>
      <c r="WFS102" s="42"/>
      <c r="WFT102" s="42"/>
      <c r="WFU102" s="42"/>
      <c r="WFV102" s="42"/>
      <c r="WFW102" s="42"/>
      <c r="WFX102" s="43">
        <v>0</v>
      </c>
      <c r="WFY102" s="42" t="s">
        <v>48</v>
      </c>
      <c r="WFZ102" s="42"/>
      <c r="WGA102" s="42"/>
      <c r="WGB102" s="42"/>
      <c r="WGC102" s="42"/>
      <c r="WGD102" s="42"/>
      <c r="WGE102" s="42"/>
      <c r="WGF102" s="43">
        <v>0</v>
      </c>
      <c r="WGG102" s="42" t="s">
        <v>48</v>
      </c>
      <c r="WGH102" s="42"/>
      <c r="WGI102" s="42"/>
      <c r="WGJ102" s="42"/>
      <c r="WGK102" s="42"/>
      <c r="WGL102" s="42"/>
      <c r="WGM102" s="42"/>
      <c r="WGN102" s="43">
        <v>0</v>
      </c>
      <c r="WGO102" s="42" t="s">
        <v>48</v>
      </c>
      <c r="WGP102" s="42"/>
      <c r="WGQ102" s="42"/>
      <c r="WGR102" s="42"/>
      <c r="WGS102" s="42"/>
      <c r="WGT102" s="42"/>
      <c r="WGU102" s="42"/>
      <c r="WGV102" s="43">
        <v>0</v>
      </c>
      <c r="WGW102" s="42" t="s">
        <v>48</v>
      </c>
      <c r="WGX102" s="42"/>
      <c r="WGY102" s="42"/>
      <c r="WGZ102" s="42"/>
      <c r="WHA102" s="42"/>
      <c r="WHB102" s="42"/>
      <c r="WHC102" s="42"/>
      <c r="WHD102" s="43">
        <v>0</v>
      </c>
      <c r="WHE102" s="42" t="s">
        <v>48</v>
      </c>
      <c r="WHF102" s="42"/>
      <c r="WHG102" s="42"/>
      <c r="WHH102" s="42"/>
      <c r="WHI102" s="42"/>
      <c r="WHJ102" s="42"/>
      <c r="WHK102" s="42"/>
      <c r="WHL102" s="43">
        <v>0</v>
      </c>
      <c r="WHM102" s="42" t="s">
        <v>48</v>
      </c>
      <c r="WHN102" s="42"/>
      <c r="WHO102" s="42"/>
      <c r="WHP102" s="42"/>
      <c r="WHQ102" s="42"/>
      <c r="WHR102" s="42"/>
      <c r="WHS102" s="42"/>
      <c r="WHT102" s="43">
        <v>0</v>
      </c>
      <c r="WHU102" s="42" t="s">
        <v>48</v>
      </c>
      <c r="WHV102" s="42"/>
      <c r="WHW102" s="42"/>
      <c r="WHX102" s="42"/>
      <c r="WHY102" s="42"/>
      <c r="WHZ102" s="42"/>
      <c r="WIA102" s="42"/>
      <c r="WIB102" s="43">
        <v>0</v>
      </c>
      <c r="WIC102" s="42" t="s">
        <v>48</v>
      </c>
      <c r="WID102" s="42"/>
      <c r="WIE102" s="42"/>
      <c r="WIF102" s="42"/>
      <c r="WIG102" s="42"/>
      <c r="WIH102" s="42"/>
      <c r="WII102" s="42"/>
      <c r="WIJ102" s="43">
        <v>0</v>
      </c>
      <c r="WIK102" s="42" t="s">
        <v>48</v>
      </c>
      <c r="WIL102" s="42"/>
      <c r="WIM102" s="42"/>
      <c r="WIN102" s="42"/>
      <c r="WIO102" s="42"/>
      <c r="WIP102" s="42"/>
      <c r="WIQ102" s="42"/>
      <c r="WIR102" s="43">
        <v>0</v>
      </c>
      <c r="WIS102" s="42" t="s">
        <v>48</v>
      </c>
      <c r="WIT102" s="42"/>
      <c r="WIU102" s="42"/>
      <c r="WIV102" s="42"/>
      <c r="WIW102" s="42"/>
      <c r="WIX102" s="42"/>
      <c r="WIY102" s="42"/>
      <c r="WIZ102" s="43">
        <v>0</v>
      </c>
      <c r="WJA102" s="42" t="s">
        <v>48</v>
      </c>
      <c r="WJB102" s="42"/>
      <c r="WJC102" s="42"/>
      <c r="WJD102" s="42"/>
      <c r="WJE102" s="42"/>
      <c r="WJF102" s="42"/>
      <c r="WJG102" s="42"/>
      <c r="WJH102" s="43">
        <v>0</v>
      </c>
      <c r="WJI102" s="42" t="s">
        <v>48</v>
      </c>
      <c r="WJJ102" s="42"/>
      <c r="WJK102" s="42"/>
      <c r="WJL102" s="42"/>
      <c r="WJM102" s="42"/>
      <c r="WJN102" s="42"/>
      <c r="WJO102" s="42"/>
      <c r="WJP102" s="43">
        <v>0</v>
      </c>
      <c r="WJQ102" s="42" t="s">
        <v>48</v>
      </c>
      <c r="WJR102" s="42"/>
      <c r="WJS102" s="42"/>
      <c r="WJT102" s="42"/>
      <c r="WJU102" s="42"/>
      <c r="WJV102" s="42"/>
      <c r="WJW102" s="42"/>
      <c r="WJX102" s="43">
        <v>0</v>
      </c>
      <c r="WJY102" s="42" t="s">
        <v>48</v>
      </c>
      <c r="WJZ102" s="42"/>
      <c r="WKA102" s="42"/>
      <c r="WKB102" s="42"/>
      <c r="WKC102" s="42"/>
      <c r="WKD102" s="42"/>
      <c r="WKE102" s="42"/>
      <c r="WKF102" s="43">
        <v>0</v>
      </c>
      <c r="WKG102" s="42" t="s">
        <v>48</v>
      </c>
      <c r="WKH102" s="42"/>
      <c r="WKI102" s="42"/>
      <c r="WKJ102" s="42"/>
      <c r="WKK102" s="42"/>
      <c r="WKL102" s="42"/>
      <c r="WKM102" s="42"/>
      <c r="WKN102" s="43">
        <v>0</v>
      </c>
      <c r="WKO102" s="42" t="s">
        <v>48</v>
      </c>
      <c r="WKP102" s="42"/>
      <c r="WKQ102" s="42"/>
      <c r="WKR102" s="42"/>
      <c r="WKS102" s="42"/>
      <c r="WKT102" s="42"/>
      <c r="WKU102" s="42"/>
      <c r="WKV102" s="43">
        <v>0</v>
      </c>
      <c r="WKW102" s="42" t="s">
        <v>48</v>
      </c>
      <c r="WKX102" s="42"/>
      <c r="WKY102" s="42"/>
      <c r="WKZ102" s="42"/>
      <c r="WLA102" s="42"/>
      <c r="WLB102" s="42"/>
      <c r="WLC102" s="42"/>
      <c r="WLD102" s="43">
        <v>0</v>
      </c>
      <c r="WLE102" s="42" t="s">
        <v>48</v>
      </c>
      <c r="WLF102" s="42"/>
      <c r="WLG102" s="42"/>
      <c r="WLH102" s="42"/>
      <c r="WLI102" s="42"/>
      <c r="WLJ102" s="42"/>
      <c r="WLK102" s="42"/>
      <c r="WLL102" s="43">
        <v>0</v>
      </c>
      <c r="WLM102" s="42" t="s">
        <v>48</v>
      </c>
      <c r="WLN102" s="42"/>
      <c r="WLO102" s="42"/>
      <c r="WLP102" s="42"/>
      <c r="WLQ102" s="42"/>
      <c r="WLR102" s="42"/>
      <c r="WLS102" s="42"/>
      <c r="WLT102" s="43">
        <v>0</v>
      </c>
      <c r="WLU102" s="42" t="s">
        <v>48</v>
      </c>
      <c r="WLV102" s="42"/>
      <c r="WLW102" s="42"/>
      <c r="WLX102" s="42"/>
      <c r="WLY102" s="42"/>
      <c r="WLZ102" s="42"/>
      <c r="WMA102" s="42"/>
      <c r="WMB102" s="43">
        <v>0</v>
      </c>
      <c r="WMC102" s="42" t="s">
        <v>48</v>
      </c>
      <c r="WMD102" s="42"/>
      <c r="WME102" s="42"/>
      <c r="WMF102" s="42"/>
      <c r="WMG102" s="42"/>
      <c r="WMH102" s="42"/>
      <c r="WMI102" s="42"/>
      <c r="WMJ102" s="43">
        <v>0</v>
      </c>
      <c r="WMK102" s="42" t="s">
        <v>48</v>
      </c>
      <c r="WML102" s="42"/>
      <c r="WMM102" s="42"/>
      <c r="WMN102" s="42"/>
      <c r="WMO102" s="42"/>
      <c r="WMP102" s="42"/>
      <c r="WMQ102" s="42"/>
      <c r="WMR102" s="43">
        <v>0</v>
      </c>
      <c r="WMS102" s="42" t="s">
        <v>48</v>
      </c>
      <c r="WMT102" s="42"/>
      <c r="WMU102" s="42"/>
      <c r="WMV102" s="42"/>
      <c r="WMW102" s="42"/>
      <c r="WMX102" s="42"/>
      <c r="WMY102" s="42"/>
      <c r="WMZ102" s="43">
        <v>0</v>
      </c>
      <c r="WNA102" s="42" t="s">
        <v>48</v>
      </c>
      <c r="WNB102" s="42"/>
      <c r="WNC102" s="42"/>
      <c r="WND102" s="42"/>
      <c r="WNE102" s="42"/>
      <c r="WNF102" s="42"/>
      <c r="WNG102" s="42"/>
      <c r="WNH102" s="43">
        <v>0</v>
      </c>
      <c r="WNI102" s="42" t="s">
        <v>48</v>
      </c>
      <c r="WNJ102" s="42"/>
      <c r="WNK102" s="42"/>
      <c r="WNL102" s="42"/>
      <c r="WNM102" s="42"/>
      <c r="WNN102" s="42"/>
      <c r="WNO102" s="42"/>
      <c r="WNP102" s="43">
        <v>0</v>
      </c>
      <c r="WNQ102" s="42" t="s">
        <v>48</v>
      </c>
      <c r="WNR102" s="42"/>
      <c r="WNS102" s="42"/>
      <c r="WNT102" s="42"/>
      <c r="WNU102" s="42"/>
      <c r="WNV102" s="42"/>
      <c r="WNW102" s="42"/>
      <c r="WNX102" s="43">
        <v>0</v>
      </c>
      <c r="WNY102" s="42" t="s">
        <v>48</v>
      </c>
      <c r="WNZ102" s="42"/>
      <c r="WOA102" s="42"/>
      <c r="WOB102" s="42"/>
      <c r="WOC102" s="42"/>
      <c r="WOD102" s="42"/>
      <c r="WOE102" s="42"/>
      <c r="WOF102" s="43">
        <v>0</v>
      </c>
      <c r="WOG102" s="42" t="s">
        <v>48</v>
      </c>
      <c r="WOH102" s="42"/>
      <c r="WOI102" s="42"/>
      <c r="WOJ102" s="42"/>
      <c r="WOK102" s="42"/>
      <c r="WOL102" s="42"/>
      <c r="WOM102" s="42"/>
      <c r="WON102" s="43">
        <v>0</v>
      </c>
      <c r="WOO102" s="42" t="s">
        <v>48</v>
      </c>
      <c r="WOP102" s="42"/>
      <c r="WOQ102" s="42"/>
      <c r="WOR102" s="42"/>
      <c r="WOS102" s="42"/>
      <c r="WOT102" s="42"/>
      <c r="WOU102" s="42"/>
      <c r="WOV102" s="43">
        <v>0</v>
      </c>
      <c r="WOW102" s="42" t="s">
        <v>48</v>
      </c>
      <c r="WOX102" s="42"/>
      <c r="WOY102" s="42"/>
      <c r="WOZ102" s="42"/>
      <c r="WPA102" s="42"/>
      <c r="WPB102" s="42"/>
      <c r="WPC102" s="42"/>
      <c r="WPD102" s="43">
        <v>0</v>
      </c>
      <c r="WPE102" s="42" t="s">
        <v>48</v>
      </c>
      <c r="WPF102" s="42"/>
      <c r="WPG102" s="42"/>
      <c r="WPH102" s="42"/>
      <c r="WPI102" s="42"/>
      <c r="WPJ102" s="42"/>
      <c r="WPK102" s="42"/>
      <c r="WPL102" s="43">
        <v>0</v>
      </c>
      <c r="WPM102" s="42" t="s">
        <v>48</v>
      </c>
      <c r="WPN102" s="42"/>
      <c r="WPO102" s="42"/>
      <c r="WPP102" s="42"/>
      <c r="WPQ102" s="42"/>
      <c r="WPR102" s="42"/>
      <c r="WPS102" s="42"/>
      <c r="WPT102" s="43">
        <v>0</v>
      </c>
      <c r="WPU102" s="42" t="s">
        <v>48</v>
      </c>
      <c r="WPV102" s="42"/>
      <c r="WPW102" s="42"/>
      <c r="WPX102" s="42"/>
      <c r="WPY102" s="42"/>
      <c r="WPZ102" s="42"/>
      <c r="WQA102" s="42"/>
      <c r="WQB102" s="43">
        <v>0</v>
      </c>
      <c r="WQC102" s="42" t="s">
        <v>48</v>
      </c>
      <c r="WQD102" s="42"/>
      <c r="WQE102" s="42"/>
      <c r="WQF102" s="42"/>
      <c r="WQG102" s="42"/>
      <c r="WQH102" s="42"/>
      <c r="WQI102" s="42"/>
      <c r="WQJ102" s="43">
        <v>0</v>
      </c>
      <c r="WQK102" s="42" t="s">
        <v>48</v>
      </c>
      <c r="WQL102" s="42"/>
      <c r="WQM102" s="42"/>
      <c r="WQN102" s="42"/>
      <c r="WQO102" s="42"/>
      <c r="WQP102" s="42"/>
      <c r="WQQ102" s="42"/>
      <c r="WQR102" s="43">
        <v>0</v>
      </c>
      <c r="WQS102" s="42" t="s">
        <v>48</v>
      </c>
      <c r="WQT102" s="42"/>
      <c r="WQU102" s="42"/>
      <c r="WQV102" s="42"/>
      <c r="WQW102" s="42"/>
      <c r="WQX102" s="42"/>
      <c r="WQY102" s="42"/>
      <c r="WQZ102" s="43">
        <v>0</v>
      </c>
      <c r="WRA102" s="42" t="s">
        <v>48</v>
      </c>
      <c r="WRB102" s="42"/>
      <c r="WRC102" s="42"/>
      <c r="WRD102" s="42"/>
      <c r="WRE102" s="42"/>
      <c r="WRF102" s="42"/>
      <c r="WRG102" s="42"/>
      <c r="WRH102" s="43">
        <v>0</v>
      </c>
      <c r="WRI102" s="42" t="s">
        <v>48</v>
      </c>
      <c r="WRJ102" s="42"/>
      <c r="WRK102" s="42"/>
      <c r="WRL102" s="42"/>
      <c r="WRM102" s="42"/>
      <c r="WRN102" s="42"/>
      <c r="WRO102" s="42"/>
      <c r="WRP102" s="43">
        <v>0</v>
      </c>
      <c r="WRQ102" s="42" t="s">
        <v>48</v>
      </c>
      <c r="WRR102" s="42"/>
      <c r="WRS102" s="42"/>
      <c r="WRT102" s="42"/>
      <c r="WRU102" s="42"/>
      <c r="WRV102" s="42"/>
      <c r="WRW102" s="42"/>
      <c r="WRX102" s="43">
        <v>0</v>
      </c>
      <c r="WRY102" s="42" t="s">
        <v>48</v>
      </c>
      <c r="WRZ102" s="42"/>
      <c r="WSA102" s="42"/>
      <c r="WSB102" s="42"/>
      <c r="WSC102" s="42"/>
      <c r="WSD102" s="42"/>
      <c r="WSE102" s="42"/>
      <c r="WSF102" s="43">
        <v>0</v>
      </c>
      <c r="WSG102" s="42" t="s">
        <v>48</v>
      </c>
      <c r="WSH102" s="42"/>
      <c r="WSI102" s="42"/>
      <c r="WSJ102" s="42"/>
      <c r="WSK102" s="42"/>
      <c r="WSL102" s="42"/>
      <c r="WSM102" s="42"/>
      <c r="WSN102" s="43">
        <v>0</v>
      </c>
      <c r="WSO102" s="42" t="s">
        <v>48</v>
      </c>
      <c r="WSP102" s="42"/>
      <c r="WSQ102" s="42"/>
      <c r="WSR102" s="42"/>
      <c r="WSS102" s="42"/>
      <c r="WST102" s="42"/>
      <c r="WSU102" s="42"/>
      <c r="WSV102" s="43">
        <v>0</v>
      </c>
      <c r="WSW102" s="42" t="s">
        <v>48</v>
      </c>
      <c r="WSX102" s="42"/>
      <c r="WSY102" s="42"/>
      <c r="WSZ102" s="42"/>
      <c r="WTA102" s="42"/>
      <c r="WTB102" s="42"/>
      <c r="WTC102" s="42"/>
      <c r="WTD102" s="43">
        <v>0</v>
      </c>
      <c r="WTE102" s="42" t="s">
        <v>48</v>
      </c>
      <c r="WTF102" s="42"/>
      <c r="WTG102" s="42"/>
      <c r="WTH102" s="42"/>
      <c r="WTI102" s="42"/>
      <c r="WTJ102" s="42"/>
      <c r="WTK102" s="42"/>
      <c r="WTL102" s="43">
        <v>0</v>
      </c>
      <c r="WTM102" s="42" t="s">
        <v>48</v>
      </c>
      <c r="WTN102" s="42"/>
      <c r="WTO102" s="42"/>
      <c r="WTP102" s="42"/>
      <c r="WTQ102" s="42"/>
      <c r="WTR102" s="42"/>
      <c r="WTS102" s="42"/>
      <c r="WTT102" s="43">
        <v>0</v>
      </c>
      <c r="WTU102" s="42" t="s">
        <v>48</v>
      </c>
      <c r="WTV102" s="42"/>
      <c r="WTW102" s="42"/>
      <c r="WTX102" s="42"/>
      <c r="WTY102" s="42"/>
      <c r="WTZ102" s="42"/>
      <c r="WUA102" s="42"/>
      <c r="WUB102" s="43">
        <v>0</v>
      </c>
      <c r="WUC102" s="42" t="s">
        <v>48</v>
      </c>
      <c r="WUD102" s="42"/>
      <c r="WUE102" s="42"/>
      <c r="WUF102" s="42"/>
      <c r="WUG102" s="42"/>
      <c r="WUH102" s="42"/>
      <c r="WUI102" s="42"/>
      <c r="WUJ102" s="43">
        <v>0</v>
      </c>
      <c r="WUK102" s="42" t="s">
        <v>48</v>
      </c>
      <c r="WUL102" s="42"/>
      <c r="WUM102" s="42"/>
      <c r="WUN102" s="42"/>
      <c r="WUO102" s="42"/>
      <c r="WUP102" s="42"/>
      <c r="WUQ102" s="42"/>
      <c r="WUR102" s="43">
        <v>0</v>
      </c>
      <c r="WUS102" s="42" t="s">
        <v>48</v>
      </c>
      <c r="WUT102" s="42"/>
      <c r="WUU102" s="42"/>
      <c r="WUV102" s="42"/>
      <c r="WUW102" s="42"/>
      <c r="WUX102" s="42"/>
      <c r="WUY102" s="42"/>
      <c r="WUZ102" s="43">
        <v>0</v>
      </c>
      <c r="WVA102" s="42" t="s">
        <v>48</v>
      </c>
      <c r="WVB102" s="42"/>
      <c r="WVC102" s="42"/>
      <c r="WVD102" s="42"/>
      <c r="WVE102" s="42"/>
      <c r="WVF102" s="42"/>
      <c r="WVG102" s="42"/>
      <c r="WVH102" s="43">
        <v>0</v>
      </c>
      <c r="WVI102" s="42" t="s">
        <v>48</v>
      </c>
      <c r="WVJ102" s="42"/>
      <c r="WVK102" s="42"/>
      <c r="WVL102" s="42"/>
      <c r="WVM102" s="42"/>
      <c r="WVN102" s="42"/>
      <c r="WVO102" s="42"/>
      <c r="WVP102" s="43">
        <v>0</v>
      </c>
      <c r="WVQ102" s="42" t="s">
        <v>48</v>
      </c>
      <c r="WVR102" s="42"/>
      <c r="WVS102" s="42"/>
      <c r="WVT102" s="42"/>
      <c r="WVU102" s="42"/>
      <c r="WVV102" s="42"/>
      <c r="WVW102" s="42"/>
      <c r="WVX102" s="43">
        <v>0</v>
      </c>
      <c r="WVY102" s="42" t="s">
        <v>48</v>
      </c>
      <c r="WVZ102" s="42"/>
      <c r="WWA102" s="42"/>
      <c r="WWB102" s="42"/>
      <c r="WWC102" s="42"/>
      <c r="WWD102" s="42"/>
      <c r="WWE102" s="42"/>
      <c r="WWF102" s="43">
        <v>0</v>
      </c>
      <c r="WWG102" s="42" t="s">
        <v>48</v>
      </c>
      <c r="WWH102" s="42"/>
      <c r="WWI102" s="42"/>
      <c r="WWJ102" s="42"/>
      <c r="WWK102" s="42"/>
      <c r="WWL102" s="42"/>
      <c r="WWM102" s="42"/>
      <c r="WWN102" s="43">
        <v>0</v>
      </c>
      <c r="WWO102" s="42" t="s">
        <v>48</v>
      </c>
      <c r="WWP102" s="42"/>
      <c r="WWQ102" s="42"/>
      <c r="WWR102" s="42"/>
      <c r="WWS102" s="42"/>
      <c r="WWT102" s="42"/>
      <c r="WWU102" s="42"/>
      <c r="WWV102" s="43">
        <v>0</v>
      </c>
      <c r="WWW102" s="42" t="s">
        <v>48</v>
      </c>
      <c r="WWX102" s="42"/>
      <c r="WWY102" s="42"/>
      <c r="WWZ102" s="42"/>
      <c r="WXA102" s="42"/>
      <c r="WXB102" s="42"/>
      <c r="WXC102" s="42"/>
      <c r="WXD102" s="43">
        <v>0</v>
      </c>
      <c r="WXE102" s="42" t="s">
        <v>48</v>
      </c>
      <c r="WXF102" s="42"/>
      <c r="WXG102" s="42"/>
      <c r="WXH102" s="42"/>
      <c r="WXI102" s="42"/>
      <c r="WXJ102" s="42"/>
      <c r="WXK102" s="42"/>
      <c r="WXL102" s="43">
        <v>0</v>
      </c>
      <c r="WXM102" s="42" t="s">
        <v>48</v>
      </c>
      <c r="WXN102" s="42"/>
      <c r="WXO102" s="42"/>
      <c r="WXP102" s="42"/>
      <c r="WXQ102" s="42"/>
      <c r="WXR102" s="42"/>
      <c r="WXS102" s="42"/>
      <c r="WXT102" s="43">
        <v>0</v>
      </c>
      <c r="WXU102" s="42" t="s">
        <v>48</v>
      </c>
      <c r="WXV102" s="42"/>
      <c r="WXW102" s="42"/>
      <c r="WXX102" s="42"/>
      <c r="WXY102" s="42"/>
      <c r="WXZ102" s="42"/>
      <c r="WYA102" s="42"/>
      <c r="WYB102" s="43">
        <v>0</v>
      </c>
      <c r="WYC102" s="42" t="s">
        <v>48</v>
      </c>
      <c r="WYD102" s="42"/>
      <c r="WYE102" s="42"/>
      <c r="WYF102" s="42"/>
      <c r="WYG102" s="42"/>
      <c r="WYH102" s="42"/>
      <c r="WYI102" s="42"/>
      <c r="WYJ102" s="43">
        <v>0</v>
      </c>
      <c r="WYK102" s="42" t="s">
        <v>48</v>
      </c>
      <c r="WYL102" s="42"/>
      <c r="WYM102" s="42"/>
      <c r="WYN102" s="42"/>
      <c r="WYO102" s="42"/>
      <c r="WYP102" s="42"/>
      <c r="WYQ102" s="42"/>
      <c r="WYR102" s="43">
        <v>0</v>
      </c>
      <c r="WYS102" s="42" t="s">
        <v>48</v>
      </c>
      <c r="WYT102" s="42"/>
      <c r="WYU102" s="42"/>
      <c r="WYV102" s="42"/>
      <c r="WYW102" s="42"/>
      <c r="WYX102" s="42"/>
      <c r="WYY102" s="42"/>
      <c r="WYZ102" s="43">
        <v>0</v>
      </c>
      <c r="WZA102" s="42" t="s">
        <v>48</v>
      </c>
      <c r="WZB102" s="42"/>
      <c r="WZC102" s="42"/>
      <c r="WZD102" s="42"/>
      <c r="WZE102" s="42"/>
      <c r="WZF102" s="42"/>
      <c r="WZG102" s="42"/>
      <c r="WZH102" s="43">
        <v>0</v>
      </c>
      <c r="WZI102" s="42" t="s">
        <v>48</v>
      </c>
      <c r="WZJ102" s="42"/>
      <c r="WZK102" s="42"/>
      <c r="WZL102" s="42"/>
      <c r="WZM102" s="42"/>
      <c r="WZN102" s="42"/>
      <c r="WZO102" s="42"/>
      <c r="WZP102" s="43">
        <v>0</v>
      </c>
      <c r="WZQ102" s="42" t="s">
        <v>48</v>
      </c>
      <c r="WZR102" s="42"/>
      <c r="WZS102" s="42"/>
      <c r="WZT102" s="42"/>
      <c r="WZU102" s="42"/>
      <c r="WZV102" s="42"/>
      <c r="WZW102" s="42"/>
      <c r="WZX102" s="43">
        <v>0</v>
      </c>
      <c r="WZY102" s="42" t="s">
        <v>48</v>
      </c>
      <c r="WZZ102" s="42"/>
      <c r="XAA102" s="42"/>
      <c r="XAB102" s="42"/>
      <c r="XAC102" s="42"/>
      <c r="XAD102" s="42"/>
      <c r="XAE102" s="42"/>
      <c r="XAF102" s="43">
        <v>0</v>
      </c>
      <c r="XAG102" s="42" t="s">
        <v>48</v>
      </c>
      <c r="XAH102" s="42"/>
      <c r="XAI102" s="42"/>
      <c r="XAJ102" s="42"/>
      <c r="XAK102" s="42"/>
      <c r="XAL102" s="42"/>
      <c r="XAM102" s="42"/>
      <c r="XAN102" s="43">
        <v>0</v>
      </c>
      <c r="XAO102" s="42" t="s">
        <v>48</v>
      </c>
      <c r="XAP102" s="42"/>
      <c r="XAQ102" s="42"/>
      <c r="XAR102" s="42"/>
      <c r="XAS102" s="42"/>
      <c r="XAT102" s="42"/>
      <c r="XAU102" s="42"/>
      <c r="XAV102" s="43">
        <v>0</v>
      </c>
      <c r="XAW102" s="42" t="s">
        <v>48</v>
      </c>
      <c r="XAX102" s="42"/>
      <c r="XAY102" s="42"/>
      <c r="XAZ102" s="42"/>
      <c r="XBA102" s="42"/>
      <c r="XBB102" s="42"/>
      <c r="XBC102" s="42"/>
      <c r="XBD102" s="43">
        <v>0</v>
      </c>
      <c r="XBE102" s="42" t="s">
        <v>48</v>
      </c>
      <c r="XBF102" s="42"/>
      <c r="XBG102" s="42"/>
      <c r="XBH102" s="42"/>
      <c r="XBI102" s="42"/>
      <c r="XBJ102" s="42"/>
      <c r="XBK102" s="42"/>
      <c r="XBL102" s="43">
        <v>0</v>
      </c>
      <c r="XBM102" s="42" t="s">
        <v>48</v>
      </c>
      <c r="XBN102" s="42"/>
      <c r="XBO102" s="42"/>
      <c r="XBP102" s="42"/>
      <c r="XBQ102" s="42"/>
      <c r="XBR102" s="42"/>
      <c r="XBS102" s="42"/>
      <c r="XBT102" s="43">
        <v>0</v>
      </c>
      <c r="XBU102" s="42" t="s">
        <v>48</v>
      </c>
      <c r="XBV102" s="42"/>
      <c r="XBW102" s="42"/>
      <c r="XBX102" s="42"/>
      <c r="XBY102" s="42"/>
      <c r="XBZ102" s="42"/>
      <c r="XCA102" s="42"/>
      <c r="XCB102" s="43">
        <v>0</v>
      </c>
      <c r="XCC102" s="42" t="s">
        <v>48</v>
      </c>
      <c r="XCD102" s="42"/>
      <c r="XCE102" s="42"/>
      <c r="XCF102" s="42"/>
      <c r="XCG102" s="42"/>
      <c r="XCH102" s="42"/>
      <c r="XCI102" s="42"/>
      <c r="XCJ102" s="43">
        <v>0</v>
      </c>
      <c r="XCK102" s="42" t="s">
        <v>48</v>
      </c>
      <c r="XCL102" s="42"/>
      <c r="XCM102" s="42"/>
      <c r="XCN102" s="42"/>
      <c r="XCO102" s="42"/>
      <c r="XCP102" s="42"/>
      <c r="XCQ102" s="42"/>
      <c r="XCR102" s="43">
        <v>0</v>
      </c>
      <c r="XCS102" s="42" t="s">
        <v>48</v>
      </c>
      <c r="XCT102" s="42"/>
      <c r="XCU102" s="42"/>
      <c r="XCV102" s="42"/>
      <c r="XCW102" s="42"/>
      <c r="XCX102" s="42"/>
      <c r="XCY102" s="42"/>
      <c r="XCZ102" s="43">
        <v>0</v>
      </c>
      <c r="XDA102" s="42" t="s">
        <v>48</v>
      </c>
      <c r="XDB102" s="42"/>
      <c r="XDC102" s="42"/>
      <c r="XDD102" s="42"/>
      <c r="XDE102" s="42"/>
      <c r="XDF102" s="42"/>
      <c r="XDG102" s="42"/>
      <c r="XDH102" s="43">
        <v>0</v>
      </c>
      <c r="XDI102" s="42" t="s">
        <v>48</v>
      </c>
      <c r="XDJ102" s="42"/>
      <c r="XDK102" s="42"/>
      <c r="XDL102" s="42"/>
      <c r="XDM102" s="42"/>
      <c r="XDN102" s="42"/>
      <c r="XDO102" s="42"/>
      <c r="XDP102" s="43">
        <v>0</v>
      </c>
      <c r="XDQ102" s="42" t="s">
        <v>48</v>
      </c>
      <c r="XDR102" s="42"/>
      <c r="XDS102" s="42"/>
      <c r="XDT102" s="42"/>
      <c r="XDU102" s="42"/>
      <c r="XDV102" s="42"/>
      <c r="XDW102" s="42"/>
      <c r="XDX102" s="43">
        <v>0</v>
      </c>
      <c r="XDY102" s="42" t="s">
        <v>48</v>
      </c>
      <c r="XDZ102" s="42"/>
      <c r="XEA102" s="42"/>
      <c r="XEB102" s="42"/>
      <c r="XEC102" s="42"/>
      <c r="XED102" s="42"/>
      <c r="XEE102" s="42"/>
      <c r="XEF102" s="43">
        <v>0</v>
      </c>
      <c r="XEG102" s="42" t="s">
        <v>48</v>
      </c>
      <c r="XEH102" s="42"/>
      <c r="XEI102" s="42"/>
      <c r="XEJ102" s="42"/>
      <c r="XEK102" s="42"/>
      <c r="XEL102" s="42"/>
      <c r="XEM102" s="42"/>
      <c r="XEN102" s="43">
        <v>0</v>
      </c>
      <c r="XEO102" s="42" t="s">
        <v>48</v>
      </c>
      <c r="XEP102" s="42"/>
      <c r="XEQ102" s="42"/>
      <c r="XER102" s="42"/>
      <c r="XES102" s="42"/>
      <c r="XET102" s="42"/>
      <c r="XEU102" s="42"/>
      <c r="XEV102" s="43">
        <v>0</v>
      </c>
      <c r="XEW102" s="42" t="s">
        <v>48</v>
      </c>
      <c r="XEX102" s="42"/>
      <c r="XEY102" s="42"/>
      <c r="XEZ102" s="42"/>
      <c r="XFA102" s="42"/>
      <c r="XFB102" s="42"/>
      <c r="XFC102" s="42"/>
      <c r="XFD102" s="43">
        <v>0</v>
      </c>
    </row>
    <row r="103" spans="1:16384" customFormat="1" ht="15.75" customHeight="1" x14ac:dyDescent="0.3">
      <c r="A103" s="14" t="s">
        <v>49</v>
      </c>
      <c r="B103" s="44"/>
      <c r="C103" s="38"/>
      <c r="D103" s="14"/>
      <c r="E103" s="14"/>
      <c r="F103" s="14"/>
      <c r="G103" s="14"/>
      <c r="H103" s="179">
        <v>0</v>
      </c>
      <c r="CC103" s="14"/>
      <c r="CD103" s="44"/>
      <c r="CE103" s="38"/>
      <c r="CF103" s="14"/>
      <c r="CG103" s="14"/>
      <c r="CH103" s="14"/>
      <c r="CI103" s="14"/>
      <c r="CJ103" s="36"/>
      <c r="CK103" s="14"/>
      <c r="CL103" s="44"/>
      <c r="CM103" s="38"/>
      <c r="CN103" s="14"/>
      <c r="CO103" s="14"/>
      <c r="CP103" s="14"/>
      <c r="CQ103" s="14"/>
      <c r="CR103" s="36"/>
      <c r="CS103" s="14"/>
      <c r="CT103" s="44"/>
      <c r="CU103" s="38"/>
      <c r="CV103" s="14"/>
      <c r="CW103" s="14"/>
      <c r="CX103" s="14"/>
      <c r="CY103" s="14"/>
      <c r="CZ103" s="36"/>
      <c r="DA103" s="14"/>
      <c r="DB103" s="44"/>
      <c r="DC103" s="38"/>
      <c r="DD103" s="14"/>
      <c r="DE103" s="14"/>
      <c r="DF103" s="14"/>
      <c r="DG103" s="14"/>
      <c r="DH103" s="36"/>
      <c r="DI103" s="14"/>
      <c r="DJ103" s="44"/>
      <c r="DK103" s="38"/>
      <c r="DL103" s="14"/>
      <c r="DM103" s="14"/>
      <c r="DN103" s="14"/>
      <c r="DO103" s="14"/>
      <c r="DP103" s="36"/>
      <c r="DQ103" s="14"/>
      <c r="DR103" s="44"/>
      <c r="DS103" s="38"/>
      <c r="DT103" s="14"/>
      <c r="DU103" s="14"/>
      <c r="DV103" s="14"/>
      <c r="DW103" s="14"/>
      <c r="DX103" s="36"/>
      <c r="DY103" s="14"/>
      <c r="DZ103" s="44"/>
      <c r="EA103" s="38"/>
      <c r="EB103" s="14"/>
      <c r="EC103" s="14"/>
      <c r="ED103" s="14"/>
      <c r="EE103" s="14"/>
      <c r="EF103" s="36"/>
      <c r="EG103" s="14"/>
      <c r="EH103" s="44"/>
      <c r="EI103" s="38"/>
      <c r="EJ103" s="14"/>
      <c r="EK103" s="14"/>
      <c r="EL103" s="14"/>
      <c r="EM103" s="14"/>
      <c r="EN103" s="36"/>
      <c r="EO103" s="14"/>
      <c r="EP103" s="44"/>
      <c r="EQ103" s="38"/>
      <c r="ER103" s="14"/>
      <c r="ES103" s="14"/>
      <c r="ET103" s="14"/>
      <c r="EU103" s="14"/>
      <c r="EV103" s="36"/>
      <c r="EW103" s="14"/>
      <c r="EX103" s="44"/>
      <c r="EY103" s="38"/>
      <c r="EZ103" s="14"/>
      <c r="FA103" s="14"/>
      <c r="FB103" s="14"/>
      <c r="FC103" s="14"/>
      <c r="FD103" s="36"/>
      <c r="FE103" s="14"/>
      <c r="FF103" s="44"/>
      <c r="FG103" s="38"/>
      <c r="FH103" s="14"/>
      <c r="FI103" s="14"/>
      <c r="FJ103" s="14"/>
      <c r="FK103" s="14"/>
      <c r="FL103" s="36"/>
      <c r="FM103" s="14"/>
      <c r="FN103" s="44"/>
      <c r="FO103" s="38"/>
      <c r="FP103" s="14"/>
      <c r="FQ103" s="14"/>
      <c r="FR103" s="14"/>
      <c r="FS103" s="14"/>
      <c r="FT103" s="36"/>
      <c r="FU103" s="14"/>
      <c r="FV103" s="44"/>
      <c r="FW103" s="38"/>
      <c r="FX103" s="14"/>
      <c r="FY103" s="14"/>
      <c r="FZ103" s="14"/>
      <c r="GA103" s="14"/>
      <c r="GB103" s="36"/>
      <c r="GC103" s="14"/>
      <c r="GD103" s="44"/>
      <c r="GE103" s="38"/>
      <c r="GF103" s="14"/>
      <c r="GG103" s="14"/>
      <c r="GH103" s="14"/>
      <c r="GI103" s="14"/>
      <c r="GJ103" s="36"/>
      <c r="GK103" s="14"/>
      <c r="GL103" s="44"/>
      <c r="GM103" s="38"/>
      <c r="GN103" s="14"/>
      <c r="GO103" s="14"/>
      <c r="GP103" s="14"/>
      <c r="GQ103" s="14"/>
      <c r="GR103" s="36"/>
      <c r="GS103" s="14"/>
      <c r="GT103" s="44"/>
      <c r="GU103" s="38"/>
      <c r="GV103" s="14"/>
      <c r="GW103" s="14"/>
      <c r="GX103" s="14"/>
      <c r="GY103" s="14"/>
      <c r="GZ103" s="36"/>
      <c r="HA103" s="14"/>
      <c r="HB103" s="44"/>
      <c r="HC103" s="38"/>
      <c r="HD103" s="14"/>
      <c r="HE103" s="14"/>
      <c r="HF103" s="14"/>
      <c r="HG103" s="14"/>
      <c r="HH103" s="36"/>
      <c r="HI103" s="14"/>
      <c r="HJ103" s="44"/>
      <c r="HK103" s="38"/>
      <c r="HL103" s="14"/>
      <c r="HM103" s="14"/>
      <c r="HN103" s="14"/>
      <c r="HO103" s="14"/>
      <c r="HP103" s="36"/>
      <c r="HQ103" s="14"/>
      <c r="HR103" s="44"/>
      <c r="HS103" s="38"/>
      <c r="HT103" s="14"/>
      <c r="HU103" s="14"/>
      <c r="HV103" s="14"/>
      <c r="HW103" s="14"/>
      <c r="HX103" s="36"/>
      <c r="HY103" s="14"/>
      <c r="HZ103" s="44"/>
      <c r="IA103" s="38"/>
      <c r="IB103" s="14"/>
      <c r="IC103" s="14"/>
      <c r="ID103" s="14"/>
      <c r="IE103" s="14"/>
      <c r="IF103" s="36"/>
      <c r="IG103" s="14"/>
      <c r="IH103" s="44"/>
      <c r="II103" s="38"/>
      <c r="IJ103" s="14"/>
      <c r="IK103" s="14"/>
      <c r="IL103" s="14"/>
      <c r="IM103" s="14"/>
      <c r="IN103" s="36"/>
      <c r="IO103" s="14"/>
      <c r="IP103" s="44"/>
      <c r="IQ103" s="38"/>
      <c r="IR103" s="14"/>
      <c r="IS103" s="14"/>
      <c r="IT103" s="14"/>
      <c r="IU103" s="14"/>
      <c r="IV103" s="36"/>
      <c r="IW103" s="14"/>
      <c r="IX103" s="44"/>
      <c r="IY103" s="38"/>
      <c r="IZ103" s="14"/>
      <c r="JA103" s="14"/>
      <c r="JB103" s="14"/>
      <c r="JC103" s="14"/>
      <c r="JD103" s="36"/>
      <c r="JE103" s="14"/>
      <c r="JF103" s="44"/>
      <c r="JG103" s="38"/>
      <c r="JH103" s="14"/>
      <c r="JI103" s="14"/>
      <c r="JJ103" s="14"/>
      <c r="JK103" s="14"/>
      <c r="JL103" s="36"/>
      <c r="JM103" s="14"/>
      <c r="JN103" s="44"/>
      <c r="JO103" s="38"/>
      <c r="JP103" s="14"/>
      <c r="JQ103" s="14"/>
      <c r="JR103" s="14"/>
      <c r="JS103" s="14"/>
      <c r="JT103" s="36"/>
      <c r="JU103" s="14"/>
      <c r="JV103" s="44"/>
      <c r="JW103" s="38"/>
      <c r="JX103" s="14"/>
      <c r="JY103" s="14"/>
      <c r="JZ103" s="14"/>
      <c r="KA103" s="14"/>
      <c r="KB103" s="36"/>
      <c r="KC103" s="14"/>
      <c r="KD103" s="44"/>
      <c r="KE103" s="38"/>
      <c r="KF103" s="14"/>
      <c r="KG103" s="14"/>
      <c r="KH103" s="14"/>
      <c r="KI103" s="14"/>
      <c r="KJ103" s="36"/>
      <c r="KK103" s="14"/>
      <c r="KL103" s="44"/>
      <c r="KM103" s="38"/>
      <c r="KN103" s="14"/>
      <c r="KO103" s="14"/>
      <c r="KP103" s="14"/>
      <c r="KQ103" s="14"/>
      <c r="KR103" s="36"/>
      <c r="KS103" s="14"/>
      <c r="KT103" s="44"/>
      <c r="KU103" s="38"/>
      <c r="KV103" s="14"/>
      <c r="KW103" s="14"/>
      <c r="KX103" s="14"/>
      <c r="KY103" s="14"/>
      <c r="KZ103" s="36"/>
      <c r="LA103" s="14"/>
      <c r="LB103" s="44"/>
      <c r="LC103" s="38"/>
      <c r="LD103" s="14"/>
      <c r="LE103" s="14"/>
      <c r="LF103" s="14"/>
      <c r="LG103" s="14"/>
      <c r="LH103" s="36"/>
      <c r="LI103" s="14"/>
      <c r="LJ103" s="44"/>
      <c r="LK103" s="38"/>
      <c r="LL103" s="14"/>
      <c r="LM103" s="14"/>
      <c r="LN103" s="14"/>
      <c r="LO103" s="14"/>
      <c r="LP103" s="36"/>
      <c r="LQ103" s="14"/>
      <c r="LR103" s="44"/>
      <c r="LS103" s="38"/>
      <c r="LT103" s="14"/>
      <c r="LU103" s="14"/>
      <c r="LV103" s="14"/>
      <c r="LW103" s="14"/>
      <c r="LX103" s="36"/>
      <c r="LY103" s="14"/>
      <c r="LZ103" s="44"/>
      <c r="MA103" s="38"/>
      <c r="MB103" s="14"/>
      <c r="MC103" s="14"/>
      <c r="MD103" s="14"/>
      <c r="ME103" s="14"/>
      <c r="MF103" s="36"/>
      <c r="MG103" s="14"/>
      <c r="MH103" s="44"/>
      <c r="MI103" s="38"/>
      <c r="MJ103" s="14"/>
      <c r="MK103" s="14"/>
      <c r="ML103" s="14"/>
      <c r="MM103" s="14"/>
      <c r="MN103" s="36"/>
      <c r="MO103" s="14"/>
      <c r="MP103" s="44"/>
      <c r="MQ103" s="38"/>
      <c r="MR103" s="14"/>
      <c r="MS103" s="14"/>
      <c r="MT103" s="14"/>
      <c r="MU103" s="14"/>
      <c r="MV103" s="36"/>
      <c r="MW103" s="14"/>
      <c r="MX103" s="44"/>
      <c r="MY103" s="38"/>
      <c r="MZ103" s="14"/>
      <c r="NA103" s="14"/>
      <c r="NB103" s="14"/>
      <c r="NC103" s="14"/>
      <c r="ND103" s="36"/>
      <c r="NE103" s="14"/>
      <c r="NF103" s="44"/>
      <c r="NG103" s="38"/>
      <c r="NH103" s="14"/>
      <c r="NI103" s="14"/>
      <c r="NJ103" s="14"/>
      <c r="NK103" s="14"/>
      <c r="NL103" s="36"/>
      <c r="NM103" s="14"/>
      <c r="NN103" s="44"/>
      <c r="NO103" s="38"/>
      <c r="NP103" s="14"/>
      <c r="NQ103" s="14"/>
      <c r="NR103" s="14"/>
      <c r="NS103" s="14"/>
      <c r="NT103" s="36"/>
      <c r="NU103" s="14"/>
      <c r="NV103" s="44"/>
      <c r="NW103" s="38"/>
      <c r="NX103" s="14"/>
      <c r="NY103" s="14"/>
      <c r="NZ103" s="14"/>
      <c r="OA103" s="14"/>
      <c r="OB103" s="36"/>
      <c r="OC103" s="14"/>
      <c r="OD103" s="44"/>
      <c r="OE103" s="38"/>
      <c r="OF103" s="14"/>
      <c r="OG103" s="14"/>
      <c r="OH103" s="14"/>
      <c r="OI103" s="14"/>
      <c r="OJ103" s="36"/>
      <c r="OK103" s="14"/>
      <c r="OL103" s="44"/>
      <c r="OM103" s="38"/>
      <c r="ON103" s="14"/>
      <c r="OO103" s="14"/>
      <c r="OP103" s="14"/>
      <c r="OQ103" s="14"/>
      <c r="OR103" s="36"/>
      <c r="OS103" s="14"/>
      <c r="OT103" s="44"/>
      <c r="OU103" s="38"/>
      <c r="OV103" s="14"/>
      <c r="OW103" s="14"/>
      <c r="OX103" s="14"/>
      <c r="OY103" s="14"/>
      <c r="OZ103" s="36"/>
      <c r="PA103" s="14"/>
      <c r="PB103" s="44"/>
      <c r="PC103" s="38"/>
      <c r="PD103" s="14"/>
      <c r="PE103" s="14"/>
      <c r="PF103" s="14"/>
      <c r="PG103" s="14"/>
      <c r="PH103" s="36"/>
      <c r="PI103" s="14"/>
      <c r="PJ103" s="44"/>
      <c r="PK103" s="38"/>
      <c r="PL103" s="14"/>
      <c r="PM103" s="14"/>
      <c r="PN103" s="14"/>
      <c r="PO103" s="14"/>
      <c r="PP103" s="36"/>
      <c r="PQ103" s="14"/>
      <c r="PR103" s="44"/>
      <c r="PS103" s="38"/>
      <c r="PT103" s="14"/>
      <c r="PU103" s="14"/>
      <c r="PV103" s="14"/>
      <c r="PW103" s="14"/>
      <c r="PX103" s="36"/>
      <c r="PY103" s="14"/>
      <c r="PZ103" s="44"/>
      <c r="QA103" s="38"/>
      <c r="QB103" s="14"/>
      <c r="QC103" s="14"/>
      <c r="QD103" s="14"/>
      <c r="QE103" s="14"/>
      <c r="QF103" s="36"/>
      <c r="QG103" s="14"/>
      <c r="QH103" s="44"/>
      <c r="QI103" s="38"/>
      <c r="QJ103" s="14"/>
      <c r="QK103" s="14"/>
      <c r="QL103" s="14"/>
      <c r="QM103" s="14"/>
      <c r="QN103" s="36"/>
      <c r="QO103" s="14"/>
      <c r="QP103" s="44"/>
      <c r="QQ103" s="38"/>
      <c r="QR103" s="14"/>
      <c r="QS103" s="14"/>
      <c r="QT103" s="14"/>
      <c r="QU103" s="14"/>
      <c r="QV103" s="36"/>
      <c r="QW103" s="14"/>
      <c r="QX103" s="44"/>
      <c r="QY103" s="38"/>
      <c r="QZ103" s="14"/>
      <c r="RA103" s="14"/>
      <c r="RB103" s="14"/>
      <c r="RC103" s="14"/>
      <c r="RD103" s="36"/>
      <c r="RE103" s="14"/>
      <c r="RF103" s="44"/>
      <c r="RG103" s="38"/>
      <c r="RH103" s="14"/>
      <c r="RI103" s="14"/>
      <c r="RJ103" s="14"/>
      <c r="RK103" s="14"/>
      <c r="RL103" s="36"/>
      <c r="RM103" s="14"/>
      <c r="RN103" s="44"/>
      <c r="RO103" s="38"/>
      <c r="RP103" s="14"/>
      <c r="RQ103" s="14"/>
      <c r="RR103" s="14"/>
      <c r="RS103" s="14"/>
      <c r="RT103" s="36"/>
      <c r="RU103" s="14"/>
      <c r="RV103" s="44"/>
      <c r="RW103" s="38"/>
      <c r="RX103" s="14"/>
      <c r="RY103" s="14"/>
      <c r="RZ103" s="14"/>
      <c r="SA103" s="14"/>
      <c r="SB103" s="36"/>
      <c r="SC103" s="14"/>
      <c r="SD103" s="44"/>
      <c r="SE103" s="38"/>
      <c r="SF103" s="14"/>
      <c r="SG103" s="14"/>
      <c r="SH103" s="14"/>
      <c r="SI103" s="14"/>
      <c r="SJ103" s="36"/>
      <c r="SK103" s="14"/>
      <c r="SL103" s="44"/>
      <c r="SM103" s="38"/>
      <c r="SN103" s="14"/>
      <c r="SO103" s="14"/>
      <c r="SP103" s="14"/>
      <c r="SQ103" s="14"/>
      <c r="SR103" s="36"/>
      <c r="SS103" s="14"/>
      <c r="ST103" s="44"/>
      <c r="SU103" s="38"/>
      <c r="SV103" s="14"/>
      <c r="SW103" s="14"/>
      <c r="SX103" s="14"/>
      <c r="SY103" s="14"/>
      <c r="SZ103" s="36"/>
      <c r="TA103" s="14"/>
      <c r="TB103" s="44"/>
      <c r="TC103" s="38"/>
      <c r="TD103" s="14"/>
      <c r="TE103" s="14"/>
      <c r="TF103" s="14"/>
      <c r="TG103" s="14"/>
      <c r="TH103" s="36"/>
      <c r="TI103" s="14"/>
      <c r="TJ103" s="44"/>
      <c r="TK103" s="38"/>
      <c r="TL103" s="14"/>
      <c r="TM103" s="14"/>
      <c r="TN103" s="14"/>
      <c r="TO103" s="14"/>
      <c r="TP103" s="36"/>
      <c r="TQ103" s="14"/>
      <c r="TR103" s="44"/>
      <c r="TS103" s="38"/>
      <c r="TT103" s="14"/>
      <c r="TU103" s="14"/>
      <c r="TV103" s="14"/>
      <c r="TW103" s="14"/>
      <c r="TX103" s="36"/>
      <c r="TY103" s="14"/>
      <c r="TZ103" s="44"/>
      <c r="UA103" s="38"/>
      <c r="UB103" s="14"/>
      <c r="UC103" s="14"/>
      <c r="UD103" s="14"/>
      <c r="UE103" s="14"/>
      <c r="UF103" s="36"/>
      <c r="UG103" s="14"/>
      <c r="UH103" s="44"/>
      <c r="UI103" s="38"/>
      <c r="UJ103" s="14"/>
      <c r="UK103" s="14"/>
      <c r="UL103" s="14"/>
      <c r="UM103" s="14"/>
      <c r="UN103" s="36"/>
      <c r="UO103" s="14"/>
      <c r="UP103" s="44"/>
      <c r="UQ103" s="38"/>
      <c r="UR103" s="14"/>
      <c r="US103" s="14"/>
      <c r="UT103" s="14"/>
      <c r="UU103" s="14"/>
      <c r="UV103" s="36"/>
      <c r="UW103" s="14"/>
      <c r="UX103" s="44"/>
      <c r="UY103" s="38"/>
      <c r="UZ103" s="14"/>
      <c r="VA103" s="14"/>
      <c r="VB103" s="14"/>
      <c r="VC103" s="14"/>
      <c r="VD103" s="36"/>
      <c r="VE103" s="14"/>
      <c r="VF103" s="44"/>
      <c r="VG103" s="38"/>
      <c r="VH103" s="14"/>
      <c r="VI103" s="14"/>
      <c r="VJ103" s="14"/>
      <c r="VK103" s="14"/>
      <c r="VL103" s="36"/>
      <c r="VM103" s="14"/>
      <c r="VN103" s="44"/>
      <c r="VO103" s="38"/>
      <c r="VP103" s="14"/>
      <c r="VQ103" s="14"/>
      <c r="VR103" s="14"/>
      <c r="VS103" s="14"/>
      <c r="VT103" s="36"/>
      <c r="VU103" s="14"/>
      <c r="VV103" s="44"/>
      <c r="VW103" s="38"/>
      <c r="VX103" s="14"/>
      <c r="VY103" s="14"/>
      <c r="VZ103" s="14"/>
      <c r="WA103" s="14"/>
      <c r="WB103" s="36"/>
      <c r="WC103" s="14"/>
      <c r="WD103" s="44"/>
      <c r="WE103" s="38"/>
      <c r="WF103" s="14"/>
      <c r="WG103" s="14"/>
      <c r="WH103" s="14"/>
      <c r="WI103" s="14"/>
      <c r="WJ103" s="36"/>
      <c r="WK103" s="14"/>
      <c r="WL103" s="44"/>
      <c r="WM103" s="38"/>
      <c r="WN103" s="14"/>
      <c r="WO103" s="14"/>
      <c r="WP103" s="14"/>
      <c r="WQ103" s="14"/>
      <c r="WR103" s="36"/>
      <c r="WS103" s="14"/>
      <c r="WT103" s="44"/>
      <c r="WU103" s="38"/>
      <c r="WV103" s="14"/>
      <c r="WW103" s="14"/>
      <c r="WX103" s="14"/>
      <c r="WY103" s="14"/>
      <c r="WZ103" s="36"/>
      <c r="XA103" s="14"/>
      <c r="XB103" s="44"/>
      <c r="XC103" s="38"/>
      <c r="XD103" s="14"/>
      <c r="XE103" s="14"/>
      <c r="XF103" s="14"/>
      <c r="XG103" s="14"/>
      <c r="XH103" s="36"/>
      <c r="XI103" s="14"/>
      <c r="XJ103" s="44"/>
      <c r="XK103" s="38"/>
      <c r="XL103" s="14"/>
      <c r="XM103" s="14"/>
      <c r="XN103" s="14"/>
      <c r="XO103" s="14"/>
      <c r="XP103" s="36"/>
      <c r="XQ103" s="14"/>
      <c r="XR103" s="44"/>
      <c r="XS103" s="38"/>
      <c r="XT103" s="14"/>
      <c r="XU103" s="14"/>
      <c r="XV103" s="14"/>
      <c r="XW103" s="14"/>
      <c r="XX103" s="36"/>
      <c r="XY103" s="14"/>
      <c r="XZ103" s="44"/>
      <c r="YA103" s="38"/>
      <c r="YB103" s="14"/>
      <c r="YC103" s="14"/>
      <c r="YD103" s="14"/>
      <c r="YE103" s="14"/>
      <c r="YF103" s="36"/>
      <c r="YG103" s="14"/>
      <c r="YH103" s="44"/>
      <c r="YI103" s="38"/>
      <c r="YJ103" s="14"/>
      <c r="YK103" s="14"/>
      <c r="YL103" s="14"/>
      <c r="YM103" s="14"/>
      <c r="YN103" s="36"/>
      <c r="YO103" s="14"/>
      <c r="YP103" s="44"/>
      <c r="YQ103" s="38"/>
      <c r="YR103" s="14"/>
      <c r="YS103" s="14"/>
      <c r="YT103" s="14"/>
      <c r="YU103" s="14"/>
      <c r="YV103" s="36"/>
      <c r="YW103" s="14"/>
      <c r="YX103" s="44"/>
      <c r="YY103" s="38"/>
      <c r="YZ103" s="14"/>
      <c r="ZA103" s="14"/>
      <c r="ZB103" s="14"/>
      <c r="ZC103" s="14"/>
      <c r="ZD103" s="36"/>
      <c r="ZE103" s="14"/>
      <c r="ZF103" s="44"/>
      <c r="ZG103" s="38"/>
      <c r="ZH103" s="14"/>
      <c r="ZI103" s="14"/>
      <c r="ZJ103" s="14"/>
      <c r="ZK103" s="14"/>
      <c r="ZL103" s="36"/>
      <c r="ZM103" s="14"/>
      <c r="ZN103" s="44"/>
      <c r="ZO103" s="38"/>
      <c r="ZP103" s="14"/>
      <c r="ZQ103" s="14"/>
      <c r="ZR103" s="14"/>
      <c r="ZS103" s="14"/>
      <c r="ZT103" s="36"/>
      <c r="ZU103" s="14"/>
      <c r="ZV103" s="44"/>
      <c r="ZW103" s="38"/>
      <c r="ZX103" s="14"/>
      <c r="ZY103" s="14"/>
      <c r="ZZ103" s="14"/>
      <c r="AAA103" s="14"/>
      <c r="AAB103" s="36"/>
      <c r="AAC103" s="14"/>
      <c r="AAD103" s="44"/>
      <c r="AAE103" s="38"/>
      <c r="AAF103" s="14"/>
      <c r="AAG103" s="14"/>
      <c r="AAH103" s="14"/>
      <c r="AAI103" s="14"/>
      <c r="AAJ103" s="36"/>
      <c r="AAK103" s="14"/>
      <c r="AAL103" s="44"/>
      <c r="AAM103" s="38"/>
      <c r="AAN103" s="14"/>
      <c r="AAO103" s="14"/>
      <c r="AAP103" s="14"/>
      <c r="AAQ103" s="14"/>
      <c r="AAR103" s="36"/>
      <c r="AAS103" s="14"/>
      <c r="AAT103" s="44"/>
      <c r="AAU103" s="38"/>
      <c r="AAV103" s="14"/>
      <c r="AAW103" s="14"/>
      <c r="AAX103" s="14"/>
      <c r="AAY103" s="14"/>
      <c r="AAZ103" s="36"/>
      <c r="ABA103" s="14"/>
      <c r="ABB103" s="44"/>
      <c r="ABC103" s="38"/>
      <c r="ABD103" s="14"/>
      <c r="ABE103" s="14"/>
      <c r="ABF103" s="14"/>
      <c r="ABG103" s="14"/>
      <c r="ABH103" s="36"/>
      <c r="ABI103" s="14"/>
      <c r="ABJ103" s="44"/>
      <c r="ABK103" s="38"/>
      <c r="ABL103" s="14"/>
      <c r="ABM103" s="14"/>
      <c r="ABN103" s="14"/>
      <c r="ABO103" s="14"/>
      <c r="ABP103" s="36"/>
      <c r="ABQ103" s="14"/>
      <c r="ABR103" s="44"/>
      <c r="ABS103" s="38"/>
      <c r="ABT103" s="14"/>
      <c r="ABU103" s="14"/>
      <c r="ABV103" s="14"/>
      <c r="ABW103" s="14"/>
      <c r="ABX103" s="36"/>
      <c r="ABY103" s="14"/>
      <c r="ABZ103" s="44"/>
      <c r="ACA103" s="38"/>
      <c r="ACB103" s="14"/>
      <c r="ACC103" s="14"/>
      <c r="ACD103" s="14"/>
      <c r="ACE103" s="14"/>
      <c r="ACF103" s="36"/>
      <c r="ACG103" s="14"/>
      <c r="ACH103" s="44"/>
      <c r="ACI103" s="38"/>
      <c r="ACJ103" s="14"/>
      <c r="ACK103" s="14"/>
      <c r="ACL103" s="14"/>
      <c r="ACM103" s="14"/>
      <c r="ACN103" s="36"/>
      <c r="ACO103" s="14"/>
      <c r="ACP103" s="44"/>
      <c r="ACQ103" s="38"/>
      <c r="ACR103" s="14"/>
      <c r="ACS103" s="14"/>
      <c r="ACT103" s="14"/>
      <c r="ACU103" s="14"/>
      <c r="ACV103" s="36"/>
      <c r="ACW103" s="14"/>
      <c r="ACX103" s="44"/>
      <c r="ACY103" s="38"/>
      <c r="ACZ103" s="14"/>
      <c r="ADA103" s="14"/>
      <c r="ADB103" s="14"/>
      <c r="ADC103" s="14"/>
      <c r="ADD103" s="36"/>
      <c r="ADE103" s="14"/>
      <c r="ADF103" s="44"/>
      <c r="ADG103" s="38"/>
      <c r="ADH103" s="14"/>
      <c r="ADI103" s="14"/>
      <c r="ADJ103" s="14"/>
      <c r="ADK103" s="14"/>
      <c r="ADL103" s="36"/>
      <c r="ADM103" s="14"/>
      <c r="ADN103" s="44"/>
      <c r="ADO103" s="38"/>
      <c r="ADP103" s="14"/>
      <c r="ADQ103" s="14"/>
      <c r="ADR103" s="14"/>
      <c r="ADS103" s="14"/>
      <c r="ADT103" s="36"/>
      <c r="ADU103" s="14"/>
      <c r="ADV103" s="44"/>
      <c r="ADW103" s="38"/>
      <c r="ADX103" s="14"/>
      <c r="ADY103" s="14"/>
      <c r="ADZ103" s="14"/>
      <c r="AEA103" s="14"/>
      <c r="AEB103" s="36"/>
      <c r="AEC103" s="14"/>
      <c r="AED103" s="44"/>
      <c r="AEE103" s="38"/>
      <c r="AEF103" s="14"/>
      <c r="AEG103" s="14"/>
      <c r="AEH103" s="14"/>
      <c r="AEI103" s="14"/>
      <c r="AEJ103" s="36"/>
      <c r="AEK103" s="14"/>
      <c r="AEL103" s="44"/>
      <c r="AEM103" s="38"/>
      <c r="AEN103" s="14"/>
      <c r="AEO103" s="14"/>
      <c r="AEP103" s="14"/>
      <c r="AEQ103" s="14"/>
      <c r="AER103" s="36"/>
      <c r="AES103" s="14"/>
      <c r="AET103" s="44"/>
      <c r="AEU103" s="38"/>
      <c r="AEV103" s="14"/>
      <c r="AEW103" s="14"/>
      <c r="AEX103" s="14"/>
      <c r="AEY103" s="14"/>
      <c r="AEZ103" s="36"/>
      <c r="AFA103" s="14"/>
      <c r="AFB103" s="44"/>
      <c r="AFC103" s="38"/>
      <c r="AFD103" s="14"/>
      <c r="AFE103" s="14"/>
      <c r="AFF103" s="14"/>
      <c r="AFG103" s="14"/>
      <c r="AFH103" s="36"/>
      <c r="AFI103" s="14"/>
      <c r="AFJ103" s="44"/>
      <c r="AFK103" s="38"/>
      <c r="AFL103" s="14"/>
      <c r="AFM103" s="14"/>
      <c r="AFN103" s="14"/>
      <c r="AFO103" s="14"/>
      <c r="AFP103" s="36"/>
      <c r="AFQ103" s="14"/>
      <c r="AFR103" s="44"/>
      <c r="AFS103" s="38"/>
      <c r="AFT103" s="14"/>
      <c r="AFU103" s="14"/>
      <c r="AFV103" s="14"/>
      <c r="AFW103" s="14"/>
      <c r="AFX103" s="36"/>
      <c r="AFY103" s="14"/>
      <c r="AFZ103" s="44"/>
      <c r="AGA103" s="38"/>
      <c r="AGB103" s="14"/>
      <c r="AGC103" s="14"/>
      <c r="AGD103" s="14"/>
      <c r="AGE103" s="14"/>
      <c r="AGF103" s="36"/>
      <c r="AGG103" s="14"/>
      <c r="AGH103" s="44"/>
      <c r="AGI103" s="38"/>
      <c r="AGJ103" s="14"/>
      <c r="AGK103" s="14"/>
      <c r="AGL103" s="14"/>
      <c r="AGM103" s="14"/>
      <c r="AGN103" s="36"/>
      <c r="AGO103" s="14"/>
      <c r="AGP103" s="44"/>
      <c r="AGQ103" s="38"/>
      <c r="AGR103" s="14"/>
      <c r="AGS103" s="14"/>
      <c r="AGT103" s="14"/>
      <c r="AGU103" s="14"/>
      <c r="AGV103" s="36"/>
      <c r="AGW103" s="14"/>
      <c r="AGX103" s="44"/>
      <c r="AGY103" s="38"/>
      <c r="AGZ103" s="14"/>
      <c r="AHA103" s="14"/>
      <c r="AHB103" s="14"/>
      <c r="AHC103" s="14"/>
      <c r="AHD103" s="36"/>
      <c r="AHE103" s="14"/>
      <c r="AHF103" s="44"/>
      <c r="AHG103" s="38"/>
      <c r="AHH103" s="14"/>
      <c r="AHI103" s="14"/>
      <c r="AHJ103" s="14"/>
      <c r="AHK103" s="14"/>
      <c r="AHL103" s="36"/>
      <c r="AHM103" s="14"/>
      <c r="AHN103" s="44"/>
      <c r="AHO103" s="38"/>
      <c r="AHP103" s="14"/>
      <c r="AHQ103" s="14"/>
      <c r="AHR103" s="14"/>
      <c r="AHS103" s="14"/>
      <c r="AHT103" s="36"/>
      <c r="AHU103" s="14"/>
      <c r="AHV103" s="44"/>
      <c r="AHW103" s="38"/>
      <c r="AHX103" s="14"/>
      <c r="AHY103" s="14"/>
      <c r="AHZ103" s="14"/>
      <c r="AIA103" s="14"/>
      <c r="AIB103" s="36"/>
      <c r="AIC103" s="14"/>
      <c r="AID103" s="44"/>
      <c r="AIE103" s="38"/>
      <c r="AIF103" s="14"/>
      <c r="AIG103" s="14"/>
      <c r="AIH103" s="14"/>
      <c r="AII103" s="14"/>
      <c r="AIJ103" s="36"/>
      <c r="AIK103" s="14"/>
      <c r="AIL103" s="44"/>
      <c r="AIM103" s="38"/>
      <c r="AIN103" s="14"/>
      <c r="AIO103" s="14"/>
      <c r="AIP103" s="14"/>
      <c r="AIQ103" s="14"/>
      <c r="AIR103" s="36"/>
      <c r="AIS103" s="14"/>
      <c r="AIT103" s="44"/>
      <c r="AIU103" s="38"/>
      <c r="AIV103" s="14"/>
      <c r="AIW103" s="14"/>
      <c r="AIX103" s="14"/>
      <c r="AIY103" s="14"/>
      <c r="AIZ103" s="36"/>
      <c r="AJA103" s="14"/>
      <c r="AJB103" s="44"/>
      <c r="AJC103" s="38"/>
      <c r="AJD103" s="14"/>
      <c r="AJE103" s="14"/>
      <c r="AJF103" s="14"/>
      <c r="AJG103" s="14"/>
      <c r="AJH103" s="36"/>
      <c r="AJI103" s="14"/>
      <c r="AJJ103" s="44"/>
      <c r="AJK103" s="38"/>
      <c r="AJL103" s="14"/>
      <c r="AJM103" s="14"/>
      <c r="AJN103" s="14"/>
      <c r="AJO103" s="14"/>
      <c r="AJP103" s="36"/>
      <c r="AJQ103" s="14"/>
      <c r="AJR103" s="44"/>
      <c r="AJS103" s="38"/>
      <c r="AJT103" s="14"/>
      <c r="AJU103" s="14"/>
      <c r="AJV103" s="14"/>
      <c r="AJW103" s="14"/>
      <c r="AJX103" s="36"/>
      <c r="AJY103" s="14"/>
      <c r="AJZ103" s="44"/>
      <c r="AKA103" s="38"/>
      <c r="AKB103" s="14"/>
      <c r="AKC103" s="14"/>
      <c r="AKD103" s="14"/>
      <c r="AKE103" s="14"/>
      <c r="AKF103" s="36"/>
      <c r="AKG103" s="14"/>
      <c r="AKH103" s="44"/>
      <c r="AKI103" s="38"/>
      <c r="AKJ103" s="14"/>
      <c r="AKK103" s="14"/>
      <c r="AKL103" s="14"/>
      <c r="AKM103" s="14"/>
      <c r="AKN103" s="36"/>
      <c r="AKO103" s="14"/>
      <c r="AKP103" s="44"/>
      <c r="AKQ103" s="38"/>
      <c r="AKR103" s="14"/>
      <c r="AKS103" s="14"/>
      <c r="AKT103" s="14"/>
      <c r="AKU103" s="14"/>
      <c r="AKV103" s="36"/>
      <c r="AKW103" s="14"/>
      <c r="AKX103" s="44"/>
      <c r="AKY103" s="38"/>
      <c r="AKZ103" s="14"/>
      <c r="ALA103" s="14"/>
      <c r="ALB103" s="14"/>
      <c r="ALC103" s="14"/>
      <c r="ALD103" s="36"/>
      <c r="ALE103" s="14"/>
      <c r="ALF103" s="44"/>
      <c r="ALG103" s="38"/>
      <c r="ALH103" s="14"/>
      <c r="ALI103" s="14"/>
      <c r="ALJ103" s="14"/>
      <c r="ALK103" s="14"/>
      <c r="ALL103" s="36"/>
      <c r="ALM103" s="14"/>
      <c r="ALN103" s="44"/>
      <c r="ALO103" s="38"/>
      <c r="ALP103" s="14"/>
      <c r="ALQ103" s="14"/>
      <c r="ALR103" s="14"/>
      <c r="ALS103" s="14"/>
      <c r="ALT103" s="36"/>
      <c r="ALU103" s="14"/>
      <c r="ALV103" s="44"/>
      <c r="ALW103" s="38"/>
      <c r="ALX103" s="14"/>
      <c r="ALY103" s="14"/>
      <c r="ALZ103" s="14"/>
      <c r="AMA103" s="14"/>
      <c r="AMB103" s="36"/>
      <c r="AMC103" s="14"/>
      <c r="AMD103" s="44"/>
      <c r="AME103" s="38"/>
      <c r="AMF103" s="14"/>
      <c r="AMG103" s="14"/>
      <c r="AMH103" s="14"/>
      <c r="AMI103" s="14"/>
      <c r="AMJ103" s="36"/>
      <c r="AMK103" s="14"/>
      <c r="AML103" s="44"/>
      <c r="AMM103" s="38"/>
      <c r="AMN103" s="14"/>
      <c r="AMO103" s="14"/>
      <c r="AMP103" s="14"/>
      <c r="AMQ103" s="14"/>
      <c r="AMR103" s="36"/>
      <c r="AMS103" s="14"/>
      <c r="AMT103" s="44"/>
      <c r="AMU103" s="38"/>
      <c r="AMV103" s="14"/>
      <c r="AMW103" s="14"/>
      <c r="AMX103" s="14"/>
      <c r="AMY103" s="14"/>
      <c r="AMZ103" s="36"/>
      <c r="ANA103" s="14"/>
      <c r="ANB103" s="44"/>
      <c r="ANC103" s="38"/>
      <c r="AND103" s="14"/>
      <c r="ANE103" s="14"/>
      <c r="ANF103" s="14"/>
      <c r="ANG103" s="14"/>
      <c r="ANH103" s="36"/>
      <c r="ANI103" s="14"/>
      <c r="ANJ103" s="44"/>
      <c r="ANK103" s="38"/>
      <c r="ANL103" s="14"/>
      <c r="ANM103" s="14"/>
      <c r="ANN103" s="14"/>
      <c r="ANO103" s="14"/>
      <c r="ANP103" s="36"/>
      <c r="ANQ103" s="14"/>
      <c r="ANR103" s="44"/>
      <c r="ANS103" s="38"/>
      <c r="ANT103" s="14"/>
      <c r="ANU103" s="14"/>
      <c r="ANV103" s="14"/>
      <c r="ANW103" s="14"/>
      <c r="ANX103" s="36"/>
      <c r="ANY103" s="14"/>
      <c r="ANZ103" s="44"/>
      <c r="AOA103" s="38"/>
      <c r="AOB103" s="14"/>
      <c r="AOC103" s="14"/>
      <c r="AOD103" s="14"/>
      <c r="AOE103" s="14"/>
      <c r="AOF103" s="36"/>
      <c r="AOG103" s="14"/>
      <c r="AOH103" s="44"/>
      <c r="AOI103" s="38"/>
      <c r="AOJ103" s="14"/>
      <c r="AOK103" s="14"/>
      <c r="AOL103" s="14"/>
      <c r="AOM103" s="14"/>
      <c r="AON103" s="36"/>
      <c r="AOO103" s="14"/>
      <c r="AOP103" s="44"/>
      <c r="AOQ103" s="38"/>
      <c r="AOR103" s="14"/>
      <c r="AOS103" s="14"/>
      <c r="AOT103" s="14"/>
      <c r="AOU103" s="14"/>
      <c r="AOV103" s="36"/>
      <c r="AOW103" s="14"/>
      <c r="AOX103" s="44"/>
      <c r="AOY103" s="38"/>
      <c r="AOZ103" s="14"/>
      <c r="APA103" s="14"/>
      <c r="APB103" s="14"/>
      <c r="APC103" s="14"/>
      <c r="APD103" s="36"/>
      <c r="APE103" s="14"/>
      <c r="APF103" s="44"/>
      <c r="APG103" s="38"/>
      <c r="APH103" s="14"/>
      <c r="API103" s="14"/>
      <c r="APJ103" s="14"/>
      <c r="APK103" s="14"/>
      <c r="APL103" s="36"/>
      <c r="APM103" s="14"/>
      <c r="APN103" s="44"/>
      <c r="APO103" s="38"/>
      <c r="APP103" s="14"/>
      <c r="APQ103" s="14"/>
      <c r="APR103" s="14"/>
      <c r="APS103" s="14"/>
      <c r="APT103" s="36"/>
      <c r="APU103" s="14"/>
      <c r="APV103" s="44"/>
      <c r="APW103" s="38"/>
      <c r="APX103" s="14"/>
      <c r="APY103" s="14"/>
      <c r="APZ103" s="14"/>
      <c r="AQA103" s="14"/>
      <c r="AQB103" s="36"/>
      <c r="AQC103" s="14"/>
      <c r="AQD103" s="44"/>
      <c r="AQE103" s="38"/>
      <c r="AQF103" s="14"/>
      <c r="AQG103" s="14"/>
      <c r="AQH103" s="14"/>
      <c r="AQI103" s="14"/>
      <c r="AQJ103" s="36"/>
      <c r="AQK103" s="14"/>
      <c r="AQL103" s="44"/>
      <c r="AQM103" s="38"/>
      <c r="AQN103" s="14"/>
      <c r="AQO103" s="14"/>
      <c r="AQP103" s="14"/>
      <c r="AQQ103" s="14"/>
      <c r="AQR103" s="36"/>
      <c r="AQS103" s="14"/>
      <c r="AQT103" s="44"/>
      <c r="AQU103" s="38"/>
      <c r="AQV103" s="14"/>
      <c r="AQW103" s="14"/>
      <c r="AQX103" s="14"/>
      <c r="AQY103" s="14"/>
      <c r="AQZ103" s="36"/>
      <c r="ARA103" s="14"/>
      <c r="ARB103" s="44"/>
      <c r="ARC103" s="38"/>
      <c r="ARD103" s="14"/>
      <c r="ARE103" s="14"/>
      <c r="ARF103" s="14"/>
      <c r="ARG103" s="14"/>
      <c r="ARH103" s="36"/>
      <c r="ARI103" s="14"/>
      <c r="ARJ103" s="44"/>
      <c r="ARK103" s="38"/>
      <c r="ARL103" s="14"/>
      <c r="ARM103" s="14"/>
      <c r="ARN103" s="14"/>
      <c r="ARO103" s="14"/>
      <c r="ARP103" s="36"/>
      <c r="ARQ103" s="14"/>
      <c r="ARR103" s="44"/>
      <c r="ARS103" s="38"/>
      <c r="ART103" s="14"/>
      <c r="ARU103" s="14"/>
      <c r="ARV103" s="14"/>
      <c r="ARW103" s="14"/>
      <c r="ARX103" s="36"/>
      <c r="ARY103" s="14"/>
      <c r="ARZ103" s="44"/>
      <c r="ASA103" s="38"/>
      <c r="ASB103" s="14"/>
      <c r="ASC103" s="14"/>
      <c r="ASD103" s="14"/>
      <c r="ASE103" s="14"/>
      <c r="ASF103" s="36"/>
      <c r="ASG103" s="14"/>
      <c r="ASH103" s="44"/>
      <c r="ASI103" s="38"/>
      <c r="ASJ103" s="14"/>
      <c r="ASK103" s="14"/>
      <c r="ASL103" s="14"/>
      <c r="ASM103" s="14"/>
      <c r="ASN103" s="36"/>
      <c r="ASO103" s="14"/>
      <c r="ASP103" s="44"/>
      <c r="ASQ103" s="38"/>
      <c r="ASR103" s="14"/>
      <c r="ASS103" s="14"/>
      <c r="AST103" s="14"/>
      <c r="ASU103" s="14"/>
      <c r="ASV103" s="36"/>
      <c r="ASW103" s="14"/>
      <c r="ASX103" s="44"/>
      <c r="ASY103" s="38"/>
      <c r="ASZ103" s="14"/>
      <c r="ATA103" s="14"/>
      <c r="ATB103" s="14"/>
      <c r="ATC103" s="14"/>
      <c r="ATD103" s="36"/>
      <c r="ATE103" s="14"/>
      <c r="ATF103" s="44"/>
      <c r="ATG103" s="38"/>
      <c r="ATH103" s="14"/>
      <c r="ATI103" s="14"/>
      <c r="ATJ103" s="14"/>
      <c r="ATK103" s="14"/>
      <c r="ATL103" s="36"/>
      <c r="ATM103" s="14"/>
      <c r="ATN103" s="44"/>
      <c r="ATO103" s="38"/>
      <c r="ATP103" s="14"/>
      <c r="ATQ103" s="14"/>
      <c r="ATR103" s="14"/>
      <c r="ATS103" s="14"/>
      <c r="ATT103" s="36"/>
      <c r="ATU103" s="14"/>
      <c r="ATV103" s="44"/>
      <c r="ATW103" s="38"/>
      <c r="ATX103" s="14"/>
      <c r="ATY103" s="14"/>
      <c r="ATZ103" s="14"/>
      <c r="AUA103" s="14"/>
      <c r="AUB103" s="36"/>
      <c r="AUC103" s="14"/>
      <c r="AUD103" s="44"/>
      <c r="AUE103" s="38"/>
      <c r="AUF103" s="14"/>
      <c r="AUG103" s="14"/>
      <c r="AUH103" s="14"/>
      <c r="AUI103" s="14"/>
      <c r="AUJ103" s="36"/>
      <c r="AUK103" s="14"/>
      <c r="AUL103" s="44"/>
      <c r="AUM103" s="38"/>
      <c r="AUN103" s="14"/>
      <c r="AUO103" s="14"/>
      <c r="AUP103" s="14"/>
      <c r="AUQ103" s="14"/>
      <c r="AUR103" s="36"/>
      <c r="AUS103" s="14"/>
      <c r="AUT103" s="44"/>
      <c r="AUU103" s="38"/>
      <c r="AUV103" s="14"/>
      <c r="AUW103" s="14"/>
      <c r="AUX103" s="14"/>
      <c r="AUY103" s="14"/>
      <c r="AUZ103" s="36"/>
      <c r="AVA103" s="14"/>
      <c r="AVB103" s="44"/>
      <c r="AVC103" s="38"/>
      <c r="AVD103" s="14"/>
      <c r="AVE103" s="14"/>
      <c r="AVF103" s="14"/>
      <c r="AVG103" s="14"/>
      <c r="AVH103" s="36"/>
      <c r="AVI103" s="14"/>
      <c r="AVJ103" s="44"/>
      <c r="AVK103" s="38"/>
      <c r="AVL103" s="14"/>
      <c r="AVM103" s="14"/>
      <c r="AVN103" s="14"/>
      <c r="AVO103" s="14"/>
      <c r="AVP103" s="36"/>
      <c r="AVQ103" s="14"/>
      <c r="AVR103" s="44"/>
      <c r="AVS103" s="38"/>
      <c r="AVT103" s="14"/>
      <c r="AVU103" s="14"/>
      <c r="AVV103" s="14"/>
      <c r="AVW103" s="14"/>
      <c r="AVX103" s="36"/>
      <c r="AVY103" s="14"/>
      <c r="AVZ103" s="44"/>
      <c r="AWA103" s="38"/>
      <c r="AWB103" s="14"/>
      <c r="AWC103" s="14"/>
      <c r="AWD103" s="14"/>
      <c r="AWE103" s="14"/>
      <c r="AWF103" s="36"/>
      <c r="AWG103" s="14"/>
      <c r="AWH103" s="44"/>
      <c r="AWI103" s="38"/>
      <c r="AWJ103" s="14"/>
      <c r="AWK103" s="14"/>
      <c r="AWL103" s="14"/>
      <c r="AWM103" s="14"/>
      <c r="AWN103" s="36"/>
      <c r="AWO103" s="14"/>
      <c r="AWP103" s="44"/>
      <c r="AWQ103" s="38"/>
      <c r="AWR103" s="14"/>
      <c r="AWS103" s="14"/>
      <c r="AWT103" s="14"/>
      <c r="AWU103" s="14"/>
      <c r="AWV103" s="36"/>
      <c r="AWW103" s="14"/>
      <c r="AWX103" s="44"/>
      <c r="AWY103" s="38"/>
      <c r="AWZ103" s="14"/>
      <c r="AXA103" s="14"/>
      <c r="AXB103" s="14"/>
      <c r="AXC103" s="14"/>
      <c r="AXD103" s="36"/>
      <c r="AXE103" s="14"/>
      <c r="AXF103" s="44"/>
      <c r="AXG103" s="38"/>
      <c r="AXH103" s="14"/>
      <c r="AXI103" s="14"/>
      <c r="AXJ103" s="14"/>
      <c r="AXK103" s="14"/>
      <c r="AXL103" s="36"/>
      <c r="AXM103" s="14"/>
      <c r="AXN103" s="44"/>
      <c r="AXO103" s="38"/>
      <c r="AXP103" s="14"/>
      <c r="AXQ103" s="14"/>
      <c r="AXR103" s="14"/>
      <c r="AXS103" s="14"/>
      <c r="AXT103" s="36"/>
      <c r="AXU103" s="14"/>
      <c r="AXV103" s="44"/>
      <c r="AXW103" s="38"/>
      <c r="AXX103" s="14"/>
      <c r="AXY103" s="14"/>
      <c r="AXZ103" s="14"/>
      <c r="AYA103" s="14"/>
      <c r="AYB103" s="36"/>
      <c r="AYC103" s="14"/>
      <c r="AYD103" s="44"/>
      <c r="AYE103" s="38"/>
      <c r="AYF103" s="14"/>
      <c r="AYG103" s="14"/>
      <c r="AYH103" s="14"/>
      <c r="AYI103" s="14"/>
      <c r="AYJ103" s="36"/>
      <c r="AYK103" s="14"/>
      <c r="AYL103" s="44"/>
      <c r="AYM103" s="38"/>
      <c r="AYN103" s="14"/>
      <c r="AYO103" s="14"/>
      <c r="AYP103" s="14"/>
      <c r="AYQ103" s="14"/>
      <c r="AYR103" s="36"/>
      <c r="AYS103" s="14"/>
      <c r="AYT103" s="44"/>
      <c r="AYU103" s="38"/>
      <c r="AYV103" s="14"/>
      <c r="AYW103" s="14"/>
      <c r="AYX103" s="14"/>
      <c r="AYY103" s="14"/>
      <c r="AYZ103" s="36"/>
      <c r="AZA103" s="14"/>
      <c r="AZB103" s="44"/>
      <c r="AZC103" s="38"/>
      <c r="AZD103" s="14"/>
      <c r="AZE103" s="14"/>
      <c r="AZF103" s="14"/>
      <c r="AZG103" s="14"/>
      <c r="AZH103" s="36"/>
      <c r="AZI103" s="14"/>
      <c r="AZJ103" s="44"/>
      <c r="AZK103" s="38"/>
      <c r="AZL103" s="14"/>
      <c r="AZM103" s="14"/>
      <c r="AZN103" s="14"/>
      <c r="AZO103" s="14"/>
      <c r="AZP103" s="36"/>
      <c r="AZQ103" s="14"/>
      <c r="AZR103" s="44"/>
      <c r="AZS103" s="38"/>
      <c r="AZT103" s="14"/>
      <c r="AZU103" s="14"/>
      <c r="AZV103" s="14"/>
      <c r="AZW103" s="14"/>
      <c r="AZX103" s="36"/>
      <c r="AZY103" s="14"/>
      <c r="AZZ103" s="44"/>
      <c r="BAA103" s="38"/>
      <c r="BAB103" s="14"/>
      <c r="BAC103" s="14"/>
      <c r="BAD103" s="14"/>
      <c r="BAE103" s="14"/>
      <c r="BAF103" s="36"/>
      <c r="BAG103" s="14"/>
      <c r="BAH103" s="44"/>
      <c r="BAI103" s="38"/>
      <c r="BAJ103" s="14"/>
      <c r="BAK103" s="14"/>
      <c r="BAL103" s="14"/>
      <c r="BAM103" s="14"/>
      <c r="BAN103" s="36"/>
      <c r="BAO103" s="14"/>
      <c r="BAP103" s="44"/>
      <c r="BAQ103" s="38"/>
      <c r="BAR103" s="14"/>
      <c r="BAS103" s="14"/>
      <c r="BAT103" s="14"/>
      <c r="BAU103" s="14"/>
      <c r="BAV103" s="36"/>
      <c r="BAW103" s="14"/>
      <c r="BAX103" s="44"/>
      <c r="BAY103" s="38"/>
      <c r="BAZ103" s="14"/>
      <c r="BBA103" s="14"/>
      <c r="BBB103" s="14"/>
      <c r="BBC103" s="14"/>
      <c r="BBD103" s="36"/>
      <c r="BBE103" s="14"/>
      <c r="BBF103" s="44"/>
      <c r="BBG103" s="38"/>
      <c r="BBH103" s="14"/>
      <c r="BBI103" s="14"/>
      <c r="BBJ103" s="14"/>
      <c r="BBK103" s="14"/>
      <c r="BBL103" s="36"/>
      <c r="BBM103" s="14"/>
      <c r="BBN103" s="44"/>
      <c r="BBO103" s="38"/>
      <c r="BBP103" s="14"/>
      <c r="BBQ103" s="14"/>
      <c r="BBR103" s="14"/>
      <c r="BBS103" s="14"/>
      <c r="BBT103" s="36"/>
      <c r="BBU103" s="14"/>
      <c r="BBV103" s="44"/>
      <c r="BBW103" s="38"/>
      <c r="BBX103" s="14"/>
      <c r="BBY103" s="14"/>
      <c r="BBZ103" s="14"/>
      <c r="BCA103" s="14"/>
      <c r="BCB103" s="36"/>
      <c r="BCC103" s="14"/>
      <c r="BCD103" s="44"/>
      <c r="BCE103" s="38"/>
      <c r="BCF103" s="14"/>
      <c r="BCG103" s="14"/>
      <c r="BCH103" s="14"/>
      <c r="BCI103" s="14"/>
      <c r="BCJ103" s="36"/>
      <c r="BCK103" s="14"/>
      <c r="BCL103" s="44"/>
      <c r="BCM103" s="38"/>
      <c r="BCN103" s="14"/>
      <c r="BCO103" s="14"/>
      <c r="BCP103" s="14"/>
      <c r="BCQ103" s="14"/>
      <c r="BCR103" s="36"/>
      <c r="BCS103" s="14"/>
      <c r="BCT103" s="44"/>
      <c r="BCU103" s="38"/>
      <c r="BCV103" s="14"/>
      <c r="BCW103" s="14"/>
      <c r="BCX103" s="14"/>
      <c r="BCY103" s="14"/>
      <c r="BCZ103" s="36"/>
      <c r="BDA103" s="14"/>
      <c r="BDB103" s="44"/>
      <c r="BDC103" s="38"/>
      <c r="BDD103" s="14"/>
      <c r="BDE103" s="14"/>
      <c r="BDF103" s="14"/>
      <c r="BDG103" s="14"/>
      <c r="BDH103" s="36"/>
      <c r="BDI103" s="14"/>
      <c r="BDJ103" s="44"/>
      <c r="BDK103" s="38"/>
      <c r="BDL103" s="14"/>
      <c r="BDM103" s="14"/>
      <c r="BDN103" s="14"/>
      <c r="BDO103" s="14"/>
      <c r="BDP103" s="36"/>
      <c r="BDQ103" s="14"/>
      <c r="BDR103" s="44"/>
      <c r="BDS103" s="38"/>
      <c r="BDT103" s="14"/>
      <c r="BDU103" s="14"/>
      <c r="BDV103" s="14"/>
      <c r="BDW103" s="14"/>
      <c r="BDX103" s="36"/>
      <c r="BDY103" s="14"/>
      <c r="BDZ103" s="44"/>
      <c r="BEA103" s="38"/>
      <c r="BEB103" s="14"/>
      <c r="BEC103" s="14"/>
      <c r="BED103" s="14"/>
      <c r="BEE103" s="14"/>
      <c r="BEF103" s="36"/>
      <c r="BEG103" s="14"/>
      <c r="BEH103" s="44"/>
      <c r="BEI103" s="38"/>
      <c r="BEJ103" s="14"/>
      <c r="BEK103" s="14"/>
      <c r="BEL103" s="14"/>
      <c r="BEM103" s="14"/>
      <c r="BEN103" s="36"/>
      <c r="BEO103" s="14"/>
      <c r="BEP103" s="44"/>
      <c r="BEQ103" s="38"/>
      <c r="BER103" s="14"/>
      <c r="BES103" s="14"/>
      <c r="BET103" s="14"/>
      <c r="BEU103" s="14"/>
      <c r="BEV103" s="36"/>
      <c r="BEW103" s="14"/>
      <c r="BEX103" s="44"/>
      <c r="BEY103" s="38"/>
      <c r="BEZ103" s="14"/>
      <c r="BFA103" s="14"/>
      <c r="BFB103" s="14"/>
      <c r="BFC103" s="14"/>
      <c r="BFD103" s="36"/>
      <c r="BFE103" s="14"/>
      <c r="BFF103" s="44"/>
      <c r="BFG103" s="38"/>
      <c r="BFH103" s="14"/>
      <c r="BFI103" s="14"/>
      <c r="BFJ103" s="14"/>
      <c r="BFK103" s="14"/>
      <c r="BFL103" s="36"/>
      <c r="BFM103" s="14"/>
      <c r="BFN103" s="44"/>
      <c r="BFO103" s="38"/>
      <c r="BFP103" s="14"/>
      <c r="BFQ103" s="14"/>
      <c r="BFR103" s="14"/>
      <c r="BFS103" s="14"/>
      <c r="BFT103" s="36"/>
      <c r="BFU103" s="14"/>
      <c r="BFV103" s="44"/>
      <c r="BFW103" s="38"/>
      <c r="BFX103" s="14"/>
      <c r="BFY103" s="14"/>
      <c r="BFZ103" s="14"/>
      <c r="BGA103" s="14"/>
      <c r="BGB103" s="36"/>
      <c r="BGC103" s="14"/>
      <c r="BGD103" s="44"/>
      <c r="BGE103" s="38"/>
      <c r="BGF103" s="14"/>
      <c r="BGG103" s="14"/>
      <c r="BGH103" s="14"/>
      <c r="BGI103" s="14"/>
      <c r="BGJ103" s="36"/>
      <c r="BGK103" s="14"/>
      <c r="BGL103" s="44"/>
      <c r="BGM103" s="38"/>
      <c r="BGN103" s="14"/>
      <c r="BGO103" s="14"/>
      <c r="BGP103" s="14"/>
      <c r="BGQ103" s="14"/>
      <c r="BGR103" s="36"/>
      <c r="BGS103" s="14"/>
      <c r="BGT103" s="44"/>
      <c r="BGU103" s="38"/>
      <c r="BGV103" s="14"/>
      <c r="BGW103" s="14"/>
      <c r="BGX103" s="14"/>
      <c r="BGY103" s="14"/>
      <c r="BGZ103" s="36"/>
      <c r="BHA103" s="14"/>
      <c r="BHB103" s="44"/>
      <c r="BHC103" s="38"/>
      <c r="BHD103" s="14"/>
      <c r="BHE103" s="14"/>
      <c r="BHF103" s="14"/>
      <c r="BHG103" s="14"/>
      <c r="BHH103" s="36"/>
      <c r="BHI103" s="14"/>
      <c r="BHJ103" s="44"/>
      <c r="BHK103" s="38"/>
      <c r="BHL103" s="14"/>
      <c r="BHM103" s="14"/>
      <c r="BHN103" s="14"/>
      <c r="BHO103" s="14"/>
      <c r="BHP103" s="36"/>
      <c r="BHQ103" s="14"/>
      <c r="BHR103" s="44"/>
      <c r="BHS103" s="38"/>
      <c r="BHT103" s="14"/>
      <c r="BHU103" s="14"/>
      <c r="BHV103" s="14"/>
      <c r="BHW103" s="14"/>
      <c r="BHX103" s="36"/>
      <c r="BHY103" s="14"/>
      <c r="BHZ103" s="44"/>
      <c r="BIA103" s="38"/>
      <c r="BIB103" s="14"/>
      <c r="BIC103" s="14"/>
      <c r="BID103" s="14"/>
      <c r="BIE103" s="14"/>
      <c r="BIF103" s="36"/>
      <c r="BIG103" s="14"/>
      <c r="BIH103" s="44"/>
      <c r="BII103" s="38"/>
      <c r="BIJ103" s="14"/>
      <c r="BIK103" s="14"/>
      <c r="BIL103" s="14"/>
      <c r="BIM103" s="14"/>
      <c r="BIN103" s="36"/>
      <c r="BIO103" s="14"/>
      <c r="BIP103" s="44"/>
      <c r="BIQ103" s="38"/>
      <c r="BIR103" s="14"/>
      <c r="BIS103" s="14"/>
      <c r="BIT103" s="14"/>
      <c r="BIU103" s="14"/>
      <c r="BIV103" s="36"/>
      <c r="BIW103" s="14"/>
      <c r="BIX103" s="44"/>
      <c r="BIY103" s="38"/>
      <c r="BIZ103" s="14"/>
      <c r="BJA103" s="14"/>
      <c r="BJB103" s="14"/>
      <c r="BJC103" s="14"/>
      <c r="BJD103" s="36"/>
      <c r="BJE103" s="14"/>
      <c r="BJF103" s="44"/>
      <c r="BJG103" s="38"/>
      <c r="BJH103" s="14"/>
      <c r="BJI103" s="14"/>
      <c r="BJJ103" s="14"/>
      <c r="BJK103" s="14"/>
      <c r="BJL103" s="36"/>
      <c r="BJM103" s="14"/>
      <c r="BJN103" s="44"/>
      <c r="BJO103" s="38"/>
      <c r="BJP103" s="14"/>
      <c r="BJQ103" s="14"/>
      <c r="BJR103" s="14"/>
      <c r="BJS103" s="14"/>
      <c r="BJT103" s="36"/>
      <c r="BJU103" s="14"/>
      <c r="BJV103" s="44"/>
      <c r="BJW103" s="38"/>
      <c r="BJX103" s="14"/>
      <c r="BJY103" s="14"/>
      <c r="BJZ103" s="14"/>
      <c r="BKA103" s="14"/>
      <c r="BKB103" s="36"/>
      <c r="BKC103" s="14"/>
      <c r="BKD103" s="44"/>
      <c r="BKE103" s="38"/>
      <c r="BKF103" s="14"/>
      <c r="BKG103" s="14"/>
      <c r="BKH103" s="14"/>
      <c r="BKI103" s="14"/>
      <c r="BKJ103" s="36"/>
      <c r="BKK103" s="14"/>
      <c r="BKL103" s="44"/>
      <c r="BKM103" s="38"/>
      <c r="BKN103" s="14"/>
      <c r="BKO103" s="14"/>
      <c r="BKP103" s="14"/>
      <c r="BKQ103" s="14"/>
      <c r="BKR103" s="36"/>
      <c r="BKS103" s="14"/>
      <c r="BKT103" s="44"/>
      <c r="BKU103" s="38"/>
      <c r="BKV103" s="14"/>
      <c r="BKW103" s="14"/>
      <c r="BKX103" s="14"/>
      <c r="BKY103" s="14"/>
      <c r="BKZ103" s="36"/>
      <c r="BLA103" s="14"/>
      <c r="BLB103" s="44"/>
      <c r="BLC103" s="38"/>
      <c r="BLD103" s="14"/>
      <c r="BLE103" s="14"/>
      <c r="BLF103" s="14"/>
      <c r="BLG103" s="14"/>
      <c r="BLH103" s="36"/>
      <c r="BLI103" s="14"/>
      <c r="BLJ103" s="44"/>
      <c r="BLK103" s="38"/>
      <c r="BLL103" s="14"/>
      <c r="BLM103" s="14"/>
      <c r="BLN103" s="14"/>
      <c r="BLO103" s="14"/>
      <c r="BLP103" s="36"/>
      <c r="BLQ103" s="14"/>
      <c r="BLR103" s="44"/>
      <c r="BLS103" s="38"/>
      <c r="BLT103" s="14"/>
      <c r="BLU103" s="14"/>
      <c r="BLV103" s="14"/>
      <c r="BLW103" s="14"/>
      <c r="BLX103" s="36"/>
      <c r="BLY103" s="14"/>
      <c r="BLZ103" s="44"/>
      <c r="BMA103" s="38"/>
      <c r="BMB103" s="14"/>
      <c r="BMC103" s="14"/>
      <c r="BMD103" s="14"/>
      <c r="BME103" s="14"/>
      <c r="BMF103" s="36"/>
      <c r="BMG103" s="14"/>
      <c r="BMH103" s="44"/>
      <c r="BMI103" s="38"/>
      <c r="BMJ103" s="14"/>
      <c r="BMK103" s="14"/>
      <c r="BML103" s="14"/>
      <c r="BMM103" s="14"/>
      <c r="BMN103" s="36"/>
      <c r="BMO103" s="14"/>
      <c r="BMP103" s="44"/>
      <c r="BMQ103" s="38"/>
      <c r="BMR103" s="14"/>
      <c r="BMS103" s="14"/>
      <c r="BMT103" s="14"/>
      <c r="BMU103" s="14"/>
      <c r="BMV103" s="36"/>
      <c r="BMW103" s="14"/>
      <c r="BMX103" s="44"/>
      <c r="BMY103" s="38"/>
      <c r="BMZ103" s="14"/>
      <c r="BNA103" s="14"/>
      <c r="BNB103" s="14"/>
      <c r="BNC103" s="14"/>
      <c r="BND103" s="36"/>
      <c r="BNE103" s="14"/>
      <c r="BNF103" s="44"/>
      <c r="BNG103" s="38"/>
      <c r="BNH103" s="14"/>
      <c r="BNI103" s="14"/>
      <c r="BNJ103" s="14"/>
      <c r="BNK103" s="14"/>
      <c r="BNL103" s="36"/>
      <c r="BNM103" s="14"/>
      <c r="BNN103" s="44"/>
      <c r="BNO103" s="38"/>
      <c r="BNP103" s="14"/>
      <c r="BNQ103" s="14"/>
      <c r="BNR103" s="14"/>
      <c r="BNS103" s="14"/>
      <c r="BNT103" s="36"/>
      <c r="BNU103" s="14"/>
      <c r="BNV103" s="44"/>
      <c r="BNW103" s="38"/>
      <c r="BNX103" s="14"/>
      <c r="BNY103" s="14"/>
      <c r="BNZ103" s="14"/>
      <c r="BOA103" s="14"/>
      <c r="BOB103" s="36"/>
      <c r="BOC103" s="14"/>
      <c r="BOD103" s="44"/>
      <c r="BOE103" s="38"/>
      <c r="BOF103" s="14"/>
      <c r="BOG103" s="14"/>
      <c r="BOH103" s="14"/>
      <c r="BOI103" s="14"/>
      <c r="BOJ103" s="36"/>
      <c r="BOK103" s="14"/>
      <c r="BOL103" s="44"/>
      <c r="BOM103" s="38"/>
      <c r="BON103" s="14"/>
      <c r="BOO103" s="14"/>
      <c r="BOP103" s="14"/>
      <c r="BOQ103" s="14"/>
      <c r="BOR103" s="36"/>
      <c r="BOS103" s="14"/>
      <c r="BOT103" s="44"/>
      <c r="BOU103" s="38"/>
      <c r="BOV103" s="14"/>
      <c r="BOW103" s="14"/>
      <c r="BOX103" s="14"/>
      <c r="BOY103" s="14"/>
      <c r="BOZ103" s="36"/>
      <c r="BPA103" s="14"/>
      <c r="BPB103" s="44"/>
      <c r="BPC103" s="38"/>
      <c r="BPD103" s="14"/>
      <c r="BPE103" s="14"/>
      <c r="BPF103" s="14"/>
      <c r="BPG103" s="14"/>
      <c r="BPH103" s="36"/>
      <c r="BPI103" s="14"/>
      <c r="BPJ103" s="44"/>
      <c r="BPK103" s="38"/>
      <c r="BPL103" s="14"/>
      <c r="BPM103" s="14"/>
      <c r="BPN103" s="14"/>
      <c r="BPO103" s="14"/>
      <c r="BPP103" s="36"/>
      <c r="BPQ103" s="14"/>
      <c r="BPR103" s="44"/>
      <c r="BPS103" s="38"/>
      <c r="BPT103" s="14"/>
      <c r="BPU103" s="14"/>
      <c r="BPV103" s="14"/>
      <c r="BPW103" s="14"/>
      <c r="BPX103" s="36"/>
      <c r="BPY103" s="14"/>
      <c r="BPZ103" s="44"/>
      <c r="BQA103" s="38"/>
      <c r="BQB103" s="14"/>
      <c r="BQC103" s="14"/>
      <c r="BQD103" s="14"/>
      <c r="BQE103" s="14"/>
      <c r="BQF103" s="36"/>
      <c r="BQG103" s="14"/>
      <c r="BQH103" s="44"/>
      <c r="BQI103" s="38"/>
      <c r="BQJ103" s="14"/>
      <c r="BQK103" s="14"/>
      <c r="BQL103" s="14"/>
      <c r="BQM103" s="14"/>
      <c r="BQN103" s="36"/>
      <c r="BQO103" s="14"/>
      <c r="BQP103" s="44"/>
      <c r="BQQ103" s="38"/>
      <c r="BQR103" s="14"/>
      <c r="BQS103" s="14"/>
      <c r="BQT103" s="14"/>
      <c r="BQU103" s="14"/>
      <c r="BQV103" s="36"/>
      <c r="BQW103" s="14"/>
      <c r="BQX103" s="44"/>
      <c r="BQY103" s="38"/>
      <c r="BQZ103" s="14"/>
      <c r="BRA103" s="14"/>
      <c r="BRB103" s="14"/>
      <c r="BRC103" s="14"/>
      <c r="BRD103" s="36"/>
      <c r="BRE103" s="14"/>
      <c r="BRF103" s="44"/>
      <c r="BRG103" s="38"/>
      <c r="BRH103" s="14"/>
      <c r="BRI103" s="14"/>
      <c r="BRJ103" s="14"/>
      <c r="BRK103" s="14"/>
      <c r="BRL103" s="36"/>
      <c r="BRM103" s="14"/>
      <c r="BRN103" s="44"/>
      <c r="BRO103" s="38"/>
      <c r="BRP103" s="14"/>
      <c r="BRQ103" s="14"/>
      <c r="BRR103" s="14"/>
      <c r="BRS103" s="14"/>
      <c r="BRT103" s="36"/>
      <c r="BRU103" s="14"/>
      <c r="BRV103" s="44"/>
      <c r="BRW103" s="38"/>
      <c r="BRX103" s="14"/>
      <c r="BRY103" s="14"/>
      <c r="BRZ103" s="14"/>
      <c r="BSA103" s="14"/>
      <c r="BSB103" s="36"/>
      <c r="BSC103" s="14"/>
      <c r="BSD103" s="44"/>
      <c r="BSE103" s="38"/>
      <c r="BSF103" s="14"/>
      <c r="BSG103" s="14"/>
      <c r="BSH103" s="14"/>
      <c r="BSI103" s="14"/>
      <c r="BSJ103" s="36"/>
      <c r="BSK103" s="14"/>
      <c r="BSL103" s="44"/>
      <c r="BSM103" s="38"/>
      <c r="BSN103" s="14"/>
      <c r="BSO103" s="14"/>
      <c r="BSP103" s="14"/>
      <c r="BSQ103" s="14"/>
      <c r="BSR103" s="36"/>
      <c r="BSS103" s="14"/>
      <c r="BST103" s="44"/>
      <c r="BSU103" s="38"/>
      <c r="BSV103" s="14"/>
      <c r="BSW103" s="14"/>
      <c r="BSX103" s="14"/>
      <c r="BSY103" s="14"/>
      <c r="BSZ103" s="36"/>
      <c r="BTA103" s="14"/>
      <c r="BTB103" s="44"/>
      <c r="BTC103" s="38"/>
      <c r="BTD103" s="14"/>
      <c r="BTE103" s="14"/>
      <c r="BTF103" s="14"/>
      <c r="BTG103" s="14"/>
      <c r="BTH103" s="36"/>
      <c r="BTI103" s="14"/>
      <c r="BTJ103" s="44"/>
      <c r="BTK103" s="38"/>
      <c r="BTL103" s="14"/>
      <c r="BTM103" s="14"/>
      <c r="BTN103" s="14"/>
      <c r="BTO103" s="14"/>
      <c r="BTP103" s="36"/>
      <c r="BTQ103" s="14"/>
      <c r="BTR103" s="44"/>
      <c r="BTS103" s="38"/>
      <c r="BTT103" s="14"/>
      <c r="BTU103" s="14"/>
      <c r="BTV103" s="14"/>
      <c r="BTW103" s="14"/>
      <c r="BTX103" s="36"/>
      <c r="BTY103" s="14"/>
      <c r="BTZ103" s="44"/>
      <c r="BUA103" s="38"/>
      <c r="BUB103" s="14"/>
      <c r="BUC103" s="14"/>
      <c r="BUD103" s="14"/>
      <c r="BUE103" s="14"/>
      <c r="BUF103" s="36"/>
      <c r="BUG103" s="14"/>
      <c r="BUH103" s="44"/>
      <c r="BUI103" s="38"/>
      <c r="BUJ103" s="14"/>
      <c r="BUK103" s="14"/>
      <c r="BUL103" s="14"/>
      <c r="BUM103" s="14"/>
      <c r="BUN103" s="36"/>
      <c r="BUO103" s="14"/>
      <c r="BUP103" s="44"/>
      <c r="BUQ103" s="38"/>
      <c r="BUR103" s="14"/>
      <c r="BUS103" s="14"/>
      <c r="BUT103" s="14"/>
      <c r="BUU103" s="14"/>
      <c r="BUV103" s="36"/>
      <c r="BUW103" s="14"/>
      <c r="BUX103" s="44"/>
      <c r="BUY103" s="38"/>
      <c r="BUZ103" s="14"/>
      <c r="BVA103" s="14"/>
      <c r="BVB103" s="14"/>
      <c r="BVC103" s="14"/>
      <c r="BVD103" s="36"/>
      <c r="BVE103" s="14"/>
      <c r="BVF103" s="44"/>
      <c r="BVG103" s="38"/>
      <c r="BVH103" s="14"/>
      <c r="BVI103" s="14"/>
      <c r="BVJ103" s="14"/>
      <c r="BVK103" s="14"/>
      <c r="BVL103" s="36"/>
      <c r="BVM103" s="14"/>
      <c r="BVN103" s="44"/>
      <c r="BVO103" s="38"/>
      <c r="BVP103" s="14"/>
      <c r="BVQ103" s="14"/>
      <c r="BVR103" s="14"/>
      <c r="BVS103" s="14"/>
      <c r="BVT103" s="36"/>
      <c r="BVU103" s="14"/>
      <c r="BVV103" s="44"/>
      <c r="BVW103" s="38"/>
      <c r="BVX103" s="14"/>
      <c r="BVY103" s="14"/>
      <c r="BVZ103" s="14"/>
      <c r="BWA103" s="14"/>
      <c r="BWB103" s="36"/>
      <c r="BWC103" s="14"/>
      <c r="BWD103" s="44"/>
      <c r="BWE103" s="38"/>
      <c r="BWF103" s="14"/>
      <c r="BWG103" s="14"/>
      <c r="BWH103" s="14"/>
      <c r="BWI103" s="14"/>
      <c r="BWJ103" s="36"/>
      <c r="BWK103" s="14"/>
      <c r="BWL103" s="44"/>
      <c r="BWM103" s="38"/>
      <c r="BWN103" s="14"/>
      <c r="BWO103" s="14"/>
      <c r="BWP103" s="14"/>
      <c r="BWQ103" s="14"/>
      <c r="BWR103" s="36"/>
      <c r="BWS103" s="14"/>
      <c r="BWT103" s="44"/>
      <c r="BWU103" s="38"/>
      <c r="BWV103" s="14"/>
      <c r="BWW103" s="14"/>
      <c r="BWX103" s="14"/>
      <c r="BWY103" s="14"/>
      <c r="BWZ103" s="36"/>
      <c r="BXA103" s="14"/>
      <c r="BXB103" s="44"/>
      <c r="BXC103" s="38"/>
      <c r="BXD103" s="14"/>
      <c r="BXE103" s="14"/>
      <c r="BXF103" s="14"/>
      <c r="BXG103" s="14"/>
      <c r="BXH103" s="36"/>
      <c r="BXI103" s="14"/>
      <c r="BXJ103" s="44"/>
      <c r="BXK103" s="38"/>
      <c r="BXL103" s="14"/>
      <c r="BXM103" s="14"/>
      <c r="BXN103" s="14"/>
      <c r="BXO103" s="14"/>
      <c r="BXP103" s="36"/>
      <c r="BXQ103" s="14"/>
      <c r="BXR103" s="44"/>
      <c r="BXS103" s="38"/>
      <c r="BXT103" s="14"/>
      <c r="BXU103" s="14"/>
      <c r="BXV103" s="14"/>
      <c r="BXW103" s="14"/>
      <c r="BXX103" s="36"/>
      <c r="BXY103" s="14"/>
      <c r="BXZ103" s="44"/>
      <c r="BYA103" s="38"/>
      <c r="BYB103" s="14"/>
      <c r="BYC103" s="14"/>
      <c r="BYD103" s="14"/>
      <c r="BYE103" s="14"/>
      <c r="BYF103" s="36"/>
      <c r="BYG103" s="14"/>
      <c r="BYH103" s="44"/>
      <c r="BYI103" s="38"/>
      <c r="BYJ103" s="14"/>
      <c r="BYK103" s="14"/>
      <c r="BYL103" s="14"/>
      <c r="BYM103" s="14"/>
      <c r="BYN103" s="36"/>
      <c r="BYO103" s="14"/>
      <c r="BYP103" s="44"/>
      <c r="BYQ103" s="38"/>
      <c r="BYR103" s="14"/>
      <c r="BYS103" s="14"/>
      <c r="BYT103" s="14"/>
      <c r="BYU103" s="14"/>
      <c r="BYV103" s="36"/>
      <c r="BYW103" s="14"/>
      <c r="BYX103" s="44"/>
      <c r="BYY103" s="38"/>
      <c r="BYZ103" s="14"/>
      <c r="BZA103" s="14"/>
      <c r="BZB103" s="14"/>
      <c r="BZC103" s="14"/>
      <c r="BZD103" s="36"/>
      <c r="BZE103" s="14"/>
      <c r="BZF103" s="44"/>
      <c r="BZG103" s="38"/>
      <c r="BZH103" s="14"/>
      <c r="BZI103" s="14"/>
      <c r="BZJ103" s="14"/>
      <c r="BZK103" s="14"/>
      <c r="BZL103" s="36"/>
      <c r="BZM103" s="14"/>
      <c r="BZN103" s="44"/>
      <c r="BZO103" s="38"/>
      <c r="BZP103" s="14"/>
      <c r="BZQ103" s="14"/>
      <c r="BZR103" s="14"/>
      <c r="BZS103" s="14"/>
      <c r="BZT103" s="36"/>
      <c r="BZU103" s="14"/>
      <c r="BZV103" s="44"/>
      <c r="BZW103" s="38"/>
      <c r="BZX103" s="14"/>
      <c r="BZY103" s="14"/>
      <c r="BZZ103" s="14"/>
      <c r="CAA103" s="14"/>
      <c r="CAB103" s="36"/>
      <c r="CAC103" s="14"/>
      <c r="CAD103" s="44"/>
      <c r="CAE103" s="38"/>
      <c r="CAF103" s="14"/>
      <c r="CAG103" s="14"/>
      <c r="CAH103" s="14"/>
      <c r="CAI103" s="14"/>
      <c r="CAJ103" s="36"/>
      <c r="CAK103" s="14"/>
      <c r="CAL103" s="44"/>
      <c r="CAM103" s="38"/>
      <c r="CAN103" s="14"/>
      <c r="CAO103" s="14"/>
      <c r="CAP103" s="14"/>
      <c r="CAQ103" s="14"/>
      <c r="CAR103" s="36"/>
      <c r="CAS103" s="14"/>
      <c r="CAT103" s="44"/>
      <c r="CAU103" s="38"/>
      <c r="CAV103" s="14"/>
      <c r="CAW103" s="14"/>
      <c r="CAX103" s="14"/>
      <c r="CAY103" s="14"/>
      <c r="CAZ103" s="36"/>
      <c r="CBA103" s="14"/>
      <c r="CBB103" s="44"/>
      <c r="CBC103" s="38"/>
      <c r="CBD103" s="14"/>
      <c r="CBE103" s="14"/>
      <c r="CBF103" s="14"/>
      <c r="CBG103" s="14"/>
      <c r="CBH103" s="36"/>
      <c r="CBI103" s="14"/>
      <c r="CBJ103" s="44"/>
      <c r="CBK103" s="38"/>
      <c r="CBL103" s="14"/>
      <c r="CBM103" s="14"/>
      <c r="CBN103" s="14"/>
      <c r="CBO103" s="14"/>
      <c r="CBP103" s="36"/>
      <c r="CBQ103" s="14"/>
      <c r="CBR103" s="44"/>
      <c r="CBS103" s="38"/>
      <c r="CBT103" s="14"/>
      <c r="CBU103" s="14"/>
      <c r="CBV103" s="14"/>
      <c r="CBW103" s="14"/>
      <c r="CBX103" s="36"/>
      <c r="CBY103" s="14"/>
      <c r="CBZ103" s="44"/>
      <c r="CCA103" s="38"/>
      <c r="CCB103" s="14"/>
      <c r="CCC103" s="14"/>
      <c r="CCD103" s="14"/>
      <c r="CCE103" s="14"/>
      <c r="CCF103" s="36"/>
      <c r="CCG103" s="14"/>
      <c r="CCH103" s="44"/>
      <c r="CCI103" s="38"/>
      <c r="CCJ103" s="14"/>
      <c r="CCK103" s="14"/>
      <c r="CCL103" s="14"/>
      <c r="CCM103" s="14"/>
      <c r="CCN103" s="36"/>
      <c r="CCO103" s="14"/>
      <c r="CCP103" s="44"/>
      <c r="CCQ103" s="38"/>
      <c r="CCR103" s="14"/>
      <c r="CCS103" s="14"/>
      <c r="CCT103" s="14"/>
      <c r="CCU103" s="14"/>
      <c r="CCV103" s="36"/>
      <c r="CCW103" s="14"/>
      <c r="CCX103" s="44"/>
      <c r="CCY103" s="38"/>
      <c r="CCZ103" s="14"/>
      <c r="CDA103" s="14"/>
      <c r="CDB103" s="14"/>
      <c r="CDC103" s="14"/>
      <c r="CDD103" s="36"/>
      <c r="CDE103" s="14"/>
      <c r="CDF103" s="44"/>
      <c r="CDG103" s="38"/>
      <c r="CDH103" s="14"/>
      <c r="CDI103" s="14"/>
      <c r="CDJ103" s="14"/>
      <c r="CDK103" s="14"/>
      <c r="CDL103" s="36"/>
      <c r="CDM103" s="14"/>
      <c r="CDN103" s="44"/>
      <c r="CDO103" s="38"/>
      <c r="CDP103" s="14"/>
      <c r="CDQ103" s="14"/>
      <c r="CDR103" s="14"/>
      <c r="CDS103" s="14"/>
      <c r="CDT103" s="36"/>
      <c r="CDU103" s="14"/>
      <c r="CDV103" s="44"/>
      <c r="CDW103" s="38"/>
      <c r="CDX103" s="14"/>
      <c r="CDY103" s="14"/>
      <c r="CDZ103" s="14"/>
      <c r="CEA103" s="14"/>
      <c r="CEB103" s="36"/>
      <c r="CEC103" s="14"/>
      <c r="CED103" s="44"/>
      <c r="CEE103" s="38"/>
      <c r="CEF103" s="14"/>
      <c r="CEG103" s="14"/>
      <c r="CEH103" s="14"/>
      <c r="CEI103" s="14"/>
      <c r="CEJ103" s="36"/>
      <c r="CEK103" s="14"/>
      <c r="CEL103" s="44"/>
      <c r="CEM103" s="38"/>
      <c r="CEN103" s="14"/>
      <c r="CEO103" s="14"/>
      <c r="CEP103" s="14"/>
      <c r="CEQ103" s="14"/>
      <c r="CER103" s="36"/>
      <c r="CES103" s="14"/>
      <c r="CET103" s="44"/>
      <c r="CEU103" s="38"/>
      <c r="CEV103" s="14"/>
      <c r="CEW103" s="14"/>
      <c r="CEX103" s="14"/>
      <c r="CEY103" s="14"/>
      <c r="CEZ103" s="36"/>
      <c r="CFA103" s="14"/>
      <c r="CFB103" s="44"/>
      <c r="CFC103" s="38"/>
      <c r="CFD103" s="14"/>
      <c r="CFE103" s="14"/>
      <c r="CFF103" s="14"/>
      <c r="CFG103" s="14"/>
      <c r="CFH103" s="36"/>
      <c r="CFI103" s="14"/>
      <c r="CFJ103" s="44"/>
      <c r="CFK103" s="38"/>
      <c r="CFL103" s="14"/>
      <c r="CFM103" s="14"/>
      <c r="CFN103" s="14"/>
      <c r="CFO103" s="14"/>
      <c r="CFP103" s="36"/>
      <c r="CFQ103" s="14"/>
      <c r="CFR103" s="44"/>
      <c r="CFS103" s="38"/>
      <c r="CFT103" s="14"/>
      <c r="CFU103" s="14"/>
      <c r="CFV103" s="14"/>
      <c r="CFW103" s="14"/>
      <c r="CFX103" s="36"/>
      <c r="CFY103" s="14"/>
      <c r="CFZ103" s="44"/>
      <c r="CGA103" s="38"/>
      <c r="CGB103" s="14"/>
      <c r="CGC103" s="14"/>
      <c r="CGD103" s="14"/>
      <c r="CGE103" s="14"/>
      <c r="CGF103" s="36"/>
      <c r="CGG103" s="14"/>
      <c r="CGH103" s="44"/>
      <c r="CGI103" s="38"/>
      <c r="CGJ103" s="14"/>
      <c r="CGK103" s="14"/>
      <c r="CGL103" s="14"/>
      <c r="CGM103" s="14"/>
      <c r="CGN103" s="36"/>
      <c r="CGO103" s="14"/>
      <c r="CGP103" s="44"/>
      <c r="CGQ103" s="38"/>
      <c r="CGR103" s="14"/>
      <c r="CGS103" s="14"/>
      <c r="CGT103" s="14"/>
      <c r="CGU103" s="14"/>
      <c r="CGV103" s="36"/>
      <c r="CGW103" s="14"/>
      <c r="CGX103" s="44"/>
      <c r="CGY103" s="38"/>
      <c r="CGZ103" s="14"/>
      <c r="CHA103" s="14"/>
      <c r="CHB103" s="14"/>
      <c r="CHC103" s="14"/>
      <c r="CHD103" s="36"/>
      <c r="CHE103" s="14"/>
      <c r="CHF103" s="44"/>
      <c r="CHG103" s="38"/>
      <c r="CHH103" s="14"/>
      <c r="CHI103" s="14"/>
      <c r="CHJ103" s="14"/>
      <c r="CHK103" s="14"/>
      <c r="CHL103" s="36"/>
      <c r="CHM103" s="14"/>
      <c r="CHN103" s="44"/>
      <c r="CHO103" s="38"/>
      <c r="CHP103" s="14"/>
      <c r="CHQ103" s="14"/>
      <c r="CHR103" s="14"/>
      <c r="CHS103" s="14"/>
      <c r="CHT103" s="36"/>
      <c r="CHU103" s="14"/>
      <c r="CHV103" s="44"/>
      <c r="CHW103" s="38"/>
      <c r="CHX103" s="14"/>
      <c r="CHY103" s="14"/>
      <c r="CHZ103" s="14"/>
      <c r="CIA103" s="14"/>
      <c r="CIB103" s="36"/>
      <c r="CIC103" s="14"/>
      <c r="CID103" s="44"/>
      <c r="CIE103" s="38"/>
      <c r="CIF103" s="14"/>
      <c r="CIG103" s="14"/>
      <c r="CIH103" s="14"/>
      <c r="CII103" s="14"/>
      <c r="CIJ103" s="36"/>
      <c r="CIK103" s="14"/>
      <c r="CIL103" s="44"/>
      <c r="CIM103" s="38"/>
      <c r="CIN103" s="14"/>
      <c r="CIO103" s="14"/>
      <c r="CIP103" s="14"/>
      <c r="CIQ103" s="14"/>
      <c r="CIR103" s="36"/>
      <c r="CIS103" s="14"/>
      <c r="CIT103" s="44"/>
      <c r="CIU103" s="38"/>
      <c r="CIV103" s="14"/>
      <c r="CIW103" s="14"/>
      <c r="CIX103" s="14"/>
      <c r="CIY103" s="14"/>
      <c r="CIZ103" s="36"/>
      <c r="CJA103" s="14"/>
      <c r="CJB103" s="44"/>
      <c r="CJC103" s="38"/>
      <c r="CJD103" s="14"/>
      <c r="CJE103" s="14"/>
      <c r="CJF103" s="14"/>
      <c r="CJG103" s="14"/>
      <c r="CJH103" s="36"/>
      <c r="CJI103" s="14"/>
      <c r="CJJ103" s="44"/>
      <c r="CJK103" s="38"/>
      <c r="CJL103" s="14"/>
      <c r="CJM103" s="14"/>
      <c r="CJN103" s="14"/>
      <c r="CJO103" s="14"/>
      <c r="CJP103" s="36"/>
      <c r="CJQ103" s="14"/>
      <c r="CJR103" s="44"/>
      <c r="CJS103" s="38"/>
      <c r="CJT103" s="14"/>
      <c r="CJU103" s="14"/>
      <c r="CJV103" s="14"/>
      <c r="CJW103" s="14"/>
      <c r="CJX103" s="36"/>
      <c r="CJY103" s="14"/>
      <c r="CJZ103" s="44"/>
      <c r="CKA103" s="38"/>
      <c r="CKB103" s="14"/>
      <c r="CKC103" s="14"/>
      <c r="CKD103" s="14"/>
      <c r="CKE103" s="14"/>
      <c r="CKF103" s="36"/>
      <c r="CKG103" s="14"/>
      <c r="CKH103" s="44"/>
      <c r="CKI103" s="38"/>
      <c r="CKJ103" s="14"/>
      <c r="CKK103" s="14"/>
      <c r="CKL103" s="14"/>
      <c r="CKM103" s="14"/>
      <c r="CKN103" s="36"/>
      <c r="CKO103" s="14"/>
      <c r="CKP103" s="44"/>
      <c r="CKQ103" s="38"/>
      <c r="CKR103" s="14"/>
      <c r="CKS103" s="14"/>
      <c r="CKT103" s="14"/>
      <c r="CKU103" s="14"/>
      <c r="CKV103" s="36"/>
      <c r="CKW103" s="14"/>
      <c r="CKX103" s="44"/>
      <c r="CKY103" s="38"/>
      <c r="CKZ103" s="14"/>
      <c r="CLA103" s="14"/>
      <c r="CLB103" s="14"/>
      <c r="CLC103" s="14"/>
      <c r="CLD103" s="36"/>
      <c r="CLE103" s="14"/>
      <c r="CLF103" s="44"/>
      <c r="CLG103" s="38"/>
      <c r="CLH103" s="14"/>
      <c r="CLI103" s="14"/>
      <c r="CLJ103" s="14"/>
      <c r="CLK103" s="14"/>
      <c r="CLL103" s="36"/>
      <c r="CLM103" s="14"/>
      <c r="CLN103" s="44"/>
      <c r="CLO103" s="38"/>
      <c r="CLP103" s="14"/>
      <c r="CLQ103" s="14"/>
      <c r="CLR103" s="14"/>
      <c r="CLS103" s="14"/>
      <c r="CLT103" s="36"/>
      <c r="CLU103" s="14"/>
      <c r="CLV103" s="44"/>
      <c r="CLW103" s="38"/>
      <c r="CLX103" s="14"/>
      <c r="CLY103" s="14"/>
      <c r="CLZ103" s="14"/>
      <c r="CMA103" s="14"/>
      <c r="CMB103" s="36"/>
      <c r="CMC103" s="14"/>
      <c r="CMD103" s="44"/>
      <c r="CME103" s="38"/>
      <c r="CMF103" s="14"/>
      <c r="CMG103" s="14"/>
      <c r="CMH103" s="14"/>
      <c r="CMI103" s="14"/>
      <c r="CMJ103" s="36"/>
      <c r="CMK103" s="14"/>
      <c r="CML103" s="44"/>
      <c r="CMM103" s="38"/>
      <c r="CMN103" s="14"/>
      <c r="CMO103" s="14"/>
      <c r="CMP103" s="14"/>
      <c r="CMQ103" s="14"/>
      <c r="CMR103" s="36"/>
      <c r="CMS103" s="14"/>
      <c r="CMT103" s="44"/>
      <c r="CMU103" s="38"/>
      <c r="CMV103" s="14"/>
      <c r="CMW103" s="14"/>
      <c r="CMX103" s="14"/>
      <c r="CMY103" s="14"/>
      <c r="CMZ103" s="36"/>
      <c r="CNA103" s="14"/>
      <c r="CNB103" s="44"/>
      <c r="CNC103" s="38"/>
      <c r="CND103" s="14"/>
      <c r="CNE103" s="14"/>
      <c r="CNF103" s="14"/>
      <c r="CNG103" s="14"/>
      <c r="CNH103" s="36"/>
      <c r="CNI103" s="14"/>
      <c r="CNJ103" s="44"/>
      <c r="CNK103" s="38"/>
      <c r="CNL103" s="14"/>
      <c r="CNM103" s="14"/>
      <c r="CNN103" s="14"/>
      <c r="CNO103" s="14"/>
      <c r="CNP103" s="36"/>
      <c r="CNQ103" s="14"/>
      <c r="CNR103" s="44"/>
      <c r="CNS103" s="38"/>
      <c r="CNT103" s="14"/>
      <c r="CNU103" s="14"/>
      <c r="CNV103" s="14"/>
      <c r="CNW103" s="14"/>
      <c r="CNX103" s="36"/>
      <c r="CNY103" s="14"/>
      <c r="CNZ103" s="44"/>
      <c r="COA103" s="38"/>
      <c r="COB103" s="14"/>
      <c r="COC103" s="14"/>
      <c r="COD103" s="14"/>
      <c r="COE103" s="14"/>
      <c r="COF103" s="36"/>
      <c r="COG103" s="14"/>
      <c r="COH103" s="44"/>
      <c r="COI103" s="38"/>
      <c r="COJ103" s="14"/>
      <c r="COK103" s="14"/>
      <c r="COL103" s="14"/>
      <c r="COM103" s="14"/>
      <c r="CON103" s="36"/>
      <c r="COO103" s="14"/>
      <c r="COP103" s="44"/>
      <c r="COQ103" s="38"/>
      <c r="COR103" s="14"/>
      <c r="COS103" s="14"/>
      <c r="COT103" s="14"/>
      <c r="COU103" s="14"/>
      <c r="COV103" s="36"/>
      <c r="COW103" s="14"/>
      <c r="COX103" s="44"/>
      <c r="COY103" s="38"/>
      <c r="COZ103" s="14"/>
      <c r="CPA103" s="14"/>
      <c r="CPB103" s="14"/>
      <c r="CPC103" s="14"/>
      <c r="CPD103" s="36"/>
      <c r="CPE103" s="14"/>
      <c r="CPF103" s="44"/>
      <c r="CPG103" s="38"/>
      <c r="CPH103" s="14"/>
      <c r="CPI103" s="14"/>
      <c r="CPJ103" s="14"/>
      <c r="CPK103" s="14"/>
      <c r="CPL103" s="36"/>
      <c r="CPM103" s="14"/>
      <c r="CPN103" s="44"/>
      <c r="CPO103" s="38"/>
      <c r="CPP103" s="14"/>
      <c r="CPQ103" s="14"/>
      <c r="CPR103" s="14"/>
      <c r="CPS103" s="14"/>
      <c r="CPT103" s="36"/>
      <c r="CPU103" s="14"/>
      <c r="CPV103" s="44"/>
      <c r="CPW103" s="38"/>
      <c r="CPX103" s="14"/>
      <c r="CPY103" s="14"/>
      <c r="CPZ103" s="14"/>
      <c r="CQA103" s="14"/>
      <c r="CQB103" s="36"/>
      <c r="CQC103" s="14"/>
      <c r="CQD103" s="44"/>
      <c r="CQE103" s="38"/>
      <c r="CQF103" s="14"/>
      <c r="CQG103" s="14"/>
      <c r="CQH103" s="14"/>
      <c r="CQI103" s="14"/>
      <c r="CQJ103" s="36"/>
      <c r="CQK103" s="14"/>
      <c r="CQL103" s="44"/>
      <c r="CQM103" s="38"/>
      <c r="CQN103" s="14"/>
      <c r="CQO103" s="14"/>
      <c r="CQP103" s="14"/>
      <c r="CQQ103" s="14"/>
      <c r="CQR103" s="36"/>
      <c r="CQS103" s="14"/>
      <c r="CQT103" s="44"/>
      <c r="CQU103" s="38"/>
      <c r="CQV103" s="14"/>
      <c r="CQW103" s="14"/>
      <c r="CQX103" s="14"/>
      <c r="CQY103" s="14"/>
      <c r="CQZ103" s="36"/>
      <c r="CRA103" s="14"/>
      <c r="CRB103" s="44"/>
      <c r="CRC103" s="38"/>
      <c r="CRD103" s="14"/>
      <c r="CRE103" s="14"/>
      <c r="CRF103" s="14"/>
      <c r="CRG103" s="14"/>
      <c r="CRH103" s="36"/>
      <c r="CRI103" s="14"/>
      <c r="CRJ103" s="44"/>
      <c r="CRK103" s="38"/>
      <c r="CRL103" s="14"/>
      <c r="CRM103" s="14"/>
      <c r="CRN103" s="14"/>
      <c r="CRO103" s="14"/>
      <c r="CRP103" s="36"/>
      <c r="CRQ103" s="14"/>
      <c r="CRR103" s="44"/>
      <c r="CRS103" s="38"/>
      <c r="CRT103" s="14"/>
      <c r="CRU103" s="14"/>
      <c r="CRV103" s="14"/>
      <c r="CRW103" s="14"/>
      <c r="CRX103" s="36"/>
      <c r="CRY103" s="14"/>
      <c r="CRZ103" s="44"/>
      <c r="CSA103" s="38"/>
      <c r="CSB103" s="14"/>
      <c r="CSC103" s="14"/>
      <c r="CSD103" s="14"/>
      <c r="CSE103" s="14"/>
      <c r="CSF103" s="36"/>
      <c r="CSG103" s="14"/>
      <c r="CSH103" s="44"/>
      <c r="CSI103" s="38"/>
      <c r="CSJ103" s="14"/>
      <c r="CSK103" s="14"/>
      <c r="CSL103" s="14"/>
      <c r="CSM103" s="14"/>
      <c r="CSN103" s="36"/>
      <c r="CSO103" s="14"/>
      <c r="CSP103" s="44"/>
      <c r="CSQ103" s="38"/>
      <c r="CSR103" s="14"/>
      <c r="CSS103" s="14"/>
      <c r="CST103" s="14"/>
      <c r="CSU103" s="14"/>
      <c r="CSV103" s="36"/>
      <c r="CSW103" s="14"/>
      <c r="CSX103" s="44"/>
      <c r="CSY103" s="38"/>
      <c r="CSZ103" s="14"/>
      <c r="CTA103" s="14"/>
      <c r="CTB103" s="14"/>
      <c r="CTC103" s="14"/>
      <c r="CTD103" s="36"/>
      <c r="CTE103" s="14"/>
      <c r="CTF103" s="44"/>
      <c r="CTG103" s="38"/>
      <c r="CTH103" s="14"/>
      <c r="CTI103" s="14"/>
      <c r="CTJ103" s="14"/>
      <c r="CTK103" s="14"/>
      <c r="CTL103" s="36"/>
      <c r="CTM103" s="14"/>
      <c r="CTN103" s="44"/>
      <c r="CTO103" s="38"/>
      <c r="CTP103" s="14"/>
      <c r="CTQ103" s="14"/>
      <c r="CTR103" s="14"/>
      <c r="CTS103" s="14"/>
      <c r="CTT103" s="36"/>
      <c r="CTU103" s="14"/>
      <c r="CTV103" s="44"/>
      <c r="CTW103" s="38"/>
      <c r="CTX103" s="14"/>
      <c r="CTY103" s="14"/>
      <c r="CTZ103" s="14"/>
      <c r="CUA103" s="14"/>
      <c r="CUB103" s="36"/>
      <c r="CUC103" s="14"/>
      <c r="CUD103" s="44"/>
      <c r="CUE103" s="38"/>
      <c r="CUF103" s="14"/>
      <c r="CUG103" s="14"/>
      <c r="CUH103" s="14"/>
      <c r="CUI103" s="14"/>
      <c r="CUJ103" s="36"/>
      <c r="CUK103" s="14"/>
      <c r="CUL103" s="44"/>
      <c r="CUM103" s="38"/>
      <c r="CUN103" s="14"/>
      <c r="CUO103" s="14"/>
      <c r="CUP103" s="14"/>
      <c r="CUQ103" s="14"/>
      <c r="CUR103" s="36"/>
      <c r="CUS103" s="14"/>
      <c r="CUT103" s="44"/>
      <c r="CUU103" s="38"/>
      <c r="CUV103" s="14"/>
      <c r="CUW103" s="14"/>
      <c r="CUX103" s="14"/>
      <c r="CUY103" s="14"/>
      <c r="CUZ103" s="36"/>
      <c r="CVA103" s="14"/>
      <c r="CVB103" s="44"/>
      <c r="CVC103" s="38"/>
      <c r="CVD103" s="14"/>
      <c r="CVE103" s="14"/>
      <c r="CVF103" s="14"/>
      <c r="CVG103" s="14"/>
      <c r="CVH103" s="36"/>
      <c r="CVI103" s="14"/>
      <c r="CVJ103" s="44"/>
      <c r="CVK103" s="38"/>
      <c r="CVL103" s="14"/>
      <c r="CVM103" s="14"/>
      <c r="CVN103" s="14"/>
      <c r="CVO103" s="14"/>
      <c r="CVP103" s="36"/>
      <c r="CVQ103" s="14"/>
      <c r="CVR103" s="44"/>
      <c r="CVS103" s="38"/>
      <c r="CVT103" s="14"/>
      <c r="CVU103" s="14"/>
      <c r="CVV103" s="14"/>
      <c r="CVW103" s="14"/>
      <c r="CVX103" s="36"/>
      <c r="CVY103" s="14"/>
      <c r="CVZ103" s="44"/>
      <c r="CWA103" s="38"/>
      <c r="CWB103" s="14"/>
      <c r="CWC103" s="14"/>
      <c r="CWD103" s="14"/>
      <c r="CWE103" s="14"/>
      <c r="CWF103" s="36"/>
      <c r="CWG103" s="14"/>
      <c r="CWH103" s="44"/>
      <c r="CWI103" s="38"/>
      <c r="CWJ103" s="14"/>
      <c r="CWK103" s="14"/>
      <c r="CWL103" s="14"/>
      <c r="CWM103" s="14"/>
      <c r="CWN103" s="36"/>
      <c r="CWO103" s="14"/>
      <c r="CWP103" s="44"/>
      <c r="CWQ103" s="38"/>
      <c r="CWR103" s="14"/>
      <c r="CWS103" s="14"/>
      <c r="CWT103" s="14"/>
      <c r="CWU103" s="14"/>
      <c r="CWV103" s="36"/>
      <c r="CWW103" s="14"/>
      <c r="CWX103" s="44"/>
      <c r="CWY103" s="38"/>
      <c r="CWZ103" s="14"/>
      <c r="CXA103" s="14"/>
      <c r="CXB103" s="14"/>
      <c r="CXC103" s="14"/>
      <c r="CXD103" s="36"/>
      <c r="CXE103" s="14"/>
      <c r="CXF103" s="44"/>
      <c r="CXG103" s="38"/>
      <c r="CXH103" s="14"/>
      <c r="CXI103" s="14"/>
      <c r="CXJ103" s="14"/>
      <c r="CXK103" s="14"/>
      <c r="CXL103" s="36"/>
      <c r="CXM103" s="14"/>
      <c r="CXN103" s="44"/>
      <c r="CXO103" s="38"/>
      <c r="CXP103" s="14"/>
      <c r="CXQ103" s="14"/>
      <c r="CXR103" s="14"/>
      <c r="CXS103" s="14"/>
      <c r="CXT103" s="36"/>
      <c r="CXU103" s="14"/>
      <c r="CXV103" s="44"/>
      <c r="CXW103" s="38"/>
      <c r="CXX103" s="14"/>
      <c r="CXY103" s="14"/>
      <c r="CXZ103" s="14"/>
      <c r="CYA103" s="14"/>
      <c r="CYB103" s="36"/>
      <c r="CYC103" s="14"/>
      <c r="CYD103" s="44"/>
      <c r="CYE103" s="38"/>
      <c r="CYF103" s="14"/>
      <c r="CYG103" s="14"/>
      <c r="CYH103" s="14"/>
      <c r="CYI103" s="14"/>
      <c r="CYJ103" s="36"/>
      <c r="CYK103" s="14"/>
      <c r="CYL103" s="44"/>
      <c r="CYM103" s="38"/>
      <c r="CYN103" s="14"/>
      <c r="CYO103" s="14"/>
      <c r="CYP103" s="14"/>
      <c r="CYQ103" s="14"/>
      <c r="CYR103" s="36"/>
      <c r="CYS103" s="14"/>
      <c r="CYT103" s="44"/>
      <c r="CYU103" s="38"/>
      <c r="CYV103" s="14"/>
      <c r="CYW103" s="14"/>
      <c r="CYX103" s="14"/>
      <c r="CYY103" s="14"/>
      <c r="CYZ103" s="36"/>
      <c r="CZA103" s="14"/>
      <c r="CZB103" s="44"/>
      <c r="CZC103" s="38"/>
      <c r="CZD103" s="14"/>
      <c r="CZE103" s="14"/>
      <c r="CZF103" s="14"/>
      <c r="CZG103" s="14"/>
      <c r="CZH103" s="36"/>
      <c r="CZI103" s="14"/>
      <c r="CZJ103" s="44"/>
      <c r="CZK103" s="38"/>
      <c r="CZL103" s="14"/>
      <c r="CZM103" s="14"/>
      <c r="CZN103" s="14"/>
      <c r="CZO103" s="14"/>
      <c r="CZP103" s="36"/>
      <c r="CZQ103" s="14"/>
      <c r="CZR103" s="44"/>
      <c r="CZS103" s="38"/>
      <c r="CZT103" s="14"/>
      <c r="CZU103" s="14"/>
      <c r="CZV103" s="14"/>
      <c r="CZW103" s="14"/>
      <c r="CZX103" s="36"/>
      <c r="CZY103" s="14"/>
      <c r="CZZ103" s="44"/>
      <c r="DAA103" s="38"/>
      <c r="DAB103" s="14"/>
      <c r="DAC103" s="14"/>
      <c r="DAD103" s="14"/>
      <c r="DAE103" s="14"/>
      <c r="DAF103" s="36"/>
      <c r="DAG103" s="14"/>
      <c r="DAH103" s="44"/>
      <c r="DAI103" s="38"/>
      <c r="DAJ103" s="14"/>
      <c r="DAK103" s="14"/>
      <c r="DAL103" s="14"/>
      <c r="DAM103" s="14"/>
      <c r="DAN103" s="36"/>
      <c r="DAO103" s="14"/>
      <c r="DAP103" s="44"/>
      <c r="DAQ103" s="38"/>
      <c r="DAR103" s="14"/>
      <c r="DAS103" s="14"/>
      <c r="DAT103" s="14"/>
      <c r="DAU103" s="14"/>
      <c r="DAV103" s="36"/>
      <c r="DAW103" s="14"/>
      <c r="DAX103" s="44"/>
      <c r="DAY103" s="38"/>
      <c r="DAZ103" s="14"/>
      <c r="DBA103" s="14"/>
      <c r="DBB103" s="14"/>
      <c r="DBC103" s="14"/>
      <c r="DBD103" s="36"/>
      <c r="DBE103" s="14"/>
      <c r="DBF103" s="44"/>
      <c r="DBG103" s="38"/>
      <c r="DBH103" s="14"/>
      <c r="DBI103" s="14"/>
      <c r="DBJ103" s="14"/>
      <c r="DBK103" s="14"/>
      <c r="DBL103" s="36"/>
      <c r="DBM103" s="14"/>
      <c r="DBN103" s="44"/>
      <c r="DBO103" s="38"/>
      <c r="DBP103" s="14"/>
      <c r="DBQ103" s="14"/>
      <c r="DBR103" s="14"/>
      <c r="DBS103" s="14"/>
      <c r="DBT103" s="36"/>
      <c r="DBU103" s="14"/>
      <c r="DBV103" s="44"/>
      <c r="DBW103" s="38"/>
      <c r="DBX103" s="14"/>
      <c r="DBY103" s="14"/>
      <c r="DBZ103" s="14"/>
      <c r="DCA103" s="14"/>
      <c r="DCB103" s="36"/>
      <c r="DCC103" s="14"/>
      <c r="DCD103" s="44"/>
      <c r="DCE103" s="38"/>
      <c r="DCF103" s="14"/>
      <c r="DCG103" s="14"/>
      <c r="DCH103" s="14"/>
      <c r="DCI103" s="14"/>
      <c r="DCJ103" s="36"/>
      <c r="DCK103" s="14"/>
      <c r="DCL103" s="44"/>
      <c r="DCM103" s="38"/>
      <c r="DCN103" s="14"/>
      <c r="DCO103" s="14"/>
      <c r="DCP103" s="14"/>
      <c r="DCQ103" s="14"/>
      <c r="DCR103" s="36"/>
      <c r="DCS103" s="14"/>
      <c r="DCT103" s="44"/>
      <c r="DCU103" s="38"/>
      <c r="DCV103" s="14"/>
      <c r="DCW103" s="14"/>
      <c r="DCX103" s="14"/>
      <c r="DCY103" s="14"/>
      <c r="DCZ103" s="36"/>
      <c r="DDA103" s="14"/>
      <c r="DDB103" s="44"/>
      <c r="DDC103" s="38"/>
      <c r="DDD103" s="14"/>
      <c r="DDE103" s="14"/>
      <c r="DDF103" s="14"/>
      <c r="DDG103" s="14"/>
      <c r="DDH103" s="36"/>
      <c r="DDI103" s="14"/>
      <c r="DDJ103" s="44"/>
      <c r="DDK103" s="38"/>
      <c r="DDL103" s="14"/>
      <c r="DDM103" s="14"/>
      <c r="DDN103" s="14"/>
      <c r="DDO103" s="14"/>
      <c r="DDP103" s="36"/>
      <c r="DDQ103" s="14"/>
      <c r="DDR103" s="44"/>
      <c r="DDS103" s="38"/>
      <c r="DDT103" s="14"/>
      <c r="DDU103" s="14"/>
      <c r="DDV103" s="14"/>
      <c r="DDW103" s="14"/>
      <c r="DDX103" s="36"/>
      <c r="DDY103" s="14"/>
      <c r="DDZ103" s="44"/>
      <c r="DEA103" s="38"/>
      <c r="DEB103" s="14"/>
      <c r="DEC103" s="14"/>
      <c r="DED103" s="14"/>
      <c r="DEE103" s="14"/>
      <c r="DEF103" s="36"/>
      <c r="DEG103" s="14"/>
      <c r="DEH103" s="44"/>
      <c r="DEI103" s="38"/>
      <c r="DEJ103" s="14"/>
      <c r="DEK103" s="14"/>
      <c r="DEL103" s="14"/>
      <c r="DEM103" s="14"/>
      <c r="DEN103" s="36"/>
      <c r="DEO103" s="14"/>
      <c r="DEP103" s="44"/>
      <c r="DEQ103" s="38"/>
      <c r="DER103" s="14"/>
      <c r="DES103" s="14"/>
      <c r="DET103" s="14"/>
      <c r="DEU103" s="14"/>
      <c r="DEV103" s="36"/>
      <c r="DEW103" s="14"/>
      <c r="DEX103" s="44"/>
      <c r="DEY103" s="38"/>
      <c r="DEZ103" s="14"/>
      <c r="DFA103" s="14"/>
      <c r="DFB103" s="14"/>
      <c r="DFC103" s="14"/>
      <c r="DFD103" s="36"/>
      <c r="DFE103" s="14"/>
      <c r="DFF103" s="44"/>
      <c r="DFG103" s="38"/>
      <c r="DFH103" s="14"/>
      <c r="DFI103" s="14"/>
      <c r="DFJ103" s="14"/>
      <c r="DFK103" s="14"/>
      <c r="DFL103" s="36"/>
      <c r="DFM103" s="14"/>
      <c r="DFN103" s="44"/>
      <c r="DFO103" s="38"/>
      <c r="DFP103" s="14"/>
      <c r="DFQ103" s="14"/>
      <c r="DFR103" s="14"/>
      <c r="DFS103" s="14"/>
      <c r="DFT103" s="36"/>
      <c r="DFU103" s="14"/>
      <c r="DFV103" s="44"/>
      <c r="DFW103" s="38"/>
      <c r="DFX103" s="14"/>
      <c r="DFY103" s="14"/>
      <c r="DFZ103" s="14"/>
      <c r="DGA103" s="14"/>
      <c r="DGB103" s="36"/>
      <c r="DGC103" s="14"/>
      <c r="DGD103" s="44"/>
      <c r="DGE103" s="38"/>
      <c r="DGF103" s="14"/>
      <c r="DGG103" s="14"/>
      <c r="DGH103" s="14"/>
      <c r="DGI103" s="14"/>
      <c r="DGJ103" s="36"/>
      <c r="DGK103" s="14"/>
      <c r="DGL103" s="44"/>
      <c r="DGM103" s="38"/>
      <c r="DGN103" s="14"/>
      <c r="DGO103" s="14"/>
      <c r="DGP103" s="14"/>
      <c r="DGQ103" s="14"/>
      <c r="DGR103" s="36"/>
      <c r="DGS103" s="14"/>
      <c r="DGT103" s="44"/>
      <c r="DGU103" s="38"/>
      <c r="DGV103" s="14"/>
      <c r="DGW103" s="14"/>
      <c r="DGX103" s="14"/>
      <c r="DGY103" s="14"/>
      <c r="DGZ103" s="36"/>
      <c r="DHA103" s="14"/>
      <c r="DHB103" s="44"/>
      <c r="DHC103" s="38"/>
      <c r="DHD103" s="14"/>
      <c r="DHE103" s="14"/>
      <c r="DHF103" s="14"/>
      <c r="DHG103" s="14"/>
      <c r="DHH103" s="36"/>
      <c r="DHI103" s="14"/>
      <c r="DHJ103" s="44"/>
      <c r="DHK103" s="38"/>
      <c r="DHL103" s="14"/>
      <c r="DHM103" s="14"/>
      <c r="DHN103" s="14"/>
      <c r="DHO103" s="14"/>
      <c r="DHP103" s="36"/>
      <c r="DHQ103" s="14"/>
      <c r="DHR103" s="44"/>
      <c r="DHS103" s="38"/>
      <c r="DHT103" s="14"/>
      <c r="DHU103" s="14"/>
      <c r="DHV103" s="14"/>
      <c r="DHW103" s="14"/>
      <c r="DHX103" s="36"/>
      <c r="DHY103" s="14"/>
      <c r="DHZ103" s="44"/>
      <c r="DIA103" s="38"/>
      <c r="DIB103" s="14"/>
      <c r="DIC103" s="14"/>
      <c r="DID103" s="14"/>
      <c r="DIE103" s="14"/>
      <c r="DIF103" s="36"/>
      <c r="DIG103" s="14"/>
      <c r="DIH103" s="44"/>
      <c r="DII103" s="38"/>
      <c r="DIJ103" s="14"/>
      <c r="DIK103" s="14"/>
      <c r="DIL103" s="14"/>
      <c r="DIM103" s="14"/>
      <c r="DIN103" s="36"/>
      <c r="DIO103" s="14"/>
      <c r="DIP103" s="44"/>
      <c r="DIQ103" s="38"/>
      <c r="DIR103" s="14"/>
      <c r="DIS103" s="14"/>
      <c r="DIT103" s="14"/>
      <c r="DIU103" s="14"/>
      <c r="DIV103" s="36"/>
      <c r="DIW103" s="14"/>
      <c r="DIX103" s="44"/>
      <c r="DIY103" s="38"/>
      <c r="DIZ103" s="14"/>
      <c r="DJA103" s="14"/>
      <c r="DJB103" s="14"/>
      <c r="DJC103" s="14"/>
      <c r="DJD103" s="36"/>
      <c r="DJE103" s="14"/>
      <c r="DJF103" s="44"/>
      <c r="DJG103" s="38"/>
      <c r="DJH103" s="14"/>
      <c r="DJI103" s="14"/>
      <c r="DJJ103" s="14"/>
      <c r="DJK103" s="14"/>
      <c r="DJL103" s="36"/>
      <c r="DJM103" s="14"/>
      <c r="DJN103" s="44"/>
      <c r="DJO103" s="38"/>
      <c r="DJP103" s="14"/>
      <c r="DJQ103" s="14"/>
      <c r="DJR103" s="14"/>
      <c r="DJS103" s="14"/>
      <c r="DJT103" s="36"/>
      <c r="DJU103" s="14"/>
      <c r="DJV103" s="44"/>
      <c r="DJW103" s="38"/>
      <c r="DJX103" s="14"/>
      <c r="DJY103" s="14"/>
      <c r="DJZ103" s="14"/>
      <c r="DKA103" s="14"/>
      <c r="DKB103" s="36"/>
      <c r="DKC103" s="14"/>
      <c r="DKD103" s="44"/>
      <c r="DKE103" s="38"/>
      <c r="DKF103" s="14"/>
      <c r="DKG103" s="14"/>
      <c r="DKH103" s="14"/>
      <c r="DKI103" s="14"/>
      <c r="DKJ103" s="36"/>
      <c r="DKK103" s="14"/>
      <c r="DKL103" s="44"/>
      <c r="DKM103" s="38"/>
      <c r="DKN103" s="14"/>
      <c r="DKO103" s="14"/>
      <c r="DKP103" s="14"/>
      <c r="DKQ103" s="14"/>
      <c r="DKR103" s="36"/>
      <c r="DKS103" s="14"/>
      <c r="DKT103" s="44"/>
      <c r="DKU103" s="38"/>
      <c r="DKV103" s="14"/>
      <c r="DKW103" s="14"/>
      <c r="DKX103" s="14"/>
      <c r="DKY103" s="14"/>
      <c r="DKZ103" s="36"/>
      <c r="DLA103" s="14"/>
      <c r="DLB103" s="44"/>
      <c r="DLC103" s="38"/>
      <c r="DLD103" s="14"/>
      <c r="DLE103" s="14"/>
      <c r="DLF103" s="14"/>
      <c r="DLG103" s="14"/>
      <c r="DLH103" s="36"/>
      <c r="DLI103" s="14"/>
      <c r="DLJ103" s="44"/>
      <c r="DLK103" s="38"/>
      <c r="DLL103" s="14"/>
      <c r="DLM103" s="14"/>
      <c r="DLN103" s="14"/>
      <c r="DLO103" s="14"/>
      <c r="DLP103" s="36"/>
      <c r="DLQ103" s="14"/>
      <c r="DLR103" s="44"/>
      <c r="DLS103" s="38"/>
      <c r="DLT103" s="14"/>
      <c r="DLU103" s="14"/>
      <c r="DLV103" s="14"/>
      <c r="DLW103" s="14"/>
      <c r="DLX103" s="36"/>
      <c r="DLY103" s="14"/>
      <c r="DLZ103" s="44"/>
      <c r="DMA103" s="38"/>
      <c r="DMB103" s="14"/>
      <c r="DMC103" s="14"/>
      <c r="DMD103" s="14"/>
      <c r="DME103" s="14"/>
      <c r="DMF103" s="36"/>
      <c r="DMG103" s="14"/>
      <c r="DMH103" s="44"/>
      <c r="DMI103" s="38"/>
      <c r="DMJ103" s="14"/>
      <c r="DMK103" s="14"/>
      <c r="DML103" s="14"/>
      <c r="DMM103" s="14"/>
      <c r="DMN103" s="36"/>
      <c r="DMO103" s="14"/>
      <c r="DMP103" s="44"/>
      <c r="DMQ103" s="38"/>
      <c r="DMR103" s="14"/>
      <c r="DMS103" s="14"/>
      <c r="DMT103" s="14"/>
      <c r="DMU103" s="14"/>
      <c r="DMV103" s="36"/>
      <c r="DMW103" s="14"/>
      <c r="DMX103" s="44"/>
      <c r="DMY103" s="38"/>
      <c r="DMZ103" s="14"/>
      <c r="DNA103" s="14"/>
      <c r="DNB103" s="14"/>
      <c r="DNC103" s="14"/>
      <c r="DND103" s="36"/>
      <c r="DNE103" s="14"/>
      <c r="DNF103" s="44"/>
      <c r="DNG103" s="38"/>
      <c r="DNH103" s="14"/>
      <c r="DNI103" s="14"/>
      <c r="DNJ103" s="14"/>
      <c r="DNK103" s="14"/>
      <c r="DNL103" s="36"/>
      <c r="DNM103" s="14"/>
      <c r="DNN103" s="44"/>
      <c r="DNO103" s="38"/>
      <c r="DNP103" s="14"/>
      <c r="DNQ103" s="14"/>
      <c r="DNR103" s="14"/>
      <c r="DNS103" s="14"/>
      <c r="DNT103" s="36"/>
      <c r="DNU103" s="14"/>
      <c r="DNV103" s="44"/>
      <c r="DNW103" s="38"/>
      <c r="DNX103" s="14"/>
      <c r="DNY103" s="14"/>
      <c r="DNZ103" s="14"/>
      <c r="DOA103" s="14"/>
      <c r="DOB103" s="36"/>
      <c r="DOC103" s="14"/>
      <c r="DOD103" s="44"/>
      <c r="DOE103" s="38"/>
      <c r="DOF103" s="14"/>
      <c r="DOG103" s="14"/>
      <c r="DOH103" s="14"/>
      <c r="DOI103" s="14"/>
      <c r="DOJ103" s="36"/>
      <c r="DOK103" s="14"/>
      <c r="DOL103" s="44"/>
      <c r="DOM103" s="38"/>
      <c r="DON103" s="14"/>
      <c r="DOO103" s="14"/>
      <c r="DOP103" s="14"/>
      <c r="DOQ103" s="14"/>
      <c r="DOR103" s="36"/>
      <c r="DOS103" s="14"/>
      <c r="DOT103" s="44"/>
      <c r="DOU103" s="38"/>
      <c r="DOV103" s="14"/>
      <c r="DOW103" s="14"/>
      <c r="DOX103" s="14"/>
      <c r="DOY103" s="14"/>
      <c r="DOZ103" s="36"/>
      <c r="DPA103" s="14"/>
      <c r="DPB103" s="44"/>
      <c r="DPC103" s="38"/>
      <c r="DPD103" s="14"/>
      <c r="DPE103" s="14"/>
      <c r="DPF103" s="14"/>
      <c r="DPG103" s="14"/>
      <c r="DPH103" s="36"/>
      <c r="DPI103" s="14"/>
      <c r="DPJ103" s="44"/>
      <c r="DPK103" s="38"/>
      <c r="DPL103" s="14"/>
      <c r="DPM103" s="14"/>
      <c r="DPN103" s="14"/>
      <c r="DPO103" s="14"/>
      <c r="DPP103" s="36"/>
      <c r="DPQ103" s="14"/>
      <c r="DPR103" s="44"/>
      <c r="DPS103" s="38"/>
      <c r="DPT103" s="14"/>
      <c r="DPU103" s="14"/>
      <c r="DPV103" s="14"/>
      <c r="DPW103" s="14"/>
      <c r="DPX103" s="36"/>
      <c r="DPY103" s="14"/>
      <c r="DPZ103" s="44"/>
      <c r="DQA103" s="38"/>
      <c r="DQB103" s="14"/>
      <c r="DQC103" s="14"/>
      <c r="DQD103" s="14"/>
      <c r="DQE103" s="14"/>
      <c r="DQF103" s="36"/>
      <c r="DQG103" s="14"/>
      <c r="DQH103" s="44"/>
      <c r="DQI103" s="38"/>
      <c r="DQJ103" s="14"/>
      <c r="DQK103" s="14"/>
      <c r="DQL103" s="14"/>
      <c r="DQM103" s="14"/>
      <c r="DQN103" s="36"/>
      <c r="DQO103" s="14"/>
      <c r="DQP103" s="44"/>
      <c r="DQQ103" s="38"/>
      <c r="DQR103" s="14"/>
      <c r="DQS103" s="14"/>
      <c r="DQT103" s="14"/>
      <c r="DQU103" s="14"/>
      <c r="DQV103" s="36"/>
      <c r="DQW103" s="14"/>
      <c r="DQX103" s="44"/>
      <c r="DQY103" s="38"/>
      <c r="DQZ103" s="14"/>
      <c r="DRA103" s="14"/>
      <c r="DRB103" s="14"/>
      <c r="DRC103" s="14"/>
      <c r="DRD103" s="36"/>
      <c r="DRE103" s="14"/>
      <c r="DRF103" s="44"/>
      <c r="DRG103" s="38"/>
      <c r="DRH103" s="14"/>
      <c r="DRI103" s="14"/>
      <c r="DRJ103" s="14"/>
      <c r="DRK103" s="14"/>
      <c r="DRL103" s="36"/>
      <c r="DRM103" s="14"/>
      <c r="DRN103" s="44"/>
      <c r="DRO103" s="38"/>
      <c r="DRP103" s="14"/>
      <c r="DRQ103" s="14"/>
      <c r="DRR103" s="14"/>
      <c r="DRS103" s="14"/>
      <c r="DRT103" s="36"/>
      <c r="DRU103" s="14"/>
      <c r="DRV103" s="44"/>
      <c r="DRW103" s="38"/>
      <c r="DRX103" s="14"/>
      <c r="DRY103" s="14"/>
      <c r="DRZ103" s="14"/>
      <c r="DSA103" s="14"/>
      <c r="DSB103" s="36"/>
      <c r="DSC103" s="14"/>
      <c r="DSD103" s="44"/>
      <c r="DSE103" s="38"/>
      <c r="DSF103" s="14"/>
      <c r="DSG103" s="14"/>
      <c r="DSH103" s="14"/>
      <c r="DSI103" s="14"/>
      <c r="DSJ103" s="36"/>
      <c r="DSK103" s="14"/>
      <c r="DSL103" s="44"/>
      <c r="DSM103" s="38"/>
      <c r="DSN103" s="14"/>
      <c r="DSO103" s="14"/>
      <c r="DSP103" s="14"/>
      <c r="DSQ103" s="14"/>
      <c r="DSR103" s="36"/>
      <c r="DSS103" s="14"/>
      <c r="DST103" s="44"/>
      <c r="DSU103" s="38"/>
      <c r="DSV103" s="14"/>
      <c r="DSW103" s="14"/>
      <c r="DSX103" s="14"/>
      <c r="DSY103" s="14"/>
      <c r="DSZ103" s="36"/>
      <c r="DTA103" s="14"/>
      <c r="DTB103" s="44"/>
      <c r="DTC103" s="38"/>
      <c r="DTD103" s="14"/>
      <c r="DTE103" s="14"/>
      <c r="DTF103" s="14"/>
      <c r="DTG103" s="14"/>
      <c r="DTH103" s="36"/>
      <c r="DTI103" s="14"/>
      <c r="DTJ103" s="44"/>
      <c r="DTK103" s="38"/>
      <c r="DTL103" s="14"/>
      <c r="DTM103" s="14"/>
      <c r="DTN103" s="14"/>
      <c r="DTO103" s="14"/>
      <c r="DTP103" s="36"/>
      <c r="DTQ103" s="14"/>
      <c r="DTR103" s="44"/>
      <c r="DTS103" s="38"/>
      <c r="DTT103" s="14"/>
      <c r="DTU103" s="14"/>
      <c r="DTV103" s="14"/>
      <c r="DTW103" s="14"/>
      <c r="DTX103" s="36"/>
      <c r="DTY103" s="14"/>
      <c r="DTZ103" s="44"/>
      <c r="DUA103" s="38"/>
      <c r="DUB103" s="14"/>
      <c r="DUC103" s="14"/>
      <c r="DUD103" s="14"/>
      <c r="DUE103" s="14"/>
      <c r="DUF103" s="36"/>
      <c r="DUG103" s="14"/>
      <c r="DUH103" s="44"/>
      <c r="DUI103" s="38"/>
      <c r="DUJ103" s="14"/>
      <c r="DUK103" s="14"/>
      <c r="DUL103" s="14"/>
      <c r="DUM103" s="14"/>
      <c r="DUN103" s="36"/>
      <c r="DUO103" s="14"/>
      <c r="DUP103" s="44"/>
      <c r="DUQ103" s="38"/>
      <c r="DUR103" s="14"/>
      <c r="DUS103" s="14"/>
      <c r="DUT103" s="14"/>
      <c r="DUU103" s="14"/>
      <c r="DUV103" s="36"/>
      <c r="DUW103" s="14"/>
      <c r="DUX103" s="44"/>
      <c r="DUY103" s="38"/>
      <c r="DUZ103" s="14"/>
      <c r="DVA103" s="14"/>
      <c r="DVB103" s="14"/>
      <c r="DVC103" s="14"/>
      <c r="DVD103" s="36"/>
      <c r="DVE103" s="14"/>
      <c r="DVF103" s="44"/>
      <c r="DVG103" s="38"/>
      <c r="DVH103" s="14"/>
      <c r="DVI103" s="14"/>
      <c r="DVJ103" s="14"/>
      <c r="DVK103" s="14"/>
      <c r="DVL103" s="36"/>
      <c r="DVM103" s="14"/>
      <c r="DVN103" s="44"/>
      <c r="DVO103" s="38"/>
      <c r="DVP103" s="14"/>
      <c r="DVQ103" s="14"/>
      <c r="DVR103" s="14"/>
      <c r="DVS103" s="14"/>
      <c r="DVT103" s="36"/>
      <c r="DVU103" s="14"/>
      <c r="DVV103" s="44"/>
      <c r="DVW103" s="38"/>
      <c r="DVX103" s="14"/>
      <c r="DVY103" s="14"/>
      <c r="DVZ103" s="14"/>
      <c r="DWA103" s="14"/>
      <c r="DWB103" s="36"/>
      <c r="DWC103" s="14"/>
      <c r="DWD103" s="44"/>
      <c r="DWE103" s="38"/>
      <c r="DWF103" s="14"/>
      <c r="DWG103" s="14"/>
      <c r="DWH103" s="14"/>
      <c r="DWI103" s="14"/>
      <c r="DWJ103" s="36"/>
      <c r="DWK103" s="14"/>
      <c r="DWL103" s="44"/>
      <c r="DWM103" s="38"/>
      <c r="DWN103" s="14"/>
      <c r="DWO103" s="14"/>
      <c r="DWP103" s="14"/>
      <c r="DWQ103" s="14"/>
      <c r="DWR103" s="36"/>
      <c r="DWS103" s="14"/>
      <c r="DWT103" s="44"/>
      <c r="DWU103" s="38"/>
      <c r="DWV103" s="14"/>
      <c r="DWW103" s="14"/>
      <c r="DWX103" s="14"/>
      <c r="DWY103" s="14"/>
      <c r="DWZ103" s="36"/>
      <c r="DXA103" s="14"/>
      <c r="DXB103" s="44"/>
      <c r="DXC103" s="38"/>
      <c r="DXD103" s="14"/>
      <c r="DXE103" s="14"/>
      <c r="DXF103" s="14"/>
      <c r="DXG103" s="14"/>
      <c r="DXH103" s="36"/>
      <c r="DXI103" s="14"/>
      <c r="DXJ103" s="44"/>
      <c r="DXK103" s="38"/>
      <c r="DXL103" s="14"/>
      <c r="DXM103" s="14"/>
      <c r="DXN103" s="14"/>
      <c r="DXO103" s="14"/>
      <c r="DXP103" s="36"/>
      <c r="DXQ103" s="14"/>
      <c r="DXR103" s="44"/>
      <c r="DXS103" s="38"/>
      <c r="DXT103" s="14"/>
      <c r="DXU103" s="14"/>
      <c r="DXV103" s="14"/>
      <c r="DXW103" s="14"/>
      <c r="DXX103" s="36"/>
      <c r="DXY103" s="14"/>
      <c r="DXZ103" s="44"/>
      <c r="DYA103" s="38"/>
      <c r="DYB103" s="14"/>
      <c r="DYC103" s="14"/>
      <c r="DYD103" s="14"/>
      <c r="DYE103" s="14"/>
      <c r="DYF103" s="36"/>
      <c r="DYG103" s="14"/>
      <c r="DYH103" s="44"/>
      <c r="DYI103" s="38"/>
      <c r="DYJ103" s="14"/>
      <c r="DYK103" s="14"/>
      <c r="DYL103" s="14"/>
      <c r="DYM103" s="14"/>
      <c r="DYN103" s="36"/>
      <c r="DYO103" s="14"/>
      <c r="DYP103" s="44"/>
      <c r="DYQ103" s="38"/>
      <c r="DYR103" s="14"/>
      <c r="DYS103" s="14"/>
      <c r="DYT103" s="14"/>
      <c r="DYU103" s="14"/>
      <c r="DYV103" s="36"/>
      <c r="DYW103" s="14"/>
      <c r="DYX103" s="44"/>
      <c r="DYY103" s="38"/>
      <c r="DYZ103" s="14"/>
      <c r="DZA103" s="14"/>
      <c r="DZB103" s="14"/>
      <c r="DZC103" s="14"/>
      <c r="DZD103" s="36"/>
      <c r="DZE103" s="14"/>
      <c r="DZF103" s="44"/>
      <c r="DZG103" s="38"/>
      <c r="DZH103" s="14"/>
      <c r="DZI103" s="14"/>
      <c r="DZJ103" s="14"/>
      <c r="DZK103" s="14"/>
      <c r="DZL103" s="36"/>
      <c r="DZM103" s="14"/>
      <c r="DZN103" s="44"/>
      <c r="DZO103" s="38"/>
      <c r="DZP103" s="14"/>
      <c r="DZQ103" s="14"/>
      <c r="DZR103" s="14"/>
      <c r="DZS103" s="14"/>
      <c r="DZT103" s="36"/>
      <c r="DZU103" s="14"/>
      <c r="DZV103" s="44"/>
      <c r="DZW103" s="38"/>
      <c r="DZX103" s="14"/>
      <c r="DZY103" s="14"/>
      <c r="DZZ103" s="14"/>
      <c r="EAA103" s="14"/>
      <c r="EAB103" s="36"/>
      <c r="EAC103" s="14"/>
      <c r="EAD103" s="44"/>
      <c r="EAE103" s="38"/>
      <c r="EAF103" s="14"/>
      <c r="EAG103" s="14"/>
      <c r="EAH103" s="14"/>
      <c r="EAI103" s="14"/>
      <c r="EAJ103" s="36"/>
      <c r="EAK103" s="14"/>
      <c r="EAL103" s="44"/>
      <c r="EAM103" s="38"/>
      <c r="EAN103" s="14"/>
      <c r="EAO103" s="14"/>
      <c r="EAP103" s="14"/>
      <c r="EAQ103" s="14"/>
      <c r="EAR103" s="36"/>
      <c r="EAS103" s="14"/>
      <c r="EAT103" s="44"/>
      <c r="EAU103" s="38"/>
      <c r="EAV103" s="14"/>
      <c r="EAW103" s="14"/>
      <c r="EAX103" s="14"/>
      <c r="EAY103" s="14"/>
      <c r="EAZ103" s="36"/>
      <c r="EBA103" s="14"/>
      <c r="EBB103" s="44"/>
      <c r="EBC103" s="38"/>
      <c r="EBD103" s="14"/>
      <c r="EBE103" s="14"/>
      <c r="EBF103" s="14"/>
      <c r="EBG103" s="14"/>
      <c r="EBH103" s="36"/>
      <c r="EBI103" s="14"/>
      <c r="EBJ103" s="44"/>
      <c r="EBK103" s="38"/>
      <c r="EBL103" s="14"/>
      <c r="EBM103" s="14"/>
      <c r="EBN103" s="14"/>
      <c r="EBO103" s="14"/>
      <c r="EBP103" s="36"/>
      <c r="EBQ103" s="14"/>
      <c r="EBR103" s="44"/>
      <c r="EBS103" s="38"/>
      <c r="EBT103" s="14"/>
      <c r="EBU103" s="14"/>
      <c r="EBV103" s="14"/>
      <c r="EBW103" s="14"/>
      <c r="EBX103" s="36"/>
      <c r="EBY103" s="14"/>
      <c r="EBZ103" s="44"/>
      <c r="ECA103" s="38"/>
      <c r="ECB103" s="14"/>
      <c r="ECC103" s="14"/>
      <c r="ECD103" s="14"/>
      <c r="ECE103" s="14"/>
      <c r="ECF103" s="36"/>
      <c r="ECG103" s="14"/>
      <c r="ECH103" s="44"/>
      <c r="ECI103" s="38"/>
      <c r="ECJ103" s="14"/>
      <c r="ECK103" s="14"/>
      <c r="ECL103" s="14"/>
      <c r="ECM103" s="14"/>
      <c r="ECN103" s="36"/>
      <c r="ECO103" s="14"/>
      <c r="ECP103" s="44"/>
      <c r="ECQ103" s="38"/>
      <c r="ECR103" s="14"/>
      <c r="ECS103" s="14"/>
      <c r="ECT103" s="14"/>
      <c r="ECU103" s="14"/>
      <c r="ECV103" s="36"/>
      <c r="ECW103" s="14"/>
      <c r="ECX103" s="44"/>
      <c r="ECY103" s="38"/>
      <c r="ECZ103" s="14"/>
      <c r="EDA103" s="14"/>
      <c r="EDB103" s="14"/>
      <c r="EDC103" s="14"/>
      <c r="EDD103" s="36"/>
      <c r="EDE103" s="14"/>
      <c r="EDF103" s="44"/>
      <c r="EDG103" s="38"/>
      <c r="EDH103" s="14"/>
      <c r="EDI103" s="14"/>
      <c r="EDJ103" s="14"/>
      <c r="EDK103" s="14"/>
      <c r="EDL103" s="36"/>
      <c r="EDM103" s="14"/>
      <c r="EDN103" s="44"/>
      <c r="EDO103" s="38"/>
      <c r="EDP103" s="14"/>
      <c r="EDQ103" s="14"/>
      <c r="EDR103" s="14"/>
      <c r="EDS103" s="14"/>
      <c r="EDT103" s="36"/>
      <c r="EDU103" s="14"/>
      <c r="EDV103" s="44"/>
      <c r="EDW103" s="38"/>
      <c r="EDX103" s="14"/>
      <c r="EDY103" s="14"/>
      <c r="EDZ103" s="14"/>
      <c r="EEA103" s="14"/>
      <c r="EEB103" s="36"/>
      <c r="EEC103" s="14"/>
      <c r="EED103" s="44"/>
      <c r="EEE103" s="38"/>
      <c r="EEF103" s="14"/>
      <c r="EEG103" s="14"/>
      <c r="EEH103" s="14"/>
      <c r="EEI103" s="14"/>
      <c r="EEJ103" s="36"/>
      <c r="EEK103" s="14"/>
      <c r="EEL103" s="44"/>
      <c r="EEM103" s="38"/>
      <c r="EEN103" s="14"/>
      <c r="EEO103" s="14"/>
      <c r="EEP103" s="14"/>
      <c r="EEQ103" s="14"/>
      <c r="EER103" s="36"/>
      <c r="EES103" s="14"/>
      <c r="EET103" s="44"/>
      <c r="EEU103" s="38"/>
      <c r="EEV103" s="14"/>
      <c r="EEW103" s="14"/>
      <c r="EEX103" s="14"/>
      <c r="EEY103" s="14"/>
      <c r="EEZ103" s="36"/>
      <c r="EFA103" s="14"/>
      <c r="EFB103" s="44"/>
      <c r="EFC103" s="38"/>
      <c r="EFD103" s="14"/>
      <c r="EFE103" s="14"/>
      <c r="EFF103" s="14"/>
      <c r="EFG103" s="14"/>
      <c r="EFH103" s="36"/>
      <c r="EFI103" s="14"/>
      <c r="EFJ103" s="44"/>
      <c r="EFK103" s="38"/>
      <c r="EFL103" s="14"/>
      <c r="EFM103" s="14"/>
      <c r="EFN103" s="14"/>
      <c r="EFO103" s="14"/>
      <c r="EFP103" s="36"/>
      <c r="EFQ103" s="14"/>
      <c r="EFR103" s="44"/>
      <c r="EFS103" s="38"/>
      <c r="EFT103" s="14"/>
      <c r="EFU103" s="14"/>
      <c r="EFV103" s="14"/>
      <c r="EFW103" s="14"/>
      <c r="EFX103" s="36"/>
      <c r="EFY103" s="14"/>
      <c r="EFZ103" s="44"/>
      <c r="EGA103" s="38"/>
      <c r="EGB103" s="14"/>
      <c r="EGC103" s="14"/>
      <c r="EGD103" s="14"/>
      <c r="EGE103" s="14"/>
      <c r="EGF103" s="36"/>
      <c r="EGG103" s="14"/>
      <c r="EGH103" s="44"/>
      <c r="EGI103" s="38"/>
      <c r="EGJ103" s="14"/>
      <c r="EGK103" s="14"/>
      <c r="EGL103" s="14"/>
      <c r="EGM103" s="14"/>
      <c r="EGN103" s="36"/>
      <c r="EGO103" s="14"/>
      <c r="EGP103" s="44"/>
      <c r="EGQ103" s="38"/>
      <c r="EGR103" s="14"/>
      <c r="EGS103" s="14"/>
      <c r="EGT103" s="14"/>
      <c r="EGU103" s="14"/>
      <c r="EGV103" s="36"/>
      <c r="EGW103" s="14"/>
      <c r="EGX103" s="44"/>
      <c r="EGY103" s="38"/>
      <c r="EGZ103" s="14"/>
      <c r="EHA103" s="14"/>
      <c r="EHB103" s="14"/>
      <c r="EHC103" s="14"/>
      <c r="EHD103" s="36"/>
      <c r="EHE103" s="14"/>
      <c r="EHF103" s="44"/>
      <c r="EHG103" s="38"/>
      <c r="EHH103" s="14"/>
      <c r="EHI103" s="14"/>
      <c r="EHJ103" s="14"/>
      <c r="EHK103" s="14"/>
      <c r="EHL103" s="36"/>
      <c r="EHM103" s="14"/>
      <c r="EHN103" s="44"/>
      <c r="EHO103" s="38"/>
      <c r="EHP103" s="14"/>
      <c r="EHQ103" s="14"/>
      <c r="EHR103" s="14"/>
      <c r="EHS103" s="14"/>
      <c r="EHT103" s="36"/>
      <c r="EHU103" s="14"/>
      <c r="EHV103" s="44"/>
      <c r="EHW103" s="38"/>
      <c r="EHX103" s="14"/>
      <c r="EHY103" s="14"/>
      <c r="EHZ103" s="14"/>
      <c r="EIA103" s="14"/>
      <c r="EIB103" s="36"/>
      <c r="EIC103" s="14"/>
      <c r="EID103" s="44"/>
      <c r="EIE103" s="38"/>
      <c r="EIF103" s="14"/>
      <c r="EIG103" s="14"/>
      <c r="EIH103" s="14"/>
      <c r="EII103" s="14"/>
      <c r="EIJ103" s="36"/>
      <c r="EIK103" s="14"/>
      <c r="EIL103" s="44"/>
      <c r="EIM103" s="38"/>
      <c r="EIN103" s="14"/>
      <c r="EIO103" s="14"/>
      <c r="EIP103" s="14"/>
      <c r="EIQ103" s="14"/>
      <c r="EIR103" s="36"/>
      <c r="EIS103" s="14"/>
      <c r="EIT103" s="44"/>
      <c r="EIU103" s="38"/>
      <c r="EIV103" s="14"/>
      <c r="EIW103" s="14"/>
      <c r="EIX103" s="14"/>
      <c r="EIY103" s="14"/>
      <c r="EIZ103" s="36"/>
      <c r="EJA103" s="14"/>
      <c r="EJB103" s="44"/>
      <c r="EJC103" s="38"/>
      <c r="EJD103" s="14"/>
      <c r="EJE103" s="14"/>
      <c r="EJF103" s="14"/>
      <c r="EJG103" s="14"/>
      <c r="EJH103" s="36"/>
      <c r="EJI103" s="14"/>
      <c r="EJJ103" s="44"/>
      <c r="EJK103" s="38"/>
      <c r="EJL103" s="14"/>
      <c r="EJM103" s="14"/>
      <c r="EJN103" s="14"/>
      <c r="EJO103" s="14"/>
      <c r="EJP103" s="36"/>
      <c r="EJQ103" s="14"/>
      <c r="EJR103" s="44"/>
      <c r="EJS103" s="38"/>
      <c r="EJT103" s="14"/>
      <c r="EJU103" s="14"/>
      <c r="EJV103" s="14"/>
      <c r="EJW103" s="14"/>
      <c r="EJX103" s="36"/>
      <c r="EJY103" s="14"/>
      <c r="EJZ103" s="44"/>
      <c r="EKA103" s="38"/>
      <c r="EKB103" s="14"/>
      <c r="EKC103" s="14"/>
      <c r="EKD103" s="14"/>
      <c r="EKE103" s="14"/>
      <c r="EKF103" s="36"/>
      <c r="EKG103" s="14"/>
      <c r="EKH103" s="44"/>
      <c r="EKI103" s="38"/>
      <c r="EKJ103" s="14"/>
      <c r="EKK103" s="14"/>
      <c r="EKL103" s="14"/>
      <c r="EKM103" s="14"/>
      <c r="EKN103" s="36"/>
      <c r="EKO103" s="14"/>
      <c r="EKP103" s="44"/>
      <c r="EKQ103" s="38"/>
      <c r="EKR103" s="14"/>
      <c r="EKS103" s="14"/>
      <c r="EKT103" s="14"/>
      <c r="EKU103" s="14"/>
      <c r="EKV103" s="36"/>
      <c r="EKW103" s="14"/>
      <c r="EKX103" s="44"/>
      <c r="EKY103" s="38"/>
      <c r="EKZ103" s="14"/>
      <c r="ELA103" s="14"/>
      <c r="ELB103" s="14"/>
      <c r="ELC103" s="14"/>
      <c r="ELD103" s="36"/>
      <c r="ELE103" s="14"/>
      <c r="ELF103" s="44"/>
      <c r="ELG103" s="38"/>
      <c r="ELH103" s="14"/>
      <c r="ELI103" s="14"/>
      <c r="ELJ103" s="14"/>
      <c r="ELK103" s="14"/>
      <c r="ELL103" s="36"/>
      <c r="ELM103" s="14"/>
      <c r="ELN103" s="44"/>
      <c r="ELO103" s="38"/>
      <c r="ELP103" s="14"/>
      <c r="ELQ103" s="14"/>
      <c r="ELR103" s="14"/>
      <c r="ELS103" s="14"/>
      <c r="ELT103" s="36"/>
      <c r="ELU103" s="14"/>
      <c r="ELV103" s="44"/>
      <c r="ELW103" s="38"/>
      <c r="ELX103" s="14"/>
      <c r="ELY103" s="14"/>
      <c r="ELZ103" s="14"/>
      <c r="EMA103" s="14"/>
      <c r="EMB103" s="36"/>
      <c r="EMC103" s="14"/>
      <c r="EMD103" s="44"/>
      <c r="EME103" s="38"/>
      <c r="EMF103" s="14"/>
      <c r="EMG103" s="14"/>
      <c r="EMH103" s="14"/>
      <c r="EMI103" s="14"/>
      <c r="EMJ103" s="36"/>
      <c r="EMK103" s="14"/>
      <c r="EML103" s="44"/>
      <c r="EMM103" s="38"/>
      <c r="EMN103" s="14"/>
      <c r="EMO103" s="14"/>
      <c r="EMP103" s="14"/>
      <c r="EMQ103" s="14"/>
      <c r="EMR103" s="36"/>
      <c r="EMS103" s="14"/>
      <c r="EMT103" s="44"/>
      <c r="EMU103" s="38"/>
      <c r="EMV103" s="14"/>
      <c r="EMW103" s="14"/>
      <c r="EMX103" s="14"/>
      <c r="EMY103" s="14"/>
      <c r="EMZ103" s="36"/>
      <c r="ENA103" s="14"/>
      <c r="ENB103" s="44"/>
      <c r="ENC103" s="38"/>
      <c r="END103" s="14"/>
      <c r="ENE103" s="14"/>
      <c r="ENF103" s="14"/>
      <c r="ENG103" s="14"/>
      <c r="ENH103" s="36"/>
      <c r="ENI103" s="14"/>
      <c r="ENJ103" s="44"/>
      <c r="ENK103" s="38"/>
      <c r="ENL103" s="14"/>
      <c r="ENM103" s="14"/>
      <c r="ENN103" s="14"/>
      <c r="ENO103" s="14"/>
      <c r="ENP103" s="36"/>
      <c r="ENQ103" s="14"/>
      <c r="ENR103" s="44"/>
      <c r="ENS103" s="38"/>
      <c r="ENT103" s="14"/>
      <c r="ENU103" s="14"/>
      <c r="ENV103" s="14"/>
      <c r="ENW103" s="14"/>
      <c r="ENX103" s="36"/>
      <c r="ENY103" s="14"/>
      <c r="ENZ103" s="44"/>
      <c r="EOA103" s="38"/>
      <c r="EOB103" s="14"/>
      <c r="EOC103" s="14"/>
      <c r="EOD103" s="14"/>
      <c r="EOE103" s="14"/>
      <c r="EOF103" s="36"/>
      <c r="EOG103" s="14"/>
      <c r="EOH103" s="44"/>
      <c r="EOI103" s="38"/>
      <c r="EOJ103" s="14"/>
      <c r="EOK103" s="14"/>
      <c r="EOL103" s="14"/>
      <c r="EOM103" s="14"/>
      <c r="EON103" s="36"/>
      <c r="EOO103" s="14"/>
      <c r="EOP103" s="44"/>
      <c r="EOQ103" s="38"/>
      <c r="EOR103" s="14"/>
      <c r="EOS103" s="14"/>
      <c r="EOT103" s="14"/>
      <c r="EOU103" s="14"/>
      <c r="EOV103" s="36"/>
      <c r="EOW103" s="14"/>
      <c r="EOX103" s="44"/>
      <c r="EOY103" s="38"/>
      <c r="EOZ103" s="14"/>
      <c r="EPA103" s="14"/>
      <c r="EPB103" s="14"/>
      <c r="EPC103" s="14"/>
      <c r="EPD103" s="36"/>
      <c r="EPE103" s="14"/>
      <c r="EPF103" s="44"/>
      <c r="EPG103" s="38"/>
      <c r="EPH103" s="14"/>
      <c r="EPI103" s="14"/>
      <c r="EPJ103" s="14"/>
      <c r="EPK103" s="14"/>
      <c r="EPL103" s="36"/>
      <c r="EPM103" s="14"/>
      <c r="EPN103" s="44"/>
      <c r="EPO103" s="38"/>
      <c r="EPP103" s="14"/>
      <c r="EPQ103" s="14"/>
      <c r="EPR103" s="14"/>
      <c r="EPS103" s="14"/>
      <c r="EPT103" s="36"/>
      <c r="EPU103" s="14"/>
      <c r="EPV103" s="44"/>
      <c r="EPW103" s="38"/>
      <c r="EPX103" s="14"/>
      <c r="EPY103" s="14"/>
      <c r="EPZ103" s="14"/>
      <c r="EQA103" s="14"/>
      <c r="EQB103" s="36"/>
      <c r="EQC103" s="14"/>
      <c r="EQD103" s="44"/>
      <c r="EQE103" s="38"/>
      <c r="EQF103" s="14"/>
      <c r="EQG103" s="14"/>
      <c r="EQH103" s="14"/>
      <c r="EQI103" s="14"/>
      <c r="EQJ103" s="36"/>
      <c r="EQK103" s="14"/>
      <c r="EQL103" s="44"/>
      <c r="EQM103" s="38"/>
      <c r="EQN103" s="14"/>
      <c r="EQO103" s="14"/>
      <c r="EQP103" s="14"/>
      <c r="EQQ103" s="14"/>
      <c r="EQR103" s="36"/>
      <c r="EQS103" s="14"/>
      <c r="EQT103" s="44"/>
      <c r="EQU103" s="38"/>
      <c r="EQV103" s="14"/>
      <c r="EQW103" s="14"/>
      <c r="EQX103" s="14"/>
      <c r="EQY103" s="14"/>
      <c r="EQZ103" s="36"/>
      <c r="ERA103" s="14"/>
      <c r="ERB103" s="44"/>
      <c r="ERC103" s="38"/>
      <c r="ERD103" s="14"/>
      <c r="ERE103" s="14"/>
      <c r="ERF103" s="14"/>
      <c r="ERG103" s="14"/>
      <c r="ERH103" s="36"/>
      <c r="ERI103" s="14"/>
      <c r="ERJ103" s="44"/>
      <c r="ERK103" s="38"/>
      <c r="ERL103" s="14"/>
      <c r="ERM103" s="14"/>
      <c r="ERN103" s="14"/>
      <c r="ERO103" s="14"/>
      <c r="ERP103" s="36"/>
      <c r="ERQ103" s="14"/>
      <c r="ERR103" s="44"/>
      <c r="ERS103" s="38"/>
      <c r="ERT103" s="14"/>
      <c r="ERU103" s="14"/>
      <c r="ERV103" s="14"/>
      <c r="ERW103" s="14"/>
      <c r="ERX103" s="36"/>
      <c r="ERY103" s="14"/>
      <c r="ERZ103" s="44"/>
      <c r="ESA103" s="38"/>
      <c r="ESB103" s="14"/>
      <c r="ESC103" s="14"/>
      <c r="ESD103" s="14"/>
      <c r="ESE103" s="14"/>
      <c r="ESF103" s="36"/>
      <c r="ESG103" s="14"/>
      <c r="ESH103" s="44"/>
      <c r="ESI103" s="38"/>
      <c r="ESJ103" s="14"/>
      <c r="ESK103" s="14"/>
      <c r="ESL103" s="14"/>
      <c r="ESM103" s="14"/>
      <c r="ESN103" s="36"/>
      <c r="ESO103" s="14"/>
      <c r="ESP103" s="44"/>
      <c r="ESQ103" s="38"/>
      <c r="ESR103" s="14"/>
      <c r="ESS103" s="14"/>
      <c r="EST103" s="14"/>
      <c r="ESU103" s="14"/>
      <c r="ESV103" s="36"/>
      <c r="ESW103" s="14"/>
      <c r="ESX103" s="44"/>
      <c r="ESY103" s="38"/>
      <c r="ESZ103" s="14"/>
      <c r="ETA103" s="14"/>
      <c r="ETB103" s="14"/>
      <c r="ETC103" s="14"/>
      <c r="ETD103" s="36"/>
      <c r="ETE103" s="14"/>
      <c r="ETF103" s="44"/>
      <c r="ETG103" s="38"/>
      <c r="ETH103" s="14"/>
      <c r="ETI103" s="14"/>
      <c r="ETJ103" s="14"/>
      <c r="ETK103" s="14"/>
      <c r="ETL103" s="36"/>
      <c r="ETM103" s="14"/>
      <c r="ETN103" s="44"/>
      <c r="ETO103" s="38"/>
      <c r="ETP103" s="14"/>
      <c r="ETQ103" s="14"/>
      <c r="ETR103" s="14"/>
      <c r="ETS103" s="14"/>
      <c r="ETT103" s="36"/>
      <c r="ETU103" s="14"/>
      <c r="ETV103" s="44"/>
      <c r="ETW103" s="38"/>
      <c r="ETX103" s="14"/>
      <c r="ETY103" s="14"/>
      <c r="ETZ103" s="14"/>
      <c r="EUA103" s="14"/>
      <c r="EUB103" s="36"/>
      <c r="EUC103" s="14"/>
      <c r="EUD103" s="44"/>
      <c r="EUE103" s="38"/>
      <c r="EUF103" s="14"/>
      <c r="EUG103" s="14"/>
      <c r="EUH103" s="14"/>
      <c r="EUI103" s="14"/>
      <c r="EUJ103" s="36"/>
      <c r="EUK103" s="14"/>
      <c r="EUL103" s="44"/>
      <c r="EUM103" s="38"/>
      <c r="EUN103" s="14"/>
      <c r="EUO103" s="14"/>
      <c r="EUP103" s="14"/>
      <c r="EUQ103" s="14"/>
      <c r="EUR103" s="36"/>
      <c r="EUS103" s="14"/>
      <c r="EUT103" s="44"/>
      <c r="EUU103" s="38"/>
      <c r="EUV103" s="14"/>
      <c r="EUW103" s="14"/>
      <c r="EUX103" s="14"/>
      <c r="EUY103" s="14"/>
      <c r="EUZ103" s="36"/>
      <c r="EVA103" s="14"/>
      <c r="EVB103" s="44"/>
      <c r="EVC103" s="38"/>
      <c r="EVD103" s="14"/>
      <c r="EVE103" s="14"/>
      <c r="EVF103" s="14"/>
      <c r="EVG103" s="14"/>
      <c r="EVH103" s="36"/>
      <c r="EVI103" s="14"/>
      <c r="EVJ103" s="44"/>
      <c r="EVK103" s="38"/>
      <c r="EVL103" s="14"/>
      <c r="EVM103" s="14"/>
      <c r="EVN103" s="14"/>
      <c r="EVO103" s="14"/>
      <c r="EVP103" s="36"/>
      <c r="EVQ103" s="14"/>
      <c r="EVR103" s="44"/>
      <c r="EVS103" s="38"/>
      <c r="EVT103" s="14"/>
      <c r="EVU103" s="14"/>
      <c r="EVV103" s="14"/>
      <c r="EVW103" s="14"/>
      <c r="EVX103" s="36"/>
      <c r="EVY103" s="14"/>
      <c r="EVZ103" s="44"/>
      <c r="EWA103" s="38"/>
      <c r="EWB103" s="14"/>
      <c r="EWC103" s="14"/>
      <c r="EWD103" s="14"/>
      <c r="EWE103" s="14"/>
      <c r="EWF103" s="36"/>
      <c r="EWG103" s="14"/>
      <c r="EWH103" s="44"/>
      <c r="EWI103" s="38"/>
      <c r="EWJ103" s="14"/>
      <c r="EWK103" s="14"/>
      <c r="EWL103" s="14"/>
      <c r="EWM103" s="14"/>
      <c r="EWN103" s="36"/>
      <c r="EWO103" s="14"/>
      <c r="EWP103" s="44"/>
      <c r="EWQ103" s="38"/>
      <c r="EWR103" s="14"/>
      <c r="EWS103" s="14"/>
      <c r="EWT103" s="14"/>
      <c r="EWU103" s="14"/>
      <c r="EWV103" s="36"/>
      <c r="EWW103" s="14"/>
      <c r="EWX103" s="44"/>
      <c r="EWY103" s="38"/>
      <c r="EWZ103" s="14"/>
      <c r="EXA103" s="14"/>
      <c r="EXB103" s="14"/>
      <c r="EXC103" s="14"/>
      <c r="EXD103" s="36"/>
      <c r="EXE103" s="14"/>
      <c r="EXF103" s="44"/>
      <c r="EXG103" s="38"/>
      <c r="EXH103" s="14"/>
      <c r="EXI103" s="14"/>
      <c r="EXJ103" s="14"/>
      <c r="EXK103" s="14"/>
      <c r="EXL103" s="36"/>
      <c r="EXM103" s="14"/>
      <c r="EXN103" s="44"/>
      <c r="EXO103" s="38"/>
      <c r="EXP103" s="14"/>
      <c r="EXQ103" s="14"/>
      <c r="EXR103" s="14"/>
      <c r="EXS103" s="14"/>
      <c r="EXT103" s="36"/>
      <c r="EXU103" s="14"/>
      <c r="EXV103" s="44"/>
      <c r="EXW103" s="38"/>
      <c r="EXX103" s="14"/>
      <c r="EXY103" s="14"/>
      <c r="EXZ103" s="14"/>
      <c r="EYA103" s="14"/>
      <c r="EYB103" s="36"/>
      <c r="EYC103" s="14"/>
      <c r="EYD103" s="44"/>
      <c r="EYE103" s="38"/>
      <c r="EYF103" s="14"/>
      <c r="EYG103" s="14"/>
      <c r="EYH103" s="14"/>
      <c r="EYI103" s="14"/>
      <c r="EYJ103" s="36"/>
      <c r="EYK103" s="14"/>
      <c r="EYL103" s="44"/>
      <c r="EYM103" s="38"/>
      <c r="EYN103" s="14"/>
      <c r="EYO103" s="14"/>
      <c r="EYP103" s="14"/>
      <c r="EYQ103" s="14"/>
      <c r="EYR103" s="36"/>
      <c r="EYS103" s="14"/>
      <c r="EYT103" s="44"/>
      <c r="EYU103" s="38"/>
      <c r="EYV103" s="14"/>
      <c r="EYW103" s="14"/>
      <c r="EYX103" s="14"/>
      <c r="EYY103" s="14"/>
      <c r="EYZ103" s="36"/>
      <c r="EZA103" s="14"/>
      <c r="EZB103" s="44"/>
      <c r="EZC103" s="38"/>
      <c r="EZD103" s="14"/>
      <c r="EZE103" s="14"/>
      <c r="EZF103" s="14"/>
      <c r="EZG103" s="14"/>
      <c r="EZH103" s="36"/>
      <c r="EZI103" s="14"/>
      <c r="EZJ103" s="44"/>
      <c r="EZK103" s="38"/>
      <c r="EZL103" s="14"/>
      <c r="EZM103" s="14"/>
      <c r="EZN103" s="14"/>
      <c r="EZO103" s="14"/>
      <c r="EZP103" s="36"/>
      <c r="EZQ103" s="14"/>
      <c r="EZR103" s="44"/>
      <c r="EZS103" s="38"/>
      <c r="EZT103" s="14"/>
      <c r="EZU103" s="14"/>
      <c r="EZV103" s="14"/>
      <c r="EZW103" s="14"/>
      <c r="EZX103" s="36"/>
      <c r="EZY103" s="14"/>
      <c r="EZZ103" s="44"/>
      <c r="FAA103" s="38"/>
      <c r="FAB103" s="14"/>
      <c r="FAC103" s="14"/>
      <c r="FAD103" s="14"/>
      <c r="FAE103" s="14"/>
      <c r="FAF103" s="36"/>
      <c r="FAG103" s="14"/>
      <c r="FAH103" s="44"/>
      <c r="FAI103" s="38"/>
      <c r="FAJ103" s="14"/>
      <c r="FAK103" s="14"/>
      <c r="FAL103" s="14"/>
      <c r="FAM103" s="14"/>
      <c r="FAN103" s="36"/>
      <c r="FAO103" s="14"/>
      <c r="FAP103" s="44"/>
      <c r="FAQ103" s="38"/>
      <c r="FAR103" s="14"/>
      <c r="FAS103" s="14"/>
      <c r="FAT103" s="14"/>
      <c r="FAU103" s="14"/>
      <c r="FAV103" s="36"/>
      <c r="FAW103" s="14"/>
      <c r="FAX103" s="44"/>
      <c r="FAY103" s="38"/>
      <c r="FAZ103" s="14"/>
      <c r="FBA103" s="14"/>
      <c r="FBB103" s="14"/>
      <c r="FBC103" s="14"/>
      <c r="FBD103" s="36"/>
      <c r="FBE103" s="14"/>
      <c r="FBF103" s="44"/>
      <c r="FBG103" s="38"/>
      <c r="FBH103" s="14"/>
      <c r="FBI103" s="14"/>
      <c r="FBJ103" s="14"/>
      <c r="FBK103" s="14"/>
      <c r="FBL103" s="36"/>
      <c r="FBM103" s="14"/>
      <c r="FBN103" s="44"/>
      <c r="FBO103" s="38"/>
      <c r="FBP103" s="14"/>
      <c r="FBQ103" s="14"/>
      <c r="FBR103" s="14"/>
      <c r="FBS103" s="14"/>
      <c r="FBT103" s="36"/>
      <c r="FBU103" s="14"/>
      <c r="FBV103" s="44"/>
      <c r="FBW103" s="38"/>
      <c r="FBX103" s="14"/>
      <c r="FBY103" s="14"/>
      <c r="FBZ103" s="14"/>
      <c r="FCA103" s="14"/>
      <c r="FCB103" s="36"/>
      <c r="FCC103" s="14"/>
      <c r="FCD103" s="44"/>
      <c r="FCE103" s="38"/>
      <c r="FCF103" s="14"/>
      <c r="FCG103" s="14"/>
      <c r="FCH103" s="14"/>
      <c r="FCI103" s="14"/>
      <c r="FCJ103" s="36"/>
      <c r="FCK103" s="14"/>
      <c r="FCL103" s="44"/>
      <c r="FCM103" s="38"/>
      <c r="FCN103" s="14"/>
      <c r="FCO103" s="14"/>
      <c r="FCP103" s="14"/>
      <c r="FCQ103" s="14"/>
      <c r="FCR103" s="36"/>
      <c r="FCS103" s="14"/>
      <c r="FCT103" s="44"/>
      <c r="FCU103" s="38"/>
      <c r="FCV103" s="14"/>
      <c r="FCW103" s="14"/>
      <c r="FCX103" s="14"/>
      <c r="FCY103" s="14"/>
      <c r="FCZ103" s="36"/>
      <c r="FDA103" s="14"/>
      <c r="FDB103" s="44"/>
      <c r="FDC103" s="38"/>
      <c r="FDD103" s="14"/>
      <c r="FDE103" s="14"/>
      <c r="FDF103" s="14"/>
      <c r="FDG103" s="14"/>
      <c r="FDH103" s="36"/>
      <c r="FDI103" s="14"/>
      <c r="FDJ103" s="44"/>
      <c r="FDK103" s="38"/>
      <c r="FDL103" s="14"/>
      <c r="FDM103" s="14"/>
      <c r="FDN103" s="14"/>
      <c r="FDO103" s="14"/>
      <c r="FDP103" s="36"/>
      <c r="FDQ103" s="14"/>
      <c r="FDR103" s="44"/>
      <c r="FDS103" s="38"/>
      <c r="FDT103" s="14"/>
      <c r="FDU103" s="14"/>
      <c r="FDV103" s="14"/>
      <c r="FDW103" s="14"/>
      <c r="FDX103" s="36"/>
      <c r="FDY103" s="14"/>
      <c r="FDZ103" s="44"/>
      <c r="FEA103" s="38"/>
      <c r="FEB103" s="14"/>
      <c r="FEC103" s="14"/>
      <c r="FED103" s="14"/>
      <c r="FEE103" s="14"/>
      <c r="FEF103" s="36"/>
      <c r="FEG103" s="14"/>
      <c r="FEH103" s="44"/>
      <c r="FEI103" s="38"/>
      <c r="FEJ103" s="14"/>
      <c r="FEK103" s="14"/>
      <c r="FEL103" s="14"/>
      <c r="FEM103" s="14"/>
      <c r="FEN103" s="36"/>
      <c r="FEO103" s="14"/>
      <c r="FEP103" s="44"/>
      <c r="FEQ103" s="38"/>
      <c r="FER103" s="14"/>
      <c r="FES103" s="14"/>
      <c r="FET103" s="14"/>
      <c r="FEU103" s="14"/>
      <c r="FEV103" s="36"/>
      <c r="FEW103" s="14"/>
      <c r="FEX103" s="44"/>
      <c r="FEY103" s="38"/>
      <c r="FEZ103" s="14"/>
      <c r="FFA103" s="14"/>
      <c r="FFB103" s="14"/>
      <c r="FFC103" s="14"/>
      <c r="FFD103" s="36"/>
      <c r="FFE103" s="14"/>
      <c r="FFF103" s="44"/>
      <c r="FFG103" s="38"/>
      <c r="FFH103" s="14"/>
      <c r="FFI103" s="14"/>
      <c r="FFJ103" s="14"/>
      <c r="FFK103" s="14"/>
      <c r="FFL103" s="36"/>
      <c r="FFM103" s="14"/>
      <c r="FFN103" s="44"/>
      <c r="FFO103" s="38"/>
      <c r="FFP103" s="14"/>
      <c r="FFQ103" s="14"/>
      <c r="FFR103" s="14"/>
      <c r="FFS103" s="14"/>
      <c r="FFT103" s="36"/>
      <c r="FFU103" s="14"/>
      <c r="FFV103" s="44"/>
      <c r="FFW103" s="38"/>
      <c r="FFX103" s="14"/>
      <c r="FFY103" s="14"/>
      <c r="FFZ103" s="14"/>
      <c r="FGA103" s="14"/>
      <c r="FGB103" s="36"/>
      <c r="FGC103" s="14"/>
      <c r="FGD103" s="44"/>
      <c r="FGE103" s="38"/>
      <c r="FGF103" s="14"/>
      <c r="FGG103" s="14"/>
      <c r="FGH103" s="14"/>
      <c r="FGI103" s="14"/>
      <c r="FGJ103" s="36"/>
      <c r="FGK103" s="14"/>
      <c r="FGL103" s="44"/>
      <c r="FGM103" s="38"/>
      <c r="FGN103" s="14"/>
      <c r="FGO103" s="14"/>
      <c r="FGP103" s="14"/>
      <c r="FGQ103" s="14"/>
      <c r="FGR103" s="36"/>
      <c r="FGS103" s="14"/>
      <c r="FGT103" s="44"/>
      <c r="FGU103" s="38"/>
      <c r="FGV103" s="14"/>
      <c r="FGW103" s="14"/>
      <c r="FGX103" s="14"/>
      <c r="FGY103" s="14"/>
      <c r="FGZ103" s="36"/>
      <c r="FHA103" s="14"/>
      <c r="FHB103" s="44"/>
      <c r="FHC103" s="38"/>
      <c r="FHD103" s="14"/>
      <c r="FHE103" s="14"/>
      <c r="FHF103" s="14"/>
      <c r="FHG103" s="14"/>
      <c r="FHH103" s="36"/>
      <c r="FHI103" s="14"/>
      <c r="FHJ103" s="44"/>
      <c r="FHK103" s="38"/>
      <c r="FHL103" s="14"/>
      <c r="FHM103" s="14"/>
      <c r="FHN103" s="14"/>
      <c r="FHO103" s="14"/>
      <c r="FHP103" s="36"/>
      <c r="FHQ103" s="14"/>
      <c r="FHR103" s="44"/>
      <c r="FHS103" s="38"/>
      <c r="FHT103" s="14"/>
      <c r="FHU103" s="14"/>
      <c r="FHV103" s="14"/>
      <c r="FHW103" s="14"/>
      <c r="FHX103" s="36"/>
      <c r="FHY103" s="14"/>
      <c r="FHZ103" s="44"/>
      <c r="FIA103" s="38"/>
      <c r="FIB103" s="14"/>
      <c r="FIC103" s="14"/>
      <c r="FID103" s="14"/>
      <c r="FIE103" s="14"/>
      <c r="FIF103" s="36"/>
      <c r="FIG103" s="14"/>
      <c r="FIH103" s="44"/>
      <c r="FII103" s="38"/>
      <c r="FIJ103" s="14"/>
      <c r="FIK103" s="14"/>
      <c r="FIL103" s="14"/>
      <c r="FIM103" s="14"/>
      <c r="FIN103" s="36"/>
      <c r="FIO103" s="14"/>
      <c r="FIP103" s="44"/>
      <c r="FIQ103" s="38"/>
      <c r="FIR103" s="14"/>
      <c r="FIS103" s="14"/>
      <c r="FIT103" s="14"/>
      <c r="FIU103" s="14"/>
      <c r="FIV103" s="36"/>
      <c r="FIW103" s="14"/>
      <c r="FIX103" s="44"/>
      <c r="FIY103" s="38"/>
      <c r="FIZ103" s="14"/>
      <c r="FJA103" s="14"/>
      <c r="FJB103" s="14"/>
      <c r="FJC103" s="14"/>
      <c r="FJD103" s="36"/>
      <c r="FJE103" s="14"/>
      <c r="FJF103" s="44"/>
      <c r="FJG103" s="38"/>
      <c r="FJH103" s="14"/>
      <c r="FJI103" s="14"/>
      <c r="FJJ103" s="14"/>
      <c r="FJK103" s="14"/>
      <c r="FJL103" s="36"/>
      <c r="FJM103" s="14"/>
      <c r="FJN103" s="44"/>
      <c r="FJO103" s="38"/>
      <c r="FJP103" s="14"/>
      <c r="FJQ103" s="14"/>
      <c r="FJR103" s="14"/>
      <c r="FJS103" s="14"/>
      <c r="FJT103" s="36"/>
      <c r="FJU103" s="14"/>
      <c r="FJV103" s="44"/>
      <c r="FJW103" s="38"/>
      <c r="FJX103" s="14"/>
      <c r="FJY103" s="14"/>
      <c r="FJZ103" s="14"/>
      <c r="FKA103" s="14"/>
      <c r="FKB103" s="36"/>
      <c r="FKC103" s="14"/>
      <c r="FKD103" s="44"/>
      <c r="FKE103" s="38"/>
      <c r="FKF103" s="14"/>
      <c r="FKG103" s="14"/>
      <c r="FKH103" s="14"/>
      <c r="FKI103" s="14"/>
      <c r="FKJ103" s="36"/>
      <c r="FKK103" s="14"/>
      <c r="FKL103" s="44"/>
      <c r="FKM103" s="38"/>
      <c r="FKN103" s="14"/>
      <c r="FKO103" s="14"/>
      <c r="FKP103" s="14"/>
      <c r="FKQ103" s="14"/>
      <c r="FKR103" s="36"/>
      <c r="FKS103" s="14"/>
      <c r="FKT103" s="44"/>
      <c r="FKU103" s="38"/>
      <c r="FKV103" s="14"/>
      <c r="FKW103" s="14"/>
      <c r="FKX103" s="14"/>
      <c r="FKY103" s="14"/>
      <c r="FKZ103" s="36"/>
      <c r="FLA103" s="14"/>
      <c r="FLB103" s="44"/>
      <c r="FLC103" s="38"/>
      <c r="FLD103" s="14"/>
      <c r="FLE103" s="14"/>
      <c r="FLF103" s="14"/>
      <c r="FLG103" s="14"/>
      <c r="FLH103" s="36"/>
      <c r="FLI103" s="14"/>
      <c r="FLJ103" s="44"/>
      <c r="FLK103" s="38"/>
      <c r="FLL103" s="14"/>
      <c r="FLM103" s="14"/>
      <c r="FLN103" s="14"/>
      <c r="FLO103" s="14"/>
      <c r="FLP103" s="36"/>
      <c r="FLQ103" s="14"/>
      <c r="FLR103" s="44"/>
      <c r="FLS103" s="38"/>
      <c r="FLT103" s="14"/>
      <c r="FLU103" s="14"/>
      <c r="FLV103" s="14"/>
      <c r="FLW103" s="14"/>
      <c r="FLX103" s="36"/>
      <c r="FLY103" s="14"/>
      <c r="FLZ103" s="44"/>
      <c r="FMA103" s="38"/>
      <c r="FMB103" s="14"/>
      <c r="FMC103" s="14"/>
      <c r="FMD103" s="14"/>
      <c r="FME103" s="14"/>
      <c r="FMF103" s="36"/>
      <c r="FMG103" s="14"/>
      <c r="FMH103" s="44"/>
      <c r="FMI103" s="38"/>
      <c r="FMJ103" s="14"/>
      <c r="FMK103" s="14"/>
      <c r="FML103" s="14"/>
      <c r="FMM103" s="14"/>
      <c r="FMN103" s="36"/>
      <c r="FMO103" s="14"/>
      <c r="FMP103" s="44"/>
      <c r="FMQ103" s="38"/>
      <c r="FMR103" s="14"/>
      <c r="FMS103" s="14"/>
      <c r="FMT103" s="14"/>
      <c r="FMU103" s="14"/>
      <c r="FMV103" s="36"/>
      <c r="FMW103" s="14"/>
      <c r="FMX103" s="44"/>
      <c r="FMY103" s="38"/>
      <c r="FMZ103" s="14"/>
      <c r="FNA103" s="14"/>
      <c r="FNB103" s="14"/>
      <c r="FNC103" s="14"/>
      <c r="FND103" s="36"/>
      <c r="FNE103" s="14"/>
      <c r="FNF103" s="44"/>
      <c r="FNG103" s="38"/>
      <c r="FNH103" s="14"/>
      <c r="FNI103" s="14"/>
      <c r="FNJ103" s="14"/>
      <c r="FNK103" s="14"/>
      <c r="FNL103" s="36"/>
      <c r="FNM103" s="14"/>
      <c r="FNN103" s="44"/>
      <c r="FNO103" s="38"/>
      <c r="FNP103" s="14"/>
      <c r="FNQ103" s="14"/>
      <c r="FNR103" s="14"/>
      <c r="FNS103" s="14"/>
      <c r="FNT103" s="36"/>
      <c r="FNU103" s="14"/>
      <c r="FNV103" s="44"/>
      <c r="FNW103" s="38"/>
      <c r="FNX103" s="14"/>
      <c r="FNY103" s="14"/>
      <c r="FNZ103" s="14"/>
      <c r="FOA103" s="14"/>
      <c r="FOB103" s="36"/>
      <c r="FOC103" s="14"/>
      <c r="FOD103" s="44"/>
      <c r="FOE103" s="38"/>
      <c r="FOF103" s="14"/>
      <c r="FOG103" s="14"/>
      <c r="FOH103" s="14"/>
      <c r="FOI103" s="14"/>
      <c r="FOJ103" s="36"/>
      <c r="FOK103" s="14"/>
      <c r="FOL103" s="44"/>
      <c r="FOM103" s="38"/>
      <c r="FON103" s="14"/>
      <c r="FOO103" s="14"/>
      <c r="FOP103" s="14"/>
      <c r="FOQ103" s="14"/>
      <c r="FOR103" s="36"/>
      <c r="FOS103" s="14"/>
      <c r="FOT103" s="44"/>
      <c r="FOU103" s="38"/>
      <c r="FOV103" s="14"/>
      <c r="FOW103" s="14"/>
      <c r="FOX103" s="14"/>
      <c r="FOY103" s="14"/>
      <c r="FOZ103" s="36"/>
      <c r="FPA103" s="14"/>
      <c r="FPB103" s="44"/>
      <c r="FPC103" s="38"/>
      <c r="FPD103" s="14"/>
      <c r="FPE103" s="14"/>
      <c r="FPF103" s="14"/>
      <c r="FPG103" s="14"/>
      <c r="FPH103" s="36"/>
      <c r="FPI103" s="14"/>
      <c r="FPJ103" s="44"/>
      <c r="FPK103" s="38"/>
      <c r="FPL103" s="14"/>
      <c r="FPM103" s="14"/>
      <c r="FPN103" s="14"/>
      <c r="FPO103" s="14"/>
      <c r="FPP103" s="36"/>
      <c r="FPQ103" s="14"/>
      <c r="FPR103" s="44"/>
      <c r="FPS103" s="38"/>
      <c r="FPT103" s="14"/>
      <c r="FPU103" s="14"/>
      <c r="FPV103" s="14"/>
      <c r="FPW103" s="14"/>
      <c r="FPX103" s="36"/>
      <c r="FPY103" s="14"/>
      <c r="FPZ103" s="44"/>
      <c r="FQA103" s="38"/>
      <c r="FQB103" s="14"/>
      <c r="FQC103" s="14"/>
      <c r="FQD103" s="14"/>
      <c r="FQE103" s="14"/>
      <c r="FQF103" s="36"/>
      <c r="FQG103" s="14"/>
      <c r="FQH103" s="44"/>
      <c r="FQI103" s="38"/>
      <c r="FQJ103" s="14"/>
      <c r="FQK103" s="14"/>
      <c r="FQL103" s="14"/>
      <c r="FQM103" s="14"/>
      <c r="FQN103" s="36"/>
      <c r="FQO103" s="14"/>
      <c r="FQP103" s="44"/>
      <c r="FQQ103" s="38"/>
      <c r="FQR103" s="14"/>
      <c r="FQS103" s="14"/>
      <c r="FQT103" s="14"/>
      <c r="FQU103" s="14"/>
      <c r="FQV103" s="36"/>
      <c r="FQW103" s="14"/>
      <c r="FQX103" s="44"/>
      <c r="FQY103" s="38"/>
      <c r="FQZ103" s="14"/>
      <c r="FRA103" s="14"/>
      <c r="FRB103" s="14"/>
      <c r="FRC103" s="14"/>
      <c r="FRD103" s="36"/>
      <c r="FRE103" s="14"/>
      <c r="FRF103" s="44"/>
      <c r="FRG103" s="38"/>
      <c r="FRH103" s="14"/>
      <c r="FRI103" s="14"/>
      <c r="FRJ103" s="14"/>
      <c r="FRK103" s="14"/>
      <c r="FRL103" s="36"/>
      <c r="FRM103" s="14"/>
      <c r="FRN103" s="44"/>
      <c r="FRO103" s="38"/>
      <c r="FRP103" s="14"/>
      <c r="FRQ103" s="14"/>
      <c r="FRR103" s="14"/>
      <c r="FRS103" s="14"/>
      <c r="FRT103" s="36"/>
      <c r="FRU103" s="14"/>
      <c r="FRV103" s="44"/>
      <c r="FRW103" s="38"/>
      <c r="FRX103" s="14"/>
      <c r="FRY103" s="14"/>
      <c r="FRZ103" s="14"/>
      <c r="FSA103" s="14"/>
      <c r="FSB103" s="36"/>
      <c r="FSC103" s="14"/>
      <c r="FSD103" s="44"/>
      <c r="FSE103" s="38"/>
      <c r="FSF103" s="14"/>
      <c r="FSG103" s="14"/>
      <c r="FSH103" s="14"/>
      <c r="FSI103" s="14"/>
      <c r="FSJ103" s="36"/>
      <c r="FSK103" s="14"/>
      <c r="FSL103" s="44"/>
      <c r="FSM103" s="38"/>
      <c r="FSN103" s="14"/>
      <c r="FSO103" s="14"/>
      <c r="FSP103" s="14"/>
      <c r="FSQ103" s="14"/>
      <c r="FSR103" s="36"/>
      <c r="FSS103" s="14"/>
      <c r="FST103" s="44"/>
      <c r="FSU103" s="38"/>
      <c r="FSV103" s="14"/>
      <c r="FSW103" s="14"/>
      <c r="FSX103" s="14"/>
      <c r="FSY103" s="14"/>
      <c r="FSZ103" s="36"/>
      <c r="FTA103" s="14"/>
      <c r="FTB103" s="44"/>
      <c r="FTC103" s="38"/>
      <c r="FTD103" s="14"/>
      <c r="FTE103" s="14"/>
      <c r="FTF103" s="14"/>
      <c r="FTG103" s="14"/>
      <c r="FTH103" s="36"/>
      <c r="FTI103" s="14"/>
      <c r="FTJ103" s="44"/>
      <c r="FTK103" s="38"/>
      <c r="FTL103" s="14"/>
      <c r="FTM103" s="14"/>
      <c r="FTN103" s="14"/>
      <c r="FTO103" s="14"/>
      <c r="FTP103" s="36"/>
      <c r="FTQ103" s="14"/>
      <c r="FTR103" s="44"/>
      <c r="FTS103" s="38"/>
      <c r="FTT103" s="14"/>
      <c r="FTU103" s="14"/>
      <c r="FTV103" s="14"/>
      <c r="FTW103" s="14"/>
      <c r="FTX103" s="36"/>
      <c r="FTY103" s="14"/>
      <c r="FTZ103" s="44"/>
      <c r="FUA103" s="38"/>
      <c r="FUB103" s="14"/>
      <c r="FUC103" s="14"/>
      <c r="FUD103" s="14"/>
      <c r="FUE103" s="14"/>
      <c r="FUF103" s="36"/>
      <c r="FUG103" s="14"/>
      <c r="FUH103" s="44"/>
      <c r="FUI103" s="38"/>
      <c r="FUJ103" s="14"/>
      <c r="FUK103" s="14"/>
      <c r="FUL103" s="14"/>
      <c r="FUM103" s="14"/>
      <c r="FUN103" s="36"/>
      <c r="FUO103" s="14"/>
      <c r="FUP103" s="44"/>
      <c r="FUQ103" s="38"/>
      <c r="FUR103" s="14"/>
      <c r="FUS103" s="14"/>
      <c r="FUT103" s="14"/>
      <c r="FUU103" s="14"/>
      <c r="FUV103" s="36"/>
      <c r="FUW103" s="14"/>
      <c r="FUX103" s="44"/>
      <c r="FUY103" s="38"/>
      <c r="FUZ103" s="14"/>
      <c r="FVA103" s="14"/>
      <c r="FVB103" s="14"/>
      <c r="FVC103" s="14"/>
      <c r="FVD103" s="36"/>
      <c r="FVE103" s="14"/>
      <c r="FVF103" s="44"/>
      <c r="FVG103" s="38"/>
      <c r="FVH103" s="14"/>
      <c r="FVI103" s="14"/>
      <c r="FVJ103" s="14"/>
      <c r="FVK103" s="14"/>
      <c r="FVL103" s="36"/>
      <c r="FVM103" s="14"/>
      <c r="FVN103" s="44"/>
      <c r="FVO103" s="38"/>
      <c r="FVP103" s="14"/>
      <c r="FVQ103" s="14"/>
      <c r="FVR103" s="14"/>
      <c r="FVS103" s="14"/>
      <c r="FVT103" s="36"/>
      <c r="FVU103" s="14"/>
      <c r="FVV103" s="44"/>
      <c r="FVW103" s="38"/>
      <c r="FVX103" s="14"/>
      <c r="FVY103" s="14"/>
      <c r="FVZ103" s="14"/>
      <c r="FWA103" s="14"/>
      <c r="FWB103" s="36"/>
      <c r="FWC103" s="14"/>
      <c r="FWD103" s="44"/>
      <c r="FWE103" s="38"/>
      <c r="FWF103" s="14"/>
      <c r="FWG103" s="14"/>
      <c r="FWH103" s="14"/>
      <c r="FWI103" s="14"/>
      <c r="FWJ103" s="36"/>
      <c r="FWK103" s="14"/>
      <c r="FWL103" s="44"/>
      <c r="FWM103" s="38"/>
      <c r="FWN103" s="14"/>
      <c r="FWO103" s="14"/>
      <c r="FWP103" s="14"/>
      <c r="FWQ103" s="14"/>
      <c r="FWR103" s="36"/>
      <c r="FWS103" s="14"/>
      <c r="FWT103" s="44"/>
      <c r="FWU103" s="38"/>
      <c r="FWV103" s="14"/>
      <c r="FWW103" s="14"/>
      <c r="FWX103" s="14"/>
      <c r="FWY103" s="14"/>
      <c r="FWZ103" s="36"/>
      <c r="FXA103" s="14"/>
      <c r="FXB103" s="44"/>
      <c r="FXC103" s="38"/>
      <c r="FXD103" s="14"/>
      <c r="FXE103" s="14"/>
      <c r="FXF103" s="14"/>
      <c r="FXG103" s="14"/>
      <c r="FXH103" s="36"/>
      <c r="FXI103" s="14"/>
      <c r="FXJ103" s="44"/>
      <c r="FXK103" s="38"/>
      <c r="FXL103" s="14"/>
      <c r="FXM103" s="14"/>
      <c r="FXN103" s="14"/>
      <c r="FXO103" s="14"/>
      <c r="FXP103" s="36"/>
      <c r="FXQ103" s="14"/>
      <c r="FXR103" s="44"/>
      <c r="FXS103" s="38"/>
      <c r="FXT103" s="14"/>
      <c r="FXU103" s="14"/>
      <c r="FXV103" s="14"/>
      <c r="FXW103" s="14"/>
      <c r="FXX103" s="36"/>
      <c r="FXY103" s="14"/>
      <c r="FXZ103" s="44"/>
      <c r="FYA103" s="38"/>
      <c r="FYB103" s="14"/>
      <c r="FYC103" s="14"/>
      <c r="FYD103" s="14"/>
      <c r="FYE103" s="14"/>
      <c r="FYF103" s="36"/>
      <c r="FYG103" s="14"/>
      <c r="FYH103" s="44"/>
      <c r="FYI103" s="38"/>
      <c r="FYJ103" s="14"/>
      <c r="FYK103" s="14"/>
      <c r="FYL103" s="14"/>
      <c r="FYM103" s="14"/>
      <c r="FYN103" s="36"/>
      <c r="FYO103" s="14"/>
      <c r="FYP103" s="44"/>
      <c r="FYQ103" s="38"/>
      <c r="FYR103" s="14"/>
      <c r="FYS103" s="14"/>
      <c r="FYT103" s="14"/>
      <c r="FYU103" s="14"/>
      <c r="FYV103" s="36"/>
      <c r="FYW103" s="14"/>
      <c r="FYX103" s="44"/>
      <c r="FYY103" s="38"/>
      <c r="FYZ103" s="14"/>
      <c r="FZA103" s="14"/>
      <c r="FZB103" s="14"/>
      <c r="FZC103" s="14"/>
      <c r="FZD103" s="36"/>
      <c r="FZE103" s="14"/>
      <c r="FZF103" s="44"/>
      <c r="FZG103" s="38"/>
      <c r="FZH103" s="14"/>
      <c r="FZI103" s="14"/>
      <c r="FZJ103" s="14"/>
      <c r="FZK103" s="14"/>
      <c r="FZL103" s="36"/>
      <c r="FZM103" s="14"/>
      <c r="FZN103" s="44"/>
      <c r="FZO103" s="38"/>
      <c r="FZP103" s="14"/>
      <c r="FZQ103" s="14"/>
      <c r="FZR103" s="14"/>
      <c r="FZS103" s="14"/>
      <c r="FZT103" s="36"/>
      <c r="FZU103" s="14"/>
      <c r="FZV103" s="44"/>
      <c r="FZW103" s="38"/>
      <c r="FZX103" s="14"/>
      <c r="FZY103" s="14"/>
      <c r="FZZ103" s="14"/>
      <c r="GAA103" s="14"/>
      <c r="GAB103" s="36"/>
      <c r="GAC103" s="14"/>
      <c r="GAD103" s="44"/>
      <c r="GAE103" s="38"/>
      <c r="GAF103" s="14"/>
      <c r="GAG103" s="14"/>
      <c r="GAH103" s="14"/>
      <c r="GAI103" s="14"/>
      <c r="GAJ103" s="36"/>
      <c r="GAK103" s="14"/>
      <c r="GAL103" s="44"/>
      <c r="GAM103" s="38"/>
      <c r="GAN103" s="14"/>
      <c r="GAO103" s="14"/>
      <c r="GAP103" s="14"/>
      <c r="GAQ103" s="14"/>
      <c r="GAR103" s="36"/>
      <c r="GAS103" s="14"/>
      <c r="GAT103" s="44"/>
      <c r="GAU103" s="38"/>
      <c r="GAV103" s="14"/>
      <c r="GAW103" s="14"/>
      <c r="GAX103" s="14"/>
      <c r="GAY103" s="14"/>
      <c r="GAZ103" s="36"/>
      <c r="GBA103" s="14"/>
      <c r="GBB103" s="44"/>
      <c r="GBC103" s="38"/>
      <c r="GBD103" s="14"/>
      <c r="GBE103" s="14"/>
      <c r="GBF103" s="14"/>
      <c r="GBG103" s="14"/>
      <c r="GBH103" s="36"/>
      <c r="GBI103" s="14"/>
      <c r="GBJ103" s="44"/>
      <c r="GBK103" s="38"/>
      <c r="GBL103" s="14"/>
      <c r="GBM103" s="14"/>
      <c r="GBN103" s="14"/>
      <c r="GBO103" s="14"/>
      <c r="GBP103" s="36"/>
      <c r="GBQ103" s="14"/>
      <c r="GBR103" s="44"/>
      <c r="GBS103" s="38"/>
      <c r="GBT103" s="14"/>
      <c r="GBU103" s="14"/>
      <c r="GBV103" s="14"/>
      <c r="GBW103" s="14"/>
      <c r="GBX103" s="36"/>
      <c r="GBY103" s="14"/>
      <c r="GBZ103" s="44"/>
      <c r="GCA103" s="38"/>
      <c r="GCB103" s="14"/>
      <c r="GCC103" s="14"/>
      <c r="GCD103" s="14"/>
      <c r="GCE103" s="14"/>
      <c r="GCF103" s="36"/>
      <c r="GCG103" s="14"/>
      <c r="GCH103" s="44"/>
      <c r="GCI103" s="38"/>
      <c r="GCJ103" s="14"/>
      <c r="GCK103" s="14"/>
      <c r="GCL103" s="14"/>
      <c r="GCM103" s="14"/>
      <c r="GCN103" s="36"/>
      <c r="GCO103" s="14"/>
      <c r="GCP103" s="44"/>
      <c r="GCQ103" s="38"/>
      <c r="GCR103" s="14"/>
      <c r="GCS103" s="14"/>
      <c r="GCT103" s="14"/>
      <c r="GCU103" s="14"/>
      <c r="GCV103" s="36"/>
      <c r="GCW103" s="14"/>
      <c r="GCX103" s="44"/>
      <c r="GCY103" s="38"/>
      <c r="GCZ103" s="14"/>
      <c r="GDA103" s="14"/>
      <c r="GDB103" s="14"/>
      <c r="GDC103" s="14"/>
      <c r="GDD103" s="36"/>
      <c r="GDE103" s="14"/>
      <c r="GDF103" s="44"/>
      <c r="GDG103" s="38"/>
      <c r="GDH103" s="14"/>
      <c r="GDI103" s="14"/>
      <c r="GDJ103" s="14"/>
      <c r="GDK103" s="14"/>
      <c r="GDL103" s="36"/>
      <c r="GDM103" s="14"/>
      <c r="GDN103" s="44"/>
      <c r="GDO103" s="38"/>
      <c r="GDP103" s="14"/>
      <c r="GDQ103" s="14"/>
      <c r="GDR103" s="14"/>
      <c r="GDS103" s="14"/>
      <c r="GDT103" s="36"/>
      <c r="GDU103" s="14"/>
      <c r="GDV103" s="44"/>
      <c r="GDW103" s="38"/>
      <c r="GDX103" s="14"/>
      <c r="GDY103" s="14"/>
      <c r="GDZ103" s="14"/>
      <c r="GEA103" s="14"/>
      <c r="GEB103" s="36"/>
      <c r="GEC103" s="14"/>
      <c r="GED103" s="44"/>
      <c r="GEE103" s="38"/>
      <c r="GEF103" s="14"/>
      <c r="GEG103" s="14"/>
      <c r="GEH103" s="14"/>
      <c r="GEI103" s="14"/>
      <c r="GEJ103" s="36"/>
      <c r="GEK103" s="14"/>
      <c r="GEL103" s="44"/>
      <c r="GEM103" s="38"/>
      <c r="GEN103" s="14"/>
      <c r="GEO103" s="14"/>
      <c r="GEP103" s="14"/>
      <c r="GEQ103" s="14"/>
      <c r="GER103" s="36"/>
      <c r="GES103" s="14"/>
      <c r="GET103" s="44"/>
      <c r="GEU103" s="38"/>
      <c r="GEV103" s="14"/>
      <c r="GEW103" s="14"/>
      <c r="GEX103" s="14"/>
      <c r="GEY103" s="14"/>
      <c r="GEZ103" s="36"/>
      <c r="GFA103" s="14"/>
      <c r="GFB103" s="44"/>
      <c r="GFC103" s="38"/>
      <c r="GFD103" s="14"/>
      <c r="GFE103" s="14"/>
      <c r="GFF103" s="14"/>
      <c r="GFG103" s="14"/>
      <c r="GFH103" s="36"/>
      <c r="GFI103" s="14"/>
      <c r="GFJ103" s="44"/>
      <c r="GFK103" s="38"/>
      <c r="GFL103" s="14"/>
      <c r="GFM103" s="14"/>
      <c r="GFN103" s="14"/>
      <c r="GFO103" s="14"/>
      <c r="GFP103" s="36"/>
      <c r="GFQ103" s="14"/>
      <c r="GFR103" s="44"/>
      <c r="GFS103" s="38"/>
      <c r="GFT103" s="14"/>
      <c r="GFU103" s="14"/>
      <c r="GFV103" s="14"/>
      <c r="GFW103" s="14"/>
      <c r="GFX103" s="36"/>
      <c r="GFY103" s="14"/>
      <c r="GFZ103" s="44"/>
      <c r="GGA103" s="38"/>
      <c r="GGB103" s="14"/>
      <c r="GGC103" s="14"/>
      <c r="GGD103" s="14"/>
      <c r="GGE103" s="14"/>
      <c r="GGF103" s="36"/>
      <c r="GGG103" s="14"/>
      <c r="GGH103" s="44"/>
      <c r="GGI103" s="38"/>
      <c r="GGJ103" s="14"/>
      <c r="GGK103" s="14"/>
      <c r="GGL103" s="14"/>
      <c r="GGM103" s="14"/>
      <c r="GGN103" s="36"/>
      <c r="GGO103" s="14"/>
      <c r="GGP103" s="44"/>
      <c r="GGQ103" s="38"/>
      <c r="GGR103" s="14"/>
      <c r="GGS103" s="14"/>
      <c r="GGT103" s="14"/>
      <c r="GGU103" s="14"/>
      <c r="GGV103" s="36"/>
      <c r="GGW103" s="14"/>
      <c r="GGX103" s="44"/>
      <c r="GGY103" s="38"/>
      <c r="GGZ103" s="14"/>
      <c r="GHA103" s="14"/>
      <c r="GHB103" s="14"/>
      <c r="GHC103" s="14"/>
      <c r="GHD103" s="36"/>
      <c r="GHE103" s="14"/>
      <c r="GHF103" s="44"/>
      <c r="GHG103" s="38"/>
      <c r="GHH103" s="14"/>
      <c r="GHI103" s="14"/>
      <c r="GHJ103" s="14"/>
      <c r="GHK103" s="14"/>
      <c r="GHL103" s="36"/>
      <c r="GHM103" s="14"/>
      <c r="GHN103" s="44"/>
      <c r="GHO103" s="38"/>
      <c r="GHP103" s="14"/>
      <c r="GHQ103" s="14"/>
      <c r="GHR103" s="14"/>
      <c r="GHS103" s="14"/>
      <c r="GHT103" s="36"/>
      <c r="GHU103" s="14"/>
      <c r="GHV103" s="44"/>
      <c r="GHW103" s="38"/>
      <c r="GHX103" s="14"/>
      <c r="GHY103" s="14"/>
      <c r="GHZ103" s="14"/>
      <c r="GIA103" s="14"/>
      <c r="GIB103" s="36"/>
      <c r="GIC103" s="14"/>
      <c r="GID103" s="44"/>
      <c r="GIE103" s="38"/>
      <c r="GIF103" s="14"/>
      <c r="GIG103" s="14"/>
      <c r="GIH103" s="14"/>
      <c r="GII103" s="14"/>
      <c r="GIJ103" s="36"/>
      <c r="GIK103" s="14"/>
      <c r="GIL103" s="44"/>
      <c r="GIM103" s="38"/>
      <c r="GIN103" s="14"/>
      <c r="GIO103" s="14"/>
      <c r="GIP103" s="14"/>
      <c r="GIQ103" s="14"/>
      <c r="GIR103" s="36"/>
      <c r="GIS103" s="14"/>
      <c r="GIT103" s="44"/>
      <c r="GIU103" s="38"/>
      <c r="GIV103" s="14"/>
      <c r="GIW103" s="14"/>
      <c r="GIX103" s="14"/>
      <c r="GIY103" s="14"/>
      <c r="GIZ103" s="36"/>
      <c r="GJA103" s="14"/>
      <c r="GJB103" s="44"/>
      <c r="GJC103" s="38"/>
      <c r="GJD103" s="14"/>
      <c r="GJE103" s="14"/>
      <c r="GJF103" s="14"/>
      <c r="GJG103" s="14"/>
      <c r="GJH103" s="36"/>
      <c r="GJI103" s="14"/>
      <c r="GJJ103" s="44"/>
      <c r="GJK103" s="38"/>
      <c r="GJL103" s="14"/>
      <c r="GJM103" s="14"/>
      <c r="GJN103" s="14"/>
      <c r="GJO103" s="14"/>
      <c r="GJP103" s="36"/>
      <c r="GJQ103" s="14"/>
      <c r="GJR103" s="44"/>
      <c r="GJS103" s="38"/>
      <c r="GJT103" s="14"/>
      <c r="GJU103" s="14"/>
      <c r="GJV103" s="14"/>
      <c r="GJW103" s="14"/>
      <c r="GJX103" s="36"/>
      <c r="GJY103" s="14"/>
      <c r="GJZ103" s="44"/>
      <c r="GKA103" s="38"/>
      <c r="GKB103" s="14"/>
      <c r="GKC103" s="14"/>
      <c r="GKD103" s="14"/>
      <c r="GKE103" s="14"/>
      <c r="GKF103" s="36"/>
      <c r="GKG103" s="14"/>
      <c r="GKH103" s="44"/>
      <c r="GKI103" s="38"/>
      <c r="GKJ103" s="14"/>
      <c r="GKK103" s="14"/>
      <c r="GKL103" s="14"/>
      <c r="GKM103" s="14"/>
      <c r="GKN103" s="36"/>
      <c r="GKO103" s="14"/>
      <c r="GKP103" s="44"/>
      <c r="GKQ103" s="38"/>
      <c r="GKR103" s="14"/>
      <c r="GKS103" s="14"/>
      <c r="GKT103" s="14"/>
      <c r="GKU103" s="14"/>
      <c r="GKV103" s="36"/>
      <c r="GKW103" s="14"/>
      <c r="GKX103" s="44"/>
      <c r="GKY103" s="38"/>
      <c r="GKZ103" s="14"/>
      <c r="GLA103" s="14"/>
      <c r="GLB103" s="14"/>
      <c r="GLC103" s="14"/>
      <c r="GLD103" s="36"/>
      <c r="GLE103" s="14"/>
      <c r="GLF103" s="44"/>
      <c r="GLG103" s="38"/>
      <c r="GLH103" s="14"/>
      <c r="GLI103" s="14"/>
      <c r="GLJ103" s="14"/>
      <c r="GLK103" s="14"/>
      <c r="GLL103" s="36"/>
      <c r="GLM103" s="14"/>
      <c r="GLN103" s="44"/>
      <c r="GLO103" s="38"/>
      <c r="GLP103" s="14"/>
      <c r="GLQ103" s="14"/>
      <c r="GLR103" s="14"/>
      <c r="GLS103" s="14"/>
      <c r="GLT103" s="36"/>
      <c r="GLU103" s="14"/>
      <c r="GLV103" s="44"/>
      <c r="GLW103" s="38"/>
      <c r="GLX103" s="14"/>
      <c r="GLY103" s="14"/>
      <c r="GLZ103" s="14"/>
      <c r="GMA103" s="14"/>
      <c r="GMB103" s="36"/>
      <c r="GMC103" s="14"/>
      <c r="GMD103" s="44"/>
      <c r="GME103" s="38"/>
      <c r="GMF103" s="14"/>
      <c r="GMG103" s="14"/>
      <c r="GMH103" s="14"/>
      <c r="GMI103" s="14"/>
      <c r="GMJ103" s="36"/>
      <c r="GMK103" s="14"/>
      <c r="GML103" s="44"/>
      <c r="GMM103" s="38"/>
      <c r="GMN103" s="14"/>
      <c r="GMO103" s="14"/>
      <c r="GMP103" s="14"/>
      <c r="GMQ103" s="14"/>
      <c r="GMR103" s="36"/>
      <c r="GMS103" s="14"/>
      <c r="GMT103" s="44"/>
      <c r="GMU103" s="38"/>
      <c r="GMV103" s="14"/>
      <c r="GMW103" s="14"/>
      <c r="GMX103" s="14"/>
      <c r="GMY103" s="14"/>
      <c r="GMZ103" s="36"/>
      <c r="GNA103" s="14"/>
      <c r="GNB103" s="44"/>
      <c r="GNC103" s="38"/>
      <c r="GND103" s="14"/>
      <c r="GNE103" s="14"/>
      <c r="GNF103" s="14"/>
      <c r="GNG103" s="14"/>
      <c r="GNH103" s="36"/>
      <c r="GNI103" s="14"/>
      <c r="GNJ103" s="44"/>
      <c r="GNK103" s="38"/>
      <c r="GNL103" s="14"/>
      <c r="GNM103" s="14"/>
      <c r="GNN103" s="14"/>
      <c r="GNO103" s="14"/>
      <c r="GNP103" s="36"/>
      <c r="GNQ103" s="14"/>
      <c r="GNR103" s="44"/>
      <c r="GNS103" s="38"/>
      <c r="GNT103" s="14"/>
      <c r="GNU103" s="14"/>
      <c r="GNV103" s="14"/>
      <c r="GNW103" s="14"/>
      <c r="GNX103" s="36"/>
      <c r="GNY103" s="14"/>
      <c r="GNZ103" s="44"/>
      <c r="GOA103" s="38"/>
      <c r="GOB103" s="14"/>
      <c r="GOC103" s="14"/>
      <c r="GOD103" s="14"/>
      <c r="GOE103" s="14"/>
      <c r="GOF103" s="36"/>
      <c r="GOG103" s="14"/>
      <c r="GOH103" s="44"/>
      <c r="GOI103" s="38"/>
      <c r="GOJ103" s="14"/>
      <c r="GOK103" s="14"/>
      <c r="GOL103" s="14"/>
      <c r="GOM103" s="14"/>
      <c r="GON103" s="36"/>
      <c r="GOO103" s="14"/>
      <c r="GOP103" s="44"/>
      <c r="GOQ103" s="38"/>
      <c r="GOR103" s="14"/>
      <c r="GOS103" s="14"/>
      <c r="GOT103" s="14"/>
      <c r="GOU103" s="14"/>
      <c r="GOV103" s="36"/>
      <c r="GOW103" s="14"/>
      <c r="GOX103" s="44"/>
      <c r="GOY103" s="38"/>
      <c r="GOZ103" s="14"/>
      <c r="GPA103" s="14"/>
      <c r="GPB103" s="14"/>
      <c r="GPC103" s="14"/>
      <c r="GPD103" s="36"/>
      <c r="GPE103" s="14"/>
      <c r="GPF103" s="44"/>
      <c r="GPG103" s="38"/>
      <c r="GPH103" s="14"/>
      <c r="GPI103" s="14"/>
      <c r="GPJ103" s="14"/>
      <c r="GPK103" s="14"/>
      <c r="GPL103" s="36"/>
      <c r="GPM103" s="14"/>
      <c r="GPN103" s="44"/>
      <c r="GPO103" s="38"/>
      <c r="GPP103" s="14"/>
      <c r="GPQ103" s="14"/>
      <c r="GPR103" s="14"/>
      <c r="GPS103" s="14"/>
      <c r="GPT103" s="36"/>
      <c r="GPU103" s="14"/>
      <c r="GPV103" s="44"/>
      <c r="GPW103" s="38"/>
      <c r="GPX103" s="14"/>
      <c r="GPY103" s="14"/>
      <c r="GPZ103" s="14"/>
      <c r="GQA103" s="14"/>
      <c r="GQB103" s="36"/>
      <c r="GQC103" s="14"/>
      <c r="GQD103" s="44"/>
      <c r="GQE103" s="38"/>
      <c r="GQF103" s="14"/>
      <c r="GQG103" s="14"/>
      <c r="GQH103" s="14"/>
      <c r="GQI103" s="14"/>
      <c r="GQJ103" s="36"/>
      <c r="GQK103" s="14"/>
      <c r="GQL103" s="44"/>
      <c r="GQM103" s="38"/>
      <c r="GQN103" s="14"/>
      <c r="GQO103" s="14"/>
      <c r="GQP103" s="14"/>
      <c r="GQQ103" s="14"/>
      <c r="GQR103" s="36"/>
      <c r="GQS103" s="14"/>
      <c r="GQT103" s="44"/>
      <c r="GQU103" s="38"/>
      <c r="GQV103" s="14"/>
      <c r="GQW103" s="14"/>
      <c r="GQX103" s="14"/>
      <c r="GQY103" s="14"/>
      <c r="GQZ103" s="36"/>
      <c r="GRA103" s="14"/>
      <c r="GRB103" s="44"/>
      <c r="GRC103" s="38"/>
      <c r="GRD103" s="14"/>
      <c r="GRE103" s="14"/>
      <c r="GRF103" s="14"/>
      <c r="GRG103" s="14"/>
      <c r="GRH103" s="36"/>
      <c r="GRI103" s="14"/>
      <c r="GRJ103" s="44"/>
      <c r="GRK103" s="38"/>
      <c r="GRL103" s="14"/>
      <c r="GRM103" s="14"/>
      <c r="GRN103" s="14"/>
      <c r="GRO103" s="14"/>
      <c r="GRP103" s="36"/>
      <c r="GRQ103" s="14"/>
      <c r="GRR103" s="44"/>
      <c r="GRS103" s="38"/>
      <c r="GRT103" s="14"/>
      <c r="GRU103" s="14"/>
      <c r="GRV103" s="14"/>
      <c r="GRW103" s="14"/>
      <c r="GRX103" s="36"/>
      <c r="GRY103" s="14"/>
      <c r="GRZ103" s="44"/>
      <c r="GSA103" s="38"/>
      <c r="GSB103" s="14"/>
      <c r="GSC103" s="14"/>
      <c r="GSD103" s="14"/>
      <c r="GSE103" s="14"/>
      <c r="GSF103" s="36"/>
      <c r="GSG103" s="14"/>
      <c r="GSH103" s="44"/>
      <c r="GSI103" s="38"/>
      <c r="GSJ103" s="14"/>
      <c r="GSK103" s="14"/>
      <c r="GSL103" s="14"/>
      <c r="GSM103" s="14"/>
      <c r="GSN103" s="36"/>
      <c r="GSO103" s="14"/>
      <c r="GSP103" s="44"/>
      <c r="GSQ103" s="38"/>
      <c r="GSR103" s="14"/>
      <c r="GSS103" s="14"/>
      <c r="GST103" s="14"/>
      <c r="GSU103" s="14"/>
      <c r="GSV103" s="36"/>
      <c r="GSW103" s="14"/>
      <c r="GSX103" s="44"/>
      <c r="GSY103" s="38"/>
      <c r="GSZ103" s="14"/>
      <c r="GTA103" s="14"/>
      <c r="GTB103" s="14"/>
      <c r="GTC103" s="14"/>
      <c r="GTD103" s="36"/>
      <c r="GTE103" s="14"/>
      <c r="GTF103" s="44"/>
      <c r="GTG103" s="38"/>
      <c r="GTH103" s="14"/>
      <c r="GTI103" s="14"/>
      <c r="GTJ103" s="14"/>
      <c r="GTK103" s="14"/>
      <c r="GTL103" s="36"/>
      <c r="GTM103" s="14"/>
      <c r="GTN103" s="44"/>
      <c r="GTO103" s="38"/>
      <c r="GTP103" s="14"/>
      <c r="GTQ103" s="14"/>
      <c r="GTR103" s="14"/>
      <c r="GTS103" s="14"/>
      <c r="GTT103" s="36"/>
      <c r="GTU103" s="14"/>
      <c r="GTV103" s="44"/>
      <c r="GTW103" s="38"/>
      <c r="GTX103" s="14"/>
      <c r="GTY103" s="14"/>
      <c r="GTZ103" s="14"/>
      <c r="GUA103" s="14"/>
      <c r="GUB103" s="36"/>
      <c r="GUC103" s="14"/>
      <c r="GUD103" s="44"/>
      <c r="GUE103" s="38"/>
      <c r="GUF103" s="14"/>
      <c r="GUG103" s="14"/>
      <c r="GUH103" s="14"/>
      <c r="GUI103" s="14"/>
      <c r="GUJ103" s="36"/>
      <c r="GUK103" s="14"/>
      <c r="GUL103" s="44"/>
      <c r="GUM103" s="38"/>
      <c r="GUN103" s="14"/>
      <c r="GUO103" s="14"/>
      <c r="GUP103" s="14"/>
      <c r="GUQ103" s="14"/>
      <c r="GUR103" s="36"/>
      <c r="GUS103" s="14"/>
      <c r="GUT103" s="44"/>
      <c r="GUU103" s="38"/>
      <c r="GUV103" s="14"/>
      <c r="GUW103" s="14"/>
      <c r="GUX103" s="14"/>
      <c r="GUY103" s="14"/>
      <c r="GUZ103" s="36"/>
      <c r="GVA103" s="14"/>
      <c r="GVB103" s="44"/>
      <c r="GVC103" s="38"/>
      <c r="GVD103" s="14"/>
      <c r="GVE103" s="14"/>
      <c r="GVF103" s="14"/>
      <c r="GVG103" s="14"/>
      <c r="GVH103" s="36"/>
      <c r="GVI103" s="14"/>
      <c r="GVJ103" s="44"/>
      <c r="GVK103" s="38"/>
      <c r="GVL103" s="14"/>
      <c r="GVM103" s="14"/>
      <c r="GVN103" s="14"/>
      <c r="GVO103" s="14"/>
      <c r="GVP103" s="36"/>
      <c r="GVQ103" s="14"/>
      <c r="GVR103" s="44"/>
      <c r="GVS103" s="38"/>
      <c r="GVT103" s="14"/>
      <c r="GVU103" s="14"/>
      <c r="GVV103" s="14"/>
      <c r="GVW103" s="14"/>
      <c r="GVX103" s="36"/>
      <c r="GVY103" s="14"/>
      <c r="GVZ103" s="44"/>
      <c r="GWA103" s="38"/>
      <c r="GWB103" s="14"/>
      <c r="GWC103" s="14"/>
      <c r="GWD103" s="14"/>
      <c r="GWE103" s="14"/>
      <c r="GWF103" s="36"/>
      <c r="GWG103" s="14"/>
      <c r="GWH103" s="44"/>
      <c r="GWI103" s="38"/>
      <c r="GWJ103" s="14"/>
      <c r="GWK103" s="14"/>
      <c r="GWL103" s="14"/>
      <c r="GWM103" s="14"/>
      <c r="GWN103" s="36"/>
      <c r="GWO103" s="14"/>
      <c r="GWP103" s="44"/>
      <c r="GWQ103" s="38"/>
      <c r="GWR103" s="14"/>
      <c r="GWS103" s="14"/>
      <c r="GWT103" s="14"/>
      <c r="GWU103" s="14"/>
      <c r="GWV103" s="36"/>
      <c r="GWW103" s="14"/>
      <c r="GWX103" s="44"/>
      <c r="GWY103" s="38"/>
      <c r="GWZ103" s="14"/>
      <c r="GXA103" s="14"/>
      <c r="GXB103" s="14"/>
      <c r="GXC103" s="14"/>
      <c r="GXD103" s="36"/>
      <c r="GXE103" s="14"/>
      <c r="GXF103" s="44"/>
      <c r="GXG103" s="38"/>
      <c r="GXH103" s="14"/>
      <c r="GXI103" s="14"/>
      <c r="GXJ103" s="14"/>
      <c r="GXK103" s="14"/>
      <c r="GXL103" s="36"/>
      <c r="GXM103" s="14"/>
      <c r="GXN103" s="44"/>
      <c r="GXO103" s="38"/>
      <c r="GXP103" s="14"/>
      <c r="GXQ103" s="14"/>
      <c r="GXR103" s="14"/>
      <c r="GXS103" s="14"/>
      <c r="GXT103" s="36"/>
      <c r="GXU103" s="14"/>
      <c r="GXV103" s="44"/>
      <c r="GXW103" s="38"/>
      <c r="GXX103" s="14"/>
      <c r="GXY103" s="14"/>
      <c r="GXZ103" s="14"/>
      <c r="GYA103" s="14"/>
      <c r="GYB103" s="36"/>
      <c r="GYC103" s="14"/>
      <c r="GYD103" s="44"/>
      <c r="GYE103" s="38"/>
      <c r="GYF103" s="14"/>
      <c r="GYG103" s="14"/>
      <c r="GYH103" s="14"/>
      <c r="GYI103" s="14"/>
      <c r="GYJ103" s="36"/>
      <c r="GYK103" s="14"/>
      <c r="GYL103" s="44"/>
      <c r="GYM103" s="38"/>
      <c r="GYN103" s="14"/>
      <c r="GYO103" s="14"/>
      <c r="GYP103" s="14"/>
      <c r="GYQ103" s="14"/>
      <c r="GYR103" s="36"/>
      <c r="GYS103" s="14"/>
      <c r="GYT103" s="44"/>
      <c r="GYU103" s="38"/>
      <c r="GYV103" s="14"/>
      <c r="GYW103" s="14"/>
      <c r="GYX103" s="14"/>
      <c r="GYY103" s="14"/>
      <c r="GYZ103" s="36"/>
      <c r="GZA103" s="14"/>
      <c r="GZB103" s="44"/>
      <c r="GZC103" s="38"/>
      <c r="GZD103" s="14"/>
      <c r="GZE103" s="14"/>
      <c r="GZF103" s="14"/>
      <c r="GZG103" s="14"/>
      <c r="GZH103" s="36"/>
      <c r="GZI103" s="14"/>
      <c r="GZJ103" s="44"/>
      <c r="GZK103" s="38"/>
      <c r="GZL103" s="14"/>
      <c r="GZM103" s="14"/>
      <c r="GZN103" s="14"/>
      <c r="GZO103" s="14"/>
      <c r="GZP103" s="36"/>
      <c r="GZQ103" s="14"/>
      <c r="GZR103" s="44"/>
      <c r="GZS103" s="38"/>
      <c r="GZT103" s="14"/>
      <c r="GZU103" s="14"/>
      <c r="GZV103" s="14"/>
      <c r="GZW103" s="14"/>
      <c r="GZX103" s="36"/>
      <c r="GZY103" s="14"/>
      <c r="GZZ103" s="44"/>
      <c r="HAA103" s="38"/>
      <c r="HAB103" s="14"/>
      <c r="HAC103" s="14"/>
      <c r="HAD103" s="14"/>
      <c r="HAE103" s="14"/>
      <c r="HAF103" s="36"/>
      <c r="HAG103" s="14"/>
      <c r="HAH103" s="44"/>
      <c r="HAI103" s="38"/>
      <c r="HAJ103" s="14"/>
      <c r="HAK103" s="14"/>
      <c r="HAL103" s="14"/>
      <c r="HAM103" s="14"/>
      <c r="HAN103" s="36"/>
      <c r="HAO103" s="14"/>
      <c r="HAP103" s="44"/>
      <c r="HAQ103" s="38"/>
      <c r="HAR103" s="14"/>
      <c r="HAS103" s="14"/>
      <c r="HAT103" s="14"/>
      <c r="HAU103" s="14"/>
      <c r="HAV103" s="36"/>
      <c r="HAW103" s="14"/>
      <c r="HAX103" s="44"/>
      <c r="HAY103" s="38"/>
      <c r="HAZ103" s="14"/>
      <c r="HBA103" s="14"/>
      <c r="HBB103" s="14"/>
      <c r="HBC103" s="14"/>
      <c r="HBD103" s="36"/>
      <c r="HBE103" s="14"/>
      <c r="HBF103" s="44"/>
      <c r="HBG103" s="38"/>
      <c r="HBH103" s="14"/>
      <c r="HBI103" s="14"/>
      <c r="HBJ103" s="14"/>
      <c r="HBK103" s="14"/>
      <c r="HBL103" s="36"/>
      <c r="HBM103" s="14"/>
      <c r="HBN103" s="44"/>
      <c r="HBO103" s="38"/>
      <c r="HBP103" s="14"/>
      <c r="HBQ103" s="14"/>
      <c r="HBR103" s="14"/>
      <c r="HBS103" s="14"/>
      <c r="HBT103" s="36"/>
      <c r="HBU103" s="14"/>
      <c r="HBV103" s="44"/>
      <c r="HBW103" s="38"/>
      <c r="HBX103" s="14"/>
      <c r="HBY103" s="14"/>
      <c r="HBZ103" s="14"/>
      <c r="HCA103" s="14"/>
      <c r="HCB103" s="36"/>
      <c r="HCC103" s="14"/>
      <c r="HCD103" s="44"/>
      <c r="HCE103" s="38"/>
      <c r="HCF103" s="14"/>
      <c r="HCG103" s="14"/>
      <c r="HCH103" s="14"/>
      <c r="HCI103" s="14"/>
      <c r="HCJ103" s="36"/>
      <c r="HCK103" s="14"/>
      <c r="HCL103" s="44"/>
      <c r="HCM103" s="38"/>
      <c r="HCN103" s="14"/>
      <c r="HCO103" s="14"/>
      <c r="HCP103" s="14"/>
      <c r="HCQ103" s="14"/>
      <c r="HCR103" s="36"/>
      <c r="HCS103" s="14"/>
      <c r="HCT103" s="44"/>
      <c r="HCU103" s="38"/>
      <c r="HCV103" s="14"/>
      <c r="HCW103" s="14"/>
      <c r="HCX103" s="14"/>
      <c r="HCY103" s="14"/>
      <c r="HCZ103" s="36"/>
      <c r="HDA103" s="14"/>
      <c r="HDB103" s="44"/>
      <c r="HDC103" s="38"/>
      <c r="HDD103" s="14"/>
      <c r="HDE103" s="14"/>
      <c r="HDF103" s="14"/>
      <c r="HDG103" s="14"/>
      <c r="HDH103" s="36"/>
      <c r="HDI103" s="14"/>
      <c r="HDJ103" s="44"/>
      <c r="HDK103" s="38"/>
      <c r="HDL103" s="14"/>
      <c r="HDM103" s="14"/>
      <c r="HDN103" s="14"/>
      <c r="HDO103" s="14"/>
      <c r="HDP103" s="36"/>
      <c r="HDQ103" s="14"/>
      <c r="HDR103" s="44"/>
      <c r="HDS103" s="38"/>
      <c r="HDT103" s="14"/>
      <c r="HDU103" s="14"/>
      <c r="HDV103" s="14"/>
      <c r="HDW103" s="14"/>
      <c r="HDX103" s="36"/>
      <c r="HDY103" s="14"/>
      <c r="HDZ103" s="44"/>
      <c r="HEA103" s="38"/>
      <c r="HEB103" s="14"/>
      <c r="HEC103" s="14"/>
      <c r="HED103" s="14"/>
      <c r="HEE103" s="14"/>
      <c r="HEF103" s="36"/>
      <c r="HEG103" s="14"/>
      <c r="HEH103" s="44"/>
      <c r="HEI103" s="38"/>
      <c r="HEJ103" s="14"/>
      <c r="HEK103" s="14"/>
      <c r="HEL103" s="14"/>
      <c r="HEM103" s="14"/>
      <c r="HEN103" s="36"/>
      <c r="HEO103" s="14"/>
      <c r="HEP103" s="44"/>
      <c r="HEQ103" s="38"/>
      <c r="HER103" s="14"/>
      <c r="HES103" s="14"/>
      <c r="HET103" s="14"/>
      <c r="HEU103" s="14"/>
      <c r="HEV103" s="36"/>
      <c r="HEW103" s="14"/>
      <c r="HEX103" s="44"/>
      <c r="HEY103" s="38"/>
      <c r="HEZ103" s="14"/>
      <c r="HFA103" s="14"/>
      <c r="HFB103" s="14"/>
      <c r="HFC103" s="14"/>
      <c r="HFD103" s="36"/>
      <c r="HFE103" s="14"/>
      <c r="HFF103" s="44"/>
      <c r="HFG103" s="38"/>
      <c r="HFH103" s="14"/>
      <c r="HFI103" s="14"/>
      <c r="HFJ103" s="14"/>
      <c r="HFK103" s="14"/>
      <c r="HFL103" s="36"/>
      <c r="HFM103" s="14"/>
      <c r="HFN103" s="44"/>
      <c r="HFO103" s="38"/>
      <c r="HFP103" s="14"/>
      <c r="HFQ103" s="14"/>
      <c r="HFR103" s="14"/>
      <c r="HFS103" s="14"/>
      <c r="HFT103" s="36"/>
      <c r="HFU103" s="14"/>
      <c r="HFV103" s="44"/>
      <c r="HFW103" s="38"/>
      <c r="HFX103" s="14"/>
      <c r="HFY103" s="14"/>
      <c r="HFZ103" s="14"/>
      <c r="HGA103" s="14"/>
      <c r="HGB103" s="36"/>
      <c r="HGC103" s="14"/>
      <c r="HGD103" s="44"/>
      <c r="HGE103" s="38"/>
      <c r="HGF103" s="14"/>
      <c r="HGG103" s="14"/>
      <c r="HGH103" s="14"/>
      <c r="HGI103" s="14"/>
      <c r="HGJ103" s="36"/>
      <c r="HGK103" s="14"/>
      <c r="HGL103" s="44"/>
      <c r="HGM103" s="38"/>
      <c r="HGN103" s="14"/>
      <c r="HGO103" s="14"/>
      <c r="HGP103" s="14"/>
      <c r="HGQ103" s="14"/>
      <c r="HGR103" s="36"/>
      <c r="HGS103" s="14"/>
      <c r="HGT103" s="44"/>
      <c r="HGU103" s="38"/>
      <c r="HGV103" s="14"/>
      <c r="HGW103" s="14"/>
      <c r="HGX103" s="14"/>
      <c r="HGY103" s="14"/>
      <c r="HGZ103" s="36"/>
      <c r="HHA103" s="14"/>
      <c r="HHB103" s="44"/>
      <c r="HHC103" s="38"/>
      <c r="HHD103" s="14"/>
      <c r="HHE103" s="14"/>
      <c r="HHF103" s="14"/>
      <c r="HHG103" s="14"/>
      <c r="HHH103" s="36"/>
      <c r="HHI103" s="14"/>
      <c r="HHJ103" s="44"/>
      <c r="HHK103" s="38"/>
      <c r="HHL103" s="14"/>
      <c r="HHM103" s="14"/>
      <c r="HHN103" s="14"/>
      <c r="HHO103" s="14"/>
      <c r="HHP103" s="36"/>
      <c r="HHQ103" s="14"/>
      <c r="HHR103" s="44"/>
      <c r="HHS103" s="38"/>
      <c r="HHT103" s="14"/>
      <c r="HHU103" s="14"/>
      <c r="HHV103" s="14"/>
      <c r="HHW103" s="14"/>
      <c r="HHX103" s="36"/>
      <c r="HHY103" s="14"/>
      <c r="HHZ103" s="44"/>
      <c r="HIA103" s="38"/>
      <c r="HIB103" s="14"/>
      <c r="HIC103" s="14"/>
      <c r="HID103" s="14"/>
      <c r="HIE103" s="14"/>
      <c r="HIF103" s="36"/>
      <c r="HIG103" s="14"/>
      <c r="HIH103" s="44"/>
      <c r="HII103" s="38"/>
      <c r="HIJ103" s="14"/>
      <c r="HIK103" s="14"/>
      <c r="HIL103" s="14"/>
      <c r="HIM103" s="14"/>
      <c r="HIN103" s="36"/>
      <c r="HIO103" s="14"/>
      <c r="HIP103" s="44"/>
      <c r="HIQ103" s="38"/>
      <c r="HIR103" s="14"/>
      <c r="HIS103" s="14"/>
      <c r="HIT103" s="14"/>
      <c r="HIU103" s="14"/>
      <c r="HIV103" s="36"/>
      <c r="HIW103" s="14"/>
      <c r="HIX103" s="44"/>
      <c r="HIY103" s="38"/>
      <c r="HIZ103" s="14"/>
      <c r="HJA103" s="14"/>
      <c r="HJB103" s="14"/>
      <c r="HJC103" s="14"/>
      <c r="HJD103" s="36"/>
      <c r="HJE103" s="14"/>
      <c r="HJF103" s="44"/>
      <c r="HJG103" s="38"/>
      <c r="HJH103" s="14"/>
      <c r="HJI103" s="14"/>
      <c r="HJJ103" s="14"/>
      <c r="HJK103" s="14"/>
      <c r="HJL103" s="36"/>
      <c r="HJM103" s="14"/>
      <c r="HJN103" s="44"/>
      <c r="HJO103" s="38"/>
      <c r="HJP103" s="14"/>
      <c r="HJQ103" s="14"/>
      <c r="HJR103" s="14"/>
      <c r="HJS103" s="14"/>
      <c r="HJT103" s="36"/>
      <c r="HJU103" s="14"/>
      <c r="HJV103" s="44"/>
      <c r="HJW103" s="38"/>
      <c r="HJX103" s="14"/>
      <c r="HJY103" s="14"/>
      <c r="HJZ103" s="14"/>
      <c r="HKA103" s="14"/>
      <c r="HKB103" s="36"/>
      <c r="HKC103" s="14"/>
      <c r="HKD103" s="44"/>
      <c r="HKE103" s="38"/>
      <c r="HKF103" s="14"/>
      <c r="HKG103" s="14"/>
      <c r="HKH103" s="14"/>
      <c r="HKI103" s="14"/>
      <c r="HKJ103" s="36"/>
      <c r="HKK103" s="14"/>
      <c r="HKL103" s="44"/>
      <c r="HKM103" s="38"/>
      <c r="HKN103" s="14"/>
      <c r="HKO103" s="14"/>
      <c r="HKP103" s="14"/>
      <c r="HKQ103" s="14"/>
      <c r="HKR103" s="36"/>
      <c r="HKS103" s="14"/>
      <c r="HKT103" s="44"/>
      <c r="HKU103" s="38"/>
      <c r="HKV103" s="14"/>
      <c r="HKW103" s="14"/>
      <c r="HKX103" s="14"/>
      <c r="HKY103" s="14"/>
      <c r="HKZ103" s="36"/>
      <c r="HLA103" s="14"/>
      <c r="HLB103" s="44"/>
      <c r="HLC103" s="38"/>
      <c r="HLD103" s="14"/>
      <c r="HLE103" s="14"/>
      <c r="HLF103" s="14"/>
      <c r="HLG103" s="14"/>
      <c r="HLH103" s="36"/>
      <c r="HLI103" s="14"/>
      <c r="HLJ103" s="44"/>
      <c r="HLK103" s="38"/>
      <c r="HLL103" s="14"/>
      <c r="HLM103" s="14"/>
      <c r="HLN103" s="14"/>
      <c r="HLO103" s="14"/>
      <c r="HLP103" s="36"/>
      <c r="HLQ103" s="14"/>
      <c r="HLR103" s="44"/>
      <c r="HLS103" s="38"/>
      <c r="HLT103" s="14"/>
      <c r="HLU103" s="14"/>
      <c r="HLV103" s="14"/>
      <c r="HLW103" s="14"/>
      <c r="HLX103" s="36"/>
      <c r="HLY103" s="14"/>
      <c r="HLZ103" s="44"/>
      <c r="HMA103" s="38"/>
      <c r="HMB103" s="14"/>
      <c r="HMC103" s="14"/>
      <c r="HMD103" s="14"/>
      <c r="HME103" s="14"/>
      <c r="HMF103" s="36"/>
      <c r="HMG103" s="14"/>
      <c r="HMH103" s="44"/>
      <c r="HMI103" s="38"/>
      <c r="HMJ103" s="14"/>
      <c r="HMK103" s="14"/>
      <c r="HML103" s="14"/>
      <c r="HMM103" s="14"/>
      <c r="HMN103" s="36"/>
      <c r="HMO103" s="14"/>
      <c r="HMP103" s="44"/>
      <c r="HMQ103" s="38"/>
      <c r="HMR103" s="14"/>
      <c r="HMS103" s="14"/>
      <c r="HMT103" s="14"/>
      <c r="HMU103" s="14"/>
      <c r="HMV103" s="36"/>
      <c r="HMW103" s="14"/>
      <c r="HMX103" s="44"/>
      <c r="HMY103" s="38"/>
      <c r="HMZ103" s="14"/>
      <c r="HNA103" s="14"/>
      <c r="HNB103" s="14"/>
      <c r="HNC103" s="14"/>
      <c r="HND103" s="36"/>
      <c r="HNE103" s="14"/>
      <c r="HNF103" s="44"/>
      <c r="HNG103" s="38"/>
      <c r="HNH103" s="14"/>
      <c r="HNI103" s="14"/>
      <c r="HNJ103" s="14"/>
      <c r="HNK103" s="14"/>
      <c r="HNL103" s="36"/>
      <c r="HNM103" s="14"/>
      <c r="HNN103" s="44"/>
      <c r="HNO103" s="38"/>
      <c r="HNP103" s="14"/>
      <c r="HNQ103" s="14"/>
      <c r="HNR103" s="14"/>
      <c r="HNS103" s="14"/>
      <c r="HNT103" s="36"/>
      <c r="HNU103" s="14"/>
      <c r="HNV103" s="44"/>
      <c r="HNW103" s="38"/>
      <c r="HNX103" s="14"/>
      <c r="HNY103" s="14"/>
      <c r="HNZ103" s="14"/>
      <c r="HOA103" s="14"/>
      <c r="HOB103" s="36"/>
      <c r="HOC103" s="14"/>
      <c r="HOD103" s="44"/>
      <c r="HOE103" s="38"/>
      <c r="HOF103" s="14"/>
      <c r="HOG103" s="14"/>
      <c r="HOH103" s="14"/>
      <c r="HOI103" s="14"/>
      <c r="HOJ103" s="36"/>
      <c r="HOK103" s="14"/>
      <c r="HOL103" s="44"/>
      <c r="HOM103" s="38"/>
      <c r="HON103" s="14"/>
      <c r="HOO103" s="14"/>
      <c r="HOP103" s="14"/>
      <c r="HOQ103" s="14"/>
      <c r="HOR103" s="36"/>
      <c r="HOS103" s="14"/>
      <c r="HOT103" s="44"/>
      <c r="HOU103" s="38"/>
      <c r="HOV103" s="14"/>
      <c r="HOW103" s="14"/>
      <c r="HOX103" s="14"/>
      <c r="HOY103" s="14"/>
      <c r="HOZ103" s="36"/>
      <c r="HPA103" s="14"/>
      <c r="HPB103" s="44"/>
      <c r="HPC103" s="38"/>
      <c r="HPD103" s="14"/>
      <c r="HPE103" s="14"/>
      <c r="HPF103" s="14"/>
      <c r="HPG103" s="14"/>
      <c r="HPH103" s="36"/>
      <c r="HPI103" s="14"/>
      <c r="HPJ103" s="44"/>
      <c r="HPK103" s="38"/>
      <c r="HPL103" s="14"/>
      <c r="HPM103" s="14"/>
      <c r="HPN103" s="14"/>
      <c r="HPO103" s="14"/>
      <c r="HPP103" s="36"/>
      <c r="HPQ103" s="14"/>
      <c r="HPR103" s="44"/>
      <c r="HPS103" s="38"/>
      <c r="HPT103" s="14"/>
      <c r="HPU103" s="14"/>
      <c r="HPV103" s="14"/>
      <c r="HPW103" s="14"/>
      <c r="HPX103" s="36"/>
      <c r="HPY103" s="14"/>
      <c r="HPZ103" s="44"/>
      <c r="HQA103" s="38"/>
      <c r="HQB103" s="14"/>
      <c r="HQC103" s="14"/>
      <c r="HQD103" s="14"/>
      <c r="HQE103" s="14"/>
      <c r="HQF103" s="36"/>
      <c r="HQG103" s="14"/>
      <c r="HQH103" s="44"/>
      <c r="HQI103" s="38"/>
      <c r="HQJ103" s="14"/>
      <c r="HQK103" s="14"/>
      <c r="HQL103" s="14"/>
      <c r="HQM103" s="14"/>
      <c r="HQN103" s="36"/>
      <c r="HQO103" s="14"/>
      <c r="HQP103" s="44"/>
      <c r="HQQ103" s="38"/>
      <c r="HQR103" s="14"/>
      <c r="HQS103" s="14"/>
      <c r="HQT103" s="14"/>
      <c r="HQU103" s="14"/>
      <c r="HQV103" s="36"/>
      <c r="HQW103" s="14"/>
      <c r="HQX103" s="44"/>
      <c r="HQY103" s="38"/>
      <c r="HQZ103" s="14"/>
      <c r="HRA103" s="14"/>
      <c r="HRB103" s="14"/>
      <c r="HRC103" s="14"/>
      <c r="HRD103" s="36"/>
      <c r="HRE103" s="14"/>
      <c r="HRF103" s="44"/>
      <c r="HRG103" s="38"/>
      <c r="HRH103" s="14"/>
      <c r="HRI103" s="14"/>
      <c r="HRJ103" s="14"/>
      <c r="HRK103" s="14"/>
      <c r="HRL103" s="36"/>
      <c r="HRM103" s="14"/>
      <c r="HRN103" s="44"/>
      <c r="HRO103" s="38"/>
      <c r="HRP103" s="14"/>
      <c r="HRQ103" s="14"/>
      <c r="HRR103" s="14"/>
      <c r="HRS103" s="14"/>
      <c r="HRT103" s="36"/>
      <c r="HRU103" s="14"/>
      <c r="HRV103" s="44"/>
      <c r="HRW103" s="38"/>
      <c r="HRX103" s="14"/>
      <c r="HRY103" s="14"/>
      <c r="HRZ103" s="14"/>
      <c r="HSA103" s="14"/>
      <c r="HSB103" s="36"/>
      <c r="HSC103" s="14"/>
      <c r="HSD103" s="44"/>
      <c r="HSE103" s="38"/>
      <c r="HSF103" s="14"/>
      <c r="HSG103" s="14"/>
      <c r="HSH103" s="14"/>
      <c r="HSI103" s="14"/>
      <c r="HSJ103" s="36"/>
      <c r="HSK103" s="14"/>
      <c r="HSL103" s="44"/>
      <c r="HSM103" s="38"/>
      <c r="HSN103" s="14"/>
      <c r="HSO103" s="14"/>
      <c r="HSP103" s="14"/>
      <c r="HSQ103" s="14"/>
      <c r="HSR103" s="36"/>
      <c r="HSS103" s="14"/>
      <c r="HST103" s="44"/>
      <c r="HSU103" s="38"/>
      <c r="HSV103" s="14"/>
      <c r="HSW103" s="14"/>
      <c r="HSX103" s="14"/>
      <c r="HSY103" s="14"/>
      <c r="HSZ103" s="36"/>
      <c r="HTA103" s="14"/>
      <c r="HTB103" s="44"/>
      <c r="HTC103" s="38"/>
      <c r="HTD103" s="14"/>
      <c r="HTE103" s="14"/>
      <c r="HTF103" s="14"/>
      <c r="HTG103" s="14"/>
      <c r="HTH103" s="36"/>
      <c r="HTI103" s="14"/>
      <c r="HTJ103" s="44"/>
      <c r="HTK103" s="38"/>
      <c r="HTL103" s="14"/>
      <c r="HTM103" s="14"/>
      <c r="HTN103" s="14"/>
      <c r="HTO103" s="14"/>
      <c r="HTP103" s="36"/>
      <c r="HTQ103" s="14"/>
      <c r="HTR103" s="44"/>
      <c r="HTS103" s="38"/>
      <c r="HTT103" s="14"/>
      <c r="HTU103" s="14"/>
      <c r="HTV103" s="14"/>
      <c r="HTW103" s="14"/>
      <c r="HTX103" s="36"/>
      <c r="HTY103" s="14"/>
      <c r="HTZ103" s="44"/>
      <c r="HUA103" s="38"/>
      <c r="HUB103" s="14"/>
      <c r="HUC103" s="14"/>
      <c r="HUD103" s="14"/>
      <c r="HUE103" s="14"/>
      <c r="HUF103" s="36"/>
      <c r="HUG103" s="14"/>
      <c r="HUH103" s="44"/>
      <c r="HUI103" s="38"/>
      <c r="HUJ103" s="14"/>
      <c r="HUK103" s="14"/>
      <c r="HUL103" s="14"/>
      <c r="HUM103" s="14"/>
      <c r="HUN103" s="36"/>
      <c r="HUO103" s="14"/>
      <c r="HUP103" s="44"/>
      <c r="HUQ103" s="38"/>
      <c r="HUR103" s="14"/>
      <c r="HUS103" s="14"/>
      <c r="HUT103" s="14"/>
      <c r="HUU103" s="14"/>
      <c r="HUV103" s="36"/>
      <c r="HUW103" s="14"/>
      <c r="HUX103" s="44"/>
      <c r="HUY103" s="38"/>
      <c r="HUZ103" s="14"/>
      <c r="HVA103" s="14"/>
      <c r="HVB103" s="14"/>
      <c r="HVC103" s="14"/>
      <c r="HVD103" s="36"/>
      <c r="HVE103" s="14"/>
      <c r="HVF103" s="44"/>
      <c r="HVG103" s="38"/>
      <c r="HVH103" s="14"/>
      <c r="HVI103" s="14"/>
      <c r="HVJ103" s="14"/>
      <c r="HVK103" s="14"/>
      <c r="HVL103" s="36"/>
      <c r="HVM103" s="14"/>
      <c r="HVN103" s="44"/>
      <c r="HVO103" s="38"/>
      <c r="HVP103" s="14"/>
      <c r="HVQ103" s="14"/>
      <c r="HVR103" s="14"/>
      <c r="HVS103" s="14"/>
      <c r="HVT103" s="36"/>
      <c r="HVU103" s="14"/>
      <c r="HVV103" s="44"/>
      <c r="HVW103" s="38"/>
      <c r="HVX103" s="14"/>
      <c r="HVY103" s="14"/>
      <c r="HVZ103" s="14"/>
      <c r="HWA103" s="14"/>
      <c r="HWB103" s="36"/>
      <c r="HWC103" s="14"/>
      <c r="HWD103" s="44"/>
      <c r="HWE103" s="38"/>
      <c r="HWF103" s="14"/>
      <c r="HWG103" s="14"/>
      <c r="HWH103" s="14"/>
      <c r="HWI103" s="14"/>
      <c r="HWJ103" s="36"/>
      <c r="HWK103" s="14"/>
      <c r="HWL103" s="44"/>
      <c r="HWM103" s="38"/>
      <c r="HWN103" s="14"/>
      <c r="HWO103" s="14"/>
      <c r="HWP103" s="14"/>
      <c r="HWQ103" s="14"/>
      <c r="HWR103" s="36"/>
      <c r="HWS103" s="14"/>
      <c r="HWT103" s="44"/>
      <c r="HWU103" s="38"/>
      <c r="HWV103" s="14"/>
      <c r="HWW103" s="14"/>
      <c r="HWX103" s="14"/>
      <c r="HWY103" s="14"/>
      <c r="HWZ103" s="36"/>
      <c r="HXA103" s="14"/>
      <c r="HXB103" s="44"/>
      <c r="HXC103" s="38"/>
      <c r="HXD103" s="14"/>
      <c r="HXE103" s="14"/>
      <c r="HXF103" s="14"/>
      <c r="HXG103" s="14"/>
      <c r="HXH103" s="36"/>
      <c r="HXI103" s="14"/>
      <c r="HXJ103" s="44"/>
      <c r="HXK103" s="38"/>
      <c r="HXL103" s="14"/>
      <c r="HXM103" s="14"/>
      <c r="HXN103" s="14"/>
      <c r="HXO103" s="14"/>
      <c r="HXP103" s="36"/>
      <c r="HXQ103" s="14"/>
      <c r="HXR103" s="44"/>
      <c r="HXS103" s="38"/>
      <c r="HXT103" s="14"/>
      <c r="HXU103" s="14"/>
      <c r="HXV103" s="14"/>
      <c r="HXW103" s="14"/>
      <c r="HXX103" s="36"/>
      <c r="HXY103" s="14"/>
      <c r="HXZ103" s="44"/>
      <c r="HYA103" s="38"/>
      <c r="HYB103" s="14"/>
      <c r="HYC103" s="14"/>
      <c r="HYD103" s="14"/>
      <c r="HYE103" s="14"/>
      <c r="HYF103" s="36"/>
      <c r="HYG103" s="14"/>
      <c r="HYH103" s="44"/>
      <c r="HYI103" s="38"/>
      <c r="HYJ103" s="14"/>
      <c r="HYK103" s="14"/>
      <c r="HYL103" s="14"/>
      <c r="HYM103" s="14"/>
      <c r="HYN103" s="36"/>
      <c r="HYO103" s="14"/>
      <c r="HYP103" s="44"/>
      <c r="HYQ103" s="38"/>
      <c r="HYR103" s="14"/>
      <c r="HYS103" s="14"/>
      <c r="HYT103" s="14"/>
      <c r="HYU103" s="14"/>
      <c r="HYV103" s="36"/>
      <c r="HYW103" s="14"/>
      <c r="HYX103" s="44"/>
      <c r="HYY103" s="38"/>
      <c r="HYZ103" s="14"/>
      <c r="HZA103" s="14"/>
      <c r="HZB103" s="14"/>
      <c r="HZC103" s="14"/>
      <c r="HZD103" s="36"/>
      <c r="HZE103" s="14"/>
      <c r="HZF103" s="44"/>
      <c r="HZG103" s="38"/>
      <c r="HZH103" s="14"/>
      <c r="HZI103" s="14"/>
      <c r="HZJ103" s="14"/>
      <c r="HZK103" s="14"/>
      <c r="HZL103" s="36"/>
      <c r="HZM103" s="14"/>
      <c r="HZN103" s="44"/>
      <c r="HZO103" s="38"/>
      <c r="HZP103" s="14"/>
      <c r="HZQ103" s="14"/>
      <c r="HZR103" s="14"/>
      <c r="HZS103" s="14"/>
      <c r="HZT103" s="36"/>
      <c r="HZU103" s="14"/>
      <c r="HZV103" s="44"/>
      <c r="HZW103" s="38"/>
      <c r="HZX103" s="14"/>
      <c r="HZY103" s="14"/>
      <c r="HZZ103" s="14"/>
      <c r="IAA103" s="14"/>
      <c r="IAB103" s="36"/>
      <c r="IAC103" s="14"/>
      <c r="IAD103" s="44"/>
      <c r="IAE103" s="38"/>
      <c r="IAF103" s="14"/>
      <c r="IAG103" s="14"/>
      <c r="IAH103" s="14"/>
      <c r="IAI103" s="14"/>
      <c r="IAJ103" s="36"/>
      <c r="IAK103" s="14"/>
      <c r="IAL103" s="44"/>
      <c r="IAM103" s="38"/>
      <c r="IAN103" s="14"/>
      <c r="IAO103" s="14"/>
      <c r="IAP103" s="14"/>
      <c r="IAQ103" s="14"/>
      <c r="IAR103" s="36"/>
      <c r="IAS103" s="14"/>
      <c r="IAT103" s="44"/>
      <c r="IAU103" s="38"/>
      <c r="IAV103" s="14"/>
      <c r="IAW103" s="14"/>
      <c r="IAX103" s="14"/>
      <c r="IAY103" s="14"/>
      <c r="IAZ103" s="36"/>
      <c r="IBA103" s="14"/>
      <c r="IBB103" s="44"/>
      <c r="IBC103" s="38"/>
      <c r="IBD103" s="14"/>
      <c r="IBE103" s="14"/>
      <c r="IBF103" s="14"/>
      <c r="IBG103" s="14"/>
      <c r="IBH103" s="36"/>
      <c r="IBI103" s="14"/>
      <c r="IBJ103" s="44"/>
      <c r="IBK103" s="38"/>
      <c r="IBL103" s="14"/>
      <c r="IBM103" s="14"/>
      <c r="IBN103" s="14"/>
      <c r="IBO103" s="14"/>
      <c r="IBP103" s="36"/>
      <c r="IBQ103" s="14"/>
      <c r="IBR103" s="44"/>
      <c r="IBS103" s="38"/>
      <c r="IBT103" s="14"/>
      <c r="IBU103" s="14"/>
      <c r="IBV103" s="14"/>
      <c r="IBW103" s="14"/>
      <c r="IBX103" s="36"/>
      <c r="IBY103" s="14"/>
      <c r="IBZ103" s="44"/>
      <c r="ICA103" s="38"/>
      <c r="ICB103" s="14"/>
      <c r="ICC103" s="14"/>
      <c r="ICD103" s="14"/>
      <c r="ICE103" s="14"/>
      <c r="ICF103" s="36"/>
      <c r="ICG103" s="14"/>
      <c r="ICH103" s="44"/>
      <c r="ICI103" s="38"/>
      <c r="ICJ103" s="14"/>
      <c r="ICK103" s="14"/>
      <c r="ICL103" s="14"/>
      <c r="ICM103" s="14"/>
      <c r="ICN103" s="36"/>
      <c r="ICO103" s="14"/>
      <c r="ICP103" s="44"/>
      <c r="ICQ103" s="38"/>
      <c r="ICR103" s="14"/>
      <c r="ICS103" s="14"/>
      <c r="ICT103" s="14"/>
      <c r="ICU103" s="14"/>
      <c r="ICV103" s="36"/>
      <c r="ICW103" s="14"/>
      <c r="ICX103" s="44"/>
      <c r="ICY103" s="38"/>
      <c r="ICZ103" s="14"/>
      <c r="IDA103" s="14"/>
      <c r="IDB103" s="14"/>
      <c r="IDC103" s="14"/>
      <c r="IDD103" s="36"/>
      <c r="IDE103" s="14"/>
      <c r="IDF103" s="44"/>
      <c r="IDG103" s="38"/>
      <c r="IDH103" s="14"/>
      <c r="IDI103" s="14"/>
      <c r="IDJ103" s="14"/>
      <c r="IDK103" s="14"/>
      <c r="IDL103" s="36"/>
      <c r="IDM103" s="14"/>
      <c r="IDN103" s="44"/>
      <c r="IDO103" s="38"/>
      <c r="IDP103" s="14"/>
      <c r="IDQ103" s="14"/>
      <c r="IDR103" s="14"/>
      <c r="IDS103" s="14"/>
      <c r="IDT103" s="36"/>
      <c r="IDU103" s="14"/>
      <c r="IDV103" s="44"/>
      <c r="IDW103" s="38"/>
      <c r="IDX103" s="14"/>
      <c r="IDY103" s="14"/>
      <c r="IDZ103" s="14"/>
      <c r="IEA103" s="14"/>
      <c r="IEB103" s="36"/>
      <c r="IEC103" s="14"/>
      <c r="IED103" s="44"/>
      <c r="IEE103" s="38"/>
      <c r="IEF103" s="14"/>
      <c r="IEG103" s="14"/>
      <c r="IEH103" s="14"/>
      <c r="IEI103" s="14"/>
      <c r="IEJ103" s="36"/>
      <c r="IEK103" s="14"/>
      <c r="IEL103" s="44"/>
      <c r="IEM103" s="38"/>
      <c r="IEN103" s="14"/>
      <c r="IEO103" s="14"/>
      <c r="IEP103" s="14"/>
      <c r="IEQ103" s="14"/>
      <c r="IER103" s="36"/>
      <c r="IES103" s="14"/>
      <c r="IET103" s="44"/>
      <c r="IEU103" s="38"/>
      <c r="IEV103" s="14"/>
      <c r="IEW103" s="14"/>
      <c r="IEX103" s="14"/>
      <c r="IEY103" s="14"/>
      <c r="IEZ103" s="36"/>
      <c r="IFA103" s="14"/>
      <c r="IFB103" s="44"/>
      <c r="IFC103" s="38"/>
      <c r="IFD103" s="14"/>
      <c r="IFE103" s="14"/>
      <c r="IFF103" s="14"/>
      <c r="IFG103" s="14"/>
      <c r="IFH103" s="36"/>
      <c r="IFI103" s="14"/>
      <c r="IFJ103" s="44"/>
      <c r="IFK103" s="38"/>
      <c r="IFL103" s="14"/>
      <c r="IFM103" s="14"/>
      <c r="IFN103" s="14"/>
      <c r="IFO103" s="14"/>
      <c r="IFP103" s="36"/>
      <c r="IFQ103" s="14"/>
      <c r="IFR103" s="44"/>
      <c r="IFS103" s="38"/>
      <c r="IFT103" s="14"/>
      <c r="IFU103" s="14"/>
      <c r="IFV103" s="14"/>
      <c r="IFW103" s="14"/>
      <c r="IFX103" s="36"/>
      <c r="IFY103" s="14"/>
      <c r="IFZ103" s="44"/>
      <c r="IGA103" s="38"/>
      <c r="IGB103" s="14"/>
      <c r="IGC103" s="14"/>
      <c r="IGD103" s="14"/>
      <c r="IGE103" s="14"/>
      <c r="IGF103" s="36"/>
      <c r="IGG103" s="14"/>
      <c r="IGH103" s="44"/>
      <c r="IGI103" s="38"/>
      <c r="IGJ103" s="14"/>
      <c r="IGK103" s="14"/>
      <c r="IGL103" s="14"/>
      <c r="IGM103" s="14"/>
      <c r="IGN103" s="36"/>
      <c r="IGO103" s="14"/>
      <c r="IGP103" s="44"/>
      <c r="IGQ103" s="38"/>
      <c r="IGR103" s="14"/>
      <c r="IGS103" s="14"/>
      <c r="IGT103" s="14"/>
      <c r="IGU103" s="14"/>
      <c r="IGV103" s="36"/>
      <c r="IGW103" s="14"/>
      <c r="IGX103" s="44"/>
      <c r="IGY103" s="38"/>
      <c r="IGZ103" s="14"/>
      <c r="IHA103" s="14"/>
      <c r="IHB103" s="14"/>
      <c r="IHC103" s="14"/>
      <c r="IHD103" s="36"/>
      <c r="IHE103" s="14"/>
      <c r="IHF103" s="44"/>
      <c r="IHG103" s="38"/>
      <c r="IHH103" s="14"/>
      <c r="IHI103" s="14"/>
      <c r="IHJ103" s="14"/>
      <c r="IHK103" s="14"/>
      <c r="IHL103" s="36"/>
      <c r="IHM103" s="14"/>
      <c r="IHN103" s="44"/>
      <c r="IHO103" s="38"/>
      <c r="IHP103" s="14"/>
      <c r="IHQ103" s="14"/>
      <c r="IHR103" s="14"/>
      <c r="IHS103" s="14"/>
      <c r="IHT103" s="36"/>
      <c r="IHU103" s="14"/>
      <c r="IHV103" s="44"/>
      <c r="IHW103" s="38"/>
      <c r="IHX103" s="14"/>
      <c r="IHY103" s="14"/>
      <c r="IHZ103" s="14"/>
      <c r="IIA103" s="14"/>
      <c r="IIB103" s="36"/>
      <c r="IIC103" s="14"/>
      <c r="IID103" s="44"/>
      <c r="IIE103" s="38"/>
      <c r="IIF103" s="14"/>
      <c r="IIG103" s="14"/>
      <c r="IIH103" s="14"/>
      <c r="III103" s="14"/>
      <c r="IIJ103" s="36"/>
      <c r="IIK103" s="14"/>
      <c r="IIL103" s="44"/>
      <c r="IIM103" s="38"/>
      <c r="IIN103" s="14"/>
      <c r="IIO103" s="14"/>
      <c r="IIP103" s="14"/>
      <c r="IIQ103" s="14"/>
      <c r="IIR103" s="36"/>
      <c r="IIS103" s="14"/>
      <c r="IIT103" s="44"/>
      <c r="IIU103" s="38"/>
      <c r="IIV103" s="14"/>
      <c r="IIW103" s="14"/>
      <c r="IIX103" s="14"/>
      <c r="IIY103" s="14"/>
      <c r="IIZ103" s="36"/>
      <c r="IJA103" s="14"/>
      <c r="IJB103" s="44"/>
      <c r="IJC103" s="38"/>
      <c r="IJD103" s="14"/>
      <c r="IJE103" s="14"/>
      <c r="IJF103" s="14"/>
      <c r="IJG103" s="14"/>
      <c r="IJH103" s="36"/>
      <c r="IJI103" s="14"/>
      <c r="IJJ103" s="44"/>
      <c r="IJK103" s="38"/>
      <c r="IJL103" s="14"/>
      <c r="IJM103" s="14"/>
      <c r="IJN103" s="14"/>
      <c r="IJO103" s="14"/>
      <c r="IJP103" s="36"/>
      <c r="IJQ103" s="14"/>
      <c r="IJR103" s="44"/>
      <c r="IJS103" s="38"/>
      <c r="IJT103" s="14"/>
      <c r="IJU103" s="14"/>
      <c r="IJV103" s="14"/>
      <c r="IJW103" s="14"/>
      <c r="IJX103" s="36"/>
      <c r="IJY103" s="14"/>
      <c r="IJZ103" s="44"/>
      <c r="IKA103" s="38"/>
      <c r="IKB103" s="14"/>
      <c r="IKC103" s="14"/>
      <c r="IKD103" s="14"/>
      <c r="IKE103" s="14"/>
      <c r="IKF103" s="36"/>
      <c r="IKG103" s="14"/>
      <c r="IKH103" s="44"/>
      <c r="IKI103" s="38"/>
      <c r="IKJ103" s="14"/>
      <c r="IKK103" s="14"/>
      <c r="IKL103" s="14"/>
      <c r="IKM103" s="14"/>
      <c r="IKN103" s="36"/>
      <c r="IKO103" s="14"/>
      <c r="IKP103" s="44"/>
      <c r="IKQ103" s="38"/>
      <c r="IKR103" s="14"/>
      <c r="IKS103" s="14"/>
      <c r="IKT103" s="14"/>
      <c r="IKU103" s="14"/>
      <c r="IKV103" s="36"/>
      <c r="IKW103" s="14"/>
      <c r="IKX103" s="44"/>
      <c r="IKY103" s="38"/>
      <c r="IKZ103" s="14"/>
      <c r="ILA103" s="14"/>
      <c r="ILB103" s="14"/>
      <c r="ILC103" s="14"/>
      <c r="ILD103" s="36"/>
      <c r="ILE103" s="14"/>
      <c r="ILF103" s="44"/>
      <c r="ILG103" s="38"/>
      <c r="ILH103" s="14"/>
      <c r="ILI103" s="14"/>
      <c r="ILJ103" s="14"/>
      <c r="ILK103" s="14"/>
      <c r="ILL103" s="36"/>
      <c r="ILM103" s="14"/>
      <c r="ILN103" s="44"/>
      <c r="ILO103" s="38"/>
      <c r="ILP103" s="14"/>
      <c r="ILQ103" s="14"/>
      <c r="ILR103" s="14"/>
      <c r="ILS103" s="14"/>
      <c r="ILT103" s="36"/>
      <c r="ILU103" s="14"/>
      <c r="ILV103" s="44"/>
      <c r="ILW103" s="38"/>
      <c r="ILX103" s="14"/>
      <c r="ILY103" s="14"/>
      <c r="ILZ103" s="14"/>
      <c r="IMA103" s="14"/>
      <c r="IMB103" s="36"/>
      <c r="IMC103" s="14"/>
      <c r="IMD103" s="44"/>
      <c r="IME103" s="38"/>
      <c r="IMF103" s="14"/>
      <c r="IMG103" s="14"/>
      <c r="IMH103" s="14"/>
      <c r="IMI103" s="14"/>
      <c r="IMJ103" s="36"/>
      <c r="IMK103" s="14"/>
      <c r="IML103" s="44"/>
      <c r="IMM103" s="38"/>
      <c r="IMN103" s="14"/>
      <c r="IMO103" s="14"/>
      <c r="IMP103" s="14"/>
      <c r="IMQ103" s="14"/>
      <c r="IMR103" s="36"/>
      <c r="IMS103" s="14"/>
      <c r="IMT103" s="44"/>
      <c r="IMU103" s="38"/>
      <c r="IMV103" s="14"/>
      <c r="IMW103" s="14"/>
      <c r="IMX103" s="14"/>
      <c r="IMY103" s="14"/>
      <c r="IMZ103" s="36"/>
      <c r="INA103" s="14"/>
      <c r="INB103" s="44"/>
      <c r="INC103" s="38"/>
      <c r="IND103" s="14"/>
      <c r="INE103" s="14"/>
      <c r="INF103" s="14"/>
      <c r="ING103" s="14"/>
      <c r="INH103" s="36"/>
      <c r="INI103" s="14"/>
      <c r="INJ103" s="44"/>
      <c r="INK103" s="38"/>
      <c r="INL103" s="14"/>
      <c r="INM103" s="14"/>
      <c r="INN103" s="14"/>
      <c r="INO103" s="14"/>
      <c r="INP103" s="36"/>
      <c r="INQ103" s="14"/>
      <c r="INR103" s="44"/>
      <c r="INS103" s="38"/>
      <c r="INT103" s="14"/>
      <c r="INU103" s="14"/>
      <c r="INV103" s="14"/>
      <c r="INW103" s="14"/>
      <c r="INX103" s="36"/>
      <c r="INY103" s="14"/>
      <c r="INZ103" s="44"/>
      <c r="IOA103" s="38"/>
      <c r="IOB103" s="14"/>
      <c r="IOC103" s="14"/>
      <c r="IOD103" s="14"/>
      <c r="IOE103" s="14"/>
      <c r="IOF103" s="36"/>
      <c r="IOG103" s="14"/>
      <c r="IOH103" s="44"/>
      <c r="IOI103" s="38"/>
      <c r="IOJ103" s="14"/>
      <c r="IOK103" s="14"/>
      <c r="IOL103" s="14"/>
      <c r="IOM103" s="14"/>
      <c r="ION103" s="36"/>
      <c r="IOO103" s="14"/>
      <c r="IOP103" s="44"/>
      <c r="IOQ103" s="38"/>
      <c r="IOR103" s="14"/>
      <c r="IOS103" s="14"/>
      <c r="IOT103" s="14"/>
      <c r="IOU103" s="14"/>
      <c r="IOV103" s="36"/>
      <c r="IOW103" s="14"/>
      <c r="IOX103" s="44"/>
      <c r="IOY103" s="38"/>
      <c r="IOZ103" s="14"/>
      <c r="IPA103" s="14"/>
      <c r="IPB103" s="14"/>
      <c r="IPC103" s="14"/>
      <c r="IPD103" s="36"/>
      <c r="IPE103" s="14"/>
      <c r="IPF103" s="44"/>
      <c r="IPG103" s="38"/>
      <c r="IPH103" s="14"/>
      <c r="IPI103" s="14"/>
      <c r="IPJ103" s="14"/>
      <c r="IPK103" s="14"/>
      <c r="IPL103" s="36"/>
      <c r="IPM103" s="14"/>
      <c r="IPN103" s="44"/>
      <c r="IPO103" s="38"/>
      <c r="IPP103" s="14"/>
      <c r="IPQ103" s="14"/>
      <c r="IPR103" s="14"/>
      <c r="IPS103" s="14"/>
      <c r="IPT103" s="36"/>
      <c r="IPU103" s="14"/>
      <c r="IPV103" s="44"/>
      <c r="IPW103" s="38"/>
      <c r="IPX103" s="14"/>
      <c r="IPY103" s="14"/>
      <c r="IPZ103" s="14"/>
      <c r="IQA103" s="14"/>
      <c r="IQB103" s="36"/>
      <c r="IQC103" s="14"/>
      <c r="IQD103" s="44"/>
      <c r="IQE103" s="38"/>
      <c r="IQF103" s="14"/>
      <c r="IQG103" s="14"/>
      <c r="IQH103" s="14"/>
      <c r="IQI103" s="14"/>
      <c r="IQJ103" s="36"/>
      <c r="IQK103" s="14"/>
      <c r="IQL103" s="44"/>
      <c r="IQM103" s="38"/>
      <c r="IQN103" s="14"/>
      <c r="IQO103" s="14"/>
      <c r="IQP103" s="14"/>
      <c r="IQQ103" s="14"/>
      <c r="IQR103" s="36"/>
      <c r="IQS103" s="14"/>
      <c r="IQT103" s="44"/>
      <c r="IQU103" s="38"/>
      <c r="IQV103" s="14"/>
      <c r="IQW103" s="14"/>
      <c r="IQX103" s="14"/>
      <c r="IQY103" s="14"/>
      <c r="IQZ103" s="36"/>
      <c r="IRA103" s="14"/>
      <c r="IRB103" s="44"/>
      <c r="IRC103" s="38"/>
      <c r="IRD103" s="14"/>
      <c r="IRE103" s="14"/>
      <c r="IRF103" s="14"/>
      <c r="IRG103" s="14"/>
      <c r="IRH103" s="36"/>
      <c r="IRI103" s="14"/>
      <c r="IRJ103" s="44"/>
      <c r="IRK103" s="38"/>
      <c r="IRL103" s="14"/>
      <c r="IRM103" s="14"/>
      <c r="IRN103" s="14"/>
      <c r="IRO103" s="14"/>
      <c r="IRP103" s="36"/>
      <c r="IRQ103" s="14"/>
      <c r="IRR103" s="44"/>
      <c r="IRS103" s="38"/>
      <c r="IRT103" s="14"/>
      <c r="IRU103" s="14"/>
      <c r="IRV103" s="14"/>
      <c r="IRW103" s="14"/>
      <c r="IRX103" s="36"/>
      <c r="IRY103" s="14"/>
      <c r="IRZ103" s="44"/>
      <c r="ISA103" s="38"/>
      <c r="ISB103" s="14"/>
      <c r="ISC103" s="14"/>
      <c r="ISD103" s="14"/>
      <c r="ISE103" s="14"/>
      <c r="ISF103" s="36"/>
      <c r="ISG103" s="14"/>
      <c r="ISH103" s="44"/>
      <c r="ISI103" s="38"/>
      <c r="ISJ103" s="14"/>
      <c r="ISK103" s="14"/>
      <c r="ISL103" s="14"/>
      <c r="ISM103" s="14"/>
      <c r="ISN103" s="36"/>
      <c r="ISO103" s="14"/>
      <c r="ISP103" s="44"/>
      <c r="ISQ103" s="38"/>
      <c r="ISR103" s="14"/>
      <c r="ISS103" s="14"/>
      <c r="IST103" s="14"/>
      <c r="ISU103" s="14"/>
      <c r="ISV103" s="36"/>
      <c r="ISW103" s="14"/>
      <c r="ISX103" s="44"/>
      <c r="ISY103" s="38"/>
      <c r="ISZ103" s="14"/>
      <c r="ITA103" s="14"/>
      <c r="ITB103" s="14"/>
      <c r="ITC103" s="14"/>
      <c r="ITD103" s="36"/>
      <c r="ITE103" s="14"/>
      <c r="ITF103" s="44"/>
      <c r="ITG103" s="38"/>
      <c r="ITH103" s="14"/>
      <c r="ITI103" s="14"/>
      <c r="ITJ103" s="14"/>
      <c r="ITK103" s="14"/>
      <c r="ITL103" s="36"/>
      <c r="ITM103" s="14"/>
      <c r="ITN103" s="44"/>
      <c r="ITO103" s="38"/>
      <c r="ITP103" s="14"/>
      <c r="ITQ103" s="14"/>
      <c r="ITR103" s="14"/>
      <c r="ITS103" s="14"/>
      <c r="ITT103" s="36"/>
      <c r="ITU103" s="14"/>
      <c r="ITV103" s="44"/>
      <c r="ITW103" s="38"/>
      <c r="ITX103" s="14"/>
      <c r="ITY103" s="14"/>
      <c r="ITZ103" s="14"/>
      <c r="IUA103" s="14"/>
      <c r="IUB103" s="36"/>
      <c r="IUC103" s="14"/>
      <c r="IUD103" s="44"/>
      <c r="IUE103" s="38"/>
      <c r="IUF103" s="14"/>
      <c r="IUG103" s="14"/>
      <c r="IUH103" s="14"/>
      <c r="IUI103" s="14"/>
      <c r="IUJ103" s="36"/>
      <c r="IUK103" s="14"/>
      <c r="IUL103" s="44"/>
      <c r="IUM103" s="38"/>
      <c r="IUN103" s="14"/>
      <c r="IUO103" s="14"/>
      <c r="IUP103" s="14"/>
      <c r="IUQ103" s="14"/>
      <c r="IUR103" s="36"/>
      <c r="IUS103" s="14"/>
      <c r="IUT103" s="44"/>
      <c r="IUU103" s="38"/>
      <c r="IUV103" s="14"/>
      <c r="IUW103" s="14"/>
      <c r="IUX103" s="14"/>
      <c r="IUY103" s="14"/>
      <c r="IUZ103" s="36"/>
      <c r="IVA103" s="14"/>
      <c r="IVB103" s="44"/>
      <c r="IVC103" s="38"/>
      <c r="IVD103" s="14"/>
      <c r="IVE103" s="14"/>
      <c r="IVF103" s="14"/>
      <c r="IVG103" s="14"/>
      <c r="IVH103" s="36"/>
      <c r="IVI103" s="14"/>
      <c r="IVJ103" s="44"/>
      <c r="IVK103" s="38"/>
      <c r="IVL103" s="14"/>
      <c r="IVM103" s="14"/>
      <c r="IVN103" s="14"/>
      <c r="IVO103" s="14"/>
      <c r="IVP103" s="36"/>
      <c r="IVQ103" s="14"/>
      <c r="IVR103" s="44"/>
      <c r="IVS103" s="38"/>
      <c r="IVT103" s="14"/>
      <c r="IVU103" s="14"/>
      <c r="IVV103" s="14"/>
      <c r="IVW103" s="14"/>
      <c r="IVX103" s="36"/>
      <c r="IVY103" s="14"/>
      <c r="IVZ103" s="44"/>
      <c r="IWA103" s="38"/>
      <c r="IWB103" s="14"/>
      <c r="IWC103" s="14"/>
      <c r="IWD103" s="14"/>
      <c r="IWE103" s="14"/>
      <c r="IWF103" s="36"/>
      <c r="IWG103" s="14"/>
      <c r="IWH103" s="44"/>
      <c r="IWI103" s="38"/>
      <c r="IWJ103" s="14"/>
      <c r="IWK103" s="14"/>
      <c r="IWL103" s="14"/>
      <c r="IWM103" s="14"/>
      <c r="IWN103" s="36"/>
      <c r="IWO103" s="14"/>
      <c r="IWP103" s="44"/>
      <c r="IWQ103" s="38"/>
      <c r="IWR103" s="14"/>
      <c r="IWS103" s="14"/>
      <c r="IWT103" s="14"/>
      <c r="IWU103" s="14"/>
      <c r="IWV103" s="36"/>
      <c r="IWW103" s="14"/>
      <c r="IWX103" s="44"/>
      <c r="IWY103" s="38"/>
      <c r="IWZ103" s="14"/>
      <c r="IXA103" s="14"/>
      <c r="IXB103" s="14"/>
      <c r="IXC103" s="14"/>
      <c r="IXD103" s="36"/>
      <c r="IXE103" s="14"/>
      <c r="IXF103" s="44"/>
      <c r="IXG103" s="38"/>
      <c r="IXH103" s="14"/>
      <c r="IXI103" s="14"/>
      <c r="IXJ103" s="14"/>
      <c r="IXK103" s="14"/>
      <c r="IXL103" s="36"/>
      <c r="IXM103" s="14"/>
      <c r="IXN103" s="44"/>
      <c r="IXO103" s="38"/>
      <c r="IXP103" s="14"/>
      <c r="IXQ103" s="14"/>
      <c r="IXR103" s="14"/>
      <c r="IXS103" s="14"/>
      <c r="IXT103" s="36"/>
      <c r="IXU103" s="14"/>
      <c r="IXV103" s="44"/>
      <c r="IXW103" s="38"/>
      <c r="IXX103" s="14"/>
      <c r="IXY103" s="14"/>
      <c r="IXZ103" s="14"/>
      <c r="IYA103" s="14"/>
      <c r="IYB103" s="36"/>
      <c r="IYC103" s="14"/>
      <c r="IYD103" s="44"/>
      <c r="IYE103" s="38"/>
      <c r="IYF103" s="14"/>
      <c r="IYG103" s="14"/>
      <c r="IYH103" s="14"/>
      <c r="IYI103" s="14"/>
      <c r="IYJ103" s="36"/>
      <c r="IYK103" s="14"/>
      <c r="IYL103" s="44"/>
      <c r="IYM103" s="38"/>
      <c r="IYN103" s="14"/>
      <c r="IYO103" s="14"/>
      <c r="IYP103" s="14"/>
      <c r="IYQ103" s="14"/>
      <c r="IYR103" s="36"/>
      <c r="IYS103" s="14"/>
      <c r="IYT103" s="44"/>
      <c r="IYU103" s="38"/>
      <c r="IYV103" s="14"/>
      <c r="IYW103" s="14"/>
      <c r="IYX103" s="14"/>
      <c r="IYY103" s="14"/>
      <c r="IYZ103" s="36"/>
      <c r="IZA103" s="14"/>
      <c r="IZB103" s="44"/>
      <c r="IZC103" s="38"/>
      <c r="IZD103" s="14"/>
      <c r="IZE103" s="14"/>
      <c r="IZF103" s="14"/>
      <c r="IZG103" s="14"/>
      <c r="IZH103" s="36"/>
      <c r="IZI103" s="14"/>
      <c r="IZJ103" s="44"/>
      <c r="IZK103" s="38"/>
      <c r="IZL103" s="14"/>
      <c r="IZM103" s="14"/>
      <c r="IZN103" s="14"/>
      <c r="IZO103" s="14"/>
      <c r="IZP103" s="36"/>
      <c r="IZQ103" s="14"/>
      <c r="IZR103" s="44"/>
      <c r="IZS103" s="38"/>
      <c r="IZT103" s="14"/>
      <c r="IZU103" s="14"/>
      <c r="IZV103" s="14"/>
      <c r="IZW103" s="14"/>
      <c r="IZX103" s="36"/>
      <c r="IZY103" s="14"/>
      <c r="IZZ103" s="44"/>
      <c r="JAA103" s="38"/>
      <c r="JAB103" s="14"/>
      <c r="JAC103" s="14"/>
      <c r="JAD103" s="14"/>
      <c r="JAE103" s="14"/>
      <c r="JAF103" s="36"/>
      <c r="JAG103" s="14"/>
      <c r="JAH103" s="44"/>
      <c r="JAI103" s="38"/>
      <c r="JAJ103" s="14"/>
      <c r="JAK103" s="14"/>
      <c r="JAL103" s="14"/>
      <c r="JAM103" s="14"/>
      <c r="JAN103" s="36"/>
      <c r="JAO103" s="14"/>
      <c r="JAP103" s="44"/>
      <c r="JAQ103" s="38"/>
      <c r="JAR103" s="14"/>
      <c r="JAS103" s="14"/>
      <c r="JAT103" s="14"/>
      <c r="JAU103" s="14"/>
      <c r="JAV103" s="36"/>
      <c r="JAW103" s="14"/>
      <c r="JAX103" s="44"/>
      <c r="JAY103" s="38"/>
      <c r="JAZ103" s="14"/>
      <c r="JBA103" s="14"/>
      <c r="JBB103" s="14"/>
      <c r="JBC103" s="14"/>
      <c r="JBD103" s="36"/>
      <c r="JBE103" s="14"/>
      <c r="JBF103" s="44"/>
      <c r="JBG103" s="38"/>
      <c r="JBH103" s="14"/>
      <c r="JBI103" s="14"/>
      <c r="JBJ103" s="14"/>
      <c r="JBK103" s="14"/>
      <c r="JBL103" s="36"/>
      <c r="JBM103" s="14"/>
      <c r="JBN103" s="44"/>
      <c r="JBO103" s="38"/>
      <c r="JBP103" s="14"/>
      <c r="JBQ103" s="14"/>
      <c r="JBR103" s="14"/>
      <c r="JBS103" s="14"/>
      <c r="JBT103" s="36"/>
      <c r="JBU103" s="14"/>
      <c r="JBV103" s="44"/>
      <c r="JBW103" s="38"/>
      <c r="JBX103" s="14"/>
      <c r="JBY103" s="14"/>
      <c r="JBZ103" s="14"/>
      <c r="JCA103" s="14"/>
      <c r="JCB103" s="36"/>
      <c r="JCC103" s="14"/>
      <c r="JCD103" s="44"/>
      <c r="JCE103" s="38"/>
      <c r="JCF103" s="14"/>
      <c r="JCG103" s="14"/>
      <c r="JCH103" s="14"/>
      <c r="JCI103" s="14"/>
      <c r="JCJ103" s="36"/>
      <c r="JCK103" s="14"/>
      <c r="JCL103" s="44"/>
      <c r="JCM103" s="38"/>
      <c r="JCN103" s="14"/>
      <c r="JCO103" s="14"/>
      <c r="JCP103" s="14"/>
      <c r="JCQ103" s="14"/>
      <c r="JCR103" s="36"/>
      <c r="JCS103" s="14"/>
      <c r="JCT103" s="44"/>
      <c r="JCU103" s="38"/>
      <c r="JCV103" s="14"/>
      <c r="JCW103" s="14"/>
      <c r="JCX103" s="14"/>
      <c r="JCY103" s="14"/>
      <c r="JCZ103" s="36"/>
      <c r="JDA103" s="14"/>
      <c r="JDB103" s="44"/>
      <c r="JDC103" s="38"/>
      <c r="JDD103" s="14"/>
      <c r="JDE103" s="14"/>
      <c r="JDF103" s="14"/>
      <c r="JDG103" s="14"/>
      <c r="JDH103" s="36"/>
      <c r="JDI103" s="14"/>
      <c r="JDJ103" s="44"/>
      <c r="JDK103" s="38"/>
      <c r="JDL103" s="14"/>
      <c r="JDM103" s="14"/>
      <c r="JDN103" s="14"/>
      <c r="JDO103" s="14"/>
      <c r="JDP103" s="36"/>
      <c r="JDQ103" s="14"/>
      <c r="JDR103" s="44"/>
      <c r="JDS103" s="38"/>
      <c r="JDT103" s="14"/>
      <c r="JDU103" s="14"/>
      <c r="JDV103" s="14"/>
      <c r="JDW103" s="14"/>
      <c r="JDX103" s="36"/>
      <c r="JDY103" s="14"/>
      <c r="JDZ103" s="44"/>
      <c r="JEA103" s="38"/>
      <c r="JEB103" s="14"/>
      <c r="JEC103" s="14"/>
      <c r="JED103" s="14"/>
      <c r="JEE103" s="14"/>
      <c r="JEF103" s="36"/>
      <c r="JEG103" s="14"/>
      <c r="JEH103" s="44"/>
      <c r="JEI103" s="38"/>
      <c r="JEJ103" s="14"/>
      <c r="JEK103" s="14"/>
      <c r="JEL103" s="14"/>
      <c r="JEM103" s="14"/>
      <c r="JEN103" s="36"/>
      <c r="JEO103" s="14"/>
      <c r="JEP103" s="44"/>
      <c r="JEQ103" s="38"/>
      <c r="JER103" s="14"/>
      <c r="JES103" s="14"/>
      <c r="JET103" s="14"/>
      <c r="JEU103" s="14"/>
      <c r="JEV103" s="36"/>
      <c r="JEW103" s="14"/>
      <c r="JEX103" s="44"/>
      <c r="JEY103" s="38"/>
      <c r="JEZ103" s="14"/>
      <c r="JFA103" s="14"/>
      <c r="JFB103" s="14"/>
      <c r="JFC103" s="14"/>
      <c r="JFD103" s="36"/>
      <c r="JFE103" s="14"/>
      <c r="JFF103" s="44"/>
      <c r="JFG103" s="38"/>
      <c r="JFH103" s="14"/>
      <c r="JFI103" s="14"/>
      <c r="JFJ103" s="14"/>
      <c r="JFK103" s="14"/>
      <c r="JFL103" s="36"/>
      <c r="JFM103" s="14"/>
      <c r="JFN103" s="44"/>
      <c r="JFO103" s="38"/>
      <c r="JFP103" s="14"/>
      <c r="JFQ103" s="14"/>
      <c r="JFR103" s="14"/>
      <c r="JFS103" s="14"/>
      <c r="JFT103" s="36"/>
      <c r="JFU103" s="14"/>
      <c r="JFV103" s="44"/>
      <c r="JFW103" s="38"/>
      <c r="JFX103" s="14"/>
      <c r="JFY103" s="14"/>
      <c r="JFZ103" s="14"/>
      <c r="JGA103" s="14"/>
      <c r="JGB103" s="36"/>
      <c r="JGC103" s="14"/>
      <c r="JGD103" s="44"/>
      <c r="JGE103" s="38"/>
      <c r="JGF103" s="14"/>
      <c r="JGG103" s="14"/>
      <c r="JGH103" s="14"/>
      <c r="JGI103" s="14"/>
      <c r="JGJ103" s="36"/>
      <c r="JGK103" s="14"/>
      <c r="JGL103" s="44"/>
      <c r="JGM103" s="38"/>
      <c r="JGN103" s="14"/>
      <c r="JGO103" s="14"/>
      <c r="JGP103" s="14"/>
      <c r="JGQ103" s="14"/>
      <c r="JGR103" s="36"/>
      <c r="JGS103" s="14"/>
      <c r="JGT103" s="44"/>
      <c r="JGU103" s="38"/>
      <c r="JGV103" s="14"/>
      <c r="JGW103" s="14"/>
      <c r="JGX103" s="14"/>
      <c r="JGY103" s="14"/>
      <c r="JGZ103" s="36"/>
      <c r="JHA103" s="14"/>
      <c r="JHB103" s="44"/>
      <c r="JHC103" s="38"/>
      <c r="JHD103" s="14"/>
      <c r="JHE103" s="14"/>
      <c r="JHF103" s="14"/>
      <c r="JHG103" s="14"/>
      <c r="JHH103" s="36"/>
      <c r="JHI103" s="14"/>
      <c r="JHJ103" s="44"/>
      <c r="JHK103" s="38"/>
      <c r="JHL103" s="14"/>
      <c r="JHM103" s="14"/>
      <c r="JHN103" s="14"/>
      <c r="JHO103" s="14"/>
      <c r="JHP103" s="36"/>
      <c r="JHQ103" s="14"/>
      <c r="JHR103" s="44"/>
      <c r="JHS103" s="38"/>
      <c r="JHT103" s="14"/>
      <c r="JHU103" s="14"/>
      <c r="JHV103" s="14"/>
      <c r="JHW103" s="14"/>
      <c r="JHX103" s="36"/>
      <c r="JHY103" s="14"/>
      <c r="JHZ103" s="44"/>
      <c r="JIA103" s="38"/>
      <c r="JIB103" s="14"/>
      <c r="JIC103" s="14"/>
      <c r="JID103" s="14"/>
      <c r="JIE103" s="14"/>
      <c r="JIF103" s="36"/>
      <c r="JIG103" s="14"/>
      <c r="JIH103" s="44"/>
      <c r="JII103" s="38"/>
      <c r="JIJ103" s="14"/>
      <c r="JIK103" s="14"/>
      <c r="JIL103" s="14"/>
      <c r="JIM103" s="14"/>
      <c r="JIN103" s="36"/>
      <c r="JIO103" s="14"/>
      <c r="JIP103" s="44"/>
      <c r="JIQ103" s="38"/>
      <c r="JIR103" s="14"/>
      <c r="JIS103" s="14"/>
      <c r="JIT103" s="14"/>
      <c r="JIU103" s="14"/>
      <c r="JIV103" s="36"/>
      <c r="JIW103" s="14"/>
      <c r="JIX103" s="44"/>
      <c r="JIY103" s="38"/>
      <c r="JIZ103" s="14"/>
      <c r="JJA103" s="14"/>
      <c r="JJB103" s="14"/>
      <c r="JJC103" s="14"/>
      <c r="JJD103" s="36"/>
      <c r="JJE103" s="14"/>
      <c r="JJF103" s="44"/>
      <c r="JJG103" s="38"/>
      <c r="JJH103" s="14"/>
      <c r="JJI103" s="14"/>
      <c r="JJJ103" s="14"/>
      <c r="JJK103" s="14"/>
      <c r="JJL103" s="36"/>
      <c r="JJM103" s="14"/>
      <c r="JJN103" s="44"/>
      <c r="JJO103" s="38"/>
      <c r="JJP103" s="14"/>
      <c r="JJQ103" s="14"/>
      <c r="JJR103" s="14"/>
      <c r="JJS103" s="14"/>
      <c r="JJT103" s="36"/>
      <c r="JJU103" s="14"/>
      <c r="JJV103" s="44"/>
      <c r="JJW103" s="38"/>
      <c r="JJX103" s="14"/>
      <c r="JJY103" s="14"/>
      <c r="JJZ103" s="14"/>
      <c r="JKA103" s="14"/>
      <c r="JKB103" s="36"/>
      <c r="JKC103" s="14"/>
      <c r="JKD103" s="44"/>
      <c r="JKE103" s="38"/>
      <c r="JKF103" s="14"/>
      <c r="JKG103" s="14"/>
      <c r="JKH103" s="14"/>
      <c r="JKI103" s="14"/>
      <c r="JKJ103" s="36"/>
      <c r="JKK103" s="14"/>
      <c r="JKL103" s="44"/>
      <c r="JKM103" s="38"/>
      <c r="JKN103" s="14"/>
      <c r="JKO103" s="14"/>
      <c r="JKP103" s="14"/>
      <c r="JKQ103" s="14"/>
      <c r="JKR103" s="36"/>
      <c r="JKS103" s="14"/>
      <c r="JKT103" s="44"/>
      <c r="JKU103" s="38"/>
      <c r="JKV103" s="14"/>
      <c r="JKW103" s="14"/>
      <c r="JKX103" s="14"/>
      <c r="JKY103" s="14"/>
      <c r="JKZ103" s="36"/>
      <c r="JLA103" s="14"/>
      <c r="JLB103" s="44"/>
      <c r="JLC103" s="38"/>
      <c r="JLD103" s="14"/>
      <c r="JLE103" s="14"/>
      <c r="JLF103" s="14"/>
      <c r="JLG103" s="14"/>
      <c r="JLH103" s="36"/>
      <c r="JLI103" s="14"/>
      <c r="JLJ103" s="44"/>
      <c r="JLK103" s="38"/>
      <c r="JLL103" s="14"/>
      <c r="JLM103" s="14"/>
      <c r="JLN103" s="14"/>
      <c r="JLO103" s="14"/>
      <c r="JLP103" s="36"/>
      <c r="JLQ103" s="14"/>
      <c r="JLR103" s="44"/>
      <c r="JLS103" s="38"/>
      <c r="JLT103" s="14"/>
      <c r="JLU103" s="14"/>
      <c r="JLV103" s="14"/>
      <c r="JLW103" s="14"/>
      <c r="JLX103" s="36"/>
      <c r="JLY103" s="14"/>
      <c r="JLZ103" s="44"/>
      <c r="JMA103" s="38"/>
      <c r="JMB103" s="14"/>
      <c r="JMC103" s="14"/>
      <c r="JMD103" s="14"/>
      <c r="JME103" s="14"/>
      <c r="JMF103" s="36"/>
      <c r="JMG103" s="14"/>
      <c r="JMH103" s="44"/>
      <c r="JMI103" s="38"/>
      <c r="JMJ103" s="14"/>
      <c r="JMK103" s="14"/>
      <c r="JML103" s="14"/>
      <c r="JMM103" s="14"/>
      <c r="JMN103" s="36"/>
      <c r="JMO103" s="14"/>
      <c r="JMP103" s="44"/>
      <c r="JMQ103" s="38"/>
      <c r="JMR103" s="14"/>
      <c r="JMS103" s="14"/>
      <c r="JMT103" s="14"/>
      <c r="JMU103" s="14"/>
      <c r="JMV103" s="36"/>
      <c r="JMW103" s="14"/>
      <c r="JMX103" s="44"/>
      <c r="JMY103" s="38"/>
      <c r="JMZ103" s="14"/>
      <c r="JNA103" s="14"/>
      <c r="JNB103" s="14"/>
      <c r="JNC103" s="14"/>
      <c r="JND103" s="36"/>
      <c r="JNE103" s="14"/>
      <c r="JNF103" s="44"/>
      <c r="JNG103" s="38"/>
      <c r="JNH103" s="14"/>
      <c r="JNI103" s="14"/>
      <c r="JNJ103" s="14"/>
      <c r="JNK103" s="14"/>
      <c r="JNL103" s="36"/>
      <c r="JNM103" s="14"/>
      <c r="JNN103" s="44"/>
      <c r="JNO103" s="38"/>
      <c r="JNP103" s="14"/>
      <c r="JNQ103" s="14"/>
      <c r="JNR103" s="14"/>
      <c r="JNS103" s="14"/>
      <c r="JNT103" s="36"/>
      <c r="JNU103" s="14"/>
      <c r="JNV103" s="44"/>
      <c r="JNW103" s="38"/>
      <c r="JNX103" s="14"/>
      <c r="JNY103" s="14"/>
      <c r="JNZ103" s="14"/>
      <c r="JOA103" s="14"/>
      <c r="JOB103" s="36"/>
      <c r="JOC103" s="14"/>
      <c r="JOD103" s="44"/>
      <c r="JOE103" s="38"/>
      <c r="JOF103" s="14"/>
      <c r="JOG103" s="14"/>
      <c r="JOH103" s="14"/>
      <c r="JOI103" s="14"/>
      <c r="JOJ103" s="36"/>
      <c r="JOK103" s="14"/>
      <c r="JOL103" s="44"/>
      <c r="JOM103" s="38"/>
      <c r="JON103" s="14"/>
      <c r="JOO103" s="14"/>
      <c r="JOP103" s="14"/>
      <c r="JOQ103" s="14"/>
      <c r="JOR103" s="36"/>
      <c r="JOS103" s="14"/>
      <c r="JOT103" s="44"/>
      <c r="JOU103" s="38"/>
      <c r="JOV103" s="14"/>
      <c r="JOW103" s="14"/>
      <c r="JOX103" s="14"/>
      <c r="JOY103" s="14"/>
      <c r="JOZ103" s="36"/>
      <c r="JPA103" s="14"/>
      <c r="JPB103" s="44"/>
      <c r="JPC103" s="38"/>
      <c r="JPD103" s="14"/>
      <c r="JPE103" s="14"/>
      <c r="JPF103" s="14"/>
      <c r="JPG103" s="14"/>
      <c r="JPH103" s="36"/>
      <c r="JPI103" s="14"/>
      <c r="JPJ103" s="44"/>
      <c r="JPK103" s="38"/>
      <c r="JPL103" s="14"/>
      <c r="JPM103" s="14"/>
      <c r="JPN103" s="14"/>
      <c r="JPO103" s="14"/>
      <c r="JPP103" s="36"/>
      <c r="JPQ103" s="14"/>
      <c r="JPR103" s="44"/>
      <c r="JPS103" s="38"/>
      <c r="JPT103" s="14"/>
      <c r="JPU103" s="14"/>
      <c r="JPV103" s="14"/>
      <c r="JPW103" s="14"/>
      <c r="JPX103" s="36"/>
      <c r="JPY103" s="14"/>
      <c r="JPZ103" s="44"/>
      <c r="JQA103" s="38"/>
      <c r="JQB103" s="14"/>
      <c r="JQC103" s="14"/>
      <c r="JQD103" s="14"/>
      <c r="JQE103" s="14"/>
      <c r="JQF103" s="36"/>
      <c r="JQG103" s="14"/>
      <c r="JQH103" s="44"/>
      <c r="JQI103" s="38"/>
      <c r="JQJ103" s="14"/>
      <c r="JQK103" s="14"/>
      <c r="JQL103" s="14"/>
      <c r="JQM103" s="14"/>
      <c r="JQN103" s="36"/>
      <c r="JQO103" s="14"/>
      <c r="JQP103" s="44"/>
      <c r="JQQ103" s="38"/>
      <c r="JQR103" s="14"/>
      <c r="JQS103" s="14"/>
      <c r="JQT103" s="14"/>
      <c r="JQU103" s="14"/>
      <c r="JQV103" s="36"/>
      <c r="JQW103" s="14"/>
      <c r="JQX103" s="44"/>
      <c r="JQY103" s="38"/>
      <c r="JQZ103" s="14"/>
      <c r="JRA103" s="14"/>
      <c r="JRB103" s="14"/>
      <c r="JRC103" s="14"/>
      <c r="JRD103" s="36"/>
      <c r="JRE103" s="14"/>
      <c r="JRF103" s="44"/>
      <c r="JRG103" s="38"/>
      <c r="JRH103" s="14"/>
      <c r="JRI103" s="14"/>
      <c r="JRJ103" s="14"/>
      <c r="JRK103" s="14"/>
      <c r="JRL103" s="36"/>
      <c r="JRM103" s="14"/>
      <c r="JRN103" s="44"/>
      <c r="JRO103" s="38"/>
      <c r="JRP103" s="14"/>
      <c r="JRQ103" s="14"/>
      <c r="JRR103" s="14"/>
      <c r="JRS103" s="14"/>
      <c r="JRT103" s="36"/>
      <c r="JRU103" s="14"/>
      <c r="JRV103" s="44"/>
      <c r="JRW103" s="38"/>
      <c r="JRX103" s="14"/>
      <c r="JRY103" s="14"/>
      <c r="JRZ103" s="14"/>
      <c r="JSA103" s="14"/>
      <c r="JSB103" s="36"/>
      <c r="JSC103" s="14"/>
      <c r="JSD103" s="44"/>
      <c r="JSE103" s="38"/>
      <c r="JSF103" s="14"/>
      <c r="JSG103" s="14"/>
      <c r="JSH103" s="14"/>
      <c r="JSI103" s="14"/>
      <c r="JSJ103" s="36"/>
      <c r="JSK103" s="14"/>
      <c r="JSL103" s="44"/>
      <c r="JSM103" s="38"/>
      <c r="JSN103" s="14"/>
      <c r="JSO103" s="14"/>
      <c r="JSP103" s="14"/>
      <c r="JSQ103" s="14"/>
      <c r="JSR103" s="36"/>
      <c r="JSS103" s="14"/>
      <c r="JST103" s="44"/>
      <c r="JSU103" s="38"/>
      <c r="JSV103" s="14"/>
      <c r="JSW103" s="14"/>
      <c r="JSX103" s="14"/>
      <c r="JSY103" s="14"/>
      <c r="JSZ103" s="36"/>
      <c r="JTA103" s="14"/>
      <c r="JTB103" s="44"/>
      <c r="JTC103" s="38"/>
      <c r="JTD103" s="14"/>
      <c r="JTE103" s="14"/>
      <c r="JTF103" s="14"/>
      <c r="JTG103" s="14"/>
      <c r="JTH103" s="36"/>
      <c r="JTI103" s="14"/>
      <c r="JTJ103" s="44"/>
      <c r="JTK103" s="38"/>
      <c r="JTL103" s="14"/>
      <c r="JTM103" s="14"/>
      <c r="JTN103" s="14"/>
      <c r="JTO103" s="14"/>
      <c r="JTP103" s="36"/>
      <c r="JTQ103" s="14"/>
      <c r="JTR103" s="44"/>
      <c r="JTS103" s="38"/>
      <c r="JTT103" s="14"/>
      <c r="JTU103" s="14"/>
      <c r="JTV103" s="14"/>
      <c r="JTW103" s="14"/>
      <c r="JTX103" s="36"/>
      <c r="JTY103" s="14"/>
      <c r="JTZ103" s="44"/>
      <c r="JUA103" s="38"/>
      <c r="JUB103" s="14"/>
      <c r="JUC103" s="14"/>
      <c r="JUD103" s="14"/>
      <c r="JUE103" s="14"/>
      <c r="JUF103" s="36"/>
      <c r="JUG103" s="14"/>
      <c r="JUH103" s="44"/>
      <c r="JUI103" s="38"/>
      <c r="JUJ103" s="14"/>
      <c r="JUK103" s="14"/>
      <c r="JUL103" s="14"/>
      <c r="JUM103" s="14"/>
      <c r="JUN103" s="36"/>
      <c r="JUO103" s="14"/>
      <c r="JUP103" s="44"/>
      <c r="JUQ103" s="38"/>
      <c r="JUR103" s="14"/>
      <c r="JUS103" s="14"/>
      <c r="JUT103" s="14"/>
      <c r="JUU103" s="14"/>
      <c r="JUV103" s="36"/>
      <c r="JUW103" s="14"/>
      <c r="JUX103" s="44"/>
      <c r="JUY103" s="38"/>
      <c r="JUZ103" s="14"/>
      <c r="JVA103" s="14"/>
      <c r="JVB103" s="14"/>
      <c r="JVC103" s="14"/>
      <c r="JVD103" s="36"/>
      <c r="JVE103" s="14"/>
      <c r="JVF103" s="44"/>
      <c r="JVG103" s="38"/>
      <c r="JVH103" s="14"/>
      <c r="JVI103" s="14"/>
      <c r="JVJ103" s="14"/>
      <c r="JVK103" s="14"/>
      <c r="JVL103" s="36"/>
      <c r="JVM103" s="14"/>
      <c r="JVN103" s="44"/>
      <c r="JVO103" s="38"/>
      <c r="JVP103" s="14"/>
      <c r="JVQ103" s="14"/>
      <c r="JVR103" s="14"/>
      <c r="JVS103" s="14"/>
      <c r="JVT103" s="36"/>
      <c r="JVU103" s="14"/>
      <c r="JVV103" s="44"/>
      <c r="JVW103" s="38"/>
      <c r="JVX103" s="14"/>
      <c r="JVY103" s="14"/>
      <c r="JVZ103" s="14"/>
      <c r="JWA103" s="14"/>
      <c r="JWB103" s="36"/>
      <c r="JWC103" s="14"/>
      <c r="JWD103" s="44"/>
      <c r="JWE103" s="38"/>
      <c r="JWF103" s="14"/>
      <c r="JWG103" s="14"/>
      <c r="JWH103" s="14"/>
      <c r="JWI103" s="14"/>
      <c r="JWJ103" s="36"/>
      <c r="JWK103" s="14"/>
      <c r="JWL103" s="44"/>
      <c r="JWM103" s="38"/>
      <c r="JWN103" s="14"/>
      <c r="JWO103" s="14"/>
      <c r="JWP103" s="14"/>
      <c r="JWQ103" s="14"/>
      <c r="JWR103" s="36"/>
      <c r="JWS103" s="14"/>
      <c r="JWT103" s="44"/>
      <c r="JWU103" s="38"/>
      <c r="JWV103" s="14"/>
      <c r="JWW103" s="14"/>
      <c r="JWX103" s="14"/>
      <c r="JWY103" s="14"/>
      <c r="JWZ103" s="36"/>
      <c r="JXA103" s="14"/>
      <c r="JXB103" s="44"/>
      <c r="JXC103" s="38"/>
      <c r="JXD103" s="14"/>
      <c r="JXE103" s="14"/>
      <c r="JXF103" s="14"/>
      <c r="JXG103" s="14"/>
      <c r="JXH103" s="36"/>
      <c r="JXI103" s="14"/>
      <c r="JXJ103" s="44"/>
      <c r="JXK103" s="38"/>
      <c r="JXL103" s="14"/>
      <c r="JXM103" s="14"/>
      <c r="JXN103" s="14"/>
      <c r="JXO103" s="14"/>
      <c r="JXP103" s="36"/>
      <c r="JXQ103" s="14"/>
      <c r="JXR103" s="44"/>
      <c r="JXS103" s="38"/>
      <c r="JXT103" s="14"/>
      <c r="JXU103" s="14"/>
      <c r="JXV103" s="14"/>
      <c r="JXW103" s="14"/>
      <c r="JXX103" s="36"/>
      <c r="JXY103" s="14"/>
      <c r="JXZ103" s="44"/>
      <c r="JYA103" s="38"/>
      <c r="JYB103" s="14"/>
      <c r="JYC103" s="14"/>
      <c r="JYD103" s="14"/>
      <c r="JYE103" s="14"/>
      <c r="JYF103" s="36"/>
      <c r="JYG103" s="14"/>
      <c r="JYH103" s="44"/>
      <c r="JYI103" s="38"/>
      <c r="JYJ103" s="14"/>
      <c r="JYK103" s="14"/>
      <c r="JYL103" s="14"/>
      <c r="JYM103" s="14"/>
      <c r="JYN103" s="36"/>
      <c r="JYO103" s="14"/>
      <c r="JYP103" s="44"/>
      <c r="JYQ103" s="38"/>
      <c r="JYR103" s="14"/>
      <c r="JYS103" s="14"/>
      <c r="JYT103" s="14"/>
      <c r="JYU103" s="14"/>
      <c r="JYV103" s="36"/>
      <c r="JYW103" s="14"/>
      <c r="JYX103" s="44"/>
      <c r="JYY103" s="38"/>
      <c r="JYZ103" s="14"/>
      <c r="JZA103" s="14"/>
      <c r="JZB103" s="14"/>
      <c r="JZC103" s="14"/>
      <c r="JZD103" s="36"/>
      <c r="JZE103" s="14"/>
      <c r="JZF103" s="44"/>
      <c r="JZG103" s="38"/>
      <c r="JZH103" s="14"/>
      <c r="JZI103" s="14"/>
      <c r="JZJ103" s="14"/>
      <c r="JZK103" s="14"/>
      <c r="JZL103" s="36"/>
      <c r="JZM103" s="14"/>
      <c r="JZN103" s="44"/>
      <c r="JZO103" s="38"/>
      <c r="JZP103" s="14"/>
      <c r="JZQ103" s="14"/>
      <c r="JZR103" s="14"/>
      <c r="JZS103" s="14"/>
      <c r="JZT103" s="36"/>
      <c r="JZU103" s="14"/>
      <c r="JZV103" s="44"/>
      <c r="JZW103" s="38"/>
      <c r="JZX103" s="14"/>
      <c r="JZY103" s="14"/>
      <c r="JZZ103" s="14"/>
      <c r="KAA103" s="14"/>
      <c r="KAB103" s="36"/>
      <c r="KAC103" s="14"/>
      <c r="KAD103" s="44"/>
      <c r="KAE103" s="38"/>
      <c r="KAF103" s="14"/>
      <c r="KAG103" s="14"/>
      <c r="KAH103" s="14"/>
      <c r="KAI103" s="14"/>
      <c r="KAJ103" s="36"/>
      <c r="KAK103" s="14"/>
      <c r="KAL103" s="44"/>
      <c r="KAM103" s="38"/>
      <c r="KAN103" s="14"/>
      <c r="KAO103" s="14"/>
      <c r="KAP103" s="14"/>
      <c r="KAQ103" s="14"/>
      <c r="KAR103" s="36"/>
      <c r="KAS103" s="14"/>
      <c r="KAT103" s="44"/>
      <c r="KAU103" s="38"/>
      <c r="KAV103" s="14"/>
      <c r="KAW103" s="14"/>
      <c r="KAX103" s="14"/>
      <c r="KAY103" s="14"/>
      <c r="KAZ103" s="36"/>
      <c r="KBA103" s="14"/>
      <c r="KBB103" s="44"/>
      <c r="KBC103" s="38"/>
      <c r="KBD103" s="14"/>
      <c r="KBE103" s="14"/>
      <c r="KBF103" s="14"/>
      <c r="KBG103" s="14"/>
      <c r="KBH103" s="36"/>
      <c r="KBI103" s="14"/>
      <c r="KBJ103" s="44"/>
      <c r="KBK103" s="38"/>
      <c r="KBL103" s="14"/>
      <c r="KBM103" s="14"/>
      <c r="KBN103" s="14"/>
      <c r="KBO103" s="14"/>
      <c r="KBP103" s="36"/>
      <c r="KBQ103" s="14"/>
      <c r="KBR103" s="44"/>
      <c r="KBS103" s="38"/>
      <c r="KBT103" s="14"/>
      <c r="KBU103" s="14"/>
      <c r="KBV103" s="14"/>
      <c r="KBW103" s="14"/>
      <c r="KBX103" s="36"/>
      <c r="KBY103" s="14"/>
      <c r="KBZ103" s="44"/>
      <c r="KCA103" s="38"/>
      <c r="KCB103" s="14"/>
      <c r="KCC103" s="14"/>
      <c r="KCD103" s="14"/>
      <c r="KCE103" s="14"/>
      <c r="KCF103" s="36"/>
      <c r="KCG103" s="14"/>
      <c r="KCH103" s="44"/>
      <c r="KCI103" s="38"/>
      <c r="KCJ103" s="14"/>
      <c r="KCK103" s="14"/>
      <c r="KCL103" s="14"/>
      <c r="KCM103" s="14"/>
      <c r="KCN103" s="36"/>
      <c r="KCO103" s="14"/>
      <c r="KCP103" s="44"/>
      <c r="KCQ103" s="38"/>
      <c r="KCR103" s="14"/>
      <c r="KCS103" s="14"/>
      <c r="KCT103" s="14"/>
      <c r="KCU103" s="14"/>
      <c r="KCV103" s="36"/>
      <c r="KCW103" s="14"/>
      <c r="KCX103" s="44"/>
      <c r="KCY103" s="38"/>
      <c r="KCZ103" s="14"/>
      <c r="KDA103" s="14"/>
      <c r="KDB103" s="14"/>
      <c r="KDC103" s="14"/>
      <c r="KDD103" s="36"/>
      <c r="KDE103" s="14"/>
      <c r="KDF103" s="44"/>
      <c r="KDG103" s="38"/>
      <c r="KDH103" s="14"/>
      <c r="KDI103" s="14"/>
      <c r="KDJ103" s="14"/>
      <c r="KDK103" s="14"/>
      <c r="KDL103" s="36"/>
      <c r="KDM103" s="14"/>
      <c r="KDN103" s="44"/>
      <c r="KDO103" s="38"/>
      <c r="KDP103" s="14"/>
      <c r="KDQ103" s="14"/>
      <c r="KDR103" s="14"/>
      <c r="KDS103" s="14"/>
      <c r="KDT103" s="36"/>
      <c r="KDU103" s="14"/>
      <c r="KDV103" s="44"/>
      <c r="KDW103" s="38"/>
      <c r="KDX103" s="14"/>
      <c r="KDY103" s="14"/>
      <c r="KDZ103" s="14"/>
      <c r="KEA103" s="14"/>
      <c r="KEB103" s="36"/>
      <c r="KEC103" s="14"/>
      <c r="KED103" s="44"/>
      <c r="KEE103" s="38"/>
      <c r="KEF103" s="14"/>
      <c r="KEG103" s="14"/>
      <c r="KEH103" s="14"/>
      <c r="KEI103" s="14"/>
      <c r="KEJ103" s="36"/>
      <c r="KEK103" s="14"/>
      <c r="KEL103" s="44"/>
      <c r="KEM103" s="38"/>
      <c r="KEN103" s="14"/>
      <c r="KEO103" s="14"/>
      <c r="KEP103" s="14"/>
      <c r="KEQ103" s="14"/>
      <c r="KER103" s="36"/>
      <c r="KES103" s="14"/>
      <c r="KET103" s="44"/>
      <c r="KEU103" s="38"/>
      <c r="KEV103" s="14"/>
      <c r="KEW103" s="14"/>
      <c r="KEX103" s="14"/>
      <c r="KEY103" s="14"/>
      <c r="KEZ103" s="36"/>
      <c r="KFA103" s="14"/>
      <c r="KFB103" s="44"/>
      <c r="KFC103" s="38"/>
      <c r="KFD103" s="14"/>
      <c r="KFE103" s="14"/>
      <c r="KFF103" s="14"/>
      <c r="KFG103" s="14"/>
      <c r="KFH103" s="36"/>
      <c r="KFI103" s="14"/>
      <c r="KFJ103" s="44"/>
      <c r="KFK103" s="38"/>
      <c r="KFL103" s="14"/>
      <c r="KFM103" s="14"/>
      <c r="KFN103" s="14"/>
      <c r="KFO103" s="14"/>
      <c r="KFP103" s="36"/>
      <c r="KFQ103" s="14"/>
      <c r="KFR103" s="44"/>
      <c r="KFS103" s="38"/>
      <c r="KFT103" s="14"/>
      <c r="KFU103" s="14"/>
      <c r="KFV103" s="14"/>
      <c r="KFW103" s="14"/>
      <c r="KFX103" s="36"/>
      <c r="KFY103" s="14"/>
      <c r="KFZ103" s="44"/>
      <c r="KGA103" s="38"/>
      <c r="KGB103" s="14"/>
      <c r="KGC103" s="14"/>
      <c r="KGD103" s="14"/>
      <c r="KGE103" s="14"/>
      <c r="KGF103" s="36"/>
      <c r="KGG103" s="14"/>
      <c r="KGH103" s="44"/>
      <c r="KGI103" s="38"/>
      <c r="KGJ103" s="14"/>
      <c r="KGK103" s="14"/>
      <c r="KGL103" s="14"/>
      <c r="KGM103" s="14"/>
      <c r="KGN103" s="36"/>
      <c r="KGO103" s="14"/>
      <c r="KGP103" s="44"/>
      <c r="KGQ103" s="38"/>
      <c r="KGR103" s="14"/>
      <c r="KGS103" s="14"/>
      <c r="KGT103" s="14"/>
      <c r="KGU103" s="14"/>
      <c r="KGV103" s="36"/>
      <c r="KGW103" s="14"/>
      <c r="KGX103" s="44"/>
      <c r="KGY103" s="38"/>
      <c r="KGZ103" s="14"/>
      <c r="KHA103" s="14"/>
      <c r="KHB103" s="14"/>
      <c r="KHC103" s="14"/>
      <c r="KHD103" s="36"/>
      <c r="KHE103" s="14"/>
      <c r="KHF103" s="44"/>
      <c r="KHG103" s="38"/>
      <c r="KHH103" s="14"/>
      <c r="KHI103" s="14"/>
      <c r="KHJ103" s="14"/>
      <c r="KHK103" s="14"/>
      <c r="KHL103" s="36"/>
      <c r="KHM103" s="14"/>
      <c r="KHN103" s="44"/>
      <c r="KHO103" s="38"/>
      <c r="KHP103" s="14"/>
      <c r="KHQ103" s="14"/>
      <c r="KHR103" s="14"/>
      <c r="KHS103" s="14"/>
      <c r="KHT103" s="36"/>
      <c r="KHU103" s="14"/>
      <c r="KHV103" s="44"/>
      <c r="KHW103" s="38"/>
      <c r="KHX103" s="14"/>
      <c r="KHY103" s="14"/>
      <c r="KHZ103" s="14"/>
      <c r="KIA103" s="14"/>
      <c r="KIB103" s="36"/>
      <c r="KIC103" s="14"/>
      <c r="KID103" s="44"/>
      <c r="KIE103" s="38"/>
      <c r="KIF103" s="14"/>
      <c r="KIG103" s="14"/>
      <c r="KIH103" s="14"/>
      <c r="KII103" s="14"/>
      <c r="KIJ103" s="36"/>
      <c r="KIK103" s="14"/>
      <c r="KIL103" s="44"/>
      <c r="KIM103" s="38"/>
      <c r="KIN103" s="14"/>
      <c r="KIO103" s="14"/>
      <c r="KIP103" s="14"/>
      <c r="KIQ103" s="14"/>
      <c r="KIR103" s="36"/>
      <c r="KIS103" s="14"/>
      <c r="KIT103" s="44"/>
      <c r="KIU103" s="38"/>
      <c r="KIV103" s="14"/>
      <c r="KIW103" s="14"/>
      <c r="KIX103" s="14"/>
      <c r="KIY103" s="14"/>
      <c r="KIZ103" s="36"/>
      <c r="KJA103" s="14"/>
      <c r="KJB103" s="44"/>
      <c r="KJC103" s="38"/>
      <c r="KJD103" s="14"/>
      <c r="KJE103" s="14"/>
      <c r="KJF103" s="14"/>
      <c r="KJG103" s="14"/>
      <c r="KJH103" s="36"/>
      <c r="KJI103" s="14"/>
      <c r="KJJ103" s="44"/>
      <c r="KJK103" s="38"/>
      <c r="KJL103" s="14"/>
      <c r="KJM103" s="14"/>
      <c r="KJN103" s="14"/>
      <c r="KJO103" s="14"/>
      <c r="KJP103" s="36"/>
      <c r="KJQ103" s="14"/>
      <c r="KJR103" s="44"/>
      <c r="KJS103" s="38"/>
      <c r="KJT103" s="14"/>
      <c r="KJU103" s="14"/>
      <c r="KJV103" s="14"/>
      <c r="KJW103" s="14"/>
      <c r="KJX103" s="36"/>
      <c r="KJY103" s="14"/>
      <c r="KJZ103" s="44"/>
      <c r="KKA103" s="38"/>
      <c r="KKB103" s="14"/>
      <c r="KKC103" s="14"/>
      <c r="KKD103" s="14"/>
      <c r="KKE103" s="14"/>
      <c r="KKF103" s="36"/>
      <c r="KKG103" s="14"/>
      <c r="KKH103" s="44"/>
      <c r="KKI103" s="38"/>
      <c r="KKJ103" s="14"/>
      <c r="KKK103" s="14"/>
      <c r="KKL103" s="14"/>
      <c r="KKM103" s="14"/>
      <c r="KKN103" s="36"/>
      <c r="KKO103" s="14"/>
      <c r="KKP103" s="44"/>
      <c r="KKQ103" s="38"/>
      <c r="KKR103" s="14"/>
      <c r="KKS103" s="14"/>
      <c r="KKT103" s="14"/>
      <c r="KKU103" s="14"/>
      <c r="KKV103" s="36"/>
      <c r="KKW103" s="14"/>
      <c r="KKX103" s="44"/>
      <c r="KKY103" s="38"/>
      <c r="KKZ103" s="14"/>
      <c r="KLA103" s="14"/>
      <c r="KLB103" s="14"/>
      <c r="KLC103" s="14"/>
      <c r="KLD103" s="36"/>
      <c r="KLE103" s="14"/>
      <c r="KLF103" s="44"/>
      <c r="KLG103" s="38"/>
      <c r="KLH103" s="14"/>
      <c r="KLI103" s="14"/>
      <c r="KLJ103" s="14"/>
      <c r="KLK103" s="14"/>
      <c r="KLL103" s="36"/>
      <c r="KLM103" s="14"/>
      <c r="KLN103" s="44"/>
      <c r="KLO103" s="38"/>
      <c r="KLP103" s="14"/>
      <c r="KLQ103" s="14"/>
      <c r="KLR103" s="14"/>
      <c r="KLS103" s="14"/>
      <c r="KLT103" s="36"/>
      <c r="KLU103" s="14"/>
      <c r="KLV103" s="44"/>
      <c r="KLW103" s="38"/>
      <c r="KLX103" s="14"/>
      <c r="KLY103" s="14"/>
      <c r="KLZ103" s="14"/>
      <c r="KMA103" s="14"/>
      <c r="KMB103" s="36"/>
      <c r="KMC103" s="14"/>
      <c r="KMD103" s="44"/>
      <c r="KME103" s="38"/>
      <c r="KMF103" s="14"/>
      <c r="KMG103" s="14"/>
      <c r="KMH103" s="14"/>
      <c r="KMI103" s="14"/>
      <c r="KMJ103" s="36"/>
      <c r="KMK103" s="14"/>
      <c r="KML103" s="44"/>
      <c r="KMM103" s="38"/>
      <c r="KMN103" s="14"/>
      <c r="KMO103" s="14"/>
      <c r="KMP103" s="14"/>
      <c r="KMQ103" s="14"/>
      <c r="KMR103" s="36"/>
      <c r="KMS103" s="14"/>
      <c r="KMT103" s="44"/>
      <c r="KMU103" s="38"/>
      <c r="KMV103" s="14"/>
      <c r="KMW103" s="14"/>
      <c r="KMX103" s="14"/>
      <c r="KMY103" s="14"/>
      <c r="KMZ103" s="36"/>
      <c r="KNA103" s="14"/>
      <c r="KNB103" s="44"/>
      <c r="KNC103" s="38"/>
      <c r="KND103" s="14"/>
      <c r="KNE103" s="14"/>
      <c r="KNF103" s="14"/>
      <c r="KNG103" s="14"/>
      <c r="KNH103" s="36"/>
      <c r="KNI103" s="14"/>
      <c r="KNJ103" s="44"/>
      <c r="KNK103" s="38"/>
      <c r="KNL103" s="14"/>
      <c r="KNM103" s="14"/>
      <c r="KNN103" s="14"/>
      <c r="KNO103" s="14"/>
      <c r="KNP103" s="36"/>
      <c r="KNQ103" s="14"/>
      <c r="KNR103" s="44"/>
      <c r="KNS103" s="38"/>
      <c r="KNT103" s="14"/>
      <c r="KNU103" s="14"/>
      <c r="KNV103" s="14"/>
      <c r="KNW103" s="14"/>
      <c r="KNX103" s="36"/>
      <c r="KNY103" s="14"/>
      <c r="KNZ103" s="44"/>
      <c r="KOA103" s="38"/>
      <c r="KOB103" s="14"/>
      <c r="KOC103" s="14"/>
      <c r="KOD103" s="14"/>
      <c r="KOE103" s="14"/>
      <c r="KOF103" s="36"/>
      <c r="KOG103" s="14"/>
      <c r="KOH103" s="44"/>
      <c r="KOI103" s="38"/>
      <c r="KOJ103" s="14"/>
      <c r="KOK103" s="14"/>
      <c r="KOL103" s="14"/>
      <c r="KOM103" s="14"/>
      <c r="KON103" s="36"/>
      <c r="KOO103" s="14"/>
      <c r="KOP103" s="44"/>
      <c r="KOQ103" s="38"/>
      <c r="KOR103" s="14"/>
      <c r="KOS103" s="14"/>
      <c r="KOT103" s="14"/>
      <c r="KOU103" s="14"/>
      <c r="KOV103" s="36"/>
      <c r="KOW103" s="14"/>
      <c r="KOX103" s="44"/>
      <c r="KOY103" s="38"/>
      <c r="KOZ103" s="14"/>
      <c r="KPA103" s="14"/>
      <c r="KPB103" s="14"/>
      <c r="KPC103" s="14"/>
      <c r="KPD103" s="36"/>
      <c r="KPE103" s="14"/>
      <c r="KPF103" s="44"/>
      <c r="KPG103" s="38"/>
      <c r="KPH103" s="14"/>
      <c r="KPI103" s="14"/>
      <c r="KPJ103" s="14"/>
      <c r="KPK103" s="14"/>
      <c r="KPL103" s="36"/>
      <c r="KPM103" s="14"/>
      <c r="KPN103" s="44"/>
      <c r="KPO103" s="38"/>
      <c r="KPP103" s="14"/>
      <c r="KPQ103" s="14"/>
      <c r="KPR103" s="14"/>
      <c r="KPS103" s="14"/>
      <c r="KPT103" s="36"/>
      <c r="KPU103" s="14"/>
      <c r="KPV103" s="44"/>
      <c r="KPW103" s="38"/>
      <c r="KPX103" s="14"/>
      <c r="KPY103" s="14"/>
      <c r="KPZ103" s="14"/>
      <c r="KQA103" s="14"/>
      <c r="KQB103" s="36"/>
      <c r="KQC103" s="14"/>
      <c r="KQD103" s="44"/>
      <c r="KQE103" s="38"/>
      <c r="KQF103" s="14"/>
      <c r="KQG103" s="14"/>
      <c r="KQH103" s="14"/>
      <c r="KQI103" s="14"/>
      <c r="KQJ103" s="36"/>
      <c r="KQK103" s="14"/>
      <c r="KQL103" s="44"/>
      <c r="KQM103" s="38"/>
      <c r="KQN103" s="14"/>
      <c r="KQO103" s="14"/>
      <c r="KQP103" s="14"/>
      <c r="KQQ103" s="14"/>
      <c r="KQR103" s="36"/>
      <c r="KQS103" s="14"/>
      <c r="KQT103" s="44"/>
      <c r="KQU103" s="38"/>
      <c r="KQV103" s="14"/>
      <c r="KQW103" s="14"/>
      <c r="KQX103" s="14"/>
      <c r="KQY103" s="14"/>
      <c r="KQZ103" s="36"/>
      <c r="KRA103" s="14"/>
      <c r="KRB103" s="44"/>
      <c r="KRC103" s="38"/>
      <c r="KRD103" s="14"/>
      <c r="KRE103" s="14"/>
      <c r="KRF103" s="14"/>
      <c r="KRG103" s="14"/>
      <c r="KRH103" s="36"/>
      <c r="KRI103" s="14"/>
      <c r="KRJ103" s="44"/>
      <c r="KRK103" s="38"/>
      <c r="KRL103" s="14"/>
      <c r="KRM103" s="14"/>
      <c r="KRN103" s="14"/>
      <c r="KRO103" s="14"/>
      <c r="KRP103" s="36"/>
      <c r="KRQ103" s="14"/>
      <c r="KRR103" s="44"/>
      <c r="KRS103" s="38"/>
      <c r="KRT103" s="14"/>
      <c r="KRU103" s="14"/>
      <c r="KRV103" s="14"/>
      <c r="KRW103" s="14"/>
      <c r="KRX103" s="36"/>
      <c r="KRY103" s="14"/>
      <c r="KRZ103" s="44"/>
      <c r="KSA103" s="38"/>
      <c r="KSB103" s="14"/>
      <c r="KSC103" s="14"/>
      <c r="KSD103" s="14"/>
      <c r="KSE103" s="14"/>
      <c r="KSF103" s="36"/>
      <c r="KSG103" s="14"/>
      <c r="KSH103" s="44"/>
      <c r="KSI103" s="38"/>
      <c r="KSJ103" s="14"/>
      <c r="KSK103" s="14"/>
      <c r="KSL103" s="14"/>
      <c r="KSM103" s="14"/>
      <c r="KSN103" s="36"/>
      <c r="KSO103" s="14"/>
      <c r="KSP103" s="44"/>
      <c r="KSQ103" s="38"/>
      <c r="KSR103" s="14"/>
      <c r="KSS103" s="14"/>
      <c r="KST103" s="14"/>
      <c r="KSU103" s="14"/>
      <c r="KSV103" s="36"/>
      <c r="KSW103" s="14"/>
      <c r="KSX103" s="44"/>
      <c r="KSY103" s="38"/>
      <c r="KSZ103" s="14"/>
      <c r="KTA103" s="14"/>
      <c r="KTB103" s="14"/>
      <c r="KTC103" s="14"/>
      <c r="KTD103" s="36"/>
      <c r="KTE103" s="14"/>
      <c r="KTF103" s="44"/>
      <c r="KTG103" s="38"/>
      <c r="KTH103" s="14"/>
      <c r="KTI103" s="14"/>
      <c r="KTJ103" s="14"/>
      <c r="KTK103" s="14"/>
      <c r="KTL103" s="36"/>
      <c r="KTM103" s="14"/>
      <c r="KTN103" s="44"/>
      <c r="KTO103" s="38"/>
      <c r="KTP103" s="14"/>
      <c r="KTQ103" s="14"/>
      <c r="KTR103" s="14"/>
      <c r="KTS103" s="14"/>
      <c r="KTT103" s="36"/>
      <c r="KTU103" s="14"/>
      <c r="KTV103" s="44"/>
      <c r="KTW103" s="38"/>
      <c r="KTX103" s="14"/>
      <c r="KTY103" s="14"/>
      <c r="KTZ103" s="14"/>
      <c r="KUA103" s="14"/>
      <c r="KUB103" s="36"/>
      <c r="KUC103" s="14"/>
      <c r="KUD103" s="44"/>
      <c r="KUE103" s="38"/>
      <c r="KUF103" s="14"/>
      <c r="KUG103" s="14"/>
      <c r="KUH103" s="14"/>
      <c r="KUI103" s="14"/>
      <c r="KUJ103" s="36"/>
      <c r="KUK103" s="14"/>
      <c r="KUL103" s="44"/>
      <c r="KUM103" s="38"/>
      <c r="KUN103" s="14"/>
      <c r="KUO103" s="14"/>
      <c r="KUP103" s="14"/>
      <c r="KUQ103" s="14"/>
      <c r="KUR103" s="36"/>
      <c r="KUS103" s="14"/>
      <c r="KUT103" s="44"/>
      <c r="KUU103" s="38"/>
      <c r="KUV103" s="14"/>
      <c r="KUW103" s="14"/>
      <c r="KUX103" s="14"/>
      <c r="KUY103" s="14"/>
      <c r="KUZ103" s="36"/>
      <c r="KVA103" s="14"/>
      <c r="KVB103" s="44"/>
      <c r="KVC103" s="38"/>
      <c r="KVD103" s="14"/>
      <c r="KVE103" s="14"/>
      <c r="KVF103" s="14"/>
      <c r="KVG103" s="14"/>
      <c r="KVH103" s="36"/>
      <c r="KVI103" s="14"/>
      <c r="KVJ103" s="44"/>
      <c r="KVK103" s="38"/>
      <c r="KVL103" s="14"/>
      <c r="KVM103" s="14"/>
      <c r="KVN103" s="14"/>
      <c r="KVO103" s="14"/>
      <c r="KVP103" s="36"/>
      <c r="KVQ103" s="14"/>
      <c r="KVR103" s="44"/>
      <c r="KVS103" s="38"/>
      <c r="KVT103" s="14"/>
      <c r="KVU103" s="14"/>
      <c r="KVV103" s="14"/>
      <c r="KVW103" s="14"/>
      <c r="KVX103" s="36"/>
      <c r="KVY103" s="14"/>
      <c r="KVZ103" s="44"/>
      <c r="KWA103" s="38"/>
      <c r="KWB103" s="14"/>
      <c r="KWC103" s="14"/>
      <c r="KWD103" s="14"/>
      <c r="KWE103" s="14"/>
      <c r="KWF103" s="36"/>
      <c r="KWG103" s="14"/>
      <c r="KWH103" s="44"/>
      <c r="KWI103" s="38"/>
      <c r="KWJ103" s="14"/>
      <c r="KWK103" s="14"/>
      <c r="KWL103" s="14"/>
      <c r="KWM103" s="14"/>
      <c r="KWN103" s="36"/>
      <c r="KWO103" s="14"/>
      <c r="KWP103" s="44"/>
      <c r="KWQ103" s="38"/>
      <c r="KWR103" s="14"/>
      <c r="KWS103" s="14"/>
      <c r="KWT103" s="14"/>
      <c r="KWU103" s="14"/>
      <c r="KWV103" s="36"/>
      <c r="KWW103" s="14"/>
      <c r="KWX103" s="44"/>
      <c r="KWY103" s="38"/>
      <c r="KWZ103" s="14"/>
      <c r="KXA103" s="14"/>
      <c r="KXB103" s="14"/>
      <c r="KXC103" s="14"/>
      <c r="KXD103" s="36"/>
      <c r="KXE103" s="14"/>
      <c r="KXF103" s="44"/>
      <c r="KXG103" s="38"/>
      <c r="KXH103" s="14"/>
      <c r="KXI103" s="14"/>
      <c r="KXJ103" s="14"/>
      <c r="KXK103" s="14"/>
      <c r="KXL103" s="36"/>
      <c r="KXM103" s="14"/>
      <c r="KXN103" s="44"/>
      <c r="KXO103" s="38"/>
      <c r="KXP103" s="14"/>
      <c r="KXQ103" s="14"/>
      <c r="KXR103" s="14"/>
      <c r="KXS103" s="14"/>
      <c r="KXT103" s="36"/>
      <c r="KXU103" s="14"/>
      <c r="KXV103" s="44"/>
      <c r="KXW103" s="38"/>
      <c r="KXX103" s="14"/>
      <c r="KXY103" s="14"/>
      <c r="KXZ103" s="14"/>
      <c r="KYA103" s="14"/>
      <c r="KYB103" s="36"/>
      <c r="KYC103" s="14"/>
      <c r="KYD103" s="44"/>
      <c r="KYE103" s="38"/>
      <c r="KYF103" s="14"/>
      <c r="KYG103" s="14"/>
      <c r="KYH103" s="14"/>
      <c r="KYI103" s="14"/>
      <c r="KYJ103" s="36"/>
      <c r="KYK103" s="14"/>
      <c r="KYL103" s="44"/>
      <c r="KYM103" s="38"/>
      <c r="KYN103" s="14"/>
      <c r="KYO103" s="14"/>
      <c r="KYP103" s="14"/>
      <c r="KYQ103" s="14"/>
      <c r="KYR103" s="36"/>
      <c r="KYS103" s="14"/>
      <c r="KYT103" s="44"/>
      <c r="KYU103" s="38"/>
      <c r="KYV103" s="14"/>
      <c r="KYW103" s="14"/>
      <c r="KYX103" s="14"/>
      <c r="KYY103" s="14"/>
      <c r="KYZ103" s="36"/>
      <c r="KZA103" s="14"/>
      <c r="KZB103" s="44"/>
      <c r="KZC103" s="38"/>
      <c r="KZD103" s="14"/>
      <c r="KZE103" s="14"/>
      <c r="KZF103" s="14"/>
      <c r="KZG103" s="14"/>
      <c r="KZH103" s="36"/>
      <c r="KZI103" s="14"/>
      <c r="KZJ103" s="44"/>
      <c r="KZK103" s="38"/>
      <c r="KZL103" s="14"/>
      <c r="KZM103" s="14"/>
      <c r="KZN103" s="14"/>
      <c r="KZO103" s="14"/>
      <c r="KZP103" s="36"/>
      <c r="KZQ103" s="14"/>
      <c r="KZR103" s="44"/>
      <c r="KZS103" s="38"/>
      <c r="KZT103" s="14"/>
      <c r="KZU103" s="14"/>
      <c r="KZV103" s="14"/>
      <c r="KZW103" s="14"/>
      <c r="KZX103" s="36"/>
      <c r="KZY103" s="14"/>
      <c r="KZZ103" s="44"/>
      <c r="LAA103" s="38"/>
      <c r="LAB103" s="14"/>
      <c r="LAC103" s="14"/>
      <c r="LAD103" s="14"/>
      <c r="LAE103" s="14"/>
      <c r="LAF103" s="36"/>
      <c r="LAG103" s="14"/>
      <c r="LAH103" s="44"/>
      <c r="LAI103" s="38"/>
      <c r="LAJ103" s="14"/>
      <c r="LAK103" s="14"/>
      <c r="LAL103" s="14"/>
      <c r="LAM103" s="14"/>
      <c r="LAN103" s="36"/>
      <c r="LAO103" s="14"/>
      <c r="LAP103" s="44"/>
      <c r="LAQ103" s="38"/>
      <c r="LAR103" s="14"/>
      <c r="LAS103" s="14"/>
      <c r="LAT103" s="14"/>
      <c r="LAU103" s="14"/>
      <c r="LAV103" s="36"/>
      <c r="LAW103" s="14"/>
      <c r="LAX103" s="44"/>
      <c r="LAY103" s="38"/>
      <c r="LAZ103" s="14"/>
      <c r="LBA103" s="14"/>
      <c r="LBB103" s="14"/>
      <c r="LBC103" s="14"/>
      <c r="LBD103" s="36"/>
      <c r="LBE103" s="14"/>
      <c r="LBF103" s="44"/>
      <c r="LBG103" s="38"/>
      <c r="LBH103" s="14"/>
      <c r="LBI103" s="14"/>
      <c r="LBJ103" s="14"/>
      <c r="LBK103" s="14"/>
      <c r="LBL103" s="36"/>
      <c r="LBM103" s="14"/>
      <c r="LBN103" s="44"/>
      <c r="LBO103" s="38"/>
      <c r="LBP103" s="14"/>
      <c r="LBQ103" s="14"/>
      <c r="LBR103" s="14"/>
      <c r="LBS103" s="14"/>
      <c r="LBT103" s="36"/>
      <c r="LBU103" s="14"/>
      <c r="LBV103" s="44"/>
      <c r="LBW103" s="38"/>
      <c r="LBX103" s="14"/>
      <c r="LBY103" s="14"/>
      <c r="LBZ103" s="14"/>
      <c r="LCA103" s="14"/>
      <c r="LCB103" s="36"/>
      <c r="LCC103" s="14"/>
      <c r="LCD103" s="44"/>
      <c r="LCE103" s="38"/>
      <c r="LCF103" s="14"/>
      <c r="LCG103" s="14"/>
      <c r="LCH103" s="14"/>
      <c r="LCI103" s="14"/>
      <c r="LCJ103" s="36"/>
      <c r="LCK103" s="14"/>
      <c r="LCL103" s="44"/>
      <c r="LCM103" s="38"/>
      <c r="LCN103" s="14"/>
      <c r="LCO103" s="14"/>
      <c r="LCP103" s="14"/>
      <c r="LCQ103" s="14"/>
      <c r="LCR103" s="36"/>
      <c r="LCS103" s="14"/>
      <c r="LCT103" s="44"/>
      <c r="LCU103" s="38"/>
      <c r="LCV103" s="14"/>
      <c r="LCW103" s="14"/>
      <c r="LCX103" s="14"/>
      <c r="LCY103" s="14"/>
      <c r="LCZ103" s="36"/>
      <c r="LDA103" s="14"/>
      <c r="LDB103" s="44"/>
      <c r="LDC103" s="38"/>
      <c r="LDD103" s="14"/>
      <c r="LDE103" s="14"/>
      <c r="LDF103" s="14"/>
      <c r="LDG103" s="14"/>
      <c r="LDH103" s="36"/>
      <c r="LDI103" s="14"/>
      <c r="LDJ103" s="44"/>
      <c r="LDK103" s="38"/>
      <c r="LDL103" s="14"/>
      <c r="LDM103" s="14"/>
      <c r="LDN103" s="14"/>
      <c r="LDO103" s="14"/>
      <c r="LDP103" s="36"/>
      <c r="LDQ103" s="14"/>
      <c r="LDR103" s="44"/>
      <c r="LDS103" s="38"/>
      <c r="LDT103" s="14"/>
      <c r="LDU103" s="14"/>
      <c r="LDV103" s="14"/>
      <c r="LDW103" s="14"/>
      <c r="LDX103" s="36"/>
      <c r="LDY103" s="14"/>
      <c r="LDZ103" s="44"/>
      <c r="LEA103" s="38"/>
      <c r="LEB103" s="14"/>
      <c r="LEC103" s="14"/>
      <c r="LED103" s="14"/>
      <c r="LEE103" s="14"/>
      <c r="LEF103" s="36"/>
      <c r="LEG103" s="14"/>
      <c r="LEH103" s="44"/>
      <c r="LEI103" s="38"/>
      <c r="LEJ103" s="14"/>
      <c r="LEK103" s="14"/>
      <c r="LEL103" s="14"/>
      <c r="LEM103" s="14"/>
      <c r="LEN103" s="36"/>
      <c r="LEO103" s="14"/>
      <c r="LEP103" s="44"/>
      <c r="LEQ103" s="38"/>
      <c r="LER103" s="14"/>
      <c r="LES103" s="14"/>
      <c r="LET103" s="14"/>
      <c r="LEU103" s="14"/>
      <c r="LEV103" s="36"/>
      <c r="LEW103" s="14"/>
      <c r="LEX103" s="44"/>
      <c r="LEY103" s="38"/>
      <c r="LEZ103" s="14"/>
      <c r="LFA103" s="14"/>
      <c r="LFB103" s="14"/>
      <c r="LFC103" s="14"/>
      <c r="LFD103" s="36"/>
      <c r="LFE103" s="14"/>
      <c r="LFF103" s="44"/>
      <c r="LFG103" s="38"/>
      <c r="LFH103" s="14"/>
      <c r="LFI103" s="14"/>
      <c r="LFJ103" s="14"/>
      <c r="LFK103" s="14"/>
      <c r="LFL103" s="36"/>
      <c r="LFM103" s="14"/>
      <c r="LFN103" s="44"/>
      <c r="LFO103" s="38"/>
      <c r="LFP103" s="14"/>
      <c r="LFQ103" s="14"/>
      <c r="LFR103" s="14"/>
      <c r="LFS103" s="14"/>
      <c r="LFT103" s="36"/>
      <c r="LFU103" s="14"/>
      <c r="LFV103" s="44"/>
      <c r="LFW103" s="38"/>
      <c r="LFX103" s="14"/>
      <c r="LFY103" s="14"/>
      <c r="LFZ103" s="14"/>
      <c r="LGA103" s="14"/>
      <c r="LGB103" s="36"/>
      <c r="LGC103" s="14"/>
      <c r="LGD103" s="44"/>
      <c r="LGE103" s="38"/>
      <c r="LGF103" s="14"/>
      <c r="LGG103" s="14"/>
      <c r="LGH103" s="14"/>
      <c r="LGI103" s="14"/>
      <c r="LGJ103" s="36"/>
      <c r="LGK103" s="14"/>
      <c r="LGL103" s="44"/>
      <c r="LGM103" s="38"/>
      <c r="LGN103" s="14"/>
      <c r="LGO103" s="14"/>
      <c r="LGP103" s="14"/>
      <c r="LGQ103" s="14"/>
      <c r="LGR103" s="36"/>
      <c r="LGS103" s="14"/>
      <c r="LGT103" s="44"/>
      <c r="LGU103" s="38"/>
      <c r="LGV103" s="14"/>
      <c r="LGW103" s="14"/>
      <c r="LGX103" s="14"/>
      <c r="LGY103" s="14"/>
      <c r="LGZ103" s="36"/>
      <c r="LHA103" s="14"/>
      <c r="LHB103" s="44"/>
      <c r="LHC103" s="38"/>
      <c r="LHD103" s="14"/>
      <c r="LHE103" s="14"/>
      <c r="LHF103" s="14"/>
      <c r="LHG103" s="14"/>
      <c r="LHH103" s="36"/>
      <c r="LHI103" s="14"/>
      <c r="LHJ103" s="44"/>
      <c r="LHK103" s="38"/>
      <c r="LHL103" s="14"/>
      <c r="LHM103" s="14"/>
      <c r="LHN103" s="14"/>
      <c r="LHO103" s="14"/>
      <c r="LHP103" s="36"/>
      <c r="LHQ103" s="14"/>
      <c r="LHR103" s="44"/>
      <c r="LHS103" s="38"/>
      <c r="LHT103" s="14"/>
      <c r="LHU103" s="14"/>
      <c r="LHV103" s="14"/>
      <c r="LHW103" s="14"/>
      <c r="LHX103" s="36"/>
      <c r="LHY103" s="14"/>
      <c r="LHZ103" s="44"/>
      <c r="LIA103" s="38"/>
      <c r="LIB103" s="14"/>
      <c r="LIC103" s="14"/>
      <c r="LID103" s="14"/>
      <c r="LIE103" s="14"/>
      <c r="LIF103" s="36"/>
      <c r="LIG103" s="14"/>
      <c r="LIH103" s="44"/>
      <c r="LII103" s="38"/>
      <c r="LIJ103" s="14"/>
      <c r="LIK103" s="14"/>
      <c r="LIL103" s="14"/>
      <c r="LIM103" s="14"/>
      <c r="LIN103" s="36"/>
      <c r="LIO103" s="14"/>
      <c r="LIP103" s="44"/>
      <c r="LIQ103" s="38"/>
      <c r="LIR103" s="14"/>
      <c r="LIS103" s="14"/>
      <c r="LIT103" s="14"/>
      <c r="LIU103" s="14"/>
      <c r="LIV103" s="36"/>
      <c r="LIW103" s="14"/>
      <c r="LIX103" s="44"/>
      <c r="LIY103" s="38"/>
      <c r="LIZ103" s="14"/>
      <c r="LJA103" s="14"/>
      <c r="LJB103" s="14"/>
      <c r="LJC103" s="14"/>
      <c r="LJD103" s="36"/>
      <c r="LJE103" s="14"/>
      <c r="LJF103" s="44"/>
      <c r="LJG103" s="38"/>
      <c r="LJH103" s="14"/>
      <c r="LJI103" s="14"/>
      <c r="LJJ103" s="14"/>
      <c r="LJK103" s="14"/>
      <c r="LJL103" s="36"/>
      <c r="LJM103" s="14"/>
      <c r="LJN103" s="44"/>
      <c r="LJO103" s="38"/>
      <c r="LJP103" s="14"/>
      <c r="LJQ103" s="14"/>
      <c r="LJR103" s="14"/>
      <c r="LJS103" s="14"/>
      <c r="LJT103" s="36"/>
      <c r="LJU103" s="14"/>
      <c r="LJV103" s="44"/>
      <c r="LJW103" s="38"/>
      <c r="LJX103" s="14"/>
      <c r="LJY103" s="14"/>
      <c r="LJZ103" s="14"/>
      <c r="LKA103" s="14"/>
      <c r="LKB103" s="36"/>
      <c r="LKC103" s="14"/>
      <c r="LKD103" s="44"/>
      <c r="LKE103" s="38"/>
      <c r="LKF103" s="14"/>
      <c r="LKG103" s="14"/>
      <c r="LKH103" s="14"/>
      <c r="LKI103" s="14"/>
      <c r="LKJ103" s="36"/>
      <c r="LKK103" s="14"/>
      <c r="LKL103" s="44"/>
      <c r="LKM103" s="38"/>
      <c r="LKN103" s="14"/>
      <c r="LKO103" s="14"/>
      <c r="LKP103" s="14"/>
      <c r="LKQ103" s="14"/>
      <c r="LKR103" s="36"/>
      <c r="LKS103" s="14"/>
      <c r="LKT103" s="44"/>
      <c r="LKU103" s="38"/>
      <c r="LKV103" s="14"/>
      <c r="LKW103" s="14"/>
      <c r="LKX103" s="14"/>
      <c r="LKY103" s="14"/>
      <c r="LKZ103" s="36"/>
      <c r="LLA103" s="14"/>
      <c r="LLB103" s="44"/>
      <c r="LLC103" s="38"/>
      <c r="LLD103" s="14"/>
      <c r="LLE103" s="14"/>
      <c r="LLF103" s="14"/>
      <c r="LLG103" s="14"/>
      <c r="LLH103" s="36"/>
      <c r="LLI103" s="14"/>
      <c r="LLJ103" s="44"/>
      <c r="LLK103" s="38"/>
      <c r="LLL103" s="14"/>
      <c r="LLM103" s="14"/>
      <c r="LLN103" s="14"/>
      <c r="LLO103" s="14"/>
      <c r="LLP103" s="36"/>
      <c r="LLQ103" s="14"/>
      <c r="LLR103" s="44"/>
      <c r="LLS103" s="38"/>
      <c r="LLT103" s="14"/>
      <c r="LLU103" s="14"/>
      <c r="LLV103" s="14"/>
      <c r="LLW103" s="14"/>
      <c r="LLX103" s="36"/>
      <c r="LLY103" s="14"/>
      <c r="LLZ103" s="44"/>
      <c r="LMA103" s="38"/>
      <c r="LMB103" s="14"/>
      <c r="LMC103" s="14"/>
      <c r="LMD103" s="14"/>
      <c r="LME103" s="14"/>
      <c r="LMF103" s="36"/>
      <c r="LMG103" s="14"/>
      <c r="LMH103" s="44"/>
      <c r="LMI103" s="38"/>
      <c r="LMJ103" s="14"/>
      <c r="LMK103" s="14"/>
      <c r="LML103" s="14"/>
      <c r="LMM103" s="14"/>
      <c r="LMN103" s="36"/>
      <c r="LMO103" s="14"/>
      <c r="LMP103" s="44"/>
      <c r="LMQ103" s="38"/>
      <c r="LMR103" s="14"/>
      <c r="LMS103" s="14"/>
      <c r="LMT103" s="14"/>
      <c r="LMU103" s="14"/>
      <c r="LMV103" s="36"/>
      <c r="LMW103" s="14"/>
      <c r="LMX103" s="44"/>
      <c r="LMY103" s="38"/>
      <c r="LMZ103" s="14"/>
      <c r="LNA103" s="14"/>
      <c r="LNB103" s="14"/>
      <c r="LNC103" s="14"/>
      <c r="LND103" s="36"/>
      <c r="LNE103" s="14"/>
      <c r="LNF103" s="44"/>
      <c r="LNG103" s="38"/>
      <c r="LNH103" s="14"/>
      <c r="LNI103" s="14"/>
      <c r="LNJ103" s="14"/>
      <c r="LNK103" s="14"/>
      <c r="LNL103" s="36"/>
      <c r="LNM103" s="14"/>
      <c r="LNN103" s="44"/>
      <c r="LNO103" s="38"/>
      <c r="LNP103" s="14"/>
      <c r="LNQ103" s="14"/>
      <c r="LNR103" s="14"/>
      <c r="LNS103" s="14"/>
      <c r="LNT103" s="36"/>
      <c r="LNU103" s="14"/>
      <c r="LNV103" s="44"/>
      <c r="LNW103" s="38"/>
      <c r="LNX103" s="14"/>
      <c r="LNY103" s="14"/>
      <c r="LNZ103" s="14"/>
      <c r="LOA103" s="14"/>
      <c r="LOB103" s="36"/>
      <c r="LOC103" s="14"/>
      <c r="LOD103" s="44"/>
      <c r="LOE103" s="38"/>
      <c r="LOF103" s="14"/>
      <c r="LOG103" s="14"/>
      <c r="LOH103" s="14"/>
      <c r="LOI103" s="14"/>
      <c r="LOJ103" s="36"/>
      <c r="LOK103" s="14"/>
      <c r="LOL103" s="44"/>
      <c r="LOM103" s="38"/>
      <c r="LON103" s="14"/>
      <c r="LOO103" s="14"/>
      <c r="LOP103" s="14"/>
      <c r="LOQ103" s="14"/>
      <c r="LOR103" s="36"/>
      <c r="LOS103" s="14"/>
      <c r="LOT103" s="44"/>
      <c r="LOU103" s="38"/>
      <c r="LOV103" s="14"/>
      <c r="LOW103" s="14"/>
      <c r="LOX103" s="14"/>
      <c r="LOY103" s="14"/>
      <c r="LOZ103" s="36"/>
      <c r="LPA103" s="14"/>
      <c r="LPB103" s="44"/>
      <c r="LPC103" s="38"/>
      <c r="LPD103" s="14"/>
      <c r="LPE103" s="14"/>
      <c r="LPF103" s="14"/>
      <c r="LPG103" s="14"/>
      <c r="LPH103" s="36"/>
      <c r="LPI103" s="14"/>
      <c r="LPJ103" s="44"/>
      <c r="LPK103" s="38"/>
      <c r="LPL103" s="14"/>
      <c r="LPM103" s="14"/>
      <c r="LPN103" s="14"/>
      <c r="LPO103" s="14"/>
      <c r="LPP103" s="36"/>
      <c r="LPQ103" s="14"/>
      <c r="LPR103" s="44"/>
      <c r="LPS103" s="38"/>
      <c r="LPT103" s="14"/>
      <c r="LPU103" s="14"/>
      <c r="LPV103" s="14"/>
      <c r="LPW103" s="14"/>
      <c r="LPX103" s="36"/>
      <c r="LPY103" s="14"/>
      <c r="LPZ103" s="44"/>
      <c r="LQA103" s="38"/>
      <c r="LQB103" s="14"/>
      <c r="LQC103" s="14"/>
      <c r="LQD103" s="14"/>
      <c r="LQE103" s="14"/>
      <c r="LQF103" s="36"/>
      <c r="LQG103" s="14"/>
      <c r="LQH103" s="44"/>
      <c r="LQI103" s="38"/>
      <c r="LQJ103" s="14"/>
      <c r="LQK103" s="14"/>
      <c r="LQL103" s="14"/>
      <c r="LQM103" s="14"/>
      <c r="LQN103" s="36"/>
      <c r="LQO103" s="14"/>
      <c r="LQP103" s="44"/>
      <c r="LQQ103" s="38"/>
      <c r="LQR103" s="14"/>
      <c r="LQS103" s="14"/>
      <c r="LQT103" s="14"/>
      <c r="LQU103" s="14"/>
      <c r="LQV103" s="36"/>
      <c r="LQW103" s="14"/>
      <c r="LQX103" s="44"/>
      <c r="LQY103" s="38"/>
      <c r="LQZ103" s="14"/>
      <c r="LRA103" s="14"/>
      <c r="LRB103" s="14"/>
      <c r="LRC103" s="14"/>
      <c r="LRD103" s="36"/>
      <c r="LRE103" s="14"/>
      <c r="LRF103" s="44"/>
      <c r="LRG103" s="38"/>
      <c r="LRH103" s="14"/>
      <c r="LRI103" s="14"/>
      <c r="LRJ103" s="14"/>
      <c r="LRK103" s="14"/>
      <c r="LRL103" s="36"/>
      <c r="LRM103" s="14"/>
      <c r="LRN103" s="44"/>
      <c r="LRO103" s="38"/>
      <c r="LRP103" s="14"/>
      <c r="LRQ103" s="14"/>
      <c r="LRR103" s="14"/>
      <c r="LRS103" s="14"/>
      <c r="LRT103" s="36"/>
      <c r="LRU103" s="14"/>
      <c r="LRV103" s="44"/>
      <c r="LRW103" s="38"/>
      <c r="LRX103" s="14"/>
      <c r="LRY103" s="14"/>
      <c r="LRZ103" s="14"/>
      <c r="LSA103" s="14"/>
      <c r="LSB103" s="36"/>
      <c r="LSC103" s="14"/>
      <c r="LSD103" s="44"/>
      <c r="LSE103" s="38"/>
      <c r="LSF103" s="14"/>
      <c r="LSG103" s="14"/>
      <c r="LSH103" s="14"/>
      <c r="LSI103" s="14"/>
      <c r="LSJ103" s="36"/>
      <c r="LSK103" s="14"/>
      <c r="LSL103" s="44"/>
      <c r="LSM103" s="38"/>
      <c r="LSN103" s="14"/>
      <c r="LSO103" s="14"/>
      <c r="LSP103" s="14"/>
      <c r="LSQ103" s="14"/>
      <c r="LSR103" s="36"/>
      <c r="LSS103" s="14"/>
      <c r="LST103" s="44"/>
      <c r="LSU103" s="38"/>
      <c r="LSV103" s="14"/>
      <c r="LSW103" s="14"/>
      <c r="LSX103" s="14"/>
      <c r="LSY103" s="14"/>
      <c r="LSZ103" s="36"/>
      <c r="LTA103" s="14"/>
      <c r="LTB103" s="44"/>
      <c r="LTC103" s="38"/>
      <c r="LTD103" s="14"/>
      <c r="LTE103" s="14"/>
      <c r="LTF103" s="14"/>
      <c r="LTG103" s="14"/>
      <c r="LTH103" s="36"/>
      <c r="LTI103" s="14"/>
      <c r="LTJ103" s="44"/>
      <c r="LTK103" s="38"/>
      <c r="LTL103" s="14"/>
      <c r="LTM103" s="14"/>
      <c r="LTN103" s="14"/>
      <c r="LTO103" s="14"/>
      <c r="LTP103" s="36"/>
      <c r="LTQ103" s="14"/>
      <c r="LTR103" s="44"/>
      <c r="LTS103" s="38"/>
      <c r="LTT103" s="14"/>
      <c r="LTU103" s="14"/>
      <c r="LTV103" s="14"/>
      <c r="LTW103" s="14"/>
      <c r="LTX103" s="36"/>
      <c r="LTY103" s="14"/>
      <c r="LTZ103" s="44"/>
      <c r="LUA103" s="38"/>
      <c r="LUB103" s="14"/>
      <c r="LUC103" s="14"/>
      <c r="LUD103" s="14"/>
      <c r="LUE103" s="14"/>
      <c r="LUF103" s="36"/>
      <c r="LUG103" s="14"/>
      <c r="LUH103" s="44"/>
      <c r="LUI103" s="38"/>
      <c r="LUJ103" s="14"/>
      <c r="LUK103" s="14"/>
      <c r="LUL103" s="14"/>
      <c r="LUM103" s="14"/>
      <c r="LUN103" s="36"/>
      <c r="LUO103" s="14"/>
      <c r="LUP103" s="44"/>
      <c r="LUQ103" s="38"/>
      <c r="LUR103" s="14"/>
      <c r="LUS103" s="14"/>
      <c r="LUT103" s="14"/>
      <c r="LUU103" s="14"/>
      <c r="LUV103" s="36"/>
      <c r="LUW103" s="14"/>
      <c r="LUX103" s="44"/>
      <c r="LUY103" s="38"/>
      <c r="LUZ103" s="14"/>
      <c r="LVA103" s="14"/>
      <c r="LVB103" s="14"/>
      <c r="LVC103" s="14"/>
      <c r="LVD103" s="36"/>
      <c r="LVE103" s="14"/>
      <c r="LVF103" s="44"/>
      <c r="LVG103" s="38"/>
      <c r="LVH103" s="14"/>
      <c r="LVI103" s="14"/>
      <c r="LVJ103" s="14"/>
      <c r="LVK103" s="14"/>
      <c r="LVL103" s="36"/>
      <c r="LVM103" s="14"/>
      <c r="LVN103" s="44"/>
      <c r="LVO103" s="38"/>
      <c r="LVP103" s="14"/>
      <c r="LVQ103" s="14"/>
      <c r="LVR103" s="14"/>
      <c r="LVS103" s="14"/>
      <c r="LVT103" s="36"/>
      <c r="LVU103" s="14"/>
      <c r="LVV103" s="44"/>
      <c r="LVW103" s="38"/>
      <c r="LVX103" s="14"/>
      <c r="LVY103" s="14"/>
      <c r="LVZ103" s="14"/>
      <c r="LWA103" s="14"/>
      <c r="LWB103" s="36"/>
      <c r="LWC103" s="14"/>
      <c r="LWD103" s="44"/>
      <c r="LWE103" s="38"/>
      <c r="LWF103" s="14"/>
      <c r="LWG103" s="14"/>
      <c r="LWH103" s="14"/>
      <c r="LWI103" s="14"/>
      <c r="LWJ103" s="36"/>
      <c r="LWK103" s="14"/>
      <c r="LWL103" s="44"/>
      <c r="LWM103" s="38"/>
      <c r="LWN103" s="14"/>
      <c r="LWO103" s="14"/>
      <c r="LWP103" s="14"/>
      <c r="LWQ103" s="14"/>
      <c r="LWR103" s="36"/>
      <c r="LWS103" s="14"/>
      <c r="LWT103" s="44"/>
      <c r="LWU103" s="38"/>
      <c r="LWV103" s="14"/>
      <c r="LWW103" s="14"/>
      <c r="LWX103" s="14"/>
      <c r="LWY103" s="14"/>
      <c r="LWZ103" s="36"/>
      <c r="LXA103" s="14"/>
      <c r="LXB103" s="44"/>
      <c r="LXC103" s="38"/>
      <c r="LXD103" s="14"/>
      <c r="LXE103" s="14"/>
      <c r="LXF103" s="14"/>
      <c r="LXG103" s="14"/>
      <c r="LXH103" s="36"/>
      <c r="LXI103" s="14"/>
      <c r="LXJ103" s="44"/>
      <c r="LXK103" s="38"/>
      <c r="LXL103" s="14"/>
      <c r="LXM103" s="14"/>
      <c r="LXN103" s="14"/>
      <c r="LXO103" s="14"/>
      <c r="LXP103" s="36"/>
      <c r="LXQ103" s="14"/>
      <c r="LXR103" s="44"/>
      <c r="LXS103" s="38"/>
      <c r="LXT103" s="14"/>
      <c r="LXU103" s="14"/>
      <c r="LXV103" s="14"/>
      <c r="LXW103" s="14"/>
      <c r="LXX103" s="36"/>
      <c r="LXY103" s="14"/>
      <c r="LXZ103" s="44"/>
      <c r="LYA103" s="38"/>
      <c r="LYB103" s="14"/>
      <c r="LYC103" s="14"/>
      <c r="LYD103" s="14"/>
      <c r="LYE103" s="14"/>
      <c r="LYF103" s="36"/>
      <c r="LYG103" s="14"/>
      <c r="LYH103" s="44"/>
      <c r="LYI103" s="38"/>
      <c r="LYJ103" s="14"/>
      <c r="LYK103" s="14"/>
      <c r="LYL103" s="14"/>
      <c r="LYM103" s="14"/>
      <c r="LYN103" s="36"/>
      <c r="LYO103" s="14"/>
      <c r="LYP103" s="44"/>
      <c r="LYQ103" s="38"/>
      <c r="LYR103" s="14"/>
      <c r="LYS103" s="14"/>
      <c r="LYT103" s="14"/>
      <c r="LYU103" s="14"/>
      <c r="LYV103" s="36"/>
      <c r="LYW103" s="14"/>
      <c r="LYX103" s="44"/>
      <c r="LYY103" s="38"/>
      <c r="LYZ103" s="14"/>
      <c r="LZA103" s="14"/>
      <c r="LZB103" s="14"/>
      <c r="LZC103" s="14"/>
      <c r="LZD103" s="36"/>
      <c r="LZE103" s="14"/>
      <c r="LZF103" s="44"/>
      <c r="LZG103" s="38"/>
      <c r="LZH103" s="14"/>
      <c r="LZI103" s="14"/>
      <c r="LZJ103" s="14"/>
      <c r="LZK103" s="14"/>
      <c r="LZL103" s="36"/>
      <c r="LZM103" s="14"/>
      <c r="LZN103" s="44"/>
      <c r="LZO103" s="38"/>
      <c r="LZP103" s="14"/>
      <c r="LZQ103" s="14"/>
      <c r="LZR103" s="14"/>
      <c r="LZS103" s="14"/>
      <c r="LZT103" s="36"/>
      <c r="LZU103" s="14"/>
      <c r="LZV103" s="44"/>
      <c r="LZW103" s="38"/>
      <c r="LZX103" s="14"/>
      <c r="LZY103" s="14"/>
      <c r="LZZ103" s="14"/>
      <c r="MAA103" s="14"/>
      <c r="MAB103" s="36"/>
      <c r="MAC103" s="14"/>
      <c r="MAD103" s="44"/>
      <c r="MAE103" s="38"/>
      <c r="MAF103" s="14"/>
      <c r="MAG103" s="14"/>
      <c r="MAH103" s="14"/>
      <c r="MAI103" s="14"/>
      <c r="MAJ103" s="36"/>
      <c r="MAK103" s="14"/>
      <c r="MAL103" s="44"/>
      <c r="MAM103" s="38"/>
      <c r="MAN103" s="14"/>
      <c r="MAO103" s="14"/>
      <c r="MAP103" s="14"/>
      <c r="MAQ103" s="14"/>
      <c r="MAR103" s="36"/>
      <c r="MAS103" s="14"/>
      <c r="MAT103" s="44"/>
      <c r="MAU103" s="38"/>
      <c r="MAV103" s="14"/>
      <c r="MAW103" s="14"/>
      <c r="MAX103" s="14"/>
      <c r="MAY103" s="14"/>
      <c r="MAZ103" s="36"/>
      <c r="MBA103" s="14"/>
      <c r="MBB103" s="44"/>
      <c r="MBC103" s="38"/>
      <c r="MBD103" s="14"/>
      <c r="MBE103" s="14"/>
      <c r="MBF103" s="14"/>
      <c r="MBG103" s="14"/>
      <c r="MBH103" s="36"/>
      <c r="MBI103" s="14"/>
      <c r="MBJ103" s="44"/>
      <c r="MBK103" s="38"/>
      <c r="MBL103" s="14"/>
      <c r="MBM103" s="14"/>
      <c r="MBN103" s="14"/>
      <c r="MBO103" s="14"/>
      <c r="MBP103" s="36"/>
      <c r="MBQ103" s="14"/>
      <c r="MBR103" s="44"/>
      <c r="MBS103" s="38"/>
      <c r="MBT103" s="14"/>
      <c r="MBU103" s="14"/>
      <c r="MBV103" s="14"/>
      <c r="MBW103" s="14"/>
      <c r="MBX103" s="36"/>
      <c r="MBY103" s="14"/>
      <c r="MBZ103" s="44"/>
      <c r="MCA103" s="38"/>
      <c r="MCB103" s="14"/>
      <c r="MCC103" s="14"/>
      <c r="MCD103" s="14"/>
      <c r="MCE103" s="14"/>
      <c r="MCF103" s="36"/>
      <c r="MCG103" s="14"/>
      <c r="MCH103" s="44"/>
      <c r="MCI103" s="38"/>
      <c r="MCJ103" s="14"/>
      <c r="MCK103" s="14"/>
      <c r="MCL103" s="14"/>
      <c r="MCM103" s="14"/>
      <c r="MCN103" s="36"/>
      <c r="MCO103" s="14"/>
      <c r="MCP103" s="44"/>
      <c r="MCQ103" s="38"/>
      <c r="MCR103" s="14"/>
      <c r="MCS103" s="14"/>
      <c r="MCT103" s="14"/>
      <c r="MCU103" s="14"/>
      <c r="MCV103" s="36"/>
      <c r="MCW103" s="14"/>
      <c r="MCX103" s="44"/>
      <c r="MCY103" s="38"/>
      <c r="MCZ103" s="14"/>
      <c r="MDA103" s="14"/>
      <c r="MDB103" s="14"/>
      <c r="MDC103" s="14"/>
      <c r="MDD103" s="36"/>
      <c r="MDE103" s="14"/>
      <c r="MDF103" s="44"/>
      <c r="MDG103" s="38"/>
      <c r="MDH103" s="14"/>
      <c r="MDI103" s="14"/>
      <c r="MDJ103" s="14"/>
      <c r="MDK103" s="14"/>
      <c r="MDL103" s="36"/>
      <c r="MDM103" s="14"/>
      <c r="MDN103" s="44"/>
      <c r="MDO103" s="38"/>
      <c r="MDP103" s="14"/>
      <c r="MDQ103" s="14"/>
      <c r="MDR103" s="14"/>
      <c r="MDS103" s="14"/>
      <c r="MDT103" s="36"/>
      <c r="MDU103" s="14"/>
      <c r="MDV103" s="44"/>
      <c r="MDW103" s="38"/>
      <c r="MDX103" s="14"/>
      <c r="MDY103" s="14"/>
      <c r="MDZ103" s="14"/>
      <c r="MEA103" s="14"/>
      <c r="MEB103" s="36"/>
      <c r="MEC103" s="14"/>
      <c r="MED103" s="44"/>
      <c r="MEE103" s="38"/>
      <c r="MEF103" s="14"/>
      <c r="MEG103" s="14"/>
      <c r="MEH103" s="14"/>
      <c r="MEI103" s="14"/>
      <c r="MEJ103" s="36"/>
      <c r="MEK103" s="14"/>
      <c r="MEL103" s="44"/>
      <c r="MEM103" s="38"/>
      <c r="MEN103" s="14"/>
      <c r="MEO103" s="14"/>
      <c r="MEP103" s="14"/>
      <c r="MEQ103" s="14"/>
      <c r="MER103" s="36"/>
      <c r="MES103" s="14"/>
      <c r="MET103" s="44"/>
      <c r="MEU103" s="38"/>
      <c r="MEV103" s="14"/>
      <c r="MEW103" s="14"/>
      <c r="MEX103" s="14"/>
      <c r="MEY103" s="14"/>
      <c r="MEZ103" s="36"/>
      <c r="MFA103" s="14"/>
      <c r="MFB103" s="44"/>
      <c r="MFC103" s="38"/>
      <c r="MFD103" s="14"/>
      <c r="MFE103" s="14"/>
      <c r="MFF103" s="14"/>
      <c r="MFG103" s="14"/>
      <c r="MFH103" s="36"/>
      <c r="MFI103" s="14"/>
      <c r="MFJ103" s="44"/>
      <c r="MFK103" s="38"/>
      <c r="MFL103" s="14"/>
      <c r="MFM103" s="14"/>
      <c r="MFN103" s="14"/>
      <c r="MFO103" s="14"/>
      <c r="MFP103" s="36"/>
      <c r="MFQ103" s="14"/>
      <c r="MFR103" s="44"/>
      <c r="MFS103" s="38"/>
      <c r="MFT103" s="14"/>
      <c r="MFU103" s="14"/>
      <c r="MFV103" s="14"/>
      <c r="MFW103" s="14"/>
      <c r="MFX103" s="36"/>
      <c r="MFY103" s="14"/>
      <c r="MFZ103" s="44"/>
      <c r="MGA103" s="38"/>
      <c r="MGB103" s="14"/>
      <c r="MGC103" s="14"/>
      <c r="MGD103" s="14"/>
      <c r="MGE103" s="14"/>
      <c r="MGF103" s="36"/>
      <c r="MGG103" s="14"/>
      <c r="MGH103" s="44"/>
      <c r="MGI103" s="38"/>
      <c r="MGJ103" s="14"/>
      <c r="MGK103" s="14"/>
      <c r="MGL103" s="14"/>
      <c r="MGM103" s="14"/>
      <c r="MGN103" s="36"/>
      <c r="MGO103" s="14"/>
      <c r="MGP103" s="44"/>
      <c r="MGQ103" s="38"/>
      <c r="MGR103" s="14"/>
      <c r="MGS103" s="14"/>
      <c r="MGT103" s="14"/>
      <c r="MGU103" s="14"/>
      <c r="MGV103" s="36"/>
      <c r="MGW103" s="14"/>
      <c r="MGX103" s="44"/>
      <c r="MGY103" s="38"/>
      <c r="MGZ103" s="14"/>
      <c r="MHA103" s="14"/>
      <c r="MHB103" s="14"/>
      <c r="MHC103" s="14"/>
      <c r="MHD103" s="36"/>
      <c r="MHE103" s="14"/>
      <c r="MHF103" s="44"/>
      <c r="MHG103" s="38"/>
      <c r="MHH103" s="14"/>
      <c r="MHI103" s="14"/>
      <c r="MHJ103" s="14"/>
      <c r="MHK103" s="14"/>
      <c r="MHL103" s="36"/>
      <c r="MHM103" s="14"/>
      <c r="MHN103" s="44"/>
      <c r="MHO103" s="38"/>
      <c r="MHP103" s="14"/>
      <c r="MHQ103" s="14"/>
      <c r="MHR103" s="14"/>
      <c r="MHS103" s="14"/>
      <c r="MHT103" s="36"/>
      <c r="MHU103" s="14"/>
      <c r="MHV103" s="44"/>
      <c r="MHW103" s="38"/>
      <c r="MHX103" s="14"/>
      <c r="MHY103" s="14"/>
      <c r="MHZ103" s="14"/>
      <c r="MIA103" s="14"/>
      <c r="MIB103" s="36"/>
      <c r="MIC103" s="14"/>
      <c r="MID103" s="44"/>
      <c r="MIE103" s="38"/>
      <c r="MIF103" s="14"/>
      <c r="MIG103" s="14"/>
      <c r="MIH103" s="14"/>
      <c r="MII103" s="14"/>
      <c r="MIJ103" s="36"/>
      <c r="MIK103" s="14"/>
      <c r="MIL103" s="44"/>
      <c r="MIM103" s="38"/>
      <c r="MIN103" s="14"/>
      <c r="MIO103" s="14"/>
      <c r="MIP103" s="14"/>
      <c r="MIQ103" s="14"/>
      <c r="MIR103" s="36"/>
      <c r="MIS103" s="14"/>
      <c r="MIT103" s="44"/>
      <c r="MIU103" s="38"/>
      <c r="MIV103" s="14"/>
      <c r="MIW103" s="14"/>
      <c r="MIX103" s="14"/>
      <c r="MIY103" s="14"/>
      <c r="MIZ103" s="36"/>
      <c r="MJA103" s="14"/>
      <c r="MJB103" s="44"/>
      <c r="MJC103" s="38"/>
      <c r="MJD103" s="14"/>
      <c r="MJE103" s="14"/>
      <c r="MJF103" s="14"/>
      <c r="MJG103" s="14"/>
      <c r="MJH103" s="36"/>
      <c r="MJI103" s="14"/>
      <c r="MJJ103" s="44"/>
      <c r="MJK103" s="38"/>
      <c r="MJL103" s="14"/>
      <c r="MJM103" s="14"/>
      <c r="MJN103" s="14"/>
      <c r="MJO103" s="14"/>
      <c r="MJP103" s="36"/>
      <c r="MJQ103" s="14"/>
      <c r="MJR103" s="44"/>
      <c r="MJS103" s="38"/>
      <c r="MJT103" s="14"/>
      <c r="MJU103" s="14"/>
      <c r="MJV103" s="14"/>
      <c r="MJW103" s="14"/>
      <c r="MJX103" s="36"/>
      <c r="MJY103" s="14"/>
      <c r="MJZ103" s="44"/>
      <c r="MKA103" s="38"/>
      <c r="MKB103" s="14"/>
      <c r="MKC103" s="14"/>
      <c r="MKD103" s="14"/>
      <c r="MKE103" s="14"/>
      <c r="MKF103" s="36"/>
      <c r="MKG103" s="14"/>
      <c r="MKH103" s="44"/>
      <c r="MKI103" s="38"/>
      <c r="MKJ103" s="14"/>
      <c r="MKK103" s="14"/>
      <c r="MKL103" s="14"/>
      <c r="MKM103" s="14"/>
      <c r="MKN103" s="36"/>
      <c r="MKO103" s="14"/>
      <c r="MKP103" s="44"/>
      <c r="MKQ103" s="38"/>
      <c r="MKR103" s="14"/>
      <c r="MKS103" s="14"/>
      <c r="MKT103" s="14"/>
      <c r="MKU103" s="14"/>
      <c r="MKV103" s="36"/>
      <c r="MKW103" s="14"/>
      <c r="MKX103" s="44"/>
      <c r="MKY103" s="38"/>
      <c r="MKZ103" s="14"/>
      <c r="MLA103" s="14"/>
      <c r="MLB103" s="14"/>
      <c r="MLC103" s="14"/>
      <c r="MLD103" s="36"/>
      <c r="MLE103" s="14"/>
      <c r="MLF103" s="44"/>
      <c r="MLG103" s="38"/>
      <c r="MLH103" s="14"/>
      <c r="MLI103" s="14"/>
      <c r="MLJ103" s="14"/>
      <c r="MLK103" s="14"/>
      <c r="MLL103" s="36"/>
      <c r="MLM103" s="14"/>
      <c r="MLN103" s="44"/>
      <c r="MLO103" s="38"/>
      <c r="MLP103" s="14"/>
      <c r="MLQ103" s="14"/>
      <c r="MLR103" s="14"/>
      <c r="MLS103" s="14"/>
      <c r="MLT103" s="36"/>
      <c r="MLU103" s="14"/>
      <c r="MLV103" s="44"/>
      <c r="MLW103" s="38"/>
      <c r="MLX103" s="14"/>
      <c r="MLY103" s="14"/>
      <c r="MLZ103" s="14"/>
      <c r="MMA103" s="14"/>
      <c r="MMB103" s="36"/>
      <c r="MMC103" s="14"/>
      <c r="MMD103" s="44"/>
      <c r="MME103" s="38"/>
      <c r="MMF103" s="14"/>
      <c r="MMG103" s="14"/>
      <c r="MMH103" s="14"/>
      <c r="MMI103" s="14"/>
      <c r="MMJ103" s="36"/>
      <c r="MMK103" s="14"/>
      <c r="MML103" s="44"/>
      <c r="MMM103" s="38"/>
      <c r="MMN103" s="14"/>
      <c r="MMO103" s="14"/>
      <c r="MMP103" s="14"/>
      <c r="MMQ103" s="14"/>
      <c r="MMR103" s="36"/>
      <c r="MMS103" s="14"/>
      <c r="MMT103" s="44"/>
      <c r="MMU103" s="38"/>
      <c r="MMV103" s="14"/>
      <c r="MMW103" s="14"/>
      <c r="MMX103" s="14"/>
      <c r="MMY103" s="14"/>
      <c r="MMZ103" s="36"/>
      <c r="MNA103" s="14"/>
      <c r="MNB103" s="44"/>
      <c r="MNC103" s="38"/>
      <c r="MND103" s="14"/>
      <c r="MNE103" s="14"/>
      <c r="MNF103" s="14"/>
      <c r="MNG103" s="14"/>
      <c r="MNH103" s="36"/>
      <c r="MNI103" s="14"/>
      <c r="MNJ103" s="44"/>
      <c r="MNK103" s="38"/>
      <c r="MNL103" s="14"/>
      <c r="MNM103" s="14"/>
      <c r="MNN103" s="14"/>
      <c r="MNO103" s="14"/>
      <c r="MNP103" s="36"/>
      <c r="MNQ103" s="14"/>
      <c r="MNR103" s="44"/>
      <c r="MNS103" s="38"/>
      <c r="MNT103" s="14"/>
      <c r="MNU103" s="14"/>
      <c r="MNV103" s="14"/>
      <c r="MNW103" s="14"/>
      <c r="MNX103" s="36"/>
      <c r="MNY103" s="14"/>
      <c r="MNZ103" s="44"/>
      <c r="MOA103" s="38"/>
      <c r="MOB103" s="14"/>
      <c r="MOC103" s="14"/>
      <c r="MOD103" s="14"/>
      <c r="MOE103" s="14"/>
      <c r="MOF103" s="36"/>
      <c r="MOG103" s="14"/>
      <c r="MOH103" s="44"/>
      <c r="MOI103" s="38"/>
      <c r="MOJ103" s="14"/>
      <c r="MOK103" s="14"/>
      <c r="MOL103" s="14"/>
      <c r="MOM103" s="14"/>
      <c r="MON103" s="36"/>
      <c r="MOO103" s="14"/>
      <c r="MOP103" s="44"/>
      <c r="MOQ103" s="38"/>
      <c r="MOR103" s="14"/>
      <c r="MOS103" s="14"/>
      <c r="MOT103" s="14"/>
      <c r="MOU103" s="14"/>
      <c r="MOV103" s="36"/>
      <c r="MOW103" s="14"/>
      <c r="MOX103" s="44"/>
      <c r="MOY103" s="38"/>
      <c r="MOZ103" s="14"/>
      <c r="MPA103" s="14"/>
      <c r="MPB103" s="14"/>
      <c r="MPC103" s="14"/>
      <c r="MPD103" s="36"/>
      <c r="MPE103" s="14"/>
      <c r="MPF103" s="44"/>
      <c r="MPG103" s="38"/>
      <c r="MPH103" s="14"/>
      <c r="MPI103" s="14"/>
      <c r="MPJ103" s="14"/>
      <c r="MPK103" s="14"/>
      <c r="MPL103" s="36"/>
      <c r="MPM103" s="14"/>
      <c r="MPN103" s="44"/>
      <c r="MPO103" s="38"/>
      <c r="MPP103" s="14"/>
      <c r="MPQ103" s="14"/>
      <c r="MPR103" s="14"/>
      <c r="MPS103" s="14"/>
      <c r="MPT103" s="36"/>
      <c r="MPU103" s="14"/>
      <c r="MPV103" s="44"/>
      <c r="MPW103" s="38"/>
      <c r="MPX103" s="14"/>
      <c r="MPY103" s="14"/>
      <c r="MPZ103" s="14"/>
      <c r="MQA103" s="14"/>
      <c r="MQB103" s="36"/>
      <c r="MQC103" s="14"/>
      <c r="MQD103" s="44"/>
      <c r="MQE103" s="38"/>
      <c r="MQF103" s="14"/>
      <c r="MQG103" s="14"/>
      <c r="MQH103" s="14"/>
      <c r="MQI103" s="14"/>
      <c r="MQJ103" s="36"/>
      <c r="MQK103" s="14"/>
      <c r="MQL103" s="44"/>
      <c r="MQM103" s="38"/>
      <c r="MQN103" s="14"/>
      <c r="MQO103" s="14"/>
      <c r="MQP103" s="14"/>
      <c r="MQQ103" s="14"/>
      <c r="MQR103" s="36"/>
      <c r="MQS103" s="14"/>
      <c r="MQT103" s="44"/>
      <c r="MQU103" s="38"/>
      <c r="MQV103" s="14"/>
      <c r="MQW103" s="14"/>
      <c r="MQX103" s="14"/>
      <c r="MQY103" s="14"/>
      <c r="MQZ103" s="36"/>
      <c r="MRA103" s="14"/>
      <c r="MRB103" s="44"/>
      <c r="MRC103" s="38"/>
      <c r="MRD103" s="14"/>
      <c r="MRE103" s="14"/>
      <c r="MRF103" s="14"/>
      <c r="MRG103" s="14"/>
      <c r="MRH103" s="36"/>
      <c r="MRI103" s="14"/>
      <c r="MRJ103" s="44"/>
      <c r="MRK103" s="38"/>
      <c r="MRL103" s="14"/>
      <c r="MRM103" s="14"/>
      <c r="MRN103" s="14"/>
      <c r="MRO103" s="14"/>
      <c r="MRP103" s="36"/>
      <c r="MRQ103" s="14"/>
      <c r="MRR103" s="44"/>
      <c r="MRS103" s="38"/>
      <c r="MRT103" s="14"/>
      <c r="MRU103" s="14"/>
      <c r="MRV103" s="14"/>
      <c r="MRW103" s="14"/>
      <c r="MRX103" s="36"/>
      <c r="MRY103" s="14"/>
      <c r="MRZ103" s="44"/>
      <c r="MSA103" s="38"/>
      <c r="MSB103" s="14"/>
      <c r="MSC103" s="14"/>
      <c r="MSD103" s="14"/>
      <c r="MSE103" s="14"/>
      <c r="MSF103" s="36"/>
      <c r="MSG103" s="14"/>
      <c r="MSH103" s="44"/>
      <c r="MSI103" s="38"/>
      <c r="MSJ103" s="14"/>
      <c r="MSK103" s="14"/>
      <c r="MSL103" s="14"/>
      <c r="MSM103" s="14"/>
      <c r="MSN103" s="36"/>
      <c r="MSO103" s="14"/>
      <c r="MSP103" s="44"/>
      <c r="MSQ103" s="38"/>
      <c r="MSR103" s="14"/>
      <c r="MSS103" s="14"/>
      <c r="MST103" s="14"/>
      <c r="MSU103" s="14"/>
      <c r="MSV103" s="36"/>
      <c r="MSW103" s="14"/>
      <c r="MSX103" s="44"/>
      <c r="MSY103" s="38"/>
      <c r="MSZ103" s="14"/>
      <c r="MTA103" s="14"/>
      <c r="MTB103" s="14"/>
      <c r="MTC103" s="14"/>
      <c r="MTD103" s="36"/>
      <c r="MTE103" s="14"/>
      <c r="MTF103" s="44"/>
      <c r="MTG103" s="38"/>
      <c r="MTH103" s="14"/>
      <c r="MTI103" s="14"/>
      <c r="MTJ103" s="14"/>
      <c r="MTK103" s="14"/>
      <c r="MTL103" s="36"/>
      <c r="MTM103" s="14"/>
      <c r="MTN103" s="44"/>
      <c r="MTO103" s="38"/>
      <c r="MTP103" s="14"/>
      <c r="MTQ103" s="14"/>
      <c r="MTR103" s="14"/>
      <c r="MTS103" s="14"/>
      <c r="MTT103" s="36"/>
      <c r="MTU103" s="14"/>
      <c r="MTV103" s="44"/>
      <c r="MTW103" s="38"/>
      <c r="MTX103" s="14"/>
      <c r="MTY103" s="14"/>
      <c r="MTZ103" s="14"/>
      <c r="MUA103" s="14"/>
      <c r="MUB103" s="36"/>
      <c r="MUC103" s="14"/>
      <c r="MUD103" s="44"/>
      <c r="MUE103" s="38"/>
      <c r="MUF103" s="14"/>
      <c r="MUG103" s="14"/>
      <c r="MUH103" s="14"/>
      <c r="MUI103" s="14"/>
      <c r="MUJ103" s="36"/>
      <c r="MUK103" s="14"/>
      <c r="MUL103" s="44"/>
      <c r="MUM103" s="38"/>
      <c r="MUN103" s="14"/>
      <c r="MUO103" s="14"/>
      <c r="MUP103" s="14"/>
      <c r="MUQ103" s="14"/>
      <c r="MUR103" s="36"/>
      <c r="MUS103" s="14"/>
      <c r="MUT103" s="44"/>
      <c r="MUU103" s="38"/>
      <c r="MUV103" s="14"/>
      <c r="MUW103" s="14"/>
      <c r="MUX103" s="14"/>
      <c r="MUY103" s="14"/>
      <c r="MUZ103" s="36"/>
      <c r="MVA103" s="14"/>
      <c r="MVB103" s="44"/>
      <c r="MVC103" s="38"/>
      <c r="MVD103" s="14"/>
      <c r="MVE103" s="14"/>
      <c r="MVF103" s="14"/>
      <c r="MVG103" s="14"/>
      <c r="MVH103" s="36"/>
      <c r="MVI103" s="14"/>
      <c r="MVJ103" s="44"/>
      <c r="MVK103" s="38"/>
      <c r="MVL103" s="14"/>
      <c r="MVM103" s="14"/>
      <c r="MVN103" s="14"/>
      <c r="MVO103" s="14"/>
      <c r="MVP103" s="36"/>
      <c r="MVQ103" s="14"/>
      <c r="MVR103" s="44"/>
      <c r="MVS103" s="38"/>
      <c r="MVT103" s="14"/>
      <c r="MVU103" s="14"/>
      <c r="MVV103" s="14"/>
      <c r="MVW103" s="14"/>
      <c r="MVX103" s="36"/>
      <c r="MVY103" s="14"/>
      <c r="MVZ103" s="44"/>
      <c r="MWA103" s="38"/>
      <c r="MWB103" s="14"/>
      <c r="MWC103" s="14"/>
      <c r="MWD103" s="14"/>
      <c r="MWE103" s="14"/>
      <c r="MWF103" s="36"/>
      <c r="MWG103" s="14"/>
      <c r="MWH103" s="44"/>
      <c r="MWI103" s="38"/>
      <c r="MWJ103" s="14"/>
      <c r="MWK103" s="14"/>
      <c r="MWL103" s="14"/>
      <c r="MWM103" s="14"/>
      <c r="MWN103" s="36"/>
      <c r="MWO103" s="14"/>
      <c r="MWP103" s="44"/>
      <c r="MWQ103" s="38"/>
      <c r="MWR103" s="14"/>
      <c r="MWS103" s="14"/>
      <c r="MWT103" s="14"/>
      <c r="MWU103" s="14"/>
      <c r="MWV103" s="36"/>
      <c r="MWW103" s="14"/>
      <c r="MWX103" s="44"/>
      <c r="MWY103" s="38"/>
      <c r="MWZ103" s="14"/>
      <c r="MXA103" s="14"/>
      <c r="MXB103" s="14"/>
      <c r="MXC103" s="14"/>
      <c r="MXD103" s="36"/>
      <c r="MXE103" s="14"/>
      <c r="MXF103" s="44"/>
      <c r="MXG103" s="38"/>
      <c r="MXH103" s="14"/>
      <c r="MXI103" s="14"/>
      <c r="MXJ103" s="14"/>
      <c r="MXK103" s="14"/>
      <c r="MXL103" s="36"/>
      <c r="MXM103" s="14"/>
      <c r="MXN103" s="44"/>
      <c r="MXO103" s="38"/>
      <c r="MXP103" s="14"/>
      <c r="MXQ103" s="14"/>
      <c r="MXR103" s="14"/>
      <c r="MXS103" s="14"/>
      <c r="MXT103" s="36"/>
      <c r="MXU103" s="14"/>
      <c r="MXV103" s="44"/>
      <c r="MXW103" s="38"/>
      <c r="MXX103" s="14"/>
      <c r="MXY103" s="14"/>
      <c r="MXZ103" s="14"/>
      <c r="MYA103" s="14"/>
      <c r="MYB103" s="36"/>
      <c r="MYC103" s="14"/>
      <c r="MYD103" s="44"/>
      <c r="MYE103" s="38"/>
      <c r="MYF103" s="14"/>
      <c r="MYG103" s="14"/>
      <c r="MYH103" s="14"/>
      <c r="MYI103" s="14"/>
      <c r="MYJ103" s="36"/>
      <c r="MYK103" s="14"/>
      <c r="MYL103" s="44"/>
      <c r="MYM103" s="38"/>
      <c r="MYN103" s="14"/>
      <c r="MYO103" s="14"/>
      <c r="MYP103" s="14"/>
      <c r="MYQ103" s="14"/>
      <c r="MYR103" s="36"/>
      <c r="MYS103" s="14"/>
      <c r="MYT103" s="44"/>
      <c r="MYU103" s="38"/>
      <c r="MYV103" s="14"/>
      <c r="MYW103" s="14"/>
      <c r="MYX103" s="14"/>
      <c r="MYY103" s="14"/>
      <c r="MYZ103" s="36"/>
      <c r="MZA103" s="14"/>
      <c r="MZB103" s="44"/>
      <c r="MZC103" s="38"/>
      <c r="MZD103" s="14"/>
      <c r="MZE103" s="14"/>
      <c r="MZF103" s="14"/>
      <c r="MZG103" s="14"/>
      <c r="MZH103" s="36"/>
      <c r="MZI103" s="14"/>
      <c r="MZJ103" s="44"/>
      <c r="MZK103" s="38"/>
      <c r="MZL103" s="14"/>
      <c r="MZM103" s="14"/>
      <c r="MZN103" s="14"/>
      <c r="MZO103" s="14"/>
      <c r="MZP103" s="36"/>
      <c r="MZQ103" s="14"/>
      <c r="MZR103" s="44"/>
      <c r="MZS103" s="38"/>
      <c r="MZT103" s="14"/>
      <c r="MZU103" s="14"/>
      <c r="MZV103" s="14"/>
      <c r="MZW103" s="14"/>
      <c r="MZX103" s="36"/>
      <c r="MZY103" s="14"/>
      <c r="MZZ103" s="44"/>
      <c r="NAA103" s="38"/>
      <c r="NAB103" s="14"/>
      <c r="NAC103" s="14"/>
      <c r="NAD103" s="14"/>
      <c r="NAE103" s="14"/>
      <c r="NAF103" s="36"/>
      <c r="NAG103" s="14"/>
      <c r="NAH103" s="44"/>
      <c r="NAI103" s="38"/>
      <c r="NAJ103" s="14"/>
      <c r="NAK103" s="14"/>
      <c r="NAL103" s="14"/>
      <c r="NAM103" s="14"/>
      <c r="NAN103" s="36"/>
      <c r="NAO103" s="14"/>
      <c r="NAP103" s="44"/>
      <c r="NAQ103" s="38"/>
      <c r="NAR103" s="14"/>
      <c r="NAS103" s="14"/>
      <c r="NAT103" s="14"/>
      <c r="NAU103" s="14"/>
      <c r="NAV103" s="36"/>
      <c r="NAW103" s="14"/>
      <c r="NAX103" s="44"/>
      <c r="NAY103" s="38"/>
      <c r="NAZ103" s="14"/>
      <c r="NBA103" s="14"/>
      <c r="NBB103" s="14"/>
      <c r="NBC103" s="14"/>
      <c r="NBD103" s="36"/>
      <c r="NBE103" s="14"/>
      <c r="NBF103" s="44"/>
      <c r="NBG103" s="38"/>
      <c r="NBH103" s="14"/>
      <c r="NBI103" s="14"/>
      <c r="NBJ103" s="14"/>
      <c r="NBK103" s="14"/>
      <c r="NBL103" s="36"/>
      <c r="NBM103" s="14"/>
      <c r="NBN103" s="44"/>
      <c r="NBO103" s="38"/>
      <c r="NBP103" s="14"/>
      <c r="NBQ103" s="14"/>
      <c r="NBR103" s="14"/>
      <c r="NBS103" s="14"/>
      <c r="NBT103" s="36"/>
      <c r="NBU103" s="14"/>
      <c r="NBV103" s="44"/>
      <c r="NBW103" s="38"/>
      <c r="NBX103" s="14"/>
      <c r="NBY103" s="14"/>
      <c r="NBZ103" s="14"/>
      <c r="NCA103" s="14"/>
      <c r="NCB103" s="36"/>
      <c r="NCC103" s="14"/>
      <c r="NCD103" s="44"/>
      <c r="NCE103" s="38"/>
      <c r="NCF103" s="14"/>
      <c r="NCG103" s="14"/>
      <c r="NCH103" s="14"/>
      <c r="NCI103" s="14"/>
      <c r="NCJ103" s="36"/>
      <c r="NCK103" s="14"/>
      <c r="NCL103" s="44"/>
      <c r="NCM103" s="38"/>
      <c r="NCN103" s="14"/>
      <c r="NCO103" s="14"/>
      <c r="NCP103" s="14"/>
      <c r="NCQ103" s="14"/>
      <c r="NCR103" s="36"/>
      <c r="NCS103" s="14"/>
      <c r="NCT103" s="44"/>
      <c r="NCU103" s="38"/>
      <c r="NCV103" s="14"/>
      <c r="NCW103" s="14"/>
      <c r="NCX103" s="14"/>
      <c r="NCY103" s="14"/>
      <c r="NCZ103" s="36"/>
      <c r="NDA103" s="14"/>
      <c r="NDB103" s="44"/>
      <c r="NDC103" s="38"/>
      <c r="NDD103" s="14"/>
      <c r="NDE103" s="14"/>
      <c r="NDF103" s="14"/>
      <c r="NDG103" s="14"/>
      <c r="NDH103" s="36"/>
      <c r="NDI103" s="14"/>
      <c r="NDJ103" s="44"/>
      <c r="NDK103" s="38"/>
      <c r="NDL103" s="14"/>
      <c r="NDM103" s="14"/>
      <c r="NDN103" s="14"/>
      <c r="NDO103" s="14"/>
      <c r="NDP103" s="36"/>
      <c r="NDQ103" s="14"/>
      <c r="NDR103" s="44"/>
      <c r="NDS103" s="38"/>
      <c r="NDT103" s="14"/>
      <c r="NDU103" s="14"/>
      <c r="NDV103" s="14"/>
      <c r="NDW103" s="14"/>
      <c r="NDX103" s="36"/>
      <c r="NDY103" s="14"/>
      <c r="NDZ103" s="44"/>
      <c r="NEA103" s="38"/>
      <c r="NEB103" s="14"/>
      <c r="NEC103" s="14"/>
      <c r="NED103" s="14"/>
      <c r="NEE103" s="14"/>
      <c r="NEF103" s="36"/>
      <c r="NEG103" s="14"/>
      <c r="NEH103" s="44"/>
      <c r="NEI103" s="38"/>
      <c r="NEJ103" s="14"/>
      <c r="NEK103" s="14"/>
      <c r="NEL103" s="14"/>
      <c r="NEM103" s="14"/>
      <c r="NEN103" s="36"/>
      <c r="NEO103" s="14"/>
      <c r="NEP103" s="44"/>
      <c r="NEQ103" s="38"/>
      <c r="NER103" s="14"/>
      <c r="NES103" s="14"/>
      <c r="NET103" s="14"/>
      <c r="NEU103" s="14"/>
      <c r="NEV103" s="36"/>
      <c r="NEW103" s="14"/>
      <c r="NEX103" s="44"/>
      <c r="NEY103" s="38"/>
      <c r="NEZ103" s="14"/>
      <c r="NFA103" s="14"/>
      <c r="NFB103" s="14"/>
      <c r="NFC103" s="14"/>
      <c r="NFD103" s="36"/>
      <c r="NFE103" s="14"/>
      <c r="NFF103" s="44"/>
      <c r="NFG103" s="38"/>
      <c r="NFH103" s="14"/>
      <c r="NFI103" s="14"/>
      <c r="NFJ103" s="14"/>
      <c r="NFK103" s="14"/>
      <c r="NFL103" s="36"/>
      <c r="NFM103" s="14"/>
      <c r="NFN103" s="44"/>
      <c r="NFO103" s="38"/>
      <c r="NFP103" s="14"/>
      <c r="NFQ103" s="14"/>
      <c r="NFR103" s="14"/>
      <c r="NFS103" s="14"/>
      <c r="NFT103" s="36"/>
      <c r="NFU103" s="14"/>
      <c r="NFV103" s="44"/>
      <c r="NFW103" s="38"/>
      <c r="NFX103" s="14"/>
      <c r="NFY103" s="14"/>
      <c r="NFZ103" s="14"/>
      <c r="NGA103" s="14"/>
      <c r="NGB103" s="36"/>
      <c r="NGC103" s="14"/>
      <c r="NGD103" s="44"/>
      <c r="NGE103" s="38"/>
      <c r="NGF103" s="14"/>
      <c r="NGG103" s="14"/>
      <c r="NGH103" s="14"/>
      <c r="NGI103" s="14"/>
      <c r="NGJ103" s="36"/>
      <c r="NGK103" s="14"/>
      <c r="NGL103" s="44"/>
      <c r="NGM103" s="38"/>
      <c r="NGN103" s="14"/>
      <c r="NGO103" s="14"/>
      <c r="NGP103" s="14"/>
      <c r="NGQ103" s="14"/>
      <c r="NGR103" s="36"/>
      <c r="NGS103" s="14"/>
      <c r="NGT103" s="44"/>
      <c r="NGU103" s="38"/>
      <c r="NGV103" s="14"/>
      <c r="NGW103" s="14"/>
      <c r="NGX103" s="14"/>
      <c r="NGY103" s="14"/>
      <c r="NGZ103" s="36"/>
      <c r="NHA103" s="14"/>
      <c r="NHB103" s="44"/>
      <c r="NHC103" s="38"/>
      <c r="NHD103" s="14"/>
      <c r="NHE103" s="14"/>
      <c r="NHF103" s="14"/>
      <c r="NHG103" s="14"/>
      <c r="NHH103" s="36"/>
      <c r="NHI103" s="14"/>
      <c r="NHJ103" s="44"/>
      <c r="NHK103" s="38"/>
      <c r="NHL103" s="14"/>
      <c r="NHM103" s="14"/>
      <c r="NHN103" s="14"/>
      <c r="NHO103" s="14"/>
      <c r="NHP103" s="36"/>
      <c r="NHQ103" s="14"/>
      <c r="NHR103" s="44"/>
      <c r="NHS103" s="38"/>
      <c r="NHT103" s="14"/>
      <c r="NHU103" s="14"/>
      <c r="NHV103" s="14"/>
      <c r="NHW103" s="14"/>
      <c r="NHX103" s="36"/>
      <c r="NHY103" s="14"/>
      <c r="NHZ103" s="44"/>
      <c r="NIA103" s="38"/>
      <c r="NIB103" s="14"/>
      <c r="NIC103" s="14"/>
      <c r="NID103" s="14"/>
      <c r="NIE103" s="14"/>
      <c r="NIF103" s="36"/>
      <c r="NIG103" s="14"/>
      <c r="NIH103" s="44"/>
      <c r="NII103" s="38"/>
      <c r="NIJ103" s="14"/>
      <c r="NIK103" s="14"/>
      <c r="NIL103" s="14"/>
      <c r="NIM103" s="14"/>
      <c r="NIN103" s="36"/>
      <c r="NIO103" s="14"/>
      <c r="NIP103" s="44"/>
      <c r="NIQ103" s="38"/>
      <c r="NIR103" s="14"/>
      <c r="NIS103" s="14"/>
      <c r="NIT103" s="14"/>
      <c r="NIU103" s="14"/>
      <c r="NIV103" s="36"/>
      <c r="NIW103" s="14"/>
      <c r="NIX103" s="44"/>
      <c r="NIY103" s="38"/>
      <c r="NIZ103" s="14"/>
      <c r="NJA103" s="14"/>
      <c r="NJB103" s="14"/>
      <c r="NJC103" s="14"/>
      <c r="NJD103" s="36"/>
      <c r="NJE103" s="14"/>
      <c r="NJF103" s="44"/>
      <c r="NJG103" s="38"/>
      <c r="NJH103" s="14"/>
      <c r="NJI103" s="14"/>
      <c r="NJJ103" s="14"/>
      <c r="NJK103" s="14"/>
      <c r="NJL103" s="36"/>
      <c r="NJM103" s="14"/>
      <c r="NJN103" s="44"/>
      <c r="NJO103" s="38"/>
      <c r="NJP103" s="14"/>
      <c r="NJQ103" s="14"/>
      <c r="NJR103" s="14"/>
      <c r="NJS103" s="14"/>
      <c r="NJT103" s="36"/>
      <c r="NJU103" s="14"/>
      <c r="NJV103" s="44"/>
      <c r="NJW103" s="38"/>
      <c r="NJX103" s="14"/>
      <c r="NJY103" s="14"/>
      <c r="NJZ103" s="14"/>
      <c r="NKA103" s="14"/>
      <c r="NKB103" s="36"/>
      <c r="NKC103" s="14"/>
      <c r="NKD103" s="44"/>
      <c r="NKE103" s="38"/>
      <c r="NKF103" s="14"/>
      <c r="NKG103" s="14"/>
      <c r="NKH103" s="14"/>
      <c r="NKI103" s="14"/>
      <c r="NKJ103" s="36"/>
      <c r="NKK103" s="14"/>
      <c r="NKL103" s="44"/>
      <c r="NKM103" s="38"/>
      <c r="NKN103" s="14"/>
      <c r="NKO103" s="14"/>
      <c r="NKP103" s="14"/>
      <c r="NKQ103" s="14"/>
      <c r="NKR103" s="36"/>
      <c r="NKS103" s="14"/>
      <c r="NKT103" s="44"/>
      <c r="NKU103" s="38"/>
      <c r="NKV103" s="14"/>
      <c r="NKW103" s="14"/>
      <c r="NKX103" s="14"/>
      <c r="NKY103" s="14"/>
      <c r="NKZ103" s="36"/>
      <c r="NLA103" s="14"/>
      <c r="NLB103" s="44"/>
      <c r="NLC103" s="38"/>
      <c r="NLD103" s="14"/>
      <c r="NLE103" s="14"/>
      <c r="NLF103" s="14"/>
      <c r="NLG103" s="14"/>
      <c r="NLH103" s="36"/>
      <c r="NLI103" s="14"/>
      <c r="NLJ103" s="44"/>
      <c r="NLK103" s="38"/>
      <c r="NLL103" s="14"/>
      <c r="NLM103" s="14"/>
      <c r="NLN103" s="14"/>
      <c r="NLO103" s="14"/>
      <c r="NLP103" s="36"/>
      <c r="NLQ103" s="14"/>
      <c r="NLR103" s="44"/>
      <c r="NLS103" s="38"/>
      <c r="NLT103" s="14"/>
      <c r="NLU103" s="14"/>
      <c r="NLV103" s="14"/>
      <c r="NLW103" s="14"/>
      <c r="NLX103" s="36"/>
      <c r="NLY103" s="14"/>
      <c r="NLZ103" s="44"/>
      <c r="NMA103" s="38"/>
      <c r="NMB103" s="14"/>
      <c r="NMC103" s="14"/>
      <c r="NMD103" s="14"/>
      <c r="NME103" s="14"/>
      <c r="NMF103" s="36"/>
      <c r="NMG103" s="14"/>
      <c r="NMH103" s="44"/>
      <c r="NMI103" s="38"/>
      <c r="NMJ103" s="14"/>
      <c r="NMK103" s="14"/>
      <c r="NML103" s="14"/>
      <c r="NMM103" s="14"/>
      <c r="NMN103" s="36"/>
      <c r="NMO103" s="14"/>
      <c r="NMP103" s="44"/>
      <c r="NMQ103" s="38"/>
      <c r="NMR103" s="14"/>
      <c r="NMS103" s="14"/>
      <c r="NMT103" s="14"/>
      <c r="NMU103" s="14"/>
      <c r="NMV103" s="36"/>
      <c r="NMW103" s="14"/>
      <c r="NMX103" s="44"/>
      <c r="NMY103" s="38"/>
      <c r="NMZ103" s="14"/>
      <c r="NNA103" s="14"/>
      <c r="NNB103" s="14"/>
      <c r="NNC103" s="14"/>
      <c r="NND103" s="36"/>
      <c r="NNE103" s="14"/>
      <c r="NNF103" s="44"/>
      <c r="NNG103" s="38"/>
      <c r="NNH103" s="14"/>
      <c r="NNI103" s="14"/>
      <c r="NNJ103" s="14"/>
      <c r="NNK103" s="14"/>
      <c r="NNL103" s="36"/>
      <c r="NNM103" s="14"/>
      <c r="NNN103" s="44"/>
      <c r="NNO103" s="38"/>
      <c r="NNP103" s="14"/>
      <c r="NNQ103" s="14"/>
      <c r="NNR103" s="14"/>
      <c r="NNS103" s="14"/>
      <c r="NNT103" s="36"/>
      <c r="NNU103" s="14"/>
      <c r="NNV103" s="44"/>
      <c r="NNW103" s="38"/>
      <c r="NNX103" s="14"/>
      <c r="NNY103" s="14"/>
      <c r="NNZ103" s="14"/>
      <c r="NOA103" s="14"/>
      <c r="NOB103" s="36"/>
      <c r="NOC103" s="14"/>
      <c r="NOD103" s="44"/>
      <c r="NOE103" s="38"/>
      <c r="NOF103" s="14"/>
      <c r="NOG103" s="14"/>
      <c r="NOH103" s="14"/>
      <c r="NOI103" s="14"/>
      <c r="NOJ103" s="36"/>
      <c r="NOK103" s="14"/>
      <c r="NOL103" s="44"/>
      <c r="NOM103" s="38"/>
      <c r="NON103" s="14"/>
      <c r="NOO103" s="14"/>
      <c r="NOP103" s="14"/>
      <c r="NOQ103" s="14"/>
      <c r="NOR103" s="36"/>
      <c r="NOS103" s="14"/>
      <c r="NOT103" s="44"/>
      <c r="NOU103" s="38"/>
      <c r="NOV103" s="14"/>
      <c r="NOW103" s="14"/>
      <c r="NOX103" s="14"/>
      <c r="NOY103" s="14"/>
      <c r="NOZ103" s="36"/>
      <c r="NPA103" s="14"/>
      <c r="NPB103" s="44"/>
      <c r="NPC103" s="38"/>
      <c r="NPD103" s="14"/>
      <c r="NPE103" s="14"/>
      <c r="NPF103" s="14"/>
      <c r="NPG103" s="14"/>
      <c r="NPH103" s="36"/>
      <c r="NPI103" s="14"/>
      <c r="NPJ103" s="44"/>
      <c r="NPK103" s="38"/>
      <c r="NPL103" s="14"/>
      <c r="NPM103" s="14"/>
      <c r="NPN103" s="14"/>
      <c r="NPO103" s="14"/>
      <c r="NPP103" s="36"/>
      <c r="NPQ103" s="14"/>
      <c r="NPR103" s="44"/>
      <c r="NPS103" s="38"/>
      <c r="NPT103" s="14"/>
      <c r="NPU103" s="14"/>
      <c r="NPV103" s="14"/>
      <c r="NPW103" s="14"/>
      <c r="NPX103" s="36"/>
      <c r="NPY103" s="14"/>
      <c r="NPZ103" s="44"/>
      <c r="NQA103" s="38"/>
      <c r="NQB103" s="14"/>
      <c r="NQC103" s="14"/>
      <c r="NQD103" s="14"/>
      <c r="NQE103" s="14"/>
      <c r="NQF103" s="36"/>
      <c r="NQG103" s="14"/>
      <c r="NQH103" s="44"/>
      <c r="NQI103" s="38"/>
      <c r="NQJ103" s="14"/>
      <c r="NQK103" s="14"/>
      <c r="NQL103" s="14"/>
      <c r="NQM103" s="14"/>
      <c r="NQN103" s="36"/>
      <c r="NQO103" s="14"/>
      <c r="NQP103" s="44"/>
      <c r="NQQ103" s="38"/>
      <c r="NQR103" s="14"/>
      <c r="NQS103" s="14"/>
      <c r="NQT103" s="14"/>
      <c r="NQU103" s="14"/>
      <c r="NQV103" s="36"/>
      <c r="NQW103" s="14"/>
      <c r="NQX103" s="44"/>
      <c r="NQY103" s="38"/>
      <c r="NQZ103" s="14"/>
      <c r="NRA103" s="14"/>
      <c r="NRB103" s="14"/>
      <c r="NRC103" s="14"/>
      <c r="NRD103" s="36"/>
      <c r="NRE103" s="14"/>
      <c r="NRF103" s="44"/>
      <c r="NRG103" s="38"/>
      <c r="NRH103" s="14"/>
      <c r="NRI103" s="14"/>
      <c r="NRJ103" s="14"/>
      <c r="NRK103" s="14"/>
      <c r="NRL103" s="36"/>
      <c r="NRM103" s="14"/>
      <c r="NRN103" s="44"/>
      <c r="NRO103" s="38"/>
      <c r="NRP103" s="14"/>
      <c r="NRQ103" s="14"/>
      <c r="NRR103" s="14"/>
      <c r="NRS103" s="14"/>
      <c r="NRT103" s="36"/>
      <c r="NRU103" s="14"/>
      <c r="NRV103" s="44"/>
      <c r="NRW103" s="38"/>
      <c r="NRX103" s="14"/>
      <c r="NRY103" s="14"/>
      <c r="NRZ103" s="14"/>
      <c r="NSA103" s="14"/>
      <c r="NSB103" s="36"/>
      <c r="NSC103" s="14"/>
      <c r="NSD103" s="44"/>
      <c r="NSE103" s="38"/>
      <c r="NSF103" s="14"/>
      <c r="NSG103" s="14"/>
      <c r="NSH103" s="14"/>
      <c r="NSI103" s="14"/>
      <c r="NSJ103" s="36"/>
      <c r="NSK103" s="14"/>
      <c r="NSL103" s="44"/>
      <c r="NSM103" s="38"/>
      <c r="NSN103" s="14"/>
      <c r="NSO103" s="14"/>
      <c r="NSP103" s="14"/>
      <c r="NSQ103" s="14"/>
      <c r="NSR103" s="36"/>
      <c r="NSS103" s="14"/>
      <c r="NST103" s="44"/>
      <c r="NSU103" s="38"/>
      <c r="NSV103" s="14"/>
      <c r="NSW103" s="14"/>
      <c r="NSX103" s="14"/>
      <c r="NSY103" s="14"/>
      <c r="NSZ103" s="36"/>
      <c r="NTA103" s="14"/>
      <c r="NTB103" s="44"/>
      <c r="NTC103" s="38"/>
      <c r="NTD103" s="14"/>
      <c r="NTE103" s="14"/>
      <c r="NTF103" s="14"/>
      <c r="NTG103" s="14"/>
      <c r="NTH103" s="36"/>
      <c r="NTI103" s="14"/>
      <c r="NTJ103" s="44"/>
      <c r="NTK103" s="38"/>
      <c r="NTL103" s="14"/>
      <c r="NTM103" s="14"/>
      <c r="NTN103" s="14"/>
      <c r="NTO103" s="14"/>
      <c r="NTP103" s="36"/>
      <c r="NTQ103" s="14"/>
      <c r="NTR103" s="44"/>
      <c r="NTS103" s="38"/>
      <c r="NTT103" s="14"/>
      <c r="NTU103" s="14"/>
      <c r="NTV103" s="14"/>
      <c r="NTW103" s="14"/>
      <c r="NTX103" s="36"/>
      <c r="NTY103" s="14"/>
      <c r="NTZ103" s="44"/>
      <c r="NUA103" s="38"/>
      <c r="NUB103" s="14"/>
      <c r="NUC103" s="14"/>
      <c r="NUD103" s="14"/>
      <c r="NUE103" s="14"/>
      <c r="NUF103" s="36"/>
      <c r="NUG103" s="14"/>
      <c r="NUH103" s="44"/>
      <c r="NUI103" s="38"/>
      <c r="NUJ103" s="14"/>
      <c r="NUK103" s="14"/>
      <c r="NUL103" s="14"/>
      <c r="NUM103" s="14"/>
      <c r="NUN103" s="36"/>
      <c r="NUO103" s="14"/>
      <c r="NUP103" s="44"/>
      <c r="NUQ103" s="38"/>
      <c r="NUR103" s="14"/>
      <c r="NUS103" s="14"/>
      <c r="NUT103" s="14"/>
      <c r="NUU103" s="14"/>
      <c r="NUV103" s="36"/>
      <c r="NUW103" s="14"/>
      <c r="NUX103" s="44"/>
      <c r="NUY103" s="38"/>
      <c r="NUZ103" s="14"/>
      <c r="NVA103" s="14"/>
      <c r="NVB103" s="14"/>
      <c r="NVC103" s="14"/>
      <c r="NVD103" s="36"/>
      <c r="NVE103" s="14"/>
      <c r="NVF103" s="44"/>
      <c r="NVG103" s="38"/>
      <c r="NVH103" s="14"/>
      <c r="NVI103" s="14"/>
      <c r="NVJ103" s="14"/>
      <c r="NVK103" s="14"/>
      <c r="NVL103" s="36"/>
      <c r="NVM103" s="14"/>
      <c r="NVN103" s="44"/>
      <c r="NVO103" s="38"/>
      <c r="NVP103" s="14"/>
      <c r="NVQ103" s="14"/>
      <c r="NVR103" s="14"/>
      <c r="NVS103" s="14"/>
      <c r="NVT103" s="36"/>
      <c r="NVU103" s="14"/>
      <c r="NVV103" s="44"/>
      <c r="NVW103" s="38"/>
      <c r="NVX103" s="14"/>
      <c r="NVY103" s="14"/>
      <c r="NVZ103" s="14"/>
      <c r="NWA103" s="14"/>
      <c r="NWB103" s="36"/>
      <c r="NWC103" s="14"/>
      <c r="NWD103" s="44"/>
      <c r="NWE103" s="38"/>
      <c r="NWF103" s="14"/>
      <c r="NWG103" s="14"/>
      <c r="NWH103" s="14"/>
      <c r="NWI103" s="14"/>
      <c r="NWJ103" s="36"/>
      <c r="NWK103" s="14"/>
      <c r="NWL103" s="44"/>
      <c r="NWM103" s="38"/>
      <c r="NWN103" s="14"/>
      <c r="NWO103" s="14"/>
      <c r="NWP103" s="14"/>
      <c r="NWQ103" s="14"/>
      <c r="NWR103" s="36"/>
      <c r="NWS103" s="14"/>
      <c r="NWT103" s="44"/>
      <c r="NWU103" s="38"/>
      <c r="NWV103" s="14"/>
      <c r="NWW103" s="14"/>
      <c r="NWX103" s="14"/>
      <c r="NWY103" s="14"/>
      <c r="NWZ103" s="36"/>
      <c r="NXA103" s="14"/>
      <c r="NXB103" s="44"/>
      <c r="NXC103" s="38"/>
      <c r="NXD103" s="14"/>
      <c r="NXE103" s="14"/>
      <c r="NXF103" s="14"/>
      <c r="NXG103" s="14"/>
      <c r="NXH103" s="36"/>
      <c r="NXI103" s="14"/>
      <c r="NXJ103" s="44"/>
      <c r="NXK103" s="38"/>
      <c r="NXL103" s="14"/>
      <c r="NXM103" s="14"/>
      <c r="NXN103" s="14"/>
      <c r="NXO103" s="14"/>
      <c r="NXP103" s="36"/>
      <c r="NXQ103" s="14"/>
      <c r="NXR103" s="44"/>
      <c r="NXS103" s="38"/>
      <c r="NXT103" s="14"/>
      <c r="NXU103" s="14"/>
      <c r="NXV103" s="14"/>
      <c r="NXW103" s="14"/>
      <c r="NXX103" s="36"/>
      <c r="NXY103" s="14"/>
      <c r="NXZ103" s="44"/>
      <c r="NYA103" s="38"/>
      <c r="NYB103" s="14"/>
      <c r="NYC103" s="14"/>
      <c r="NYD103" s="14"/>
      <c r="NYE103" s="14"/>
      <c r="NYF103" s="36"/>
      <c r="NYG103" s="14"/>
      <c r="NYH103" s="44"/>
      <c r="NYI103" s="38"/>
      <c r="NYJ103" s="14"/>
      <c r="NYK103" s="14"/>
      <c r="NYL103" s="14"/>
      <c r="NYM103" s="14"/>
      <c r="NYN103" s="36"/>
      <c r="NYO103" s="14"/>
      <c r="NYP103" s="44"/>
      <c r="NYQ103" s="38"/>
      <c r="NYR103" s="14"/>
      <c r="NYS103" s="14"/>
      <c r="NYT103" s="14"/>
      <c r="NYU103" s="14"/>
      <c r="NYV103" s="36"/>
      <c r="NYW103" s="14"/>
      <c r="NYX103" s="44"/>
      <c r="NYY103" s="38"/>
      <c r="NYZ103" s="14"/>
      <c r="NZA103" s="14"/>
      <c r="NZB103" s="14"/>
      <c r="NZC103" s="14"/>
      <c r="NZD103" s="36"/>
      <c r="NZE103" s="14"/>
      <c r="NZF103" s="44"/>
      <c r="NZG103" s="38"/>
      <c r="NZH103" s="14"/>
      <c r="NZI103" s="14"/>
      <c r="NZJ103" s="14"/>
      <c r="NZK103" s="14"/>
      <c r="NZL103" s="36"/>
      <c r="NZM103" s="14"/>
      <c r="NZN103" s="44"/>
      <c r="NZO103" s="38"/>
      <c r="NZP103" s="14"/>
      <c r="NZQ103" s="14"/>
      <c r="NZR103" s="14"/>
      <c r="NZS103" s="14"/>
      <c r="NZT103" s="36"/>
      <c r="NZU103" s="14"/>
      <c r="NZV103" s="44"/>
      <c r="NZW103" s="38"/>
      <c r="NZX103" s="14"/>
      <c r="NZY103" s="14"/>
      <c r="NZZ103" s="14"/>
      <c r="OAA103" s="14"/>
      <c r="OAB103" s="36"/>
      <c r="OAC103" s="14"/>
      <c r="OAD103" s="44"/>
      <c r="OAE103" s="38"/>
      <c r="OAF103" s="14"/>
      <c r="OAG103" s="14"/>
      <c r="OAH103" s="14"/>
      <c r="OAI103" s="14"/>
      <c r="OAJ103" s="36"/>
      <c r="OAK103" s="14"/>
      <c r="OAL103" s="44"/>
      <c r="OAM103" s="38"/>
      <c r="OAN103" s="14"/>
      <c r="OAO103" s="14"/>
      <c r="OAP103" s="14"/>
      <c r="OAQ103" s="14"/>
      <c r="OAR103" s="36"/>
      <c r="OAS103" s="14"/>
      <c r="OAT103" s="44"/>
      <c r="OAU103" s="38"/>
      <c r="OAV103" s="14"/>
      <c r="OAW103" s="14"/>
      <c r="OAX103" s="14"/>
      <c r="OAY103" s="14"/>
      <c r="OAZ103" s="36"/>
      <c r="OBA103" s="14"/>
      <c r="OBB103" s="44"/>
      <c r="OBC103" s="38"/>
      <c r="OBD103" s="14"/>
      <c r="OBE103" s="14"/>
      <c r="OBF103" s="14"/>
      <c r="OBG103" s="14"/>
      <c r="OBH103" s="36"/>
      <c r="OBI103" s="14"/>
      <c r="OBJ103" s="44"/>
      <c r="OBK103" s="38"/>
      <c r="OBL103" s="14"/>
      <c r="OBM103" s="14"/>
      <c r="OBN103" s="14"/>
      <c r="OBO103" s="14"/>
      <c r="OBP103" s="36"/>
      <c r="OBQ103" s="14"/>
      <c r="OBR103" s="44"/>
      <c r="OBS103" s="38"/>
      <c r="OBT103" s="14"/>
      <c r="OBU103" s="14"/>
      <c r="OBV103" s="14"/>
      <c r="OBW103" s="14"/>
      <c r="OBX103" s="36"/>
      <c r="OBY103" s="14"/>
      <c r="OBZ103" s="44"/>
      <c r="OCA103" s="38"/>
      <c r="OCB103" s="14"/>
      <c r="OCC103" s="14"/>
      <c r="OCD103" s="14"/>
      <c r="OCE103" s="14"/>
      <c r="OCF103" s="36"/>
      <c r="OCG103" s="14"/>
      <c r="OCH103" s="44"/>
      <c r="OCI103" s="38"/>
      <c r="OCJ103" s="14"/>
      <c r="OCK103" s="14"/>
      <c r="OCL103" s="14"/>
      <c r="OCM103" s="14"/>
      <c r="OCN103" s="36"/>
      <c r="OCO103" s="14"/>
      <c r="OCP103" s="44"/>
      <c r="OCQ103" s="38"/>
      <c r="OCR103" s="14"/>
      <c r="OCS103" s="14"/>
      <c r="OCT103" s="14"/>
      <c r="OCU103" s="14"/>
      <c r="OCV103" s="36"/>
      <c r="OCW103" s="14"/>
      <c r="OCX103" s="44"/>
      <c r="OCY103" s="38"/>
      <c r="OCZ103" s="14"/>
      <c r="ODA103" s="14"/>
      <c r="ODB103" s="14"/>
      <c r="ODC103" s="14"/>
      <c r="ODD103" s="36"/>
      <c r="ODE103" s="14"/>
      <c r="ODF103" s="44"/>
      <c r="ODG103" s="38"/>
      <c r="ODH103" s="14"/>
      <c r="ODI103" s="14"/>
      <c r="ODJ103" s="14"/>
      <c r="ODK103" s="14"/>
      <c r="ODL103" s="36"/>
      <c r="ODM103" s="14"/>
      <c r="ODN103" s="44"/>
      <c r="ODO103" s="38"/>
      <c r="ODP103" s="14"/>
      <c r="ODQ103" s="14"/>
      <c r="ODR103" s="14"/>
      <c r="ODS103" s="14"/>
      <c r="ODT103" s="36"/>
      <c r="ODU103" s="14"/>
      <c r="ODV103" s="44"/>
      <c r="ODW103" s="38"/>
      <c r="ODX103" s="14"/>
      <c r="ODY103" s="14"/>
      <c r="ODZ103" s="14"/>
      <c r="OEA103" s="14"/>
      <c r="OEB103" s="36"/>
      <c r="OEC103" s="14"/>
      <c r="OED103" s="44"/>
      <c r="OEE103" s="38"/>
      <c r="OEF103" s="14"/>
      <c r="OEG103" s="14"/>
      <c r="OEH103" s="14"/>
      <c r="OEI103" s="14"/>
      <c r="OEJ103" s="36"/>
      <c r="OEK103" s="14"/>
      <c r="OEL103" s="44"/>
      <c r="OEM103" s="38"/>
      <c r="OEN103" s="14"/>
      <c r="OEO103" s="14"/>
      <c r="OEP103" s="14"/>
      <c r="OEQ103" s="14"/>
      <c r="OER103" s="36"/>
      <c r="OES103" s="14"/>
      <c r="OET103" s="44"/>
      <c r="OEU103" s="38"/>
      <c r="OEV103" s="14"/>
      <c r="OEW103" s="14"/>
      <c r="OEX103" s="14"/>
      <c r="OEY103" s="14"/>
      <c r="OEZ103" s="36"/>
      <c r="OFA103" s="14"/>
      <c r="OFB103" s="44"/>
      <c r="OFC103" s="38"/>
      <c r="OFD103" s="14"/>
      <c r="OFE103" s="14"/>
      <c r="OFF103" s="14"/>
      <c r="OFG103" s="14"/>
      <c r="OFH103" s="36"/>
      <c r="OFI103" s="14"/>
      <c r="OFJ103" s="44"/>
      <c r="OFK103" s="38"/>
      <c r="OFL103" s="14"/>
      <c r="OFM103" s="14"/>
      <c r="OFN103" s="14"/>
      <c r="OFO103" s="14"/>
      <c r="OFP103" s="36"/>
      <c r="OFQ103" s="14"/>
      <c r="OFR103" s="44"/>
      <c r="OFS103" s="38"/>
      <c r="OFT103" s="14"/>
      <c r="OFU103" s="14"/>
      <c r="OFV103" s="14"/>
      <c r="OFW103" s="14"/>
      <c r="OFX103" s="36"/>
      <c r="OFY103" s="14"/>
      <c r="OFZ103" s="44"/>
      <c r="OGA103" s="38"/>
      <c r="OGB103" s="14"/>
      <c r="OGC103" s="14"/>
      <c r="OGD103" s="14"/>
      <c r="OGE103" s="14"/>
      <c r="OGF103" s="36"/>
      <c r="OGG103" s="14"/>
      <c r="OGH103" s="44"/>
      <c r="OGI103" s="38"/>
      <c r="OGJ103" s="14"/>
      <c r="OGK103" s="14"/>
      <c r="OGL103" s="14"/>
      <c r="OGM103" s="14"/>
      <c r="OGN103" s="36"/>
      <c r="OGO103" s="14"/>
      <c r="OGP103" s="44"/>
      <c r="OGQ103" s="38"/>
      <c r="OGR103" s="14"/>
      <c r="OGS103" s="14"/>
      <c r="OGT103" s="14"/>
      <c r="OGU103" s="14"/>
      <c r="OGV103" s="36"/>
      <c r="OGW103" s="14"/>
      <c r="OGX103" s="44"/>
      <c r="OGY103" s="38"/>
      <c r="OGZ103" s="14"/>
      <c r="OHA103" s="14"/>
      <c r="OHB103" s="14"/>
      <c r="OHC103" s="14"/>
      <c r="OHD103" s="36"/>
      <c r="OHE103" s="14"/>
      <c r="OHF103" s="44"/>
      <c r="OHG103" s="38"/>
      <c r="OHH103" s="14"/>
      <c r="OHI103" s="14"/>
      <c r="OHJ103" s="14"/>
      <c r="OHK103" s="14"/>
      <c r="OHL103" s="36"/>
      <c r="OHM103" s="14"/>
      <c r="OHN103" s="44"/>
      <c r="OHO103" s="38"/>
      <c r="OHP103" s="14"/>
      <c r="OHQ103" s="14"/>
      <c r="OHR103" s="14"/>
      <c r="OHS103" s="14"/>
      <c r="OHT103" s="36"/>
      <c r="OHU103" s="14"/>
      <c r="OHV103" s="44"/>
      <c r="OHW103" s="38"/>
      <c r="OHX103" s="14"/>
      <c r="OHY103" s="14"/>
      <c r="OHZ103" s="14"/>
      <c r="OIA103" s="14"/>
      <c r="OIB103" s="36"/>
      <c r="OIC103" s="14"/>
      <c r="OID103" s="44"/>
      <c r="OIE103" s="38"/>
      <c r="OIF103" s="14"/>
      <c r="OIG103" s="14"/>
      <c r="OIH103" s="14"/>
      <c r="OII103" s="14"/>
      <c r="OIJ103" s="36"/>
      <c r="OIK103" s="14"/>
      <c r="OIL103" s="44"/>
      <c r="OIM103" s="38"/>
      <c r="OIN103" s="14"/>
      <c r="OIO103" s="14"/>
      <c r="OIP103" s="14"/>
      <c r="OIQ103" s="14"/>
      <c r="OIR103" s="36"/>
      <c r="OIS103" s="14"/>
      <c r="OIT103" s="44"/>
      <c r="OIU103" s="38"/>
      <c r="OIV103" s="14"/>
      <c r="OIW103" s="14"/>
      <c r="OIX103" s="14"/>
      <c r="OIY103" s="14"/>
      <c r="OIZ103" s="36"/>
      <c r="OJA103" s="14"/>
      <c r="OJB103" s="44"/>
      <c r="OJC103" s="38"/>
      <c r="OJD103" s="14"/>
      <c r="OJE103" s="14"/>
      <c r="OJF103" s="14"/>
      <c r="OJG103" s="14"/>
      <c r="OJH103" s="36"/>
      <c r="OJI103" s="14"/>
      <c r="OJJ103" s="44"/>
      <c r="OJK103" s="38"/>
      <c r="OJL103" s="14"/>
      <c r="OJM103" s="14"/>
      <c r="OJN103" s="14"/>
      <c r="OJO103" s="14"/>
      <c r="OJP103" s="36"/>
      <c r="OJQ103" s="14"/>
      <c r="OJR103" s="44"/>
      <c r="OJS103" s="38"/>
      <c r="OJT103" s="14"/>
      <c r="OJU103" s="14"/>
      <c r="OJV103" s="14"/>
      <c r="OJW103" s="14"/>
      <c r="OJX103" s="36"/>
      <c r="OJY103" s="14"/>
      <c r="OJZ103" s="44"/>
      <c r="OKA103" s="38"/>
      <c r="OKB103" s="14"/>
      <c r="OKC103" s="14"/>
      <c r="OKD103" s="14"/>
      <c r="OKE103" s="14"/>
      <c r="OKF103" s="36"/>
      <c r="OKG103" s="14"/>
      <c r="OKH103" s="44"/>
      <c r="OKI103" s="38"/>
      <c r="OKJ103" s="14"/>
      <c r="OKK103" s="14"/>
      <c r="OKL103" s="14"/>
      <c r="OKM103" s="14"/>
      <c r="OKN103" s="36"/>
      <c r="OKO103" s="14"/>
      <c r="OKP103" s="44"/>
      <c r="OKQ103" s="38"/>
      <c r="OKR103" s="14"/>
      <c r="OKS103" s="14"/>
      <c r="OKT103" s="14"/>
      <c r="OKU103" s="14"/>
      <c r="OKV103" s="36"/>
      <c r="OKW103" s="14"/>
      <c r="OKX103" s="44"/>
      <c r="OKY103" s="38"/>
      <c r="OKZ103" s="14"/>
      <c r="OLA103" s="14"/>
      <c r="OLB103" s="14"/>
      <c r="OLC103" s="14"/>
      <c r="OLD103" s="36"/>
      <c r="OLE103" s="14"/>
      <c r="OLF103" s="44"/>
      <c r="OLG103" s="38"/>
      <c r="OLH103" s="14"/>
      <c r="OLI103" s="14"/>
      <c r="OLJ103" s="14"/>
      <c r="OLK103" s="14"/>
      <c r="OLL103" s="36"/>
      <c r="OLM103" s="14"/>
      <c r="OLN103" s="44"/>
      <c r="OLO103" s="38"/>
      <c r="OLP103" s="14"/>
      <c r="OLQ103" s="14"/>
      <c r="OLR103" s="14"/>
      <c r="OLS103" s="14"/>
      <c r="OLT103" s="36"/>
      <c r="OLU103" s="14"/>
      <c r="OLV103" s="44"/>
      <c r="OLW103" s="38"/>
      <c r="OLX103" s="14"/>
      <c r="OLY103" s="14"/>
      <c r="OLZ103" s="14"/>
      <c r="OMA103" s="14"/>
      <c r="OMB103" s="36"/>
      <c r="OMC103" s="14"/>
      <c r="OMD103" s="44"/>
      <c r="OME103" s="38"/>
      <c r="OMF103" s="14"/>
      <c r="OMG103" s="14"/>
      <c r="OMH103" s="14"/>
      <c r="OMI103" s="14"/>
      <c r="OMJ103" s="36"/>
      <c r="OMK103" s="14"/>
      <c r="OML103" s="44"/>
      <c r="OMM103" s="38"/>
      <c r="OMN103" s="14"/>
      <c r="OMO103" s="14"/>
      <c r="OMP103" s="14"/>
      <c r="OMQ103" s="14"/>
      <c r="OMR103" s="36"/>
      <c r="OMS103" s="14"/>
      <c r="OMT103" s="44"/>
      <c r="OMU103" s="38"/>
      <c r="OMV103" s="14"/>
      <c r="OMW103" s="14"/>
      <c r="OMX103" s="14"/>
      <c r="OMY103" s="14"/>
      <c r="OMZ103" s="36"/>
      <c r="ONA103" s="14"/>
      <c r="ONB103" s="44"/>
      <c r="ONC103" s="38"/>
      <c r="OND103" s="14"/>
      <c r="ONE103" s="14"/>
      <c r="ONF103" s="14"/>
      <c r="ONG103" s="14"/>
      <c r="ONH103" s="36"/>
      <c r="ONI103" s="14"/>
      <c r="ONJ103" s="44"/>
      <c r="ONK103" s="38"/>
      <c r="ONL103" s="14"/>
      <c r="ONM103" s="14"/>
      <c r="ONN103" s="14"/>
      <c r="ONO103" s="14"/>
      <c r="ONP103" s="36"/>
      <c r="ONQ103" s="14"/>
      <c r="ONR103" s="44"/>
      <c r="ONS103" s="38"/>
      <c r="ONT103" s="14"/>
      <c r="ONU103" s="14"/>
      <c r="ONV103" s="14"/>
      <c r="ONW103" s="14"/>
      <c r="ONX103" s="36"/>
      <c r="ONY103" s="14"/>
      <c r="ONZ103" s="44"/>
      <c r="OOA103" s="38"/>
      <c r="OOB103" s="14"/>
      <c r="OOC103" s="14"/>
      <c r="OOD103" s="14"/>
      <c r="OOE103" s="14"/>
      <c r="OOF103" s="36"/>
      <c r="OOG103" s="14"/>
      <c r="OOH103" s="44"/>
      <c r="OOI103" s="38"/>
      <c r="OOJ103" s="14"/>
      <c r="OOK103" s="14"/>
      <c r="OOL103" s="14"/>
      <c r="OOM103" s="14"/>
      <c r="OON103" s="36"/>
      <c r="OOO103" s="14"/>
      <c r="OOP103" s="44"/>
      <c r="OOQ103" s="38"/>
      <c r="OOR103" s="14"/>
      <c r="OOS103" s="14"/>
      <c r="OOT103" s="14"/>
      <c r="OOU103" s="14"/>
      <c r="OOV103" s="36"/>
      <c r="OOW103" s="14"/>
      <c r="OOX103" s="44"/>
      <c r="OOY103" s="38"/>
      <c r="OOZ103" s="14"/>
      <c r="OPA103" s="14"/>
      <c r="OPB103" s="14"/>
      <c r="OPC103" s="14"/>
      <c r="OPD103" s="36"/>
      <c r="OPE103" s="14"/>
      <c r="OPF103" s="44"/>
      <c r="OPG103" s="38"/>
      <c r="OPH103" s="14"/>
      <c r="OPI103" s="14"/>
      <c r="OPJ103" s="14"/>
      <c r="OPK103" s="14"/>
      <c r="OPL103" s="36"/>
      <c r="OPM103" s="14"/>
      <c r="OPN103" s="44"/>
      <c r="OPO103" s="38"/>
      <c r="OPP103" s="14"/>
      <c r="OPQ103" s="14"/>
      <c r="OPR103" s="14"/>
      <c r="OPS103" s="14"/>
      <c r="OPT103" s="36"/>
      <c r="OPU103" s="14"/>
      <c r="OPV103" s="44"/>
      <c r="OPW103" s="38"/>
      <c r="OPX103" s="14"/>
      <c r="OPY103" s="14"/>
      <c r="OPZ103" s="14"/>
      <c r="OQA103" s="14"/>
      <c r="OQB103" s="36"/>
      <c r="OQC103" s="14"/>
      <c r="OQD103" s="44"/>
      <c r="OQE103" s="38"/>
      <c r="OQF103" s="14"/>
      <c r="OQG103" s="14"/>
      <c r="OQH103" s="14"/>
      <c r="OQI103" s="14"/>
      <c r="OQJ103" s="36"/>
      <c r="OQK103" s="14"/>
      <c r="OQL103" s="44"/>
      <c r="OQM103" s="38"/>
      <c r="OQN103" s="14"/>
      <c r="OQO103" s="14"/>
      <c r="OQP103" s="14"/>
      <c r="OQQ103" s="14"/>
      <c r="OQR103" s="36"/>
      <c r="OQS103" s="14"/>
      <c r="OQT103" s="44"/>
      <c r="OQU103" s="38"/>
      <c r="OQV103" s="14"/>
      <c r="OQW103" s="14"/>
      <c r="OQX103" s="14"/>
      <c r="OQY103" s="14"/>
      <c r="OQZ103" s="36"/>
      <c r="ORA103" s="14"/>
      <c r="ORB103" s="44"/>
      <c r="ORC103" s="38"/>
      <c r="ORD103" s="14"/>
      <c r="ORE103" s="14"/>
      <c r="ORF103" s="14"/>
      <c r="ORG103" s="14"/>
      <c r="ORH103" s="36"/>
      <c r="ORI103" s="14"/>
      <c r="ORJ103" s="44"/>
      <c r="ORK103" s="38"/>
      <c r="ORL103" s="14"/>
      <c r="ORM103" s="14"/>
      <c r="ORN103" s="14"/>
      <c r="ORO103" s="14"/>
      <c r="ORP103" s="36"/>
      <c r="ORQ103" s="14"/>
      <c r="ORR103" s="44"/>
      <c r="ORS103" s="38"/>
      <c r="ORT103" s="14"/>
      <c r="ORU103" s="14"/>
      <c r="ORV103" s="14"/>
      <c r="ORW103" s="14"/>
      <c r="ORX103" s="36"/>
      <c r="ORY103" s="14"/>
      <c r="ORZ103" s="44"/>
      <c r="OSA103" s="38"/>
      <c r="OSB103" s="14"/>
      <c r="OSC103" s="14"/>
      <c r="OSD103" s="14"/>
      <c r="OSE103" s="14"/>
      <c r="OSF103" s="36"/>
      <c r="OSG103" s="14"/>
      <c r="OSH103" s="44"/>
      <c r="OSI103" s="38"/>
      <c r="OSJ103" s="14"/>
      <c r="OSK103" s="14"/>
      <c r="OSL103" s="14"/>
      <c r="OSM103" s="14"/>
      <c r="OSN103" s="36"/>
      <c r="OSO103" s="14"/>
      <c r="OSP103" s="44"/>
      <c r="OSQ103" s="38"/>
      <c r="OSR103" s="14"/>
      <c r="OSS103" s="14"/>
      <c r="OST103" s="14"/>
      <c r="OSU103" s="14"/>
      <c r="OSV103" s="36"/>
      <c r="OSW103" s="14"/>
      <c r="OSX103" s="44"/>
      <c r="OSY103" s="38"/>
      <c r="OSZ103" s="14"/>
      <c r="OTA103" s="14"/>
      <c r="OTB103" s="14"/>
      <c r="OTC103" s="14"/>
      <c r="OTD103" s="36"/>
      <c r="OTE103" s="14"/>
      <c r="OTF103" s="44"/>
      <c r="OTG103" s="38"/>
      <c r="OTH103" s="14"/>
      <c r="OTI103" s="14"/>
      <c r="OTJ103" s="14"/>
      <c r="OTK103" s="14"/>
      <c r="OTL103" s="36"/>
      <c r="OTM103" s="14"/>
      <c r="OTN103" s="44"/>
      <c r="OTO103" s="38"/>
      <c r="OTP103" s="14"/>
      <c r="OTQ103" s="14"/>
      <c r="OTR103" s="14"/>
      <c r="OTS103" s="14"/>
      <c r="OTT103" s="36"/>
      <c r="OTU103" s="14"/>
      <c r="OTV103" s="44"/>
      <c r="OTW103" s="38"/>
      <c r="OTX103" s="14"/>
      <c r="OTY103" s="14"/>
      <c r="OTZ103" s="14"/>
      <c r="OUA103" s="14"/>
      <c r="OUB103" s="36"/>
      <c r="OUC103" s="14"/>
      <c r="OUD103" s="44"/>
      <c r="OUE103" s="38"/>
      <c r="OUF103" s="14"/>
      <c r="OUG103" s="14"/>
      <c r="OUH103" s="14"/>
      <c r="OUI103" s="14"/>
      <c r="OUJ103" s="36"/>
      <c r="OUK103" s="14"/>
      <c r="OUL103" s="44"/>
      <c r="OUM103" s="38"/>
      <c r="OUN103" s="14"/>
      <c r="OUO103" s="14"/>
      <c r="OUP103" s="14"/>
      <c r="OUQ103" s="14"/>
      <c r="OUR103" s="36"/>
      <c r="OUS103" s="14"/>
      <c r="OUT103" s="44"/>
      <c r="OUU103" s="38"/>
      <c r="OUV103" s="14"/>
      <c r="OUW103" s="14"/>
      <c r="OUX103" s="14"/>
      <c r="OUY103" s="14"/>
      <c r="OUZ103" s="36"/>
      <c r="OVA103" s="14"/>
      <c r="OVB103" s="44"/>
      <c r="OVC103" s="38"/>
      <c r="OVD103" s="14"/>
      <c r="OVE103" s="14"/>
      <c r="OVF103" s="14"/>
      <c r="OVG103" s="14"/>
      <c r="OVH103" s="36"/>
      <c r="OVI103" s="14"/>
      <c r="OVJ103" s="44"/>
      <c r="OVK103" s="38"/>
      <c r="OVL103" s="14"/>
      <c r="OVM103" s="14"/>
      <c r="OVN103" s="14"/>
      <c r="OVO103" s="14"/>
      <c r="OVP103" s="36"/>
      <c r="OVQ103" s="14"/>
      <c r="OVR103" s="44"/>
      <c r="OVS103" s="38"/>
      <c r="OVT103" s="14"/>
      <c r="OVU103" s="14"/>
      <c r="OVV103" s="14"/>
      <c r="OVW103" s="14"/>
      <c r="OVX103" s="36"/>
      <c r="OVY103" s="14"/>
      <c r="OVZ103" s="44"/>
      <c r="OWA103" s="38"/>
      <c r="OWB103" s="14"/>
      <c r="OWC103" s="14"/>
      <c r="OWD103" s="14"/>
      <c r="OWE103" s="14"/>
      <c r="OWF103" s="36"/>
      <c r="OWG103" s="14"/>
      <c r="OWH103" s="44"/>
      <c r="OWI103" s="38"/>
      <c r="OWJ103" s="14"/>
      <c r="OWK103" s="14"/>
      <c r="OWL103" s="14"/>
      <c r="OWM103" s="14"/>
      <c r="OWN103" s="36"/>
      <c r="OWO103" s="14"/>
      <c r="OWP103" s="44"/>
      <c r="OWQ103" s="38"/>
      <c r="OWR103" s="14"/>
      <c r="OWS103" s="14"/>
      <c r="OWT103" s="14"/>
      <c r="OWU103" s="14"/>
      <c r="OWV103" s="36"/>
      <c r="OWW103" s="14"/>
      <c r="OWX103" s="44"/>
      <c r="OWY103" s="38"/>
      <c r="OWZ103" s="14"/>
      <c r="OXA103" s="14"/>
      <c r="OXB103" s="14"/>
      <c r="OXC103" s="14"/>
      <c r="OXD103" s="36"/>
      <c r="OXE103" s="14"/>
      <c r="OXF103" s="44"/>
      <c r="OXG103" s="38"/>
      <c r="OXH103" s="14"/>
      <c r="OXI103" s="14"/>
      <c r="OXJ103" s="14"/>
      <c r="OXK103" s="14"/>
      <c r="OXL103" s="36"/>
      <c r="OXM103" s="14"/>
      <c r="OXN103" s="44"/>
      <c r="OXO103" s="38"/>
      <c r="OXP103" s="14"/>
      <c r="OXQ103" s="14"/>
      <c r="OXR103" s="14"/>
      <c r="OXS103" s="14"/>
      <c r="OXT103" s="36"/>
      <c r="OXU103" s="14"/>
      <c r="OXV103" s="44"/>
      <c r="OXW103" s="38"/>
      <c r="OXX103" s="14"/>
      <c r="OXY103" s="14"/>
      <c r="OXZ103" s="14"/>
      <c r="OYA103" s="14"/>
      <c r="OYB103" s="36"/>
      <c r="OYC103" s="14"/>
      <c r="OYD103" s="44"/>
      <c r="OYE103" s="38"/>
      <c r="OYF103" s="14"/>
      <c r="OYG103" s="14"/>
      <c r="OYH103" s="14"/>
      <c r="OYI103" s="14"/>
      <c r="OYJ103" s="36"/>
      <c r="OYK103" s="14"/>
      <c r="OYL103" s="44"/>
      <c r="OYM103" s="38"/>
      <c r="OYN103" s="14"/>
      <c r="OYO103" s="14"/>
      <c r="OYP103" s="14"/>
      <c r="OYQ103" s="14"/>
      <c r="OYR103" s="36"/>
      <c r="OYS103" s="14"/>
      <c r="OYT103" s="44"/>
      <c r="OYU103" s="38"/>
      <c r="OYV103" s="14"/>
      <c r="OYW103" s="14"/>
      <c r="OYX103" s="14"/>
      <c r="OYY103" s="14"/>
      <c r="OYZ103" s="36"/>
      <c r="OZA103" s="14"/>
      <c r="OZB103" s="44"/>
      <c r="OZC103" s="38"/>
      <c r="OZD103" s="14"/>
      <c r="OZE103" s="14"/>
      <c r="OZF103" s="14"/>
      <c r="OZG103" s="14"/>
      <c r="OZH103" s="36"/>
      <c r="OZI103" s="14"/>
      <c r="OZJ103" s="44"/>
      <c r="OZK103" s="38"/>
      <c r="OZL103" s="14"/>
      <c r="OZM103" s="14"/>
      <c r="OZN103" s="14"/>
      <c r="OZO103" s="14"/>
      <c r="OZP103" s="36"/>
      <c r="OZQ103" s="14"/>
      <c r="OZR103" s="44"/>
      <c r="OZS103" s="38"/>
      <c r="OZT103" s="14"/>
      <c r="OZU103" s="14"/>
      <c r="OZV103" s="14"/>
      <c r="OZW103" s="14"/>
      <c r="OZX103" s="36"/>
      <c r="OZY103" s="14"/>
      <c r="OZZ103" s="44"/>
      <c r="PAA103" s="38"/>
      <c r="PAB103" s="14"/>
      <c r="PAC103" s="14"/>
      <c r="PAD103" s="14"/>
      <c r="PAE103" s="14"/>
      <c r="PAF103" s="36"/>
      <c r="PAG103" s="14"/>
      <c r="PAH103" s="44"/>
      <c r="PAI103" s="38"/>
      <c r="PAJ103" s="14"/>
      <c r="PAK103" s="14"/>
      <c r="PAL103" s="14"/>
      <c r="PAM103" s="14"/>
      <c r="PAN103" s="36"/>
      <c r="PAO103" s="14"/>
      <c r="PAP103" s="44"/>
      <c r="PAQ103" s="38"/>
      <c r="PAR103" s="14"/>
      <c r="PAS103" s="14"/>
      <c r="PAT103" s="14"/>
      <c r="PAU103" s="14"/>
      <c r="PAV103" s="36"/>
      <c r="PAW103" s="14"/>
      <c r="PAX103" s="44"/>
      <c r="PAY103" s="38"/>
      <c r="PAZ103" s="14"/>
      <c r="PBA103" s="14"/>
      <c r="PBB103" s="14"/>
      <c r="PBC103" s="14"/>
      <c r="PBD103" s="36"/>
      <c r="PBE103" s="14"/>
      <c r="PBF103" s="44"/>
      <c r="PBG103" s="38"/>
      <c r="PBH103" s="14"/>
      <c r="PBI103" s="14"/>
      <c r="PBJ103" s="14"/>
      <c r="PBK103" s="14"/>
      <c r="PBL103" s="36"/>
      <c r="PBM103" s="14"/>
      <c r="PBN103" s="44"/>
      <c r="PBO103" s="38"/>
      <c r="PBP103" s="14"/>
      <c r="PBQ103" s="14"/>
      <c r="PBR103" s="14"/>
      <c r="PBS103" s="14"/>
      <c r="PBT103" s="36"/>
      <c r="PBU103" s="14"/>
      <c r="PBV103" s="44"/>
      <c r="PBW103" s="38"/>
      <c r="PBX103" s="14"/>
      <c r="PBY103" s="14"/>
      <c r="PBZ103" s="14"/>
      <c r="PCA103" s="14"/>
      <c r="PCB103" s="36"/>
      <c r="PCC103" s="14"/>
      <c r="PCD103" s="44"/>
      <c r="PCE103" s="38"/>
      <c r="PCF103" s="14"/>
      <c r="PCG103" s="14"/>
      <c r="PCH103" s="14"/>
      <c r="PCI103" s="14"/>
      <c r="PCJ103" s="36"/>
      <c r="PCK103" s="14"/>
      <c r="PCL103" s="44"/>
      <c r="PCM103" s="38"/>
      <c r="PCN103" s="14"/>
      <c r="PCO103" s="14"/>
      <c r="PCP103" s="14"/>
      <c r="PCQ103" s="14"/>
      <c r="PCR103" s="36"/>
      <c r="PCS103" s="14"/>
      <c r="PCT103" s="44"/>
      <c r="PCU103" s="38"/>
      <c r="PCV103" s="14"/>
      <c r="PCW103" s="14"/>
      <c r="PCX103" s="14"/>
      <c r="PCY103" s="14"/>
      <c r="PCZ103" s="36"/>
      <c r="PDA103" s="14"/>
      <c r="PDB103" s="44"/>
      <c r="PDC103" s="38"/>
      <c r="PDD103" s="14"/>
      <c r="PDE103" s="14"/>
      <c r="PDF103" s="14"/>
      <c r="PDG103" s="14"/>
      <c r="PDH103" s="36"/>
      <c r="PDI103" s="14"/>
      <c r="PDJ103" s="44"/>
      <c r="PDK103" s="38"/>
      <c r="PDL103" s="14"/>
      <c r="PDM103" s="14"/>
      <c r="PDN103" s="14"/>
      <c r="PDO103" s="14"/>
      <c r="PDP103" s="36"/>
      <c r="PDQ103" s="14"/>
      <c r="PDR103" s="44"/>
      <c r="PDS103" s="38"/>
      <c r="PDT103" s="14"/>
      <c r="PDU103" s="14"/>
      <c r="PDV103" s="14"/>
      <c r="PDW103" s="14"/>
      <c r="PDX103" s="36"/>
      <c r="PDY103" s="14"/>
      <c r="PDZ103" s="44"/>
      <c r="PEA103" s="38"/>
      <c r="PEB103" s="14"/>
      <c r="PEC103" s="14"/>
      <c r="PED103" s="14"/>
      <c r="PEE103" s="14"/>
      <c r="PEF103" s="36"/>
      <c r="PEG103" s="14"/>
      <c r="PEH103" s="44"/>
      <c r="PEI103" s="38"/>
      <c r="PEJ103" s="14"/>
      <c r="PEK103" s="14"/>
      <c r="PEL103" s="14"/>
      <c r="PEM103" s="14"/>
      <c r="PEN103" s="36"/>
      <c r="PEO103" s="14"/>
      <c r="PEP103" s="44"/>
      <c r="PEQ103" s="38"/>
      <c r="PER103" s="14"/>
      <c r="PES103" s="14"/>
      <c r="PET103" s="14"/>
      <c r="PEU103" s="14"/>
      <c r="PEV103" s="36"/>
      <c r="PEW103" s="14"/>
      <c r="PEX103" s="44"/>
      <c r="PEY103" s="38"/>
      <c r="PEZ103" s="14"/>
      <c r="PFA103" s="14"/>
      <c r="PFB103" s="14"/>
      <c r="PFC103" s="14"/>
      <c r="PFD103" s="36"/>
      <c r="PFE103" s="14"/>
      <c r="PFF103" s="44"/>
      <c r="PFG103" s="38"/>
      <c r="PFH103" s="14"/>
      <c r="PFI103" s="14"/>
      <c r="PFJ103" s="14"/>
      <c r="PFK103" s="14"/>
      <c r="PFL103" s="36"/>
      <c r="PFM103" s="14"/>
      <c r="PFN103" s="44"/>
      <c r="PFO103" s="38"/>
      <c r="PFP103" s="14"/>
      <c r="PFQ103" s="14"/>
      <c r="PFR103" s="14"/>
      <c r="PFS103" s="14"/>
      <c r="PFT103" s="36"/>
      <c r="PFU103" s="14"/>
      <c r="PFV103" s="44"/>
      <c r="PFW103" s="38"/>
      <c r="PFX103" s="14"/>
      <c r="PFY103" s="14"/>
      <c r="PFZ103" s="14"/>
      <c r="PGA103" s="14"/>
      <c r="PGB103" s="36"/>
      <c r="PGC103" s="14"/>
      <c r="PGD103" s="44"/>
      <c r="PGE103" s="38"/>
      <c r="PGF103" s="14"/>
      <c r="PGG103" s="14"/>
      <c r="PGH103" s="14"/>
      <c r="PGI103" s="14"/>
      <c r="PGJ103" s="36"/>
      <c r="PGK103" s="14"/>
      <c r="PGL103" s="44"/>
      <c r="PGM103" s="38"/>
      <c r="PGN103" s="14"/>
      <c r="PGO103" s="14"/>
      <c r="PGP103" s="14"/>
      <c r="PGQ103" s="14"/>
      <c r="PGR103" s="36"/>
      <c r="PGS103" s="14"/>
      <c r="PGT103" s="44"/>
      <c r="PGU103" s="38"/>
      <c r="PGV103" s="14"/>
      <c r="PGW103" s="14"/>
      <c r="PGX103" s="14"/>
      <c r="PGY103" s="14"/>
      <c r="PGZ103" s="36"/>
      <c r="PHA103" s="14"/>
      <c r="PHB103" s="44"/>
      <c r="PHC103" s="38"/>
      <c r="PHD103" s="14"/>
      <c r="PHE103" s="14"/>
      <c r="PHF103" s="14"/>
      <c r="PHG103" s="14"/>
      <c r="PHH103" s="36"/>
      <c r="PHI103" s="14"/>
      <c r="PHJ103" s="44"/>
      <c r="PHK103" s="38"/>
      <c r="PHL103" s="14"/>
      <c r="PHM103" s="14"/>
      <c r="PHN103" s="14"/>
      <c r="PHO103" s="14"/>
      <c r="PHP103" s="36"/>
      <c r="PHQ103" s="14"/>
      <c r="PHR103" s="44"/>
      <c r="PHS103" s="38"/>
      <c r="PHT103" s="14"/>
      <c r="PHU103" s="14"/>
      <c r="PHV103" s="14"/>
      <c r="PHW103" s="14"/>
      <c r="PHX103" s="36"/>
      <c r="PHY103" s="14"/>
      <c r="PHZ103" s="44"/>
      <c r="PIA103" s="38"/>
      <c r="PIB103" s="14"/>
      <c r="PIC103" s="14"/>
      <c r="PID103" s="14"/>
      <c r="PIE103" s="14"/>
      <c r="PIF103" s="36"/>
      <c r="PIG103" s="14"/>
      <c r="PIH103" s="44"/>
      <c r="PII103" s="38"/>
      <c r="PIJ103" s="14"/>
      <c r="PIK103" s="14"/>
      <c r="PIL103" s="14"/>
      <c r="PIM103" s="14"/>
      <c r="PIN103" s="36"/>
      <c r="PIO103" s="14"/>
      <c r="PIP103" s="44"/>
      <c r="PIQ103" s="38"/>
      <c r="PIR103" s="14"/>
      <c r="PIS103" s="14"/>
      <c r="PIT103" s="14"/>
      <c r="PIU103" s="14"/>
      <c r="PIV103" s="36"/>
      <c r="PIW103" s="14"/>
      <c r="PIX103" s="44"/>
      <c r="PIY103" s="38"/>
      <c r="PIZ103" s="14"/>
      <c r="PJA103" s="14"/>
      <c r="PJB103" s="14"/>
      <c r="PJC103" s="14"/>
      <c r="PJD103" s="36"/>
      <c r="PJE103" s="14"/>
      <c r="PJF103" s="44"/>
      <c r="PJG103" s="38"/>
      <c r="PJH103" s="14"/>
      <c r="PJI103" s="14"/>
      <c r="PJJ103" s="14"/>
      <c r="PJK103" s="14"/>
      <c r="PJL103" s="36"/>
      <c r="PJM103" s="14"/>
      <c r="PJN103" s="44"/>
      <c r="PJO103" s="38"/>
      <c r="PJP103" s="14"/>
      <c r="PJQ103" s="14"/>
      <c r="PJR103" s="14"/>
      <c r="PJS103" s="14"/>
      <c r="PJT103" s="36"/>
      <c r="PJU103" s="14"/>
      <c r="PJV103" s="44"/>
      <c r="PJW103" s="38"/>
      <c r="PJX103" s="14"/>
      <c r="PJY103" s="14"/>
      <c r="PJZ103" s="14"/>
      <c r="PKA103" s="14"/>
      <c r="PKB103" s="36"/>
      <c r="PKC103" s="14"/>
      <c r="PKD103" s="44"/>
      <c r="PKE103" s="38"/>
      <c r="PKF103" s="14"/>
      <c r="PKG103" s="14"/>
      <c r="PKH103" s="14"/>
      <c r="PKI103" s="14"/>
      <c r="PKJ103" s="36"/>
      <c r="PKK103" s="14"/>
      <c r="PKL103" s="44"/>
      <c r="PKM103" s="38"/>
      <c r="PKN103" s="14"/>
      <c r="PKO103" s="14"/>
      <c r="PKP103" s="14"/>
      <c r="PKQ103" s="14"/>
      <c r="PKR103" s="36"/>
      <c r="PKS103" s="14"/>
      <c r="PKT103" s="44"/>
      <c r="PKU103" s="38"/>
      <c r="PKV103" s="14"/>
      <c r="PKW103" s="14"/>
      <c r="PKX103" s="14"/>
      <c r="PKY103" s="14"/>
      <c r="PKZ103" s="36"/>
      <c r="PLA103" s="14"/>
      <c r="PLB103" s="44"/>
      <c r="PLC103" s="38"/>
      <c r="PLD103" s="14"/>
      <c r="PLE103" s="14"/>
      <c r="PLF103" s="14"/>
      <c r="PLG103" s="14"/>
      <c r="PLH103" s="36"/>
      <c r="PLI103" s="14"/>
      <c r="PLJ103" s="44"/>
      <c r="PLK103" s="38"/>
      <c r="PLL103" s="14"/>
      <c r="PLM103" s="14"/>
      <c r="PLN103" s="14"/>
      <c r="PLO103" s="14"/>
      <c r="PLP103" s="36"/>
      <c r="PLQ103" s="14"/>
      <c r="PLR103" s="44"/>
      <c r="PLS103" s="38"/>
      <c r="PLT103" s="14"/>
      <c r="PLU103" s="14"/>
      <c r="PLV103" s="14"/>
      <c r="PLW103" s="14"/>
      <c r="PLX103" s="36"/>
      <c r="PLY103" s="14"/>
      <c r="PLZ103" s="44"/>
      <c r="PMA103" s="38"/>
      <c r="PMB103" s="14"/>
      <c r="PMC103" s="14"/>
      <c r="PMD103" s="14"/>
      <c r="PME103" s="14"/>
      <c r="PMF103" s="36"/>
      <c r="PMG103" s="14"/>
      <c r="PMH103" s="44"/>
      <c r="PMI103" s="38"/>
      <c r="PMJ103" s="14"/>
      <c r="PMK103" s="14"/>
      <c r="PML103" s="14"/>
      <c r="PMM103" s="14"/>
      <c r="PMN103" s="36"/>
      <c r="PMO103" s="14"/>
      <c r="PMP103" s="44"/>
      <c r="PMQ103" s="38"/>
      <c r="PMR103" s="14"/>
      <c r="PMS103" s="14"/>
      <c r="PMT103" s="14"/>
      <c r="PMU103" s="14"/>
      <c r="PMV103" s="36"/>
      <c r="PMW103" s="14"/>
      <c r="PMX103" s="44"/>
      <c r="PMY103" s="38"/>
      <c r="PMZ103" s="14"/>
      <c r="PNA103" s="14"/>
      <c r="PNB103" s="14"/>
      <c r="PNC103" s="14"/>
      <c r="PND103" s="36"/>
      <c r="PNE103" s="14"/>
      <c r="PNF103" s="44"/>
      <c r="PNG103" s="38"/>
      <c r="PNH103" s="14"/>
      <c r="PNI103" s="14"/>
      <c r="PNJ103" s="14"/>
      <c r="PNK103" s="14"/>
      <c r="PNL103" s="36"/>
      <c r="PNM103" s="14"/>
      <c r="PNN103" s="44"/>
      <c r="PNO103" s="38"/>
      <c r="PNP103" s="14"/>
      <c r="PNQ103" s="14"/>
      <c r="PNR103" s="14"/>
      <c r="PNS103" s="14"/>
      <c r="PNT103" s="36"/>
      <c r="PNU103" s="14"/>
      <c r="PNV103" s="44"/>
      <c r="PNW103" s="38"/>
      <c r="PNX103" s="14"/>
      <c r="PNY103" s="14"/>
      <c r="PNZ103" s="14"/>
      <c r="POA103" s="14"/>
      <c r="POB103" s="36"/>
      <c r="POC103" s="14"/>
      <c r="POD103" s="44"/>
      <c r="POE103" s="38"/>
      <c r="POF103" s="14"/>
      <c r="POG103" s="14"/>
      <c r="POH103" s="14"/>
      <c r="POI103" s="14"/>
      <c r="POJ103" s="36"/>
      <c r="POK103" s="14"/>
      <c r="POL103" s="44"/>
      <c r="POM103" s="38"/>
      <c r="PON103" s="14"/>
      <c r="POO103" s="14"/>
      <c r="POP103" s="14"/>
      <c r="POQ103" s="14"/>
      <c r="POR103" s="36"/>
      <c r="POS103" s="14"/>
      <c r="POT103" s="44"/>
      <c r="POU103" s="38"/>
      <c r="POV103" s="14"/>
      <c r="POW103" s="14"/>
      <c r="POX103" s="14"/>
      <c r="POY103" s="14"/>
      <c r="POZ103" s="36"/>
      <c r="PPA103" s="14"/>
      <c r="PPB103" s="44"/>
      <c r="PPC103" s="38"/>
      <c r="PPD103" s="14"/>
      <c r="PPE103" s="14"/>
      <c r="PPF103" s="14"/>
      <c r="PPG103" s="14"/>
      <c r="PPH103" s="36"/>
      <c r="PPI103" s="14"/>
      <c r="PPJ103" s="44"/>
      <c r="PPK103" s="38"/>
      <c r="PPL103" s="14"/>
      <c r="PPM103" s="14"/>
      <c r="PPN103" s="14"/>
      <c r="PPO103" s="14"/>
      <c r="PPP103" s="36"/>
      <c r="PPQ103" s="14"/>
      <c r="PPR103" s="44"/>
      <c r="PPS103" s="38"/>
      <c r="PPT103" s="14"/>
      <c r="PPU103" s="14"/>
      <c r="PPV103" s="14"/>
      <c r="PPW103" s="14"/>
      <c r="PPX103" s="36"/>
      <c r="PPY103" s="14"/>
      <c r="PPZ103" s="44"/>
      <c r="PQA103" s="38"/>
      <c r="PQB103" s="14"/>
      <c r="PQC103" s="14"/>
      <c r="PQD103" s="14"/>
      <c r="PQE103" s="14"/>
      <c r="PQF103" s="36"/>
      <c r="PQG103" s="14"/>
      <c r="PQH103" s="44"/>
      <c r="PQI103" s="38"/>
      <c r="PQJ103" s="14"/>
      <c r="PQK103" s="14"/>
      <c r="PQL103" s="14"/>
      <c r="PQM103" s="14"/>
      <c r="PQN103" s="36"/>
      <c r="PQO103" s="14"/>
      <c r="PQP103" s="44"/>
      <c r="PQQ103" s="38"/>
      <c r="PQR103" s="14"/>
      <c r="PQS103" s="14"/>
      <c r="PQT103" s="14"/>
      <c r="PQU103" s="14"/>
      <c r="PQV103" s="36"/>
      <c r="PQW103" s="14"/>
      <c r="PQX103" s="44"/>
      <c r="PQY103" s="38"/>
      <c r="PQZ103" s="14"/>
      <c r="PRA103" s="14"/>
      <c r="PRB103" s="14"/>
      <c r="PRC103" s="14"/>
      <c r="PRD103" s="36"/>
      <c r="PRE103" s="14"/>
      <c r="PRF103" s="44"/>
      <c r="PRG103" s="38"/>
      <c r="PRH103" s="14"/>
      <c r="PRI103" s="14"/>
      <c r="PRJ103" s="14"/>
      <c r="PRK103" s="14"/>
      <c r="PRL103" s="36"/>
      <c r="PRM103" s="14"/>
      <c r="PRN103" s="44"/>
      <c r="PRO103" s="38"/>
      <c r="PRP103" s="14"/>
      <c r="PRQ103" s="14"/>
      <c r="PRR103" s="14"/>
      <c r="PRS103" s="14"/>
      <c r="PRT103" s="36"/>
      <c r="PRU103" s="14"/>
      <c r="PRV103" s="44"/>
      <c r="PRW103" s="38"/>
      <c r="PRX103" s="14"/>
      <c r="PRY103" s="14"/>
      <c r="PRZ103" s="14"/>
      <c r="PSA103" s="14"/>
      <c r="PSB103" s="36"/>
      <c r="PSC103" s="14"/>
      <c r="PSD103" s="44"/>
      <c r="PSE103" s="38"/>
      <c r="PSF103" s="14"/>
      <c r="PSG103" s="14"/>
      <c r="PSH103" s="14"/>
      <c r="PSI103" s="14"/>
      <c r="PSJ103" s="36"/>
      <c r="PSK103" s="14"/>
      <c r="PSL103" s="44"/>
      <c r="PSM103" s="38"/>
      <c r="PSN103" s="14"/>
      <c r="PSO103" s="14"/>
      <c r="PSP103" s="14"/>
      <c r="PSQ103" s="14"/>
      <c r="PSR103" s="36"/>
      <c r="PSS103" s="14"/>
      <c r="PST103" s="44"/>
      <c r="PSU103" s="38"/>
      <c r="PSV103" s="14"/>
      <c r="PSW103" s="14"/>
      <c r="PSX103" s="14"/>
      <c r="PSY103" s="14"/>
      <c r="PSZ103" s="36"/>
      <c r="PTA103" s="14"/>
      <c r="PTB103" s="44"/>
      <c r="PTC103" s="38"/>
      <c r="PTD103" s="14"/>
      <c r="PTE103" s="14"/>
      <c r="PTF103" s="14"/>
      <c r="PTG103" s="14"/>
      <c r="PTH103" s="36"/>
      <c r="PTI103" s="14"/>
      <c r="PTJ103" s="44"/>
      <c r="PTK103" s="38"/>
      <c r="PTL103" s="14"/>
      <c r="PTM103" s="14"/>
      <c r="PTN103" s="14"/>
      <c r="PTO103" s="14"/>
      <c r="PTP103" s="36"/>
      <c r="PTQ103" s="14"/>
      <c r="PTR103" s="44"/>
      <c r="PTS103" s="38"/>
      <c r="PTT103" s="14"/>
      <c r="PTU103" s="14"/>
      <c r="PTV103" s="14"/>
      <c r="PTW103" s="14"/>
      <c r="PTX103" s="36"/>
      <c r="PTY103" s="14"/>
      <c r="PTZ103" s="44"/>
      <c r="PUA103" s="38"/>
      <c r="PUB103" s="14"/>
      <c r="PUC103" s="14"/>
      <c r="PUD103" s="14"/>
      <c r="PUE103" s="14"/>
      <c r="PUF103" s="36"/>
      <c r="PUG103" s="14"/>
      <c r="PUH103" s="44"/>
      <c r="PUI103" s="38"/>
      <c r="PUJ103" s="14"/>
      <c r="PUK103" s="14"/>
      <c r="PUL103" s="14"/>
      <c r="PUM103" s="14"/>
      <c r="PUN103" s="36"/>
      <c r="PUO103" s="14"/>
      <c r="PUP103" s="44"/>
      <c r="PUQ103" s="38"/>
      <c r="PUR103" s="14"/>
      <c r="PUS103" s="14"/>
      <c r="PUT103" s="14"/>
      <c r="PUU103" s="14"/>
      <c r="PUV103" s="36"/>
      <c r="PUW103" s="14"/>
      <c r="PUX103" s="44"/>
      <c r="PUY103" s="38"/>
      <c r="PUZ103" s="14"/>
      <c r="PVA103" s="14"/>
      <c r="PVB103" s="14"/>
      <c r="PVC103" s="14"/>
      <c r="PVD103" s="36"/>
      <c r="PVE103" s="14"/>
      <c r="PVF103" s="44"/>
      <c r="PVG103" s="38"/>
      <c r="PVH103" s="14"/>
      <c r="PVI103" s="14"/>
      <c r="PVJ103" s="14"/>
      <c r="PVK103" s="14"/>
      <c r="PVL103" s="36"/>
      <c r="PVM103" s="14"/>
      <c r="PVN103" s="44"/>
      <c r="PVO103" s="38"/>
      <c r="PVP103" s="14"/>
      <c r="PVQ103" s="14"/>
      <c r="PVR103" s="14"/>
      <c r="PVS103" s="14"/>
      <c r="PVT103" s="36"/>
      <c r="PVU103" s="14"/>
      <c r="PVV103" s="44"/>
      <c r="PVW103" s="38"/>
      <c r="PVX103" s="14"/>
      <c r="PVY103" s="14"/>
      <c r="PVZ103" s="14"/>
      <c r="PWA103" s="14"/>
      <c r="PWB103" s="36"/>
      <c r="PWC103" s="14"/>
      <c r="PWD103" s="44"/>
      <c r="PWE103" s="38"/>
      <c r="PWF103" s="14"/>
      <c r="PWG103" s="14"/>
      <c r="PWH103" s="14"/>
      <c r="PWI103" s="14"/>
      <c r="PWJ103" s="36"/>
      <c r="PWK103" s="14"/>
      <c r="PWL103" s="44"/>
      <c r="PWM103" s="38"/>
      <c r="PWN103" s="14"/>
      <c r="PWO103" s="14"/>
      <c r="PWP103" s="14"/>
      <c r="PWQ103" s="14"/>
      <c r="PWR103" s="36"/>
      <c r="PWS103" s="14"/>
      <c r="PWT103" s="44"/>
      <c r="PWU103" s="38"/>
      <c r="PWV103" s="14"/>
      <c r="PWW103" s="14"/>
      <c r="PWX103" s="14"/>
      <c r="PWY103" s="14"/>
      <c r="PWZ103" s="36"/>
      <c r="PXA103" s="14"/>
      <c r="PXB103" s="44"/>
      <c r="PXC103" s="38"/>
      <c r="PXD103" s="14"/>
      <c r="PXE103" s="14"/>
      <c r="PXF103" s="14"/>
      <c r="PXG103" s="14"/>
      <c r="PXH103" s="36"/>
      <c r="PXI103" s="14"/>
      <c r="PXJ103" s="44"/>
      <c r="PXK103" s="38"/>
      <c r="PXL103" s="14"/>
      <c r="PXM103" s="14"/>
      <c r="PXN103" s="14"/>
      <c r="PXO103" s="14"/>
      <c r="PXP103" s="36"/>
      <c r="PXQ103" s="14"/>
      <c r="PXR103" s="44"/>
      <c r="PXS103" s="38"/>
      <c r="PXT103" s="14"/>
      <c r="PXU103" s="14"/>
      <c r="PXV103" s="14"/>
      <c r="PXW103" s="14"/>
      <c r="PXX103" s="36"/>
      <c r="PXY103" s="14"/>
      <c r="PXZ103" s="44"/>
      <c r="PYA103" s="38"/>
      <c r="PYB103" s="14"/>
      <c r="PYC103" s="14"/>
      <c r="PYD103" s="14"/>
      <c r="PYE103" s="14"/>
      <c r="PYF103" s="36"/>
      <c r="PYG103" s="14"/>
      <c r="PYH103" s="44"/>
      <c r="PYI103" s="38"/>
      <c r="PYJ103" s="14"/>
      <c r="PYK103" s="14"/>
      <c r="PYL103" s="14"/>
      <c r="PYM103" s="14"/>
      <c r="PYN103" s="36"/>
      <c r="PYO103" s="14"/>
      <c r="PYP103" s="44"/>
      <c r="PYQ103" s="38"/>
      <c r="PYR103" s="14"/>
      <c r="PYS103" s="14"/>
      <c r="PYT103" s="14"/>
      <c r="PYU103" s="14"/>
      <c r="PYV103" s="36"/>
      <c r="PYW103" s="14"/>
      <c r="PYX103" s="44"/>
      <c r="PYY103" s="38"/>
      <c r="PYZ103" s="14"/>
      <c r="PZA103" s="14"/>
      <c r="PZB103" s="14"/>
      <c r="PZC103" s="14"/>
      <c r="PZD103" s="36"/>
      <c r="PZE103" s="14"/>
      <c r="PZF103" s="44"/>
      <c r="PZG103" s="38"/>
      <c r="PZH103" s="14"/>
      <c r="PZI103" s="14"/>
      <c r="PZJ103" s="14"/>
      <c r="PZK103" s="14"/>
      <c r="PZL103" s="36"/>
      <c r="PZM103" s="14"/>
      <c r="PZN103" s="44"/>
      <c r="PZO103" s="38"/>
      <c r="PZP103" s="14"/>
      <c r="PZQ103" s="14"/>
      <c r="PZR103" s="14"/>
      <c r="PZS103" s="14"/>
      <c r="PZT103" s="36"/>
      <c r="PZU103" s="14"/>
      <c r="PZV103" s="44"/>
      <c r="PZW103" s="38"/>
      <c r="PZX103" s="14"/>
      <c r="PZY103" s="14"/>
      <c r="PZZ103" s="14"/>
      <c r="QAA103" s="14"/>
      <c r="QAB103" s="36"/>
      <c r="QAC103" s="14"/>
      <c r="QAD103" s="44"/>
      <c r="QAE103" s="38"/>
      <c r="QAF103" s="14"/>
      <c r="QAG103" s="14"/>
      <c r="QAH103" s="14"/>
      <c r="QAI103" s="14"/>
      <c r="QAJ103" s="36"/>
      <c r="QAK103" s="14"/>
      <c r="QAL103" s="44"/>
      <c r="QAM103" s="38"/>
      <c r="QAN103" s="14"/>
      <c r="QAO103" s="14"/>
      <c r="QAP103" s="14"/>
      <c r="QAQ103" s="14"/>
      <c r="QAR103" s="36"/>
      <c r="QAS103" s="14"/>
      <c r="QAT103" s="44"/>
      <c r="QAU103" s="38"/>
      <c r="QAV103" s="14"/>
      <c r="QAW103" s="14"/>
      <c r="QAX103" s="14"/>
      <c r="QAY103" s="14"/>
      <c r="QAZ103" s="36"/>
      <c r="QBA103" s="14"/>
      <c r="QBB103" s="44"/>
      <c r="QBC103" s="38"/>
      <c r="QBD103" s="14"/>
      <c r="QBE103" s="14"/>
      <c r="QBF103" s="14"/>
      <c r="QBG103" s="14"/>
      <c r="QBH103" s="36"/>
      <c r="QBI103" s="14"/>
      <c r="QBJ103" s="44"/>
      <c r="QBK103" s="38"/>
      <c r="QBL103" s="14"/>
      <c r="QBM103" s="14"/>
      <c r="QBN103" s="14"/>
      <c r="QBO103" s="14"/>
      <c r="QBP103" s="36"/>
      <c r="QBQ103" s="14"/>
      <c r="QBR103" s="44"/>
      <c r="QBS103" s="38"/>
      <c r="QBT103" s="14"/>
      <c r="QBU103" s="14"/>
      <c r="QBV103" s="14"/>
      <c r="QBW103" s="14"/>
      <c r="QBX103" s="36"/>
      <c r="QBY103" s="14"/>
      <c r="QBZ103" s="44"/>
      <c r="QCA103" s="38"/>
      <c r="QCB103" s="14"/>
      <c r="QCC103" s="14"/>
      <c r="QCD103" s="14"/>
      <c r="QCE103" s="14"/>
      <c r="QCF103" s="36"/>
      <c r="QCG103" s="14"/>
      <c r="QCH103" s="44"/>
      <c r="QCI103" s="38"/>
      <c r="QCJ103" s="14"/>
      <c r="QCK103" s="14"/>
      <c r="QCL103" s="14"/>
      <c r="QCM103" s="14"/>
      <c r="QCN103" s="36"/>
      <c r="QCO103" s="14"/>
      <c r="QCP103" s="44"/>
      <c r="QCQ103" s="38"/>
      <c r="QCR103" s="14"/>
      <c r="QCS103" s="14"/>
      <c r="QCT103" s="14"/>
      <c r="QCU103" s="14"/>
      <c r="QCV103" s="36"/>
      <c r="QCW103" s="14"/>
      <c r="QCX103" s="44"/>
      <c r="QCY103" s="38"/>
      <c r="QCZ103" s="14"/>
      <c r="QDA103" s="14"/>
      <c r="QDB103" s="14"/>
      <c r="QDC103" s="14"/>
      <c r="QDD103" s="36"/>
      <c r="QDE103" s="14"/>
      <c r="QDF103" s="44"/>
      <c r="QDG103" s="38"/>
      <c r="QDH103" s="14"/>
      <c r="QDI103" s="14"/>
      <c r="QDJ103" s="14"/>
      <c r="QDK103" s="14"/>
      <c r="QDL103" s="36"/>
      <c r="QDM103" s="14"/>
      <c r="QDN103" s="44"/>
      <c r="QDO103" s="38"/>
      <c r="QDP103" s="14"/>
      <c r="QDQ103" s="14"/>
      <c r="QDR103" s="14"/>
      <c r="QDS103" s="14"/>
      <c r="QDT103" s="36"/>
      <c r="QDU103" s="14"/>
      <c r="QDV103" s="44"/>
      <c r="QDW103" s="38"/>
      <c r="QDX103" s="14"/>
      <c r="QDY103" s="14"/>
      <c r="QDZ103" s="14"/>
      <c r="QEA103" s="14"/>
      <c r="QEB103" s="36"/>
      <c r="QEC103" s="14"/>
      <c r="QED103" s="44"/>
      <c r="QEE103" s="38"/>
      <c r="QEF103" s="14"/>
      <c r="QEG103" s="14"/>
      <c r="QEH103" s="14"/>
      <c r="QEI103" s="14"/>
      <c r="QEJ103" s="36"/>
      <c r="QEK103" s="14"/>
      <c r="QEL103" s="44"/>
      <c r="QEM103" s="38"/>
      <c r="QEN103" s="14"/>
      <c r="QEO103" s="14"/>
      <c r="QEP103" s="14"/>
      <c r="QEQ103" s="14"/>
      <c r="QER103" s="36"/>
      <c r="QES103" s="14"/>
      <c r="QET103" s="44"/>
      <c r="QEU103" s="38"/>
      <c r="QEV103" s="14"/>
      <c r="QEW103" s="14"/>
      <c r="QEX103" s="14"/>
      <c r="QEY103" s="14"/>
      <c r="QEZ103" s="36"/>
      <c r="QFA103" s="14"/>
      <c r="QFB103" s="44"/>
      <c r="QFC103" s="38"/>
      <c r="QFD103" s="14"/>
      <c r="QFE103" s="14"/>
      <c r="QFF103" s="14"/>
      <c r="QFG103" s="14"/>
      <c r="QFH103" s="36"/>
      <c r="QFI103" s="14"/>
      <c r="QFJ103" s="44"/>
      <c r="QFK103" s="38"/>
      <c r="QFL103" s="14"/>
      <c r="QFM103" s="14"/>
      <c r="QFN103" s="14"/>
      <c r="QFO103" s="14"/>
      <c r="QFP103" s="36"/>
      <c r="QFQ103" s="14"/>
      <c r="QFR103" s="44"/>
      <c r="QFS103" s="38"/>
      <c r="QFT103" s="14"/>
      <c r="QFU103" s="14"/>
      <c r="QFV103" s="14"/>
      <c r="QFW103" s="14"/>
      <c r="QFX103" s="36"/>
      <c r="QFY103" s="14"/>
      <c r="QFZ103" s="44"/>
      <c r="QGA103" s="38"/>
      <c r="QGB103" s="14"/>
      <c r="QGC103" s="14"/>
      <c r="QGD103" s="14"/>
      <c r="QGE103" s="14"/>
      <c r="QGF103" s="36"/>
      <c r="QGG103" s="14"/>
      <c r="QGH103" s="44"/>
      <c r="QGI103" s="38"/>
      <c r="QGJ103" s="14"/>
      <c r="QGK103" s="14"/>
      <c r="QGL103" s="14"/>
      <c r="QGM103" s="14"/>
      <c r="QGN103" s="36"/>
      <c r="QGO103" s="14"/>
      <c r="QGP103" s="44"/>
      <c r="QGQ103" s="38"/>
      <c r="QGR103" s="14"/>
      <c r="QGS103" s="14"/>
      <c r="QGT103" s="14"/>
      <c r="QGU103" s="14"/>
      <c r="QGV103" s="36"/>
      <c r="QGW103" s="14"/>
      <c r="QGX103" s="44"/>
      <c r="QGY103" s="38"/>
      <c r="QGZ103" s="14"/>
      <c r="QHA103" s="14"/>
      <c r="QHB103" s="14"/>
      <c r="QHC103" s="14"/>
      <c r="QHD103" s="36"/>
      <c r="QHE103" s="14"/>
      <c r="QHF103" s="44"/>
      <c r="QHG103" s="38"/>
      <c r="QHH103" s="14"/>
      <c r="QHI103" s="14"/>
      <c r="QHJ103" s="14"/>
      <c r="QHK103" s="14"/>
      <c r="QHL103" s="36"/>
      <c r="QHM103" s="14"/>
      <c r="QHN103" s="44"/>
      <c r="QHO103" s="38"/>
      <c r="QHP103" s="14"/>
      <c r="QHQ103" s="14"/>
      <c r="QHR103" s="14"/>
      <c r="QHS103" s="14"/>
      <c r="QHT103" s="36"/>
      <c r="QHU103" s="14"/>
      <c r="QHV103" s="44"/>
      <c r="QHW103" s="38"/>
      <c r="QHX103" s="14"/>
      <c r="QHY103" s="14"/>
      <c r="QHZ103" s="14"/>
      <c r="QIA103" s="14"/>
      <c r="QIB103" s="36"/>
      <c r="QIC103" s="14"/>
      <c r="QID103" s="44"/>
      <c r="QIE103" s="38"/>
      <c r="QIF103" s="14"/>
      <c r="QIG103" s="14"/>
      <c r="QIH103" s="14"/>
      <c r="QII103" s="14"/>
      <c r="QIJ103" s="36"/>
      <c r="QIK103" s="14"/>
      <c r="QIL103" s="44"/>
      <c r="QIM103" s="38"/>
      <c r="QIN103" s="14"/>
      <c r="QIO103" s="14"/>
      <c r="QIP103" s="14"/>
      <c r="QIQ103" s="14"/>
      <c r="QIR103" s="36"/>
      <c r="QIS103" s="14"/>
      <c r="QIT103" s="44"/>
      <c r="QIU103" s="38"/>
      <c r="QIV103" s="14"/>
      <c r="QIW103" s="14"/>
      <c r="QIX103" s="14"/>
      <c r="QIY103" s="14"/>
      <c r="QIZ103" s="36"/>
      <c r="QJA103" s="14"/>
      <c r="QJB103" s="44"/>
      <c r="QJC103" s="38"/>
      <c r="QJD103" s="14"/>
      <c r="QJE103" s="14"/>
      <c r="QJF103" s="14"/>
      <c r="QJG103" s="14"/>
      <c r="QJH103" s="36"/>
      <c r="QJI103" s="14"/>
      <c r="QJJ103" s="44"/>
      <c r="QJK103" s="38"/>
      <c r="QJL103" s="14"/>
      <c r="QJM103" s="14"/>
      <c r="QJN103" s="14"/>
      <c r="QJO103" s="14"/>
      <c r="QJP103" s="36"/>
      <c r="QJQ103" s="14"/>
      <c r="QJR103" s="44"/>
      <c r="QJS103" s="38"/>
      <c r="QJT103" s="14"/>
      <c r="QJU103" s="14"/>
      <c r="QJV103" s="14"/>
      <c r="QJW103" s="14"/>
      <c r="QJX103" s="36"/>
      <c r="QJY103" s="14"/>
      <c r="QJZ103" s="44"/>
      <c r="QKA103" s="38"/>
      <c r="QKB103" s="14"/>
      <c r="QKC103" s="14"/>
      <c r="QKD103" s="14"/>
      <c r="QKE103" s="14"/>
      <c r="QKF103" s="36"/>
      <c r="QKG103" s="14"/>
      <c r="QKH103" s="44"/>
      <c r="QKI103" s="38"/>
      <c r="QKJ103" s="14"/>
      <c r="QKK103" s="14"/>
      <c r="QKL103" s="14"/>
      <c r="QKM103" s="14"/>
      <c r="QKN103" s="36"/>
      <c r="QKO103" s="14"/>
      <c r="QKP103" s="44"/>
      <c r="QKQ103" s="38"/>
      <c r="QKR103" s="14"/>
      <c r="QKS103" s="14"/>
      <c r="QKT103" s="14"/>
      <c r="QKU103" s="14"/>
      <c r="QKV103" s="36"/>
      <c r="QKW103" s="14"/>
      <c r="QKX103" s="44"/>
      <c r="QKY103" s="38"/>
      <c r="QKZ103" s="14"/>
      <c r="QLA103" s="14"/>
      <c r="QLB103" s="14"/>
      <c r="QLC103" s="14"/>
      <c r="QLD103" s="36"/>
      <c r="QLE103" s="14"/>
      <c r="QLF103" s="44"/>
      <c r="QLG103" s="38"/>
      <c r="QLH103" s="14"/>
      <c r="QLI103" s="14"/>
      <c r="QLJ103" s="14"/>
      <c r="QLK103" s="14"/>
      <c r="QLL103" s="36"/>
      <c r="QLM103" s="14"/>
      <c r="QLN103" s="44"/>
      <c r="QLO103" s="38"/>
      <c r="QLP103" s="14"/>
      <c r="QLQ103" s="14"/>
      <c r="QLR103" s="14"/>
      <c r="QLS103" s="14"/>
      <c r="QLT103" s="36"/>
      <c r="QLU103" s="14"/>
      <c r="QLV103" s="44"/>
      <c r="QLW103" s="38"/>
      <c r="QLX103" s="14"/>
      <c r="QLY103" s="14"/>
      <c r="QLZ103" s="14"/>
      <c r="QMA103" s="14"/>
      <c r="QMB103" s="36"/>
      <c r="QMC103" s="14"/>
      <c r="QMD103" s="44"/>
      <c r="QME103" s="38"/>
      <c r="QMF103" s="14"/>
      <c r="QMG103" s="14"/>
      <c r="QMH103" s="14"/>
      <c r="QMI103" s="14"/>
      <c r="QMJ103" s="36"/>
      <c r="QMK103" s="14"/>
      <c r="QML103" s="44"/>
      <c r="QMM103" s="38"/>
      <c r="QMN103" s="14"/>
      <c r="QMO103" s="14"/>
      <c r="QMP103" s="14"/>
      <c r="QMQ103" s="14"/>
      <c r="QMR103" s="36"/>
      <c r="QMS103" s="14"/>
      <c r="QMT103" s="44"/>
      <c r="QMU103" s="38"/>
      <c r="QMV103" s="14"/>
      <c r="QMW103" s="14"/>
      <c r="QMX103" s="14"/>
      <c r="QMY103" s="14"/>
      <c r="QMZ103" s="36"/>
      <c r="QNA103" s="14"/>
      <c r="QNB103" s="44"/>
      <c r="QNC103" s="38"/>
      <c r="QND103" s="14"/>
      <c r="QNE103" s="14"/>
      <c r="QNF103" s="14"/>
      <c r="QNG103" s="14"/>
      <c r="QNH103" s="36"/>
      <c r="QNI103" s="14"/>
      <c r="QNJ103" s="44"/>
      <c r="QNK103" s="38"/>
      <c r="QNL103" s="14"/>
      <c r="QNM103" s="14"/>
      <c r="QNN103" s="14"/>
      <c r="QNO103" s="14"/>
      <c r="QNP103" s="36"/>
      <c r="QNQ103" s="14"/>
      <c r="QNR103" s="44"/>
      <c r="QNS103" s="38"/>
      <c r="QNT103" s="14"/>
      <c r="QNU103" s="14"/>
      <c r="QNV103" s="14"/>
      <c r="QNW103" s="14"/>
      <c r="QNX103" s="36"/>
      <c r="QNY103" s="14"/>
      <c r="QNZ103" s="44"/>
      <c r="QOA103" s="38"/>
      <c r="QOB103" s="14"/>
      <c r="QOC103" s="14"/>
      <c r="QOD103" s="14"/>
      <c r="QOE103" s="14"/>
      <c r="QOF103" s="36"/>
      <c r="QOG103" s="14"/>
      <c r="QOH103" s="44"/>
      <c r="QOI103" s="38"/>
      <c r="QOJ103" s="14"/>
      <c r="QOK103" s="14"/>
      <c r="QOL103" s="14"/>
      <c r="QOM103" s="14"/>
      <c r="QON103" s="36"/>
      <c r="QOO103" s="14"/>
      <c r="QOP103" s="44"/>
      <c r="QOQ103" s="38"/>
      <c r="QOR103" s="14"/>
      <c r="QOS103" s="14"/>
      <c r="QOT103" s="14"/>
      <c r="QOU103" s="14"/>
      <c r="QOV103" s="36"/>
      <c r="QOW103" s="14"/>
      <c r="QOX103" s="44"/>
      <c r="QOY103" s="38"/>
      <c r="QOZ103" s="14"/>
      <c r="QPA103" s="14"/>
      <c r="QPB103" s="14"/>
      <c r="QPC103" s="14"/>
      <c r="QPD103" s="36"/>
      <c r="QPE103" s="14"/>
      <c r="QPF103" s="44"/>
      <c r="QPG103" s="38"/>
      <c r="QPH103" s="14"/>
      <c r="QPI103" s="14"/>
      <c r="QPJ103" s="14"/>
      <c r="QPK103" s="14"/>
      <c r="QPL103" s="36"/>
      <c r="QPM103" s="14"/>
      <c r="QPN103" s="44"/>
      <c r="QPO103" s="38"/>
      <c r="QPP103" s="14"/>
      <c r="QPQ103" s="14"/>
      <c r="QPR103" s="14"/>
      <c r="QPS103" s="14"/>
      <c r="QPT103" s="36"/>
      <c r="QPU103" s="14"/>
      <c r="QPV103" s="44"/>
      <c r="QPW103" s="38"/>
      <c r="QPX103" s="14"/>
      <c r="QPY103" s="14"/>
      <c r="QPZ103" s="14"/>
      <c r="QQA103" s="14"/>
      <c r="QQB103" s="36"/>
      <c r="QQC103" s="14"/>
      <c r="QQD103" s="44"/>
      <c r="QQE103" s="38"/>
      <c r="QQF103" s="14"/>
      <c r="QQG103" s="14"/>
      <c r="QQH103" s="14"/>
      <c r="QQI103" s="14"/>
      <c r="QQJ103" s="36"/>
      <c r="QQK103" s="14"/>
      <c r="QQL103" s="44"/>
      <c r="QQM103" s="38"/>
      <c r="QQN103" s="14"/>
      <c r="QQO103" s="14"/>
      <c r="QQP103" s="14"/>
      <c r="QQQ103" s="14"/>
      <c r="QQR103" s="36"/>
      <c r="QQS103" s="14"/>
      <c r="QQT103" s="44"/>
      <c r="QQU103" s="38"/>
      <c r="QQV103" s="14"/>
      <c r="QQW103" s="14"/>
      <c r="QQX103" s="14"/>
      <c r="QQY103" s="14"/>
      <c r="QQZ103" s="36"/>
      <c r="QRA103" s="14"/>
      <c r="QRB103" s="44"/>
      <c r="QRC103" s="38"/>
      <c r="QRD103" s="14"/>
      <c r="QRE103" s="14"/>
      <c r="QRF103" s="14"/>
      <c r="QRG103" s="14"/>
      <c r="QRH103" s="36"/>
      <c r="QRI103" s="14"/>
      <c r="QRJ103" s="44"/>
      <c r="QRK103" s="38"/>
      <c r="QRL103" s="14"/>
      <c r="QRM103" s="14"/>
      <c r="QRN103" s="14"/>
      <c r="QRO103" s="14"/>
      <c r="QRP103" s="36"/>
      <c r="QRQ103" s="14"/>
      <c r="QRR103" s="44"/>
      <c r="QRS103" s="38"/>
      <c r="QRT103" s="14"/>
      <c r="QRU103" s="14"/>
      <c r="QRV103" s="14"/>
      <c r="QRW103" s="14"/>
      <c r="QRX103" s="36"/>
      <c r="QRY103" s="14"/>
      <c r="QRZ103" s="44"/>
      <c r="QSA103" s="38"/>
      <c r="QSB103" s="14"/>
      <c r="QSC103" s="14"/>
      <c r="QSD103" s="14"/>
      <c r="QSE103" s="14"/>
      <c r="QSF103" s="36"/>
      <c r="QSG103" s="14"/>
      <c r="QSH103" s="44"/>
      <c r="QSI103" s="38"/>
      <c r="QSJ103" s="14"/>
      <c r="QSK103" s="14"/>
      <c r="QSL103" s="14"/>
      <c r="QSM103" s="14"/>
      <c r="QSN103" s="36"/>
      <c r="QSO103" s="14"/>
      <c r="QSP103" s="44"/>
      <c r="QSQ103" s="38"/>
      <c r="QSR103" s="14"/>
      <c r="QSS103" s="14"/>
      <c r="QST103" s="14"/>
      <c r="QSU103" s="14"/>
      <c r="QSV103" s="36"/>
      <c r="QSW103" s="14"/>
      <c r="QSX103" s="44"/>
      <c r="QSY103" s="38"/>
      <c r="QSZ103" s="14"/>
      <c r="QTA103" s="14"/>
      <c r="QTB103" s="14"/>
      <c r="QTC103" s="14"/>
      <c r="QTD103" s="36"/>
      <c r="QTE103" s="14"/>
      <c r="QTF103" s="44"/>
      <c r="QTG103" s="38"/>
      <c r="QTH103" s="14"/>
      <c r="QTI103" s="14"/>
      <c r="QTJ103" s="14"/>
      <c r="QTK103" s="14"/>
      <c r="QTL103" s="36"/>
      <c r="QTM103" s="14"/>
      <c r="QTN103" s="44"/>
      <c r="QTO103" s="38"/>
      <c r="QTP103" s="14"/>
      <c r="QTQ103" s="14"/>
      <c r="QTR103" s="14"/>
      <c r="QTS103" s="14"/>
      <c r="QTT103" s="36"/>
      <c r="QTU103" s="14"/>
      <c r="QTV103" s="44"/>
      <c r="QTW103" s="38"/>
      <c r="QTX103" s="14"/>
      <c r="QTY103" s="14"/>
      <c r="QTZ103" s="14"/>
      <c r="QUA103" s="14"/>
      <c r="QUB103" s="36"/>
      <c r="QUC103" s="14"/>
      <c r="QUD103" s="44"/>
      <c r="QUE103" s="38"/>
      <c r="QUF103" s="14"/>
      <c r="QUG103" s="14"/>
      <c r="QUH103" s="14"/>
      <c r="QUI103" s="14"/>
      <c r="QUJ103" s="36"/>
      <c r="QUK103" s="14"/>
      <c r="QUL103" s="44"/>
      <c r="QUM103" s="38"/>
      <c r="QUN103" s="14"/>
      <c r="QUO103" s="14"/>
      <c r="QUP103" s="14"/>
      <c r="QUQ103" s="14"/>
      <c r="QUR103" s="36"/>
      <c r="QUS103" s="14"/>
      <c r="QUT103" s="44"/>
      <c r="QUU103" s="38"/>
      <c r="QUV103" s="14"/>
      <c r="QUW103" s="14"/>
      <c r="QUX103" s="14"/>
      <c r="QUY103" s="14"/>
      <c r="QUZ103" s="36"/>
      <c r="QVA103" s="14"/>
      <c r="QVB103" s="44"/>
      <c r="QVC103" s="38"/>
      <c r="QVD103" s="14"/>
      <c r="QVE103" s="14"/>
      <c r="QVF103" s="14"/>
      <c r="QVG103" s="14"/>
      <c r="QVH103" s="36"/>
      <c r="QVI103" s="14"/>
      <c r="QVJ103" s="44"/>
      <c r="QVK103" s="38"/>
      <c r="QVL103" s="14"/>
      <c r="QVM103" s="14"/>
      <c r="QVN103" s="14"/>
      <c r="QVO103" s="14"/>
      <c r="QVP103" s="36"/>
      <c r="QVQ103" s="14"/>
      <c r="QVR103" s="44"/>
      <c r="QVS103" s="38"/>
      <c r="QVT103" s="14"/>
      <c r="QVU103" s="14"/>
      <c r="QVV103" s="14"/>
      <c r="QVW103" s="14"/>
      <c r="QVX103" s="36"/>
      <c r="QVY103" s="14"/>
      <c r="QVZ103" s="44"/>
      <c r="QWA103" s="38"/>
      <c r="QWB103" s="14"/>
      <c r="QWC103" s="14"/>
      <c r="QWD103" s="14"/>
      <c r="QWE103" s="14"/>
      <c r="QWF103" s="36"/>
      <c r="QWG103" s="14"/>
      <c r="QWH103" s="44"/>
      <c r="QWI103" s="38"/>
      <c r="QWJ103" s="14"/>
      <c r="QWK103" s="14"/>
      <c r="QWL103" s="14"/>
      <c r="QWM103" s="14"/>
      <c r="QWN103" s="36"/>
      <c r="QWO103" s="14"/>
      <c r="QWP103" s="44"/>
      <c r="QWQ103" s="38"/>
      <c r="QWR103" s="14"/>
      <c r="QWS103" s="14"/>
      <c r="QWT103" s="14"/>
      <c r="QWU103" s="14"/>
      <c r="QWV103" s="36"/>
      <c r="QWW103" s="14"/>
      <c r="QWX103" s="44"/>
      <c r="QWY103" s="38"/>
      <c r="QWZ103" s="14"/>
      <c r="QXA103" s="14"/>
      <c r="QXB103" s="14"/>
      <c r="QXC103" s="14"/>
      <c r="QXD103" s="36"/>
      <c r="QXE103" s="14"/>
      <c r="QXF103" s="44"/>
      <c r="QXG103" s="38"/>
      <c r="QXH103" s="14"/>
      <c r="QXI103" s="14"/>
      <c r="QXJ103" s="14"/>
      <c r="QXK103" s="14"/>
      <c r="QXL103" s="36"/>
      <c r="QXM103" s="14"/>
      <c r="QXN103" s="44"/>
      <c r="QXO103" s="38"/>
      <c r="QXP103" s="14"/>
      <c r="QXQ103" s="14"/>
      <c r="QXR103" s="14"/>
      <c r="QXS103" s="14"/>
      <c r="QXT103" s="36"/>
      <c r="QXU103" s="14"/>
      <c r="QXV103" s="44"/>
      <c r="QXW103" s="38"/>
      <c r="QXX103" s="14"/>
      <c r="QXY103" s="14"/>
      <c r="QXZ103" s="14"/>
      <c r="QYA103" s="14"/>
      <c r="QYB103" s="36"/>
      <c r="QYC103" s="14"/>
      <c r="QYD103" s="44"/>
      <c r="QYE103" s="38"/>
      <c r="QYF103" s="14"/>
      <c r="QYG103" s="14"/>
      <c r="QYH103" s="14"/>
      <c r="QYI103" s="14"/>
      <c r="QYJ103" s="36"/>
      <c r="QYK103" s="14"/>
      <c r="QYL103" s="44"/>
      <c r="QYM103" s="38"/>
      <c r="QYN103" s="14"/>
      <c r="QYO103" s="14"/>
      <c r="QYP103" s="14"/>
      <c r="QYQ103" s="14"/>
      <c r="QYR103" s="36"/>
      <c r="QYS103" s="14"/>
      <c r="QYT103" s="44"/>
      <c r="QYU103" s="38"/>
      <c r="QYV103" s="14"/>
      <c r="QYW103" s="14"/>
      <c r="QYX103" s="14"/>
      <c r="QYY103" s="14"/>
      <c r="QYZ103" s="36"/>
      <c r="QZA103" s="14"/>
      <c r="QZB103" s="44"/>
      <c r="QZC103" s="38"/>
      <c r="QZD103" s="14"/>
      <c r="QZE103" s="14"/>
      <c r="QZF103" s="14"/>
      <c r="QZG103" s="14"/>
      <c r="QZH103" s="36"/>
      <c r="QZI103" s="14"/>
      <c r="QZJ103" s="44"/>
      <c r="QZK103" s="38"/>
      <c r="QZL103" s="14"/>
      <c r="QZM103" s="14"/>
      <c r="QZN103" s="14"/>
      <c r="QZO103" s="14"/>
      <c r="QZP103" s="36"/>
      <c r="QZQ103" s="14"/>
      <c r="QZR103" s="44"/>
      <c r="QZS103" s="38"/>
      <c r="QZT103" s="14"/>
      <c r="QZU103" s="14"/>
      <c r="QZV103" s="14"/>
      <c r="QZW103" s="14"/>
      <c r="QZX103" s="36"/>
      <c r="QZY103" s="14"/>
      <c r="QZZ103" s="44"/>
      <c r="RAA103" s="38"/>
      <c r="RAB103" s="14"/>
      <c r="RAC103" s="14"/>
      <c r="RAD103" s="14"/>
      <c r="RAE103" s="14"/>
      <c r="RAF103" s="36"/>
      <c r="RAG103" s="14"/>
      <c r="RAH103" s="44"/>
      <c r="RAI103" s="38"/>
      <c r="RAJ103" s="14"/>
      <c r="RAK103" s="14"/>
      <c r="RAL103" s="14"/>
      <c r="RAM103" s="14"/>
      <c r="RAN103" s="36"/>
      <c r="RAO103" s="14"/>
      <c r="RAP103" s="44"/>
      <c r="RAQ103" s="38"/>
      <c r="RAR103" s="14"/>
      <c r="RAS103" s="14"/>
      <c r="RAT103" s="14"/>
      <c r="RAU103" s="14"/>
      <c r="RAV103" s="36"/>
      <c r="RAW103" s="14"/>
      <c r="RAX103" s="44"/>
      <c r="RAY103" s="38"/>
      <c r="RAZ103" s="14"/>
      <c r="RBA103" s="14"/>
      <c r="RBB103" s="14"/>
      <c r="RBC103" s="14"/>
      <c r="RBD103" s="36"/>
      <c r="RBE103" s="14"/>
      <c r="RBF103" s="44"/>
      <c r="RBG103" s="38"/>
      <c r="RBH103" s="14"/>
      <c r="RBI103" s="14"/>
      <c r="RBJ103" s="14"/>
      <c r="RBK103" s="14"/>
      <c r="RBL103" s="36"/>
      <c r="RBM103" s="14"/>
      <c r="RBN103" s="44"/>
      <c r="RBO103" s="38"/>
      <c r="RBP103" s="14"/>
      <c r="RBQ103" s="14"/>
      <c r="RBR103" s="14"/>
      <c r="RBS103" s="14"/>
      <c r="RBT103" s="36"/>
      <c r="RBU103" s="14"/>
      <c r="RBV103" s="44"/>
      <c r="RBW103" s="38"/>
      <c r="RBX103" s="14"/>
      <c r="RBY103" s="14"/>
      <c r="RBZ103" s="14"/>
      <c r="RCA103" s="14"/>
      <c r="RCB103" s="36"/>
      <c r="RCC103" s="14"/>
      <c r="RCD103" s="44"/>
      <c r="RCE103" s="38"/>
      <c r="RCF103" s="14"/>
      <c r="RCG103" s="14"/>
      <c r="RCH103" s="14"/>
      <c r="RCI103" s="14"/>
      <c r="RCJ103" s="36"/>
      <c r="RCK103" s="14"/>
      <c r="RCL103" s="44"/>
      <c r="RCM103" s="38"/>
      <c r="RCN103" s="14"/>
      <c r="RCO103" s="14"/>
      <c r="RCP103" s="14"/>
      <c r="RCQ103" s="14"/>
      <c r="RCR103" s="36"/>
      <c r="RCS103" s="14"/>
      <c r="RCT103" s="44"/>
      <c r="RCU103" s="38"/>
      <c r="RCV103" s="14"/>
      <c r="RCW103" s="14"/>
      <c r="RCX103" s="14"/>
      <c r="RCY103" s="14"/>
      <c r="RCZ103" s="36"/>
      <c r="RDA103" s="14"/>
      <c r="RDB103" s="44"/>
      <c r="RDC103" s="38"/>
      <c r="RDD103" s="14"/>
      <c r="RDE103" s="14"/>
      <c r="RDF103" s="14"/>
      <c r="RDG103" s="14"/>
      <c r="RDH103" s="36"/>
      <c r="RDI103" s="14"/>
      <c r="RDJ103" s="44"/>
      <c r="RDK103" s="38"/>
      <c r="RDL103" s="14"/>
      <c r="RDM103" s="14"/>
      <c r="RDN103" s="14"/>
      <c r="RDO103" s="14"/>
      <c r="RDP103" s="36"/>
      <c r="RDQ103" s="14"/>
      <c r="RDR103" s="44"/>
      <c r="RDS103" s="38"/>
      <c r="RDT103" s="14"/>
      <c r="RDU103" s="14"/>
      <c r="RDV103" s="14"/>
      <c r="RDW103" s="14"/>
      <c r="RDX103" s="36"/>
      <c r="RDY103" s="14"/>
      <c r="RDZ103" s="44"/>
      <c r="REA103" s="38"/>
      <c r="REB103" s="14"/>
      <c r="REC103" s="14"/>
      <c r="RED103" s="14"/>
      <c r="REE103" s="14"/>
      <c r="REF103" s="36"/>
      <c r="REG103" s="14"/>
      <c r="REH103" s="44"/>
      <c r="REI103" s="38"/>
      <c r="REJ103" s="14"/>
      <c r="REK103" s="14"/>
      <c r="REL103" s="14"/>
      <c r="REM103" s="14"/>
      <c r="REN103" s="36"/>
      <c r="REO103" s="14"/>
      <c r="REP103" s="44"/>
      <c r="REQ103" s="38"/>
      <c r="RER103" s="14"/>
      <c r="RES103" s="14"/>
      <c r="RET103" s="14"/>
      <c r="REU103" s="14"/>
      <c r="REV103" s="36"/>
      <c r="REW103" s="14"/>
      <c r="REX103" s="44"/>
      <c r="REY103" s="38"/>
      <c r="REZ103" s="14"/>
      <c r="RFA103" s="14"/>
      <c r="RFB103" s="14"/>
      <c r="RFC103" s="14"/>
      <c r="RFD103" s="36"/>
      <c r="RFE103" s="14"/>
      <c r="RFF103" s="44"/>
      <c r="RFG103" s="38"/>
      <c r="RFH103" s="14"/>
      <c r="RFI103" s="14"/>
      <c r="RFJ103" s="14"/>
      <c r="RFK103" s="14"/>
      <c r="RFL103" s="36"/>
      <c r="RFM103" s="14"/>
      <c r="RFN103" s="44"/>
      <c r="RFO103" s="38"/>
      <c r="RFP103" s="14"/>
      <c r="RFQ103" s="14"/>
      <c r="RFR103" s="14"/>
      <c r="RFS103" s="14"/>
      <c r="RFT103" s="36"/>
      <c r="RFU103" s="14"/>
      <c r="RFV103" s="44"/>
      <c r="RFW103" s="38"/>
      <c r="RFX103" s="14"/>
      <c r="RFY103" s="14"/>
      <c r="RFZ103" s="14"/>
      <c r="RGA103" s="14"/>
      <c r="RGB103" s="36"/>
      <c r="RGC103" s="14"/>
      <c r="RGD103" s="44"/>
      <c r="RGE103" s="38"/>
      <c r="RGF103" s="14"/>
      <c r="RGG103" s="14"/>
      <c r="RGH103" s="14"/>
      <c r="RGI103" s="14"/>
      <c r="RGJ103" s="36"/>
      <c r="RGK103" s="14"/>
      <c r="RGL103" s="44"/>
      <c r="RGM103" s="38"/>
      <c r="RGN103" s="14"/>
      <c r="RGO103" s="14"/>
      <c r="RGP103" s="14"/>
      <c r="RGQ103" s="14"/>
      <c r="RGR103" s="36"/>
      <c r="RGS103" s="14"/>
      <c r="RGT103" s="44"/>
      <c r="RGU103" s="38"/>
      <c r="RGV103" s="14"/>
      <c r="RGW103" s="14"/>
      <c r="RGX103" s="14"/>
      <c r="RGY103" s="14"/>
      <c r="RGZ103" s="36"/>
      <c r="RHA103" s="14"/>
      <c r="RHB103" s="44"/>
      <c r="RHC103" s="38"/>
      <c r="RHD103" s="14"/>
      <c r="RHE103" s="14"/>
      <c r="RHF103" s="14"/>
      <c r="RHG103" s="14"/>
      <c r="RHH103" s="36"/>
      <c r="RHI103" s="14"/>
      <c r="RHJ103" s="44"/>
      <c r="RHK103" s="38"/>
      <c r="RHL103" s="14"/>
      <c r="RHM103" s="14"/>
      <c r="RHN103" s="14"/>
      <c r="RHO103" s="14"/>
      <c r="RHP103" s="36"/>
      <c r="RHQ103" s="14"/>
      <c r="RHR103" s="44"/>
      <c r="RHS103" s="38"/>
      <c r="RHT103" s="14"/>
      <c r="RHU103" s="14"/>
      <c r="RHV103" s="14"/>
      <c r="RHW103" s="14"/>
      <c r="RHX103" s="36"/>
      <c r="RHY103" s="14"/>
      <c r="RHZ103" s="44"/>
      <c r="RIA103" s="38"/>
      <c r="RIB103" s="14"/>
      <c r="RIC103" s="14"/>
      <c r="RID103" s="14"/>
      <c r="RIE103" s="14"/>
      <c r="RIF103" s="36"/>
      <c r="RIG103" s="14"/>
      <c r="RIH103" s="44"/>
      <c r="RII103" s="38"/>
      <c r="RIJ103" s="14"/>
      <c r="RIK103" s="14"/>
      <c r="RIL103" s="14"/>
      <c r="RIM103" s="14"/>
      <c r="RIN103" s="36"/>
      <c r="RIO103" s="14"/>
      <c r="RIP103" s="44"/>
      <c r="RIQ103" s="38"/>
      <c r="RIR103" s="14"/>
      <c r="RIS103" s="14"/>
      <c r="RIT103" s="14"/>
      <c r="RIU103" s="14"/>
      <c r="RIV103" s="36"/>
      <c r="RIW103" s="14"/>
      <c r="RIX103" s="44"/>
      <c r="RIY103" s="38"/>
      <c r="RIZ103" s="14"/>
      <c r="RJA103" s="14"/>
      <c r="RJB103" s="14"/>
      <c r="RJC103" s="14"/>
      <c r="RJD103" s="36"/>
      <c r="RJE103" s="14"/>
      <c r="RJF103" s="44"/>
      <c r="RJG103" s="38"/>
      <c r="RJH103" s="14"/>
      <c r="RJI103" s="14"/>
      <c r="RJJ103" s="14"/>
      <c r="RJK103" s="14"/>
      <c r="RJL103" s="36"/>
      <c r="RJM103" s="14"/>
      <c r="RJN103" s="44"/>
      <c r="RJO103" s="38"/>
      <c r="RJP103" s="14"/>
      <c r="RJQ103" s="14"/>
      <c r="RJR103" s="14"/>
      <c r="RJS103" s="14"/>
      <c r="RJT103" s="36"/>
      <c r="RJU103" s="14"/>
      <c r="RJV103" s="44"/>
      <c r="RJW103" s="38"/>
      <c r="RJX103" s="14"/>
      <c r="RJY103" s="14"/>
      <c r="RJZ103" s="14"/>
      <c r="RKA103" s="14"/>
      <c r="RKB103" s="36"/>
      <c r="RKC103" s="14"/>
      <c r="RKD103" s="44"/>
      <c r="RKE103" s="38"/>
      <c r="RKF103" s="14"/>
      <c r="RKG103" s="14"/>
      <c r="RKH103" s="14"/>
      <c r="RKI103" s="14"/>
      <c r="RKJ103" s="36"/>
      <c r="RKK103" s="14"/>
      <c r="RKL103" s="44"/>
      <c r="RKM103" s="38"/>
      <c r="RKN103" s="14"/>
      <c r="RKO103" s="14"/>
      <c r="RKP103" s="14"/>
      <c r="RKQ103" s="14"/>
      <c r="RKR103" s="36"/>
      <c r="RKS103" s="14"/>
      <c r="RKT103" s="44"/>
      <c r="RKU103" s="38"/>
      <c r="RKV103" s="14"/>
      <c r="RKW103" s="14"/>
      <c r="RKX103" s="14"/>
      <c r="RKY103" s="14"/>
      <c r="RKZ103" s="36"/>
      <c r="RLA103" s="14"/>
      <c r="RLB103" s="44"/>
      <c r="RLC103" s="38"/>
      <c r="RLD103" s="14"/>
      <c r="RLE103" s="14"/>
      <c r="RLF103" s="14"/>
      <c r="RLG103" s="14"/>
      <c r="RLH103" s="36"/>
      <c r="RLI103" s="14"/>
      <c r="RLJ103" s="44"/>
      <c r="RLK103" s="38"/>
      <c r="RLL103" s="14"/>
      <c r="RLM103" s="14"/>
      <c r="RLN103" s="14"/>
      <c r="RLO103" s="14"/>
      <c r="RLP103" s="36"/>
      <c r="RLQ103" s="14"/>
      <c r="RLR103" s="44"/>
      <c r="RLS103" s="38"/>
      <c r="RLT103" s="14"/>
      <c r="RLU103" s="14"/>
      <c r="RLV103" s="14"/>
      <c r="RLW103" s="14"/>
      <c r="RLX103" s="36"/>
      <c r="RLY103" s="14"/>
      <c r="RLZ103" s="44"/>
      <c r="RMA103" s="38"/>
      <c r="RMB103" s="14"/>
      <c r="RMC103" s="14"/>
      <c r="RMD103" s="14"/>
      <c r="RME103" s="14"/>
      <c r="RMF103" s="36"/>
      <c r="RMG103" s="14"/>
      <c r="RMH103" s="44"/>
      <c r="RMI103" s="38"/>
      <c r="RMJ103" s="14"/>
      <c r="RMK103" s="14"/>
      <c r="RML103" s="14"/>
      <c r="RMM103" s="14"/>
      <c r="RMN103" s="36"/>
      <c r="RMO103" s="14"/>
      <c r="RMP103" s="44"/>
      <c r="RMQ103" s="38"/>
      <c r="RMR103" s="14"/>
      <c r="RMS103" s="14"/>
      <c r="RMT103" s="14"/>
      <c r="RMU103" s="14"/>
      <c r="RMV103" s="36"/>
      <c r="RMW103" s="14"/>
      <c r="RMX103" s="44"/>
      <c r="RMY103" s="38"/>
      <c r="RMZ103" s="14"/>
      <c r="RNA103" s="14"/>
      <c r="RNB103" s="14"/>
      <c r="RNC103" s="14"/>
      <c r="RND103" s="36"/>
      <c r="RNE103" s="14"/>
      <c r="RNF103" s="44"/>
      <c r="RNG103" s="38"/>
      <c r="RNH103" s="14"/>
      <c r="RNI103" s="14"/>
      <c r="RNJ103" s="14"/>
      <c r="RNK103" s="14"/>
      <c r="RNL103" s="36"/>
      <c r="RNM103" s="14"/>
      <c r="RNN103" s="44"/>
      <c r="RNO103" s="38"/>
      <c r="RNP103" s="14"/>
      <c r="RNQ103" s="14"/>
      <c r="RNR103" s="14"/>
      <c r="RNS103" s="14"/>
      <c r="RNT103" s="36"/>
      <c r="RNU103" s="14"/>
      <c r="RNV103" s="44"/>
      <c r="RNW103" s="38"/>
      <c r="RNX103" s="14"/>
      <c r="RNY103" s="14"/>
      <c r="RNZ103" s="14"/>
      <c r="ROA103" s="14"/>
      <c r="ROB103" s="36"/>
      <c r="ROC103" s="14"/>
      <c r="ROD103" s="44"/>
      <c r="ROE103" s="38"/>
      <c r="ROF103" s="14"/>
      <c r="ROG103" s="14"/>
      <c r="ROH103" s="14"/>
      <c r="ROI103" s="14"/>
      <c r="ROJ103" s="36"/>
      <c r="ROK103" s="14"/>
      <c r="ROL103" s="44"/>
      <c r="ROM103" s="38"/>
      <c r="RON103" s="14"/>
      <c r="ROO103" s="14"/>
      <c r="ROP103" s="14"/>
      <c r="ROQ103" s="14"/>
      <c r="ROR103" s="36"/>
      <c r="ROS103" s="14"/>
      <c r="ROT103" s="44"/>
      <c r="ROU103" s="38"/>
      <c r="ROV103" s="14"/>
      <c r="ROW103" s="14"/>
      <c r="ROX103" s="14"/>
      <c r="ROY103" s="14"/>
      <c r="ROZ103" s="36"/>
      <c r="RPA103" s="14"/>
      <c r="RPB103" s="44"/>
      <c r="RPC103" s="38"/>
      <c r="RPD103" s="14"/>
      <c r="RPE103" s="14"/>
      <c r="RPF103" s="14"/>
      <c r="RPG103" s="14"/>
      <c r="RPH103" s="36"/>
      <c r="RPI103" s="14"/>
      <c r="RPJ103" s="44"/>
      <c r="RPK103" s="38"/>
      <c r="RPL103" s="14"/>
      <c r="RPM103" s="14"/>
      <c r="RPN103" s="14"/>
      <c r="RPO103" s="14"/>
      <c r="RPP103" s="36"/>
      <c r="RPQ103" s="14"/>
      <c r="RPR103" s="44"/>
      <c r="RPS103" s="38"/>
      <c r="RPT103" s="14"/>
      <c r="RPU103" s="14"/>
      <c r="RPV103" s="14"/>
      <c r="RPW103" s="14"/>
      <c r="RPX103" s="36"/>
      <c r="RPY103" s="14"/>
      <c r="RPZ103" s="44"/>
      <c r="RQA103" s="38"/>
      <c r="RQB103" s="14"/>
      <c r="RQC103" s="14"/>
      <c r="RQD103" s="14"/>
      <c r="RQE103" s="14"/>
      <c r="RQF103" s="36"/>
      <c r="RQG103" s="14"/>
      <c r="RQH103" s="44"/>
      <c r="RQI103" s="38"/>
      <c r="RQJ103" s="14"/>
      <c r="RQK103" s="14"/>
      <c r="RQL103" s="14"/>
      <c r="RQM103" s="14"/>
      <c r="RQN103" s="36"/>
      <c r="RQO103" s="14"/>
      <c r="RQP103" s="44"/>
      <c r="RQQ103" s="38"/>
      <c r="RQR103" s="14"/>
      <c r="RQS103" s="14"/>
      <c r="RQT103" s="14"/>
      <c r="RQU103" s="14"/>
      <c r="RQV103" s="36"/>
      <c r="RQW103" s="14"/>
      <c r="RQX103" s="44"/>
      <c r="RQY103" s="38"/>
      <c r="RQZ103" s="14"/>
      <c r="RRA103" s="14"/>
      <c r="RRB103" s="14"/>
      <c r="RRC103" s="14"/>
      <c r="RRD103" s="36"/>
      <c r="RRE103" s="14"/>
      <c r="RRF103" s="44"/>
      <c r="RRG103" s="38"/>
      <c r="RRH103" s="14"/>
      <c r="RRI103" s="14"/>
      <c r="RRJ103" s="14"/>
      <c r="RRK103" s="14"/>
      <c r="RRL103" s="36"/>
      <c r="RRM103" s="14"/>
      <c r="RRN103" s="44"/>
      <c r="RRO103" s="38"/>
      <c r="RRP103" s="14"/>
      <c r="RRQ103" s="14"/>
      <c r="RRR103" s="14"/>
      <c r="RRS103" s="14"/>
      <c r="RRT103" s="36"/>
      <c r="RRU103" s="14"/>
      <c r="RRV103" s="44"/>
      <c r="RRW103" s="38"/>
      <c r="RRX103" s="14"/>
      <c r="RRY103" s="14"/>
      <c r="RRZ103" s="14"/>
      <c r="RSA103" s="14"/>
      <c r="RSB103" s="36"/>
      <c r="RSC103" s="14"/>
      <c r="RSD103" s="44"/>
      <c r="RSE103" s="38"/>
      <c r="RSF103" s="14"/>
      <c r="RSG103" s="14"/>
      <c r="RSH103" s="14"/>
      <c r="RSI103" s="14"/>
      <c r="RSJ103" s="36"/>
      <c r="RSK103" s="14"/>
      <c r="RSL103" s="44"/>
      <c r="RSM103" s="38"/>
      <c r="RSN103" s="14"/>
      <c r="RSO103" s="14"/>
      <c r="RSP103" s="14"/>
      <c r="RSQ103" s="14"/>
      <c r="RSR103" s="36"/>
      <c r="RSS103" s="14"/>
      <c r="RST103" s="44"/>
      <c r="RSU103" s="38"/>
      <c r="RSV103" s="14"/>
      <c r="RSW103" s="14"/>
      <c r="RSX103" s="14"/>
      <c r="RSY103" s="14"/>
      <c r="RSZ103" s="36"/>
      <c r="RTA103" s="14"/>
      <c r="RTB103" s="44"/>
      <c r="RTC103" s="38"/>
      <c r="RTD103" s="14"/>
      <c r="RTE103" s="14"/>
      <c r="RTF103" s="14"/>
      <c r="RTG103" s="14"/>
      <c r="RTH103" s="36"/>
      <c r="RTI103" s="14"/>
      <c r="RTJ103" s="44"/>
      <c r="RTK103" s="38"/>
      <c r="RTL103" s="14"/>
      <c r="RTM103" s="14"/>
      <c r="RTN103" s="14"/>
      <c r="RTO103" s="14"/>
      <c r="RTP103" s="36"/>
      <c r="RTQ103" s="14"/>
      <c r="RTR103" s="44"/>
      <c r="RTS103" s="38"/>
      <c r="RTT103" s="14"/>
      <c r="RTU103" s="14"/>
      <c r="RTV103" s="14"/>
      <c r="RTW103" s="14"/>
      <c r="RTX103" s="36"/>
      <c r="RTY103" s="14"/>
      <c r="RTZ103" s="44"/>
      <c r="RUA103" s="38"/>
      <c r="RUB103" s="14"/>
      <c r="RUC103" s="14"/>
      <c r="RUD103" s="14"/>
      <c r="RUE103" s="14"/>
      <c r="RUF103" s="36"/>
      <c r="RUG103" s="14"/>
      <c r="RUH103" s="44"/>
      <c r="RUI103" s="38"/>
      <c r="RUJ103" s="14"/>
      <c r="RUK103" s="14"/>
      <c r="RUL103" s="14"/>
      <c r="RUM103" s="14"/>
      <c r="RUN103" s="36"/>
      <c r="RUO103" s="14"/>
      <c r="RUP103" s="44"/>
      <c r="RUQ103" s="38"/>
      <c r="RUR103" s="14"/>
      <c r="RUS103" s="14"/>
      <c r="RUT103" s="14"/>
      <c r="RUU103" s="14"/>
      <c r="RUV103" s="36"/>
      <c r="RUW103" s="14"/>
      <c r="RUX103" s="44"/>
      <c r="RUY103" s="38"/>
      <c r="RUZ103" s="14"/>
      <c r="RVA103" s="14"/>
      <c r="RVB103" s="14"/>
      <c r="RVC103" s="14"/>
      <c r="RVD103" s="36"/>
      <c r="RVE103" s="14"/>
      <c r="RVF103" s="44"/>
      <c r="RVG103" s="38"/>
      <c r="RVH103" s="14"/>
      <c r="RVI103" s="14"/>
      <c r="RVJ103" s="14"/>
      <c r="RVK103" s="14"/>
      <c r="RVL103" s="36"/>
      <c r="RVM103" s="14"/>
      <c r="RVN103" s="44"/>
      <c r="RVO103" s="38"/>
      <c r="RVP103" s="14"/>
      <c r="RVQ103" s="14"/>
      <c r="RVR103" s="14"/>
      <c r="RVS103" s="14"/>
      <c r="RVT103" s="36"/>
      <c r="RVU103" s="14"/>
      <c r="RVV103" s="44"/>
      <c r="RVW103" s="38"/>
      <c r="RVX103" s="14"/>
      <c r="RVY103" s="14"/>
      <c r="RVZ103" s="14"/>
      <c r="RWA103" s="14"/>
      <c r="RWB103" s="36"/>
      <c r="RWC103" s="14"/>
      <c r="RWD103" s="44"/>
      <c r="RWE103" s="38"/>
      <c r="RWF103" s="14"/>
      <c r="RWG103" s="14"/>
      <c r="RWH103" s="14"/>
      <c r="RWI103" s="14"/>
      <c r="RWJ103" s="36"/>
      <c r="RWK103" s="14"/>
      <c r="RWL103" s="44"/>
      <c r="RWM103" s="38"/>
      <c r="RWN103" s="14"/>
      <c r="RWO103" s="14"/>
      <c r="RWP103" s="14"/>
      <c r="RWQ103" s="14"/>
      <c r="RWR103" s="36"/>
      <c r="RWS103" s="14"/>
      <c r="RWT103" s="44"/>
      <c r="RWU103" s="38"/>
      <c r="RWV103" s="14"/>
      <c r="RWW103" s="14"/>
      <c r="RWX103" s="14"/>
      <c r="RWY103" s="14"/>
      <c r="RWZ103" s="36"/>
      <c r="RXA103" s="14"/>
      <c r="RXB103" s="44"/>
      <c r="RXC103" s="38"/>
      <c r="RXD103" s="14"/>
      <c r="RXE103" s="14"/>
      <c r="RXF103" s="14"/>
      <c r="RXG103" s="14"/>
      <c r="RXH103" s="36"/>
      <c r="RXI103" s="14"/>
      <c r="RXJ103" s="44"/>
      <c r="RXK103" s="38"/>
      <c r="RXL103" s="14"/>
      <c r="RXM103" s="14"/>
      <c r="RXN103" s="14"/>
      <c r="RXO103" s="14"/>
      <c r="RXP103" s="36"/>
      <c r="RXQ103" s="14"/>
      <c r="RXR103" s="44"/>
      <c r="RXS103" s="38"/>
      <c r="RXT103" s="14"/>
      <c r="RXU103" s="14"/>
      <c r="RXV103" s="14"/>
      <c r="RXW103" s="14"/>
      <c r="RXX103" s="36"/>
      <c r="RXY103" s="14"/>
      <c r="RXZ103" s="44"/>
      <c r="RYA103" s="38"/>
      <c r="RYB103" s="14"/>
      <c r="RYC103" s="14"/>
      <c r="RYD103" s="14"/>
      <c r="RYE103" s="14"/>
      <c r="RYF103" s="36"/>
      <c r="RYG103" s="14"/>
      <c r="RYH103" s="44"/>
      <c r="RYI103" s="38"/>
      <c r="RYJ103" s="14"/>
      <c r="RYK103" s="14"/>
      <c r="RYL103" s="14"/>
      <c r="RYM103" s="14"/>
      <c r="RYN103" s="36"/>
      <c r="RYO103" s="14"/>
      <c r="RYP103" s="44"/>
      <c r="RYQ103" s="38"/>
      <c r="RYR103" s="14"/>
      <c r="RYS103" s="14"/>
      <c r="RYT103" s="14"/>
      <c r="RYU103" s="14"/>
      <c r="RYV103" s="36"/>
      <c r="RYW103" s="14"/>
      <c r="RYX103" s="44"/>
      <c r="RYY103" s="38"/>
      <c r="RYZ103" s="14"/>
      <c r="RZA103" s="14"/>
      <c r="RZB103" s="14"/>
      <c r="RZC103" s="14"/>
      <c r="RZD103" s="36"/>
      <c r="RZE103" s="14"/>
      <c r="RZF103" s="44"/>
      <c r="RZG103" s="38"/>
      <c r="RZH103" s="14"/>
      <c r="RZI103" s="14"/>
      <c r="RZJ103" s="14"/>
      <c r="RZK103" s="14"/>
      <c r="RZL103" s="36"/>
      <c r="RZM103" s="14"/>
      <c r="RZN103" s="44"/>
      <c r="RZO103" s="38"/>
      <c r="RZP103" s="14"/>
      <c r="RZQ103" s="14"/>
      <c r="RZR103" s="14"/>
      <c r="RZS103" s="14"/>
      <c r="RZT103" s="36"/>
      <c r="RZU103" s="14"/>
      <c r="RZV103" s="44"/>
      <c r="RZW103" s="38"/>
      <c r="RZX103" s="14"/>
      <c r="RZY103" s="14"/>
      <c r="RZZ103" s="14"/>
      <c r="SAA103" s="14"/>
      <c r="SAB103" s="36"/>
      <c r="SAC103" s="14"/>
      <c r="SAD103" s="44"/>
      <c r="SAE103" s="38"/>
      <c r="SAF103" s="14"/>
      <c r="SAG103" s="14"/>
      <c r="SAH103" s="14"/>
      <c r="SAI103" s="14"/>
      <c r="SAJ103" s="36"/>
      <c r="SAK103" s="14"/>
      <c r="SAL103" s="44"/>
      <c r="SAM103" s="38"/>
      <c r="SAN103" s="14"/>
      <c r="SAO103" s="14"/>
      <c r="SAP103" s="14"/>
      <c r="SAQ103" s="14"/>
      <c r="SAR103" s="36"/>
      <c r="SAS103" s="14"/>
      <c r="SAT103" s="44"/>
      <c r="SAU103" s="38"/>
      <c r="SAV103" s="14"/>
      <c r="SAW103" s="14"/>
      <c r="SAX103" s="14"/>
      <c r="SAY103" s="14"/>
      <c r="SAZ103" s="36"/>
      <c r="SBA103" s="14"/>
      <c r="SBB103" s="44"/>
      <c r="SBC103" s="38"/>
      <c r="SBD103" s="14"/>
      <c r="SBE103" s="14"/>
      <c r="SBF103" s="14"/>
      <c r="SBG103" s="14"/>
      <c r="SBH103" s="36"/>
      <c r="SBI103" s="14"/>
      <c r="SBJ103" s="44"/>
      <c r="SBK103" s="38"/>
      <c r="SBL103" s="14"/>
      <c r="SBM103" s="14"/>
      <c r="SBN103" s="14"/>
      <c r="SBO103" s="14"/>
      <c r="SBP103" s="36"/>
      <c r="SBQ103" s="14"/>
      <c r="SBR103" s="44"/>
      <c r="SBS103" s="38"/>
      <c r="SBT103" s="14"/>
      <c r="SBU103" s="14"/>
      <c r="SBV103" s="14"/>
      <c r="SBW103" s="14"/>
      <c r="SBX103" s="36"/>
      <c r="SBY103" s="14"/>
      <c r="SBZ103" s="44"/>
      <c r="SCA103" s="38"/>
      <c r="SCB103" s="14"/>
      <c r="SCC103" s="14"/>
      <c r="SCD103" s="14"/>
      <c r="SCE103" s="14"/>
      <c r="SCF103" s="36"/>
      <c r="SCG103" s="14"/>
      <c r="SCH103" s="44"/>
      <c r="SCI103" s="38"/>
      <c r="SCJ103" s="14"/>
      <c r="SCK103" s="14"/>
      <c r="SCL103" s="14"/>
      <c r="SCM103" s="14"/>
      <c r="SCN103" s="36"/>
      <c r="SCO103" s="14"/>
      <c r="SCP103" s="44"/>
      <c r="SCQ103" s="38"/>
      <c r="SCR103" s="14"/>
      <c r="SCS103" s="14"/>
      <c r="SCT103" s="14"/>
      <c r="SCU103" s="14"/>
      <c r="SCV103" s="36"/>
      <c r="SCW103" s="14"/>
      <c r="SCX103" s="44"/>
      <c r="SCY103" s="38"/>
      <c r="SCZ103" s="14"/>
      <c r="SDA103" s="14"/>
      <c r="SDB103" s="14"/>
      <c r="SDC103" s="14"/>
      <c r="SDD103" s="36"/>
      <c r="SDE103" s="14"/>
      <c r="SDF103" s="44"/>
      <c r="SDG103" s="38"/>
      <c r="SDH103" s="14"/>
      <c r="SDI103" s="14"/>
      <c r="SDJ103" s="14"/>
      <c r="SDK103" s="14"/>
      <c r="SDL103" s="36"/>
      <c r="SDM103" s="14"/>
      <c r="SDN103" s="44"/>
      <c r="SDO103" s="38"/>
      <c r="SDP103" s="14"/>
      <c r="SDQ103" s="14"/>
      <c r="SDR103" s="14"/>
      <c r="SDS103" s="14"/>
      <c r="SDT103" s="36"/>
      <c r="SDU103" s="14"/>
      <c r="SDV103" s="44"/>
      <c r="SDW103" s="38"/>
      <c r="SDX103" s="14"/>
      <c r="SDY103" s="14"/>
      <c r="SDZ103" s="14"/>
      <c r="SEA103" s="14"/>
      <c r="SEB103" s="36"/>
      <c r="SEC103" s="14"/>
      <c r="SED103" s="44"/>
      <c r="SEE103" s="38"/>
      <c r="SEF103" s="14"/>
      <c r="SEG103" s="14"/>
      <c r="SEH103" s="14"/>
      <c r="SEI103" s="14"/>
      <c r="SEJ103" s="36"/>
      <c r="SEK103" s="14"/>
      <c r="SEL103" s="44"/>
      <c r="SEM103" s="38"/>
      <c r="SEN103" s="14"/>
      <c r="SEO103" s="14"/>
      <c r="SEP103" s="14"/>
      <c r="SEQ103" s="14"/>
      <c r="SER103" s="36"/>
      <c r="SES103" s="14"/>
      <c r="SET103" s="44"/>
      <c r="SEU103" s="38"/>
      <c r="SEV103" s="14"/>
      <c r="SEW103" s="14"/>
      <c r="SEX103" s="14"/>
      <c r="SEY103" s="14"/>
      <c r="SEZ103" s="36"/>
      <c r="SFA103" s="14"/>
      <c r="SFB103" s="44"/>
      <c r="SFC103" s="38"/>
      <c r="SFD103" s="14"/>
      <c r="SFE103" s="14"/>
      <c r="SFF103" s="14"/>
      <c r="SFG103" s="14"/>
      <c r="SFH103" s="36"/>
      <c r="SFI103" s="14"/>
      <c r="SFJ103" s="44"/>
      <c r="SFK103" s="38"/>
      <c r="SFL103" s="14"/>
      <c r="SFM103" s="14"/>
      <c r="SFN103" s="14"/>
      <c r="SFO103" s="14"/>
      <c r="SFP103" s="36"/>
      <c r="SFQ103" s="14"/>
      <c r="SFR103" s="44"/>
      <c r="SFS103" s="38"/>
      <c r="SFT103" s="14"/>
      <c r="SFU103" s="14"/>
      <c r="SFV103" s="14"/>
      <c r="SFW103" s="14"/>
      <c r="SFX103" s="36"/>
      <c r="SFY103" s="14"/>
      <c r="SFZ103" s="44"/>
      <c r="SGA103" s="38"/>
      <c r="SGB103" s="14"/>
      <c r="SGC103" s="14"/>
      <c r="SGD103" s="14"/>
      <c r="SGE103" s="14"/>
      <c r="SGF103" s="36"/>
      <c r="SGG103" s="14"/>
      <c r="SGH103" s="44"/>
      <c r="SGI103" s="38"/>
      <c r="SGJ103" s="14"/>
      <c r="SGK103" s="14"/>
      <c r="SGL103" s="14"/>
      <c r="SGM103" s="14"/>
      <c r="SGN103" s="36"/>
      <c r="SGO103" s="14"/>
      <c r="SGP103" s="44"/>
      <c r="SGQ103" s="38"/>
      <c r="SGR103" s="14"/>
      <c r="SGS103" s="14"/>
      <c r="SGT103" s="14"/>
      <c r="SGU103" s="14"/>
      <c r="SGV103" s="36"/>
      <c r="SGW103" s="14"/>
      <c r="SGX103" s="44"/>
      <c r="SGY103" s="38"/>
      <c r="SGZ103" s="14"/>
      <c r="SHA103" s="14"/>
      <c r="SHB103" s="14"/>
      <c r="SHC103" s="14"/>
      <c r="SHD103" s="36"/>
      <c r="SHE103" s="14"/>
      <c r="SHF103" s="44"/>
      <c r="SHG103" s="38"/>
      <c r="SHH103" s="14"/>
      <c r="SHI103" s="14"/>
      <c r="SHJ103" s="14"/>
      <c r="SHK103" s="14"/>
      <c r="SHL103" s="36"/>
      <c r="SHM103" s="14"/>
      <c r="SHN103" s="44"/>
      <c r="SHO103" s="38"/>
      <c r="SHP103" s="14"/>
      <c r="SHQ103" s="14"/>
      <c r="SHR103" s="14"/>
      <c r="SHS103" s="14"/>
      <c r="SHT103" s="36"/>
      <c r="SHU103" s="14"/>
      <c r="SHV103" s="44"/>
      <c r="SHW103" s="38"/>
      <c r="SHX103" s="14"/>
      <c r="SHY103" s="14"/>
      <c r="SHZ103" s="14"/>
      <c r="SIA103" s="14"/>
      <c r="SIB103" s="36"/>
      <c r="SIC103" s="14"/>
      <c r="SID103" s="44"/>
      <c r="SIE103" s="38"/>
      <c r="SIF103" s="14"/>
      <c r="SIG103" s="14"/>
      <c r="SIH103" s="14"/>
      <c r="SII103" s="14"/>
      <c r="SIJ103" s="36"/>
      <c r="SIK103" s="14"/>
      <c r="SIL103" s="44"/>
      <c r="SIM103" s="38"/>
      <c r="SIN103" s="14"/>
      <c r="SIO103" s="14"/>
      <c r="SIP103" s="14"/>
      <c r="SIQ103" s="14"/>
      <c r="SIR103" s="36"/>
      <c r="SIS103" s="14"/>
      <c r="SIT103" s="44"/>
      <c r="SIU103" s="38"/>
      <c r="SIV103" s="14"/>
      <c r="SIW103" s="14"/>
      <c r="SIX103" s="14"/>
      <c r="SIY103" s="14"/>
      <c r="SIZ103" s="36"/>
      <c r="SJA103" s="14"/>
      <c r="SJB103" s="44"/>
      <c r="SJC103" s="38"/>
      <c r="SJD103" s="14"/>
      <c r="SJE103" s="14"/>
      <c r="SJF103" s="14"/>
      <c r="SJG103" s="14"/>
      <c r="SJH103" s="36"/>
      <c r="SJI103" s="14"/>
      <c r="SJJ103" s="44"/>
      <c r="SJK103" s="38"/>
      <c r="SJL103" s="14"/>
      <c r="SJM103" s="14"/>
      <c r="SJN103" s="14"/>
      <c r="SJO103" s="14"/>
      <c r="SJP103" s="36"/>
      <c r="SJQ103" s="14"/>
      <c r="SJR103" s="44"/>
      <c r="SJS103" s="38"/>
      <c r="SJT103" s="14"/>
      <c r="SJU103" s="14"/>
      <c r="SJV103" s="14"/>
      <c r="SJW103" s="14"/>
      <c r="SJX103" s="36"/>
      <c r="SJY103" s="14"/>
      <c r="SJZ103" s="44"/>
      <c r="SKA103" s="38"/>
      <c r="SKB103" s="14"/>
      <c r="SKC103" s="14"/>
      <c r="SKD103" s="14"/>
      <c r="SKE103" s="14"/>
      <c r="SKF103" s="36"/>
      <c r="SKG103" s="14"/>
      <c r="SKH103" s="44"/>
      <c r="SKI103" s="38"/>
      <c r="SKJ103" s="14"/>
      <c r="SKK103" s="14"/>
      <c r="SKL103" s="14"/>
      <c r="SKM103" s="14"/>
      <c r="SKN103" s="36"/>
      <c r="SKO103" s="14"/>
      <c r="SKP103" s="44"/>
      <c r="SKQ103" s="38"/>
      <c r="SKR103" s="14"/>
      <c r="SKS103" s="14"/>
      <c r="SKT103" s="14"/>
      <c r="SKU103" s="14"/>
      <c r="SKV103" s="36"/>
      <c r="SKW103" s="14"/>
      <c r="SKX103" s="44"/>
      <c r="SKY103" s="38"/>
      <c r="SKZ103" s="14"/>
      <c r="SLA103" s="14"/>
      <c r="SLB103" s="14"/>
      <c r="SLC103" s="14"/>
      <c r="SLD103" s="36"/>
      <c r="SLE103" s="14"/>
      <c r="SLF103" s="44"/>
      <c r="SLG103" s="38"/>
      <c r="SLH103" s="14"/>
      <c r="SLI103" s="14"/>
      <c r="SLJ103" s="14"/>
      <c r="SLK103" s="14"/>
      <c r="SLL103" s="36"/>
      <c r="SLM103" s="14"/>
      <c r="SLN103" s="44"/>
      <c r="SLO103" s="38"/>
      <c r="SLP103" s="14"/>
      <c r="SLQ103" s="14"/>
      <c r="SLR103" s="14"/>
      <c r="SLS103" s="14"/>
      <c r="SLT103" s="36"/>
      <c r="SLU103" s="14"/>
      <c r="SLV103" s="44"/>
      <c r="SLW103" s="38"/>
      <c r="SLX103" s="14"/>
      <c r="SLY103" s="14"/>
      <c r="SLZ103" s="14"/>
      <c r="SMA103" s="14"/>
      <c r="SMB103" s="36"/>
      <c r="SMC103" s="14"/>
      <c r="SMD103" s="44"/>
      <c r="SME103" s="38"/>
      <c r="SMF103" s="14"/>
      <c r="SMG103" s="14"/>
      <c r="SMH103" s="14"/>
      <c r="SMI103" s="14"/>
      <c r="SMJ103" s="36"/>
      <c r="SMK103" s="14"/>
      <c r="SML103" s="44"/>
      <c r="SMM103" s="38"/>
      <c r="SMN103" s="14"/>
      <c r="SMO103" s="14"/>
      <c r="SMP103" s="14"/>
      <c r="SMQ103" s="14"/>
      <c r="SMR103" s="36"/>
      <c r="SMS103" s="14"/>
      <c r="SMT103" s="44"/>
      <c r="SMU103" s="38"/>
      <c r="SMV103" s="14"/>
      <c r="SMW103" s="14"/>
      <c r="SMX103" s="14"/>
      <c r="SMY103" s="14"/>
      <c r="SMZ103" s="36"/>
      <c r="SNA103" s="14"/>
      <c r="SNB103" s="44"/>
      <c r="SNC103" s="38"/>
      <c r="SND103" s="14"/>
      <c r="SNE103" s="14"/>
      <c r="SNF103" s="14"/>
      <c r="SNG103" s="14"/>
      <c r="SNH103" s="36"/>
      <c r="SNI103" s="14"/>
      <c r="SNJ103" s="44"/>
      <c r="SNK103" s="38"/>
      <c r="SNL103" s="14"/>
      <c r="SNM103" s="14"/>
      <c r="SNN103" s="14"/>
      <c r="SNO103" s="14"/>
      <c r="SNP103" s="36"/>
      <c r="SNQ103" s="14"/>
      <c r="SNR103" s="44"/>
      <c r="SNS103" s="38"/>
      <c r="SNT103" s="14"/>
      <c r="SNU103" s="14"/>
      <c r="SNV103" s="14"/>
      <c r="SNW103" s="14"/>
      <c r="SNX103" s="36"/>
      <c r="SNY103" s="14"/>
      <c r="SNZ103" s="44"/>
      <c r="SOA103" s="38"/>
      <c r="SOB103" s="14"/>
      <c r="SOC103" s="14"/>
      <c r="SOD103" s="14"/>
      <c r="SOE103" s="14"/>
      <c r="SOF103" s="36"/>
      <c r="SOG103" s="14"/>
      <c r="SOH103" s="44"/>
      <c r="SOI103" s="38"/>
      <c r="SOJ103" s="14"/>
      <c r="SOK103" s="14"/>
      <c r="SOL103" s="14"/>
      <c r="SOM103" s="14"/>
      <c r="SON103" s="36"/>
      <c r="SOO103" s="14"/>
      <c r="SOP103" s="44"/>
      <c r="SOQ103" s="38"/>
      <c r="SOR103" s="14"/>
      <c r="SOS103" s="14"/>
      <c r="SOT103" s="14"/>
      <c r="SOU103" s="14"/>
      <c r="SOV103" s="36"/>
      <c r="SOW103" s="14"/>
      <c r="SOX103" s="44"/>
      <c r="SOY103" s="38"/>
      <c r="SOZ103" s="14"/>
      <c r="SPA103" s="14"/>
      <c r="SPB103" s="14"/>
      <c r="SPC103" s="14"/>
      <c r="SPD103" s="36"/>
      <c r="SPE103" s="14"/>
      <c r="SPF103" s="44"/>
      <c r="SPG103" s="38"/>
      <c r="SPH103" s="14"/>
      <c r="SPI103" s="14"/>
      <c r="SPJ103" s="14"/>
      <c r="SPK103" s="14"/>
      <c r="SPL103" s="36"/>
      <c r="SPM103" s="14"/>
      <c r="SPN103" s="44"/>
      <c r="SPO103" s="38"/>
      <c r="SPP103" s="14"/>
      <c r="SPQ103" s="14"/>
      <c r="SPR103" s="14"/>
      <c r="SPS103" s="14"/>
      <c r="SPT103" s="36"/>
      <c r="SPU103" s="14"/>
      <c r="SPV103" s="44"/>
      <c r="SPW103" s="38"/>
      <c r="SPX103" s="14"/>
      <c r="SPY103" s="14"/>
      <c r="SPZ103" s="14"/>
      <c r="SQA103" s="14"/>
      <c r="SQB103" s="36"/>
      <c r="SQC103" s="14"/>
      <c r="SQD103" s="44"/>
      <c r="SQE103" s="38"/>
      <c r="SQF103" s="14"/>
      <c r="SQG103" s="14"/>
      <c r="SQH103" s="14"/>
      <c r="SQI103" s="14"/>
      <c r="SQJ103" s="36"/>
      <c r="SQK103" s="14"/>
      <c r="SQL103" s="44"/>
      <c r="SQM103" s="38"/>
      <c r="SQN103" s="14"/>
      <c r="SQO103" s="14"/>
      <c r="SQP103" s="14"/>
      <c r="SQQ103" s="14"/>
      <c r="SQR103" s="36"/>
      <c r="SQS103" s="14"/>
      <c r="SQT103" s="44"/>
      <c r="SQU103" s="38"/>
      <c r="SQV103" s="14"/>
      <c r="SQW103" s="14"/>
      <c r="SQX103" s="14"/>
      <c r="SQY103" s="14"/>
      <c r="SQZ103" s="36"/>
      <c r="SRA103" s="14"/>
      <c r="SRB103" s="44"/>
      <c r="SRC103" s="38"/>
      <c r="SRD103" s="14"/>
      <c r="SRE103" s="14"/>
      <c r="SRF103" s="14"/>
      <c r="SRG103" s="14"/>
      <c r="SRH103" s="36"/>
      <c r="SRI103" s="14"/>
      <c r="SRJ103" s="44"/>
      <c r="SRK103" s="38"/>
      <c r="SRL103" s="14"/>
      <c r="SRM103" s="14"/>
      <c r="SRN103" s="14"/>
      <c r="SRO103" s="14"/>
      <c r="SRP103" s="36"/>
      <c r="SRQ103" s="14"/>
      <c r="SRR103" s="44"/>
      <c r="SRS103" s="38"/>
      <c r="SRT103" s="14"/>
      <c r="SRU103" s="14"/>
      <c r="SRV103" s="14"/>
      <c r="SRW103" s="14"/>
      <c r="SRX103" s="36"/>
      <c r="SRY103" s="14"/>
      <c r="SRZ103" s="44"/>
      <c r="SSA103" s="38"/>
      <c r="SSB103" s="14"/>
      <c r="SSC103" s="14"/>
      <c r="SSD103" s="14"/>
      <c r="SSE103" s="14"/>
      <c r="SSF103" s="36"/>
      <c r="SSG103" s="14"/>
      <c r="SSH103" s="44"/>
      <c r="SSI103" s="38"/>
      <c r="SSJ103" s="14"/>
      <c r="SSK103" s="14"/>
      <c r="SSL103" s="14"/>
      <c r="SSM103" s="14"/>
      <c r="SSN103" s="36"/>
      <c r="SSO103" s="14"/>
      <c r="SSP103" s="44"/>
      <c r="SSQ103" s="38"/>
      <c r="SSR103" s="14"/>
      <c r="SSS103" s="14"/>
      <c r="SST103" s="14"/>
      <c r="SSU103" s="14"/>
      <c r="SSV103" s="36"/>
      <c r="SSW103" s="14"/>
      <c r="SSX103" s="44"/>
      <c r="SSY103" s="38"/>
      <c r="SSZ103" s="14"/>
      <c r="STA103" s="14"/>
      <c r="STB103" s="14"/>
      <c r="STC103" s="14"/>
      <c r="STD103" s="36"/>
      <c r="STE103" s="14"/>
      <c r="STF103" s="44"/>
      <c r="STG103" s="38"/>
      <c r="STH103" s="14"/>
      <c r="STI103" s="14"/>
      <c r="STJ103" s="14"/>
      <c r="STK103" s="14"/>
      <c r="STL103" s="36"/>
      <c r="STM103" s="14"/>
      <c r="STN103" s="44"/>
      <c r="STO103" s="38"/>
      <c r="STP103" s="14"/>
      <c r="STQ103" s="14"/>
      <c r="STR103" s="14"/>
      <c r="STS103" s="14"/>
      <c r="STT103" s="36"/>
      <c r="STU103" s="14"/>
      <c r="STV103" s="44"/>
      <c r="STW103" s="38"/>
      <c r="STX103" s="14"/>
      <c r="STY103" s="14"/>
      <c r="STZ103" s="14"/>
      <c r="SUA103" s="14"/>
      <c r="SUB103" s="36"/>
      <c r="SUC103" s="14"/>
      <c r="SUD103" s="44"/>
      <c r="SUE103" s="38"/>
      <c r="SUF103" s="14"/>
      <c r="SUG103" s="14"/>
      <c r="SUH103" s="14"/>
      <c r="SUI103" s="14"/>
      <c r="SUJ103" s="36"/>
      <c r="SUK103" s="14"/>
      <c r="SUL103" s="44"/>
      <c r="SUM103" s="38"/>
      <c r="SUN103" s="14"/>
      <c r="SUO103" s="14"/>
      <c r="SUP103" s="14"/>
      <c r="SUQ103" s="14"/>
      <c r="SUR103" s="36"/>
      <c r="SUS103" s="14"/>
      <c r="SUT103" s="44"/>
      <c r="SUU103" s="38"/>
      <c r="SUV103" s="14"/>
      <c r="SUW103" s="14"/>
      <c r="SUX103" s="14"/>
      <c r="SUY103" s="14"/>
      <c r="SUZ103" s="36"/>
      <c r="SVA103" s="14"/>
      <c r="SVB103" s="44"/>
      <c r="SVC103" s="38"/>
      <c r="SVD103" s="14"/>
      <c r="SVE103" s="14"/>
      <c r="SVF103" s="14"/>
      <c r="SVG103" s="14"/>
      <c r="SVH103" s="36"/>
      <c r="SVI103" s="14"/>
      <c r="SVJ103" s="44"/>
      <c r="SVK103" s="38"/>
      <c r="SVL103" s="14"/>
      <c r="SVM103" s="14"/>
      <c r="SVN103" s="14"/>
      <c r="SVO103" s="14"/>
      <c r="SVP103" s="36"/>
      <c r="SVQ103" s="14"/>
      <c r="SVR103" s="44"/>
      <c r="SVS103" s="38"/>
      <c r="SVT103" s="14"/>
      <c r="SVU103" s="14"/>
      <c r="SVV103" s="14"/>
      <c r="SVW103" s="14"/>
      <c r="SVX103" s="36"/>
      <c r="SVY103" s="14"/>
      <c r="SVZ103" s="44"/>
      <c r="SWA103" s="38"/>
      <c r="SWB103" s="14"/>
      <c r="SWC103" s="14"/>
      <c r="SWD103" s="14"/>
      <c r="SWE103" s="14"/>
      <c r="SWF103" s="36"/>
      <c r="SWG103" s="14"/>
      <c r="SWH103" s="44"/>
      <c r="SWI103" s="38"/>
      <c r="SWJ103" s="14"/>
      <c r="SWK103" s="14"/>
      <c r="SWL103" s="14"/>
      <c r="SWM103" s="14"/>
      <c r="SWN103" s="36"/>
      <c r="SWO103" s="14"/>
      <c r="SWP103" s="44"/>
      <c r="SWQ103" s="38"/>
      <c r="SWR103" s="14"/>
      <c r="SWS103" s="14"/>
      <c r="SWT103" s="14"/>
      <c r="SWU103" s="14"/>
      <c r="SWV103" s="36"/>
      <c r="SWW103" s="14"/>
      <c r="SWX103" s="44"/>
      <c r="SWY103" s="38"/>
      <c r="SWZ103" s="14"/>
      <c r="SXA103" s="14"/>
      <c r="SXB103" s="14"/>
      <c r="SXC103" s="14"/>
      <c r="SXD103" s="36"/>
      <c r="SXE103" s="14"/>
      <c r="SXF103" s="44"/>
      <c r="SXG103" s="38"/>
      <c r="SXH103" s="14"/>
      <c r="SXI103" s="14"/>
      <c r="SXJ103" s="14"/>
      <c r="SXK103" s="14"/>
      <c r="SXL103" s="36"/>
      <c r="SXM103" s="14"/>
      <c r="SXN103" s="44"/>
      <c r="SXO103" s="38"/>
      <c r="SXP103" s="14"/>
      <c r="SXQ103" s="14"/>
      <c r="SXR103" s="14"/>
      <c r="SXS103" s="14"/>
      <c r="SXT103" s="36"/>
      <c r="SXU103" s="14"/>
      <c r="SXV103" s="44"/>
      <c r="SXW103" s="38"/>
      <c r="SXX103" s="14"/>
      <c r="SXY103" s="14"/>
      <c r="SXZ103" s="14"/>
      <c r="SYA103" s="14"/>
      <c r="SYB103" s="36"/>
      <c r="SYC103" s="14"/>
      <c r="SYD103" s="44"/>
      <c r="SYE103" s="38"/>
      <c r="SYF103" s="14"/>
      <c r="SYG103" s="14"/>
      <c r="SYH103" s="14"/>
      <c r="SYI103" s="14"/>
      <c r="SYJ103" s="36"/>
      <c r="SYK103" s="14"/>
      <c r="SYL103" s="44"/>
      <c r="SYM103" s="38"/>
      <c r="SYN103" s="14"/>
      <c r="SYO103" s="14"/>
      <c r="SYP103" s="14"/>
      <c r="SYQ103" s="14"/>
      <c r="SYR103" s="36"/>
      <c r="SYS103" s="14"/>
      <c r="SYT103" s="44"/>
      <c r="SYU103" s="38"/>
      <c r="SYV103" s="14"/>
      <c r="SYW103" s="14"/>
      <c r="SYX103" s="14"/>
      <c r="SYY103" s="14"/>
      <c r="SYZ103" s="36"/>
      <c r="SZA103" s="14"/>
      <c r="SZB103" s="44"/>
      <c r="SZC103" s="38"/>
      <c r="SZD103" s="14"/>
      <c r="SZE103" s="14"/>
      <c r="SZF103" s="14"/>
      <c r="SZG103" s="14"/>
      <c r="SZH103" s="36"/>
      <c r="SZI103" s="14"/>
      <c r="SZJ103" s="44"/>
      <c r="SZK103" s="38"/>
      <c r="SZL103" s="14"/>
      <c r="SZM103" s="14"/>
      <c r="SZN103" s="14"/>
      <c r="SZO103" s="14"/>
      <c r="SZP103" s="36"/>
      <c r="SZQ103" s="14"/>
      <c r="SZR103" s="44"/>
      <c r="SZS103" s="38"/>
      <c r="SZT103" s="14"/>
      <c r="SZU103" s="14"/>
      <c r="SZV103" s="14"/>
      <c r="SZW103" s="14"/>
      <c r="SZX103" s="36"/>
      <c r="SZY103" s="14"/>
      <c r="SZZ103" s="44"/>
      <c r="TAA103" s="38"/>
      <c r="TAB103" s="14"/>
      <c r="TAC103" s="14"/>
      <c r="TAD103" s="14"/>
      <c r="TAE103" s="14"/>
      <c r="TAF103" s="36"/>
      <c r="TAG103" s="14"/>
      <c r="TAH103" s="44"/>
      <c r="TAI103" s="38"/>
      <c r="TAJ103" s="14"/>
      <c r="TAK103" s="14"/>
      <c r="TAL103" s="14"/>
      <c r="TAM103" s="14"/>
      <c r="TAN103" s="36"/>
      <c r="TAO103" s="14"/>
      <c r="TAP103" s="44"/>
      <c r="TAQ103" s="38"/>
      <c r="TAR103" s="14"/>
      <c r="TAS103" s="14"/>
      <c r="TAT103" s="14"/>
      <c r="TAU103" s="14"/>
      <c r="TAV103" s="36"/>
      <c r="TAW103" s="14"/>
      <c r="TAX103" s="44"/>
      <c r="TAY103" s="38"/>
      <c r="TAZ103" s="14"/>
      <c r="TBA103" s="14"/>
      <c r="TBB103" s="14"/>
      <c r="TBC103" s="14"/>
      <c r="TBD103" s="36"/>
      <c r="TBE103" s="14"/>
      <c r="TBF103" s="44"/>
      <c r="TBG103" s="38"/>
      <c r="TBH103" s="14"/>
      <c r="TBI103" s="14"/>
      <c r="TBJ103" s="14"/>
      <c r="TBK103" s="14"/>
      <c r="TBL103" s="36"/>
      <c r="TBM103" s="14"/>
      <c r="TBN103" s="44"/>
      <c r="TBO103" s="38"/>
      <c r="TBP103" s="14"/>
      <c r="TBQ103" s="14"/>
      <c r="TBR103" s="14"/>
      <c r="TBS103" s="14"/>
      <c r="TBT103" s="36"/>
      <c r="TBU103" s="14"/>
      <c r="TBV103" s="44"/>
      <c r="TBW103" s="38"/>
      <c r="TBX103" s="14"/>
      <c r="TBY103" s="14"/>
      <c r="TBZ103" s="14"/>
      <c r="TCA103" s="14"/>
      <c r="TCB103" s="36"/>
      <c r="TCC103" s="14"/>
      <c r="TCD103" s="44"/>
      <c r="TCE103" s="38"/>
      <c r="TCF103" s="14"/>
      <c r="TCG103" s="14"/>
      <c r="TCH103" s="14"/>
      <c r="TCI103" s="14"/>
      <c r="TCJ103" s="36"/>
      <c r="TCK103" s="14"/>
      <c r="TCL103" s="44"/>
      <c r="TCM103" s="38"/>
      <c r="TCN103" s="14"/>
      <c r="TCO103" s="14"/>
      <c r="TCP103" s="14"/>
      <c r="TCQ103" s="14"/>
      <c r="TCR103" s="36"/>
      <c r="TCS103" s="14"/>
      <c r="TCT103" s="44"/>
      <c r="TCU103" s="38"/>
      <c r="TCV103" s="14"/>
      <c r="TCW103" s="14"/>
      <c r="TCX103" s="14"/>
      <c r="TCY103" s="14"/>
      <c r="TCZ103" s="36"/>
      <c r="TDA103" s="14"/>
      <c r="TDB103" s="44"/>
      <c r="TDC103" s="38"/>
      <c r="TDD103" s="14"/>
      <c r="TDE103" s="14"/>
      <c r="TDF103" s="14"/>
      <c r="TDG103" s="14"/>
      <c r="TDH103" s="36"/>
      <c r="TDI103" s="14"/>
      <c r="TDJ103" s="44"/>
      <c r="TDK103" s="38"/>
      <c r="TDL103" s="14"/>
      <c r="TDM103" s="14"/>
      <c r="TDN103" s="14"/>
      <c r="TDO103" s="14"/>
      <c r="TDP103" s="36"/>
      <c r="TDQ103" s="14"/>
      <c r="TDR103" s="44"/>
      <c r="TDS103" s="38"/>
      <c r="TDT103" s="14"/>
      <c r="TDU103" s="14"/>
      <c r="TDV103" s="14"/>
      <c r="TDW103" s="14"/>
      <c r="TDX103" s="36"/>
      <c r="TDY103" s="14"/>
      <c r="TDZ103" s="44"/>
      <c r="TEA103" s="38"/>
      <c r="TEB103" s="14"/>
      <c r="TEC103" s="14"/>
      <c r="TED103" s="14"/>
      <c r="TEE103" s="14"/>
      <c r="TEF103" s="36"/>
      <c r="TEG103" s="14"/>
      <c r="TEH103" s="44"/>
      <c r="TEI103" s="38"/>
      <c r="TEJ103" s="14"/>
      <c r="TEK103" s="14"/>
      <c r="TEL103" s="14"/>
      <c r="TEM103" s="14"/>
      <c r="TEN103" s="36"/>
      <c r="TEO103" s="14"/>
      <c r="TEP103" s="44"/>
      <c r="TEQ103" s="38"/>
      <c r="TER103" s="14"/>
      <c r="TES103" s="14"/>
      <c r="TET103" s="14"/>
      <c r="TEU103" s="14"/>
      <c r="TEV103" s="36"/>
      <c r="TEW103" s="14"/>
      <c r="TEX103" s="44"/>
      <c r="TEY103" s="38"/>
      <c r="TEZ103" s="14"/>
      <c r="TFA103" s="14"/>
      <c r="TFB103" s="14"/>
      <c r="TFC103" s="14"/>
      <c r="TFD103" s="36"/>
      <c r="TFE103" s="14"/>
      <c r="TFF103" s="44"/>
      <c r="TFG103" s="38"/>
      <c r="TFH103" s="14"/>
      <c r="TFI103" s="14"/>
      <c r="TFJ103" s="14"/>
      <c r="TFK103" s="14"/>
      <c r="TFL103" s="36"/>
      <c r="TFM103" s="14"/>
      <c r="TFN103" s="44"/>
      <c r="TFO103" s="38"/>
      <c r="TFP103" s="14"/>
      <c r="TFQ103" s="14"/>
      <c r="TFR103" s="14"/>
      <c r="TFS103" s="14"/>
      <c r="TFT103" s="36"/>
      <c r="TFU103" s="14"/>
      <c r="TFV103" s="44"/>
      <c r="TFW103" s="38"/>
      <c r="TFX103" s="14"/>
      <c r="TFY103" s="14"/>
      <c r="TFZ103" s="14"/>
      <c r="TGA103" s="14"/>
      <c r="TGB103" s="36"/>
      <c r="TGC103" s="14"/>
      <c r="TGD103" s="44"/>
      <c r="TGE103" s="38"/>
      <c r="TGF103" s="14"/>
      <c r="TGG103" s="14"/>
      <c r="TGH103" s="14"/>
      <c r="TGI103" s="14"/>
      <c r="TGJ103" s="36"/>
      <c r="TGK103" s="14"/>
      <c r="TGL103" s="44"/>
      <c r="TGM103" s="38"/>
      <c r="TGN103" s="14"/>
      <c r="TGO103" s="14"/>
      <c r="TGP103" s="14"/>
      <c r="TGQ103" s="14"/>
      <c r="TGR103" s="36"/>
      <c r="TGS103" s="14"/>
      <c r="TGT103" s="44"/>
      <c r="TGU103" s="38"/>
      <c r="TGV103" s="14"/>
      <c r="TGW103" s="14"/>
      <c r="TGX103" s="14"/>
      <c r="TGY103" s="14"/>
      <c r="TGZ103" s="36"/>
      <c r="THA103" s="14"/>
      <c r="THB103" s="44"/>
      <c r="THC103" s="38"/>
      <c r="THD103" s="14"/>
      <c r="THE103" s="14"/>
      <c r="THF103" s="14"/>
      <c r="THG103" s="14"/>
      <c r="THH103" s="36"/>
      <c r="THI103" s="14"/>
      <c r="THJ103" s="44"/>
      <c r="THK103" s="38"/>
      <c r="THL103" s="14"/>
      <c r="THM103" s="14"/>
      <c r="THN103" s="14"/>
      <c r="THO103" s="14"/>
      <c r="THP103" s="36"/>
      <c r="THQ103" s="14"/>
      <c r="THR103" s="44"/>
      <c r="THS103" s="38"/>
      <c r="THT103" s="14"/>
      <c r="THU103" s="14"/>
      <c r="THV103" s="14"/>
      <c r="THW103" s="14"/>
      <c r="THX103" s="36"/>
      <c r="THY103" s="14"/>
      <c r="THZ103" s="44"/>
      <c r="TIA103" s="38"/>
      <c r="TIB103" s="14"/>
      <c r="TIC103" s="14"/>
      <c r="TID103" s="14"/>
      <c r="TIE103" s="14"/>
      <c r="TIF103" s="36"/>
      <c r="TIG103" s="14"/>
      <c r="TIH103" s="44"/>
      <c r="TII103" s="38"/>
      <c r="TIJ103" s="14"/>
      <c r="TIK103" s="14"/>
      <c r="TIL103" s="14"/>
      <c r="TIM103" s="14"/>
      <c r="TIN103" s="36"/>
      <c r="TIO103" s="14"/>
      <c r="TIP103" s="44"/>
      <c r="TIQ103" s="38"/>
      <c r="TIR103" s="14"/>
      <c r="TIS103" s="14"/>
      <c r="TIT103" s="14"/>
      <c r="TIU103" s="14"/>
      <c r="TIV103" s="36"/>
      <c r="TIW103" s="14"/>
      <c r="TIX103" s="44"/>
      <c r="TIY103" s="38"/>
      <c r="TIZ103" s="14"/>
      <c r="TJA103" s="14"/>
      <c r="TJB103" s="14"/>
      <c r="TJC103" s="14"/>
      <c r="TJD103" s="36"/>
      <c r="TJE103" s="14"/>
      <c r="TJF103" s="44"/>
      <c r="TJG103" s="38"/>
      <c r="TJH103" s="14"/>
      <c r="TJI103" s="14"/>
      <c r="TJJ103" s="14"/>
      <c r="TJK103" s="14"/>
      <c r="TJL103" s="36"/>
      <c r="TJM103" s="14"/>
      <c r="TJN103" s="44"/>
      <c r="TJO103" s="38"/>
      <c r="TJP103" s="14"/>
      <c r="TJQ103" s="14"/>
      <c r="TJR103" s="14"/>
      <c r="TJS103" s="14"/>
      <c r="TJT103" s="36"/>
      <c r="TJU103" s="14"/>
      <c r="TJV103" s="44"/>
      <c r="TJW103" s="38"/>
      <c r="TJX103" s="14"/>
      <c r="TJY103" s="14"/>
      <c r="TJZ103" s="14"/>
      <c r="TKA103" s="14"/>
      <c r="TKB103" s="36"/>
      <c r="TKC103" s="14"/>
      <c r="TKD103" s="44"/>
      <c r="TKE103" s="38"/>
      <c r="TKF103" s="14"/>
      <c r="TKG103" s="14"/>
      <c r="TKH103" s="14"/>
      <c r="TKI103" s="14"/>
      <c r="TKJ103" s="36"/>
      <c r="TKK103" s="14"/>
      <c r="TKL103" s="44"/>
      <c r="TKM103" s="38"/>
      <c r="TKN103" s="14"/>
      <c r="TKO103" s="14"/>
      <c r="TKP103" s="14"/>
      <c r="TKQ103" s="14"/>
      <c r="TKR103" s="36"/>
      <c r="TKS103" s="14"/>
      <c r="TKT103" s="44"/>
      <c r="TKU103" s="38"/>
      <c r="TKV103" s="14"/>
      <c r="TKW103" s="14"/>
      <c r="TKX103" s="14"/>
      <c r="TKY103" s="14"/>
      <c r="TKZ103" s="36"/>
      <c r="TLA103" s="14"/>
      <c r="TLB103" s="44"/>
      <c r="TLC103" s="38"/>
      <c r="TLD103" s="14"/>
      <c r="TLE103" s="14"/>
      <c r="TLF103" s="14"/>
      <c r="TLG103" s="14"/>
      <c r="TLH103" s="36"/>
      <c r="TLI103" s="14"/>
      <c r="TLJ103" s="44"/>
      <c r="TLK103" s="38"/>
      <c r="TLL103" s="14"/>
      <c r="TLM103" s="14"/>
      <c r="TLN103" s="14"/>
      <c r="TLO103" s="14"/>
      <c r="TLP103" s="36"/>
      <c r="TLQ103" s="14"/>
      <c r="TLR103" s="44"/>
      <c r="TLS103" s="38"/>
      <c r="TLT103" s="14"/>
      <c r="TLU103" s="14"/>
      <c r="TLV103" s="14"/>
      <c r="TLW103" s="14"/>
      <c r="TLX103" s="36"/>
      <c r="TLY103" s="14"/>
      <c r="TLZ103" s="44"/>
      <c r="TMA103" s="38"/>
      <c r="TMB103" s="14"/>
      <c r="TMC103" s="14"/>
      <c r="TMD103" s="14"/>
      <c r="TME103" s="14"/>
      <c r="TMF103" s="36"/>
      <c r="TMG103" s="14"/>
      <c r="TMH103" s="44"/>
      <c r="TMI103" s="38"/>
      <c r="TMJ103" s="14"/>
      <c r="TMK103" s="14"/>
      <c r="TML103" s="14"/>
      <c r="TMM103" s="14"/>
      <c r="TMN103" s="36"/>
      <c r="TMO103" s="14"/>
      <c r="TMP103" s="44"/>
      <c r="TMQ103" s="38"/>
      <c r="TMR103" s="14"/>
      <c r="TMS103" s="14"/>
      <c r="TMT103" s="14"/>
      <c r="TMU103" s="14"/>
      <c r="TMV103" s="36"/>
      <c r="TMW103" s="14"/>
      <c r="TMX103" s="44"/>
      <c r="TMY103" s="38"/>
      <c r="TMZ103" s="14"/>
      <c r="TNA103" s="14"/>
      <c r="TNB103" s="14"/>
      <c r="TNC103" s="14"/>
      <c r="TND103" s="36"/>
      <c r="TNE103" s="14"/>
      <c r="TNF103" s="44"/>
      <c r="TNG103" s="38"/>
      <c r="TNH103" s="14"/>
      <c r="TNI103" s="14"/>
      <c r="TNJ103" s="14"/>
      <c r="TNK103" s="14"/>
      <c r="TNL103" s="36"/>
      <c r="TNM103" s="14"/>
      <c r="TNN103" s="44"/>
      <c r="TNO103" s="38"/>
      <c r="TNP103" s="14"/>
      <c r="TNQ103" s="14"/>
      <c r="TNR103" s="14"/>
      <c r="TNS103" s="14"/>
      <c r="TNT103" s="36"/>
      <c r="TNU103" s="14"/>
      <c r="TNV103" s="44"/>
      <c r="TNW103" s="38"/>
      <c r="TNX103" s="14"/>
      <c r="TNY103" s="14"/>
      <c r="TNZ103" s="14"/>
      <c r="TOA103" s="14"/>
      <c r="TOB103" s="36"/>
      <c r="TOC103" s="14"/>
      <c r="TOD103" s="44"/>
      <c r="TOE103" s="38"/>
      <c r="TOF103" s="14"/>
      <c r="TOG103" s="14"/>
      <c r="TOH103" s="14"/>
      <c r="TOI103" s="14"/>
      <c r="TOJ103" s="36"/>
      <c r="TOK103" s="14"/>
      <c r="TOL103" s="44"/>
      <c r="TOM103" s="38"/>
      <c r="TON103" s="14"/>
      <c r="TOO103" s="14"/>
      <c r="TOP103" s="14"/>
      <c r="TOQ103" s="14"/>
      <c r="TOR103" s="36"/>
      <c r="TOS103" s="14"/>
      <c r="TOT103" s="44"/>
      <c r="TOU103" s="38"/>
      <c r="TOV103" s="14"/>
      <c r="TOW103" s="14"/>
      <c r="TOX103" s="14"/>
      <c r="TOY103" s="14"/>
      <c r="TOZ103" s="36"/>
      <c r="TPA103" s="14"/>
      <c r="TPB103" s="44"/>
      <c r="TPC103" s="38"/>
      <c r="TPD103" s="14"/>
      <c r="TPE103" s="14"/>
      <c r="TPF103" s="14"/>
      <c r="TPG103" s="14"/>
      <c r="TPH103" s="36"/>
      <c r="TPI103" s="14"/>
      <c r="TPJ103" s="44"/>
      <c r="TPK103" s="38"/>
      <c r="TPL103" s="14"/>
      <c r="TPM103" s="14"/>
      <c r="TPN103" s="14"/>
      <c r="TPO103" s="14"/>
      <c r="TPP103" s="36"/>
      <c r="TPQ103" s="14"/>
      <c r="TPR103" s="44"/>
      <c r="TPS103" s="38"/>
      <c r="TPT103" s="14"/>
      <c r="TPU103" s="14"/>
      <c r="TPV103" s="14"/>
      <c r="TPW103" s="14"/>
      <c r="TPX103" s="36"/>
      <c r="TPY103" s="14"/>
      <c r="TPZ103" s="44"/>
      <c r="TQA103" s="38"/>
      <c r="TQB103" s="14"/>
      <c r="TQC103" s="14"/>
      <c r="TQD103" s="14"/>
      <c r="TQE103" s="14"/>
      <c r="TQF103" s="36"/>
      <c r="TQG103" s="14"/>
      <c r="TQH103" s="44"/>
      <c r="TQI103" s="38"/>
      <c r="TQJ103" s="14"/>
      <c r="TQK103" s="14"/>
      <c r="TQL103" s="14"/>
      <c r="TQM103" s="14"/>
      <c r="TQN103" s="36"/>
      <c r="TQO103" s="14"/>
      <c r="TQP103" s="44"/>
      <c r="TQQ103" s="38"/>
      <c r="TQR103" s="14"/>
      <c r="TQS103" s="14"/>
      <c r="TQT103" s="14"/>
      <c r="TQU103" s="14"/>
      <c r="TQV103" s="36"/>
      <c r="TQW103" s="14"/>
      <c r="TQX103" s="44"/>
      <c r="TQY103" s="38"/>
      <c r="TQZ103" s="14"/>
      <c r="TRA103" s="14"/>
      <c r="TRB103" s="14"/>
      <c r="TRC103" s="14"/>
      <c r="TRD103" s="36"/>
      <c r="TRE103" s="14"/>
      <c r="TRF103" s="44"/>
      <c r="TRG103" s="38"/>
      <c r="TRH103" s="14"/>
      <c r="TRI103" s="14"/>
      <c r="TRJ103" s="14"/>
      <c r="TRK103" s="14"/>
      <c r="TRL103" s="36"/>
      <c r="TRM103" s="14"/>
      <c r="TRN103" s="44"/>
      <c r="TRO103" s="38"/>
      <c r="TRP103" s="14"/>
      <c r="TRQ103" s="14"/>
      <c r="TRR103" s="14"/>
      <c r="TRS103" s="14"/>
      <c r="TRT103" s="36"/>
      <c r="TRU103" s="14"/>
      <c r="TRV103" s="44"/>
      <c r="TRW103" s="38"/>
      <c r="TRX103" s="14"/>
      <c r="TRY103" s="14"/>
      <c r="TRZ103" s="14"/>
      <c r="TSA103" s="14"/>
      <c r="TSB103" s="36"/>
      <c r="TSC103" s="14"/>
      <c r="TSD103" s="44"/>
      <c r="TSE103" s="38"/>
      <c r="TSF103" s="14"/>
      <c r="TSG103" s="14"/>
      <c r="TSH103" s="14"/>
      <c r="TSI103" s="14"/>
      <c r="TSJ103" s="36"/>
      <c r="TSK103" s="14"/>
      <c r="TSL103" s="44"/>
      <c r="TSM103" s="38"/>
      <c r="TSN103" s="14"/>
      <c r="TSO103" s="14"/>
      <c r="TSP103" s="14"/>
      <c r="TSQ103" s="14"/>
      <c r="TSR103" s="36"/>
      <c r="TSS103" s="14"/>
      <c r="TST103" s="44"/>
      <c r="TSU103" s="38"/>
      <c r="TSV103" s="14"/>
      <c r="TSW103" s="14"/>
      <c r="TSX103" s="14"/>
      <c r="TSY103" s="14"/>
      <c r="TSZ103" s="36"/>
      <c r="TTA103" s="14"/>
      <c r="TTB103" s="44"/>
      <c r="TTC103" s="38"/>
      <c r="TTD103" s="14"/>
      <c r="TTE103" s="14"/>
      <c r="TTF103" s="14"/>
      <c r="TTG103" s="14"/>
      <c r="TTH103" s="36"/>
      <c r="TTI103" s="14"/>
      <c r="TTJ103" s="44"/>
      <c r="TTK103" s="38"/>
      <c r="TTL103" s="14"/>
      <c r="TTM103" s="14"/>
      <c r="TTN103" s="14"/>
      <c r="TTO103" s="14"/>
      <c r="TTP103" s="36"/>
      <c r="TTQ103" s="14"/>
      <c r="TTR103" s="44"/>
      <c r="TTS103" s="38"/>
      <c r="TTT103" s="14"/>
      <c r="TTU103" s="14"/>
      <c r="TTV103" s="14"/>
      <c r="TTW103" s="14"/>
      <c r="TTX103" s="36"/>
      <c r="TTY103" s="14"/>
      <c r="TTZ103" s="44"/>
      <c r="TUA103" s="38"/>
      <c r="TUB103" s="14"/>
      <c r="TUC103" s="14"/>
      <c r="TUD103" s="14"/>
      <c r="TUE103" s="14"/>
      <c r="TUF103" s="36"/>
      <c r="TUG103" s="14"/>
      <c r="TUH103" s="44"/>
      <c r="TUI103" s="38"/>
      <c r="TUJ103" s="14"/>
      <c r="TUK103" s="14"/>
      <c r="TUL103" s="14"/>
      <c r="TUM103" s="14"/>
      <c r="TUN103" s="36"/>
      <c r="TUO103" s="14"/>
      <c r="TUP103" s="44"/>
      <c r="TUQ103" s="38"/>
      <c r="TUR103" s="14"/>
      <c r="TUS103" s="14"/>
      <c r="TUT103" s="14"/>
      <c r="TUU103" s="14"/>
      <c r="TUV103" s="36"/>
      <c r="TUW103" s="14"/>
      <c r="TUX103" s="44"/>
      <c r="TUY103" s="38"/>
      <c r="TUZ103" s="14"/>
      <c r="TVA103" s="14"/>
      <c r="TVB103" s="14"/>
      <c r="TVC103" s="14"/>
      <c r="TVD103" s="36"/>
      <c r="TVE103" s="14"/>
      <c r="TVF103" s="44"/>
      <c r="TVG103" s="38"/>
      <c r="TVH103" s="14"/>
      <c r="TVI103" s="14"/>
      <c r="TVJ103" s="14"/>
      <c r="TVK103" s="14"/>
      <c r="TVL103" s="36"/>
      <c r="TVM103" s="14"/>
      <c r="TVN103" s="44"/>
      <c r="TVO103" s="38"/>
      <c r="TVP103" s="14"/>
      <c r="TVQ103" s="14"/>
      <c r="TVR103" s="14"/>
      <c r="TVS103" s="14"/>
      <c r="TVT103" s="36"/>
      <c r="TVU103" s="14"/>
      <c r="TVV103" s="44"/>
      <c r="TVW103" s="38"/>
      <c r="TVX103" s="14"/>
      <c r="TVY103" s="14"/>
      <c r="TVZ103" s="14"/>
      <c r="TWA103" s="14"/>
      <c r="TWB103" s="36"/>
      <c r="TWC103" s="14"/>
      <c r="TWD103" s="44"/>
      <c r="TWE103" s="38"/>
      <c r="TWF103" s="14"/>
      <c r="TWG103" s="14"/>
      <c r="TWH103" s="14"/>
      <c r="TWI103" s="14"/>
      <c r="TWJ103" s="36"/>
      <c r="TWK103" s="14"/>
      <c r="TWL103" s="44"/>
      <c r="TWM103" s="38"/>
      <c r="TWN103" s="14"/>
      <c r="TWO103" s="14"/>
      <c r="TWP103" s="14"/>
      <c r="TWQ103" s="14"/>
      <c r="TWR103" s="36"/>
      <c r="TWS103" s="14"/>
      <c r="TWT103" s="44"/>
      <c r="TWU103" s="38"/>
      <c r="TWV103" s="14"/>
      <c r="TWW103" s="14"/>
      <c r="TWX103" s="14"/>
      <c r="TWY103" s="14"/>
      <c r="TWZ103" s="36"/>
      <c r="TXA103" s="14"/>
      <c r="TXB103" s="44"/>
      <c r="TXC103" s="38"/>
      <c r="TXD103" s="14"/>
      <c r="TXE103" s="14"/>
      <c r="TXF103" s="14"/>
      <c r="TXG103" s="14"/>
      <c r="TXH103" s="36"/>
      <c r="TXI103" s="14"/>
      <c r="TXJ103" s="44"/>
      <c r="TXK103" s="38"/>
      <c r="TXL103" s="14"/>
      <c r="TXM103" s="14"/>
      <c r="TXN103" s="14"/>
      <c r="TXO103" s="14"/>
      <c r="TXP103" s="36"/>
      <c r="TXQ103" s="14"/>
      <c r="TXR103" s="44"/>
      <c r="TXS103" s="38"/>
      <c r="TXT103" s="14"/>
      <c r="TXU103" s="14"/>
      <c r="TXV103" s="14"/>
      <c r="TXW103" s="14"/>
      <c r="TXX103" s="36"/>
      <c r="TXY103" s="14"/>
      <c r="TXZ103" s="44"/>
      <c r="TYA103" s="38"/>
      <c r="TYB103" s="14"/>
      <c r="TYC103" s="14"/>
      <c r="TYD103" s="14"/>
      <c r="TYE103" s="14"/>
      <c r="TYF103" s="36"/>
      <c r="TYG103" s="14"/>
      <c r="TYH103" s="44"/>
      <c r="TYI103" s="38"/>
      <c r="TYJ103" s="14"/>
      <c r="TYK103" s="14"/>
      <c r="TYL103" s="14"/>
      <c r="TYM103" s="14"/>
      <c r="TYN103" s="36"/>
      <c r="TYO103" s="14"/>
      <c r="TYP103" s="44"/>
      <c r="TYQ103" s="38"/>
      <c r="TYR103" s="14"/>
      <c r="TYS103" s="14"/>
      <c r="TYT103" s="14"/>
      <c r="TYU103" s="14"/>
      <c r="TYV103" s="36"/>
      <c r="TYW103" s="14"/>
      <c r="TYX103" s="44"/>
      <c r="TYY103" s="38"/>
      <c r="TYZ103" s="14"/>
      <c r="TZA103" s="14"/>
      <c r="TZB103" s="14"/>
      <c r="TZC103" s="14"/>
      <c r="TZD103" s="36"/>
      <c r="TZE103" s="14"/>
      <c r="TZF103" s="44"/>
      <c r="TZG103" s="38"/>
      <c r="TZH103" s="14"/>
      <c r="TZI103" s="14"/>
      <c r="TZJ103" s="14"/>
      <c r="TZK103" s="14"/>
      <c r="TZL103" s="36"/>
      <c r="TZM103" s="14"/>
      <c r="TZN103" s="44"/>
      <c r="TZO103" s="38"/>
      <c r="TZP103" s="14"/>
      <c r="TZQ103" s="14"/>
      <c r="TZR103" s="14"/>
      <c r="TZS103" s="14"/>
      <c r="TZT103" s="36"/>
      <c r="TZU103" s="14"/>
      <c r="TZV103" s="44"/>
      <c r="TZW103" s="38"/>
      <c r="TZX103" s="14"/>
      <c r="TZY103" s="14"/>
      <c r="TZZ103" s="14"/>
      <c r="UAA103" s="14"/>
      <c r="UAB103" s="36"/>
      <c r="UAC103" s="14"/>
      <c r="UAD103" s="44"/>
      <c r="UAE103" s="38"/>
      <c r="UAF103" s="14"/>
      <c r="UAG103" s="14"/>
      <c r="UAH103" s="14"/>
      <c r="UAI103" s="14"/>
      <c r="UAJ103" s="36"/>
      <c r="UAK103" s="14"/>
      <c r="UAL103" s="44"/>
      <c r="UAM103" s="38"/>
      <c r="UAN103" s="14"/>
      <c r="UAO103" s="14"/>
      <c r="UAP103" s="14"/>
      <c r="UAQ103" s="14"/>
      <c r="UAR103" s="36"/>
      <c r="UAS103" s="14"/>
      <c r="UAT103" s="44"/>
      <c r="UAU103" s="38"/>
      <c r="UAV103" s="14"/>
      <c r="UAW103" s="14"/>
      <c r="UAX103" s="14"/>
      <c r="UAY103" s="14"/>
      <c r="UAZ103" s="36"/>
      <c r="UBA103" s="14"/>
      <c r="UBB103" s="44"/>
      <c r="UBC103" s="38"/>
      <c r="UBD103" s="14"/>
      <c r="UBE103" s="14"/>
      <c r="UBF103" s="14"/>
      <c r="UBG103" s="14"/>
      <c r="UBH103" s="36"/>
      <c r="UBI103" s="14"/>
      <c r="UBJ103" s="44"/>
      <c r="UBK103" s="38"/>
      <c r="UBL103" s="14"/>
      <c r="UBM103" s="14"/>
      <c r="UBN103" s="14"/>
      <c r="UBO103" s="14"/>
      <c r="UBP103" s="36"/>
      <c r="UBQ103" s="14"/>
      <c r="UBR103" s="44"/>
      <c r="UBS103" s="38"/>
      <c r="UBT103" s="14"/>
      <c r="UBU103" s="14"/>
      <c r="UBV103" s="14"/>
      <c r="UBW103" s="14"/>
      <c r="UBX103" s="36"/>
      <c r="UBY103" s="14"/>
      <c r="UBZ103" s="44"/>
      <c r="UCA103" s="38"/>
      <c r="UCB103" s="14"/>
      <c r="UCC103" s="14"/>
      <c r="UCD103" s="14"/>
      <c r="UCE103" s="14"/>
      <c r="UCF103" s="36"/>
      <c r="UCG103" s="14"/>
      <c r="UCH103" s="44"/>
      <c r="UCI103" s="38"/>
      <c r="UCJ103" s="14"/>
      <c r="UCK103" s="14"/>
      <c r="UCL103" s="14"/>
      <c r="UCM103" s="14"/>
      <c r="UCN103" s="36"/>
      <c r="UCO103" s="14"/>
      <c r="UCP103" s="44"/>
      <c r="UCQ103" s="38"/>
      <c r="UCR103" s="14"/>
      <c r="UCS103" s="14"/>
      <c r="UCT103" s="14"/>
      <c r="UCU103" s="14"/>
      <c r="UCV103" s="36"/>
      <c r="UCW103" s="14"/>
      <c r="UCX103" s="44"/>
      <c r="UCY103" s="38"/>
      <c r="UCZ103" s="14"/>
      <c r="UDA103" s="14"/>
      <c r="UDB103" s="14"/>
      <c r="UDC103" s="14"/>
      <c r="UDD103" s="36"/>
      <c r="UDE103" s="14"/>
      <c r="UDF103" s="44"/>
      <c r="UDG103" s="38"/>
      <c r="UDH103" s="14"/>
      <c r="UDI103" s="14"/>
      <c r="UDJ103" s="14"/>
      <c r="UDK103" s="14"/>
      <c r="UDL103" s="36"/>
      <c r="UDM103" s="14"/>
      <c r="UDN103" s="44"/>
      <c r="UDO103" s="38"/>
      <c r="UDP103" s="14"/>
      <c r="UDQ103" s="14"/>
      <c r="UDR103" s="14"/>
      <c r="UDS103" s="14"/>
      <c r="UDT103" s="36"/>
      <c r="UDU103" s="14"/>
      <c r="UDV103" s="44"/>
      <c r="UDW103" s="38"/>
      <c r="UDX103" s="14"/>
      <c r="UDY103" s="14"/>
      <c r="UDZ103" s="14"/>
      <c r="UEA103" s="14"/>
      <c r="UEB103" s="36"/>
      <c r="UEC103" s="14"/>
      <c r="UED103" s="44"/>
      <c r="UEE103" s="38"/>
      <c r="UEF103" s="14"/>
      <c r="UEG103" s="14"/>
      <c r="UEH103" s="14"/>
      <c r="UEI103" s="14"/>
      <c r="UEJ103" s="36"/>
      <c r="UEK103" s="14"/>
      <c r="UEL103" s="44"/>
      <c r="UEM103" s="38"/>
      <c r="UEN103" s="14"/>
      <c r="UEO103" s="14"/>
      <c r="UEP103" s="14"/>
      <c r="UEQ103" s="14"/>
      <c r="UER103" s="36"/>
      <c r="UES103" s="14"/>
      <c r="UET103" s="44"/>
      <c r="UEU103" s="38"/>
      <c r="UEV103" s="14"/>
      <c r="UEW103" s="14"/>
      <c r="UEX103" s="14"/>
      <c r="UEY103" s="14"/>
      <c r="UEZ103" s="36"/>
      <c r="UFA103" s="14"/>
      <c r="UFB103" s="44"/>
      <c r="UFC103" s="38"/>
      <c r="UFD103" s="14"/>
      <c r="UFE103" s="14"/>
      <c r="UFF103" s="14"/>
      <c r="UFG103" s="14"/>
      <c r="UFH103" s="36"/>
      <c r="UFI103" s="14"/>
      <c r="UFJ103" s="44"/>
      <c r="UFK103" s="38"/>
      <c r="UFL103" s="14"/>
      <c r="UFM103" s="14"/>
      <c r="UFN103" s="14"/>
      <c r="UFO103" s="14"/>
      <c r="UFP103" s="36"/>
      <c r="UFQ103" s="14"/>
      <c r="UFR103" s="44"/>
      <c r="UFS103" s="38"/>
      <c r="UFT103" s="14"/>
      <c r="UFU103" s="14"/>
      <c r="UFV103" s="14"/>
      <c r="UFW103" s="14"/>
      <c r="UFX103" s="36"/>
      <c r="UFY103" s="14"/>
      <c r="UFZ103" s="44"/>
      <c r="UGA103" s="38"/>
      <c r="UGB103" s="14"/>
      <c r="UGC103" s="14"/>
      <c r="UGD103" s="14"/>
      <c r="UGE103" s="14"/>
      <c r="UGF103" s="36"/>
      <c r="UGG103" s="14"/>
      <c r="UGH103" s="44"/>
      <c r="UGI103" s="38"/>
      <c r="UGJ103" s="14"/>
      <c r="UGK103" s="14"/>
      <c r="UGL103" s="14"/>
      <c r="UGM103" s="14"/>
      <c r="UGN103" s="36"/>
      <c r="UGO103" s="14"/>
      <c r="UGP103" s="44"/>
      <c r="UGQ103" s="38"/>
      <c r="UGR103" s="14"/>
      <c r="UGS103" s="14"/>
      <c r="UGT103" s="14"/>
      <c r="UGU103" s="14"/>
      <c r="UGV103" s="36"/>
      <c r="UGW103" s="14"/>
      <c r="UGX103" s="44"/>
      <c r="UGY103" s="38"/>
      <c r="UGZ103" s="14"/>
      <c r="UHA103" s="14"/>
      <c r="UHB103" s="14"/>
      <c r="UHC103" s="14"/>
      <c r="UHD103" s="36"/>
      <c r="UHE103" s="14"/>
      <c r="UHF103" s="44"/>
      <c r="UHG103" s="38"/>
      <c r="UHH103" s="14"/>
      <c r="UHI103" s="14"/>
      <c r="UHJ103" s="14"/>
      <c r="UHK103" s="14"/>
      <c r="UHL103" s="36"/>
      <c r="UHM103" s="14"/>
      <c r="UHN103" s="44"/>
      <c r="UHO103" s="38"/>
      <c r="UHP103" s="14"/>
      <c r="UHQ103" s="14"/>
      <c r="UHR103" s="14"/>
      <c r="UHS103" s="14"/>
      <c r="UHT103" s="36"/>
      <c r="UHU103" s="14"/>
      <c r="UHV103" s="44"/>
      <c r="UHW103" s="38"/>
      <c r="UHX103" s="14"/>
      <c r="UHY103" s="14"/>
      <c r="UHZ103" s="14"/>
      <c r="UIA103" s="14"/>
      <c r="UIB103" s="36"/>
      <c r="UIC103" s="14"/>
      <c r="UID103" s="44"/>
      <c r="UIE103" s="38"/>
      <c r="UIF103" s="14"/>
      <c r="UIG103" s="14"/>
      <c r="UIH103" s="14"/>
      <c r="UII103" s="14"/>
      <c r="UIJ103" s="36"/>
      <c r="UIK103" s="14"/>
      <c r="UIL103" s="44"/>
      <c r="UIM103" s="38"/>
      <c r="UIN103" s="14"/>
      <c r="UIO103" s="14"/>
      <c r="UIP103" s="14"/>
      <c r="UIQ103" s="14"/>
      <c r="UIR103" s="36"/>
      <c r="UIS103" s="14"/>
      <c r="UIT103" s="44"/>
      <c r="UIU103" s="38"/>
      <c r="UIV103" s="14"/>
      <c r="UIW103" s="14"/>
      <c r="UIX103" s="14"/>
      <c r="UIY103" s="14"/>
      <c r="UIZ103" s="36"/>
      <c r="UJA103" s="14"/>
      <c r="UJB103" s="44"/>
      <c r="UJC103" s="38"/>
      <c r="UJD103" s="14"/>
      <c r="UJE103" s="14"/>
      <c r="UJF103" s="14"/>
      <c r="UJG103" s="14"/>
      <c r="UJH103" s="36"/>
      <c r="UJI103" s="14"/>
      <c r="UJJ103" s="44"/>
      <c r="UJK103" s="38"/>
      <c r="UJL103" s="14"/>
      <c r="UJM103" s="14"/>
      <c r="UJN103" s="14"/>
      <c r="UJO103" s="14"/>
      <c r="UJP103" s="36"/>
      <c r="UJQ103" s="14"/>
      <c r="UJR103" s="44"/>
      <c r="UJS103" s="38"/>
      <c r="UJT103" s="14"/>
      <c r="UJU103" s="14"/>
      <c r="UJV103" s="14"/>
      <c r="UJW103" s="14"/>
      <c r="UJX103" s="36"/>
      <c r="UJY103" s="14"/>
      <c r="UJZ103" s="44"/>
      <c r="UKA103" s="38"/>
      <c r="UKB103" s="14"/>
      <c r="UKC103" s="14"/>
      <c r="UKD103" s="14"/>
      <c r="UKE103" s="14"/>
      <c r="UKF103" s="36"/>
      <c r="UKG103" s="14"/>
      <c r="UKH103" s="44"/>
      <c r="UKI103" s="38"/>
      <c r="UKJ103" s="14"/>
      <c r="UKK103" s="14"/>
      <c r="UKL103" s="14"/>
      <c r="UKM103" s="14"/>
      <c r="UKN103" s="36"/>
      <c r="UKO103" s="14"/>
      <c r="UKP103" s="44"/>
      <c r="UKQ103" s="38"/>
      <c r="UKR103" s="14"/>
      <c r="UKS103" s="14"/>
      <c r="UKT103" s="14"/>
      <c r="UKU103" s="14"/>
      <c r="UKV103" s="36"/>
      <c r="UKW103" s="14"/>
      <c r="UKX103" s="44"/>
      <c r="UKY103" s="38"/>
      <c r="UKZ103" s="14"/>
      <c r="ULA103" s="14"/>
      <c r="ULB103" s="14"/>
      <c r="ULC103" s="14"/>
      <c r="ULD103" s="36"/>
      <c r="ULE103" s="14"/>
      <c r="ULF103" s="44"/>
      <c r="ULG103" s="38"/>
      <c r="ULH103" s="14"/>
      <c r="ULI103" s="14"/>
      <c r="ULJ103" s="14"/>
      <c r="ULK103" s="14"/>
      <c r="ULL103" s="36"/>
      <c r="ULM103" s="14"/>
      <c r="ULN103" s="44"/>
      <c r="ULO103" s="38"/>
      <c r="ULP103" s="14"/>
      <c r="ULQ103" s="14"/>
      <c r="ULR103" s="14"/>
      <c r="ULS103" s="14"/>
      <c r="ULT103" s="36"/>
      <c r="ULU103" s="14"/>
      <c r="ULV103" s="44"/>
      <c r="ULW103" s="38"/>
      <c r="ULX103" s="14"/>
      <c r="ULY103" s="14"/>
      <c r="ULZ103" s="14"/>
      <c r="UMA103" s="14"/>
      <c r="UMB103" s="36"/>
      <c r="UMC103" s="14"/>
      <c r="UMD103" s="44"/>
      <c r="UME103" s="38"/>
      <c r="UMF103" s="14"/>
      <c r="UMG103" s="14"/>
      <c r="UMH103" s="14"/>
      <c r="UMI103" s="14"/>
      <c r="UMJ103" s="36"/>
      <c r="UMK103" s="14"/>
      <c r="UML103" s="44"/>
      <c r="UMM103" s="38"/>
      <c r="UMN103" s="14"/>
      <c r="UMO103" s="14"/>
      <c r="UMP103" s="14"/>
      <c r="UMQ103" s="14"/>
      <c r="UMR103" s="36"/>
      <c r="UMS103" s="14"/>
      <c r="UMT103" s="44"/>
      <c r="UMU103" s="38"/>
      <c r="UMV103" s="14"/>
      <c r="UMW103" s="14"/>
      <c r="UMX103" s="14"/>
      <c r="UMY103" s="14"/>
      <c r="UMZ103" s="36"/>
      <c r="UNA103" s="14"/>
      <c r="UNB103" s="44"/>
      <c r="UNC103" s="38"/>
      <c r="UND103" s="14"/>
      <c r="UNE103" s="14"/>
      <c r="UNF103" s="14"/>
      <c r="UNG103" s="14"/>
      <c r="UNH103" s="36"/>
      <c r="UNI103" s="14"/>
      <c r="UNJ103" s="44"/>
      <c r="UNK103" s="38"/>
      <c r="UNL103" s="14"/>
      <c r="UNM103" s="14"/>
      <c r="UNN103" s="14"/>
      <c r="UNO103" s="14"/>
      <c r="UNP103" s="36"/>
      <c r="UNQ103" s="14"/>
      <c r="UNR103" s="44"/>
      <c r="UNS103" s="38"/>
      <c r="UNT103" s="14"/>
      <c r="UNU103" s="14"/>
      <c r="UNV103" s="14"/>
      <c r="UNW103" s="14"/>
      <c r="UNX103" s="36"/>
      <c r="UNY103" s="14"/>
      <c r="UNZ103" s="44"/>
      <c r="UOA103" s="38"/>
      <c r="UOB103" s="14"/>
      <c r="UOC103" s="14"/>
      <c r="UOD103" s="14"/>
      <c r="UOE103" s="14"/>
      <c r="UOF103" s="36"/>
      <c r="UOG103" s="14"/>
      <c r="UOH103" s="44"/>
      <c r="UOI103" s="38"/>
      <c r="UOJ103" s="14"/>
      <c r="UOK103" s="14"/>
      <c r="UOL103" s="14"/>
      <c r="UOM103" s="14"/>
      <c r="UON103" s="36"/>
      <c r="UOO103" s="14"/>
      <c r="UOP103" s="44"/>
      <c r="UOQ103" s="38"/>
      <c r="UOR103" s="14"/>
      <c r="UOS103" s="14"/>
      <c r="UOT103" s="14"/>
      <c r="UOU103" s="14"/>
      <c r="UOV103" s="36"/>
      <c r="UOW103" s="14"/>
      <c r="UOX103" s="44"/>
      <c r="UOY103" s="38"/>
      <c r="UOZ103" s="14"/>
      <c r="UPA103" s="14"/>
      <c r="UPB103" s="14"/>
      <c r="UPC103" s="14"/>
      <c r="UPD103" s="36"/>
      <c r="UPE103" s="14"/>
      <c r="UPF103" s="44"/>
      <c r="UPG103" s="38"/>
      <c r="UPH103" s="14"/>
      <c r="UPI103" s="14"/>
      <c r="UPJ103" s="14"/>
      <c r="UPK103" s="14"/>
      <c r="UPL103" s="36"/>
      <c r="UPM103" s="14"/>
      <c r="UPN103" s="44"/>
      <c r="UPO103" s="38"/>
      <c r="UPP103" s="14"/>
      <c r="UPQ103" s="14"/>
      <c r="UPR103" s="14"/>
      <c r="UPS103" s="14"/>
      <c r="UPT103" s="36"/>
      <c r="UPU103" s="14"/>
      <c r="UPV103" s="44"/>
      <c r="UPW103" s="38"/>
      <c r="UPX103" s="14"/>
      <c r="UPY103" s="14"/>
      <c r="UPZ103" s="14"/>
      <c r="UQA103" s="14"/>
      <c r="UQB103" s="36"/>
      <c r="UQC103" s="14"/>
      <c r="UQD103" s="44"/>
      <c r="UQE103" s="38"/>
      <c r="UQF103" s="14"/>
      <c r="UQG103" s="14"/>
      <c r="UQH103" s="14"/>
      <c r="UQI103" s="14"/>
      <c r="UQJ103" s="36"/>
      <c r="UQK103" s="14"/>
      <c r="UQL103" s="44"/>
      <c r="UQM103" s="38"/>
      <c r="UQN103" s="14"/>
      <c r="UQO103" s="14"/>
      <c r="UQP103" s="14"/>
      <c r="UQQ103" s="14"/>
      <c r="UQR103" s="36"/>
      <c r="UQS103" s="14"/>
      <c r="UQT103" s="44"/>
      <c r="UQU103" s="38"/>
      <c r="UQV103" s="14"/>
      <c r="UQW103" s="14"/>
      <c r="UQX103" s="14"/>
      <c r="UQY103" s="14"/>
      <c r="UQZ103" s="36"/>
      <c r="URA103" s="14"/>
      <c r="URB103" s="44"/>
      <c r="URC103" s="38"/>
      <c r="URD103" s="14"/>
      <c r="URE103" s="14"/>
      <c r="URF103" s="14"/>
      <c r="URG103" s="14"/>
      <c r="URH103" s="36"/>
      <c r="URI103" s="14"/>
      <c r="URJ103" s="44"/>
      <c r="URK103" s="38"/>
      <c r="URL103" s="14"/>
      <c r="URM103" s="14"/>
      <c r="URN103" s="14"/>
      <c r="URO103" s="14"/>
      <c r="URP103" s="36"/>
      <c r="URQ103" s="14"/>
      <c r="URR103" s="44"/>
      <c r="URS103" s="38"/>
      <c r="URT103" s="14"/>
      <c r="URU103" s="14"/>
      <c r="URV103" s="14"/>
      <c r="URW103" s="14"/>
      <c r="URX103" s="36"/>
      <c r="URY103" s="14"/>
      <c r="URZ103" s="44"/>
      <c r="USA103" s="38"/>
      <c r="USB103" s="14"/>
      <c r="USC103" s="14"/>
      <c r="USD103" s="14"/>
      <c r="USE103" s="14"/>
      <c r="USF103" s="36"/>
      <c r="USG103" s="14"/>
      <c r="USH103" s="44"/>
      <c r="USI103" s="38"/>
      <c r="USJ103" s="14"/>
      <c r="USK103" s="14"/>
      <c r="USL103" s="14"/>
      <c r="USM103" s="14"/>
      <c r="USN103" s="36"/>
      <c r="USO103" s="14"/>
      <c r="USP103" s="44"/>
      <c r="USQ103" s="38"/>
      <c r="USR103" s="14"/>
      <c r="USS103" s="14"/>
      <c r="UST103" s="14"/>
      <c r="USU103" s="14"/>
      <c r="USV103" s="36"/>
      <c r="USW103" s="14"/>
      <c r="USX103" s="44"/>
      <c r="USY103" s="38"/>
      <c r="USZ103" s="14"/>
      <c r="UTA103" s="14"/>
      <c r="UTB103" s="14"/>
      <c r="UTC103" s="14"/>
      <c r="UTD103" s="36"/>
      <c r="UTE103" s="14"/>
      <c r="UTF103" s="44"/>
      <c r="UTG103" s="38"/>
      <c r="UTH103" s="14"/>
      <c r="UTI103" s="14"/>
      <c r="UTJ103" s="14"/>
      <c r="UTK103" s="14"/>
      <c r="UTL103" s="36"/>
      <c r="UTM103" s="14"/>
      <c r="UTN103" s="44"/>
      <c r="UTO103" s="38"/>
      <c r="UTP103" s="14"/>
      <c r="UTQ103" s="14"/>
      <c r="UTR103" s="14"/>
      <c r="UTS103" s="14"/>
      <c r="UTT103" s="36"/>
      <c r="UTU103" s="14"/>
      <c r="UTV103" s="44"/>
      <c r="UTW103" s="38"/>
      <c r="UTX103" s="14"/>
      <c r="UTY103" s="14"/>
      <c r="UTZ103" s="14"/>
      <c r="UUA103" s="14"/>
      <c r="UUB103" s="36"/>
      <c r="UUC103" s="14"/>
      <c r="UUD103" s="44"/>
      <c r="UUE103" s="38"/>
      <c r="UUF103" s="14"/>
      <c r="UUG103" s="14"/>
      <c r="UUH103" s="14"/>
      <c r="UUI103" s="14"/>
      <c r="UUJ103" s="36"/>
      <c r="UUK103" s="14"/>
      <c r="UUL103" s="44"/>
      <c r="UUM103" s="38"/>
      <c r="UUN103" s="14"/>
      <c r="UUO103" s="14"/>
      <c r="UUP103" s="14"/>
      <c r="UUQ103" s="14"/>
      <c r="UUR103" s="36"/>
      <c r="UUS103" s="14"/>
      <c r="UUT103" s="44"/>
      <c r="UUU103" s="38"/>
      <c r="UUV103" s="14"/>
      <c r="UUW103" s="14"/>
      <c r="UUX103" s="14"/>
      <c r="UUY103" s="14"/>
      <c r="UUZ103" s="36"/>
      <c r="UVA103" s="14"/>
      <c r="UVB103" s="44"/>
      <c r="UVC103" s="38"/>
      <c r="UVD103" s="14"/>
      <c r="UVE103" s="14"/>
      <c r="UVF103" s="14"/>
      <c r="UVG103" s="14"/>
      <c r="UVH103" s="36"/>
      <c r="UVI103" s="14"/>
      <c r="UVJ103" s="44"/>
      <c r="UVK103" s="38"/>
      <c r="UVL103" s="14"/>
      <c r="UVM103" s="14"/>
      <c r="UVN103" s="14"/>
      <c r="UVO103" s="14"/>
      <c r="UVP103" s="36"/>
      <c r="UVQ103" s="14"/>
      <c r="UVR103" s="44"/>
      <c r="UVS103" s="38"/>
      <c r="UVT103" s="14"/>
      <c r="UVU103" s="14"/>
      <c r="UVV103" s="14"/>
      <c r="UVW103" s="14"/>
      <c r="UVX103" s="36"/>
      <c r="UVY103" s="14"/>
      <c r="UVZ103" s="44"/>
      <c r="UWA103" s="38"/>
      <c r="UWB103" s="14"/>
      <c r="UWC103" s="14"/>
      <c r="UWD103" s="14"/>
      <c r="UWE103" s="14"/>
      <c r="UWF103" s="36"/>
      <c r="UWG103" s="14"/>
      <c r="UWH103" s="44"/>
      <c r="UWI103" s="38"/>
      <c r="UWJ103" s="14"/>
      <c r="UWK103" s="14"/>
      <c r="UWL103" s="14"/>
      <c r="UWM103" s="14"/>
      <c r="UWN103" s="36"/>
      <c r="UWO103" s="14"/>
      <c r="UWP103" s="44"/>
      <c r="UWQ103" s="38"/>
      <c r="UWR103" s="14"/>
      <c r="UWS103" s="14"/>
      <c r="UWT103" s="14"/>
      <c r="UWU103" s="14"/>
      <c r="UWV103" s="36"/>
      <c r="UWW103" s="14"/>
      <c r="UWX103" s="44"/>
      <c r="UWY103" s="38"/>
      <c r="UWZ103" s="14"/>
      <c r="UXA103" s="14"/>
      <c r="UXB103" s="14"/>
      <c r="UXC103" s="14"/>
      <c r="UXD103" s="36"/>
      <c r="UXE103" s="14"/>
      <c r="UXF103" s="44"/>
      <c r="UXG103" s="38"/>
      <c r="UXH103" s="14"/>
      <c r="UXI103" s="14"/>
      <c r="UXJ103" s="14"/>
      <c r="UXK103" s="14"/>
      <c r="UXL103" s="36"/>
      <c r="UXM103" s="14"/>
      <c r="UXN103" s="44"/>
      <c r="UXO103" s="38"/>
      <c r="UXP103" s="14"/>
      <c r="UXQ103" s="14"/>
      <c r="UXR103" s="14"/>
      <c r="UXS103" s="14"/>
      <c r="UXT103" s="36"/>
      <c r="UXU103" s="14"/>
      <c r="UXV103" s="44"/>
      <c r="UXW103" s="38"/>
      <c r="UXX103" s="14"/>
      <c r="UXY103" s="14"/>
      <c r="UXZ103" s="14"/>
      <c r="UYA103" s="14"/>
      <c r="UYB103" s="36"/>
      <c r="UYC103" s="14"/>
      <c r="UYD103" s="44"/>
      <c r="UYE103" s="38"/>
      <c r="UYF103" s="14"/>
      <c r="UYG103" s="14"/>
      <c r="UYH103" s="14"/>
      <c r="UYI103" s="14"/>
      <c r="UYJ103" s="36"/>
      <c r="UYK103" s="14"/>
      <c r="UYL103" s="44"/>
      <c r="UYM103" s="38"/>
      <c r="UYN103" s="14"/>
      <c r="UYO103" s="14"/>
      <c r="UYP103" s="14"/>
      <c r="UYQ103" s="14"/>
      <c r="UYR103" s="36"/>
      <c r="UYS103" s="14"/>
      <c r="UYT103" s="44"/>
      <c r="UYU103" s="38"/>
      <c r="UYV103" s="14"/>
      <c r="UYW103" s="14"/>
      <c r="UYX103" s="14"/>
      <c r="UYY103" s="14"/>
      <c r="UYZ103" s="36"/>
      <c r="UZA103" s="14"/>
      <c r="UZB103" s="44"/>
      <c r="UZC103" s="38"/>
      <c r="UZD103" s="14"/>
      <c r="UZE103" s="14"/>
      <c r="UZF103" s="14"/>
      <c r="UZG103" s="14"/>
      <c r="UZH103" s="36"/>
      <c r="UZI103" s="14"/>
      <c r="UZJ103" s="44"/>
      <c r="UZK103" s="38"/>
      <c r="UZL103" s="14"/>
      <c r="UZM103" s="14"/>
      <c r="UZN103" s="14"/>
      <c r="UZO103" s="14"/>
      <c r="UZP103" s="36"/>
      <c r="UZQ103" s="14"/>
      <c r="UZR103" s="44"/>
      <c r="UZS103" s="38"/>
      <c r="UZT103" s="14"/>
      <c r="UZU103" s="14"/>
      <c r="UZV103" s="14"/>
      <c r="UZW103" s="14"/>
      <c r="UZX103" s="36"/>
      <c r="UZY103" s="14"/>
      <c r="UZZ103" s="44"/>
      <c r="VAA103" s="38"/>
      <c r="VAB103" s="14"/>
      <c r="VAC103" s="14"/>
      <c r="VAD103" s="14"/>
      <c r="VAE103" s="14"/>
      <c r="VAF103" s="36"/>
      <c r="VAG103" s="14"/>
      <c r="VAH103" s="44"/>
      <c r="VAI103" s="38"/>
      <c r="VAJ103" s="14"/>
      <c r="VAK103" s="14"/>
      <c r="VAL103" s="14"/>
      <c r="VAM103" s="14"/>
      <c r="VAN103" s="36"/>
      <c r="VAO103" s="14"/>
      <c r="VAP103" s="44"/>
      <c r="VAQ103" s="38"/>
      <c r="VAR103" s="14"/>
      <c r="VAS103" s="14"/>
      <c r="VAT103" s="14"/>
      <c r="VAU103" s="14"/>
      <c r="VAV103" s="36"/>
      <c r="VAW103" s="14"/>
      <c r="VAX103" s="44"/>
      <c r="VAY103" s="38"/>
      <c r="VAZ103" s="14"/>
      <c r="VBA103" s="14"/>
      <c r="VBB103" s="14"/>
      <c r="VBC103" s="14"/>
      <c r="VBD103" s="36"/>
      <c r="VBE103" s="14"/>
      <c r="VBF103" s="44"/>
      <c r="VBG103" s="38"/>
      <c r="VBH103" s="14"/>
      <c r="VBI103" s="14"/>
      <c r="VBJ103" s="14"/>
      <c r="VBK103" s="14"/>
      <c r="VBL103" s="36"/>
      <c r="VBM103" s="14"/>
      <c r="VBN103" s="44"/>
      <c r="VBO103" s="38"/>
      <c r="VBP103" s="14"/>
      <c r="VBQ103" s="14"/>
      <c r="VBR103" s="14"/>
      <c r="VBS103" s="14"/>
      <c r="VBT103" s="36"/>
      <c r="VBU103" s="14"/>
      <c r="VBV103" s="44"/>
      <c r="VBW103" s="38"/>
      <c r="VBX103" s="14"/>
      <c r="VBY103" s="14"/>
      <c r="VBZ103" s="14"/>
      <c r="VCA103" s="14"/>
      <c r="VCB103" s="36"/>
      <c r="VCC103" s="14"/>
      <c r="VCD103" s="44"/>
      <c r="VCE103" s="38"/>
      <c r="VCF103" s="14"/>
      <c r="VCG103" s="14"/>
      <c r="VCH103" s="14"/>
      <c r="VCI103" s="14"/>
      <c r="VCJ103" s="36"/>
      <c r="VCK103" s="14"/>
      <c r="VCL103" s="44"/>
      <c r="VCM103" s="38"/>
      <c r="VCN103" s="14"/>
      <c r="VCO103" s="14"/>
      <c r="VCP103" s="14"/>
      <c r="VCQ103" s="14"/>
      <c r="VCR103" s="36"/>
      <c r="VCS103" s="14"/>
      <c r="VCT103" s="44"/>
      <c r="VCU103" s="38"/>
      <c r="VCV103" s="14"/>
      <c r="VCW103" s="14"/>
      <c r="VCX103" s="14"/>
      <c r="VCY103" s="14"/>
      <c r="VCZ103" s="36"/>
      <c r="VDA103" s="14"/>
      <c r="VDB103" s="44"/>
      <c r="VDC103" s="38"/>
      <c r="VDD103" s="14"/>
      <c r="VDE103" s="14"/>
      <c r="VDF103" s="14"/>
      <c r="VDG103" s="14"/>
      <c r="VDH103" s="36"/>
      <c r="VDI103" s="14"/>
      <c r="VDJ103" s="44"/>
      <c r="VDK103" s="38"/>
      <c r="VDL103" s="14"/>
      <c r="VDM103" s="14"/>
      <c r="VDN103" s="14"/>
      <c r="VDO103" s="14"/>
      <c r="VDP103" s="36"/>
      <c r="VDQ103" s="14"/>
      <c r="VDR103" s="44"/>
      <c r="VDS103" s="38"/>
      <c r="VDT103" s="14"/>
      <c r="VDU103" s="14"/>
      <c r="VDV103" s="14"/>
      <c r="VDW103" s="14"/>
      <c r="VDX103" s="36"/>
      <c r="VDY103" s="14"/>
      <c r="VDZ103" s="44"/>
      <c r="VEA103" s="38"/>
      <c r="VEB103" s="14"/>
      <c r="VEC103" s="14"/>
      <c r="VED103" s="14"/>
      <c r="VEE103" s="14"/>
      <c r="VEF103" s="36"/>
      <c r="VEG103" s="14"/>
      <c r="VEH103" s="44"/>
      <c r="VEI103" s="38"/>
      <c r="VEJ103" s="14"/>
      <c r="VEK103" s="14"/>
      <c r="VEL103" s="14"/>
      <c r="VEM103" s="14"/>
      <c r="VEN103" s="36"/>
      <c r="VEO103" s="14"/>
      <c r="VEP103" s="44"/>
      <c r="VEQ103" s="38"/>
      <c r="VER103" s="14"/>
      <c r="VES103" s="14"/>
      <c r="VET103" s="14"/>
      <c r="VEU103" s="14"/>
      <c r="VEV103" s="36"/>
      <c r="VEW103" s="14"/>
      <c r="VEX103" s="44"/>
      <c r="VEY103" s="38"/>
      <c r="VEZ103" s="14"/>
      <c r="VFA103" s="14"/>
      <c r="VFB103" s="14"/>
      <c r="VFC103" s="14"/>
      <c r="VFD103" s="36"/>
      <c r="VFE103" s="14"/>
      <c r="VFF103" s="44"/>
      <c r="VFG103" s="38"/>
      <c r="VFH103" s="14"/>
      <c r="VFI103" s="14"/>
      <c r="VFJ103" s="14"/>
      <c r="VFK103" s="14"/>
      <c r="VFL103" s="36"/>
      <c r="VFM103" s="14"/>
      <c r="VFN103" s="44"/>
      <c r="VFO103" s="38"/>
      <c r="VFP103" s="14"/>
      <c r="VFQ103" s="14"/>
      <c r="VFR103" s="14"/>
      <c r="VFS103" s="14"/>
      <c r="VFT103" s="36"/>
      <c r="VFU103" s="14"/>
      <c r="VFV103" s="44"/>
      <c r="VFW103" s="38"/>
      <c r="VFX103" s="14"/>
      <c r="VFY103" s="14"/>
      <c r="VFZ103" s="14"/>
      <c r="VGA103" s="14"/>
      <c r="VGB103" s="36"/>
      <c r="VGC103" s="14"/>
      <c r="VGD103" s="44"/>
      <c r="VGE103" s="38"/>
      <c r="VGF103" s="14"/>
      <c r="VGG103" s="14"/>
      <c r="VGH103" s="14"/>
      <c r="VGI103" s="14"/>
      <c r="VGJ103" s="36"/>
      <c r="VGK103" s="14"/>
      <c r="VGL103" s="44"/>
      <c r="VGM103" s="38"/>
      <c r="VGN103" s="14"/>
      <c r="VGO103" s="14"/>
      <c r="VGP103" s="14"/>
      <c r="VGQ103" s="14"/>
      <c r="VGR103" s="36"/>
      <c r="VGS103" s="14"/>
      <c r="VGT103" s="44"/>
      <c r="VGU103" s="38"/>
      <c r="VGV103" s="14"/>
      <c r="VGW103" s="14"/>
      <c r="VGX103" s="14"/>
      <c r="VGY103" s="14"/>
      <c r="VGZ103" s="36"/>
      <c r="VHA103" s="14"/>
      <c r="VHB103" s="44"/>
      <c r="VHC103" s="38"/>
      <c r="VHD103" s="14"/>
      <c r="VHE103" s="14"/>
      <c r="VHF103" s="14"/>
      <c r="VHG103" s="14"/>
      <c r="VHH103" s="36"/>
      <c r="VHI103" s="14"/>
      <c r="VHJ103" s="44"/>
      <c r="VHK103" s="38"/>
      <c r="VHL103" s="14"/>
      <c r="VHM103" s="14"/>
      <c r="VHN103" s="14"/>
      <c r="VHO103" s="14"/>
      <c r="VHP103" s="36"/>
      <c r="VHQ103" s="14"/>
      <c r="VHR103" s="44"/>
      <c r="VHS103" s="38"/>
      <c r="VHT103" s="14"/>
      <c r="VHU103" s="14"/>
      <c r="VHV103" s="14"/>
      <c r="VHW103" s="14"/>
      <c r="VHX103" s="36"/>
      <c r="VHY103" s="14"/>
      <c r="VHZ103" s="44"/>
      <c r="VIA103" s="38"/>
      <c r="VIB103" s="14"/>
      <c r="VIC103" s="14"/>
      <c r="VID103" s="14"/>
      <c r="VIE103" s="14"/>
      <c r="VIF103" s="36"/>
      <c r="VIG103" s="14"/>
      <c r="VIH103" s="44"/>
      <c r="VII103" s="38"/>
      <c r="VIJ103" s="14"/>
      <c r="VIK103" s="14"/>
      <c r="VIL103" s="14"/>
      <c r="VIM103" s="14"/>
      <c r="VIN103" s="36"/>
      <c r="VIO103" s="14"/>
      <c r="VIP103" s="44"/>
      <c r="VIQ103" s="38"/>
      <c r="VIR103" s="14"/>
      <c r="VIS103" s="14"/>
      <c r="VIT103" s="14"/>
      <c r="VIU103" s="14"/>
      <c r="VIV103" s="36"/>
      <c r="VIW103" s="14"/>
      <c r="VIX103" s="44"/>
      <c r="VIY103" s="38"/>
      <c r="VIZ103" s="14"/>
      <c r="VJA103" s="14"/>
      <c r="VJB103" s="14"/>
      <c r="VJC103" s="14"/>
      <c r="VJD103" s="36"/>
      <c r="VJE103" s="14"/>
      <c r="VJF103" s="44"/>
      <c r="VJG103" s="38"/>
      <c r="VJH103" s="14"/>
      <c r="VJI103" s="14"/>
      <c r="VJJ103" s="14"/>
      <c r="VJK103" s="14"/>
      <c r="VJL103" s="36"/>
      <c r="VJM103" s="14"/>
      <c r="VJN103" s="44"/>
      <c r="VJO103" s="38"/>
      <c r="VJP103" s="14"/>
      <c r="VJQ103" s="14"/>
      <c r="VJR103" s="14"/>
      <c r="VJS103" s="14"/>
      <c r="VJT103" s="36"/>
      <c r="VJU103" s="14"/>
      <c r="VJV103" s="44"/>
      <c r="VJW103" s="38"/>
      <c r="VJX103" s="14"/>
      <c r="VJY103" s="14"/>
      <c r="VJZ103" s="14"/>
      <c r="VKA103" s="14"/>
      <c r="VKB103" s="36"/>
      <c r="VKC103" s="14"/>
      <c r="VKD103" s="44"/>
      <c r="VKE103" s="38"/>
      <c r="VKF103" s="14"/>
      <c r="VKG103" s="14"/>
      <c r="VKH103" s="14"/>
      <c r="VKI103" s="14"/>
      <c r="VKJ103" s="36"/>
      <c r="VKK103" s="14"/>
      <c r="VKL103" s="44"/>
      <c r="VKM103" s="38"/>
      <c r="VKN103" s="14"/>
      <c r="VKO103" s="14"/>
      <c r="VKP103" s="14"/>
      <c r="VKQ103" s="14"/>
      <c r="VKR103" s="36"/>
      <c r="VKS103" s="14"/>
      <c r="VKT103" s="44"/>
      <c r="VKU103" s="38"/>
      <c r="VKV103" s="14"/>
      <c r="VKW103" s="14"/>
      <c r="VKX103" s="14"/>
      <c r="VKY103" s="14"/>
      <c r="VKZ103" s="36"/>
      <c r="VLA103" s="14"/>
      <c r="VLB103" s="44"/>
      <c r="VLC103" s="38"/>
      <c r="VLD103" s="14"/>
      <c r="VLE103" s="14"/>
      <c r="VLF103" s="14"/>
      <c r="VLG103" s="14"/>
      <c r="VLH103" s="36"/>
      <c r="VLI103" s="14"/>
      <c r="VLJ103" s="44"/>
      <c r="VLK103" s="38"/>
      <c r="VLL103" s="14"/>
      <c r="VLM103" s="14"/>
      <c r="VLN103" s="14"/>
      <c r="VLO103" s="14"/>
      <c r="VLP103" s="36"/>
      <c r="VLQ103" s="14"/>
      <c r="VLR103" s="44"/>
      <c r="VLS103" s="38"/>
      <c r="VLT103" s="14"/>
      <c r="VLU103" s="14"/>
      <c r="VLV103" s="14"/>
      <c r="VLW103" s="14"/>
      <c r="VLX103" s="36"/>
      <c r="VLY103" s="14"/>
      <c r="VLZ103" s="44"/>
      <c r="VMA103" s="38"/>
      <c r="VMB103" s="14"/>
      <c r="VMC103" s="14"/>
      <c r="VMD103" s="14"/>
      <c r="VME103" s="14"/>
      <c r="VMF103" s="36"/>
      <c r="VMG103" s="14"/>
      <c r="VMH103" s="44"/>
      <c r="VMI103" s="38"/>
      <c r="VMJ103" s="14"/>
      <c r="VMK103" s="14"/>
      <c r="VML103" s="14"/>
      <c r="VMM103" s="14"/>
      <c r="VMN103" s="36"/>
      <c r="VMO103" s="14"/>
      <c r="VMP103" s="44"/>
      <c r="VMQ103" s="38"/>
      <c r="VMR103" s="14"/>
      <c r="VMS103" s="14"/>
      <c r="VMT103" s="14"/>
      <c r="VMU103" s="14"/>
      <c r="VMV103" s="36"/>
      <c r="VMW103" s="14"/>
      <c r="VMX103" s="44"/>
      <c r="VMY103" s="38"/>
      <c r="VMZ103" s="14"/>
      <c r="VNA103" s="14"/>
      <c r="VNB103" s="14"/>
      <c r="VNC103" s="14"/>
      <c r="VND103" s="36"/>
      <c r="VNE103" s="14"/>
      <c r="VNF103" s="44"/>
      <c r="VNG103" s="38"/>
      <c r="VNH103" s="14"/>
      <c r="VNI103" s="14"/>
      <c r="VNJ103" s="14"/>
      <c r="VNK103" s="14"/>
      <c r="VNL103" s="36"/>
      <c r="VNM103" s="14"/>
      <c r="VNN103" s="44"/>
      <c r="VNO103" s="38"/>
      <c r="VNP103" s="14"/>
      <c r="VNQ103" s="14"/>
      <c r="VNR103" s="14"/>
      <c r="VNS103" s="14"/>
      <c r="VNT103" s="36"/>
      <c r="VNU103" s="14"/>
      <c r="VNV103" s="44"/>
      <c r="VNW103" s="38"/>
      <c r="VNX103" s="14"/>
      <c r="VNY103" s="14"/>
      <c r="VNZ103" s="14"/>
      <c r="VOA103" s="14"/>
      <c r="VOB103" s="36"/>
      <c r="VOC103" s="14"/>
      <c r="VOD103" s="44"/>
      <c r="VOE103" s="38"/>
      <c r="VOF103" s="14"/>
      <c r="VOG103" s="14"/>
      <c r="VOH103" s="14"/>
      <c r="VOI103" s="14"/>
      <c r="VOJ103" s="36"/>
      <c r="VOK103" s="14"/>
      <c r="VOL103" s="44"/>
      <c r="VOM103" s="38"/>
      <c r="VON103" s="14"/>
      <c r="VOO103" s="14"/>
      <c r="VOP103" s="14"/>
      <c r="VOQ103" s="14"/>
      <c r="VOR103" s="36"/>
      <c r="VOS103" s="14"/>
      <c r="VOT103" s="44"/>
      <c r="VOU103" s="38"/>
      <c r="VOV103" s="14"/>
      <c r="VOW103" s="14"/>
      <c r="VOX103" s="14"/>
      <c r="VOY103" s="14"/>
      <c r="VOZ103" s="36"/>
      <c r="VPA103" s="14"/>
      <c r="VPB103" s="44"/>
      <c r="VPC103" s="38"/>
      <c r="VPD103" s="14"/>
      <c r="VPE103" s="14"/>
      <c r="VPF103" s="14"/>
      <c r="VPG103" s="14"/>
      <c r="VPH103" s="36"/>
      <c r="VPI103" s="14"/>
      <c r="VPJ103" s="44"/>
      <c r="VPK103" s="38"/>
      <c r="VPL103" s="14"/>
      <c r="VPM103" s="14"/>
      <c r="VPN103" s="14"/>
      <c r="VPO103" s="14"/>
      <c r="VPP103" s="36"/>
      <c r="VPQ103" s="14"/>
      <c r="VPR103" s="44"/>
      <c r="VPS103" s="38"/>
      <c r="VPT103" s="14"/>
      <c r="VPU103" s="14"/>
      <c r="VPV103" s="14"/>
      <c r="VPW103" s="14"/>
      <c r="VPX103" s="36"/>
      <c r="VPY103" s="14"/>
      <c r="VPZ103" s="44"/>
      <c r="VQA103" s="38"/>
      <c r="VQB103" s="14"/>
      <c r="VQC103" s="14"/>
      <c r="VQD103" s="14"/>
      <c r="VQE103" s="14"/>
      <c r="VQF103" s="36"/>
      <c r="VQG103" s="14"/>
      <c r="VQH103" s="44"/>
      <c r="VQI103" s="38"/>
      <c r="VQJ103" s="14"/>
      <c r="VQK103" s="14"/>
      <c r="VQL103" s="14"/>
      <c r="VQM103" s="14"/>
      <c r="VQN103" s="36"/>
      <c r="VQO103" s="14"/>
      <c r="VQP103" s="44"/>
      <c r="VQQ103" s="38"/>
      <c r="VQR103" s="14"/>
      <c r="VQS103" s="14"/>
      <c r="VQT103" s="14"/>
      <c r="VQU103" s="14"/>
      <c r="VQV103" s="36"/>
      <c r="VQW103" s="14"/>
      <c r="VQX103" s="44"/>
      <c r="VQY103" s="38"/>
      <c r="VQZ103" s="14"/>
      <c r="VRA103" s="14"/>
      <c r="VRB103" s="14"/>
      <c r="VRC103" s="14"/>
      <c r="VRD103" s="36"/>
      <c r="VRE103" s="14"/>
      <c r="VRF103" s="44"/>
      <c r="VRG103" s="38"/>
      <c r="VRH103" s="14"/>
      <c r="VRI103" s="14"/>
      <c r="VRJ103" s="14"/>
      <c r="VRK103" s="14"/>
      <c r="VRL103" s="36"/>
      <c r="VRM103" s="14"/>
      <c r="VRN103" s="44"/>
      <c r="VRO103" s="38"/>
      <c r="VRP103" s="14"/>
      <c r="VRQ103" s="14"/>
      <c r="VRR103" s="14"/>
      <c r="VRS103" s="14"/>
      <c r="VRT103" s="36"/>
      <c r="VRU103" s="14"/>
      <c r="VRV103" s="44"/>
      <c r="VRW103" s="38"/>
      <c r="VRX103" s="14"/>
      <c r="VRY103" s="14"/>
      <c r="VRZ103" s="14"/>
      <c r="VSA103" s="14"/>
      <c r="VSB103" s="36"/>
      <c r="VSC103" s="14"/>
      <c r="VSD103" s="44"/>
      <c r="VSE103" s="38"/>
      <c r="VSF103" s="14"/>
      <c r="VSG103" s="14"/>
      <c r="VSH103" s="14"/>
      <c r="VSI103" s="14"/>
      <c r="VSJ103" s="36"/>
      <c r="VSK103" s="14"/>
      <c r="VSL103" s="44"/>
      <c r="VSM103" s="38"/>
      <c r="VSN103" s="14"/>
      <c r="VSO103" s="14"/>
      <c r="VSP103" s="14"/>
      <c r="VSQ103" s="14"/>
      <c r="VSR103" s="36"/>
      <c r="VSS103" s="14"/>
      <c r="VST103" s="44"/>
      <c r="VSU103" s="38"/>
      <c r="VSV103" s="14"/>
      <c r="VSW103" s="14"/>
      <c r="VSX103" s="14"/>
      <c r="VSY103" s="14"/>
      <c r="VSZ103" s="36"/>
      <c r="VTA103" s="14"/>
      <c r="VTB103" s="44"/>
      <c r="VTC103" s="38"/>
      <c r="VTD103" s="14"/>
      <c r="VTE103" s="14"/>
      <c r="VTF103" s="14"/>
      <c r="VTG103" s="14"/>
      <c r="VTH103" s="36"/>
      <c r="VTI103" s="14"/>
      <c r="VTJ103" s="44"/>
      <c r="VTK103" s="38"/>
      <c r="VTL103" s="14"/>
      <c r="VTM103" s="14"/>
      <c r="VTN103" s="14"/>
      <c r="VTO103" s="14"/>
      <c r="VTP103" s="36"/>
      <c r="VTQ103" s="14"/>
      <c r="VTR103" s="44"/>
      <c r="VTS103" s="38"/>
      <c r="VTT103" s="14"/>
      <c r="VTU103" s="14"/>
      <c r="VTV103" s="14"/>
      <c r="VTW103" s="14"/>
      <c r="VTX103" s="36"/>
      <c r="VTY103" s="14"/>
      <c r="VTZ103" s="44"/>
      <c r="VUA103" s="38"/>
      <c r="VUB103" s="14"/>
      <c r="VUC103" s="14"/>
      <c r="VUD103" s="14"/>
      <c r="VUE103" s="14"/>
      <c r="VUF103" s="36"/>
      <c r="VUG103" s="14"/>
      <c r="VUH103" s="44"/>
      <c r="VUI103" s="38"/>
      <c r="VUJ103" s="14"/>
      <c r="VUK103" s="14"/>
      <c r="VUL103" s="14"/>
      <c r="VUM103" s="14"/>
      <c r="VUN103" s="36"/>
      <c r="VUO103" s="14"/>
      <c r="VUP103" s="44"/>
      <c r="VUQ103" s="38"/>
      <c r="VUR103" s="14"/>
      <c r="VUS103" s="14"/>
      <c r="VUT103" s="14"/>
      <c r="VUU103" s="14"/>
      <c r="VUV103" s="36"/>
      <c r="VUW103" s="14"/>
      <c r="VUX103" s="44"/>
      <c r="VUY103" s="38"/>
      <c r="VUZ103" s="14"/>
      <c r="VVA103" s="14"/>
      <c r="VVB103" s="14"/>
      <c r="VVC103" s="14"/>
      <c r="VVD103" s="36"/>
      <c r="VVE103" s="14"/>
      <c r="VVF103" s="44"/>
      <c r="VVG103" s="38"/>
      <c r="VVH103" s="14"/>
      <c r="VVI103" s="14"/>
      <c r="VVJ103" s="14"/>
      <c r="VVK103" s="14"/>
      <c r="VVL103" s="36"/>
      <c r="VVM103" s="14"/>
      <c r="VVN103" s="44"/>
      <c r="VVO103" s="38"/>
      <c r="VVP103" s="14"/>
      <c r="VVQ103" s="14"/>
      <c r="VVR103" s="14"/>
      <c r="VVS103" s="14"/>
      <c r="VVT103" s="36"/>
      <c r="VVU103" s="14"/>
      <c r="VVV103" s="44"/>
      <c r="VVW103" s="38"/>
      <c r="VVX103" s="14"/>
      <c r="VVY103" s="14"/>
      <c r="VVZ103" s="14"/>
      <c r="VWA103" s="14"/>
      <c r="VWB103" s="36"/>
      <c r="VWC103" s="14"/>
      <c r="VWD103" s="44"/>
      <c r="VWE103" s="38"/>
      <c r="VWF103" s="14"/>
      <c r="VWG103" s="14"/>
      <c r="VWH103" s="14"/>
      <c r="VWI103" s="14"/>
      <c r="VWJ103" s="36"/>
      <c r="VWK103" s="14"/>
      <c r="VWL103" s="44"/>
      <c r="VWM103" s="38"/>
      <c r="VWN103" s="14"/>
      <c r="VWO103" s="14"/>
      <c r="VWP103" s="14"/>
      <c r="VWQ103" s="14"/>
      <c r="VWR103" s="36"/>
      <c r="VWS103" s="14"/>
      <c r="VWT103" s="44"/>
      <c r="VWU103" s="38"/>
      <c r="VWV103" s="14"/>
      <c r="VWW103" s="14"/>
      <c r="VWX103" s="14"/>
      <c r="VWY103" s="14"/>
      <c r="VWZ103" s="36"/>
      <c r="VXA103" s="14"/>
      <c r="VXB103" s="44"/>
      <c r="VXC103" s="38"/>
      <c r="VXD103" s="14"/>
      <c r="VXE103" s="14"/>
      <c r="VXF103" s="14"/>
      <c r="VXG103" s="14"/>
      <c r="VXH103" s="36"/>
      <c r="VXI103" s="14"/>
      <c r="VXJ103" s="44"/>
      <c r="VXK103" s="38"/>
      <c r="VXL103" s="14"/>
      <c r="VXM103" s="14"/>
      <c r="VXN103" s="14"/>
      <c r="VXO103" s="14"/>
      <c r="VXP103" s="36"/>
      <c r="VXQ103" s="14"/>
      <c r="VXR103" s="44"/>
      <c r="VXS103" s="38"/>
      <c r="VXT103" s="14"/>
      <c r="VXU103" s="14"/>
      <c r="VXV103" s="14"/>
      <c r="VXW103" s="14"/>
      <c r="VXX103" s="36"/>
      <c r="VXY103" s="14"/>
      <c r="VXZ103" s="44"/>
      <c r="VYA103" s="38"/>
      <c r="VYB103" s="14"/>
      <c r="VYC103" s="14"/>
      <c r="VYD103" s="14"/>
      <c r="VYE103" s="14"/>
      <c r="VYF103" s="36"/>
      <c r="VYG103" s="14"/>
      <c r="VYH103" s="44"/>
      <c r="VYI103" s="38"/>
      <c r="VYJ103" s="14"/>
      <c r="VYK103" s="14"/>
      <c r="VYL103" s="14"/>
      <c r="VYM103" s="14"/>
      <c r="VYN103" s="36"/>
      <c r="VYO103" s="14"/>
      <c r="VYP103" s="44"/>
      <c r="VYQ103" s="38"/>
      <c r="VYR103" s="14"/>
      <c r="VYS103" s="14"/>
      <c r="VYT103" s="14"/>
      <c r="VYU103" s="14"/>
      <c r="VYV103" s="36"/>
      <c r="VYW103" s="14"/>
      <c r="VYX103" s="44"/>
      <c r="VYY103" s="38"/>
      <c r="VYZ103" s="14"/>
      <c r="VZA103" s="14"/>
      <c r="VZB103" s="14"/>
      <c r="VZC103" s="14"/>
      <c r="VZD103" s="36"/>
      <c r="VZE103" s="14"/>
      <c r="VZF103" s="44"/>
      <c r="VZG103" s="38"/>
      <c r="VZH103" s="14"/>
      <c r="VZI103" s="14"/>
      <c r="VZJ103" s="14"/>
      <c r="VZK103" s="14"/>
      <c r="VZL103" s="36"/>
      <c r="VZM103" s="14"/>
      <c r="VZN103" s="44"/>
      <c r="VZO103" s="38"/>
      <c r="VZP103" s="14"/>
      <c r="VZQ103" s="14"/>
      <c r="VZR103" s="14"/>
      <c r="VZS103" s="14"/>
      <c r="VZT103" s="36"/>
      <c r="VZU103" s="14"/>
      <c r="VZV103" s="44"/>
      <c r="VZW103" s="38"/>
      <c r="VZX103" s="14"/>
      <c r="VZY103" s="14"/>
      <c r="VZZ103" s="14"/>
      <c r="WAA103" s="14"/>
      <c r="WAB103" s="36"/>
      <c r="WAC103" s="14"/>
      <c r="WAD103" s="44"/>
      <c r="WAE103" s="38"/>
      <c r="WAF103" s="14"/>
      <c r="WAG103" s="14"/>
      <c r="WAH103" s="14"/>
      <c r="WAI103" s="14"/>
      <c r="WAJ103" s="36"/>
      <c r="WAK103" s="14"/>
      <c r="WAL103" s="44"/>
      <c r="WAM103" s="38"/>
      <c r="WAN103" s="14"/>
      <c r="WAO103" s="14"/>
      <c r="WAP103" s="14"/>
      <c r="WAQ103" s="14"/>
      <c r="WAR103" s="36"/>
      <c r="WAS103" s="14"/>
      <c r="WAT103" s="44"/>
      <c r="WAU103" s="38"/>
      <c r="WAV103" s="14"/>
      <c r="WAW103" s="14"/>
      <c r="WAX103" s="14"/>
      <c r="WAY103" s="14"/>
      <c r="WAZ103" s="36"/>
      <c r="WBA103" s="14"/>
      <c r="WBB103" s="44"/>
      <c r="WBC103" s="38"/>
      <c r="WBD103" s="14"/>
      <c r="WBE103" s="14"/>
      <c r="WBF103" s="14"/>
      <c r="WBG103" s="14"/>
      <c r="WBH103" s="36"/>
      <c r="WBI103" s="14"/>
      <c r="WBJ103" s="44"/>
      <c r="WBK103" s="38"/>
      <c r="WBL103" s="14"/>
      <c r="WBM103" s="14"/>
      <c r="WBN103" s="14"/>
      <c r="WBO103" s="14"/>
      <c r="WBP103" s="36"/>
      <c r="WBQ103" s="14"/>
      <c r="WBR103" s="44"/>
      <c r="WBS103" s="38"/>
      <c r="WBT103" s="14"/>
      <c r="WBU103" s="14"/>
      <c r="WBV103" s="14"/>
      <c r="WBW103" s="14"/>
      <c r="WBX103" s="36"/>
      <c r="WBY103" s="14"/>
      <c r="WBZ103" s="44"/>
      <c r="WCA103" s="38"/>
      <c r="WCB103" s="14"/>
      <c r="WCC103" s="14"/>
      <c r="WCD103" s="14"/>
      <c r="WCE103" s="14"/>
      <c r="WCF103" s="36"/>
      <c r="WCG103" s="14"/>
      <c r="WCH103" s="44"/>
      <c r="WCI103" s="38"/>
      <c r="WCJ103" s="14"/>
      <c r="WCK103" s="14"/>
      <c r="WCL103" s="14"/>
      <c r="WCM103" s="14"/>
      <c r="WCN103" s="36"/>
      <c r="WCO103" s="14"/>
      <c r="WCP103" s="44"/>
      <c r="WCQ103" s="38"/>
      <c r="WCR103" s="14"/>
      <c r="WCS103" s="14"/>
      <c r="WCT103" s="14"/>
      <c r="WCU103" s="14"/>
      <c r="WCV103" s="36"/>
      <c r="WCW103" s="14"/>
      <c r="WCX103" s="44"/>
      <c r="WCY103" s="38"/>
      <c r="WCZ103" s="14"/>
      <c r="WDA103" s="14"/>
      <c r="WDB103" s="14"/>
      <c r="WDC103" s="14"/>
      <c r="WDD103" s="36"/>
      <c r="WDE103" s="14"/>
      <c r="WDF103" s="44"/>
      <c r="WDG103" s="38"/>
      <c r="WDH103" s="14"/>
      <c r="WDI103" s="14"/>
      <c r="WDJ103" s="14"/>
      <c r="WDK103" s="14"/>
      <c r="WDL103" s="36"/>
      <c r="WDM103" s="14"/>
      <c r="WDN103" s="44"/>
      <c r="WDO103" s="38"/>
      <c r="WDP103" s="14"/>
      <c r="WDQ103" s="14"/>
      <c r="WDR103" s="14"/>
      <c r="WDS103" s="14"/>
      <c r="WDT103" s="36"/>
      <c r="WDU103" s="14"/>
      <c r="WDV103" s="44"/>
      <c r="WDW103" s="38"/>
      <c r="WDX103" s="14"/>
      <c r="WDY103" s="14"/>
      <c r="WDZ103" s="14"/>
      <c r="WEA103" s="14"/>
      <c r="WEB103" s="36"/>
      <c r="WEC103" s="14"/>
      <c r="WED103" s="44"/>
      <c r="WEE103" s="38"/>
      <c r="WEF103" s="14"/>
      <c r="WEG103" s="14"/>
      <c r="WEH103" s="14"/>
      <c r="WEI103" s="14"/>
      <c r="WEJ103" s="36"/>
      <c r="WEK103" s="14"/>
      <c r="WEL103" s="44"/>
      <c r="WEM103" s="38"/>
      <c r="WEN103" s="14"/>
      <c r="WEO103" s="14"/>
      <c r="WEP103" s="14"/>
      <c r="WEQ103" s="14"/>
      <c r="WER103" s="36"/>
      <c r="WES103" s="14"/>
      <c r="WET103" s="44"/>
      <c r="WEU103" s="38"/>
      <c r="WEV103" s="14"/>
      <c r="WEW103" s="14"/>
      <c r="WEX103" s="14"/>
      <c r="WEY103" s="14"/>
      <c r="WEZ103" s="36"/>
      <c r="WFA103" s="14"/>
      <c r="WFB103" s="44"/>
      <c r="WFC103" s="38"/>
      <c r="WFD103" s="14"/>
      <c r="WFE103" s="14"/>
      <c r="WFF103" s="14"/>
      <c r="WFG103" s="14"/>
      <c r="WFH103" s="36"/>
      <c r="WFI103" s="14"/>
      <c r="WFJ103" s="44"/>
      <c r="WFK103" s="38"/>
      <c r="WFL103" s="14"/>
      <c r="WFM103" s="14"/>
      <c r="WFN103" s="14"/>
      <c r="WFO103" s="14"/>
      <c r="WFP103" s="36"/>
      <c r="WFQ103" s="14"/>
      <c r="WFR103" s="44"/>
      <c r="WFS103" s="38"/>
      <c r="WFT103" s="14"/>
      <c r="WFU103" s="14"/>
      <c r="WFV103" s="14"/>
      <c r="WFW103" s="14"/>
      <c r="WFX103" s="36"/>
      <c r="WFY103" s="14"/>
      <c r="WFZ103" s="44"/>
      <c r="WGA103" s="38"/>
      <c r="WGB103" s="14"/>
      <c r="WGC103" s="14"/>
      <c r="WGD103" s="14"/>
      <c r="WGE103" s="14"/>
      <c r="WGF103" s="36"/>
      <c r="WGG103" s="14"/>
      <c r="WGH103" s="44"/>
      <c r="WGI103" s="38"/>
      <c r="WGJ103" s="14"/>
      <c r="WGK103" s="14"/>
      <c r="WGL103" s="14"/>
      <c r="WGM103" s="14"/>
      <c r="WGN103" s="36"/>
      <c r="WGO103" s="14"/>
      <c r="WGP103" s="44"/>
      <c r="WGQ103" s="38"/>
      <c r="WGR103" s="14"/>
      <c r="WGS103" s="14"/>
      <c r="WGT103" s="14"/>
      <c r="WGU103" s="14"/>
      <c r="WGV103" s="36"/>
      <c r="WGW103" s="14"/>
      <c r="WGX103" s="44"/>
      <c r="WGY103" s="38"/>
      <c r="WGZ103" s="14"/>
      <c r="WHA103" s="14"/>
      <c r="WHB103" s="14"/>
      <c r="WHC103" s="14"/>
      <c r="WHD103" s="36"/>
      <c r="WHE103" s="14"/>
      <c r="WHF103" s="44"/>
      <c r="WHG103" s="38"/>
      <c r="WHH103" s="14"/>
      <c r="WHI103" s="14"/>
      <c r="WHJ103" s="14"/>
      <c r="WHK103" s="14"/>
      <c r="WHL103" s="36"/>
      <c r="WHM103" s="14"/>
      <c r="WHN103" s="44"/>
      <c r="WHO103" s="38"/>
      <c r="WHP103" s="14"/>
      <c r="WHQ103" s="14"/>
      <c r="WHR103" s="14"/>
      <c r="WHS103" s="14"/>
      <c r="WHT103" s="36"/>
      <c r="WHU103" s="14"/>
      <c r="WHV103" s="44"/>
      <c r="WHW103" s="38"/>
      <c r="WHX103" s="14"/>
      <c r="WHY103" s="14"/>
      <c r="WHZ103" s="14"/>
      <c r="WIA103" s="14"/>
      <c r="WIB103" s="36"/>
      <c r="WIC103" s="14"/>
      <c r="WID103" s="44"/>
      <c r="WIE103" s="38"/>
      <c r="WIF103" s="14"/>
      <c r="WIG103" s="14"/>
      <c r="WIH103" s="14"/>
      <c r="WII103" s="14"/>
      <c r="WIJ103" s="36"/>
      <c r="WIK103" s="14"/>
      <c r="WIL103" s="44"/>
      <c r="WIM103" s="38"/>
      <c r="WIN103" s="14"/>
      <c r="WIO103" s="14"/>
      <c r="WIP103" s="14"/>
      <c r="WIQ103" s="14"/>
      <c r="WIR103" s="36"/>
      <c r="WIS103" s="14"/>
      <c r="WIT103" s="44"/>
      <c r="WIU103" s="38"/>
      <c r="WIV103" s="14"/>
      <c r="WIW103" s="14"/>
      <c r="WIX103" s="14"/>
      <c r="WIY103" s="14"/>
      <c r="WIZ103" s="36"/>
      <c r="WJA103" s="14"/>
      <c r="WJB103" s="44"/>
      <c r="WJC103" s="38"/>
      <c r="WJD103" s="14"/>
      <c r="WJE103" s="14"/>
      <c r="WJF103" s="14"/>
      <c r="WJG103" s="14"/>
      <c r="WJH103" s="36"/>
      <c r="WJI103" s="14"/>
      <c r="WJJ103" s="44"/>
      <c r="WJK103" s="38"/>
      <c r="WJL103" s="14"/>
      <c r="WJM103" s="14"/>
      <c r="WJN103" s="14"/>
      <c r="WJO103" s="14"/>
      <c r="WJP103" s="36"/>
      <c r="WJQ103" s="14"/>
      <c r="WJR103" s="44"/>
      <c r="WJS103" s="38"/>
      <c r="WJT103" s="14"/>
      <c r="WJU103" s="14"/>
      <c r="WJV103" s="14"/>
      <c r="WJW103" s="14"/>
      <c r="WJX103" s="36"/>
      <c r="WJY103" s="14"/>
      <c r="WJZ103" s="44"/>
      <c r="WKA103" s="38"/>
      <c r="WKB103" s="14"/>
      <c r="WKC103" s="14"/>
      <c r="WKD103" s="14"/>
      <c r="WKE103" s="14"/>
      <c r="WKF103" s="36"/>
      <c r="WKG103" s="14"/>
      <c r="WKH103" s="44"/>
      <c r="WKI103" s="38"/>
      <c r="WKJ103" s="14"/>
      <c r="WKK103" s="14"/>
      <c r="WKL103" s="14"/>
      <c r="WKM103" s="14"/>
      <c r="WKN103" s="36"/>
      <c r="WKO103" s="14"/>
      <c r="WKP103" s="44"/>
      <c r="WKQ103" s="38"/>
      <c r="WKR103" s="14"/>
      <c r="WKS103" s="14"/>
      <c r="WKT103" s="14"/>
      <c r="WKU103" s="14"/>
      <c r="WKV103" s="36"/>
      <c r="WKW103" s="14"/>
      <c r="WKX103" s="44"/>
      <c r="WKY103" s="38"/>
      <c r="WKZ103" s="14"/>
      <c r="WLA103" s="14"/>
      <c r="WLB103" s="14"/>
      <c r="WLC103" s="14"/>
      <c r="WLD103" s="36"/>
      <c r="WLE103" s="14"/>
      <c r="WLF103" s="44"/>
      <c r="WLG103" s="38"/>
      <c r="WLH103" s="14"/>
      <c r="WLI103" s="14"/>
      <c r="WLJ103" s="14"/>
      <c r="WLK103" s="14"/>
      <c r="WLL103" s="36"/>
      <c r="WLM103" s="14"/>
      <c r="WLN103" s="44"/>
      <c r="WLO103" s="38"/>
      <c r="WLP103" s="14"/>
      <c r="WLQ103" s="14"/>
      <c r="WLR103" s="14"/>
      <c r="WLS103" s="14"/>
      <c r="WLT103" s="36"/>
      <c r="WLU103" s="14"/>
      <c r="WLV103" s="44"/>
      <c r="WLW103" s="38"/>
      <c r="WLX103" s="14"/>
      <c r="WLY103" s="14"/>
      <c r="WLZ103" s="14"/>
      <c r="WMA103" s="14"/>
      <c r="WMB103" s="36"/>
      <c r="WMC103" s="14"/>
      <c r="WMD103" s="44"/>
      <c r="WME103" s="38"/>
      <c r="WMF103" s="14"/>
      <c r="WMG103" s="14"/>
      <c r="WMH103" s="14"/>
      <c r="WMI103" s="14"/>
      <c r="WMJ103" s="36"/>
      <c r="WMK103" s="14"/>
      <c r="WML103" s="44"/>
      <c r="WMM103" s="38"/>
      <c r="WMN103" s="14"/>
      <c r="WMO103" s="14"/>
      <c r="WMP103" s="14"/>
      <c r="WMQ103" s="14"/>
      <c r="WMR103" s="36"/>
      <c r="WMS103" s="14"/>
      <c r="WMT103" s="44"/>
      <c r="WMU103" s="38"/>
      <c r="WMV103" s="14"/>
      <c r="WMW103" s="14"/>
      <c r="WMX103" s="14"/>
      <c r="WMY103" s="14"/>
      <c r="WMZ103" s="36"/>
      <c r="WNA103" s="14"/>
      <c r="WNB103" s="44"/>
      <c r="WNC103" s="38"/>
      <c r="WND103" s="14"/>
      <c r="WNE103" s="14"/>
      <c r="WNF103" s="14"/>
      <c r="WNG103" s="14"/>
      <c r="WNH103" s="36"/>
      <c r="WNI103" s="14"/>
      <c r="WNJ103" s="44"/>
      <c r="WNK103" s="38"/>
      <c r="WNL103" s="14"/>
      <c r="WNM103" s="14"/>
      <c r="WNN103" s="14"/>
      <c r="WNO103" s="14"/>
      <c r="WNP103" s="36"/>
      <c r="WNQ103" s="14"/>
      <c r="WNR103" s="44"/>
      <c r="WNS103" s="38"/>
      <c r="WNT103" s="14"/>
      <c r="WNU103" s="14"/>
      <c r="WNV103" s="14"/>
      <c r="WNW103" s="14"/>
      <c r="WNX103" s="36"/>
      <c r="WNY103" s="14"/>
      <c r="WNZ103" s="44"/>
      <c r="WOA103" s="38"/>
      <c r="WOB103" s="14"/>
      <c r="WOC103" s="14"/>
      <c r="WOD103" s="14"/>
      <c r="WOE103" s="14"/>
      <c r="WOF103" s="36"/>
      <c r="WOG103" s="14"/>
      <c r="WOH103" s="44"/>
      <c r="WOI103" s="38"/>
      <c r="WOJ103" s="14"/>
      <c r="WOK103" s="14"/>
      <c r="WOL103" s="14"/>
      <c r="WOM103" s="14"/>
      <c r="WON103" s="36"/>
      <c r="WOO103" s="14"/>
      <c r="WOP103" s="44"/>
      <c r="WOQ103" s="38"/>
      <c r="WOR103" s="14"/>
      <c r="WOS103" s="14"/>
      <c r="WOT103" s="14"/>
      <c r="WOU103" s="14"/>
      <c r="WOV103" s="36"/>
      <c r="WOW103" s="14"/>
      <c r="WOX103" s="44"/>
      <c r="WOY103" s="38"/>
      <c r="WOZ103" s="14"/>
      <c r="WPA103" s="14"/>
      <c r="WPB103" s="14"/>
      <c r="WPC103" s="14"/>
      <c r="WPD103" s="36"/>
      <c r="WPE103" s="14"/>
      <c r="WPF103" s="44"/>
      <c r="WPG103" s="38"/>
      <c r="WPH103" s="14"/>
      <c r="WPI103" s="14"/>
      <c r="WPJ103" s="14"/>
      <c r="WPK103" s="14"/>
      <c r="WPL103" s="36"/>
      <c r="WPM103" s="14"/>
      <c r="WPN103" s="44"/>
      <c r="WPO103" s="38"/>
      <c r="WPP103" s="14"/>
      <c r="WPQ103" s="14"/>
      <c r="WPR103" s="14"/>
      <c r="WPS103" s="14"/>
      <c r="WPT103" s="36"/>
      <c r="WPU103" s="14"/>
      <c r="WPV103" s="44"/>
      <c r="WPW103" s="38"/>
      <c r="WPX103" s="14"/>
      <c r="WPY103" s="14"/>
      <c r="WPZ103" s="14"/>
      <c r="WQA103" s="14"/>
      <c r="WQB103" s="36"/>
      <c r="WQC103" s="14"/>
      <c r="WQD103" s="44"/>
      <c r="WQE103" s="38"/>
      <c r="WQF103" s="14"/>
      <c r="WQG103" s="14"/>
      <c r="WQH103" s="14"/>
      <c r="WQI103" s="14"/>
      <c r="WQJ103" s="36"/>
      <c r="WQK103" s="14"/>
      <c r="WQL103" s="44"/>
      <c r="WQM103" s="38"/>
      <c r="WQN103" s="14"/>
      <c r="WQO103" s="14"/>
      <c r="WQP103" s="14"/>
      <c r="WQQ103" s="14"/>
      <c r="WQR103" s="36"/>
      <c r="WQS103" s="14"/>
      <c r="WQT103" s="44"/>
      <c r="WQU103" s="38"/>
      <c r="WQV103" s="14"/>
      <c r="WQW103" s="14"/>
      <c r="WQX103" s="14"/>
      <c r="WQY103" s="14"/>
      <c r="WQZ103" s="36"/>
      <c r="WRA103" s="14"/>
      <c r="WRB103" s="44"/>
      <c r="WRC103" s="38"/>
      <c r="WRD103" s="14"/>
      <c r="WRE103" s="14"/>
      <c r="WRF103" s="14"/>
      <c r="WRG103" s="14"/>
      <c r="WRH103" s="36"/>
      <c r="WRI103" s="14"/>
      <c r="WRJ103" s="44"/>
      <c r="WRK103" s="38"/>
      <c r="WRL103" s="14"/>
      <c r="WRM103" s="14"/>
      <c r="WRN103" s="14"/>
      <c r="WRO103" s="14"/>
      <c r="WRP103" s="36"/>
      <c r="WRQ103" s="14"/>
      <c r="WRR103" s="44"/>
      <c r="WRS103" s="38"/>
      <c r="WRT103" s="14"/>
      <c r="WRU103" s="14"/>
      <c r="WRV103" s="14"/>
      <c r="WRW103" s="14"/>
      <c r="WRX103" s="36"/>
      <c r="WRY103" s="14"/>
      <c r="WRZ103" s="44"/>
      <c r="WSA103" s="38"/>
      <c r="WSB103" s="14"/>
      <c r="WSC103" s="14"/>
      <c r="WSD103" s="14"/>
      <c r="WSE103" s="14"/>
      <c r="WSF103" s="36"/>
      <c r="WSG103" s="14"/>
      <c r="WSH103" s="44"/>
      <c r="WSI103" s="38"/>
      <c r="WSJ103" s="14"/>
      <c r="WSK103" s="14"/>
      <c r="WSL103" s="14"/>
      <c r="WSM103" s="14"/>
      <c r="WSN103" s="36"/>
      <c r="WSO103" s="14"/>
      <c r="WSP103" s="44"/>
      <c r="WSQ103" s="38"/>
      <c r="WSR103" s="14"/>
      <c r="WSS103" s="14"/>
      <c r="WST103" s="14"/>
      <c r="WSU103" s="14"/>
      <c r="WSV103" s="36"/>
      <c r="WSW103" s="14"/>
      <c r="WSX103" s="44"/>
      <c r="WSY103" s="38"/>
      <c r="WSZ103" s="14"/>
      <c r="WTA103" s="14"/>
      <c r="WTB103" s="14"/>
      <c r="WTC103" s="14"/>
      <c r="WTD103" s="36"/>
      <c r="WTE103" s="14"/>
      <c r="WTF103" s="44"/>
      <c r="WTG103" s="38"/>
      <c r="WTH103" s="14"/>
      <c r="WTI103" s="14"/>
      <c r="WTJ103" s="14"/>
      <c r="WTK103" s="14"/>
      <c r="WTL103" s="36"/>
      <c r="WTM103" s="14"/>
      <c r="WTN103" s="44"/>
      <c r="WTO103" s="38"/>
      <c r="WTP103" s="14"/>
      <c r="WTQ103" s="14"/>
      <c r="WTR103" s="14"/>
      <c r="WTS103" s="14"/>
      <c r="WTT103" s="36"/>
      <c r="WTU103" s="14"/>
      <c r="WTV103" s="44"/>
      <c r="WTW103" s="38"/>
      <c r="WTX103" s="14"/>
      <c r="WTY103" s="14"/>
      <c r="WTZ103" s="14"/>
      <c r="WUA103" s="14"/>
      <c r="WUB103" s="36"/>
      <c r="WUC103" s="14"/>
      <c r="WUD103" s="44"/>
      <c r="WUE103" s="38"/>
      <c r="WUF103" s="14"/>
      <c r="WUG103" s="14"/>
      <c r="WUH103" s="14"/>
      <c r="WUI103" s="14"/>
      <c r="WUJ103" s="36"/>
      <c r="WUK103" s="14"/>
      <c r="WUL103" s="44"/>
      <c r="WUM103" s="38"/>
      <c r="WUN103" s="14"/>
      <c r="WUO103" s="14"/>
      <c r="WUP103" s="14"/>
      <c r="WUQ103" s="14"/>
      <c r="WUR103" s="36"/>
      <c r="WUS103" s="14"/>
      <c r="WUT103" s="44"/>
      <c r="WUU103" s="38"/>
      <c r="WUV103" s="14"/>
      <c r="WUW103" s="14"/>
      <c r="WUX103" s="14"/>
      <c r="WUY103" s="14"/>
      <c r="WUZ103" s="36"/>
      <c r="WVA103" s="14"/>
      <c r="WVB103" s="44"/>
      <c r="WVC103" s="38"/>
      <c r="WVD103" s="14"/>
      <c r="WVE103" s="14"/>
      <c r="WVF103" s="14"/>
      <c r="WVG103" s="14"/>
      <c r="WVH103" s="36"/>
      <c r="WVI103" s="14"/>
      <c r="WVJ103" s="44"/>
      <c r="WVK103" s="38"/>
      <c r="WVL103" s="14"/>
      <c r="WVM103" s="14"/>
      <c r="WVN103" s="14"/>
      <c r="WVO103" s="14"/>
      <c r="WVP103" s="36"/>
      <c r="WVQ103" s="14"/>
      <c r="WVR103" s="44"/>
      <c r="WVS103" s="38"/>
      <c r="WVT103" s="14"/>
      <c r="WVU103" s="14"/>
      <c r="WVV103" s="14"/>
      <c r="WVW103" s="14"/>
      <c r="WVX103" s="36"/>
      <c r="WVY103" s="14"/>
      <c r="WVZ103" s="44"/>
      <c r="WWA103" s="38"/>
      <c r="WWB103" s="14"/>
      <c r="WWC103" s="14"/>
      <c r="WWD103" s="14"/>
      <c r="WWE103" s="14"/>
      <c r="WWF103" s="36"/>
      <c r="WWG103" s="14"/>
      <c r="WWH103" s="44"/>
      <c r="WWI103" s="38"/>
      <c r="WWJ103" s="14"/>
      <c r="WWK103" s="14"/>
      <c r="WWL103" s="14"/>
      <c r="WWM103" s="14"/>
      <c r="WWN103" s="36"/>
      <c r="WWO103" s="14"/>
      <c r="WWP103" s="44"/>
      <c r="WWQ103" s="38"/>
      <c r="WWR103" s="14"/>
      <c r="WWS103" s="14"/>
      <c r="WWT103" s="14"/>
      <c r="WWU103" s="14"/>
      <c r="WWV103" s="36"/>
      <c r="WWW103" s="14"/>
      <c r="WWX103" s="44"/>
      <c r="WWY103" s="38"/>
      <c r="WWZ103" s="14"/>
      <c r="WXA103" s="14"/>
      <c r="WXB103" s="14"/>
      <c r="WXC103" s="14"/>
      <c r="WXD103" s="36"/>
      <c r="WXE103" s="14"/>
      <c r="WXF103" s="44"/>
      <c r="WXG103" s="38"/>
      <c r="WXH103" s="14"/>
      <c r="WXI103" s="14"/>
      <c r="WXJ103" s="14"/>
      <c r="WXK103" s="14"/>
      <c r="WXL103" s="36"/>
      <c r="WXM103" s="14"/>
      <c r="WXN103" s="44"/>
      <c r="WXO103" s="38"/>
      <c r="WXP103" s="14"/>
      <c r="WXQ103" s="14"/>
      <c r="WXR103" s="14"/>
      <c r="WXS103" s="14"/>
      <c r="WXT103" s="36"/>
      <c r="WXU103" s="14"/>
      <c r="WXV103" s="44"/>
      <c r="WXW103" s="38"/>
      <c r="WXX103" s="14"/>
      <c r="WXY103" s="14"/>
      <c r="WXZ103" s="14"/>
      <c r="WYA103" s="14"/>
      <c r="WYB103" s="36"/>
      <c r="WYC103" s="14"/>
      <c r="WYD103" s="44"/>
      <c r="WYE103" s="38"/>
      <c r="WYF103" s="14"/>
      <c r="WYG103" s="14"/>
      <c r="WYH103" s="14"/>
      <c r="WYI103" s="14"/>
      <c r="WYJ103" s="36"/>
      <c r="WYK103" s="14"/>
      <c r="WYL103" s="44"/>
      <c r="WYM103" s="38"/>
      <c r="WYN103" s="14"/>
      <c r="WYO103" s="14"/>
      <c r="WYP103" s="14"/>
      <c r="WYQ103" s="14"/>
      <c r="WYR103" s="36"/>
      <c r="WYS103" s="14"/>
      <c r="WYT103" s="44"/>
      <c r="WYU103" s="38"/>
      <c r="WYV103" s="14"/>
      <c r="WYW103" s="14"/>
      <c r="WYX103" s="14"/>
      <c r="WYY103" s="14"/>
      <c r="WYZ103" s="36"/>
      <c r="WZA103" s="14"/>
      <c r="WZB103" s="44"/>
      <c r="WZC103" s="38"/>
      <c r="WZD103" s="14"/>
      <c r="WZE103" s="14"/>
      <c r="WZF103" s="14"/>
      <c r="WZG103" s="14"/>
      <c r="WZH103" s="36"/>
      <c r="WZI103" s="14"/>
      <c r="WZJ103" s="44"/>
      <c r="WZK103" s="38"/>
      <c r="WZL103" s="14"/>
      <c r="WZM103" s="14"/>
      <c r="WZN103" s="14"/>
      <c r="WZO103" s="14"/>
      <c r="WZP103" s="36"/>
      <c r="WZQ103" s="14"/>
      <c r="WZR103" s="44"/>
      <c r="WZS103" s="38"/>
      <c r="WZT103" s="14"/>
      <c r="WZU103" s="14"/>
      <c r="WZV103" s="14"/>
      <c r="WZW103" s="14"/>
      <c r="WZX103" s="36"/>
      <c r="WZY103" s="14"/>
      <c r="WZZ103" s="44"/>
      <c r="XAA103" s="38"/>
      <c r="XAB103" s="14"/>
      <c r="XAC103" s="14"/>
      <c r="XAD103" s="14"/>
      <c r="XAE103" s="14"/>
      <c r="XAF103" s="36"/>
      <c r="XAG103" s="14"/>
      <c r="XAH103" s="44"/>
      <c r="XAI103" s="38"/>
      <c r="XAJ103" s="14"/>
      <c r="XAK103" s="14"/>
      <c r="XAL103" s="14"/>
      <c r="XAM103" s="14"/>
      <c r="XAN103" s="36"/>
      <c r="XAO103" s="14"/>
      <c r="XAP103" s="44"/>
      <c r="XAQ103" s="38"/>
      <c r="XAR103" s="14"/>
      <c r="XAS103" s="14"/>
      <c r="XAT103" s="14"/>
      <c r="XAU103" s="14"/>
      <c r="XAV103" s="36"/>
      <c r="XAW103" s="14"/>
      <c r="XAX103" s="44"/>
      <c r="XAY103" s="38"/>
      <c r="XAZ103" s="14"/>
      <c r="XBA103" s="14"/>
      <c r="XBB103" s="14"/>
      <c r="XBC103" s="14"/>
      <c r="XBD103" s="36"/>
      <c r="XBE103" s="14"/>
      <c r="XBF103" s="44"/>
      <c r="XBG103" s="38"/>
      <c r="XBH103" s="14"/>
      <c r="XBI103" s="14"/>
      <c r="XBJ103" s="14"/>
      <c r="XBK103" s="14"/>
      <c r="XBL103" s="36"/>
      <c r="XBM103" s="14"/>
      <c r="XBN103" s="44"/>
      <c r="XBO103" s="38"/>
      <c r="XBP103" s="14"/>
      <c r="XBQ103" s="14"/>
      <c r="XBR103" s="14"/>
      <c r="XBS103" s="14"/>
      <c r="XBT103" s="36"/>
      <c r="XBU103" s="14"/>
      <c r="XBV103" s="44"/>
      <c r="XBW103" s="38"/>
      <c r="XBX103" s="14"/>
      <c r="XBY103" s="14"/>
      <c r="XBZ103" s="14"/>
      <c r="XCA103" s="14"/>
      <c r="XCB103" s="36"/>
      <c r="XCC103" s="14"/>
      <c r="XCD103" s="44"/>
      <c r="XCE103" s="38"/>
      <c r="XCF103" s="14"/>
      <c r="XCG103" s="14"/>
      <c r="XCH103" s="14"/>
      <c r="XCI103" s="14"/>
      <c r="XCJ103" s="36"/>
      <c r="XCK103" s="14"/>
      <c r="XCL103" s="44"/>
      <c r="XCM103" s="38"/>
      <c r="XCN103" s="14"/>
      <c r="XCO103" s="14"/>
      <c r="XCP103" s="14"/>
      <c r="XCQ103" s="14"/>
      <c r="XCR103" s="36"/>
      <c r="XCS103" s="14"/>
      <c r="XCT103" s="44"/>
      <c r="XCU103" s="38"/>
      <c r="XCV103" s="14"/>
      <c r="XCW103" s="14"/>
      <c r="XCX103" s="14"/>
      <c r="XCY103" s="14"/>
      <c r="XCZ103" s="36"/>
      <c r="XDA103" s="14"/>
      <c r="XDB103" s="44"/>
      <c r="XDC103" s="38"/>
      <c r="XDD103" s="14"/>
      <c r="XDE103" s="14"/>
      <c r="XDF103" s="14"/>
      <c r="XDG103" s="14"/>
      <c r="XDH103" s="36"/>
      <c r="XDI103" s="14"/>
      <c r="XDJ103" s="44"/>
      <c r="XDK103" s="38"/>
      <c r="XDL103" s="14"/>
      <c r="XDM103" s="14"/>
      <c r="XDN103" s="14"/>
      <c r="XDO103" s="14"/>
      <c r="XDP103" s="36"/>
      <c r="XDQ103" s="14"/>
      <c r="XDR103" s="44"/>
      <c r="XDS103" s="38"/>
      <c r="XDT103" s="14"/>
      <c r="XDU103" s="14"/>
      <c r="XDV103" s="14"/>
      <c r="XDW103" s="14"/>
      <c r="XDX103" s="36"/>
      <c r="XDY103" s="14"/>
      <c r="XDZ103" s="44"/>
      <c r="XEA103" s="38"/>
      <c r="XEB103" s="14"/>
      <c r="XEC103" s="14"/>
      <c r="XED103" s="14"/>
      <c r="XEE103" s="14"/>
      <c r="XEF103" s="36"/>
      <c r="XEG103" s="14"/>
      <c r="XEH103" s="44"/>
      <c r="XEI103" s="38"/>
      <c r="XEJ103" s="14"/>
      <c r="XEK103" s="14"/>
      <c r="XEL103" s="14"/>
      <c r="XEM103" s="14"/>
      <c r="XEN103" s="36"/>
      <c r="XEO103" s="14"/>
      <c r="XEP103" s="44"/>
      <c r="XEQ103" s="38"/>
      <c r="XER103" s="14"/>
      <c r="XES103" s="14"/>
      <c r="XET103" s="14"/>
      <c r="XEU103" s="14"/>
      <c r="XEV103" s="36"/>
      <c r="XEW103" s="14"/>
      <c r="XEX103" s="44"/>
      <c r="XEY103" s="38"/>
      <c r="XEZ103" s="14"/>
      <c r="XFA103" s="14"/>
      <c r="XFB103" s="14"/>
      <c r="XFC103" s="14"/>
      <c r="XFD103" s="36"/>
    </row>
    <row r="104" spans="1:16384" customFormat="1" ht="15.75" customHeight="1" x14ac:dyDescent="0.3">
      <c r="A104" s="14" t="s">
        <v>169</v>
      </c>
      <c r="B104" s="45"/>
      <c r="C104" s="14"/>
      <c r="D104" s="14"/>
      <c r="E104" s="14"/>
      <c r="F104" s="14"/>
      <c r="G104" s="14"/>
      <c r="H104" s="49">
        <v>-55000</v>
      </c>
      <c r="CC104" s="14"/>
      <c r="CD104" s="45"/>
      <c r="CE104" s="14"/>
      <c r="CF104" s="14"/>
      <c r="CG104" s="14"/>
      <c r="CH104" s="14"/>
      <c r="CI104" s="14"/>
      <c r="CJ104" s="36"/>
      <c r="CK104" s="14"/>
      <c r="CL104" s="45"/>
      <c r="CM104" s="14"/>
      <c r="CN104" s="14"/>
      <c r="CO104" s="14"/>
      <c r="CP104" s="14"/>
      <c r="CQ104" s="14"/>
      <c r="CR104" s="36"/>
      <c r="CS104" s="14"/>
      <c r="CT104" s="45"/>
      <c r="CU104" s="14"/>
      <c r="CV104" s="14"/>
      <c r="CW104" s="14"/>
      <c r="CX104" s="14"/>
      <c r="CY104" s="14"/>
      <c r="CZ104" s="36"/>
      <c r="DA104" s="14"/>
      <c r="DB104" s="45"/>
      <c r="DC104" s="14"/>
      <c r="DD104" s="14"/>
      <c r="DE104" s="14"/>
      <c r="DF104" s="14"/>
      <c r="DG104" s="14"/>
      <c r="DH104" s="36"/>
      <c r="DI104" s="14"/>
      <c r="DJ104" s="45"/>
      <c r="DK104" s="14"/>
      <c r="DL104" s="14"/>
      <c r="DM104" s="14"/>
      <c r="DN104" s="14"/>
      <c r="DO104" s="14"/>
      <c r="DP104" s="36"/>
      <c r="DQ104" s="14"/>
      <c r="DR104" s="45"/>
      <c r="DS104" s="14"/>
      <c r="DT104" s="14"/>
      <c r="DU104" s="14"/>
      <c r="DV104" s="14"/>
      <c r="DW104" s="14"/>
      <c r="DX104" s="36"/>
      <c r="DY104" s="14"/>
      <c r="DZ104" s="45"/>
      <c r="EA104" s="14"/>
      <c r="EB104" s="14"/>
      <c r="EC104" s="14"/>
      <c r="ED104" s="14"/>
      <c r="EE104" s="14"/>
      <c r="EF104" s="36"/>
      <c r="EG104" s="14"/>
      <c r="EH104" s="45"/>
      <c r="EI104" s="14"/>
      <c r="EJ104" s="14"/>
      <c r="EK104" s="14"/>
      <c r="EL104" s="14"/>
      <c r="EM104" s="14"/>
      <c r="EN104" s="36"/>
      <c r="EO104" s="14"/>
      <c r="EP104" s="45"/>
      <c r="EQ104" s="14"/>
      <c r="ER104" s="14"/>
      <c r="ES104" s="14"/>
      <c r="ET104" s="14"/>
      <c r="EU104" s="14"/>
      <c r="EV104" s="36"/>
      <c r="EW104" s="14"/>
      <c r="EX104" s="45"/>
      <c r="EY104" s="14"/>
      <c r="EZ104" s="14"/>
      <c r="FA104" s="14"/>
      <c r="FB104" s="14"/>
      <c r="FC104" s="14"/>
      <c r="FD104" s="36"/>
      <c r="FE104" s="14"/>
      <c r="FF104" s="45"/>
      <c r="FG104" s="14"/>
      <c r="FH104" s="14"/>
      <c r="FI104" s="14"/>
      <c r="FJ104" s="14"/>
      <c r="FK104" s="14"/>
      <c r="FL104" s="36"/>
      <c r="FM104" s="14"/>
      <c r="FN104" s="45"/>
      <c r="FO104" s="14"/>
      <c r="FP104" s="14"/>
      <c r="FQ104" s="14"/>
      <c r="FR104" s="14"/>
      <c r="FS104" s="14"/>
      <c r="FT104" s="36"/>
      <c r="FU104" s="14"/>
      <c r="FV104" s="45"/>
      <c r="FW104" s="14"/>
      <c r="FX104" s="14"/>
      <c r="FY104" s="14"/>
      <c r="FZ104" s="14"/>
      <c r="GA104" s="14"/>
      <c r="GB104" s="36"/>
      <c r="GC104" s="14"/>
      <c r="GD104" s="45"/>
      <c r="GE104" s="14"/>
      <c r="GF104" s="14"/>
      <c r="GG104" s="14"/>
      <c r="GH104" s="14"/>
      <c r="GI104" s="14"/>
      <c r="GJ104" s="36"/>
      <c r="GK104" s="14"/>
      <c r="GL104" s="45"/>
      <c r="GM104" s="14"/>
      <c r="GN104" s="14"/>
      <c r="GO104" s="14"/>
      <c r="GP104" s="14"/>
      <c r="GQ104" s="14"/>
      <c r="GR104" s="36"/>
      <c r="GS104" s="14"/>
      <c r="GT104" s="45"/>
      <c r="GU104" s="14"/>
      <c r="GV104" s="14"/>
      <c r="GW104" s="14"/>
      <c r="GX104" s="14"/>
      <c r="GY104" s="14"/>
      <c r="GZ104" s="36"/>
      <c r="HA104" s="14"/>
      <c r="HB104" s="45"/>
      <c r="HC104" s="14"/>
      <c r="HD104" s="14"/>
      <c r="HE104" s="14"/>
      <c r="HF104" s="14"/>
      <c r="HG104" s="14"/>
      <c r="HH104" s="36"/>
      <c r="HI104" s="14"/>
      <c r="HJ104" s="45"/>
      <c r="HK104" s="14"/>
      <c r="HL104" s="14"/>
      <c r="HM104" s="14"/>
      <c r="HN104" s="14"/>
      <c r="HO104" s="14"/>
      <c r="HP104" s="36"/>
      <c r="HQ104" s="14"/>
      <c r="HR104" s="45"/>
      <c r="HS104" s="14"/>
      <c r="HT104" s="14"/>
      <c r="HU104" s="14"/>
      <c r="HV104" s="14"/>
      <c r="HW104" s="14"/>
      <c r="HX104" s="36"/>
      <c r="HY104" s="14"/>
      <c r="HZ104" s="45"/>
      <c r="IA104" s="14"/>
      <c r="IB104" s="14"/>
      <c r="IC104" s="14"/>
      <c r="ID104" s="14"/>
      <c r="IE104" s="14"/>
      <c r="IF104" s="36"/>
      <c r="IG104" s="14"/>
      <c r="IH104" s="45"/>
      <c r="II104" s="14"/>
      <c r="IJ104" s="14"/>
      <c r="IK104" s="14"/>
      <c r="IL104" s="14"/>
      <c r="IM104" s="14"/>
      <c r="IN104" s="36"/>
      <c r="IO104" s="14"/>
      <c r="IP104" s="45"/>
      <c r="IQ104" s="14"/>
      <c r="IR104" s="14"/>
      <c r="IS104" s="14"/>
      <c r="IT104" s="14"/>
      <c r="IU104" s="14"/>
      <c r="IV104" s="36"/>
      <c r="IW104" s="14"/>
      <c r="IX104" s="45"/>
      <c r="IY104" s="14"/>
      <c r="IZ104" s="14"/>
      <c r="JA104" s="14"/>
      <c r="JB104" s="14"/>
      <c r="JC104" s="14"/>
      <c r="JD104" s="36"/>
      <c r="JE104" s="14"/>
      <c r="JF104" s="45"/>
      <c r="JG104" s="14"/>
      <c r="JH104" s="14"/>
      <c r="JI104" s="14"/>
      <c r="JJ104" s="14"/>
      <c r="JK104" s="14"/>
      <c r="JL104" s="36"/>
      <c r="JM104" s="14"/>
      <c r="JN104" s="45"/>
      <c r="JO104" s="14"/>
      <c r="JP104" s="14"/>
      <c r="JQ104" s="14"/>
      <c r="JR104" s="14"/>
      <c r="JS104" s="14"/>
      <c r="JT104" s="36"/>
      <c r="JU104" s="14"/>
      <c r="JV104" s="45"/>
      <c r="JW104" s="14"/>
      <c r="JX104" s="14"/>
      <c r="JY104" s="14"/>
      <c r="JZ104" s="14"/>
      <c r="KA104" s="14"/>
      <c r="KB104" s="36"/>
      <c r="KC104" s="14"/>
      <c r="KD104" s="45"/>
      <c r="KE104" s="14"/>
      <c r="KF104" s="14"/>
      <c r="KG104" s="14"/>
      <c r="KH104" s="14"/>
      <c r="KI104" s="14"/>
      <c r="KJ104" s="36"/>
      <c r="KK104" s="14"/>
      <c r="KL104" s="45"/>
      <c r="KM104" s="14"/>
      <c r="KN104" s="14"/>
      <c r="KO104" s="14"/>
      <c r="KP104" s="14"/>
      <c r="KQ104" s="14"/>
      <c r="KR104" s="36"/>
      <c r="KS104" s="14"/>
      <c r="KT104" s="45"/>
      <c r="KU104" s="14"/>
      <c r="KV104" s="14"/>
      <c r="KW104" s="14"/>
      <c r="KX104" s="14"/>
      <c r="KY104" s="14"/>
      <c r="KZ104" s="36"/>
      <c r="LA104" s="14"/>
      <c r="LB104" s="45"/>
      <c r="LC104" s="14"/>
      <c r="LD104" s="14"/>
      <c r="LE104" s="14"/>
      <c r="LF104" s="14"/>
      <c r="LG104" s="14"/>
      <c r="LH104" s="36"/>
      <c r="LI104" s="14"/>
      <c r="LJ104" s="45"/>
      <c r="LK104" s="14"/>
      <c r="LL104" s="14"/>
      <c r="LM104" s="14"/>
      <c r="LN104" s="14"/>
      <c r="LO104" s="14"/>
      <c r="LP104" s="36"/>
      <c r="LQ104" s="14"/>
      <c r="LR104" s="45"/>
      <c r="LS104" s="14"/>
      <c r="LT104" s="14"/>
      <c r="LU104" s="14"/>
      <c r="LV104" s="14"/>
      <c r="LW104" s="14"/>
      <c r="LX104" s="36"/>
      <c r="LY104" s="14"/>
      <c r="LZ104" s="45"/>
      <c r="MA104" s="14"/>
      <c r="MB104" s="14"/>
      <c r="MC104" s="14"/>
      <c r="MD104" s="14"/>
      <c r="ME104" s="14"/>
      <c r="MF104" s="36"/>
      <c r="MG104" s="14"/>
      <c r="MH104" s="45"/>
      <c r="MI104" s="14"/>
      <c r="MJ104" s="14"/>
      <c r="MK104" s="14"/>
      <c r="ML104" s="14"/>
      <c r="MM104" s="14"/>
      <c r="MN104" s="36"/>
      <c r="MO104" s="14"/>
      <c r="MP104" s="45"/>
      <c r="MQ104" s="14"/>
      <c r="MR104" s="14"/>
      <c r="MS104" s="14"/>
      <c r="MT104" s="14"/>
      <c r="MU104" s="14"/>
      <c r="MV104" s="36"/>
      <c r="MW104" s="14"/>
      <c r="MX104" s="45"/>
      <c r="MY104" s="14"/>
      <c r="MZ104" s="14"/>
      <c r="NA104" s="14"/>
      <c r="NB104" s="14"/>
      <c r="NC104" s="14"/>
      <c r="ND104" s="36"/>
      <c r="NE104" s="14"/>
      <c r="NF104" s="45"/>
      <c r="NG104" s="14"/>
      <c r="NH104" s="14"/>
      <c r="NI104" s="14"/>
      <c r="NJ104" s="14"/>
      <c r="NK104" s="14"/>
      <c r="NL104" s="36"/>
      <c r="NM104" s="14"/>
      <c r="NN104" s="45"/>
      <c r="NO104" s="14"/>
      <c r="NP104" s="14"/>
      <c r="NQ104" s="14"/>
      <c r="NR104" s="14"/>
      <c r="NS104" s="14"/>
      <c r="NT104" s="36"/>
      <c r="NU104" s="14"/>
      <c r="NV104" s="45"/>
      <c r="NW104" s="14"/>
      <c r="NX104" s="14"/>
      <c r="NY104" s="14"/>
      <c r="NZ104" s="14"/>
      <c r="OA104" s="14"/>
      <c r="OB104" s="36"/>
      <c r="OC104" s="14"/>
      <c r="OD104" s="45"/>
      <c r="OE104" s="14"/>
      <c r="OF104" s="14"/>
      <c r="OG104" s="14"/>
      <c r="OH104" s="14"/>
      <c r="OI104" s="14"/>
      <c r="OJ104" s="36"/>
      <c r="OK104" s="14"/>
      <c r="OL104" s="45"/>
      <c r="OM104" s="14"/>
      <c r="ON104" s="14"/>
      <c r="OO104" s="14"/>
      <c r="OP104" s="14"/>
      <c r="OQ104" s="14"/>
      <c r="OR104" s="36"/>
      <c r="OS104" s="14"/>
      <c r="OT104" s="45"/>
      <c r="OU104" s="14"/>
      <c r="OV104" s="14"/>
      <c r="OW104" s="14"/>
      <c r="OX104" s="14"/>
      <c r="OY104" s="14"/>
      <c r="OZ104" s="36"/>
      <c r="PA104" s="14"/>
      <c r="PB104" s="45"/>
      <c r="PC104" s="14"/>
      <c r="PD104" s="14"/>
      <c r="PE104" s="14"/>
      <c r="PF104" s="14"/>
      <c r="PG104" s="14"/>
      <c r="PH104" s="36"/>
      <c r="PI104" s="14"/>
      <c r="PJ104" s="45"/>
      <c r="PK104" s="14"/>
      <c r="PL104" s="14"/>
      <c r="PM104" s="14"/>
      <c r="PN104" s="14"/>
      <c r="PO104" s="14"/>
      <c r="PP104" s="36"/>
      <c r="PQ104" s="14"/>
      <c r="PR104" s="45"/>
      <c r="PS104" s="14"/>
      <c r="PT104" s="14"/>
      <c r="PU104" s="14"/>
      <c r="PV104" s="14"/>
      <c r="PW104" s="14"/>
      <c r="PX104" s="36"/>
      <c r="PY104" s="14"/>
      <c r="PZ104" s="45"/>
      <c r="QA104" s="14"/>
      <c r="QB104" s="14"/>
      <c r="QC104" s="14"/>
      <c r="QD104" s="14"/>
      <c r="QE104" s="14"/>
      <c r="QF104" s="36"/>
      <c r="QG104" s="14"/>
      <c r="QH104" s="45"/>
      <c r="QI104" s="14"/>
      <c r="QJ104" s="14"/>
      <c r="QK104" s="14"/>
      <c r="QL104" s="14"/>
      <c r="QM104" s="14"/>
      <c r="QN104" s="36"/>
      <c r="QO104" s="14"/>
      <c r="QP104" s="45"/>
      <c r="QQ104" s="14"/>
      <c r="QR104" s="14"/>
      <c r="QS104" s="14"/>
      <c r="QT104" s="14"/>
      <c r="QU104" s="14"/>
      <c r="QV104" s="36"/>
      <c r="QW104" s="14"/>
      <c r="QX104" s="45"/>
      <c r="QY104" s="14"/>
      <c r="QZ104" s="14"/>
      <c r="RA104" s="14"/>
      <c r="RB104" s="14"/>
      <c r="RC104" s="14"/>
      <c r="RD104" s="36"/>
      <c r="RE104" s="14"/>
      <c r="RF104" s="45"/>
      <c r="RG104" s="14"/>
      <c r="RH104" s="14"/>
      <c r="RI104" s="14"/>
      <c r="RJ104" s="14"/>
      <c r="RK104" s="14"/>
      <c r="RL104" s="36"/>
      <c r="RM104" s="14"/>
      <c r="RN104" s="45"/>
      <c r="RO104" s="14"/>
      <c r="RP104" s="14"/>
      <c r="RQ104" s="14"/>
      <c r="RR104" s="14"/>
      <c r="RS104" s="14"/>
      <c r="RT104" s="36"/>
      <c r="RU104" s="14"/>
      <c r="RV104" s="45"/>
      <c r="RW104" s="14"/>
      <c r="RX104" s="14"/>
      <c r="RY104" s="14"/>
      <c r="RZ104" s="14"/>
      <c r="SA104" s="14"/>
      <c r="SB104" s="36"/>
      <c r="SC104" s="14"/>
      <c r="SD104" s="45"/>
      <c r="SE104" s="14"/>
      <c r="SF104" s="14"/>
      <c r="SG104" s="14"/>
      <c r="SH104" s="14"/>
      <c r="SI104" s="14"/>
      <c r="SJ104" s="36"/>
      <c r="SK104" s="14"/>
      <c r="SL104" s="45"/>
      <c r="SM104" s="14"/>
      <c r="SN104" s="14"/>
      <c r="SO104" s="14"/>
      <c r="SP104" s="14"/>
      <c r="SQ104" s="14"/>
      <c r="SR104" s="36"/>
      <c r="SS104" s="14"/>
      <c r="ST104" s="45"/>
      <c r="SU104" s="14"/>
      <c r="SV104" s="14"/>
      <c r="SW104" s="14"/>
      <c r="SX104" s="14"/>
      <c r="SY104" s="14"/>
      <c r="SZ104" s="36"/>
      <c r="TA104" s="14"/>
      <c r="TB104" s="45"/>
      <c r="TC104" s="14"/>
      <c r="TD104" s="14"/>
      <c r="TE104" s="14"/>
      <c r="TF104" s="14"/>
      <c r="TG104" s="14"/>
      <c r="TH104" s="36"/>
      <c r="TI104" s="14"/>
      <c r="TJ104" s="45"/>
      <c r="TK104" s="14"/>
      <c r="TL104" s="14"/>
      <c r="TM104" s="14"/>
      <c r="TN104" s="14"/>
      <c r="TO104" s="14"/>
      <c r="TP104" s="36"/>
      <c r="TQ104" s="14"/>
      <c r="TR104" s="45"/>
      <c r="TS104" s="14"/>
      <c r="TT104" s="14"/>
      <c r="TU104" s="14"/>
      <c r="TV104" s="14"/>
      <c r="TW104" s="14"/>
      <c r="TX104" s="36"/>
      <c r="TY104" s="14"/>
      <c r="TZ104" s="45"/>
      <c r="UA104" s="14"/>
      <c r="UB104" s="14"/>
      <c r="UC104" s="14"/>
      <c r="UD104" s="14"/>
      <c r="UE104" s="14"/>
      <c r="UF104" s="36"/>
      <c r="UG104" s="14"/>
      <c r="UH104" s="45"/>
      <c r="UI104" s="14"/>
      <c r="UJ104" s="14"/>
      <c r="UK104" s="14"/>
      <c r="UL104" s="14"/>
      <c r="UM104" s="14"/>
      <c r="UN104" s="36"/>
      <c r="UO104" s="14"/>
      <c r="UP104" s="45"/>
      <c r="UQ104" s="14"/>
      <c r="UR104" s="14"/>
      <c r="US104" s="14"/>
      <c r="UT104" s="14"/>
      <c r="UU104" s="14"/>
      <c r="UV104" s="36"/>
      <c r="UW104" s="14"/>
      <c r="UX104" s="45"/>
      <c r="UY104" s="14"/>
      <c r="UZ104" s="14"/>
      <c r="VA104" s="14"/>
      <c r="VB104" s="14"/>
      <c r="VC104" s="14"/>
      <c r="VD104" s="36"/>
      <c r="VE104" s="14"/>
      <c r="VF104" s="45"/>
      <c r="VG104" s="14"/>
      <c r="VH104" s="14"/>
      <c r="VI104" s="14"/>
      <c r="VJ104" s="14"/>
      <c r="VK104" s="14"/>
      <c r="VL104" s="36"/>
      <c r="VM104" s="14"/>
      <c r="VN104" s="45"/>
      <c r="VO104" s="14"/>
      <c r="VP104" s="14"/>
      <c r="VQ104" s="14"/>
      <c r="VR104" s="14"/>
      <c r="VS104" s="14"/>
      <c r="VT104" s="36"/>
      <c r="VU104" s="14"/>
      <c r="VV104" s="45"/>
      <c r="VW104" s="14"/>
      <c r="VX104" s="14"/>
      <c r="VY104" s="14"/>
      <c r="VZ104" s="14"/>
      <c r="WA104" s="14"/>
      <c r="WB104" s="36"/>
      <c r="WC104" s="14"/>
      <c r="WD104" s="45"/>
      <c r="WE104" s="14"/>
      <c r="WF104" s="14"/>
      <c r="WG104" s="14"/>
      <c r="WH104" s="14"/>
      <c r="WI104" s="14"/>
      <c r="WJ104" s="36"/>
      <c r="WK104" s="14"/>
      <c r="WL104" s="45"/>
      <c r="WM104" s="14"/>
      <c r="WN104" s="14"/>
      <c r="WO104" s="14"/>
      <c r="WP104" s="14"/>
      <c r="WQ104" s="14"/>
      <c r="WR104" s="36"/>
      <c r="WS104" s="14"/>
      <c r="WT104" s="45"/>
      <c r="WU104" s="14"/>
      <c r="WV104" s="14"/>
      <c r="WW104" s="14"/>
      <c r="WX104" s="14"/>
      <c r="WY104" s="14"/>
      <c r="WZ104" s="36"/>
      <c r="XA104" s="14"/>
      <c r="XB104" s="45"/>
      <c r="XC104" s="14"/>
      <c r="XD104" s="14"/>
      <c r="XE104" s="14"/>
      <c r="XF104" s="14"/>
      <c r="XG104" s="14"/>
      <c r="XH104" s="36"/>
      <c r="XI104" s="14"/>
      <c r="XJ104" s="45"/>
      <c r="XK104" s="14"/>
      <c r="XL104" s="14"/>
      <c r="XM104" s="14"/>
      <c r="XN104" s="14"/>
      <c r="XO104" s="14"/>
      <c r="XP104" s="36"/>
      <c r="XQ104" s="14"/>
      <c r="XR104" s="45"/>
      <c r="XS104" s="14"/>
      <c r="XT104" s="14"/>
      <c r="XU104" s="14"/>
      <c r="XV104" s="14"/>
      <c r="XW104" s="14"/>
      <c r="XX104" s="36"/>
      <c r="XY104" s="14"/>
      <c r="XZ104" s="45"/>
      <c r="YA104" s="14"/>
      <c r="YB104" s="14"/>
      <c r="YC104" s="14"/>
      <c r="YD104" s="14"/>
      <c r="YE104" s="14"/>
      <c r="YF104" s="36"/>
      <c r="YG104" s="14"/>
      <c r="YH104" s="45"/>
      <c r="YI104" s="14"/>
      <c r="YJ104" s="14"/>
      <c r="YK104" s="14"/>
      <c r="YL104" s="14"/>
      <c r="YM104" s="14"/>
      <c r="YN104" s="36"/>
      <c r="YO104" s="14"/>
      <c r="YP104" s="45"/>
      <c r="YQ104" s="14"/>
      <c r="YR104" s="14"/>
      <c r="YS104" s="14"/>
      <c r="YT104" s="14"/>
      <c r="YU104" s="14"/>
      <c r="YV104" s="36"/>
      <c r="YW104" s="14"/>
      <c r="YX104" s="45"/>
      <c r="YY104" s="14"/>
      <c r="YZ104" s="14"/>
      <c r="ZA104" s="14"/>
      <c r="ZB104" s="14"/>
      <c r="ZC104" s="14"/>
      <c r="ZD104" s="36"/>
      <c r="ZE104" s="14"/>
      <c r="ZF104" s="45"/>
      <c r="ZG104" s="14"/>
      <c r="ZH104" s="14"/>
      <c r="ZI104" s="14"/>
      <c r="ZJ104" s="14"/>
      <c r="ZK104" s="14"/>
      <c r="ZL104" s="36"/>
      <c r="ZM104" s="14"/>
      <c r="ZN104" s="45"/>
      <c r="ZO104" s="14"/>
      <c r="ZP104" s="14"/>
      <c r="ZQ104" s="14"/>
      <c r="ZR104" s="14"/>
      <c r="ZS104" s="14"/>
      <c r="ZT104" s="36"/>
      <c r="ZU104" s="14"/>
      <c r="ZV104" s="45"/>
      <c r="ZW104" s="14"/>
      <c r="ZX104" s="14"/>
      <c r="ZY104" s="14"/>
      <c r="ZZ104" s="14"/>
      <c r="AAA104" s="14"/>
      <c r="AAB104" s="36"/>
      <c r="AAC104" s="14"/>
      <c r="AAD104" s="45"/>
      <c r="AAE104" s="14"/>
      <c r="AAF104" s="14"/>
      <c r="AAG104" s="14"/>
      <c r="AAH104" s="14"/>
      <c r="AAI104" s="14"/>
      <c r="AAJ104" s="36"/>
      <c r="AAK104" s="14"/>
      <c r="AAL104" s="45"/>
      <c r="AAM104" s="14"/>
      <c r="AAN104" s="14"/>
      <c r="AAO104" s="14"/>
      <c r="AAP104" s="14"/>
      <c r="AAQ104" s="14"/>
      <c r="AAR104" s="36"/>
      <c r="AAS104" s="14"/>
      <c r="AAT104" s="45"/>
      <c r="AAU104" s="14"/>
      <c r="AAV104" s="14"/>
      <c r="AAW104" s="14"/>
      <c r="AAX104" s="14"/>
      <c r="AAY104" s="14"/>
      <c r="AAZ104" s="36"/>
      <c r="ABA104" s="14"/>
      <c r="ABB104" s="45"/>
      <c r="ABC104" s="14"/>
      <c r="ABD104" s="14"/>
      <c r="ABE104" s="14"/>
      <c r="ABF104" s="14"/>
      <c r="ABG104" s="14"/>
      <c r="ABH104" s="36"/>
      <c r="ABI104" s="14"/>
      <c r="ABJ104" s="45"/>
      <c r="ABK104" s="14"/>
      <c r="ABL104" s="14"/>
      <c r="ABM104" s="14"/>
      <c r="ABN104" s="14"/>
      <c r="ABO104" s="14"/>
      <c r="ABP104" s="36"/>
      <c r="ABQ104" s="14"/>
      <c r="ABR104" s="45"/>
      <c r="ABS104" s="14"/>
      <c r="ABT104" s="14"/>
      <c r="ABU104" s="14"/>
      <c r="ABV104" s="14"/>
      <c r="ABW104" s="14"/>
      <c r="ABX104" s="36"/>
      <c r="ABY104" s="14"/>
      <c r="ABZ104" s="45"/>
      <c r="ACA104" s="14"/>
      <c r="ACB104" s="14"/>
      <c r="ACC104" s="14"/>
      <c r="ACD104" s="14"/>
      <c r="ACE104" s="14"/>
      <c r="ACF104" s="36"/>
      <c r="ACG104" s="14"/>
      <c r="ACH104" s="45"/>
      <c r="ACI104" s="14"/>
      <c r="ACJ104" s="14"/>
      <c r="ACK104" s="14"/>
      <c r="ACL104" s="14"/>
      <c r="ACM104" s="14"/>
      <c r="ACN104" s="36"/>
      <c r="ACO104" s="14"/>
      <c r="ACP104" s="45"/>
      <c r="ACQ104" s="14"/>
      <c r="ACR104" s="14"/>
      <c r="ACS104" s="14"/>
      <c r="ACT104" s="14"/>
      <c r="ACU104" s="14"/>
      <c r="ACV104" s="36"/>
      <c r="ACW104" s="14"/>
      <c r="ACX104" s="45"/>
      <c r="ACY104" s="14"/>
      <c r="ACZ104" s="14"/>
      <c r="ADA104" s="14"/>
      <c r="ADB104" s="14"/>
      <c r="ADC104" s="14"/>
      <c r="ADD104" s="36"/>
      <c r="ADE104" s="14"/>
      <c r="ADF104" s="45"/>
      <c r="ADG104" s="14"/>
      <c r="ADH104" s="14"/>
      <c r="ADI104" s="14"/>
      <c r="ADJ104" s="14"/>
      <c r="ADK104" s="14"/>
      <c r="ADL104" s="36"/>
      <c r="ADM104" s="14"/>
      <c r="ADN104" s="45"/>
      <c r="ADO104" s="14"/>
      <c r="ADP104" s="14"/>
      <c r="ADQ104" s="14"/>
      <c r="ADR104" s="14"/>
      <c r="ADS104" s="14"/>
      <c r="ADT104" s="36"/>
      <c r="ADU104" s="14"/>
      <c r="ADV104" s="45"/>
      <c r="ADW104" s="14"/>
      <c r="ADX104" s="14"/>
      <c r="ADY104" s="14"/>
      <c r="ADZ104" s="14"/>
      <c r="AEA104" s="14"/>
      <c r="AEB104" s="36"/>
      <c r="AEC104" s="14"/>
      <c r="AED104" s="45"/>
      <c r="AEE104" s="14"/>
      <c r="AEF104" s="14"/>
      <c r="AEG104" s="14"/>
      <c r="AEH104" s="14"/>
      <c r="AEI104" s="14"/>
      <c r="AEJ104" s="36"/>
      <c r="AEK104" s="14"/>
      <c r="AEL104" s="45"/>
      <c r="AEM104" s="14"/>
      <c r="AEN104" s="14"/>
      <c r="AEO104" s="14"/>
      <c r="AEP104" s="14"/>
      <c r="AEQ104" s="14"/>
      <c r="AER104" s="36"/>
      <c r="AES104" s="14"/>
      <c r="AET104" s="45"/>
      <c r="AEU104" s="14"/>
      <c r="AEV104" s="14"/>
      <c r="AEW104" s="14"/>
      <c r="AEX104" s="14"/>
      <c r="AEY104" s="14"/>
      <c r="AEZ104" s="36"/>
      <c r="AFA104" s="14"/>
      <c r="AFB104" s="45"/>
      <c r="AFC104" s="14"/>
      <c r="AFD104" s="14"/>
      <c r="AFE104" s="14"/>
      <c r="AFF104" s="14"/>
      <c r="AFG104" s="14"/>
      <c r="AFH104" s="36"/>
      <c r="AFI104" s="14"/>
      <c r="AFJ104" s="45"/>
      <c r="AFK104" s="14"/>
      <c r="AFL104" s="14"/>
      <c r="AFM104" s="14"/>
      <c r="AFN104" s="14"/>
      <c r="AFO104" s="14"/>
      <c r="AFP104" s="36"/>
      <c r="AFQ104" s="14"/>
      <c r="AFR104" s="45"/>
      <c r="AFS104" s="14"/>
      <c r="AFT104" s="14"/>
      <c r="AFU104" s="14"/>
      <c r="AFV104" s="14"/>
      <c r="AFW104" s="14"/>
      <c r="AFX104" s="36"/>
      <c r="AFY104" s="14"/>
      <c r="AFZ104" s="45"/>
      <c r="AGA104" s="14"/>
      <c r="AGB104" s="14"/>
      <c r="AGC104" s="14"/>
      <c r="AGD104" s="14"/>
      <c r="AGE104" s="14"/>
      <c r="AGF104" s="36"/>
      <c r="AGG104" s="14"/>
      <c r="AGH104" s="45"/>
      <c r="AGI104" s="14"/>
      <c r="AGJ104" s="14"/>
      <c r="AGK104" s="14"/>
      <c r="AGL104" s="14"/>
      <c r="AGM104" s="14"/>
      <c r="AGN104" s="36"/>
      <c r="AGO104" s="14"/>
      <c r="AGP104" s="45"/>
      <c r="AGQ104" s="14"/>
      <c r="AGR104" s="14"/>
      <c r="AGS104" s="14"/>
      <c r="AGT104" s="14"/>
      <c r="AGU104" s="14"/>
      <c r="AGV104" s="36"/>
      <c r="AGW104" s="14"/>
      <c r="AGX104" s="45"/>
      <c r="AGY104" s="14"/>
      <c r="AGZ104" s="14"/>
      <c r="AHA104" s="14"/>
      <c r="AHB104" s="14"/>
      <c r="AHC104" s="14"/>
      <c r="AHD104" s="36"/>
      <c r="AHE104" s="14"/>
      <c r="AHF104" s="45"/>
      <c r="AHG104" s="14"/>
      <c r="AHH104" s="14"/>
      <c r="AHI104" s="14"/>
      <c r="AHJ104" s="14"/>
      <c r="AHK104" s="14"/>
      <c r="AHL104" s="36"/>
      <c r="AHM104" s="14"/>
      <c r="AHN104" s="45"/>
      <c r="AHO104" s="14"/>
      <c r="AHP104" s="14"/>
      <c r="AHQ104" s="14"/>
      <c r="AHR104" s="14"/>
      <c r="AHS104" s="14"/>
      <c r="AHT104" s="36"/>
      <c r="AHU104" s="14"/>
      <c r="AHV104" s="45"/>
      <c r="AHW104" s="14"/>
      <c r="AHX104" s="14"/>
      <c r="AHY104" s="14"/>
      <c r="AHZ104" s="14"/>
      <c r="AIA104" s="14"/>
      <c r="AIB104" s="36"/>
      <c r="AIC104" s="14"/>
      <c r="AID104" s="45"/>
      <c r="AIE104" s="14"/>
      <c r="AIF104" s="14"/>
      <c r="AIG104" s="14"/>
      <c r="AIH104" s="14"/>
      <c r="AII104" s="14"/>
      <c r="AIJ104" s="36"/>
      <c r="AIK104" s="14"/>
      <c r="AIL104" s="45"/>
      <c r="AIM104" s="14"/>
      <c r="AIN104" s="14"/>
      <c r="AIO104" s="14"/>
      <c r="AIP104" s="14"/>
      <c r="AIQ104" s="14"/>
      <c r="AIR104" s="36"/>
      <c r="AIS104" s="14"/>
      <c r="AIT104" s="45"/>
      <c r="AIU104" s="14"/>
      <c r="AIV104" s="14"/>
      <c r="AIW104" s="14"/>
      <c r="AIX104" s="14"/>
      <c r="AIY104" s="14"/>
      <c r="AIZ104" s="36"/>
      <c r="AJA104" s="14"/>
      <c r="AJB104" s="45"/>
      <c r="AJC104" s="14"/>
      <c r="AJD104" s="14"/>
      <c r="AJE104" s="14"/>
      <c r="AJF104" s="14"/>
      <c r="AJG104" s="14"/>
      <c r="AJH104" s="36"/>
      <c r="AJI104" s="14"/>
      <c r="AJJ104" s="45"/>
      <c r="AJK104" s="14"/>
      <c r="AJL104" s="14"/>
      <c r="AJM104" s="14"/>
      <c r="AJN104" s="14"/>
      <c r="AJO104" s="14"/>
      <c r="AJP104" s="36"/>
      <c r="AJQ104" s="14"/>
      <c r="AJR104" s="45"/>
      <c r="AJS104" s="14"/>
      <c r="AJT104" s="14"/>
      <c r="AJU104" s="14"/>
      <c r="AJV104" s="14"/>
      <c r="AJW104" s="14"/>
      <c r="AJX104" s="36"/>
      <c r="AJY104" s="14"/>
      <c r="AJZ104" s="45"/>
      <c r="AKA104" s="14"/>
      <c r="AKB104" s="14"/>
      <c r="AKC104" s="14"/>
      <c r="AKD104" s="14"/>
      <c r="AKE104" s="14"/>
      <c r="AKF104" s="36"/>
      <c r="AKG104" s="14"/>
      <c r="AKH104" s="45"/>
      <c r="AKI104" s="14"/>
      <c r="AKJ104" s="14"/>
      <c r="AKK104" s="14"/>
      <c r="AKL104" s="14"/>
      <c r="AKM104" s="14"/>
      <c r="AKN104" s="36"/>
      <c r="AKO104" s="14"/>
      <c r="AKP104" s="45"/>
      <c r="AKQ104" s="14"/>
      <c r="AKR104" s="14"/>
      <c r="AKS104" s="14"/>
      <c r="AKT104" s="14"/>
      <c r="AKU104" s="14"/>
      <c r="AKV104" s="36"/>
      <c r="AKW104" s="14"/>
      <c r="AKX104" s="45"/>
      <c r="AKY104" s="14"/>
      <c r="AKZ104" s="14"/>
      <c r="ALA104" s="14"/>
      <c r="ALB104" s="14"/>
      <c r="ALC104" s="14"/>
      <c r="ALD104" s="36"/>
      <c r="ALE104" s="14"/>
      <c r="ALF104" s="45"/>
      <c r="ALG104" s="14"/>
      <c r="ALH104" s="14"/>
      <c r="ALI104" s="14"/>
      <c r="ALJ104" s="14"/>
      <c r="ALK104" s="14"/>
      <c r="ALL104" s="36"/>
      <c r="ALM104" s="14"/>
      <c r="ALN104" s="45"/>
      <c r="ALO104" s="14"/>
      <c r="ALP104" s="14"/>
      <c r="ALQ104" s="14"/>
      <c r="ALR104" s="14"/>
      <c r="ALS104" s="14"/>
      <c r="ALT104" s="36"/>
      <c r="ALU104" s="14"/>
      <c r="ALV104" s="45"/>
      <c r="ALW104" s="14"/>
      <c r="ALX104" s="14"/>
      <c r="ALY104" s="14"/>
      <c r="ALZ104" s="14"/>
      <c r="AMA104" s="14"/>
      <c r="AMB104" s="36"/>
      <c r="AMC104" s="14"/>
      <c r="AMD104" s="45"/>
      <c r="AME104" s="14"/>
      <c r="AMF104" s="14"/>
      <c r="AMG104" s="14"/>
      <c r="AMH104" s="14"/>
      <c r="AMI104" s="14"/>
      <c r="AMJ104" s="36"/>
      <c r="AMK104" s="14"/>
      <c r="AML104" s="45"/>
      <c r="AMM104" s="14"/>
      <c r="AMN104" s="14"/>
      <c r="AMO104" s="14"/>
      <c r="AMP104" s="14"/>
      <c r="AMQ104" s="14"/>
      <c r="AMR104" s="36"/>
      <c r="AMS104" s="14"/>
      <c r="AMT104" s="45"/>
      <c r="AMU104" s="14"/>
      <c r="AMV104" s="14"/>
      <c r="AMW104" s="14"/>
      <c r="AMX104" s="14"/>
      <c r="AMY104" s="14"/>
      <c r="AMZ104" s="36"/>
      <c r="ANA104" s="14"/>
      <c r="ANB104" s="45"/>
      <c r="ANC104" s="14"/>
      <c r="AND104" s="14"/>
      <c r="ANE104" s="14"/>
      <c r="ANF104" s="14"/>
      <c r="ANG104" s="14"/>
      <c r="ANH104" s="36"/>
      <c r="ANI104" s="14"/>
      <c r="ANJ104" s="45"/>
      <c r="ANK104" s="14"/>
      <c r="ANL104" s="14"/>
      <c r="ANM104" s="14"/>
      <c r="ANN104" s="14"/>
      <c r="ANO104" s="14"/>
      <c r="ANP104" s="36"/>
      <c r="ANQ104" s="14"/>
      <c r="ANR104" s="45"/>
      <c r="ANS104" s="14"/>
      <c r="ANT104" s="14"/>
      <c r="ANU104" s="14"/>
      <c r="ANV104" s="14"/>
      <c r="ANW104" s="14"/>
      <c r="ANX104" s="36"/>
      <c r="ANY104" s="14"/>
      <c r="ANZ104" s="45"/>
      <c r="AOA104" s="14"/>
      <c r="AOB104" s="14"/>
      <c r="AOC104" s="14"/>
      <c r="AOD104" s="14"/>
      <c r="AOE104" s="14"/>
      <c r="AOF104" s="36"/>
      <c r="AOG104" s="14"/>
      <c r="AOH104" s="45"/>
      <c r="AOI104" s="14"/>
      <c r="AOJ104" s="14"/>
      <c r="AOK104" s="14"/>
      <c r="AOL104" s="14"/>
      <c r="AOM104" s="14"/>
      <c r="AON104" s="36"/>
      <c r="AOO104" s="14"/>
      <c r="AOP104" s="45"/>
      <c r="AOQ104" s="14"/>
      <c r="AOR104" s="14"/>
      <c r="AOS104" s="14"/>
      <c r="AOT104" s="14"/>
      <c r="AOU104" s="14"/>
      <c r="AOV104" s="36"/>
      <c r="AOW104" s="14"/>
      <c r="AOX104" s="45"/>
      <c r="AOY104" s="14"/>
      <c r="AOZ104" s="14"/>
      <c r="APA104" s="14"/>
      <c r="APB104" s="14"/>
      <c r="APC104" s="14"/>
      <c r="APD104" s="36"/>
      <c r="APE104" s="14"/>
      <c r="APF104" s="45"/>
      <c r="APG104" s="14"/>
      <c r="APH104" s="14"/>
      <c r="API104" s="14"/>
      <c r="APJ104" s="14"/>
      <c r="APK104" s="14"/>
      <c r="APL104" s="36"/>
      <c r="APM104" s="14"/>
      <c r="APN104" s="45"/>
      <c r="APO104" s="14"/>
      <c r="APP104" s="14"/>
      <c r="APQ104" s="14"/>
      <c r="APR104" s="14"/>
      <c r="APS104" s="14"/>
      <c r="APT104" s="36"/>
      <c r="APU104" s="14"/>
      <c r="APV104" s="45"/>
      <c r="APW104" s="14"/>
      <c r="APX104" s="14"/>
      <c r="APY104" s="14"/>
      <c r="APZ104" s="14"/>
      <c r="AQA104" s="14"/>
      <c r="AQB104" s="36"/>
      <c r="AQC104" s="14"/>
      <c r="AQD104" s="45"/>
      <c r="AQE104" s="14"/>
      <c r="AQF104" s="14"/>
      <c r="AQG104" s="14"/>
      <c r="AQH104" s="14"/>
      <c r="AQI104" s="14"/>
      <c r="AQJ104" s="36"/>
      <c r="AQK104" s="14"/>
      <c r="AQL104" s="45"/>
      <c r="AQM104" s="14"/>
      <c r="AQN104" s="14"/>
      <c r="AQO104" s="14"/>
      <c r="AQP104" s="14"/>
      <c r="AQQ104" s="14"/>
      <c r="AQR104" s="36"/>
      <c r="AQS104" s="14"/>
      <c r="AQT104" s="45"/>
      <c r="AQU104" s="14"/>
      <c r="AQV104" s="14"/>
      <c r="AQW104" s="14"/>
      <c r="AQX104" s="14"/>
      <c r="AQY104" s="14"/>
      <c r="AQZ104" s="36"/>
      <c r="ARA104" s="14"/>
      <c r="ARB104" s="45"/>
      <c r="ARC104" s="14"/>
      <c r="ARD104" s="14"/>
      <c r="ARE104" s="14"/>
      <c r="ARF104" s="14"/>
      <c r="ARG104" s="14"/>
      <c r="ARH104" s="36"/>
      <c r="ARI104" s="14"/>
      <c r="ARJ104" s="45"/>
      <c r="ARK104" s="14"/>
      <c r="ARL104" s="14"/>
      <c r="ARM104" s="14"/>
      <c r="ARN104" s="14"/>
      <c r="ARO104" s="14"/>
      <c r="ARP104" s="36"/>
      <c r="ARQ104" s="14"/>
      <c r="ARR104" s="45"/>
      <c r="ARS104" s="14"/>
      <c r="ART104" s="14"/>
      <c r="ARU104" s="14"/>
      <c r="ARV104" s="14"/>
      <c r="ARW104" s="14"/>
      <c r="ARX104" s="36"/>
      <c r="ARY104" s="14"/>
      <c r="ARZ104" s="45"/>
      <c r="ASA104" s="14"/>
      <c r="ASB104" s="14"/>
      <c r="ASC104" s="14"/>
      <c r="ASD104" s="14"/>
      <c r="ASE104" s="14"/>
      <c r="ASF104" s="36"/>
      <c r="ASG104" s="14"/>
      <c r="ASH104" s="45"/>
      <c r="ASI104" s="14"/>
      <c r="ASJ104" s="14"/>
      <c r="ASK104" s="14"/>
      <c r="ASL104" s="14"/>
      <c r="ASM104" s="14"/>
      <c r="ASN104" s="36"/>
      <c r="ASO104" s="14"/>
      <c r="ASP104" s="45"/>
      <c r="ASQ104" s="14"/>
      <c r="ASR104" s="14"/>
      <c r="ASS104" s="14"/>
      <c r="AST104" s="14"/>
      <c r="ASU104" s="14"/>
      <c r="ASV104" s="36"/>
      <c r="ASW104" s="14"/>
      <c r="ASX104" s="45"/>
      <c r="ASY104" s="14"/>
      <c r="ASZ104" s="14"/>
      <c r="ATA104" s="14"/>
      <c r="ATB104" s="14"/>
      <c r="ATC104" s="14"/>
      <c r="ATD104" s="36"/>
      <c r="ATE104" s="14"/>
      <c r="ATF104" s="45"/>
      <c r="ATG104" s="14"/>
      <c r="ATH104" s="14"/>
      <c r="ATI104" s="14"/>
      <c r="ATJ104" s="14"/>
      <c r="ATK104" s="14"/>
      <c r="ATL104" s="36"/>
      <c r="ATM104" s="14"/>
      <c r="ATN104" s="45"/>
      <c r="ATO104" s="14"/>
      <c r="ATP104" s="14"/>
      <c r="ATQ104" s="14"/>
      <c r="ATR104" s="14"/>
      <c r="ATS104" s="14"/>
      <c r="ATT104" s="36"/>
      <c r="ATU104" s="14"/>
      <c r="ATV104" s="45"/>
      <c r="ATW104" s="14"/>
      <c r="ATX104" s="14"/>
      <c r="ATY104" s="14"/>
      <c r="ATZ104" s="14"/>
      <c r="AUA104" s="14"/>
      <c r="AUB104" s="36"/>
      <c r="AUC104" s="14"/>
      <c r="AUD104" s="45"/>
      <c r="AUE104" s="14"/>
      <c r="AUF104" s="14"/>
      <c r="AUG104" s="14"/>
      <c r="AUH104" s="14"/>
      <c r="AUI104" s="14"/>
      <c r="AUJ104" s="36"/>
      <c r="AUK104" s="14"/>
      <c r="AUL104" s="45"/>
      <c r="AUM104" s="14"/>
      <c r="AUN104" s="14"/>
      <c r="AUO104" s="14"/>
      <c r="AUP104" s="14"/>
      <c r="AUQ104" s="14"/>
      <c r="AUR104" s="36"/>
      <c r="AUS104" s="14"/>
      <c r="AUT104" s="45"/>
      <c r="AUU104" s="14"/>
      <c r="AUV104" s="14"/>
      <c r="AUW104" s="14"/>
      <c r="AUX104" s="14"/>
      <c r="AUY104" s="14"/>
      <c r="AUZ104" s="36"/>
      <c r="AVA104" s="14"/>
      <c r="AVB104" s="45"/>
      <c r="AVC104" s="14"/>
      <c r="AVD104" s="14"/>
      <c r="AVE104" s="14"/>
      <c r="AVF104" s="14"/>
      <c r="AVG104" s="14"/>
      <c r="AVH104" s="36"/>
      <c r="AVI104" s="14"/>
      <c r="AVJ104" s="45"/>
      <c r="AVK104" s="14"/>
      <c r="AVL104" s="14"/>
      <c r="AVM104" s="14"/>
      <c r="AVN104" s="14"/>
      <c r="AVO104" s="14"/>
      <c r="AVP104" s="36"/>
      <c r="AVQ104" s="14"/>
      <c r="AVR104" s="45"/>
      <c r="AVS104" s="14"/>
      <c r="AVT104" s="14"/>
      <c r="AVU104" s="14"/>
      <c r="AVV104" s="14"/>
      <c r="AVW104" s="14"/>
      <c r="AVX104" s="36"/>
      <c r="AVY104" s="14"/>
      <c r="AVZ104" s="45"/>
      <c r="AWA104" s="14"/>
      <c r="AWB104" s="14"/>
      <c r="AWC104" s="14"/>
      <c r="AWD104" s="14"/>
      <c r="AWE104" s="14"/>
      <c r="AWF104" s="36"/>
      <c r="AWG104" s="14"/>
      <c r="AWH104" s="45"/>
      <c r="AWI104" s="14"/>
      <c r="AWJ104" s="14"/>
      <c r="AWK104" s="14"/>
      <c r="AWL104" s="14"/>
      <c r="AWM104" s="14"/>
      <c r="AWN104" s="36"/>
      <c r="AWO104" s="14"/>
      <c r="AWP104" s="45"/>
      <c r="AWQ104" s="14"/>
      <c r="AWR104" s="14"/>
      <c r="AWS104" s="14"/>
      <c r="AWT104" s="14"/>
      <c r="AWU104" s="14"/>
      <c r="AWV104" s="36"/>
      <c r="AWW104" s="14"/>
      <c r="AWX104" s="45"/>
      <c r="AWY104" s="14"/>
      <c r="AWZ104" s="14"/>
      <c r="AXA104" s="14"/>
      <c r="AXB104" s="14"/>
      <c r="AXC104" s="14"/>
      <c r="AXD104" s="36"/>
      <c r="AXE104" s="14"/>
      <c r="AXF104" s="45"/>
      <c r="AXG104" s="14"/>
      <c r="AXH104" s="14"/>
      <c r="AXI104" s="14"/>
      <c r="AXJ104" s="14"/>
      <c r="AXK104" s="14"/>
      <c r="AXL104" s="36"/>
      <c r="AXM104" s="14"/>
      <c r="AXN104" s="45"/>
      <c r="AXO104" s="14"/>
      <c r="AXP104" s="14"/>
      <c r="AXQ104" s="14"/>
      <c r="AXR104" s="14"/>
      <c r="AXS104" s="14"/>
      <c r="AXT104" s="36"/>
      <c r="AXU104" s="14"/>
      <c r="AXV104" s="45"/>
      <c r="AXW104" s="14"/>
      <c r="AXX104" s="14"/>
      <c r="AXY104" s="14"/>
      <c r="AXZ104" s="14"/>
      <c r="AYA104" s="14"/>
      <c r="AYB104" s="36"/>
      <c r="AYC104" s="14"/>
      <c r="AYD104" s="45"/>
      <c r="AYE104" s="14"/>
      <c r="AYF104" s="14"/>
      <c r="AYG104" s="14"/>
      <c r="AYH104" s="14"/>
      <c r="AYI104" s="14"/>
      <c r="AYJ104" s="36"/>
      <c r="AYK104" s="14"/>
      <c r="AYL104" s="45"/>
      <c r="AYM104" s="14"/>
      <c r="AYN104" s="14"/>
      <c r="AYO104" s="14"/>
      <c r="AYP104" s="14"/>
      <c r="AYQ104" s="14"/>
      <c r="AYR104" s="36"/>
      <c r="AYS104" s="14"/>
      <c r="AYT104" s="45"/>
      <c r="AYU104" s="14"/>
      <c r="AYV104" s="14"/>
      <c r="AYW104" s="14"/>
      <c r="AYX104" s="14"/>
      <c r="AYY104" s="14"/>
      <c r="AYZ104" s="36"/>
      <c r="AZA104" s="14"/>
      <c r="AZB104" s="45"/>
      <c r="AZC104" s="14"/>
      <c r="AZD104" s="14"/>
      <c r="AZE104" s="14"/>
      <c r="AZF104" s="14"/>
      <c r="AZG104" s="14"/>
      <c r="AZH104" s="36"/>
      <c r="AZI104" s="14"/>
      <c r="AZJ104" s="45"/>
      <c r="AZK104" s="14"/>
      <c r="AZL104" s="14"/>
      <c r="AZM104" s="14"/>
      <c r="AZN104" s="14"/>
      <c r="AZO104" s="14"/>
      <c r="AZP104" s="36"/>
      <c r="AZQ104" s="14"/>
      <c r="AZR104" s="45"/>
      <c r="AZS104" s="14"/>
      <c r="AZT104" s="14"/>
      <c r="AZU104" s="14"/>
      <c r="AZV104" s="14"/>
      <c r="AZW104" s="14"/>
      <c r="AZX104" s="36"/>
      <c r="AZY104" s="14"/>
      <c r="AZZ104" s="45"/>
      <c r="BAA104" s="14"/>
      <c r="BAB104" s="14"/>
      <c r="BAC104" s="14"/>
      <c r="BAD104" s="14"/>
      <c r="BAE104" s="14"/>
      <c r="BAF104" s="36"/>
      <c r="BAG104" s="14"/>
      <c r="BAH104" s="45"/>
      <c r="BAI104" s="14"/>
      <c r="BAJ104" s="14"/>
      <c r="BAK104" s="14"/>
      <c r="BAL104" s="14"/>
      <c r="BAM104" s="14"/>
      <c r="BAN104" s="36"/>
      <c r="BAO104" s="14"/>
      <c r="BAP104" s="45"/>
      <c r="BAQ104" s="14"/>
      <c r="BAR104" s="14"/>
      <c r="BAS104" s="14"/>
      <c r="BAT104" s="14"/>
      <c r="BAU104" s="14"/>
      <c r="BAV104" s="36"/>
      <c r="BAW104" s="14"/>
      <c r="BAX104" s="45"/>
      <c r="BAY104" s="14"/>
      <c r="BAZ104" s="14"/>
      <c r="BBA104" s="14"/>
      <c r="BBB104" s="14"/>
      <c r="BBC104" s="14"/>
      <c r="BBD104" s="36"/>
      <c r="BBE104" s="14"/>
      <c r="BBF104" s="45"/>
      <c r="BBG104" s="14"/>
      <c r="BBH104" s="14"/>
      <c r="BBI104" s="14"/>
      <c r="BBJ104" s="14"/>
      <c r="BBK104" s="14"/>
      <c r="BBL104" s="36"/>
      <c r="BBM104" s="14"/>
      <c r="BBN104" s="45"/>
      <c r="BBO104" s="14"/>
      <c r="BBP104" s="14"/>
      <c r="BBQ104" s="14"/>
      <c r="BBR104" s="14"/>
      <c r="BBS104" s="14"/>
      <c r="BBT104" s="36"/>
      <c r="BBU104" s="14"/>
      <c r="BBV104" s="45"/>
      <c r="BBW104" s="14"/>
      <c r="BBX104" s="14"/>
      <c r="BBY104" s="14"/>
      <c r="BBZ104" s="14"/>
      <c r="BCA104" s="14"/>
      <c r="BCB104" s="36"/>
      <c r="BCC104" s="14"/>
      <c r="BCD104" s="45"/>
      <c r="BCE104" s="14"/>
      <c r="BCF104" s="14"/>
      <c r="BCG104" s="14"/>
      <c r="BCH104" s="14"/>
      <c r="BCI104" s="14"/>
      <c r="BCJ104" s="36"/>
      <c r="BCK104" s="14"/>
      <c r="BCL104" s="45"/>
      <c r="BCM104" s="14"/>
      <c r="BCN104" s="14"/>
      <c r="BCO104" s="14"/>
      <c r="BCP104" s="14"/>
      <c r="BCQ104" s="14"/>
      <c r="BCR104" s="36"/>
      <c r="BCS104" s="14"/>
      <c r="BCT104" s="45"/>
      <c r="BCU104" s="14"/>
      <c r="BCV104" s="14"/>
      <c r="BCW104" s="14"/>
      <c r="BCX104" s="14"/>
      <c r="BCY104" s="14"/>
      <c r="BCZ104" s="36"/>
      <c r="BDA104" s="14"/>
      <c r="BDB104" s="45"/>
      <c r="BDC104" s="14"/>
      <c r="BDD104" s="14"/>
      <c r="BDE104" s="14"/>
      <c r="BDF104" s="14"/>
      <c r="BDG104" s="14"/>
      <c r="BDH104" s="36"/>
      <c r="BDI104" s="14"/>
      <c r="BDJ104" s="45"/>
      <c r="BDK104" s="14"/>
      <c r="BDL104" s="14"/>
      <c r="BDM104" s="14"/>
      <c r="BDN104" s="14"/>
      <c r="BDO104" s="14"/>
      <c r="BDP104" s="36"/>
      <c r="BDQ104" s="14"/>
      <c r="BDR104" s="45"/>
      <c r="BDS104" s="14"/>
      <c r="BDT104" s="14"/>
      <c r="BDU104" s="14"/>
      <c r="BDV104" s="14"/>
      <c r="BDW104" s="14"/>
      <c r="BDX104" s="36"/>
      <c r="BDY104" s="14"/>
      <c r="BDZ104" s="45"/>
      <c r="BEA104" s="14"/>
      <c r="BEB104" s="14"/>
      <c r="BEC104" s="14"/>
      <c r="BED104" s="14"/>
      <c r="BEE104" s="14"/>
      <c r="BEF104" s="36"/>
      <c r="BEG104" s="14"/>
      <c r="BEH104" s="45"/>
      <c r="BEI104" s="14"/>
      <c r="BEJ104" s="14"/>
      <c r="BEK104" s="14"/>
      <c r="BEL104" s="14"/>
      <c r="BEM104" s="14"/>
      <c r="BEN104" s="36"/>
      <c r="BEO104" s="14"/>
      <c r="BEP104" s="45"/>
      <c r="BEQ104" s="14"/>
      <c r="BER104" s="14"/>
      <c r="BES104" s="14"/>
      <c r="BET104" s="14"/>
      <c r="BEU104" s="14"/>
      <c r="BEV104" s="36"/>
      <c r="BEW104" s="14"/>
      <c r="BEX104" s="45"/>
      <c r="BEY104" s="14"/>
      <c r="BEZ104" s="14"/>
      <c r="BFA104" s="14"/>
      <c r="BFB104" s="14"/>
      <c r="BFC104" s="14"/>
      <c r="BFD104" s="36"/>
      <c r="BFE104" s="14"/>
      <c r="BFF104" s="45"/>
      <c r="BFG104" s="14"/>
      <c r="BFH104" s="14"/>
      <c r="BFI104" s="14"/>
      <c r="BFJ104" s="14"/>
      <c r="BFK104" s="14"/>
      <c r="BFL104" s="36"/>
      <c r="BFM104" s="14"/>
      <c r="BFN104" s="45"/>
      <c r="BFO104" s="14"/>
      <c r="BFP104" s="14"/>
      <c r="BFQ104" s="14"/>
      <c r="BFR104" s="14"/>
      <c r="BFS104" s="14"/>
      <c r="BFT104" s="36"/>
      <c r="BFU104" s="14"/>
      <c r="BFV104" s="45"/>
      <c r="BFW104" s="14"/>
      <c r="BFX104" s="14"/>
      <c r="BFY104" s="14"/>
      <c r="BFZ104" s="14"/>
      <c r="BGA104" s="14"/>
      <c r="BGB104" s="36"/>
      <c r="BGC104" s="14"/>
      <c r="BGD104" s="45"/>
      <c r="BGE104" s="14"/>
      <c r="BGF104" s="14"/>
      <c r="BGG104" s="14"/>
      <c r="BGH104" s="14"/>
      <c r="BGI104" s="14"/>
      <c r="BGJ104" s="36"/>
      <c r="BGK104" s="14"/>
      <c r="BGL104" s="45"/>
      <c r="BGM104" s="14"/>
      <c r="BGN104" s="14"/>
      <c r="BGO104" s="14"/>
      <c r="BGP104" s="14"/>
      <c r="BGQ104" s="14"/>
      <c r="BGR104" s="36"/>
      <c r="BGS104" s="14"/>
      <c r="BGT104" s="45"/>
      <c r="BGU104" s="14"/>
      <c r="BGV104" s="14"/>
      <c r="BGW104" s="14"/>
      <c r="BGX104" s="14"/>
      <c r="BGY104" s="14"/>
      <c r="BGZ104" s="36"/>
      <c r="BHA104" s="14"/>
      <c r="BHB104" s="45"/>
      <c r="BHC104" s="14"/>
      <c r="BHD104" s="14"/>
      <c r="BHE104" s="14"/>
      <c r="BHF104" s="14"/>
      <c r="BHG104" s="14"/>
      <c r="BHH104" s="36"/>
      <c r="BHI104" s="14"/>
      <c r="BHJ104" s="45"/>
      <c r="BHK104" s="14"/>
      <c r="BHL104" s="14"/>
      <c r="BHM104" s="14"/>
      <c r="BHN104" s="14"/>
      <c r="BHO104" s="14"/>
      <c r="BHP104" s="36"/>
      <c r="BHQ104" s="14"/>
      <c r="BHR104" s="45"/>
      <c r="BHS104" s="14"/>
      <c r="BHT104" s="14"/>
      <c r="BHU104" s="14"/>
      <c r="BHV104" s="14"/>
      <c r="BHW104" s="14"/>
      <c r="BHX104" s="36"/>
      <c r="BHY104" s="14"/>
      <c r="BHZ104" s="45"/>
      <c r="BIA104" s="14"/>
      <c r="BIB104" s="14"/>
      <c r="BIC104" s="14"/>
      <c r="BID104" s="14"/>
      <c r="BIE104" s="14"/>
      <c r="BIF104" s="36"/>
      <c r="BIG104" s="14"/>
      <c r="BIH104" s="45"/>
      <c r="BII104" s="14"/>
      <c r="BIJ104" s="14"/>
      <c r="BIK104" s="14"/>
      <c r="BIL104" s="14"/>
      <c r="BIM104" s="14"/>
      <c r="BIN104" s="36"/>
      <c r="BIO104" s="14"/>
      <c r="BIP104" s="45"/>
      <c r="BIQ104" s="14"/>
      <c r="BIR104" s="14"/>
      <c r="BIS104" s="14"/>
      <c r="BIT104" s="14"/>
      <c r="BIU104" s="14"/>
      <c r="BIV104" s="36"/>
      <c r="BIW104" s="14"/>
      <c r="BIX104" s="45"/>
      <c r="BIY104" s="14"/>
      <c r="BIZ104" s="14"/>
      <c r="BJA104" s="14"/>
      <c r="BJB104" s="14"/>
      <c r="BJC104" s="14"/>
      <c r="BJD104" s="36"/>
      <c r="BJE104" s="14"/>
      <c r="BJF104" s="45"/>
      <c r="BJG104" s="14"/>
      <c r="BJH104" s="14"/>
      <c r="BJI104" s="14"/>
      <c r="BJJ104" s="14"/>
      <c r="BJK104" s="14"/>
      <c r="BJL104" s="36"/>
      <c r="BJM104" s="14"/>
      <c r="BJN104" s="45"/>
      <c r="BJO104" s="14"/>
      <c r="BJP104" s="14"/>
      <c r="BJQ104" s="14"/>
      <c r="BJR104" s="14"/>
      <c r="BJS104" s="14"/>
      <c r="BJT104" s="36"/>
      <c r="BJU104" s="14"/>
      <c r="BJV104" s="45"/>
      <c r="BJW104" s="14"/>
      <c r="BJX104" s="14"/>
      <c r="BJY104" s="14"/>
      <c r="BJZ104" s="14"/>
      <c r="BKA104" s="14"/>
      <c r="BKB104" s="36"/>
      <c r="BKC104" s="14"/>
      <c r="BKD104" s="45"/>
      <c r="BKE104" s="14"/>
      <c r="BKF104" s="14"/>
      <c r="BKG104" s="14"/>
      <c r="BKH104" s="14"/>
      <c r="BKI104" s="14"/>
      <c r="BKJ104" s="36"/>
      <c r="BKK104" s="14"/>
      <c r="BKL104" s="45"/>
      <c r="BKM104" s="14"/>
      <c r="BKN104" s="14"/>
      <c r="BKO104" s="14"/>
      <c r="BKP104" s="14"/>
      <c r="BKQ104" s="14"/>
      <c r="BKR104" s="36"/>
      <c r="BKS104" s="14"/>
      <c r="BKT104" s="45"/>
      <c r="BKU104" s="14"/>
      <c r="BKV104" s="14"/>
      <c r="BKW104" s="14"/>
      <c r="BKX104" s="14"/>
      <c r="BKY104" s="14"/>
      <c r="BKZ104" s="36"/>
      <c r="BLA104" s="14"/>
      <c r="BLB104" s="45"/>
      <c r="BLC104" s="14"/>
      <c r="BLD104" s="14"/>
      <c r="BLE104" s="14"/>
      <c r="BLF104" s="14"/>
      <c r="BLG104" s="14"/>
      <c r="BLH104" s="36"/>
      <c r="BLI104" s="14"/>
      <c r="BLJ104" s="45"/>
      <c r="BLK104" s="14"/>
      <c r="BLL104" s="14"/>
      <c r="BLM104" s="14"/>
      <c r="BLN104" s="14"/>
      <c r="BLO104" s="14"/>
      <c r="BLP104" s="36"/>
      <c r="BLQ104" s="14"/>
      <c r="BLR104" s="45"/>
      <c r="BLS104" s="14"/>
      <c r="BLT104" s="14"/>
      <c r="BLU104" s="14"/>
      <c r="BLV104" s="14"/>
      <c r="BLW104" s="14"/>
      <c r="BLX104" s="36"/>
      <c r="BLY104" s="14"/>
      <c r="BLZ104" s="45"/>
      <c r="BMA104" s="14"/>
      <c r="BMB104" s="14"/>
      <c r="BMC104" s="14"/>
      <c r="BMD104" s="14"/>
      <c r="BME104" s="14"/>
      <c r="BMF104" s="36"/>
      <c r="BMG104" s="14"/>
      <c r="BMH104" s="45"/>
      <c r="BMI104" s="14"/>
      <c r="BMJ104" s="14"/>
      <c r="BMK104" s="14"/>
      <c r="BML104" s="14"/>
      <c r="BMM104" s="14"/>
      <c r="BMN104" s="36"/>
      <c r="BMO104" s="14"/>
      <c r="BMP104" s="45"/>
      <c r="BMQ104" s="14"/>
      <c r="BMR104" s="14"/>
      <c r="BMS104" s="14"/>
      <c r="BMT104" s="14"/>
      <c r="BMU104" s="14"/>
      <c r="BMV104" s="36"/>
      <c r="BMW104" s="14"/>
      <c r="BMX104" s="45"/>
      <c r="BMY104" s="14"/>
      <c r="BMZ104" s="14"/>
      <c r="BNA104" s="14"/>
      <c r="BNB104" s="14"/>
      <c r="BNC104" s="14"/>
      <c r="BND104" s="36"/>
      <c r="BNE104" s="14"/>
      <c r="BNF104" s="45"/>
      <c r="BNG104" s="14"/>
      <c r="BNH104" s="14"/>
      <c r="BNI104" s="14"/>
      <c r="BNJ104" s="14"/>
      <c r="BNK104" s="14"/>
      <c r="BNL104" s="36"/>
      <c r="BNM104" s="14"/>
      <c r="BNN104" s="45"/>
      <c r="BNO104" s="14"/>
      <c r="BNP104" s="14"/>
      <c r="BNQ104" s="14"/>
      <c r="BNR104" s="14"/>
      <c r="BNS104" s="14"/>
      <c r="BNT104" s="36"/>
      <c r="BNU104" s="14"/>
      <c r="BNV104" s="45"/>
      <c r="BNW104" s="14"/>
      <c r="BNX104" s="14"/>
      <c r="BNY104" s="14"/>
      <c r="BNZ104" s="14"/>
      <c r="BOA104" s="14"/>
      <c r="BOB104" s="36"/>
      <c r="BOC104" s="14"/>
      <c r="BOD104" s="45"/>
      <c r="BOE104" s="14"/>
      <c r="BOF104" s="14"/>
      <c r="BOG104" s="14"/>
      <c r="BOH104" s="14"/>
      <c r="BOI104" s="14"/>
      <c r="BOJ104" s="36"/>
      <c r="BOK104" s="14"/>
      <c r="BOL104" s="45"/>
      <c r="BOM104" s="14"/>
      <c r="BON104" s="14"/>
      <c r="BOO104" s="14"/>
      <c r="BOP104" s="14"/>
      <c r="BOQ104" s="14"/>
      <c r="BOR104" s="36"/>
      <c r="BOS104" s="14"/>
      <c r="BOT104" s="45"/>
      <c r="BOU104" s="14"/>
      <c r="BOV104" s="14"/>
      <c r="BOW104" s="14"/>
      <c r="BOX104" s="14"/>
      <c r="BOY104" s="14"/>
      <c r="BOZ104" s="36"/>
      <c r="BPA104" s="14"/>
      <c r="BPB104" s="45"/>
      <c r="BPC104" s="14"/>
      <c r="BPD104" s="14"/>
      <c r="BPE104" s="14"/>
      <c r="BPF104" s="14"/>
      <c r="BPG104" s="14"/>
      <c r="BPH104" s="36"/>
      <c r="BPI104" s="14"/>
      <c r="BPJ104" s="45"/>
      <c r="BPK104" s="14"/>
      <c r="BPL104" s="14"/>
      <c r="BPM104" s="14"/>
      <c r="BPN104" s="14"/>
      <c r="BPO104" s="14"/>
      <c r="BPP104" s="36"/>
      <c r="BPQ104" s="14"/>
      <c r="BPR104" s="45"/>
      <c r="BPS104" s="14"/>
      <c r="BPT104" s="14"/>
      <c r="BPU104" s="14"/>
      <c r="BPV104" s="14"/>
      <c r="BPW104" s="14"/>
      <c r="BPX104" s="36"/>
      <c r="BPY104" s="14"/>
      <c r="BPZ104" s="45"/>
      <c r="BQA104" s="14"/>
      <c r="BQB104" s="14"/>
      <c r="BQC104" s="14"/>
      <c r="BQD104" s="14"/>
      <c r="BQE104" s="14"/>
      <c r="BQF104" s="36"/>
      <c r="BQG104" s="14"/>
      <c r="BQH104" s="45"/>
      <c r="BQI104" s="14"/>
      <c r="BQJ104" s="14"/>
      <c r="BQK104" s="14"/>
      <c r="BQL104" s="14"/>
      <c r="BQM104" s="14"/>
      <c r="BQN104" s="36"/>
      <c r="BQO104" s="14"/>
      <c r="BQP104" s="45"/>
      <c r="BQQ104" s="14"/>
      <c r="BQR104" s="14"/>
      <c r="BQS104" s="14"/>
      <c r="BQT104" s="14"/>
      <c r="BQU104" s="14"/>
      <c r="BQV104" s="36"/>
      <c r="BQW104" s="14"/>
      <c r="BQX104" s="45"/>
      <c r="BQY104" s="14"/>
      <c r="BQZ104" s="14"/>
      <c r="BRA104" s="14"/>
      <c r="BRB104" s="14"/>
      <c r="BRC104" s="14"/>
      <c r="BRD104" s="36"/>
      <c r="BRE104" s="14"/>
      <c r="BRF104" s="45"/>
      <c r="BRG104" s="14"/>
      <c r="BRH104" s="14"/>
      <c r="BRI104" s="14"/>
      <c r="BRJ104" s="14"/>
      <c r="BRK104" s="14"/>
      <c r="BRL104" s="36"/>
      <c r="BRM104" s="14"/>
      <c r="BRN104" s="45"/>
      <c r="BRO104" s="14"/>
      <c r="BRP104" s="14"/>
      <c r="BRQ104" s="14"/>
      <c r="BRR104" s="14"/>
      <c r="BRS104" s="14"/>
      <c r="BRT104" s="36"/>
      <c r="BRU104" s="14"/>
      <c r="BRV104" s="45"/>
      <c r="BRW104" s="14"/>
      <c r="BRX104" s="14"/>
      <c r="BRY104" s="14"/>
      <c r="BRZ104" s="14"/>
      <c r="BSA104" s="14"/>
      <c r="BSB104" s="36"/>
      <c r="BSC104" s="14"/>
      <c r="BSD104" s="45"/>
      <c r="BSE104" s="14"/>
      <c r="BSF104" s="14"/>
      <c r="BSG104" s="14"/>
      <c r="BSH104" s="14"/>
      <c r="BSI104" s="14"/>
      <c r="BSJ104" s="36"/>
      <c r="BSK104" s="14"/>
      <c r="BSL104" s="45"/>
      <c r="BSM104" s="14"/>
      <c r="BSN104" s="14"/>
      <c r="BSO104" s="14"/>
      <c r="BSP104" s="14"/>
      <c r="BSQ104" s="14"/>
      <c r="BSR104" s="36"/>
      <c r="BSS104" s="14"/>
      <c r="BST104" s="45"/>
      <c r="BSU104" s="14"/>
      <c r="BSV104" s="14"/>
      <c r="BSW104" s="14"/>
      <c r="BSX104" s="14"/>
      <c r="BSY104" s="14"/>
      <c r="BSZ104" s="36"/>
      <c r="BTA104" s="14"/>
      <c r="BTB104" s="45"/>
      <c r="BTC104" s="14"/>
      <c r="BTD104" s="14"/>
      <c r="BTE104" s="14"/>
      <c r="BTF104" s="14"/>
      <c r="BTG104" s="14"/>
      <c r="BTH104" s="36"/>
      <c r="BTI104" s="14"/>
      <c r="BTJ104" s="45"/>
      <c r="BTK104" s="14"/>
      <c r="BTL104" s="14"/>
      <c r="BTM104" s="14"/>
      <c r="BTN104" s="14"/>
      <c r="BTO104" s="14"/>
      <c r="BTP104" s="36"/>
      <c r="BTQ104" s="14"/>
      <c r="BTR104" s="45"/>
      <c r="BTS104" s="14"/>
      <c r="BTT104" s="14"/>
      <c r="BTU104" s="14"/>
      <c r="BTV104" s="14"/>
      <c r="BTW104" s="14"/>
      <c r="BTX104" s="36"/>
      <c r="BTY104" s="14"/>
      <c r="BTZ104" s="45"/>
      <c r="BUA104" s="14"/>
      <c r="BUB104" s="14"/>
      <c r="BUC104" s="14"/>
      <c r="BUD104" s="14"/>
      <c r="BUE104" s="14"/>
      <c r="BUF104" s="36"/>
      <c r="BUG104" s="14"/>
      <c r="BUH104" s="45"/>
      <c r="BUI104" s="14"/>
      <c r="BUJ104" s="14"/>
      <c r="BUK104" s="14"/>
      <c r="BUL104" s="14"/>
      <c r="BUM104" s="14"/>
      <c r="BUN104" s="36"/>
      <c r="BUO104" s="14"/>
      <c r="BUP104" s="45"/>
      <c r="BUQ104" s="14"/>
      <c r="BUR104" s="14"/>
      <c r="BUS104" s="14"/>
      <c r="BUT104" s="14"/>
      <c r="BUU104" s="14"/>
      <c r="BUV104" s="36"/>
      <c r="BUW104" s="14"/>
      <c r="BUX104" s="45"/>
      <c r="BUY104" s="14"/>
      <c r="BUZ104" s="14"/>
      <c r="BVA104" s="14"/>
      <c r="BVB104" s="14"/>
      <c r="BVC104" s="14"/>
      <c r="BVD104" s="36"/>
      <c r="BVE104" s="14"/>
      <c r="BVF104" s="45"/>
      <c r="BVG104" s="14"/>
      <c r="BVH104" s="14"/>
      <c r="BVI104" s="14"/>
      <c r="BVJ104" s="14"/>
      <c r="BVK104" s="14"/>
      <c r="BVL104" s="36"/>
      <c r="BVM104" s="14"/>
      <c r="BVN104" s="45"/>
      <c r="BVO104" s="14"/>
      <c r="BVP104" s="14"/>
      <c r="BVQ104" s="14"/>
      <c r="BVR104" s="14"/>
      <c r="BVS104" s="14"/>
      <c r="BVT104" s="36"/>
      <c r="BVU104" s="14"/>
      <c r="BVV104" s="45"/>
      <c r="BVW104" s="14"/>
      <c r="BVX104" s="14"/>
      <c r="BVY104" s="14"/>
      <c r="BVZ104" s="14"/>
      <c r="BWA104" s="14"/>
      <c r="BWB104" s="36"/>
      <c r="BWC104" s="14"/>
      <c r="BWD104" s="45"/>
      <c r="BWE104" s="14"/>
      <c r="BWF104" s="14"/>
      <c r="BWG104" s="14"/>
      <c r="BWH104" s="14"/>
      <c r="BWI104" s="14"/>
      <c r="BWJ104" s="36"/>
      <c r="BWK104" s="14"/>
      <c r="BWL104" s="45"/>
      <c r="BWM104" s="14"/>
      <c r="BWN104" s="14"/>
      <c r="BWO104" s="14"/>
      <c r="BWP104" s="14"/>
      <c r="BWQ104" s="14"/>
      <c r="BWR104" s="36"/>
      <c r="BWS104" s="14"/>
      <c r="BWT104" s="45"/>
      <c r="BWU104" s="14"/>
      <c r="BWV104" s="14"/>
      <c r="BWW104" s="14"/>
      <c r="BWX104" s="14"/>
      <c r="BWY104" s="14"/>
      <c r="BWZ104" s="36"/>
      <c r="BXA104" s="14"/>
      <c r="BXB104" s="45"/>
      <c r="BXC104" s="14"/>
      <c r="BXD104" s="14"/>
      <c r="BXE104" s="14"/>
      <c r="BXF104" s="14"/>
      <c r="BXG104" s="14"/>
      <c r="BXH104" s="36"/>
      <c r="BXI104" s="14"/>
      <c r="BXJ104" s="45"/>
      <c r="BXK104" s="14"/>
      <c r="BXL104" s="14"/>
      <c r="BXM104" s="14"/>
      <c r="BXN104" s="14"/>
      <c r="BXO104" s="14"/>
      <c r="BXP104" s="36"/>
      <c r="BXQ104" s="14"/>
      <c r="BXR104" s="45"/>
      <c r="BXS104" s="14"/>
      <c r="BXT104" s="14"/>
      <c r="BXU104" s="14"/>
      <c r="BXV104" s="14"/>
      <c r="BXW104" s="14"/>
      <c r="BXX104" s="36"/>
      <c r="BXY104" s="14"/>
      <c r="BXZ104" s="45"/>
      <c r="BYA104" s="14"/>
      <c r="BYB104" s="14"/>
      <c r="BYC104" s="14"/>
      <c r="BYD104" s="14"/>
      <c r="BYE104" s="14"/>
      <c r="BYF104" s="36"/>
      <c r="BYG104" s="14"/>
      <c r="BYH104" s="45"/>
      <c r="BYI104" s="14"/>
      <c r="BYJ104" s="14"/>
      <c r="BYK104" s="14"/>
      <c r="BYL104" s="14"/>
      <c r="BYM104" s="14"/>
      <c r="BYN104" s="36"/>
      <c r="BYO104" s="14"/>
      <c r="BYP104" s="45"/>
      <c r="BYQ104" s="14"/>
      <c r="BYR104" s="14"/>
      <c r="BYS104" s="14"/>
      <c r="BYT104" s="14"/>
      <c r="BYU104" s="14"/>
      <c r="BYV104" s="36"/>
      <c r="BYW104" s="14"/>
      <c r="BYX104" s="45"/>
      <c r="BYY104" s="14"/>
      <c r="BYZ104" s="14"/>
      <c r="BZA104" s="14"/>
      <c r="BZB104" s="14"/>
      <c r="BZC104" s="14"/>
      <c r="BZD104" s="36"/>
      <c r="BZE104" s="14"/>
      <c r="BZF104" s="45"/>
      <c r="BZG104" s="14"/>
      <c r="BZH104" s="14"/>
      <c r="BZI104" s="14"/>
      <c r="BZJ104" s="14"/>
      <c r="BZK104" s="14"/>
      <c r="BZL104" s="36"/>
      <c r="BZM104" s="14"/>
      <c r="BZN104" s="45"/>
      <c r="BZO104" s="14"/>
      <c r="BZP104" s="14"/>
      <c r="BZQ104" s="14"/>
      <c r="BZR104" s="14"/>
      <c r="BZS104" s="14"/>
      <c r="BZT104" s="36"/>
      <c r="BZU104" s="14"/>
      <c r="BZV104" s="45"/>
      <c r="BZW104" s="14"/>
      <c r="BZX104" s="14"/>
      <c r="BZY104" s="14"/>
      <c r="BZZ104" s="14"/>
      <c r="CAA104" s="14"/>
      <c r="CAB104" s="36"/>
      <c r="CAC104" s="14"/>
      <c r="CAD104" s="45"/>
      <c r="CAE104" s="14"/>
      <c r="CAF104" s="14"/>
      <c r="CAG104" s="14"/>
      <c r="CAH104" s="14"/>
      <c r="CAI104" s="14"/>
      <c r="CAJ104" s="36"/>
      <c r="CAK104" s="14"/>
      <c r="CAL104" s="45"/>
      <c r="CAM104" s="14"/>
      <c r="CAN104" s="14"/>
      <c r="CAO104" s="14"/>
      <c r="CAP104" s="14"/>
      <c r="CAQ104" s="14"/>
      <c r="CAR104" s="36"/>
      <c r="CAS104" s="14"/>
      <c r="CAT104" s="45"/>
      <c r="CAU104" s="14"/>
      <c r="CAV104" s="14"/>
      <c r="CAW104" s="14"/>
      <c r="CAX104" s="14"/>
      <c r="CAY104" s="14"/>
      <c r="CAZ104" s="36"/>
      <c r="CBA104" s="14"/>
      <c r="CBB104" s="45"/>
      <c r="CBC104" s="14"/>
      <c r="CBD104" s="14"/>
      <c r="CBE104" s="14"/>
      <c r="CBF104" s="14"/>
      <c r="CBG104" s="14"/>
      <c r="CBH104" s="36"/>
      <c r="CBI104" s="14"/>
      <c r="CBJ104" s="45"/>
      <c r="CBK104" s="14"/>
      <c r="CBL104" s="14"/>
      <c r="CBM104" s="14"/>
      <c r="CBN104" s="14"/>
      <c r="CBO104" s="14"/>
      <c r="CBP104" s="36"/>
      <c r="CBQ104" s="14"/>
      <c r="CBR104" s="45"/>
      <c r="CBS104" s="14"/>
      <c r="CBT104" s="14"/>
      <c r="CBU104" s="14"/>
      <c r="CBV104" s="14"/>
      <c r="CBW104" s="14"/>
      <c r="CBX104" s="36"/>
      <c r="CBY104" s="14"/>
      <c r="CBZ104" s="45"/>
      <c r="CCA104" s="14"/>
      <c r="CCB104" s="14"/>
      <c r="CCC104" s="14"/>
      <c r="CCD104" s="14"/>
      <c r="CCE104" s="14"/>
      <c r="CCF104" s="36"/>
      <c r="CCG104" s="14"/>
      <c r="CCH104" s="45"/>
      <c r="CCI104" s="14"/>
      <c r="CCJ104" s="14"/>
      <c r="CCK104" s="14"/>
      <c r="CCL104" s="14"/>
      <c r="CCM104" s="14"/>
      <c r="CCN104" s="36"/>
      <c r="CCO104" s="14"/>
      <c r="CCP104" s="45"/>
      <c r="CCQ104" s="14"/>
      <c r="CCR104" s="14"/>
      <c r="CCS104" s="14"/>
      <c r="CCT104" s="14"/>
      <c r="CCU104" s="14"/>
      <c r="CCV104" s="36"/>
      <c r="CCW104" s="14"/>
      <c r="CCX104" s="45"/>
      <c r="CCY104" s="14"/>
      <c r="CCZ104" s="14"/>
      <c r="CDA104" s="14"/>
      <c r="CDB104" s="14"/>
      <c r="CDC104" s="14"/>
      <c r="CDD104" s="36"/>
      <c r="CDE104" s="14"/>
      <c r="CDF104" s="45"/>
      <c r="CDG104" s="14"/>
      <c r="CDH104" s="14"/>
      <c r="CDI104" s="14"/>
      <c r="CDJ104" s="14"/>
      <c r="CDK104" s="14"/>
      <c r="CDL104" s="36"/>
      <c r="CDM104" s="14"/>
      <c r="CDN104" s="45"/>
      <c r="CDO104" s="14"/>
      <c r="CDP104" s="14"/>
      <c r="CDQ104" s="14"/>
      <c r="CDR104" s="14"/>
      <c r="CDS104" s="14"/>
      <c r="CDT104" s="36"/>
      <c r="CDU104" s="14"/>
      <c r="CDV104" s="45"/>
      <c r="CDW104" s="14"/>
      <c r="CDX104" s="14"/>
      <c r="CDY104" s="14"/>
      <c r="CDZ104" s="14"/>
      <c r="CEA104" s="14"/>
      <c r="CEB104" s="36"/>
      <c r="CEC104" s="14"/>
      <c r="CED104" s="45"/>
      <c r="CEE104" s="14"/>
      <c r="CEF104" s="14"/>
      <c r="CEG104" s="14"/>
      <c r="CEH104" s="14"/>
      <c r="CEI104" s="14"/>
      <c r="CEJ104" s="36"/>
      <c r="CEK104" s="14"/>
      <c r="CEL104" s="45"/>
      <c r="CEM104" s="14"/>
      <c r="CEN104" s="14"/>
      <c r="CEO104" s="14"/>
      <c r="CEP104" s="14"/>
      <c r="CEQ104" s="14"/>
      <c r="CER104" s="36"/>
      <c r="CES104" s="14"/>
      <c r="CET104" s="45"/>
      <c r="CEU104" s="14"/>
      <c r="CEV104" s="14"/>
      <c r="CEW104" s="14"/>
      <c r="CEX104" s="14"/>
      <c r="CEY104" s="14"/>
      <c r="CEZ104" s="36"/>
      <c r="CFA104" s="14"/>
      <c r="CFB104" s="45"/>
      <c r="CFC104" s="14"/>
      <c r="CFD104" s="14"/>
      <c r="CFE104" s="14"/>
      <c r="CFF104" s="14"/>
      <c r="CFG104" s="14"/>
      <c r="CFH104" s="36"/>
      <c r="CFI104" s="14"/>
      <c r="CFJ104" s="45"/>
      <c r="CFK104" s="14"/>
      <c r="CFL104" s="14"/>
      <c r="CFM104" s="14"/>
      <c r="CFN104" s="14"/>
      <c r="CFO104" s="14"/>
      <c r="CFP104" s="36"/>
      <c r="CFQ104" s="14"/>
      <c r="CFR104" s="45"/>
      <c r="CFS104" s="14"/>
      <c r="CFT104" s="14"/>
      <c r="CFU104" s="14"/>
      <c r="CFV104" s="14"/>
      <c r="CFW104" s="14"/>
      <c r="CFX104" s="36"/>
      <c r="CFY104" s="14"/>
      <c r="CFZ104" s="45"/>
      <c r="CGA104" s="14"/>
      <c r="CGB104" s="14"/>
      <c r="CGC104" s="14"/>
      <c r="CGD104" s="14"/>
      <c r="CGE104" s="14"/>
      <c r="CGF104" s="36"/>
      <c r="CGG104" s="14"/>
      <c r="CGH104" s="45"/>
      <c r="CGI104" s="14"/>
      <c r="CGJ104" s="14"/>
      <c r="CGK104" s="14"/>
      <c r="CGL104" s="14"/>
      <c r="CGM104" s="14"/>
      <c r="CGN104" s="36"/>
      <c r="CGO104" s="14"/>
      <c r="CGP104" s="45"/>
      <c r="CGQ104" s="14"/>
      <c r="CGR104" s="14"/>
      <c r="CGS104" s="14"/>
      <c r="CGT104" s="14"/>
      <c r="CGU104" s="14"/>
      <c r="CGV104" s="36"/>
      <c r="CGW104" s="14"/>
      <c r="CGX104" s="45"/>
      <c r="CGY104" s="14"/>
      <c r="CGZ104" s="14"/>
      <c r="CHA104" s="14"/>
      <c r="CHB104" s="14"/>
      <c r="CHC104" s="14"/>
      <c r="CHD104" s="36"/>
      <c r="CHE104" s="14"/>
      <c r="CHF104" s="45"/>
      <c r="CHG104" s="14"/>
      <c r="CHH104" s="14"/>
      <c r="CHI104" s="14"/>
      <c r="CHJ104" s="14"/>
      <c r="CHK104" s="14"/>
      <c r="CHL104" s="36"/>
      <c r="CHM104" s="14"/>
      <c r="CHN104" s="45"/>
      <c r="CHO104" s="14"/>
      <c r="CHP104" s="14"/>
      <c r="CHQ104" s="14"/>
      <c r="CHR104" s="14"/>
      <c r="CHS104" s="14"/>
      <c r="CHT104" s="36"/>
      <c r="CHU104" s="14"/>
      <c r="CHV104" s="45"/>
      <c r="CHW104" s="14"/>
      <c r="CHX104" s="14"/>
      <c r="CHY104" s="14"/>
      <c r="CHZ104" s="14"/>
      <c r="CIA104" s="14"/>
      <c r="CIB104" s="36"/>
      <c r="CIC104" s="14"/>
      <c r="CID104" s="45"/>
      <c r="CIE104" s="14"/>
      <c r="CIF104" s="14"/>
      <c r="CIG104" s="14"/>
      <c r="CIH104" s="14"/>
      <c r="CII104" s="14"/>
      <c r="CIJ104" s="36"/>
      <c r="CIK104" s="14"/>
      <c r="CIL104" s="45"/>
      <c r="CIM104" s="14"/>
      <c r="CIN104" s="14"/>
      <c r="CIO104" s="14"/>
      <c r="CIP104" s="14"/>
      <c r="CIQ104" s="14"/>
      <c r="CIR104" s="36"/>
      <c r="CIS104" s="14"/>
      <c r="CIT104" s="45"/>
      <c r="CIU104" s="14"/>
      <c r="CIV104" s="14"/>
      <c r="CIW104" s="14"/>
      <c r="CIX104" s="14"/>
      <c r="CIY104" s="14"/>
      <c r="CIZ104" s="36"/>
      <c r="CJA104" s="14"/>
      <c r="CJB104" s="45"/>
      <c r="CJC104" s="14"/>
      <c r="CJD104" s="14"/>
      <c r="CJE104" s="14"/>
      <c r="CJF104" s="14"/>
      <c r="CJG104" s="14"/>
      <c r="CJH104" s="36"/>
      <c r="CJI104" s="14"/>
      <c r="CJJ104" s="45"/>
      <c r="CJK104" s="14"/>
      <c r="CJL104" s="14"/>
      <c r="CJM104" s="14"/>
      <c r="CJN104" s="14"/>
      <c r="CJO104" s="14"/>
      <c r="CJP104" s="36"/>
      <c r="CJQ104" s="14"/>
      <c r="CJR104" s="45"/>
      <c r="CJS104" s="14"/>
      <c r="CJT104" s="14"/>
      <c r="CJU104" s="14"/>
      <c r="CJV104" s="14"/>
      <c r="CJW104" s="14"/>
      <c r="CJX104" s="36"/>
      <c r="CJY104" s="14"/>
      <c r="CJZ104" s="45"/>
      <c r="CKA104" s="14"/>
      <c r="CKB104" s="14"/>
      <c r="CKC104" s="14"/>
      <c r="CKD104" s="14"/>
      <c r="CKE104" s="14"/>
      <c r="CKF104" s="36"/>
      <c r="CKG104" s="14"/>
      <c r="CKH104" s="45"/>
      <c r="CKI104" s="14"/>
      <c r="CKJ104" s="14"/>
      <c r="CKK104" s="14"/>
      <c r="CKL104" s="14"/>
      <c r="CKM104" s="14"/>
      <c r="CKN104" s="36"/>
      <c r="CKO104" s="14"/>
      <c r="CKP104" s="45"/>
      <c r="CKQ104" s="14"/>
      <c r="CKR104" s="14"/>
      <c r="CKS104" s="14"/>
      <c r="CKT104" s="14"/>
      <c r="CKU104" s="14"/>
      <c r="CKV104" s="36"/>
      <c r="CKW104" s="14"/>
      <c r="CKX104" s="45"/>
      <c r="CKY104" s="14"/>
      <c r="CKZ104" s="14"/>
      <c r="CLA104" s="14"/>
      <c r="CLB104" s="14"/>
      <c r="CLC104" s="14"/>
      <c r="CLD104" s="36"/>
      <c r="CLE104" s="14"/>
      <c r="CLF104" s="45"/>
      <c r="CLG104" s="14"/>
      <c r="CLH104" s="14"/>
      <c r="CLI104" s="14"/>
      <c r="CLJ104" s="14"/>
      <c r="CLK104" s="14"/>
      <c r="CLL104" s="36"/>
      <c r="CLM104" s="14"/>
      <c r="CLN104" s="45"/>
      <c r="CLO104" s="14"/>
      <c r="CLP104" s="14"/>
      <c r="CLQ104" s="14"/>
      <c r="CLR104" s="14"/>
      <c r="CLS104" s="14"/>
      <c r="CLT104" s="36"/>
      <c r="CLU104" s="14"/>
      <c r="CLV104" s="45"/>
      <c r="CLW104" s="14"/>
      <c r="CLX104" s="14"/>
      <c r="CLY104" s="14"/>
      <c r="CLZ104" s="14"/>
      <c r="CMA104" s="14"/>
      <c r="CMB104" s="36"/>
      <c r="CMC104" s="14"/>
      <c r="CMD104" s="45"/>
      <c r="CME104" s="14"/>
      <c r="CMF104" s="14"/>
      <c r="CMG104" s="14"/>
      <c r="CMH104" s="14"/>
      <c r="CMI104" s="14"/>
      <c r="CMJ104" s="36"/>
      <c r="CMK104" s="14"/>
      <c r="CML104" s="45"/>
      <c r="CMM104" s="14"/>
      <c r="CMN104" s="14"/>
      <c r="CMO104" s="14"/>
      <c r="CMP104" s="14"/>
      <c r="CMQ104" s="14"/>
      <c r="CMR104" s="36"/>
      <c r="CMS104" s="14"/>
      <c r="CMT104" s="45"/>
      <c r="CMU104" s="14"/>
      <c r="CMV104" s="14"/>
      <c r="CMW104" s="14"/>
      <c r="CMX104" s="14"/>
      <c r="CMY104" s="14"/>
      <c r="CMZ104" s="36"/>
      <c r="CNA104" s="14"/>
      <c r="CNB104" s="45"/>
      <c r="CNC104" s="14"/>
      <c r="CND104" s="14"/>
      <c r="CNE104" s="14"/>
      <c r="CNF104" s="14"/>
      <c r="CNG104" s="14"/>
      <c r="CNH104" s="36"/>
      <c r="CNI104" s="14"/>
      <c r="CNJ104" s="45"/>
      <c r="CNK104" s="14"/>
      <c r="CNL104" s="14"/>
      <c r="CNM104" s="14"/>
      <c r="CNN104" s="14"/>
      <c r="CNO104" s="14"/>
      <c r="CNP104" s="36"/>
      <c r="CNQ104" s="14"/>
      <c r="CNR104" s="45"/>
      <c r="CNS104" s="14"/>
      <c r="CNT104" s="14"/>
      <c r="CNU104" s="14"/>
      <c r="CNV104" s="14"/>
      <c r="CNW104" s="14"/>
      <c r="CNX104" s="36"/>
      <c r="CNY104" s="14"/>
      <c r="CNZ104" s="45"/>
      <c r="COA104" s="14"/>
      <c r="COB104" s="14"/>
      <c r="COC104" s="14"/>
      <c r="COD104" s="14"/>
      <c r="COE104" s="14"/>
      <c r="COF104" s="36"/>
      <c r="COG104" s="14"/>
      <c r="COH104" s="45"/>
      <c r="COI104" s="14"/>
      <c r="COJ104" s="14"/>
      <c r="COK104" s="14"/>
      <c r="COL104" s="14"/>
      <c r="COM104" s="14"/>
      <c r="CON104" s="36"/>
      <c r="COO104" s="14"/>
      <c r="COP104" s="45"/>
      <c r="COQ104" s="14"/>
      <c r="COR104" s="14"/>
      <c r="COS104" s="14"/>
      <c r="COT104" s="14"/>
      <c r="COU104" s="14"/>
      <c r="COV104" s="36"/>
      <c r="COW104" s="14"/>
      <c r="COX104" s="45"/>
      <c r="COY104" s="14"/>
      <c r="COZ104" s="14"/>
      <c r="CPA104" s="14"/>
      <c r="CPB104" s="14"/>
      <c r="CPC104" s="14"/>
      <c r="CPD104" s="36"/>
      <c r="CPE104" s="14"/>
      <c r="CPF104" s="45"/>
      <c r="CPG104" s="14"/>
      <c r="CPH104" s="14"/>
      <c r="CPI104" s="14"/>
      <c r="CPJ104" s="14"/>
      <c r="CPK104" s="14"/>
      <c r="CPL104" s="36"/>
      <c r="CPM104" s="14"/>
      <c r="CPN104" s="45"/>
      <c r="CPO104" s="14"/>
      <c r="CPP104" s="14"/>
      <c r="CPQ104" s="14"/>
      <c r="CPR104" s="14"/>
      <c r="CPS104" s="14"/>
      <c r="CPT104" s="36"/>
      <c r="CPU104" s="14"/>
      <c r="CPV104" s="45"/>
      <c r="CPW104" s="14"/>
      <c r="CPX104" s="14"/>
      <c r="CPY104" s="14"/>
      <c r="CPZ104" s="14"/>
      <c r="CQA104" s="14"/>
      <c r="CQB104" s="36"/>
      <c r="CQC104" s="14"/>
      <c r="CQD104" s="45"/>
      <c r="CQE104" s="14"/>
      <c r="CQF104" s="14"/>
      <c r="CQG104" s="14"/>
      <c r="CQH104" s="14"/>
      <c r="CQI104" s="14"/>
      <c r="CQJ104" s="36"/>
      <c r="CQK104" s="14"/>
      <c r="CQL104" s="45"/>
      <c r="CQM104" s="14"/>
      <c r="CQN104" s="14"/>
      <c r="CQO104" s="14"/>
      <c r="CQP104" s="14"/>
      <c r="CQQ104" s="14"/>
      <c r="CQR104" s="36"/>
      <c r="CQS104" s="14"/>
      <c r="CQT104" s="45"/>
      <c r="CQU104" s="14"/>
      <c r="CQV104" s="14"/>
      <c r="CQW104" s="14"/>
      <c r="CQX104" s="14"/>
      <c r="CQY104" s="14"/>
      <c r="CQZ104" s="36"/>
      <c r="CRA104" s="14"/>
      <c r="CRB104" s="45"/>
      <c r="CRC104" s="14"/>
      <c r="CRD104" s="14"/>
      <c r="CRE104" s="14"/>
      <c r="CRF104" s="14"/>
      <c r="CRG104" s="14"/>
      <c r="CRH104" s="36"/>
      <c r="CRI104" s="14"/>
      <c r="CRJ104" s="45"/>
      <c r="CRK104" s="14"/>
      <c r="CRL104" s="14"/>
      <c r="CRM104" s="14"/>
      <c r="CRN104" s="14"/>
      <c r="CRO104" s="14"/>
      <c r="CRP104" s="36"/>
      <c r="CRQ104" s="14"/>
      <c r="CRR104" s="45"/>
      <c r="CRS104" s="14"/>
      <c r="CRT104" s="14"/>
      <c r="CRU104" s="14"/>
      <c r="CRV104" s="14"/>
      <c r="CRW104" s="14"/>
      <c r="CRX104" s="36"/>
      <c r="CRY104" s="14"/>
      <c r="CRZ104" s="45"/>
      <c r="CSA104" s="14"/>
      <c r="CSB104" s="14"/>
      <c r="CSC104" s="14"/>
      <c r="CSD104" s="14"/>
      <c r="CSE104" s="14"/>
      <c r="CSF104" s="36"/>
      <c r="CSG104" s="14"/>
      <c r="CSH104" s="45"/>
      <c r="CSI104" s="14"/>
      <c r="CSJ104" s="14"/>
      <c r="CSK104" s="14"/>
      <c r="CSL104" s="14"/>
      <c r="CSM104" s="14"/>
      <c r="CSN104" s="36"/>
      <c r="CSO104" s="14"/>
      <c r="CSP104" s="45"/>
      <c r="CSQ104" s="14"/>
      <c r="CSR104" s="14"/>
      <c r="CSS104" s="14"/>
      <c r="CST104" s="14"/>
      <c r="CSU104" s="14"/>
      <c r="CSV104" s="36"/>
      <c r="CSW104" s="14"/>
      <c r="CSX104" s="45"/>
      <c r="CSY104" s="14"/>
      <c r="CSZ104" s="14"/>
      <c r="CTA104" s="14"/>
      <c r="CTB104" s="14"/>
      <c r="CTC104" s="14"/>
      <c r="CTD104" s="36"/>
      <c r="CTE104" s="14"/>
      <c r="CTF104" s="45"/>
      <c r="CTG104" s="14"/>
      <c r="CTH104" s="14"/>
      <c r="CTI104" s="14"/>
      <c r="CTJ104" s="14"/>
      <c r="CTK104" s="14"/>
      <c r="CTL104" s="36"/>
      <c r="CTM104" s="14"/>
      <c r="CTN104" s="45"/>
      <c r="CTO104" s="14"/>
      <c r="CTP104" s="14"/>
      <c r="CTQ104" s="14"/>
      <c r="CTR104" s="14"/>
      <c r="CTS104" s="14"/>
      <c r="CTT104" s="36"/>
      <c r="CTU104" s="14"/>
      <c r="CTV104" s="45"/>
      <c r="CTW104" s="14"/>
      <c r="CTX104" s="14"/>
      <c r="CTY104" s="14"/>
      <c r="CTZ104" s="14"/>
      <c r="CUA104" s="14"/>
      <c r="CUB104" s="36"/>
      <c r="CUC104" s="14"/>
      <c r="CUD104" s="45"/>
      <c r="CUE104" s="14"/>
      <c r="CUF104" s="14"/>
      <c r="CUG104" s="14"/>
      <c r="CUH104" s="14"/>
      <c r="CUI104" s="14"/>
      <c r="CUJ104" s="36"/>
      <c r="CUK104" s="14"/>
      <c r="CUL104" s="45"/>
      <c r="CUM104" s="14"/>
      <c r="CUN104" s="14"/>
      <c r="CUO104" s="14"/>
      <c r="CUP104" s="14"/>
      <c r="CUQ104" s="14"/>
      <c r="CUR104" s="36"/>
      <c r="CUS104" s="14"/>
      <c r="CUT104" s="45"/>
      <c r="CUU104" s="14"/>
      <c r="CUV104" s="14"/>
      <c r="CUW104" s="14"/>
      <c r="CUX104" s="14"/>
      <c r="CUY104" s="14"/>
      <c r="CUZ104" s="36"/>
      <c r="CVA104" s="14"/>
      <c r="CVB104" s="45"/>
      <c r="CVC104" s="14"/>
      <c r="CVD104" s="14"/>
      <c r="CVE104" s="14"/>
      <c r="CVF104" s="14"/>
      <c r="CVG104" s="14"/>
      <c r="CVH104" s="36"/>
      <c r="CVI104" s="14"/>
      <c r="CVJ104" s="45"/>
      <c r="CVK104" s="14"/>
      <c r="CVL104" s="14"/>
      <c r="CVM104" s="14"/>
      <c r="CVN104" s="14"/>
      <c r="CVO104" s="14"/>
      <c r="CVP104" s="36"/>
      <c r="CVQ104" s="14"/>
      <c r="CVR104" s="45"/>
      <c r="CVS104" s="14"/>
      <c r="CVT104" s="14"/>
      <c r="CVU104" s="14"/>
      <c r="CVV104" s="14"/>
      <c r="CVW104" s="14"/>
      <c r="CVX104" s="36"/>
      <c r="CVY104" s="14"/>
      <c r="CVZ104" s="45"/>
      <c r="CWA104" s="14"/>
      <c r="CWB104" s="14"/>
      <c r="CWC104" s="14"/>
      <c r="CWD104" s="14"/>
      <c r="CWE104" s="14"/>
      <c r="CWF104" s="36"/>
      <c r="CWG104" s="14"/>
      <c r="CWH104" s="45"/>
      <c r="CWI104" s="14"/>
      <c r="CWJ104" s="14"/>
      <c r="CWK104" s="14"/>
      <c r="CWL104" s="14"/>
      <c r="CWM104" s="14"/>
      <c r="CWN104" s="36"/>
      <c r="CWO104" s="14"/>
      <c r="CWP104" s="45"/>
      <c r="CWQ104" s="14"/>
      <c r="CWR104" s="14"/>
      <c r="CWS104" s="14"/>
      <c r="CWT104" s="14"/>
      <c r="CWU104" s="14"/>
      <c r="CWV104" s="36"/>
      <c r="CWW104" s="14"/>
      <c r="CWX104" s="45"/>
      <c r="CWY104" s="14"/>
      <c r="CWZ104" s="14"/>
      <c r="CXA104" s="14"/>
      <c r="CXB104" s="14"/>
      <c r="CXC104" s="14"/>
      <c r="CXD104" s="36"/>
      <c r="CXE104" s="14"/>
      <c r="CXF104" s="45"/>
      <c r="CXG104" s="14"/>
      <c r="CXH104" s="14"/>
      <c r="CXI104" s="14"/>
      <c r="CXJ104" s="14"/>
      <c r="CXK104" s="14"/>
      <c r="CXL104" s="36"/>
      <c r="CXM104" s="14"/>
      <c r="CXN104" s="45"/>
      <c r="CXO104" s="14"/>
      <c r="CXP104" s="14"/>
      <c r="CXQ104" s="14"/>
      <c r="CXR104" s="14"/>
      <c r="CXS104" s="14"/>
      <c r="CXT104" s="36"/>
      <c r="CXU104" s="14"/>
      <c r="CXV104" s="45"/>
      <c r="CXW104" s="14"/>
      <c r="CXX104" s="14"/>
      <c r="CXY104" s="14"/>
      <c r="CXZ104" s="14"/>
      <c r="CYA104" s="14"/>
      <c r="CYB104" s="36"/>
      <c r="CYC104" s="14"/>
      <c r="CYD104" s="45"/>
      <c r="CYE104" s="14"/>
      <c r="CYF104" s="14"/>
      <c r="CYG104" s="14"/>
      <c r="CYH104" s="14"/>
      <c r="CYI104" s="14"/>
      <c r="CYJ104" s="36"/>
      <c r="CYK104" s="14"/>
      <c r="CYL104" s="45"/>
      <c r="CYM104" s="14"/>
      <c r="CYN104" s="14"/>
      <c r="CYO104" s="14"/>
      <c r="CYP104" s="14"/>
      <c r="CYQ104" s="14"/>
      <c r="CYR104" s="36"/>
      <c r="CYS104" s="14"/>
      <c r="CYT104" s="45"/>
      <c r="CYU104" s="14"/>
      <c r="CYV104" s="14"/>
      <c r="CYW104" s="14"/>
      <c r="CYX104" s="14"/>
      <c r="CYY104" s="14"/>
      <c r="CYZ104" s="36"/>
      <c r="CZA104" s="14"/>
      <c r="CZB104" s="45"/>
      <c r="CZC104" s="14"/>
      <c r="CZD104" s="14"/>
      <c r="CZE104" s="14"/>
      <c r="CZF104" s="14"/>
      <c r="CZG104" s="14"/>
      <c r="CZH104" s="36"/>
      <c r="CZI104" s="14"/>
      <c r="CZJ104" s="45"/>
      <c r="CZK104" s="14"/>
      <c r="CZL104" s="14"/>
      <c r="CZM104" s="14"/>
      <c r="CZN104" s="14"/>
      <c r="CZO104" s="14"/>
      <c r="CZP104" s="36"/>
      <c r="CZQ104" s="14"/>
      <c r="CZR104" s="45"/>
      <c r="CZS104" s="14"/>
      <c r="CZT104" s="14"/>
      <c r="CZU104" s="14"/>
      <c r="CZV104" s="14"/>
      <c r="CZW104" s="14"/>
      <c r="CZX104" s="36"/>
      <c r="CZY104" s="14"/>
      <c r="CZZ104" s="45"/>
      <c r="DAA104" s="14"/>
      <c r="DAB104" s="14"/>
      <c r="DAC104" s="14"/>
      <c r="DAD104" s="14"/>
      <c r="DAE104" s="14"/>
      <c r="DAF104" s="36"/>
      <c r="DAG104" s="14"/>
      <c r="DAH104" s="45"/>
      <c r="DAI104" s="14"/>
      <c r="DAJ104" s="14"/>
      <c r="DAK104" s="14"/>
      <c r="DAL104" s="14"/>
      <c r="DAM104" s="14"/>
      <c r="DAN104" s="36"/>
      <c r="DAO104" s="14"/>
      <c r="DAP104" s="45"/>
      <c r="DAQ104" s="14"/>
      <c r="DAR104" s="14"/>
      <c r="DAS104" s="14"/>
      <c r="DAT104" s="14"/>
      <c r="DAU104" s="14"/>
      <c r="DAV104" s="36"/>
      <c r="DAW104" s="14"/>
      <c r="DAX104" s="45"/>
      <c r="DAY104" s="14"/>
      <c r="DAZ104" s="14"/>
      <c r="DBA104" s="14"/>
      <c r="DBB104" s="14"/>
      <c r="DBC104" s="14"/>
      <c r="DBD104" s="36"/>
      <c r="DBE104" s="14"/>
      <c r="DBF104" s="45"/>
      <c r="DBG104" s="14"/>
      <c r="DBH104" s="14"/>
      <c r="DBI104" s="14"/>
      <c r="DBJ104" s="14"/>
      <c r="DBK104" s="14"/>
      <c r="DBL104" s="36"/>
      <c r="DBM104" s="14"/>
      <c r="DBN104" s="45"/>
      <c r="DBO104" s="14"/>
      <c r="DBP104" s="14"/>
      <c r="DBQ104" s="14"/>
      <c r="DBR104" s="14"/>
      <c r="DBS104" s="14"/>
      <c r="DBT104" s="36"/>
      <c r="DBU104" s="14"/>
      <c r="DBV104" s="45"/>
      <c r="DBW104" s="14"/>
      <c r="DBX104" s="14"/>
      <c r="DBY104" s="14"/>
      <c r="DBZ104" s="14"/>
      <c r="DCA104" s="14"/>
      <c r="DCB104" s="36"/>
      <c r="DCC104" s="14"/>
      <c r="DCD104" s="45"/>
      <c r="DCE104" s="14"/>
      <c r="DCF104" s="14"/>
      <c r="DCG104" s="14"/>
      <c r="DCH104" s="14"/>
      <c r="DCI104" s="14"/>
      <c r="DCJ104" s="36"/>
      <c r="DCK104" s="14"/>
      <c r="DCL104" s="45"/>
      <c r="DCM104" s="14"/>
      <c r="DCN104" s="14"/>
      <c r="DCO104" s="14"/>
      <c r="DCP104" s="14"/>
      <c r="DCQ104" s="14"/>
      <c r="DCR104" s="36"/>
      <c r="DCS104" s="14"/>
      <c r="DCT104" s="45"/>
      <c r="DCU104" s="14"/>
      <c r="DCV104" s="14"/>
      <c r="DCW104" s="14"/>
      <c r="DCX104" s="14"/>
      <c r="DCY104" s="14"/>
      <c r="DCZ104" s="36"/>
      <c r="DDA104" s="14"/>
      <c r="DDB104" s="45"/>
      <c r="DDC104" s="14"/>
      <c r="DDD104" s="14"/>
      <c r="DDE104" s="14"/>
      <c r="DDF104" s="14"/>
      <c r="DDG104" s="14"/>
      <c r="DDH104" s="36"/>
      <c r="DDI104" s="14"/>
      <c r="DDJ104" s="45"/>
      <c r="DDK104" s="14"/>
      <c r="DDL104" s="14"/>
      <c r="DDM104" s="14"/>
      <c r="DDN104" s="14"/>
      <c r="DDO104" s="14"/>
      <c r="DDP104" s="36"/>
      <c r="DDQ104" s="14"/>
      <c r="DDR104" s="45"/>
      <c r="DDS104" s="14"/>
      <c r="DDT104" s="14"/>
      <c r="DDU104" s="14"/>
      <c r="DDV104" s="14"/>
      <c r="DDW104" s="14"/>
      <c r="DDX104" s="36"/>
      <c r="DDY104" s="14"/>
      <c r="DDZ104" s="45"/>
      <c r="DEA104" s="14"/>
      <c r="DEB104" s="14"/>
      <c r="DEC104" s="14"/>
      <c r="DED104" s="14"/>
      <c r="DEE104" s="14"/>
      <c r="DEF104" s="36"/>
      <c r="DEG104" s="14"/>
      <c r="DEH104" s="45"/>
      <c r="DEI104" s="14"/>
      <c r="DEJ104" s="14"/>
      <c r="DEK104" s="14"/>
      <c r="DEL104" s="14"/>
      <c r="DEM104" s="14"/>
      <c r="DEN104" s="36"/>
      <c r="DEO104" s="14"/>
      <c r="DEP104" s="45"/>
      <c r="DEQ104" s="14"/>
      <c r="DER104" s="14"/>
      <c r="DES104" s="14"/>
      <c r="DET104" s="14"/>
      <c r="DEU104" s="14"/>
      <c r="DEV104" s="36"/>
      <c r="DEW104" s="14"/>
      <c r="DEX104" s="45"/>
      <c r="DEY104" s="14"/>
      <c r="DEZ104" s="14"/>
      <c r="DFA104" s="14"/>
      <c r="DFB104" s="14"/>
      <c r="DFC104" s="14"/>
      <c r="DFD104" s="36"/>
      <c r="DFE104" s="14"/>
      <c r="DFF104" s="45"/>
      <c r="DFG104" s="14"/>
      <c r="DFH104" s="14"/>
      <c r="DFI104" s="14"/>
      <c r="DFJ104" s="14"/>
      <c r="DFK104" s="14"/>
      <c r="DFL104" s="36"/>
      <c r="DFM104" s="14"/>
      <c r="DFN104" s="45"/>
      <c r="DFO104" s="14"/>
      <c r="DFP104" s="14"/>
      <c r="DFQ104" s="14"/>
      <c r="DFR104" s="14"/>
      <c r="DFS104" s="14"/>
      <c r="DFT104" s="36"/>
      <c r="DFU104" s="14"/>
      <c r="DFV104" s="45"/>
      <c r="DFW104" s="14"/>
      <c r="DFX104" s="14"/>
      <c r="DFY104" s="14"/>
      <c r="DFZ104" s="14"/>
      <c r="DGA104" s="14"/>
      <c r="DGB104" s="36"/>
      <c r="DGC104" s="14"/>
      <c r="DGD104" s="45"/>
      <c r="DGE104" s="14"/>
      <c r="DGF104" s="14"/>
      <c r="DGG104" s="14"/>
      <c r="DGH104" s="14"/>
      <c r="DGI104" s="14"/>
      <c r="DGJ104" s="36"/>
      <c r="DGK104" s="14"/>
      <c r="DGL104" s="45"/>
      <c r="DGM104" s="14"/>
      <c r="DGN104" s="14"/>
      <c r="DGO104" s="14"/>
      <c r="DGP104" s="14"/>
      <c r="DGQ104" s="14"/>
      <c r="DGR104" s="36"/>
      <c r="DGS104" s="14"/>
      <c r="DGT104" s="45"/>
      <c r="DGU104" s="14"/>
      <c r="DGV104" s="14"/>
      <c r="DGW104" s="14"/>
      <c r="DGX104" s="14"/>
      <c r="DGY104" s="14"/>
      <c r="DGZ104" s="36"/>
      <c r="DHA104" s="14"/>
      <c r="DHB104" s="45"/>
      <c r="DHC104" s="14"/>
      <c r="DHD104" s="14"/>
      <c r="DHE104" s="14"/>
      <c r="DHF104" s="14"/>
      <c r="DHG104" s="14"/>
      <c r="DHH104" s="36"/>
      <c r="DHI104" s="14"/>
      <c r="DHJ104" s="45"/>
      <c r="DHK104" s="14"/>
      <c r="DHL104" s="14"/>
      <c r="DHM104" s="14"/>
      <c r="DHN104" s="14"/>
      <c r="DHO104" s="14"/>
      <c r="DHP104" s="36"/>
      <c r="DHQ104" s="14"/>
      <c r="DHR104" s="45"/>
      <c r="DHS104" s="14"/>
      <c r="DHT104" s="14"/>
      <c r="DHU104" s="14"/>
      <c r="DHV104" s="14"/>
      <c r="DHW104" s="14"/>
      <c r="DHX104" s="36"/>
      <c r="DHY104" s="14"/>
      <c r="DHZ104" s="45"/>
      <c r="DIA104" s="14"/>
      <c r="DIB104" s="14"/>
      <c r="DIC104" s="14"/>
      <c r="DID104" s="14"/>
      <c r="DIE104" s="14"/>
      <c r="DIF104" s="36"/>
      <c r="DIG104" s="14"/>
      <c r="DIH104" s="45"/>
      <c r="DII104" s="14"/>
      <c r="DIJ104" s="14"/>
      <c r="DIK104" s="14"/>
      <c r="DIL104" s="14"/>
      <c r="DIM104" s="14"/>
      <c r="DIN104" s="36"/>
      <c r="DIO104" s="14"/>
      <c r="DIP104" s="45"/>
      <c r="DIQ104" s="14"/>
      <c r="DIR104" s="14"/>
      <c r="DIS104" s="14"/>
      <c r="DIT104" s="14"/>
      <c r="DIU104" s="14"/>
      <c r="DIV104" s="36"/>
      <c r="DIW104" s="14"/>
      <c r="DIX104" s="45"/>
      <c r="DIY104" s="14"/>
      <c r="DIZ104" s="14"/>
      <c r="DJA104" s="14"/>
      <c r="DJB104" s="14"/>
      <c r="DJC104" s="14"/>
      <c r="DJD104" s="36"/>
      <c r="DJE104" s="14"/>
      <c r="DJF104" s="45"/>
      <c r="DJG104" s="14"/>
      <c r="DJH104" s="14"/>
      <c r="DJI104" s="14"/>
      <c r="DJJ104" s="14"/>
      <c r="DJK104" s="14"/>
      <c r="DJL104" s="36"/>
      <c r="DJM104" s="14"/>
      <c r="DJN104" s="45"/>
      <c r="DJO104" s="14"/>
      <c r="DJP104" s="14"/>
      <c r="DJQ104" s="14"/>
      <c r="DJR104" s="14"/>
      <c r="DJS104" s="14"/>
      <c r="DJT104" s="36"/>
      <c r="DJU104" s="14"/>
      <c r="DJV104" s="45"/>
      <c r="DJW104" s="14"/>
      <c r="DJX104" s="14"/>
      <c r="DJY104" s="14"/>
      <c r="DJZ104" s="14"/>
      <c r="DKA104" s="14"/>
      <c r="DKB104" s="36"/>
      <c r="DKC104" s="14"/>
      <c r="DKD104" s="45"/>
      <c r="DKE104" s="14"/>
      <c r="DKF104" s="14"/>
      <c r="DKG104" s="14"/>
      <c r="DKH104" s="14"/>
      <c r="DKI104" s="14"/>
      <c r="DKJ104" s="36"/>
      <c r="DKK104" s="14"/>
      <c r="DKL104" s="45"/>
      <c r="DKM104" s="14"/>
      <c r="DKN104" s="14"/>
      <c r="DKO104" s="14"/>
      <c r="DKP104" s="14"/>
      <c r="DKQ104" s="14"/>
      <c r="DKR104" s="36"/>
      <c r="DKS104" s="14"/>
      <c r="DKT104" s="45"/>
      <c r="DKU104" s="14"/>
      <c r="DKV104" s="14"/>
      <c r="DKW104" s="14"/>
      <c r="DKX104" s="14"/>
      <c r="DKY104" s="14"/>
      <c r="DKZ104" s="36"/>
      <c r="DLA104" s="14"/>
      <c r="DLB104" s="45"/>
      <c r="DLC104" s="14"/>
      <c r="DLD104" s="14"/>
      <c r="DLE104" s="14"/>
      <c r="DLF104" s="14"/>
      <c r="DLG104" s="14"/>
      <c r="DLH104" s="36"/>
      <c r="DLI104" s="14"/>
      <c r="DLJ104" s="45"/>
      <c r="DLK104" s="14"/>
      <c r="DLL104" s="14"/>
      <c r="DLM104" s="14"/>
      <c r="DLN104" s="14"/>
      <c r="DLO104" s="14"/>
      <c r="DLP104" s="36"/>
      <c r="DLQ104" s="14"/>
      <c r="DLR104" s="45"/>
      <c r="DLS104" s="14"/>
      <c r="DLT104" s="14"/>
      <c r="DLU104" s="14"/>
      <c r="DLV104" s="14"/>
      <c r="DLW104" s="14"/>
      <c r="DLX104" s="36"/>
      <c r="DLY104" s="14"/>
      <c r="DLZ104" s="45"/>
      <c r="DMA104" s="14"/>
      <c r="DMB104" s="14"/>
      <c r="DMC104" s="14"/>
      <c r="DMD104" s="14"/>
      <c r="DME104" s="14"/>
      <c r="DMF104" s="36"/>
      <c r="DMG104" s="14"/>
      <c r="DMH104" s="45"/>
      <c r="DMI104" s="14"/>
      <c r="DMJ104" s="14"/>
      <c r="DMK104" s="14"/>
      <c r="DML104" s="14"/>
      <c r="DMM104" s="14"/>
      <c r="DMN104" s="36"/>
      <c r="DMO104" s="14"/>
      <c r="DMP104" s="45"/>
      <c r="DMQ104" s="14"/>
      <c r="DMR104" s="14"/>
      <c r="DMS104" s="14"/>
      <c r="DMT104" s="14"/>
      <c r="DMU104" s="14"/>
      <c r="DMV104" s="36"/>
      <c r="DMW104" s="14"/>
      <c r="DMX104" s="45"/>
      <c r="DMY104" s="14"/>
      <c r="DMZ104" s="14"/>
      <c r="DNA104" s="14"/>
      <c r="DNB104" s="14"/>
      <c r="DNC104" s="14"/>
      <c r="DND104" s="36"/>
      <c r="DNE104" s="14"/>
      <c r="DNF104" s="45"/>
      <c r="DNG104" s="14"/>
      <c r="DNH104" s="14"/>
      <c r="DNI104" s="14"/>
      <c r="DNJ104" s="14"/>
      <c r="DNK104" s="14"/>
      <c r="DNL104" s="36"/>
      <c r="DNM104" s="14"/>
      <c r="DNN104" s="45"/>
      <c r="DNO104" s="14"/>
      <c r="DNP104" s="14"/>
      <c r="DNQ104" s="14"/>
      <c r="DNR104" s="14"/>
      <c r="DNS104" s="14"/>
      <c r="DNT104" s="36"/>
      <c r="DNU104" s="14"/>
      <c r="DNV104" s="45"/>
      <c r="DNW104" s="14"/>
      <c r="DNX104" s="14"/>
      <c r="DNY104" s="14"/>
      <c r="DNZ104" s="14"/>
      <c r="DOA104" s="14"/>
      <c r="DOB104" s="36"/>
      <c r="DOC104" s="14"/>
      <c r="DOD104" s="45"/>
      <c r="DOE104" s="14"/>
      <c r="DOF104" s="14"/>
      <c r="DOG104" s="14"/>
      <c r="DOH104" s="14"/>
      <c r="DOI104" s="14"/>
      <c r="DOJ104" s="36"/>
      <c r="DOK104" s="14"/>
      <c r="DOL104" s="45"/>
      <c r="DOM104" s="14"/>
      <c r="DON104" s="14"/>
      <c r="DOO104" s="14"/>
      <c r="DOP104" s="14"/>
      <c r="DOQ104" s="14"/>
      <c r="DOR104" s="36"/>
      <c r="DOS104" s="14"/>
      <c r="DOT104" s="45"/>
      <c r="DOU104" s="14"/>
      <c r="DOV104" s="14"/>
      <c r="DOW104" s="14"/>
      <c r="DOX104" s="14"/>
      <c r="DOY104" s="14"/>
      <c r="DOZ104" s="36"/>
      <c r="DPA104" s="14"/>
      <c r="DPB104" s="45"/>
      <c r="DPC104" s="14"/>
      <c r="DPD104" s="14"/>
      <c r="DPE104" s="14"/>
      <c r="DPF104" s="14"/>
      <c r="DPG104" s="14"/>
      <c r="DPH104" s="36"/>
      <c r="DPI104" s="14"/>
      <c r="DPJ104" s="45"/>
      <c r="DPK104" s="14"/>
      <c r="DPL104" s="14"/>
      <c r="DPM104" s="14"/>
      <c r="DPN104" s="14"/>
      <c r="DPO104" s="14"/>
      <c r="DPP104" s="36"/>
      <c r="DPQ104" s="14"/>
      <c r="DPR104" s="45"/>
      <c r="DPS104" s="14"/>
      <c r="DPT104" s="14"/>
      <c r="DPU104" s="14"/>
      <c r="DPV104" s="14"/>
      <c r="DPW104" s="14"/>
      <c r="DPX104" s="36"/>
      <c r="DPY104" s="14"/>
      <c r="DPZ104" s="45"/>
      <c r="DQA104" s="14"/>
      <c r="DQB104" s="14"/>
      <c r="DQC104" s="14"/>
      <c r="DQD104" s="14"/>
      <c r="DQE104" s="14"/>
      <c r="DQF104" s="36"/>
      <c r="DQG104" s="14"/>
      <c r="DQH104" s="45"/>
      <c r="DQI104" s="14"/>
      <c r="DQJ104" s="14"/>
      <c r="DQK104" s="14"/>
      <c r="DQL104" s="14"/>
      <c r="DQM104" s="14"/>
      <c r="DQN104" s="36"/>
      <c r="DQO104" s="14"/>
      <c r="DQP104" s="45"/>
      <c r="DQQ104" s="14"/>
      <c r="DQR104" s="14"/>
      <c r="DQS104" s="14"/>
      <c r="DQT104" s="14"/>
      <c r="DQU104" s="14"/>
      <c r="DQV104" s="36"/>
      <c r="DQW104" s="14"/>
      <c r="DQX104" s="45"/>
      <c r="DQY104" s="14"/>
      <c r="DQZ104" s="14"/>
      <c r="DRA104" s="14"/>
      <c r="DRB104" s="14"/>
      <c r="DRC104" s="14"/>
      <c r="DRD104" s="36"/>
      <c r="DRE104" s="14"/>
      <c r="DRF104" s="45"/>
      <c r="DRG104" s="14"/>
      <c r="DRH104" s="14"/>
      <c r="DRI104" s="14"/>
      <c r="DRJ104" s="14"/>
      <c r="DRK104" s="14"/>
      <c r="DRL104" s="36"/>
      <c r="DRM104" s="14"/>
      <c r="DRN104" s="45"/>
      <c r="DRO104" s="14"/>
      <c r="DRP104" s="14"/>
      <c r="DRQ104" s="14"/>
      <c r="DRR104" s="14"/>
      <c r="DRS104" s="14"/>
      <c r="DRT104" s="36"/>
      <c r="DRU104" s="14"/>
      <c r="DRV104" s="45"/>
      <c r="DRW104" s="14"/>
      <c r="DRX104" s="14"/>
      <c r="DRY104" s="14"/>
      <c r="DRZ104" s="14"/>
      <c r="DSA104" s="14"/>
      <c r="DSB104" s="36"/>
      <c r="DSC104" s="14"/>
      <c r="DSD104" s="45"/>
      <c r="DSE104" s="14"/>
      <c r="DSF104" s="14"/>
      <c r="DSG104" s="14"/>
      <c r="DSH104" s="14"/>
      <c r="DSI104" s="14"/>
      <c r="DSJ104" s="36"/>
      <c r="DSK104" s="14"/>
      <c r="DSL104" s="45"/>
      <c r="DSM104" s="14"/>
      <c r="DSN104" s="14"/>
      <c r="DSO104" s="14"/>
      <c r="DSP104" s="14"/>
      <c r="DSQ104" s="14"/>
      <c r="DSR104" s="36"/>
      <c r="DSS104" s="14"/>
      <c r="DST104" s="45"/>
      <c r="DSU104" s="14"/>
      <c r="DSV104" s="14"/>
      <c r="DSW104" s="14"/>
      <c r="DSX104" s="14"/>
      <c r="DSY104" s="14"/>
      <c r="DSZ104" s="36"/>
      <c r="DTA104" s="14"/>
      <c r="DTB104" s="45"/>
      <c r="DTC104" s="14"/>
      <c r="DTD104" s="14"/>
      <c r="DTE104" s="14"/>
      <c r="DTF104" s="14"/>
      <c r="DTG104" s="14"/>
      <c r="DTH104" s="36"/>
      <c r="DTI104" s="14"/>
      <c r="DTJ104" s="45"/>
      <c r="DTK104" s="14"/>
      <c r="DTL104" s="14"/>
      <c r="DTM104" s="14"/>
      <c r="DTN104" s="14"/>
      <c r="DTO104" s="14"/>
      <c r="DTP104" s="36"/>
      <c r="DTQ104" s="14"/>
      <c r="DTR104" s="45"/>
      <c r="DTS104" s="14"/>
      <c r="DTT104" s="14"/>
      <c r="DTU104" s="14"/>
      <c r="DTV104" s="14"/>
      <c r="DTW104" s="14"/>
      <c r="DTX104" s="36"/>
      <c r="DTY104" s="14"/>
      <c r="DTZ104" s="45"/>
      <c r="DUA104" s="14"/>
      <c r="DUB104" s="14"/>
      <c r="DUC104" s="14"/>
      <c r="DUD104" s="14"/>
      <c r="DUE104" s="14"/>
      <c r="DUF104" s="36"/>
      <c r="DUG104" s="14"/>
      <c r="DUH104" s="45"/>
      <c r="DUI104" s="14"/>
      <c r="DUJ104" s="14"/>
      <c r="DUK104" s="14"/>
      <c r="DUL104" s="14"/>
      <c r="DUM104" s="14"/>
      <c r="DUN104" s="36"/>
      <c r="DUO104" s="14"/>
      <c r="DUP104" s="45"/>
      <c r="DUQ104" s="14"/>
      <c r="DUR104" s="14"/>
      <c r="DUS104" s="14"/>
      <c r="DUT104" s="14"/>
      <c r="DUU104" s="14"/>
      <c r="DUV104" s="36"/>
      <c r="DUW104" s="14"/>
      <c r="DUX104" s="45"/>
      <c r="DUY104" s="14"/>
      <c r="DUZ104" s="14"/>
      <c r="DVA104" s="14"/>
      <c r="DVB104" s="14"/>
      <c r="DVC104" s="14"/>
      <c r="DVD104" s="36"/>
      <c r="DVE104" s="14"/>
      <c r="DVF104" s="45"/>
      <c r="DVG104" s="14"/>
      <c r="DVH104" s="14"/>
      <c r="DVI104" s="14"/>
      <c r="DVJ104" s="14"/>
      <c r="DVK104" s="14"/>
      <c r="DVL104" s="36"/>
      <c r="DVM104" s="14"/>
      <c r="DVN104" s="45"/>
      <c r="DVO104" s="14"/>
      <c r="DVP104" s="14"/>
      <c r="DVQ104" s="14"/>
      <c r="DVR104" s="14"/>
      <c r="DVS104" s="14"/>
      <c r="DVT104" s="36"/>
      <c r="DVU104" s="14"/>
      <c r="DVV104" s="45"/>
      <c r="DVW104" s="14"/>
      <c r="DVX104" s="14"/>
      <c r="DVY104" s="14"/>
      <c r="DVZ104" s="14"/>
      <c r="DWA104" s="14"/>
      <c r="DWB104" s="36"/>
      <c r="DWC104" s="14"/>
      <c r="DWD104" s="45"/>
      <c r="DWE104" s="14"/>
      <c r="DWF104" s="14"/>
      <c r="DWG104" s="14"/>
      <c r="DWH104" s="14"/>
      <c r="DWI104" s="14"/>
      <c r="DWJ104" s="36"/>
      <c r="DWK104" s="14"/>
      <c r="DWL104" s="45"/>
      <c r="DWM104" s="14"/>
      <c r="DWN104" s="14"/>
      <c r="DWO104" s="14"/>
      <c r="DWP104" s="14"/>
      <c r="DWQ104" s="14"/>
      <c r="DWR104" s="36"/>
      <c r="DWS104" s="14"/>
      <c r="DWT104" s="45"/>
      <c r="DWU104" s="14"/>
      <c r="DWV104" s="14"/>
      <c r="DWW104" s="14"/>
      <c r="DWX104" s="14"/>
      <c r="DWY104" s="14"/>
      <c r="DWZ104" s="36"/>
      <c r="DXA104" s="14"/>
      <c r="DXB104" s="45"/>
      <c r="DXC104" s="14"/>
      <c r="DXD104" s="14"/>
      <c r="DXE104" s="14"/>
      <c r="DXF104" s="14"/>
      <c r="DXG104" s="14"/>
      <c r="DXH104" s="36"/>
      <c r="DXI104" s="14"/>
      <c r="DXJ104" s="45"/>
      <c r="DXK104" s="14"/>
      <c r="DXL104" s="14"/>
      <c r="DXM104" s="14"/>
      <c r="DXN104" s="14"/>
      <c r="DXO104" s="14"/>
      <c r="DXP104" s="36"/>
      <c r="DXQ104" s="14"/>
      <c r="DXR104" s="45"/>
      <c r="DXS104" s="14"/>
      <c r="DXT104" s="14"/>
      <c r="DXU104" s="14"/>
      <c r="DXV104" s="14"/>
      <c r="DXW104" s="14"/>
      <c r="DXX104" s="36"/>
      <c r="DXY104" s="14"/>
      <c r="DXZ104" s="45"/>
      <c r="DYA104" s="14"/>
      <c r="DYB104" s="14"/>
      <c r="DYC104" s="14"/>
      <c r="DYD104" s="14"/>
      <c r="DYE104" s="14"/>
      <c r="DYF104" s="36"/>
      <c r="DYG104" s="14"/>
      <c r="DYH104" s="45"/>
      <c r="DYI104" s="14"/>
      <c r="DYJ104" s="14"/>
      <c r="DYK104" s="14"/>
      <c r="DYL104" s="14"/>
      <c r="DYM104" s="14"/>
      <c r="DYN104" s="36"/>
      <c r="DYO104" s="14"/>
      <c r="DYP104" s="45"/>
      <c r="DYQ104" s="14"/>
      <c r="DYR104" s="14"/>
      <c r="DYS104" s="14"/>
      <c r="DYT104" s="14"/>
      <c r="DYU104" s="14"/>
      <c r="DYV104" s="36"/>
      <c r="DYW104" s="14"/>
      <c r="DYX104" s="45"/>
      <c r="DYY104" s="14"/>
      <c r="DYZ104" s="14"/>
      <c r="DZA104" s="14"/>
      <c r="DZB104" s="14"/>
      <c r="DZC104" s="14"/>
      <c r="DZD104" s="36"/>
      <c r="DZE104" s="14"/>
      <c r="DZF104" s="45"/>
      <c r="DZG104" s="14"/>
      <c r="DZH104" s="14"/>
      <c r="DZI104" s="14"/>
      <c r="DZJ104" s="14"/>
      <c r="DZK104" s="14"/>
      <c r="DZL104" s="36"/>
      <c r="DZM104" s="14"/>
      <c r="DZN104" s="45"/>
      <c r="DZO104" s="14"/>
      <c r="DZP104" s="14"/>
      <c r="DZQ104" s="14"/>
      <c r="DZR104" s="14"/>
      <c r="DZS104" s="14"/>
      <c r="DZT104" s="36"/>
      <c r="DZU104" s="14"/>
      <c r="DZV104" s="45"/>
      <c r="DZW104" s="14"/>
      <c r="DZX104" s="14"/>
      <c r="DZY104" s="14"/>
      <c r="DZZ104" s="14"/>
      <c r="EAA104" s="14"/>
      <c r="EAB104" s="36"/>
      <c r="EAC104" s="14"/>
      <c r="EAD104" s="45"/>
      <c r="EAE104" s="14"/>
      <c r="EAF104" s="14"/>
      <c r="EAG104" s="14"/>
      <c r="EAH104" s="14"/>
      <c r="EAI104" s="14"/>
      <c r="EAJ104" s="36"/>
      <c r="EAK104" s="14"/>
      <c r="EAL104" s="45"/>
      <c r="EAM104" s="14"/>
      <c r="EAN104" s="14"/>
      <c r="EAO104" s="14"/>
      <c r="EAP104" s="14"/>
      <c r="EAQ104" s="14"/>
      <c r="EAR104" s="36"/>
      <c r="EAS104" s="14"/>
      <c r="EAT104" s="45"/>
      <c r="EAU104" s="14"/>
      <c r="EAV104" s="14"/>
      <c r="EAW104" s="14"/>
      <c r="EAX104" s="14"/>
      <c r="EAY104" s="14"/>
      <c r="EAZ104" s="36"/>
      <c r="EBA104" s="14"/>
      <c r="EBB104" s="45"/>
      <c r="EBC104" s="14"/>
      <c r="EBD104" s="14"/>
      <c r="EBE104" s="14"/>
      <c r="EBF104" s="14"/>
      <c r="EBG104" s="14"/>
      <c r="EBH104" s="36"/>
      <c r="EBI104" s="14"/>
      <c r="EBJ104" s="45"/>
      <c r="EBK104" s="14"/>
      <c r="EBL104" s="14"/>
      <c r="EBM104" s="14"/>
      <c r="EBN104" s="14"/>
      <c r="EBO104" s="14"/>
      <c r="EBP104" s="36"/>
      <c r="EBQ104" s="14"/>
      <c r="EBR104" s="45"/>
      <c r="EBS104" s="14"/>
      <c r="EBT104" s="14"/>
      <c r="EBU104" s="14"/>
      <c r="EBV104" s="14"/>
      <c r="EBW104" s="14"/>
      <c r="EBX104" s="36"/>
      <c r="EBY104" s="14"/>
      <c r="EBZ104" s="45"/>
      <c r="ECA104" s="14"/>
      <c r="ECB104" s="14"/>
      <c r="ECC104" s="14"/>
      <c r="ECD104" s="14"/>
      <c r="ECE104" s="14"/>
      <c r="ECF104" s="36"/>
      <c r="ECG104" s="14"/>
      <c r="ECH104" s="45"/>
      <c r="ECI104" s="14"/>
      <c r="ECJ104" s="14"/>
      <c r="ECK104" s="14"/>
      <c r="ECL104" s="14"/>
      <c r="ECM104" s="14"/>
      <c r="ECN104" s="36"/>
      <c r="ECO104" s="14"/>
      <c r="ECP104" s="45"/>
      <c r="ECQ104" s="14"/>
      <c r="ECR104" s="14"/>
      <c r="ECS104" s="14"/>
      <c r="ECT104" s="14"/>
      <c r="ECU104" s="14"/>
      <c r="ECV104" s="36"/>
      <c r="ECW104" s="14"/>
      <c r="ECX104" s="45"/>
      <c r="ECY104" s="14"/>
      <c r="ECZ104" s="14"/>
      <c r="EDA104" s="14"/>
      <c r="EDB104" s="14"/>
      <c r="EDC104" s="14"/>
      <c r="EDD104" s="36"/>
      <c r="EDE104" s="14"/>
      <c r="EDF104" s="45"/>
      <c r="EDG104" s="14"/>
      <c r="EDH104" s="14"/>
      <c r="EDI104" s="14"/>
      <c r="EDJ104" s="14"/>
      <c r="EDK104" s="14"/>
      <c r="EDL104" s="36"/>
      <c r="EDM104" s="14"/>
      <c r="EDN104" s="45"/>
      <c r="EDO104" s="14"/>
      <c r="EDP104" s="14"/>
      <c r="EDQ104" s="14"/>
      <c r="EDR104" s="14"/>
      <c r="EDS104" s="14"/>
      <c r="EDT104" s="36"/>
      <c r="EDU104" s="14"/>
      <c r="EDV104" s="45"/>
      <c r="EDW104" s="14"/>
      <c r="EDX104" s="14"/>
      <c r="EDY104" s="14"/>
      <c r="EDZ104" s="14"/>
      <c r="EEA104" s="14"/>
      <c r="EEB104" s="36"/>
      <c r="EEC104" s="14"/>
      <c r="EED104" s="45"/>
      <c r="EEE104" s="14"/>
      <c r="EEF104" s="14"/>
      <c r="EEG104" s="14"/>
      <c r="EEH104" s="14"/>
      <c r="EEI104" s="14"/>
      <c r="EEJ104" s="36"/>
      <c r="EEK104" s="14"/>
      <c r="EEL104" s="45"/>
      <c r="EEM104" s="14"/>
      <c r="EEN104" s="14"/>
      <c r="EEO104" s="14"/>
      <c r="EEP104" s="14"/>
      <c r="EEQ104" s="14"/>
      <c r="EER104" s="36"/>
      <c r="EES104" s="14"/>
      <c r="EET104" s="45"/>
      <c r="EEU104" s="14"/>
      <c r="EEV104" s="14"/>
      <c r="EEW104" s="14"/>
      <c r="EEX104" s="14"/>
      <c r="EEY104" s="14"/>
      <c r="EEZ104" s="36"/>
      <c r="EFA104" s="14"/>
      <c r="EFB104" s="45"/>
      <c r="EFC104" s="14"/>
      <c r="EFD104" s="14"/>
      <c r="EFE104" s="14"/>
      <c r="EFF104" s="14"/>
      <c r="EFG104" s="14"/>
      <c r="EFH104" s="36"/>
      <c r="EFI104" s="14"/>
      <c r="EFJ104" s="45"/>
      <c r="EFK104" s="14"/>
      <c r="EFL104" s="14"/>
      <c r="EFM104" s="14"/>
      <c r="EFN104" s="14"/>
      <c r="EFO104" s="14"/>
      <c r="EFP104" s="36"/>
      <c r="EFQ104" s="14"/>
      <c r="EFR104" s="45"/>
      <c r="EFS104" s="14"/>
      <c r="EFT104" s="14"/>
      <c r="EFU104" s="14"/>
      <c r="EFV104" s="14"/>
      <c r="EFW104" s="14"/>
      <c r="EFX104" s="36"/>
      <c r="EFY104" s="14"/>
      <c r="EFZ104" s="45"/>
      <c r="EGA104" s="14"/>
      <c r="EGB104" s="14"/>
      <c r="EGC104" s="14"/>
      <c r="EGD104" s="14"/>
      <c r="EGE104" s="14"/>
      <c r="EGF104" s="36"/>
      <c r="EGG104" s="14"/>
      <c r="EGH104" s="45"/>
      <c r="EGI104" s="14"/>
      <c r="EGJ104" s="14"/>
      <c r="EGK104" s="14"/>
      <c r="EGL104" s="14"/>
      <c r="EGM104" s="14"/>
      <c r="EGN104" s="36"/>
      <c r="EGO104" s="14"/>
      <c r="EGP104" s="45"/>
      <c r="EGQ104" s="14"/>
      <c r="EGR104" s="14"/>
      <c r="EGS104" s="14"/>
      <c r="EGT104" s="14"/>
      <c r="EGU104" s="14"/>
      <c r="EGV104" s="36"/>
      <c r="EGW104" s="14"/>
      <c r="EGX104" s="45"/>
      <c r="EGY104" s="14"/>
      <c r="EGZ104" s="14"/>
      <c r="EHA104" s="14"/>
      <c r="EHB104" s="14"/>
      <c r="EHC104" s="14"/>
      <c r="EHD104" s="36"/>
      <c r="EHE104" s="14"/>
      <c r="EHF104" s="45"/>
      <c r="EHG104" s="14"/>
      <c r="EHH104" s="14"/>
      <c r="EHI104" s="14"/>
      <c r="EHJ104" s="14"/>
      <c r="EHK104" s="14"/>
      <c r="EHL104" s="36"/>
      <c r="EHM104" s="14"/>
      <c r="EHN104" s="45"/>
      <c r="EHO104" s="14"/>
      <c r="EHP104" s="14"/>
      <c r="EHQ104" s="14"/>
      <c r="EHR104" s="14"/>
      <c r="EHS104" s="14"/>
      <c r="EHT104" s="36"/>
      <c r="EHU104" s="14"/>
      <c r="EHV104" s="45"/>
      <c r="EHW104" s="14"/>
      <c r="EHX104" s="14"/>
      <c r="EHY104" s="14"/>
      <c r="EHZ104" s="14"/>
      <c r="EIA104" s="14"/>
      <c r="EIB104" s="36"/>
      <c r="EIC104" s="14"/>
      <c r="EID104" s="45"/>
      <c r="EIE104" s="14"/>
      <c r="EIF104" s="14"/>
      <c r="EIG104" s="14"/>
      <c r="EIH104" s="14"/>
      <c r="EII104" s="14"/>
      <c r="EIJ104" s="36"/>
      <c r="EIK104" s="14"/>
      <c r="EIL104" s="45"/>
      <c r="EIM104" s="14"/>
      <c r="EIN104" s="14"/>
      <c r="EIO104" s="14"/>
      <c r="EIP104" s="14"/>
      <c r="EIQ104" s="14"/>
      <c r="EIR104" s="36"/>
      <c r="EIS104" s="14"/>
      <c r="EIT104" s="45"/>
      <c r="EIU104" s="14"/>
      <c r="EIV104" s="14"/>
      <c r="EIW104" s="14"/>
      <c r="EIX104" s="14"/>
      <c r="EIY104" s="14"/>
      <c r="EIZ104" s="36"/>
      <c r="EJA104" s="14"/>
      <c r="EJB104" s="45"/>
      <c r="EJC104" s="14"/>
      <c r="EJD104" s="14"/>
      <c r="EJE104" s="14"/>
      <c r="EJF104" s="14"/>
      <c r="EJG104" s="14"/>
      <c r="EJH104" s="36"/>
      <c r="EJI104" s="14"/>
      <c r="EJJ104" s="45"/>
      <c r="EJK104" s="14"/>
      <c r="EJL104" s="14"/>
      <c r="EJM104" s="14"/>
      <c r="EJN104" s="14"/>
      <c r="EJO104" s="14"/>
      <c r="EJP104" s="36"/>
      <c r="EJQ104" s="14"/>
      <c r="EJR104" s="45"/>
      <c r="EJS104" s="14"/>
      <c r="EJT104" s="14"/>
      <c r="EJU104" s="14"/>
      <c r="EJV104" s="14"/>
      <c r="EJW104" s="14"/>
      <c r="EJX104" s="36"/>
      <c r="EJY104" s="14"/>
      <c r="EJZ104" s="45"/>
      <c r="EKA104" s="14"/>
      <c r="EKB104" s="14"/>
      <c r="EKC104" s="14"/>
      <c r="EKD104" s="14"/>
      <c r="EKE104" s="14"/>
      <c r="EKF104" s="36"/>
      <c r="EKG104" s="14"/>
      <c r="EKH104" s="45"/>
      <c r="EKI104" s="14"/>
      <c r="EKJ104" s="14"/>
      <c r="EKK104" s="14"/>
      <c r="EKL104" s="14"/>
      <c r="EKM104" s="14"/>
      <c r="EKN104" s="36"/>
      <c r="EKO104" s="14"/>
      <c r="EKP104" s="45"/>
      <c r="EKQ104" s="14"/>
      <c r="EKR104" s="14"/>
      <c r="EKS104" s="14"/>
      <c r="EKT104" s="14"/>
      <c r="EKU104" s="14"/>
      <c r="EKV104" s="36"/>
      <c r="EKW104" s="14"/>
      <c r="EKX104" s="45"/>
      <c r="EKY104" s="14"/>
      <c r="EKZ104" s="14"/>
      <c r="ELA104" s="14"/>
      <c r="ELB104" s="14"/>
      <c r="ELC104" s="14"/>
      <c r="ELD104" s="36"/>
      <c r="ELE104" s="14"/>
      <c r="ELF104" s="45"/>
      <c r="ELG104" s="14"/>
      <c r="ELH104" s="14"/>
      <c r="ELI104" s="14"/>
      <c r="ELJ104" s="14"/>
      <c r="ELK104" s="14"/>
      <c r="ELL104" s="36"/>
      <c r="ELM104" s="14"/>
      <c r="ELN104" s="45"/>
      <c r="ELO104" s="14"/>
      <c r="ELP104" s="14"/>
      <c r="ELQ104" s="14"/>
      <c r="ELR104" s="14"/>
      <c r="ELS104" s="14"/>
      <c r="ELT104" s="36"/>
      <c r="ELU104" s="14"/>
      <c r="ELV104" s="45"/>
      <c r="ELW104" s="14"/>
      <c r="ELX104" s="14"/>
      <c r="ELY104" s="14"/>
      <c r="ELZ104" s="14"/>
      <c r="EMA104" s="14"/>
      <c r="EMB104" s="36"/>
      <c r="EMC104" s="14"/>
      <c r="EMD104" s="45"/>
      <c r="EME104" s="14"/>
      <c r="EMF104" s="14"/>
      <c r="EMG104" s="14"/>
      <c r="EMH104" s="14"/>
      <c r="EMI104" s="14"/>
      <c r="EMJ104" s="36"/>
      <c r="EMK104" s="14"/>
      <c r="EML104" s="45"/>
      <c r="EMM104" s="14"/>
      <c r="EMN104" s="14"/>
      <c r="EMO104" s="14"/>
      <c r="EMP104" s="14"/>
      <c r="EMQ104" s="14"/>
      <c r="EMR104" s="36"/>
      <c r="EMS104" s="14"/>
      <c r="EMT104" s="45"/>
      <c r="EMU104" s="14"/>
      <c r="EMV104" s="14"/>
      <c r="EMW104" s="14"/>
      <c r="EMX104" s="14"/>
      <c r="EMY104" s="14"/>
      <c r="EMZ104" s="36"/>
      <c r="ENA104" s="14"/>
      <c r="ENB104" s="45"/>
      <c r="ENC104" s="14"/>
      <c r="END104" s="14"/>
      <c r="ENE104" s="14"/>
      <c r="ENF104" s="14"/>
      <c r="ENG104" s="14"/>
      <c r="ENH104" s="36"/>
      <c r="ENI104" s="14"/>
      <c r="ENJ104" s="45"/>
      <c r="ENK104" s="14"/>
      <c r="ENL104" s="14"/>
      <c r="ENM104" s="14"/>
      <c r="ENN104" s="14"/>
      <c r="ENO104" s="14"/>
      <c r="ENP104" s="36"/>
      <c r="ENQ104" s="14"/>
      <c r="ENR104" s="45"/>
      <c r="ENS104" s="14"/>
      <c r="ENT104" s="14"/>
      <c r="ENU104" s="14"/>
      <c r="ENV104" s="14"/>
      <c r="ENW104" s="14"/>
      <c r="ENX104" s="36"/>
      <c r="ENY104" s="14"/>
      <c r="ENZ104" s="45"/>
      <c r="EOA104" s="14"/>
      <c r="EOB104" s="14"/>
      <c r="EOC104" s="14"/>
      <c r="EOD104" s="14"/>
      <c r="EOE104" s="14"/>
      <c r="EOF104" s="36"/>
      <c r="EOG104" s="14"/>
      <c r="EOH104" s="45"/>
      <c r="EOI104" s="14"/>
      <c r="EOJ104" s="14"/>
      <c r="EOK104" s="14"/>
      <c r="EOL104" s="14"/>
      <c r="EOM104" s="14"/>
      <c r="EON104" s="36"/>
      <c r="EOO104" s="14"/>
      <c r="EOP104" s="45"/>
      <c r="EOQ104" s="14"/>
      <c r="EOR104" s="14"/>
      <c r="EOS104" s="14"/>
      <c r="EOT104" s="14"/>
      <c r="EOU104" s="14"/>
      <c r="EOV104" s="36"/>
      <c r="EOW104" s="14"/>
      <c r="EOX104" s="45"/>
      <c r="EOY104" s="14"/>
      <c r="EOZ104" s="14"/>
      <c r="EPA104" s="14"/>
      <c r="EPB104" s="14"/>
      <c r="EPC104" s="14"/>
      <c r="EPD104" s="36"/>
      <c r="EPE104" s="14"/>
      <c r="EPF104" s="45"/>
      <c r="EPG104" s="14"/>
      <c r="EPH104" s="14"/>
      <c r="EPI104" s="14"/>
      <c r="EPJ104" s="14"/>
      <c r="EPK104" s="14"/>
      <c r="EPL104" s="36"/>
      <c r="EPM104" s="14"/>
      <c r="EPN104" s="45"/>
      <c r="EPO104" s="14"/>
      <c r="EPP104" s="14"/>
      <c r="EPQ104" s="14"/>
      <c r="EPR104" s="14"/>
      <c r="EPS104" s="14"/>
      <c r="EPT104" s="36"/>
      <c r="EPU104" s="14"/>
      <c r="EPV104" s="45"/>
      <c r="EPW104" s="14"/>
      <c r="EPX104" s="14"/>
      <c r="EPY104" s="14"/>
      <c r="EPZ104" s="14"/>
      <c r="EQA104" s="14"/>
      <c r="EQB104" s="36"/>
      <c r="EQC104" s="14"/>
      <c r="EQD104" s="45"/>
      <c r="EQE104" s="14"/>
      <c r="EQF104" s="14"/>
      <c r="EQG104" s="14"/>
      <c r="EQH104" s="14"/>
      <c r="EQI104" s="14"/>
      <c r="EQJ104" s="36"/>
      <c r="EQK104" s="14"/>
      <c r="EQL104" s="45"/>
      <c r="EQM104" s="14"/>
      <c r="EQN104" s="14"/>
      <c r="EQO104" s="14"/>
      <c r="EQP104" s="14"/>
      <c r="EQQ104" s="14"/>
      <c r="EQR104" s="36"/>
      <c r="EQS104" s="14"/>
      <c r="EQT104" s="45"/>
      <c r="EQU104" s="14"/>
      <c r="EQV104" s="14"/>
      <c r="EQW104" s="14"/>
      <c r="EQX104" s="14"/>
      <c r="EQY104" s="14"/>
      <c r="EQZ104" s="36"/>
      <c r="ERA104" s="14"/>
      <c r="ERB104" s="45"/>
      <c r="ERC104" s="14"/>
      <c r="ERD104" s="14"/>
      <c r="ERE104" s="14"/>
      <c r="ERF104" s="14"/>
      <c r="ERG104" s="14"/>
      <c r="ERH104" s="36"/>
      <c r="ERI104" s="14"/>
      <c r="ERJ104" s="45"/>
      <c r="ERK104" s="14"/>
      <c r="ERL104" s="14"/>
      <c r="ERM104" s="14"/>
      <c r="ERN104" s="14"/>
      <c r="ERO104" s="14"/>
      <c r="ERP104" s="36"/>
      <c r="ERQ104" s="14"/>
      <c r="ERR104" s="45"/>
      <c r="ERS104" s="14"/>
      <c r="ERT104" s="14"/>
      <c r="ERU104" s="14"/>
      <c r="ERV104" s="14"/>
      <c r="ERW104" s="14"/>
      <c r="ERX104" s="36"/>
      <c r="ERY104" s="14"/>
      <c r="ERZ104" s="45"/>
      <c r="ESA104" s="14"/>
      <c r="ESB104" s="14"/>
      <c r="ESC104" s="14"/>
      <c r="ESD104" s="14"/>
      <c r="ESE104" s="14"/>
      <c r="ESF104" s="36"/>
      <c r="ESG104" s="14"/>
      <c r="ESH104" s="45"/>
      <c r="ESI104" s="14"/>
      <c r="ESJ104" s="14"/>
      <c r="ESK104" s="14"/>
      <c r="ESL104" s="14"/>
      <c r="ESM104" s="14"/>
      <c r="ESN104" s="36"/>
      <c r="ESO104" s="14"/>
      <c r="ESP104" s="45"/>
      <c r="ESQ104" s="14"/>
      <c r="ESR104" s="14"/>
      <c r="ESS104" s="14"/>
      <c r="EST104" s="14"/>
      <c r="ESU104" s="14"/>
      <c r="ESV104" s="36"/>
      <c r="ESW104" s="14"/>
      <c r="ESX104" s="45"/>
      <c r="ESY104" s="14"/>
      <c r="ESZ104" s="14"/>
      <c r="ETA104" s="14"/>
      <c r="ETB104" s="14"/>
      <c r="ETC104" s="14"/>
      <c r="ETD104" s="36"/>
      <c r="ETE104" s="14"/>
      <c r="ETF104" s="45"/>
      <c r="ETG104" s="14"/>
      <c r="ETH104" s="14"/>
      <c r="ETI104" s="14"/>
      <c r="ETJ104" s="14"/>
      <c r="ETK104" s="14"/>
      <c r="ETL104" s="36"/>
      <c r="ETM104" s="14"/>
      <c r="ETN104" s="45"/>
      <c r="ETO104" s="14"/>
      <c r="ETP104" s="14"/>
      <c r="ETQ104" s="14"/>
      <c r="ETR104" s="14"/>
      <c r="ETS104" s="14"/>
      <c r="ETT104" s="36"/>
      <c r="ETU104" s="14"/>
      <c r="ETV104" s="45"/>
      <c r="ETW104" s="14"/>
      <c r="ETX104" s="14"/>
      <c r="ETY104" s="14"/>
      <c r="ETZ104" s="14"/>
      <c r="EUA104" s="14"/>
      <c r="EUB104" s="36"/>
      <c r="EUC104" s="14"/>
      <c r="EUD104" s="45"/>
      <c r="EUE104" s="14"/>
      <c r="EUF104" s="14"/>
      <c r="EUG104" s="14"/>
      <c r="EUH104" s="14"/>
      <c r="EUI104" s="14"/>
      <c r="EUJ104" s="36"/>
      <c r="EUK104" s="14"/>
      <c r="EUL104" s="45"/>
      <c r="EUM104" s="14"/>
      <c r="EUN104" s="14"/>
      <c r="EUO104" s="14"/>
      <c r="EUP104" s="14"/>
      <c r="EUQ104" s="14"/>
      <c r="EUR104" s="36"/>
      <c r="EUS104" s="14"/>
      <c r="EUT104" s="45"/>
      <c r="EUU104" s="14"/>
      <c r="EUV104" s="14"/>
      <c r="EUW104" s="14"/>
      <c r="EUX104" s="14"/>
      <c r="EUY104" s="14"/>
      <c r="EUZ104" s="36"/>
      <c r="EVA104" s="14"/>
      <c r="EVB104" s="45"/>
      <c r="EVC104" s="14"/>
      <c r="EVD104" s="14"/>
      <c r="EVE104" s="14"/>
      <c r="EVF104" s="14"/>
      <c r="EVG104" s="14"/>
      <c r="EVH104" s="36"/>
      <c r="EVI104" s="14"/>
      <c r="EVJ104" s="45"/>
      <c r="EVK104" s="14"/>
      <c r="EVL104" s="14"/>
      <c r="EVM104" s="14"/>
      <c r="EVN104" s="14"/>
      <c r="EVO104" s="14"/>
      <c r="EVP104" s="36"/>
      <c r="EVQ104" s="14"/>
      <c r="EVR104" s="45"/>
      <c r="EVS104" s="14"/>
      <c r="EVT104" s="14"/>
      <c r="EVU104" s="14"/>
      <c r="EVV104" s="14"/>
      <c r="EVW104" s="14"/>
      <c r="EVX104" s="36"/>
      <c r="EVY104" s="14"/>
      <c r="EVZ104" s="45"/>
      <c r="EWA104" s="14"/>
      <c r="EWB104" s="14"/>
      <c r="EWC104" s="14"/>
      <c r="EWD104" s="14"/>
      <c r="EWE104" s="14"/>
      <c r="EWF104" s="36"/>
      <c r="EWG104" s="14"/>
      <c r="EWH104" s="45"/>
      <c r="EWI104" s="14"/>
      <c r="EWJ104" s="14"/>
      <c r="EWK104" s="14"/>
      <c r="EWL104" s="14"/>
      <c r="EWM104" s="14"/>
      <c r="EWN104" s="36"/>
      <c r="EWO104" s="14"/>
      <c r="EWP104" s="45"/>
      <c r="EWQ104" s="14"/>
      <c r="EWR104" s="14"/>
      <c r="EWS104" s="14"/>
      <c r="EWT104" s="14"/>
      <c r="EWU104" s="14"/>
      <c r="EWV104" s="36"/>
      <c r="EWW104" s="14"/>
      <c r="EWX104" s="45"/>
      <c r="EWY104" s="14"/>
      <c r="EWZ104" s="14"/>
      <c r="EXA104" s="14"/>
      <c r="EXB104" s="14"/>
      <c r="EXC104" s="14"/>
      <c r="EXD104" s="36"/>
      <c r="EXE104" s="14"/>
      <c r="EXF104" s="45"/>
      <c r="EXG104" s="14"/>
      <c r="EXH104" s="14"/>
      <c r="EXI104" s="14"/>
      <c r="EXJ104" s="14"/>
      <c r="EXK104" s="14"/>
      <c r="EXL104" s="36"/>
      <c r="EXM104" s="14"/>
      <c r="EXN104" s="45"/>
      <c r="EXO104" s="14"/>
      <c r="EXP104" s="14"/>
      <c r="EXQ104" s="14"/>
      <c r="EXR104" s="14"/>
      <c r="EXS104" s="14"/>
      <c r="EXT104" s="36"/>
      <c r="EXU104" s="14"/>
      <c r="EXV104" s="45"/>
      <c r="EXW104" s="14"/>
      <c r="EXX104" s="14"/>
      <c r="EXY104" s="14"/>
      <c r="EXZ104" s="14"/>
      <c r="EYA104" s="14"/>
      <c r="EYB104" s="36"/>
      <c r="EYC104" s="14"/>
      <c r="EYD104" s="45"/>
      <c r="EYE104" s="14"/>
      <c r="EYF104" s="14"/>
      <c r="EYG104" s="14"/>
      <c r="EYH104" s="14"/>
      <c r="EYI104" s="14"/>
      <c r="EYJ104" s="36"/>
      <c r="EYK104" s="14"/>
      <c r="EYL104" s="45"/>
      <c r="EYM104" s="14"/>
      <c r="EYN104" s="14"/>
      <c r="EYO104" s="14"/>
      <c r="EYP104" s="14"/>
      <c r="EYQ104" s="14"/>
      <c r="EYR104" s="36"/>
      <c r="EYS104" s="14"/>
      <c r="EYT104" s="45"/>
      <c r="EYU104" s="14"/>
      <c r="EYV104" s="14"/>
      <c r="EYW104" s="14"/>
      <c r="EYX104" s="14"/>
      <c r="EYY104" s="14"/>
      <c r="EYZ104" s="36"/>
      <c r="EZA104" s="14"/>
      <c r="EZB104" s="45"/>
      <c r="EZC104" s="14"/>
      <c r="EZD104" s="14"/>
      <c r="EZE104" s="14"/>
      <c r="EZF104" s="14"/>
      <c r="EZG104" s="14"/>
      <c r="EZH104" s="36"/>
      <c r="EZI104" s="14"/>
      <c r="EZJ104" s="45"/>
      <c r="EZK104" s="14"/>
      <c r="EZL104" s="14"/>
      <c r="EZM104" s="14"/>
      <c r="EZN104" s="14"/>
      <c r="EZO104" s="14"/>
      <c r="EZP104" s="36"/>
      <c r="EZQ104" s="14"/>
      <c r="EZR104" s="45"/>
      <c r="EZS104" s="14"/>
      <c r="EZT104" s="14"/>
      <c r="EZU104" s="14"/>
      <c r="EZV104" s="14"/>
      <c r="EZW104" s="14"/>
      <c r="EZX104" s="36"/>
      <c r="EZY104" s="14"/>
      <c r="EZZ104" s="45"/>
      <c r="FAA104" s="14"/>
      <c r="FAB104" s="14"/>
      <c r="FAC104" s="14"/>
      <c r="FAD104" s="14"/>
      <c r="FAE104" s="14"/>
      <c r="FAF104" s="36"/>
      <c r="FAG104" s="14"/>
      <c r="FAH104" s="45"/>
      <c r="FAI104" s="14"/>
      <c r="FAJ104" s="14"/>
      <c r="FAK104" s="14"/>
      <c r="FAL104" s="14"/>
      <c r="FAM104" s="14"/>
      <c r="FAN104" s="36"/>
      <c r="FAO104" s="14"/>
      <c r="FAP104" s="45"/>
      <c r="FAQ104" s="14"/>
      <c r="FAR104" s="14"/>
      <c r="FAS104" s="14"/>
      <c r="FAT104" s="14"/>
      <c r="FAU104" s="14"/>
      <c r="FAV104" s="36"/>
      <c r="FAW104" s="14"/>
      <c r="FAX104" s="45"/>
      <c r="FAY104" s="14"/>
      <c r="FAZ104" s="14"/>
      <c r="FBA104" s="14"/>
      <c r="FBB104" s="14"/>
      <c r="FBC104" s="14"/>
      <c r="FBD104" s="36"/>
      <c r="FBE104" s="14"/>
      <c r="FBF104" s="45"/>
      <c r="FBG104" s="14"/>
      <c r="FBH104" s="14"/>
      <c r="FBI104" s="14"/>
      <c r="FBJ104" s="14"/>
      <c r="FBK104" s="14"/>
      <c r="FBL104" s="36"/>
      <c r="FBM104" s="14"/>
      <c r="FBN104" s="45"/>
      <c r="FBO104" s="14"/>
      <c r="FBP104" s="14"/>
      <c r="FBQ104" s="14"/>
      <c r="FBR104" s="14"/>
      <c r="FBS104" s="14"/>
      <c r="FBT104" s="36"/>
      <c r="FBU104" s="14"/>
      <c r="FBV104" s="45"/>
      <c r="FBW104" s="14"/>
      <c r="FBX104" s="14"/>
      <c r="FBY104" s="14"/>
      <c r="FBZ104" s="14"/>
      <c r="FCA104" s="14"/>
      <c r="FCB104" s="36"/>
      <c r="FCC104" s="14"/>
      <c r="FCD104" s="45"/>
      <c r="FCE104" s="14"/>
      <c r="FCF104" s="14"/>
      <c r="FCG104" s="14"/>
      <c r="FCH104" s="14"/>
      <c r="FCI104" s="14"/>
      <c r="FCJ104" s="36"/>
      <c r="FCK104" s="14"/>
      <c r="FCL104" s="45"/>
      <c r="FCM104" s="14"/>
      <c r="FCN104" s="14"/>
      <c r="FCO104" s="14"/>
      <c r="FCP104" s="14"/>
      <c r="FCQ104" s="14"/>
      <c r="FCR104" s="36"/>
      <c r="FCS104" s="14"/>
      <c r="FCT104" s="45"/>
      <c r="FCU104" s="14"/>
      <c r="FCV104" s="14"/>
      <c r="FCW104" s="14"/>
      <c r="FCX104" s="14"/>
      <c r="FCY104" s="14"/>
      <c r="FCZ104" s="36"/>
      <c r="FDA104" s="14"/>
      <c r="FDB104" s="45"/>
      <c r="FDC104" s="14"/>
      <c r="FDD104" s="14"/>
      <c r="FDE104" s="14"/>
      <c r="FDF104" s="14"/>
      <c r="FDG104" s="14"/>
      <c r="FDH104" s="36"/>
      <c r="FDI104" s="14"/>
      <c r="FDJ104" s="45"/>
      <c r="FDK104" s="14"/>
      <c r="FDL104" s="14"/>
      <c r="FDM104" s="14"/>
      <c r="FDN104" s="14"/>
      <c r="FDO104" s="14"/>
      <c r="FDP104" s="36"/>
      <c r="FDQ104" s="14"/>
      <c r="FDR104" s="45"/>
      <c r="FDS104" s="14"/>
      <c r="FDT104" s="14"/>
      <c r="FDU104" s="14"/>
      <c r="FDV104" s="14"/>
      <c r="FDW104" s="14"/>
      <c r="FDX104" s="36"/>
      <c r="FDY104" s="14"/>
      <c r="FDZ104" s="45"/>
      <c r="FEA104" s="14"/>
      <c r="FEB104" s="14"/>
      <c r="FEC104" s="14"/>
      <c r="FED104" s="14"/>
      <c r="FEE104" s="14"/>
      <c r="FEF104" s="36"/>
      <c r="FEG104" s="14"/>
      <c r="FEH104" s="45"/>
      <c r="FEI104" s="14"/>
      <c r="FEJ104" s="14"/>
      <c r="FEK104" s="14"/>
      <c r="FEL104" s="14"/>
      <c r="FEM104" s="14"/>
      <c r="FEN104" s="36"/>
      <c r="FEO104" s="14"/>
      <c r="FEP104" s="45"/>
      <c r="FEQ104" s="14"/>
      <c r="FER104" s="14"/>
      <c r="FES104" s="14"/>
      <c r="FET104" s="14"/>
      <c r="FEU104" s="14"/>
      <c r="FEV104" s="36"/>
      <c r="FEW104" s="14"/>
      <c r="FEX104" s="45"/>
      <c r="FEY104" s="14"/>
      <c r="FEZ104" s="14"/>
      <c r="FFA104" s="14"/>
      <c r="FFB104" s="14"/>
      <c r="FFC104" s="14"/>
      <c r="FFD104" s="36"/>
      <c r="FFE104" s="14"/>
      <c r="FFF104" s="45"/>
      <c r="FFG104" s="14"/>
      <c r="FFH104" s="14"/>
      <c r="FFI104" s="14"/>
      <c r="FFJ104" s="14"/>
      <c r="FFK104" s="14"/>
      <c r="FFL104" s="36"/>
      <c r="FFM104" s="14"/>
      <c r="FFN104" s="45"/>
      <c r="FFO104" s="14"/>
      <c r="FFP104" s="14"/>
      <c r="FFQ104" s="14"/>
      <c r="FFR104" s="14"/>
      <c r="FFS104" s="14"/>
      <c r="FFT104" s="36"/>
      <c r="FFU104" s="14"/>
      <c r="FFV104" s="45"/>
      <c r="FFW104" s="14"/>
      <c r="FFX104" s="14"/>
      <c r="FFY104" s="14"/>
      <c r="FFZ104" s="14"/>
      <c r="FGA104" s="14"/>
      <c r="FGB104" s="36"/>
      <c r="FGC104" s="14"/>
      <c r="FGD104" s="45"/>
      <c r="FGE104" s="14"/>
      <c r="FGF104" s="14"/>
      <c r="FGG104" s="14"/>
      <c r="FGH104" s="14"/>
      <c r="FGI104" s="14"/>
      <c r="FGJ104" s="36"/>
      <c r="FGK104" s="14"/>
      <c r="FGL104" s="45"/>
      <c r="FGM104" s="14"/>
      <c r="FGN104" s="14"/>
      <c r="FGO104" s="14"/>
      <c r="FGP104" s="14"/>
      <c r="FGQ104" s="14"/>
      <c r="FGR104" s="36"/>
      <c r="FGS104" s="14"/>
      <c r="FGT104" s="45"/>
      <c r="FGU104" s="14"/>
      <c r="FGV104" s="14"/>
      <c r="FGW104" s="14"/>
      <c r="FGX104" s="14"/>
      <c r="FGY104" s="14"/>
      <c r="FGZ104" s="36"/>
      <c r="FHA104" s="14"/>
      <c r="FHB104" s="45"/>
      <c r="FHC104" s="14"/>
      <c r="FHD104" s="14"/>
      <c r="FHE104" s="14"/>
      <c r="FHF104" s="14"/>
      <c r="FHG104" s="14"/>
      <c r="FHH104" s="36"/>
      <c r="FHI104" s="14"/>
      <c r="FHJ104" s="45"/>
      <c r="FHK104" s="14"/>
      <c r="FHL104" s="14"/>
      <c r="FHM104" s="14"/>
      <c r="FHN104" s="14"/>
      <c r="FHO104" s="14"/>
      <c r="FHP104" s="36"/>
      <c r="FHQ104" s="14"/>
      <c r="FHR104" s="45"/>
      <c r="FHS104" s="14"/>
      <c r="FHT104" s="14"/>
      <c r="FHU104" s="14"/>
      <c r="FHV104" s="14"/>
      <c r="FHW104" s="14"/>
      <c r="FHX104" s="36"/>
      <c r="FHY104" s="14"/>
      <c r="FHZ104" s="45"/>
      <c r="FIA104" s="14"/>
      <c r="FIB104" s="14"/>
      <c r="FIC104" s="14"/>
      <c r="FID104" s="14"/>
      <c r="FIE104" s="14"/>
      <c r="FIF104" s="36"/>
      <c r="FIG104" s="14"/>
      <c r="FIH104" s="45"/>
      <c r="FII104" s="14"/>
      <c r="FIJ104" s="14"/>
      <c r="FIK104" s="14"/>
      <c r="FIL104" s="14"/>
      <c r="FIM104" s="14"/>
      <c r="FIN104" s="36"/>
      <c r="FIO104" s="14"/>
      <c r="FIP104" s="45"/>
      <c r="FIQ104" s="14"/>
      <c r="FIR104" s="14"/>
      <c r="FIS104" s="14"/>
      <c r="FIT104" s="14"/>
      <c r="FIU104" s="14"/>
      <c r="FIV104" s="36"/>
      <c r="FIW104" s="14"/>
      <c r="FIX104" s="45"/>
      <c r="FIY104" s="14"/>
      <c r="FIZ104" s="14"/>
      <c r="FJA104" s="14"/>
      <c r="FJB104" s="14"/>
      <c r="FJC104" s="14"/>
      <c r="FJD104" s="36"/>
      <c r="FJE104" s="14"/>
      <c r="FJF104" s="45"/>
      <c r="FJG104" s="14"/>
      <c r="FJH104" s="14"/>
      <c r="FJI104" s="14"/>
      <c r="FJJ104" s="14"/>
      <c r="FJK104" s="14"/>
      <c r="FJL104" s="36"/>
      <c r="FJM104" s="14"/>
      <c r="FJN104" s="45"/>
      <c r="FJO104" s="14"/>
      <c r="FJP104" s="14"/>
      <c r="FJQ104" s="14"/>
      <c r="FJR104" s="14"/>
      <c r="FJS104" s="14"/>
      <c r="FJT104" s="36"/>
      <c r="FJU104" s="14"/>
      <c r="FJV104" s="45"/>
      <c r="FJW104" s="14"/>
      <c r="FJX104" s="14"/>
      <c r="FJY104" s="14"/>
      <c r="FJZ104" s="14"/>
      <c r="FKA104" s="14"/>
      <c r="FKB104" s="36"/>
      <c r="FKC104" s="14"/>
      <c r="FKD104" s="45"/>
      <c r="FKE104" s="14"/>
      <c r="FKF104" s="14"/>
      <c r="FKG104" s="14"/>
      <c r="FKH104" s="14"/>
      <c r="FKI104" s="14"/>
      <c r="FKJ104" s="36"/>
      <c r="FKK104" s="14"/>
      <c r="FKL104" s="45"/>
      <c r="FKM104" s="14"/>
      <c r="FKN104" s="14"/>
      <c r="FKO104" s="14"/>
      <c r="FKP104" s="14"/>
      <c r="FKQ104" s="14"/>
      <c r="FKR104" s="36"/>
      <c r="FKS104" s="14"/>
      <c r="FKT104" s="45"/>
      <c r="FKU104" s="14"/>
      <c r="FKV104" s="14"/>
      <c r="FKW104" s="14"/>
      <c r="FKX104" s="14"/>
      <c r="FKY104" s="14"/>
      <c r="FKZ104" s="36"/>
      <c r="FLA104" s="14"/>
      <c r="FLB104" s="45"/>
      <c r="FLC104" s="14"/>
      <c r="FLD104" s="14"/>
      <c r="FLE104" s="14"/>
      <c r="FLF104" s="14"/>
      <c r="FLG104" s="14"/>
      <c r="FLH104" s="36"/>
      <c r="FLI104" s="14"/>
      <c r="FLJ104" s="45"/>
      <c r="FLK104" s="14"/>
      <c r="FLL104" s="14"/>
      <c r="FLM104" s="14"/>
      <c r="FLN104" s="14"/>
      <c r="FLO104" s="14"/>
      <c r="FLP104" s="36"/>
      <c r="FLQ104" s="14"/>
      <c r="FLR104" s="45"/>
      <c r="FLS104" s="14"/>
      <c r="FLT104" s="14"/>
      <c r="FLU104" s="14"/>
      <c r="FLV104" s="14"/>
      <c r="FLW104" s="14"/>
      <c r="FLX104" s="36"/>
      <c r="FLY104" s="14"/>
      <c r="FLZ104" s="45"/>
      <c r="FMA104" s="14"/>
      <c r="FMB104" s="14"/>
      <c r="FMC104" s="14"/>
      <c r="FMD104" s="14"/>
      <c r="FME104" s="14"/>
      <c r="FMF104" s="36"/>
      <c r="FMG104" s="14"/>
      <c r="FMH104" s="45"/>
      <c r="FMI104" s="14"/>
      <c r="FMJ104" s="14"/>
      <c r="FMK104" s="14"/>
      <c r="FML104" s="14"/>
      <c r="FMM104" s="14"/>
      <c r="FMN104" s="36"/>
      <c r="FMO104" s="14"/>
      <c r="FMP104" s="45"/>
      <c r="FMQ104" s="14"/>
      <c r="FMR104" s="14"/>
      <c r="FMS104" s="14"/>
      <c r="FMT104" s="14"/>
      <c r="FMU104" s="14"/>
      <c r="FMV104" s="36"/>
      <c r="FMW104" s="14"/>
      <c r="FMX104" s="45"/>
      <c r="FMY104" s="14"/>
      <c r="FMZ104" s="14"/>
      <c r="FNA104" s="14"/>
      <c r="FNB104" s="14"/>
      <c r="FNC104" s="14"/>
      <c r="FND104" s="36"/>
      <c r="FNE104" s="14"/>
      <c r="FNF104" s="45"/>
      <c r="FNG104" s="14"/>
      <c r="FNH104" s="14"/>
      <c r="FNI104" s="14"/>
      <c r="FNJ104" s="14"/>
      <c r="FNK104" s="14"/>
      <c r="FNL104" s="36"/>
      <c r="FNM104" s="14"/>
      <c r="FNN104" s="45"/>
      <c r="FNO104" s="14"/>
      <c r="FNP104" s="14"/>
      <c r="FNQ104" s="14"/>
      <c r="FNR104" s="14"/>
      <c r="FNS104" s="14"/>
      <c r="FNT104" s="36"/>
      <c r="FNU104" s="14"/>
      <c r="FNV104" s="45"/>
      <c r="FNW104" s="14"/>
      <c r="FNX104" s="14"/>
      <c r="FNY104" s="14"/>
      <c r="FNZ104" s="14"/>
      <c r="FOA104" s="14"/>
      <c r="FOB104" s="36"/>
      <c r="FOC104" s="14"/>
      <c r="FOD104" s="45"/>
      <c r="FOE104" s="14"/>
      <c r="FOF104" s="14"/>
      <c r="FOG104" s="14"/>
      <c r="FOH104" s="14"/>
      <c r="FOI104" s="14"/>
      <c r="FOJ104" s="36"/>
      <c r="FOK104" s="14"/>
      <c r="FOL104" s="45"/>
      <c r="FOM104" s="14"/>
      <c r="FON104" s="14"/>
      <c r="FOO104" s="14"/>
      <c r="FOP104" s="14"/>
      <c r="FOQ104" s="14"/>
      <c r="FOR104" s="36"/>
      <c r="FOS104" s="14"/>
      <c r="FOT104" s="45"/>
      <c r="FOU104" s="14"/>
      <c r="FOV104" s="14"/>
      <c r="FOW104" s="14"/>
      <c r="FOX104" s="14"/>
      <c r="FOY104" s="14"/>
      <c r="FOZ104" s="36"/>
      <c r="FPA104" s="14"/>
      <c r="FPB104" s="45"/>
      <c r="FPC104" s="14"/>
      <c r="FPD104" s="14"/>
      <c r="FPE104" s="14"/>
      <c r="FPF104" s="14"/>
      <c r="FPG104" s="14"/>
      <c r="FPH104" s="36"/>
      <c r="FPI104" s="14"/>
      <c r="FPJ104" s="45"/>
      <c r="FPK104" s="14"/>
      <c r="FPL104" s="14"/>
      <c r="FPM104" s="14"/>
      <c r="FPN104" s="14"/>
      <c r="FPO104" s="14"/>
      <c r="FPP104" s="36"/>
      <c r="FPQ104" s="14"/>
      <c r="FPR104" s="45"/>
      <c r="FPS104" s="14"/>
      <c r="FPT104" s="14"/>
      <c r="FPU104" s="14"/>
      <c r="FPV104" s="14"/>
      <c r="FPW104" s="14"/>
      <c r="FPX104" s="36"/>
      <c r="FPY104" s="14"/>
      <c r="FPZ104" s="45"/>
      <c r="FQA104" s="14"/>
      <c r="FQB104" s="14"/>
      <c r="FQC104" s="14"/>
      <c r="FQD104" s="14"/>
      <c r="FQE104" s="14"/>
      <c r="FQF104" s="36"/>
      <c r="FQG104" s="14"/>
      <c r="FQH104" s="45"/>
      <c r="FQI104" s="14"/>
      <c r="FQJ104" s="14"/>
      <c r="FQK104" s="14"/>
      <c r="FQL104" s="14"/>
      <c r="FQM104" s="14"/>
      <c r="FQN104" s="36"/>
      <c r="FQO104" s="14"/>
      <c r="FQP104" s="45"/>
      <c r="FQQ104" s="14"/>
      <c r="FQR104" s="14"/>
      <c r="FQS104" s="14"/>
      <c r="FQT104" s="14"/>
      <c r="FQU104" s="14"/>
      <c r="FQV104" s="36"/>
      <c r="FQW104" s="14"/>
      <c r="FQX104" s="45"/>
      <c r="FQY104" s="14"/>
      <c r="FQZ104" s="14"/>
      <c r="FRA104" s="14"/>
      <c r="FRB104" s="14"/>
      <c r="FRC104" s="14"/>
      <c r="FRD104" s="36"/>
      <c r="FRE104" s="14"/>
      <c r="FRF104" s="45"/>
      <c r="FRG104" s="14"/>
      <c r="FRH104" s="14"/>
      <c r="FRI104" s="14"/>
      <c r="FRJ104" s="14"/>
      <c r="FRK104" s="14"/>
      <c r="FRL104" s="36"/>
      <c r="FRM104" s="14"/>
      <c r="FRN104" s="45"/>
      <c r="FRO104" s="14"/>
      <c r="FRP104" s="14"/>
      <c r="FRQ104" s="14"/>
      <c r="FRR104" s="14"/>
      <c r="FRS104" s="14"/>
      <c r="FRT104" s="36"/>
      <c r="FRU104" s="14"/>
      <c r="FRV104" s="45"/>
      <c r="FRW104" s="14"/>
      <c r="FRX104" s="14"/>
      <c r="FRY104" s="14"/>
      <c r="FRZ104" s="14"/>
      <c r="FSA104" s="14"/>
      <c r="FSB104" s="36"/>
      <c r="FSC104" s="14"/>
      <c r="FSD104" s="45"/>
      <c r="FSE104" s="14"/>
      <c r="FSF104" s="14"/>
      <c r="FSG104" s="14"/>
      <c r="FSH104" s="14"/>
      <c r="FSI104" s="14"/>
      <c r="FSJ104" s="36"/>
      <c r="FSK104" s="14"/>
      <c r="FSL104" s="45"/>
      <c r="FSM104" s="14"/>
      <c r="FSN104" s="14"/>
      <c r="FSO104" s="14"/>
      <c r="FSP104" s="14"/>
      <c r="FSQ104" s="14"/>
      <c r="FSR104" s="36"/>
      <c r="FSS104" s="14"/>
      <c r="FST104" s="45"/>
      <c r="FSU104" s="14"/>
      <c r="FSV104" s="14"/>
      <c r="FSW104" s="14"/>
      <c r="FSX104" s="14"/>
      <c r="FSY104" s="14"/>
      <c r="FSZ104" s="36"/>
      <c r="FTA104" s="14"/>
      <c r="FTB104" s="45"/>
      <c r="FTC104" s="14"/>
      <c r="FTD104" s="14"/>
      <c r="FTE104" s="14"/>
      <c r="FTF104" s="14"/>
      <c r="FTG104" s="14"/>
      <c r="FTH104" s="36"/>
      <c r="FTI104" s="14"/>
      <c r="FTJ104" s="45"/>
      <c r="FTK104" s="14"/>
      <c r="FTL104" s="14"/>
      <c r="FTM104" s="14"/>
      <c r="FTN104" s="14"/>
      <c r="FTO104" s="14"/>
      <c r="FTP104" s="36"/>
      <c r="FTQ104" s="14"/>
      <c r="FTR104" s="45"/>
      <c r="FTS104" s="14"/>
      <c r="FTT104" s="14"/>
      <c r="FTU104" s="14"/>
      <c r="FTV104" s="14"/>
      <c r="FTW104" s="14"/>
      <c r="FTX104" s="36"/>
      <c r="FTY104" s="14"/>
      <c r="FTZ104" s="45"/>
      <c r="FUA104" s="14"/>
      <c r="FUB104" s="14"/>
      <c r="FUC104" s="14"/>
      <c r="FUD104" s="14"/>
      <c r="FUE104" s="14"/>
      <c r="FUF104" s="36"/>
      <c r="FUG104" s="14"/>
      <c r="FUH104" s="45"/>
      <c r="FUI104" s="14"/>
      <c r="FUJ104" s="14"/>
      <c r="FUK104" s="14"/>
      <c r="FUL104" s="14"/>
      <c r="FUM104" s="14"/>
      <c r="FUN104" s="36"/>
      <c r="FUO104" s="14"/>
      <c r="FUP104" s="45"/>
      <c r="FUQ104" s="14"/>
      <c r="FUR104" s="14"/>
      <c r="FUS104" s="14"/>
      <c r="FUT104" s="14"/>
      <c r="FUU104" s="14"/>
      <c r="FUV104" s="36"/>
      <c r="FUW104" s="14"/>
      <c r="FUX104" s="45"/>
      <c r="FUY104" s="14"/>
      <c r="FUZ104" s="14"/>
      <c r="FVA104" s="14"/>
      <c r="FVB104" s="14"/>
      <c r="FVC104" s="14"/>
      <c r="FVD104" s="36"/>
      <c r="FVE104" s="14"/>
      <c r="FVF104" s="45"/>
      <c r="FVG104" s="14"/>
      <c r="FVH104" s="14"/>
      <c r="FVI104" s="14"/>
      <c r="FVJ104" s="14"/>
      <c r="FVK104" s="14"/>
      <c r="FVL104" s="36"/>
      <c r="FVM104" s="14"/>
      <c r="FVN104" s="45"/>
      <c r="FVO104" s="14"/>
      <c r="FVP104" s="14"/>
      <c r="FVQ104" s="14"/>
      <c r="FVR104" s="14"/>
      <c r="FVS104" s="14"/>
      <c r="FVT104" s="36"/>
      <c r="FVU104" s="14"/>
      <c r="FVV104" s="45"/>
      <c r="FVW104" s="14"/>
      <c r="FVX104" s="14"/>
      <c r="FVY104" s="14"/>
      <c r="FVZ104" s="14"/>
      <c r="FWA104" s="14"/>
      <c r="FWB104" s="36"/>
      <c r="FWC104" s="14"/>
      <c r="FWD104" s="45"/>
      <c r="FWE104" s="14"/>
      <c r="FWF104" s="14"/>
      <c r="FWG104" s="14"/>
      <c r="FWH104" s="14"/>
      <c r="FWI104" s="14"/>
      <c r="FWJ104" s="36"/>
      <c r="FWK104" s="14"/>
      <c r="FWL104" s="45"/>
      <c r="FWM104" s="14"/>
      <c r="FWN104" s="14"/>
      <c r="FWO104" s="14"/>
      <c r="FWP104" s="14"/>
      <c r="FWQ104" s="14"/>
      <c r="FWR104" s="36"/>
      <c r="FWS104" s="14"/>
      <c r="FWT104" s="45"/>
      <c r="FWU104" s="14"/>
      <c r="FWV104" s="14"/>
      <c r="FWW104" s="14"/>
      <c r="FWX104" s="14"/>
      <c r="FWY104" s="14"/>
      <c r="FWZ104" s="36"/>
      <c r="FXA104" s="14"/>
      <c r="FXB104" s="45"/>
      <c r="FXC104" s="14"/>
      <c r="FXD104" s="14"/>
      <c r="FXE104" s="14"/>
      <c r="FXF104" s="14"/>
      <c r="FXG104" s="14"/>
      <c r="FXH104" s="36"/>
      <c r="FXI104" s="14"/>
      <c r="FXJ104" s="45"/>
      <c r="FXK104" s="14"/>
      <c r="FXL104" s="14"/>
      <c r="FXM104" s="14"/>
      <c r="FXN104" s="14"/>
      <c r="FXO104" s="14"/>
      <c r="FXP104" s="36"/>
      <c r="FXQ104" s="14"/>
      <c r="FXR104" s="45"/>
      <c r="FXS104" s="14"/>
      <c r="FXT104" s="14"/>
      <c r="FXU104" s="14"/>
      <c r="FXV104" s="14"/>
      <c r="FXW104" s="14"/>
      <c r="FXX104" s="36"/>
      <c r="FXY104" s="14"/>
      <c r="FXZ104" s="45"/>
      <c r="FYA104" s="14"/>
      <c r="FYB104" s="14"/>
      <c r="FYC104" s="14"/>
      <c r="FYD104" s="14"/>
      <c r="FYE104" s="14"/>
      <c r="FYF104" s="36"/>
      <c r="FYG104" s="14"/>
      <c r="FYH104" s="45"/>
      <c r="FYI104" s="14"/>
      <c r="FYJ104" s="14"/>
      <c r="FYK104" s="14"/>
      <c r="FYL104" s="14"/>
      <c r="FYM104" s="14"/>
      <c r="FYN104" s="36"/>
      <c r="FYO104" s="14"/>
      <c r="FYP104" s="45"/>
      <c r="FYQ104" s="14"/>
      <c r="FYR104" s="14"/>
      <c r="FYS104" s="14"/>
      <c r="FYT104" s="14"/>
      <c r="FYU104" s="14"/>
      <c r="FYV104" s="36"/>
      <c r="FYW104" s="14"/>
      <c r="FYX104" s="45"/>
      <c r="FYY104" s="14"/>
      <c r="FYZ104" s="14"/>
      <c r="FZA104" s="14"/>
      <c r="FZB104" s="14"/>
      <c r="FZC104" s="14"/>
      <c r="FZD104" s="36"/>
      <c r="FZE104" s="14"/>
      <c r="FZF104" s="45"/>
      <c r="FZG104" s="14"/>
      <c r="FZH104" s="14"/>
      <c r="FZI104" s="14"/>
      <c r="FZJ104" s="14"/>
      <c r="FZK104" s="14"/>
      <c r="FZL104" s="36"/>
      <c r="FZM104" s="14"/>
      <c r="FZN104" s="45"/>
      <c r="FZO104" s="14"/>
      <c r="FZP104" s="14"/>
      <c r="FZQ104" s="14"/>
      <c r="FZR104" s="14"/>
      <c r="FZS104" s="14"/>
      <c r="FZT104" s="36"/>
      <c r="FZU104" s="14"/>
      <c r="FZV104" s="45"/>
      <c r="FZW104" s="14"/>
      <c r="FZX104" s="14"/>
      <c r="FZY104" s="14"/>
      <c r="FZZ104" s="14"/>
      <c r="GAA104" s="14"/>
      <c r="GAB104" s="36"/>
      <c r="GAC104" s="14"/>
      <c r="GAD104" s="45"/>
      <c r="GAE104" s="14"/>
      <c r="GAF104" s="14"/>
      <c r="GAG104" s="14"/>
      <c r="GAH104" s="14"/>
      <c r="GAI104" s="14"/>
      <c r="GAJ104" s="36"/>
      <c r="GAK104" s="14"/>
      <c r="GAL104" s="45"/>
      <c r="GAM104" s="14"/>
      <c r="GAN104" s="14"/>
      <c r="GAO104" s="14"/>
      <c r="GAP104" s="14"/>
      <c r="GAQ104" s="14"/>
      <c r="GAR104" s="36"/>
      <c r="GAS104" s="14"/>
      <c r="GAT104" s="45"/>
      <c r="GAU104" s="14"/>
      <c r="GAV104" s="14"/>
      <c r="GAW104" s="14"/>
      <c r="GAX104" s="14"/>
      <c r="GAY104" s="14"/>
      <c r="GAZ104" s="36"/>
      <c r="GBA104" s="14"/>
      <c r="GBB104" s="45"/>
      <c r="GBC104" s="14"/>
      <c r="GBD104" s="14"/>
      <c r="GBE104" s="14"/>
      <c r="GBF104" s="14"/>
      <c r="GBG104" s="14"/>
      <c r="GBH104" s="36"/>
      <c r="GBI104" s="14"/>
      <c r="GBJ104" s="45"/>
      <c r="GBK104" s="14"/>
      <c r="GBL104" s="14"/>
      <c r="GBM104" s="14"/>
      <c r="GBN104" s="14"/>
      <c r="GBO104" s="14"/>
      <c r="GBP104" s="36"/>
      <c r="GBQ104" s="14"/>
      <c r="GBR104" s="45"/>
      <c r="GBS104" s="14"/>
      <c r="GBT104" s="14"/>
      <c r="GBU104" s="14"/>
      <c r="GBV104" s="14"/>
      <c r="GBW104" s="14"/>
      <c r="GBX104" s="36"/>
      <c r="GBY104" s="14"/>
      <c r="GBZ104" s="45"/>
      <c r="GCA104" s="14"/>
      <c r="GCB104" s="14"/>
      <c r="GCC104" s="14"/>
      <c r="GCD104" s="14"/>
      <c r="GCE104" s="14"/>
      <c r="GCF104" s="36"/>
      <c r="GCG104" s="14"/>
      <c r="GCH104" s="45"/>
      <c r="GCI104" s="14"/>
      <c r="GCJ104" s="14"/>
      <c r="GCK104" s="14"/>
      <c r="GCL104" s="14"/>
      <c r="GCM104" s="14"/>
      <c r="GCN104" s="36"/>
      <c r="GCO104" s="14"/>
      <c r="GCP104" s="45"/>
      <c r="GCQ104" s="14"/>
      <c r="GCR104" s="14"/>
      <c r="GCS104" s="14"/>
      <c r="GCT104" s="14"/>
      <c r="GCU104" s="14"/>
      <c r="GCV104" s="36"/>
      <c r="GCW104" s="14"/>
      <c r="GCX104" s="45"/>
      <c r="GCY104" s="14"/>
      <c r="GCZ104" s="14"/>
      <c r="GDA104" s="14"/>
      <c r="GDB104" s="14"/>
      <c r="GDC104" s="14"/>
      <c r="GDD104" s="36"/>
      <c r="GDE104" s="14"/>
      <c r="GDF104" s="45"/>
      <c r="GDG104" s="14"/>
      <c r="GDH104" s="14"/>
      <c r="GDI104" s="14"/>
      <c r="GDJ104" s="14"/>
      <c r="GDK104" s="14"/>
      <c r="GDL104" s="36"/>
      <c r="GDM104" s="14"/>
      <c r="GDN104" s="45"/>
      <c r="GDO104" s="14"/>
      <c r="GDP104" s="14"/>
      <c r="GDQ104" s="14"/>
      <c r="GDR104" s="14"/>
      <c r="GDS104" s="14"/>
      <c r="GDT104" s="36"/>
      <c r="GDU104" s="14"/>
      <c r="GDV104" s="45"/>
      <c r="GDW104" s="14"/>
      <c r="GDX104" s="14"/>
      <c r="GDY104" s="14"/>
      <c r="GDZ104" s="14"/>
      <c r="GEA104" s="14"/>
      <c r="GEB104" s="36"/>
      <c r="GEC104" s="14"/>
      <c r="GED104" s="45"/>
      <c r="GEE104" s="14"/>
      <c r="GEF104" s="14"/>
      <c r="GEG104" s="14"/>
      <c r="GEH104" s="14"/>
      <c r="GEI104" s="14"/>
      <c r="GEJ104" s="36"/>
      <c r="GEK104" s="14"/>
      <c r="GEL104" s="45"/>
      <c r="GEM104" s="14"/>
      <c r="GEN104" s="14"/>
      <c r="GEO104" s="14"/>
      <c r="GEP104" s="14"/>
      <c r="GEQ104" s="14"/>
      <c r="GER104" s="36"/>
      <c r="GES104" s="14"/>
      <c r="GET104" s="45"/>
      <c r="GEU104" s="14"/>
      <c r="GEV104" s="14"/>
      <c r="GEW104" s="14"/>
      <c r="GEX104" s="14"/>
      <c r="GEY104" s="14"/>
      <c r="GEZ104" s="36"/>
      <c r="GFA104" s="14"/>
      <c r="GFB104" s="45"/>
      <c r="GFC104" s="14"/>
      <c r="GFD104" s="14"/>
      <c r="GFE104" s="14"/>
      <c r="GFF104" s="14"/>
      <c r="GFG104" s="14"/>
      <c r="GFH104" s="36"/>
      <c r="GFI104" s="14"/>
      <c r="GFJ104" s="45"/>
      <c r="GFK104" s="14"/>
      <c r="GFL104" s="14"/>
      <c r="GFM104" s="14"/>
      <c r="GFN104" s="14"/>
      <c r="GFO104" s="14"/>
      <c r="GFP104" s="36"/>
      <c r="GFQ104" s="14"/>
      <c r="GFR104" s="45"/>
      <c r="GFS104" s="14"/>
      <c r="GFT104" s="14"/>
      <c r="GFU104" s="14"/>
      <c r="GFV104" s="14"/>
      <c r="GFW104" s="14"/>
      <c r="GFX104" s="36"/>
      <c r="GFY104" s="14"/>
      <c r="GFZ104" s="45"/>
      <c r="GGA104" s="14"/>
      <c r="GGB104" s="14"/>
      <c r="GGC104" s="14"/>
      <c r="GGD104" s="14"/>
      <c r="GGE104" s="14"/>
      <c r="GGF104" s="36"/>
      <c r="GGG104" s="14"/>
      <c r="GGH104" s="45"/>
      <c r="GGI104" s="14"/>
      <c r="GGJ104" s="14"/>
      <c r="GGK104" s="14"/>
      <c r="GGL104" s="14"/>
      <c r="GGM104" s="14"/>
      <c r="GGN104" s="36"/>
      <c r="GGO104" s="14"/>
      <c r="GGP104" s="45"/>
      <c r="GGQ104" s="14"/>
      <c r="GGR104" s="14"/>
      <c r="GGS104" s="14"/>
      <c r="GGT104" s="14"/>
      <c r="GGU104" s="14"/>
      <c r="GGV104" s="36"/>
      <c r="GGW104" s="14"/>
      <c r="GGX104" s="45"/>
      <c r="GGY104" s="14"/>
      <c r="GGZ104" s="14"/>
      <c r="GHA104" s="14"/>
      <c r="GHB104" s="14"/>
      <c r="GHC104" s="14"/>
      <c r="GHD104" s="36"/>
      <c r="GHE104" s="14"/>
      <c r="GHF104" s="45"/>
      <c r="GHG104" s="14"/>
      <c r="GHH104" s="14"/>
      <c r="GHI104" s="14"/>
      <c r="GHJ104" s="14"/>
      <c r="GHK104" s="14"/>
      <c r="GHL104" s="36"/>
      <c r="GHM104" s="14"/>
      <c r="GHN104" s="45"/>
      <c r="GHO104" s="14"/>
      <c r="GHP104" s="14"/>
      <c r="GHQ104" s="14"/>
      <c r="GHR104" s="14"/>
      <c r="GHS104" s="14"/>
      <c r="GHT104" s="36"/>
      <c r="GHU104" s="14"/>
      <c r="GHV104" s="45"/>
      <c r="GHW104" s="14"/>
      <c r="GHX104" s="14"/>
      <c r="GHY104" s="14"/>
      <c r="GHZ104" s="14"/>
      <c r="GIA104" s="14"/>
      <c r="GIB104" s="36"/>
      <c r="GIC104" s="14"/>
      <c r="GID104" s="45"/>
      <c r="GIE104" s="14"/>
      <c r="GIF104" s="14"/>
      <c r="GIG104" s="14"/>
      <c r="GIH104" s="14"/>
      <c r="GII104" s="14"/>
      <c r="GIJ104" s="36"/>
      <c r="GIK104" s="14"/>
      <c r="GIL104" s="45"/>
      <c r="GIM104" s="14"/>
      <c r="GIN104" s="14"/>
      <c r="GIO104" s="14"/>
      <c r="GIP104" s="14"/>
      <c r="GIQ104" s="14"/>
      <c r="GIR104" s="36"/>
      <c r="GIS104" s="14"/>
      <c r="GIT104" s="45"/>
      <c r="GIU104" s="14"/>
      <c r="GIV104" s="14"/>
      <c r="GIW104" s="14"/>
      <c r="GIX104" s="14"/>
      <c r="GIY104" s="14"/>
      <c r="GIZ104" s="36"/>
      <c r="GJA104" s="14"/>
      <c r="GJB104" s="45"/>
      <c r="GJC104" s="14"/>
      <c r="GJD104" s="14"/>
      <c r="GJE104" s="14"/>
      <c r="GJF104" s="14"/>
      <c r="GJG104" s="14"/>
      <c r="GJH104" s="36"/>
      <c r="GJI104" s="14"/>
      <c r="GJJ104" s="45"/>
      <c r="GJK104" s="14"/>
      <c r="GJL104" s="14"/>
      <c r="GJM104" s="14"/>
      <c r="GJN104" s="14"/>
      <c r="GJO104" s="14"/>
      <c r="GJP104" s="36"/>
      <c r="GJQ104" s="14"/>
      <c r="GJR104" s="45"/>
      <c r="GJS104" s="14"/>
      <c r="GJT104" s="14"/>
      <c r="GJU104" s="14"/>
      <c r="GJV104" s="14"/>
      <c r="GJW104" s="14"/>
      <c r="GJX104" s="36"/>
      <c r="GJY104" s="14"/>
      <c r="GJZ104" s="45"/>
      <c r="GKA104" s="14"/>
      <c r="GKB104" s="14"/>
      <c r="GKC104" s="14"/>
      <c r="GKD104" s="14"/>
      <c r="GKE104" s="14"/>
      <c r="GKF104" s="36"/>
      <c r="GKG104" s="14"/>
      <c r="GKH104" s="45"/>
      <c r="GKI104" s="14"/>
      <c r="GKJ104" s="14"/>
      <c r="GKK104" s="14"/>
      <c r="GKL104" s="14"/>
      <c r="GKM104" s="14"/>
      <c r="GKN104" s="36"/>
      <c r="GKO104" s="14"/>
      <c r="GKP104" s="45"/>
      <c r="GKQ104" s="14"/>
      <c r="GKR104" s="14"/>
      <c r="GKS104" s="14"/>
      <c r="GKT104" s="14"/>
      <c r="GKU104" s="14"/>
      <c r="GKV104" s="36"/>
      <c r="GKW104" s="14"/>
      <c r="GKX104" s="45"/>
      <c r="GKY104" s="14"/>
      <c r="GKZ104" s="14"/>
      <c r="GLA104" s="14"/>
      <c r="GLB104" s="14"/>
      <c r="GLC104" s="14"/>
      <c r="GLD104" s="36"/>
      <c r="GLE104" s="14"/>
      <c r="GLF104" s="45"/>
      <c r="GLG104" s="14"/>
      <c r="GLH104" s="14"/>
      <c r="GLI104" s="14"/>
      <c r="GLJ104" s="14"/>
      <c r="GLK104" s="14"/>
      <c r="GLL104" s="36"/>
      <c r="GLM104" s="14"/>
      <c r="GLN104" s="45"/>
      <c r="GLO104" s="14"/>
      <c r="GLP104" s="14"/>
      <c r="GLQ104" s="14"/>
      <c r="GLR104" s="14"/>
      <c r="GLS104" s="14"/>
      <c r="GLT104" s="36"/>
      <c r="GLU104" s="14"/>
      <c r="GLV104" s="45"/>
      <c r="GLW104" s="14"/>
      <c r="GLX104" s="14"/>
      <c r="GLY104" s="14"/>
      <c r="GLZ104" s="14"/>
      <c r="GMA104" s="14"/>
      <c r="GMB104" s="36"/>
      <c r="GMC104" s="14"/>
      <c r="GMD104" s="45"/>
      <c r="GME104" s="14"/>
      <c r="GMF104" s="14"/>
      <c r="GMG104" s="14"/>
      <c r="GMH104" s="14"/>
      <c r="GMI104" s="14"/>
      <c r="GMJ104" s="36"/>
      <c r="GMK104" s="14"/>
      <c r="GML104" s="45"/>
      <c r="GMM104" s="14"/>
      <c r="GMN104" s="14"/>
      <c r="GMO104" s="14"/>
      <c r="GMP104" s="14"/>
      <c r="GMQ104" s="14"/>
      <c r="GMR104" s="36"/>
      <c r="GMS104" s="14"/>
      <c r="GMT104" s="45"/>
      <c r="GMU104" s="14"/>
      <c r="GMV104" s="14"/>
      <c r="GMW104" s="14"/>
      <c r="GMX104" s="14"/>
      <c r="GMY104" s="14"/>
      <c r="GMZ104" s="36"/>
      <c r="GNA104" s="14"/>
      <c r="GNB104" s="45"/>
      <c r="GNC104" s="14"/>
      <c r="GND104" s="14"/>
      <c r="GNE104" s="14"/>
      <c r="GNF104" s="14"/>
      <c r="GNG104" s="14"/>
      <c r="GNH104" s="36"/>
      <c r="GNI104" s="14"/>
      <c r="GNJ104" s="45"/>
      <c r="GNK104" s="14"/>
      <c r="GNL104" s="14"/>
      <c r="GNM104" s="14"/>
      <c r="GNN104" s="14"/>
      <c r="GNO104" s="14"/>
      <c r="GNP104" s="36"/>
      <c r="GNQ104" s="14"/>
      <c r="GNR104" s="45"/>
      <c r="GNS104" s="14"/>
      <c r="GNT104" s="14"/>
      <c r="GNU104" s="14"/>
      <c r="GNV104" s="14"/>
      <c r="GNW104" s="14"/>
      <c r="GNX104" s="36"/>
      <c r="GNY104" s="14"/>
      <c r="GNZ104" s="45"/>
      <c r="GOA104" s="14"/>
      <c r="GOB104" s="14"/>
      <c r="GOC104" s="14"/>
      <c r="GOD104" s="14"/>
      <c r="GOE104" s="14"/>
      <c r="GOF104" s="36"/>
      <c r="GOG104" s="14"/>
      <c r="GOH104" s="45"/>
      <c r="GOI104" s="14"/>
      <c r="GOJ104" s="14"/>
      <c r="GOK104" s="14"/>
      <c r="GOL104" s="14"/>
      <c r="GOM104" s="14"/>
      <c r="GON104" s="36"/>
      <c r="GOO104" s="14"/>
      <c r="GOP104" s="45"/>
      <c r="GOQ104" s="14"/>
      <c r="GOR104" s="14"/>
      <c r="GOS104" s="14"/>
      <c r="GOT104" s="14"/>
      <c r="GOU104" s="14"/>
      <c r="GOV104" s="36"/>
      <c r="GOW104" s="14"/>
      <c r="GOX104" s="45"/>
      <c r="GOY104" s="14"/>
      <c r="GOZ104" s="14"/>
      <c r="GPA104" s="14"/>
      <c r="GPB104" s="14"/>
      <c r="GPC104" s="14"/>
      <c r="GPD104" s="36"/>
      <c r="GPE104" s="14"/>
      <c r="GPF104" s="45"/>
      <c r="GPG104" s="14"/>
      <c r="GPH104" s="14"/>
      <c r="GPI104" s="14"/>
      <c r="GPJ104" s="14"/>
      <c r="GPK104" s="14"/>
      <c r="GPL104" s="36"/>
      <c r="GPM104" s="14"/>
      <c r="GPN104" s="45"/>
      <c r="GPO104" s="14"/>
      <c r="GPP104" s="14"/>
      <c r="GPQ104" s="14"/>
      <c r="GPR104" s="14"/>
      <c r="GPS104" s="14"/>
      <c r="GPT104" s="36"/>
      <c r="GPU104" s="14"/>
      <c r="GPV104" s="45"/>
      <c r="GPW104" s="14"/>
      <c r="GPX104" s="14"/>
      <c r="GPY104" s="14"/>
      <c r="GPZ104" s="14"/>
      <c r="GQA104" s="14"/>
      <c r="GQB104" s="36"/>
      <c r="GQC104" s="14"/>
      <c r="GQD104" s="45"/>
      <c r="GQE104" s="14"/>
      <c r="GQF104" s="14"/>
      <c r="GQG104" s="14"/>
      <c r="GQH104" s="14"/>
      <c r="GQI104" s="14"/>
      <c r="GQJ104" s="36"/>
      <c r="GQK104" s="14"/>
      <c r="GQL104" s="45"/>
      <c r="GQM104" s="14"/>
      <c r="GQN104" s="14"/>
      <c r="GQO104" s="14"/>
      <c r="GQP104" s="14"/>
      <c r="GQQ104" s="14"/>
      <c r="GQR104" s="36"/>
      <c r="GQS104" s="14"/>
      <c r="GQT104" s="45"/>
      <c r="GQU104" s="14"/>
      <c r="GQV104" s="14"/>
      <c r="GQW104" s="14"/>
      <c r="GQX104" s="14"/>
      <c r="GQY104" s="14"/>
      <c r="GQZ104" s="36"/>
      <c r="GRA104" s="14"/>
      <c r="GRB104" s="45"/>
      <c r="GRC104" s="14"/>
      <c r="GRD104" s="14"/>
      <c r="GRE104" s="14"/>
      <c r="GRF104" s="14"/>
      <c r="GRG104" s="14"/>
      <c r="GRH104" s="36"/>
      <c r="GRI104" s="14"/>
      <c r="GRJ104" s="45"/>
      <c r="GRK104" s="14"/>
      <c r="GRL104" s="14"/>
      <c r="GRM104" s="14"/>
      <c r="GRN104" s="14"/>
      <c r="GRO104" s="14"/>
      <c r="GRP104" s="36"/>
      <c r="GRQ104" s="14"/>
      <c r="GRR104" s="45"/>
      <c r="GRS104" s="14"/>
      <c r="GRT104" s="14"/>
      <c r="GRU104" s="14"/>
      <c r="GRV104" s="14"/>
      <c r="GRW104" s="14"/>
      <c r="GRX104" s="36"/>
      <c r="GRY104" s="14"/>
      <c r="GRZ104" s="45"/>
      <c r="GSA104" s="14"/>
      <c r="GSB104" s="14"/>
      <c r="GSC104" s="14"/>
      <c r="GSD104" s="14"/>
      <c r="GSE104" s="14"/>
      <c r="GSF104" s="36"/>
      <c r="GSG104" s="14"/>
      <c r="GSH104" s="45"/>
      <c r="GSI104" s="14"/>
      <c r="GSJ104" s="14"/>
      <c r="GSK104" s="14"/>
      <c r="GSL104" s="14"/>
      <c r="GSM104" s="14"/>
      <c r="GSN104" s="36"/>
      <c r="GSO104" s="14"/>
      <c r="GSP104" s="45"/>
      <c r="GSQ104" s="14"/>
      <c r="GSR104" s="14"/>
      <c r="GSS104" s="14"/>
      <c r="GST104" s="14"/>
      <c r="GSU104" s="14"/>
      <c r="GSV104" s="36"/>
      <c r="GSW104" s="14"/>
      <c r="GSX104" s="45"/>
      <c r="GSY104" s="14"/>
      <c r="GSZ104" s="14"/>
      <c r="GTA104" s="14"/>
      <c r="GTB104" s="14"/>
      <c r="GTC104" s="14"/>
      <c r="GTD104" s="36"/>
      <c r="GTE104" s="14"/>
      <c r="GTF104" s="45"/>
      <c r="GTG104" s="14"/>
      <c r="GTH104" s="14"/>
      <c r="GTI104" s="14"/>
      <c r="GTJ104" s="14"/>
      <c r="GTK104" s="14"/>
      <c r="GTL104" s="36"/>
      <c r="GTM104" s="14"/>
      <c r="GTN104" s="45"/>
      <c r="GTO104" s="14"/>
      <c r="GTP104" s="14"/>
      <c r="GTQ104" s="14"/>
      <c r="GTR104" s="14"/>
      <c r="GTS104" s="14"/>
      <c r="GTT104" s="36"/>
      <c r="GTU104" s="14"/>
      <c r="GTV104" s="45"/>
      <c r="GTW104" s="14"/>
      <c r="GTX104" s="14"/>
      <c r="GTY104" s="14"/>
      <c r="GTZ104" s="14"/>
      <c r="GUA104" s="14"/>
      <c r="GUB104" s="36"/>
      <c r="GUC104" s="14"/>
      <c r="GUD104" s="45"/>
      <c r="GUE104" s="14"/>
      <c r="GUF104" s="14"/>
      <c r="GUG104" s="14"/>
      <c r="GUH104" s="14"/>
      <c r="GUI104" s="14"/>
      <c r="GUJ104" s="36"/>
      <c r="GUK104" s="14"/>
      <c r="GUL104" s="45"/>
      <c r="GUM104" s="14"/>
      <c r="GUN104" s="14"/>
      <c r="GUO104" s="14"/>
      <c r="GUP104" s="14"/>
      <c r="GUQ104" s="14"/>
      <c r="GUR104" s="36"/>
      <c r="GUS104" s="14"/>
      <c r="GUT104" s="45"/>
      <c r="GUU104" s="14"/>
      <c r="GUV104" s="14"/>
      <c r="GUW104" s="14"/>
      <c r="GUX104" s="14"/>
      <c r="GUY104" s="14"/>
      <c r="GUZ104" s="36"/>
      <c r="GVA104" s="14"/>
      <c r="GVB104" s="45"/>
      <c r="GVC104" s="14"/>
      <c r="GVD104" s="14"/>
      <c r="GVE104" s="14"/>
      <c r="GVF104" s="14"/>
      <c r="GVG104" s="14"/>
      <c r="GVH104" s="36"/>
      <c r="GVI104" s="14"/>
      <c r="GVJ104" s="45"/>
      <c r="GVK104" s="14"/>
      <c r="GVL104" s="14"/>
      <c r="GVM104" s="14"/>
      <c r="GVN104" s="14"/>
      <c r="GVO104" s="14"/>
      <c r="GVP104" s="36"/>
      <c r="GVQ104" s="14"/>
      <c r="GVR104" s="45"/>
      <c r="GVS104" s="14"/>
      <c r="GVT104" s="14"/>
      <c r="GVU104" s="14"/>
      <c r="GVV104" s="14"/>
      <c r="GVW104" s="14"/>
      <c r="GVX104" s="36"/>
      <c r="GVY104" s="14"/>
      <c r="GVZ104" s="45"/>
      <c r="GWA104" s="14"/>
      <c r="GWB104" s="14"/>
      <c r="GWC104" s="14"/>
      <c r="GWD104" s="14"/>
      <c r="GWE104" s="14"/>
      <c r="GWF104" s="36"/>
      <c r="GWG104" s="14"/>
      <c r="GWH104" s="45"/>
      <c r="GWI104" s="14"/>
      <c r="GWJ104" s="14"/>
      <c r="GWK104" s="14"/>
      <c r="GWL104" s="14"/>
      <c r="GWM104" s="14"/>
      <c r="GWN104" s="36"/>
      <c r="GWO104" s="14"/>
      <c r="GWP104" s="45"/>
      <c r="GWQ104" s="14"/>
      <c r="GWR104" s="14"/>
      <c r="GWS104" s="14"/>
      <c r="GWT104" s="14"/>
      <c r="GWU104" s="14"/>
      <c r="GWV104" s="36"/>
      <c r="GWW104" s="14"/>
      <c r="GWX104" s="45"/>
      <c r="GWY104" s="14"/>
      <c r="GWZ104" s="14"/>
      <c r="GXA104" s="14"/>
      <c r="GXB104" s="14"/>
      <c r="GXC104" s="14"/>
      <c r="GXD104" s="36"/>
      <c r="GXE104" s="14"/>
      <c r="GXF104" s="45"/>
      <c r="GXG104" s="14"/>
      <c r="GXH104" s="14"/>
      <c r="GXI104" s="14"/>
      <c r="GXJ104" s="14"/>
      <c r="GXK104" s="14"/>
      <c r="GXL104" s="36"/>
      <c r="GXM104" s="14"/>
      <c r="GXN104" s="45"/>
      <c r="GXO104" s="14"/>
      <c r="GXP104" s="14"/>
      <c r="GXQ104" s="14"/>
      <c r="GXR104" s="14"/>
      <c r="GXS104" s="14"/>
      <c r="GXT104" s="36"/>
      <c r="GXU104" s="14"/>
      <c r="GXV104" s="45"/>
      <c r="GXW104" s="14"/>
      <c r="GXX104" s="14"/>
      <c r="GXY104" s="14"/>
      <c r="GXZ104" s="14"/>
      <c r="GYA104" s="14"/>
      <c r="GYB104" s="36"/>
      <c r="GYC104" s="14"/>
      <c r="GYD104" s="45"/>
      <c r="GYE104" s="14"/>
      <c r="GYF104" s="14"/>
      <c r="GYG104" s="14"/>
      <c r="GYH104" s="14"/>
      <c r="GYI104" s="14"/>
      <c r="GYJ104" s="36"/>
      <c r="GYK104" s="14"/>
      <c r="GYL104" s="45"/>
      <c r="GYM104" s="14"/>
      <c r="GYN104" s="14"/>
      <c r="GYO104" s="14"/>
      <c r="GYP104" s="14"/>
      <c r="GYQ104" s="14"/>
      <c r="GYR104" s="36"/>
      <c r="GYS104" s="14"/>
      <c r="GYT104" s="45"/>
      <c r="GYU104" s="14"/>
      <c r="GYV104" s="14"/>
      <c r="GYW104" s="14"/>
      <c r="GYX104" s="14"/>
      <c r="GYY104" s="14"/>
      <c r="GYZ104" s="36"/>
      <c r="GZA104" s="14"/>
      <c r="GZB104" s="45"/>
      <c r="GZC104" s="14"/>
      <c r="GZD104" s="14"/>
      <c r="GZE104" s="14"/>
      <c r="GZF104" s="14"/>
      <c r="GZG104" s="14"/>
      <c r="GZH104" s="36"/>
      <c r="GZI104" s="14"/>
      <c r="GZJ104" s="45"/>
      <c r="GZK104" s="14"/>
      <c r="GZL104" s="14"/>
      <c r="GZM104" s="14"/>
      <c r="GZN104" s="14"/>
      <c r="GZO104" s="14"/>
      <c r="GZP104" s="36"/>
      <c r="GZQ104" s="14"/>
      <c r="GZR104" s="45"/>
      <c r="GZS104" s="14"/>
      <c r="GZT104" s="14"/>
      <c r="GZU104" s="14"/>
      <c r="GZV104" s="14"/>
      <c r="GZW104" s="14"/>
      <c r="GZX104" s="36"/>
      <c r="GZY104" s="14"/>
      <c r="GZZ104" s="45"/>
      <c r="HAA104" s="14"/>
      <c r="HAB104" s="14"/>
      <c r="HAC104" s="14"/>
      <c r="HAD104" s="14"/>
      <c r="HAE104" s="14"/>
      <c r="HAF104" s="36"/>
      <c r="HAG104" s="14"/>
      <c r="HAH104" s="45"/>
      <c r="HAI104" s="14"/>
      <c r="HAJ104" s="14"/>
      <c r="HAK104" s="14"/>
      <c r="HAL104" s="14"/>
      <c r="HAM104" s="14"/>
      <c r="HAN104" s="36"/>
      <c r="HAO104" s="14"/>
      <c r="HAP104" s="45"/>
      <c r="HAQ104" s="14"/>
      <c r="HAR104" s="14"/>
      <c r="HAS104" s="14"/>
      <c r="HAT104" s="14"/>
      <c r="HAU104" s="14"/>
      <c r="HAV104" s="36"/>
      <c r="HAW104" s="14"/>
      <c r="HAX104" s="45"/>
      <c r="HAY104" s="14"/>
      <c r="HAZ104" s="14"/>
      <c r="HBA104" s="14"/>
      <c r="HBB104" s="14"/>
      <c r="HBC104" s="14"/>
      <c r="HBD104" s="36"/>
      <c r="HBE104" s="14"/>
      <c r="HBF104" s="45"/>
      <c r="HBG104" s="14"/>
      <c r="HBH104" s="14"/>
      <c r="HBI104" s="14"/>
      <c r="HBJ104" s="14"/>
      <c r="HBK104" s="14"/>
      <c r="HBL104" s="36"/>
      <c r="HBM104" s="14"/>
      <c r="HBN104" s="45"/>
      <c r="HBO104" s="14"/>
      <c r="HBP104" s="14"/>
      <c r="HBQ104" s="14"/>
      <c r="HBR104" s="14"/>
      <c r="HBS104" s="14"/>
      <c r="HBT104" s="36"/>
      <c r="HBU104" s="14"/>
      <c r="HBV104" s="45"/>
      <c r="HBW104" s="14"/>
      <c r="HBX104" s="14"/>
      <c r="HBY104" s="14"/>
      <c r="HBZ104" s="14"/>
      <c r="HCA104" s="14"/>
      <c r="HCB104" s="36"/>
      <c r="HCC104" s="14"/>
      <c r="HCD104" s="45"/>
      <c r="HCE104" s="14"/>
      <c r="HCF104" s="14"/>
      <c r="HCG104" s="14"/>
      <c r="HCH104" s="14"/>
      <c r="HCI104" s="14"/>
      <c r="HCJ104" s="36"/>
      <c r="HCK104" s="14"/>
      <c r="HCL104" s="45"/>
      <c r="HCM104" s="14"/>
      <c r="HCN104" s="14"/>
      <c r="HCO104" s="14"/>
      <c r="HCP104" s="14"/>
      <c r="HCQ104" s="14"/>
      <c r="HCR104" s="36"/>
      <c r="HCS104" s="14"/>
      <c r="HCT104" s="45"/>
      <c r="HCU104" s="14"/>
      <c r="HCV104" s="14"/>
      <c r="HCW104" s="14"/>
      <c r="HCX104" s="14"/>
      <c r="HCY104" s="14"/>
      <c r="HCZ104" s="36"/>
      <c r="HDA104" s="14"/>
      <c r="HDB104" s="45"/>
      <c r="HDC104" s="14"/>
      <c r="HDD104" s="14"/>
      <c r="HDE104" s="14"/>
      <c r="HDF104" s="14"/>
      <c r="HDG104" s="14"/>
      <c r="HDH104" s="36"/>
      <c r="HDI104" s="14"/>
      <c r="HDJ104" s="45"/>
      <c r="HDK104" s="14"/>
      <c r="HDL104" s="14"/>
      <c r="HDM104" s="14"/>
      <c r="HDN104" s="14"/>
      <c r="HDO104" s="14"/>
      <c r="HDP104" s="36"/>
      <c r="HDQ104" s="14"/>
      <c r="HDR104" s="45"/>
      <c r="HDS104" s="14"/>
      <c r="HDT104" s="14"/>
      <c r="HDU104" s="14"/>
      <c r="HDV104" s="14"/>
      <c r="HDW104" s="14"/>
      <c r="HDX104" s="36"/>
      <c r="HDY104" s="14"/>
      <c r="HDZ104" s="45"/>
      <c r="HEA104" s="14"/>
      <c r="HEB104" s="14"/>
      <c r="HEC104" s="14"/>
      <c r="HED104" s="14"/>
      <c r="HEE104" s="14"/>
      <c r="HEF104" s="36"/>
      <c r="HEG104" s="14"/>
      <c r="HEH104" s="45"/>
      <c r="HEI104" s="14"/>
      <c r="HEJ104" s="14"/>
      <c r="HEK104" s="14"/>
      <c r="HEL104" s="14"/>
      <c r="HEM104" s="14"/>
      <c r="HEN104" s="36"/>
      <c r="HEO104" s="14"/>
      <c r="HEP104" s="45"/>
      <c r="HEQ104" s="14"/>
      <c r="HER104" s="14"/>
      <c r="HES104" s="14"/>
      <c r="HET104" s="14"/>
      <c r="HEU104" s="14"/>
      <c r="HEV104" s="36"/>
      <c r="HEW104" s="14"/>
      <c r="HEX104" s="45"/>
      <c r="HEY104" s="14"/>
      <c r="HEZ104" s="14"/>
      <c r="HFA104" s="14"/>
      <c r="HFB104" s="14"/>
      <c r="HFC104" s="14"/>
      <c r="HFD104" s="36"/>
      <c r="HFE104" s="14"/>
      <c r="HFF104" s="45"/>
      <c r="HFG104" s="14"/>
      <c r="HFH104" s="14"/>
      <c r="HFI104" s="14"/>
      <c r="HFJ104" s="14"/>
      <c r="HFK104" s="14"/>
      <c r="HFL104" s="36"/>
      <c r="HFM104" s="14"/>
      <c r="HFN104" s="45"/>
      <c r="HFO104" s="14"/>
      <c r="HFP104" s="14"/>
      <c r="HFQ104" s="14"/>
      <c r="HFR104" s="14"/>
      <c r="HFS104" s="14"/>
      <c r="HFT104" s="36"/>
      <c r="HFU104" s="14"/>
      <c r="HFV104" s="45"/>
      <c r="HFW104" s="14"/>
      <c r="HFX104" s="14"/>
      <c r="HFY104" s="14"/>
      <c r="HFZ104" s="14"/>
      <c r="HGA104" s="14"/>
      <c r="HGB104" s="36"/>
      <c r="HGC104" s="14"/>
      <c r="HGD104" s="45"/>
      <c r="HGE104" s="14"/>
      <c r="HGF104" s="14"/>
      <c r="HGG104" s="14"/>
      <c r="HGH104" s="14"/>
      <c r="HGI104" s="14"/>
      <c r="HGJ104" s="36"/>
      <c r="HGK104" s="14"/>
      <c r="HGL104" s="45"/>
      <c r="HGM104" s="14"/>
      <c r="HGN104" s="14"/>
      <c r="HGO104" s="14"/>
      <c r="HGP104" s="14"/>
      <c r="HGQ104" s="14"/>
      <c r="HGR104" s="36"/>
      <c r="HGS104" s="14"/>
      <c r="HGT104" s="45"/>
      <c r="HGU104" s="14"/>
      <c r="HGV104" s="14"/>
      <c r="HGW104" s="14"/>
      <c r="HGX104" s="14"/>
      <c r="HGY104" s="14"/>
      <c r="HGZ104" s="36"/>
      <c r="HHA104" s="14"/>
      <c r="HHB104" s="45"/>
      <c r="HHC104" s="14"/>
      <c r="HHD104" s="14"/>
      <c r="HHE104" s="14"/>
      <c r="HHF104" s="14"/>
      <c r="HHG104" s="14"/>
      <c r="HHH104" s="36"/>
      <c r="HHI104" s="14"/>
      <c r="HHJ104" s="45"/>
      <c r="HHK104" s="14"/>
      <c r="HHL104" s="14"/>
      <c r="HHM104" s="14"/>
      <c r="HHN104" s="14"/>
      <c r="HHO104" s="14"/>
      <c r="HHP104" s="36"/>
      <c r="HHQ104" s="14"/>
      <c r="HHR104" s="45"/>
      <c r="HHS104" s="14"/>
      <c r="HHT104" s="14"/>
      <c r="HHU104" s="14"/>
      <c r="HHV104" s="14"/>
      <c r="HHW104" s="14"/>
      <c r="HHX104" s="36"/>
      <c r="HHY104" s="14"/>
      <c r="HHZ104" s="45"/>
      <c r="HIA104" s="14"/>
      <c r="HIB104" s="14"/>
      <c r="HIC104" s="14"/>
      <c r="HID104" s="14"/>
      <c r="HIE104" s="14"/>
      <c r="HIF104" s="36"/>
      <c r="HIG104" s="14"/>
      <c r="HIH104" s="45"/>
      <c r="HII104" s="14"/>
      <c r="HIJ104" s="14"/>
      <c r="HIK104" s="14"/>
      <c r="HIL104" s="14"/>
      <c r="HIM104" s="14"/>
      <c r="HIN104" s="36"/>
      <c r="HIO104" s="14"/>
      <c r="HIP104" s="45"/>
      <c r="HIQ104" s="14"/>
      <c r="HIR104" s="14"/>
      <c r="HIS104" s="14"/>
      <c r="HIT104" s="14"/>
      <c r="HIU104" s="14"/>
      <c r="HIV104" s="36"/>
      <c r="HIW104" s="14"/>
      <c r="HIX104" s="45"/>
      <c r="HIY104" s="14"/>
      <c r="HIZ104" s="14"/>
      <c r="HJA104" s="14"/>
      <c r="HJB104" s="14"/>
      <c r="HJC104" s="14"/>
      <c r="HJD104" s="36"/>
      <c r="HJE104" s="14"/>
      <c r="HJF104" s="45"/>
      <c r="HJG104" s="14"/>
      <c r="HJH104" s="14"/>
      <c r="HJI104" s="14"/>
      <c r="HJJ104" s="14"/>
      <c r="HJK104" s="14"/>
      <c r="HJL104" s="36"/>
      <c r="HJM104" s="14"/>
      <c r="HJN104" s="45"/>
      <c r="HJO104" s="14"/>
      <c r="HJP104" s="14"/>
      <c r="HJQ104" s="14"/>
      <c r="HJR104" s="14"/>
      <c r="HJS104" s="14"/>
      <c r="HJT104" s="36"/>
      <c r="HJU104" s="14"/>
      <c r="HJV104" s="45"/>
      <c r="HJW104" s="14"/>
      <c r="HJX104" s="14"/>
      <c r="HJY104" s="14"/>
      <c r="HJZ104" s="14"/>
      <c r="HKA104" s="14"/>
      <c r="HKB104" s="36"/>
      <c r="HKC104" s="14"/>
      <c r="HKD104" s="45"/>
      <c r="HKE104" s="14"/>
      <c r="HKF104" s="14"/>
      <c r="HKG104" s="14"/>
      <c r="HKH104" s="14"/>
      <c r="HKI104" s="14"/>
      <c r="HKJ104" s="36"/>
      <c r="HKK104" s="14"/>
      <c r="HKL104" s="45"/>
      <c r="HKM104" s="14"/>
      <c r="HKN104" s="14"/>
      <c r="HKO104" s="14"/>
      <c r="HKP104" s="14"/>
      <c r="HKQ104" s="14"/>
      <c r="HKR104" s="36"/>
      <c r="HKS104" s="14"/>
      <c r="HKT104" s="45"/>
      <c r="HKU104" s="14"/>
      <c r="HKV104" s="14"/>
      <c r="HKW104" s="14"/>
      <c r="HKX104" s="14"/>
      <c r="HKY104" s="14"/>
      <c r="HKZ104" s="36"/>
      <c r="HLA104" s="14"/>
      <c r="HLB104" s="45"/>
      <c r="HLC104" s="14"/>
      <c r="HLD104" s="14"/>
      <c r="HLE104" s="14"/>
      <c r="HLF104" s="14"/>
      <c r="HLG104" s="14"/>
      <c r="HLH104" s="36"/>
      <c r="HLI104" s="14"/>
      <c r="HLJ104" s="45"/>
      <c r="HLK104" s="14"/>
      <c r="HLL104" s="14"/>
      <c r="HLM104" s="14"/>
      <c r="HLN104" s="14"/>
      <c r="HLO104" s="14"/>
      <c r="HLP104" s="36"/>
      <c r="HLQ104" s="14"/>
      <c r="HLR104" s="45"/>
      <c r="HLS104" s="14"/>
      <c r="HLT104" s="14"/>
      <c r="HLU104" s="14"/>
      <c r="HLV104" s="14"/>
      <c r="HLW104" s="14"/>
      <c r="HLX104" s="36"/>
      <c r="HLY104" s="14"/>
      <c r="HLZ104" s="45"/>
      <c r="HMA104" s="14"/>
      <c r="HMB104" s="14"/>
      <c r="HMC104" s="14"/>
      <c r="HMD104" s="14"/>
      <c r="HME104" s="14"/>
      <c r="HMF104" s="36"/>
      <c r="HMG104" s="14"/>
      <c r="HMH104" s="45"/>
      <c r="HMI104" s="14"/>
      <c r="HMJ104" s="14"/>
      <c r="HMK104" s="14"/>
      <c r="HML104" s="14"/>
      <c r="HMM104" s="14"/>
      <c r="HMN104" s="36"/>
      <c r="HMO104" s="14"/>
      <c r="HMP104" s="45"/>
      <c r="HMQ104" s="14"/>
      <c r="HMR104" s="14"/>
      <c r="HMS104" s="14"/>
      <c r="HMT104" s="14"/>
      <c r="HMU104" s="14"/>
      <c r="HMV104" s="36"/>
      <c r="HMW104" s="14"/>
      <c r="HMX104" s="45"/>
      <c r="HMY104" s="14"/>
      <c r="HMZ104" s="14"/>
      <c r="HNA104" s="14"/>
      <c r="HNB104" s="14"/>
      <c r="HNC104" s="14"/>
      <c r="HND104" s="36"/>
      <c r="HNE104" s="14"/>
      <c r="HNF104" s="45"/>
      <c r="HNG104" s="14"/>
      <c r="HNH104" s="14"/>
      <c r="HNI104" s="14"/>
      <c r="HNJ104" s="14"/>
      <c r="HNK104" s="14"/>
      <c r="HNL104" s="36"/>
      <c r="HNM104" s="14"/>
      <c r="HNN104" s="45"/>
      <c r="HNO104" s="14"/>
      <c r="HNP104" s="14"/>
      <c r="HNQ104" s="14"/>
      <c r="HNR104" s="14"/>
      <c r="HNS104" s="14"/>
      <c r="HNT104" s="36"/>
      <c r="HNU104" s="14"/>
      <c r="HNV104" s="45"/>
      <c r="HNW104" s="14"/>
      <c r="HNX104" s="14"/>
      <c r="HNY104" s="14"/>
      <c r="HNZ104" s="14"/>
      <c r="HOA104" s="14"/>
      <c r="HOB104" s="36"/>
      <c r="HOC104" s="14"/>
      <c r="HOD104" s="45"/>
      <c r="HOE104" s="14"/>
      <c r="HOF104" s="14"/>
      <c r="HOG104" s="14"/>
      <c r="HOH104" s="14"/>
      <c r="HOI104" s="14"/>
      <c r="HOJ104" s="36"/>
      <c r="HOK104" s="14"/>
      <c r="HOL104" s="45"/>
      <c r="HOM104" s="14"/>
      <c r="HON104" s="14"/>
      <c r="HOO104" s="14"/>
      <c r="HOP104" s="14"/>
      <c r="HOQ104" s="14"/>
      <c r="HOR104" s="36"/>
      <c r="HOS104" s="14"/>
      <c r="HOT104" s="45"/>
      <c r="HOU104" s="14"/>
      <c r="HOV104" s="14"/>
      <c r="HOW104" s="14"/>
      <c r="HOX104" s="14"/>
      <c r="HOY104" s="14"/>
      <c r="HOZ104" s="36"/>
      <c r="HPA104" s="14"/>
      <c r="HPB104" s="45"/>
      <c r="HPC104" s="14"/>
      <c r="HPD104" s="14"/>
      <c r="HPE104" s="14"/>
      <c r="HPF104" s="14"/>
      <c r="HPG104" s="14"/>
      <c r="HPH104" s="36"/>
      <c r="HPI104" s="14"/>
      <c r="HPJ104" s="45"/>
      <c r="HPK104" s="14"/>
      <c r="HPL104" s="14"/>
      <c r="HPM104" s="14"/>
      <c r="HPN104" s="14"/>
      <c r="HPO104" s="14"/>
      <c r="HPP104" s="36"/>
      <c r="HPQ104" s="14"/>
      <c r="HPR104" s="45"/>
      <c r="HPS104" s="14"/>
      <c r="HPT104" s="14"/>
      <c r="HPU104" s="14"/>
      <c r="HPV104" s="14"/>
      <c r="HPW104" s="14"/>
      <c r="HPX104" s="36"/>
      <c r="HPY104" s="14"/>
      <c r="HPZ104" s="45"/>
      <c r="HQA104" s="14"/>
      <c r="HQB104" s="14"/>
      <c r="HQC104" s="14"/>
      <c r="HQD104" s="14"/>
      <c r="HQE104" s="14"/>
      <c r="HQF104" s="36"/>
      <c r="HQG104" s="14"/>
      <c r="HQH104" s="45"/>
      <c r="HQI104" s="14"/>
      <c r="HQJ104" s="14"/>
      <c r="HQK104" s="14"/>
      <c r="HQL104" s="14"/>
      <c r="HQM104" s="14"/>
      <c r="HQN104" s="36"/>
      <c r="HQO104" s="14"/>
      <c r="HQP104" s="45"/>
      <c r="HQQ104" s="14"/>
      <c r="HQR104" s="14"/>
      <c r="HQS104" s="14"/>
      <c r="HQT104" s="14"/>
      <c r="HQU104" s="14"/>
      <c r="HQV104" s="36"/>
      <c r="HQW104" s="14"/>
      <c r="HQX104" s="45"/>
      <c r="HQY104" s="14"/>
      <c r="HQZ104" s="14"/>
      <c r="HRA104" s="14"/>
      <c r="HRB104" s="14"/>
      <c r="HRC104" s="14"/>
      <c r="HRD104" s="36"/>
      <c r="HRE104" s="14"/>
      <c r="HRF104" s="45"/>
      <c r="HRG104" s="14"/>
      <c r="HRH104" s="14"/>
      <c r="HRI104" s="14"/>
      <c r="HRJ104" s="14"/>
      <c r="HRK104" s="14"/>
      <c r="HRL104" s="36"/>
      <c r="HRM104" s="14"/>
      <c r="HRN104" s="45"/>
      <c r="HRO104" s="14"/>
      <c r="HRP104" s="14"/>
      <c r="HRQ104" s="14"/>
      <c r="HRR104" s="14"/>
      <c r="HRS104" s="14"/>
      <c r="HRT104" s="36"/>
      <c r="HRU104" s="14"/>
      <c r="HRV104" s="45"/>
      <c r="HRW104" s="14"/>
      <c r="HRX104" s="14"/>
      <c r="HRY104" s="14"/>
      <c r="HRZ104" s="14"/>
      <c r="HSA104" s="14"/>
      <c r="HSB104" s="36"/>
      <c r="HSC104" s="14"/>
      <c r="HSD104" s="45"/>
      <c r="HSE104" s="14"/>
      <c r="HSF104" s="14"/>
      <c r="HSG104" s="14"/>
      <c r="HSH104" s="14"/>
      <c r="HSI104" s="14"/>
      <c r="HSJ104" s="36"/>
      <c r="HSK104" s="14"/>
      <c r="HSL104" s="45"/>
      <c r="HSM104" s="14"/>
      <c r="HSN104" s="14"/>
      <c r="HSO104" s="14"/>
      <c r="HSP104" s="14"/>
      <c r="HSQ104" s="14"/>
      <c r="HSR104" s="36"/>
      <c r="HSS104" s="14"/>
      <c r="HST104" s="45"/>
      <c r="HSU104" s="14"/>
      <c r="HSV104" s="14"/>
      <c r="HSW104" s="14"/>
      <c r="HSX104" s="14"/>
      <c r="HSY104" s="14"/>
      <c r="HSZ104" s="36"/>
      <c r="HTA104" s="14"/>
      <c r="HTB104" s="45"/>
      <c r="HTC104" s="14"/>
      <c r="HTD104" s="14"/>
      <c r="HTE104" s="14"/>
      <c r="HTF104" s="14"/>
      <c r="HTG104" s="14"/>
      <c r="HTH104" s="36"/>
      <c r="HTI104" s="14"/>
      <c r="HTJ104" s="45"/>
      <c r="HTK104" s="14"/>
      <c r="HTL104" s="14"/>
      <c r="HTM104" s="14"/>
      <c r="HTN104" s="14"/>
      <c r="HTO104" s="14"/>
      <c r="HTP104" s="36"/>
      <c r="HTQ104" s="14"/>
      <c r="HTR104" s="45"/>
      <c r="HTS104" s="14"/>
      <c r="HTT104" s="14"/>
      <c r="HTU104" s="14"/>
      <c r="HTV104" s="14"/>
      <c r="HTW104" s="14"/>
      <c r="HTX104" s="36"/>
      <c r="HTY104" s="14"/>
      <c r="HTZ104" s="45"/>
      <c r="HUA104" s="14"/>
      <c r="HUB104" s="14"/>
      <c r="HUC104" s="14"/>
      <c r="HUD104" s="14"/>
      <c r="HUE104" s="14"/>
      <c r="HUF104" s="36"/>
      <c r="HUG104" s="14"/>
      <c r="HUH104" s="45"/>
      <c r="HUI104" s="14"/>
      <c r="HUJ104" s="14"/>
      <c r="HUK104" s="14"/>
      <c r="HUL104" s="14"/>
      <c r="HUM104" s="14"/>
      <c r="HUN104" s="36"/>
      <c r="HUO104" s="14"/>
      <c r="HUP104" s="45"/>
      <c r="HUQ104" s="14"/>
      <c r="HUR104" s="14"/>
      <c r="HUS104" s="14"/>
      <c r="HUT104" s="14"/>
      <c r="HUU104" s="14"/>
      <c r="HUV104" s="36"/>
      <c r="HUW104" s="14"/>
      <c r="HUX104" s="45"/>
      <c r="HUY104" s="14"/>
      <c r="HUZ104" s="14"/>
      <c r="HVA104" s="14"/>
      <c r="HVB104" s="14"/>
      <c r="HVC104" s="14"/>
      <c r="HVD104" s="36"/>
      <c r="HVE104" s="14"/>
      <c r="HVF104" s="45"/>
      <c r="HVG104" s="14"/>
      <c r="HVH104" s="14"/>
      <c r="HVI104" s="14"/>
      <c r="HVJ104" s="14"/>
      <c r="HVK104" s="14"/>
      <c r="HVL104" s="36"/>
      <c r="HVM104" s="14"/>
      <c r="HVN104" s="45"/>
      <c r="HVO104" s="14"/>
      <c r="HVP104" s="14"/>
      <c r="HVQ104" s="14"/>
      <c r="HVR104" s="14"/>
      <c r="HVS104" s="14"/>
      <c r="HVT104" s="36"/>
      <c r="HVU104" s="14"/>
      <c r="HVV104" s="45"/>
      <c r="HVW104" s="14"/>
      <c r="HVX104" s="14"/>
      <c r="HVY104" s="14"/>
      <c r="HVZ104" s="14"/>
      <c r="HWA104" s="14"/>
      <c r="HWB104" s="36"/>
      <c r="HWC104" s="14"/>
      <c r="HWD104" s="45"/>
      <c r="HWE104" s="14"/>
      <c r="HWF104" s="14"/>
      <c r="HWG104" s="14"/>
      <c r="HWH104" s="14"/>
      <c r="HWI104" s="14"/>
      <c r="HWJ104" s="36"/>
      <c r="HWK104" s="14"/>
      <c r="HWL104" s="45"/>
      <c r="HWM104" s="14"/>
      <c r="HWN104" s="14"/>
      <c r="HWO104" s="14"/>
      <c r="HWP104" s="14"/>
      <c r="HWQ104" s="14"/>
      <c r="HWR104" s="36"/>
      <c r="HWS104" s="14"/>
      <c r="HWT104" s="45"/>
      <c r="HWU104" s="14"/>
      <c r="HWV104" s="14"/>
      <c r="HWW104" s="14"/>
      <c r="HWX104" s="14"/>
      <c r="HWY104" s="14"/>
      <c r="HWZ104" s="36"/>
      <c r="HXA104" s="14"/>
      <c r="HXB104" s="45"/>
      <c r="HXC104" s="14"/>
      <c r="HXD104" s="14"/>
      <c r="HXE104" s="14"/>
      <c r="HXF104" s="14"/>
      <c r="HXG104" s="14"/>
      <c r="HXH104" s="36"/>
      <c r="HXI104" s="14"/>
      <c r="HXJ104" s="45"/>
      <c r="HXK104" s="14"/>
      <c r="HXL104" s="14"/>
      <c r="HXM104" s="14"/>
      <c r="HXN104" s="14"/>
      <c r="HXO104" s="14"/>
      <c r="HXP104" s="36"/>
      <c r="HXQ104" s="14"/>
      <c r="HXR104" s="45"/>
      <c r="HXS104" s="14"/>
      <c r="HXT104" s="14"/>
      <c r="HXU104" s="14"/>
      <c r="HXV104" s="14"/>
      <c r="HXW104" s="14"/>
      <c r="HXX104" s="36"/>
      <c r="HXY104" s="14"/>
      <c r="HXZ104" s="45"/>
      <c r="HYA104" s="14"/>
      <c r="HYB104" s="14"/>
      <c r="HYC104" s="14"/>
      <c r="HYD104" s="14"/>
      <c r="HYE104" s="14"/>
      <c r="HYF104" s="36"/>
      <c r="HYG104" s="14"/>
      <c r="HYH104" s="45"/>
      <c r="HYI104" s="14"/>
      <c r="HYJ104" s="14"/>
      <c r="HYK104" s="14"/>
      <c r="HYL104" s="14"/>
      <c r="HYM104" s="14"/>
      <c r="HYN104" s="36"/>
      <c r="HYO104" s="14"/>
      <c r="HYP104" s="45"/>
      <c r="HYQ104" s="14"/>
      <c r="HYR104" s="14"/>
      <c r="HYS104" s="14"/>
      <c r="HYT104" s="14"/>
      <c r="HYU104" s="14"/>
      <c r="HYV104" s="36"/>
      <c r="HYW104" s="14"/>
      <c r="HYX104" s="45"/>
      <c r="HYY104" s="14"/>
      <c r="HYZ104" s="14"/>
      <c r="HZA104" s="14"/>
      <c r="HZB104" s="14"/>
      <c r="HZC104" s="14"/>
      <c r="HZD104" s="36"/>
      <c r="HZE104" s="14"/>
      <c r="HZF104" s="45"/>
      <c r="HZG104" s="14"/>
      <c r="HZH104" s="14"/>
      <c r="HZI104" s="14"/>
      <c r="HZJ104" s="14"/>
      <c r="HZK104" s="14"/>
      <c r="HZL104" s="36"/>
      <c r="HZM104" s="14"/>
      <c r="HZN104" s="45"/>
      <c r="HZO104" s="14"/>
      <c r="HZP104" s="14"/>
      <c r="HZQ104" s="14"/>
      <c r="HZR104" s="14"/>
      <c r="HZS104" s="14"/>
      <c r="HZT104" s="36"/>
      <c r="HZU104" s="14"/>
      <c r="HZV104" s="45"/>
      <c r="HZW104" s="14"/>
      <c r="HZX104" s="14"/>
      <c r="HZY104" s="14"/>
      <c r="HZZ104" s="14"/>
      <c r="IAA104" s="14"/>
      <c r="IAB104" s="36"/>
      <c r="IAC104" s="14"/>
      <c r="IAD104" s="45"/>
      <c r="IAE104" s="14"/>
      <c r="IAF104" s="14"/>
      <c r="IAG104" s="14"/>
      <c r="IAH104" s="14"/>
      <c r="IAI104" s="14"/>
      <c r="IAJ104" s="36"/>
      <c r="IAK104" s="14"/>
      <c r="IAL104" s="45"/>
      <c r="IAM104" s="14"/>
      <c r="IAN104" s="14"/>
      <c r="IAO104" s="14"/>
      <c r="IAP104" s="14"/>
      <c r="IAQ104" s="14"/>
      <c r="IAR104" s="36"/>
      <c r="IAS104" s="14"/>
      <c r="IAT104" s="45"/>
      <c r="IAU104" s="14"/>
      <c r="IAV104" s="14"/>
      <c r="IAW104" s="14"/>
      <c r="IAX104" s="14"/>
      <c r="IAY104" s="14"/>
      <c r="IAZ104" s="36"/>
      <c r="IBA104" s="14"/>
      <c r="IBB104" s="45"/>
      <c r="IBC104" s="14"/>
      <c r="IBD104" s="14"/>
      <c r="IBE104" s="14"/>
      <c r="IBF104" s="14"/>
      <c r="IBG104" s="14"/>
      <c r="IBH104" s="36"/>
      <c r="IBI104" s="14"/>
      <c r="IBJ104" s="45"/>
      <c r="IBK104" s="14"/>
      <c r="IBL104" s="14"/>
      <c r="IBM104" s="14"/>
      <c r="IBN104" s="14"/>
      <c r="IBO104" s="14"/>
      <c r="IBP104" s="36"/>
      <c r="IBQ104" s="14"/>
      <c r="IBR104" s="45"/>
      <c r="IBS104" s="14"/>
      <c r="IBT104" s="14"/>
      <c r="IBU104" s="14"/>
      <c r="IBV104" s="14"/>
      <c r="IBW104" s="14"/>
      <c r="IBX104" s="36"/>
      <c r="IBY104" s="14"/>
      <c r="IBZ104" s="45"/>
      <c r="ICA104" s="14"/>
      <c r="ICB104" s="14"/>
      <c r="ICC104" s="14"/>
      <c r="ICD104" s="14"/>
      <c r="ICE104" s="14"/>
      <c r="ICF104" s="36"/>
      <c r="ICG104" s="14"/>
      <c r="ICH104" s="45"/>
      <c r="ICI104" s="14"/>
      <c r="ICJ104" s="14"/>
      <c r="ICK104" s="14"/>
      <c r="ICL104" s="14"/>
      <c r="ICM104" s="14"/>
      <c r="ICN104" s="36"/>
      <c r="ICO104" s="14"/>
      <c r="ICP104" s="45"/>
      <c r="ICQ104" s="14"/>
      <c r="ICR104" s="14"/>
      <c r="ICS104" s="14"/>
      <c r="ICT104" s="14"/>
      <c r="ICU104" s="14"/>
      <c r="ICV104" s="36"/>
      <c r="ICW104" s="14"/>
      <c r="ICX104" s="45"/>
      <c r="ICY104" s="14"/>
      <c r="ICZ104" s="14"/>
      <c r="IDA104" s="14"/>
      <c r="IDB104" s="14"/>
      <c r="IDC104" s="14"/>
      <c r="IDD104" s="36"/>
      <c r="IDE104" s="14"/>
      <c r="IDF104" s="45"/>
      <c r="IDG104" s="14"/>
      <c r="IDH104" s="14"/>
      <c r="IDI104" s="14"/>
      <c r="IDJ104" s="14"/>
      <c r="IDK104" s="14"/>
      <c r="IDL104" s="36"/>
      <c r="IDM104" s="14"/>
      <c r="IDN104" s="45"/>
      <c r="IDO104" s="14"/>
      <c r="IDP104" s="14"/>
      <c r="IDQ104" s="14"/>
      <c r="IDR104" s="14"/>
      <c r="IDS104" s="14"/>
      <c r="IDT104" s="36"/>
      <c r="IDU104" s="14"/>
      <c r="IDV104" s="45"/>
      <c r="IDW104" s="14"/>
      <c r="IDX104" s="14"/>
      <c r="IDY104" s="14"/>
      <c r="IDZ104" s="14"/>
      <c r="IEA104" s="14"/>
      <c r="IEB104" s="36"/>
      <c r="IEC104" s="14"/>
      <c r="IED104" s="45"/>
      <c r="IEE104" s="14"/>
      <c r="IEF104" s="14"/>
      <c r="IEG104" s="14"/>
      <c r="IEH104" s="14"/>
      <c r="IEI104" s="14"/>
      <c r="IEJ104" s="36"/>
      <c r="IEK104" s="14"/>
      <c r="IEL104" s="45"/>
      <c r="IEM104" s="14"/>
      <c r="IEN104" s="14"/>
      <c r="IEO104" s="14"/>
      <c r="IEP104" s="14"/>
      <c r="IEQ104" s="14"/>
      <c r="IER104" s="36"/>
      <c r="IES104" s="14"/>
      <c r="IET104" s="45"/>
      <c r="IEU104" s="14"/>
      <c r="IEV104" s="14"/>
      <c r="IEW104" s="14"/>
      <c r="IEX104" s="14"/>
      <c r="IEY104" s="14"/>
      <c r="IEZ104" s="36"/>
      <c r="IFA104" s="14"/>
      <c r="IFB104" s="45"/>
      <c r="IFC104" s="14"/>
      <c r="IFD104" s="14"/>
      <c r="IFE104" s="14"/>
      <c r="IFF104" s="14"/>
      <c r="IFG104" s="14"/>
      <c r="IFH104" s="36"/>
      <c r="IFI104" s="14"/>
      <c r="IFJ104" s="45"/>
      <c r="IFK104" s="14"/>
      <c r="IFL104" s="14"/>
      <c r="IFM104" s="14"/>
      <c r="IFN104" s="14"/>
      <c r="IFO104" s="14"/>
      <c r="IFP104" s="36"/>
      <c r="IFQ104" s="14"/>
      <c r="IFR104" s="45"/>
      <c r="IFS104" s="14"/>
      <c r="IFT104" s="14"/>
      <c r="IFU104" s="14"/>
      <c r="IFV104" s="14"/>
      <c r="IFW104" s="14"/>
      <c r="IFX104" s="36"/>
      <c r="IFY104" s="14"/>
      <c r="IFZ104" s="45"/>
      <c r="IGA104" s="14"/>
      <c r="IGB104" s="14"/>
      <c r="IGC104" s="14"/>
      <c r="IGD104" s="14"/>
      <c r="IGE104" s="14"/>
      <c r="IGF104" s="36"/>
      <c r="IGG104" s="14"/>
      <c r="IGH104" s="45"/>
      <c r="IGI104" s="14"/>
      <c r="IGJ104" s="14"/>
      <c r="IGK104" s="14"/>
      <c r="IGL104" s="14"/>
      <c r="IGM104" s="14"/>
      <c r="IGN104" s="36"/>
      <c r="IGO104" s="14"/>
      <c r="IGP104" s="45"/>
      <c r="IGQ104" s="14"/>
      <c r="IGR104" s="14"/>
      <c r="IGS104" s="14"/>
      <c r="IGT104" s="14"/>
      <c r="IGU104" s="14"/>
      <c r="IGV104" s="36"/>
      <c r="IGW104" s="14"/>
      <c r="IGX104" s="45"/>
      <c r="IGY104" s="14"/>
      <c r="IGZ104" s="14"/>
      <c r="IHA104" s="14"/>
      <c r="IHB104" s="14"/>
      <c r="IHC104" s="14"/>
      <c r="IHD104" s="36"/>
      <c r="IHE104" s="14"/>
      <c r="IHF104" s="45"/>
      <c r="IHG104" s="14"/>
      <c r="IHH104" s="14"/>
      <c r="IHI104" s="14"/>
      <c r="IHJ104" s="14"/>
      <c r="IHK104" s="14"/>
      <c r="IHL104" s="36"/>
      <c r="IHM104" s="14"/>
      <c r="IHN104" s="45"/>
      <c r="IHO104" s="14"/>
      <c r="IHP104" s="14"/>
      <c r="IHQ104" s="14"/>
      <c r="IHR104" s="14"/>
      <c r="IHS104" s="14"/>
      <c r="IHT104" s="36"/>
      <c r="IHU104" s="14"/>
      <c r="IHV104" s="45"/>
      <c r="IHW104" s="14"/>
      <c r="IHX104" s="14"/>
      <c r="IHY104" s="14"/>
      <c r="IHZ104" s="14"/>
      <c r="IIA104" s="14"/>
      <c r="IIB104" s="36"/>
      <c r="IIC104" s="14"/>
      <c r="IID104" s="45"/>
      <c r="IIE104" s="14"/>
      <c r="IIF104" s="14"/>
      <c r="IIG104" s="14"/>
      <c r="IIH104" s="14"/>
      <c r="III104" s="14"/>
      <c r="IIJ104" s="36"/>
      <c r="IIK104" s="14"/>
      <c r="IIL104" s="45"/>
      <c r="IIM104" s="14"/>
      <c r="IIN104" s="14"/>
      <c r="IIO104" s="14"/>
      <c r="IIP104" s="14"/>
      <c r="IIQ104" s="14"/>
      <c r="IIR104" s="36"/>
      <c r="IIS104" s="14"/>
      <c r="IIT104" s="45"/>
      <c r="IIU104" s="14"/>
      <c r="IIV104" s="14"/>
      <c r="IIW104" s="14"/>
      <c r="IIX104" s="14"/>
      <c r="IIY104" s="14"/>
      <c r="IIZ104" s="36"/>
      <c r="IJA104" s="14"/>
      <c r="IJB104" s="45"/>
      <c r="IJC104" s="14"/>
      <c r="IJD104" s="14"/>
      <c r="IJE104" s="14"/>
      <c r="IJF104" s="14"/>
      <c r="IJG104" s="14"/>
      <c r="IJH104" s="36"/>
      <c r="IJI104" s="14"/>
      <c r="IJJ104" s="45"/>
      <c r="IJK104" s="14"/>
      <c r="IJL104" s="14"/>
      <c r="IJM104" s="14"/>
      <c r="IJN104" s="14"/>
      <c r="IJO104" s="14"/>
      <c r="IJP104" s="36"/>
      <c r="IJQ104" s="14"/>
      <c r="IJR104" s="45"/>
      <c r="IJS104" s="14"/>
      <c r="IJT104" s="14"/>
      <c r="IJU104" s="14"/>
      <c r="IJV104" s="14"/>
      <c r="IJW104" s="14"/>
      <c r="IJX104" s="36"/>
      <c r="IJY104" s="14"/>
      <c r="IJZ104" s="45"/>
      <c r="IKA104" s="14"/>
      <c r="IKB104" s="14"/>
      <c r="IKC104" s="14"/>
      <c r="IKD104" s="14"/>
      <c r="IKE104" s="14"/>
      <c r="IKF104" s="36"/>
      <c r="IKG104" s="14"/>
      <c r="IKH104" s="45"/>
      <c r="IKI104" s="14"/>
      <c r="IKJ104" s="14"/>
      <c r="IKK104" s="14"/>
      <c r="IKL104" s="14"/>
      <c r="IKM104" s="14"/>
      <c r="IKN104" s="36"/>
      <c r="IKO104" s="14"/>
      <c r="IKP104" s="45"/>
      <c r="IKQ104" s="14"/>
      <c r="IKR104" s="14"/>
      <c r="IKS104" s="14"/>
      <c r="IKT104" s="14"/>
      <c r="IKU104" s="14"/>
      <c r="IKV104" s="36"/>
      <c r="IKW104" s="14"/>
      <c r="IKX104" s="45"/>
      <c r="IKY104" s="14"/>
      <c r="IKZ104" s="14"/>
      <c r="ILA104" s="14"/>
      <c r="ILB104" s="14"/>
      <c r="ILC104" s="14"/>
      <c r="ILD104" s="36"/>
      <c r="ILE104" s="14"/>
      <c r="ILF104" s="45"/>
      <c r="ILG104" s="14"/>
      <c r="ILH104" s="14"/>
      <c r="ILI104" s="14"/>
      <c r="ILJ104" s="14"/>
      <c r="ILK104" s="14"/>
      <c r="ILL104" s="36"/>
      <c r="ILM104" s="14"/>
      <c r="ILN104" s="45"/>
      <c r="ILO104" s="14"/>
      <c r="ILP104" s="14"/>
      <c r="ILQ104" s="14"/>
      <c r="ILR104" s="14"/>
      <c r="ILS104" s="14"/>
      <c r="ILT104" s="36"/>
      <c r="ILU104" s="14"/>
      <c r="ILV104" s="45"/>
      <c r="ILW104" s="14"/>
      <c r="ILX104" s="14"/>
      <c r="ILY104" s="14"/>
      <c r="ILZ104" s="14"/>
      <c r="IMA104" s="14"/>
      <c r="IMB104" s="36"/>
      <c r="IMC104" s="14"/>
      <c r="IMD104" s="45"/>
      <c r="IME104" s="14"/>
      <c r="IMF104" s="14"/>
      <c r="IMG104" s="14"/>
      <c r="IMH104" s="14"/>
      <c r="IMI104" s="14"/>
      <c r="IMJ104" s="36"/>
      <c r="IMK104" s="14"/>
      <c r="IML104" s="45"/>
      <c r="IMM104" s="14"/>
      <c r="IMN104" s="14"/>
      <c r="IMO104" s="14"/>
      <c r="IMP104" s="14"/>
      <c r="IMQ104" s="14"/>
      <c r="IMR104" s="36"/>
      <c r="IMS104" s="14"/>
      <c r="IMT104" s="45"/>
      <c r="IMU104" s="14"/>
      <c r="IMV104" s="14"/>
      <c r="IMW104" s="14"/>
      <c r="IMX104" s="14"/>
      <c r="IMY104" s="14"/>
      <c r="IMZ104" s="36"/>
      <c r="INA104" s="14"/>
      <c r="INB104" s="45"/>
      <c r="INC104" s="14"/>
      <c r="IND104" s="14"/>
      <c r="INE104" s="14"/>
      <c r="INF104" s="14"/>
      <c r="ING104" s="14"/>
      <c r="INH104" s="36"/>
      <c r="INI104" s="14"/>
      <c r="INJ104" s="45"/>
      <c r="INK104" s="14"/>
      <c r="INL104" s="14"/>
      <c r="INM104" s="14"/>
      <c r="INN104" s="14"/>
      <c r="INO104" s="14"/>
      <c r="INP104" s="36"/>
      <c r="INQ104" s="14"/>
      <c r="INR104" s="45"/>
      <c r="INS104" s="14"/>
      <c r="INT104" s="14"/>
      <c r="INU104" s="14"/>
      <c r="INV104" s="14"/>
      <c r="INW104" s="14"/>
      <c r="INX104" s="36"/>
      <c r="INY104" s="14"/>
      <c r="INZ104" s="45"/>
      <c r="IOA104" s="14"/>
      <c r="IOB104" s="14"/>
      <c r="IOC104" s="14"/>
      <c r="IOD104" s="14"/>
      <c r="IOE104" s="14"/>
      <c r="IOF104" s="36"/>
      <c r="IOG104" s="14"/>
      <c r="IOH104" s="45"/>
      <c r="IOI104" s="14"/>
      <c r="IOJ104" s="14"/>
      <c r="IOK104" s="14"/>
      <c r="IOL104" s="14"/>
      <c r="IOM104" s="14"/>
      <c r="ION104" s="36"/>
      <c r="IOO104" s="14"/>
      <c r="IOP104" s="45"/>
      <c r="IOQ104" s="14"/>
      <c r="IOR104" s="14"/>
      <c r="IOS104" s="14"/>
      <c r="IOT104" s="14"/>
      <c r="IOU104" s="14"/>
      <c r="IOV104" s="36"/>
      <c r="IOW104" s="14"/>
      <c r="IOX104" s="45"/>
      <c r="IOY104" s="14"/>
      <c r="IOZ104" s="14"/>
      <c r="IPA104" s="14"/>
      <c r="IPB104" s="14"/>
      <c r="IPC104" s="14"/>
      <c r="IPD104" s="36"/>
      <c r="IPE104" s="14"/>
      <c r="IPF104" s="45"/>
      <c r="IPG104" s="14"/>
      <c r="IPH104" s="14"/>
      <c r="IPI104" s="14"/>
      <c r="IPJ104" s="14"/>
      <c r="IPK104" s="14"/>
      <c r="IPL104" s="36"/>
      <c r="IPM104" s="14"/>
      <c r="IPN104" s="45"/>
      <c r="IPO104" s="14"/>
      <c r="IPP104" s="14"/>
      <c r="IPQ104" s="14"/>
      <c r="IPR104" s="14"/>
      <c r="IPS104" s="14"/>
      <c r="IPT104" s="36"/>
      <c r="IPU104" s="14"/>
      <c r="IPV104" s="45"/>
      <c r="IPW104" s="14"/>
      <c r="IPX104" s="14"/>
      <c r="IPY104" s="14"/>
      <c r="IPZ104" s="14"/>
      <c r="IQA104" s="14"/>
      <c r="IQB104" s="36"/>
      <c r="IQC104" s="14"/>
      <c r="IQD104" s="45"/>
      <c r="IQE104" s="14"/>
      <c r="IQF104" s="14"/>
      <c r="IQG104" s="14"/>
      <c r="IQH104" s="14"/>
      <c r="IQI104" s="14"/>
      <c r="IQJ104" s="36"/>
      <c r="IQK104" s="14"/>
      <c r="IQL104" s="45"/>
      <c r="IQM104" s="14"/>
      <c r="IQN104" s="14"/>
      <c r="IQO104" s="14"/>
      <c r="IQP104" s="14"/>
      <c r="IQQ104" s="14"/>
      <c r="IQR104" s="36"/>
      <c r="IQS104" s="14"/>
      <c r="IQT104" s="45"/>
      <c r="IQU104" s="14"/>
      <c r="IQV104" s="14"/>
      <c r="IQW104" s="14"/>
      <c r="IQX104" s="14"/>
      <c r="IQY104" s="14"/>
      <c r="IQZ104" s="36"/>
      <c r="IRA104" s="14"/>
      <c r="IRB104" s="45"/>
      <c r="IRC104" s="14"/>
      <c r="IRD104" s="14"/>
      <c r="IRE104" s="14"/>
      <c r="IRF104" s="14"/>
      <c r="IRG104" s="14"/>
      <c r="IRH104" s="36"/>
      <c r="IRI104" s="14"/>
      <c r="IRJ104" s="45"/>
      <c r="IRK104" s="14"/>
      <c r="IRL104" s="14"/>
      <c r="IRM104" s="14"/>
      <c r="IRN104" s="14"/>
      <c r="IRO104" s="14"/>
      <c r="IRP104" s="36"/>
      <c r="IRQ104" s="14"/>
      <c r="IRR104" s="45"/>
      <c r="IRS104" s="14"/>
      <c r="IRT104" s="14"/>
      <c r="IRU104" s="14"/>
      <c r="IRV104" s="14"/>
      <c r="IRW104" s="14"/>
      <c r="IRX104" s="36"/>
      <c r="IRY104" s="14"/>
      <c r="IRZ104" s="45"/>
      <c r="ISA104" s="14"/>
      <c r="ISB104" s="14"/>
      <c r="ISC104" s="14"/>
      <c r="ISD104" s="14"/>
      <c r="ISE104" s="14"/>
      <c r="ISF104" s="36"/>
      <c r="ISG104" s="14"/>
      <c r="ISH104" s="45"/>
      <c r="ISI104" s="14"/>
      <c r="ISJ104" s="14"/>
      <c r="ISK104" s="14"/>
      <c r="ISL104" s="14"/>
      <c r="ISM104" s="14"/>
      <c r="ISN104" s="36"/>
      <c r="ISO104" s="14"/>
      <c r="ISP104" s="45"/>
      <c r="ISQ104" s="14"/>
      <c r="ISR104" s="14"/>
      <c r="ISS104" s="14"/>
      <c r="IST104" s="14"/>
      <c r="ISU104" s="14"/>
      <c r="ISV104" s="36"/>
      <c r="ISW104" s="14"/>
      <c r="ISX104" s="45"/>
      <c r="ISY104" s="14"/>
      <c r="ISZ104" s="14"/>
      <c r="ITA104" s="14"/>
      <c r="ITB104" s="14"/>
      <c r="ITC104" s="14"/>
      <c r="ITD104" s="36"/>
      <c r="ITE104" s="14"/>
      <c r="ITF104" s="45"/>
      <c r="ITG104" s="14"/>
      <c r="ITH104" s="14"/>
      <c r="ITI104" s="14"/>
      <c r="ITJ104" s="14"/>
      <c r="ITK104" s="14"/>
      <c r="ITL104" s="36"/>
      <c r="ITM104" s="14"/>
      <c r="ITN104" s="45"/>
      <c r="ITO104" s="14"/>
      <c r="ITP104" s="14"/>
      <c r="ITQ104" s="14"/>
      <c r="ITR104" s="14"/>
      <c r="ITS104" s="14"/>
      <c r="ITT104" s="36"/>
      <c r="ITU104" s="14"/>
      <c r="ITV104" s="45"/>
      <c r="ITW104" s="14"/>
      <c r="ITX104" s="14"/>
      <c r="ITY104" s="14"/>
      <c r="ITZ104" s="14"/>
      <c r="IUA104" s="14"/>
      <c r="IUB104" s="36"/>
      <c r="IUC104" s="14"/>
      <c r="IUD104" s="45"/>
      <c r="IUE104" s="14"/>
      <c r="IUF104" s="14"/>
      <c r="IUG104" s="14"/>
      <c r="IUH104" s="14"/>
      <c r="IUI104" s="14"/>
      <c r="IUJ104" s="36"/>
      <c r="IUK104" s="14"/>
      <c r="IUL104" s="45"/>
      <c r="IUM104" s="14"/>
      <c r="IUN104" s="14"/>
      <c r="IUO104" s="14"/>
      <c r="IUP104" s="14"/>
      <c r="IUQ104" s="14"/>
      <c r="IUR104" s="36"/>
      <c r="IUS104" s="14"/>
      <c r="IUT104" s="45"/>
      <c r="IUU104" s="14"/>
      <c r="IUV104" s="14"/>
      <c r="IUW104" s="14"/>
      <c r="IUX104" s="14"/>
      <c r="IUY104" s="14"/>
      <c r="IUZ104" s="36"/>
      <c r="IVA104" s="14"/>
      <c r="IVB104" s="45"/>
      <c r="IVC104" s="14"/>
      <c r="IVD104" s="14"/>
      <c r="IVE104" s="14"/>
      <c r="IVF104" s="14"/>
      <c r="IVG104" s="14"/>
      <c r="IVH104" s="36"/>
      <c r="IVI104" s="14"/>
      <c r="IVJ104" s="45"/>
      <c r="IVK104" s="14"/>
      <c r="IVL104" s="14"/>
      <c r="IVM104" s="14"/>
      <c r="IVN104" s="14"/>
      <c r="IVO104" s="14"/>
      <c r="IVP104" s="36"/>
      <c r="IVQ104" s="14"/>
      <c r="IVR104" s="45"/>
      <c r="IVS104" s="14"/>
      <c r="IVT104" s="14"/>
      <c r="IVU104" s="14"/>
      <c r="IVV104" s="14"/>
      <c r="IVW104" s="14"/>
      <c r="IVX104" s="36"/>
      <c r="IVY104" s="14"/>
      <c r="IVZ104" s="45"/>
      <c r="IWA104" s="14"/>
      <c r="IWB104" s="14"/>
      <c r="IWC104" s="14"/>
      <c r="IWD104" s="14"/>
      <c r="IWE104" s="14"/>
      <c r="IWF104" s="36"/>
      <c r="IWG104" s="14"/>
      <c r="IWH104" s="45"/>
      <c r="IWI104" s="14"/>
      <c r="IWJ104" s="14"/>
      <c r="IWK104" s="14"/>
      <c r="IWL104" s="14"/>
      <c r="IWM104" s="14"/>
      <c r="IWN104" s="36"/>
      <c r="IWO104" s="14"/>
      <c r="IWP104" s="45"/>
      <c r="IWQ104" s="14"/>
      <c r="IWR104" s="14"/>
      <c r="IWS104" s="14"/>
      <c r="IWT104" s="14"/>
      <c r="IWU104" s="14"/>
      <c r="IWV104" s="36"/>
      <c r="IWW104" s="14"/>
      <c r="IWX104" s="45"/>
      <c r="IWY104" s="14"/>
      <c r="IWZ104" s="14"/>
      <c r="IXA104" s="14"/>
      <c r="IXB104" s="14"/>
      <c r="IXC104" s="14"/>
      <c r="IXD104" s="36"/>
      <c r="IXE104" s="14"/>
      <c r="IXF104" s="45"/>
      <c r="IXG104" s="14"/>
      <c r="IXH104" s="14"/>
      <c r="IXI104" s="14"/>
      <c r="IXJ104" s="14"/>
      <c r="IXK104" s="14"/>
      <c r="IXL104" s="36"/>
      <c r="IXM104" s="14"/>
      <c r="IXN104" s="45"/>
      <c r="IXO104" s="14"/>
      <c r="IXP104" s="14"/>
      <c r="IXQ104" s="14"/>
      <c r="IXR104" s="14"/>
      <c r="IXS104" s="14"/>
      <c r="IXT104" s="36"/>
      <c r="IXU104" s="14"/>
      <c r="IXV104" s="45"/>
      <c r="IXW104" s="14"/>
      <c r="IXX104" s="14"/>
      <c r="IXY104" s="14"/>
      <c r="IXZ104" s="14"/>
      <c r="IYA104" s="14"/>
      <c r="IYB104" s="36"/>
      <c r="IYC104" s="14"/>
      <c r="IYD104" s="45"/>
      <c r="IYE104" s="14"/>
      <c r="IYF104" s="14"/>
      <c r="IYG104" s="14"/>
      <c r="IYH104" s="14"/>
      <c r="IYI104" s="14"/>
      <c r="IYJ104" s="36"/>
      <c r="IYK104" s="14"/>
      <c r="IYL104" s="45"/>
      <c r="IYM104" s="14"/>
      <c r="IYN104" s="14"/>
      <c r="IYO104" s="14"/>
      <c r="IYP104" s="14"/>
      <c r="IYQ104" s="14"/>
      <c r="IYR104" s="36"/>
      <c r="IYS104" s="14"/>
      <c r="IYT104" s="45"/>
      <c r="IYU104" s="14"/>
      <c r="IYV104" s="14"/>
      <c r="IYW104" s="14"/>
      <c r="IYX104" s="14"/>
      <c r="IYY104" s="14"/>
      <c r="IYZ104" s="36"/>
      <c r="IZA104" s="14"/>
      <c r="IZB104" s="45"/>
      <c r="IZC104" s="14"/>
      <c r="IZD104" s="14"/>
      <c r="IZE104" s="14"/>
      <c r="IZF104" s="14"/>
      <c r="IZG104" s="14"/>
      <c r="IZH104" s="36"/>
      <c r="IZI104" s="14"/>
      <c r="IZJ104" s="45"/>
      <c r="IZK104" s="14"/>
      <c r="IZL104" s="14"/>
      <c r="IZM104" s="14"/>
      <c r="IZN104" s="14"/>
      <c r="IZO104" s="14"/>
      <c r="IZP104" s="36"/>
      <c r="IZQ104" s="14"/>
      <c r="IZR104" s="45"/>
      <c r="IZS104" s="14"/>
      <c r="IZT104" s="14"/>
      <c r="IZU104" s="14"/>
      <c r="IZV104" s="14"/>
      <c r="IZW104" s="14"/>
      <c r="IZX104" s="36"/>
      <c r="IZY104" s="14"/>
      <c r="IZZ104" s="45"/>
      <c r="JAA104" s="14"/>
      <c r="JAB104" s="14"/>
      <c r="JAC104" s="14"/>
      <c r="JAD104" s="14"/>
      <c r="JAE104" s="14"/>
      <c r="JAF104" s="36"/>
      <c r="JAG104" s="14"/>
      <c r="JAH104" s="45"/>
      <c r="JAI104" s="14"/>
      <c r="JAJ104" s="14"/>
      <c r="JAK104" s="14"/>
      <c r="JAL104" s="14"/>
      <c r="JAM104" s="14"/>
      <c r="JAN104" s="36"/>
      <c r="JAO104" s="14"/>
      <c r="JAP104" s="45"/>
      <c r="JAQ104" s="14"/>
      <c r="JAR104" s="14"/>
      <c r="JAS104" s="14"/>
      <c r="JAT104" s="14"/>
      <c r="JAU104" s="14"/>
      <c r="JAV104" s="36"/>
      <c r="JAW104" s="14"/>
      <c r="JAX104" s="45"/>
      <c r="JAY104" s="14"/>
      <c r="JAZ104" s="14"/>
      <c r="JBA104" s="14"/>
      <c r="JBB104" s="14"/>
      <c r="JBC104" s="14"/>
      <c r="JBD104" s="36"/>
      <c r="JBE104" s="14"/>
      <c r="JBF104" s="45"/>
      <c r="JBG104" s="14"/>
      <c r="JBH104" s="14"/>
      <c r="JBI104" s="14"/>
      <c r="JBJ104" s="14"/>
      <c r="JBK104" s="14"/>
      <c r="JBL104" s="36"/>
      <c r="JBM104" s="14"/>
      <c r="JBN104" s="45"/>
      <c r="JBO104" s="14"/>
      <c r="JBP104" s="14"/>
      <c r="JBQ104" s="14"/>
      <c r="JBR104" s="14"/>
      <c r="JBS104" s="14"/>
      <c r="JBT104" s="36"/>
      <c r="JBU104" s="14"/>
      <c r="JBV104" s="45"/>
      <c r="JBW104" s="14"/>
      <c r="JBX104" s="14"/>
      <c r="JBY104" s="14"/>
      <c r="JBZ104" s="14"/>
      <c r="JCA104" s="14"/>
      <c r="JCB104" s="36"/>
      <c r="JCC104" s="14"/>
      <c r="JCD104" s="45"/>
      <c r="JCE104" s="14"/>
      <c r="JCF104" s="14"/>
      <c r="JCG104" s="14"/>
      <c r="JCH104" s="14"/>
      <c r="JCI104" s="14"/>
      <c r="JCJ104" s="36"/>
      <c r="JCK104" s="14"/>
      <c r="JCL104" s="45"/>
      <c r="JCM104" s="14"/>
      <c r="JCN104" s="14"/>
      <c r="JCO104" s="14"/>
      <c r="JCP104" s="14"/>
      <c r="JCQ104" s="14"/>
      <c r="JCR104" s="36"/>
      <c r="JCS104" s="14"/>
      <c r="JCT104" s="45"/>
      <c r="JCU104" s="14"/>
      <c r="JCV104" s="14"/>
      <c r="JCW104" s="14"/>
      <c r="JCX104" s="14"/>
      <c r="JCY104" s="14"/>
      <c r="JCZ104" s="36"/>
      <c r="JDA104" s="14"/>
      <c r="JDB104" s="45"/>
      <c r="JDC104" s="14"/>
      <c r="JDD104" s="14"/>
      <c r="JDE104" s="14"/>
      <c r="JDF104" s="14"/>
      <c r="JDG104" s="14"/>
      <c r="JDH104" s="36"/>
      <c r="JDI104" s="14"/>
      <c r="JDJ104" s="45"/>
      <c r="JDK104" s="14"/>
      <c r="JDL104" s="14"/>
      <c r="JDM104" s="14"/>
      <c r="JDN104" s="14"/>
      <c r="JDO104" s="14"/>
      <c r="JDP104" s="36"/>
      <c r="JDQ104" s="14"/>
      <c r="JDR104" s="45"/>
      <c r="JDS104" s="14"/>
      <c r="JDT104" s="14"/>
      <c r="JDU104" s="14"/>
      <c r="JDV104" s="14"/>
      <c r="JDW104" s="14"/>
      <c r="JDX104" s="36"/>
      <c r="JDY104" s="14"/>
      <c r="JDZ104" s="45"/>
      <c r="JEA104" s="14"/>
      <c r="JEB104" s="14"/>
      <c r="JEC104" s="14"/>
      <c r="JED104" s="14"/>
      <c r="JEE104" s="14"/>
      <c r="JEF104" s="36"/>
      <c r="JEG104" s="14"/>
      <c r="JEH104" s="45"/>
      <c r="JEI104" s="14"/>
      <c r="JEJ104" s="14"/>
      <c r="JEK104" s="14"/>
      <c r="JEL104" s="14"/>
      <c r="JEM104" s="14"/>
      <c r="JEN104" s="36"/>
      <c r="JEO104" s="14"/>
      <c r="JEP104" s="45"/>
      <c r="JEQ104" s="14"/>
      <c r="JER104" s="14"/>
      <c r="JES104" s="14"/>
      <c r="JET104" s="14"/>
      <c r="JEU104" s="14"/>
      <c r="JEV104" s="36"/>
      <c r="JEW104" s="14"/>
      <c r="JEX104" s="45"/>
      <c r="JEY104" s="14"/>
      <c r="JEZ104" s="14"/>
      <c r="JFA104" s="14"/>
      <c r="JFB104" s="14"/>
      <c r="JFC104" s="14"/>
      <c r="JFD104" s="36"/>
      <c r="JFE104" s="14"/>
      <c r="JFF104" s="45"/>
      <c r="JFG104" s="14"/>
      <c r="JFH104" s="14"/>
      <c r="JFI104" s="14"/>
      <c r="JFJ104" s="14"/>
      <c r="JFK104" s="14"/>
      <c r="JFL104" s="36"/>
      <c r="JFM104" s="14"/>
      <c r="JFN104" s="45"/>
      <c r="JFO104" s="14"/>
      <c r="JFP104" s="14"/>
      <c r="JFQ104" s="14"/>
      <c r="JFR104" s="14"/>
      <c r="JFS104" s="14"/>
      <c r="JFT104" s="36"/>
      <c r="JFU104" s="14"/>
      <c r="JFV104" s="45"/>
      <c r="JFW104" s="14"/>
      <c r="JFX104" s="14"/>
      <c r="JFY104" s="14"/>
      <c r="JFZ104" s="14"/>
      <c r="JGA104" s="14"/>
      <c r="JGB104" s="36"/>
      <c r="JGC104" s="14"/>
      <c r="JGD104" s="45"/>
      <c r="JGE104" s="14"/>
      <c r="JGF104" s="14"/>
      <c r="JGG104" s="14"/>
      <c r="JGH104" s="14"/>
      <c r="JGI104" s="14"/>
      <c r="JGJ104" s="36"/>
      <c r="JGK104" s="14"/>
      <c r="JGL104" s="45"/>
      <c r="JGM104" s="14"/>
      <c r="JGN104" s="14"/>
      <c r="JGO104" s="14"/>
      <c r="JGP104" s="14"/>
      <c r="JGQ104" s="14"/>
      <c r="JGR104" s="36"/>
      <c r="JGS104" s="14"/>
      <c r="JGT104" s="45"/>
      <c r="JGU104" s="14"/>
      <c r="JGV104" s="14"/>
      <c r="JGW104" s="14"/>
      <c r="JGX104" s="14"/>
      <c r="JGY104" s="14"/>
      <c r="JGZ104" s="36"/>
      <c r="JHA104" s="14"/>
      <c r="JHB104" s="45"/>
      <c r="JHC104" s="14"/>
      <c r="JHD104" s="14"/>
      <c r="JHE104" s="14"/>
      <c r="JHF104" s="14"/>
      <c r="JHG104" s="14"/>
      <c r="JHH104" s="36"/>
      <c r="JHI104" s="14"/>
      <c r="JHJ104" s="45"/>
      <c r="JHK104" s="14"/>
      <c r="JHL104" s="14"/>
      <c r="JHM104" s="14"/>
      <c r="JHN104" s="14"/>
      <c r="JHO104" s="14"/>
      <c r="JHP104" s="36"/>
      <c r="JHQ104" s="14"/>
      <c r="JHR104" s="45"/>
      <c r="JHS104" s="14"/>
      <c r="JHT104" s="14"/>
      <c r="JHU104" s="14"/>
      <c r="JHV104" s="14"/>
      <c r="JHW104" s="14"/>
      <c r="JHX104" s="36"/>
      <c r="JHY104" s="14"/>
      <c r="JHZ104" s="45"/>
      <c r="JIA104" s="14"/>
      <c r="JIB104" s="14"/>
      <c r="JIC104" s="14"/>
      <c r="JID104" s="14"/>
      <c r="JIE104" s="14"/>
      <c r="JIF104" s="36"/>
      <c r="JIG104" s="14"/>
      <c r="JIH104" s="45"/>
      <c r="JII104" s="14"/>
      <c r="JIJ104" s="14"/>
      <c r="JIK104" s="14"/>
      <c r="JIL104" s="14"/>
      <c r="JIM104" s="14"/>
      <c r="JIN104" s="36"/>
      <c r="JIO104" s="14"/>
      <c r="JIP104" s="45"/>
      <c r="JIQ104" s="14"/>
      <c r="JIR104" s="14"/>
      <c r="JIS104" s="14"/>
      <c r="JIT104" s="14"/>
      <c r="JIU104" s="14"/>
      <c r="JIV104" s="36"/>
      <c r="JIW104" s="14"/>
      <c r="JIX104" s="45"/>
      <c r="JIY104" s="14"/>
      <c r="JIZ104" s="14"/>
      <c r="JJA104" s="14"/>
      <c r="JJB104" s="14"/>
      <c r="JJC104" s="14"/>
      <c r="JJD104" s="36"/>
      <c r="JJE104" s="14"/>
      <c r="JJF104" s="45"/>
      <c r="JJG104" s="14"/>
      <c r="JJH104" s="14"/>
      <c r="JJI104" s="14"/>
      <c r="JJJ104" s="14"/>
      <c r="JJK104" s="14"/>
      <c r="JJL104" s="36"/>
      <c r="JJM104" s="14"/>
      <c r="JJN104" s="45"/>
      <c r="JJO104" s="14"/>
      <c r="JJP104" s="14"/>
      <c r="JJQ104" s="14"/>
      <c r="JJR104" s="14"/>
      <c r="JJS104" s="14"/>
      <c r="JJT104" s="36"/>
      <c r="JJU104" s="14"/>
      <c r="JJV104" s="45"/>
      <c r="JJW104" s="14"/>
      <c r="JJX104" s="14"/>
      <c r="JJY104" s="14"/>
      <c r="JJZ104" s="14"/>
      <c r="JKA104" s="14"/>
      <c r="JKB104" s="36"/>
      <c r="JKC104" s="14"/>
      <c r="JKD104" s="45"/>
      <c r="JKE104" s="14"/>
      <c r="JKF104" s="14"/>
      <c r="JKG104" s="14"/>
      <c r="JKH104" s="14"/>
      <c r="JKI104" s="14"/>
      <c r="JKJ104" s="36"/>
      <c r="JKK104" s="14"/>
      <c r="JKL104" s="45"/>
      <c r="JKM104" s="14"/>
      <c r="JKN104" s="14"/>
      <c r="JKO104" s="14"/>
      <c r="JKP104" s="14"/>
      <c r="JKQ104" s="14"/>
      <c r="JKR104" s="36"/>
      <c r="JKS104" s="14"/>
      <c r="JKT104" s="45"/>
      <c r="JKU104" s="14"/>
      <c r="JKV104" s="14"/>
      <c r="JKW104" s="14"/>
      <c r="JKX104" s="14"/>
      <c r="JKY104" s="14"/>
      <c r="JKZ104" s="36"/>
      <c r="JLA104" s="14"/>
      <c r="JLB104" s="45"/>
      <c r="JLC104" s="14"/>
      <c r="JLD104" s="14"/>
      <c r="JLE104" s="14"/>
      <c r="JLF104" s="14"/>
      <c r="JLG104" s="14"/>
      <c r="JLH104" s="36"/>
      <c r="JLI104" s="14"/>
      <c r="JLJ104" s="45"/>
      <c r="JLK104" s="14"/>
      <c r="JLL104" s="14"/>
      <c r="JLM104" s="14"/>
      <c r="JLN104" s="14"/>
      <c r="JLO104" s="14"/>
      <c r="JLP104" s="36"/>
      <c r="JLQ104" s="14"/>
      <c r="JLR104" s="45"/>
      <c r="JLS104" s="14"/>
      <c r="JLT104" s="14"/>
      <c r="JLU104" s="14"/>
      <c r="JLV104" s="14"/>
      <c r="JLW104" s="14"/>
      <c r="JLX104" s="36"/>
      <c r="JLY104" s="14"/>
      <c r="JLZ104" s="45"/>
      <c r="JMA104" s="14"/>
      <c r="JMB104" s="14"/>
      <c r="JMC104" s="14"/>
      <c r="JMD104" s="14"/>
      <c r="JME104" s="14"/>
      <c r="JMF104" s="36"/>
      <c r="JMG104" s="14"/>
      <c r="JMH104" s="45"/>
      <c r="JMI104" s="14"/>
      <c r="JMJ104" s="14"/>
      <c r="JMK104" s="14"/>
      <c r="JML104" s="14"/>
      <c r="JMM104" s="14"/>
      <c r="JMN104" s="36"/>
      <c r="JMO104" s="14"/>
      <c r="JMP104" s="45"/>
      <c r="JMQ104" s="14"/>
      <c r="JMR104" s="14"/>
      <c r="JMS104" s="14"/>
      <c r="JMT104" s="14"/>
      <c r="JMU104" s="14"/>
      <c r="JMV104" s="36"/>
      <c r="JMW104" s="14"/>
      <c r="JMX104" s="45"/>
      <c r="JMY104" s="14"/>
      <c r="JMZ104" s="14"/>
      <c r="JNA104" s="14"/>
      <c r="JNB104" s="14"/>
      <c r="JNC104" s="14"/>
      <c r="JND104" s="36"/>
      <c r="JNE104" s="14"/>
      <c r="JNF104" s="45"/>
      <c r="JNG104" s="14"/>
      <c r="JNH104" s="14"/>
      <c r="JNI104" s="14"/>
      <c r="JNJ104" s="14"/>
      <c r="JNK104" s="14"/>
      <c r="JNL104" s="36"/>
      <c r="JNM104" s="14"/>
      <c r="JNN104" s="45"/>
      <c r="JNO104" s="14"/>
      <c r="JNP104" s="14"/>
      <c r="JNQ104" s="14"/>
      <c r="JNR104" s="14"/>
      <c r="JNS104" s="14"/>
      <c r="JNT104" s="36"/>
      <c r="JNU104" s="14"/>
      <c r="JNV104" s="45"/>
      <c r="JNW104" s="14"/>
      <c r="JNX104" s="14"/>
      <c r="JNY104" s="14"/>
      <c r="JNZ104" s="14"/>
      <c r="JOA104" s="14"/>
      <c r="JOB104" s="36"/>
      <c r="JOC104" s="14"/>
      <c r="JOD104" s="45"/>
      <c r="JOE104" s="14"/>
      <c r="JOF104" s="14"/>
      <c r="JOG104" s="14"/>
      <c r="JOH104" s="14"/>
      <c r="JOI104" s="14"/>
      <c r="JOJ104" s="36"/>
      <c r="JOK104" s="14"/>
      <c r="JOL104" s="45"/>
      <c r="JOM104" s="14"/>
      <c r="JON104" s="14"/>
      <c r="JOO104" s="14"/>
      <c r="JOP104" s="14"/>
      <c r="JOQ104" s="14"/>
      <c r="JOR104" s="36"/>
      <c r="JOS104" s="14"/>
      <c r="JOT104" s="45"/>
      <c r="JOU104" s="14"/>
      <c r="JOV104" s="14"/>
      <c r="JOW104" s="14"/>
      <c r="JOX104" s="14"/>
      <c r="JOY104" s="14"/>
      <c r="JOZ104" s="36"/>
      <c r="JPA104" s="14"/>
      <c r="JPB104" s="45"/>
      <c r="JPC104" s="14"/>
      <c r="JPD104" s="14"/>
      <c r="JPE104" s="14"/>
      <c r="JPF104" s="14"/>
      <c r="JPG104" s="14"/>
      <c r="JPH104" s="36"/>
      <c r="JPI104" s="14"/>
      <c r="JPJ104" s="45"/>
      <c r="JPK104" s="14"/>
      <c r="JPL104" s="14"/>
      <c r="JPM104" s="14"/>
      <c r="JPN104" s="14"/>
      <c r="JPO104" s="14"/>
      <c r="JPP104" s="36"/>
      <c r="JPQ104" s="14"/>
      <c r="JPR104" s="45"/>
      <c r="JPS104" s="14"/>
      <c r="JPT104" s="14"/>
      <c r="JPU104" s="14"/>
      <c r="JPV104" s="14"/>
      <c r="JPW104" s="14"/>
      <c r="JPX104" s="36"/>
      <c r="JPY104" s="14"/>
      <c r="JPZ104" s="45"/>
      <c r="JQA104" s="14"/>
      <c r="JQB104" s="14"/>
      <c r="JQC104" s="14"/>
      <c r="JQD104" s="14"/>
      <c r="JQE104" s="14"/>
      <c r="JQF104" s="36"/>
      <c r="JQG104" s="14"/>
      <c r="JQH104" s="45"/>
      <c r="JQI104" s="14"/>
      <c r="JQJ104" s="14"/>
      <c r="JQK104" s="14"/>
      <c r="JQL104" s="14"/>
      <c r="JQM104" s="14"/>
      <c r="JQN104" s="36"/>
      <c r="JQO104" s="14"/>
      <c r="JQP104" s="45"/>
      <c r="JQQ104" s="14"/>
      <c r="JQR104" s="14"/>
      <c r="JQS104" s="14"/>
      <c r="JQT104" s="14"/>
      <c r="JQU104" s="14"/>
      <c r="JQV104" s="36"/>
      <c r="JQW104" s="14"/>
      <c r="JQX104" s="45"/>
      <c r="JQY104" s="14"/>
      <c r="JQZ104" s="14"/>
      <c r="JRA104" s="14"/>
      <c r="JRB104" s="14"/>
      <c r="JRC104" s="14"/>
      <c r="JRD104" s="36"/>
      <c r="JRE104" s="14"/>
      <c r="JRF104" s="45"/>
      <c r="JRG104" s="14"/>
      <c r="JRH104" s="14"/>
      <c r="JRI104" s="14"/>
      <c r="JRJ104" s="14"/>
      <c r="JRK104" s="14"/>
      <c r="JRL104" s="36"/>
      <c r="JRM104" s="14"/>
      <c r="JRN104" s="45"/>
      <c r="JRO104" s="14"/>
      <c r="JRP104" s="14"/>
      <c r="JRQ104" s="14"/>
      <c r="JRR104" s="14"/>
      <c r="JRS104" s="14"/>
      <c r="JRT104" s="36"/>
      <c r="JRU104" s="14"/>
      <c r="JRV104" s="45"/>
      <c r="JRW104" s="14"/>
      <c r="JRX104" s="14"/>
      <c r="JRY104" s="14"/>
      <c r="JRZ104" s="14"/>
      <c r="JSA104" s="14"/>
      <c r="JSB104" s="36"/>
      <c r="JSC104" s="14"/>
      <c r="JSD104" s="45"/>
      <c r="JSE104" s="14"/>
      <c r="JSF104" s="14"/>
      <c r="JSG104" s="14"/>
      <c r="JSH104" s="14"/>
      <c r="JSI104" s="14"/>
      <c r="JSJ104" s="36"/>
      <c r="JSK104" s="14"/>
      <c r="JSL104" s="45"/>
      <c r="JSM104" s="14"/>
      <c r="JSN104" s="14"/>
      <c r="JSO104" s="14"/>
      <c r="JSP104" s="14"/>
      <c r="JSQ104" s="14"/>
      <c r="JSR104" s="36"/>
      <c r="JSS104" s="14"/>
      <c r="JST104" s="45"/>
      <c r="JSU104" s="14"/>
      <c r="JSV104" s="14"/>
      <c r="JSW104" s="14"/>
      <c r="JSX104" s="14"/>
      <c r="JSY104" s="14"/>
      <c r="JSZ104" s="36"/>
      <c r="JTA104" s="14"/>
      <c r="JTB104" s="45"/>
      <c r="JTC104" s="14"/>
      <c r="JTD104" s="14"/>
      <c r="JTE104" s="14"/>
      <c r="JTF104" s="14"/>
      <c r="JTG104" s="14"/>
      <c r="JTH104" s="36"/>
      <c r="JTI104" s="14"/>
      <c r="JTJ104" s="45"/>
      <c r="JTK104" s="14"/>
      <c r="JTL104" s="14"/>
      <c r="JTM104" s="14"/>
      <c r="JTN104" s="14"/>
      <c r="JTO104" s="14"/>
      <c r="JTP104" s="36"/>
      <c r="JTQ104" s="14"/>
      <c r="JTR104" s="45"/>
      <c r="JTS104" s="14"/>
      <c r="JTT104" s="14"/>
      <c r="JTU104" s="14"/>
      <c r="JTV104" s="14"/>
      <c r="JTW104" s="14"/>
      <c r="JTX104" s="36"/>
      <c r="JTY104" s="14"/>
      <c r="JTZ104" s="45"/>
      <c r="JUA104" s="14"/>
      <c r="JUB104" s="14"/>
      <c r="JUC104" s="14"/>
      <c r="JUD104" s="14"/>
      <c r="JUE104" s="14"/>
      <c r="JUF104" s="36"/>
      <c r="JUG104" s="14"/>
      <c r="JUH104" s="45"/>
      <c r="JUI104" s="14"/>
      <c r="JUJ104" s="14"/>
      <c r="JUK104" s="14"/>
      <c r="JUL104" s="14"/>
      <c r="JUM104" s="14"/>
      <c r="JUN104" s="36"/>
      <c r="JUO104" s="14"/>
      <c r="JUP104" s="45"/>
      <c r="JUQ104" s="14"/>
      <c r="JUR104" s="14"/>
      <c r="JUS104" s="14"/>
      <c r="JUT104" s="14"/>
      <c r="JUU104" s="14"/>
      <c r="JUV104" s="36"/>
      <c r="JUW104" s="14"/>
      <c r="JUX104" s="45"/>
      <c r="JUY104" s="14"/>
      <c r="JUZ104" s="14"/>
      <c r="JVA104" s="14"/>
      <c r="JVB104" s="14"/>
      <c r="JVC104" s="14"/>
      <c r="JVD104" s="36"/>
      <c r="JVE104" s="14"/>
      <c r="JVF104" s="45"/>
      <c r="JVG104" s="14"/>
      <c r="JVH104" s="14"/>
      <c r="JVI104" s="14"/>
      <c r="JVJ104" s="14"/>
      <c r="JVK104" s="14"/>
      <c r="JVL104" s="36"/>
      <c r="JVM104" s="14"/>
      <c r="JVN104" s="45"/>
      <c r="JVO104" s="14"/>
      <c r="JVP104" s="14"/>
      <c r="JVQ104" s="14"/>
      <c r="JVR104" s="14"/>
      <c r="JVS104" s="14"/>
      <c r="JVT104" s="36"/>
      <c r="JVU104" s="14"/>
      <c r="JVV104" s="45"/>
      <c r="JVW104" s="14"/>
      <c r="JVX104" s="14"/>
      <c r="JVY104" s="14"/>
      <c r="JVZ104" s="14"/>
      <c r="JWA104" s="14"/>
      <c r="JWB104" s="36"/>
      <c r="JWC104" s="14"/>
      <c r="JWD104" s="45"/>
      <c r="JWE104" s="14"/>
      <c r="JWF104" s="14"/>
      <c r="JWG104" s="14"/>
      <c r="JWH104" s="14"/>
      <c r="JWI104" s="14"/>
      <c r="JWJ104" s="36"/>
      <c r="JWK104" s="14"/>
      <c r="JWL104" s="45"/>
      <c r="JWM104" s="14"/>
      <c r="JWN104" s="14"/>
      <c r="JWO104" s="14"/>
      <c r="JWP104" s="14"/>
      <c r="JWQ104" s="14"/>
      <c r="JWR104" s="36"/>
      <c r="JWS104" s="14"/>
      <c r="JWT104" s="45"/>
      <c r="JWU104" s="14"/>
      <c r="JWV104" s="14"/>
      <c r="JWW104" s="14"/>
      <c r="JWX104" s="14"/>
      <c r="JWY104" s="14"/>
      <c r="JWZ104" s="36"/>
      <c r="JXA104" s="14"/>
      <c r="JXB104" s="45"/>
      <c r="JXC104" s="14"/>
      <c r="JXD104" s="14"/>
      <c r="JXE104" s="14"/>
      <c r="JXF104" s="14"/>
      <c r="JXG104" s="14"/>
      <c r="JXH104" s="36"/>
      <c r="JXI104" s="14"/>
      <c r="JXJ104" s="45"/>
      <c r="JXK104" s="14"/>
      <c r="JXL104" s="14"/>
      <c r="JXM104" s="14"/>
      <c r="JXN104" s="14"/>
      <c r="JXO104" s="14"/>
      <c r="JXP104" s="36"/>
      <c r="JXQ104" s="14"/>
      <c r="JXR104" s="45"/>
      <c r="JXS104" s="14"/>
      <c r="JXT104" s="14"/>
      <c r="JXU104" s="14"/>
      <c r="JXV104" s="14"/>
      <c r="JXW104" s="14"/>
      <c r="JXX104" s="36"/>
      <c r="JXY104" s="14"/>
      <c r="JXZ104" s="45"/>
      <c r="JYA104" s="14"/>
      <c r="JYB104" s="14"/>
      <c r="JYC104" s="14"/>
      <c r="JYD104" s="14"/>
      <c r="JYE104" s="14"/>
      <c r="JYF104" s="36"/>
      <c r="JYG104" s="14"/>
      <c r="JYH104" s="45"/>
      <c r="JYI104" s="14"/>
      <c r="JYJ104" s="14"/>
      <c r="JYK104" s="14"/>
      <c r="JYL104" s="14"/>
      <c r="JYM104" s="14"/>
      <c r="JYN104" s="36"/>
      <c r="JYO104" s="14"/>
      <c r="JYP104" s="45"/>
      <c r="JYQ104" s="14"/>
      <c r="JYR104" s="14"/>
      <c r="JYS104" s="14"/>
      <c r="JYT104" s="14"/>
      <c r="JYU104" s="14"/>
      <c r="JYV104" s="36"/>
      <c r="JYW104" s="14"/>
      <c r="JYX104" s="45"/>
      <c r="JYY104" s="14"/>
      <c r="JYZ104" s="14"/>
      <c r="JZA104" s="14"/>
      <c r="JZB104" s="14"/>
      <c r="JZC104" s="14"/>
      <c r="JZD104" s="36"/>
      <c r="JZE104" s="14"/>
      <c r="JZF104" s="45"/>
      <c r="JZG104" s="14"/>
      <c r="JZH104" s="14"/>
      <c r="JZI104" s="14"/>
      <c r="JZJ104" s="14"/>
      <c r="JZK104" s="14"/>
      <c r="JZL104" s="36"/>
      <c r="JZM104" s="14"/>
      <c r="JZN104" s="45"/>
      <c r="JZO104" s="14"/>
      <c r="JZP104" s="14"/>
      <c r="JZQ104" s="14"/>
      <c r="JZR104" s="14"/>
      <c r="JZS104" s="14"/>
      <c r="JZT104" s="36"/>
      <c r="JZU104" s="14"/>
      <c r="JZV104" s="45"/>
      <c r="JZW104" s="14"/>
      <c r="JZX104" s="14"/>
      <c r="JZY104" s="14"/>
      <c r="JZZ104" s="14"/>
      <c r="KAA104" s="14"/>
      <c r="KAB104" s="36"/>
      <c r="KAC104" s="14"/>
      <c r="KAD104" s="45"/>
      <c r="KAE104" s="14"/>
      <c r="KAF104" s="14"/>
      <c r="KAG104" s="14"/>
      <c r="KAH104" s="14"/>
      <c r="KAI104" s="14"/>
      <c r="KAJ104" s="36"/>
      <c r="KAK104" s="14"/>
      <c r="KAL104" s="45"/>
      <c r="KAM104" s="14"/>
      <c r="KAN104" s="14"/>
      <c r="KAO104" s="14"/>
      <c r="KAP104" s="14"/>
      <c r="KAQ104" s="14"/>
      <c r="KAR104" s="36"/>
      <c r="KAS104" s="14"/>
      <c r="KAT104" s="45"/>
      <c r="KAU104" s="14"/>
      <c r="KAV104" s="14"/>
      <c r="KAW104" s="14"/>
      <c r="KAX104" s="14"/>
      <c r="KAY104" s="14"/>
      <c r="KAZ104" s="36"/>
      <c r="KBA104" s="14"/>
      <c r="KBB104" s="45"/>
      <c r="KBC104" s="14"/>
      <c r="KBD104" s="14"/>
      <c r="KBE104" s="14"/>
      <c r="KBF104" s="14"/>
      <c r="KBG104" s="14"/>
      <c r="KBH104" s="36"/>
      <c r="KBI104" s="14"/>
      <c r="KBJ104" s="45"/>
      <c r="KBK104" s="14"/>
      <c r="KBL104" s="14"/>
      <c r="KBM104" s="14"/>
      <c r="KBN104" s="14"/>
      <c r="KBO104" s="14"/>
      <c r="KBP104" s="36"/>
      <c r="KBQ104" s="14"/>
      <c r="KBR104" s="45"/>
      <c r="KBS104" s="14"/>
      <c r="KBT104" s="14"/>
      <c r="KBU104" s="14"/>
      <c r="KBV104" s="14"/>
      <c r="KBW104" s="14"/>
      <c r="KBX104" s="36"/>
      <c r="KBY104" s="14"/>
      <c r="KBZ104" s="45"/>
      <c r="KCA104" s="14"/>
      <c r="KCB104" s="14"/>
      <c r="KCC104" s="14"/>
      <c r="KCD104" s="14"/>
      <c r="KCE104" s="14"/>
      <c r="KCF104" s="36"/>
      <c r="KCG104" s="14"/>
      <c r="KCH104" s="45"/>
      <c r="KCI104" s="14"/>
      <c r="KCJ104" s="14"/>
      <c r="KCK104" s="14"/>
      <c r="KCL104" s="14"/>
      <c r="KCM104" s="14"/>
      <c r="KCN104" s="36"/>
      <c r="KCO104" s="14"/>
      <c r="KCP104" s="45"/>
      <c r="KCQ104" s="14"/>
      <c r="KCR104" s="14"/>
      <c r="KCS104" s="14"/>
      <c r="KCT104" s="14"/>
      <c r="KCU104" s="14"/>
      <c r="KCV104" s="36"/>
      <c r="KCW104" s="14"/>
      <c r="KCX104" s="45"/>
      <c r="KCY104" s="14"/>
      <c r="KCZ104" s="14"/>
      <c r="KDA104" s="14"/>
      <c r="KDB104" s="14"/>
      <c r="KDC104" s="14"/>
      <c r="KDD104" s="36"/>
      <c r="KDE104" s="14"/>
      <c r="KDF104" s="45"/>
      <c r="KDG104" s="14"/>
      <c r="KDH104" s="14"/>
      <c r="KDI104" s="14"/>
      <c r="KDJ104" s="14"/>
      <c r="KDK104" s="14"/>
      <c r="KDL104" s="36"/>
      <c r="KDM104" s="14"/>
      <c r="KDN104" s="45"/>
      <c r="KDO104" s="14"/>
      <c r="KDP104" s="14"/>
      <c r="KDQ104" s="14"/>
      <c r="KDR104" s="14"/>
      <c r="KDS104" s="14"/>
      <c r="KDT104" s="36"/>
      <c r="KDU104" s="14"/>
      <c r="KDV104" s="45"/>
      <c r="KDW104" s="14"/>
      <c r="KDX104" s="14"/>
      <c r="KDY104" s="14"/>
      <c r="KDZ104" s="14"/>
      <c r="KEA104" s="14"/>
      <c r="KEB104" s="36"/>
      <c r="KEC104" s="14"/>
      <c r="KED104" s="45"/>
      <c r="KEE104" s="14"/>
      <c r="KEF104" s="14"/>
      <c r="KEG104" s="14"/>
      <c r="KEH104" s="14"/>
      <c r="KEI104" s="14"/>
      <c r="KEJ104" s="36"/>
      <c r="KEK104" s="14"/>
      <c r="KEL104" s="45"/>
      <c r="KEM104" s="14"/>
      <c r="KEN104" s="14"/>
      <c r="KEO104" s="14"/>
      <c r="KEP104" s="14"/>
      <c r="KEQ104" s="14"/>
      <c r="KER104" s="36"/>
      <c r="KES104" s="14"/>
      <c r="KET104" s="45"/>
      <c r="KEU104" s="14"/>
      <c r="KEV104" s="14"/>
      <c r="KEW104" s="14"/>
      <c r="KEX104" s="14"/>
      <c r="KEY104" s="14"/>
      <c r="KEZ104" s="36"/>
      <c r="KFA104" s="14"/>
      <c r="KFB104" s="45"/>
      <c r="KFC104" s="14"/>
      <c r="KFD104" s="14"/>
      <c r="KFE104" s="14"/>
      <c r="KFF104" s="14"/>
      <c r="KFG104" s="14"/>
      <c r="KFH104" s="36"/>
      <c r="KFI104" s="14"/>
      <c r="KFJ104" s="45"/>
      <c r="KFK104" s="14"/>
      <c r="KFL104" s="14"/>
      <c r="KFM104" s="14"/>
      <c r="KFN104" s="14"/>
      <c r="KFO104" s="14"/>
      <c r="KFP104" s="36"/>
      <c r="KFQ104" s="14"/>
      <c r="KFR104" s="45"/>
      <c r="KFS104" s="14"/>
      <c r="KFT104" s="14"/>
      <c r="KFU104" s="14"/>
      <c r="KFV104" s="14"/>
      <c r="KFW104" s="14"/>
      <c r="KFX104" s="36"/>
      <c r="KFY104" s="14"/>
      <c r="KFZ104" s="45"/>
      <c r="KGA104" s="14"/>
      <c r="KGB104" s="14"/>
      <c r="KGC104" s="14"/>
      <c r="KGD104" s="14"/>
      <c r="KGE104" s="14"/>
      <c r="KGF104" s="36"/>
      <c r="KGG104" s="14"/>
      <c r="KGH104" s="45"/>
      <c r="KGI104" s="14"/>
      <c r="KGJ104" s="14"/>
      <c r="KGK104" s="14"/>
      <c r="KGL104" s="14"/>
      <c r="KGM104" s="14"/>
      <c r="KGN104" s="36"/>
      <c r="KGO104" s="14"/>
      <c r="KGP104" s="45"/>
      <c r="KGQ104" s="14"/>
      <c r="KGR104" s="14"/>
      <c r="KGS104" s="14"/>
      <c r="KGT104" s="14"/>
      <c r="KGU104" s="14"/>
      <c r="KGV104" s="36"/>
      <c r="KGW104" s="14"/>
      <c r="KGX104" s="45"/>
      <c r="KGY104" s="14"/>
      <c r="KGZ104" s="14"/>
      <c r="KHA104" s="14"/>
      <c r="KHB104" s="14"/>
      <c r="KHC104" s="14"/>
      <c r="KHD104" s="36"/>
      <c r="KHE104" s="14"/>
      <c r="KHF104" s="45"/>
      <c r="KHG104" s="14"/>
      <c r="KHH104" s="14"/>
      <c r="KHI104" s="14"/>
      <c r="KHJ104" s="14"/>
      <c r="KHK104" s="14"/>
      <c r="KHL104" s="36"/>
      <c r="KHM104" s="14"/>
      <c r="KHN104" s="45"/>
      <c r="KHO104" s="14"/>
      <c r="KHP104" s="14"/>
      <c r="KHQ104" s="14"/>
      <c r="KHR104" s="14"/>
      <c r="KHS104" s="14"/>
      <c r="KHT104" s="36"/>
      <c r="KHU104" s="14"/>
      <c r="KHV104" s="45"/>
      <c r="KHW104" s="14"/>
      <c r="KHX104" s="14"/>
      <c r="KHY104" s="14"/>
      <c r="KHZ104" s="14"/>
      <c r="KIA104" s="14"/>
      <c r="KIB104" s="36"/>
      <c r="KIC104" s="14"/>
      <c r="KID104" s="45"/>
      <c r="KIE104" s="14"/>
      <c r="KIF104" s="14"/>
      <c r="KIG104" s="14"/>
      <c r="KIH104" s="14"/>
      <c r="KII104" s="14"/>
      <c r="KIJ104" s="36"/>
      <c r="KIK104" s="14"/>
      <c r="KIL104" s="45"/>
      <c r="KIM104" s="14"/>
      <c r="KIN104" s="14"/>
      <c r="KIO104" s="14"/>
      <c r="KIP104" s="14"/>
      <c r="KIQ104" s="14"/>
      <c r="KIR104" s="36"/>
      <c r="KIS104" s="14"/>
      <c r="KIT104" s="45"/>
      <c r="KIU104" s="14"/>
      <c r="KIV104" s="14"/>
      <c r="KIW104" s="14"/>
      <c r="KIX104" s="14"/>
      <c r="KIY104" s="14"/>
      <c r="KIZ104" s="36"/>
      <c r="KJA104" s="14"/>
      <c r="KJB104" s="45"/>
      <c r="KJC104" s="14"/>
      <c r="KJD104" s="14"/>
      <c r="KJE104" s="14"/>
      <c r="KJF104" s="14"/>
      <c r="KJG104" s="14"/>
      <c r="KJH104" s="36"/>
      <c r="KJI104" s="14"/>
      <c r="KJJ104" s="45"/>
      <c r="KJK104" s="14"/>
      <c r="KJL104" s="14"/>
      <c r="KJM104" s="14"/>
      <c r="KJN104" s="14"/>
      <c r="KJO104" s="14"/>
      <c r="KJP104" s="36"/>
      <c r="KJQ104" s="14"/>
      <c r="KJR104" s="45"/>
      <c r="KJS104" s="14"/>
      <c r="KJT104" s="14"/>
      <c r="KJU104" s="14"/>
      <c r="KJV104" s="14"/>
      <c r="KJW104" s="14"/>
      <c r="KJX104" s="36"/>
      <c r="KJY104" s="14"/>
      <c r="KJZ104" s="45"/>
      <c r="KKA104" s="14"/>
      <c r="KKB104" s="14"/>
      <c r="KKC104" s="14"/>
      <c r="KKD104" s="14"/>
      <c r="KKE104" s="14"/>
      <c r="KKF104" s="36"/>
      <c r="KKG104" s="14"/>
      <c r="KKH104" s="45"/>
      <c r="KKI104" s="14"/>
      <c r="KKJ104" s="14"/>
      <c r="KKK104" s="14"/>
      <c r="KKL104" s="14"/>
      <c r="KKM104" s="14"/>
      <c r="KKN104" s="36"/>
      <c r="KKO104" s="14"/>
      <c r="KKP104" s="45"/>
      <c r="KKQ104" s="14"/>
      <c r="KKR104" s="14"/>
      <c r="KKS104" s="14"/>
      <c r="KKT104" s="14"/>
      <c r="KKU104" s="14"/>
      <c r="KKV104" s="36"/>
      <c r="KKW104" s="14"/>
      <c r="KKX104" s="45"/>
      <c r="KKY104" s="14"/>
      <c r="KKZ104" s="14"/>
      <c r="KLA104" s="14"/>
      <c r="KLB104" s="14"/>
      <c r="KLC104" s="14"/>
      <c r="KLD104" s="36"/>
      <c r="KLE104" s="14"/>
      <c r="KLF104" s="45"/>
      <c r="KLG104" s="14"/>
      <c r="KLH104" s="14"/>
      <c r="KLI104" s="14"/>
      <c r="KLJ104" s="14"/>
      <c r="KLK104" s="14"/>
      <c r="KLL104" s="36"/>
      <c r="KLM104" s="14"/>
      <c r="KLN104" s="45"/>
      <c r="KLO104" s="14"/>
      <c r="KLP104" s="14"/>
      <c r="KLQ104" s="14"/>
      <c r="KLR104" s="14"/>
      <c r="KLS104" s="14"/>
      <c r="KLT104" s="36"/>
      <c r="KLU104" s="14"/>
      <c r="KLV104" s="45"/>
      <c r="KLW104" s="14"/>
      <c r="KLX104" s="14"/>
      <c r="KLY104" s="14"/>
      <c r="KLZ104" s="14"/>
      <c r="KMA104" s="14"/>
      <c r="KMB104" s="36"/>
      <c r="KMC104" s="14"/>
      <c r="KMD104" s="45"/>
      <c r="KME104" s="14"/>
      <c r="KMF104" s="14"/>
      <c r="KMG104" s="14"/>
      <c r="KMH104" s="14"/>
      <c r="KMI104" s="14"/>
      <c r="KMJ104" s="36"/>
      <c r="KMK104" s="14"/>
      <c r="KML104" s="45"/>
      <c r="KMM104" s="14"/>
      <c r="KMN104" s="14"/>
      <c r="KMO104" s="14"/>
      <c r="KMP104" s="14"/>
      <c r="KMQ104" s="14"/>
      <c r="KMR104" s="36"/>
      <c r="KMS104" s="14"/>
      <c r="KMT104" s="45"/>
      <c r="KMU104" s="14"/>
      <c r="KMV104" s="14"/>
      <c r="KMW104" s="14"/>
      <c r="KMX104" s="14"/>
      <c r="KMY104" s="14"/>
      <c r="KMZ104" s="36"/>
      <c r="KNA104" s="14"/>
      <c r="KNB104" s="45"/>
      <c r="KNC104" s="14"/>
      <c r="KND104" s="14"/>
      <c r="KNE104" s="14"/>
      <c r="KNF104" s="14"/>
      <c r="KNG104" s="14"/>
      <c r="KNH104" s="36"/>
      <c r="KNI104" s="14"/>
      <c r="KNJ104" s="45"/>
      <c r="KNK104" s="14"/>
      <c r="KNL104" s="14"/>
      <c r="KNM104" s="14"/>
      <c r="KNN104" s="14"/>
      <c r="KNO104" s="14"/>
      <c r="KNP104" s="36"/>
      <c r="KNQ104" s="14"/>
      <c r="KNR104" s="45"/>
      <c r="KNS104" s="14"/>
      <c r="KNT104" s="14"/>
      <c r="KNU104" s="14"/>
      <c r="KNV104" s="14"/>
      <c r="KNW104" s="14"/>
      <c r="KNX104" s="36"/>
      <c r="KNY104" s="14"/>
      <c r="KNZ104" s="45"/>
      <c r="KOA104" s="14"/>
      <c r="KOB104" s="14"/>
      <c r="KOC104" s="14"/>
      <c r="KOD104" s="14"/>
      <c r="KOE104" s="14"/>
      <c r="KOF104" s="36"/>
      <c r="KOG104" s="14"/>
      <c r="KOH104" s="45"/>
      <c r="KOI104" s="14"/>
      <c r="KOJ104" s="14"/>
      <c r="KOK104" s="14"/>
      <c r="KOL104" s="14"/>
      <c r="KOM104" s="14"/>
      <c r="KON104" s="36"/>
      <c r="KOO104" s="14"/>
      <c r="KOP104" s="45"/>
      <c r="KOQ104" s="14"/>
      <c r="KOR104" s="14"/>
      <c r="KOS104" s="14"/>
      <c r="KOT104" s="14"/>
      <c r="KOU104" s="14"/>
      <c r="KOV104" s="36"/>
      <c r="KOW104" s="14"/>
      <c r="KOX104" s="45"/>
      <c r="KOY104" s="14"/>
      <c r="KOZ104" s="14"/>
      <c r="KPA104" s="14"/>
      <c r="KPB104" s="14"/>
      <c r="KPC104" s="14"/>
      <c r="KPD104" s="36"/>
      <c r="KPE104" s="14"/>
      <c r="KPF104" s="45"/>
      <c r="KPG104" s="14"/>
      <c r="KPH104" s="14"/>
      <c r="KPI104" s="14"/>
      <c r="KPJ104" s="14"/>
      <c r="KPK104" s="14"/>
      <c r="KPL104" s="36"/>
      <c r="KPM104" s="14"/>
      <c r="KPN104" s="45"/>
      <c r="KPO104" s="14"/>
      <c r="KPP104" s="14"/>
      <c r="KPQ104" s="14"/>
      <c r="KPR104" s="14"/>
      <c r="KPS104" s="14"/>
      <c r="KPT104" s="36"/>
      <c r="KPU104" s="14"/>
      <c r="KPV104" s="45"/>
      <c r="KPW104" s="14"/>
      <c r="KPX104" s="14"/>
      <c r="KPY104" s="14"/>
      <c r="KPZ104" s="14"/>
      <c r="KQA104" s="14"/>
      <c r="KQB104" s="36"/>
      <c r="KQC104" s="14"/>
      <c r="KQD104" s="45"/>
      <c r="KQE104" s="14"/>
      <c r="KQF104" s="14"/>
      <c r="KQG104" s="14"/>
      <c r="KQH104" s="14"/>
      <c r="KQI104" s="14"/>
      <c r="KQJ104" s="36"/>
      <c r="KQK104" s="14"/>
      <c r="KQL104" s="45"/>
      <c r="KQM104" s="14"/>
      <c r="KQN104" s="14"/>
      <c r="KQO104" s="14"/>
      <c r="KQP104" s="14"/>
      <c r="KQQ104" s="14"/>
      <c r="KQR104" s="36"/>
      <c r="KQS104" s="14"/>
      <c r="KQT104" s="45"/>
      <c r="KQU104" s="14"/>
      <c r="KQV104" s="14"/>
      <c r="KQW104" s="14"/>
      <c r="KQX104" s="14"/>
      <c r="KQY104" s="14"/>
      <c r="KQZ104" s="36"/>
      <c r="KRA104" s="14"/>
      <c r="KRB104" s="45"/>
      <c r="KRC104" s="14"/>
      <c r="KRD104" s="14"/>
      <c r="KRE104" s="14"/>
      <c r="KRF104" s="14"/>
      <c r="KRG104" s="14"/>
      <c r="KRH104" s="36"/>
      <c r="KRI104" s="14"/>
      <c r="KRJ104" s="45"/>
      <c r="KRK104" s="14"/>
      <c r="KRL104" s="14"/>
      <c r="KRM104" s="14"/>
      <c r="KRN104" s="14"/>
      <c r="KRO104" s="14"/>
      <c r="KRP104" s="36"/>
      <c r="KRQ104" s="14"/>
      <c r="KRR104" s="45"/>
      <c r="KRS104" s="14"/>
      <c r="KRT104" s="14"/>
      <c r="KRU104" s="14"/>
      <c r="KRV104" s="14"/>
      <c r="KRW104" s="14"/>
      <c r="KRX104" s="36"/>
      <c r="KRY104" s="14"/>
      <c r="KRZ104" s="45"/>
      <c r="KSA104" s="14"/>
      <c r="KSB104" s="14"/>
      <c r="KSC104" s="14"/>
      <c r="KSD104" s="14"/>
      <c r="KSE104" s="14"/>
      <c r="KSF104" s="36"/>
      <c r="KSG104" s="14"/>
      <c r="KSH104" s="45"/>
      <c r="KSI104" s="14"/>
      <c r="KSJ104" s="14"/>
      <c r="KSK104" s="14"/>
      <c r="KSL104" s="14"/>
      <c r="KSM104" s="14"/>
      <c r="KSN104" s="36"/>
      <c r="KSO104" s="14"/>
      <c r="KSP104" s="45"/>
      <c r="KSQ104" s="14"/>
      <c r="KSR104" s="14"/>
      <c r="KSS104" s="14"/>
      <c r="KST104" s="14"/>
      <c r="KSU104" s="14"/>
      <c r="KSV104" s="36"/>
      <c r="KSW104" s="14"/>
      <c r="KSX104" s="45"/>
      <c r="KSY104" s="14"/>
      <c r="KSZ104" s="14"/>
      <c r="KTA104" s="14"/>
      <c r="KTB104" s="14"/>
      <c r="KTC104" s="14"/>
      <c r="KTD104" s="36"/>
      <c r="KTE104" s="14"/>
      <c r="KTF104" s="45"/>
      <c r="KTG104" s="14"/>
      <c r="KTH104" s="14"/>
      <c r="KTI104" s="14"/>
      <c r="KTJ104" s="14"/>
      <c r="KTK104" s="14"/>
      <c r="KTL104" s="36"/>
      <c r="KTM104" s="14"/>
      <c r="KTN104" s="45"/>
      <c r="KTO104" s="14"/>
      <c r="KTP104" s="14"/>
      <c r="KTQ104" s="14"/>
      <c r="KTR104" s="14"/>
      <c r="KTS104" s="14"/>
      <c r="KTT104" s="36"/>
      <c r="KTU104" s="14"/>
      <c r="KTV104" s="45"/>
      <c r="KTW104" s="14"/>
      <c r="KTX104" s="14"/>
      <c r="KTY104" s="14"/>
      <c r="KTZ104" s="14"/>
      <c r="KUA104" s="14"/>
      <c r="KUB104" s="36"/>
      <c r="KUC104" s="14"/>
      <c r="KUD104" s="45"/>
      <c r="KUE104" s="14"/>
      <c r="KUF104" s="14"/>
      <c r="KUG104" s="14"/>
      <c r="KUH104" s="14"/>
      <c r="KUI104" s="14"/>
      <c r="KUJ104" s="36"/>
      <c r="KUK104" s="14"/>
      <c r="KUL104" s="45"/>
      <c r="KUM104" s="14"/>
      <c r="KUN104" s="14"/>
      <c r="KUO104" s="14"/>
      <c r="KUP104" s="14"/>
      <c r="KUQ104" s="14"/>
      <c r="KUR104" s="36"/>
      <c r="KUS104" s="14"/>
      <c r="KUT104" s="45"/>
      <c r="KUU104" s="14"/>
      <c r="KUV104" s="14"/>
      <c r="KUW104" s="14"/>
      <c r="KUX104" s="14"/>
      <c r="KUY104" s="14"/>
      <c r="KUZ104" s="36"/>
      <c r="KVA104" s="14"/>
      <c r="KVB104" s="45"/>
      <c r="KVC104" s="14"/>
      <c r="KVD104" s="14"/>
      <c r="KVE104" s="14"/>
      <c r="KVF104" s="14"/>
      <c r="KVG104" s="14"/>
      <c r="KVH104" s="36"/>
      <c r="KVI104" s="14"/>
      <c r="KVJ104" s="45"/>
      <c r="KVK104" s="14"/>
      <c r="KVL104" s="14"/>
      <c r="KVM104" s="14"/>
      <c r="KVN104" s="14"/>
      <c r="KVO104" s="14"/>
      <c r="KVP104" s="36"/>
      <c r="KVQ104" s="14"/>
      <c r="KVR104" s="45"/>
      <c r="KVS104" s="14"/>
      <c r="KVT104" s="14"/>
      <c r="KVU104" s="14"/>
      <c r="KVV104" s="14"/>
      <c r="KVW104" s="14"/>
      <c r="KVX104" s="36"/>
      <c r="KVY104" s="14"/>
      <c r="KVZ104" s="45"/>
      <c r="KWA104" s="14"/>
      <c r="KWB104" s="14"/>
      <c r="KWC104" s="14"/>
      <c r="KWD104" s="14"/>
      <c r="KWE104" s="14"/>
      <c r="KWF104" s="36"/>
      <c r="KWG104" s="14"/>
      <c r="KWH104" s="45"/>
      <c r="KWI104" s="14"/>
      <c r="KWJ104" s="14"/>
      <c r="KWK104" s="14"/>
      <c r="KWL104" s="14"/>
      <c r="KWM104" s="14"/>
      <c r="KWN104" s="36"/>
      <c r="KWO104" s="14"/>
      <c r="KWP104" s="45"/>
      <c r="KWQ104" s="14"/>
      <c r="KWR104" s="14"/>
      <c r="KWS104" s="14"/>
      <c r="KWT104" s="14"/>
      <c r="KWU104" s="14"/>
      <c r="KWV104" s="36"/>
      <c r="KWW104" s="14"/>
      <c r="KWX104" s="45"/>
      <c r="KWY104" s="14"/>
      <c r="KWZ104" s="14"/>
      <c r="KXA104" s="14"/>
      <c r="KXB104" s="14"/>
      <c r="KXC104" s="14"/>
      <c r="KXD104" s="36"/>
      <c r="KXE104" s="14"/>
      <c r="KXF104" s="45"/>
      <c r="KXG104" s="14"/>
      <c r="KXH104" s="14"/>
      <c r="KXI104" s="14"/>
      <c r="KXJ104" s="14"/>
      <c r="KXK104" s="14"/>
      <c r="KXL104" s="36"/>
      <c r="KXM104" s="14"/>
      <c r="KXN104" s="45"/>
      <c r="KXO104" s="14"/>
      <c r="KXP104" s="14"/>
      <c r="KXQ104" s="14"/>
      <c r="KXR104" s="14"/>
      <c r="KXS104" s="14"/>
      <c r="KXT104" s="36"/>
      <c r="KXU104" s="14"/>
      <c r="KXV104" s="45"/>
      <c r="KXW104" s="14"/>
      <c r="KXX104" s="14"/>
      <c r="KXY104" s="14"/>
      <c r="KXZ104" s="14"/>
      <c r="KYA104" s="14"/>
      <c r="KYB104" s="36"/>
      <c r="KYC104" s="14"/>
      <c r="KYD104" s="45"/>
      <c r="KYE104" s="14"/>
      <c r="KYF104" s="14"/>
      <c r="KYG104" s="14"/>
      <c r="KYH104" s="14"/>
      <c r="KYI104" s="14"/>
      <c r="KYJ104" s="36"/>
      <c r="KYK104" s="14"/>
      <c r="KYL104" s="45"/>
      <c r="KYM104" s="14"/>
      <c r="KYN104" s="14"/>
      <c r="KYO104" s="14"/>
      <c r="KYP104" s="14"/>
      <c r="KYQ104" s="14"/>
      <c r="KYR104" s="36"/>
      <c r="KYS104" s="14"/>
      <c r="KYT104" s="45"/>
      <c r="KYU104" s="14"/>
      <c r="KYV104" s="14"/>
      <c r="KYW104" s="14"/>
      <c r="KYX104" s="14"/>
      <c r="KYY104" s="14"/>
      <c r="KYZ104" s="36"/>
      <c r="KZA104" s="14"/>
      <c r="KZB104" s="45"/>
      <c r="KZC104" s="14"/>
      <c r="KZD104" s="14"/>
      <c r="KZE104" s="14"/>
      <c r="KZF104" s="14"/>
      <c r="KZG104" s="14"/>
      <c r="KZH104" s="36"/>
      <c r="KZI104" s="14"/>
      <c r="KZJ104" s="45"/>
      <c r="KZK104" s="14"/>
      <c r="KZL104" s="14"/>
      <c r="KZM104" s="14"/>
      <c r="KZN104" s="14"/>
      <c r="KZO104" s="14"/>
      <c r="KZP104" s="36"/>
      <c r="KZQ104" s="14"/>
      <c r="KZR104" s="45"/>
      <c r="KZS104" s="14"/>
      <c r="KZT104" s="14"/>
      <c r="KZU104" s="14"/>
      <c r="KZV104" s="14"/>
      <c r="KZW104" s="14"/>
      <c r="KZX104" s="36"/>
      <c r="KZY104" s="14"/>
      <c r="KZZ104" s="45"/>
      <c r="LAA104" s="14"/>
      <c r="LAB104" s="14"/>
      <c r="LAC104" s="14"/>
      <c r="LAD104" s="14"/>
      <c r="LAE104" s="14"/>
      <c r="LAF104" s="36"/>
      <c r="LAG104" s="14"/>
      <c r="LAH104" s="45"/>
      <c r="LAI104" s="14"/>
      <c r="LAJ104" s="14"/>
      <c r="LAK104" s="14"/>
      <c r="LAL104" s="14"/>
      <c r="LAM104" s="14"/>
      <c r="LAN104" s="36"/>
      <c r="LAO104" s="14"/>
      <c r="LAP104" s="45"/>
      <c r="LAQ104" s="14"/>
      <c r="LAR104" s="14"/>
      <c r="LAS104" s="14"/>
      <c r="LAT104" s="14"/>
      <c r="LAU104" s="14"/>
      <c r="LAV104" s="36"/>
      <c r="LAW104" s="14"/>
      <c r="LAX104" s="45"/>
      <c r="LAY104" s="14"/>
      <c r="LAZ104" s="14"/>
      <c r="LBA104" s="14"/>
      <c r="LBB104" s="14"/>
      <c r="LBC104" s="14"/>
      <c r="LBD104" s="36"/>
      <c r="LBE104" s="14"/>
      <c r="LBF104" s="45"/>
      <c r="LBG104" s="14"/>
      <c r="LBH104" s="14"/>
      <c r="LBI104" s="14"/>
      <c r="LBJ104" s="14"/>
      <c r="LBK104" s="14"/>
      <c r="LBL104" s="36"/>
      <c r="LBM104" s="14"/>
      <c r="LBN104" s="45"/>
      <c r="LBO104" s="14"/>
      <c r="LBP104" s="14"/>
      <c r="LBQ104" s="14"/>
      <c r="LBR104" s="14"/>
      <c r="LBS104" s="14"/>
      <c r="LBT104" s="36"/>
      <c r="LBU104" s="14"/>
      <c r="LBV104" s="45"/>
      <c r="LBW104" s="14"/>
      <c r="LBX104" s="14"/>
      <c r="LBY104" s="14"/>
      <c r="LBZ104" s="14"/>
      <c r="LCA104" s="14"/>
      <c r="LCB104" s="36"/>
      <c r="LCC104" s="14"/>
      <c r="LCD104" s="45"/>
      <c r="LCE104" s="14"/>
      <c r="LCF104" s="14"/>
      <c r="LCG104" s="14"/>
      <c r="LCH104" s="14"/>
      <c r="LCI104" s="14"/>
      <c r="LCJ104" s="36"/>
      <c r="LCK104" s="14"/>
      <c r="LCL104" s="45"/>
      <c r="LCM104" s="14"/>
      <c r="LCN104" s="14"/>
      <c r="LCO104" s="14"/>
      <c r="LCP104" s="14"/>
      <c r="LCQ104" s="14"/>
      <c r="LCR104" s="36"/>
      <c r="LCS104" s="14"/>
      <c r="LCT104" s="45"/>
      <c r="LCU104" s="14"/>
      <c r="LCV104" s="14"/>
      <c r="LCW104" s="14"/>
      <c r="LCX104" s="14"/>
      <c r="LCY104" s="14"/>
      <c r="LCZ104" s="36"/>
      <c r="LDA104" s="14"/>
      <c r="LDB104" s="45"/>
      <c r="LDC104" s="14"/>
      <c r="LDD104" s="14"/>
      <c r="LDE104" s="14"/>
      <c r="LDF104" s="14"/>
      <c r="LDG104" s="14"/>
      <c r="LDH104" s="36"/>
      <c r="LDI104" s="14"/>
      <c r="LDJ104" s="45"/>
      <c r="LDK104" s="14"/>
      <c r="LDL104" s="14"/>
      <c r="LDM104" s="14"/>
      <c r="LDN104" s="14"/>
      <c r="LDO104" s="14"/>
      <c r="LDP104" s="36"/>
      <c r="LDQ104" s="14"/>
      <c r="LDR104" s="45"/>
      <c r="LDS104" s="14"/>
      <c r="LDT104" s="14"/>
      <c r="LDU104" s="14"/>
      <c r="LDV104" s="14"/>
      <c r="LDW104" s="14"/>
      <c r="LDX104" s="36"/>
      <c r="LDY104" s="14"/>
      <c r="LDZ104" s="45"/>
      <c r="LEA104" s="14"/>
      <c r="LEB104" s="14"/>
      <c r="LEC104" s="14"/>
      <c r="LED104" s="14"/>
      <c r="LEE104" s="14"/>
      <c r="LEF104" s="36"/>
      <c r="LEG104" s="14"/>
      <c r="LEH104" s="45"/>
      <c r="LEI104" s="14"/>
      <c r="LEJ104" s="14"/>
      <c r="LEK104" s="14"/>
      <c r="LEL104" s="14"/>
      <c r="LEM104" s="14"/>
      <c r="LEN104" s="36"/>
      <c r="LEO104" s="14"/>
      <c r="LEP104" s="45"/>
      <c r="LEQ104" s="14"/>
      <c r="LER104" s="14"/>
      <c r="LES104" s="14"/>
      <c r="LET104" s="14"/>
      <c r="LEU104" s="14"/>
      <c r="LEV104" s="36"/>
      <c r="LEW104" s="14"/>
      <c r="LEX104" s="45"/>
      <c r="LEY104" s="14"/>
      <c r="LEZ104" s="14"/>
      <c r="LFA104" s="14"/>
      <c r="LFB104" s="14"/>
      <c r="LFC104" s="14"/>
      <c r="LFD104" s="36"/>
      <c r="LFE104" s="14"/>
      <c r="LFF104" s="45"/>
      <c r="LFG104" s="14"/>
      <c r="LFH104" s="14"/>
      <c r="LFI104" s="14"/>
      <c r="LFJ104" s="14"/>
      <c r="LFK104" s="14"/>
      <c r="LFL104" s="36"/>
      <c r="LFM104" s="14"/>
      <c r="LFN104" s="45"/>
      <c r="LFO104" s="14"/>
      <c r="LFP104" s="14"/>
      <c r="LFQ104" s="14"/>
      <c r="LFR104" s="14"/>
      <c r="LFS104" s="14"/>
      <c r="LFT104" s="36"/>
      <c r="LFU104" s="14"/>
      <c r="LFV104" s="45"/>
      <c r="LFW104" s="14"/>
      <c r="LFX104" s="14"/>
      <c r="LFY104" s="14"/>
      <c r="LFZ104" s="14"/>
      <c r="LGA104" s="14"/>
      <c r="LGB104" s="36"/>
      <c r="LGC104" s="14"/>
      <c r="LGD104" s="45"/>
      <c r="LGE104" s="14"/>
      <c r="LGF104" s="14"/>
      <c r="LGG104" s="14"/>
      <c r="LGH104" s="14"/>
      <c r="LGI104" s="14"/>
      <c r="LGJ104" s="36"/>
      <c r="LGK104" s="14"/>
      <c r="LGL104" s="45"/>
      <c r="LGM104" s="14"/>
      <c r="LGN104" s="14"/>
      <c r="LGO104" s="14"/>
      <c r="LGP104" s="14"/>
      <c r="LGQ104" s="14"/>
      <c r="LGR104" s="36"/>
      <c r="LGS104" s="14"/>
      <c r="LGT104" s="45"/>
      <c r="LGU104" s="14"/>
      <c r="LGV104" s="14"/>
      <c r="LGW104" s="14"/>
      <c r="LGX104" s="14"/>
      <c r="LGY104" s="14"/>
      <c r="LGZ104" s="36"/>
      <c r="LHA104" s="14"/>
      <c r="LHB104" s="45"/>
      <c r="LHC104" s="14"/>
      <c r="LHD104" s="14"/>
      <c r="LHE104" s="14"/>
      <c r="LHF104" s="14"/>
      <c r="LHG104" s="14"/>
      <c r="LHH104" s="36"/>
      <c r="LHI104" s="14"/>
      <c r="LHJ104" s="45"/>
      <c r="LHK104" s="14"/>
      <c r="LHL104" s="14"/>
      <c r="LHM104" s="14"/>
      <c r="LHN104" s="14"/>
      <c r="LHO104" s="14"/>
      <c r="LHP104" s="36"/>
      <c r="LHQ104" s="14"/>
      <c r="LHR104" s="45"/>
      <c r="LHS104" s="14"/>
      <c r="LHT104" s="14"/>
      <c r="LHU104" s="14"/>
      <c r="LHV104" s="14"/>
      <c r="LHW104" s="14"/>
      <c r="LHX104" s="36"/>
      <c r="LHY104" s="14"/>
      <c r="LHZ104" s="45"/>
      <c r="LIA104" s="14"/>
      <c r="LIB104" s="14"/>
      <c r="LIC104" s="14"/>
      <c r="LID104" s="14"/>
      <c r="LIE104" s="14"/>
      <c r="LIF104" s="36"/>
      <c r="LIG104" s="14"/>
      <c r="LIH104" s="45"/>
      <c r="LII104" s="14"/>
      <c r="LIJ104" s="14"/>
      <c r="LIK104" s="14"/>
      <c r="LIL104" s="14"/>
      <c r="LIM104" s="14"/>
      <c r="LIN104" s="36"/>
      <c r="LIO104" s="14"/>
      <c r="LIP104" s="45"/>
      <c r="LIQ104" s="14"/>
      <c r="LIR104" s="14"/>
      <c r="LIS104" s="14"/>
      <c r="LIT104" s="14"/>
      <c r="LIU104" s="14"/>
      <c r="LIV104" s="36"/>
      <c r="LIW104" s="14"/>
      <c r="LIX104" s="45"/>
      <c r="LIY104" s="14"/>
      <c r="LIZ104" s="14"/>
      <c r="LJA104" s="14"/>
      <c r="LJB104" s="14"/>
      <c r="LJC104" s="14"/>
      <c r="LJD104" s="36"/>
      <c r="LJE104" s="14"/>
      <c r="LJF104" s="45"/>
      <c r="LJG104" s="14"/>
      <c r="LJH104" s="14"/>
      <c r="LJI104" s="14"/>
      <c r="LJJ104" s="14"/>
      <c r="LJK104" s="14"/>
      <c r="LJL104" s="36"/>
      <c r="LJM104" s="14"/>
      <c r="LJN104" s="45"/>
      <c r="LJO104" s="14"/>
      <c r="LJP104" s="14"/>
      <c r="LJQ104" s="14"/>
      <c r="LJR104" s="14"/>
      <c r="LJS104" s="14"/>
      <c r="LJT104" s="36"/>
      <c r="LJU104" s="14"/>
      <c r="LJV104" s="45"/>
      <c r="LJW104" s="14"/>
      <c r="LJX104" s="14"/>
      <c r="LJY104" s="14"/>
      <c r="LJZ104" s="14"/>
      <c r="LKA104" s="14"/>
      <c r="LKB104" s="36"/>
      <c r="LKC104" s="14"/>
      <c r="LKD104" s="45"/>
      <c r="LKE104" s="14"/>
      <c r="LKF104" s="14"/>
      <c r="LKG104" s="14"/>
      <c r="LKH104" s="14"/>
      <c r="LKI104" s="14"/>
      <c r="LKJ104" s="36"/>
      <c r="LKK104" s="14"/>
      <c r="LKL104" s="45"/>
      <c r="LKM104" s="14"/>
      <c r="LKN104" s="14"/>
      <c r="LKO104" s="14"/>
      <c r="LKP104" s="14"/>
      <c r="LKQ104" s="14"/>
      <c r="LKR104" s="36"/>
      <c r="LKS104" s="14"/>
      <c r="LKT104" s="45"/>
      <c r="LKU104" s="14"/>
      <c r="LKV104" s="14"/>
      <c r="LKW104" s="14"/>
      <c r="LKX104" s="14"/>
      <c r="LKY104" s="14"/>
      <c r="LKZ104" s="36"/>
      <c r="LLA104" s="14"/>
      <c r="LLB104" s="45"/>
      <c r="LLC104" s="14"/>
      <c r="LLD104" s="14"/>
      <c r="LLE104" s="14"/>
      <c r="LLF104" s="14"/>
      <c r="LLG104" s="14"/>
      <c r="LLH104" s="36"/>
      <c r="LLI104" s="14"/>
      <c r="LLJ104" s="45"/>
      <c r="LLK104" s="14"/>
      <c r="LLL104" s="14"/>
      <c r="LLM104" s="14"/>
      <c r="LLN104" s="14"/>
      <c r="LLO104" s="14"/>
      <c r="LLP104" s="36"/>
      <c r="LLQ104" s="14"/>
      <c r="LLR104" s="45"/>
      <c r="LLS104" s="14"/>
      <c r="LLT104" s="14"/>
      <c r="LLU104" s="14"/>
      <c r="LLV104" s="14"/>
      <c r="LLW104" s="14"/>
      <c r="LLX104" s="36"/>
      <c r="LLY104" s="14"/>
      <c r="LLZ104" s="45"/>
      <c r="LMA104" s="14"/>
      <c r="LMB104" s="14"/>
      <c r="LMC104" s="14"/>
      <c r="LMD104" s="14"/>
      <c r="LME104" s="14"/>
      <c r="LMF104" s="36"/>
      <c r="LMG104" s="14"/>
      <c r="LMH104" s="45"/>
      <c r="LMI104" s="14"/>
      <c r="LMJ104" s="14"/>
      <c r="LMK104" s="14"/>
      <c r="LML104" s="14"/>
      <c r="LMM104" s="14"/>
      <c r="LMN104" s="36"/>
      <c r="LMO104" s="14"/>
      <c r="LMP104" s="45"/>
      <c r="LMQ104" s="14"/>
      <c r="LMR104" s="14"/>
      <c r="LMS104" s="14"/>
      <c r="LMT104" s="14"/>
      <c r="LMU104" s="14"/>
      <c r="LMV104" s="36"/>
      <c r="LMW104" s="14"/>
      <c r="LMX104" s="45"/>
      <c r="LMY104" s="14"/>
      <c r="LMZ104" s="14"/>
      <c r="LNA104" s="14"/>
      <c r="LNB104" s="14"/>
      <c r="LNC104" s="14"/>
      <c r="LND104" s="36"/>
      <c r="LNE104" s="14"/>
      <c r="LNF104" s="45"/>
      <c r="LNG104" s="14"/>
      <c r="LNH104" s="14"/>
      <c r="LNI104" s="14"/>
      <c r="LNJ104" s="14"/>
      <c r="LNK104" s="14"/>
      <c r="LNL104" s="36"/>
      <c r="LNM104" s="14"/>
      <c r="LNN104" s="45"/>
      <c r="LNO104" s="14"/>
      <c r="LNP104" s="14"/>
      <c r="LNQ104" s="14"/>
      <c r="LNR104" s="14"/>
      <c r="LNS104" s="14"/>
      <c r="LNT104" s="36"/>
      <c r="LNU104" s="14"/>
      <c r="LNV104" s="45"/>
      <c r="LNW104" s="14"/>
      <c r="LNX104" s="14"/>
      <c r="LNY104" s="14"/>
      <c r="LNZ104" s="14"/>
      <c r="LOA104" s="14"/>
      <c r="LOB104" s="36"/>
      <c r="LOC104" s="14"/>
      <c r="LOD104" s="45"/>
      <c r="LOE104" s="14"/>
      <c r="LOF104" s="14"/>
      <c r="LOG104" s="14"/>
      <c r="LOH104" s="14"/>
      <c r="LOI104" s="14"/>
      <c r="LOJ104" s="36"/>
      <c r="LOK104" s="14"/>
      <c r="LOL104" s="45"/>
      <c r="LOM104" s="14"/>
      <c r="LON104" s="14"/>
      <c r="LOO104" s="14"/>
      <c r="LOP104" s="14"/>
      <c r="LOQ104" s="14"/>
      <c r="LOR104" s="36"/>
      <c r="LOS104" s="14"/>
      <c r="LOT104" s="45"/>
      <c r="LOU104" s="14"/>
      <c r="LOV104" s="14"/>
      <c r="LOW104" s="14"/>
      <c r="LOX104" s="14"/>
      <c r="LOY104" s="14"/>
      <c r="LOZ104" s="36"/>
      <c r="LPA104" s="14"/>
      <c r="LPB104" s="45"/>
      <c r="LPC104" s="14"/>
      <c r="LPD104" s="14"/>
      <c r="LPE104" s="14"/>
      <c r="LPF104" s="14"/>
      <c r="LPG104" s="14"/>
      <c r="LPH104" s="36"/>
      <c r="LPI104" s="14"/>
      <c r="LPJ104" s="45"/>
      <c r="LPK104" s="14"/>
      <c r="LPL104" s="14"/>
      <c r="LPM104" s="14"/>
      <c r="LPN104" s="14"/>
      <c r="LPO104" s="14"/>
      <c r="LPP104" s="36"/>
      <c r="LPQ104" s="14"/>
      <c r="LPR104" s="45"/>
      <c r="LPS104" s="14"/>
      <c r="LPT104" s="14"/>
      <c r="LPU104" s="14"/>
      <c r="LPV104" s="14"/>
      <c r="LPW104" s="14"/>
      <c r="LPX104" s="36"/>
      <c r="LPY104" s="14"/>
      <c r="LPZ104" s="45"/>
      <c r="LQA104" s="14"/>
      <c r="LQB104" s="14"/>
      <c r="LQC104" s="14"/>
      <c r="LQD104" s="14"/>
      <c r="LQE104" s="14"/>
      <c r="LQF104" s="36"/>
      <c r="LQG104" s="14"/>
      <c r="LQH104" s="45"/>
      <c r="LQI104" s="14"/>
      <c r="LQJ104" s="14"/>
      <c r="LQK104" s="14"/>
      <c r="LQL104" s="14"/>
      <c r="LQM104" s="14"/>
      <c r="LQN104" s="36"/>
      <c r="LQO104" s="14"/>
      <c r="LQP104" s="45"/>
      <c r="LQQ104" s="14"/>
      <c r="LQR104" s="14"/>
      <c r="LQS104" s="14"/>
      <c r="LQT104" s="14"/>
      <c r="LQU104" s="14"/>
      <c r="LQV104" s="36"/>
      <c r="LQW104" s="14"/>
      <c r="LQX104" s="45"/>
      <c r="LQY104" s="14"/>
      <c r="LQZ104" s="14"/>
      <c r="LRA104" s="14"/>
      <c r="LRB104" s="14"/>
      <c r="LRC104" s="14"/>
      <c r="LRD104" s="36"/>
      <c r="LRE104" s="14"/>
      <c r="LRF104" s="45"/>
      <c r="LRG104" s="14"/>
      <c r="LRH104" s="14"/>
      <c r="LRI104" s="14"/>
      <c r="LRJ104" s="14"/>
      <c r="LRK104" s="14"/>
      <c r="LRL104" s="36"/>
      <c r="LRM104" s="14"/>
      <c r="LRN104" s="45"/>
      <c r="LRO104" s="14"/>
      <c r="LRP104" s="14"/>
      <c r="LRQ104" s="14"/>
      <c r="LRR104" s="14"/>
      <c r="LRS104" s="14"/>
      <c r="LRT104" s="36"/>
      <c r="LRU104" s="14"/>
      <c r="LRV104" s="45"/>
      <c r="LRW104" s="14"/>
      <c r="LRX104" s="14"/>
      <c r="LRY104" s="14"/>
      <c r="LRZ104" s="14"/>
      <c r="LSA104" s="14"/>
      <c r="LSB104" s="36"/>
      <c r="LSC104" s="14"/>
      <c r="LSD104" s="45"/>
      <c r="LSE104" s="14"/>
      <c r="LSF104" s="14"/>
      <c r="LSG104" s="14"/>
      <c r="LSH104" s="14"/>
      <c r="LSI104" s="14"/>
      <c r="LSJ104" s="36"/>
      <c r="LSK104" s="14"/>
      <c r="LSL104" s="45"/>
      <c r="LSM104" s="14"/>
      <c r="LSN104" s="14"/>
      <c r="LSO104" s="14"/>
      <c r="LSP104" s="14"/>
      <c r="LSQ104" s="14"/>
      <c r="LSR104" s="36"/>
      <c r="LSS104" s="14"/>
      <c r="LST104" s="45"/>
      <c r="LSU104" s="14"/>
      <c r="LSV104" s="14"/>
      <c r="LSW104" s="14"/>
      <c r="LSX104" s="14"/>
      <c r="LSY104" s="14"/>
      <c r="LSZ104" s="36"/>
      <c r="LTA104" s="14"/>
      <c r="LTB104" s="45"/>
      <c r="LTC104" s="14"/>
      <c r="LTD104" s="14"/>
      <c r="LTE104" s="14"/>
      <c r="LTF104" s="14"/>
      <c r="LTG104" s="14"/>
      <c r="LTH104" s="36"/>
      <c r="LTI104" s="14"/>
      <c r="LTJ104" s="45"/>
      <c r="LTK104" s="14"/>
      <c r="LTL104" s="14"/>
      <c r="LTM104" s="14"/>
      <c r="LTN104" s="14"/>
      <c r="LTO104" s="14"/>
      <c r="LTP104" s="36"/>
      <c r="LTQ104" s="14"/>
      <c r="LTR104" s="45"/>
      <c r="LTS104" s="14"/>
      <c r="LTT104" s="14"/>
      <c r="LTU104" s="14"/>
      <c r="LTV104" s="14"/>
      <c r="LTW104" s="14"/>
      <c r="LTX104" s="36"/>
      <c r="LTY104" s="14"/>
      <c r="LTZ104" s="45"/>
      <c r="LUA104" s="14"/>
      <c r="LUB104" s="14"/>
      <c r="LUC104" s="14"/>
      <c r="LUD104" s="14"/>
      <c r="LUE104" s="14"/>
      <c r="LUF104" s="36"/>
      <c r="LUG104" s="14"/>
      <c r="LUH104" s="45"/>
      <c r="LUI104" s="14"/>
      <c r="LUJ104" s="14"/>
      <c r="LUK104" s="14"/>
      <c r="LUL104" s="14"/>
      <c r="LUM104" s="14"/>
      <c r="LUN104" s="36"/>
      <c r="LUO104" s="14"/>
      <c r="LUP104" s="45"/>
      <c r="LUQ104" s="14"/>
      <c r="LUR104" s="14"/>
      <c r="LUS104" s="14"/>
      <c r="LUT104" s="14"/>
      <c r="LUU104" s="14"/>
      <c r="LUV104" s="36"/>
      <c r="LUW104" s="14"/>
      <c r="LUX104" s="45"/>
      <c r="LUY104" s="14"/>
      <c r="LUZ104" s="14"/>
      <c r="LVA104" s="14"/>
      <c r="LVB104" s="14"/>
      <c r="LVC104" s="14"/>
      <c r="LVD104" s="36"/>
      <c r="LVE104" s="14"/>
      <c r="LVF104" s="45"/>
      <c r="LVG104" s="14"/>
      <c r="LVH104" s="14"/>
      <c r="LVI104" s="14"/>
      <c r="LVJ104" s="14"/>
      <c r="LVK104" s="14"/>
      <c r="LVL104" s="36"/>
      <c r="LVM104" s="14"/>
      <c r="LVN104" s="45"/>
      <c r="LVO104" s="14"/>
      <c r="LVP104" s="14"/>
      <c r="LVQ104" s="14"/>
      <c r="LVR104" s="14"/>
      <c r="LVS104" s="14"/>
      <c r="LVT104" s="36"/>
      <c r="LVU104" s="14"/>
      <c r="LVV104" s="45"/>
      <c r="LVW104" s="14"/>
      <c r="LVX104" s="14"/>
      <c r="LVY104" s="14"/>
      <c r="LVZ104" s="14"/>
      <c r="LWA104" s="14"/>
      <c r="LWB104" s="36"/>
      <c r="LWC104" s="14"/>
      <c r="LWD104" s="45"/>
      <c r="LWE104" s="14"/>
      <c r="LWF104" s="14"/>
      <c r="LWG104" s="14"/>
      <c r="LWH104" s="14"/>
      <c r="LWI104" s="14"/>
      <c r="LWJ104" s="36"/>
      <c r="LWK104" s="14"/>
      <c r="LWL104" s="45"/>
      <c r="LWM104" s="14"/>
      <c r="LWN104" s="14"/>
      <c r="LWO104" s="14"/>
      <c r="LWP104" s="14"/>
      <c r="LWQ104" s="14"/>
      <c r="LWR104" s="36"/>
      <c r="LWS104" s="14"/>
      <c r="LWT104" s="45"/>
      <c r="LWU104" s="14"/>
      <c r="LWV104" s="14"/>
      <c r="LWW104" s="14"/>
      <c r="LWX104" s="14"/>
      <c r="LWY104" s="14"/>
      <c r="LWZ104" s="36"/>
      <c r="LXA104" s="14"/>
      <c r="LXB104" s="45"/>
      <c r="LXC104" s="14"/>
      <c r="LXD104" s="14"/>
      <c r="LXE104" s="14"/>
      <c r="LXF104" s="14"/>
      <c r="LXG104" s="14"/>
      <c r="LXH104" s="36"/>
      <c r="LXI104" s="14"/>
      <c r="LXJ104" s="45"/>
      <c r="LXK104" s="14"/>
      <c r="LXL104" s="14"/>
      <c r="LXM104" s="14"/>
      <c r="LXN104" s="14"/>
      <c r="LXO104" s="14"/>
      <c r="LXP104" s="36"/>
      <c r="LXQ104" s="14"/>
      <c r="LXR104" s="45"/>
      <c r="LXS104" s="14"/>
      <c r="LXT104" s="14"/>
      <c r="LXU104" s="14"/>
      <c r="LXV104" s="14"/>
      <c r="LXW104" s="14"/>
      <c r="LXX104" s="36"/>
      <c r="LXY104" s="14"/>
      <c r="LXZ104" s="45"/>
      <c r="LYA104" s="14"/>
      <c r="LYB104" s="14"/>
      <c r="LYC104" s="14"/>
      <c r="LYD104" s="14"/>
      <c r="LYE104" s="14"/>
      <c r="LYF104" s="36"/>
      <c r="LYG104" s="14"/>
      <c r="LYH104" s="45"/>
      <c r="LYI104" s="14"/>
      <c r="LYJ104" s="14"/>
      <c r="LYK104" s="14"/>
      <c r="LYL104" s="14"/>
      <c r="LYM104" s="14"/>
      <c r="LYN104" s="36"/>
      <c r="LYO104" s="14"/>
      <c r="LYP104" s="45"/>
      <c r="LYQ104" s="14"/>
      <c r="LYR104" s="14"/>
      <c r="LYS104" s="14"/>
      <c r="LYT104" s="14"/>
      <c r="LYU104" s="14"/>
      <c r="LYV104" s="36"/>
      <c r="LYW104" s="14"/>
      <c r="LYX104" s="45"/>
      <c r="LYY104" s="14"/>
      <c r="LYZ104" s="14"/>
      <c r="LZA104" s="14"/>
      <c r="LZB104" s="14"/>
      <c r="LZC104" s="14"/>
      <c r="LZD104" s="36"/>
      <c r="LZE104" s="14"/>
      <c r="LZF104" s="45"/>
      <c r="LZG104" s="14"/>
      <c r="LZH104" s="14"/>
      <c r="LZI104" s="14"/>
      <c r="LZJ104" s="14"/>
      <c r="LZK104" s="14"/>
      <c r="LZL104" s="36"/>
      <c r="LZM104" s="14"/>
      <c r="LZN104" s="45"/>
      <c r="LZO104" s="14"/>
      <c r="LZP104" s="14"/>
      <c r="LZQ104" s="14"/>
      <c r="LZR104" s="14"/>
      <c r="LZS104" s="14"/>
      <c r="LZT104" s="36"/>
      <c r="LZU104" s="14"/>
      <c r="LZV104" s="45"/>
      <c r="LZW104" s="14"/>
      <c r="LZX104" s="14"/>
      <c r="LZY104" s="14"/>
      <c r="LZZ104" s="14"/>
      <c r="MAA104" s="14"/>
      <c r="MAB104" s="36"/>
      <c r="MAC104" s="14"/>
      <c r="MAD104" s="45"/>
      <c r="MAE104" s="14"/>
      <c r="MAF104" s="14"/>
      <c r="MAG104" s="14"/>
      <c r="MAH104" s="14"/>
      <c r="MAI104" s="14"/>
      <c r="MAJ104" s="36"/>
      <c r="MAK104" s="14"/>
      <c r="MAL104" s="45"/>
      <c r="MAM104" s="14"/>
      <c r="MAN104" s="14"/>
      <c r="MAO104" s="14"/>
      <c r="MAP104" s="14"/>
      <c r="MAQ104" s="14"/>
      <c r="MAR104" s="36"/>
      <c r="MAS104" s="14"/>
      <c r="MAT104" s="45"/>
      <c r="MAU104" s="14"/>
      <c r="MAV104" s="14"/>
      <c r="MAW104" s="14"/>
      <c r="MAX104" s="14"/>
      <c r="MAY104" s="14"/>
      <c r="MAZ104" s="36"/>
      <c r="MBA104" s="14"/>
      <c r="MBB104" s="45"/>
      <c r="MBC104" s="14"/>
      <c r="MBD104" s="14"/>
      <c r="MBE104" s="14"/>
      <c r="MBF104" s="14"/>
      <c r="MBG104" s="14"/>
      <c r="MBH104" s="36"/>
      <c r="MBI104" s="14"/>
      <c r="MBJ104" s="45"/>
      <c r="MBK104" s="14"/>
      <c r="MBL104" s="14"/>
      <c r="MBM104" s="14"/>
      <c r="MBN104" s="14"/>
      <c r="MBO104" s="14"/>
      <c r="MBP104" s="36"/>
      <c r="MBQ104" s="14"/>
      <c r="MBR104" s="45"/>
      <c r="MBS104" s="14"/>
      <c r="MBT104" s="14"/>
      <c r="MBU104" s="14"/>
      <c r="MBV104" s="14"/>
      <c r="MBW104" s="14"/>
      <c r="MBX104" s="36"/>
      <c r="MBY104" s="14"/>
      <c r="MBZ104" s="45"/>
      <c r="MCA104" s="14"/>
      <c r="MCB104" s="14"/>
      <c r="MCC104" s="14"/>
      <c r="MCD104" s="14"/>
      <c r="MCE104" s="14"/>
      <c r="MCF104" s="36"/>
      <c r="MCG104" s="14"/>
      <c r="MCH104" s="45"/>
      <c r="MCI104" s="14"/>
      <c r="MCJ104" s="14"/>
      <c r="MCK104" s="14"/>
      <c r="MCL104" s="14"/>
      <c r="MCM104" s="14"/>
      <c r="MCN104" s="36"/>
      <c r="MCO104" s="14"/>
      <c r="MCP104" s="45"/>
      <c r="MCQ104" s="14"/>
      <c r="MCR104" s="14"/>
      <c r="MCS104" s="14"/>
      <c r="MCT104" s="14"/>
      <c r="MCU104" s="14"/>
      <c r="MCV104" s="36"/>
      <c r="MCW104" s="14"/>
      <c r="MCX104" s="45"/>
      <c r="MCY104" s="14"/>
      <c r="MCZ104" s="14"/>
      <c r="MDA104" s="14"/>
      <c r="MDB104" s="14"/>
      <c r="MDC104" s="14"/>
      <c r="MDD104" s="36"/>
      <c r="MDE104" s="14"/>
      <c r="MDF104" s="45"/>
      <c r="MDG104" s="14"/>
      <c r="MDH104" s="14"/>
      <c r="MDI104" s="14"/>
      <c r="MDJ104" s="14"/>
      <c r="MDK104" s="14"/>
      <c r="MDL104" s="36"/>
      <c r="MDM104" s="14"/>
      <c r="MDN104" s="45"/>
      <c r="MDO104" s="14"/>
      <c r="MDP104" s="14"/>
      <c r="MDQ104" s="14"/>
      <c r="MDR104" s="14"/>
      <c r="MDS104" s="14"/>
      <c r="MDT104" s="36"/>
      <c r="MDU104" s="14"/>
      <c r="MDV104" s="45"/>
      <c r="MDW104" s="14"/>
      <c r="MDX104" s="14"/>
      <c r="MDY104" s="14"/>
      <c r="MDZ104" s="14"/>
      <c r="MEA104" s="14"/>
      <c r="MEB104" s="36"/>
      <c r="MEC104" s="14"/>
      <c r="MED104" s="45"/>
      <c r="MEE104" s="14"/>
      <c r="MEF104" s="14"/>
      <c r="MEG104" s="14"/>
      <c r="MEH104" s="14"/>
      <c r="MEI104" s="14"/>
      <c r="MEJ104" s="36"/>
      <c r="MEK104" s="14"/>
      <c r="MEL104" s="45"/>
      <c r="MEM104" s="14"/>
      <c r="MEN104" s="14"/>
      <c r="MEO104" s="14"/>
      <c r="MEP104" s="14"/>
      <c r="MEQ104" s="14"/>
      <c r="MER104" s="36"/>
      <c r="MES104" s="14"/>
      <c r="MET104" s="45"/>
      <c r="MEU104" s="14"/>
      <c r="MEV104" s="14"/>
      <c r="MEW104" s="14"/>
      <c r="MEX104" s="14"/>
      <c r="MEY104" s="14"/>
      <c r="MEZ104" s="36"/>
      <c r="MFA104" s="14"/>
      <c r="MFB104" s="45"/>
      <c r="MFC104" s="14"/>
      <c r="MFD104" s="14"/>
      <c r="MFE104" s="14"/>
      <c r="MFF104" s="14"/>
      <c r="MFG104" s="14"/>
      <c r="MFH104" s="36"/>
      <c r="MFI104" s="14"/>
      <c r="MFJ104" s="45"/>
      <c r="MFK104" s="14"/>
      <c r="MFL104" s="14"/>
      <c r="MFM104" s="14"/>
      <c r="MFN104" s="14"/>
      <c r="MFO104" s="14"/>
      <c r="MFP104" s="36"/>
      <c r="MFQ104" s="14"/>
      <c r="MFR104" s="45"/>
      <c r="MFS104" s="14"/>
      <c r="MFT104" s="14"/>
      <c r="MFU104" s="14"/>
      <c r="MFV104" s="14"/>
      <c r="MFW104" s="14"/>
      <c r="MFX104" s="36"/>
      <c r="MFY104" s="14"/>
      <c r="MFZ104" s="45"/>
      <c r="MGA104" s="14"/>
      <c r="MGB104" s="14"/>
      <c r="MGC104" s="14"/>
      <c r="MGD104" s="14"/>
      <c r="MGE104" s="14"/>
      <c r="MGF104" s="36"/>
      <c r="MGG104" s="14"/>
      <c r="MGH104" s="45"/>
      <c r="MGI104" s="14"/>
      <c r="MGJ104" s="14"/>
      <c r="MGK104" s="14"/>
      <c r="MGL104" s="14"/>
      <c r="MGM104" s="14"/>
      <c r="MGN104" s="36"/>
      <c r="MGO104" s="14"/>
      <c r="MGP104" s="45"/>
      <c r="MGQ104" s="14"/>
      <c r="MGR104" s="14"/>
      <c r="MGS104" s="14"/>
      <c r="MGT104" s="14"/>
      <c r="MGU104" s="14"/>
      <c r="MGV104" s="36"/>
      <c r="MGW104" s="14"/>
      <c r="MGX104" s="45"/>
      <c r="MGY104" s="14"/>
      <c r="MGZ104" s="14"/>
      <c r="MHA104" s="14"/>
      <c r="MHB104" s="14"/>
      <c r="MHC104" s="14"/>
      <c r="MHD104" s="36"/>
      <c r="MHE104" s="14"/>
      <c r="MHF104" s="45"/>
      <c r="MHG104" s="14"/>
      <c r="MHH104" s="14"/>
      <c r="MHI104" s="14"/>
      <c r="MHJ104" s="14"/>
      <c r="MHK104" s="14"/>
      <c r="MHL104" s="36"/>
      <c r="MHM104" s="14"/>
      <c r="MHN104" s="45"/>
      <c r="MHO104" s="14"/>
      <c r="MHP104" s="14"/>
      <c r="MHQ104" s="14"/>
      <c r="MHR104" s="14"/>
      <c r="MHS104" s="14"/>
      <c r="MHT104" s="36"/>
      <c r="MHU104" s="14"/>
      <c r="MHV104" s="45"/>
      <c r="MHW104" s="14"/>
      <c r="MHX104" s="14"/>
      <c r="MHY104" s="14"/>
      <c r="MHZ104" s="14"/>
      <c r="MIA104" s="14"/>
      <c r="MIB104" s="36"/>
      <c r="MIC104" s="14"/>
      <c r="MID104" s="45"/>
      <c r="MIE104" s="14"/>
      <c r="MIF104" s="14"/>
      <c r="MIG104" s="14"/>
      <c r="MIH104" s="14"/>
      <c r="MII104" s="14"/>
      <c r="MIJ104" s="36"/>
      <c r="MIK104" s="14"/>
      <c r="MIL104" s="45"/>
      <c r="MIM104" s="14"/>
      <c r="MIN104" s="14"/>
      <c r="MIO104" s="14"/>
      <c r="MIP104" s="14"/>
      <c r="MIQ104" s="14"/>
      <c r="MIR104" s="36"/>
      <c r="MIS104" s="14"/>
      <c r="MIT104" s="45"/>
      <c r="MIU104" s="14"/>
      <c r="MIV104" s="14"/>
      <c r="MIW104" s="14"/>
      <c r="MIX104" s="14"/>
      <c r="MIY104" s="14"/>
      <c r="MIZ104" s="36"/>
      <c r="MJA104" s="14"/>
      <c r="MJB104" s="45"/>
      <c r="MJC104" s="14"/>
      <c r="MJD104" s="14"/>
      <c r="MJE104" s="14"/>
      <c r="MJF104" s="14"/>
      <c r="MJG104" s="14"/>
      <c r="MJH104" s="36"/>
      <c r="MJI104" s="14"/>
      <c r="MJJ104" s="45"/>
      <c r="MJK104" s="14"/>
      <c r="MJL104" s="14"/>
      <c r="MJM104" s="14"/>
      <c r="MJN104" s="14"/>
      <c r="MJO104" s="14"/>
      <c r="MJP104" s="36"/>
      <c r="MJQ104" s="14"/>
      <c r="MJR104" s="45"/>
      <c r="MJS104" s="14"/>
      <c r="MJT104" s="14"/>
      <c r="MJU104" s="14"/>
      <c r="MJV104" s="14"/>
      <c r="MJW104" s="14"/>
      <c r="MJX104" s="36"/>
      <c r="MJY104" s="14"/>
      <c r="MJZ104" s="45"/>
      <c r="MKA104" s="14"/>
      <c r="MKB104" s="14"/>
      <c r="MKC104" s="14"/>
      <c r="MKD104" s="14"/>
      <c r="MKE104" s="14"/>
      <c r="MKF104" s="36"/>
      <c r="MKG104" s="14"/>
      <c r="MKH104" s="45"/>
      <c r="MKI104" s="14"/>
      <c r="MKJ104" s="14"/>
      <c r="MKK104" s="14"/>
      <c r="MKL104" s="14"/>
      <c r="MKM104" s="14"/>
      <c r="MKN104" s="36"/>
      <c r="MKO104" s="14"/>
      <c r="MKP104" s="45"/>
      <c r="MKQ104" s="14"/>
      <c r="MKR104" s="14"/>
      <c r="MKS104" s="14"/>
      <c r="MKT104" s="14"/>
      <c r="MKU104" s="14"/>
      <c r="MKV104" s="36"/>
      <c r="MKW104" s="14"/>
      <c r="MKX104" s="45"/>
      <c r="MKY104" s="14"/>
      <c r="MKZ104" s="14"/>
      <c r="MLA104" s="14"/>
      <c r="MLB104" s="14"/>
      <c r="MLC104" s="14"/>
      <c r="MLD104" s="36"/>
      <c r="MLE104" s="14"/>
      <c r="MLF104" s="45"/>
      <c r="MLG104" s="14"/>
      <c r="MLH104" s="14"/>
      <c r="MLI104" s="14"/>
      <c r="MLJ104" s="14"/>
      <c r="MLK104" s="14"/>
      <c r="MLL104" s="36"/>
      <c r="MLM104" s="14"/>
      <c r="MLN104" s="45"/>
      <c r="MLO104" s="14"/>
      <c r="MLP104" s="14"/>
      <c r="MLQ104" s="14"/>
      <c r="MLR104" s="14"/>
      <c r="MLS104" s="14"/>
      <c r="MLT104" s="36"/>
      <c r="MLU104" s="14"/>
      <c r="MLV104" s="45"/>
      <c r="MLW104" s="14"/>
      <c r="MLX104" s="14"/>
      <c r="MLY104" s="14"/>
      <c r="MLZ104" s="14"/>
      <c r="MMA104" s="14"/>
      <c r="MMB104" s="36"/>
      <c r="MMC104" s="14"/>
      <c r="MMD104" s="45"/>
      <c r="MME104" s="14"/>
      <c r="MMF104" s="14"/>
      <c r="MMG104" s="14"/>
      <c r="MMH104" s="14"/>
      <c r="MMI104" s="14"/>
      <c r="MMJ104" s="36"/>
      <c r="MMK104" s="14"/>
      <c r="MML104" s="45"/>
      <c r="MMM104" s="14"/>
      <c r="MMN104" s="14"/>
      <c r="MMO104" s="14"/>
      <c r="MMP104" s="14"/>
      <c r="MMQ104" s="14"/>
      <c r="MMR104" s="36"/>
      <c r="MMS104" s="14"/>
      <c r="MMT104" s="45"/>
      <c r="MMU104" s="14"/>
      <c r="MMV104" s="14"/>
      <c r="MMW104" s="14"/>
      <c r="MMX104" s="14"/>
      <c r="MMY104" s="14"/>
      <c r="MMZ104" s="36"/>
      <c r="MNA104" s="14"/>
      <c r="MNB104" s="45"/>
      <c r="MNC104" s="14"/>
      <c r="MND104" s="14"/>
      <c r="MNE104" s="14"/>
      <c r="MNF104" s="14"/>
      <c r="MNG104" s="14"/>
      <c r="MNH104" s="36"/>
      <c r="MNI104" s="14"/>
      <c r="MNJ104" s="45"/>
      <c r="MNK104" s="14"/>
      <c r="MNL104" s="14"/>
      <c r="MNM104" s="14"/>
      <c r="MNN104" s="14"/>
      <c r="MNO104" s="14"/>
      <c r="MNP104" s="36"/>
      <c r="MNQ104" s="14"/>
      <c r="MNR104" s="45"/>
      <c r="MNS104" s="14"/>
      <c r="MNT104" s="14"/>
      <c r="MNU104" s="14"/>
      <c r="MNV104" s="14"/>
      <c r="MNW104" s="14"/>
      <c r="MNX104" s="36"/>
      <c r="MNY104" s="14"/>
      <c r="MNZ104" s="45"/>
      <c r="MOA104" s="14"/>
      <c r="MOB104" s="14"/>
      <c r="MOC104" s="14"/>
      <c r="MOD104" s="14"/>
      <c r="MOE104" s="14"/>
      <c r="MOF104" s="36"/>
      <c r="MOG104" s="14"/>
      <c r="MOH104" s="45"/>
      <c r="MOI104" s="14"/>
      <c r="MOJ104" s="14"/>
      <c r="MOK104" s="14"/>
      <c r="MOL104" s="14"/>
      <c r="MOM104" s="14"/>
      <c r="MON104" s="36"/>
      <c r="MOO104" s="14"/>
      <c r="MOP104" s="45"/>
      <c r="MOQ104" s="14"/>
      <c r="MOR104" s="14"/>
      <c r="MOS104" s="14"/>
      <c r="MOT104" s="14"/>
      <c r="MOU104" s="14"/>
      <c r="MOV104" s="36"/>
      <c r="MOW104" s="14"/>
      <c r="MOX104" s="45"/>
      <c r="MOY104" s="14"/>
      <c r="MOZ104" s="14"/>
      <c r="MPA104" s="14"/>
      <c r="MPB104" s="14"/>
      <c r="MPC104" s="14"/>
      <c r="MPD104" s="36"/>
      <c r="MPE104" s="14"/>
      <c r="MPF104" s="45"/>
      <c r="MPG104" s="14"/>
      <c r="MPH104" s="14"/>
      <c r="MPI104" s="14"/>
      <c r="MPJ104" s="14"/>
      <c r="MPK104" s="14"/>
      <c r="MPL104" s="36"/>
      <c r="MPM104" s="14"/>
      <c r="MPN104" s="45"/>
      <c r="MPO104" s="14"/>
      <c r="MPP104" s="14"/>
      <c r="MPQ104" s="14"/>
      <c r="MPR104" s="14"/>
      <c r="MPS104" s="14"/>
      <c r="MPT104" s="36"/>
      <c r="MPU104" s="14"/>
      <c r="MPV104" s="45"/>
      <c r="MPW104" s="14"/>
      <c r="MPX104" s="14"/>
      <c r="MPY104" s="14"/>
      <c r="MPZ104" s="14"/>
      <c r="MQA104" s="14"/>
      <c r="MQB104" s="36"/>
      <c r="MQC104" s="14"/>
      <c r="MQD104" s="45"/>
      <c r="MQE104" s="14"/>
      <c r="MQF104" s="14"/>
      <c r="MQG104" s="14"/>
      <c r="MQH104" s="14"/>
      <c r="MQI104" s="14"/>
      <c r="MQJ104" s="36"/>
      <c r="MQK104" s="14"/>
      <c r="MQL104" s="45"/>
      <c r="MQM104" s="14"/>
      <c r="MQN104" s="14"/>
      <c r="MQO104" s="14"/>
      <c r="MQP104" s="14"/>
      <c r="MQQ104" s="14"/>
      <c r="MQR104" s="36"/>
      <c r="MQS104" s="14"/>
      <c r="MQT104" s="45"/>
      <c r="MQU104" s="14"/>
      <c r="MQV104" s="14"/>
      <c r="MQW104" s="14"/>
      <c r="MQX104" s="14"/>
      <c r="MQY104" s="14"/>
      <c r="MQZ104" s="36"/>
      <c r="MRA104" s="14"/>
      <c r="MRB104" s="45"/>
      <c r="MRC104" s="14"/>
      <c r="MRD104" s="14"/>
      <c r="MRE104" s="14"/>
      <c r="MRF104" s="14"/>
      <c r="MRG104" s="14"/>
      <c r="MRH104" s="36"/>
      <c r="MRI104" s="14"/>
      <c r="MRJ104" s="45"/>
      <c r="MRK104" s="14"/>
      <c r="MRL104" s="14"/>
      <c r="MRM104" s="14"/>
      <c r="MRN104" s="14"/>
      <c r="MRO104" s="14"/>
      <c r="MRP104" s="36"/>
      <c r="MRQ104" s="14"/>
      <c r="MRR104" s="45"/>
      <c r="MRS104" s="14"/>
      <c r="MRT104" s="14"/>
      <c r="MRU104" s="14"/>
      <c r="MRV104" s="14"/>
      <c r="MRW104" s="14"/>
      <c r="MRX104" s="36"/>
      <c r="MRY104" s="14"/>
      <c r="MRZ104" s="45"/>
      <c r="MSA104" s="14"/>
      <c r="MSB104" s="14"/>
      <c r="MSC104" s="14"/>
      <c r="MSD104" s="14"/>
      <c r="MSE104" s="14"/>
      <c r="MSF104" s="36"/>
      <c r="MSG104" s="14"/>
      <c r="MSH104" s="45"/>
      <c r="MSI104" s="14"/>
      <c r="MSJ104" s="14"/>
      <c r="MSK104" s="14"/>
      <c r="MSL104" s="14"/>
      <c r="MSM104" s="14"/>
      <c r="MSN104" s="36"/>
      <c r="MSO104" s="14"/>
      <c r="MSP104" s="45"/>
      <c r="MSQ104" s="14"/>
      <c r="MSR104" s="14"/>
      <c r="MSS104" s="14"/>
      <c r="MST104" s="14"/>
      <c r="MSU104" s="14"/>
      <c r="MSV104" s="36"/>
      <c r="MSW104" s="14"/>
      <c r="MSX104" s="45"/>
      <c r="MSY104" s="14"/>
      <c r="MSZ104" s="14"/>
      <c r="MTA104" s="14"/>
      <c r="MTB104" s="14"/>
      <c r="MTC104" s="14"/>
      <c r="MTD104" s="36"/>
      <c r="MTE104" s="14"/>
      <c r="MTF104" s="45"/>
      <c r="MTG104" s="14"/>
      <c r="MTH104" s="14"/>
      <c r="MTI104" s="14"/>
      <c r="MTJ104" s="14"/>
      <c r="MTK104" s="14"/>
      <c r="MTL104" s="36"/>
      <c r="MTM104" s="14"/>
      <c r="MTN104" s="45"/>
      <c r="MTO104" s="14"/>
      <c r="MTP104" s="14"/>
      <c r="MTQ104" s="14"/>
      <c r="MTR104" s="14"/>
      <c r="MTS104" s="14"/>
      <c r="MTT104" s="36"/>
      <c r="MTU104" s="14"/>
      <c r="MTV104" s="45"/>
      <c r="MTW104" s="14"/>
      <c r="MTX104" s="14"/>
      <c r="MTY104" s="14"/>
      <c r="MTZ104" s="14"/>
      <c r="MUA104" s="14"/>
      <c r="MUB104" s="36"/>
      <c r="MUC104" s="14"/>
      <c r="MUD104" s="45"/>
      <c r="MUE104" s="14"/>
      <c r="MUF104" s="14"/>
      <c r="MUG104" s="14"/>
      <c r="MUH104" s="14"/>
      <c r="MUI104" s="14"/>
      <c r="MUJ104" s="36"/>
      <c r="MUK104" s="14"/>
      <c r="MUL104" s="45"/>
      <c r="MUM104" s="14"/>
      <c r="MUN104" s="14"/>
      <c r="MUO104" s="14"/>
      <c r="MUP104" s="14"/>
      <c r="MUQ104" s="14"/>
      <c r="MUR104" s="36"/>
      <c r="MUS104" s="14"/>
      <c r="MUT104" s="45"/>
      <c r="MUU104" s="14"/>
      <c r="MUV104" s="14"/>
      <c r="MUW104" s="14"/>
      <c r="MUX104" s="14"/>
      <c r="MUY104" s="14"/>
      <c r="MUZ104" s="36"/>
      <c r="MVA104" s="14"/>
      <c r="MVB104" s="45"/>
      <c r="MVC104" s="14"/>
      <c r="MVD104" s="14"/>
      <c r="MVE104" s="14"/>
      <c r="MVF104" s="14"/>
      <c r="MVG104" s="14"/>
      <c r="MVH104" s="36"/>
      <c r="MVI104" s="14"/>
      <c r="MVJ104" s="45"/>
      <c r="MVK104" s="14"/>
      <c r="MVL104" s="14"/>
      <c r="MVM104" s="14"/>
      <c r="MVN104" s="14"/>
      <c r="MVO104" s="14"/>
      <c r="MVP104" s="36"/>
      <c r="MVQ104" s="14"/>
      <c r="MVR104" s="45"/>
      <c r="MVS104" s="14"/>
      <c r="MVT104" s="14"/>
      <c r="MVU104" s="14"/>
      <c r="MVV104" s="14"/>
      <c r="MVW104" s="14"/>
      <c r="MVX104" s="36"/>
      <c r="MVY104" s="14"/>
      <c r="MVZ104" s="45"/>
      <c r="MWA104" s="14"/>
      <c r="MWB104" s="14"/>
      <c r="MWC104" s="14"/>
      <c r="MWD104" s="14"/>
      <c r="MWE104" s="14"/>
      <c r="MWF104" s="36"/>
      <c r="MWG104" s="14"/>
      <c r="MWH104" s="45"/>
      <c r="MWI104" s="14"/>
      <c r="MWJ104" s="14"/>
      <c r="MWK104" s="14"/>
      <c r="MWL104" s="14"/>
      <c r="MWM104" s="14"/>
      <c r="MWN104" s="36"/>
      <c r="MWO104" s="14"/>
      <c r="MWP104" s="45"/>
      <c r="MWQ104" s="14"/>
      <c r="MWR104" s="14"/>
      <c r="MWS104" s="14"/>
      <c r="MWT104" s="14"/>
      <c r="MWU104" s="14"/>
      <c r="MWV104" s="36"/>
      <c r="MWW104" s="14"/>
      <c r="MWX104" s="45"/>
      <c r="MWY104" s="14"/>
      <c r="MWZ104" s="14"/>
      <c r="MXA104" s="14"/>
      <c r="MXB104" s="14"/>
      <c r="MXC104" s="14"/>
      <c r="MXD104" s="36"/>
      <c r="MXE104" s="14"/>
      <c r="MXF104" s="45"/>
      <c r="MXG104" s="14"/>
      <c r="MXH104" s="14"/>
      <c r="MXI104" s="14"/>
      <c r="MXJ104" s="14"/>
      <c r="MXK104" s="14"/>
      <c r="MXL104" s="36"/>
      <c r="MXM104" s="14"/>
      <c r="MXN104" s="45"/>
      <c r="MXO104" s="14"/>
      <c r="MXP104" s="14"/>
      <c r="MXQ104" s="14"/>
      <c r="MXR104" s="14"/>
      <c r="MXS104" s="14"/>
      <c r="MXT104" s="36"/>
      <c r="MXU104" s="14"/>
      <c r="MXV104" s="45"/>
      <c r="MXW104" s="14"/>
      <c r="MXX104" s="14"/>
      <c r="MXY104" s="14"/>
      <c r="MXZ104" s="14"/>
      <c r="MYA104" s="14"/>
      <c r="MYB104" s="36"/>
      <c r="MYC104" s="14"/>
      <c r="MYD104" s="45"/>
      <c r="MYE104" s="14"/>
      <c r="MYF104" s="14"/>
      <c r="MYG104" s="14"/>
      <c r="MYH104" s="14"/>
      <c r="MYI104" s="14"/>
      <c r="MYJ104" s="36"/>
      <c r="MYK104" s="14"/>
      <c r="MYL104" s="45"/>
      <c r="MYM104" s="14"/>
      <c r="MYN104" s="14"/>
      <c r="MYO104" s="14"/>
      <c r="MYP104" s="14"/>
      <c r="MYQ104" s="14"/>
      <c r="MYR104" s="36"/>
      <c r="MYS104" s="14"/>
      <c r="MYT104" s="45"/>
      <c r="MYU104" s="14"/>
      <c r="MYV104" s="14"/>
      <c r="MYW104" s="14"/>
      <c r="MYX104" s="14"/>
      <c r="MYY104" s="14"/>
      <c r="MYZ104" s="36"/>
      <c r="MZA104" s="14"/>
      <c r="MZB104" s="45"/>
      <c r="MZC104" s="14"/>
      <c r="MZD104" s="14"/>
      <c r="MZE104" s="14"/>
      <c r="MZF104" s="14"/>
      <c r="MZG104" s="14"/>
      <c r="MZH104" s="36"/>
      <c r="MZI104" s="14"/>
      <c r="MZJ104" s="45"/>
      <c r="MZK104" s="14"/>
      <c r="MZL104" s="14"/>
      <c r="MZM104" s="14"/>
      <c r="MZN104" s="14"/>
      <c r="MZO104" s="14"/>
      <c r="MZP104" s="36"/>
      <c r="MZQ104" s="14"/>
      <c r="MZR104" s="45"/>
      <c r="MZS104" s="14"/>
      <c r="MZT104" s="14"/>
      <c r="MZU104" s="14"/>
      <c r="MZV104" s="14"/>
      <c r="MZW104" s="14"/>
      <c r="MZX104" s="36"/>
      <c r="MZY104" s="14"/>
      <c r="MZZ104" s="45"/>
      <c r="NAA104" s="14"/>
      <c r="NAB104" s="14"/>
      <c r="NAC104" s="14"/>
      <c r="NAD104" s="14"/>
      <c r="NAE104" s="14"/>
      <c r="NAF104" s="36"/>
      <c r="NAG104" s="14"/>
      <c r="NAH104" s="45"/>
      <c r="NAI104" s="14"/>
      <c r="NAJ104" s="14"/>
      <c r="NAK104" s="14"/>
      <c r="NAL104" s="14"/>
      <c r="NAM104" s="14"/>
      <c r="NAN104" s="36"/>
      <c r="NAO104" s="14"/>
      <c r="NAP104" s="45"/>
      <c r="NAQ104" s="14"/>
      <c r="NAR104" s="14"/>
      <c r="NAS104" s="14"/>
      <c r="NAT104" s="14"/>
      <c r="NAU104" s="14"/>
      <c r="NAV104" s="36"/>
      <c r="NAW104" s="14"/>
      <c r="NAX104" s="45"/>
      <c r="NAY104" s="14"/>
      <c r="NAZ104" s="14"/>
      <c r="NBA104" s="14"/>
      <c r="NBB104" s="14"/>
      <c r="NBC104" s="14"/>
      <c r="NBD104" s="36"/>
      <c r="NBE104" s="14"/>
      <c r="NBF104" s="45"/>
      <c r="NBG104" s="14"/>
      <c r="NBH104" s="14"/>
      <c r="NBI104" s="14"/>
      <c r="NBJ104" s="14"/>
      <c r="NBK104" s="14"/>
      <c r="NBL104" s="36"/>
      <c r="NBM104" s="14"/>
      <c r="NBN104" s="45"/>
      <c r="NBO104" s="14"/>
      <c r="NBP104" s="14"/>
      <c r="NBQ104" s="14"/>
      <c r="NBR104" s="14"/>
      <c r="NBS104" s="14"/>
      <c r="NBT104" s="36"/>
      <c r="NBU104" s="14"/>
      <c r="NBV104" s="45"/>
      <c r="NBW104" s="14"/>
      <c r="NBX104" s="14"/>
      <c r="NBY104" s="14"/>
      <c r="NBZ104" s="14"/>
      <c r="NCA104" s="14"/>
      <c r="NCB104" s="36"/>
      <c r="NCC104" s="14"/>
      <c r="NCD104" s="45"/>
      <c r="NCE104" s="14"/>
      <c r="NCF104" s="14"/>
      <c r="NCG104" s="14"/>
      <c r="NCH104" s="14"/>
      <c r="NCI104" s="14"/>
      <c r="NCJ104" s="36"/>
      <c r="NCK104" s="14"/>
      <c r="NCL104" s="45"/>
      <c r="NCM104" s="14"/>
      <c r="NCN104" s="14"/>
      <c r="NCO104" s="14"/>
      <c r="NCP104" s="14"/>
      <c r="NCQ104" s="14"/>
      <c r="NCR104" s="36"/>
      <c r="NCS104" s="14"/>
      <c r="NCT104" s="45"/>
      <c r="NCU104" s="14"/>
      <c r="NCV104" s="14"/>
      <c r="NCW104" s="14"/>
      <c r="NCX104" s="14"/>
      <c r="NCY104" s="14"/>
      <c r="NCZ104" s="36"/>
      <c r="NDA104" s="14"/>
      <c r="NDB104" s="45"/>
      <c r="NDC104" s="14"/>
      <c r="NDD104" s="14"/>
      <c r="NDE104" s="14"/>
      <c r="NDF104" s="14"/>
      <c r="NDG104" s="14"/>
      <c r="NDH104" s="36"/>
      <c r="NDI104" s="14"/>
      <c r="NDJ104" s="45"/>
      <c r="NDK104" s="14"/>
      <c r="NDL104" s="14"/>
      <c r="NDM104" s="14"/>
      <c r="NDN104" s="14"/>
      <c r="NDO104" s="14"/>
      <c r="NDP104" s="36"/>
      <c r="NDQ104" s="14"/>
      <c r="NDR104" s="45"/>
      <c r="NDS104" s="14"/>
      <c r="NDT104" s="14"/>
      <c r="NDU104" s="14"/>
      <c r="NDV104" s="14"/>
      <c r="NDW104" s="14"/>
      <c r="NDX104" s="36"/>
      <c r="NDY104" s="14"/>
      <c r="NDZ104" s="45"/>
      <c r="NEA104" s="14"/>
      <c r="NEB104" s="14"/>
      <c r="NEC104" s="14"/>
      <c r="NED104" s="14"/>
      <c r="NEE104" s="14"/>
      <c r="NEF104" s="36"/>
      <c r="NEG104" s="14"/>
      <c r="NEH104" s="45"/>
      <c r="NEI104" s="14"/>
      <c r="NEJ104" s="14"/>
      <c r="NEK104" s="14"/>
      <c r="NEL104" s="14"/>
      <c r="NEM104" s="14"/>
      <c r="NEN104" s="36"/>
      <c r="NEO104" s="14"/>
      <c r="NEP104" s="45"/>
      <c r="NEQ104" s="14"/>
      <c r="NER104" s="14"/>
      <c r="NES104" s="14"/>
      <c r="NET104" s="14"/>
      <c r="NEU104" s="14"/>
      <c r="NEV104" s="36"/>
      <c r="NEW104" s="14"/>
      <c r="NEX104" s="45"/>
      <c r="NEY104" s="14"/>
      <c r="NEZ104" s="14"/>
      <c r="NFA104" s="14"/>
      <c r="NFB104" s="14"/>
      <c r="NFC104" s="14"/>
      <c r="NFD104" s="36"/>
      <c r="NFE104" s="14"/>
      <c r="NFF104" s="45"/>
      <c r="NFG104" s="14"/>
      <c r="NFH104" s="14"/>
      <c r="NFI104" s="14"/>
      <c r="NFJ104" s="14"/>
      <c r="NFK104" s="14"/>
      <c r="NFL104" s="36"/>
      <c r="NFM104" s="14"/>
      <c r="NFN104" s="45"/>
      <c r="NFO104" s="14"/>
      <c r="NFP104" s="14"/>
      <c r="NFQ104" s="14"/>
      <c r="NFR104" s="14"/>
      <c r="NFS104" s="14"/>
      <c r="NFT104" s="36"/>
      <c r="NFU104" s="14"/>
      <c r="NFV104" s="45"/>
      <c r="NFW104" s="14"/>
      <c r="NFX104" s="14"/>
      <c r="NFY104" s="14"/>
      <c r="NFZ104" s="14"/>
      <c r="NGA104" s="14"/>
      <c r="NGB104" s="36"/>
      <c r="NGC104" s="14"/>
      <c r="NGD104" s="45"/>
      <c r="NGE104" s="14"/>
      <c r="NGF104" s="14"/>
      <c r="NGG104" s="14"/>
      <c r="NGH104" s="14"/>
      <c r="NGI104" s="14"/>
      <c r="NGJ104" s="36"/>
      <c r="NGK104" s="14"/>
      <c r="NGL104" s="45"/>
      <c r="NGM104" s="14"/>
      <c r="NGN104" s="14"/>
      <c r="NGO104" s="14"/>
      <c r="NGP104" s="14"/>
      <c r="NGQ104" s="14"/>
      <c r="NGR104" s="36"/>
      <c r="NGS104" s="14"/>
      <c r="NGT104" s="45"/>
      <c r="NGU104" s="14"/>
      <c r="NGV104" s="14"/>
      <c r="NGW104" s="14"/>
      <c r="NGX104" s="14"/>
      <c r="NGY104" s="14"/>
      <c r="NGZ104" s="36"/>
      <c r="NHA104" s="14"/>
      <c r="NHB104" s="45"/>
      <c r="NHC104" s="14"/>
      <c r="NHD104" s="14"/>
      <c r="NHE104" s="14"/>
      <c r="NHF104" s="14"/>
      <c r="NHG104" s="14"/>
      <c r="NHH104" s="36"/>
      <c r="NHI104" s="14"/>
      <c r="NHJ104" s="45"/>
      <c r="NHK104" s="14"/>
      <c r="NHL104" s="14"/>
      <c r="NHM104" s="14"/>
      <c r="NHN104" s="14"/>
      <c r="NHO104" s="14"/>
      <c r="NHP104" s="36"/>
      <c r="NHQ104" s="14"/>
      <c r="NHR104" s="45"/>
      <c r="NHS104" s="14"/>
      <c r="NHT104" s="14"/>
      <c r="NHU104" s="14"/>
      <c r="NHV104" s="14"/>
      <c r="NHW104" s="14"/>
      <c r="NHX104" s="36"/>
      <c r="NHY104" s="14"/>
      <c r="NHZ104" s="45"/>
      <c r="NIA104" s="14"/>
      <c r="NIB104" s="14"/>
      <c r="NIC104" s="14"/>
      <c r="NID104" s="14"/>
      <c r="NIE104" s="14"/>
      <c r="NIF104" s="36"/>
      <c r="NIG104" s="14"/>
      <c r="NIH104" s="45"/>
      <c r="NII104" s="14"/>
      <c r="NIJ104" s="14"/>
      <c r="NIK104" s="14"/>
      <c r="NIL104" s="14"/>
      <c r="NIM104" s="14"/>
      <c r="NIN104" s="36"/>
      <c r="NIO104" s="14"/>
      <c r="NIP104" s="45"/>
      <c r="NIQ104" s="14"/>
      <c r="NIR104" s="14"/>
      <c r="NIS104" s="14"/>
      <c r="NIT104" s="14"/>
      <c r="NIU104" s="14"/>
      <c r="NIV104" s="36"/>
      <c r="NIW104" s="14"/>
      <c r="NIX104" s="45"/>
      <c r="NIY104" s="14"/>
      <c r="NIZ104" s="14"/>
      <c r="NJA104" s="14"/>
      <c r="NJB104" s="14"/>
      <c r="NJC104" s="14"/>
      <c r="NJD104" s="36"/>
      <c r="NJE104" s="14"/>
      <c r="NJF104" s="45"/>
      <c r="NJG104" s="14"/>
      <c r="NJH104" s="14"/>
      <c r="NJI104" s="14"/>
      <c r="NJJ104" s="14"/>
      <c r="NJK104" s="14"/>
      <c r="NJL104" s="36"/>
      <c r="NJM104" s="14"/>
      <c r="NJN104" s="45"/>
      <c r="NJO104" s="14"/>
      <c r="NJP104" s="14"/>
      <c r="NJQ104" s="14"/>
      <c r="NJR104" s="14"/>
      <c r="NJS104" s="14"/>
      <c r="NJT104" s="36"/>
      <c r="NJU104" s="14"/>
      <c r="NJV104" s="45"/>
      <c r="NJW104" s="14"/>
      <c r="NJX104" s="14"/>
      <c r="NJY104" s="14"/>
      <c r="NJZ104" s="14"/>
      <c r="NKA104" s="14"/>
      <c r="NKB104" s="36"/>
      <c r="NKC104" s="14"/>
      <c r="NKD104" s="45"/>
      <c r="NKE104" s="14"/>
      <c r="NKF104" s="14"/>
      <c r="NKG104" s="14"/>
      <c r="NKH104" s="14"/>
      <c r="NKI104" s="14"/>
      <c r="NKJ104" s="36"/>
      <c r="NKK104" s="14"/>
      <c r="NKL104" s="45"/>
      <c r="NKM104" s="14"/>
      <c r="NKN104" s="14"/>
      <c r="NKO104" s="14"/>
      <c r="NKP104" s="14"/>
      <c r="NKQ104" s="14"/>
      <c r="NKR104" s="36"/>
      <c r="NKS104" s="14"/>
      <c r="NKT104" s="45"/>
      <c r="NKU104" s="14"/>
      <c r="NKV104" s="14"/>
      <c r="NKW104" s="14"/>
      <c r="NKX104" s="14"/>
      <c r="NKY104" s="14"/>
      <c r="NKZ104" s="36"/>
      <c r="NLA104" s="14"/>
      <c r="NLB104" s="45"/>
      <c r="NLC104" s="14"/>
      <c r="NLD104" s="14"/>
      <c r="NLE104" s="14"/>
      <c r="NLF104" s="14"/>
      <c r="NLG104" s="14"/>
      <c r="NLH104" s="36"/>
      <c r="NLI104" s="14"/>
      <c r="NLJ104" s="45"/>
      <c r="NLK104" s="14"/>
      <c r="NLL104" s="14"/>
      <c r="NLM104" s="14"/>
      <c r="NLN104" s="14"/>
      <c r="NLO104" s="14"/>
      <c r="NLP104" s="36"/>
      <c r="NLQ104" s="14"/>
      <c r="NLR104" s="45"/>
      <c r="NLS104" s="14"/>
      <c r="NLT104" s="14"/>
      <c r="NLU104" s="14"/>
      <c r="NLV104" s="14"/>
      <c r="NLW104" s="14"/>
      <c r="NLX104" s="36"/>
      <c r="NLY104" s="14"/>
      <c r="NLZ104" s="45"/>
      <c r="NMA104" s="14"/>
      <c r="NMB104" s="14"/>
      <c r="NMC104" s="14"/>
      <c r="NMD104" s="14"/>
      <c r="NME104" s="14"/>
      <c r="NMF104" s="36"/>
      <c r="NMG104" s="14"/>
      <c r="NMH104" s="45"/>
      <c r="NMI104" s="14"/>
      <c r="NMJ104" s="14"/>
      <c r="NMK104" s="14"/>
      <c r="NML104" s="14"/>
      <c r="NMM104" s="14"/>
      <c r="NMN104" s="36"/>
      <c r="NMO104" s="14"/>
      <c r="NMP104" s="45"/>
      <c r="NMQ104" s="14"/>
      <c r="NMR104" s="14"/>
      <c r="NMS104" s="14"/>
      <c r="NMT104" s="14"/>
      <c r="NMU104" s="14"/>
      <c r="NMV104" s="36"/>
      <c r="NMW104" s="14"/>
      <c r="NMX104" s="45"/>
      <c r="NMY104" s="14"/>
      <c r="NMZ104" s="14"/>
      <c r="NNA104" s="14"/>
      <c r="NNB104" s="14"/>
      <c r="NNC104" s="14"/>
      <c r="NND104" s="36"/>
      <c r="NNE104" s="14"/>
      <c r="NNF104" s="45"/>
      <c r="NNG104" s="14"/>
      <c r="NNH104" s="14"/>
      <c r="NNI104" s="14"/>
      <c r="NNJ104" s="14"/>
      <c r="NNK104" s="14"/>
      <c r="NNL104" s="36"/>
      <c r="NNM104" s="14"/>
      <c r="NNN104" s="45"/>
      <c r="NNO104" s="14"/>
      <c r="NNP104" s="14"/>
      <c r="NNQ104" s="14"/>
      <c r="NNR104" s="14"/>
      <c r="NNS104" s="14"/>
      <c r="NNT104" s="36"/>
      <c r="NNU104" s="14"/>
      <c r="NNV104" s="45"/>
      <c r="NNW104" s="14"/>
      <c r="NNX104" s="14"/>
      <c r="NNY104" s="14"/>
      <c r="NNZ104" s="14"/>
      <c r="NOA104" s="14"/>
      <c r="NOB104" s="36"/>
      <c r="NOC104" s="14"/>
      <c r="NOD104" s="45"/>
      <c r="NOE104" s="14"/>
      <c r="NOF104" s="14"/>
      <c r="NOG104" s="14"/>
      <c r="NOH104" s="14"/>
      <c r="NOI104" s="14"/>
      <c r="NOJ104" s="36"/>
      <c r="NOK104" s="14"/>
      <c r="NOL104" s="45"/>
      <c r="NOM104" s="14"/>
      <c r="NON104" s="14"/>
      <c r="NOO104" s="14"/>
      <c r="NOP104" s="14"/>
      <c r="NOQ104" s="14"/>
      <c r="NOR104" s="36"/>
      <c r="NOS104" s="14"/>
      <c r="NOT104" s="45"/>
      <c r="NOU104" s="14"/>
      <c r="NOV104" s="14"/>
      <c r="NOW104" s="14"/>
      <c r="NOX104" s="14"/>
      <c r="NOY104" s="14"/>
      <c r="NOZ104" s="36"/>
      <c r="NPA104" s="14"/>
      <c r="NPB104" s="45"/>
      <c r="NPC104" s="14"/>
      <c r="NPD104" s="14"/>
      <c r="NPE104" s="14"/>
      <c r="NPF104" s="14"/>
      <c r="NPG104" s="14"/>
      <c r="NPH104" s="36"/>
      <c r="NPI104" s="14"/>
      <c r="NPJ104" s="45"/>
      <c r="NPK104" s="14"/>
      <c r="NPL104" s="14"/>
      <c r="NPM104" s="14"/>
      <c r="NPN104" s="14"/>
      <c r="NPO104" s="14"/>
      <c r="NPP104" s="36"/>
      <c r="NPQ104" s="14"/>
      <c r="NPR104" s="45"/>
      <c r="NPS104" s="14"/>
      <c r="NPT104" s="14"/>
      <c r="NPU104" s="14"/>
      <c r="NPV104" s="14"/>
      <c r="NPW104" s="14"/>
      <c r="NPX104" s="36"/>
      <c r="NPY104" s="14"/>
      <c r="NPZ104" s="45"/>
      <c r="NQA104" s="14"/>
      <c r="NQB104" s="14"/>
      <c r="NQC104" s="14"/>
      <c r="NQD104" s="14"/>
      <c r="NQE104" s="14"/>
      <c r="NQF104" s="36"/>
      <c r="NQG104" s="14"/>
      <c r="NQH104" s="45"/>
      <c r="NQI104" s="14"/>
      <c r="NQJ104" s="14"/>
      <c r="NQK104" s="14"/>
      <c r="NQL104" s="14"/>
      <c r="NQM104" s="14"/>
      <c r="NQN104" s="36"/>
      <c r="NQO104" s="14"/>
      <c r="NQP104" s="45"/>
      <c r="NQQ104" s="14"/>
      <c r="NQR104" s="14"/>
      <c r="NQS104" s="14"/>
      <c r="NQT104" s="14"/>
      <c r="NQU104" s="14"/>
      <c r="NQV104" s="36"/>
      <c r="NQW104" s="14"/>
      <c r="NQX104" s="45"/>
      <c r="NQY104" s="14"/>
      <c r="NQZ104" s="14"/>
      <c r="NRA104" s="14"/>
      <c r="NRB104" s="14"/>
      <c r="NRC104" s="14"/>
      <c r="NRD104" s="36"/>
      <c r="NRE104" s="14"/>
      <c r="NRF104" s="45"/>
      <c r="NRG104" s="14"/>
      <c r="NRH104" s="14"/>
      <c r="NRI104" s="14"/>
      <c r="NRJ104" s="14"/>
      <c r="NRK104" s="14"/>
      <c r="NRL104" s="36"/>
      <c r="NRM104" s="14"/>
      <c r="NRN104" s="45"/>
      <c r="NRO104" s="14"/>
      <c r="NRP104" s="14"/>
      <c r="NRQ104" s="14"/>
      <c r="NRR104" s="14"/>
      <c r="NRS104" s="14"/>
      <c r="NRT104" s="36"/>
      <c r="NRU104" s="14"/>
      <c r="NRV104" s="45"/>
      <c r="NRW104" s="14"/>
      <c r="NRX104" s="14"/>
      <c r="NRY104" s="14"/>
      <c r="NRZ104" s="14"/>
      <c r="NSA104" s="14"/>
      <c r="NSB104" s="36"/>
      <c r="NSC104" s="14"/>
      <c r="NSD104" s="45"/>
      <c r="NSE104" s="14"/>
      <c r="NSF104" s="14"/>
      <c r="NSG104" s="14"/>
      <c r="NSH104" s="14"/>
      <c r="NSI104" s="14"/>
      <c r="NSJ104" s="36"/>
      <c r="NSK104" s="14"/>
      <c r="NSL104" s="45"/>
      <c r="NSM104" s="14"/>
      <c r="NSN104" s="14"/>
      <c r="NSO104" s="14"/>
      <c r="NSP104" s="14"/>
      <c r="NSQ104" s="14"/>
      <c r="NSR104" s="36"/>
      <c r="NSS104" s="14"/>
      <c r="NST104" s="45"/>
      <c r="NSU104" s="14"/>
      <c r="NSV104" s="14"/>
      <c r="NSW104" s="14"/>
      <c r="NSX104" s="14"/>
      <c r="NSY104" s="14"/>
      <c r="NSZ104" s="36"/>
      <c r="NTA104" s="14"/>
      <c r="NTB104" s="45"/>
      <c r="NTC104" s="14"/>
      <c r="NTD104" s="14"/>
      <c r="NTE104" s="14"/>
      <c r="NTF104" s="14"/>
      <c r="NTG104" s="14"/>
      <c r="NTH104" s="36"/>
      <c r="NTI104" s="14"/>
      <c r="NTJ104" s="45"/>
      <c r="NTK104" s="14"/>
      <c r="NTL104" s="14"/>
      <c r="NTM104" s="14"/>
      <c r="NTN104" s="14"/>
      <c r="NTO104" s="14"/>
      <c r="NTP104" s="36"/>
      <c r="NTQ104" s="14"/>
      <c r="NTR104" s="45"/>
      <c r="NTS104" s="14"/>
      <c r="NTT104" s="14"/>
      <c r="NTU104" s="14"/>
      <c r="NTV104" s="14"/>
      <c r="NTW104" s="14"/>
      <c r="NTX104" s="36"/>
      <c r="NTY104" s="14"/>
      <c r="NTZ104" s="45"/>
      <c r="NUA104" s="14"/>
      <c r="NUB104" s="14"/>
      <c r="NUC104" s="14"/>
      <c r="NUD104" s="14"/>
      <c r="NUE104" s="14"/>
      <c r="NUF104" s="36"/>
      <c r="NUG104" s="14"/>
      <c r="NUH104" s="45"/>
      <c r="NUI104" s="14"/>
      <c r="NUJ104" s="14"/>
      <c r="NUK104" s="14"/>
      <c r="NUL104" s="14"/>
      <c r="NUM104" s="14"/>
      <c r="NUN104" s="36"/>
      <c r="NUO104" s="14"/>
      <c r="NUP104" s="45"/>
      <c r="NUQ104" s="14"/>
      <c r="NUR104" s="14"/>
      <c r="NUS104" s="14"/>
      <c r="NUT104" s="14"/>
      <c r="NUU104" s="14"/>
      <c r="NUV104" s="36"/>
      <c r="NUW104" s="14"/>
      <c r="NUX104" s="45"/>
      <c r="NUY104" s="14"/>
      <c r="NUZ104" s="14"/>
      <c r="NVA104" s="14"/>
      <c r="NVB104" s="14"/>
      <c r="NVC104" s="14"/>
      <c r="NVD104" s="36"/>
      <c r="NVE104" s="14"/>
      <c r="NVF104" s="45"/>
      <c r="NVG104" s="14"/>
      <c r="NVH104" s="14"/>
      <c r="NVI104" s="14"/>
      <c r="NVJ104" s="14"/>
      <c r="NVK104" s="14"/>
      <c r="NVL104" s="36"/>
      <c r="NVM104" s="14"/>
      <c r="NVN104" s="45"/>
      <c r="NVO104" s="14"/>
      <c r="NVP104" s="14"/>
      <c r="NVQ104" s="14"/>
      <c r="NVR104" s="14"/>
      <c r="NVS104" s="14"/>
      <c r="NVT104" s="36"/>
      <c r="NVU104" s="14"/>
      <c r="NVV104" s="45"/>
      <c r="NVW104" s="14"/>
      <c r="NVX104" s="14"/>
      <c r="NVY104" s="14"/>
      <c r="NVZ104" s="14"/>
      <c r="NWA104" s="14"/>
      <c r="NWB104" s="36"/>
      <c r="NWC104" s="14"/>
      <c r="NWD104" s="45"/>
      <c r="NWE104" s="14"/>
      <c r="NWF104" s="14"/>
      <c r="NWG104" s="14"/>
      <c r="NWH104" s="14"/>
      <c r="NWI104" s="14"/>
      <c r="NWJ104" s="36"/>
      <c r="NWK104" s="14"/>
      <c r="NWL104" s="45"/>
      <c r="NWM104" s="14"/>
      <c r="NWN104" s="14"/>
      <c r="NWO104" s="14"/>
      <c r="NWP104" s="14"/>
      <c r="NWQ104" s="14"/>
      <c r="NWR104" s="36"/>
      <c r="NWS104" s="14"/>
      <c r="NWT104" s="45"/>
      <c r="NWU104" s="14"/>
      <c r="NWV104" s="14"/>
      <c r="NWW104" s="14"/>
      <c r="NWX104" s="14"/>
      <c r="NWY104" s="14"/>
      <c r="NWZ104" s="36"/>
      <c r="NXA104" s="14"/>
      <c r="NXB104" s="45"/>
      <c r="NXC104" s="14"/>
      <c r="NXD104" s="14"/>
      <c r="NXE104" s="14"/>
      <c r="NXF104" s="14"/>
      <c r="NXG104" s="14"/>
      <c r="NXH104" s="36"/>
      <c r="NXI104" s="14"/>
      <c r="NXJ104" s="45"/>
      <c r="NXK104" s="14"/>
      <c r="NXL104" s="14"/>
      <c r="NXM104" s="14"/>
      <c r="NXN104" s="14"/>
      <c r="NXO104" s="14"/>
      <c r="NXP104" s="36"/>
      <c r="NXQ104" s="14"/>
      <c r="NXR104" s="45"/>
      <c r="NXS104" s="14"/>
      <c r="NXT104" s="14"/>
      <c r="NXU104" s="14"/>
      <c r="NXV104" s="14"/>
      <c r="NXW104" s="14"/>
      <c r="NXX104" s="36"/>
      <c r="NXY104" s="14"/>
      <c r="NXZ104" s="45"/>
      <c r="NYA104" s="14"/>
      <c r="NYB104" s="14"/>
      <c r="NYC104" s="14"/>
      <c r="NYD104" s="14"/>
      <c r="NYE104" s="14"/>
      <c r="NYF104" s="36"/>
      <c r="NYG104" s="14"/>
      <c r="NYH104" s="45"/>
      <c r="NYI104" s="14"/>
      <c r="NYJ104" s="14"/>
      <c r="NYK104" s="14"/>
      <c r="NYL104" s="14"/>
      <c r="NYM104" s="14"/>
      <c r="NYN104" s="36"/>
      <c r="NYO104" s="14"/>
      <c r="NYP104" s="45"/>
      <c r="NYQ104" s="14"/>
      <c r="NYR104" s="14"/>
      <c r="NYS104" s="14"/>
      <c r="NYT104" s="14"/>
      <c r="NYU104" s="14"/>
      <c r="NYV104" s="36"/>
      <c r="NYW104" s="14"/>
      <c r="NYX104" s="45"/>
      <c r="NYY104" s="14"/>
      <c r="NYZ104" s="14"/>
      <c r="NZA104" s="14"/>
      <c r="NZB104" s="14"/>
      <c r="NZC104" s="14"/>
      <c r="NZD104" s="36"/>
      <c r="NZE104" s="14"/>
      <c r="NZF104" s="45"/>
      <c r="NZG104" s="14"/>
      <c r="NZH104" s="14"/>
      <c r="NZI104" s="14"/>
      <c r="NZJ104" s="14"/>
      <c r="NZK104" s="14"/>
      <c r="NZL104" s="36"/>
      <c r="NZM104" s="14"/>
      <c r="NZN104" s="45"/>
      <c r="NZO104" s="14"/>
      <c r="NZP104" s="14"/>
      <c r="NZQ104" s="14"/>
      <c r="NZR104" s="14"/>
      <c r="NZS104" s="14"/>
      <c r="NZT104" s="36"/>
      <c r="NZU104" s="14"/>
      <c r="NZV104" s="45"/>
      <c r="NZW104" s="14"/>
      <c r="NZX104" s="14"/>
      <c r="NZY104" s="14"/>
      <c r="NZZ104" s="14"/>
      <c r="OAA104" s="14"/>
      <c r="OAB104" s="36"/>
      <c r="OAC104" s="14"/>
      <c r="OAD104" s="45"/>
      <c r="OAE104" s="14"/>
      <c r="OAF104" s="14"/>
      <c r="OAG104" s="14"/>
      <c r="OAH104" s="14"/>
      <c r="OAI104" s="14"/>
      <c r="OAJ104" s="36"/>
      <c r="OAK104" s="14"/>
      <c r="OAL104" s="45"/>
      <c r="OAM104" s="14"/>
      <c r="OAN104" s="14"/>
      <c r="OAO104" s="14"/>
      <c r="OAP104" s="14"/>
      <c r="OAQ104" s="14"/>
      <c r="OAR104" s="36"/>
      <c r="OAS104" s="14"/>
      <c r="OAT104" s="45"/>
      <c r="OAU104" s="14"/>
      <c r="OAV104" s="14"/>
      <c r="OAW104" s="14"/>
      <c r="OAX104" s="14"/>
      <c r="OAY104" s="14"/>
      <c r="OAZ104" s="36"/>
      <c r="OBA104" s="14"/>
      <c r="OBB104" s="45"/>
      <c r="OBC104" s="14"/>
      <c r="OBD104" s="14"/>
      <c r="OBE104" s="14"/>
      <c r="OBF104" s="14"/>
      <c r="OBG104" s="14"/>
      <c r="OBH104" s="36"/>
      <c r="OBI104" s="14"/>
      <c r="OBJ104" s="45"/>
      <c r="OBK104" s="14"/>
      <c r="OBL104" s="14"/>
      <c r="OBM104" s="14"/>
      <c r="OBN104" s="14"/>
      <c r="OBO104" s="14"/>
      <c r="OBP104" s="36"/>
      <c r="OBQ104" s="14"/>
      <c r="OBR104" s="45"/>
      <c r="OBS104" s="14"/>
      <c r="OBT104" s="14"/>
      <c r="OBU104" s="14"/>
      <c r="OBV104" s="14"/>
      <c r="OBW104" s="14"/>
      <c r="OBX104" s="36"/>
      <c r="OBY104" s="14"/>
      <c r="OBZ104" s="45"/>
      <c r="OCA104" s="14"/>
      <c r="OCB104" s="14"/>
      <c r="OCC104" s="14"/>
      <c r="OCD104" s="14"/>
      <c r="OCE104" s="14"/>
      <c r="OCF104" s="36"/>
      <c r="OCG104" s="14"/>
      <c r="OCH104" s="45"/>
      <c r="OCI104" s="14"/>
      <c r="OCJ104" s="14"/>
      <c r="OCK104" s="14"/>
      <c r="OCL104" s="14"/>
      <c r="OCM104" s="14"/>
      <c r="OCN104" s="36"/>
      <c r="OCO104" s="14"/>
      <c r="OCP104" s="45"/>
      <c r="OCQ104" s="14"/>
      <c r="OCR104" s="14"/>
      <c r="OCS104" s="14"/>
      <c r="OCT104" s="14"/>
      <c r="OCU104" s="14"/>
      <c r="OCV104" s="36"/>
      <c r="OCW104" s="14"/>
      <c r="OCX104" s="45"/>
      <c r="OCY104" s="14"/>
      <c r="OCZ104" s="14"/>
      <c r="ODA104" s="14"/>
      <c r="ODB104" s="14"/>
      <c r="ODC104" s="14"/>
      <c r="ODD104" s="36"/>
      <c r="ODE104" s="14"/>
      <c r="ODF104" s="45"/>
      <c r="ODG104" s="14"/>
      <c r="ODH104" s="14"/>
      <c r="ODI104" s="14"/>
      <c r="ODJ104" s="14"/>
      <c r="ODK104" s="14"/>
      <c r="ODL104" s="36"/>
      <c r="ODM104" s="14"/>
      <c r="ODN104" s="45"/>
      <c r="ODO104" s="14"/>
      <c r="ODP104" s="14"/>
      <c r="ODQ104" s="14"/>
      <c r="ODR104" s="14"/>
      <c r="ODS104" s="14"/>
      <c r="ODT104" s="36"/>
      <c r="ODU104" s="14"/>
      <c r="ODV104" s="45"/>
      <c r="ODW104" s="14"/>
      <c r="ODX104" s="14"/>
      <c r="ODY104" s="14"/>
      <c r="ODZ104" s="14"/>
      <c r="OEA104" s="14"/>
      <c r="OEB104" s="36"/>
      <c r="OEC104" s="14"/>
      <c r="OED104" s="45"/>
      <c r="OEE104" s="14"/>
      <c r="OEF104" s="14"/>
      <c r="OEG104" s="14"/>
      <c r="OEH104" s="14"/>
      <c r="OEI104" s="14"/>
      <c r="OEJ104" s="36"/>
      <c r="OEK104" s="14"/>
      <c r="OEL104" s="45"/>
      <c r="OEM104" s="14"/>
      <c r="OEN104" s="14"/>
      <c r="OEO104" s="14"/>
      <c r="OEP104" s="14"/>
      <c r="OEQ104" s="14"/>
      <c r="OER104" s="36"/>
      <c r="OES104" s="14"/>
      <c r="OET104" s="45"/>
      <c r="OEU104" s="14"/>
      <c r="OEV104" s="14"/>
      <c r="OEW104" s="14"/>
      <c r="OEX104" s="14"/>
      <c r="OEY104" s="14"/>
      <c r="OEZ104" s="36"/>
      <c r="OFA104" s="14"/>
      <c r="OFB104" s="45"/>
      <c r="OFC104" s="14"/>
      <c r="OFD104" s="14"/>
      <c r="OFE104" s="14"/>
      <c r="OFF104" s="14"/>
      <c r="OFG104" s="14"/>
      <c r="OFH104" s="36"/>
      <c r="OFI104" s="14"/>
      <c r="OFJ104" s="45"/>
      <c r="OFK104" s="14"/>
      <c r="OFL104" s="14"/>
      <c r="OFM104" s="14"/>
      <c r="OFN104" s="14"/>
      <c r="OFO104" s="14"/>
      <c r="OFP104" s="36"/>
      <c r="OFQ104" s="14"/>
      <c r="OFR104" s="45"/>
      <c r="OFS104" s="14"/>
      <c r="OFT104" s="14"/>
      <c r="OFU104" s="14"/>
      <c r="OFV104" s="14"/>
      <c r="OFW104" s="14"/>
      <c r="OFX104" s="36"/>
      <c r="OFY104" s="14"/>
      <c r="OFZ104" s="45"/>
      <c r="OGA104" s="14"/>
      <c r="OGB104" s="14"/>
      <c r="OGC104" s="14"/>
      <c r="OGD104" s="14"/>
      <c r="OGE104" s="14"/>
      <c r="OGF104" s="36"/>
      <c r="OGG104" s="14"/>
      <c r="OGH104" s="45"/>
      <c r="OGI104" s="14"/>
      <c r="OGJ104" s="14"/>
      <c r="OGK104" s="14"/>
      <c r="OGL104" s="14"/>
      <c r="OGM104" s="14"/>
      <c r="OGN104" s="36"/>
      <c r="OGO104" s="14"/>
      <c r="OGP104" s="45"/>
      <c r="OGQ104" s="14"/>
      <c r="OGR104" s="14"/>
      <c r="OGS104" s="14"/>
      <c r="OGT104" s="14"/>
      <c r="OGU104" s="14"/>
      <c r="OGV104" s="36"/>
      <c r="OGW104" s="14"/>
      <c r="OGX104" s="45"/>
      <c r="OGY104" s="14"/>
      <c r="OGZ104" s="14"/>
      <c r="OHA104" s="14"/>
      <c r="OHB104" s="14"/>
      <c r="OHC104" s="14"/>
      <c r="OHD104" s="36"/>
      <c r="OHE104" s="14"/>
      <c r="OHF104" s="45"/>
      <c r="OHG104" s="14"/>
      <c r="OHH104" s="14"/>
      <c r="OHI104" s="14"/>
      <c r="OHJ104" s="14"/>
      <c r="OHK104" s="14"/>
      <c r="OHL104" s="36"/>
      <c r="OHM104" s="14"/>
      <c r="OHN104" s="45"/>
      <c r="OHO104" s="14"/>
      <c r="OHP104" s="14"/>
      <c r="OHQ104" s="14"/>
      <c r="OHR104" s="14"/>
      <c r="OHS104" s="14"/>
      <c r="OHT104" s="36"/>
      <c r="OHU104" s="14"/>
      <c r="OHV104" s="45"/>
      <c r="OHW104" s="14"/>
      <c r="OHX104" s="14"/>
      <c r="OHY104" s="14"/>
      <c r="OHZ104" s="14"/>
      <c r="OIA104" s="14"/>
      <c r="OIB104" s="36"/>
      <c r="OIC104" s="14"/>
      <c r="OID104" s="45"/>
      <c r="OIE104" s="14"/>
      <c r="OIF104" s="14"/>
      <c r="OIG104" s="14"/>
      <c r="OIH104" s="14"/>
      <c r="OII104" s="14"/>
      <c r="OIJ104" s="36"/>
      <c r="OIK104" s="14"/>
      <c r="OIL104" s="45"/>
      <c r="OIM104" s="14"/>
      <c r="OIN104" s="14"/>
      <c r="OIO104" s="14"/>
      <c r="OIP104" s="14"/>
      <c r="OIQ104" s="14"/>
      <c r="OIR104" s="36"/>
      <c r="OIS104" s="14"/>
      <c r="OIT104" s="45"/>
      <c r="OIU104" s="14"/>
      <c r="OIV104" s="14"/>
      <c r="OIW104" s="14"/>
      <c r="OIX104" s="14"/>
      <c r="OIY104" s="14"/>
      <c r="OIZ104" s="36"/>
      <c r="OJA104" s="14"/>
      <c r="OJB104" s="45"/>
      <c r="OJC104" s="14"/>
      <c r="OJD104" s="14"/>
      <c r="OJE104" s="14"/>
      <c r="OJF104" s="14"/>
      <c r="OJG104" s="14"/>
      <c r="OJH104" s="36"/>
      <c r="OJI104" s="14"/>
      <c r="OJJ104" s="45"/>
      <c r="OJK104" s="14"/>
      <c r="OJL104" s="14"/>
      <c r="OJM104" s="14"/>
      <c r="OJN104" s="14"/>
      <c r="OJO104" s="14"/>
      <c r="OJP104" s="36"/>
      <c r="OJQ104" s="14"/>
      <c r="OJR104" s="45"/>
      <c r="OJS104" s="14"/>
      <c r="OJT104" s="14"/>
      <c r="OJU104" s="14"/>
      <c r="OJV104" s="14"/>
      <c r="OJW104" s="14"/>
      <c r="OJX104" s="36"/>
      <c r="OJY104" s="14"/>
      <c r="OJZ104" s="45"/>
      <c r="OKA104" s="14"/>
      <c r="OKB104" s="14"/>
      <c r="OKC104" s="14"/>
      <c r="OKD104" s="14"/>
      <c r="OKE104" s="14"/>
      <c r="OKF104" s="36"/>
      <c r="OKG104" s="14"/>
      <c r="OKH104" s="45"/>
      <c r="OKI104" s="14"/>
      <c r="OKJ104" s="14"/>
      <c r="OKK104" s="14"/>
      <c r="OKL104" s="14"/>
      <c r="OKM104" s="14"/>
      <c r="OKN104" s="36"/>
      <c r="OKO104" s="14"/>
      <c r="OKP104" s="45"/>
      <c r="OKQ104" s="14"/>
      <c r="OKR104" s="14"/>
      <c r="OKS104" s="14"/>
      <c r="OKT104" s="14"/>
      <c r="OKU104" s="14"/>
      <c r="OKV104" s="36"/>
      <c r="OKW104" s="14"/>
      <c r="OKX104" s="45"/>
      <c r="OKY104" s="14"/>
      <c r="OKZ104" s="14"/>
      <c r="OLA104" s="14"/>
      <c r="OLB104" s="14"/>
      <c r="OLC104" s="14"/>
      <c r="OLD104" s="36"/>
      <c r="OLE104" s="14"/>
      <c r="OLF104" s="45"/>
      <c r="OLG104" s="14"/>
      <c r="OLH104" s="14"/>
      <c r="OLI104" s="14"/>
      <c r="OLJ104" s="14"/>
      <c r="OLK104" s="14"/>
      <c r="OLL104" s="36"/>
      <c r="OLM104" s="14"/>
      <c r="OLN104" s="45"/>
      <c r="OLO104" s="14"/>
      <c r="OLP104" s="14"/>
      <c r="OLQ104" s="14"/>
      <c r="OLR104" s="14"/>
      <c r="OLS104" s="14"/>
      <c r="OLT104" s="36"/>
      <c r="OLU104" s="14"/>
      <c r="OLV104" s="45"/>
      <c r="OLW104" s="14"/>
      <c r="OLX104" s="14"/>
      <c r="OLY104" s="14"/>
      <c r="OLZ104" s="14"/>
      <c r="OMA104" s="14"/>
      <c r="OMB104" s="36"/>
      <c r="OMC104" s="14"/>
      <c r="OMD104" s="45"/>
      <c r="OME104" s="14"/>
      <c r="OMF104" s="14"/>
      <c r="OMG104" s="14"/>
      <c r="OMH104" s="14"/>
      <c r="OMI104" s="14"/>
      <c r="OMJ104" s="36"/>
      <c r="OMK104" s="14"/>
      <c r="OML104" s="45"/>
      <c r="OMM104" s="14"/>
      <c r="OMN104" s="14"/>
      <c r="OMO104" s="14"/>
      <c r="OMP104" s="14"/>
      <c r="OMQ104" s="14"/>
      <c r="OMR104" s="36"/>
      <c r="OMS104" s="14"/>
      <c r="OMT104" s="45"/>
      <c r="OMU104" s="14"/>
      <c r="OMV104" s="14"/>
      <c r="OMW104" s="14"/>
      <c r="OMX104" s="14"/>
      <c r="OMY104" s="14"/>
      <c r="OMZ104" s="36"/>
      <c r="ONA104" s="14"/>
      <c r="ONB104" s="45"/>
      <c r="ONC104" s="14"/>
      <c r="OND104" s="14"/>
      <c r="ONE104" s="14"/>
      <c r="ONF104" s="14"/>
      <c r="ONG104" s="14"/>
      <c r="ONH104" s="36"/>
      <c r="ONI104" s="14"/>
      <c r="ONJ104" s="45"/>
      <c r="ONK104" s="14"/>
      <c r="ONL104" s="14"/>
      <c r="ONM104" s="14"/>
      <c r="ONN104" s="14"/>
      <c r="ONO104" s="14"/>
      <c r="ONP104" s="36"/>
      <c r="ONQ104" s="14"/>
      <c r="ONR104" s="45"/>
      <c r="ONS104" s="14"/>
      <c r="ONT104" s="14"/>
      <c r="ONU104" s="14"/>
      <c r="ONV104" s="14"/>
      <c r="ONW104" s="14"/>
      <c r="ONX104" s="36"/>
      <c r="ONY104" s="14"/>
      <c r="ONZ104" s="45"/>
      <c r="OOA104" s="14"/>
      <c r="OOB104" s="14"/>
      <c r="OOC104" s="14"/>
      <c r="OOD104" s="14"/>
      <c r="OOE104" s="14"/>
      <c r="OOF104" s="36"/>
      <c r="OOG104" s="14"/>
      <c r="OOH104" s="45"/>
      <c r="OOI104" s="14"/>
      <c r="OOJ104" s="14"/>
      <c r="OOK104" s="14"/>
      <c r="OOL104" s="14"/>
      <c r="OOM104" s="14"/>
      <c r="OON104" s="36"/>
      <c r="OOO104" s="14"/>
      <c r="OOP104" s="45"/>
      <c r="OOQ104" s="14"/>
      <c r="OOR104" s="14"/>
      <c r="OOS104" s="14"/>
      <c r="OOT104" s="14"/>
      <c r="OOU104" s="14"/>
      <c r="OOV104" s="36"/>
      <c r="OOW104" s="14"/>
      <c r="OOX104" s="45"/>
      <c r="OOY104" s="14"/>
      <c r="OOZ104" s="14"/>
      <c r="OPA104" s="14"/>
      <c r="OPB104" s="14"/>
      <c r="OPC104" s="14"/>
      <c r="OPD104" s="36"/>
      <c r="OPE104" s="14"/>
      <c r="OPF104" s="45"/>
      <c r="OPG104" s="14"/>
      <c r="OPH104" s="14"/>
      <c r="OPI104" s="14"/>
      <c r="OPJ104" s="14"/>
      <c r="OPK104" s="14"/>
      <c r="OPL104" s="36"/>
      <c r="OPM104" s="14"/>
      <c r="OPN104" s="45"/>
      <c r="OPO104" s="14"/>
      <c r="OPP104" s="14"/>
      <c r="OPQ104" s="14"/>
      <c r="OPR104" s="14"/>
      <c r="OPS104" s="14"/>
      <c r="OPT104" s="36"/>
      <c r="OPU104" s="14"/>
      <c r="OPV104" s="45"/>
      <c r="OPW104" s="14"/>
      <c r="OPX104" s="14"/>
      <c r="OPY104" s="14"/>
      <c r="OPZ104" s="14"/>
      <c r="OQA104" s="14"/>
      <c r="OQB104" s="36"/>
      <c r="OQC104" s="14"/>
      <c r="OQD104" s="45"/>
      <c r="OQE104" s="14"/>
      <c r="OQF104" s="14"/>
      <c r="OQG104" s="14"/>
      <c r="OQH104" s="14"/>
      <c r="OQI104" s="14"/>
      <c r="OQJ104" s="36"/>
      <c r="OQK104" s="14"/>
      <c r="OQL104" s="45"/>
      <c r="OQM104" s="14"/>
      <c r="OQN104" s="14"/>
      <c r="OQO104" s="14"/>
      <c r="OQP104" s="14"/>
      <c r="OQQ104" s="14"/>
      <c r="OQR104" s="36"/>
      <c r="OQS104" s="14"/>
      <c r="OQT104" s="45"/>
      <c r="OQU104" s="14"/>
      <c r="OQV104" s="14"/>
      <c r="OQW104" s="14"/>
      <c r="OQX104" s="14"/>
      <c r="OQY104" s="14"/>
      <c r="OQZ104" s="36"/>
      <c r="ORA104" s="14"/>
      <c r="ORB104" s="45"/>
      <c r="ORC104" s="14"/>
      <c r="ORD104" s="14"/>
      <c r="ORE104" s="14"/>
      <c r="ORF104" s="14"/>
      <c r="ORG104" s="14"/>
      <c r="ORH104" s="36"/>
      <c r="ORI104" s="14"/>
      <c r="ORJ104" s="45"/>
      <c r="ORK104" s="14"/>
      <c r="ORL104" s="14"/>
      <c r="ORM104" s="14"/>
      <c r="ORN104" s="14"/>
      <c r="ORO104" s="14"/>
      <c r="ORP104" s="36"/>
      <c r="ORQ104" s="14"/>
      <c r="ORR104" s="45"/>
      <c r="ORS104" s="14"/>
      <c r="ORT104" s="14"/>
      <c r="ORU104" s="14"/>
      <c r="ORV104" s="14"/>
      <c r="ORW104" s="14"/>
      <c r="ORX104" s="36"/>
      <c r="ORY104" s="14"/>
      <c r="ORZ104" s="45"/>
      <c r="OSA104" s="14"/>
      <c r="OSB104" s="14"/>
      <c r="OSC104" s="14"/>
      <c r="OSD104" s="14"/>
      <c r="OSE104" s="14"/>
      <c r="OSF104" s="36"/>
      <c r="OSG104" s="14"/>
      <c r="OSH104" s="45"/>
      <c r="OSI104" s="14"/>
      <c r="OSJ104" s="14"/>
      <c r="OSK104" s="14"/>
      <c r="OSL104" s="14"/>
      <c r="OSM104" s="14"/>
      <c r="OSN104" s="36"/>
      <c r="OSO104" s="14"/>
      <c r="OSP104" s="45"/>
      <c r="OSQ104" s="14"/>
      <c r="OSR104" s="14"/>
      <c r="OSS104" s="14"/>
      <c r="OST104" s="14"/>
      <c r="OSU104" s="14"/>
      <c r="OSV104" s="36"/>
      <c r="OSW104" s="14"/>
      <c r="OSX104" s="45"/>
      <c r="OSY104" s="14"/>
      <c r="OSZ104" s="14"/>
      <c r="OTA104" s="14"/>
      <c r="OTB104" s="14"/>
      <c r="OTC104" s="14"/>
      <c r="OTD104" s="36"/>
      <c r="OTE104" s="14"/>
      <c r="OTF104" s="45"/>
      <c r="OTG104" s="14"/>
      <c r="OTH104" s="14"/>
      <c r="OTI104" s="14"/>
      <c r="OTJ104" s="14"/>
      <c r="OTK104" s="14"/>
      <c r="OTL104" s="36"/>
      <c r="OTM104" s="14"/>
      <c r="OTN104" s="45"/>
      <c r="OTO104" s="14"/>
      <c r="OTP104" s="14"/>
      <c r="OTQ104" s="14"/>
      <c r="OTR104" s="14"/>
      <c r="OTS104" s="14"/>
      <c r="OTT104" s="36"/>
      <c r="OTU104" s="14"/>
      <c r="OTV104" s="45"/>
      <c r="OTW104" s="14"/>
      <c r="OTX104" s="14"/>
      <c r="OTY104" s="14"/>
      <c r="OTZ104" s="14"/>
      <c r="OUA104" s="14"/>
      <c r="OUB104" s="36"/>
      <c r="OUC104" s="14"/>
      <c r="OUD104" s="45"/>
      <c r="OUE104" s="14"/>
      <c r="OUF104" s="14"/>
      <c r="OUG104" s="14"/>
      <c r="OUH104" s="14"/>
      <c r="OUI104" s="14"/>
      <c r="OUJ104" s="36"/>
      <c r="OUK104" s="14"/>
      <c r="OUL104" s="45"/>
      <c r="OUM104" s="14"/>
      <c r="OUN104" s="14"/>
      <c r="OUO104" s="14"/>
      <c r="OUP104" s="14"/>
      <c r="OUQ104" s="14"/>
      <c r="OUR104" s="36"/>
      <c r="OUS104" s="14"/>
      <c r="OUT104" s="45"/>
      <c r="OUU104" s="14"/>
      <c r="OUV104" s="14"/>
      <c r="OUW104" s="14"/>
      <c r="OUX104" s="14"/>
      <c r="OUY104" s="14"/>
      <c r="OUZ104" s="36"/>
      <c r="OVA104" s="14"/>
      <c r="OVB104" s="45"/>
      <c r="OVC104" s="14"/>
      <c r="OVD104" s="14"/>
      <c r="OVE104" s="14"/>
      <c r="OVF104" s="14"/>
      <c r="OVG104" s="14"/>
      <c r="OVH104" s="36"/>
      <c r="OVI104" s="14"/>
      <c r="OVJ104" s="45"/>
      <c r="OVK104" s="14"/>
      <c r="OVL104" s="14"/>
      <c r="OVM104" s="14"/>
      <c r="OVN104" s="14"/>
      <c r="OVO104" s="14"/>
      <c r="OVP104" s="36"/>
      <c r="OVQ104" s="14"/>
      <c r="OVR104" s="45"/>
      <c r="OVS104" s="14"/>
      <c r="OVT104" s="14"/>
      <c r="OVU104" s="14"/>
      <c r="OVV104" s="14"/>
      <c r="OVW104" s="14"/>
      <c r="OVX104" s="36"/>
      <c r="OVY104" s="14"/>
      <c r="OVZ104" s="45"/>
      <c r="OWA104" s="14"/>
      <c r="OWB104" s="14"/>
      <c r="OWC104" s="14"/>
      <c r="OWD104" s="14"/>
      <c r="OWE104" s="14"/>
      <c r="OWF104" s="36"/>
      <c r="OWG104" s="14"/>
      <c r="OWH104" s="45"/>
      <c r="OWI104" s="14"/>
      <c r="OWJ104" s="14"/>
      <c r="OWK104" s="14"/>
      <c r="OWL104" s="14"/>
      <c r="OWM104" s="14"/>
      <c r="OWN104" s="36"/>
      <c r="OWO104" s="14"/>
      <c r="OWP104" s="45"/>
      <c r="OWQ104" s="14"/>
      <c r="OWR104" s="14"/>
      <c r="OWS104" s="14"/>
      <c r="OWT104" s="14"/>
      <c r="OWU104" s="14"/>
      <c r="OWV104" s="36"/>
      <c r="OWW104" s="14"/>
      <c r="OWX104" s="45"/>
      <c r="OWY104" s="14"/>
      <c r="OWZ104" s="14"/>
      <c r="OXA104" s="14"/>
      <c r="OXB104" s="14"/>
      <c r="OXC104" s="14"/>
      <c r="OXD104" s="36"/>
      <c r="OXE104" s="14"/>
      <c r="OXF104" s="45"/>
      <c r="OXG104" s="14"/>
      <c r="OXH104" s="14"/>
      <c r="OXI104" s="14"/>
      <c r="OXJ104" s="14"/>
      <c r="OXK104" s="14"/>
      <c r="OXL104" s="36"/>
      <c r="OXM104" s="14"/>
      <c r="OXN104" s="45"/>
      <c r="OXO104" s="14"/>
      <c r="OXP104" s="14"/>
      <c r="OXQ104" s="14"/>
      <c r="OXR104" s="14"/>
      <c r="OXS104" s="14"/>
      <c r="OXT104" s="36"/>
      <c r="OXU104" s="14"/>
      <c r="OXV104" s="45"/>
      <c r="OXW104" s="14"/>
      <c r="OXX104" s="14"/>
      <c r="OXY104" s="14"/>
      <c r="OXZ104" s="14"/>
      <c r="OYA104" s="14"/>
      <c r="OYB104" s="36"/>
      <c r="OYC104" s="14"/>
      <c r="OYD104" s="45"/>
      <c r="OYE104" s="14"/>
      <c r="OYF104" s="14"/>
      <c r="OYG104" s="14"/>
      <c r="OYH104" s="14"/>
      <c r="OYI104" s="14"/>
      <c r="OYJ104" s="36"/>
      <c r="OYK104" s="14"/>
      <c r="OYL104" s="45"/>
      <c r="OYM104" s="14"/>
      <c r="OYN104" s="14"/>
      <c r="OYO104" s="14"/>
      <c r="OYP104" s="14"/>
      <c r="OYQ104" s="14"/>
      <c r="OYR104" s="36"/>
      <c r="OYS104" s="14"/>
      <c r="OYT104" s="45"/>
      <c r="OYU104" s="14"/>
      <c r="OYV104" s="14"/>
      <c r="OYW104" s="14"/>
      <c r="OYX104" s="14"/>
      <c r="OYY104" s="14"/>
      <c r="OYZ104" s="36"/>
      <c r="OZA104" s="14"/>
      <c r="OZB104" s="45"/>
      <c r="OZC104" s="14"/>
      <c r="OZD104" s="14"/>
      <c r="OZE104" s="14"/>
      <c r="OZF104" s="14"/>
      <c r="OZG104" s="14"/>
      <c r="OZH104" s="36"/>
      <c r="OZI104" s="14"/>
      <c r="OZJ104" s="45"/>
      <c r="OZK104" s="14"/>
      <c r="OZL104" s="14"/>
      <c r="OZM104" s="14"/>
      <c r="OZN104" s="14"/>
      <c r="OZO104" s="14"/>
      <c r="OZP104" s="36"/>
      <c r="OZQ104" s="14"/>
      <c r="OZR104" s="45"/>
      <c r="OZS104" s="14"/>
      <c r="OZT104" s="14"/>
      <c r="OZU104" s="14"/>
      <c r="OZV104" s="14"/>
      <c r="OZW104" s="14"/>
      <c r="OZX104" s="36"/>
      <c r="OZY104" s="14"/>
      <c r="OZZ104" s="45"/>
      <c r="PAA104" s="14"/>
      <c r="PAB104" s="14"/>
      <c r="PAC104" s="14"/>
      <c r="PAD104" s="14"/>
      <c r="PAE104" s="14"/>
      <c r="PAF104" s="36"/>
      <c r="PAG104" s="14"/>
      <c r="PAH104" s="45"/>
      <c r="PAI104" s="14"/>
      <c r="PAJ104" s="14"/>
      <c r="PAK104" s="14"/>
      <c r="PAL104" s="14"/>
      <c r="PAM104" s="14"/>
      <c r="PAN104" s="36"/>
      <c r="PAO104" s="14"/>
      <c r="PAP104" s="45"/>
      <c r="PAQ104" s="14"/>
      <c r="PAR104" s="14"/>
      <c r="PAS104" s="14"/>
      <c r="PAT104" s="14"/>
      <c r="PAU104" s="14"/>
      <c r="PAV104" s="36"/>
      <c r="PAW104" s="14"/>
      <c r="PAX104" s="45"/>
      <c r="PAY104" s="14"/>
      <c r="PAZ104" s="14"/>
      <c r="PBA104" s="14"/>
      <c r="PBB104" s="14"/>
      <c r="PBC104" s="14"/>
      <c r="PBD104" s="36"/>
      <c r="PBE104" s="14"/>
      <c r="PBF104" s="45"/>
      <c r="PBG104" s="14"/>
      <c r="PBH104" s="14"/>
      <c r="PBI104" s="14"/>
      <c r="PBJ104" s="14"/>
      <c r="PBK104" s="14"/>
      <c r="PBL104" s="36"/>
      <c r="PBM104" s="14"/>
      <c r="PBN104" s="45"/>
      <c r="PBO104" s="14"/>
      <c r="PBP104" s="14"/>
      <c r="PBQ104" s="14"/>
      <c r="PBR104" s="14"/>
      <c r="PBS104" s="14"/>
      <c r="PBT104" s="36"/>
      <c r="PBU104" s="14"/>
      <c r="PBV104" s="45"/>
      <c r="PBW104" s="14"/>
      <c r="PBX104" s="14"/>
      <c r="PBY104" s="14"/>
      <c r="PBZ104" s="14"/>
      <c r="PCA104" s="14"/>
      <c r="PCB104" s="36"/>
      <c r="PCC104" s="14"/>
      <c r="PCD104" s="45"/>
      <c r="PCE104" s="14"/>
      <c r="PCF104" s="14"/>
      <c r="PCG104" s="14"/>
      <c r="PCH104" s="14"/>
      <c r="PCI104" s="14"/>
      <c r="PCJ104" s="36"/>
      <c r="PCK104" s="14"/>
      <c r="PCL104" s="45"/>
      <c r="PCM104" s="14"/>
      <c r="PCN104" s="14"/>
      <c r="PCO104" s="14"/>
      <c r="PCP104" s="14"/>
      <c r="PCQ104" s="14"/>
      <c r="PCR104" s="36"/>
      <c r="PCS104" s="14"/>
      <c r="PCT104" s="45"/>
      <c r="PCU104" s="14"/>
      <c r="PCV104" s="14"/>
      <c r="PCW104" s="14"/>
      <c r="PCX104" s="14"/>
      <c r="PCY104" s="14"/>
      <c r="PCZ104" s="36"/>
      <c r="PDA104" s="14"/>
      <c r="PDB104" s="45"/>
      <c r="PDC104" s="14"/>
      <c r="PDD104" s="14"/>
      <c r="PDE104" s="14"/>
      <c r="PDF104" s="14"/>
      <c r="PDG104" s="14"/>
      <c r="PDH104" s="36"/>
      <c r="PDI104" s="14"/>
      <c r="PDJ104" s="45"/>
      <c r="PDK104" s="14"/>
      <c r="PDL104" s="14"/>
      <c r="PDM104" s="14"/>
      <c r="PDN104" s="14"/>
      <c r="PDO104" s="14"/>
      <c r="PDP104" s="36"/>
      <c r="PDQ104" s="14"/>
      <c r="PDR104" s="45"/>
      <c r="PDS104" s="14"/>
      <c r="PDT104" s="14"/>
      <c r="PDU104" s="14"/>
      <c r="PDV104" s="14"/>
      <c r="PDW104" s="14"/>
      <c r="PDX104" s="36"/>
      <c r="PDY104" s="14"/>
      <c r="PDZ104" s="45"/>
      <c r="PEA104" s="14"/>
      <c r="PEB104" s="14"/>
      <c r="PEC104" s="14"/>
      <c r="PED104" s="14"/>
      <c r="PEE104" s="14"/>
      <c r="PEF104" s="36"/>
      <c r="PEG104" s="14"/>
      <c r="PEH104" s="45"/>
      <c r="PEI104" s="14"/>
      <c r="PEJ104" s="14"/>
      <c r="PEK104" s="14"/>
      <c r="PEL104" s="14"/>
      <c r="PEM104" s="14"/>
      <c r="PEN104" s="36"/>
      <c r="PEO104" s="14"/>
      <c r="PEP104" s="45"/>
      <c r="PEQ104" s="14"/>
      <c r="PER104" s="14"/>
      <c r="PES104" s="14"/>
      <c r="PET104" s="14"/>
      <c r="PEU104" s="14"/>
      <c r="PEV104" s="36"/>
      <c r="PEW104" s="14"/>
      <c r="PEX104" s="45"/>
      <c r="PEY104" s="14"/>
      <c r="PEZ104" s="14"/>
      <c r="PFA104" s="14"/>
      <c r="PFB104" s="14"/>
      <c r="PFC104" s="14"/>
      <c r="PFD104" s="36"/>
      <c r="PFE104" s="14"/>
      <c r="PFF104" s="45"/>
      <c r="PFG104" s="14"/>
      <c r="PFH104" s="14"/>
      <c r="PFI104" s="14"/>
      <c r="PFJ104" s="14"/>
      <c r="PFK104" s="14"/>
      <c r="PFL104" s="36"/>
      <c r="PFM104" s="14"/>
      <c r="PFN104" s="45"/>
      <c r="PFO104" s="14"/>
      <c r="PFP104" s="14"/>
      <c r="PFQ104" s="14"/>
      <c r="PFR104" s="14"/>
      <c r="PFS104" s="14"/>
      <c r="PFT104" s="36"/>
      <c r="PFU104" s="14"/>
      <c r="PFV104" s="45"/>
      <c r="PFW104" s="14"/>
      <c r="PFX104" s="14"/>
      <c r="PFY104" s="14"/>
      <c r="PFZ104" s="14"/>
      <c r="PGA104" s="14"/>
      <c r="PGB104" s="36"/>
      <c r="PGC104" s="14"/>
      <c r="PGD104" s="45"/>
      <c r="PGE104" s="14"/>
      <c r="PGF104" s="14"/>
      <c r="PGG104" s="14"/>
      <c r="PGH104" s="14"/>
      <c r="PGI104" s="14"/>
      <c r="PGJ104" s="36"/>
      <c r="PGK104" s="14"/>
      <c r="PGL104" s="45"/>
      <c r="PGM104" s="14"/>
      <c r="PGN104" s="14"/>
      <c r="PGO104" s="14"/>
      <c r="PGP104" s="14"/>
      <c r="PGQ104" s="14"/>
      <c r="PGR104" s="36"/>
      <c r="PGS104" s="14"/>
      <c r="PGT104" s="45"/>
      <c r="PGU104" s="14"/>
      <c r="PGV104" s="14"/>
      <c r="PGW104" s="14"/>
      <c r="PGX104" s="14"/>
      <c r="PGY104" s="14"/>
      <c r="PGZ104" s="36"/>
      <c r="PHA104" s="14"/>
      <c r="PHB104" s="45"/>
      <c r="PHC104" s="14"/>
      <c r="PHD104" s="14"/>
      <c r="PHE104" s="14"/>
      <c r="PHF104" s="14"/>
      <c r="PHG104" s="14"/>
      <c r="PHH104" s="36"/>
      <c r="PHI104" s="14"/>
      <c r="PHJ104" s="45"/>
      <c r="PHK104" s="14"/>
      <c r="PHL104" s="14"/>
      <c r="PHM104" s="14"/>
      <c r="PHN104" s="14"/>
      <c r="PHO104" s="14"/>
      <c r="PHP104" s="36"/>
      <c r="PHQ104" s="14"/>
      <c r="PHR104" s="45"/>
      <c r="PHS104" s="14"/>
      <c r="PHT104" s="14"/>
      <c r="PHU104" s="14"/>
      <c r="PHV104" s="14"/>
      <c r="PHW104" s="14"/>
      <c r="PHX104" s="36"/>
      <c r="PHY104" s="14"/>
      <c r="PHZ104" s="45"/>
      <c r="PIA104" s="14"/>
      <c r="PIB104" s="14"/>
      <c r="PIC104" s="14"/>
      <c r="PID104" s="14"/>
      <c r="PIE104" s="14"/>
      <c r="PIF104" s="36"/>
      <c r="PIG104" s="14"/>
      <c r="PIH104" s="45"/>
      <c r="PII104" s="14"/>
      <c r="PIJ104" s="14"/>
      <c r="PIK104" s="14"/>
      <c r="PIL104" s="14"/>
      <c r="PIM104" s="14"/>
      <c r="PIN104" s="36"/>
      <c r="PIO104" s="14"/>
      <c r="PIP104" s="45"/>
      <c r="PIQ104" s="14"/>
      <c r="PIR104" s="14"/>
      <c r="PIS104" s="14"/>
      <c r="PIT104" s="14"/>
      <c r="PIU104" s="14"/>
      <c r="PIV104" s="36"/>
      <c r="PIW104" s="14"/>
      <c r="PIX104" s="45"/>
      <c r="PIY104" s="14"/>
      <c r="PIZ104" s="14"/>
      <c r="PJA104" s="14"/>
      <c r="PJB104" s="14"/>
      <c r="PJC104" s="14"/>
      <c r="PJD104" s="36"/>
      <c r="PJE104" s="14"/>
      <c r="PJF104" s="45"/>
      <c r="PJG104" s="14"/>
      <c r="PJH104" s="14"/>
      <c r="PJI104" s="14"/>
      <c r="PJJ104" s="14"/>
      <c r="PJK104" s="14"/>
      <c r="PJL104" s="36"/>
      <c r="PJM104" s="14"/>
      <c r="PJN104" s="45"/>
      <c r="PJO104" s="14"/>
      <c r="PJP104" s="14"/>
      <c r="PJQ104" s="14"/>
      <c r="PJR104" s="14"/>
      <c r="PJS104" s="14"/>
      <c r="PJT104" s="36"/>
      <c r="PJU104" s="14"/>
      <c r="PJV104" s="45"/>
      <c r="PJW104" s="14"/>
      <c r="PJX104" s="14"/>
      <c r="PJY104" s="14"/>
      <c r="PJZ104" s="14"/>
      <c r="PKA104" s="14"/>
      <c r="PKB104" s="36"/>
      <c r="PKC104" s="14"/>
      <c r="PKD104" s="45"/>
      <c r="PKE104" s="14"/>
      <c r="PKF104" s="14"/>
      <c r="PKG104" s="14"/>
      <c r="PKH104" s="14"/>
      <c r="PKI104" s="14"/>
      <c r="PKJ104" s="36"/>
      <c r="PKK104" s="14"/>
      <c r="PKL104" s="45"/>
      <c r="PKM104" s="14"/>
      <c r="PKN104" s="14"/>
      <c r="PKO104" s="14"/>
      <c r="PKP104" s="14"/>
      <c r="PKQ104" s="14"/>
      <c r="PKR104" s="36"/>
      <c r="PKS104" s="14"/>
      <c r="PKT104" s="45"/>
      <c r="PKU104" s="14"/>
      <c r="PKV104" s="14"/>
      <c r="PKW104" s="14"/>
      <c r="PKX104" s="14"/>
      <c r="PKY104" s="14"/>
      <c r="PKZ104" s="36"/>
      <c r="PLA104" s="14"/>
      <c r="PLB104" s="45"/>
      <c r="PLC104" s="14"/>
      <c r="PLD104" s="14"/>
      <c r="PLE104" s="14"/>
      <c r="PLF104" s="14"/>
      <c r="PLG104" s="14"/>
      <c r="PLH104" s="36"/>
      <c r="PLI104" s="14"/>
      <c r="PLJ104" s="45"/>
      <c r="PLK104" s="14"/>
      <c r="PLL104" s="14"/>
      <c r="PLM104" s="14"/>
      <c r="PLN104" s="14"/>
      <c r="PLO104" s="14"/>
      <c r="PLP104" s="36"/>
      <c r="PLQ104" s="14"/>
      <c r="PLR104" s="45"/>
      <c r="PLS104" s="14"/>
      <c r="PLT104" s="14"/>
      <c r="PLU104" s="14"/>
      <c r="PLV104" s="14"/>
      <c r="PLW104" s="14"/>
      <c r="PLX104" s="36"/>
      <c r="PLY104" s="14"/>
      <c r="PLZ104" s="45"/>
      <c r="PMA104" s="14"/>
      <c r="PMB104" s="14"/>
      <c r="PMC104" s="14"/>
      <c r="PMD104" s="14"/>
      <c r="PME104" s="14"/>
      <c r="PMF104" s="36"/>
      <c r="PMG104" s="14"/>
      <c r="PMH104" s="45"/>
      <c r="PMI104" s="14"/>
      <c r="PMJ104" s="14"/>
      <c r="PMK104" s="14"/>
      <c r="PML104" s="14"/>
      <c r="PMM104" s="14"/>
      <c r="PMN104" s="36"/>
      <c r="PMO104" s="14"/>
      <c r="PMP104" s="45"/>
      <c r="PMQ104" s="14"/>
      <c r="PMR104" s="14"/>
      <c r="PMS104" s="14"/>
      <c r="PMT104" s="14"/>
      <c r="PMU104" s="14"/>
      <c r="PMV104" s="36"/>
      <c r="PMW104" s="14"/>
      <c r="PMX104" s="45"/>
      <c r="PMY104" s="14"/>
      <c r="PMZ104" s="14"/>
      <c r="PNA104" s="14"/>
      <c r="PNB104" s="14"/>
      <c r="PNC104" s="14"/>
      <c r="PND104" s="36"/>
      <c r="PNE104" s="14"/>
      <c r="PNF104" s="45"/>
      <c r="PNG104" s="14"/>
      <c r="PNH104" s="14"/>
      <c r="PNI104" s="14"/>
      <c r="PNJ104" s="14"/>
      <c r="PNK104" s="14"/>
      <c r="PNL104" s="36"/>
      <c r="PNM104" s="14"/>
      <c r="PNN104" s="45"/>
      <c r="PNO104" s="14"/>
      <c r="PNP104" s="14"/>
      <c r="PNQ104" s="14"/>
      <c r="PNR104" s="14"/>
      <c r="PNS104" s="14"/>
      <c r="PNT104" s="36"/>
      <c r="PNU104" s="14"/>
      <c r="PNV104" s="45"/>
      <c r="PNW104" s="14"/>
      <c r="PNX104" s="14"/>
      <c r="PNY104" s="14"/>
      <c r="PNZ104" s="14"/>
      <c r="POA104" s="14"/>
      <c r="POB104" s="36"/>
      <c r="POC104" s="14"/>
      <c r="POD104" s="45"/>
      <c r="POE104" s="14"/>
      <c r="POF104" s="14"/>
      <c r="POG104" s="14"/>
      <c r="POH104" s="14"/>
      <c r="POI104" s="14"/>
      <c r="POJ104" s="36"/>
      <c r="POK104" s="14"/>
      <c r="POL104" s="45"/>
      <c r="POM104" s="14"/>
      <c r="PON104" s="14"/>
      <c r="POO104" s="14"/>
      <c r="POP104" s="14"/>
      <c r="POQ104" s="14"/>
      <c r="POR104" s="36"/>
      <c r="POS104" s="14"/>
      <c r="POT104" s="45"/>
      <c r="POU104" s="14"/>
      <c r="POV104" s="14"/>
      <c r="POW104" s="14"/>
      <c r="POX104" s="14"/>
      <c r="POY104" s="14"/>
      <c r="POZ104" s="36"/>
      <c r="PPA104" s="14"/>
      <c r="PPB104" s="45"/>
      <c r="PPC104" s="14"/>
      <c r="PPD104" s="14"/>
      <c r="PPE104" s="14"/>
      <c r="PPF104" s="14"/>
      <c r="PPG104" s="14"/>
      <c r="PPH104" s="36"/>
      <c r="PPI104" s="14"/>
      <c r="PPJ104" s="45"/>
      <c r="PPK104" s="14"/>
      <c r="PPL104" s="14"/>
      <c r="PPM104" s="14"/>
      <c r="PPN104" s="14"/>
      <c r="PPO104" s="14"/>
      <c r="PPP104" s="36"/>
      <c r="PPQ104" s="14"/>
      <c r="PPR104" s="45"/>
      <c r="PPS104" s="14"/>
      <c r="PPT104" s="14"/>
      <c r="PPU104" s="14"/>
      <c r="PPV104" s="14"/>
      <c r="PPW104" s="14"/>
      <c r="PPX104" s="36"/>
      <c r="PPY104" s="14"/>
      <c r="PPZ104" s="45"/>
      <c r="PQA104" s="14"/>
      <c r="PQB104" s="14"/>
      <c r="PQC104" s="14"/>
      <c r="PQD104" s="14"/>
      <c r="PQE104" s="14"/>
      <c r="PQF104" s="36"/>
      <c r="PQG104" s="14"/>
      <c r="PQH104" s="45"/>
      <c r="PQI104" s="14"/>
      <c r="PQJ104" s="14"/>
      <c r="PQK104" s="14"/>
      <c r="PQL104" s="14"/>
      <c r="PQM104" s="14"/>
      <c r="PQN104" s="36"/>
      <c r="PQO104" s="14"/>
      <c r="PQP104" s="45"/>
      <c r="PQQ104" s="14"/>
      <c r="PQR104" s="14"/>
      <c r="PQS104" s="14"/>
      <c r="PQT104" s="14"/>
      <c r="PQU104" s="14"/>
      <c r="PQV104" s="36"/>
      <c r="PQW104" s="14"/>
      <c r="PQX104" s="45"/>
      <c r="PQY104" s="14"/>
      <c r="PQZ104" s="14"/>
      <c r="PRA104" s="14"/>
      <c r="PRB104" s="14"/>
      <c r="PRC104" s="14"/>
      <c r="PRD104" s="36"/>
      <c r="PRE104" s="14"/>
      <c r="PRF104" s="45"/>
      <c r="PRG104" s="14"/>
      <c r="PRH104" s="14"/>
      <c r="PRI104" s="14"/>
      <c r="PRJ104" s="14"/>
      <c r="PRK104" s="14"/>
      <c r="PRL104" s="36"/>
      <c r="PRM104" s="14"/>
      <c r="PRN104" s="45"/>
      <c r="PRO104" s="14"/>
      <c r="PRP104" s="14"/>
      <c r="PRQ104" s="14"/>
      <c r="PRR104" s="14"/>
      <c r="PRS104" s="14"/>
      <c r="PRT104" s="36"/>
      <c r="PRU104" s="14"/>
      <c r="PRV104" s="45"/>
      <c r="PRW104" s="14"/>
      <c r="PRX104" s="14"/>
      <c r="PRY104" s="14"/>
      <c r="PRZ104" s="14"/>
      <c r="PSA104" s="14"/>
      <c r="PSB104" s="36"/>
      <c r="PSC104" s="14"/>
      <c r="PSD104" s="45"/>
      <c r="PSE104" s="14"/>
      <c r="PSF104" s="14"/>
      <c r="PSG104" s="14"/>
      <c r="PSH104" s="14"/>
      <c r="PSI104" s="14"/>
      <c r="PSJ104" s="36"/>
      <c r="PSK104" s="14"/>
      <c r="PSL104" s="45"/>
      <c r="PSM104" s="14"/>
      <c r="PSN104" s="14"/>
      <c r="PSO104" s="14"/>
      <c r="PSP104" s="14"/>
      <c r="PSQ104" s="14"/>
      <c r="PSR104" s="36"/>
      <c r="PSS104" s="14"/>
      <c r="PST104" s="45"/>
      <c r="PSU104" s="14"/>
      <c r="PSV104" s="14"/>
      <c r="PSW104" s="14"/>
      <c r="PSX104" s="14"/>
      <c r="PSY104" s="14"/>
      <c r="PSZ104" s="36"/>
      <c r="PTA104" s="14"/>
      <c r="PTB104" s="45"/>
      <c r="PTC104" s="14"/>
      <c r="PTD104" s="14"/>
      <c r="PTE104" s="14"/>
      <c r="PTF104" s="14"/>
      <c r="PTG104" s="14"/>
      <c r="PTH104" s="36"/>
      <c r="PTI104" s="14"/>
      <c r="PTJ104" s="45"/>
      <c r="PTK104" s="14"/>
      <c r="PTL104" s="14"/>
      <c r="PTM104" s="14"/>
      <c r="PTN104" s="14"/>
      <c r="PTO104" s="14"/>
      <c r="PTP104" s="36"/>
      <c r="PTQ104" s="14"/>
      <c r="PTR104" s="45"/>
      <c r="PTS104" s="14"/>
      <c r="PTT104" s="14"/>
      <c r="PTU104" s="14"/>
      <c r="PTV104" s="14"/>
      <c r="PTW104" s="14"/>
      <c r="PTX104" s="36"/>
      <c r="PTY104" s="14"/>
      <c r="PTZ104" s="45"/>
      <c r="PUA104" s="14"/>
      <c r="PUB104" s="14"/>
      <c r="PUC104" s="14"/>
      <c r="PUD104" s="14"/>
      <c r="PUE104" s="14"/>
      <c r="PUF104" s="36"/>
      <c r="PUG104" s="14"/>
      <c r="PUH104" s="45"/>
      <c r="PUI104" s="14"/>
      <c r="PUJ104" s="14"/>
      <c r="PUK104" s="14"/>
      <c r="PUL104" s="14"/>
      <c r="PUM104" s="14"/>
      <c r="PUN104" s="36"/>
      <c r="PUO104" s="14"/>
      <c r="PUP104" s="45"/>
      <c r="PUQ104" s="14"/>
      <c r="PUR104" s="14"/>
      <c r="PUS104" s="14"/>
      <c r="PUT104" s="14"/>
      <c r="PUU104" s="14"/>
      <c r="PUV104" s="36"/>
      <c r="PUW104" s="14"/>
      <c r="PUX104" s="45"/>
      <c r="PUY104" s="14"/>
      <c r="PUZ104" s="14"/>
      <c r="PVA104" s="14"/>
      <c r="PVB104" s="14"/>
      <c r="PVC104" s="14"/>
      <c r="PVD104" s="36"/>
      <c r="PVE104" s="14"/>
      <c r="PVF104" s="45"/>
      <c r="PVG104" s="14"/>
      <c r="PVH104" s="14"/>
      <c r="PVI104" s="14"/>
      <c r="PVJ104" s="14"/>
      <c r="PVK104" s="14"/>
      <c r="PVL104" s="36"/>
      <c r="PVM104" s="14"/>
      <c r="PVN104" s="45"/>
      <c r="PVO104" s="14"/>
      <c r="PVP104" s="14"/>
      <c r="PVQ104" s="14"/>
      <c r="PVR104" s="14"/>
      <c r="PVS104" s="14"/>
      <c r="PVT104" s="36"/>
      <c r="PVU104" s="14"/>
      <c r="PVV104" s="45"/>
      <c r="PVW104" s="14"/>
      <c r="PVX104" s="14"/>
      <c r="PVY104" s="14"/>
      <c r="PVZ104" s="14"/>
      <c r="PWA104" s="14"/>
      <c r="PWB104" s="36"/>
      <c r="PWC104" s="14"/>
      <c r="PWD104" s="45"/>
      <c r="PWE104" s="14"/>
      <c r="PWF104" s="14"/>
      <c r="PWG104" s="14"/>
      <c r="PWH104" s="14"/>
      <c r="PWI104" s="14"/>
      <c r="PWJ104" s="36"/>
      <c r="PWK104" s="14"/>
      <c r="PWL104" s="45"/>
      <c r="PWM104" s="14"/>
      <c r="PWN104" s="14"/>
      <c r="PWO104" s="14"/>
      <c r="PWP104" s="14"/>
      <c r="PWQ104" s="14"/>
      <c r="PWR104" s="36"/>
      <c r="PWS104" s="14"/>
      <c r="PWT104" s="45"/>
      <c r="PWU104" s="14"/>
      <c r="PWV104" s="14"/>
      <c r="PWW104" s="14"/>
      <c r="PWX104" s="14"/>
      <c r="PWY104" s="14"/>
      <c r="PWZ104" s="36"/>
      <c r="PXA104" s="14"/>
      <c r="PXB104" s="45"/>
      <c r="PXC104" s="14"/>
      <c r="PXD104" s="14"/>
      <c r="PXE104" s="14"/>
      <c r="PXF104" s="14"/>
      <c r="PXG104" s="14"/>
      <c r="PXH104" s="36"/>
      <c r="PXI104" s="14"/>
      <c r="PXJ104" s="45"/>
      <c r="PXK104" s="14"/>
      <c r="PXL104" s="14"/>
      <c r="PXM104" s="14"/>
      <c r="PXN104" s="14"/>
      <c r="PXO104" s="14"/>
      <c r="PXP104" s="36"/>
      <c r="PXQ104" s="14"/>
      <c r="PXR104" s="45"/>
      <c r="PXS104" s="14"/>
      <c r="PXT104" s="14"/>
      <c r="PXU104" s="14"/>
      <c r="PXV104" s="14"/>
      <c r="PXW104" s="14"/>
      <c r="PXX104" s="36"/>
      <c r="PXY104" s="14"/>
      <c r="PXZ104" s="45"/>
      <c r="PYA104" s="14"/>
      <c r="PYB104" s="14"/>
      <c r="PYC104" s="14"/>
      <c r="PYD104" s="14"/>
      <c r="PYE104" s="14"/>
      <c r="PYF104" s="36"/>
      <c r="PYG104" s="14"/>
      <c r="PYH104" s="45"/>
      <c r="PYI104" s="14"/>
      <c r="PYJ104" s="14"/>
      <c r="PYK104" s="14"/>
      <c r="PYL104" s="14"/>
      <c r="PYM104" s="14"/>
      <c r="PYN104" s="36"/>
      <c r="PYO104" s="14"/>
      <c r="PYP104" s="45"/>
      <c r="PYQ104" s="14"/>
      <c r="PYR104" s="14"/>
      <c r="PYS104" s="14"/>
      <c r="PYT104" s="14"/>
      <c r="PYU104" s="14"/>
      <c r="PYV104" s="36"/>
      <c r="PYW104" s="14"/>
      <c r="PYX104" s="45"/>
      <c r="PYY104" s="14"/>
      <c r="PYZ104" s="14"/>
      <c r="PZA104" s="14"/>
      <c r="PZB104" s="14"/>
      <c r="PZC104" s="14"/>
      <c r="PZD104" s="36"/>
      <c r="PZE104" s="14"/>
      <c r="PZF104" s="45"/>
      <c r="PZG104" s="14"/>
      <c r="PZH104" s="14"/>
      <c r="PZI104" s="14"/>
      <c r="PZJ104" s="14"/>
      <c r="PZK104" s="14"/>
      <c r="PZL104" s="36"/>
      <c r="PZM104" s="14"/>
      <c r="PZN104" s="45"/>
      <c r="PZO104" s="14"/>
      <c r="PZP104" s="14"/>
      <c r="PZQ104" s="14"/>
      <c r="PZR104" s="14"/>
      <c r="PZS104" s="14"/>
      <c r="PZT104" s="36"/>
      <c r="PZU104" s="14"/>
      <c r="PZV104" s="45"/>
      <c r="PZW104" s="14"/>
      <c r="PZX104" s="14"/>
      <c r="PZY104" s="14"/>
      <c r="PZZ104" s="14"/>
      <c r="QAA104" s="14"/>
      <c r="QAB104" s="36"/>
      <c r="QAC104" s="14"/>
      <c r="QAD104" s="45"/>
      <c r="QAE104" s="14"/>
      <c r="QAF104" s="14"/>
      <c r="QAG104" s="14"/>
      <c r="QAH104" s="14"/>
      <c r="QAI104" s="14"/>
      <c r="QAJ104" s="36"/>
      <c r="QAK104" s="14"/>
      <c r="QAL104" s="45"/>
      <c r="QAM104" s="14"/>
      <c r="QAN104" s="14"/>
      <c r="QAO104" s="14"/>
      <c r="QAP104" s="14"/>
      <c r="QAQ104" s="14"/>
      <c r="QAR104" s="36"/>
      <c r="QAS104" s="14"/>
      <c r="QAT104" s="45"/>
      <c r="QAU104" s="14"/>
      <c r="QAV104" s="14"/>
      <c r="QAW104" s="14"/>
      <c r="QAX104" s="14"/>
      <c r="QAY104" s="14"/>
      <c r="QAZ104" s="36"/>
      <c r="QBA104" s="14"/>
      <c r="QBB104" s="45"/>
      <c r="QBC104" s="14"/>
      <c r="QBD104" s="14"/>
      <c r="QBE104" s="14"/>
      <c r="QBF104" s="14"/>
      <c r="QBG104" s="14"/>
      <c r="QBH104" s="36"/>
      <c r="QBI104" s="14"/>
      <c r="QBJ104" s="45"/>
      <c r="QBK104" s="14"/>
      <c r="QBL104" s="14"/>
      <c r="QBM104" s="14"/>
      <c r="QBN104" s="14"/>
      <c r="QBO104" s="14"/>
      <c r="QBP104" s="36"/>
      <c r="QBQ104" s="14"/>
      <c r="QBR104" s="45"/>
      <c r="QBS104" s="14"/>
      <c r="QBT104" s="14"/>
      <c r="QBU104" s="14"/>
      <c r="QBV104" s="14"/>
      <c r="QBW104" s="14"/>
      <c r="QBX104" s="36"/>
      <c r="QBY104" s="14"/>
      <c r="QBZ104" s="45"/>
      <c r="QCA104" s="14"/>
      <c r="QCB104" s="14"/>
      <c r="QCC104" s="14"/>
      <c r="QCD104" s="14"/>
      <c r="QCE104" s="14"/>
      <c r="QCF104" s="36"/>
      <c r="QCG104" s="14"/>
      <c r="QCH104" s="45"/>
      <c r="QCI104" s="14"/>
      <c r="QCJ104" s="14"/>
      <c r="QCK104" s="14"/>
      <c r="QCL104" s="14"/>
      <c r="QCM104" s="14"/>
      <c r="QCN104" s="36"/>
      <c r="QCO104" s="14"/>
      <c r="QCP104" s="45"/>
      <c r="QCQ104" s="14"/>
      <c r="QCR104" s="14"/>
      <c r="QCS104" s="14"/>
      <c r="QCT104" s="14"/>
      <c r="QCU104" s="14"/>
      <c r="QCV104" s="36"/>
      <c r="QCW104" s="14"/>
      <c r="QCX104" s="45"/>
      <c r="QCY104" s="14"/>
      <c r="QCZ104" s="14"/>
      <c r="QDA104" s="14"/>
      <c r="QDB104" s="14"/>
      <c r="QDC104" s="14"/>
      <c r="QDD104" s="36"/>
      <c r="QDE104" s="14"/>
      <c r="QDF104" s="45"/>
      <c r="QDG104" s="14"/>
      <c r="QDH104" s="14"/>
      <c r="QDI104" s="14"/>
      <c r="QDJ104" s="14"/>
      <c r="QDK104" s="14"/>
      <c r="QDL104" s="36"/>
      <c r="QDM104" s="14"/>
      <c r="QDN104" s="45"/>
      <c r="QDO104" s="14"/>
      <c r="QDP104" s="14"/>
      <c r="QDQ104" s="14"/>
      <c r="QDR104" s="14"/>
      <c r="QDS104" s="14"/>
      <c r="QDT104" s="36"/>
      <c r="QDU104" s="14"/>
      <c r="QDV104" s="45"/>
      <c r="QDW104" s="14"/>
      <c r="QDX104" s="14"/>
      <c r="QDY104" s="14"/>
      <c r="QDZ104" s="14"/>
      <c r="QEA104" s="14"/>
      <c r="QEB104" s="36"/>
      <c r="QEC104" s="14"/>
      <c r="QED104" s="45"/>
      <c r="QEE104" s="14"/>
      <c r="QEF104" s="14"/>
      <c r="QEG104" s="14"/>
      <c r="QEH104" s="14"/>
      <c r="QEI104" s="14"/>
      <c r="QEJ104" s="36"/>
      <c r="QEK104" s="14"/>
      <c r="QEL104" s="45"/>
      <c r="QEM104" s="14"/>
      <c r="QEN104" s="14"/>
      <c r="QEO104" s="14"/>
      <c r="QEP104" s="14"/>
      <c r="QEQ104" s="14"/>
      <c r="QER104" s="36"/>
      <c r="QES104" s="14"/>
      <c r="QET104" s="45"/>
      <c r="QEU104" s="14"/>
      <c r="QEV104" s="14"/>
      <c r="QEW104" s="14"/>
      <c r="QEX104" s="14"/>
      <c r="QEY104" s="14"/>
      <c r="QEZ104" s="36"/>
      <c r="QFA104" s="14"/>
      <c r="QFB104" s="45"/>
      <c r="QFC104" s="14"/>
      <c r="QFD104" s="14"/>
      <c r="QFE104" s="14"/>
      <c r="QFF104" s="14"/>
      <c r="QFG104" s="14"/>
      <c r="QFH104" s="36"/>
      <c r="QFI104" s="14"/>
      <c r="QFJ104" s="45"/>
      <c r="QFK104" s="14"/>
      <c r="QFL104" s="14"/>
      <c r="QFM104" s="14"/>
      <c r="QFN104" s="14"/>
      <c r="QFO104" s="14"/>
      <c r="QFP104" s="36"/>
      <c r="QFQ104" s="14"/>
      <c r="QFR104" s="45"/>
      <c r="QFS104" s="14"/>
      <c r="QFT104" s="14"/>
      <c r="QFU104" s="14"/>
      <c r="QFV104" s="14"/>
      <c r="QFW104" s="14"/>
      <c r="QFX104" s="36"/>
      <c r="QFY104" s="14"/>
      <c r="QFZ104" s="45"/>
      <c r="QGA104" s="14"/>
      <c r="QGB104" s="14"/>
      <c r="QGC104" s="14"/>
      <c r="QGD104" s="14"/>
      <c r="QGE104" s="14"/>
      <c r="QGF104" s="36"/>
      <c r="QGG104" s="14"/>
      <c r="QGH104" s="45"/>
      <c r="QGI104" s="14"/>
      <c r="QGJ104" s="14"/>
      <c r="QGK104" s="14"/>
      <c r="QGL104" s="14"/>
      <c r="QGM104" s="14"/>
      <c r="QGN104" s="36"/>
      <c r="QGO104" s="14"/>
      <c r="QGP104" s="45"/>
      <c r="QGQ104" s="14"/>
      <c r="QGR104" s="14"/>
      <c r="QGS104" s="14"/>
      <c r="QGT104" s="14"/>
      <c r="QGU104" s="14"/>
      <c r="QGV104" s="36"/>
      <c r="QGW104" s="14"/>
      <c r="QGX104" s="45"/>
      <c r="QGY104" s="14"/>
      <c r="QGZ104" s="14"/>
      <c r="QHA104" s="14"/>
      <c r="QHB104" s="14"/>
      <c r="QHC104" s="14"/>
      <c r="QHD104" s="36"/>
      <c r="QHE104" s="14"/>
      <c r="QHF104" s="45"/>
      <c r="QHG104" s="14"/>
      <c r="QHH104" s="14"/>
      <c r="QHI104" s="14"/>
      <c r="QHJ104" s="14"/>
      <c r="QHK104" s="14"/>
      <c r="QHL104" s="36"/>
      <c r="QHM104" s="14"/>
      <c r="QHN104" s="45"/>
      <c r="QHO104" s="14"/>
      <c r="QHP104" s="14"/>
      <c r="QHQ104" s="14"/>
      <c r="QHR104" s="14"/>
      <c r="QHS104" s="14"/>
      <c r="QHT104" s="36"/>
      <c r="QHU104" s="14"/>
      <c r="QHV104" s="45"/>
      <c r="QHW104" s="14"/>
      <c r="QHX104" s="14"/>
      <c r="QHY104" s="14"/>
      <c r="QHZ104" s="14"/>
      <c r="QIA104" s="14"/>
      <c r="QIB104" s="36"/>
      <c r="QIC104" s="14"/>
      <c r="QID104" s="45"/>
      <c r="QIE104" s="14"/>
      <c r="QIF104" s="14"/>
      <c r="QIG104" s="14"/>
      <c r="QIH104" s="14"/>
      <c r="QII104" s="14"/>
      <c r="QIJ104" s="36"/>
      <c r="QIK104" s="14"/>
      <c r="QIL104" s="45"/>
      <c r="QIM104" s="14"/>
      <c r="QIN104" s="14"/>
      <c r="QIO104" s="14"/>
      <c r="QIP104" s="14"/>
      <c r="QIQ104" s="14"/>
      <c r="QIR104" s="36"/>
      <c r="QIS104" s="14"/>
      <c r="QIT104" s="45"/>
      <c r="QIU104" s="14"/>
      <c r="QIV104" s="14"/>
      <c r="QIW104" s="14"/>
      <c r="QIX104" s="14"/>
      <c r="QIY104" s="14"/>
      <c r="QIZ104" s="36"/>
      <c r="QJA104" s="14"/>
      <c r="QJB104" s="45"/>
      <c r="QJC104" s="14"/>
      <c r="QJD104" s="14"/>
      <c r="QJE104" s="14"/>
      <c r="QJF104" s="14"/>
      <c r="QJG104" s="14"/>
      <c r="QJH104" s="36"/>
      <c r="QJI104" s="14"/>
      <c r="QJJ104" s="45"/>
      <c r="QJK104" s="14"/>
      <c r="QJL104" s="14"/>
      <c r="QJM104" s="14"/>
      <c r="QJN104" s="14"/>
      <c r="QJO104" s="14"/>
      <c r="QJP104" s="36"/>
      <c r="QJQ104" s="14"/>
      <c r="QJR104" s="45"/>
      <c r="QJS104" s="14"/>
      <c r="QJT104" s="14"/>
      <c r="QJU104" s="14"/>
      <c r="QJV104" s="14"/>
      <c r="QJW104" s="14"/>
      <c r="QJX104" s="36"/>
      <c r="QJY104" s="14"/>
      <c r="QJZ104" s="45"/>
      <c r="QKA104" s="14"/>
      <c r="QKB104" s="14"/>
      <c r="QKC104" s="14"/>
      <c r="QKD104" s="14"/>
      <c r="QKE104" s="14"/>
      <c r="QKF104" s="36"/>
      <c r="QKG104" s="14"/>
      <c r="QKH104" s="45"/>
      <c r="QKI104" s="14"/>
      <c r="QKJ104" s="14"/>
      <c r="QKK104" s="14"/>
      <c r="QKL104" s="14"/>
      <c r="QKM104" s="14"/>
      <c r="QKN104" s="36"/>
      <c r="QKO104" s="14"/>
      <c r="QKP104" s="45"/>
      <c r="QKQ104" s="14"/>
      <c r="QKR104" s="14"/>
      <c r="QKS104" s="14"/>
      <c r="QKT104" s="14"/>
      <c r="QKU104" s="14"/>
      <c r="QKV104" s="36"/>
      <c r="QKW104" s="14"/>
      <c r="QKX104" s="45"/>
      <c r="QKY104" s="14"/>
      <c r="QKZ104" s="14"/>
      <c r="QLA104" s="14"/>
      <c r="QLB104" s="14"/>
      <c r="QLC104" s="14"/>
      <c r="QLD104" s="36"/>
      <c r="QLE104" s="14"/>
      <c r="QLF104" s="45"/>
      <c r="QLG104" s="14"/>
      <c r="QLH104" s="14"/>
      <c r="QLI104" s="14"/>
      <c r="QLJ104" s="14"/>
      <c r="QLK104" s="14"/>
      <c r="QLL104" s="36"/>
      <c r="QLM104" s="14"/>
      <c r="QLN104" s="45"/>
      <c r="QLO104" s="14"/>
      <c r="QLP104" s="14"/>
      <c r="QLQ104" s="14"/>
      <c r="QLR104" s="14"/>
      <c r="QLS104" s="14"/>
      <c r="QLT104" s="36"/>
      <c r="QLU104" s="14"/>
      <c r="QLV104" s="45"/>
      <c r="QLW104" s="14"/>
      <c r="QLX104" s="14"/>
      <c r="QLY104" s="14"/>
      <c r="QLZ104" s="14"/>
      <c r="QMA104" s="14"/>
      <c r="QMB104" s="36"/>
      <c r="QMC104" s="14"/>
      <c r="QMD104" s="45"/>
      <c r="QME104" s="14"/>
      <c r="QMF104" s="14"/>
      <c r="QMG104" s="14"/>
      <c r="QMH104" s="14"/>
      <c r="QMI104" s="14"/>
      <c r="QMJ104" s="36"/>
      <c r="QMK104" s="14"/>
      <c r="QML104" s="45"/>
      <c r="QMM104" s="14"/>
      <c r="QMN104" s="14"/>
      <c r="QMO104" s="14"/>
      <c r="QMP104" s="14"/>
      <c r="QMQ104" s="14"/>
      <c r="QMR104" s="36"/>
      <c r="QMS104" s="14"/>
      <c r="QMT104" s="45"/>
      <c r="QMU104" s="14"/>
      <c r="QMV104" s="14"/>
      <c r="QMW104" s="14"/>
      <c r="QMX104" s="14"/>
      <c r="QMY104" s="14"/>
      <c r="QMZ104" s="36"/>
      <c r="QNA104" s="14"/>
      <c r="QNB104" s="45"/>
      <c r="QNC104" s="14"/>
      <c r="QND104" s="14"/>
      <c r="QNE104" s="14"/>
      <c r="QNF104" s="14"/>
      <c r="QNG104" s="14"/>
      <c r="QNH104" s="36"/>
      <c r="QNI104" s="14"/>
      <c r="QNJ104" s="45"/>
      <c r="QNK104" s="14"/>
      <c r="QNL104" s="14"/>
      <c r="QNM104" s="14"/>
      <c r="QNN104" s="14"/>
      <c r="QNO104" s="14"/>
      <c r="QNP104" s="36"/>
      <c r="QNQ104" s="14"/>
      <c r="QNR104" s="45"/>
      <c r="QNS104" s="14"/>
      <c r="QNT104" s="14"/>
      <c r="QNU104" s="14"/>
      <c r="QNV104" s="14"/>
      <c r="QNW104" s="14"/>
      <c r="QNX104" s="36"/>
      <c r="QNY104" s="14"/>
      <c r="QNZ104" s="45"/>
      <c r="QOA104" s="14"/>
      <c r="QOB104" s="14"/>
      <c r="QOC104" s="14"/>
      <c r="QOD104" s="14"/>
      <c r="QOE104" s="14"/>
      <c r="QOF104" s="36"/>
      <c r="QOG104" s="14"/>
      <c r="QOH104" s="45"/>
      <c r="QOI104" s="14"/>
      <c r="QOJ104" s="14"/>
      <c r="QOK104" s="14"/>
      <c r="QOL104" s="14"/>
      <c r="QOM104" s="14"/>
      <c r="QON104" s="36"/>
      <c r="QOO104" s="14"/>
      <c r="QOP104" s="45"/>
      <c r="QOQ104" s="14"/>
      <c r="QOR104" s="14"/>
      <c r="QOS104" s="14"/>
      <c r="QOT104" s="14"/>
      <c r="QOU104" s="14"/>
      <c r="QOV104" s="36"/>
      <c r="QOW104" s="14"/>
      <c r="QOX104" s="45"/>
      <c r="QOY104" s="14"/>
      <c r="QOZ104" s="14"/>
      <c r="QPA104" s="14"/>
      <c r="QPB104" s="14"/>
      <c r="QPC104" s="14"/>
      <c r="QPD104" s="36"/>
      <c r="QPE104" s="14"/>
      <c r="QPF104" s="45"/>
      <c r="QPG104" s="14"/>
      <c r="QPH104" s="14"/>
      <c r="QPI104" s="14"/>
      <c r="QPJ104" s="14"/>
      <c r="QPK104" s="14"/>
      <c r="QPL104" s="36"/>
      <c r="QPM104" s="14"/>
      <c r="QPN104" s="45"/>
      <c r="QPO104" s="14"/>
      <c r="QPP104" s="14"/>
      <c r="QPQ104" s="14"/>
      <c r="QPR104" s="14"/>
      <c r="QPS104" s="14"/>
      <c r="QPT104" s="36"/>
      <c r="QPU104" s="14"/>
      <c r="QPV104" s="45"/>
      <c r="QPW104" s="14"/>
      <c r="QPX104" s="14"/>
      <c r="QPY104" s="14"/>
      <c r="QPZ104" s="14"/>
      <c r="QQA104" s="14"/>
      <c r="QQB104" s="36"/>
      <c r="QQC104" s="14"/>
      <c r="QQD104" s="45"/>
      <c r="QQE104" s="14"/>
      <c r="QQF104" s="14"/>
      <c r="QQG104" s="14"/>
      <c r="QQH104" s="14"/>
      <c r="QQI104" s="14"/>
      <c r="QQJ104" s="36"/>
      <c r="QQK104" s="14"/>
      <c r="QQL104" s="45"/>
      <c r="QQM104" s="14"/>
      <c r="QQN104" s="14"/>
      <c r="QQO104" s="14"/>
      <c r="QQP104" s="14"/>
      <c r="QQQ104" s="14"/>
      <c r="QQR104" s="36"/>
      <c r="QQS104" s="14"/>
      <c r="QQT104" s="45"/>
      <c r="QQU104" s="14"/>
      <c r="QQV104" s="14"/>
      <c r="QQW104" s="14"/>
      <c r="QQX104" s="14"/>
      <c r="QQY104" s="14"/>
      <c r="QQZ104" s="36"/>
      <c r="QRA104" s="14"/>
      <c r="QRB104" s="45"/>
      <c r="QRC104" s="14"/>
      <c r="QRD104" s="14"/>
      <c r="QRE104" s="14"/>
      <c r="QRF104" s="14"/>
      <c r="QRG104" s="14"/>
      <c r="QRH104" s="36"/>
      <c r="QRI104" s="14"/>
      <c r="QRJ104" s="45"/>
      <c r="QRK104" s="14"/>
      <c r="QRL104" s="14"/>
      <c r="QRM104" s="14"/>
      <c r="QRN104" s="14"/>
      <c r="QRO104" s="14"/>
      <c r="QRP104" s="36"/>
      <c r="QRQ104" s="14"/>
      <c r="QRR104" s="45"/>
      <c r="QRS104" s="14"/>
      <c r="QRT104" s="14"/>
      <c r="QRU104" s="14"/>
      <c r="QRV104" s="14"/>
      <c r="QRW104" s="14"/>
      <c r="QRX104" s="36"/>
      <c r="QRY104" s="14"/>
      <c r="QRZ104" s="45"/>
      <c r="QSA104" s="14"/>
      <c r="QSB104" s="14"/>
      <c r="QSC104" s="14"/>
      <c r="QSD104" s="14"/>
      <c r="QSE104" s="14"/>
      <c r="QSF104" s="36"/>
      <c r="QSG104" s="14"/>
      <c r="QSH104" s="45"/>
      <c r="QSI104" s="14"/>
      <c r="QSJ104" s="14"/>
      <c r="QSK104" s="14"/>
      <c r="QSL104" s="14"/>
      <c r="QSM104" s="14"/>
      <c r="QSN104" s="36"/>
      <c r="QSO104" s="14"/>
      <c r="QSP104" s="45"/>
      <c r="QSQ104" s="14"/>
      <c r="QSR104" s="14"/>
      <c r="QSS104" s="14"/>
      <c r="QST104" s="14"/>
      <c r="QSU104" s="14"/>
      <c r="QSV104" s="36"/>
      <c r="QSW104" s="14"/>
      <c r="QSX104" s="45"/>
      <c r="QSY104" s="14"/>
      <c r="QSZ104" s="14"/>
      <c r="QTA104" s="14"/>
      <c r="QTB104" s="14"/>
      <c r="QTC104" s="14"/>
      <c r="QTD104" s="36"/>
      <c r="QTE104" s="14"/>
      <c r="QTF104" s="45"/>
      <c r="QTG104" s="14"/>
      <c r="QTH104" s="14"/>
      <c r="QTI104" s="14"/>
      <c r="QTJ104" s="14"/>
      <c r="QTK104" s="14"/>
      <c r="QTL104" s="36"/>
      <c r="QTM104" s="14"/>
      <c r="QTN104" s="45"/>
      <c r="QTO104" s="14"/>
      <c r="QTP104" s="14"/>
      <c r="QTQ104" s="14"/>
      <c r="QTR104" s="14"/>
      <c r="QTS104" s="14"/>
      <c r="QTT104" s="36"/>
      <c r="QTU104" s="14"/>
      <c r="QTV104" s="45"/>
      <c r="QTW104" s="14"/>
      <c r="QTX104" s="14"/>
      <c r="QTY104" s="14"/>
      <c r="QTZ104" s="14"/>
      <c r="QUA104" s="14"/>
      <c r="QUB104" s="36"/>
      <c r="QUC104" s="14"/>
      <c r="QUD104" s="45"/>
      <c r="QUE104" s="14"/>
      <c r="QUF104" s="14"/>
      <c r="QUG104" s="14"/>
      <c r="QUH104" s="14"/>
      <c r="QUI104" s="14"/>
      <c r="QUJ104" s="36"/>
      <c r="QUK104" s="14"/>
      <c r="QUL104" s="45"/>
      <c r="QUM104" s="14"/>
      <c r="QUN104" s="14"/>
      <c r="QUO104" s="14"/>
      <c r="QUP104" s="14"/>
      <c r="QUQ104" s="14"/>
      <c r="QUR104" s="36"/>
      <c r="QUS104" s="14"/>
      <c r="QUT104" s="45"/>
      <c r="QUU104" s="14"/>
      <c r="QUV104" s="14"/>
      <c r="QUW104" s="14"/>
      <c r="QUX104" s="14"/>
      <c r="QUY104" s="14"/>
      <c r="QUZ104" s="36"/>
      <c r="QVA104" s="14"/>
      <c r="QVB104" s="45"/>
      <c r="QVC104" s="14"/>
      <c r="QVD104" s="14"/>
      <c r="QVE104" s="14"/>
      <c r="QVF104" s="14"/>
      <c r="QVG104" s="14"/>
      <c r="QVH104" s="36"/>
      <c r="QVI104" s="14"/>
      <c r="QVJ104" s="45"/>
      <c r="QVK104" s="14"/>
      <c r="QVL104" s="14"/>
      <c r="QVM104" s="14"/>
      <c r="QVN104" s="14"/>
      <c r="QVO104" s="14"/>
      <c r="QVP104" s="36"/>
      <c r="QVQ104" s="14"/>
      <c r="QVR104" s="45"/>
      <c r="QVS104" s="14"/>
      <c r="QVT104" s="14"/>
      <c r="QVU104" s="14"/>
      <c r="QVV104" s="14"/>
      <c r="QVW104" s="14"/>
      <c r="QVX104" s="36"/>
      <c r="QVY104" s="14"/>
      <c r="QVZ104" s="45"/>
      <c r="QWA104" s="14"/>
      <c r="QWB104" s="14"/>
      <c r="QWC104" s="14"/>
      <c r="QWD104" s="14"/>
      <c r="QWE104" s="14"/>
      <c r="QWF104" s="36"/>
      <c r="QWG104" s="14"/>
      <c r="QWH104" s="45"/>
      <c r="QWI104" s="14"/>
      <c r="QWJ104" s="14"/>
      <c r="QWK104" s="14"/>
      <c r="QWL104" s="14"/>
      <c r="QWM104" s="14"/>
      <c r="QWN104" s="36"/>
      <c r="QWO104" s="14"/>
      <c r="QWP104" s="45"/>
      <c r="QWQ104" s="14"/>
      <c r="QWR104" s="14"/>
      <c r="QWS104" s="14"/>
      <c r="QWT104" s="14"/>
      <c r="QWU104" s="14"/>
      <c r="QWV104" s="36"/>
      <c r="QWW104" s="14"/>
      <c r="QWX104" s="45"/>
      <c r="QWY104" s="14"/>
      <c r="QWZ104" s="14"/>
      <c r="QXA104" s="14"/>
      <c r="QXB104" s="14"/>
      <c r="QXC104" s="14"/>
      <c r="QXD104" s="36"/>
      <c r="QXE104" s="14"/>
      <c r="QXF104" s="45"/>
      <c r="QXG104" s="14"/>
      <c r="QXH104" s="14"/>
      <c r="QXI104" s="14"/>
      <c r="QXJ104" s="14"/>
      <c r="QXK104" s="14"/>
      <c r="QXL104" s="36"/>
      <c r="QXM104" s="14"/>
      <c r="QXN104" s="45"/>
      <c r="QXO104" s="14"/>
      <c r="QXP104" s="14"/>
      <c r="QXQ104" s="14"/>
      <c r="QXR104" s="14"/>
      <c r="QXS104" s="14"/>
      <c r="QXT104" s="36"/>
      <c r="QXU104" s="14"/>
      <c r="QXV104" s="45"/>
      <c r="QXW104" s="14"/>
      <c r="QXX104" s="14"/>
      <c r="QXY104" s="14"/>
      <c r="QXZ104" s="14"/>
      <c r="QYA104" s="14"/>
      <c r="QYB104" s="36"/>
      <c r="QYC104" s="14"/>
      <c r="QYD104" s="45"/>
      <c r="QYE104" s="14"/>
      <c r="QYF104" s="14"/>
      <c r="QYG104" s="14"/>
      <c r="QYH104" s="14"/>
      <c r="QYI104" s="14"/>
      <c r="QYJ104" s="36"/>
      <c r="QYK104" s="14"/>
      <c r="QYL104" s="45"/>
      <c r="QYM104" s="14"/>
      <c r="QYN104" s="14"/>
      <c r="QYO104" s="14"/>
      <c r="QYP104" s="14"/>
      <c r="QYQ104" s="14"/>
      <c r="QYR104" s="36"/>
      <c r="QYS104" s="14"/>
      <c r="QYT104" s="45"/>
      <c r="QYU104" s="14"/>
      <c r="QYV104" s="14"/>
      <c r="QYW104" s="14"/>
      <c r="QYX104" s="14"/>
      <c r="QYY104" s="14"/>
      <c r="QYZ104" s="36"/>
      <c r="QZA104" s="14"/>
      <c r="QZB104" s="45"/>
      <c r="QZC104" s="14"/>
      <c r="QZD104" s="14"/>
      <c r="QZE104" s="14"/>
      <c r="QZF104" s="14"/>
      <c r="QZG104" s="14"/>
      <c r="QZH104" s="36"/>
      <c r="QZI104" s="14"/>
      <c r="QZJ104" s="45"/>
      <c r="QZK104" s="14"/>
      <c r="QZL104" s="14"/>
      <c r="QZM104" s="14"/>
      <c r="QZN104" s="14"/>
      <c r="QZO104" s="14"/>
      <c r="QZP104" s="36"/>
      <c r="QZQ104" s="14"/>
      <c r="QZR104" s="45"/>
      <c r="QZS104" s="14"/>
      <c r="QZT104" s="14"/>
      <c r="QZU104" s="14"/>
      <c r="QZV104" s="14"/>
      <c r="QZW104" s="14"/>
      <c r="QZX104" s="36"/>
      <c r="QZY104" s="14"/>
      <c r="QZZ104" s="45"/>
      <c r="RAA104" s="14"/>
      <c r="RAB104" s="14"/>
      <c r="RAC104" s="14"/>
      <c r="RAD104" s="14"/>
      <c r="RAE104" s="14"/>
      <c r="RAF104" s="36"/>
      <c r="RAG104" s="14"/>
      <c r="RAH104" s="45"/>
      <c r="RAI104" s="14"/>
      <c r="RAJ104" s="14"/>
      <c r="RAK104" s="14"/>
      <c r="RAL104" s="14"/>
      <c r="RAM104" s="14"/>
      <c r="RAN104" s="36"/>
      <c r="RAO104" s="14"/>
      <c r="RAP104" s="45"/>
      <c r="RAQ104" s="14"/>
      <c r="RAR104" s="14"/>
      <c r="RAS104" s="14"/>
      <c r="RAT104" s="14"/>
      <c r="RAU104" s="14"/>
      <c r="RAV104" s="36"/>
      <c r="RAW104" s="14"/>
      <c r="RAX104" s="45"/>
      <c r="RAY104" s="14"/>
      <c r="RAZ104" s="14"/>
      <c r="RBA104" s="14"/>
      <c r="RBB104" s="14"/>
      <c r="RBC104" s="14"/>
      <c r="RBD104" s="36"/>
      <c r="RBE104" s="14"/>
      <c r="RBF104" s="45"/>
      <c r="RBG104" s="14"/>
      <c r="RBH104" s="14"/>
      <c r="RBI104" s="14"/>
      <c r="RBJ104" s="14"/>
      <c r="RBK104" s="14"/>
      <c r="RBL104" s="36"/>
      <c r="RBM104" s="14"/>
      <c r="RBN104" s="45"/>
      <c r="RBO104" s="14"/>
      <c r="RBP104" s="14"/>
      <c r="RBQ104" s="14"/>
      <c r="RBR104" s="14"/>
      <c r="RBS104" s="14"/>
      <c r="RBT104" s="36"/>
      <c r="RBU104" s="14"/>
      <c r="RBV104" s="45"/>
      <c r="RBW104" s="14"/>
      <c r="RBX104" s="14"/>
      <c r="RBY104" s="14"/>
      <c r="RBZ104" s="14"/>
      <c r="RCA104" s="14"/>
      <c r="RCB104" s="36"/>
      <c r="RCC104" s="14"/>
      <c r="RCD104" s="45"/>
      <c r="RCE104" s="14"/>
      <c r="RCF104" s="14"/>
      <c r="RCG104" s="14"/>
      <c r="RCH104" s="14"/>
      <c r="RCI104" s="14"/>
      <c r="RCJ104" s="36"/>
      <c r="RCK104" s="14"/>
      <c r="RCL104" s="45"/>
      <c r="RCM104" s="14"/>
      <c r="RCN104" s="14"/>
      <c r="RCO104" s="14"/>
      <c r="RCP104" s="14"/>
      <c r="RCQ104" s="14"/>
      <c r="RCR104" s="36"/>
      <c r="RCS104" s="14"/>
      <c r="RCT104" s="45"/>
      <c r="RCU104" s="14"/>
      <c r="RCV104" s="14"/>
      <c r="RCW104" s="14"/>
      <c r="RCX104" s="14"/>
      <c r="RCY104" s="14"/>
      <c r="RCZ104" s="36"/>
      <c r="RDA104" s="14"/>
      <c r="RDB104" s="45"/>
      <c r="RDC104" s="14"/>
      <c r="RDD104" s="14"/>
      <c r="RDE104" s="14"/>
      <c r="RDF104" s="14"/>
      <c r="RDG104" s="14"/>
      <c r="RDH104" s="36"/>
      <c r="RDI104" s="14"/>
      <c r="RDJ104" s="45"/>
      <c r="RDK104" s="14"/>
      <c r="RDL104" s="14"/>
      <c r="RDM104" s="14"/>
      <c r="RDN104" s="14"/>
      <c r="RDO104" s="14"/>
      <c r="RDP104" s="36"/>
      <c r="RDQ104" s="14"/>
      <c r="RDR104" s="45"/>
      <c r="RDS104" s="14"/>
      <c r="RDT104" s="14"/>
      <c r="RDU104" s="14"/>
      <c r="RDV104" s="14"/>
      <c r="RDW104" s="14"/>
      <c r="RDX104" s="36"/>
      <c r="RDY104" s="14"/>
      <c r="RDZ104" s="45"/>
      <c r="REA104" s="14"/>
      <c r="REB104" s="14"/>
      <c r="REC104" s="14"/>
      <c r="RED104" s="14"/>
      <c r="REE104" s="14"/>
      <c r="REF104" s="36"/>
      <c r="REG104" s="14"/>
      <c r="REH104" s="45"/>
      <c r="REI104" s="14"/>
      <c r="REJ104" s="14"/>
      <c r="REK104" s="14"/>
      <c r="REL104" s="14"/>
      <c r="REM104" s="14"/>
      <c r="REN104" s="36"/>
      <c r="REO104" s="14"/>
      <c r="REP104" s="45"/>
      <c r="REQ104" s="14"/>
      <c r="RER104" s="14"/>
      <c r="RES104" s="14"/>
      <c r="RET104" s="14"/>
      <c r="REU104" s="14"/>
      <c r="REV104" s="36"/>
      <c r="REW104" s="14"/>
      <c r="REX104" s="45"/>
      <c r="REY104" s="14"/>
      <c r="REZ104" s="14"/>
      <c r="RFA104" s="14"/>
      <c r="RFB104" s="14"/>
      <c r="RFC104" s="14"/>
      <c r="RFD104" s="36"/>
      <c r="RFE104" s="14"/>
      <c r="RFF104" s="45"/>
      <c r="RFG104" s="14"/>
      <c r="RFH104" s="14"/>
      <c r="RFI104" s="14"/>
      <c r="RFJ104" s="14"/>
      <c r="RFK104" s="14"/>
      <c r="RFL104" s="36"/>
      <c r="RFM104" s="14"/>
      <c r="RFN104" s="45"/>
      <c r="RFO104" s="14"/>
      <c r="RFP104" s="14"/>
      <c r="RFQ104" s="14"/>
      <c r="RFR104" s="14"/>
      <c r="RFS104" s="14"/>
      <c r="RFT104" s="36"/>
      <c r="RFU104" s="14"/>
      <c r="RFV104" s="45"/>
      <c r="RFW104" s="14"/>
      <c r="RFX104" s="14"/>
      <c r="RFY104" s="14"/>
      <c r="RFZ104" s="14"/>
      <c r="RGA104" s="14"/>
      <c r="RGB104" s="36"/>
      <c r="RGC104" s="14"/>
      <c r="RGD104" s="45"/>
      <c r="RGE104" s="14"/>
      <c r="RGF104" s="14"/>
      <c r="RGG104" s="14"/>
      <c r="RGH104" s="14"/>
      <c r="RGI104" s="14"/>
      <c r="RGJ104" s="36"/>
      <c r="RGK104" s="14"/>
      <c r="RGL104" s="45"/>
      <c r="RGM104" s="14"/>
      <c r="RGN104" s="14"/>
      <c r="RGO104" s="14"/>
      <c r="RGP104" s="14"/>
      <c r="RGQ104" s="14"/>
      <c r="RGR104" s="36"/>
      <c r="RGS104" s="14"/>
      <c r="RGT104" s="45"/>
      <c r="RGU104" s="14"/>
      <c r="RGV104" s="14"/>
      <c r="RGW104" s="14"/>
      <c r="RGX104" s="14"/>
      <c r="RGY104" s="14"/>
      <c r="RGZ104" s="36"/>
      <c r="RHA104" s="14"/>
      <c r="RHB104" s="45"/>
      <c r="RHC104" s="14"/>
      <c r="RHD104" s="14"/>
      <c r="RHE104" s="14"/>
      <c r="RHF104" s="14"/>
      <c r="RHG104" s="14"/>
      <c r="RHH104" s="36"/>
      <c r="RHI104" s="14"/>
      <c r="RHJ104" s="45"/>
      <c r="RHK104" s="14"/>
      <c r="RHL104" s="14"/>
      <c r="RHM104" s="14"/>
      <c r="RHN104" s="14"/>
      <c r="RHO104" s="14"/>
      <c r="RHP104" s="36"/>
      <c r="RHQ104" s="14"/>
      <c r="RHR104" s="45"/>
      <c r="RHS104" s="14"/>
      <c r="RHT104" s="14"/>
      <c r="RHU104" s="14"/>
      <c r="RHV104" s="14"/>
      <c r="RHW104" s="14"/>
      <c r="RHX104" s="36"/>
      <c r="RHY104" s="14"/>
      <c r="RHZ104" s="45"/>
      <c r="RIA104" s="14"/>
      <c r="RIB104" s="14"/>
      <c r="RIC104" s="14"/>
      <c r="RID104" s="14"/>
      <c r="RIE104" s="14"/>
      <c r="RIF104" s="36"/>
      <c r="RIG104" s="14"/>
      <c r="RIH104" s="45"/>
      <c r="RII104" s="14"/>
      <c r="RIJ104" s="14"/>
      <c r="RIK104" s="14"/>
      <c r="RIL104" s="14"/>
      <c r="RIM104" s="14"/>
      <c r="RIN104" s="36"/>
      <c r="RIO104" s="14"/>
      <c r="RIP104" s="45"/>
      <c r="RIQ104" s="14"/>
      <c r="RIR104" s="14"/>
      <c r="RIS104" s="14"/>
      <c r="RIT104" s="14"/>
      <c r="RIU104" s="14"/>
      <c r="RIV104" s="36"/>
      <c r="RIW104" s="14"/>
      <c r="RIX104" s="45"/>
      <c r="RIY104" s="14"/>
      <c r="RIZ104" s="14"/>
      <c r="RJA104" s="14"/>
      <c r="RJB104" s="14"/>
      <c r="RJC104" s="14"/>
      <c r="RJD104" s="36"/>
      <c r="RJE104" s="14"/>
      <c r="RJF104" s="45"/>
      <c r="RJG104" s="14"/>
      <c r="RJH104" s="14"/>
      <c r="RJI104" s="14"/>
      <c r="RJJ104" s="14"/>
      <c r="RJK104" s="14"/>
      <c r="RJL104" s="36"/>
      <c r="RJM104" s="14"/>
      <c r="RJN104" s="45"/>
      <c r="RJO104" s="14"/>
      <c r="RJP104" s="14"/>
      <c r="RJQ104" s="14"/>
      <c r="RJR104" s="14"/>
      <c r="RJS104" s="14"/>
      <c r="RJT104" s="36"/>
      <c r="RJU104" s="14"/>
      <c r="RJV104" s="45"/>
      <c r="RJW104" s="14"/>
      <c r="RJX104" s="14"/>
      <c r="RJY104" s="14"/>
      <c r="RJZ104" s="14"/>
      <c r="RKA104" s="14"/>
      <c r="RKB104" s="36"/>
      <c r="RKC104" s="14"/>
      <c r="RKD104" s="45"/>
      <c r="RKE104" s="14"/>
      <c r="RKF104" s="14"/>
      <c r="RKG104" s="14"/>
      <c r="RKH104" s="14"/>
      <c r="RKI104" s="14"/>
      <c r="RKJ104" s="36"/>
      <c r="RKK104" s="14"/>
      <c r="RKL104" s="45"/>
      <c r="RKM104" s="14"/>
      <c r="RKN104" s="14"/>
      <c r="RKO104" s="14"/>
      <c r="RKP104" s="14"/>
      <c r="RKQ104" s="14"/>
      <c r="RKR104" s="36"/>
      <c r="RKS104" s="14"/>
      <c r="RKT104" s="45"/>
      <c r="RKU104" s="14"/>
      <c r="RKV104" s="14"/>
      <c r="RKW104" s="14"/>
      <c r="RKX104" s="14"/>
      <c r="RKY104" s="14"/>
      <c r="RKZ104" s="36"/>
      <c r="RLA104" s="14"/>
      <c r="RLB104" s="45"/>
      <c r="RLC104" s="14"/>
      <c r="RLD104" s="14"/>
      <c r="RLE104" s="14"/>
      <c r="RLF104" s="14"/>
      <c r="RLG104" s="14"/>
      <c r="RLH104" s="36"/>
      <c r="RLI104" s="14"/>
      <c r="RLJ104" s="45"/>
      <c r="RLK104" s="14"/>
      <c r="RLL104" s="14"/>
      <c r="RLM104" s="14"/>
      <c r="RLN104" s="14"/>
      <c r="RLO104" s="14"/>
      <c r="RLP104" s="36"/>
      <c r="RLQ104" s="14"/>
      <c r="RLR104" s="45"/>
      <c r="RLS104" s="14"/>
      <c r="RLT104" s="14"/>
      <c r="RLU104" s="14"/>
      <c r="RLV104" s="14"/>
      <c r="RLW104" s="14"/>
      <c r="RLX104" s="36"/>
      <c r="RLY104" s="14"/>
      <c r="RLZ104" s="45"/>
      <c r="RMA104" s="14"/>
      <c r="RMB104" s="14"/>
      <c r="RMC104" s="14"/>
      <c r="RMD104" s="14"/>
      <c r="RME104" s="14"/>
      <c r="RMF104" s="36"/>
      <c r="RMG104" s="14"/>
      <c r="RMH104" s="45"/>
      <c r="RMI104" s="14"/>
      <c r="RMJ104" s="14"/>
      <c r="RMK104" s="14"/>
      <c r="RML104" s="14"/>
      <c r="RMM104" s="14"/>
      <c r="RMN104" s="36"/>
      <c r="RMO104" s="14"/>
      <c r="RMP104" s="45"/>
      <c r="RMQ104" s="14"/>
      <c r="RMR104" s="14"/>
      <c r="RMS104" s="14"/>
      <c r="RMT104" s="14"/>
      <c r="RMU104" s="14"/>
      <c r="RMV104" s="36"/>
      <c r="RMW104" s="14"/>
      <c r="RMX104" s="45"/>
      <c r="RMY104" s="14"/>
      <c r="RMZ104" s="14"/>
      <c r="RNA104" s="14"/>
      <c r="RNB104" s="14"/>
      <c r="RNC104" s="14"/>
      <c r="RND104" s="36"/>
      <c r="RNE104" s="14"/>
      <c r="RNF104" s="45"/>
      <c r="RNG104" s="14"/>
      <c r="RNH104" s="14"/>
      <c r="RNI104" s="14"/>
      <c r="RNJ104" s="14"/>
      <c r="RNK104" s="14"/>
      <c r="RNL104" s="36"/>
      <c r="RNM104" s="14"/>
      <c r="RNN104" s="45"/>
      <c r="RNO104" s="14"/>
      <c r="RNP104" s="14"/>
      <c r="RNQ104" s="14"/>
      <c r="RNR104" s="14"/>
      <c r="RNS104" s="14"/>
      <c r="RNT104" s="36"/>
      <c r="RNU104" s="14"/>
      <c r="RNV104" s="45"/>
      <c r="RNW104" s="14"/>
      <c r="RNX104" s="14"/>
      <c r="RNY104" s="14"/>
      <c r="RNZ104" s="14"/>
      <c r="ROA104" s="14"/>
      <c r="ROB104" s="36"/>
      <c r="ROC104" s="14"/>
      <c r="ROD104" s="45"/>
      <c r="ROE104" s="14"/>
      <c r="ROF104" s="14"/>
      <c r="ROG104" s="14"/>
      <c r="ROH104" s="14"/>
      <c r="ROI104" s="14"/>
      <c r="ROJ104" s="36"/>
      <c r="ROK104" s="14"/>
      <c r="ROL104" s="45"/>
      <c r="ROM104" s="14"/>
      <c r="RON104" s="14"/>
      <c r="ROO104" s="14"/>
      <c r="ROP104" s="14"/>
      <c r="ROQ104" s="14"/>
      <c r="ROR104" s="36"/>
      <c r="ROS104" s="14"/>
      <c r="ROT104" s="45"/>
      <c r="ROU104" s="14"/>
      <c r="ROV104" s="14"/>
      <c r="ROW104" s="14"/>
      <c r="ROX104" s="14"/>
      <c r="ROY104" s="14"/>
      <c r="ROZ104" s="36"/>
      <c r="RPA104" s="14"/>
      <c r="RPB104" s="45"/>
      <c r="RPC104" s="14"/>
      <c r="RPD104" s="14"/>
      <c r="RPE104" s="14"/>
      <c r="RPF104" s="14"/>
      <c r="RPG104" s="14"/>
      <c r="RPH104" s="36"/>
      <c r="RPI104" s="14"/>
      <c r="RPJ104" s="45"/>
      <c r="RPK104" s="14"/>
      <c r="RPL104" s="14"/>
      <c r="RPM104" s="14"/>
      <c r="RPN104" s="14"/>
      <c r="RPO104" s="14"/>
      <c r="RPP104" s="36"/>
      <c r="RPQ104" s="14"/>
      <c r="RPR104" s="45"/>
      <c r="RPS104" s="14"/>
      <c r="RPT104" s="14"/>
      <c r="RPU104" s="14"/>
      <c r="RPV104" s="14"/>
      <c r="RPW104" s="14"/>
      <c r="RPX104" s="36"/>
      <c r="RPY104" s="14"/>
      <c r="RPZ104" s="45"/>
      <c r="RQA104" s="14"/>
      <c r="RQB104" s="14"/>
      <c r="RQC104" s="14"/>
      <c r="RQD104" s="14"/>
      <c r="RQE104" s="14"/>
      <c r="RQF104" s="36"/>
      <c r="RQG104" s="14"/>
      <c r="RQH104" s="45"/>
      <c r="RQI104" s="14"/>
      <c r="RQJ104" s="14"/>
      <c r="RQK104" s="14"/>
      <c r="RQL104" s="14"/>
      <c r="RQM104" s="14"/>
      <c r="RQN104" s="36"/>
      <c r="RQO104" s="14"/>
      <c r="RQP104" s="45"/>
      <c r="RQQ104" s="14"/>
      <c r="RQR104" s="14"/>
      <c r="RQS104" s="14"/>
      <c r="RQT104" s="14"/>
      <c r="RQU104" s="14"/>
      <c r="RQV104" s="36"/>
      <c r="RQW104" s="14"/>
      <c r="RQX104" s="45"/>
      <c r="RQY104" s="14"/>
      <c r="RQZ104" s="14"/>
      <c r="RRA104" s="14"/>
      <c r="RRB104" s="14"/>
      <c r="RRC104" s="14"/>
      <c r="RRD104" s="36"/>
      <c r="RRE104" s="14"/>
      <c r="RRF104" s="45"/>
      <c r="RRG104" s="14"/>
      <c r="RRH104" s="14"/>
      <c r="RRI104" s="14"/>
      <c r="RRJ104" s="14"/>
      <c r="RRK104" s="14"/>
      <c r="RRL104" s="36"/>
      <c r="RRM104" s="14"/>
      <c r="RRN104" s="45"/>
      <c r="RRO104" s="14"/>
      <c r="RRP104" s="14"/>
      <c r="RRQ104" s="14"/>
      <c r="RRR104" s="14"/>
      <c r="RRS104" s="14"/>
      <c r="RRT104" s="36"/>
      <c r="RRU104" s="14"/>
      <c r="RRV104" s="45"/>
      <c r="RRW104" s="14"/>
      <c r="RRX104" s="14"/>
      <c r="RRY104" s="14"/>
      <c r="RRZ104" s="14"/>
      <c r="RSA104" s="14"/>
      <c r="RSB104" s="36"/>
      <c r="RSC104" s="14"/>
      <c r="RSD104" s="45"/>
      <c r="RSE104" s="14"/>
      <c r="RSF104" s="14"/>
      <c r="RSG104" s="14"/>
      <c r="RSH104" s="14"/>
      <c r="RSI104" s="14"/>
      <c r="RSJ104" s="36"/>
      <c r="RSK104" s="14"/>
      <c r="RSL104" s="45"/>
      <c r="RSM104" s="14"/>
      <c r="RSN104" s="14"/>
      <c r="RSO104" s="14"/>
      <c r="RSP104" s="14"/>
      <c r="RSQ104" s="14"/>
      <c r="RSR104" s="36"/>
      <c r="RSS104" s="14"/>
      <c r="RST104" s="45"/>
      <c r="RSU104" s="14"/>
      <c r="RSV104" s="14"/>
      <c r="RSW104" s="14"/>
      <c r="RSX104" s="14"/>
      <c r="RSY104" s="14"/>
      <c r="RSZ104" s="36"/>
      <c r="RTA104" s="14"/>
      <c r="RTB104" s="45"/>
      <c r="RTC104" s="14"/>
      <c r="RTD104" s="14"/>
      <c r="RTE104" s="14"/>
      <c r="RTF104" s="14"/>
      <c r="RTG104" s="14"/>
      <c r="RTH104" s="36"/>
      <c r="RTI104" s="14"/>
      <c r="RTJ104" s="45"/>
      <c r="RTK104" s="14"/>
      <c r="RTL104" s="14"/>
      <c r="RTM104" s="14"/>
      <c r="RTN104" s="14"/>
      <c r="RTO104" s="14"/>
      <c r="RTP104" s="36"/>
      <c r="RTQ104" s="14"/>
      <c r="RTR104" s="45"/>
      <c r="RTS104" s="14"/>
      <c r="RTT104" s="14"/>
      <c r="RTU104" s="14"/>
      <c r="RTV104" s="14"/>
      <c r="RTW104" s="14"/>
      <c r="RTX104" s="36"/>
      <c r="RTY104" s="14"/>
      <c r="RTZ104" s="45"/>
      <c r="RUA104" s="14"/>
      <c r="RUB104" s="14"/>
      <c r="RUC104" s="14"/>
      <c r="RUD104" s="14"/>
      <c r="RUE104" s="14"/>
      <c r="RUF104" s="36"/>
      <c r="RUG104" s="14"/>
      <c r="RUH104" s="45"/>
      <c r="RUI104" s="14"/>
      <c r="RUJ104" s="14"/>
      <c r="RUK104" s="14"/>
      <c r="RUL104" s="14"/>
      <c r="RUM104" s="14"/>
      <c r="RUN104" s="36"/>
      <c r="RUO104" s="14"/>
      <c r="RUP104" s="45"/>
      <c r="RUQ104" s="14"/>
      <c r="RUR104" s="14"/>
      <c r="RUS104" s="14"/>
      <c r="RUT104" s="14"/>
      <c r="RUU104" s="14"/>
      <c r="RUV104" s="36"/>
      <c r="RUW104" s="14"/>
      <c r="RUX104" s="45"/>
      <c r="RUY104" s="14"/>
      <c r="RUZ104" s="14"/>
      <c r="RVA104" s="14"/>
      <c r="RVB104" s="14"/>
      <c r="RVC104" s="14"/>
      <c r="RVD104" s="36"/>
      <c r="RVE104" s="14"/>
      <c r="RVF104" s="45"/>
      <c r="RVG104" s="14"/>
      <c r="RVH104" s="14"/>
      <c r="RVI104" s="14"/>
      <c r="RVJ104" s="14"/>
      <c r="RVK104" s="14"/>
      <c r="RVL104" s="36"/>
      <c r="RVM104" s="14"/>
      <c r="RVN104" s="45"/>
      <c r="RVO104" s="14"/>
      <c r="RVP104" s="14"/>
      <c r="RVQ104" s="14"/>
      <c r="RVR104" s="14"/>
      <c r="RVS104" s="14"/>
      <c r="RVT104" s="36"/>
      <c r="RVU104" s="14"/>
      <c r="RVV104" s="45"/>
      <c r="RVW104" s="14"/>
      <c r="RVX104" s="14"/>
      <c r="RVY104" s="14"/>
      <c r="RVZ104" s="14"/>
      <c r="RWA104" s="14"/>
      <c r="RWB104" s="36"/>
      <c r="RWC104" s="14"/>
      <c r="RWD104" s="45"/>
      <c r="RWE104" s="14"/>
      <c r="RWF104" s="14"/>
      <c r="RWG104" s="14"/>
      <c r="RWH104" s="14"/>
      <c r="RWI104" s="14"/>
      <c r="RWJ104" s="36"/>
      <c r="RWK104" s="14"/>
      <c r="RWL104" s="45"/>
      <c r="RWM104" s="14"/>
      <c r="RWN104" s="14"/>
      <c r="RWO104" s="14"/>
      <c r="RWP104" s="14"/>
      <c r="RWQ104" s="14"/>
      <c r="RWR104" s="36"/>
      <c r="RWS104" s="14"/>
      <c r="RWT104" s="45"/>
      <c r="RWU104" s="14"/>
      <c r="RWV104" s="14"/>
      <c r="RWW104" s="14"/>
      <c r="RWX104" s="14"/>
      <c r="RWY104" s="14"/>
      <c r="RWZ104" s="36"/>
      <c r="RXA104" s="14"/>
      <c r="RXB104" s="45"/>
      <c r="RXC104" s="14"/>
      <c r="RXD104" s="14"/>
      <c r="RXE104" s="14"/>
      <c r="RXF104" s="14"/>
      <c r="RXG104" s="14"/>
      <c r="RXH104" s="36"/>
      <c r="RXI104" s="14"/>
      <c r="RXJ104" s="45"/>
      <c r="RXK104" s="14"/>
      <c r="RXL104" s="14"/>
      <c r="RXM104" s="14"/>
      <c r="RXN104" s="14"/>
      <c r="RXO104" s="14"/>
      <c r="RXP104" s="36"/>
      <c r="RXQ104" s="14"/>
      <c r="RXR104" s="45"/>
      <c r="RXS104" s="14"/>
      <c r="RXT104" s="14"/>
      <c r="RXU104" s="14"/>
      <c r="RXV104" s="14"/>
      <c r="RXW104" s="14"/>
      <c r="RXX104" s="36"/>
      <c r="RXY104" s="14"/>
      <c r="RXZ104" s="45"/>
      <c r="RYA104" s="14"/>
      <c r="RYB104" s="14"/>
      <c r="RYC104" s="14"/>
      <c r="RYD104" s="14"/>
      <c r="RYE104" s="14"/>
      <c r="RYF104" s="36"/>
      <c r="RYG104" s="14"/>
      <c r="RYH104" s="45"/>
      <c r="RYI104" s="14"/>
      <c r="RYJ104" s="14"/>
      <c r="RYK104" s="14"/>
      <c r="RYL104" s="14"/>
      <c r="RYM104" s="14"/>
      <c r="RYN104" s="36"/>
      <c r="RYO104" s="14"/>
      <c r="RYP104" s="45"/>
      <c r="RYQ104" s="14"/>
      <c r="RYR104" s="14"/>
      <c r="RYS104" s="14"/>
      <c r="RYT104" s="14"/>
      <c r="RYU104" s="14"/>
      <c r="RYV104" s="36"/>
      <c r="RYW104" s="14"/>
      <c r="RYX104" s="45"/>
      <c r="RYY104" s="14"/>
      <c r="RYZ104" s="14"/>
      <c r="RZA104" s="14"/>
      <c r="RZB104" s="14"/>
      <c r="RZC104" s="14"/>
      <c r="RZD104" s="36"/>
      <c r="RZE104" s="14"/>
      <c r="RZF104" s="45"/>
      <c r="RZG104" s="14"/>
      <c r="RZH104" s="14"/>
      <c r="RZI104" s="14"/>
      <c r="RZJ104" s="14"/>
      <c r="RZK104" s="14"/>
      <c r="RZL104" s="36"/>
      <c r="RZM104" s="14"/>
      <c r="RZN104" s="45"/>
      <c r="RZO104" s="14"/>
      <c r="RZP104" s="14"/>
      <c r="RZQ104" s="14"/>
      <c r="RZR104" s="14"/>
      <c r="RZS104" s="14"/>
      <c r="RZT104" s="36"/>
      <c r="RZU104" s="14"/>
      <c r="RZV104" s="45"/>
      <c r="RZW104" s="14"/>
      <c r="RZX104" s="14"/>
      <c r="RZY104" s="14"/>
      <c r="RZZ104" s="14"/>
      <c r="SAA104" s="14"/>
      <c r="SAB104" s="36"/>
      <c r="SAC104" s="14"/>
      <c r="SAD104" s="45"/>
      <c r="SAE104" s="14"/>
      <c r="SAF104" s="14"/>
      <c r="SAG104" s="14"/>
      <c r="SAH104" s="14"/>
      <c r="SAI104" s="14"/>
      <c r="SAJ104" s="36"/>
      <c r="SAK104" s="14"/>
      <c r="SAL104" s="45"/>
      <c r="SAM104" s="14"/>
      <c r="SAN104" s="14"/>
      <c r="SAO104" s="14"/>
      <c r="SAP104" s="14"/>
      <c r="SAQ104" s="14"/>
      <c r="SAR104" s="36"/>
      <c r="SAS104" s="14"/>
      <c r="SAT104" s="45"/>
      <c r="SAU104" s="14"/>
      <c r="SAV104" s="14"/>
      <c r="SAW104" s="14"/>
      <c r="SAX104" s="14"/>
      <c r="SAY104" s="14"/>
      <c r="SAZ104" s="36"/>
      <c r="SBA104" s="14"/>
      <c r="SBB104" s="45"/>
      <c r="SBC104" s="14"/>
      <c r="SBD104" s="14"/>
      <c r="SBE104" s="14"/>
      <c r="SBF104" s="14"/>
      <c r="SBG104" s="14"/>
      <c r="SBH104" s="36"/>
      <c r="SBI104" s="14"/>
      <c r="SBJ104" s="45"/>
      <c r="SBK104" s="14"/>
      <c r="SBL104" s="14"/>
      <c r="SBM104" s="14"/>
      <c r="SBN104" s="14"/>
      <c r="SBO104" s="14"/>
      <c r="SBP104" s="36"/>
      <c r="SBQ104" s="14"/>
      <c r="SBR104" s="45"/>
      <c r="SBS104" s="14"/>
      <c r="SBT104" s="14"/>
      <c r="SBU104" s="14"/>
      <c r="SBV104" s="14"/>
      <c r="SBW104" s="14"/>
      <c r="SBX104" s="36"/>
      <c r="SBY104" s="14"/>
      <c r="SBZ104" s="45"/>
      <c r="SCA104" s="14"/>
      <c r="SCB104" s="14"/>
      <c r="SCC104" s="14"/>
      <c r="SCD104" s="14"/>
      <c r="SCE104" s="14"/>
      <c r="SCF104" s="36"/>
      <c r="SCG104" s="14"/>
      <c r="SCH104" s="45"/>
      <c r="SCI104" s="14"/>
      <c r="SCJ104" s="14"/>
      <c r="SCK104" s="14"/>
      <c r="SCL104" s="14"/>
      <c r="SCM104" s="14"/>
      <c r="SCN104" s="36"/>
      <c r="SCO104" s="14"/>
      <c r="SCP104" s="45"/>
      <c r="SCQ104" s="14"/>
      <c r="SCR104" s="14"/>
      <c r="SCS104" s="14"/>
      <c r="SCT104" s="14"/>
      <c r="SCU104" s="14"/>
      <c r="SCV104" s="36"/>
      <c r="SCW104" s="14"/>
      <c r="SCX104" s="45"/>
      <c r="SCY104" s="14"/>
      <c r="SCZ104" s="14"/>
      <c r="SDA104" s="14"/>
      <c r="SDB104" s="14"/>
      <c r="SDC104" s="14"/>
      <c r="SDD104" s="36"/>
      <c r="SDE104" s="14"/>
      <c r="SDF104" s="45"/>
      <c r="SDG104" s="14"/>
      <c r="SDH104" s="14"/>
      <c r="SDI104" s="14"/>
      <c r="SDJ104" s="14"/>
      <c r="SDK104" s="14"/>
      <c r="SDL104" s="36"/>
      <c r="SDM104" s="14"/>
      <c r="SDN104" s="45"/>
      <c r="SDO104" s="14"/>
      <c r="SDP104" s="14"/>
      <c r="SDQ104" s="14"/>
      <c r="SDR104" s="14"/>
      <c r="SDS104" s="14"/>
      <c r="SDT104" s="36"/>
      <c r="SDU104" s="14"/>
      <c r="SDV104" s="45"/>
      <c r="SDW104" s="14"/>
      <c r="SDX104" s="14"/>
      <c r="SDY104" s="14"/>
      <c r="SDZ104" s="14"/>
      <c r="SEA104" s="14"/>
      <c r="SEB104" s="36"/>
      <c r="SEC104" s="14"/>
      <c r="SED104" s="45"/>
      <c r="SEE104" s="14"/>
      <c r="SEF104" s="14"/>
      <c r="SEG104" s="14"/>
      <c r="SEH104" s="14"/>
      <c r="SEI104" s="14"/>
      <c r="SEJ104" s="36"/>
      <c r="SEK104" s="14"/>
      <c r="SEL104" s="45"/>
      <c r="SEM104" s="14"/>
      <c r="SEN104" s="14"/>
      <c r="SEO104" s="14"/>
      <c r="SEP104" s="14"/>
      <c r="SEQ104" s="14"/>
      <c r="SER104" s="36"/>
      <c r="SES104" s="14"/>
      <c r="SET104" s="45"/>
      <c r="SEU104" s="14"/>
      <c r="SEV104" s="14"/>
      <c r="SEW104" s="14"/>
      <c r="SEX104" s="14"/>
      <c r="SEY104" s="14"/>
      <c r="SEZ104" s="36"/>
      <c r="SFA104" s="14"/>
      <c r="SFB104" s="45"/>
      <c r="SFC104" s="14"/>
      <c r="SFD104" s="14"/>
      <c r="SFE104" s="14"/>
      <c r="SFF104" s="14"/>
      <c r="SFG104" s="14"/>
      <c r="SFH104" s="36"/>
      <c r="SFI104" s="14"/>
      <c r="SFJ104" s="45"/>
      <c r="SFK104" s="14"/>
      <c r="SFL104" s="14"/>
      <c r="SFM104" s="14"/>
      <c r="SFN104" s="14"/>
      <c r="SFO104" s="14"/>
      <c r="SFP104" s="36"/>
      <c r="SFQ104" s="14"/>
      <c r="SFR104" s="45"/>
      <c r="SFS104" s="14"/>
      <c r="SFT104" s="14"/>
      <c r="SFU104" s="14"/>
      <c r="SFV104" s="14"/>
      <c r="SFW104" s="14"/>
      <c r="SFX104" s="36"/>
      <c r="SFY104" s="14"/>
      <c r="SFZ104" s="45"/>
      <c r="SGA104" s="14"/>
      <c r="SGB104" s="14"/>
      <c r="SGC104" s="14"/>
      <c r="SGD104" s="14"/>
      <c r="SGE104" s="14"/>
      <c r="SGF104" s="36"/>
      <c r="SGG104" s="14"/>
      <c r="SGH104" s="45"/>
      <c r="SGI104" s="14"/>
      <c r="SGJ104" s="14"/>
      <c r="SGK104" s="14"/>
      <c r="SGL104" s="14"/>
      <c r="SGM104" s="14"/>
      <c r="SGN104" s="36"/>
      <c r="SGO104" s="14"/>
      <c r="SGP104" s="45"/>
      <c r="SGQ104" s="14"/>
      <c r="SGR104" s="14"/>
      <c r="SGS104" s="14"/>
      <c r="SGT104" s="14"/>
      <c r="SGU104" s="14"/>
      <c r="SGV104" s="36"/>
      <c r="SGW104" s="14"/>
      <c r="SGX104" s="45"/>
      <c r="SGY104" s="14"/>
      <c r="SGZ104" s="14"/>
      <c r="SHA104" s="14"/>
      <c r="SHB104" s="14"/>
      <c r="SHC104" s="14"/>
      <c r="SHD104" s="36"/>
      <c r="SHE104" s="14"/>
      <c r="SHF104" s="45"/>
      <c r="SHG104" s="14"/>
      <c r="SHH104" s="14"/>
      <c r="SHI104" s="14"/>
      <c r="SHJ104" s="14"/>
      <c r="SHK104" s="14"/>
      <c r="SHL104" s="36"/>
      <c r="SHM104" s="14"/>
      <c r="SHN104" s="45"/>
      <c r="SHO104" s="14"/>
      <c r="SHP104" s="14"/>
      <c r="SHQ104" s="14"/>
      <c r="SHR104" s="14"/>
      <c r="SHS104" s="14"/>
      <c r="SHT104" s="36"/>
      <c r="SHU104" s="14"/>
      <c r="SHV104" s="45"/>
      <c r="SHW104" s="14"/>
      <c r="SHX104" s="14"/>
      <c r="SHY104" s="14"/>
      <c r="SHZ104" s="14"/>
      <c r="SIA104" s="14"/>
      <c r="SIB104" s="36"/>
      <c r="SIC104" s="14"/>
      <c r="SID104" s="45"/>
      <c r="SIE104" s="14"/>
      <c r="SIF104" s="14"/>
      <c r="SIG104" s="14"/>
      <c r="SIH104" s="14"/>
      <c r="SII104" s="14"/>
      <c r="SIJ104" s="36"/>
      <c r="SIK104" s="14"/>
      <c r="SIL104" s="45"/>
      <c r="SIM104" s="14"/>
      <c r="SIN104" s="14"/>
      <c r="SIO104" s="14"/>
      <c r="SIP104" s="14"/>
      <c r="SIQ104" s="14"/>
      <c r="SIR104" s="36"/>
      <c r="SIS104" s="14"/>
      <c r="SIT104" s="45"/>
      <c r="SIU104" s="14"/>
      <c r="SIV104" s="14"/>
      <c r="SIW104" s="14"/>
      <c r="SIX104" s="14"/>
      <c r="SIY104" s="14"/>
      <c r="SIZ104" s="36"/>
      <c r="SJA104" s="14"/>
      <c r="SJB104" s="45"/>
      <c r="SJC104" s="14"/>
      <c r="SJD104" s="14"/>
      <c r="SJE104" s="14"/>
      <c r="SJF104" s="14"/>
      <c r="SJG104" s="14"/>
      <c r="SJH104" s="36"/>
      <c r="SJI104" s="14"/>
      <c r="SJJ104" s="45"/>
      <c r="SJK104" s="14"/>
      <c r="SJL104" s="14"/>
      <c r="SJM104" s="14"/>
      <c r="SJN104" s="14"/>
      <c r="SJO104" s="14"/>
      <c r="SJP104" s="36"/>
      <c r="SJQ104" s="14"/>
      <c r="SJR104" s="45"/>
      <c r="SJS104" s="14"/>
      <c r="SJT104" s="14"/>
      <c r="SJU104" s="14"/>
      <c r="SJV104" s="14"/>
      <c r="SJW104" s="14"/>
      <c r="SJX104" s="36"/>
      <c r="SJY104" s="14"/>
      <c r="SJZ104" s="45"/>
      <c r="SKA104" s="14"/>
      <c r="SKB104" s="14"/>
      <c r="SKC104" s="14"/>
      <c r="SKD104" s="14"/>
      <c r="SKE104" s="14"/>
      <c r="SKF104" s="36"/>
      <c r="SKG104" s="14"/>
      <c r="SKH104" s="45"/>
      <c r="SKI104" s="14"/>
      <c r="SKJ104" s="14"/>
      <c r="SKK104" s="14"/>
      <c r="SKL104" s="14"/>
      <c r="SKM104" s="14"/>
      <c r="SKN104" s="36"/>
      <c r="SKO104" s="14"/>
      <c r="SKP104" s="45"/>
      <c r="SKQ104" s="14"/>
      <c r="SKR104" s="14"/>
      <c r="SKS104" s="14"/>
      <c r="SKT104" s="14"/>
      <c r="SKU104" s="14"/>
      <c r="SKV104" s="36"/>
      <c r="SKW104" s="14"/>
      <c r="SKX104" s="45"/>
      <c r="SKY104" s="14"/>
      <c r="SKZ104" s="14"/>
      <c r="SLA104" s="14"/>
      <c r="SLB104" s="14"/>
      <c r="SLC104" s="14"/>
      <c r="SLD104" s="36"/>
      <c r="SLE104" s="14"/>
      <c r="SLF104" s="45"/>
      <c r="SLG104" s="14"/>
      <c r="SLH104" s="14"/>
      <c r="SLI104" s="14"/>
      <c r="SLJ104" s="14"/>
      <c r="SLK104" s="14"/>
      <c r="SLL104" s="36"/>
      <c r="SLM104" s="14"/>
      <c r="SLN104" s="45"/>
      <c r="SLO104" s="14"/>
      <c r="SLP104" s="14"/>
      <c r="SLQ104" s="14"/>
      <c r="SLR104" s="14"/>
      <c r="SLS104" s="14"/>
      <c r="SLT104" s="36"/>
      <c r="SLU104" s="14"/>
      <c r="SLV104" s="45"/>
      <c r="SLW104" s="14"/>
      <c r="SLX104" s="14"/>
      <c r="SLY104" s="14"/>
      <c r="SLZ104" s="14"/>
      <c r="SMA104" s="14"/>
      <c r="SMB104" s="36"/>
      <c r="SMC104" s="14"/>
      <c r="SMD104" s="45"/>
      <c r="SME104" s="14"/>
      <c r="SMF104" s="14"/>
      <c r="SMG104" s="14"/>
      <c r="SMH104" s="14"/>
      <c r="SMI104" s="14"/>
      <c r="SMJ104" s="36"/>
      <c r="SMK104" s="14"/>
      <c r="SML104" s="45"/>
      <c r="SMM104" s="14"/>
      <c r="SMN104" s="14"/>
      <c r="SMO104" s="14"/>
      <c r="SMP104" s="14"/>
      <c r="SMQ104" s="14"/>
      <c r="SMR104" s="36"/>
      <c r="SMS104" s="14"/>
      <c r="SMT104" s="45"/>
      <c r="SMU104" s="14"/>
      <c r="SMV104" s="14"/>
      <c r="SMW104" s="14"/>
      <c r="SMX104" s="14"/>
      <c r="SMY104" s="14"/>
      <c r="SMZ104" s="36"/>
      <c r="SNA104" s="14"/>
      <c r="SNB104" s="45"/>
      <c r="SNC104" s="14"/>
      <c r="SND104" s="14"/>
      <c r="SNE104" s="14"/>
      <c r="SNF104" s="14"/>
      <c r="SNG104" s="14"/>
      <c r="SNH104" s="36"/>
      <c r="SNI104" s="14"/>
      <c r="SNJ104" s="45"/>
      <c r="SNK104" s="14"/>
      <c r="SNL104" s="14"/>
      <c r="SNM104" s="14"/>
      <c r="SNN104" s="14"/>
      <c r="SNO104" s="14"/>
      <c r="SNP104" s="36"/>
      <c r="SNQ104" s="14"/>
      <c r="SNR104" s="45"/>
      <c r="SNS104" s="14"/>
      <c r="SNT104" s="14"/>
      <c r="SNU104" s="14"/>
      <c r="SNV104" s="14"/>
      <c r="SNW104" s="14"/>
      <c r="SNX104" s="36"/>
      <c r="SNY104" s="14"/>
      <c r="SNZ104" s="45"/>
      <c r="SOA104" s="14"/>
      <c r="SOB104" s="14"/>
      <c r="SOC104" s="14"/>
      <c r="SOD104" s="14"/>
      <c r="SOE104" s="14"/>
      <c r="SOF104" s="36"/>
      <c r="SOG104" s="14"/>
      <c r="SOH104" s="45"/>
      <c r="SOI104" s="14"/>
      <c r="SOJ104" s="14"/>
      <c r="SOK104" s="14"/>
      <c r="SOL104" s="14"/>
      <c r="SOM104" s="14"/>
      <c r="SON104" s="36"/>
      <c r="SOO104" s="14"/>
      <c r="SOP104" s="45"/>
      <c r="SOQ104" s="14"/>
      <c r="SOR104" s="14"/>
      <c r="SOS104" s="14"/>
      <c r="SOT104" s="14"/>
      <c r="SOU104" s="14"/>
      <c r="SOV104" s="36"/>
      <c r="SOW104" s="14"/>
      <c r="SOX104" s="45"/>
      <c r="SOY104" s="14"/>
      <c r="SOZ104" s="14"/>
      <c r="SPA104" s="14"/>
      <c r="SPB104" s="14"/>
      <c r="SPC104" s="14"/>
      <c r="SPD104" s="36"/>
      <c r="SPE104" s="14"/>
      <c r="SPF104" s="45"/>
      <c r="SPG104" s="14"/>
      <c r="SPH104" s="14"/>
      <c r="SPI104" s="14"/>
      <c r="SPJ104" s="14"/>
      <c r="SPK104" s="14"/>
      <c r="SPL104" s="36"/>
      <c r="SPM104" s="14"/>
      <c r="SPN104" s="45"/>
      <c r="SPO104" s="14"/>
      <c r="SPP104" s="14"/>
      <c r="SPQ104" s="14"/>
      <c r="SPR104" s="14"/>
      <c r="SPS104" s="14"/>
      <c r="SPT104" s="36"/>
      <c r="SPU104" s="14"/>
      <c r="SPV104" s="45"/>
      <c r="SPW104" s="14"/>
      <c r="SPX104" s="14"/>
      <c r="SPY104" s="14"/>
      <c r="SPZ104" s="14"/>
      <c r="SQA104" s="14"/>
      <c r="SQB104" s="36"/>
      <c r="SQC104" s="14"/>
      <c r="SQD104" s="45"/>
      <c r="SQE104" s="14"/>
      <c r="SQF104" s="14"/>
      <c r="SQG104" s="14"/>
      <c r="SQH104" s="14"/>
      <c r="SQI104" s="14"/>
      <c r="SQJ104" s="36"/>
      <c r="SQK104" s="14"/>
      <c r="SQL104" s="45"/>
      <c r="SQM104" s="14"/>
      <c r="SQN104" s="14"/>
      <c r="SQO104" s="14"/>
      <c r="SQP104" s="14"/>
      <c r="SQQ104" s="14"/>
      <c r="SQR104" s="36"/>
      <c r="SQS104" s="14"/>
      <c r="SQT104" s="45"/>
      <c r="SQU104" s="14"/>
      <c r="SQV104" s="14"/>
      <c r="SQW104" s="14"/>
      <c r="SQX104" s="14"/>
      <c r="SQY104" s="14"/>
      <c r="SQZ104" s="36"/>
      <c r="SRA104" s="14"/>
      <c r="SRB104" s="45"/>
      <c r="SRC104" s="14"/>
      <c r="SRD104" s="14"/>
      <c r="SRE104" s="14"/>
      <c r="SRF104" s="14"/>
      <c r="SRG104" s="14"/>
      <c r="SRH104" s="36"/>
      <c r="SRI104" s="14"/>
      <c r="SRJ104" s="45"/>
      <c r="SRK104" s="14"/>
      <c r="SRL104" s="14"/>
      <c r="SRM104" s="14"/>
      <c r="SRN104" s="14"/>
      <c r="SRO104" s="14"/>
      <c r="SRP104" s="36"/>
      <c r="SRQ104" s="14"/>
      <c r="SRR104" s="45"/>
      <c r="SRS104" s="14"/>
      <c r="SRT104" s="14"/>
      <c r="SRU104" s="14"/>
      <c r="SRV104" s="14"/>
      <c r="SRW104" s="14"/>
      <c r="SRX104" s="36"/>
      <c r="SRY104" s="14"/>
      <c r="SRZ104" s="45"/>
      <c r="SSA104" s="14"/>
      <c r="SSB104" s="14"/>
      <c r="SSC104" s="14"/>
      <c r="SSD104" s="14"/>
      <c r="SSE104" s="14"/>
      <c r="SSF104" s="36"/>
      <c r="SSG104" s="14"/>
      <c r="SSH104" s="45"/>
      <c r="SSI104" s="14"/>
      <c r="SSJ104" s="14"/>
      <c r="SSK104" s="14"/>
      <c r="SSL104" s="14"/>
      <c r="SSM104" s="14"/>
      <c r="SSN104" s="36"/>
      <c r="SSO104" s="14"/>
      <c r="SSP104" s="45"/>
      <c r="SSQ104" s="14"/>
      <c r="SSR104" s="14"/>
      <c r="SSS104" s="14"/>
      <c r="SST104" s="14"/>
      <c r="SSU104" s="14"/>
      <c r="SSV104" s="36"/>
      <c r="SSW104" s="14"/>
      <c r="SSX104" s="45"/>
      <c r="SSY104" s="14"/>
      <c r="SSZ104" s="14"/>
      <c r="STA104" s="14"/>
      <c r="STB104" s="14"/>
      <c r="STC104" s="14"/>
      <c r="STD104" s="36"/>
      <c r="STE104" s="14"/>
      <c r="STF104" s="45"/>
      <c r="STG104" s="14"/>
      <c r="STH104" s="14"/>
      <c r="STI104" s="14"/>
      <c r="STJ104" s="14"/>
      <c r="STK104" s="14"/>
      <c r="STL104" s="36"/>
      <c r="STM104" s="14"/>
      <c r="STN104" s="45"/>
      <c r="STO104" s="14"/>
      <c r="STP104" s="14"/>
      <c r="STQ104" s="14"/>
      <c r="STR104" s="14"/>
      <c r="STS104" s="14"/>
      <c r="STT104" s="36"/>
      <c r="STU104" s="14"/>
      <c r="STV104" s="45"/>
      <c r="STW104" s="14"/>
      <c r="STX104" s="14"/>
      <c r="STY104" s="14"/>
      <c r="STZ104" s="14"/>
      <c r="SUA104" s="14"/>
      <c r="SUB104" s="36"/>
      <c r="SUC104" s="14"/>
      <c r="SUD104" s="45"/>
      <c r="SUE104" s="14"/>
      <c r="SUF104" s="14"/>
      <c r="SUG104" s="14"/>
      <c r="SUH104" s="14"/>
      <c r="SUI104" s="14"/>
      <c r="SUJ104" s="36"/>
      <c r="SUK104" s="14"/>
      <c r="SUL104" s="45"/>
      <c r="SUM104" s="14"/>
      <c r="SUN104" s="14"/>
      <c r="SUO104" s="14"/>
      <c r="SUP104" s="14"/>
      <c r="SUQ104" s="14"/>
      <c r="SUR104" s="36"/>
      <c r="SUS104" s="14"/>
      <c r="SUT104" s="45"/>
      <c r="SUU104" s="14"/>
      <c r="SUV104" s="14"/>
      <c r="SUW104" s="14"/>
      <c r="SUX104" s="14"/>
      <c r="SUY104" s="14"/>
      <c r="SUZ104" s="36"/>
      <c r="SVA104" s="14"/>
      <c r="SVB104" s="45"/>
      <c r="SVC104" s="14"/>
      <c r="SVD104" s="14"/>
      <c r="SVE104" s="14"/>
      <c r="SVF104" s="14"/>
      <c r="SVG104" s="14"/>
      <c r="SVH104" s="36"/>
      <c r="SVI104" s="14"/>
      <c r="SVJ104" s="45"/>
      <c r="SVK104" s="14"/>
      <c r="SVL104" s="14"/>
      <c r="SVM104" s="14"/>
      <c r="SVN104" s="14"/>
      <c r="SVO104" s="14"/>
      <c r="SVP104" s="36"/>
      <c r="SVQ104" s="14"/>
      <c r="SVR104" s="45"/>
      <c r="SVS104" s="14"/>
      <c r="SVT104" s="14"/>
      <c r="SVU104" s="14"/>
      <c r="SVV104" s="14"/>
      <c r="SVW104" s="14"/>
      <c r="SVX104" s="36"/>
      <c r="SVY104" s="14"/>
      <c r="SVZ104" s="45"/>
      <c r="SWA104" s="14"/>
      <c r="SWB104" s="14"/>
      <c r="SWC104" s="14"/>
      <c r="SWD104" s="14"/>
      <c r="SWE104" s="14"/>
      <c r="SWF104" s="36"/>
      <c r="SWG104" s="14"/>
      <c r="SWH104" s="45"/>
      <c r="SWI104" s="14"/>
      <c r="SWJ104" s="14"/>
      <c r="SWK104" s="14"/>
      <c r="SWL104" s="14"/>
      <c r="SWM104" s="14"/>
      <c r="SWN104" s="36"/>
      <c r="SWO104" s="14"/>
      <c r="SWP104" s="45"/>
      <c r="SWQ104" s="14"/>
      <c r="SWR104" s="14"/>
      <c r="SWS104" s="14"/>
      <c r="SWT104" s="14"/>
      <c r="SWU104" s="14"/>
      <c r="SWV104" s="36"/>
      <c r="SWW104" s="14"/>
      <c r="SWX104" s="45"/>
      <c r="SWY104" s="14"/>
      <c r="SWZ104" s="14"/>
      <c r="SXA104" s="14"/>
      <c r="SXB104" s="14"/>
      <c r="SXC104" s="14"/>
      <c r="SXD104" s="36"/>
      <c r="SXE104" s="14"/>
      <c r="SXF104" s="45"/>
      <c r="SXG104" s="14"/>
      <c r="SXH104" s="14"/>
      <c r="SXI104" s="14"/>
      <c r="SXJ104" s="14"/>
      <c r="SXK104" s="14"/>
      <c r="SXL104" s="36"/>
      <c r="SXM104" s="14"/>
      <c r="SXN104" s="45"/>
      <c r="SXO104" s="14"/>
      <c r="SXP104" s="14"/>
      <c r="SXQ104" s="14"/>
      <c r="SXR104" s="14"/>
      <c r="SXS104" s="14"/>
      <c r="SXT104" s="36"/>
      <c r="SXU104" s="14"/>
      <c r="SXV104" s="45"/>
      <c r="SXW104" s="14"/>
      <c r="SXX104" s="14"/>
      <c r="SXY104" s="14"/>
      <c r="SXZ104" s="14"/>
      <c r="SYA104" s="14"/>
      <c r="SYB104" s="36"/>
      <c r="SYC104" s="14"/>
      <c r="SYD104" s="45"/>
      <c r="SYE104" s="14"/>
      <c r="SYF104" s="14"/>
      <c r="SYG104" s="14"/>
      <c r="SYH104" s="14"/>
      <c r="SYI104" s="14"/>
      <c r="SYJ104" s="36"/>
      <c r="SYK104" s="14"/>
      <c r="SYL104" s="45"/>
      <c r="SYM104" s="14"/>
      <c r="SYN104" s="14"/>
      <c r="SYO104" s="14"/>
      <c r="SYP104" s="14"/>
      <c r="SYQ104" s="14"/>
      <c r="SYR104" s="36"/>
      <c r="SYS104" s="14"/>
      <c r="SYT104" s="45"/>
      <c r="SYU104" s="14"/>
      <c r="SYV104" s="14"/>
      <c r="SYW104" s="14"/>
      <c r="SYX104" s="14"/>
      <c r="SYY104" s="14"/>
      <c r="SYZ104" s="36"/>
      <c r="SZA104" s="14"/>
      <c r="SZB104" s="45"/>
      <c r="SZC104" s="14"/>
      <c r="SZD104" s="14"/>
      <c r="SZE104" s="14"/>
      <c r="SZF104" s="14"/>
      <c r="SZG104" s="14"/>
      <c r="SZH104" s="36"/>
      <c r="SZI104" s="14"/>
      <c r="SZJ104" s="45"/>
      <c r="SZK104" s="14"/>
      <c r="SZL104" s="14"/>
      <c r="SZM104" s="14"/>
      <c r="SZN104" s="14"/>
      <c r="SZO104" s="14"/>
      <c r="SZP104" s="36"/>
      <c r="SZQ104" s="14"/>
      <c r="SZR104" s="45"/>
      <c r="SZS104" s="14"/>
      <c r="SZT104" s="14"/>
      <c r="SZU104" s="14"/>
      <c r="SZV104" s="14"/>
      <c r="SZW104" s="14"/>
      <c r="SZX104" s="36"/>
      <c r="SZY104" s="14"/>
      <c r="SZZ104" s="45"/>
      <c r="TAA104" s="14"/>
      <c r="TAB104" s="14"/>
      <c r="TAC104" s="14"/>
      <c r="TAD104" s="14"/>
      <c r="TAE104" s="14"/>
      <c r="TAF104" s="36"/>
      <c r="TAG104" s="14"/>
      <c r="TAH104" s="45"/>
      <c r="TAI104" s="14"/>
      <c r="TAJ104" s="14"/>
      <c r="TAK104" s="14"/>
      <c r="TAL104" s="14"/>
      <c r="TAM104" s="14"/>
      <c r="TAN104" s="36"/>
      <c r="TAO104" s="14"/>
      <c r="TAP104" s="45"/>
      <c r="TAQ104" s="14"/>
      <c r="TAR104" s="14"/>
      <c r="TAS104" s="14"/>
      <c r="TAT104" s="14"/>
      <c r="TAU104" s="14"/>
      <c r="TAV104" s="36"/>
      <c r="TAW104" s="14"/>
      <c r="TAX104" s="45"/>
      <c r="TAY104" s="14"/>
      <c r="TAZ104" s="14"/>
      <c r="TBA104" s="14"/>
      <c r="TBB104" s="14"/>
      <c r="TBC104" s="14"/>
      <c r="TBD104" s="36"/>
      <c r="TBE104" s="14"/>
      <c r="TBF104" s="45"/>
      <c r="TBG104" s="14"/>
      <c r="TBH104" s="14"/>
      <c r="TBI104" s="14"/>
      <c r="TBJ104" s="14"/>
      <c r="TBK104" s="14"/>
      <c r="TBL104" s="36"/>
      <c r="TBM104" s="14"/>
      <c r="TBN104" s="45"/>
      <c r="TBO104" s="14"/>
      <c r="TBP104" s="14"/>
      <c r="TBQ104" s="14"/>
      <c r="TBR104" s="14"/>
      <c r="TBS104" s="14"/>
      <c r="TBT104" s="36"/>
      <c r="TBU104" s="14"/>
      <c r="TBV104" s="45"/>
      <c r="TBW104" s="14"/>
      <c r="TBX104" s="14"/>
      <c r="TBY104" s="14"/>
      <c r="TBZ104" s="14"/>
      <c r="TCA104" s="14"/>
      <c r="TCB104" s="36"/>
      <c r="TCC104" s="14"/>
      <c r="TCD104" s="45"/>
      <c r="TCE104" s="14"/>
      <c r="TCF104" s="14"/>
      <c r="TCG104" s="14"/>
      <c r="TCH104" s="14"/>
      <c r="TCI104" s="14"/>
      <c r="TCJ104" s="36"/>
      <c r="TCK104" s="14"/>
      <c r="TCL104" s="45"/>
      <c r="TCM104" s="14"/>
      <c r="TCN104" s="14"/>
      <c r="TCO104" s="14"/>
      <c r="TCP104" s="14"/>
      <c r="TCQ104" s="14"/>
      <c r="TCR104" s="36"/>
      <c r="TCS104" s="14"/>
      <c r="TCT104" s="45"/>
      <c r="TCU104" s="14"/>
      <c r="TCV104" s="14"/>
      <c r="TCW104" s="14"/>
      <c r="TCX104" s="14"/>
      <c r="TCY104" s="14"/>
      <c r="TCZ104" s="36"/>
      <c r="TDA104" s="14"/>
      <c r="TDB104" s="45"/>
      <c r="TDC104" s="14"/>
      <c r="TDD104" s="14"/>
      <c r="TDE104" s="14"/>
      <c r="TDF104" s="14"/>
      <c r="TDG104" s="14"/>
      <c r="TDH104" s="36"/>
      <c r="TDI104" s="14"/>
      <c r="TDJ104" s="45"/>
      <c r="TDK104" s="14"/>
      <c r="TDL104" s="14"/>
      <c r="TDM104" s="14"/>
      <c r="TDN104" s="14"/>
      <c r="TDO104" s="14"/>
      <c r="TDP104" s="36"/>
      <c r="TDQ104" s="14"/>
      <c r="TDR104" s="45"/>
      <c r="TDS104" s="14"/>
      <c r="TDT104" s="14"/>
      <c r="TDU104" s="14"/>
      <c r="TDV104" s="14"/>
      <c r="TDW104" s="14"/>
      <c r="TDX104" s="36"/>
      <c r="TDY104" s="14"/>
      <c r="TDZ104" s="45"/>
      <c r="TEA104" s="14"/>
      <c r="TEB104" s="14"/>
      <c r="TEC104" s="14"/>
      <c r="TED104" s="14"/>
      <c r="TEE104" s="14"/>
      <c r="TEF104" s="36"/>
      <c r="TEG104" s="14"/>
      <c r="TEH104" s="45"/>
      <c r="TEI104" s="14"/>
      <c r="TEJ104" s="14"/>
      <c r="TEK104" s="14"/>
      <c r="TEL104" s="14"/>
      <c r="TEM104" s="14"/>
      <c r="TEN104" s="36"/>
      <c r="TEO104" s="14"/>
      <c r="TEP104" s="45"/>
      <c r="TEQ104" s="14"/>
      <c r="TER104" s="14"/>
      <c r="TES104" s="14"/>
      <c r="TET104" s="14"/>
      <c r="TEU104" s="14"/>
      <c r="TEV104" s="36"/>
      <c r="TEW104" s="14"/>
      <c r="TEX104" s="45"/>
      <c r="TEY104" s="14"/>
      <c r="TEZ104" s="14"/>
      <c r="TFA104" s="14"/>
      <c r="TFB104" s="14"/>
      <c r="TFC104" s="14"/>
      <c r="TFD104" s="36"/>
      <c r="TFE104" s="14"/>
      <c r="TFF104" s="45"/>
      <c r="TFG104" s="14"/>
      <c r="TFH104" s="14"/>
      <c r="TFI104" s="14"/>
      <c r="TFJ104" s="14"/>
      <c r="TFK104" s="14"/>
      <c r="TFL104" s="36"/>
      <c r="TFM104" s="14"/>
      <c r="TFN104" s="45"/>
      <c r="TFO104" s="14"/>
      <c r="TFP104" s="14"/>
      <c r="TFQ104" s="14"/>
      <c r="TFR104" s="14"/>
      <c r="TFS104" s="14"/>
      <c r="TFT104" s="36"/>
      <c r="TFU104" s="14"/>
      <c r="TFV104" s="45"/>
      <c r="TFW104" s="14"/>
      <c r="TFX104" s="14"/>
      <c r="TFY104" s="14"/>
      <c r="TFZ104" s="14"/>
      <c r="TGA104" s="14"/>
      <c r="TGB104" s="36"/>
      <c r="TGC104" s="14"/>
      <c r="TGD104" s="45"/>
      <c r="TGE104" s="14"/>
      <c r="TGF104" s="14"/>
      <c r="TGG104" s="14"/>
      <c r="TGH104" s="14"/>
      <c r="TGI104" s="14"/>
      <c r="TGJ104" s="36"/>
      <c r="TGK104" s="14"/>
      <c r="TGL104" s="45"/>
      <c r="TGM104" s="14"/>
      <c r="TGN104" s="14"/>
      <c r="TGO104" s="14"/>
      <c r="TGP104" s="14"/>
      <c r="TGQ104" s="14"/>
      <c r="TGR104" s="36"/>
      <c r="TGS104" s="14"/>
      <c r="TGT104" s="45"/>
      <c r="TGU104" s="14"/>
      <c r="TGV104" s="14"/>
      <c r="TGW104" s="14"/>
      <c r="TGX104" s="14"/>
      <c r="TGY104" s="14"/>
      <c r="TGZ104" s="36"/>
      <c r="THA104" s="14"/>
      <c r="THB104" s="45"/>
      <c r="THC104" s="14"/>
      <c r="THD104" s="14"/>
      <c r="THE104" s="14"/>
      <c r="THF104" s="14"/>
      <c r="THG104" s="14"/>
      <c r="THH104" s="36"/>
      <c r="THI104" s="14"/>
      <c r="THJ104" s="45"/>
      <c r="THK104" s="14"/>
      <c r="THL104" s="14"/>
      <c r="THM104" s="14"/>
      <c r="THN104" s="14"/>
      <c r="THO104" s="14"/>
      <c r="THP104" s="36"/>
      <c r="THQ104" s="14"/>
      <c r="THR104" s="45"/>
      <c r="THS104" s="14"/>
      <c r="THT104" s="14"/>
      <c r="THU104" s="14"/>
      <c r="THV104" s="14"/>
      <c r="THW104" s="14"/>
      <c r="THX104" s="36"/>
      <c r="THY104" s="14"/>
      <c r="THZ104" s="45"/>
      <c r="TIA104" s="14"/>
      <c r="TIB104" s="14"/>
      <c r="TIC104" s="14"/>
      <c r="TID104" s="14"/>
      <c r="TIE104" s="14"/>
      <c r="TIF104" s="36"/>
      <c r="TIG104" s="14"/>
      <c r="TIH104" s="45"/>
      <c r="TII104" s="14"/>
      <c r="TIJ104" s="14"/>
      <c r="TIK104" s="14"/>
      <c r="TIL104" s="14"/>
      <c r="TIM104" s="14"/>
      <c r="TIN104" s="36"/>
      <c r="TIO104" s="14"/>
      <c r="TIP104" s="45"/>
      <c r="TIQ104" s="14"/>
      <c r="TIR104" s="14"/>
      <c r="TIS104" s="14"/>
      <c r="TIT104" s="14"/>
      <c r="TIU104" s="14"/>
      <c r="TIV104" s="36"/>
      <c r="TIW104" s="14"/>
      <c r="TIX104" s="45"/>
      <c r="TIY104" s="14"/>
      <c r="TIZ104" s="14"/>
      <c r="TJA104" s="14"/>
      <c r="TJB104" s="14"/>
      <c r="TJC104" s="14"/>
      <c r="TJD104" s="36"/>
      <c r="TJE104" s="14"/>
      <c r="TJF104" s="45"/>
      <c r="TJG104" s="14"/>
      <c r="TJH104" s="14"/>
      <c r="TJI104" s="14"/>
      <c r="TJJ104" s="14"/>
      <c r="TJK104" s="14"/>
      <c r="TJL104" s="36"/>
      <c r="TJM104" s="14"/>
      <c r="TJN104" s="45"/>
      <c r="TJO104" s="14"/>
      <c r="TJP104" s="14"/>
      <c r="TJQ104" s="14"/>
      <c r="TJR104" s="14"/>
      <c r="TJS104" s="14"/>
      <c r="TJT104" s="36"/>
      <c r="TJU104" s="14"/>
      <c r="TJV104" s="45"/>
      <c r="TJW104" s="14"/>
      <c r="TJX104" s="14"/>
      <c r="TJY104" s="14"/>
      <c r="TJZ104" s="14"/>
      <c r="TKA104" s="14"/>
      <c r="TKB104" s="36"/>
      <c r="TKC104" s="14"/>
      <c r="TKD104" s="45"/>
      <c r="TKE104" s="14"/>
      <c r="TKF104" s="14"/>
      <c r="TKG104" s="14"/>
      <c r="TKH104" s="14"/>
      <c r="TKI104" s="14"/>
      <c r="TKJ104" s="36"/>
      <c r="TKK104" s="14"/>
      <c r="TKL104" s="45"/>
      <c r="TKM104" s="14"/>
      <c r="TKN104" s="14"/>
      <c r="TKO104" s="14"/>
      <c r="TKP104" s="14"/>
      <c r="TKQ104" s="14"/>
      <c r="TKR104" s="36"/>
      <c r="TKS104" s="14"/>
      <c r="TKT104" s="45"/>
      <c r="TKU104" s="14"/>
      <c r="TKV104" s="14"/>
      <c r="TKW104" s="14"/>
      <c r="TKX104" s="14"/>
      <c r="TKY104" s="14"/>
      <c r="TKZ104" s="36"/>
      <c r="TLA104" s="14"/>
      <c r="TLB104" s="45"/>
      <c r="TLC104" s="14"/>
      <c r="TLD104" s="14"/>
      <c r="TLE104" s="14"/>
      <c r="TLF104" s="14"/>
      <c r="TLG104" s="14"/>
      <c r="TLH104" s="36"/>
      <c r="TLI104" s="14"/>
      <c r="TLJ104" s="45"/>
      <c r="TLK104" s="14"/>
      <c r="TLL104" s="14"/>
      <c r="TLM104" s="14"/>
      <c r="TLN104" s="14"/>
      <c r="TLO104" s="14"/>
      <c r="TLP104" s="36"/>
      <c r="TLQ104" s="14"/>
      <c r="TLR104" s="45"/>
      <c r="TLS104" s="14"/>
      <c r="TLT104" s="14"/>
      <c r="TLU104" s="14"/>
      <c r="TLV104" s="14"/>
      <c r="TLW104" s="14"/>
      <c r="TLX104" s="36"/>
      <c r="TLY104" s="14"/>
      <c r="TLZ104" s="45"/>
      <c r="TMA104" s="14"/>
      <c r="TMB104" s="14"/>
      <c r="TMC104" s="14"/>
      <c r="TMD104" s="14"/>
      <c r="TME104" s="14"/>
      <c r="TMF104" s="36"/>
      <c r="TMG104" s="14"/>
      <c r="TMH104" s="45"/>
      <c r="TMI104" s="14"/>
      <c r="TMJ104" s="14"/>
      <c r="TMK104" s="14"/>
      <c r="TML104" s="14"/>
      <c r="TMM104" s="14"/>
      <c r="TMN104" s="36"/>
      <c r="TMO104" s="14"/>
      <c r="TMP104" s="45"/>
      <c r="TMQ104" s="14"/>
      <c r="TMR104" s="14"/>
      <c r="TMS104" s="14"/>
      <c r="TMT104" s="14"/>
      <c r="TMU104" s="14"/>
      <c r="TMV104" s="36"/>
      <c r="TMW104" s="14"/>
      <c r="TMX104" s="45"/>
      <c r="TMY104" s="14"/>
      <c r="TMZ104" s="14"/>
      <c r="TNA104" s="14"/>
      <c r="TNB104" s="14"/>
      <c r="TNC104" s="14"/>
      <c r="TND104" s="36"/>
      <c r="TNE104" s="14"/>
      <c r="TNF104" s="45"/>
      <c r="TNG104" s="14"/>
      <c r="TNH104" s="14"/>
      <c r="TNI104" s="14"/>
      <c r="TNJ104" s="14"/>
      <c r="TNK104" s="14"/>
      <c r="TNL104" s="36"/>
      <c r="TNM104" s="14"/>
      <c r="TNN104" s="45"/>
      <c r="TNO104" s="14"/>
      <c r="TNP104" s="14"/>
      <c r="TNQ104" s="14"/>
      <c r="TNR104" s="14"/>
      <c r="TNS104" s="14"/>
      <c r="TNT104" s="36"/>
      <c r="TNU104" s="14"/>
      <c r="TNV104" s="45"/>
      <c r="TNW104" s="14"/>
      <c r="TNX104" s="14"/>
      <c r="TNY104" s="14"/>
      <c r="TNZ104" s="14"/>
      <c r="TOA104" s="14"/>
      <c r="TOB104" s="36"/>
      <c r="TOC104" s="14"/>
      <c r="TOD104" s="45"/>
      <c r="TOE104" s="14"/>
      <c r="TOF104" s="14"/>
      <c r="TOG104" s="14"/>
      <c r="TOH104" s="14"/>
      <c r="TOI104" s="14"/>
      <c r="TOJ104" s="36"/>
      <c r="TOK104" s="14"/>
      <c r="TOL104" s="45"/>
      <c r="TOM104" s="14"/>
      <c r="TON104" s="14"/>
      <c r="TOO104" s="14"/>
      <c r="TOP104" s="14"/>
      <c r="TOQ104" s="14"/>
      <c r="TOR104" s="36"/>
      <c r="TOS104" s="14"/>
      <c r="TOT104" s="45"/>
      <c r="TOU104" s="14"/>
      <c r="TOV104" s="14"/>
      <c r="TOW104" s="14"/>
      <c r="TOX104" s="14"/>
      <c r="TOY104" s="14"/>
      <c r="TOZ104" s="36"/>
      <c r="TPA104" s="14"/>
      <c r="TPB104" s="45"/>
      <c r="TPC104" s="14"/>
      <c r="TPD104" s="14"/>
      <c r="TPE104" s="14"/>
      <c r="TPF104" s="14"/>
      <c r="TPG104" s="14"/>
      <c r="TPH104" s="36"/>
      <c r="TPI104" s="14"/>
      <c r="TPJ104" s="45"/>
      <c r="TPK104" s="14"/>
      <c r="TPL104" s="14"/>
      <c r="TPM104" s="14"/>
      <c r="TPN104" s="14"/>
      <c r="TPO104" s="14"/>
      <c r="TPP104" s="36"/>
      <c r="TPQ104" s="14"/>
      <c r="TPR104" s="45"/>
      <c r="TPS104" s="14"/>
      <c r="TPT104" s="14"/>
      <c r="TPU104" s="14"/>
      <c r="TPV104" s="14"/>
      <c r="TPW104" s="14"/>
      <c r="TPX104" s="36"/>
      <c r="TPY104" s="14"/>
      <c r="TPZ104" s="45"/>
      <c r="TQA104" s="14"/>
      <c r="TQB104" s="14"/>
      <c r="TQC104" s="14"/>
      <c r="TQD104" s="14"/>
      <c r="TQE104" s="14"/>
      <c r="TQF104" s="36"/>
      <c r="TQG104" s="14"/>
      <c r="TQH104" s="45"/>
      <c r="TQI104" s="14"/>
      <c r="TQJ104" s="14"/>
      <c r="TQK104" s="14"/>
      <c r="TQL104" s="14"/>
      <c r="TQM104" s="14"/>
      <c r="TQN104" s="36"/>
      <c r="TQO104" s="14"/>
      <c r="TQP104" s="45"/>
      <c r="TQQ104" s="14"/>
      <c r="TQR104" s="14"/>
      <c r="TQS104" s="14"/>
      <c r="TQT104" s="14"/>
      <c r="TQU104" s="14"/>
      <c r="TQV104" s="36"/>
      <c r="TQW104" s="14"/>
      <c r="TQX104" s="45"/>
      <c r="TQY104" s="14"/>
      <c r="TQZ104" s="14"/>
      <c r="TRA104" s="14"/>
      <c r="TRB104" s="14"/>
      <c r="TRC104" s="14"/>
      <c r="TRD104" s="36"/>
      <c r="TRE104" s="14"/>
      <c r="TRF104" s="45"/>
      <c r="TRG104" s="14"/>
      <c r="TRH104" s="14"/>
      <c r="TRI104" s="14"/>
      <c r="TRJ104" s="14"/>
      <c r="TRK104" s="14"/>
      <c r="TRL104" s="36"/>
      <c r="TRM104" s="14"/>
      <c r="TRN104" s="45"/>
      <c r="TRO104" s="14"/>
      <c r="TRP104" s="14"/>
      <c r="TRQ104" s="14"/>
      <c r="TRR104" s="14"/>
      <c r="TRS104" s="14"/>
      <c r="TRT104" s="36"/>
      <c r="TRU104" s="14"/>
      <c r="TRV104" s="45"/>
      <c r="TRW104" s="14"/>
      <c r="TRX104" s="14"/>
      <c r="TRY104" s="14"/>
      <c r="TRZ104" s="14"/>
      <c r="TSA104" s="14"/>
      <c r="TSB104" s="36"/>
      <c r="TSC104" s="14"/>
      <c r="TSD104" s="45"/>
      <c r="TSE104" s="14"/>
      <c r="TSF104" s="14"/>
      <c r="TSG104" s="14"/>
      <c r="TSH104" s="14"/>
      <c r="TSI104" s="14"/>
      <c r="TSJ104" s="36"/>
      <c r="TSK104" s="14"/>
      <c r="TSL104" s="45"/>
      <c r="TSM104" s="14"/>
      <c r="TSN104" s="14"/>
      <c r="TSO104" s="14"/>
      <c r="TSP104" s="14"/>
      <c r="TSQ104" s="14"/>
      <c r="TSR104" s="36"/>
      <c r="TSS104" s="14"/>
      <c r="TST104" s="45"/>
      <c r="TSU104" s="14"/>
      <c r="TSV104" s="14"/>
      <c r="TSW104" s="14"/>
      <c r="TSX104" s="14"/>
      <c r="TSY104" s="14"/>
      <c r="TSZ104" s="36"/>
      <c r="TTA104" s="14"/>
      <c r="TTB104" s="45"/>
      <c r="TTC104" s="14"/>
      <c r="TTD104" s="14"/>
      <c r="TTE104" s="14"/>
      <c r="TTF104" s="14"/>
      <c r="TTG104" s="14"/>
      <c r="TTH104" s="36"/>
      <c r="TTI104" s="14"/>
      <c r="TTJ104" s="45"/>
      <c r="TTK104" s="14"/>
      <c r="TTL104" s="14"/>
      <c r="TTM104" s="14"/>
      <c r="TTN104" s="14"/>
      <c r="TTO104" s="14"/>
      <c r="TTP104" s="36"/>
      <c r="TTQ104" s="14"/>
      <c r="TTR104" s="45"/>
      <c r="TTS104" s="14"/>
      <c r="TTT104" s="14"/>
      <c r="TTU104" s="14"/>
      <c r="TTV104" s="14"/>
      <c r="TTW104" s="14"/>
      <c r="TTX104" s="36"/>
      <c r="TTY104" s="14"/>
      <c r="TTZ104" s="45"/>
      <c r="TUA104" s="14"/>
      <c r="TUB104" s="14"/>
      <c r="TUC104" s="14"/>
      <c r="TUD104" s="14"/>
      <c r="TUE104" s="14"/>
      <c r="TUF104" s="36"/>
      <c r="TUG104" s="14"/>
      <c r="TUH104" s="45"/>
      <c r="TUI104" s="14"/>
      <c r="TUJ104" s="14"/>
      <c r="TUK104" s="14"/>
      <c r="TUL104" s="14"/>
      <c r="TUM104" s="14"/>
      <c r="TUN104" s="36"/>
      <c r="TUO104" s="14"/>
      <c r="TUP104" s="45"/>
      <c r="TUQ104" s="14"/>
      <c r="TUR104" s="14"/>
      <c r="TUS104" s="14"/>
      <c r="TUT104" s="14"/>
      <c r="TUU104" s="14"/>
      <c r="TUV104" s="36"/>
      <c r="TUW104" s="14"/>
      <c r="TUX104" s="45"/>
      <c r="TUY104" s="14"/>
      <c r="TUZ104" s="14"/>
      <c r="TVA104" s="14"/>
      <c r="TVB104" s="14"/>
      <c r="TVC104" s="14"/>
      <c r="TVD104" s="36"/>
      <c r="TVE104" s="14"/>
      <c r="TVF104" s="45"/>
      <c r="TVG104" s="14"/>
      <c r="TVH104" s="14"/>
      <c r="TVI104" s="14"/>
      <c r="TVJ104" s="14"/>
      <c r="TVK104" s="14"/>
      <c r="TVL104" s="36"/>
      <c r="TVM104" s="14"/>
      <c r="TVN104" s="45"/>
      <c r="TVO104" s="14"/>
      <c r="TVP104" s="14"/>
      <c r="TVQ104" s="14"/>
      <c r="TVR104" s="14"/>
      <c r="TVS104" s="14"/>
      <c r="TVT104" s="36"/>
      <c r="TVU104" s="14"/>
      <c r="TVV104" s="45"/>
      <c r="TVW104" s="14"/>
      <c r="TVX104" s="14"/>
      <c r="TVY104" s="14"/>
      <c r="TVZ104" s="14"/>
      <c r="TWA104" s="14"/>
      <c r="TWB104" s="36"/>
      <c r="TWC104" s="14"/>
      <c r="TWD104" s="45"/>
      <c r="TWE104" s="14"/>
      <c r="TWF104" s="14"/>
      <c r="TWG104" s="14"/>
      <c r="TWH104" s="14"/>
      <c r="TWI104" s="14"/>
      <c r="TWJ104" s="36"/>
      <c r="TWK104" s="14"/>
      <c r="TWL104" s="45"/>
      <c r="TWM104" s="14"/>
      <c r="TWN104" s="14"/>
      <c r="TWO104" s="14"/>
      <c r="TWP104" s="14"/>
      <c r="TWQ104" s="14"/>
      <c r="TWR104" s="36"/>
      <c r="TWS104" s="14"/>
      <c r="TWT104" s="45"/>
      <c r="TWU104" s="14"/>
      <c r="TWV104" s="14"/>
      <c r="TWW104" s="14"/>
      <c r="TWX104" s="14"/>
      <c r="TWY104" s="14"/>
      <c r="TWZ104" s="36"/>
      <c r="TXA104" s="14"/>
      <c r="TXB104" s="45"/>
      <c r="TXC104" s="14"/>
      <c r="TXD104" s="14"/>
      <c r="TXE104" s="14"/>
      <c r="TXF104" s="14"/>
      <c r="TXG104" s="14"/>
      <c r="TXH104" s="36"/>
      <c r="TXI104" s="14"/>
      <c r="TXJ104" s="45"/>
      <c r="TXK104" s="14"/>
      <c r="TXL104" s="14"/>
      <c r="TXM104" s="14"/>
      <c r="TXN104" s="14"/>
      <c r="TXO104" s="14"/>
      <c r="TXP104" s="36"/>
      <c r="TXQ104" s="14"/>
      <c r="TXR104" s="45"/>
      <c r="TXS104" s="14"/>
      <c r="TXT104" s="14"/>
      <c r="TXU104" s="14"/>
      <c r="TXV104" s="14"/>
      <c r="TXW104" s="14"/>
      <c r="TXX104" s="36"/>
      <c r="TXY104" s="14"/>
      <c r="TXZ104" s="45"/>
      <c r="TYA104" s="14"/>
      <c r="TYB104" s="14"/>
      <c r="TYC104" s="14"/>
      <c r="TYD104" s="14"/>
      <c r="TYE104" s="14"/>
      <c r="TYF104" s="36"/>
      <c r="TYG104" s="14"/>
      <c r="TYH104" s="45"/>
      <c r="TYI104" s="14"/>
      <c r="TYJ104" s="14"/>
      <c r="TYK104" s="14"/>
      <c r="TYL104" s="14"/>
      <c r="TYM104" s="14"/>
      <c r="TYN104" s="36"/>
      <c r="TYO104" s="14"/>
      <c r="TYP104" s="45"/>
      <c r="TYQ104" s="14"/>
      <c r="TYR104" s="14"/>
      <c r="TYS104" s="14"/>
      <c r="TYT104" s="14"/>
      <c r="TYU104" s="14"/>
      <c r="TYV104" s="36"/>
      <c r="TYW104" s="14"/>
      <c r="TYX104" s="45"/>
      <c r="TYY104" s="14"/>
      <c r="TYZ104" s="14"/>
      <c r="TZA104" s="14"/>
      <c r="TZB104" s="14"/>
      <c r="TZC104" s="14"/>
      <c r="TZD104" s="36"/>
      <c r="TZE104" s="14"/>
      <c r="TZF104" s="45"/>
      <c r="TZG104" s="14"/>
      <c r="TZH104" s="14"/>
      <c r="TZI104" s="14"/>
      <c r="TZJ104" s="14"/>
      <c r="TZK104" s="14"/>
      <c r="TZL104" s="36"/>
      <c r="TZM104" s="14"/>
      <c r="TZN104" s="45"/>
      <c r="TZO104" s="14"/>
      <c r="TZP104" s="14"/>
      <c r="TZQ104" s="14"/>
      <c r="TZR104" s="14"/>
      <c r="TZS104" s="14"/>
      <c r="TZT104" s="36"/>
      <c r="TZU104" s="14"/>
      <c r="TZV104" s="45"/>
      <c r="TZW104" s="14"/>
      <c r="TZX104" s="14"/>
      <c r="TZY104" s="14"/>
      <c r="TZZ104" s="14"/>
      <c r="UAA104" s="14"/>
      <c r="UAB104" s="36"/>
      <c r="UAC104" s="14"/>
      <c r="UAD104" s="45"/>
      <c r="UAE104" s="14"/>
      <c r="UAF104" s="14"/>
      <c r="UAG104" s="14"/>
      <c r="UAH104" s="14"/>
      <c r="UAI104" s="14"/>
      <c r="UAJ104" s="36"/>
      <c r="UAK104" s="14"/>
      <c r="UAL104" s="45"/>
      <c r="UAM104" s="14"/>
      <c r="UAN104" s="14"/>
      <c r="UAO104" s="14"/>
      <c r="UAP104" s="14"/>
      <c r="UAQ104" s="14"/>
      <c r="UAR104" s="36"/>
      <c r="UAS104" s="14"/>
      <c r="UAT104" s="45"/>
      <c r="UAU104" s="14"/>
      <c r="UAV104" s="14"/>
      <c r="UAW104" s="14"/>
      <c r="UAX104" s="14"/>
      <c r="UAY104" s="14"/>
      <c r="UAZ104" s="36"/>
      <c r="UBA104" s="14"/>
      <c r="UBB104" s="45"/>
      <c r="UBC104" s="14"/>
      <c r="UBD104" s="14"/>
      <c r="UBE104" s="14"/>
      <c r="UBF104" s="14"/>
      <c r="UBG104" s="14"/>
      <c r="UBH104" s="36"/>
      <c r="UBI104" s="14"/>
      <c r="UBJ104" s="45"/>
      <c r="UBK104" s="14"/>
      <c r="UBL104" s="14"/>
      <c r="UBM104" s="14"/>
      <c r="UBN104" s="14"/>
      <c r="UBO104" s="14"/>
      <c r="UBP104" s="36"/>
      <c r="UBQ104" s="14"/>
      <c r="UBR104" s="45"/>
      <c r="UBS104" s="14"/>
      <c r="UBT104" s="14"/>
      <c r="UBU104" s="14"/>
      <c r="UBV104" s="14"/>
      <c r="UBW104" s="14"/>
      <c r="UBX104" s="36"/>
      <c r="UBY104" s="14"/>
      <c r="UBZ104" s="45"/>
      <c r="UCA104" s="14"/>
      <c r="UCB104" s="14"/>
      <c r="UCC104" s="14"/>
      <c r="UCD104" s="14"/>
      <c r="UCE104" s="14"/>
      <c r="UCF104" s="36"/>
      <c r="UCG104" s="14"/>
      <c r="UCH104" s="45"/>
      <c r="UCI104" s="14"/>
      <c r="UCJ104" s="14"/>
      <c r="UCK104" s="14"/>
      <c r="UCL104" s="14"/>
      <c r="UCM104" s="14"/>
      <c r="UCN104" s="36"/>
      <c r="UCO104" s="14"/>
      <c r="UCP104" s="45"/>
      <c r="UCQ104" s="14"/>
      <c r="UCR104" s="14"/>
      <c r="UCS104" s="14"/>
      <c r="UCT104" s="14"/>
      <c r="UCU104" s="14"/>
      <c r="UCV104" s="36"/>
      <c r="UCW104" s="14"/>
      <c r="UCX104" s="45"/>
      <c r="UCY104" s="14"/>
      <c r="UCZ104" s="14"/>
      <c r="UDA104" s="14"/>
      <c r="UDB104" s="14"/>
      <c r="UDC104" s="14"/>
      <c r="UDD104" s="36"/>
      <c r="UDE104" s="14"/>
      <c r="UDF104" s="45"/>
      <c r="UDG104" s="14"/>
      <c r="UDH104" s="14"/>
      <c r="UDI104" s="14"/>
      <c r="UDJ104" s="14"/>
      <c r="UDK104" s="14"/>
      <c r="UDL104" s="36"/>
      <c r="UDM104" s="14"/>
      <c r="UDN104" s="45"/>
      <c r="UDO104" s="14"/>
      <c r="UDP104" s="14"/>
      <c r="UDQ104" s="14"/>
      <c r="UDR104" s="14"/>
      <c r="UDS104" s="14"/>
      <c r="UDT104" s="36"/>
      <c r="UDU104" s="14"/>
      <c r="UDV104" s="45"/>
      <c r="UDW104" s="14"/>
      <c r="UDX104" s="14"/>
      <c r="UDY104" s="14"/>
      <c r="UDZ104" s="14"/>
      <c r="UEA104" s="14"/>
      <c r="UEB104" s="36"/>
      <c r="UEC104" s="14"/>
      <c r="UED104" s="45"/>
      <c r="UEE104" s="14"/>
      <c r="UEF104" s="14"/>
      <c r="UEG104" s="14"/>
      <c r="UEH104" s="14"/>
      <c r="UEI104" s="14"/>
      <c r="UEJ104" s="36"/>
      <c r="UEK104" s="14"/>
      <c r="UEL104" s="45"/>
      <c r="UEM104" s="14"/>
      <c r="UEN104" s="14"/>
      <c r="UEO104" s="14"/>
      <c r="UEP104" s="14"/>
      <c r="UEQ104" s="14"/>
      <c r="UER104" s="36"/>
      <c r="UES104" s="14"/>
      <c r="UET104" s="45"/>
      <c r="UEU104" s="14"/>
      <c r="UEV104" s="14"/>
      <c r="UEW104" s="14"/>
      <c r="UEX104" s="14"/>
      <c r="UEY104" s="14"/>
      <c r="UEZ104" s="36"/>
      <c r="UFA104" s="14"/>
      <c r="UFB104" s="45"/>
      <c r="UFC104" s="14"/>
      <c r="UFD104" s="14"/>
      <c r="UFE104" s="14"/>
      <c r="UFF104" s="14"/>
      <c r="UFG104" s="14"/>
      <c r="UFH104" s="36"/>
      <c r="UFI104" s="14"/>
      <c r="UFJ104" s="45"/>
      <c r="UFK104" s="14"/>
      <c r="UFL104" s="14"/>
      <c r="UFM104" s="14"/>
      <c r="UFN104" s="14"/>
      <c r="UFO104" s="14"/>
      <c r="UFP104" s="36"/>
      <c r="UFQ104" s="14"/>
      <c r="UFR104" s="45"/>
      <c r="UFS104" s="14"/>
      <c r="UFT104" s="14"/>
      <c r="UFU104" s="14"/>
      <c r="UFV104" s="14"/>
      <c r="UFW104" s="14"/>
      <c r="UFX104" s="36"/>
      <c r="UFY104" s="14"/>
      <c r="UFZ104" s="45"/>
      <c r="UGA104" s="14"/>
      <c r="UGB104" s="14"/>
      <c r="UGC104" s="14"/>
      <c r="UGD104" s="14"/>
      <c r="UGE104" s="14"/>
      <c r="UGF104" s="36"/>
      <c r="UGG104" s="14"/>
      <c r="UGH104" s="45"/>
      <c r="UGI104" s="14"/>
      <c r="UGJ104" s="14"/>
      <c r="UGK104" s="14"/>
      <c r="UGL104" s="14"/>
      <c r="UGM104" s="14"/>
      <c r="UGN104" s="36"/>
      <c r="UGO104" s="14"/>
      <c r="UGP104" s="45"/>
      <c r="UGQ104" s="14"/>
      <c r="UGR104" s="14"/>
      <c r="UGS104" s="14"/>
      <c r="UGT104" s="14"/>
      <c r="UGU104" s="14"/>
      <c r="UGV104" s="36"/>
      <c r="UGW104" s="14"/>
      <c r="UGX104" s="45"/>
      <c r="UGY104" s="14"/>
      <c r="UGZ104" s="14"/>
      <c r="UHA104" s="14"/>
      <c r="UHB104" s="14"/>
      <c r="UHC104" s="14"/>
      <c r="UHD104" s="36"/>
      <c r="UHE104" s="14"/>
      <c r="UHF104" s="45"/>
      <c r="UHG104" s="14"/>
      <c r="UHH104" s="14"/>
      <c r="UHI104" s="14"/>
      <c r="UHJ104" s="14"/>
      <c r="UHK104" s="14"/>
      <c r="UHL104" s="36"/>
      <c r="UHM104" s="14"/>
      <c r="UHN104" s="45"/>
      <c r="UHO104" s="14"/>
      <c r="UHP104" s="14"/>
      <c r="UHQ104" s="14"/>
      <c r="UHR104" s="14"/>
      <c r="UHS104" s="14"/>
      <c r="UHT104" s="36"/>
      <c r="UHU104" s="14"/>
      <c r="UHV104" s="45"/>
      <c r="UHW104" s="14"/>
      <c r="UHX104" s="14"/>
      <c r="UHY104" s="14"/>
      <c r="UHZ104" s="14"/>
      <c r="UIA104" s="14"/>
      <c r="UIB104" s="36"/>
      <c r="UIC104" s="14"/>
      <c r="UID104" s="45"/>
      <c r="UIE104" s="14"/>
      <c r="UIF104" s="14"/>
      <c r="UIG104" s="14"/>
      <c r="UIH104" s="14"/>
      <c r="UII104" s="14"/>
      <c r="UIJ104" s="36"/>
      <c r="UIK104" s="14"/>
      <c r="UIL104" s="45"/>
      <c r="UIM104" s="14"/>
      <c r="UIN104" s="14"/>
      <c r="UIO104" s="14"/>
      <c r="UIP104" s="14"/>
      <c r="UIQ104" s="14"/>
      <c r="UIR104" s="36"/>
      <c r="UIS104" s="14"/>
      <c r="UIT104" s="45"/>
      <c r="UIU104" s="14"/>
      <c r="UIV104" s="14"/>
      <c r="UIW104" s="14"/>
      <c r="UIX104" s="14"/>
      <c r="UIY104" s="14"/>
      <c r="UIZ104" s="36"/>
      <c r="UJA104" s="14"/>
      <c r="UJB104" s="45"/>
      <c r="UJC104" s="14"/>
      <c r="UJD104" s="14"/>
      <c r="UJE104" s="14"/>
      <c r="UJF104" s="14"/>
      <c r="UJG104" s="14"/>
      <c r="UJH104" s="36"/>
      <c r="UJI104" s="14"/>
      <c r="UJJ104" s="45"/>
      <c r="UJK104" s="14"/>
      <c r="UJL104" s="14"/>
      <c r="UJM104" s="14"/>
      <c r="UJN104" s="14"/>
      <c r="UJO104" s="14"/>
      <c r="UJP104" s="36"/>
      <c r="UJQ104" s="14"/>
      <c r="UJR104" s="45"/>
      <c r="UJS104" s="14"/>
      <c r="UJT104" s="14"/>
      <c r="UJU104" s="14"/>
      <c r="UJV104" s="14"/>
      <c r="UJW104" s="14"/>
      <c r="UJX104" s="36"/>
      <c r="UJY104" s="14"/>
      <c r="UJZ104" s="45"/>
      <c r="UKA104" s="14"/>
      <c r="UKB104" s="14"/>
      <c r="UKC104" s="14"/>
      <c r="UKD104" s="14"/>
      <c r="UKE104" s="14"/>
      <c r="UKF104" s="36"/>
      <c r="UKG104" s="14"/>
      <c r="UKH104" s="45"/>
      <c r="UKI104" s="14"/>
      <c r="UKJ104" s="14"/>
      <c r="UKK104" s="14"/>
      <c r="UKL104" s="14"/>
      <c r="UKM104" s="14"/>
      <c r="UKN104" s="36"/>
      <c r="UKO104" s="14"/>
      <c r="UKP104" s="45"/>
      <c r="UKQ104" s="14"/>
      <c r="UKR104" s="14"/>
      <c r="UKS104" s="14"/>
      <c r="UKT104" s="14"/>
      <c r="UKU104" s="14"/>
      <c r="UKV104" s="36"/>
      <c r="UKW104" s="14"/>
      <c r="UKX104" s="45"/>
      <c r="UKY104" s="14"/>
      <c r="UKZ104" s="14"/>
      <c r="ULA104" s="14"/>
      <c r="ULB104" s="14"/>
      <c r="ULC104" s="14"/>
      <c r="ULD104" s="36"/>
      <c r="ULE104" s="14"/>
      <c r="ULF104" s="45"/>
      <c r="ULG104" s="14"/>
      <c r="ULH104" s="14"/>
      <c r="ULI104" s="14"/>
      <c r="ULJ104" s="14"/>
      <c r="ULK104" s="14"/>
      <c r="ULL104" s="36"/>
      <c r="ULM104" s="14"/>
      <c r="ULN104" s="45"/>
      <c r="ULO104" s="14"/>
      <c r="ULP104" s="14"/>
      <c r="ULQ104" s="14"/>
      <c r="ULR104" s="14"/>
      <c r="ULS104" s="14"/>
      <c r="ULT104" s="36"/>
      <c r="ULU104" s="14"/>
      <c r="ULV104" s="45"/>
      <c r="ULW104" s="14"/>
      <c r="ULX104" s="14"/>
      <c r="ULY104" s="14"/>
      <c r="ULZ104" s="14"/>
      <c r="UMA104" s="14"/>
      <c r="UMB104" s="36"/>
      <c r="UMC104" s="14"/>
      <c r="UMD104" s="45"/>
      <c r="UME104" s="14"/>
      <c r="UMF104" s="14"/>
      <c r="UMG104" s="14"/>
      <c r="UMH104" s="14"/>
      <c r="UMI104" s="14"/>
      <c r="UMJ104" s="36"/>
      <c r="UMK104" s="14"/>
      <c r="UML104" s="45"/>
      <c r="UMM104" s="14"/>
      <c r="UMN104" s="14"/>
      <c r="UMO104" s="14"/>
      <c r="UMP104" s="14"/>
      <c r="UMQ104" s="14"/>
      <c r="UMR104" s="36"/>
      <c r="UMS104" s="14"/>
      <c r="UMT104" s="45"/>
      <c r="UMU104" s="14"/>
      <c r="UMV104" s="14"/>
      <c r="UMW104" s="14"/>
      <c r="UMX104" s="14"/>
      <c r="UMY104" s="14"/>
      <c r="UMZ104" s="36"/>
      <c r="UNA104" s="14"/>
      <c r="UNB104" s="45"/>
      <c r="UNC104" s="14"/>
      <c r="UND104" s="14"/>
      <c r="UNE104" s="14"/>
      <c r="UNF104" s="14"/>
      <c r="UNG104" s="14"/>
      <c r="UNH104" s="36"/>
      <c r="UNI104" s="14"/>
      <c r="UNJ104" s="45"/>
      <c r="UNK104" s="14"/>
      <c r="UNL104" s="14"/>
      <c r="UNM104" s="14"/>
      <c r="UNN104" s="14"/>
      <c r="UNO104" s="14"/>
      <c r="UNP104" s="36"/>
      <c r="UNQ104" s="14"/>
      <c r="UNR104" s="45"/>
      <c r="UNS104" s="14"/>
      <c r="UNT104" s="14"/>
      <c r="UNU104" s="14"/>
      <c r="UNV104" s="14"/>
      <c r="UNW104" s="14"/>
      <c r="UNX104" s="36"/>
      <c r="UNY104" s="14"/>
      <c r="UNZ104" s="45"/>
      <c r="UOA104" s="14"/>
      <c r="UOB104" s="14"/>
      <c r="UOC104" s="14"/>
      <c r="UOD104" s="14"/>
      <c r="UOE104" s="14"/>
      <c r="UOF104" s="36"/>
      <c r="UOG104" s="14"/>
      <c r="UOH104" s="45"/>
      <c r="UOI104" s="14"/>
      <c r="UOJ104" s="14"/>
      <c r="UOK104" s="14"/>
      <c r="UOL104" s="14"/>
      <c r="UOM104" s="14"/>
      <c r="UON104" s="36"/>
      <c r="UOO104" s="14"/>
      <c r="UOP104" s="45"/>
      <c r="UOQ104" s="14"/>
      <c r="UOR104" s="14"/>
      <c r="UOS104" s="14"/>
      <c r="UOT104" s="14"/>
      <c r="UOU104" s="14"/>
      <c r="UOV104" s="36"/>
      <c r="UOW104" s="14"/>
      <c r="UOX104" s="45"/>
      <c r="UOY104" s="14"/>
      <c r="UOZ104" s="14"/>
      <c r="UPA104" s="14"/>
      <c r="UPB104" s="14"/>
      <c r="UPC104" s="14"/>
      <c r="UPD104" s="36"/>
      <c r="UPE104" s="14"/>
      <c r="UPF104" s="45"/>
      <c r="UPG104" s="14"/>
      <c r="UPH104" s="14"/>
      <c r="UPI104" s="14"/>
      <c r="UPJ104" s="14"/>
      <c r="UPK104" s="14"/>
      <c r="UPL104" s="36"/>
      <c r="UPM104" s="14"/>
      <c r="UPN104" s="45"/>
      <c r="UPO104" s="14"/>
      <c r="UPP104" s="14"/>
      <c r="UPQ104" s="14"/>
      <c r="UPR104" s="14"/>
      <c r="UPS104" s="14"/>
      <c r="UPT104" s="36"/>
      <c r="UPU104" s="14"/>
      <c r="UPV104" s="45"/>
      <c r="UPW104" s="14"/>
      <c r="UPX104" s="14"/>
      <c r="UPY104" s="14"/>
      <c r="UPZ104" s="14"/>
      <c r="UQA104" s="14"/>
      <c r="UQB104" s="36"/>
      <c r="UQC104" s="14"/>
      <c r="UQD104" s="45"/>
      <c r="UQE104" s="14"/>
      <c r="UQF104" s="14"/>
      <c r="UQG104" s="14"/>
      <c r="UQH104" s="14"/>
      <c r="UQI104" s="14"/>
      <c r="UQJ104" s="36"/>
      <c r="UQK104" s="14"/>
      <c r="UQL104" s="45"/>
      <c r="UQM104" s="14"/>
      <c r="UQN104" s="14"/>
      <c r="UQO104" s="14"/>
      <c r="UQP104" s="14"/>
      <c r="UQQ104" s="14"/>
      <c r="UQR104" s="36"/>
      <c r="UQS104" s="14"/>
      <c r="UQT104" s="45"/>
      <c r="UQU104" s="14"/>
      <c r="UQV104" s="14"/>
      <c r="UQW104" s="14"/>
      <c r="UQX104" s="14"/>
      <c r="UQY104" s="14"/>
      <c r="UQZ104" s="36"/>
      <c r="URA104" s="14"/>
      <c r="URB104" s="45"/>
      <c r="URC104" s="14"/>
      <c r="URD104" s="14"/>
      <c r="URE104" s="14"/>
      <c r="URF104" s="14"/>
      <c r="URG104" s="14"/>
      <c r="URH104" s="36"/>
      <c r="URI104" s="14"/>
      <c r="URJ104" s="45"/>
      <c r="URK104" s="14"/>
      <c r="URL104" s="14"/>
      <c r="URM104" s="14"/>
      <c r="URN104" s="14"/>
      <c r="URO104" s="14"/>
      <c r="URP104" s="36"/>
      <c r="URQ104" s="14"/>
      <c r="URR104" s="45"/>
      <c r="URS104" s="14"/>
      <c r="URT104" s="14"/>
      <c r="URU104" s="14"/>
      <c r="URV104" s="14"/>
      <c r="URW104" s="14"/>
      <c r="URX104" s="36"/>
      <c r="URY104" s="14"/>
      <c r="URZ104" s="45"/>
      <c r="USA104" s="14"/>
      <c r="USB104" s="14"/>
      <c r="USC104" s="14"/>
      <c r="USD104" s="14"/>
      <c r="USE104" s="14"/>
      <c r="USF104" s="36"/>
      <c r="USG104" s="14"/>
      <c r="USH104" s="45"/>
      <c r="USI104" s="14"/>
      <c r="USJ104" s="14"/>
      <c r="USK104" s="14"/>
      <c r="USL104" s="14"/>
      <c r="USM104" s="14"/>
      <c r="USN104" s="36"/>
      <c r="USO104" s="14"/>
      <c r="USP104" s="45"/>
      <c r="USQ104" s="14"/>
      <c r="USR104" s="14"/>
      <c r="USS104" s="14"/>
      <c r="UST104" s="14"/>
      <c r="USU104" s="14"/>
      <c r="USV104" s="36"/>
      <c r="USW104" s="14"/>
      <c r="USX104" s="45"/>
      <c r="USY104" s="14"/>
      <c r="USZ104" s="14"/>
      <c r="UTA104" s="14"/>
      <c r="UTB104" s="14"/>
      <c r="UTC104" s="14"/>
      <c r="UTD104" s="36"/>
      <c r="UTE104" s="14"/>
      <c r="UTF104" s="45"/>
      <c r="UTG104" s="14"/>
      <c r="UTH104" s="14"/>
      <c r="UTI104" s="14"/>
      <c r="UTJ104" s="14"/>
      <c r="UTK104" s="14"/>
      <c r="UTL104" s="36"/>
      <c r="UTM104" s="14"/>
      <c r="UTN104" s="45"/>
      <c r="UTO104" s="14"/>
      <c r="UTP104" s="14"/>
      <c r="UTQ104" s="14"/>
      <c r="UTR104" s="14"/>
      <c r="UTS104" s="14"/>
      <c r="UTT104" s="36"/>
      <c r="UTU104" s="14"/>
      <c r="UTV104" s="45"/>
      <c r="UTW104" s="14"/>
      <c r="UTX104" s="14"/>
      <c r="UTY104" s="14"/>
      <c r="UTZ104" s="14"/>
      <c r="UUA104" s="14"/>
      <c r="UUB104" s="36"/>
      <c r="UUC104" s="14"/>
      <c r="UUD104" s="45"/>
      <c r="UUE104" s="14"/>
      <c r="UUF104" s="14"/>
      <c r="UUG104" s="14"/>
      <c r="UUH104" s="14"/>
      <c r="UUI104" s="14"/>
      <c r="UUJ104" s="36"/>
      <c r="UUK104" s="14"/>
      <c r="UUL104" s="45"/>
      <c r="UUM104" s="14"/>
      <c r="UUN104" s="14"/>
      <c r="UUO104" s="14"/>
      <c r="UUP104" s="14"/>
      <c r="UUQ104" s="14"/>
      <c r="UUR104" s="36"/>
      <c r="UUS104" s="14"/>
      <c r="UUT104" s="45"/>
      <c r="UUU104" s="14"/>
      <c r="UUV104" s="14"/>
      <c r="UUW104" s="14"/>
      <c r="UUX104" s="14"/>
      <c r="UUY104" s="14"/>
      <c r="UUZ104" s="36"/>
      <c r="UVA104" s="14"/>
      <c r="UVB104" s="45"/>
      <c r="UVC104" s="14"/>
      <c r="UVD104" s="14"/>
      <c r="UVE104" s="14"/>
      <c r="UVF104" s="14"/>
      <c r="UVG104" s="14"/>
      <c r="UVH104" s="36"/>
      <c r="UVI104" s="14"/>
      <c r="UVJ104" s="45"/>
      <c r="UVK104" s="14"/>
      <c r="UVL104" s="14"/>
      <c r="UVM104" s="14"/>
      <c r="UVN104" s="14"/>
      <c r="UVO104" s="14"/>
      <c r="UVP104" s="36"/>
      <c r="UVQ104" s="14"/>
      <c r="UVR104" s="45"/>
      <c r="UVS104" s="14"/>
      <c r="UVT104" s="14"/>
      <c r="UVU104" s="14"/>
      <c r="UVV104" s="14"/>
      <c r="UVW104" s="14"/>
      <c r="UVX104" s="36"/>
      <c r="UVY104" s="14"/>
      <c r="UVZ104" s="45"/>
      <c r="UWA104" s="14"/>
      <c r="UWB104" s="14"/>
      <c r="UWC104" s="14"/>
      <c r="UWD104" s="14"/>
      <c r="UWE104" s="14"/>
      <c r="UWF104" s="36"/>
      <c r="UWG104" s="14"/>
      <c r="UWH104" s="45"/>
      <c r="UWI104" s="14"/>
      <c r="UWJ104" s="14"/>
      <c r="UWK104" s="14"/>
      <c r="UWL104" s="14"/>
      <c r="UWM104" s="14"/>
      <c r="UWN104" s="36"/>
      <c r="UWO104" s="14"/>
      <c r="UWP104" s="45"/>
      <c r="UWQ104" s="14"/>
      <c r="UWR104" s="14"/>
      <c r="UWS104" s="14"/>
      <c r="UWT104" s="14"/>
      <c r="UWU104" s="14"/>
      <c r="UWV104" s="36"/>
      <c r="UWW104" s="14"/>
      <c r="UWX104" s="45"/>
      <c r="UWY104" s="14"/>
      <c r="UWZ104" s="14"/>
      <c r="UXA104" s="14"/>
      <c r="UXB104" s="14"/>
      <c r="UXC104" s="14"/>
      <c r="UXD104" s="36"/>
      <c r="UXE104" s="14"/>
      <c r="UXF104" s="45"/>
      <c r="UXG104" s="14"/>
      <c r="UXH104" s="14"/>
      <c r="UXI104" s="14"/>
      <c r="UXJ104" s="14"/>
      <c r="UXK104" s="14"/>
      <c r="UXL104" s="36"/>
      <c r="UXM104" s="14"/>
      <c r="UXN104" s="45"/>
      <c r="UXO104" s="14"/>
      <c r="UXP104" s="14"/>
      <c r="UXQ104" s="14"/>
      <c r="UXR104" s="14"/>
      <c r="UXS104" s="14"/>
      <c r="UXT104" s="36"/>
      <c r="UXU104" s="14"/>
      <c r="UXV104" s="45"/>
      <c r="UXW104" s="14"/>
      <c r="UXX104" s="14"/>
      <c r="UXY104" s="14"/>
      <c r="UXZ104" s="14"/>
      <c r="UYA104" s="14"/>
      <c r="UYB104" s="36"/>
      <c r="UYC104" s="14"/>
      <c r="UYD104" s="45"/>
      <c r="UYE104" s="14"/>
      <c r="UYF104" s="14"/>
      <c r="UYG104" s="14"/>
      <c r="UYH104" s="14"/>
      <c r="UYI104" s="14"/>
      <c r="UYJ104" s="36"/>
      <c r="UYK104" s="14"/>
      <c r="UYL104" s="45"/>
      <c r="UYM104" s="14"/>
      <c r="UYN104" s="14"/>
      <c r="UYO104" s="14"/>
      <c r="UYP104" s="14"/>
      <c r="UYQ104" s="14"/>
      <c r="UYR104" s="36"/>
      <c r="UYS104" s="14"/>
      <c r="UYT104" s="45"/>
      <c r="UYU104" s="14"/>
      <c r="UYV104" s="14"/>
      <c r="UYW104" s="14"/>
      <c r="UYX104" s="14"/>
      <c r="UYY104" s="14"/>
      <c r="UYZ104" s="36"/>
      <c r="UZA104" s="14"/>
      <c r="UZB104" s="45"/>
      <c r="UZC104" s="14"/>
      <c r="UZD104" s="14"/>
      <c r="UZE104" s="14"/>
      <c r="UZF104" s="14"/>
      <c r="UZG104" s="14"/>
      <c r="UZH104" s="36"/>
      <c r="UZI104" s="14"/>
      <c r="UZJ104" s="45"/>
      <c r="UZK104" s="14"/>
      <c r="UZL104" s="14"/>
      <c r="UZM104" s="14"/>
      <c r="UZN104" s="14"/>
      <c r="UZO104" s="14"/>
      <c r="UZP104" s="36"/>
      <c r="UZQ104" s="14"/>
      <c r="UZR104" s="45"/>
      <c r="UZS104" s="14"/>
      <c r="UZT104" s="14"/>
      <c r="UZU104" s="14"/>
      <c r="UZV104" s="14"/>
      <c r="UZW104" s="14"/>
      <c r="UZX104" s="36"/>
      <c r="UZY104" s="14"/>
      <c r="UZZ104" s="45"/>
      <c r="VAA104" s="14"/>
      <c r="VAB104" s="14"/>
      <c r="VAC104" s="14"/>
      <c r="VAD104" s="14"/>
      <c r="VAE104" s="14"/>
      <c r="VAF104" s="36"/>
      <c r="VAG104" s="14"/>
      <c r="VAH104" s="45"/>
      <c r="VAI104" s="14"/>
      <c r="VAJ104" s="14"/>
      <c r="VAK104" s="14"/>
      <c r="VAL104" s="14"/>
      <c r="VAM104" s="14"/>
      <c r="VAN104" s="36"/>
      <c r="VAO104" s="14"/>
      <c r="VAP104" s="45"/>
      <c r="VAQ104" s="14"/>
      <c r="VAR104" s="14"/>
      <c r="VAS104" s="14"/>
      <c r="VAT104" s="14"/>
      <c r="VAU104" s="14"/>
      <c r="VAV104" s="36"/>
      <c r="VAW104" s="14"/>
      <c r="VAX104" s="45"/>
      <c r="VAY104" s="14"/>
      <c r="VAZ104" s="14"/>
      <c r="VBA104" s="14"/>
      <c r="VBB104" s="14"/>
      <c r="VBC104" s="14"/>
      <c r="VBD104" s="36"/>
      <c r="VBE104" s="14"/>
      <c r="VBF104" s="45"/>
      <c r="VBG104" s="14"/>
      <c r="VBH104" s="14"/>
      <c r="VBI104" s="14"/>
      <c r="VBJ104" s="14"/>
      <c r="VBK104" s="14"/>
      <c r="VBL104" s="36"/>
      <c r="VBM104" s="14"/>
      <c r="VBN104" s="45"/>
      <c r="VBO104" s="14"/>
      <c r="VBP104" s="14"/>
      <c r="VBQ104" s="14"/>
      <c r="VBR104" s="14"/>
      <c r="VBS104" s="14"/>
      <c r="VBT104" s="36"/>
      <c r="VBU104" s="14"/>
      <c r="VBV104" s="45"/>
      <c r="VBW104" s="14"/>
      <c r="VBX104" s="14"/>
      <c r="VBY104" s="14"/>
      <c r="VBZ104" s="14"/>
      <c r="VCA104" s="14"/>
      <c r="VCB104" s="36"/>
      <c r="VCC104" s="14"/>
      <c r="VCD104" s="45"/>
      <c r="VCE104" s="14"/>
      <c r="VCF104" s="14"/>
      <c r="VCG104" s="14"/>
      <c r="VCH104" s="14"/>
      <c r="VCI104" s="14"/>
      <c r="VCJ104" s="36"/>
      <c r="VCK104" s="14"/>
      <c r="VCL104" s="45"/>
      <c r="VCM104" s="14"/>
      <c r="VCN104" s="14"/>
      <c r="VCO104" s="14"/>
      <c r="VCP104" s="14"/>
      <c r="VCQ104" s="14"/>
      <c r="VCR104" s="36"/>
      <c r="VCS104" s="14"/>
      <c r="VCT104" s="45"/>
      <c r="VCU104" s="14"/>
      <c r="VCV104" s="14"/>
      <c r="VCW104" s="14"/>
      <c r="VCX104" s="14"/>
      <c r="VCY104" s="14"/>
      <c r="VCZ104" s="36"/>
      <c r="VDA104" s="14"/>
      <c r="VDB104" s="45"/>
      <c r="VDC104" s="14"/>
      <c r="VDD104" s="14"/>
      <c r="VDE104" s="14"/>
      <c r="VDF104" s="14"/>
      <c r="VDG104" s="14"/>
      <c r="VDH104" s="36"/>
      <c r="VDI104" s="14"/>
      <c r="VDJ104" s="45"/>
      <c r="VDK104" s="14"/>
      <c r="VDL104" s="14"/>
      <c r="VDM104" s="14"/>
      <c r="VDN104" s="14"/>
      <c r="VDO104" s="14"/>
      <c r="VDP104" s="36"/>
      <c r="VDQ104" s="14"/>
      <c r="VDR104" s="45"/>
      <c r="VDS104" s="14"/>
      <c r="VDT104" s="14"/>
      <c r="VDU104" s="14"/>
      <c r="VDV104" s="14"/>
      <c r="VDW104" s="14"/>
      <c r="VDX104" s="36"/>
      <c r="VDY104" s="14"/>
      <c r="VDZ104" s="45"/>
      <c r="VEA104" s="14"/>
      <c r="VEB104" s="14"/>
      <c r="VEC104" s="14"/>
      <c r="VED104" s="14"/>
      <c r="VEE104" s="14"/>
      <c r="VEF104" s="36"/>
      <c r="VEG104" s="14"/>
      <c r="VEH104" s="45"/>
      <c r="VEI104" s="14"/>
      <c r="VEJ104" s="14"/>
      <c r="VEK104" s="14"/>
      <c r="VEL104" s="14"/>
      <c r="VEM104" s="14"/>
      <c r="VEN104" s="36"/>
      <c r="VEO104" s="14"/>
      <c r="VEP104" s="45"/>
      <c r="VEQ104" s="14"/>
      <c r="VER104" s="14"/>
      <c r="VES104" s="14"/>
      <c r="VET104" s="14"/>
      <c r="VEU104" s="14"/>
      <c r="VEV104" s="36"/>
      <c r="VEW104" s="14"/>
      <c r="VEX104" s="45"/>
      <c r="VEY104" s="14"/>
      <c r="VEZ104" s="14"/>
      <c r="VFA104" s="14"/>
      <c r="VFB104" s="14"/>
      <c r="VFC104" s="14"/>
      <c r="VFD104" s="36"/>
      <c r="VFE104" s="14"/>
      <c r="VFF104" s="45"/>
      <c r="VFG104" s="14"/>
      <c r="VFH104" s="14"/>
      <c r="VFI104" s="14"/>
      <c r="VFJ104" s="14"/>
      <c r="VFK104" s="14"/>
      <c r="VFL104" s="36"/>
      <c r="VFM104" s="14"/>
      <c r="VFN104" s="45"/>
      <c r="VFO104" s="14"/>
      <c r="VFP104" s="14"/>
      <c r="VFQ104" s="14"/>
      <c r="VFR104" s="14"/>
      <c r="VFS104" s="14"/>
      <c r="VFT104" s="36"/>
      <c r="VFU104" s="14"/>
      <c r="VFV104" s="45"/>
      <c r="VFW104" s="14"/>
      <c r="VFX104" s="14"/>
      <c r="VFY104" s="14"/>
      <c r="VFZ104" s="14"/>
      <c r="VGA104" s="14"/>
      <c r="VGB104" s="36"/>
      <c r="VGC104" s="14"/>
      <c r="VGD104" s="45"/>
      <c r="VGE104" s="14"/>
      <c r="VGF104" s="14"/>
      <c r="VGG104" s="14"/>
      <c r="VGH104" s="14"/>
      <c r="VGI104" s="14"/>
      <c r="VGJ104" s="36"/>
      <c r="VGK104" s="14"/>
      <c r="VGL104" s="45"/>
      <c r="VGM104" s="14"/>
      <c r="VGN104" s="14"/>
      <c r="VGO104" s="14"/>
      <c r="VGP104" s="14"/>
      <c r="VGQ104" s="14"/>
      <c r="VGR104" s="36"/>
      <c r="VGS104" s="14"/>
      <c r="VGT104" s="45"/>
      <c r="VGU104" s="14"/>
      <c r="VGV104" s="14"/>
      <c r="VGW104" s="14"/>
      <c r="VGX104" s="14"/>
      <c r="VGY104" s="14"/>
      <c r="VGZ104" s="36"/>
      <c r="VHA104" s="14"/>
      <c r="VHB104" s="45"/>
      <c r="VHC104" s="14"/>
      <c r="VHD104" s="14"/>
      <c r="VHE104" s="14"/>
      <c r="VHF104" s="14"/>
      <c r="VHG104" s="14"/>
      <c r="VHH104" s="36"/>
      <c r="VHI104" s="14"/>
      <c r="VHJ104" s="45"/>
      <c r="VHK104" s="14"/>
      <c r="VHL104" s="14"/>
      <c r="VHM104" s="14"/>
      <c r="VHN104" s="14"/>
      <c r="VHO104" s="14"/>
      <c r="VHP104" s="36"/>
      <c r="VHQ104" s="14"/>
      <c r="VHR104" s="45"/>
      <c r="VHS104" s="14"/>
      <c r="VHT104" s="14"/>
      <c r="VHU104" s="14"/>
      <c r="VHV104" s="14"/>
      <c r="VHW104" s="14"/>
      <c r="VHX104" s="36"/>
      <c r="VHY104" s="14"/>
      <c r="VHZ104" s="45"/>
      <c r="VIA104" s="14"/>
      <c r="VIB104" s="14"/>
      <c r="VIC104" s="14"/>
      <c r="VID104" s="14"/>
      <c r="VIE104" s="14"/>
      <c r="VIF104" s="36"/>
      <c r="VIG104" s="14"/>
      <c r="VIH104" s="45"/>
      <c r="VII104" s="14"/>
      <c r="VIJ104" s="14"/>
      <c r="VIK104" s="14"/>
      <c r="VIL104" s="14"/>
      <c r="VIM104" s="14"/>
      <c r="VIN104" s="36"/>
      <c r="VIO104" s="14"/>
      <c r="VIP104" s="45"/>
      <c r="VIQ104" s="14"/>
      <c r="VIR104" s="14"/>
      <c r="VIS104" s="14"/>
      <c r="VIT104" s="14"/>
      <c r="VIU104" s="14"/>
      <c r="VIV104" s="36"/>
      <c r="VIW104" s="14"/>
      <c r="VIX104" s="45"/>
      <c r="VIY104" s="14"/>
      <c r="VIZ104" s="14"/>
      <c r="VJA104" s="14"/>
      <c r="VJB104" s="14"/>
      <c r="VJC104" s="14"/>
      <c r="VJD104" s="36"/>
      <c r="VJE104" s="14"/>
      <c r="VJF104" s="45"/>
      <c r="VJG104" s="14"/>
      <c r="VJH104" s="14"/>
      <c r="VJI104" s="14"/>
      <c r="VJJ104" s="14"/>
      <c r="VJK104" s="14"/>
      <c r="VJL104" s="36"/>
      <c r="VJM104" s="14"/>
      <c r="VJN104" s="45"/>
      <c r="VJO104" s="14"/>
      <c r="VJP104" s="14"/>
      <c r="VJQ104" s="14"/>
      <c r="VJR104" s="14"/>
      <c r="VJS104" s="14"/>
      <c r="VJT104" s="36"/>
      <c r="VJU104" s="14"/>
      <c r="VJV104" s="45"/>
      <c r="VJW104" s="14"/>
      <c r="VJX104" s="14"/>
      <c r="VJY104" s="14"/>
      <c r="VJZ104" s="14"/>
      <c r="VKA104" s="14"/>
      <c r="VKB104" s="36"/>
      <c r="VKC104" s="14"/>
      <c r="VKD104" s="45"/>
      <c r="VKE104" s="14"/>
      <c r="VKF104" s="14"/>
      <c r="VKG104" s="14"/>
      <c r="VKH104" s="14"/>
      <c r="VKI104" s="14"/>
      <c r="VKJ104" s="36"/>
      <c r="VKK104" s="14"/>
      <c r="VKL104" s="45"/>
      <c r="VKM104" s="14"/>
      <c r="VKN104" s="14"/>
      <c r="VKO104" s="14"/>
      <c r="VKP104" s="14"/>
      <c r="VKQ104" s="14"/>
      <c r="VKR104" s="36"/>
      <c r="VKS104" s="14"/>
      <c r="VKT104" s="45"/>
      <c r="VKU104" s="14"/>
      <c r="VKV104" s="14"/>
      <c r="VKW104" s="14"/>
      <c r="VKX104" s="14"/>
      <c r="VKY104" s="14"/>
      <c r="VKZ104" s="36"/>
      <c r="VLA104" s="14"/>
      <c r="VLB104" s="45"/>
      <c r="VLC104" s="14"/>
      <c r="VLD104" s="14"/>
      <c r="VLE104" s="14"/>
      <c r="VLF104" s="14"/>
      <c r="VLG104" s="14"/>
      <c r="VLH104" s="36"/>
      <c r="VLI104" s="14"/>
      <c r="VLJ104" s="45"/>
      <c r="VLK104" s="14"/>
      <c r="VLL104" s="14"/>
      <c r="VLM104" s="14"/>
      <c r="VLN104" s="14"/>
      <c r="VLO104" s="14"/>
      <c r="VLP104" s="36"/>
      <c r="VLQ104" s="14"/>
      <c r="VLR104" s="45"/>
      <c r="VLS104" s="14"/>
      <c r="VLT104" s="14"/>
      <c r="VLU104" s="14"/>
      <c r="VLV104" s="14"/>
      <c r="VLW104" s="14"/>
      <c r="VLX104" s="36"/>
      <c r="VLY104" s="14"/>
      <c r="VLZ104" s="45"/>
      <c r="VMA104" s="14"/>
      <c r="VMB104" s="14"/>
      <c r="VMC104" s="14"/>
      <c r="VMD104" s="14"/>
      <c r="VME104" s="14"/>
      <c r="VMF104" s="36"/>
      <c r="VMG104" s="14"/>
      <c r="VMH104" s="45"/>
      <c r="VMI104" s="14"/>
      <c r="VMJ104" s="14"/>
      <c r="VMK104" s="14"/>
      <c r="VML104" s="14"/>
      <c r="VMM104" s="14"/>
      <c r="VMN104" s="36"/>
      <c r="VMO104" s="14"/>
      <c r="VMP104" s="45"/>
      <c r="VMQ104" s="14"/>
      <c r="VMR104" s="14"/>
      <c r="VMS104" s="14"/>
      <c r="VMT104" s="14"/>
      <c r="VMU104" s="14"/>
      <c r="VMV104" s="36"/>
      <c r="VMW104" s="14"/>
      <c r="VMX104" s="45"/>
      <c r="VMY104" s="14"/>
      <c r="VMZ104" s="14"/>
      <c r="VNA104" s="14"/>
      <c r="VNB104" s="14"/>
      <c r="VNC104" s="14"/>
      <c r="VND104" s="36"/>
      <c r="VNE104" s="14"/>
      <c r="VNF104" s="45"/>
      <c r="VNG104" s="14"/>
      <c r="VNH104" s="14"/>
      <c r="VNI104" s="14"/>
      <c r="VNJ104" s="14"/>
      <c r="VNK104" s="14"/>
      <c r="VNL104" s="36"/>
      <c r="VNM104" s="14"/>
      <c r="VNN104" s="45"/>
      <c r="VNO104" s="14"/>
      <c r="VNP104" s="14"/>
      <c r="VNQ104" s="14"/>
      <c r="VNR104" s="14"/>
      <c r="VNS104" s="14"/>
      <c r="VNT104" s="36"/>
      <c r="VNU104" s="14"/>
      <c r="VNV104" s="45"/>
      <c r="VNW104" s="14"/>
      <c r="VNX104" s="14"/>
      <c r="VNY104" s="14"/>
      <c r="VNZ104" s="14"/>
      <c r="VOA104" s="14"/>
      <c r="VOB104" s="36"/>
      <c r="VOC104" s="14"/>
      <c r="VOD104" s="45"/>
      <c r="VOE104" s="14"/>
      <c r="VOF104" s="14"/>
      <c r="VOG104" s="14"/>
      <c r="VOH104" s="14"/>
      <c r="VOI104" s="14"/>
      <c r="VOJ104" s="36"/>
      <c r="VOK104" s="14"/>
      <c r="VOL104" s="45"/>
      <c r="VOM104" s="14"/>
      <c r="VON104" s="14"/>
      <c r="VOO104" s="14"/>
      <c r="VOP104" s="14"/>
      <c r="VOQ104" s="14"/>
      <c r="VOR104" s="36"/>
      <c r="VOS104" s="14"/>
      <c r="VOT104" s="45"/>
      <c r="VOU104" s="14"/>
      <c r="VOV104" s="14"/>
      <c r="VOW104" s="14"/>
      <c r="VOX104" s="14"/>
      <c r="VOY104" s="14"/>
      <c r="VOZ104" s="36"/>
      <c r="VPA104" s="14"/>
      <c r="VPB104" s="45"/>
      <c r="VPC104" s="14"/>
      <c r="VPD104" s="14"/>
      <c r="VPE104" s="14"/>
      <c r="VPF104" s="14"/>
      <c r="VPG104" s="14"/>
      <c r="VPH104" s="36"/>
      <c r="VPI104" s="14"/>
      <c r="VPJ104" s="45"/>
      <c r="VPK104" s="14"/>
      <c r="VPL104" s="14"/>
      <c r="VPM104" s="14"/>
      <c r="VPN104" s="14"/>
      <c r="VPO104" s="14"/>
      <c r="VPP104" s="36"/>
      <c r="VPQ104" s="14"/>
      <c r="VPR104" s="45"/>
      <c r="VPS104" s="14"/>
      <c r="VPT104" s="14"/>
      <c r="VPU104" s="14"/>
      <c r="VPV104" s="14"/>
      <c r="VPW104" s="14"/>
      <c r="VPX104" s="36"/>
      <c r="VPY104" s="14"/>
      <c r="VPZ104" s="45"/>
      <c r="VQA104" s="14"/>
      <c r="VQB104" s="14"/>
      <c r="VQC104" s="14"/>
      <c r="VQD104" s="14"/>
      <c r="VQE104" s="14"/>
      <c r="VQF104" s="36"/>
      <c r="VQG104" s="14"/>
      <c r="VQH104" s="45"/>
      <c r="VQI104" s="14"/>
      <c r="VQJ104" s="14"/>
      <c r="VQK104" s="14"/>
      <c r="VQL104" s="14"/>
      <c r="VQM104" s="14"/>
      <c r="VQN104" s="36"/>
      <c r="VQO104" s="14"/>
      <c r="VQP104" s="45"/>
      <c r="VQQ104" s="14"/>
      <c r="VQR104" s="14"/>
      <c r="VQS104" s="14"/>
      <c r="VQT104" s="14"/>
      <c r="VQU104" s="14"/>
      <c r="VQV104" s="36"/>
      <c r="VQW104" s="14"/>
      <c r="VQX104" s="45"/>
      <c r="VQY104" s="14"/>
      <c r="VQZ104" s="14"/>
      <c r="VRA104" s="14"/>
      <c r="VRB104" s="14"/>
      <c r="VRC104" s="14"/>
      <c r="VRD104" s="36"/>
      <c r="VRE104" s="14"/>
      <c r="VRF104" s="45"/>
      <c r="VRG104" s="14"/>
      <c r="VRH104" s="14"/>
      <c r="VRI104" s="14"/>
      <c r="VRJ104" s="14"/>
      <c r="VRK104" s="14"/>
      <c r="VRL104" s="36"/>
      <c r="VRM104" s="14"/>
      <c r="VRN104" s="45"/>
      <c r="VRO104" s="14"/>
      <c r="VRP104" s="14"/>
      <c r="VRQ104" s="14"/>
      <c r="VRR104" s="14"/>
      <c r="VRS104" s="14"/>
      <c r="VRT104" s="36"/>
      <c r="VRU104" s="14"/>
      <c r="VRV104" s="45"/>
      <c r="VRW104" s="14"/>
      <c r="VRX104" s="14"/>
      <c r="VRY104" s="14"/>
      <c r="VRZ104" s="14"/>
      <c r="VSA104" s="14"/>
      <c r="VSB104" s="36"/>
      <c r="VSC104" s="14"/>
      <c r="VSD104" s="45"/>
      <c r="VSE104" s="14"/>
      <c r="VSF104" s="14"/>
      <c r="VSG104" s="14"/>
      <c r="VSH104" s="14"/>
      <c r="VSI104" s="14"/>
      <c r="VSJ104" s="36"/>
      <c r="VSK104" s="14"/>
      <c r="VSL104" s="45"/>
      <c r="VSM104" s="14"/>
      <c r="VSN104" s="14"/>
      <c r="VSO104" s="14"/>
      <c r="VSP104" s="14"/>
      <c r="VSQ104" s="14"/>
      <c r="VSR104" s="36"/>
      <c r="VSS104" s="14"/>
      <c r="VST104" s="45"/>
      <c r="VSU104" s="14"/>
      <c r="VSV104" s="14"/>
      <c r="VSW104" s="14"/>
      <c r="VSX104" s="14"/>
      <c r="VSY104" s="14"/>
      <c r="VSZ104" s="36"/>
      <c r="VTA104" s="14"/>
      <c r="VTB104" s="45"/>
      <c r="VTC104" s="14"/>
      <c r="VTD104" s="14"/>
      <c r="VTE104" s="14"/>
      <c r="VTF104" s="14"/>
      <c r="VTG104" s="14"/>
      <c r="VTH104" s="36"/>
      <c r="VTI104" s="14"/>
      <c r="VTJ104" s="45"/>
      <c r="VTK104" s="14"/>
      <c r="VTL104" s="14"/>
      <c r="VTM104" s="14"/>
      <c r="VTN104" s="14"/>
      <c r="VTO104" s="14"/>
      <c r="VTP104" s="36"/>
      <c r="VTQ104" s="14"/>
      <c r="VTR104" s="45"/>
      <c r="VTS104" s="14"/>
      <c r="VTT104" s="14"/>
      <c r="VTU104" s="14"/>
      <c r="VTV104" s="14"/>
      <c r="VTW104" s="14"/>
      <c r="VTX104" s="36"/>
      <c r="VTY104" s="14"/>
      <c r="VTZ104" s="45"/>
      <c r="VUA104" s="14"/>
      <c r="VUB104" s="14"/>
      <c r="VUC104" s="14"/>
      <c r="VUD104" s="14"/>
      <c r="VUE104" s="14"/>
      <c r="VUF104" s="36"/>
      <c r="VUG104" s="14"/>
      <c r="VUH104" s="45"/>
      <c r="VUI104" s="14"/>
      <c r="VUJ104" s="14"/>
      <c r="VUK104" s="14"/>
      <c r="VUL104" s="14"/>
      <c r="VUM104" s="14"/>
      <c r="VUN104" s="36"/>
      <c r="VUO104" s="14"/>
      <c r="VUP104" s="45"/>
      <c r="VUQ104" s="14"/>
      <c r="VUR104" s="14"/>
      <c r="VUS104" s="14"/>
      <c r="VUT104" s="14"/>
      <c r="VUU104" s="14"/>
      <c r="VUV104" s="36"/>
      <c r="VUW104" s="14"/>
      <c r="VUX104" s="45"/>
      <c r="VUY104" s="14"/>
      <c r="VUZ104" s="14"/>
      <c r="VVA104" s="14"/>
      <c r="VVB104" s="14"/>
      <c r="VVC104" s="14"/>
      <c r="VVD104" s="36"/>
      <c r="VVE104" s="14"/>
      <c r="VVF104" s="45"/>
      <c r="VVG104" s="14"/>
      <c r="VVH104" s="14"/>
      <c r="VVI104" s="14"/>
      <c r="VVJ104" s="14"/>
      <c r="VVK104" s="14"/>
      <c r="VVL104" s="36"/>
      <c r="VVM104" s="14"/>
      <c r="VVN104" s="45"/>
      <c r="VVO104" s="14"/>
      <c r="VVP104" s="14"/>
      <c r="VVQ104" s="14"/>
      <c r="VVR104" s="14"/>
      <c r="VVS104" s="14"/>
      <c r="VVT104" s="36"/>
      <c r="VVU104" s="14"/>
      <c r="VVV104" s="45"/>
      <c r="VVW104" s="14"/>
      <c r="VVX104" s="14"/>
      <c r="VVY104" s="14"/>
      <c r="VVZ104" s="14"/>
      <c r="VWA104" s="14"/>
      <c r="VWB104" s="36"/>
      <c r="VWC104" s="14"/>
      <c r="VWD104" s="45"/>
      <c r="VWE104" s="14"/>
      <c r="VWF104" s="14"/>
      <c r="VWG104" s="14"/>
      <c r="VWH104" s="14"/>
      <c r="VWI104" s="14"/>
      <c r="VWJ104" s="36"/>
      <c r="VWK104" s="14"/>
      <c r="VWL104" s="45"/>
      <c r="VWM104" s="14"/>
      <c r="VWN104" s="14"/>
      <c r="VWO104" s="14"/>
      <c r="VWP104" s="14"/>
      <c r="VWQ104" s="14"/>
      <c r="VWR104" s="36"/>
      <c r="VWS104" s="14"/>
      <c r="VWT104" s="45"/>
      <c r="VWU104" s="14"/>
      <c r="VWV104" s="14"/>
      <c r="VWW104" s="14"/>
      <c r="VWX104" s="14"/>
      <c r="VWY104" s="14"/>
      <c r="VWZ104" s="36"/>
      <c r="VXA104" s="14"/>
      <c r="VXB104" s="45"/>
      <c r="VXC104" s="14"/>
      <c r="VXD104" s="14"/>
      <c r="VXE104" s="14"/>
      <c r="VXF104" s="14"/>
      <c r="VXG104" s="14"/>
      <c r="VXH104" s="36"/>
      <c r="VXI104" s="14"/>
      <c r="VXJ104" s="45"/>
      <c r="VXK104" s="14"/>
      <c r="VXL104" s="14"/>
      <c r="VXM104" s="14"/>
      <c r="VXN104" s="14"/>
      <c r="VXO104" s="14"/>
      <c r="VXP104" s="36"/>
      <c r="VXQ104" s="14"/>
      <c r="VXR104" s="45"/>
      <c r="VXS104" s="14"/>
      <c r="VXT104" s="14"/>
      <c r="VXU104" s="14"/>
      <c r="VXV104" s="14"/>
      <c r="VXW104" s="14"/>
      <c r="VXX104" s="36"/>
      <c r="VXY104" s="14"/>
      <c r="VXZ104" s="45"/>
      <c r="VYA104" s="14"/>
      <c r="VYB104" s="14"/>
      <c r="VYC104" s="14"/>
      <c r="VYD104" s="14"/>
      <c r="VYE104" s="14"/>
      <c r="VYF104" s="36"/>
      <c r="VYG104" s="14"/>
      <c r="VYH104" s="45"/>
      <c r="VYI104" s="14"/>
      <c r="VYJ104" s="14"/>
      <c r="VYK104" s="14"/>
      <c r="VYL104" s="14"/>
      <c r="VYM104" s="14"/>
      <c r="VYN104" s="36"/>
      <c r="VYO104" s="14"/>
      <c r="VYP104" s="45"/>
      <c r="VYQ104" s="14"/>
      <c r="VYR104" s="14"/>
      <c r="VYS104" s="14"/>
      <c r="VYT104" s="14"/>
      <c r="VYU104" s="14"/>
      <c r="VYV104" s="36"/>
      <c r="VYW104" s="14"/>
      <c r="VYX104" s="45"/>
      <c r="VYY104" s="14"/>
      <c r="VYZ104" s="14"/>
      <c r="VZA104" s="14"/>
      <c r="VZB104" s="14"/>
      <c r="VZC104" s="14"/>
      <c r="VZD104" s="36"/>
      <c r="VZE104" s="14"/>
      <c r="VZF104" s="45"/>
      <c r="VZG104" s="14"/>
      <c r="VZH104" s="14"/>
      <c r="VZI104" s="14"/>
      <c r="VZJ104" s="14"/>
      <c r="VZK104" s="14"/>
      <c r="VZL104" s="36"/>
      <c r="VZM104" s="14"/>
      <c r="VZN104" s="45"/>
      <c r="VZO104" s="14"/>
      <c r="VZP104" s="14"/>
      <c r="VZQ104" s="14"/>
      <c r="VZR104" s="14"/>
      <c r="VZS104" s="14"/>
      <c r="VZT104" s="36"/>
      <c r="VZU104" s="14"/>
      <c r="VZV104" s="45"/>
      <c r="VZW104" s="14"/>
      <c r="VZX104" s="14"/>
      <c r="VZY104" s="14"/>
      <c r="VZZ104" s="14"/>
      <c r="WAA104" s="14"/>
      <c r="WAB104" s="36"/>
      <c r="WAC104" s="14"/>
      <c r="WAD104" s="45"/>
      <c r="WAE104" s="14"/>
      <c r="WAF104" s="14"/>
      <c r="WAG104" s="14"/>
      <c r="WAH104" s="14"/>
      <c r="WAI104" s="14"/>
      <c r="WAJ104" s="36"/>
      <c r="WAK104" s="14"/>
      <c r="WAL104" s="45"/>
      <c r="WAM104" s="14"/>
      <c r="WAN104" s="14"/>
      <c r="WAO104" s="14"/>
      <c r="WAP104" s="14"/>
      <c r="WAQ104" s="14"/>
      <c r="WAR104" s="36"/>
      <c r="WAS104" s="14"/>
      <c r="WAT104" s="45"/>
      <c r="WAU104" s="14"/>
      <c r="WAV104" s="14"/>
      <c r="WAW104" s="14"/>
      <c r="WAX104" s="14"/>
      <c r="WAY104" s="14"/>
      <c r="WAZ104" s="36"/>
      <c r="WBA104" s="14"/>
      <c r="WBB104" s="45"/>
      <c r="WBC104" s="14"/>
      <c r="WBD104" s="14"/>
      <c r="WBE104" s="14"/>
      <c r="WBF104" s="14"/>
      <c r="WBG104" s="14"/>
      <c r="WBH104" s="36"/>
      <c r="WBI104" s="14"/>
      <c r="WBJ104" s="45"/>
      <c r="WBK104" s="14"/>
      <c r="WBL104" s="14"/>
      <c r="WBM104" s="14"/>
      <c r="WBN104" s="14"/>
      <c r="WBO104" s="14"/>
      <c r="WBP104" s="36"/>
      <c r="WBQ104" s="14"/>
      <c r="WBR104" s="45"/>
      <c r="WBS104" s="14"/>
      <c r="WBT104" s="14"/>
      <c r="WBU104" s="14"/>
      <c r="WBV104" s="14"/>
      <c r="WBW104" s="14"/>
      <c r="WBX104" s="36"/>
      <c r="WBY104" s="14"/>
      <c r="WBZ104" s="45"/>
      <c r="WCA104" s="14"/>
      <c r="WCB104" s="14"/>
      <c r="WCC104" s="14"/>
      <c r="WCD104" s="14"/>
      <c r="WCE104" s="14"/>
      <c r="WCF104" s="36"/>
      <c r="WCG104" s="14"/>
      <c r="WCH104" s="45"/>
      <c r="WCI104" s="14"/>
      <c r="WCJ104" s="14"/>
      <c r="WCK104" s="14"/>
      <c r="WCL104" s="14"/>
      <c r="WCM104" s="14"/>
      <c r="WCN104" s="36"/>
      <c r="WCO104" s="14"/>
      <c r="WCP104" s="45"/>
      <c r="WCQ104" s="14"/>
      <c r="WCR104" s="14"/>
      <c r="WCS104" s="14"/>
      <c r="WCT104" s="14"/>
      <c r="WCU104" s="14"/>
      <c r="WCV104" s="36"/>
      <c r="WCW104" s="14"/>
      <c r="WCX104" s="45"/>
      <c r="WCY104" s="14"/>
      <c r="WCZ104" s="14"/>
      <c r="WDA104" s="14"/>
      <c r="WDB104" s="14"/>
      <c r="WDC104" s="14"/>
      <c r="WDD104" s="36"/>
      <c r="WDE104" s="14"/>
      <c r="WDF104" s="45"/>
      <c r="WDG104" s="14"/>
      <c r="WDH104" s="14"/>
      <c r="WDI104" s="14"/>
      <c r="WDJ104" s="14"/>
      <c r="WDK104" s="14"/>
      <c r="WDL104" s="36"/>
      <c r="WDM104" s="14"/>
      <c r="WDN104" s="45"/>
      <c r="WDO104" s="14"/>
      <c r="WDP104" s="14"/>
      <c r="WDQ104" s="14"/>
      <c r="WDR104" s="14"/>
      <c r="WDS104" s="14"/>
      <c r="WDT104" s="36"/>
      <c r="WDU104" s="14"/>
      <c r="WDV104" s="45"/>
      <c r="WDW104" s="14"/>
      <c r="WDX104" s="14"/>
      <c r="WDY104" s="14"/>
      <c r="WDZ104" s="14"/>
      <c r="WEA104" s="14"/>
      <c r="WEB104" s="36"/>
      <c r="WEC104" s="14"/>
      <c r="WED104" s="45"/>
      <c r="WEE104" s="14"/>
      <c r="WEF104" s="14"/>
      <c r="WEG104" s="14"/>
      <c r="WEH104" s="14"/>
      <c r="WEI104" s="14"/>
      <c r="WEJ104" s="36"/>
      <c r="WEK104" s="14"/>
      <c r="WEL104" s="45"/>
      <c r="WEM104" s="14"/>
      <c r="WEN104" s="14"/>
      <c r="WEO104" s="14"/>
      <c r="WEP104" s="14"/>
      <c r="WEQ104" s="14"/>
      <c r="WER104" s="36"/>
      <c r="WES104" s="14"/>
      <c r="WET104" s="45"/>
      <c r="WEU104" s="14"/>
      <c r="WEV104" s="14"/>
      <c r="WEW104" s="14"/>
      <c r="WEX104" s="14"/>
      <c r="WEY104" s="14"/>
      <c r="WEZ104" s="36"/>
      <c r="WFA104" s="14"/>
      <c r="WFB104" s="45"/>
      <c r="WFC104" s="14"/>
      <c r="WFD104" s="14"/>
      <c r="WFE104" s="14"/>
      <c r="WFF104" s="14"/>
      <c r="WFG104" s="14"/>
      <c r="WFH104" s="36"/>
      <c r="WFI104" s="14"/>
      <c r="WFJ104" s="45"/>
      <c r="WFK104" s="14"/>
      <c r="WFL104" s="14"/>
      <c r="WFM104" s="14"/>
      <c r="WFN104" s="14"/>
      <c r="WFO104" s="14"/>
      <c r="WFP104" s="36"/>
      <c r="WFQ104" s="14"/>
      <c r="WFR104" s="45"/>
      <c r="WFS104" s="14"/>
      <c r="WFT104" s="14"/>
      <c r="WFU104" s="14"/>
      <c r="WFV104" s="14"/>
      <c r="WFW104" s="14"/>
      <c r="WFX104" s="36"/>
      <c r="WFY104" s="14"/>
      <c r="WFZ104" s="45"/>
      <c r="WGA104" s="14"/>
      <c r="WGB104" s="14"/>
      <c r="WGC104" s="14"/>
      <c r="WGD104" s="14"/>
      <c r="WGE104" s="14"/>
      <c r="WGF104" s="36"/>
      <c r="WGG104" s="14"/>
      <c r="WGH104" s="45"/>
      <c r="WGI104" s="14"/>
      <c r="WGJ104" s="14"/>
      <c r="WGK104" s="14"/>
      <c r="WGL104" s="14"/>
      <c r="WGM104" s="14"/>
      <c r="WGN104" s="36"/>
      <c r="WGO104" s="14"/>
      <c r="WGP104" s="45"/>
      <c r="WGQ104" s="14"/>
      <c r="WGR104" s="14"/>
      <c r="WGS104" s="14"/>
      <c r="WGT104" s="14"/>
      <c r="WGU104" s="14"/>
      <c r="WGV104" s="36"/>
      <c r="WGW104" s="14"/>
      <c r="WGX104" s="45"/>
      <c r="WGY104" s="14"/>
      <c r="WGZ104" s="14"/>
      <c r="WHA104" s="14"/>
      <c r="WHB104" s="14"/>
      <c r="WHC104" s="14"/>
      <c r="WHD104" s="36"/>
      <c r="WHE104" s="14"/>
      <c r="WHF104" s="45"/>
      <c r="WHG104" s="14"/>
      <c r="WHH104" s="14"/>
      <c r="WHI104" s="14"/>
      <c r="WHJ104" s="14"/>
      <c r="WHK104" s="14"/>
      <c r="WHL104" s="36"/>
      <c r="WHM104" s="14"/>
      <c r="WHN104" s="45"/>
      <c r="WHO104" s="14"/>
      <c r="WHP104" s="14"/>
      <c r="WHQ104" s="14"/>
      <c r="WHR104" s="14"/>
      <c r="WHS104" s="14"/>
      <c r="WHT104" s="36"/>
      <c r="WHU104" s="14"/>
      <c r="WHV104" s="45"/>
      <c r="WHW104" s="14"/>
      <c r="WHX104" s="14"/>
      <c r="WHY104" s="14"/>
      <c r="WHZ104" s="14"/>
      <c r="WIA104" s="14"/>
      <c r="WIB104" s="36"/>
      <c r="WIC104" s="14"/>
      <c r="WID104" s="45"/>
      <c r="WIE104" s="14"/>
      <c r="WIF104" s="14"/>
      <c r="WIG104" s="14"/>
      <c r="WIH104" s="14"/>
      <c r="WII104" s="14"/>
      <c r="WIJ104" s="36"/>
      <c r="WIK104" s="14"/>
      <c r="WIL104" s="45"/>
      <c r="WIM104" s="14"/>
      <c r="WIN104" s="14"/>
      <c r="WIO104" s="14"/>
      <c r="WIP104" s="14"/>
      <c r="WIQ104" s="14"/>
      <c r="WIR104" s="36"/>
      <c r="WIS104" s="14"/>
      <c r="WIT104" s="45"/>
      <c r="WIU104" s="14"/>
      <c r="WIV104" s="14"/>
      <c r="WIW104" s="14"/>
      <c r="WIX104" s="14"/>
      <c r="WIY104" s="14"/>
      <c r="WIZ104" s="36"/>
      <c r="WJA104" s="14"/>
      <c r="WJB104" s="45"/>
      <c r="WJC104" s="14"/>
      <c r="WJD104" s="14"/>
      <c r="WJE104" s="14"/>
      <c r="WJF104" s="14"/>
      <c r="WJG104" s="14"/>
      <c r="WJH104" s="36"/>
      <c r="WJI104" s="14"/>
      <c r="WJJ104" s="45"/>
      <c r="WJK104" s="14"/>
      <c r="WJL104" s="14"/>
      <c r="WJM104" s="14"/>
      <c r="WJN104" s="14"/>
      <c r="WJO104" s="14"/>
      <c r="WJP104" s="36"/>
      <c r="WJQ104" s="14"/>
      <c r="WJR104" s="45"/>
      <c r="WJS104" s="14"/>
      <c r="WJT104" s="14"/>
      <c r="WJU104" s="14"/>
      <c r="WJV104" s="14"/>
      <c r="WJW104" s="14"/>
      <c r="WJX104" s="36"/>
      <c r="WJY104" s="14"/>
      <c r="WJZ104" s="45"/>
      <c r="WKA104" s="14"/>
      <c r="WKB104" s="14"/>
      <c r="WKC104" s="14"/>
      <c r="WKD104" s="14"/>
      <c r="WKE104" s="14"/>
      <c r="WKF104" s="36"/>
      <c r="WKG104" s="14"/>
      <c r="WKH104" s="45"/>
      <c r="WKI104" s="14"/>
      <c r="WKJ104" s="14"/>
      <c r="WKK104" s="14"/>
      <c r="WKL104" s="14"/>
      <c r="WKM104" s="14"/>
      <c r="WKN104" s="36"/>
      <c r="WKO104" s="14"/>
      <c r="WKP104" s="45"/>
      <c r="WKQ104" s="14"/>
      <c r="WKR104" s="14"/>
      <c r="WKS104" s="14"/>
      <c r="WKT104" s="14"/>
      <c r="WKU104" s="14"/>
      <c r="WKV104" s="36"/>
      <c r="WKW104" s="14"/>
      <c r="WKX104" s="45"/>
      <c r="WKY104" s="14"/>
      <c r="WKZ104" s="14"/>
      <c r="WLA104" s="14"/>
      <c r="WLB104" s="14"/>
      <c r="WLC104" s="14"/>
      <c r="WLD104" s="36"/>
      <c r="WLE104" s="14"/>
      <c r="WLF104" s="45"/>
      <c r="WLG104" s="14"/>
      <c r="WLH104" s="14"/>
      <c r="WLI104" s="14"/>
      <c r="WLJ104" s="14"/>
      <c r="WLK104" s="14"/>
      <c r="WLL104" s="36"/>
      <c r="WLM104" s="14"/>
      <c r="WLN104" s="45"/>
      <c r="WLO104" s="14"/>
      <c r="WLP104" s="14"/>
      <c r="WLQ104" s="14"/>
      <c r="WLR104" s="14"/>
      <c r="WLS104" s="14"/>
      <c r="WLT104" s="36"/>
      <c r="WLU104" s="14"/>
      <c r="WLV104" s="45"/>
      <c r="WLW104" s="14"/>
      <c r="WLX104" s="14"/>
      <c r="WLY104" s="14"/>
      <c r="WLZ104" s="14"/>
      <c r="WMA104" s="14"/>
      <c r="WMB104" s="36"/>
      <c r="WMC104" s="14"/>
      <c r="WMD104" s="45"/>
      <c r="WME104" s="14"/>
      <c r="WMF104" s="14"/>
      <c r="WMG104" s="14"/>
      <c r="WMH104" s="14"/>
      <c r="WMI104" s="14"/>
      <c r="WMJ104" s="36"/>
      <c r="WMK104" s="14"/>
      <c r="WML104" s="45"/>
      <c r="WMM104" s="14"/>
      <c r="WMN104" s="14"/>
      <c r="WMO104" s="14"/>
      <c r="WMP104" s="14"/>
      <c r="WMQ104" s="14"/>
      <c r="WMR104" s="36"/>
      <c r="WMS104" s="14"/>
      <c r="WMT104" s="45"/>
      <c r="WMU104" s="14"/>
      <c r="WMV104" s="14"/>
      <c r="WMW104" s="14"/>
      <c r="WMX104" s="14"/>
      <c r="WMY104" s="14"/>
      <c r="WMZ104" s="36"/>
      <c r="WNA104" s="14"/>
      <c r="WNB104" s="45"/>
      <c r="WNC104" s="14"/>
      <c r="WND104" s="14"/>
      <c r="WNE104" s="14"/>
      <c r="WNF104" s="14"/>
      <c r="WNG104" s="14"/>
      <c r="WNH104" s="36"/>
      <c r="WNI104" s="14"/>
      <c r="WNJ104" s="45"/>
      <c r="WNK104" s="14"/>
      <c r="WNL104" s="14"/>
      <c r="WNM104" s="14"/>
      <c r="WNN104" s="14"/>
      <c r="WNO104" s="14"/>
      <c r="WNP104" s="36"/>
      <c r="WNQ104" s="14"/>
      <c r="WNR104" s="45"/>
      <c r="WNS104" s="14"/>
      <c r="WNT104" s="14"/>
      <c r="WNU104" s="14"/>
      <c r="WNV104" s="14"/>
      <c r="WNW104" s="14"/>
      <c r="WNX104" s="36"/>
      <c r="WNY104" s="14"/>
      <c r="WNZ104" s="45"/>
      <c r="WOA104" s="14"/>
      <c r="WOB104" s="14"/>
      <c r="WOC104" s="14"/>
      <c r="WOD104" s="14"/>
      <c r="WOE104" s="14"/>
      <c r="WOF104" s="36"/>
      <c r="WOG104" s="14"/>
      <c r="WOH104" s="45"/>
      <c r="WOI104" s="14"/>
      <c r="WOJ104" s="14"/>
      <c r="WOK104" s="14"/>
      <c r="WOL104" s="14"/>
      <c r="WOM104" s="14"/>
      <c r="WON104" s="36"/>
      <c r="WOO104" s="14"/>
      <c r="WOP104" s="45"/>
      <c r="WOQ104" s="14"/>
      <c r="WOR104" s="14"/>
      <c r="WOS104" s="14"/>
      <c r="WOT104" s="14"/>
      <c r="WOU104" s="14"/>
      <c r="WOV104" s="36"/>
      <c r="WOW104" s="14"/>
      <c r="WOX104" s="45"/>
      <c r="WOY104" s="14"/>
      <c r="WOZ104" s="14"/>
      <c r="WPA104" s="14"/>
      <c r="WPB104" s="14"/>
      <c r="WPC104" s="14"/>
      <c r="WPD104" s="36"/>
      <c r="WPE104" s="14"/>
      <c r="WPF104" s="45"/>
      <c r="WPG104" s="14"/>
      <c r="WPH104" s="14"/>
      <c r="WPI104" s="14"/>
      <c r="WPJ104" s="14"/>
      <c r="WPK104" s="14"/>
      <c r="WPL104" s="36"/>
      <c r="WPM104" s="14"/>
      <c r="WPN104" s="45"/>
      <c r="WPO104" s="14"/>
      <c r="WPP104" s="14"/>
      <c r="WPQ104" s="14"/>
      <c r="WPR104" s="14"/>
      <c r="WPS104" s="14"/>
      <c r="WPT104" s="36"/>
      <c r="WPU104" s="14"/>
      <c r="WPV104" s="45"/>
      <c r="WPW104" s="14"/>
      <c r="WPX104" s="14"/>
      <c r="WPY104" s="14"/>
      <c r="WPZ104" s="14"/>
      <c r="WQA104" s="14"/>
      <c r="WQB104" s="36"/>
      <c r="WQC104" s="14"/>
      <c r="WQD104" s="45"/>
      <c r="WQE104" s="14"/>
      <c r="WQF104" s="14"/>
      <c r="WQG104" s="14"/>
      <c r="WQH104" s="14"/>
      <c r="WQI104" s="14"/>
      <c r="WQJ104" s="36"/>
      <c r="WQK104" s="14"/>
      <c r="WQL104" s="45"/>
      <c r="WQM104" s="14"/>
      <c r="WQN104" s="14"/>
      <c r="WQO104" s="14"/>
      <c r="WQP104" s="14"/>
      <c r="WQQ104" s="14"/>
      <c r="WQR104" s="36"/>
      <c r="WQS104" s="14"/>
      <c r="WQT104" s="45"/>
      <c r="WQU104" s="14"/>
      <c r="WQV104" s="14"/>
      <c r="WQW104" s="14"/>
      <c r="WQX104" s="14"/>
      <c r="WQY104" s="14"/>
      <c r="WQZ104" s="36"/>
      <c r="WRA104" s="14"/>
      <c r="WRB104" s="45"/>
      <c r="WRC104" s="14"/>
      <c r="WRD104" s="14"/>
      <c r="WRE104" s="14"/>
      <c r="WRF104" s="14"/>
      <c r="WRG104" s="14"/>
      <c r="WRH104" s="36"/>
      <c r="WRI104" s="14"/>
      <c r="WRJ104" s="45"/>
      <c r="WRK104" s="14"/>
      <c r="WRL104" s="14"/>
      <c r="WRM104" s="14"/>
      <c r="WRN104" s="14"/>
      <c r="WRO104" s="14"/>
      <c r="WRP104" s="36"/>
      <c r="WRQ104" s="14"/>
      <c r="WRR104" s="45"/>
      <c r="WRS104" s="14"/>
      <c r="WRT104" s="14"/>
      <c r="WRU104" s="14"/>
      <c r="WRV104" s="14"/>
      <c r="WRW104" s="14"/>
      <c r="WRX104" s="36"/>
      <c r="WRY104" s="14"/>
      <c r="WRZ104" s="45"/>
      <c r="WSA104" s="14"/>
      <c r="WSB104" s="14"/>
      <c r="WSC104" s="14"/>
      <c r="WSD104" s="14"/>
      <c r="WSE104" s="14"/>
      <c r="WSF104" s="36"/>
      <c r="WSG104" s="14"/>
      <c r="WSH104" s="45"/>
      <c r="WSI104" s="14"/>
      <c r="WSJ104" s="14"/>
      <c r="WSK104" s="14"/>
      <c r="WSL104" s="14"/>
      <c r="WSM104" s="14"/>
      <c r="WSN104" s="36"/>
      <c r="WSO104" s="14"/>
      <c r="WSP104" s="45"/>
      <c r="WSQ104" s="14"/>
      <c r="WSR104" s="14"/>
      <c r="WSS104" s="14"/>
      <c r="WST104" s="14"/>
      <c r="WSU104" s="14"/>
      <c r="WSV104" s="36"/>
      <c r="WSW104" s="14"/>
      <c r="WSX104" s="45"/>
      <c r="WSY104" s="14"/>
      <c r="WSZ104" s="14"/>
      <c r="WTA104" s="14"/>
      <c r="WTB104" s="14"/>
      <c r="WTC104" s="14"/>
      <c r="WTD104" s="36"/>
      <c r="WTE104" s="14"/>
      <c r="WTF104" s="45"/>
      <c r="WTG104" s="14"/>
      <c r="WTH104" s="14"/>
      <c r="WTI104" s="14"/>
      <c r="WTJ104" s="14"/>
      <c r="WTK104" s="14"/>
      <c r="WTL104" s="36"/>
      <c r="WTM104" s="14"/>
      <c r="WTN104" s="45"/>
      <c r="WTO104" s="14"/>
      <c r="WTP104" s="14"/>
      <c r="WTQ104" s="14"/>
      <c r="WTR104" s="14"/>
      <c r="WTS104" s="14"/>
      <c r="WTT104" s="36"/>
      <c r="WTU104" s="14"/>
      <c r="WTV104" s="45"/>
      <c r="WTW104" s="14"/>
      <c r="WTX104" s="14"/>
      <c r="WTY104" s="14"/>
      <c r="WTZ104" s="14"/>
      <c r="WUA104" s="14"/>
      <c r="WUB104" s="36"/>
      <c r="WUC104" s="14"/>
      <c r="WUD104" s="45"/>
      <c r="WUE104" s="14"/>
      <c r="WUF104" s="14"/>
      <c r="WUG104" s="14"/>
      <c r="WUH104" s="14"/>
      <c r="WUI104" s="14"/>
      <c r="WUJ104" s="36"/>
      <c r="WUK104" s="14"/>
      <c r="WUL104" s="45"/>
      <c r="WUM104" s="14"/>
      <c r="WUN104" s="14"/>
      <c r="WUO104" s="14"/>
      <c r="WUP104" s="14"/>
      <c r="WUQ104" s="14"/>
      <c r="WUR104" s="36"/>
      <c r="WUS104" s="14"/>
      <c r="WUT104" s="45"/>
      <c r="WUU104" s="14"/>
      <c r="WUV104" s="14"/>
      <c r="WUW104" s="14"/>
      <c r="WUX104" s="14"/>
      <c r="WUY104" s="14"/>
      <c r="WUZ104" s="36"/>
      <c r="WVA104" s="14"/>
      <c r="WVB104" s="45"/>
      <c r="WVC104" s="14"/>
      <c r="WVD104" s="14"/>
      <c r="WVE104" s="14"/>
      <c r="WVF104" s="14"/>
      <c r="WVG104" s="14"/>
      <c r="WVH104" s="36"/>
      <c r="WVI104" s="14"/>
      <c r="WVJ104" s="45"/>
      <c r="WVK104" s="14"/>
      <c r="WVL104" s="14"/>
      <c r="WVM104" s="14"/>
      <c r="WVN104" s="14"/>
      <c r="WVO104" s="14"/>
      <c r="WVP104" s="36"/>
      <c r="WVQ104" s="14"/>
      <c r="WVR104" s="45"/>
      <c r="WVS104" s="14"/>
      <c r="WVT104" s="14"/>
      <c r="WVU104" s="14"/>
      <c r="WVV104" s="14"/>
      <c r="WVW104" s="14"/>
      <c r="WVX104" s="36"/>
      <c r="WVY104" s="14"/>
      <c r="WVZ104" s="45"/>
      <c r="WWA104" s="14"/>
      <c r="WWB104" s="14"/>
      <c r="WWC104" s="14"/>
      <c r="WWD104" s="14"/>
      <c r="WWE104" s="14"/>
      <c r="WWF104" s="36"/>
      <c r="WWG104" s="14"/>
      <c r="WWH104" s="45"/>
      <c r="WWI104" s="14"/>
      <c r="WWJ104" s="14"/>
      <c r="WWK104" s="14"/>
      <c r="WWL104" s="14"/>
      <c r="WWM104" s="14"/>
      <c r="WWN104" s="36"/>
      <c r="WWO104" s="14"/>
      <c r="WWP104" s="45"/>
      <c r="WWQ104" s="14"/>
      <c r="WWR104" s="14"/>
      <c r="WWS104" s="14"/>
      <c r="WWT104" s="14"/>
      <c r="WWU104" s="14"/>
      <c r="WWV104" s="36"/>
      <c r="WWW104" s="14"/>
      <c r="WWX104" s="45"/>
      <c r="WWY104" s="14"/>
      <c r="WWZ104" s="14"/>
      <c r="WXA104" s="14"/>
      <c r="WXB104" s="14"/>
      <c r="WXC104" s="14"/>
      <c r="WXD104" s="36"/>
      <c r="WXE104" s="14"/>
      <c r="WXF104" s="45"/>
      <c r="WXG104" s="14"/>
      <c r="WXH104" s="14"/>
      <c r="WXI104" s="14"/>
      <c r="WXJ104" s="14"/>
      <c r="WXK104" s="14"/>
      <c r="WXL104" s="36"/>
      <c r="WXM104" s="14"/>
      <c r="WXN104" s="45"/>
      <c r="WXO104" s="14"/>
      <c r="WXP104" s="14"/>
      <c r="WXQ104" s="14"/>
      <c r="WXR104" s="14"/>
      <c r="WXS104" s="14"/>
      <c r="WXT104" s="36"/>
      <c r="WXU104" s="14"/>
      <c r="WXV104" s="45"/>
      <c r="WXW104" s="14"/>
      <c r="WXX104" s="14"/>
      <c r="WXY104" s="14"/>
      <c r="WXZ104" s="14"/>
      <c r="WYA104" s="14"/>
      <c r="WYB104" s="36"/>
      <c r="WYC104" s="14"/>
      <c r="WYD104" s="45"/>
      <c r="WYE104" s="14"/>
      <c r="WYF104" s="14"/>
      <c r="WYG104" s="14"/>
      <c r="WYH104" s="14"/>
      <c r="WYI104" s="14"/>
      <c r="WYJ104" s="36"/>
      <c r="WYK104" s="14"/>
      <c r="WYL104" s="45"/>
      <c r="WYM104" s="14"/>
      <c r="WYN104" s="14"/>
      <c r="WYO104" s="14"/>
      <c r="WYP104" s="14"/>
      <c r="WYQ104" s="14"/>
      <c r="WYR104" s="36"/>
      <c r="WYS104" s="14"/>
      <c r="WYT104" s="45"/>
      <c r="WYU104" s="14"/>
      <c r="WYV104" s="14"/>
      <c r="WYW104" s="14"/>
      <c r="WYX104" s="14"/>
      <c r="WYY104" s="14"/>
      <c r="WYZ104" s="36"/>
      <c r="WZA104" s="14"/>
      <c r="WZB104" s="45"/>
      <c r="WZC104" s="14"/>
      <c r="WZD104" s="14"/>
      <c r="WZE104" s="14"/>
      <c r="WZF104" s="14"/>
      <c r="WZG104" s="14"/>
      <c r="WZH104" s="36"/>
      <c r="WZI104" s="14"/>
      <c r="WZJ104" s="45"/>
      <c r="WZK104" s="14"/>
      <c r="WZL104" s="14"/>
      <c r="WZM104" s="14"/>
      <c r="WZN104" s="14"/>
      <c r="WZO104" s="14"/>
      <c r="WZP104" s="36"/>
      <c r="WZQ104" s="14"/>
      <c r="WZR104" s="45"/>
      <c r="WZS104" s="14"/>
      <c r="WZT104" s="14"/>
      <c r="WZU104" s="14"/>
      <c r="WZV104" s="14"/>
      <c r="WZW104" s="14"/>
      <c r="WZX104" s="36"/>
      <c r="WZY104" s="14"/>
      <c r="WZZ104" s="45"/>
      <c r="XAA104" s="14"/>
      <c r="XAB104" s="14"/>
      <c r="XAC104" s="14"/>
      <c r="XAD104" s="14"/>
      <c r="XAE104" s="14"/>
      <c r="XAF104" s="36"/>
      <c r="XAG104" s="14"/>
      <c r="XAH104" s="45"/>
      <c r="XAI104" s="14"/>
      <c r="XAJ104" s="14"/>
      <c r="XAK104" s="14"/>
      <c r="XAL104" s="14"/>
      <c r="XAM104" s="14"/>
      <c r="XAN104" s="36"/>
      <c r="XAO104" s="14"/>
      <c r="XAP104" s="45"/>
      <c r="XAQ104" s="14"/>
      <c r="XAR104" s="14"/>
      <c r="XAS104" s="14"/>
      <c r="XAT104" s="14"/>
      <c r="XAU104" s="14"/>
      <c r="XAV104" s="36"/>
      <c r="XAW104" s="14"/>
      <c r="XAX104" s="45"/>
      <c r="XAY104" s="14"/>
      <c r="XAZ104" s="14"/>
      <c r="XBA104" s="14"/>
      <c r="XBB104" s="14"/>
      <c r="XBC104" s="14"/>
      <c r="XBD104" s="36"/>
      <c r="XBE104" s="14"/>
      <c r="XBF104" s="45"/>
      <c r="XBG104" s="14"/>
      <c r="XBH104" s="14"/>
      <c r="XBI104" s="14"/>
      <c r="XBJ104" s="14"/>
      <c r="XBK104" s="14"/>
      <c r="XBL104" s="36"/>
      <c r="XBM104" s="14"/>
      <c r="XBN104" s="45"/>
      <c r="XBO104" s="14"/>
      <c r="XBP104" s="14"/>
      <c r="XBQ104" s="14"/>
      <c r="XBR104" s="14"/>
      <c r="XBS104" s="14"/>
      <c r="XBT104" s="36"/>
      <c r="XBU104" s="14"/>
      <c r="XBV104" s="45"/>
      <c r="XBW104" s="14"/>
      <c r="XBX104" s="14"/>
      <c r="XBY104" s="14"/>
      <c r="XBZ104" s="14"/>
      <c r="XCA104" s="14"/>
      <c r="XCB104" s="36"/>
      <c r="XCC104" s="14"/>
      <c r="XCD104" s="45"/>
      <c r="XCE104" s="14"/>
      <c r="XCF104" s="14"/>
      <c r="XCG104" s="14"/>
      <c r="XCH104" s="14"/>
      <c r="XCI104" s="14"/>
      <c r="XCJ104" s="36"/>
      <c r="XCK104" s="14"/>
      <c r="XCL104" s="45"/>
      <c r="XCM104" s="14"/>
      <c r="XCN104" s="14"/>
      <c r="XCO104" s="14"/>
      <c r="XCP104" s="14"/>
      <c r="XCQ104" s="14"/>
      <c r="XCR104" s="36"/>
      <c r="XCS104" s="14"/>
      <c r="XCT104" s="45"/>
      <c r="XCU104" s="14"/>
      <c r="XCV104" s="14"/>
      <c r="XCW104" s="14"/>
      <c r="XCX104" s="14"/>
      <c r="XCY104" s="14"/>
      <c r="XCZ104" s="36"/>
      <c r="XDA104" s="14"/>
      <c r="XDB104" s="45"/>
      <c r="XDC104" s="14"/>
      <c r="XDD104" s="14"/>
      <c r="XDE104" s="14"/>
      <c r="XDF104" s="14"/>
      <c r="XDG104" s="14"/>
      <c r="XDH104" s="36"/>
      <c r="XDI104" s="14"/>
      <c r="XDJ104" s="45"/>
      <c r="XDK104" s="14"/>
      <c r="XDL104" s="14"/>
      <c r="XDM104" s="14"/>
      <c r="XDN104" s="14"/>
      <c r="XDO104" s="14"/>
      <c r="XDP104" s="36"/>
      <c r="XDQ104" s="14"/>
      <c r="XDR104" s="45"/>
      <c r="XDS104" s="14"/>
      <c r="XDT104" s="14"/>
      <c r="XDU104" s="14"/>
      <c r="XDV104" s="14"/>
      <c r="XDW104" s="14"/>
      <c r="XDX104" s="36"/>
      <c r="XDY104" s="14"/>
      <c r="XDZ104" s="45"/>
      <c r="XEA104" s="14"/>
      <c r="XEB104" s="14"/>
      <c r="XEC104" s="14"/>
      <c r="XED104" s="14"/>
      <c r="XEE104" s="14"/>
      <c r="XEF104" s="36"/>
      <c r="XEG104" s="14"/>
      <c r="XEH104" s="45"/>
      <c r="XEI104" s="14"/>
      <c r="XEJ104" s="14"/>
      <c r="XEK104" s="14"/>
      <c r="XEL104" s="14"/>
      <c r="XEM104" s="14"/>
      <c r="XEN104" s="36"/>
      <c r="XEO104" s="14"/>
      <c r="XEP104" s="45"/>
      <c r="XEQ104" s="14"/>
      <c r="XER104" s="14"/>
      <c r="XES104" s="14"/>
      <c r="XET104" s="14"/>
      <c r="XEU104" s="14"/>
      <c r="XEV104" s="36"/>
      <c r="XEW104" s="14"/>
      <c r="XEX104" s="45"/>
      <c r="XEY104" s="14"/>
      <c r="XEZ104" s="14"/>
      <c r="XFA104" s="14"/>
      <c r="XFB104" s="14"/>
      <c r="XFC104" s="14"/>
      <c r="XFD104" s="36"/>
    </row>
    <row r="105" spans="1:16384" customFormat="1" ht="15.75" customHeight="1" x14ac:dyDescent="0.3">
      <c r="A105" s="14"/>
      <c r="B105" s="14"/>
      <c r="C105" s="14"/>
      <c r="D105" s="14"/>
      <c r="E105" s="14"/>
      <c r="F105" s="14"/>
      <c r="G105" s="14"/>
      <c r="H105" s="36"/>
      <c r="CC105" s="14"/>
      <c r="CD105" s="14"/>
      <c r="CE105" s="14"/>
      <c r="CF105" s="14"/>
      <c r="CG105" s="14"/>
      <c r="CH105" s="14"/>
      <c r="CI105" s="14"/>
      <c r="CJ105" s="36"/>
      <c r="CK105" s="14"/>
      <c r="CL105" s="14"/>
      <c r="CM105" s="14"/>
      <c r="CN105" s="14"/>
      <c r="CO105" s="14"/>
      <c r="CP105" s="14"/>
      <c r="CQ105" s="14"/>
      <c r="CR105" s="36"/>
      <c r="CS105" s="14"/>
      <c r="CT105" s="14"/>
      <c r="CU105" s="14"/>
      <c r="CV105" s="14"/>
      <c r="CW105" s="14"/>
      <c r="CX105" s="14"/>
      <c r="CY105" s="14"/>
      <c r="CZ105" s="36"/>
      <c r="DA105" s="14"/>
      <c r="DB105" s="14"/>
      <c r="DC105" s="14"/>
      <c r="DD105" s="14"/>
      <c r="DE105" s="14"/>
      <c r="DF105" s="14"/>
      <c r="DG105" s="14"/>
      <c r="DH105" s="36"/>
      <c r="DI105" s="14"/>
      <c r="DJ105" s="14"/>
      <c r="DK105" s="14"/>
      <c r="DL105" s="14"/>
      <c r="DM105" s="14"/>
      <c r="DN105" s="14"/>
      <c r="DO105" s="14"/>
      <c r="DP105" s="36"/>
      <c r="DQ105" s="14"/>
      <c r="DR105" s="14"/>
      <c r="DS105" s="14"/>
      <c r="DT105" s="14"/>
      <c r="DU105" s="14"/>
      <c r="DV105" s="14"/>
      <c r="DW105" s="14"/>
      <c r="DX105" s="36"/>
      <c r="DY105" s="14"/>
      <c r="DZ105" s="14"/>
      <c r="EA105" s="14"/>
      <c r="EB105" s="14"/>
      <c r="EC105" s="14"/>
      <c r="ED105" s="14"/>
      <c r="EE105" s="14"/>
      <c r="EF105" s="36"/>
      <c r="EG105" s="14"/>
      <c r="EH105" s="14"/>
      <c r="EI105" s="14"/>
      <c r="EJ105" s="14"/>
      <c r="EK105" s="14"/>
      <c r="EL105" s="14"/>
      <c r="EM105" s="14"/>
      <c r="EN105" s="36"/>
      <c r="EO105" s="14"/>
      <c r="EP105" s="14"/>
      <c r="EQ105" s="14"/>
      <c r="ER105" s="14"/>
      <c r="ES105" s="14"/>
      <c r="ET105" s="14"/>
      <c r="EU105" s="14"/>
      <c r="EV105" s="36"/>
      <c r="EW105" s="14"/>
      <c r="EX105" s="14"/>
      <c r="EY105" s="14"/>
      <c r="EZ105" s="14"/>
      <c r="FA105" s="14"/>
      <c r="FB105" s="14"/>
      <c r="FC105" s="14"/>
      <c r="FD105" s="36"/>
      <c r="FE105" s="14"/>
      <c r="FF105" s="14"/>
      <c r="FG105" s="14"/>
      <c r="FH105" s="14"/>
      <c r="FI105" s="14"/>
      <c r="FJ105" s="14"/>
      <c r="FK105" s="14"/>
      <c r="FL105" s="36"/>
      <c r="FM105" s="14"/>
      <c r="FN105" s="14"/>
      <c r="FO105" s="14"/>
      <c r="FP105" s="14"/>
      <c r="FQ105" s="14"/>
      <c r="FR105" s="14"/>
      <c r="FS105" s="14"/>
      <c r="FT105" s="36"/>
      <c r="FU105" s="14"/>
      <c r="FV105" s="14"/>
      <c r="FW105" s="14"/>
      <c r="FX105" s="14"/>
      <c r="FY105" s="14"/>
      <c r="FZ105" s="14"/>
      <c r="GA105" s="14"/>
      <c r="GB105" s="36"/>
      <c r="GC105" s="14"/>
      <c r="GD105" s="14"/>
      <c r="GE105" s="14"/>
      <c r="GF105" s="14"/>
      <c r="GG105" s="14"/>
      <c r="GH105" s="14"/>
      <c r="GI105" s="14"/>
      <c r="GJ105" s="36"/>
      <c r="GK105" s="14"/>
      <c r="GL105" s="14"/>
      <c r="GM105" s="14"/>
      <c r="GN105" s="14"/>
      <c r="GO105" s="14"/>
      <c r="GP105" s="14"/>
      <c r="GQ105" s="14"/>
      <c r="GR105" s="36"/>
      <c r="GS105" s="14"/>
      <c r="GT105" s="14"/>
      <c r="GU105" s="14"/>
      <c r="GV105" s="14"/>
      <c r="GW105" s="14"/>
      <c r="GX105" s="14"/>
      <c r="GY105" s="14"/>
      <c r="GZ105" s="36"/>
      <c r="HA105" s="14"/>
      <c r="HB105" s="14"/>
      <c r="HC105" s="14"/>
      <c r="HD105" s="14"/>
      <c r="HE105" s="14"/>
      <c r="HF105" s="14"/>
      <c r="HG105" s="14"/>
      <c r="HH105" s="36"/>
      <c r="HI105" s="14"/>
      <c r="HJ105" s="14"/>
      <c r="HK105" s="14"/>
      <c r="HL105" s="14"/>
      <c r="HM105" s="14"/>
      <c r="HN105" s="14"/>
      <c r="HO105" s="14"/>
      <c r="HP105" s="36"/>
      <c r="HQ105" s="14"/>
      <c r="HR105" s="14"/>
      <c r="HS105" s="14"/>
      <c r="HT105" s="14"/>
      <c r="HU105" s="14"/>
      <c r="HV105" s="14"/>
      <c r="HW105" s="14"/>
      <c r="HX105" s="36"/>
      <c r="HY105" s="14"/>
      <c r="HZ105" s="14"/>
      <c r="IA105" s="14"/>
      <c r="IB105" s="14"/>
      <c r="IC105" s="14"/>
      <c r="ID105" s="14"/>
      <c r="IE105" s="14"/>
      <c r="IF105" s="36"/>
      <c r="IG105" s="14"/>
      <c r="IH105" s="14"/>
      <c r="II105" s="14"/>
      <c r="IJ105" s="14"/>
      <c r="IK105" s="14"/>
      <c r="IL105" s="14"/>
      <c r="IM105" s="14"/>
      <c r="IN105" s="36"/>
      <c r="IO105" s="14"/>
      <c r="IP105" s="14"/>
      <c r="IQ105" s="14"/>
      <c r="IR105" s="14"/>
      <c r="IS105" s="14"/>
      <c r="IT105" s="14"/>
      <c r="IU105" s="14"/>
      <c r="IV105" s="36"/>
      <c r="IW105" s="14"/>
      <c r="IX105" s="14"/>
      <c r="IY105" s="14"/>
      <c r="IZ105" s="14"/>
      <c r="JA105" s="14"/>
      <c r="JB105" s="14"/>
      <c r="JC105" s="14"/>
      <c r="JD105" s="36"/>
      <c r="JE105" s="14"/>
      <c r="JF105" s="14"/>
      <c r="JG105" s="14"/>
      <c r="JH105" s="14"/>
      <c r="JI105" s="14"/>
      <c r="JJ105" s="14"/>
      <c r="JK105" s="14"/>
      <c r="JL105" s="36"/>
      <c r="JM105" s="14"/>
      <c r="JN105" s="14"/>
      <c r="JO105" s="14"/>
      <c r="JP105" s="14"/>
      <c r="JQ105" s="14"/>
      <c r="JR105" s="14"/>
      <c r="JS105" s="14"/>
      <c r="JT105" s="36"/>
      <c r="JU105" s="14"/>
      <c r="JV105" s="14"/>
      <c r="JW105" s="14"/>
      <c r="JX105" s="14"/>
      <c r="JY105" s="14"/>
      <c r="JZ105" s="14"/>
      <c r="KA105" s="14"/>
      <c r="KB105" s="36"/>
      <c r="KC105" s="14"/>
      <c r="KD105" s="14"/>
      <c r="KE105" s="14"/>
      <c r="KF105" s="14"/>
      <c r="KG105" s="14"/>
      <c r="KH105" s="14"/>
      <c r="KI105" s="14"/>
      <c r="KJ105" s="36"/>
      <c r="KK105" s="14"/>
      <c r="KL105" s="14"/>
      <c r="KM105" s="14"/>
      <c r="KN105" s="14"/>
      <c r="KO105" s="14"/>
      <c r="KP105" s="14"/>
      <c r="KQ105" s="14"/>
      <c r="KR105" s="36"/>
      <c r="KS105" s="14"/>
      <c r="KT105" s="14"/>
      <c r="KU105" s="14"/>
      <c r="KV105" s="14"/>
      <c r="KW105" s="14"/>
      <c r="KX105" s="14"/>
      <c r="KY105" s="14"/>
      <c r="KZ105" s="36"/>
      <c r="LA105" s="14"/>
      <c r="LB105" s="14"/>
      <c r="LC105" s="14"/>
      <c r="LD105" s="14"/>
      <c r="LE105" s="14"/>
      <c r="LF105" s="14"/>
      <c r="LG105" s="14"/>
      <c r="LH105" s="36"/>
      <c r="LI105" s="14"/>
      <c r="LJ105" s="14"/>
      <c r="LK105" s="14"/>
      <c r="LL105" s="14"/>
      <c r="LM105" s="14"/>
      <c r="LN105" s="14"/>
      <c r="LO105" s="14"/>
      <c r="LP105" s="36"/>
      <c r="LQ105" s="14"/>
      <c r="LR105" s="14"/>
      <c r="LS105" s="14"/>
      <c r="LT105" s="14"/>
      <c r="LU105" s="14"/>
      <c r="LV105" s="14"/>
      <c r="LW105" s="14"/>
      <c r="LX105" s="36"/>
      <c r="LY105" s="14"/>
      <c r="LZ105" s="14"/>
      <c r="MA105" s="14"/>
      <c r="MB105" s="14"/>
      <c r="MC105" s="14"/>
      <c r="MD105" s="14"/>
      <c r="ME105" s="14"/>
      <c r="MF105" s="36"/>
      <c r="MG105" s="14"/>
      <c r="MH105" s="14"/>
      <c r="MI105" s="14"/>
      <c r="MJ105" s="14"/>
      <c r="MK105" s="14"/>
      <c r="ML105" s="14"/>
      <c r="MM105" s="14"/>
      <c r="MN105" s="36"/>
      <c r="MO105" s="14"/>
      <c r="MP105" s="14"/>
      <c r="MQ105" s="14"/>
      <c r="MR105" s="14"/>
      <c r="MS105" s="14"/>
      <c r="MT105" s="14"/>
      <c r="MU105" s="14"/>
      <c r="MV105" s="36"/>
      <c r="MW105" s="14"/>
      <c r="MX105" s="14"/>
      <c r="MY105" s="14"/>
      <c r="MZ105" s="14"/>
      <c r="NA105" s="14"/>
      <c r="NB105" s="14"/>
      <c r="NC105" s="14"/>
      <c r="ND105" s="36"/>
      <c r="NE105" s="14"/>
      <c r="NF105" s="14"/>
      <c r="NG105" s="14"/>
      <c r="NH105" s="14"/>
      <c r="NI105" s="14"/>
      <c r="NJ105" s="14"/>
      <c r="NK105" s="14"/>
      <c r="NL105" s="36"/>
      <c r="NM105" s="14"/>
      <c r="NN105" s="14"/>
      <c r="NO105" s="14"/>
      <c r="NP105" s="14"/>
      <c r="NQ105" s="14"/>
      <c r="NR105" s="14"/>
      <c r="NS105" s="14"/>
      <c r="NT105" s="36"/>
      <c r="NU105" s="14"/>
      <c r="NV105" s="14"/>
      <c r="NW105" s="14"/>
      <c r="NX105" s="14"/>
      <c r="NY105" s="14"/>
      <c r="NZ105" s="14"/>
      <c r="OA105" s="14"/>
      <c r="OB105" s="36"/>
      <c r="OC105" s="14"/>
      <c r="OD105" s="14"/>
      <c r="OE105" s="14"/>
      <c r="OF105" s="14"/>
      <c r="OG105" s="14"/>
      <c r="OH105" s="14"/>
      <c r="OI105" s="14"/>
      <c r="OJ105" s="36"/>
      <c r="OK105" s="14"/>
      <c r="OL105" s="14"/>
      <c r="OM105" s="14"/>
      <c r="ON105" s="14"/>
      <c r="OO105" s="14"/>
      <c r="OP105" s="14"/>
      <c r="OQ105" s="14"/>
      <c r="OR105" s="36"/>
      <c r="OS105" s="14"/>
      <c r="OT105" s="14"/>
      <c r="OU105" s="14"/>
      <c r="OV105" s="14"/>
      <c r="OW105" s="14"/>
      <c r="OX105" s="14"/>
      <c r="OY105" s="14"/>
      <c r="OZ105" s="36"/>
      <c r="PA105" s="14"/>
      <c r="PB105" s="14"/>
      <c r="PC105" s="14"/>
      <c r="PD105" s="14"/>
      <c r="PE105" s="14"/>
      <c r="PF105" s="14"/>
      <c r="PG105" s="14"/>
      <c r="PH105" s="36"/>
      <c r="PI105" s="14"/>
      <c r="PJ105" s="14"/>
      <c r="PK105" s="14"/>
      <c r="PL105" s="14"/>
      <c r="PM105" s="14"/>
      <c r="PN105" s="14"/>
      <c r="PO105" s="14"/>
      <c r="PP105" s="36"/>
      <c r="PQ105" s="14"/>
      <c r="PR105" s="14"/>
      <c r="PS105" s="14"/>
      <c r="PT105" s="14"/>
      <c r="PU105" s="14"/>
      <c r="PV105" s="14"/>
      <c r="PW105" s="14"/>
      <c r="PX105" s="36"/>
      <c r="PY105" s="14"/>
      <c r="PZ105" s="14"/>
      <c r="QA105" s="14"/>
      <c r="QB105" s="14"/>
      <c r="QC105" s="14"/>
      <c r="QD105" s="14"/>
      <c r="QE105" s="14"/>
      <c r="QF105" s="36"/>
      <c r="QG105" s="14"/>
      <c r="QH105" s="14"/>
      <c r="QI105" s="14"/>
      <c r="QJ105" s="14"/>
      <c r="QK105" s="14"/>
      <c r="QL105" s="14"/>
      <c r="QM105" s="14"/>
      <c r="QN105" s="36"/>
      <c r="QO105" s="14"/>
      <c r="QP105" s="14"/>
      <c r="QQ105" s="14"/>
      <c r="QR105" s="14"/>
      <c r="QS105" s="14"/>
      <c r="QT105" s="14"/>
      <c r="QU105" s="14"/>
      <c r="QV105" s="36"/>
      <c r="QW105" s="14"/>
      <c r="QX105" s="14"/>
      <c r="QY105" s="14"/>
      <c r="QZ105" s="14"/>
      <c r="RA105" s="14"/>
      <c r="RB105" s="14"/>
      <c r="RC105" s="14"/>
      <c r="RD105" s="36"/>
      <c r="RE105" s="14"/>
      <c r="RF105" s="14"/>
      <c r="RG105" s="14"/>
      <c r="RH105" s="14"/>
      <c r="RI105" s="14"/>
      <c r="RJ105" s="14"/>
      <c r="RK105" s="14"/>
      <c r="RL105" s="36"/>
      <c r="RM105" s="14"/>
      <c r="RN105" s="14"/>
      <c r="RO105" s="14"/>
      <c r="RP105" s="14"/>
      <c r="RQ105" s="14"/>
      <c r="RR105" s="14"/>
      <c r="RS105" s="14"/>
      <c r="RT105" s="36"/>
      <c r="RU105" s="14"/>
      <c r="RV105" s="14"/>
      <c r="RW105" s="14"/>
      <c r="RX105" s="14"/>
      <c r="RY105" s="14"/>
      <c r="RZ105" s="14"/>
      <c r="SA105" s="14"/>
      <c r="SB105" s="36"/>
      <c r="SC105" s="14"/>
      <c r="SD105" s="14"/>
      <c r="SE105" s="14"/>
      <c r="SF105" s="14"/>
      <c r="SG105" s="14"/>
      <c r="SH105" s="14"/>
      <c r="SI105" s="14"/>
      <c r="SJ105" s="36"/>
      <c r="SK105" s="14"/>
      <c r="SL105" s="14"/>
      <c r="SM105" s="14"/>
      <c r="SN105" s="14"/>
      <c r="SO105" s="14"/>
      <c r="SP105" s="14"/>
      <c r="SQ105" s="14"/>
      <c r="SR105" s="36"/>
      <c r="SS105" s="14"/>
      <c r="ST105" s="14"/>
      <c r="SU105" s="14"/>
      <c r="SV105" s="14"/>
      <c r="SW105" s="14"/>
      <c r="SX105" s="14"/>
      <c r="SY105" s="14"/>
      <c r="SZ105" s="36"/>
      <c r="TA105" s="14"/>
      <c r="TB105" s="14"/>
      <c r="TC105" s="14"/>
      <c r="TD105" s="14"/>
      <c r="TE105" s="14"/>
      <c r="TF105" s="14"/>
      <c r="TG105" s="14"/>
      <c r="TH105" s="36"/>
      <c r="TI105" s="14"/>
      <c r="TJ105" s="14"/>
      <c r="TK105" s="14"/>
      <c r="TL105" s="14"/>
      <c r="TM105" s="14"/>
      <c r="TN105" s="14"/>
      <c r="TO105" s="14"/>
      <c r="TP105" s="36"/>
      <c r="TQ105" s="14"/>
      <c r="TR105" s="14"/>
      <c r="TS105" s="14"/>
      <c r="TT105" s="14"/>
      <c r="TU105" s="14"/>
      <c r="TV105" s="14"/>
      <c r="TW105" s="14"/>
      <c r="TX105" s="36"/>
      <c r="TY105" s="14"/>
      <c r="TZ105" s="14"/>
      <c r="UA105" s="14"/>
      <c r="UB105" s="14"/>
      <c r="UC105" s="14"/>
      <c r="UD105" s="14"/>
      <c r="UE105" s="14"/>
      <c r="UF105" s="36"/>
      <c r="UG105" s="14"/>
      <c r="UH105" s="14"/>
      <c r="UI105" s="14"/>
      <c r="UJ105" s="14"/>
      <c r="UK105" s="14"/>
      <c r="UL105" s="14"/>
      <c r="UM105" s="14"/>
      <c r="UN105" s="36"/>
      <c r="UO105" s="14"/>
      <c r="UP105" s="14"/>
      <c r="UQ105" s="14"/>
      <c r="UR105" s="14"/>
      <c r="US105" s="14"/>
      <c r="UT105" s="14"/>
      <c r="UU105" s="14"/>
      <c r="UV105" s="36"/>
      <c r="UW105" s="14"/>
      <c r="UX105" s="14"/>
      <c r="UY105" s="14"/>
      <c r="UZ105" s="14"/>
      <c r="VA105" s="14"/>
      <c r="VB105" s="14"/>
      <c r="VC105" s="14"/>
      <c r="VD105" s="36"/>
      <c r="VE105" s="14"/>
      <c r="VF105" s="14"/>
      <c r="VG105" s="14"/>
      <c r="VH105" s="14"/>
      <c r="VI105" s="14"/>
      <c r="VJ105" s="14"/>
      <c r="VK105" s="14"/>
      <c r="VL105" s="36"/>
      <c r="VM105" s="14"/>
      <c r="VN105" s="14"/>
      <c r="VO105" s="14"/>
      <c r="VP105" s="14"/>
      <c r="VQ105" s="14"/>
      <c r="VR105" s="14"/>
      <c r="VS105" s="14"/>
      <c r="VT105" s="36"/>
      <c r="VU105" s="14"/>
      <c r="VV105" s="14"/>
      <c r="VW105" s="14"/>
      <c r="VX105" s="14"/>
      <c r="VY105" s="14"/>
      <c r="VZ105" s="14"/>
      <c r="WA105" s="14"/>
      <c r="WB105" s="36"/>
      <c r="WC105" s="14"/>
      <c r="WD105" s="14"/>
      <c r="WE105" s="14"/>
      <c r="WF105" s="14"/>
      <c r="WG105" s="14"/>
      <c r="WH105" s="14"/>
      <c r="WI105" s="14"/>
      <c r="WJ105" s="36"/>
      <c r="WK105" s="14"/>
      <c r="WL105" s="14"/>
      <c r="WM105" s="14"/>
      <c r="WN105" s="14"/>
      <c r="WO105" s="14"/>
      <c r="WP105" s="14"/>
      <c r="WQ105" s="14"/>
      <c r="WR105" s="36"/>
      <c r="WS105" s="14"/>
      <c r="WT105" s="14"/>
      <c r="WU105" s="14"/>
      <c r="WV105" s="14"/>
      <c r="WW105" s="14"/>
      <c r="WX105" s="14"/>
      <c r="WY105" s="14"/>
      <c r="WZ105" s="36"/>
      <c r="XA105" s="14"/>
      <c r="XB105" s="14"/>
      <c r="XC105" s="14"/>
      <c r="XD105" s="14"/>
      <c r="XE105" s="14"/>
      <c r="XF105" s="14"/>
      <c r="XG105" s="14"/>
      <c r="XH105" s="36"/>
      <c r="XI105" s="14"/>
      <c r="XJ105" s="14"/>
      <c r="XK105" s="14"/>
      <c r="XL105" s="14"/>
      <c r="XM105" s="14"/>
      <c r="XN105" s="14"/>
      <c r="XO105" s="14"/>
      <c r="XP105" s="36"/>
      <c r="XQ105" s="14"/>
      <c r="XR105" s="14"/>
      <c r="XS105" s="14"/>
      <c r="XT105" s="14"/>
      <c r="XU105" s="14"/>
      <c r="XV105" s="14"/>
      <c r="XW105" s="14"/>
      <c r="XX105" s="36"/>
      <c r="XY105" s="14"/>
      <c r="XZ105" s="14"/>
      <c r="YA105" s="14"/>
      <c r="YB105" s="14"/>
      <c r="YC105" s="14"/>
      <c r="YD105" s="14"/>
      <c r="YE105" s="14"/>
      <c r="YF105" s="36"/>
      <c r="YG105" s="14"/>
      <c r="YH105" s="14"/>
      <c r="YI105" s="14"/>
      <c r="YJ105" s="14"/>
      <c r="YK105" s="14"/>
      <c r="YL105" s="14"/>
      <c r="YM105" s="14"/>
      <c r="YN105" s="36"/>
      <c r="YO105" s="14"/>
      <c r="YP105" s="14"/>
      <c r="YQ105" s="14"/>
      <c r="YR105" s="14"/>
      <c r="YS105" s="14"/>
      <c r="YT105" s="14"/>
      <c r="YU105" s="14"/>
      <c r="YV105" s="36"/>
      <c r="YW105" s="14"/>
      <c r="YX105" s="14"/>
      <c r="YY105" s="14"/>
      <c r="YZ105" s="14"/>
      <c r="ZA105" s="14"/>
      <c r="ZB105" s="14"/>
      <c r="ZC105" s="14"/>
      <c r="ZD105" s="36"/>
      <c r="ZE105" s="14"/>
      <c r="ZF105" s="14"/>
      <c r="ZG105" s="14"/>
      <c r="ZH105" s="14"/>
      <c r="ZI105" s="14"/>
      <c r="ZJ105" s="14"/>
      <c r="ZK105" s="14"/>
      <c r="ZL105" s="36"/>
      <c r="ZM105" s="14"/>
      <c r="ZN105" s="14"/>
      <c r="ZO105" s="14"/>
      <c r="ZP105" s="14"/>
      <c r="ZQ105" s="14"/>
      <c r="ZR105" s="14"/>
      <c r="ZS105" s="14"/>
      <c r="ZT105" s="36"/>
      <c r="ZU105" s="14"/>
      <c r="ZV105" s="14"/>
      <c r="ZW105" s="14"/>
      <c r="ZX105" s="14"/>
      <c r="ZY105" s="14"/>
      <c r="ZZ105" s="14"/>
      <c r="AAA105" s="14"/>
      <c r="AAB105" s="36"/>
      <c r="AAC105" s="14"/>
      <c r="AAD105" s="14"/>
      <c r="AAE105" s="14"/>
      <c r="AAF105" s="14"/>
      <c r="AAG105" s="14"/>
      <c r="AAH105" s="14"/>
      <c r="AAI105" s="14"/>
      <c r="AAJ105" s="36"/>
      <c r="AAK105" s="14"/>
      <c r="AAL105" s="14"/>
      <c r="AAM105" s="14"/>
      <c r="AAN105" s="14"/>
      <c r="AAO105" s="14"/>
      <c r="AAP105" s="14"/>
      <c r="AAQ105" s="14"/>
      <c r="AAR105" s="36"/>
      <c r="AAS105" s="14"/>
      <c r="AAT105" s="14"/>
      <c r="AAU105" s="14"/>
      <c r="AAV105" s="14"/>
      <c r="AAW105" s="14"/>
      <c r="AAX105" s="14"/>
      <c r="AAY105" s="14"/>
      <c r="AAZ105" s="36"/>
      <c r="ABA105" s="14"/>
      <c r="ABB105" s="14"/>
      <c r="ABC105" s="14"/>
      <c r="ABD105" s="14"/>
      <c r="ABE105" s="14"/>
      <c r="ABF105" s="14"/>
      <c r="ABG105" s="14"/>
      <c r="ABH105" s="36"/>
      <c r="ABI105" s="14"/>
      <c r="ABJ105" s="14"/>
      <c r="ABK105" s="14"/>
      <c r="ABL105" s="14"/>
      <c r="ABM105" s="14"/>
      <c r="ABN105" s="14"/>
      <c r="ABO105" s="14"/>
      <c r="ABP105" s="36"/>
      <c r="ABQ105" s="14"/>
      <c r="ABR105" s="14"/>
      <c r="ABS105" s="14"/>
      <c r="ABT105" s="14"/>
      <c r="ABU105" s="14"/>
      <c r="ABV105" s="14"/>
      <c r="ABW105" s="14"/>
      <c r="ABX105" s="36"/>
      <c r="ABY105" s="14"/>
      <c r="ABZ105" s="14"/>
      <c r="ACA105" s="14"/>
      <c r="ACB105" s="14"/>
      <c r="ACC105" s="14"/>
      <c r="ACD105" s="14"/>
      <c r="ACE105" s="14"/>
      <c r="ACF105" s="36"/>
      <c r="ACG105" s="14"/>
      <c r="ACH105" s="14"/>
      <c r="ACI105" s="14"/>
      <c r="ACJ105" s="14"/>
      <c r="ACK105" s="14"/>
      <c r="ACL105" s="14"/>
      <c r="ACM105" s="14"/>
      <c r="ACN105" s="36"/>
      <c r="ACO105" s="14"/>
      <c r="ACP105" s="14"/>
      <c r="ACQ105" s="14"/>
      <c r="ACR105" s="14"/>
      <c r="ACS105" s="14"/>
      <c r="ACT105" s="14"/>
      <c r="ACU105" s="14"/>
      <c r="ACV105" s="36"/>
      <c r="ACW105" s="14"/>
      <c r="ACX105" s="14"/>
      <c r="ACY105" s="14"/>
      <c r="ACZ105" s="14"/>
      <c r="ADA105" s="14"/>
      <c r="ADB105" s="14"/>
      <c r="ADC105" s="14"/>
      <c r="ADD105" s="36"/>
      <c r="ADE105" s="14"/>
      <c r="ADF105" s="14"/>
      <c r="ADG105" s="14"/>
      <c r="ADH105" s="14"/>
      <c r="ADI105" s="14"/>
      <c r="ADJ105" s="14"/>
      <c r="ADK105" s="14"/>
      <c r="ADL105" s="36"/>
      <c r="ADM105" s="14"/>
      <c r="ADN105" s="14"/>
      <c r="ADO105" s="14"/>
      <c r="ADP105" s="14"/>
      <c r="ADQ105" s="14"/>
      <c r="ADR105" s="14"/>
      <c r="ADS105" s="14"/>
      <c r="ADT105" s="36"/>
      <c r="ADU105" s="14"/>
      <c r="ADV105" s="14"/>
      <c r="ADW105" s="14"/>
      <c r="ADX105" s="14"/>
      <c r="ADY105" s="14"/>
      <c r="ADZ105" s="14"/>
      <c r="AEA105" s="14"/>
      <c r="AEB105" s="36"/>
      <c r="AEC105" s="14"/>
      <c r="AED105" s="14"/>
      <c r="AEE105" s="14"/>
      <c r="AEF105" s="14"/>
      <c r="AEG105" s="14"/>
      <c r="AEH105" s="14"/>
      <c r="AEI105" s="14"/>
      <c r="AEJ105" s="36"/>
      <c r="AEK105" s="14"/>
      <c r="AEL105" s="14"/>
      <c r="AEM105" s="14"/>
      <c r="AEN105" s="14"/>
      <c r="AEO105" s="14"/>
      <c r="AEP105" s="14"/>
      <c r="AEQ105" s="14"/>
      <c r="AER105" s="36"/>
      <c r="AES105" s="14"/>
      <c r="AET105" s="14"/>
      <c r="AEU105" s="14"/>
      <c r="AEV105" s="14"/>
      <c r="AEW105" s="14"/>
      <c r="AEX105" s="14"/>
      <c r="AEY105" s="14"/>
      <c r="AEZ105" s="36"/>
      <c r="AFA105" s="14"/>
      <c r="AFB105" s="14"/>
      <c r="AFC105" s="14"/>
      <c r="AFD105" s="14"/>
      <c r="AFE105" s="14"/>
      <c r="AFF105" s="14"/>
      <c r="AFG105" s="14"/>
      <c r="AFH105" s="36"/>
      <c r="AFI105" s="14"/>
      <c r="AFJ105" s="14"/>
      <c r="AFK105" s="14"/>
      <c r="AFL105" s="14"/>
      <c r="AFM105" s="14"/>
      <c r="AFN105" s="14"/>
      <c r="AFO105" s="14"/>
      <c r="AFP105" s="36"/>
      <c r="AFQ105" s="14"/>
      <c r="AFR105" s="14"/>
      <c r="AFS105" s="14"/>
      <c r="AFT105" s="14"/>
      <c r="AFU105" s="14"/>
      <c r="AFV105" s="14"/>
      <c r="AFW105" s="14"/>
      <c r="AFX105" s="36"/>
      <c r="AFY105" s="14"/>
      <c r="AFZ105" s="14"/>
      <c r="AGA105" s="14"/>
      <c r="AGB105" s="14"/>
      <c r="AGC105" s="14"/>
      <c r="AGD105" s="14"/>
      <c r="AGE105" s="14"/>
      <c r="AGF105" s="36"/>
      <c r="AGG105" s="14"/>
      <c r="AGH105" s="14"/>
      <c r="AGI105" s="14"/>
      <c r="AGJ105" s="14"/>
      <c r="AGK105" s="14"/>
      <c r="AGL105" s="14"/>
      <c r="AGM105" s="14"/>
      <c r="AGN105" s="36"/>
      <c r="AGO105" s="14"/>
      <c r="AGP105" s="14"/>
      <c r="AGQ105" s="14"/>
      <c r="AGR105" s="14"/>
      <c r="AGS105" s="14"/>
      <c r="AGT105" s="14"/>
      <c r="AGU105" s="14"/>
      <c r="AGV105" s="36"/>
      <c r="AGW105" s="14"/>
      <c r="AGX105" s="14"/>
      <c r="AGY105" s="14"/>
      <c r="AGZ105" s="14"/>
      <c r="AHA105" s="14"/>
      <c r="AHB105" s="14"/>
      <c r="AHC105" s="14"/>
      <c r="AHD105" s="36"/>
      <c r="AHE105" s="14"/>
      <c r="AHF105" s="14"/>
      <c r="AHG105" s="14"/>
      <c r="AHH105" s="14"/>
      <c r="AHI105" s="14"/>
      <c r="AHJ105" s="14"/>
      <c r="AHK105" s="14"/>
      <c r="AHL105" s="36"/>
      <c r="AHM105" s="14"/>
      <c r="AHN105" s="14"/>
      <c r="AHO105" s="14"/>
      <c r="AHP105" s="14"/>
      <c r="AHQ105" s="14"/>
      <c r="AHR105" s="14"/>
      <c r="AHS105" s="14"/>
      <c r="AHT105" s="36"/>
      <c r="AHU105" s="14"/>
      <c r="AHV105" s="14"/>
      <c r="AHW105" s="14"/>
      <c r="AHX105" s="14"/>
      <c r="AHY105" s="14"/>
      <c r="AHZ105" s="14"/>
      <c r="AIA105" s="14"/>
      <c r="AIB105" s="36"/>
      <c r="AIC105" s="14"/>
      <c r="AID105" s="14"/>
      <c r="AIE105" s="14"/>
      <c r="AIF105" s="14"/>
      <c r="AIG105" s="14"/>
      <c r="AIH105" s="14"/>
      <c r="AII105" s="14"/>
      <c r="AIJ105" s="36"/>
      <c r="AIK105" s="14"/>
      <c r="AIL105" s="14"/>
      <c r="AIM105" s="14"/>
      <c r="AIN105" s="14"/>
      <c r="AIO105" s="14"/>
      <c r="AIP105" s="14"/>
      <c r="AIQ105" s="14"/>
      <c r="AIR105" s="36"/>
      <c r="AIS105" s="14"/>
      <c r="AIT105" s="14"/>
      <c r="AIU105" s="14"/>
      <c r="AIV105" s="14"/>
      <c r="AIW105" s="14"/>
      <c r="AIX105" s="14"/>
      <c r="AIY105" s="14"/>
      <c r="AIZ105" s="36"/>
      <c r="AJA105" s="14"/>
      <c r="AJB105" s="14"/>
      <c r="AJC105" s="14"/>
      <c r="AJD105" s="14"/>
      <c r="AJE105" s="14"/>
      <c r="AJF105" s="14"/>
      <c r="AJG105" s="14"/>
      <c r="AJH105" s="36"/>
      <c r="AJI105" s="14"/>
      <c r="AJJ105" s="14"/>
      <c r="AJK105" s="14"/>
      <c r="AJL105" s="14"/>
      <c r="AJM105" s="14"/>
      <c r="AJN105" s="14"/>
      <c r="AJO105" s="14"/>
      <c r="AJP105" s="36"/>
      <c r="AJQ105" s="14"/>
      <c r="AJR105" s="14"/>
      <c r="AJS105" s="14"/>
      <c r="AJT105" s="14"/>
      <c r="AJU105" s="14"/>
      <c r="AJV105" s="14"/>
      <c r="AJW105" s="14"/>
      <c r="AJX105" s="36"/>
      <c r="AJY105" s="14"/>
      <c r="AJZ105" s="14"/>
      <c r="AKA105" s="14"/>
      <c r="AKB105" s="14"/>
      <c r="AKC105" s="14"/>
      <c r="AKD105" s="14"/>
      <c r="AKE105" s="14"/>
      <c r="AKF105" s="36"/>
      <c r="AKG105" s="14"/>
      <c r="AKH105" s="14"/>
      <c r="AKI105" s="14"/>
      <c r="AKJ105" s="14"/>
      <c r="AKK105" s="14"/>
      <c r="AKL105" s="14"/>
      <c r="AKM105" s="14"/>
      <c r="AKN105" s="36"/>
      <c r="AKO105" s="14"/>
      <c r="AKP105" s="14"/>
      <c r="AKQ105" s="14"/>
      <c r="AKR105" s="14"/>
      <c r="AKS105" s="14"/>
      <c r="AKT105" s="14"/>
      <c r="AKU105" s="14"/>
      <c r="AKV105" s="36"/>
      <c r="AKW105" s="14"/>
      <c r="AKX105" s="14"/>
      <c r="AKY105" s="14"/>
      <c r="AKZ105" s="14"/>
      <c r="ALA105" s="14"/>
      <c r="ALB105" s="14"/>
      <c r="ALC105" s="14"/>
      <c r="ALD105" s="36"/>
      <c r="ALE105" s="14"/>
      <c r="ALF105" s="14"/>
      <c r="ALG105" s="14"/>
      <c r="ALH105" s="14"/>
      <c r="ALI105" s="14"/>
      <c r="ALJ105" s="14"/>
      <c r="ALK105" s="14"/>
      <c r="ALL105" s="36"/>
      <c r="ALM105" s="14"/>
      <c r="ALN105" s="14"/>
      <c r="ALO105" s="14"/>
      <c r="ALP105" s="14"/>
      <c r="ALQ105" s="14"/>
      <c r="ALR105" s="14"/>
      <c r="ALS105" s="14"/>
      <c r="ALT105" s="36"/>
      <c r="ALU105" s="14"/>
      <c r="ALV105" s="14"/>
      <c r="ALW105" s="14"/>
      <c r="ALX105" s="14"/>
      <c r="ALY105" s="14"/>
      <c r="ALZ105" s="14"/>
      <c r="AMA105" s="14"/>
      <c r="AMB105" s="36"/>
      <c r="AMC105" s="14"/>
      <c r="AMD105" s="14"/>
      <c r="AME105" s="14"/>
      <c r="AMF105" s="14"/>
      <c r="AMG105" s="14"/>
      <c r="AMH105" s="14"/>
      <c r="AMI105" s="14"/>
      <c r="AMJ105" s="36"/>
      <c r="AMK105" s="14"/>
      <c r="AML105" s="14"/>
      <c r="AMM105" s="14"/>
      <c r="AMN105" s="14"/>
      <c r="AMO105" s="14"/>
      <c r="AMP105" s="14"/>
      <c r="AMQ105" s="14"/>
      <c r="AMR105" s="36"/>
      <c r="AMS105" s="14"/>
      <c r="AMT105" s="14"/>
      <c r="AMU105" s="14"/>
      <c r="AMV105" s="14"/>
      <c r="AMW105" s="14"/>
      <c r="AMX105" s="14"/>
      <c r="AMY105" s="14"/>
      <c r="AMZ105" s="36"/>
      <c r="ANA105" s="14"/>
      <c r="ANB105" s="14"/>
      <c r="ANC105" s="14"/>
      <c r="AND105" s="14"/>
      <c r="ANE105" s="14"/>
      <c r="ANF105" s="14"/>
      <c r="ANG105" s="14"/>
      <c r="ANH105" s="36"/>
      <c r="ANI105" s="14"/>
      <c r="ANJ105" s="14"/>
      <c r="ANK105" s="14"/>
      <c r="ANL105" s="14"/>
      <c r="ANM105" s="14"/>
      <c r="ANN105" s="14"/>
      <c r="ANO105" s="14"/>
      <c r="ANP105" s="36"/>
      <c r="ANQ105" s="14"/>
      <c r="ANR105" s="14"/>
      <c r="ANS105" s="14"/>
      <c r="ANT105" s="14"/>
      <c r="ANU105" s="14"/>
      <c r="ANV105" s="14"/>
      <c r="ANW105" s="14"/>
      <c r="ANX105" s="36"/>
      <c r="ANY105" s="14"/>
      <c r="ANZ105" s="14"/>
      <c r="AOA105" s="14"/>
      <c r="AOB105" s="14"/>
      <c r="AOC105" s="14"/>
      <c r="AOD105" s="14"/>
      <c r="AOE105" s="14"/>
      <c r="AOF105" s="36"/>
      <c r="AOG105" s="14"/>
      <c r="AOH105" s="14"/>
      <c r="AOI105" s="14"/>
      <c r="AOJ105" s="14"/>
      <c r="AOK105" s="14"/>
      <c r="AOL105" s="14"/>
      <c r="AOM105" s="14"/>
      <c r="AON105" s="36"/>
      <c r="AOO105" s="14"/>
      <c r="AOP105" s="14"/>
      <c r="AOQ105" s="14"/>
      <c r="AOR105" s="14"/>
      <c r="AOS105" s="14"/>
      <c r="AOT105" s="14"/>
      <c r="AOU105" s="14"/>
      <c r="AOV105" s="36"/>
      <c r="AOW105" s="14"/>
      <c r="AOX105" s="14"/>
      <c r="AOY105" s="14"/>
      <c r="AOZ105" s="14"/>
      <c r="APA105" s="14"/>
      <c r="APB105" s="14"/>
      <c r="APC105" s="14"/>
      <c r="APD105" s="36"/>
      <c r="APE105" s="14"/>
      <c r="APF105" s="14"/>
      <c r="APG105" s="14"/>
      <c r="APH105" s="14"/>
      <c r="API105" s="14"/>
      <c r="APJ105" s="14"/>
      <c r="APK105" s="14"/>
      <c r="APL105" s="36"/>
      <c r="APM105" s="14"/>
      <c r="APN105" s="14"/>
      <c r="APO105" s="14"/>
      <c r="APP105" s="14"/>
      <c r="APQ105" s="14"/>
      <c r="APR105" s="14"/>
      <c r="APS105" s="14"/>
      <c r="APT105" s="36"/>
      <c r="APU105" s="14"/>
      <c r="APV105" s="14"/>
      <c r="APW105" s="14"/>
      <c r="APX105" s="14"/>
      <c r="APY105" s="14"/>
      <c r="APZ105" s="14"/>
      <c r="AQA105" s="14"/>
      <c r="AQB105" s="36"/>
      <c r="AQC105" s="14"/>
      <c r="AQD105" s="14"/>
      <c r="AQE105" s="14"/>
      <c r="AQF105" s="14"/>
      <c r="AQG105" s="14"/>
      <c r="AQH105" s="14"/>
      <c r="AQI105" s="14"/>
      <c r="AQJ105" s="36"/>
      <c r="AQK105" s="14"/>
      <c r="AQL105" s="14"/>
      <c r="AQM105" s="14"/>
      <c r="AQN105" s="14"/>
      <c r="AQO105" s="14"/>
      <c r="AQP105" s="14"/>
      <c r="AQQ105" s="14"/>
      <c r="AQR105" s="36"/>
      <c r="AQS105" s="14"/>
      <c r="AQT105" s="14"/>
      <c r="AQU105" s="14"/>
      <c r="AQV105" s="14"/>
      <c r="AQW105" s="14"/>
      <c r="AQX105" s="14"/>
      <c r="AQY105" s="14"/>
      <c r="AQZ105" s="36"/>
      <c r="ARA105" s="14"/>
      <c r="ARB105" s="14"/>
      <c r="ARC105" s="14"/>
      <c r="ARD105" s="14"/>
      <c r="ARE105" s="14"/>
      <c r="ARF105" s="14"/>
      <c r="ARG105" s="14"/>
      <c r="ARH105" s="36"/>
      <c r="ARI105" s="14"/>
      <c r="ARJ105" s="14"/>
      <c r="ARK105" s="14"/>
      <c r="ARL105" s="14"/>
      <c r="ARM105" s="14"/>
      <c r="ARN105" s="14"/>
      <c r="ARO105" s="14"/>
      <c r="ARP105" s="36"/>
      <c r="ARQ105" s="14"/>
      <c r="ARR105" s="14"/>
      <c r="ARS105" s="14"/>
      <c r="ART105" s="14"/>
      <c r="ARU105" s="14"/>
      <c r="ARV105" s="14"/>
      <c r="ARW105" s="14"/>
      <c r="ARX105" s="36"/>
      <c r="ARY105" s="14"/>
      <c r="ARZ105" s="14"/>
      <c r="ASA105" s="14"/>
      <c r="ASB105" s="14"/>
      <c r="ASC105" s="14"/>
      <c r="ASD105" s="14"/>
      <c r="ASE105" s="14"/>
      <c r="ASF105" s="36"/>
      <c r="ASG105" s="14"/>
      <c r="ASH105" s="14"/>
      <c r="ASI105" s="14"/>
      <c r="ASJ105" s="14"/>
      <c r="ASK105" s="14"/>
      <c r="ASL105" s="14"/>
      <c r="ASM105" s="14"/>
      <c r="ASN105" s="36"/>
      <c r="ASO105" s="14"/>
      <c r="ASP105" s="14"/>
      <c r="ASQ105" s="14"/>
      <c r="ASR105" s="14"/>
      <c r="ASS105" s="14"/>
      <c r="AST105" s="14"/>
      <c r="ASU105" s="14"/>
      <c r="ASV105" s="36"/>
      <c r="ASW105" s="14"/>
      <c r="ASX105" s="14"/>
      <c r="ASY105" s="14"/>
      <c r="ASZ105" s="14"/>
      <c r="ATA105" s="14"/>
      <c r="ATB105" s="14"/>
      <c r="ATC105" s="14"/>
      <c r="ATD105" s="36"/>
      <c r="ATE105" s="14"/>
      <c r="ATF105" s="14"/>
      <c r="ATG105" s="14"/>
      <c r="ATH105" s="14"/>
      <c r="ATI105" s="14"/>
      <c r="ATJ105" s="14"/>
      <c r="ATK105" s="14"/>
      <c r="ATL105" s="36"/>
      <c r="ATM105" s="14"/>
      <c r="ATN105" s="14"/>
      <c r="ATO105" s="14"/>
      <c r="ATP105" s="14"/>
      <c r="ATQ105" s="14"/>
      <c r="ATR105" s="14"/>
      <c r="ATS105" s="14"/>
      <c r="ATT105" s="36"/>
      <c r="ATU105" s="14"/>
      <c r="ATV105" s="14"/>
      <c r="ATW105" s="14"/>
      <c r="ATX105" s="14"/>
      <c r="ATY105" s="14"/>
      <c r="ATZ105" s="14"/>
      <c r="AUA105" s="14"/>
      <c r="AUB105" s="36"/>
      <c r="AUC105" s="14"/>
      <c r="AUD105" s="14"/>
      <c r="AUE105" s="14"/>
      <c r="AUF105" s="14"/>
      <c r="AUG105" s="14"/>
      <c r="AUH105" s="14"/>
      <c r="AUI105" s="14"/>
      <c r="AUJ105" s="36"/>
      <c r="AUK105" s="14"/>
      <c r="AUL105" s="14"/>
      <c r="AUM105" s="14"/>
      <c r="AUN105" s="14"/>
      <c r="AUO105" s="14"/>
      <c r="AUP105" s="14"/>
      <c r="AUQ105" s="14"/>
      <c r="AUR105" s="36"/>
      <c r="AUS105" s="14"/>
      <c r="AUT105" s="14"/>
      <c r="AUU105" s="14"/>
      <c r="AUV105" s="14"/>
      <c r="AUW105" s="14"/>
      <c r="AUX105" s="14"/>
      <c r="AUY105" s="14"/>
      <c r="AUZ105" s="36"/>
      <c r="AVA105" s="14"/>
      <c r="AVB105" s="14"/>
      <c r="AVC105" s="14"/>
      <c r="AVD105" s="14"/>
      <c r="AVE105" s="14"/>
      <c r="AVF105" s="14"/>
      <c r="AVG105" s="14"/>
      <c r="AVH105" s="36"/>
      <c r="AVI105" s="14"/>
      <c r="AVJ105" s="14"/>
      <c r="AVK105" s="14"/>
      <c r="AVL105" s="14"/>
      <c r="AVM105" s="14"/>
      <c r="AVN105" s="14"/>
      <c r="AVO105" s="14"/>
      <c r="AVP105" s="36"/>
      <c r="AVQ105" s="14"/>
      <c r="AVR105" s="14"/>
      <c r="AVS105" s="14"/>
      <c r="AVT105" s="14"/>
      <c r="AVU105" s="14"/>
      <c r="AVV105" s="14"/>
      <c r="AVW105" s="14"/>
      <c r="AVX105" s="36"/>
      <c r="AVY105" s="14"/>
      <c r="AVZ105" s="14"/>
      <c r="AWA105" s="14"/>
      <c r="AWB105" s="14"/>
      <c r="AWC105" s="14"/>
      <c r="AWD105" s="14"/>
      <c r="AWE105" s="14"/>
      <c r="AWF105" s="36"/>
      <c r="AWG105" s="14"/>
      <c r="AWH105" s="14"/>
      <c r="AWI105" s="14"/>
      <c r="AWJ105" s="14"/>
      <c r="AWK105" s="14"/>
      <c r="AWL105" s="14"/>
      <c r="AWM105" s="14"/>
      <c r="AWN105" s="36"/>
      <c r="AWO105" s="14"/>
      <c r="AWP105" s="14"/>
      <c r="AWQ105" s="14"/>
      <c r="AWR105" s="14"/>
      <c r="AWS105" s="14"/>
      <c r="AWT105" s="14"/>
      <c r="AWU105" s="14"/>
      <c r="AWV105" s="36"/>
      <c r="AWW105" s="14"/>
      <c r="AWX105" s="14"/>
      <c r="AWY105" s="14"/>
      <c r="AWZ105" s="14"/>
      <c r="AXA105" s="14"/>
      <c r="AXB105" s="14"/>
      <c r="AXC105" s="14"/>
      <c r="AXD105" s="36"/>
      <c r="AXE105" s="14"/>
      <c r="AXF105" s="14"/>
      <c r="AXG105" s="14"/>
      <c r="AXH105" s="14"/>
      <c r="AXI105" s="14"/>
      <c r="AXJ105" s="14"/>
      <c r="AXK105" s="14"/>
      <c r="AXL105" s="36"/>
      <c r="AXM105" s="14"/>
      <c r="AXN105" s="14"/>
      <c r="AXO105" s="14"/>
      <c r="AXP105" s="14"/>
      <c r="AXQ105" s="14"/>
      <c r="AXR105" s="14"/>
      <c r="AXS105" s="14"/>
      <c r="AXT105" s="36"/>
      <c r="AXU105" s="14"/>
      <c r="AXV105" s="14"/>
      <c r="AXW105" s="14"/>
      <c r="AXX105" s="14"/>
      <c r="AXY105" s="14"/>
      <c r="AXZ105" s="14"/>
      <c r="AYA105" s="14"/>
      <c r="AYB105" s="36"/>
      <c r="AYC105" s="14"/>
      <c r="AYD105" s="14"/>
      <c r="AYE105" s="14"/>
      <c r="AYF105" s="14"/>
      <c r="AYG105" s="14"/>
      <c r="AYH105" s="14"/>
      <c r="AYI105" s="14"/>
      <c r="AYJ105" s="36"/>
      <c r="AYK105" s="14"/>
      <c r="AYL105" s="14"/>
      <c r="AYM105" s="14"/>
      <c r="AYN105" s="14"/>
      <c r="AYO105" s="14"/>
      <c r="AYP105" s="14"/>
      <c r="AYQ105" s="14"/>
      <c r="AYR105" s="36"/>
      <c r="AYS105" s="14"/>
      <c r="AYT105" s="14"/>
      <c r="AYU105" s="14"/>
      <c r="AYV105" s="14"/>
      <c r="AYW105" s="14"/>
      <c r="AYX105" s="14"/>
      <c r="AYY105" s="14"/>
      <c r="AYZ105" s="36"/>
      <c r="AZA105" s="14"/>
      <c r="AZB105" s="14"/>
      <c r="AZC105" s="14"/>
      <c r="AZD105" s="14"/>
      <c r="AZE105" s="14"/>
      <c r="AZF105" s="14"/>
      <c r="AZG105" s="14"/>
      <c r="AZH105" s="36"/>
      <c r="AZI105" s="14"/>
      <c r="AZJ105" s="14"/>
      <c r="AZK105" s="14"/>
      <c r="AZL105" s="14"/>
      <c r="AZM105" s="14"/>
      <c r="AZN105" s="14"/>
      <c r="AZO105" s="14"/>
      <c r="AZP105" s="36"/>
      <c r="AZQ105" s="14"/>
      <c r="AZR105" s="14"/>
      <c r="AZS105" s="14"/>
      <c r="AZT105" s="14"/>
      <c r="AZU105" s="14"/>
      <c r="AZV105" s="14"/>
      <c r="AZW105" s="14"/>
      <c r="AZX105" s="36"/>
      <c r="AZY105" s="14"/>
      <c r="AZZ105" s="14"/>
      <c r="BAA105" s="14"/>
      <c r="BAB105" s="14"/>
      <c r="BAC105" s="14"/>
      <c r="BAD105" s="14"/>
      <c r="BAE105" s="14"/>
      <c r="BAF105" s="36"/>
      <c r="BAG105" s="14"/>
      <c r="BAH105" s="14"/>
      <c r="BAI105" s="14"/>
      <c r="BAJ105" s="14"/>
      <c r="BAK105" s="14"/>
      <c r="BAL105" s="14"/>
      <c r="BAM105" s="14"/>
      <c r="BAN105" s="36"/>
      <c r="BAO105" s="14"/>
      <c r="BAP105" s="14"/>
      <c r="BAQ105" s="14"/>
      <c r="BAR105" s="14"/>
      <c r="BAS105" s="14"/>
      <c r="BAT105" s="14"/>
      <c r="BAU105" s="14"/>
      <c r="BAV105" s="36"/>
      <c r="BAW105" s="14"/>
      <c r="BAX105" s="14"/>
      <c r="BAY105" s="14"/>
      <c r="BAZ105" s="14"/>
      <c r="BBA105" s="14"/>
      <c r="BBB105" s="14"/>
      <c r="BBC105" s="14"/>
      <c r="BBD105" s="36"/>
      <c r="BBE105" s="14"/>
      <c r="BBF105" s="14"/>
      <c r="BBG105" s="14"/>
      <c r="BBH105" s="14"/>
      <c r="BBI105" s="14"/>
      <c r="BBJ105" s="14"/>
      <c r="BBK105" s="14"/>
      <c r="BBL105" s="36"/>
      <c r="BBM105" s="14"/>
      <c r="BBN105" s="14"/>
      <c r="BBO105" s="14"/>
      <c r="BBP105" s="14"/>
      <c r="BBQ105" s="14"/>
      <c r="BBR105" s="14"/>
      <c r="BBS105" s="14"/>
      <c r="BBT105" s="36"/>
      <c r="BBU105" s="14"/>
      <c r="BBV105" s="14"/>
      <c r="BBW105" s="14"/>
      <c r="BBX105" s="14"/>
      <c r="BBY105" s="14"/>
      <c r="BBZ105" s="14"/>
      <c r="BCA105" s="14"/>
      <c r="BCB105" s="36"/>
      <c r="BCC105" s="14"/>
      <c r="BCD105" s="14"/>
      <c r="BCE105" s="14"/>
      <c r="BCF105" s="14"/>
      <c r="BCG105" s="14"/>
      <c r="BCH105" s="14"/>
      <c r="BCI105" s="14"/>
      <c r="BCJ105" s="36"/>
      <c r="BCK105" s="14"/>
      <c r="BCL105" s="14"/>
      <c r="BCM105" s="14"/>
      <c r="BCN105" s="14"/>
      <c r="BCO105" s="14"/>
      <c r="BCP105" s="14"/>
      <c r="BCQ105" s="14"/>
      <c r="BCR105" s="36"/>
      <c r="BCS105" s="14"/>
      <c r="BCT105" s="14"/>
      <c r="BCU105" s="14"/>
      <c r="BCV105" s="14"/>
      <c r="BCW105" s="14"/>
      <c r="BCX105" s="14"/>
      <c r="BCY105" s="14"/>
      <c r="BCZ105" s="36"/>
      <c r="BDA105" s="14"/>
      <c r="BDB105" s="14"/>
      <c r="BDC105" s="14"/>
      <c r="BDD105" s="14"/>
      <c r="BDE105" s="14"/>
      <c r="BDF105" s="14"/>
      <c r="BDG105" s="14"/>
      <c r="BDH105" s="36"/>
      <c r="BDI105" s="14"/>
      <c r="BDJ105" s="14"/>
      <c r="BDK105" s="14"/>
      <c r="BDL105" s="14"/>
      <c r="BDM105" s="14"/>
      <c r="BDN105" s="14"/>
      <c r="BDO105" s="14"/>
      <c r="BDP105" s="36"/>
      <c r="BDQ105" s="14"/>
      <c r="BDR105" s="14"/>
      <c r="BDS105" s="14"/>
      <c r="BDT105" s="14"/>
      <c r="BDU105" s="14"/>
      <c r="BDV105" s="14"/>
      <c r="BDW105" s="14"/>
      <c r="BDX105" s="36"/>
      <c r="BDY105" s="14"/>
      <c r="BDZ105" s="14"/>
      <c r="BEA105" s="14"/>
      <c r="BEB105" s="14"/>
      <c r="BEC105" s="14"/>
      <c r="BED105" s="14"/>
      <c r="BEE105" s="14"/>
      <c r="BEF105" s="36"/>
      <c r="BEG105" s="14"/>
      <c r="BEH105" s="14"/>
      <c r="BEI105" s="14"/>
      <c r="BEJ105" s="14"/>
      <c r="BEK105" s="14"/>
      <c r="BEL105" s="14"/>
      <c r="BEM105" s="14"/>
      <c r="BEN105" s="36"/>
      <c r="BEO105" s="14"/>
      <c r="BEP105" s="14"/>
      <c r="BEQ105" s="14"/>
      <c r="BER105" s="14"/>
      <c r="BES105" s="14"/>
      <c r="BET105" s="14"/>
      <c r="BEU105" s="14"/>
      <c r="BEV105" s="36"/>
      <c r="BEW105" s="14"/>
      <c r="BEX105" s="14"/>
      <c r="BEY105" s="14"/>
      <c r="BEZ105" s="14"/>
      <c r="BFA105" s="14"/>
      <c r="BFB105" s="14"/>
      <c r="BFC105" s="14"/>
      <c r="BFD105" s="36"/>
      <c r="BFE105" s="14"/>
      <c r="BFF105" s="14"/>
      <c r="BFG105" s="14"/>
      <c r="BFH105" s="14"/>
      <c r="BFI105" s="14"/>
      <c r="BFJ105" s="14"/>
      <c r="BFK105" s="14"/>
      <c r="BFL105" s="36"/>
      <c r="BFM105" s="14"/>
      <c r="BFN105" s="14"/>
      <c r="BFO105" s="14"/>
      <c r="BFP105" s="14"/>
      <c r="BFQ105" s="14"/>
      <c r="BFR105" s="14"/>
      <c r="BFS105" s="14"/>
      <c r="BFT105" s="36"/>
      <c r="BFU105" s="14"/>
      <c r="BFV105" s="14"/>
      <c r="BFW105" s="14"/>
      <c r="BFX105" s="14"/>
      <c r="BFY105" s="14"/>
      <c r="BFZ105" s="14"/>
      <c r="BGA105" s="14"/>
      <c r="BGB105" s="36"/>
      <c r="BGC105" s="14"/>
      <c r="BGD105" s="14"/>
      <c r="BGE105" s="14"/>
      <c r="BGF105" s="14"/>
      <c r="BGG105" s="14"/>
      <c r="BGH105" s="14"/>
      <c r="BGI105" s="14"/>
      <c r="BGJ105" s="36"/>
      <c r="BGK105" s="14"/>
      <c r="BGL105" s="14"/>
      <c r="BGM105" s="14"/>
      <c r="BGN105" s="14"/>
      <c r="BGO105" s="14"/>
      <c r="BGP105" s="14"/>
      <c r="BGQ105" s="14"/>
      <c r="BGR105" s="36"/>
      <c r="BGS105" s="14"/>
      <c r="BGT105" s="14"/>
      <c r="BGU105" s="14"/>
      <c r="BGV105" s="14"/>
      <c r="BGW105" s="14"/>
      <c r="BGX105" s="14"/>
      <c r="BGY105" s="14"/>
      <c r="BGZ105" s="36"/>
      <c r="BHA105" s="14"/>
      <c r="BHB105" s="14"/>
      <c r="BHC105" s="14"/>
      <c r="BHD105" s="14"/>
      <c r="BHE105" s="14"/>
      <c r="BHF105" s="14"/>
      <c r="BHG105" s="14"/>
      <c r="BHH105" s="36"/>
      <c r="BHI105" s="14"/>
      <c r="BHJ105" s="14"/>
      <c r="BHK105" s="14"/>
      <c r="BHL105" s="14"/>
      <c r="BHM105" s="14"/>
      <c r="BHN105" s="14"/>
      <c r="BHO105" s="14"/>
      <c r="BHP105" s="36"/>
      <c r="BHQ105" s="14"/>
      <c r="BHR105" s="14"/>
      <c r="BHS105" s="14"/>
      <c r="BHT105" s="14"/>
      <c r="BHU105" s="14"/>
      <c r="BHV105" s="14"/>
      <c r="BHW105" s="14"/>
      <c r="BHX105" s="36"/>
      <c r="BHY105" s="14"/>
      <c r="BHZ105" s="14"/>
      <c r="BIA105" s="14"/>
      <c r="BIB105" s="14"/>
      <c r="BIC105" s="14"/>
      <c r="BID105" s="14"/>
      <c r="BIE105" s="14"/>
      <c r="BIF105" s="36"/>
      <c r="BIG105" s="14"/>
      <c r="BIH105" s="14"/>
      <c r="BII105" s="14"/>
      <c r="BIJ105" s="14"/>
      <c r="BIK105" s="14"/>
      <c r="BIL105" s="14"/>
      <c r="BIM105" s="14"/>
      <c r="BIN105" s="36"/>
      <c r="BIO105" s="14"/>
      <c r="BIP105" s="14"/>
      <c r="BIQ105" s="14"/>
      <c r="BIR105" s="14"/>
      <c r="BIS105" s="14"/>
      <c r="BIT105" s="14"/>
      <c r="BIU105" s="14"/>
      <c r="BIV105" s="36"/>
      <c r="BIW105" s="14"/>
      <c r="BIX105" s="14"/>
      <c r="BIY105" s="14"/>
      <c r="BIZ105" s="14"/>
      <c r="BJA105" s="14"/>
      <c r="BJB105" s="14"/>
      <c r="BJC105" s="14"/>
      <c r="BJD105" s="36"/>
      <c r="BJE105" s="14"/>
      <c r="BJF105" s="14"/>
      <c r="BJG105" s="14"/>
      <c r="BJH105" s="14"/>
      <c r="BJI105" s="14"/>
      <c r="BJJ105" s="14"/>
      <c r="BJK105" s="14"/>
      <c r="BJL105" s="36"/>
      <c r="BJM105" s="14"/>
      <c r="BJN105" s="14"/>
      <c r="BJO105" s="14"/>
      <c r="BJP105" s="14"/>
      <c r="BJQ105" s="14"/>
      <c r="BJR105" s="14"/>
      <c r="BJS105" s="14"/>
      <c r="BJT105" s="36"/>
      <c r="BJU105" s="14"/>
      <c r="BJV105" s="14"/>
      <c r="BJW105" s="14"/>
      <c r="BJX105" s="14"/>
      <c r="BJY105" s="14"/>
      <c r="BJZ105" s="14"/>
      <c r="BKA105" s="14"/>
      <c r="BKB105" s="36"/>
      <c r="BKC105" s="14"/>
      <c r="BKD105" s="14"/>
      <c r="BKE105" s="14"/>
      <c r="BKF105" s="14"/>
      <c r="BKG105" s="14"/>
      <c r="BKH105" s="14"/>
      <c r="BKI105" s="14"/>
      <c r="BKJ105" s="36"/>
      <c r="BKK105" s="14"/>
      <c r="BKL105" s="14"/>
      <c r="BKM105" s="14"/>
      <c r="BKN105" s="14"/>
      <c r="BKO105" s="14"/>
      <c r="BKP105" s="14"/>
      <c r="BKQ105" s="14"/>
      <c r="BKR105" s="36"/>
      <c r="BKS105" s="14"/>
      <c r="BKT105" s="14"/>
      <c r="BKU105" s="14"/>
      <c r="BKV105" s="14"/>
      <c r="BKW105" s="14"/>
      <c r="BKX105" s="14"/>
      <c r="BKY105" s="14"/>
      <c r="BKZ105" s="36"/>
      <c r="BLA105" s="14"/>
      <c r="BLB105" s="14"/>
      <c r="BLC105" s="14"/>
      <c r="BLD105" s="14"/>
      <c r="BLE105" s="14"/>
      <c r="BLF105" s="14"/>
      <c r="BLG105" s="14"/>
      <c r="BLH105" s="36"/>
      <c r="BLI105" s="14"/>
      <c r="BLJ105" s="14"/>
      <c r="BLK105" s="14"/>
      <c r="BLL105" s="14"/>
      <c r="BLM105" s="14"/>
      <c r="BLN105" s="14"/>
      <c r="BLO105" s="14"/>
      <c r="BLP105" s="36"/>
      <c r="BLQ105" s="14"/>
      <c r="BLR105" s="14"/>
      <c r="BLS105" s="14"/>
      <c r="BLT105" s="14"/>
      <c r="BLU105" s="14"/>
      <c r="BLV105" s="14"/>
      <c r="BLW105" s="14"/>
      <c r="BLX105" s="36"/>
      <c r="BLY105" s="14"/>
      <c r="BLZ105" s="14"/>
      <c r="BMA105" s="14"/>
      <c r="BMB105" s="14"/>
      <c r="BMC105" s="14"/>
      <c r="BMD105" s="14"/>
      <c r="BME105" s="14"/>
      <c r="BMF105" s="36"/>
      <c r="BMG105" s="14"/>
      <c r="BMH105" s="14"/>
      <c r="BMI105" s="14"/>
      <c r="BMJ105" s="14"/>
      <c r="BMK105" s="14"/>
      <c r="BML105" s="14"/>
      <c r="BMM105" s="14"/>
      <c r="BMN105" s="36"/>
      <c r="BMO105" s="14"/>
      <c r="BMP105" s="14"/>
      <c r="BMQ105" s="14"/>
      <c r="BMR105" s="14"/>
      <c r="BMS105" s="14"/>
      <c r="BMT105" s="14"/>
      <c r="BMU105" s="14"/>
      <c r="BMV105" s="36"/>
      <c r="BMW105" s="14"/>
      <c r="BMX105" s="14"/>
      <c r="BMY105" s="14"/>
      <c r="BMZ105" s="14"/>
      <c r="BNA105" s="14"/>
      <c r="BNB105" s="14"/>
      <c r="BNC105" s="14"/>
      <c r="BND105" s="36"/>
      <c r="BNE105" s="14"/>
      <c r="BNF105" s="14"/>
      <c r="BNG105" s="14"/>
      <c r="BNH105" s="14"/>
      <c r="BNI105" s="14"/>
      <c r="BNJ105" s="14"/>
      <c r="BNK105" s="14"/>
      <c r="BNL105" s="36"/>
      <c r="BNM105" s="14"/>
      <c r="BNN105" s="14"/>
      <c r="BNO105" s="14"/>
      <c r="BNP105" s="14"/>
      <c r="BNQ105" s="14"/>
      <c r="BNR105" s="14"/>
      <c r="BNS105" s="14"/>
      <c r="BNT105" s="36"/>
      <c r="BNU105" s="14"/>
      <c r="BNV105" s="14"/>
      <c r="BNW105" s="14"/>
      <c r="BNX105" s="14"/>
      <c r="BNY105" s="14"/>
      <c r="BNZ105" s="14"/>
      <c r="BOA105" s="14"/>
      <c r="BOB105" s="36"/>
      <c r="BOC105" s="14"/>
      <c r="BOD105" s="14"/>
      <c r="BOE105" s="14"/>
      <c r="BOF105" s="14"/>
      <c r="BOG105" s="14"/>
      <c r="BOH105" s="14"/>
      <c r="BOI105" s="14"/>
      <c r="BOJ105" s="36"/>
      <c r="BOK105" s="14"/>
      <c r="BOL105" s="14"/>
      <c r="BOM105" s="14"/>
      <c r="BON105" s="14"/>
      <c r="BOO105" s="14"/>
      <c r="BOP105" s="14"/>
      <c r="BOQ105" s="14"/>
      <c r="BOR105" s="36"/>
      <c r="BOS105" s="14"/>
      <c r="BOT105" s="14"/>
      <c r="BOU105" s="14"/>
      <c r="BOV105" s="14"/>
      <c r="BOW105" s="14"/>
      <c r="BOX105" s="14"/>
      <c r="BOY105" s="14"/>
      <c r="BOZ105" s="36"/>
      <c r="BPA105" s="14"/>
      <c r="BPB105" s="14"/>
      <c r="BPC105" s="14"/>
      <c r="BPD105" s="14"/>
      <c r="BPE105" s="14"/>
      <c r="BPF105" s="14"/>
      <c r="BPG105" s="14"/>
      <c r="BPH105" s="36"/>
      <c r="BPI105" s="14"/>
      <c r="BPJ105" s="14"/>
      <c r="BPK105" s="14"/>
      <c r="BPL105" s="14"/>
      <c r="BPM105" s="14"/>
      <c r="BPN105" s="14"/>
      <c r="BPO105" s="14"/>
      <c r="BPP105" s="36"/>
      <c r="BPQ105" s="14"/>
      <c r="BPR105" s="14"/>
      <c r="BPS105" s="14"/>
      <c r="BPT105" s="14"/>
      <c r="BPU105" s="14"/>
      <c r="BPV105" s="14"/>
      <c r="BPW105" s="14"/>
      <c r="BPX105" s="36"/>
      <c r="BPY105" s="14"/>
      <c r="BPZ105" s="14"/>
      <c r="BQA105" s="14"/>
      <c r="BQB105" s="14"/>
      <c r="BQC105" s="14"/>
      <c r="BQD105" s="14"/>
      <c r="BQE105" s="14"/>
      <c r="BQF105" s="36"/>
      <c r="BQG105" s="14"/>
      <c r="BQH105" s="14"/>
      <c r="BQI105" s="14"/>
      <c r="BQJ105" s="14"/>
      <c r="BQK105" s="14"/>
      <c r="BQL105" s="14"/>
      <c r="BQM105" s="14"/>
      <c r="BQN105" s="36"/>
      <c r="BQO105" s="14"/>
      <c r="BQP105" s="14"/>
      <c r="BQQ105" s="14"/>
      <c r="BQR105" s="14"/>
      <c r="BQS105" s="14"/>
      <c r="BQT105" s="14"/>
      <c r="BQU105" s="14"/>
      <c r="BQV105" s="36"/>
      <c r="BQW105" s="14"/>
      <c r="BQX105" s="14"/>
      <c r="BQY105" s="14"/>
      <c r="BQZ105" s="14"/>
      <c r="BRA105" s="14"/>
      <c r="BRB105" s="14"/>
      <c r="BRC105" s="14"/>
      <c r="BRD105" s="36"/>
      <c r="BRE105" s="14"/>
      <c r="BRF105" s="14"/>
      <c r="BRG105" s="14"/>
      <c r="BRH105" s="14"/>
      <c r="BRI105" s="14"/>
      <c r="BRJ105" s="14"/>
      <c r="BRK105" s="14"/>
      <c r="BRL105" s="36"/>
      <c r="BRM105" s="14"/>
      <c r="BRN105" s="14"/>
      <c r="BRO105" s="14"/>
      <c r="BRP105" s="14"/>
      <c r="BRQ105" s="14"/>
      <c r="BRR105" s="14"/>
      <c r="BRS105" s="14"/>
      <c r="BRT105" s="36"/>
      <c r="BRU105" s="14"/>
      <c r="BRV105" s="14"/>
      <c r="BRW105" s="14"/>
      <c r="BRX105" s="14"/>
      <c r="BRY105" s="14"/>
      <c r="BRZ105" s="14"/>
      <c r="BSA105" s="14"/>
      <c r="BSB105" s="36"/>
      <c r="BSC105" s="14"/>
      <c r="BSD105" s="14"/>
      <c r="BSE105" s="14"/>
      <c r="BSF105" s="14"/>
      <c r="BSG105" s="14"/>
      <c r="BSH105" s="14"/>
      <c r="BSI105" s="14"/>
      <c r="BSJ105" s="36"/>
      <c r="BSK105" s="14"/>
      <c r="BSL105" s="14"/>
      <c r="BSM105" s="14"/>
      <c r="BSN105" s="14"/>
      <c r="BSO105" s="14"/>
      <c r="BSP105" s="14"/>
      <c r="BSQ105" s="14"/>
      <c r="BSR105" s="36"/>
      <c r="BSS105" s="14"/>
      <c r="BST105" s="14"/>
      <c r="BSU105" s="14"/>
      <c r="BSV105" s="14"/>
      <c r="BSW105" s="14"/>
      <c r="BSX105" s="14"/>
      <c r="BSY105" s="14"/>
      <c r="BSZ105" s="36"/>
      <c r="BTA105" s="14"/>
      <c r="BTB105" s="14"/>
      <c r="BTC105" s="14"/>
      <c r="BTD105" s="14"/>
      <c r="BTE105" s="14"/>
      <c r="BTF105" s="14"/>
      <c r="BTG105" s="14"/>
      <c r="BTH105" s="36"/>
      <c r="BTI105" s="14"/>
      <c r="BTJ105" s="14"/>
      <c r="BTK105" s="14"/>
      <c r="BTL105" s="14"/>
      <c r="BTM105" s="14"/>
      <c r="BTN105" s="14"/>
      <c r="BTO105" s="14"/>
      <c r="BTP105" s="36"/>
      <c r="BTQ105" s="14"/>
      <c r="BTR105" s="14"/>
      <c r="BTS105" s="14"/>
      <c r="BTT105" s="14"/>
      <c r="BTU105" s="14"/>
      <c r="BTV105" s="14"/>
      <c r="BTW105" s="14"/>
      <c r="BTX105" s="36"/>
      <c r="BTY105" s="14"/>
      <c r="BTZ105" s="14"/>
      <c r="BUA105" s="14"/>
      <c r="BUB105" s="14"/>
      <c r="BUC105" s="14"/>
      <c r="BUD105" s="14"/>
      <c r="BUE105" s="14"/>
      <c r="BUF105" s="36"/>
      <c r="BUG105" s="14"/>
      <c r="BUH105" s="14"/>
      <c r="BUI105" s="14"/>
      <c r="BUJ105" s="14"/>
      <c r="BUK105" s="14"/>
      <c r="BUL105" s="14"/>
      <c r="BUM105" s="14"/>
      <c r="BUN105" s="36"/>
      <c r="BUO105" s="14"/>
      <c r="BUP105" s="14"/>
      <c r="BUQ105" s="14"/>
      <c r="BUR105" s="14"/>
      <c r="BUS105" s="14"/>
      <c r="BUT105" s="14"/>
      <c r="BUU105" s="14"/>
      <c r="BUV105" s="36"/>
      <c r="BUW105" s="14"/>
      <c r="BUX105" s="14"/>
      <c r="BUY105" s="14"/>
      <c r="BUZ105" s="14"/>
      <c r="BVA105" s="14"/>
      <c r="BVB105" s="14"/>
      <c r="BVC105" s="14"/>
      <c r="BVD105" s="36"/>
      <c r="BVE105" s="14"/>
      <c r="BVF105" s="14"/>
      <c r="BVG105" s="14"/>
      <c r="BVH105" s="14"/>
      <c r="BVI105" s="14"/>
      <c r="BVJ105" s="14"/>
      <c r="BVK105" s="14"/>
      <c r="BVL105" s="36"/>
      <c r="BVM105" s="14"/>
      <c r="BVN105" s="14"/>
      <c r="BVO105" s="14"/>
      <c r="BVP105" s="14"/>
      <c r="BVQ105" s="14"/>
      <c r="BVR105" s="14"/>
      <c r="BVS105" s="14"/>
      <c r="BVT105" s="36"/>
      <c r="BVU105" s="14"/>
      <c r="BVV105" s="14"/>
      <c r="BVW105" s="14"/>
      <c r="BVX105" s="14"/>
      <c r="BVY105" s="14"/>
      <c r="BVZ105" s="14"/>
      <c r="BWA105" s="14"/>
      <c r="BWB105" s="36"/>
      <c r="BWC105" s="14"/>
      <c r="BWD105" s="14"/>
      <c r="BWE105" s="14"/>
      <c r="BWF105" s="14"/>
      <c r="BWG105" s="14"/>
      <c r="BWH105" s="14"/>
      <c r="BWI105" s="14"/>
      <c r="BWJ105" s="36"/>
      <c r="BWK105" s="14"/>
      <c r="BWL105" s="14"/>
      <c r="BWM105" s="14"/>
      <c r="BWN105" s="14"/>
      <c r="BWO105" s="14"/>
      <c r="BWP105" s="14"/>
      <c r="BWQ105" s="14"/>
      <c r="BWR105" s="36"/>
      <c r="BWS105" s="14"/>
      <c r="BWT105" s="14"/>
      <c r="BWU105" s="14"/>
      <c r="BWV105" s="14"/>
      <c r="BWW105" s="14"/>
      <c r="BWX105" s="14"/>
      <c r="BWY105" s="14"/>
      <c r="BWZ105" s="36"/>
      <c r="BXA105" s="14"/>
      <c r="BXB105" s="14"/>
      <c r="BXC105" s="14"/>
      <c r="BXD105" s="14"/>
      <c r="BXE105" s="14"/>
      <c r="BXF105" s="14"/>
      <c r="BXG105" s="14"/>
      <c r="BXH105" s="36"/>
      <c r="BXI105" s="14"/>
      <c r="BXJ105" s="14"/>
      <c r="BXK105" s="14"/>
      <c r="BXL105" s="14"/>
      <c r="BXM105" s="14"/>
      <c r="BXN105" s="14"/>
      <c r="BXO105" s="14"/>
      <c r="BXP105" s="36"/>
      <c r="BXQ105" s="14"/>
      <c r="BXR105" s="14"/>
      <c r="BXS105" s="14"/>
      <c r="BXT105" s="14"/>
      <c r="BXU105" s="14"/>
      <c r="BXV105" s="14"/>
      <c r="BXW105" s="14"/>
      <c r="BXX105" s="36"/>
      <c r="BXY105" s="14"/>
      <c r="BXZ105" s="14"/>
      <c r="BYA105" s="14"/>
      <c r="BYB105" s="14"/>
      <c r="BYC105" s="14"/>
      <c r="BYD105" s="14"/>
      <c r="BYE105" s="14"/>
      <c r="BYF105" s="36"/>
      <c r="BYG105" s="14"/>
      <c r="BYH105" s="14"/>
      <c r="BYI105" s="14"/>
      <c r="BYJ105" s="14"/>
      <c r="BYK105" s="14"/>
      <c r="BYL105" s="14"/>
      <c r="BYM105" s="14"/>
      <c r="BYN105" s="36"/>
      <c r="BYO105" s="14"/>
      <c r="BYP105" s="14"/>
      <c r="BYQ105" s="14"/>
      <c r="BYR105" s="14"/>
      <c r="BYS105" s="14"/>
      <c r="BYT105" s="14"/>
      <c r="BYU105" s="14"/>
      <c r="BYV105" s="36"/>
      <c r="BYW105" s="14"/>
      <c r="BYX105" s="14"/>
      <c r="BYY105" s="14"/>
      <c r="BYZ105" s="14"/>
      <c r="BZA105" s="14"/>
      <c r="BZB105" s="14"/>
      <c r="BZC105" s="14"/>
      <c r="BZD105" s="36"/>
      <c r="BZE105" s="14"/>
      <c r="BZF105" s="14"/>
      <c r="BZG105" s="14"/>
      <c r="BZH105" s="14"/>
      <c r="BZI105" s="14"/>
      <c r="BZJ105" s="14"/>
      <c r="BZK105" s="14"/>
      <c r="BZL105" s="36"/>
      <c r="BZM105" s="14"/>
      <c r="BZN105" s="14"/>
      <c r="BZO105" s="14"/>
      <c r="BZP105" s="14"/>
      <c r="BZQ105" s="14"/>
      <c r="BZR105" s="14"/>
      <c r="BZS105" s="14"/>
      <c r="BZT105" s="36"/>
      <c r="BZU105" s="14"/>
      <c r="BZV105" s="14"/>
      <c r="BZW105" s="14"/>
      <c r="BZX105" s="14"/>
      <c r="BZY105" s="14"/>
      <c r="BZZ105" s="14"/>
      <c r="CAA105" s="14"/>
      <c r="CAB105" s="36"/>
      <c r="CAC105" s="14"/>
      <c r="CAD105" s="14"/>
      <c r="CAE105" s="14"/>
      <c r="CAF105" s="14"/>
      <c r="CAG105" s="14"/>
      <c r="CAH105" s="14"/>
      <c r="CAI105" s="14"/>
      <c r="CAJ105" s="36"/>
      <c r="CAK105" s="14"/>
      <c r="CAL105" s="14"/>
      <c r="CAM105" s="14"/>
      <c r="CAN105" s="14"/>
      <c r="CAO105" s="14"/>
      <c r="CAP105" s="14"/>
      <c r="CAQ105" s="14"/>
      <c r="CAR105" s="36"/>
      <c r="CAS105" s="14"/>
      <c r="CAT105" s="14"/>
      <c r="CAU105" s="14"/>
      <c r="CAV105" s="14"/>
      <c r="CAW105" s="14"/>
      <c r="CAX105" s="14"/>
      <c r="CAY105" s="14"/>
      <c r="CAZ105" s="36"/>
      <c r="CBA105" s="14"/>
      <c r="CBB105" s="14"/>
      <c r="CBC105" s="14"/>
      <c r="CBD105" s="14"/>
      <c r="CBE105" s="14"/>
      <c r="CBF105" s="14"/>
      <c r="CBG105" s="14"/>
      <c r="CBH105" s="36"/>
      <c r="CBI105" s="14"/>
      <c r="CBJ105" s="14"/>
      <c r="CBK105" s="14"/>
      <c r="CBL105" s="14"/>
      <c r="CBM105" s="14"/>
      <c r="CBN105" s="14"/>
      <c r="CBO105" s="14"/>
      <c r="CBP105" s="36"/>
      <c r="CBQ105" s="14"/>
      <c r="CBR105" s="14"/>
      <c r="CBS105" s="14"/>
      <c r="CBT105" s="14"/>
      <c r="CBU105" s="14"/>
      <c r="CBV105" s="14"/>
      <c r="CBW105" s="14"/>
      <c r="CBX105" s="36"/>
      <c r="CBY105" s="14"/>
      <c r="CBZ105" s="14"/>
      <c r="CCA105" s="14"/>
      <c r="CCB105" s="14"/>
      <c r="CCC105" s="14"/>
      <c r="CCD105" s="14"/>
      <c r="CCE105" s="14"/>
      <c r="CCF105" s="36"/>
      <c r="CCG105" s="14"/>
      <c r="CCH105" s="14"/>
      <c r="CCI105" s="14"/>
      <c r="CCJ105" s="14"/>
      <c r="CCK105" s="14"/>
      <c r="CCL105" s="14"/>
      <c r="CCM105" s="14"/>
      <c r="CCN105" s="36"/>
      <c r="CCO105" s="14"/>
      <c r="CCP105" s="14"/>
      <c r="CCQ105" s="14"/>
      <c r="CCR105" s="14"/>
      <c r="CCS105" s="14"/>
      <c r="CCT105" s="14"/>
      <c r="CCU105" s="14"/>
      <c r="CCV105" s="36"/>
      <c r="CCW105" s="14"/>
      <c r="CCX105" s="14"/>
      <c r="CCY105" s="14"/>
      <c r="CCZ105" s="14"/>
      <c r="CDA105" s="14"/>
      <c r="CDB105" s="14"/>
      <c r="CDC105" s="14"/>
      <c r="CDD105" s="36"/>
      <c r="CDE105" s="14"/>
      <c r="CDF105" s="14"/>
      <c r="CDG105" s="14"/>
      <c r="CDH105" s="14"/>
      <c r="CDI105" s="14"/>
      <c r="CDJ105" s="14"/>
      <c r="CDK105" s="14"/>
      <c r="CDL105" s="36"/>
      <c r="CDM105" s="14"/>
      <c r="CDN105" s="14"/>
      <c r="CDO105" s="14"/>
      <c r="CDP105" s="14"/>
      <c r="CDQ105" s="14"/>
      <c r="CDR105" s="14"/>
      <c r="CDS105" s="14"/>
      <c r="CDT105" s="36"/>
      <c r="CDU105" s="14"/>
      <c r="CDV105" s="14"/>
      <c r="CDW105" s="14"/>
      <c r="CDX105" s="14"/>
      <c r="CDY105" s="14"/>
      <c r="CDZ105" s="14"/>
      <c r="CEA105" s="14"/>
      <c r="CEB105" s="36"/>
      <c r="CEC105" s="14"/>
      <c r="CED105" s="14"/>
      <c r="CEE105" s="14"/>
      <c r="CEF105" s="14"/>
      <c r="CEG105" s="14"/>
      <c r="CEH105" s="14"/>
      <c r="CEI105" s="14"/>
      <c r="CEJ105" s="36"/>
      <c r="CEK105" s="14"/>
      <c r="CEL105" s="14"/>
      <c r="CEM105" s="14"/>
      <c r="CEN105" s="14"/>
      <c r="CEO105" s="14"/>
      <c r="CEP105" s="14"/>
      <c r="CEQ105" s="14"/>
      <c r="CER105" s="36"/>
      <c r="CES105" s="14"/>
      <c r="CET105" s="14"/>
      <c r="CEU105" s="14"/>
      <c r="CEV105" s="14"/>
      <c r="CEW105" s="14"/>
      <c r="CEX105" s="14"/>
      <c r="CEY105" s="14"/>
      <c r="CEZ105" s="36"/>
      <c r="CFA105" s="14"/>
      <c r="CFB105" s="14"/>
      <c r="CFC105" s="14"/>
      <c r="CFD105" s="14"/>
      <c r="CFE105" s="14"/>
      <c r="CFF105" s="14"/>
      <c r="CFG105" s="14"/>
      <c r="CFH105" s="36"/>
      <c r="CFI105" s="14"/>
      <c r="CFJ105" s="14"/>
      <c r="CFK105" s="14"/>
      <c r="CFL105" s="14"/>
      <c r="CFM105" s="14"/>
      <c r="CFN105" s="14"/>
      <c r="CFO105" s="14"/>
      <c r="CFP105" s="36"/>
      <c r="CFQ105" s="14"/>
      <c r="CFR105" s="14"/>
      <c r="CFS105" s="14"/>
      <c r="CFT105" s="14"/>
      <c r="CFU105" s="14"/>
      <c r="CFV105" s="14"/>
      <c r="CFW105" s="14"/>
      <c r="CFX105" s="36"/>
      <c r="CFY105" s="14"/>
      <c r="CFZ105" s="14"/>
      <c r="CGA105" s="14"/>
      <c r="CGB105" s="14"/>
      <c r="CGC105" s="14"/>
      <c r="CGD105" s="14"/>
      <c r="CGE105" s="14"/>
      <c r="CGF105" s="36"/>
      <c r="CGG105" s="14"/>
      <c r="CGH105" s="14"/>
      <c r="CGI105" s="14"/>
      <c r="CGJ105" s="14"/>
      <c r="CGK105" s="14"/>
      <c r="CGL105" s="14"/>
      <c r="CGM105" s="14"/>
      <c r="CGN105" s="36"/>
      <c r="CGO105" s="14"/>
      <c r="CGP105" s="14"/>
      <c r="CGQ105" s="14"/>
      <c r="CGR105" s="14"/>
      <c r="CGS105" s="14"/>
      <c r="CGT105" s="14"/>
      <c r="CGU105" s="14"/>
      <c r="CGV105" s="36"/>
      <c r="CGW105" s="14"/>
      <c r="CGX105" s="14"/>
      <c r="CGY105" s="14"/>
      <c r="CGZ105" s="14"/>
      <c r="CHA105" s="14"/>
      <c r="CHB105" s="14"/>
      <c r="CHC105" s="14"/>
      <c r="CHD105" s="36"/>
      <c r="CHE105" s="14"/>
      <c r="CHF105" s="14"/>
      <c r="CHG105" s="14"/>
      <c r="CHH105" s="14"/>
      <c r="CHI105" s="14"/>
      <c r="CHJ105" s="14"/>
      <c r="CHK105" s="14"/>
      <c r="CHL105" s="36"/>
      <c r="CHM105" s="14"/>
      <c r="CHN105" s="14"/>
      <c r="CHO105" s="14"/>
      <c r="CHP105" s="14"/>
      <c r="CHQ105" s="14"/>
      <c r="CHR105" s="14"/>
      <c r="CHS105" s="14"/>
      <c r="CHT105" s="36"/>
      <c r="CHU105" s="14"/>
      <c r="CHV105" s="14"/>
      <c r="CHW105" s="14"/>
      <c r="CHX105" s="14"/>
      <c r="CHY105" s="14"/>
      <c r="CHZ105" s="14"/>
      <c r="CIA105" s="14"/>
      <c r="CIB105" s="36"/>
      <c r="CIC105" s="14"/>
      <c r="CID105" s="14"/>
      <c r="CIE105" s="14"/>
      <c r="CIF105" s="14"/>
      <c r="CIG105" s="14"/>
      <c r="CIH105" s="14"/>
      <c r="CII105" s="14"/>
      <c r="CIJ105" s="36"/>
      <c r="CIK105" s="14"/>
      <c r="CIL105" s="14"/>
      <c r="CIM105" s="14"/>
      <c r="CIN105" s="14"/>
      <c r="CIO105" s="14"/>
      <c r="CIP105" s="14"/>
      <c r="CIQ105" s="14"/>
      <c r="CIR105" s="36"/>
      <c r="CIS105" s="14"/>
      <c r="CIT105" s="14"/>
      <c r="CIU105" s="14"/>
      <c r="CIV105" s="14"/>
      <c r="CIW105" s="14"/>
      <c r="CIX105" s="14"/>
      <c r="CIY105" s="14"/>
      <c r="CIZ105" s="36"/>
      <c r="CJA105" s="14"/>
      <c r="CJB105" s="14"/>
      <c r="CJC105" s="14"/>
      <c r="CJD105" s="14"/>
      <c r="CJE105" s="14"/>
      <c r="CJF105" s="14"/>
      <c r="CJG105" s="14"/>
      <c r="CJH105" s="36"/>
      <c r="CJI105" s="14"/>
      <c r="CJJ105" s="14"/>
      <c r="CJK105" s="14"/>
      <c r="CJL105" s="14"/>
      <c r="CJM105" s="14"/>
      <c r="CJN105" s="14"/>
      <c r="CJO105" s="14"/>
      <c r="CJP105" s="36"/>
      <c r="CJQ105" s="14"/>
      <c r="CJR105" s="14"/>
      <c r="CJS105" s="14"/>
      <c r="CJT105" s="14"/>
      <c r="CJU105" s="14"/>
      <c r="CJV105" s="14"/>
      <c r="CJW105" s="14"/>
      <c r="CJX105" s="36"/>
      <c r="CJY105" s="14"/>
      <c r="CJZ105" s="14"/>
      <c r="CKA105" s="14"/>
      <c r="CKB105" s="14"/>
      <c r="CKC105" s="14"/>
      <c r="CKD105" s="14"/>
      <c r="CKE105" s="14"/>
      <c r="CKF105" s="36"/>
      <c r="CKG105" s="14"/>
      <c r="CKH105" s="14"/>
      <c r="CKI105" s="14"/>
      <c r="CKJ105" s="14"/>
      <c r="CKK105" s="14"/>
      <c r="CKL105" s="14"/>
      <c r="CKM105" s="14"/>
      <c r="CKN105" s="36"/>
      <c r="CKO105" s="14"/>
      <c r="CKP105" s="14"/>
      <c r="CKQ105" s="14"/>
      <c r="CKR105" s="14"/>
      <c r="CKS105" s="14"/>
      <c r="CKT105" s="14"/>
      <c r="CKU105" s="14"/>
      <c r="CKV105" s="36"/>
      <c r="CKW105" s="14"/>
      <c r="CKX105" s="14"/>
      <c r="CKY105" s="14"/>
      <c r="CKZ105" s="14"/>
      <c r="CLA105" s="14"/>
      <c r="CLB105" s="14"/>
      <c r="CLC105" s="14"/>
      <c r="CLD105" s="36"/>
      <c r="CLE105" s="14"/>
      <c r="CLF105" s="14"/>
      <c r="CLG105" s="14"/>
      <c r="CLH105" s="14"/>
      <c r="CLI105" s="14"/>
      <c r="CLJ105" s="14"/>
      <c r="CLK105" s="14"/>
      <c r="CLL105" s="36"/>
      <c r="CLM105" s="14"/>
      <c r="CLN105" s="14"/>
      <c r="CLO105" s="14"/>
      <c r="CLP105" s="14"/>
      <c r="CLQ105" s="14"/>
      <c r="CLR105" s="14"/>
      <c r="CLS105" s="14"/>
      <c r="CLT105" s="36"/>
      <c r="CLU105" s="14"/>
      <c r="CLV105" s="14"/>
      <c r="CLW105" s="14"/>
      <c r="CLX105" s="14"/>
      <c r="CLY105" s="14"/>
      <c r="CLZ105" s="14"/>
      <c r="CMA105" s="14"/>
      <c r="CMB105" s="36"/>
      <c r="CMC105" s="14"/>
      <c r="CMD105" s="14"/>
      <c r="CME105" s="14"/>
      <c r="CMF105" s="14"/>
      <c r="CMG105" s="14"/>
      <c r="CMH105" s="14"/>
      <c r="CMI105" s="14"/>
      <c r="CMJ105" s="36"/>
      <c r="CMK105" s="14"/>
      <c r="CML105" s="14"/>
      <c r="CMM105" s="14"/>
      <c r="CMN105" s="14"/>
      <c r="CMO105" s="14"/>
      <c r="CMP105" s="14"/>
      <c r="CMQ105" s="14"/>
      <c r="CMR105" s="36"/>
      <c r="CMS105" s="14"/>
      <c r="CMT105" s="14"/>
      <c r="CMU105" s="14"/>
      <c r="CMV105" s="14"/>
      <c r="CMW105" s="14"/>
      <c r="CMX105" s="14"/>
      <c r="CMY105" s="14"/>
      <c r="CMZ105" s="36"/>
      <c r="CNA105" s="14"/>
      <c r="CNB105" s="14"/>
      <c r="CNC105" s="14"/>
      <c r="CND105" s="14"/>
      <c r="CNE105" s="14"/>
      <c r="CNF105" s="14"/>
      <c r="CNG105" s="14"/>
      <c r="CNH105" s="36"/>
      <c r="CNI105" s="14"/>
      <c r="CNJ105" s="14"/>
      <c r="CNK105" s="14"/>
      <c r="CNL105" s="14"/>
      <c r="CNM105" s="14"/>
      <c r="CNN105" s="14"/>
      <c r="CNO105" s="14"/>
      <c r="CNP105" s="36"/>
      <c r="CNQ105" s="14"/>
      <c r="CNR105" s="14"/>
      <c r="CNS105" s="14"/>
      <c r="CNT105" s="14"/>
      <c r="CNU105" s="14"/>
      <c r="CNV105" s="14"/>
      <c r="CNW105" s="14"/>
      <c r="CNX105" s="36"/>
      <c r="CNY105" s="14"/>
      <c r="CNZ105" s="14"/>
      <c r="COA105" s="14"/>
      <c r="COB105" s="14"/>
      <c r="COC105" s="14"/>
      <c r="COD105" s="14"/>
      <c r="COE105" s="14"/>
      <c r="COF105" s="36"/>
      <c r="COG105" s="14"/>
      <c r="COH105" s="14"/>
      <c r="COI105" s="14"/>
      <c r="COJ105" s="14"/>
      <c r="COK105" s="14"/>
      <c r="COL105" s="14"/>
      <c r="COM105" s="14"/>
      <c r="CON105" s="36"/>
      <c r="COO105" s="14"/>
      <c r="COP105" s="14"/>
      <c r="COQ105" s="14"/>
      <c r="COR105" s="14"/>
      <c r="COS105" s="14"/>
      <c r="COT105" s="14"/>
      <c r="COU105" s="14"/>
      <c r="COV105" s="36"/>
      <c r="COW105" s="14"/>
      <c r="COX105" s="14"/>
      <c r="COY105" s="14"/>
      <c r="COZ105" s="14"/>
      <c r="CPA105" s="14"/>
      <c r="CPB105" s="14"/>
      <c r="CPC105" s="14"/>
      <c r="CPD105" s="36"/>
      <c r="CPE105" s="14"/>
      <c r="CPF105" s="14"/>
      <c r="CPG105" s="14"/>
      <c r="CPH105" s="14"/>
      <c r="CPI105" s="14"/>
      <c r="CPJ105" s="14"/>
      <c r="CPK105" s="14"/>
      <c r="CPL105" s="36"/>
      <c r="CPM105" s="14"/>
      <c r="CPN105" s="14"/>
      <c r="CPO105" s="14"/>
      <c r="CPP105" s="14"/>
      <c r="CPQ105" s="14"/>
      <c r="CPR105" s="14"/>
      <c r="CPS105" s="14"/>
      <c r="CPT105" s="36"/>
      <c r="CPU105" s="14"/>
      <c r="CPV105" s="14"/>
      <c r="CPW105" s="14"/>
      <c r="CPX105" s="14"/>
      <c r="CPY105" s="14"/>
      <c r="CPZ105" s="14"/>
      <c r="CQA105" s="14"/>
      <c r="CQB105" s="36"/>
      <c r="CQC105" s="14"/>
      <c r="CQD105" s="14"/>
      <c r="CQE105" s="14"/>
      <c r="CQF105" s="14"/>
      <c r="CQG105" s="14"/>
      <c r="CQH105" s="14"/>
      <c r="CQI105" s="14"/>
      <c r="CQJ105" s="36"/>
      <c r="CQK105" s="14"/>
      <c r="CQL105" s="14"/>
      <c r="CQM105" s="14"/>
      <c r="CQN105" s="14"/>
      <c r="CQO105" s="14"/>
      <c r="CQP105" s="14"/>
      <c r="CQQ105" s="14"/>
      <c r="CQR105" s="36"/>
      <c r="CQS105" s="14"/>
      <c r="CQT105" s="14"/>
      <c r="CQU105" s="14"/>
      <c r="CQV105" s="14"/>
      <c r="CQW105" s="14"/>
      <c r="CQX105" s="14"/>
      <c r="CQY105" s="14"/>
      <c r="CQZ105" s="36"/>
      <c r="CRA105" s="14"/>
      <c r="CRB105" s="14"/>
      <c r="CRC105" s="14"/>
      <c r="CRD105" s="14"/>
      <c r="CRE105" s="14"/>
      <c r="CRF105" s="14"/>
      <c r="CRG105" s="14"/>
      <c r="CRH105" s="36"/>
      <c r="CRI105" s="14"/>
      <c r="CRJ105" s="14"/>
      <c r="CRK105" s="14"/>
      <c r="CRL105" s="14"/>
      <c r="CRM105" s="14"/>
      <c r="CRN105" s="14"/>
      <c r="CRO105" s="14"/>
      <c r="CRP105" s="36"/>
      <c r="CRQ105" s="14"/>
      <c r="CRR105" s="14"/>
      <c r="CRS105" s="14"/>
      <c r="CRT105" s="14"/>
      <c r="CRU105" s="14"/>
      <c r="CRV105" s="14"/>
      <c r="CRW105" s="14"/>
      <c r="CRX105" s="36"/>
      <c r="CRY105" s="14"/>
      <c r="CRZ105" s="14"/>
      <c r="CSA105" s="14"/>
      <c r="CSB105" s="14"/>
      <c r="CSC105" s="14"/>
      <c r="CSD105" s="14"/>
      <c r="CSE105" s="14"/>
      <c r="CSF105" s="36"/>
      <c r="CSG105" s="14"/>
      <c r="CSH105" s="14"/>
      <c r="CSI105" s="14"/>
      <c r="CSJ105" s="14"/>
      <c r="CSK105" s="14"/>
      <c r="CSL105" s="14"/>
      <c r="CSM105" s="14"/>
      <c r="CSN105" s="36"/>
      <c r="CSO105" s="14"/>
      <c r="CSP105" s="14"/>
      <c r="CSQ105" s="14"/>
      <c r="CSR105" s="14"/>
      <c r="CSS105" s="14"/>
      <c r="CST105" s="14"/>
      <c r="CSU105" s="14"/>
      <c r="CSV105" s="36"/>
      <c r="CSW105" s="14"/>
      <c r="CSX105" s="14"/>
      <c r="CSY105" s="14"/>
      <c r="CSZ105" s="14"/>
      <c r="CTA105" s="14"/>
      <c r="CTB105" s="14"/>
      <c r="CTC105" s="14"/>
      <c r="CTD105" s="36"/>
      <c r="CTE105" s="14"/>
      <c r="CTF105" s="14"/>
      <c r="CTG105" s="14"/>
      <c r="CTH105" s="14"/>
      <c r="CTI105" s="14"/>
      <c r="CTJ105" s="14"/>
      <c r="CTK105" s="14"/>
      <c r="CTL105" s="36"/>
      <c r="CTM105" s="14"/>
      <c r="CTN105" s="14"/>
      <c r="CTO105" s="14"/>
      <c r="CTP105" s="14"/>
      <c r="CTQ105" s="14"/>
      <c r="CTR105" s="14"/>
      <c r="CTS105" s="14"/>
      <c r="CTT105" s="36"/>
      <c r="CTU105" s="14"/>
      <c r="CTV105" s="14"/>
      <c r="CTW105" s="14"/>
      <c r="CTX105" s="14"/>
      <c r="CTY105" s="14"/>
      <c r="CTZ105" s="14"/>
      <c r="CUA105" s="14"/>
      <c r="CUB105" s="36"/>
      <c r="CUC105" s="14"/>
      <c r="CUD105" s="14"/>
      <c r="CUE105" s="14"/>
      <c r="CUF105" s="14"/>
      <c r="CUG105" s="14"/>
      <c r="CUH105" s="14"/>
      <c r="CUI105" s="14"/>
      <c r="CUJ105" s="36"/>
      <c r="CUK105" s="14"/>
      <c r="CUL105" s="14"/>
      <c r="CUM105" s="14"/>
      <c r="CUN105" s="14"/>
      <c r="CUO105" s="14"/>
      <c r="CUP105" s="14"/>
      <c r="CUQ105" s="14"/>
      <c r="CUR105" s="36"/>
      <c r="CUS105" s="14"/>
      <c r="CUT105" s="14"/>
      <c r="CUU105" s="14"/>
      <c r="CUV105" s="14"/>
      <c r="CUW105" s="14"/>
      <c r="CUX105" s="14"/>
      <c r="CUY105" s="14"/>
      <c r="CUZ105" s="36"/>
      <c r="CVA105" s="14"/>
      <c r="CVB105" s="14"/>
      <c r="CVC105" s="14"/>
      <c r="CVD105" s="14"/>
      <c r="CVE105" s="14"/>
      <c r="CVF105" s="14"/>
      <c r="CVG105" s="14"/>
      <c r="CVH105" s="36"/>
      <c r="CVI105" s="14"/>
      <c r="CVJ105" s="14"/>
      <c r="CVK105" s="14"/>
      <c r="CVL105" s="14"/>
      <c r="CVM105" s="14"/>
      <c r="CVN105" s="14"/>
      <c r="CVO105" s="14"/>
      <c r="CVP105" s="36"/>
      <c r="CVQ105" s="14"/>
      <c r="CVR105" s="14"/>
      <c r="CVS105" s="14"/>
      <c r="CVT105" s="14"/>
      <c r="CVU105" s="14"/>
      <c r="CVV105" s="14"/>
      <c r="CVW105" s="14"/>
      <c r="CVX105" s="36"/>
      <c r="CVY105" s="14"/>
      <c r="CVZ105" s="14"/>
      <c r="CWA105" s="14"/>
      <c r="CWB105" s="14"/>
      <c r="CWC105" s="14"/>
      <c r="CWD105" s="14"/>
      <c r="CWE105" s="14"/>
      <c r="CWF105" s="36"/>
      <c r="CWG105" s="14"/>
      <c r="CWH105" s="14"/>
      <c r="CWI105" s="14"/>
      <c r="CWJ105" s="14"/>
      <c r="CWK105" s="14"/>
      <c r="CWL105" s="14"/>
      <c r="CWM105" s="14"/>
      <c r="CWN105" s="36"/>
      <c r="CWO105" s="14"/>
      <c r="CWP105" s="14"/>
      <c r="CWQ105" s="14"/>
      <c r="CWR105" s="14"/>
      <c r="CWS105" s="14"/>
      <c r="CWT105" s="14"/>
      <c r="CWU105" s="14"/>
      <c r="CWV105" s="36"/>
      <c r="CWW105" s="14"/>
      <c r="CWX105" s="14"/>
      <c r="CWY105" s="14"/>
      <c r="CWZ105" s="14"/>
      <c r="CXA105" s="14"/>
      <c r="CXB105" s="14"/>
      <c r="CXC105" s="14"/>
      <c r="CXD105" s="36"/>
      <c r="CXE105" s="14"/>
      <c r="CXF105" s="14"/>
      <c r="CXG105" s="14"/>
      <c r="CXH105" s="14"/>
      <c r="CXI105" s="14"/>
      <c r="CXJ105" s="14"/>
      <c r="CXK105" s="14"/>
      <c r="CXL105" s="36"/>
      <c r="CXM105" s="14"/>
      <c r="CXN105" s="14"/>
      <c r="CXO105" s="14"/>
      <c r="CXP105" s="14"/>
      <c r="CXQ105" s="14"/>
      <c r="CXR105" s="14"/>
      <c r="CXS105" s="14"/>
      <c r="CXT105" s="36"/>
      <c r="CXU105" s="14"/>
      <c r="CXV105" s="14"/>
      <c r="CXW105" s="14"/>
      <c r="CXX105" s="14"/>
      <c r="CXY105" s="14"/>
      <c r="CXZ105" s="14"/>
      <c r="CYA105" s="14"/>
      <c r="CYB105" s="36"/>
      <c r="CYC105" s="14"/>
      <c r="CYD105" s="14"/>
      <c r="CYE105" s="14"/>
      <c r="CYF105" s="14"/>
      <c r="CYG105" s="14"/>
      <c r="CYH105" s="14"/>
      <c r="CYI105" s="14"/>
      <c r="CYJ105" s="36"/>
      <c r="CYK105" s="14"/>
      <c r="CYL105" s="14"/>
      <c r="CYM105" s="14"/>
      <c r="CYN105" s="14"/>
      <c r="CYO105" s="14"/>
      <c r="CYP105" s="14"/>
      <c r="CYQ105" s="14"/>
      <c r="CYR105" s="36"/>
      <c r="CYS105" s="14"/>
      <c r="CYT105" s="14"/>
      <c r="CYU105" s="14"/>
      <c r="CYV105" s="14"/>
      <c r="CYW105" s="14"/>
      <c r="CYX105" s="14"/>
      <c r="CYY105" s="14"/>
      <c r="CYZ105" s="36"/>
      <c r="CZA105" s="14"/>
      <c r="CZB105" s="14"/>
      <c r="CZC105" s="14"/>
      <c r="CZD105" s="14"/>
      <c r="CZE105" s="14"/>
      <c r="CZF105" s="14"/>
      <c r="CZG105" s="14"/>
      <c r="CZH105" s="36"/>
      <c r="CZI105" s="14"/>
      <c r="CZJ105" s="14"/>
      <c r="CZK105" s="14"/>
      <c r="CZL105" s="14"/>
      <c r="CZM105" s="14"/>
      <c r="CZN105" s="14"/>
      <c r="CZO105" s="14"/>
      <c r="CZP105" s="36"/>
      <c r="CZQ105" s="14"/>
      <c r="CZR105" s="14"/>
      <c r="CZS105" s="14"/>
      <c r="CZT105" s="14"/>
      <c r="CZU105" s="14"/>
      <c r="CZV105" s="14"/>
      <c r="CZW105" s="14"/>
      <c r="CZX105" s="36"/>
      <c r="CZY105" s="14"/>
      <c r="CZZ105" s="14"/>
      <c r="DAA105" s="14"/>
      <c r="DAB105" s="14"/>
      <c r="DAC105" s="14"/>
      <c r="DAD105" s="14"/>
      <c r="DAE105" s="14"/>
      <c r="DAF105" s="36"/>
      <c r="DAG105" s="14"/>
      <c r="DAH105" s="14"/>
      <c r="DAI105" s="14"/>
      <c r="DAJ105" s="14"/>
      <c r="DAK105" s="14"/>
      <c r="DAL105" s="14"/>
      <c r="DAM105" s="14"/>
      <c r="DAN105" s="36"/>
      <c r="DAO105" s="14"/>
      <c r="DAP105" s="14"/>
      <c r="DAQ105" s="14"/>
      <c r="DAR105" s="14"/>
      <c r="DAS105" s="14"/>
      <c r="DAT105" s="14"/>
      <c r="DAU105" s="14"/>
      <c r="DAV105" s="36"/>
      <c r="DAW105" s="14"/>
      <c r="DAX105" s="14"/>
      <c r="DAY105" s="14"/>
      <c r="DAZ105" s="14"/>
      <c r="DBA105" s="14"/>
      <c r="DBB105" s="14"/>
      <c r="DBC105" s="14"/>
      <c r="DBD105" s="36"/>
      <c r="DBE105" s="14"/>
      <c r="DBF105" s="14"/>
      <c r="DBG105" s="14"/>
      <c r="DBH105" s="14"/>
      <c r="DBI105" s="14"/>
      <c r="DBJ105" s="14"/>
      <c r="DBK105" s="14"/>
      <c r="DBL105" s="36"/>
      <c r="DBM105" s="14"/>
      <c r="DBN105" s="14"/>
      <c r="DBO105" s="14"/>
      <c r="DBP105" s="14"/>
      <c r="DBQ105" s="14"/>
      <c r="DBR105" s="14"/>
      <c r="DBS105" s="14"/>
      <c r="DBT105" s="36"/>
      <c r="DBU105" s="14"/>
      <c r="DBV105" s="14"/>
      <c r="DBW105" s="14"/>
      <c r="DBX105" s="14"/>
      <c r="DBY105" s="14"/>
      <c r="DBZ105" s="14"/>
      <c r="DCA105" s="14"/>
      <c r="DCB105" s="36"/>
      <c r="DCC105" s="14"/>
      <c r="DCD105" s="14"/>
      <c r="DCE105" s="14"/>
      <c r="DCF105" s="14"/>
      <c r="DCG105" s="14"/>
      <c r="DCH105" s="14"/>
      <c r="DCI105" s="14"/>
      <c r="DCJ105" s="36"/>
      <c r="DCK105" s="14"/>
      <c r="DCL105" s="14"/>
      <c r="DCM105" s="14"/>
      <c r="DCN105" s="14"/>
      <c r="DCO105" s="14"/>
      <c r="DCP105" s="14"/>
      <c r="DCQ105" s="14"/>
      <c r="DCR105" s="36"/>
      <c r="DCS105" s="14"/>
      <c r="DCT105" s="14"/>
      <c r="DCU105" s="14"/>
      <c r="DCV105" s="14"/>
      <c r="DCW105" s="14"/>
      <c r="DCX105" s="14"/>
      <c r="DCY105" s="14"/>
      <c r="DCZ105" s="36"/>
      <c r="DDA105" s="14"/>
      <c r="DDB105" s="14"/>
      <c r="DDC105" s="14"/>
      <c r="DDD105" s="14"/>
      <c r="DDE105" s="14"/>
      <c r="DDF105" s="14"/>
      <c r="DDG105" s="14"/>
      <c r="DDH105" s="36"/>
      <c r="DDI105" s="14"/>
      <c r="DDJ105" s="14"/>
      <c r="DDK105" s="14"/>
      <c r="DDL105" s="14"/>
      <c r="DDM105" s="14"/>
      <c r="DDN105" s="14"/>
      <c r="DDO105" s="14"/>
      <c r="DDP105" s="36"/>
      <c r="DDQ105" s="14"/>
      <c r="DDR105" s="14"/>
      <c r="DDS105" s="14"/>
      <c r="DDT105" s="14"/>
      <c r="DDU105" s="14"/>
      <c r="DDV105" s="14"/>
      <c r="DDW105" s="14"/>
      <c r="DDX105" s="36"/>
      <c r="DDY105" s="14"/>
      <c r="DDZ105" s="14"/>
      <c r="DEA105" s="14"/>
      <c r="DEB105" s="14"/>
      <c r="DEC105" s="14"/>
      <c r="DED105" s="14"/>
      <c r="DEE105" s="14"/>
      <c r="DEF105" s="36"/>
      <c r="DEG105" s="14"/>
      <c r="DEH105" s="14"/>
      <c r="DEI105" s="14"/>
      <c r="DEJ105" s="14"/>
      <c r="DEK105" s="14"/>
      <c r="DEL105" s="14"/>
      <c r="DEM105" s="14"/>
      <c r="DEN105" s="36"/>
      <c r="DEO105" s="14"/>
      <c r="DEP105" s="14"/>
      <c r="DEQ105" s="14"/>
      <c r="DER105" s="14"/>
      <c r="DES105" s="14"/>
      <c r="DET105" s="14"/>
      <c r="DEU105" s="14"/>
      <c r="DEV105" s="36"/>
      <c r="DEW105" s="14"/>
      <c r="DEX105" s="14"/>
      <c r="DEY105" s="14"/>
      <c r="DEZ105" s="14"/>
      <c r="DFA105" s="14"/>
      <c r="DFB105" s="14"/>
      <c r="DFC105" s="14"/>
      <c r="DFD105" s="36"/>
      <c r="DFE105" s="14"/>
      <c r="DFF105" s="14"/>
      <c r="DFG105" s="14"/>
      <c r="DFH105" s="14"/>
      <c r="DFI105" s="14"/>
      <c r="DFJ105" s="14"/>
      <c r="DFK105" s="14"/>
      <c r="DFL105" s="36"/>
      <c r="DFM105" s="14"/>
      <c r="DFN105" s="14"/>
      <c r="DFO105" s="14"/>
      <c r="DFP105" s="14"/>
      <c r="DFQ105" s="14"/>
      <c r="DFR105" s="14"/>
      <c r="DFS105" s="14"/>
      <c r="DFT105" s="36"/>
      <c r="DFU105" s="14"/>
      <c r="DFV105" s="14"/>
      <c r="DFW105" s="14"/>
      <c r="DFX105" s="14"/>
      <c r="DFY105" s="14"/>
      <c r="DFZ105" s="14"/>
      <c r="DGA105" s="14"/>
      <c r="DGB105" s="36"/>
      <c r="DGC105" s="14"/>
      <c r="DGD105" s="14"/>
      <c r="DGE105" s="14"/>
      <c r="DGF105" s="14"/>
      <c r="DGG105" s="14"/>
      <c r="DGH105" s="14"/>
      <c r="DGI105" s="14"/>
      <c r="DGJ105" s="36"/>
      <c r="DGK105" s="14"/>
      <c r="DGL105" s="14"/>
      <c r="DGM105" s="14"/>
      <c r="DGN105" s="14"/>
      <c r="DGO105" s="14"/>
      <c r="DGP105" s="14"/>
      <c r="DGQ105" s="14"/>
      <c r="DGR105" s="36"/>
      <c r="DGS105" s="14"/>
      <c r="DGT105" s="14"/>
      <c r="DGU105" s="14"/>
      <c r="DGV105" s="14"/>
      <c r="DGW105" s="14"/>
      <c r="DGX105" s="14"/>
      <c r="DGY105" s="14"/>
      <c r="DGZ105" s="36"/>
      <c r="DHA105" s="14"/>
      <c r="DHB105" s="14"/>
      <c r="DHC105" s="14"/>
      <c r="DHD105" s="14"/>
      <c r="DHE105" s="14"/>
      <c r="DHF105" s="14"/>
      <c r="DHG105" s="14"/>
      <c r="DHH105" s="36"/>
      <c r="DHI105" s="14"/>
      <c r="DHJ105" s="14"/>
      <c r="DHK105" s="14"/>
      <c r="DHL105" s="14"/>
      <c r="DHM105" s="14"/>
      <c r="DHN105" s="14"/>
      <c r="DHO105" s="14"/>
      <c r="DHP105" s="36"/>
      <c r="DHQ105" s="14"/>
      <c r="DHR105" s="14"/>
      <c r="DHS105" s="14"/>
      <c r="DHT105" s="14"/>
      <c r="DHU105" s="14"/>
      <c r="DHV105" s="14"/>
      <c r="DHW105" s="14"/>
      <c r="DHX105" s="36"/>
      <c r="DHY105" s="14"/>
      <c r="DHZ105" s="14"/>
      <c r="DIA105" s="14"/>
      <c r="DIB105" s="14"/>
      <c r="DIC105" s="14"/>
      <c r="DID105" s="14"/>
      <c r="DIE105" s="14"/>
      <c r="DIF105" s="36"/>
      <c r="DIG105" s="14"/>
      <c r="DIH105" s="14"/>
      <c r="DII105" s="14"/>
      <c r="DIJ105" s="14"/>
      <c r="DIK105" s="14"/>
      <c r="DIL105" s="14"/>
      <c r="DIM105" s="14"/>
      <c r="DIN105" s="36"/>
      <c r="DIO105" s="14"/>
      <c r="DIP105" s="14"/>
      <c r="DIQ105" s="14"/>
      <c r="DIR105" s="14"/>
      <c r="DIS105" s="14"/>
      <c r="DIT105" s="14"/>
      <c r="DIU105" s="14"/>
      <c r="DIV105" s="36"/>
      <c r="DIW105" s="14"/>
      <c r="DIX105" s="14"/>
      <c r="DIY105" s="14"/>
      <c r="DIZ105" s="14"/>
      <c r="DJA105" s="14"/>
      <c r="DJB105" s="14"/>
      <c r="DJC105" s="14"/>
      <c r="DJD105" s="36"/>
      <c r="DJE105" s="14"/>
      <c r="DJF105" s="14"/>
      <c r="DJG105" s="14"/>
      <c r="DJH105" s="14"/>
      <c r="DJI105" s="14"/>
      <c r="DJJ105" s="14"/>
      <c r="DJK105" s="14"/>
      <c r="DJL105" s="36"/>
      <c r="DJM105" s="14"/>
      <c r="DJN105" s="14"/>
      <c r="DJO105" s="14"/>
      <c r="DJP105" s="14"/>
      <c r="DJQ105" s="14"/>
      <c r="DJR105" s="14"/>
      <c r="DJS105" s="14"/>
      <c r="DJT105" s="36"/>
      <c r="DJU105" s="14"/>
      <c r="DJV105" s="14"/>
      <c r="DJW105" s="14"/>
      <c r="DJX105" s="14"/>
      <c r="DJY105" s="14"/>
      <c r="DJZ105" s="14"/>
      <c r="DKA105" s="14"/>
      <c r="DKB105" s="36"/>
      <c r="DKC105" s="14"/>
      <c r="DKD105" s="14"/>
      <c r="DKE105" s="14"/>
      <c r="DKF105" s="14"/>
      <c r="DKG105" s="14"/>
      <c r="DKH105" s="14"/>
      <c r="DKI105" s="14"/>
      <c r="DKJ105" s="36"/>
      <c r="DKK105" s="14"/>
      <c r="DKL105" s="14"/>
      <c r="DKM105" s="14"/>
      <c r="DKN105" s="14"/>
      <c r="DKO105" s="14"/>
      <c r="DKP105" s="14"/>
      <c r="DKQ105" s="14"/>
      <c r="DKR105" s="36"/>
      <c r="DKS105" s="14"/>
      <c r="DKT105" s="14"/>
      <c r="DKU105" s="14"/>
      <c r="DKV105" s="14"/>
      <c r="DKW105" s="14"/>
      <c r="DKX105" s="14"/>
      <c r="DKY105" s="14"/>
      <c r="DKZ105" s="36"/>
      <c r="DLA105" s="14"/>
      <c r="DLB105" s="14"/>
      <c r="DLC105" s="14"/>
      <c r="DLD105" s="14"/>
      <c r="DLE105" s="14"/>
      <c r="DLF105" s="14"/>
      <c r="DLG105" s="14"/>
      <c r="DLH105" s="36"/>
      <c r="DLI105" s="14"/>
      <c r="DLJ105" s="14"/>
      <c r="DLK105" s="14"/>
      <c r="DLL105" s="14"/>
      <c r="DLM105" s="14"/>
      <c r="DLN105" s="14"/>
      <c r="DLO105" s="14"/>
      <c r="DLP105" s="36"/>
      <c r="DLQ105" s="14"/>
      <c r="DLR105" s="14"/>
      <c r="DLS105" s="14"/>
      <c r="DLT105" s="14"/>
      <c r="DLU105" s="14"/>
      <c r="DLV105" s="14"/>
      <c r="DLW105" s="14"/>
      <c r="DLX105" s="36"/>
      <c r="DLY105" s="14"/>
      <c r="DLZ105" s="14"/>
      <c r="DMA105" s="14"/>
      <c r="DMB105" s="14"/>
      <c r="DMC105" s="14"/>
      <c r="DMD105" s="14"/>
      <c r="DME105" s="14"/>
      <c r="DMF105" s="36"/>
      <c r="DMG105" s="14"/>
      <c r="DMH105" s="14"/>
      <c r="DMI105" s="14"/>
      <c r="DMJ105" s="14"/>
      <c r="DMK105" s="14"/>
      <c r="DML105" s="14"/>
      <c r="DMM105" s="14"/>
      <c r="DMN105" s="36"/>
      <c r="DMO105" s="14"/>
      <c r="DMP105" s="14"/>
      <c r="DMQ105" s="14"/>
      <c r="DMR105" s="14"/>
      <c r="DMS105" s="14"/>
      <c r="DMT105" s="14"/>
      <c r="DMU105" s="14"/>
      <c r="DMV105" s="36"/>
      <c r="DMW105" s="14"/>
      <c r="DMX105" s="14"/>
      <c r="DMY105" s="14"/>
      <c r="DMZ105" s="14"/>
      <c r="DNA105" s="14"/>
      <c r="DNB105" s="14"/>
      <c r="DNC105" s="14"/>
      <c r="DND105" s="36"/>
      <c r="DNE105" s="14"/>
      <c r="DNF105" s="14"/>
      <c r="DNG105" s="14"/>
      <c r="DNH105" s="14"/>
      <c r="DNI105" s="14"/>
      <c r="DNJ105" s="14"/>
      <c r="DNK105" s="14"/>
      <c r="DNL105" s="36"/>
      <c r="DNM105" s="14"/>
      <c r="DNN105" s="14"/>
      <c r="DNO105" s="14"/>
      <c r="DNP105" s="14"/>
      <c r="DNQ105" s="14"/>
      <c r="DNR105" s="14"/>
      <c r="DNS105" s="14"/>
      <c r="DNT105" s="36"/>
      <c r="DNU105" s="14"/>
      <c r="DNV105" s="14"/>
      <c r="DNW105" s="14"/>
      <c r="DNX105" s="14"/>
      <c r="DNY105" s="14"/>
      <c r="DNZ105" s="14"/>
      <c r="DOA105" s="14"/>
      <c r="DOB105" s="36"/>
      <c r="DOC105" s="14"/>
      <c r="DOD105" s="14"/>
      <c r="DOE105" s="14"/>
      <c r="DOF105" s="14"/>
      <c r="DOG105" s="14"/>
      <c r="DOH105" s="14"/>
      <c r="DOI105" s="14"/>
      <c r="DOJ105" s="36"/>
      <c r="DOK105" s="14"/>
      <c r="DOL105" s="14"/>
      <c r="DOM105" s="14"/>
      <c r="DON105" s="14"/>
      <c r="DOO105" s="14"/>
      <c r="DOP105" s="14"/>
      <c r="DOQ105" s="14"/>
      <c r="DOR105" s="36"/>
      <c r="DOS105" s="14"/>
      <c r="DOT105" s="14"/>
      <c r="DOU105" s="14"/>
      <c r="DOV105" s="14"/>
      <c r="DOW105" s="14"/>
      <c r="DOX105" s="14"/>
      <c r="DOY105" s="14"/>
      <c r="DOZ105" s="36"/>
      <c r="DPA105" s="14"/>
      <c r="DPB105" s="14"/>
      <c r="DPC105" s="14"/>
      <c r="DPD105" s="14"/>
      <c r="DPE105" s="14"/>
      <c r="DPF105" s="14"/>
      <c r="DPG105" s="14"/>
      <c r="DPH105" s="36"/>
      <c r="DPI105" s="14"/>
      <c r="DPJ105" s="14"/>
      <c r="DPK105" s="14"/>
      <c r="DPL105" s="14"/>
      <c r="DPM105" s="14"/>
      <c r="DPN105" s="14"/>
      <c r="DPO105" s="14"/>
      <c r="DPP105" s="36"/>
      <c r="DPQ105" s="14"/>
      <c r="DPR105" s="14"/>
      <c r="DPS105" s="14"/>
      <c r="DPT105" s="14"/>
      <c r="DPU105" s="14"/>
      <c r="DPV105" s="14"/>
      <c r="DPW105" s="14"/>
      <c r="DPX105" s="36"/>
      <c r="DPY105" s="14"/>
      <c r="DPZ105" s="14"/>
      <c r="DQA105" s="14"/>
      <c r="DQB105" s="14"/>
      <c r="DQC105" s="14"/>
      <c r="DQD105" s="14"/>
      <c r="DQE105" s="14"/>
      <c r="DQF105" s="36"/>
      <c r="DQG105" s="14"/>
      <c r="DQH105" s="14"/>
      <c r="DQI105" s="14"/>
      <c r="DQJ105" s="14"/>
      <c r="DQK105" s="14"/>
      <c r="DQL105" s="14"/>
      <c r="DQM105" s="14"/>
      <c r="DQN105" s="36"/>
      <c r="DQO105" s="14"/>
      <c r="DQP105" s="14"/>
      <c r="DQQ105" s="14"/>
      <c r="DQR105" s="14"/>
      <c r="DQS105" s="14"/>
      <c r="DQT105" s="14"/>
      <c r="DQU105" s="14"/>
      <c r="DQV105" s="36"/>
      <c r="DQW105" s="14"/>
      <c r="DQX105" s="14"/>
      <c r="DQY105" s="14"/>
      <c r="DQZ105" s="14"/>
      <c r="DRA105" s="14"/>
      <c r="DRB105" s="14"/>
      <c r="DRC105" s="14"/>
      <c r="DRD105" s="36"/>
      <c r="DRE105" s="14"/>
      <c r="DRF105" s="14"/>
      <c r="DRG105" s="14"/>
      <c r="DRH105" s="14"/>
      <c r="DRI105" s="14"/>
      <c r="DRJ105" s="14"/>
      <c r="DRK105" s="14"/>
      <c r="DRL105" s="36"/>
      <c r="DRM105" s="14"/>
      <c r="DRN105" s="14"/>
      <c r="DRO105" s="14"/>
      <c r="DRP105" s="14"/>
      <c r="DRQ105" s="14"/>
      <c r="DRR105" s="14"/>
      <c r="DRS105" s="14"/>
      <c r="DRT105" s="36"/>
      <c r="DRU105" s="14"/>
      <c r="DRV105" s="14"/>
      <c r="DRW105" s="14"/>
      <c r="DRX105" s="14"/>
      <c r="DRY105" s="14"/>
      <c r="DRZ105" s="14"/>
      <c r="DSA105" s="14"/>
      <c r="DSB105" s="36"/>
      <c r="DSC105" s="14"/>
      <c r="DSD105" s="14"/>
      <c r="DSE105" s="14"/>
      <c r="DSF105" s="14"/>
      <c r="DSG105" s="14"/>
      <c r="DSH105" s="14"/>
      <c r="DSI105" s="14"/>
      <c r="DSJ105" s="36"/>
      <c r="DSK105" s="14"/>
      <c r="DSL105" s="14"/>
      <c r="DSM105" s="14"/>
      <c r="DSN105" s="14"/>
      <c r="DSO105" s="14"/>
      <c r="DSP105" s="14"/>
      <c r="DSQ105" s="14"/>
      <c r="DSR105" s="36"/>
      <c r="DSS105" s="14"/>
      <c r="DST105" s="14"/>
      <c r="DSU105" s="14"/>
      <c r="DSV105" s="14"/>
      <c r="DSW105" s="14"/>
      <c r="DSX105" s="14"/>
      <c r="DSY105" s="14"/>
      <c r="DSZ105" s="36"/>
      <c r="DTA105" s="14"/>
      <c r="DTB105" s="14"/>
      <c r="DTC105" s="14"/>
      <c r="DTD105" s="14"/>
      <c r="DTE105" s="14"/>
      <c r="DTF105" s="14"/>
      <c r="DTG105" s="14"/>
      <c r="DTH105" s="36"/>
      <c r="DTI105" s="14"/>
      <c r="DTJ105" s="14"/>
      <c r="DTK105" s="14"/>
      <c r="DTL105" s="14"/>
      <c r="DTM105" s="14"/>
      <c r="DTN105" s="14"/>
      <c r="DTO105" s="14"/>
      <c r="DTP105" s="36"/>
      <c r="DTQ105" s="14"/>
      <c r="DTR105" s="14"/>
      <c r="DTS105" s="14"/>
      <c r="DTT105" s="14"/>
      <c r="DTU105" s="14"/>
      <c r="DTV105" s="14"/>
      <c r="DTW105" s="14"/>
      <c r="DTX105" s="36"/>
      <c r="DTY105" s="14"/>
      <c r="DTZ105" s="14"/>
      <c r="DUA105" s="14"/>
      <c r="DUB105" s="14"/>
      <c r="DUC105" s="14"/>
      <c r="DUD105" s="14"/>
      <c r="DUE105" s="14"/>
      <c r="DUF105" s="36"/>
      <c r="DUG105" s="14"/>
      <c r="DUH105" s="14"/>
      <c r="DUI105" s="14"/>
      <c r="DUJ105" s="14"/>
      <c r="DUK105" s="14"/>
      <c r="DUL105" s="14"/>
      <c r="DUM105" s="14"/>
      <c r="DUN105" s="36"/>
      <c r="DUO105" s="14"/>
      <c r="DUP105" s="14"/>
      <c r="DUQ105" s="14"/>
      <c r="DUR105" s="14"/>
      <c r="DUS105" s="14"/>
      <c r="DUT105" s="14"/>
      <c r="DUU105" s="14"/>
      <c r="DUV105" s="36"/>
      <c r="DUW105" s="14"/>
      <c r="DUX105" s="14"/>
      <c r="DUY105" s="14"/>
      <c r="DUZ105" s="14"/>
      <c r="DVA105" s="14"/>
      <c r="DVB105" s="14"/>
      <c r="DVC105" s="14"/>
      <c r="DVD105" s="36"/>
      <c r="DVE105" s="14"/>
      <c r="DVF105" s="14"/>
      <c r="DVG105" s="14"/>
      <c r="DVH105" s="14"/>
      <c r="DVI105" s="14"/>
      <c r="DVJ105" s="14"/>
      <c r="DVK105" s="14"/>
      <c r="DVL105" s="36"/>
      <c r="DVM105" s="14"/>
      <c r="DVN105" s="14"/>
      <c r="DVO105" s="14"/>
      <c r="DVP105" s="14"/>
      <c r="DVQ105" s="14"/>
      <c r="DVR105" s="14"/>
      <c r="DVS105" s="14"/>
      <c r="DVT105" s="36"/>
      <c r="DVU105" s="14"/>
      <c r="DVV105" s="14"/>
      <c r="DVW105" s="14"/>
      <c r="DVX105" s="14"/>
      <c r="DVY105" s="14"/>
      <c r="DVZ105" s="14"/>
      <c r="DWA105" s="14"/>
      <c r="DWB105" s="36"/>
      <c r="DWC105" s="14"/>
      <c r="DWD105" s="14"/>
      <c r="DWE105" s="14"/>
      <c r="DWF105" s="14"/>
      <c r="DWG105" s="14"/>
      <c r="DWH105" s="14"/>
      <c r="DWI105" s="14"/>
      <c r="DWJ105" s="36"/>
      <c r="DWK105" s="14"/>
      <c r="DWL105" s="14"/>
      <c r="DWM105" s="14"/>
      <c r="DWN105" s="14"/>
      <c r="DWO105" s="14"/>
      <c r="DWP105" s="14"/>
      <c r="DWQ105" s="14"/>
      <c r="DWR105" s="36"/>
      <c r="DWS105" s="14"/>
      <c r="DWT105" s="14"/>
      <c r="DWU105" s="14"/>
      <c r="DWV105" s="14"/>
      <c r="DWW105" s="14"/>
      <c r="DWX105" s="14"/>
      <c r="DWY105" s="14"/>
      <c r="DWZ105" s="36"/>
      <c r="DXA105" s="14"/>
      <c r="DXB105" s="14"/>
      <c r="DXC105" s="14"/>
      <c r="DXD105" s="14"/>
      <c r="DXE105" s="14"/>
      <c r="DXF105" s="14"/>
      <c r="DXG105" s="14"/>
      <c r="DXH105" s="36"/>
      <c r="DXI105" s="14"/>
      <c r="DXJ105" s="14"/>
      <c r="DXK105" s="14"/>
      <c r="DXL105" s="14"/>
      <c r="DXM105" s="14"/>
      <c r="DXN105" s="14"/>
      <c r="DXO105" s="14"/>
      <c r="DXP105" s="36"/>
      <c r="DXQ105" s="14"/>
      <c r="DXR105" s="14"/>
      <c r="DXS105" s="14"/>
      <c r="DXT105" s="14"/>
      <c r="DXU105" s="14"/>
      <c r="DXV105" s="14"/>
      <c r="DXW105" s="14"/>
      <c r="DXX105" s="36"/>
      <c r="DXY105" s="14"/>
      <c r="DXZ105" s="14"/>
      <c r="DYA105" s="14"/>
      <c r="DYB105" s="14"/>
      <c r="DYC105" s="14"/>
      <c r="DYD105" s="14"/>
      <c r="DYE105" s="14"/>
      <c r="DYF105" s="36"/>
      <c r="DYG105" s="14"/>
      <c r="DYH105" s="14"/>
      <c r="DYI105" s="14"/>
      <c r="DYJ105" s="14"/>
      <c r="DYK105" s="14"/>
      <c r="DYL105" s="14"/>
      <c r="DYM105" s="14"/>
      <c r="DYN105" s="36"/>
      <c r="DYO105" s="14"/>
      <c r="DYP105" s="14"/>
      <c r="DYQ105" s="14"/>
      <c r="DYR105" s="14"/>
      <c r="DYS105" s="14"/>
      <c r="DYT105" s="14"/>
      <c r="DYU105" s="14"/>
      <c r="DYV105" s="36"/>
      <c r="DYW105" s="14"/>
      <c r="DYX105" s="14"/>
      <c r="DYY105" s="14"/>
      <c r="DYZ105" s="14"/>
      <c r="DZA105" s="14"/>
      <c r="DZB105" s="14"/>
      <c r="DZC105" s="14"/>
      <c r="DZD105" s="36"/>
      <c r="DZE105" s="14"/>
      <c r="DZF105" s="14"/>
      <c r="DZG105" s="14"/>
      <c r="DZH105" s="14"/>
      <c r="DZI105" s="14"/>
      <c r="DZJ105" s="14"/>
      <c r="DZK105" s="14"/>
      <c r="DZL105" s="36"/>
      <c r="DZM105" s="14"/>
      <c r="DZN105" s="14"/>
      <c r="DZO105" s="14"/>
      <c r="DZP105" s="14"/>
      <c r="DZQ105" s="14"/>
      <c r="DZR105" s="14"/>
      <c r="DZS105" s="14"/>
      <c r="DZT105" s="36"/>
      <c r="DZU105" s="14"/>
      <c r="DZV105" s="14"/>
      <c r="DZW105" s="14"/>
      <c r="DZX105" s="14"/>
      <c r="DZY105" s="14"/>
      <c r="DZZ105" s="14"/>
      <c r="EAA105" s="14"/>
      <c r="EAB105" s="36"/>
      <c r="EAC105" s="14"/>
      <c r="EAD105" s="14"/>
      <c r="EAE105" s="14"/>
      <c r="EAF105" s="14"/>
      <c r="EAG105" s="14"/>
      <c r="EAH105" s="14"/>
      <c r="EAI105" s="14"/>
      <c r="EAJ105" s="36"/>
      <c r="EAK105" s="14"/>
      <c r="EAL105" s="14"/>
      <c r="EAM105" s="14"/>
      <c r="EAN105" s="14"/>
      <c r="EAO105" s="14"/>
      <c r="EAP105" s="14"/>
      <c r="EAQ105" s="14"/>
      <c r="EAR105" s="36"/>
      <c r="EAS105" s="14"/>
      <c r="EAT105" s="14"/>
      <c r="EAU105" s="14"/>
      <c r="EAV105" s="14"/>
      <c r="EAW105" s="14"/>
      <c r="EAX105" s="14"/>
      <c r="EAY105" s="14"/>
      <c r="EAZ105" s="36"/>
      <c r="EBA105" s="14"/>
      <c r="EBB105" s="14"/>
      <c r="EBC105" s="14"/>
      <c r="EBD105" s="14"/>
      <c r="EBE105" s="14"/>
      <c r="EBF105" s="14"/>
      <c r="EBG105" s="14"/>
      <c r="EBH105" s="36"/>
      <c r="EBI105" s="14"/>
      <c r="EBJ105" s="14"/>
      <c r="EBK105" s="14"/>
      <c r="EBL105" s="14"/>
      <c r="EBM105" s="14"/>
      <c r="EBN105" s="14"/>
      <c r="EBO105" s="14"/>
      <c r="EBP105" s="36"/>
      <c r="EBQ105" s="14"/>
      <c r="EBR105" s="14"/>
      <c r="EBS105" s="14"/>
      <c r="EBT105" s="14"/>
      <c r="EBU105" s="14"/>
      <c r="EBV105" s="14"/>
      <c r="EBW105" s="14"/>
      <c r="EBX105" s="36"/>
      <c r="EBY105" s="14"/>
      <c r="EBZ105" s="14"/>
      <c r="ECA105" s="14"/>
      <c r="ECB105" s="14"/>
      <c r="ECC105" s="14"/>
      <c r="ECD105" s="14"/>
      <c r="ECE105" s="14"/>
      <c r="ECF105" s="36"/>
      <c r="ECG105" s="14"/>
      <c r="ECH105" s="14"/>
      <c r="ECI105" s="14"/>
      <c r="ECJ105" s="14"/>
      <c r="ECK105" s="14"/>
      <c r="ECL105" s="14"/>
      <c r="ECM105" s="14"/>
      <c r="ECN105" s="36"/>
      <c r="ECO105" s="14"/>
      <c r="ECP105" s="14"/>
      <c r="ECQ105" s="14"/>
      <c r="ECR105" s="14"/>
      <c r="ECS105" s="14"/>
      <c r="ECT105" s="14"/>
      <c r="ECU105" s="14"/>
      <c r="ECV105" s="36"/>
      <c r="ECW105" s="14"/>
      <c r="ECX105" s="14"/>
      <c r="ECY105" s="14"/>
      <c r="ECZ105" s="14"/>
      <c r="EDA105" s="14"/>
      <c r="EDB105" s="14"/>
      <c r="EDC105" s="14"/>
      <c r="EDD105" s="36"/>
      <c r="EDE105" s="14"/>
      <c r="EDF105" s="14"/>
      <c r="EDG105" s="14"/>
      <c r="EDH105" s="14"/>
      <c r="EDI105" s="14"/>
      <c r="EDJ105" s="14"/>
      <c r="EDK105" s="14"/>
      <c r="EDL105" s="36"/>
      <c r="EDM105" s="14"/>
      <c r="EDN105" s="14"/>
      <c r="EDO105" s="14"/>
      <c r="EDP105" s="14"/>
      <c r="EDQ105" s="14"/>
      <c r="EDR105" s="14"/>
      <c r="EDS105" s="14"/>
      <c r="EDT105" s="36"/>
      <c r="EDU105" s="14"/>
      <c r="EDV105" s="14"/>
      <c r="EDW105" s="14"/>
      <c r="EDX105" s="14"/>
      <c r="EDY105" s="14"/>
      <c r="EDZ105" s="14"/>
      <c r="EEA105" s="14"/>
      <c r="EEB105" s="36"/>
      <c r="EEC105" s="14"/>
      <c r="EED105" s="14"/>
      <c r="EEE105" s="14"/>
      <c r="EEF105" s="14"/>
      <c r="EEG105" s="14"/>
      <c r="EEH105" s="14"/>
      <c r="EEI105" s="14"/>
      <c r="EEJ105" s="36"/>
      <c r="EEK105" s="14"/>
      <c r="EEL105" s="14"/>
      <c r="EEM105" s="14"/>
      <c r="EEN105" s="14"/>
      <c r="EEO105" s="14"/>
      <c r="EEP105" s="14"/>
      <c r="EEQ105" s="14"/>
      <c r="EER105" s="36"/>
      <c r="EES105" s="14"/>
      <c r="EET105" s="14"/>
      <c r="EEU105" s="14"/>
      <c r="EEV105" s="14"/>
      <c r="EEW105" s="14"/>
      <c r="EEX105" s="14"/>
      <c r="EEY105" s="14"/>
      <c r="EEZ105" s="36"/>
      <c r="EFA105" s="14"/>
      <c r="EFB105" s="14"/>
      <c r="EFC105" s="14"/>
      <c r="EFD105" s="14"/>
      <c r="EFE105" s="14"/>
      <c r="EFF105" s="14"/>
      <c r="EFG105" s="14"/>
      <c r="EFH105" s="36"/>
      <c r="EFI105" s="14"/>
      <c r="EFJ105" s="14"/>
      <c r="EFK105" s="14"/>
      <c r="EFL105" s="14"/>
      <c r="EFM105" s="14"/>
      <c r="EFN105" s="14"/>
      <c r="EFO105" s="14"/>
      <c r="EFP105" s="36"/>
      <c r="EFQ105" s="14"/>
      <c r="EFR105" s="14"/>
      <c r="EFS105" s="14"/>
      <c r="EFT105" s="14"/>
      <c r="EFU105" s="14"/>
      <c r="EFV105" s="14"/>
      <c r="EFW105" s="14"/>
      <c r="EFX105" s="36"/>
      <c r="EFY105" s="14"/>
      <c r="EFZ105" s="14"/>
      <c r="EGA105" s="14"/>
      <c r="EGB105" s="14"/>
      <c r="EGC105" s="14"/>
      <c r="EGD105" s="14"/>
      <c r="EGE105" s="14"/>
      <c r="EGF105" s="36"/>
      <c r="EGG105" s="14"/>
      <c r="EGH105" s="14"/>
      <c r="EGI105" s="14"/>
      <c r="EGJ105" s="14"/>
      <c r="EGK105" s="14"/>
      <c r="EGL105" s="14"/>
      <c r="EGM105" s="14"/>
      <c r="EGN105" s="36"/>
      <c r="EGO105" s="14"/>
      <c r="EGP105" s="14"/>
      <c r="EGQ105" s="14"/>
      <c r="EGR105" s="14"/>
      <c r="EGS105" s="14"/>
      <c r="EGT105" s="14"/>
      <c r="EGU105" s="14"/>
      <c r="EGV105" s="36"/>
      <c r="EGW105" s="14"/>
      <c r="EGX105" s="14"/>
      <c r="EGY105" s="14"/>
      <c r="EGZ105" s="14"/>
      <c r="EHA105" s="14"/>
      <c r="EHB105" s="14"/>
      <c r="EHC105" s="14"/>
      <c r="EHD105" s="36"/>
      <c r="EHE105" s="14"/>
      <c r="EHF105" s="14"/>
      <c r="EHG105" s="14"/>
      <c r="EHH105" s="14"/>
      <c r="EHI105" s="14"/>
      <c r="EHJ105" s="14"/>
      <c r="EHK105" s="14"/>
      <c r="EHL105" s="36"/>
      <c r="EHM105" s="14"/>
      <c r="EHN105" s="14"/>
      <c r="EHO105" s="14"/>
      <c r="EHP105" s="14"/>
      <c r="EHQ105" s="14"/>
      <c r="EHR105" s="14"/>
      <c r="EHS105" s="14"/>
      <c r="EHT105" s="36"/>
      <c r="EHU105" s="14"/>
      <c r="EHV105" s="14"/>
      <c r="EHW105" s="14"/>
      <c r="EHX105" s="14"/>
      <c r="EHY105" s="14"/>
      <c r="EHZ105" s="14"/>
      <c r="EIA105" s="14"/>
      <c r="EIB105" s="36"/>
      <c r="EIC105" s="14"/>
      <c r="EID105" s="14"/>
      <c r="EIE105" s="14"/>
      <c r="EIF105" s="14"/>
      <c r="EIG105" s="14"/>
      <c r="EIH105" s="14"/>
      <c r="EII105" s="14"/>
      <c r="EIJ105" s="36"/>
      <c r="EIK105" s="14"/>
      <c r="EIL105" s="14"/>
      <c r="EIM105" s="14"/>
      <c r="EIN105" s="14"/>
      <c r="EIO105" s="14"/>
      <c r="EIP105" s="14"/>
      <c r="EIQ105" s="14"/>
      <c r="EIR105" s="36"/>
      <c r="EIS105" s="14"/>
      <c r="EIT105" s="14"/>
      <c r="EIU105" s="14"/>
      <c r="EIV105" s="14"/>
      <c r="EIW105" s="14"/>
      <c r="EIX105" s="14"/>
      <c r="EIY105" s="14"/>
      <c r="EIZ105" s="36"/>
      <c r="EJA105" s="14"/>
      <c r="EJB105" s="14"/>
      <c r="EJC105" s="14"/>
      <c r="EJD105" s="14"/>
      <c r="EJE105" s="14"/>
      <c r="EJF105" s="14"/>
      <c r="EJG105" s="14"/>
      <c r="EJH105" s="36"/>
      <c r="EJI105" s="14"/>
      <c r="EJJ105" s="14"/>
      <c r="EJK105" s="14"/>
      <c r="EJL105" s="14"/>
      <c r="EJM105" s="14"/>
      <c r="EJN105" s="14"/>
      <c r="EJO105" s="14"/>
      <c r="EJP105" s="36"/>
      <c r="EJQ105" s="14"/>
      <c r="EJR105" s="14"/>
      <c r="EJS105" s="14"/>
      <c r="EJT105" s="14"/>
      <c r="EJU105" s="14"/>
      <c r="EJV105" s="14"/>
      <c r="EJW105" s="14"/>
      <c r="EJX105" s="36"/>
      <c r="EJY105" s="14"/>
      <c r="EJZ105" s="14"/>
      <c r="EKA105" s="14"/>
      <c r="EKB105" s="14"/>
      <c r="EKC105" s="14"/>
      <c r="EKD105" s="14"/>
      <c r="EKE105" s="14"/>
      <c r="EKF105" s="36"/>
      <c r="EKG105" s="14"/>
      <c r="EKH105" s="14"/>
      <c r="EKI105" s="14"/>
      <c r="EKJ105" s="14"/>
      <c r="EKK105" s="14"/>
      <c r="EKL105" s="14"/>
      <c r="EKM105" s="14"/>
      <c r="EKN105" s="36"/>
      <c r="EKO105" s="14"/>
      <c r="EKP105" s="14"/>
      <c r="EKQ105" s="14"/>
      <c r="EKR105" s="14"/>
      <c r="EKS105" s="14"/>
      <c r="EKT105" s="14"/>
      <c r="EKU105" s="14"/>
      <c r="EKV105" s="36"/>
      <c r="EKW105" s="14"/>
      <c r="EKX105" s="14"/>
      <c r="EKY105" s="14"/>
      <c r="EKZ105" s="14"/>
      <c r="ELA105" s="14"/>
      <c r="ELB105" s="14"/>
      <c r="ELC105" s="14"/>
      <c r="ELD105" s="36"/>
      <c r="ELE105" s="14"/>
      <c r="ELF105" s="14"/>
      <c r="ELG105" s="14"/>
      <c r="ELH105" s="14"/>
      <c r="ELI105" s="14"/>
      <c r="ELJ105" s="14"/>
      <c r="ELK105" s="14"/>
      <c r="ELL105" s="36"/>
      <c r="ELM105" s="14"/>
      <c r="ELN105" s="14"/>
      <c r="ELO105" s="14"/>
      <c r="ELP105" s="14"/>
      <c r="ELQ105" s="14"/>
      <c r="ELR105" s="14"/>
      <c r="ELS105" s="14"/>
      <c r="ELT105" s="36"/>
      <c r="ELU105" s="14"/>
      <c r="ELV105" s="14"/>
      <c r="ELW105" s="14"/>
      <c r="ELX105" s="14"/>
      <c r="ELY105" s="14"/>
      <c r="ELZ105" s="14"/>
      <c r="EMA105" s="14"/>
      <c r="EMB105" s="36"/>
      <c r="EMC105" s="14"/>
      <c r="EMD105" s="14"/>
      <c r="EME105" s="14"/>
      <c r="EMF105" s="14"/>
      <c r="EMG105" s="14"/>
      <c r="EMH105" s="14"/>
      <c r="EMI105" s="14"/>
      <c r="EMJ105" s="36"/>
      <c r="EMK105" s="14"/>
      <c r="EML105" s="14"/>
      <c r="EMM105" s="14"/>
      <c r="EMN105" s="14"/>
      <c r="EMO105" s="14"/>
      <c r="EMP105" s="14"/>
      <c r="EMQ105" s="14"/>
      <c r="EMR105" s="36"/>
      <c r="EMS105" s="14"/>
      <c r="EMT105" s="14"/>
      <c r="EMU105" s="14"/>
      <c r="EMV105" s="14"/>
      <c r="EMW105" s="14"/>
      <c r="EMX105" s="14"/>
      <c r="EMY105" s="14"/>
      <c r="EMZ105" s="36"/>
      <c r="ENA105" s="14"/>
      <c r="ENB105" s="14"/>
      <c r="ENC105" s="14"/>
      <c r="END105" s="14"/>
      <c r="ENE105" s="14"/>
      <c r="ENF105" s="14"/>
      <c r="ENG105" s="14"/>
      <c r="ENH105" s="36"/>
      <c r="ENI105" s="14"/>
      <c r="ENJ105" s="14"/>
      <c r="ENK105" s="14"/>
      <c r="ENL105" s="14"/>
      <c r="ENM105" s="14"/>
      <c r="ENN105" s="14"/>
      <c r="ENO105" s="14"/>
      <c r="ENP105" s="36"/>
      <c r="ENQ105" s="14"/>
      <c r="ENR105" s="14"/>
      <c r="ENS105" s="14"/>
      <c r="ENT105" s="14"/>
      <c r="ENU105" s="14"/>
      <c r="ENV105" s="14"/>
      <c r="ENW105" s="14"/>
      <c r="ENX105" s="36"/>
      <c r="ENY105" s="14"/>
      <c r="ENZ105" s="14"/>
      <c r="EOA105" s="14"/>
      <c r="EOB105" s="14"/>
      <c r="EOC105" s="14"/>
      <c r="EOD105" s="14"/>
      <c r="EOE105" s="14"/>
      <c r="EOF105" s="36"/>
      <c r="EOG105" s="14"/>
      <c r="EOH105" s="14"/>
      <c r="EOI105" s="14"/>
      <c r="EOJ105" s="14"/>
      <c r="EOK105" s="14"/>
      <c r="EOL105" s="14"/>
      <c r="EOM105" s="14"/>
      <c r="EON105" s="36"/>
      <c r="EOO105" s="14"/>
      <c r="EOP105" s="14"/>
      <c r="EOQ105" s="14"/>
      <c r="EOR105" s="14"/>
      <c r="EOS105" s="14"/>
      <c r="EOT105" s="14"/>
      <c r="EOU105" s="14"/>
      <c r="EOV105" s="36"/>
      <c r="EOW105" s="14"/>
      <c r="EOX105" s="14"/>
      <c r="EOY105" s="14"/>
      <c r="EOZ105" s="14"/>
      <c r="EPA105" s="14"/>
      <c r="EPB105" s="14"/>
      <c r="EPC105" s="14"/>
      <c r="EPD105" s="36"/>
      <c r="EPE105" s="14"/>
      <c r="EPF105" s="14"/>
      <c r="EPG105" s="14"/>
      <c r="EPH105" s="14"/>
      <c r="EPI105" s="14"/>
      <c r="EPJ105" s="14"/>
      <c r="EPK105" s="14"/>
      <c r="EPL105" s="36"/>
      <c r="EPM105" s="14"/>
      <c r="EPN105" s="14"/>
      <c r="EPO105" s="14"/>
      <c r="EPP105" s="14"/>
      <c r="EPQ105" s="14"/>
      <c r="EPR105" s="14"/>
      <c r="EPS105" s="14"/>
      <c r="EPT105" s="36"/>
      <c r="EPU105" s="14"/>
      <c r="EPV105" s="14"/>
      <c r="EPW105" s="14"/>
      <c r="EPX105" s="14"/>
      <c r="EPY105" s="14"/>
      <c r="EPZ105" s="14"/>
      <c r="EQA105" s="14"/>
      <c r="EQB105" s="36"/>
      <c r="EQC105" s="14"/>
      <c r="EQD105" s="14"/>
      <c r="EQE105" s="14"/>
      <c r="EQF105" s="14"/>
      <c r="EQG105" s="14"/>
      <c r="EQH105" s="14"/>
      <c r="EQI105" s="14"/>
      <c r="EQJ105" s="36"/>
      <c r="EQK105" s="14"/>
      <c r="EQL105" s="14"/>
      <c r="EQM105" s="14"/>
      <c r="EQN105" s="14"/>
      <c r="EQO105" s="14"/>
      <c r="EQP105" s="14"/>
      <c r="EQQ105" s="14"/>
      <c r="EQR105" s="36"/>
      <c r="EQS105" s="14"/>
      <c r="EQT105" s="14"/>
      <c r="EQU105" s="14"/>
      <c r="EQV105" s="14"/>
      <c r="EQW105" s="14"/>
      <c r="EQX105" s="14"/>
      <c r="EQY105" s="14"/>
      <c r="EQZ105" s="36"/>
      <c r="ERA105" s="14"/>
      <c r="ERB105" s="14"/>
      <c r="ERC105" s="14"/>
      <c r="ERD105" s="14"/>
      <c r="ERE105" s="14"/>
      <c r="ERF105" s="14"/>
      <c r="ERG105" s="14"/>
      <c r="ERH105" s="36"/>
      <c r="ERI105" s="14"/>
      <c r="ERJ105" s="14"/>
      <c r="ERK105" s="14"/>
      <c r="ERL105" s="14"/>
      <c r="ERM105" s="14"/>
      <c r="ERN105" s="14"/>
      <c r="ERO105" s="14"/>
      <c r="ERP105" s="36"/>
      <c r="ERQ105" s="14"/>
      <c r="ERR105" s="14"/>
      <c r="ERS105" s="14"/>
      <c r="ERT105" s="14"/>
      <c r="ERU105" s="14"/>
      <c r="ERV105" s="14"/>
      <c r="ERW105" s="14"/>
      <c r="ERX105" s="36"/>
      <c r="ERY105" s="14"/>
      <c r="ERZ105" s="14"/>
      <c r="ESA105" s="14"/>
      <c r="ESB105" s="14"/>
      <c r="ESC105" s="14"/>
      <c r="ESD105" s="14"/>
      <c r="ESE105" s="14"/>
      <c r="ESF105" s="36"/>
      <c r="ESG105" s="14"/>
      <c r="ESH105" s="14"/>
      <c r="ESI105" s="14"/>
      <c r="ESJ105" s="14"/>
      <c r="ESK105" s="14"/>
      <c r="ESL105" s="14"/>
      <c r="ESM105" s="14"/>
      <c r="ESN105" s="36"/>
      <c r="ESO105" s="14"/>
      <c r="ESP105" s="14"/>
      <c r="ESQ105" s="14"/>
      <c r="ESR105" s="14"/>
      <c r="ESS105" s="14"/>
      <c r="EST105" s="14"/>
      <c r="ESU105" s="14"/>
      <c r="ESV105" s="36"/>
      <c r="ESW105" s="14"/>
      <c r="ESX105" s="14"/>
      <c r="ESY105" s="14"/>
      <c r="ESZ105" s="14"/>
      <c r="ETA105" s="14"/>
      <c r="ETB105" s="14"/>
      <c r="ETC105" s="14"/>
      <c r="ETD105" s="36"/>
      <c r="ETE105" s="14"/>
      <c r="ETF105" s="14"/>
      <c r="ETG105" s="14"/>
      <c r="ETH105" s="14"/>
      <c r="ETI105" s="14"/>
      <c r="ETJ105" s="14"/>
      <c r="ETK105" s="14"/>
      <c r="ETL105" s="36"/>
      <c r="ETM105" s="14"/>
      <c r="ETN105" s="14"/>
      <c r="ETO105" s="14"/>
      <c r="ETP105" s="14"/>
      <c r="ETQ105" s="14"/>
      <c r="ETR105" s="14"/>
      <c r="ETS105" s="14"/>
      <c r="ETT105" s="36"/>
      <c r="ETU105" s="14"/>
      <c r="ETV105" s="14"/>
      <c r="ETW105" s="14"/>
      <c r="ETX105" s="14"/>
      <c r="ETY105" s="14"/>
      <c r="ETZ105" s="14"/>
      <c r="EUA105" s="14"/>
      <c r="EUB105" s="36"/>
      <c r="EUC105" s="14"/>
      <c r="EUD105" s="14"/>
      <c r="EUE105" s="14"/>
      <c r="EUF105" s="14"/>
      <c r="EUG105" s="14"/>
      <c r="EUH105" s="14"/>
      <c r="EUI105" s="14"/>
      <c r="EUJ105" s="36"/>
      <c r="EUK105" s="14"/>
      <c r="EUL105" s="14"/>
      <c r="EUM105" s="14"/>
      <c r="EUN105" s="14"/>
      <c r="EUO105" s="14"/>
      <c r="EUP105" s="14"/>
      <c r="EUQ105" s="14"/>
      <c r="EUR105" s="36"/>
      <c r="EUS105" s="14"/>
      <c r="EUT105" s="14"/>
      <c r="EUU105" s="14"/>
      <c r="EUV105" s="14"/>
      <c r="EUW105" s="14"/>
      <c r="EUX105" s="14"/>
      <c r="EUY105" s="14"/>
      <c r="EUZ105" s="36"/>
      <c r="EVA105" s="14"/>
      <c r="EVB105" s="14"/>
      <c r="EVC105" s="14"/>
      <c r="EVD105" s="14"/>
      <c r="EVE105" s="14"/>
      <c r="EVF105" s="14"/>
      <c r="EVG105" s="14"/>
      <c r="EVH105" s="36"/>
      <c r="EVI105" s="14"/>
      <c r="EVJ105" s="14"/>
      <c r="EVK105" s="14"/>
      <c r="EVL105" s="14"/>
      <c r="EVM105" s="14"/>
      <c r="EVN105" s="14"/>
      <c r="EVO105" s="14"/>
      <c r="EVP105" s="36"/>
      <c r="EVQ105" s="14"/>
      <c r="EVR105" s="14"/>
      <c r="EVS105" s="14"/>
      <c r="EVT105" s="14"/>
      <c r="EVU105" s="14"/>
      <c r="EVV105" s="14"/>
      <c r="EVW105" s="14"/>
      <c r="EVX105" s="36"/>
      <c r="EVY105" s="14"/>
      <c r="EVZ105" s="14"/>
      <c r="EWA105" s="14"/>
      <c r="EWB105" s="14"/>
      <c r="EWC105" s="14"/>
      <c r="EWD105" s="14"/>
      <c r="EWE105" s="14"/>
      <c r="EWF105" s="36"/>
      <c r="EWG105" s="14"/>
      <c r="EWH105" s="14"/>
      <c r="EWI105" s="14"/>
      <c r="EWJ105" s="14"/>
      <c r="EWK105" s="14"/>
      <c r="EWL105" s="14"/>
      <c r="EWM105" s="14"/>
      <c r="EWN105" s="36"/>
      <c r="EWO105" s="14"/>
      <c r="EWP105" s="14"/>
      <c r="EWQ105" s="14"/>
      <c r="EWR105" s="14"/>
      <c r="EWS105" s="14"/>
      <c r="EWT105" s="14"/>
      <c r="EWU105" s="14"/>
      <c r="EWV105" s="36"/>
      <c r="EWW105" s="14"/>
      <c r="EWX105" s="14"/>
      <c r="EWY105" s="14"/>
      <c r="EWZ105" s="14"/>
      <c r="EXA105" s="14"/>
      <c r="EXB105" s="14"/>
      <c r="EXC105" s="14"/>
      <c r="EXD105" s="36"/>
      <c r="EXE105" s="14"/>
      <c r="EXF105" s="14"/>
      <c r="EXG105" s="14"/>
      <c r="EXH105" s="14"/>
      <c r="EXI105" s="14"/>
      <c r="EXJ105" s="14"/>
      <c r="EXK105" s="14"/>
      <c r="EXL105" s="36"/>
      <c r="EXM105" s="14"/>
      <c r="EXN105" s="14"/>
      <c r="EXO105" s="14"/>
      <c r="EXP105" s="14"/>
      <c r="EXQ105" s="14"/>
      <c r="EXR105" s="14"/>
      <c r="EXS105" s="14"/>
      <c r="EXT105" s="36"/>
      <c r="EXU105" s="14"/>
      <c r="EXV105" s="14"/>
      <c r="EXW105" s="14"/>
      <c r="EXX105" s="14"/>
      <c r="EXY105" s="14"/>
      <c r="EXZ105" s="14"/>
      <c r="EYA105" s="14"/>
      <c r="EYB105" s="36"/>
      <c r="EYC105" s="14"/>
      <c r="EYD105" s="14"/>
      <c r="EYE105" s="14"/>
      <c r="EYF105" s="14"/>
      <c r="EYG105" s="14"/>
      <c r="EYH105" s="14"/>
      <c r="EYI105" s="14"/>
      <c r="EYJ105" s="36"/>
      <c r="EYK105" s="14"/>
      <c r="EYL105" s="14"/>
      <c r="EYM105" s="14"/>
      <c r="EYN105" s="14"/>
      <c r="EYO105" s="14"/>
      <c r="EYP105" s="14"/>
      <c r="EYQ105" s="14"/>
      <c r="EYR105" s="36"/>
      <c r="EYS105" s="14"/>
      <c r="EYT105" s="14"/>
      <c r="EYU105" s="14"/>
      <c r="EYV105" s="14"/>
      <c r="EYW105" s="14"/>
      <c r="EYX105" s="14"/>
      <c r="EYY105" s="14"/>
      <c r="EYZ105" s="36"/>
      <c r="EZA105" s="14"/>
      <c r="EZB105" s="14"/>
      <c r="EZC105" s="14"/>
      <c r="EZD105" s="14"/>
      <c r="EZE105" s="14"/>
      <c r="EZF105" s="14"/>
      <c r="EZG105" s="14"/>
      <c r="EZH105" s="36"/>
      <c r="EZI105" s="14"/>
      <c r="EZJ105" s="14"/>
      <c r="EZK105" s="14"/>
      <c r="EZL105" s="14"/>
      <c r="EZM105" s="14"/>
      <c r="EZN105" s="14"/>
      <c r="EZO105" s="14"/>
      <c r="EZP105" s="36"/>
      <c r="EZQ105" s="14"/>
      <c r="EZR105" s="14"/>
      <c r="EZS105" s="14"/>
      <c r="EZT105" s="14"/>
      <c r="EZU105" s="14"/>
      <c r="EZV105" s="14"/>
      <c r="EZW105" s="14"/>
      <c r="EZX105" s="36"/>
      <c r="EZY105" s="14"/>
      <c r="EZZ105" s="14"/>
      <c r="FAA105" s="14"/>
      <c r="FAB105" s="14"/>
      <c r="FAC105" s="14"/>
      <c r="FAD105" s="14"/>
      <c r="FAE105" s="14"/>
      <c r="FAF105" s="36"/>
      <c r="FAG105" s="14"/>
      <c r="FAH105" s="14"/>
      <c r="FAI105" s="14"/>
      <c r="FAJ105" s="14"/>
      <c r="FAK105" s="14"/>
      <c r="FAL105" s="14"/>
      <c r="FAM105" s="14"/>
      <c r="FAN105" s="36"/>
      <c r="FAO105" s="14"/>
      <c r="FAP105" s="14"/>
      <c r="FAQ105" s="14"/>
      <c r="FAR105" s="14"/>
      <c r="FAS105" s="14"/>
      <c r="FAT105" s="14"/>
      <c r="FAU105" s="14"/>
      <c r="FAV105" s="36"/>
      <c r="FAW105" s="14"/>
      <c r="FAX105" s="14"/>
      <c r="FAY105" s="14"/>
      <c r="FAZ105" s="14"/>
      <c r="FBA105" s="14"/>
      <c r="FBB105" s="14"/>
      <c r="FBC105" s="14"/>
      <c r="FBD105" s="36"/>
      <c r="FBE105" s="14"/>
      <c r="FBF105" s="14"/>
      <c r="FBG105" s="14"/>
      <c r="FBH105" s="14"/>
      <c r="FBI105" s="14"/>
      <c r="FBJ105" s="14"/>
      <c r="FBK105" s="14"/>
      <c r="FBL105" s="36"/>
      <c r="FBM105" s="14"/>
      <c r="FBN105" s="14"/>
      <c r="FBO105" s="14"/>
      <c r="FBP105" s="14"/>
      <c r="FBQ105" s="14"/>
      <c r="FBR105" s="14"/>
      <c r="FBS105" s="14"/>
      <c r="FBT105" s="36"/>
      <c r="FBU105" s="14"/>
      <c r="FBV105" s="14"/>
      <c r="FBW105" s="14"/>
      <c r="FBX105" s="14"/>
      <c r="FBY105" s="14"/>
      <c r="FBZ105" s="14"/>
      <c r="FCA105" s="14"/>
      <c r="FCB105" s="36"/>
      <c r="FCC105" s="14"/>
      <c r="FCD105" s="14"/>
      <c r="FCE105" s="14"/>
      <c r="FCF105" s="14"/>
      <c r="FCG105" s="14"/>
      <c r="FCH105" s="14"/>
      <c r="FCI105" s="14"/>
      <c r="FCJ105" s="36"/>
      <c r="FCK105" s="14"/>
      <c r="FCL105" s="14"/>
      <c r="FCM105" s="14"/>
      <c r="FCN105" s="14"/>
      <c r="FCO105" s="14"/>
      <c r="FCP105" s="14"/>
      <c r="FCQ105" s="14"/>
      <c r="FCR105" s="36"/>
      <c r="FCS105" s="14"/>
      <c r="FCT105" s="14"/>
      <c r="FCU105" s="14"/>
      <c r="FCV105" s="14"/>
      <c r="FCW105" s="14"/>
      <c r="FCX105" s="14"/>
      <c r="FCY105" s="14"/>
      <c r="FCZ105" s="36"/>
      <c r="FDA105" s="14"/>
      <c r="FDB105" s="14"/>
      <c r="FDC105" s="14"/>
      <c r="FDD105" s="14"/>
      <c r="FDE105" s="14"/>
      <c r="FDF105" s="14"/>
      <c r="FDG105" s="14"/>
      <c r="FDH105" s="36"/>
      <c r="FDI105" s="14"/>
      <c r="FDJ105" s="14"/>
      <c r="FDK105" s="14"/>
      <c r="FDL105" s="14"/>
      <c r="FDM105" s="14"/>
      <c r="FDN105" s="14"/>
      <c r="FDO105" s="14"/>
      <c r="FDP105" s="36"/>
      <c r="FDQ105" s="14"/>
      <c r="FDR105" s="14"/>
      <c r="FDS105" s="14"/>
      <c r="FDT105" s="14"/>
      <c r="FDU105" s="14"/>
      <c r="FDV105" s="14"/>
      <c r="FDW105" s="14"/>
      <c r="FDX105" s="36"/>
      <c r="FDY105" s="14"/>
      <c r="FDZ105" s="14"/>
      <c r="FEA105" s="14"/>
      <c r="FEB105" s="14"/>
      <c r="FEC105" s="14"/>
      <c r="FED105" s="14"/>
      <c r="FEE105" s="14"/>
      <c r="FEF105" s="36"/>
      <c r="FEG105" s="14"/>
      <c r="FEH105" s="14"/>
      <c r="FEI105" s="14"/>
      <c r="FEJ105" s="14"/>
      <c r="FEK105" s="14"/>
      <c r="FEL105" s="14"/>
      <c r="FEM105" s="14"/>
      <c r="FEN105" s="36"/>
      <c r="FEO105" s="14"/>
      <c r="FEP105" s="14"/>
      <c r="FEQ105" s="14"/>
      <c r="FER105" s="14"/>
      <c r="FES105" s="14"/>
      <c r="FET105" s="14"/>
      <c r="FEU105" s="14"/>
      <c r="FEV105" s="36"/>
      <c r="FEW105" s="14"/>
      <c r="FEX105" s="14"/>
      <c r="FEY105" s="14"/>
      <c r="FEZ105" s="14"/>
      <c r="FFA105" s="14"/>
      <c r="FFB105" s="14"/>
      <c r="FFC105" s="14"/>
      <c r="FFD105" s="36"/>
      <c r="FFE105" s="14"/>
      <c r="FFF105" s="14"/>
      <c r="FFG105" s="14"/>
      <c r="FFH105" s="14"/>
      <c r="FFI105" s="14"/>
      <c r="FFJ105" s="14"/>
      <c r="FFK105" s="14"/>
      <c r="FFL105" s="36"/>
      <c r="FFM105" s="14"/>
      <c r="FFN105" s="14"/>
      <c r="FFO105" s="14"/>
      <c r="FFP105" s="14"/>
      <c r="FFQ105" s="14"/>
      <c r="FFR105" s="14"/>
      <c r="FFS105" s="14"/>
      <c r="FFT105" s="36"/>
      <c r="FFU105" s="14"/>
      <c r="FFV105" s="14"/>
      <c r="FFW105" s="14"/>
      <c r="FFX105" s="14"/>
      <c r="FFY105" s="14"/>
      <c r="FFZ105" s="14"/>
      <c r="FGA105" s="14"/>
      <c r="FGB105" s="36"/>
      <c r="FGC105" s="14"/>
      <c r="FGD105" s="14"/>
      <c r="FGE105" s="14"/>
      <c r="FGF105" s="14"/>
      <c r="FGG105" s="14"/>
      <c r="FGH105" s="14"/>
      <c r="FGI105" s="14"/>
      <c r="FGJ105" s="36"/>
      <c r="FGK105" s="14"/>
      <c r="FGL105" s="14"/>
      <c r="FGM105" s="14"/>
      <c r="FGN105" s="14"/>
      <c r="FGO105" s="14"/>
      <c r="FGP105" s="14"/>
      <c r="FGQ105" s="14"/>
      <c r="FGR105" s="36"/>
      <c r="FGS105" s="14"/>
      <c r="FGT105" s="14"/>
      <c r="FGU105" s="14"/>
      <c r="FGV105" s="14"/>
      <c r="FGW105" s="14"/>
      <c r="FGX105" s="14"/>
      <c r="FGY105" s="14"/>
      <c r="FGZ105" s="36"/>
      <c r="FHA105" s="14"/>
      <c r="FHB105" s="14"/>
      <c r="FHC105" s="14"/>
      <c r="FHD105" s="14"/>
      <c r="FHE105" s="14"/>
      <c r="FHF105" s="14"/>
      <c r="FHG105" s="14"/>
      <c r="FHH105" s="36"/>
      <c r="FHI105" s="14"/>
      <c r="FHJ105" s="14"/>
      <c r="FHK105" s="14"/>
      <c r="FHL105" s="14"/>
      <c r="FHM105" s="14"/>
      <c r="FHN105" s="14"/>
      <c r="FHO105" s="14"/>
      <c r="FHP105" s="36"/>
      <c r="FHQ105" s="14"/>
      <c r="FHR105" s="14"/>
      <c r="FHS105" s="14"/>
      <c r="FHT105" s="14"/>
      <c r="FHU105" s="14"/>
      <c r="FHV105" s="14"/>
      <c r="FHW105" s="14"/>
      <c r="FHX105" s="36"/>
      <c r="FHY105" s="14"/>
      <c r="FHZ105" s="14"/>
      <c r="FIA105" s="14"/>
      <c r="FIB105" s="14"/>
      <c r="FIC105" s="14"/>
      <c r="FID105" s="14"/>
      <c r="FIE105" s="14"/>
      <c r="FIF105" s="36"/>
      <c r="FIG105" s="14"/>
      <c r="FIH105" s="14"/>
      <c r="FII105" s="14"/>
      <c r="FIJ105" s="14"/>
      <c r="FIK105" s="14"/>
      <c r="FIL105" s="14"/>
      <c r="FIM105" s="14"/>
      <c r="FIN105" s="36"/>
      <c r="FIO105" s="14"/>
      <c r="FIP105" s="14"/>
      <c r="FIQ105" s="14"/>
      <c r="FIR105" s="14"/>
      <c r="FIS105" s="14"/>
      <c r="FIT105" s="14"/>
      <c r="FIU105" s="14"/>
      <c r="FIV105" s="36"/>
      <c r="FIW105" s="14"/>
      <c r="FIX105" s="14"/>
      <c r="FIY105" s="14"/>
      <c r="FIZ105" s="14"/>
      <c r="FJA105" s="14"/>
      <c r="FJB105" s="14"/>
      <c r="FJC105" s="14"/>
      <c r="FJD105" s="36"/>
      <c r="FJE105" s="14"/>
      <c r="FJF105" s="14"/>
      <c r="FJG105" s="14"/>
      <c r="FJH105" s="14"/>
      <c r="FJI105" s="14"/>
      <c r="FJJ105" s="14"/>
      <c r="FJK105" s="14"/>
      <c r="FJL105" s="36"/>
      <c r="FJM105" s="14"/>
      <c r="FJN105" s="14"/>
      <c r="FJO105" s="14"/>
      <c r="FJP105" s="14"/>
      <c r="FJQ105" s="14"/>
      <c r="FJR105" s="14"/>
      <c r="FJS105" s="14"/>
      <c r="FJT105" s="36"/>
      <c r="FJU105" s="14"/>
      <c r="FJV105" s="14"/>
      <c r="FJW105" s="14"/>
      <c r="FJX105" s="14"/>
      <c r="FJY105" s="14"/>
      <c r="FJZ105" s="14"/>
      <c r="FKA105" s="14"/>
      <c r="FKB105" s="36"/>
      <c r="FKC105" s="14"/>
      <c r="FKD105" s="14"/>
      <c r="FKE105" s="14"/>
      <c r="FKF105" s="14"/>
      <c r="FKG105" s="14"/>
      <c r="FKH105" s="14"/>
      <c r="FKI105" s="14"/>
      <c r="FKJ105" s="36"/>
      <c r="FKK105" s="14"/>
      <c r="FKL105" s="14"/>
      <c r="FKM105" s="14"/>
      <c r="FKN105" s="14"/>
      <c r="FKO105" s="14"/>
      <c r="FKP105" s="14"/>
      <c r="FKQ105" s="14"/>
      <c r="FKR105" s="36"/>
      <c r="FKS105" s="14"/>
      <c r="FKT105" s="14"/>
      <c r="FKU105" s="14"/>
      <c r="FKV105" s="14"/>
      <c r="FKW105" s="14"/>
      <c r="FKX105" s="14"/>
      <c r="FKY105" s="14"/>
      <c r="FKZ105" s="36"/>
      <c r="FLA105" s="14"/>
      <c r="FLB105" s="14"/>
      <c r="FLC105" s="14"/>
      <c r="FLD105" s="14"/>
      <c r="FLE105" s="14"/>
      <c r="FLF105" s="14"/>
      <c r="FLG105" s="14"/>
      <c r="FLH105" s="36"/>
      <c r="FLI105" s="14"/>
      <c r="FLJ105" s="14"/>
      <c r="FLK105" s="14"/>
      <c r="FLL105" s="14"/>
      <c r="FLM105" s="14"/>
      <c r="FLN105" s="14"/>
      <c r="FLO105" s="14"/>
      <c r="FLP105" s="36"/>
      <c r="FLQ105" s="14"/>
      <c r="FLR105" s="14"/>
      <c r="FLS105" s="14"/>
      <c r="FLT105" s="14"/>
      <c r="FLU105" s="14"/>
      <c r="FLV105" s="14"/>
      <c r="FLW105" s="14"/>
      <c r="FLX105" s="36"/>
      <c r="FLY105" s="14"/>
      <c r="FLZ105" s="14"/>
      <c r="FMA105" s="14"/>
      <c r="FMB105" s="14"/>
      <c r="FMC105" s="14"/>
      <c r="FMD105" s="14"/>
      <c r="FME105" s="14"/>
      <c r="FMF105" s="36"/>
      <c r="FMG105" s="14"/>
      <c r="FMH105" s="14"/>
      <c r="FMI105" s="14"/>
      <c r="FMJ105" s="14"/>
      <c r="FMK105" s="14"/>
      <c r="FML105" s="14"/>
      <c r="FMM105" s="14"/>
      <c r="FMN105" s="36"/>
      <c r="FMO105" s="14"/>
      <c r="FMP105" s="14"/>
      <c r="FMQ105" s="14"/>
      <c r="FMR105" s="14"/>
      <c r="FMS105" s="14"/>
      <c r="FMT105" s="14"/>
      <c r="FMU105" s="14"/>
      <c r="FMV105" s="36"/>
      <c r="FMW105" s="14"/>
      <c r="FMX105" s="14"/>
      <c r="FMY105" s="14"/>
      <c r="FMZ105" s="14"/>
      <c r="FNA105" s="14"/>
      <c r="FNB105" s="14"/>
      <c r="FNC105" s="14"/>
      <c r="FND105" s="36"/>
      <c r="FNE105" s="14"/>
      <c r="FNF105" s="14"/>
      <c r="FNG105" s="14"/>
      <c r="FNH105" s="14"/>
      <c r="FNI105" s="14"/>
      <c r="FNJ105" s="14"/>
      <c r="FNK105" s="14"/>
      <c r="FNL105" s="36"/>
      <c r="FNM105" s="14"/>
      <c r="FNN105" s="14"/>
      <c r="FNO105" s="14"/>
      <c r="FNP105" s="14"/>
      <c r="FNQ105" s="14"/>
      <c r="FNR105" s="14"/>
      <c r="FNS105" s="14"/>
      <c r="FNT105" s="36"/>
      <c r="FNU105" s="14"/>
      <c r="FNV105" s="14"/>
      <c r="FNW105" s="14"/>
      <c r="FNX105" s="14"/>
      <c r="FNY105" s="14"/>
      <c r="FNZ105" s="14"/>
      <c r="FOA105" s="14"/>
      <c r="FOB105" s="36"/>
      <c r="FOC105" s="14"/>
      <c r="FOD105" s="14"/>
      <c r="FOE105" s="14"/>
      <c r="FOF105" s="14"/>
      <c r="FOG105" s="14"/>
      <c r="FOH105" s="14"/>
      <c r="FOI105" s="14"/>
      <c r="FOJ105" s="36"/>
      <c r="FOK105" s="14"/>
      <c r="FOL105" s="14"/>
      <c r="FOM105" s="14"/>
      <c r="FON105" s="14"/>
      <c r="FOO105" s="14"/>
      <c r="FOP105" s="14"/>
      <c r="FOQ105" s="14"/>
      <c r="FOR105" s="36"/>
      <c r="FOS105" s="14"/>
      <c r="FOT105" s="14"/>
      <c r="FOU105" s="14"/>
      <c r="FOV105" s="14"/>
      <c r="FOW105" s="14"/>
      <c r="FOX105" s="14"/>
      <c r="FOY105" s="14"/>
      <c r="FOZ105" s="36"/>
      <c r="FPA105" s="14"/>
      <c r="FPB105" s="14"/>
      <c r="FPC105" s="14"/>
      <c r="FPD105" s="14"/>
      <c r="FPE105" s="14"/>
      <c r="FPF105" s="14"/>
      <c r="FPG105" s="14"/>
      <c r="FPH105" s="36"/>
      <c r="FPI105" s="14"/>
      <c r="FPJ105" s="14"/>
      <c r="FPK105" s="14"/>
      <c r="FPL105" s="14"/>
      <c r="FPM105" s="14"/>
      <c r="FPN105" s="14"/>
      <c r="FPO105" s="14"/>
      <c r="FPP105" s="36"/>
      <c r="FPQ105" s="14"/>
      <c r="FPR105" s="14"/>
      <c r="FPS105" s="14"/>
      <c r="FPT105" s="14"/>
      <c r="FPU105" s="14"/>
      <c r="FPV105" s="14"/>
      <c r="FPW105" s="14"/>
      <c r="FPX105" s="36"/>
      <c r="FPY105" s="14"/>
      <c r="FPZ105" s="14"/>
      <c r="FQA105" s="14"/>
      <c r="FQB105" s="14"/>
      <c r="FQC105" s="14"/>
      <c r="FQD105" s="14"/>
      <c r="FQE105" s="14"/>
      <c r="FQF105" s="36"/>
      <c r="FQG105" s="14"/>
      <c r="FQH105" s="14"/>
      <c r="FQI105" s="14"/>
      <c r="FQJ105" s="14"/>
      <c r="FQK105" s="14"/>
      <c r="FQL105" s="14"/>
      <c r="FQM105" s="14"/>
      <c r="FQN105" s="36"/>
      <c r="FQO105" s="14"/>
      <c r="FQP105" s="14"/>
      <c r="FQQ105" s="14"/>
      <c r="FQR105" s="14"/>
      <c r="FQS105" s="14"/>
      <c r="FQT105" s="14"/>
      <c r="FQU105" s="14"/>
      <c r="FQV105" s="36"/>
      <c r="FQW105" s="14"/>
      <c r="FQX105" s="14"/>
      <c r="FQY105" s="14"/>
      <c r="FQZ105" s="14"/>
      <c r="FRA105" s="14"/>
      <c r="FRB105" s="14"/>
      <c r="FRC105" s="14"/>
      <c r="FRD105" s="36"/>
      <c r="FRE105" s="14"/>
      <c r="FRF105" s="14"/>
      <c r="FRG105" s="14"/>
      <c r="FRH105" s="14"/>
      <c r="FRI105" s="14"/>
      <c r="FRJ105" s="14"/>
      <c r="FRK105" s="14"/>
      <c r="FRL105" s="36"/>
      <c r="FRM105" s="14"/>
      <c r="FRN105" s="14"/>
      <c r="FRO105" s="14"/>
      <c r="FRP105" s="14"/>
      <c r="FRQ105" s="14"/>
      <c r="FRR105" s="14"/>
      <c r="FRS105" s="14"/>
      <c r="FRT105" s="36"/>
      <c r="FRU105" s="14"/>
      <c r="FRV105" s="14"/>
      <c r="FRW105" s="14"/>
      <c r="FRX105" s="14"/>
      <c r="FRY105" s="14"/>
      <c r="FRZ105" s="14"/>
      <c r="FSA105" s="14"/>
      <c r="FSB105" s="36"/>
      <c r="FSC105" s="14"/>
      <c r="FSD105" s="14"/>
      <c r="FSE105" s="14"/>
      <c r="FSF105" s="14"/>
      <c r="FSG105" s="14"/>
      <c r="FSH105" s="14"/>
      <c r="FSI105" s="14"/>
      <c r="FSJ105" s="36"/>
      <c r="FSK105" s="14"/>
      <c r="FSL105" s="14"/>
      <c r="FSM105" s="14"/>
      <c r="FSN105" s="14"/>
      <c r="FSO105" s="14"/>
      <c r="FSP105" s="14"/>
      <c r="FSQ105" s="14"/>
      <c r="FSR105" s="36"/>
      <c r="FSS105" s="14"/>
      <c r="FST105" s="14"/>
      <c r="FSU105" s="14"/>
      <c r="FSV105" s="14"/>
      <c r="FSW105" s="14"/>
      <c r="FSX105" s="14"/>
      <c r="FSY105" s="14"/>
      <c r="FSZ105" s="36"/>
      <c r="FTA105" s="14"/>
      <c r="FTB105" s="14"/>
      <c r="FTC105" s="14"/>
      <c r="FTD105" s="14"/>
      <c r="FTE105" s="14"/>
      <c r="FTF105" s="14"/>
      <c r="FTG105" s="14"/>
      <c r="FTH105" s="36"/>
      <c r="FTI105" s="14"/>
      <c r="FTJ105" s="14"/>
      <c r="FTK105" s="14"/>
      <c r="FTL105" s="14"/>
      <c r="FTM105" s="14"/>
      <c r="FTN105" s="14"/>
      <c r="FTO105" s="14"/>
      <c r="FTP105" s="36"/>
      <c r="FTQ105" s="14"/>
      <c r="FTR105" s="14"/>
      <c r="FTS105" s="14"/>
      <c r="FTT105" s="14"/>
      <c r="FTU105" s="14"/>
      <c r="FTV105" s="14"/>
      <c r="FTW105" s="14"/>
      <c r="FTX105" s="36"/>
      <c r="FTY105" s="14"/>
      <c r="FTZ105" s="14"/>
      <c r="FUA105" s="14"/>
      <c r="FUB105" s="14"/>
      <c r="FUC105" s="14"/>
      <c r="FUD105" s="14"/>
      <c r="FUE105" s="14"/>
      <c r="FUF105" s="36"/>
      <c r="FUG105" s="14"/>
      <c r="FUH105" s="14"/>
      <c r="FUI105" s="14"/>
      <c r="FUJ105" s="14"/>
      <c r="FUK105" s="14"/>
      <c r="FUL105" s="14"/>
      <c r="FUM105" s="14"/>
      <c r="FUN105" s="36"/>
      <c r="FUO105" s="14"/>
      <c r="FUP105" s="14"/>
      <c r="FUQ105" s="14"/>
      <c r="FUR105" s="14"/>
      <c r="FUS105" s="14"/>
      <c r="FUT105" s="14"/>
      <c r="FUU105" s="14"/>
      <c r="FUV105" s="36"/>
      <c r="FUW105" s="14"/>
      <c r="FUX105" s="14"/>
      <c r="FUY105" s="14"/>
      <c r="FUZ105" s="14"/>
      <c r="FVA105" s="14"/>
      <c r="FVB105" s="14"/>
      <c r="FVC105" s="14"/>
      <c r="FVD105" s="36"/>
      <c r="FVE105" s="14"/>
      <c r="FVF105" s="14"/>
      <c r="FVG105" s="14"/>
      <c r="FVH105" s="14"/>
      <c r="FVI105" s="14"/>
      <c r="FVJ105" s="14"/>
      <c r="FVK105" s="14"/>
      <c r="FVL105" s="36"/>
      <c r="FVM105" s="14"/>
      <c r="FVN105" s="14"/>
      <c r="FVO105" s="14"/>
      <c r="FVP105" s="14"/>
      <c r="FVQ105" s="14"/>
      <c r="FVR105" s="14"/>
      <c r="FVS105" s="14"/>
      <c r="FVT105" s="36"/>
      <c r="FVU105" s="14"/>
      <c r="FVV105" s="14"/>
      <c r="FVW105" s="14"/>
      <c r="FVX105" s="14"/>
      <c r="FVY105" s="14"/>
      <c r="FVZ105" s="14"/>
      <c r="FWA105" s="14"/>
      <c r="FWB105" s="36"/>
      <c r="FWC105" s="14"/>
      <c r="FWD105" s="14"/>
      <c r="FWE105" s="14"/>
      <c r="FWF105" s="14"/>
      <c r="FWG105" s="14"/>
      <c r="FWH105" s="14"/>
      <c r="FWI105" s="14"/>
      <c r="FWJ105" s="36"/>
      <c r="FWK105" s="14"/>
      <c r="FWL105" s="14"/>
      <c r="FWM105" s="14"/>
      <c r="FWN105" s="14"/>
      <c r="FWO105" s="14"/>
      <c r="FWP105" s="14"/>
      <c r="FWQ105" s="14"/>
      <c r="FWR105" s="36"/>
      <c r="FWS105" s="14"/>
      <c r="FWT105" s="14"/>
      <c r="FWU105" s="14"/>
      <c r="FWV105" s="14"/>
      <c r="FWW105" s="14"/>
      <c r="FWX105" s="14"/>
      <c r="FWY105" s="14"/>
      <c r="FWZ105" s="36"/>
      <c r="FXA105" s="14"/>
      <c r="FXB105" s="14"/>
      <c r="FXC105" s="14"/>
      <c r="FXD105" s="14"/>
      <c r="FXE105" s="14"/>
      <c r="FXF105" s="14"/>
      <c r="FXG105" s="14"/>
      <c r="FXH105" s="36"/>
      <c r="FXI105" s="14"/>
      <c r="FXJ105" s="14"/>
      <c r="FXK105" s="14"/>
      <c r="FXL105" s="14"/>
      <c r="FXM105" s="14"/>
      <c r="FXN105" s="14"/>
      <c r="FXO105" s="14"/>
      <c r="FXP105" s="36"/>
      <c r="FXQ105" s="14"/>
      <c r="FXR105" s="14"/>
      <c r="FXS105" s="14"/>
      <c r="FXT105" s="14"/>
      <c r="FXU105" s="14"/>
      <c r="FXV105" s="14"/>
      <c r="FXW105" s="14"/>
      <c r="FXX105" s="36"/>
      <c r="FXY105" s="14"/>
      <c r="FXZ105" s="14"/>
      <c r="FYA105" s="14"/>
      <c r="FYB105" s="14"/>
      <c r="FYC105" s="14"/>
      <c r="FYD105" s="14"/>
      <c r="FYE105" s="14"/>
      <c r="FYF105" s="36"/>
      <c r="FYG105" s="14"/>
      <c r="FYH105" s="14"/>
      <c r="FYI105" s="14"/>
      <c r="FYJ105" s="14"/>
      <c r="FYK105" s="14"/>
      <c r="FYL105" s="14"/>
      <c r="FYM105" s="14"/>
      <c r="FYN105" s="36"/>
      <c r="FYO105" s="14"/>
      <c r="FYP105" s="14"/>
      <c r="FYQ105" s="14"/>
      <c r="FYR105" s="14"/>
      <c r="FYS105" s="14"/>
      <c r="FYT105" s="14"/>
      <c r="FYU105" s="14"/>
      <c r="FYV105" s="36"/>
      <c r="FYW105" s="14"/>
      <c r="FYX105" s="14"/>
      <c r="FYY105" s="14"/>
      <c r="FYZ105" s="14"/>
      <c r="FZA105" s="14"/>
      <c r="FZB105" s="14"/>
      <c r="FZC105" s="14"/>
      <c r="FZD105" s="36"/>
      <c r="FZE105" s="14"/>
      <c r="FZF105" s="14"/>
      <c r="FZG105" s="14"/>
      <c r="FZH105" s="14"/>
      <c r="FZI105" s="14"/>
      <c r="FZJ105" s="14"/>
      <c r="FZK105" s="14"/>
      <c r="FZL105" s="36"/>
      <c r="FZM105" s="14"/>
      <c r="FZN105" s="14"/>
      <c r="FZO105" s="14"/>
      <c r="FZP105" s="14"/>
      <c r="FZQ105" s="14"/>
      <c r="FZR105" s="14"/>
      <c r="FZS105" s="14"/>
      <c r="FZT105" s="36"/>
      <c r="FZU105" s="14"/>
      <c r="FZV105" s="14"/>
      <c r="FZW105" s="14"/>
      <c r="FZX105" s="14"/>
      <c r="FZY105" s="14"/>
      <c r="FZZ105" s="14"/>
      <c r="GAA105" s="14"/>
      <c r="GAB105" s="36"/>
      <c r="GAC105" s="14"/>
      <c r="GAD105" s="14"/>
      <c r="GAE105" s="14"/>
      <c r="GAF105" s="14"/>
      <c r="GAG105" s="14"/>
      <c r="GAH105" s="14"/>
      <c r="GAI105" s="14"/>
      <c r="GAJ105" s="36"/>
      <c r="GAK105" s="14"/>
      <c r="GAL105" s="14"/>
      <c r="GAM105" s="14"/>
      <c r="GAN105" s="14"/>
      <c r="GAO105" s="14"/>
      <c r="GAP105" s="14"/>
      <c r="GAQ105" s="14"/>
      <c r="GAR105" s="36"/>
      <c r="GAS105" s="14"/>
      <c r="GAT105" s="14"/>
      <c r="GAU105" s="14"/>
      <c r="GAV105" s="14"/>
      <c r="GAW105" s="14"/>
      <c r="GAX105" s="14"/>
      <c r="GAY105" s="14"/>
      <c r="GAZ105" s="36"/>
      <c r="GBA105" s="14"/>
      <c r="GBB105" s="14"/>
      <c r="GBC105" s="14"/>
      <c r="GBD105" s="14"/>
      <c r="GBE105" s="14"/>
      <c r="GBF105" s="14"/>
      <c r="GBG105" s="14"/>
      <c r="GBH105" s="36"/>
      <c r="GBI105" s="14"/>
      <c r="GBJ105" s="14"/>
      <c r="GBK105" s="14"/>
      <c r="GBL105" s="14"/>
      <c r="GBM105" s="14"/>
      <c r="GBN105" s="14"/>
      <c r="GBO105" s="14"/>
      <c r="GBP105" s="36"/>
      <c r="GBQ105" s="14"/>
      <c r="GBR105" s="14"/>
      <c r="GBS105" s="14"/>
      <c r="GBT105" s="14"/>
      <c r="GBU105" s="14"/>
      <c r="GBV105" s="14"/>
      <c r="GBW105" s="14"/>
      <c r="GBX105" s="36"/>
      <c r="GBY105" s="14"/>
      <c r="GBZ105" s="14"/>
      <c r="GCA105" s="14"/>
      <c r="GCB105" s="14"/>
      <c r="GCC105" s="14"/>
      <c r="GCD105" s="14"/>
      <c r="GCE105" s="14"/>
      <c r="GCF105" s="36"/>
      <c r="GCG105" s="14"/>
      <c r="GCH105" s="14"/>
      <c r="GCI105" s="14"/>
      <c r="GCJ105" s="14"/>
      <c r="GCK105" s="14"/>
      <c r="GCL105" s="14"/>
      <c r="GCM105" s="14"/>
      <c r="GCN105" s="36"/>
      <c r="GCO105" s="14"/>
      <c r="GCP105" s="14"/>
      <c r="GCQ105" s="14"/>
      <c r="GCR105" s="14"/>
      <c r="GCS105" s="14"/>
      <c r="GCT105" s="14"/>
      <c r="GCU105" s="14"/>
      <c r="GCV105" s="36"/>
      <c r="GCW105" s="14"/>
      <c r="GCX105" s="14"/>
      <c r="GCY105" s="14"/>
      <c r="GCZ105" s="14"/>
      <c r="GDA105" s="14"/>
      <c r="GDB105" s="14"/>
      <c r="GDC105" s="14"/>
      <c r="GDD105" s="36"/>
      <c r="GDE105" s="14"/>
      <c r="GDF105" s="14"/>
      <c r="GDG105" s="14"/>
      <c r="GDH105" s="14"/>
      <c r="GDI105" s="14"/>
      <c r="GDJ105" s="14"/>
      <c r="GDK105" s="14"/>
      <c r="GDL105" s="36"/>
      <c r="GDM105" s="14"/>
      <c r="GDN105" s="14"/>
      <c r="GDO105" s="14"/>
      <c r="GDP105" s="14"/>
      <c r="GDQ105" s="14"/>
      <c r="GDR105" s="14"/>
      <c r="GDS105" s="14"/>
      <c r="GDT105" s="36"/>
      <c r="GDU105" s="14"/>
      <c r="GDV105" s="14"/>
      <c r="GDW105" s="14"/>
      <c r="GDX105" s="14"/>
      <c r="GDY105" s="14"/>
      <c r="GDZ105" s="14"/>
      <c r="GEA105" s="14"/>
      <c r="GEB105" s="36"/>
      <c r="GEC105" s="14"/>
      <c r="GED105" s="14"/>
      <c r="GEE105" s="14"/>
      <c r="GEF105" s="14"/>
      <c r="GEG105" s="14"/>
      <c r="GEH105" s="14"/>
      <c r="GEI105" s="14"/>
      <c r="GEJ105" s="36"/>
      <c r="GEK105" s="14"/>
      <c r="GEL105" s="14"/>
      <c r="GEM105" s="14"/>
      <c r="GEN105" s="14"/>
      <c r="GEO105" s="14"/>
      <c r="GEP105" s="14"/>
      <c r="GEQ105" s="14"/>
      <c r="GER105" s="36"/>
      <c r="GES105" s="14"/>
      <c r="GET105" s="14"/>
      <c r="GEU105" s="14"/>
      <c r="GEV105" s="14"/>
      <c r="GEW105" s="14"/>
      <c r="GEX105" s="14"/>
      <c r="GEY105" s="14"/>
      <c r="GEZ105" s="36"/>
      <c r="GFA105" s="14"/>
      <c r="GFB105" s="14"/>
      <c r="GFC105" s="14"/>
      <c r="GFD105" s="14"/>
      <c r="GFE105" s="14"/>
      <c r="GFF105" s="14"/>
      <c r="GFG105" s="14"/>
      <c r="GFH105" s="36"/>
      <c r="GFI105" s="14"/>
      <c r="GFJ105" s="14"/>
      <c r="GFK105" s="14"/>
      <c r="GFL105" s="14"/>
      <c r="GFM105" s="14"/>
      <c r="GFN105" s="14"/>
      <c r="GFO105" s="14"/>
      <c r="GFP105" s="36"/>
      <c r="GFQ105" s="14"/>
      <c r="GFR105" s="14"/>
      <c r="GFS105" s="14"/>
      <c r="GFT105" s="14"/>
      <c r="GFU105" s="14"/>
      <c r="GFV105" s="14"/>
      <c r="GFW105" s="14"/>
      <c r="GFX105" s="36"/>
      <c r="GFY105" s="14"/>
      <c r="GFZ105" s="14"/>
      <c r="GGA105" s="14"/>
      <c r="GGB105" s="14"/>
      <c r="GGC105" s="14"/>
      <c r="GGD105" s="14"/>
      <c r="GGE105" s="14"/>
      <c r="GGF105" s="36"/>
      <c r="GGG105" s="14"/>
      <c r="GGH105" s="14"/>
      <c r="GGI105" s="14"/>
      <c r="GGJ105" s="14"/>
      <c r="GGK105" s="14"/>
      <c r="GGL105" s="14"/>
      <c r="GGM105" s="14"/>
      <c r="GGN105" s="36"/>
      <c r="GGO105" s="14"/>
      <c r="GGP105" s="14"/>
      <c r="GGQ105" s="14"/>
      <c r="GGR105" s="14"/>
      <c r="GGS105" s="14"/>
      <c r="GGT105" s="14"/>
      <c r="GGU105" s="14"/>
      <c r="GGV105" s="36"/>
      <c r="GGW105" s="14"/>
      <c r="GGX105" s="14"/>
      <c r="GGY105" s="14"/>
      <c r="GGZ105" s="14"/>
      <c r="GHA105" s="14"/>
      <c r="GHB105" s="14"/>
      <c r="GHC105" s="14"/>
      <c r="GHD105" s="36"/>
      <c r="GHE105" s="14"/>
      <c r="GHF105" s="14"/>
      <c r="GHG105" s="14"/>
      <c r="GHH105" s="14"/>
      <c r="GHI105" s="14"/>
      <c r="GHJ105" s="14"/>
      <c r="GHK105" s="14"/>
      <c r="GHL105" s="36"/>
      <c r="GHM105" s="14"/>
      <c r="GHN105" s="14"/>
      <c r="GHO105" s="14"/>
      <c r="GHP105" s="14"/>
      <c r="GHQ105" s="14"/>
      <c r="GHR105" s="14"/>
      <c r="GHS105" s="14"/>
      <c r="GHT105" s="36"/>
      <c r="GHU105" s="14"/>
      <c r="GHV105" s="14"/>
      <c r="GHW105" s="14"/>
      <c r="GHX105" s="14"/>
      <c r="GHY105" s="14"/>
      <c r="GHZ105" s="14"/>
      <c r="GIA105" s="14"/>
      <c r="GIB105" s="36"/>
      <c r="GIC105" s="14"/>
      <c r="GID105" s="14"/>
      <c r="GIE105" s="14"/>
      <c r="GIF105" s="14"/>
      <c r="GIG105" s="14"/>
      <c r="GIH105" s="14"/>
      <c r="GII105" s="14"/>
      <c r="GIJ105" s="36"/>
      <c r="GIK105" s="14"/>
      <c r="GIL105" s="14"/>
      <c r="GIM105" s="14"/>
      <c r="GIN105" s="14"/>
      <c r="GIO105" s="14"/>
      <c r="GIP105" s="14"/>
      <c r="GIQ105" s="14"/>
      <c r="GIR105" s="36"/>
      <c r="GIS105" s="14"/>
      <c r="GIT105" s="14"/>
      <c r="GIU105" s="14"/>
      <c r="GIV105" s="14"/>
      <c r="GIW105" s="14"/>
      <c r="GIX105" s="14"/>
      <c r="GIY105" s="14"/>
      <c r="GIZ105" s="36"/>
      <c r="GJA105" s="14"/>
      <c r="GJB105" s="14"/>
      <c r="GJC105" s="14"/>
      <c r="GJD105" s="14"/>
      <c r="GJE105" s="14"/>
      <c r="GJF105" s="14"/>
      <c r="GJG105" s="14"/>
      <c r="GJH105" s="36"/>
      <c r="GJI105" s="14"/>
      <c r="GJJ105" s="14"/>
      <c r="GJK105" s="14"/>
      <c r="GJL105" s="14"/>
      <c r="GJM105" s="14"/>
      <c r="GJN105" s="14"/>
      <c r="GJO105" s="14"/>
      <c r="GJP105" s="36"/>
      <c r="GJQ105" s="14"/>
      <c r="GJR105" s="14"/>
      <c r="GJS105" s="14"/>
      <c r="GJT105" s="14"/>
      <c r="GJU105" s="14"/>
      <c r="GJV105" s="14"/>
      <c r="GJW105" s="14"/>
      <c r="GJX105" s="36"/>
      <c r="GJY105" s="14"/>
      <c r="GJZ105" s="14"/>
      <c r="GKA105" s="14"/>
      <c r="GKB105" s="14"/>
      <c r="GKC105" s="14"/>
      <c r="GKD105" s="14"/>
      <c r="GKE105" s="14"/>
      <c r="GKF105" s="36"/>
      <c r="GKG105" s="14"/>
      <c r="GKH105" s="14"/>
      <c r="GKI105" s="14"/>
      <c r="GKJ105" s="14"/>
      <c r="GKK105" s="14"/>
      <c r="GKL105" s="14"/>
      <c r="GKM105" s="14"/>
      <c r="GKN105" s="36"/>
      <c r="GKO105" s="14"/>
      <c r="GKP105" s="14"/>
      <c r="GKQ105" s="14"/>
      <c r="GKR105" s="14"/>
      <c r="GKS105" s="14"/>
      <c r="GKT105" s="14"/>
      <c r="GKU105" s="14"/>
      <c r="GKV105" s="36"/>
      <c r="GKW105" s="14"/>
      <c r="GKX105" s="14"/>
      <c r="GKY105" s="14"/>
      <c r="GKZ105" s="14"/>
      <c r="GLA105" s="14"/>
      <c r="GLB105" s="14"/>
      <c r="GLC105" s="14"/>
      <c r="GLD105" s="36"/>
      <c r="GLE105" s="14"/>
      <c r="GLF105" s="14"/>
      <c r="GLG105" s="14"/>
      <c r="GLH105" s="14"/>
      <c r="GLI105" s="14"/>
      <c r="GLJ105" s="14"/>
      <c r="GLK105" s="14"/>
      <c r="GLL105" s="36"/>
      <c r="GLM105" s="14"/>
      <c r="GLN105" s="14"/>
      <c r="GLO105" s="14"/>
      <c r="GLP105" s="14"/>
      <c r="GLQ105" s="14"/>
      <c r="GLR105" s="14"/>
      <c r="GLS105" s="14"/>
      <c r="GLT105" s="36"/>
      <c r="GLU105" s="14"/>
      <c r="GLV105" s="14"/>
      <c r="GLW105" s="14"/>
      <c r="GLX105" s="14"/>
      <c r="GLY105" s="14"/>
      <c r="GLZ105" s="14"/>
      <c r="GMA105" s="14"/>
      <c r="GMB105" s="36"/>
      <c r="GMC105" s="14"/>
      <c r="GMD105" s="14"/>
      <c r="GME105" s="14"/>
      <c r="GMF105" s="14"/>
      <c r="GMG105" s="14"/>
      <c r="GMH105" s="14"/>
      <c r="GMI105" s="14"/>
      <c r="GMJ105" s="36"/>
      <c r="GMK105" s="14"/>
      <c r="GML105" s="14"/>
      <c r="GMM105" s="14"/>
      <c r="GMN105" s="14"/>
      <c r="GMO105" s="14"/>
      <c r="GMP105" s="14"/>
      <c r="GMQ105" s="14"/>
      <c r="GMR105" s="36"/>
      <c r="GMS105" s="14"/>
      <c r="GMT105" s="14"/>
      <c r="GMU105" s="14"/>
      <c r="GMV105" s="14"/>
      <c r="GMW105" s="14"/>
      <c r="GMX105" s="14"/>
      <c r="GMY105" s="14"/>
      <c r="GMZ105" s="36"/>
      <c r="GNA105" s="14"/>
      <c r="GNB105" s="14"/>
      <c r="GNC105" s="14"/>
      <c r="GND105" s="14"/>
      <c r="GNE105" s="14"/>
      <c r="GNF105" s="14"/>
      <c r="GNG105" s="14"/>
      <c r="GNH105" s="36"/>
      <c r="GNI105" s="14"/>
      <c r="GNJ105" s="14"/>
      <c r="GNK105" s="14"/>
      <c r="GNL105" s="14"/>
      <c r="GNM105" s="14"/>
      <c r="GNN105" s="14"/>
      <c r="GNO105" s="14"/>
      <c r="GNP105" s="36"/>
      <c r="GNQ105" s="14"/>
      <c r="GNR105" s="14"/>
      <c r="GNS105" s="14"/>
      <c r="GNT105" s="14"/>
      <c r="GNU105" s="14"/>
      <c r="GNV105" s="14"/>
      <c r="GNW105" s="14"/>
      <c r="GNX105" s="36"/>
      <c r="GNY105" s="14"/>
      <c r="GNZ105" s="14"/>
      <c r="GOA105" s="14"/>
      <c r="GOB105" s="14"/>
      <c r="GOC105" s="14"/>
      <c r="GOD105" s="14"/>
      <c r="GOE105" s="14"/>
      <c r="GOF105" s="36"/>
      <c r="GOG105" s="14"/>
      <c r="GOH105" s="14"/>
      <c r="GOI105" s="14"/>
      <c r="GOJ105" s="14"/>
      <c r="GOK105" s="14"/>
      <c r="GOL105" s="14"/>
      <c r="GOM105" s="14"/>
      <c r="GON105" s="36"/>
      <c r="GOO105" s="14"/>
      <c r="GOP105" s="14"/>
      <c r="GOQ105" s="14"/>
      <c r="GOR105" s="14"/>
      <c r="GOS105" s="14"/>
      <c r="GOT105" s="14"/>
      <c r="GOU105" s="14"/>
      <c r="GOV105" s="36"/>
      <c r="GOW105" s="14"/>
      <c r="GOX105" s="14"/>
      <c r="GOY105" s="14"/>
      <c r="GOZ105" s="14"/>
      <c r="GPA105" s="14"/>
      <c r="GPB105" s="14"/>
      <c r="GPC105" s="14"/>
      <c r="GPD105" s="36"/>
      <c r="GPE105" s="14"/>
      <c r="GPF105" s="14"/>
      <c r="GPG105" s="14"/>
      <c r="GPH105" s="14"/>
      <c r="GPI105" s="14"/>
      <c r="GPJ105" s="14"/>
      <c r="GPK105" s="14"/>
      <c r="GPL105" s="36"/>
      <c r="GPM105" s="14"/>
      <c r="GPN105" s="14"/>
      <c r="GPO105" s="14"/>
      <c r="GPP105" s="14"/>
      <c r="GPQ105" s="14"/>
      <c r="GPR105" s="14"/>
      <c r="GPS105" s="14"/>
      <c r="GPT105" s="36"/>
      <c r="GPU105" s="14"/>
      <c r="GPV105" s="14"/>
      <c r="GPW105" s="14"/>
      <c r="GPX105" s="14"/>
      <c r="GPY105" s="14"/>
      <c r="GPZ105" s="14"/>
      <c r="GQA105" s="14"/>
      <c r="GQB105" s="36"/>
      <c r="GQC105" s="14"/>
      <c r="GQD105" s="14"/>
      <c r="GQE105" s="14"/>
      <c r="GQF105" s="14"/>
      <c r="GQG105" s="14"/>
      <c r="GQH105" s="14"/>
      <c r="GQI105" s="14"/>
      <c r="GQJ105" s="36"/>
      <c r="GQK105" s="14"/>
      <c r="GQL105" s="14"/>
      <c r="GQM105" s="14"/>
      <c r="GQN105" s="14"/>
      <c r="GQO105" s="14"/>
      <c r="GQP105" s="14"/>
      <c r="GQQ105" s="14"/>
      <c r="GQR105" s="36"/>
      <c r="GQS105" s="14"/>
      <c r="GQT105" s="14"/>
      <c r="GQU105" s="14"/>
      <c r="GQV105" s="14"/>
      <c r="GQW105" s="14"/>
      <c r="GQX105" s="14"/>
      <c r="GQY105" s="14"/>
      <c r="GQZ105" s="36"/>
      <c r="GRA105" s="14"/>
      <c r="GRB105" s="14"/>
      <c r="GRC105" s="14"/>
      <c r="GRD105" s="14"/>
      <c r="GRE105" s="14"/>
      <c r="GRF105" s="14"/>
      <c r="GRG105" s="14"/>
      <c r="GRH105" s="36"/>
      <c r="GRI105" s="14"/>
      <c r="GRJ105" s="14"/>
      <c r="GRK105" s="14"/>
      <c r="GRL105" s="14"/>
      <c r="GRM105" s="14"/>
      <c r="GRN105" s="14"/>
      <c r="GRO105" s="14"/>
      <c r="GRP105" s="36"/>
      <c r="GRQ105" s="14"/>
      <c r="GRR105" s="14"/>
      <c r="GRS105" s="14"/>
      <c r="GRT105" s="14"/>
      <c r="GRU105" s="14"/>
      <c r="GRV105" s="14"/>
      <c r="GRW105" s="14"/>
      <c r="GRX105" s="36"/>
      <c r="GRY105" s="14"/>
      <c r="GRZ105" s="14"/>
      <c r="GSA105" s="14"/>
      <c r="GSB105" s="14"/>
      <c r="GSC105" s="14"/>
      <c r="GSD105" s="14"/>
      <c r="GSE105" s="14"/>
      <c r="GSF105" s="36"/>
      <c r="GSG105" s="14"/>
      <c r="GSH105" s="14"/>
      <c r="GSI105" s="14"/>
      <c r="GSJ105" s="14"/>
      <c r="GSK105" s="14"/>
      <c r="GSL105" s="14"/>
      <c r="GSM105" s="14"/>
      <c r="GSN105" s="36"/>
      <c r="GSO105" s="14"/>
      <c r="GSP105" s="14"/>
      <c r="GSQ105" s="14"/>
      <c r="GSR105" s="14"/>
      <c r="GSS105" s="14"/>
      <c r="GST105" s="14"/>
      <c r="GSU105" s="14"/>
      <c r="GSV105" s="36"/>
      <c r="GSW105" s="14"/>
      <c r="GSX105" s="14"/>
      <c r="GSY105" s="14"/>
      <c r="GSZ105" s="14"/>
      <c r="GTA105" s="14"/>
      <c r="GTB105" s="14"/>
      <c r="GTC105" s="14"/>
      <c r="GTD105" s="36"/>
      <c r="GTE105" s="14"/>
      <c r="GTF105" s="14"/>
      <c r="GTG105" s="14"/>
      <c r="GTH105" s="14"/>
      <c r="GTI105" s="14"/>
      <c r="GTJ105" s="14"/>
      <c r="GTK105" s="14"/>
      <c r="GTL105" s="36"/>
      <c r="GTM105" s="14"/>
      <c r="GTN105" s="14"/>
      <c r="GTO105" s="14"/>
      <c r="GTP105" s="14"/>
      <c r="GTQ105" s="14"/>
      <c r="GTR105" s="14"/>
      <c r="GTS105" s="14"/>
      <c r="GTT105" s="36"/>
      <c r="GTU105" s="14"/>
      <c r="GTV105" s="14"/>
      <c r="GTW105" s="14"/>
      <c r="GTX105" s="14"/>
      <c r="GTY105" s="14"/>
      <c r="GTZ105" s="14"/>
      <c r="GUA105" s="14"/>
      <c r="GUB105" s="36"/>
      <c r="GUC105" s="14"/>
      <c r="GUD105" s="14"/>
      <c r="GUE105" s="14"/>
      <c r="GUF105" s="14"/>
      <c r="GUG105" s="14"/>
      <c r="GUH105" s="14"/>
      <c r="GUI105" s="14"/>
      <c r="GUJ105" s="36"/>
      <c r="GUK105" s="14"/>
      <c r="GUL105" s="14"/>
      <c r="GUM105" s="14"/>
      <c r="GUN105" s="14"/>
      <c r="GUO105" s="14"/>
      <c r="GUP105" s="14"/>
      <c r="GUQ105" s="14"/>
      <c r="GUR105" s="36"/>
      <c r="GUS105" s="14"/>
      <c r="GUT105" s="14"/>
      <c r="GUU105" s="14"/>
      <c r="GUV105" s="14"/>
      <c r="GUW105" s="14"/>
      <c r="GUX105" s="14"/>
      <c r="GUY105" s="14"/>
      <c r="GUZ105" s="36"/>
      <c r="GVA105" s="14"/>
      <c r="GVB105" s="14"/>
      <c r="GVC105" s="14"/>
      <c r="GVD105" s="14"/>
      <c r="GVE105" s="14"/>
      <c r="GVF105" s="14"/>
      <c r="GVG105" s="14"/>
      <c r="GVH105" s="36"/>
      <c r="GVI105" s="14"/>
      <c r="GVJ105" s="14"/>
      <c r="GVK105" s="14"/>
      <c r="GVL105" s="14"/>
      <c r="GVM105" s="14"/>
      <c r="GVN105" s="14"/>
      <c r="GVO105" s="14"/>
      <c r="GVP105" s="36"/>
      <c r="GVQ105" s="14"/>
      <c r="GVR105" s="14"/>
      <c r="GVS105" s="14"/>
      <c r="GVT105" s="14"/>
      <c r="GVU105" s="14"/>
      <c r="GVV105" s="14"/>
      <c r="GVW105" s="14"/>
      <c r="GVX105" s="36"/>
      <c r="GVY105" s="14"/>
      <c r="GVZ105" s="14"/>
      <c r="GWA105" s="14"/>
      <c r="GWB105" s="14"/>
      <c r="GWC105" s="14"/>
      <c r="GWD105" s="14"/>
      <c r="GWE105" s="14"/>
      <c r="GWF105" s="36"/>
      <c r="GWG105" s="14"/>
      <c r="GWH105" s="14"/>
      <c r="GWI105" s="14"/>
      <c r="GWJ105" s="14"/>
      <c r="GWK105" s="14"/>
      <c r="GWL105" s="14"/>
      <c r="GWM105" s="14"/>
      <c r="GWN105" s="36"/>
      <c r="GWO105" s="14"/>
      <c r="GWP105" s="14"/>
      <c r="GWQ105" s="14"/>
      <c r="GWR105" s="14"/>
      <c r="GWS105" s="14"/>
      <c r="GWT105" s="14"/>
      <c r="GWU105" s="14"/>
      <c r="GWV105" s="36"/>
      <c r="GWW105" s="14"/>
      <c r="GWX105" s="14"/>
      <c r="GWY105" s="14"/>
      <c r="GWZ105" s="14"/>
      <c r="GXA105" s="14"/>
      <c r="GXB105" s="14"/>
      <c r="GXC105" s="14"/>
      <c r="GXD105" s="36"/>
      <c r="GXE105" s="14"/>
      <c r="GXF105" s="14"/>
      <c r="GXG105" s="14"/>
      <c r="GXH105" s="14"/>
      <c r="GXI105" s="14"/>
      <c r="GXJ105" s="14"/>
      <c r="GXK105" s="14"/>
      <c r="GXL105" s="36"/>
      <c r="GXM105" s="14"/>
      <c r="GXN105" s="14"/>
      <c r="GXO105" s="14"/>
      <c r="GXP105" s="14"/>
      <c r="GXQ105" s="14"/>
      <c r="GXR105" s="14"/>
      <c r="GXS105" s="14"/>
      <c r="GXT105" s="36"/>
      <c r="GXU105" s="14"/>
      <c r="GXV105" s="14"/>
      <c r="GXW105" s="14"/>
      <c r="GXX105" s="14"/>
      <c r="GXY105" s="14"/>
      <c r="GXZ105" s="14"/>
      <c r="GYA105" s="14"/>
      <c r="GYB105" s="36"/>
      <c r="GYC105" s="14"/>
      <c r="GYD105" s="14"/>
      <c r="GYE105" s="14"/>
      <c r="GYF105" s="14"/>
      <c r="GYG105" s="14"/>
      <c r="GYH105" s="14"/>
      <c r="GYI105" s="14"/>
      <c r="GYJ105" s="36"/>
      <c r="GYK105" s="14"/>
      <c r="GYL105" s="14"/>
      <c r="GYM105" s="14"/>
      <c r="GYN105" s="14"/>
      <c r="GYO105" s="14"/>
      <c r="GYP105" s="14"/>
      <c r="GYQ105" s="14"/>
      <c r="GYR105" s="36"/>
      <c r="GYS105" s="14"/>
      <c r="GYT105" s="14"/>
      <c r="GYU105" s="14"/>
      <c r="GYV105" s="14"/>
      <c r="GYW105" s="14"/>
      <c r="GYX105" s="14"/>
      <c r="GYY105" s="14"/>
      <c r="GYZ105" s="36"/>
      <c r="GZA105" s="14"/>
      <c r="GZB105" s="14"/>
      <c r="GZC105" s="14"/>
      <c r="GZD105" s="14"/>
      <c r="GZE105" s="14"/>
      <c r="GZF105" s="14"/>
      <c r="GZG105" s="14"/>
      <c r="GZH105" s="36"/>
      <c r="GZI105" s="14"/>
      <c r="GZJ105" s="14"/>
      <c r="GZK105" s="14"/>
      <c r="GZL105" s="14"/>
      <c r="GZM105" s="14"/>
      <c r="GZN105" s="14"/>
      <c r="GZO105" s="14"/>
      <c r="GZP105" s="36"/>
      <c r="GZQ105" s="14"/>
      <c r="GZR105" s="14"/>
      <c r="GZS105" s="14"/>
      <c r="GZT105" s="14"/>
      <c r="GZU105" s="14"/>
      <c r="GZV105" s="14"/>
      <c r="GZW105" s="14"/>
      <c r="GZX105" s="36"/>
      <c r="GZY105" s="14"/>
      <c r="GZZ105" s="14"/>
      <c r="HAA105" s="14"/>
      <c r="HAB105" s="14"/>
      <c r="HAC105" s="14"/>
      <c r="HAD105" s="14"/>
      <c r="HAE105" s="14"/>
      <c r="HAF105" s="36"/>
      <c r="HAG105" s="14"/>
      <c r="HAH105" s="14"/>
      <c r="HAI105" s="14"/>
      <c r="HAJ105" s="14"/>
      <c r="HAK105" s="14"/>
      <c r="HAL105" s="14"/>
      <c r="HAM105" s="14"/>
      <c r="HAN105" s="36"/>
      <c r="HAO105" s="14"/>
      <c r="HAP105" s="14"/>
      <c r="HAQ105" s="14"/>
      <c r="HAR105" s="14"/>
      <c r="HAS105" s="14"/>
      <c r="HAT105" s="14"/>
      <c r="HAU105" s="14"/>
      <c r="HAV105" s="36"/>
      <c r="HAW105" s="14"/>
      <c r="HAX105" s="14"/>
      <c r="HAY105" s="14"/>
      <c r="HAZ105" s="14"/>
      <c r="HBA105" s="14"/>
      <c r="HBB105" s="14"/>
      <c r="HBC105" s="14"/>
      <c r="HBD105" s="36"/>
      <c r="HBE105" s="14"/>
      <c r="HBF105" s="14"/>
      <c r="HBG105" s="14"/>
      <c r="HBH105" s="14"/>
      <c r="HBI105" s="14"/>
      <c r="HBJ105" s="14"/>
      <c r="HBK105" s="14"/>
      <c r="HBL105" s="36"/>
      <c r="HBM105" s="14"/>
      <c r="HBN105" s="14"/>
      <c r="HBO105" s="14"/>
      <c r="HBP105" s="14"/>
      <c r="HBQ105" s="14"/>
      <c r="HBR105" s="14"/>
      <c r="HBS105" s="14"/>
      <c r="HBT105" s="36"/>
      <c r="HBU105" s="14"/>
      <c r="HBV105" s="14"/>
      <c r="HBW105" s="14"/>
      <c r="HBX105" s="14"/>
      <c r="HBY105" s="14"/>
      <c r="HBZ105" s="14"/>
      <c r="HCA105" s="14"/>
      <c r="HCB105" s="36"/>
      <c r="HCC105" s="14"/>
      <c r="HCD105" s="14"/>
      <c r="HCE105" s="14"/>
      <c r="HCF105" s="14"/>
      <c r="HCG105" s="14"/>
      <c r="HCH105" s="14"/>
      <c r="HCI105" s="14"/>
      <c r="HCJ105" s="36"/>
      <c r="HCK105" s="14"/>
      <c r="HCL105" s="14"/>
      <c r="HCM105" s="14"/>
      <c r="HCN105" s="14"/>
      <c r="HCO105" s="14"/>
      <c r="HCP105" s="14"/>
      <c r="HCQ105" s="14"/>
      <c r="HCR105" s="36"/>
      <c r="HCS105" s="14"/>
      <c r="HCT105" s="14"/>
      <c r="HCU105" s="14"/>
      <c r="HCV105" s="14"/>
      <c r="HCW105" s="14"/>
      <c r="HCX105" s="14"/>
      <c r="HCY105" s="14"/>
      <c r="HCZ105" s="36"/>
      <c r="HDA105" s="14"/>
      <c r="HDB105" s="14"/>
      <c r="HDC105" s="14"/>
      <c r="HDD105" s="14"/>
      <c r="HDE105" s="14"/>
      <c r="HDF105" s="14"/>
      <c r="HDG105" s="14"/>
      <c r="HDH105" s="36"/>
      <c r="HDI105" s="14"/>
      <c r="HDJ105" s="14"/>
      <c r="HDK105" s="14"/>
      <c r="HDL105" s="14"/>
      <c r="HDM105" s="14"/>
      <c r="HDN105" s="14"/>
      <c r="HDO105" s="14"/>
      <c r="HDP105" s="36"/>
      <c r="HDQ105" s="14"/>
      <c r="HDR105" s="14"/>
      <c r="HDS105" s="14"/>
      <c r="HDT105" s="14"/>
      <c r="HDU105" s="14"/>
      <c r="HDV105" s="14"/>
      <c r="HDW105" s="14"/>
      <c r="HDX105" s="36"/>
      <c r="HDY105" s="14"/>
      <c r="HDZ105" s="14"/>
      <c r="HEA105" s="14"/>
      <c r="HEB105" s="14"/>
      <c r="HEC105" s="14"/>
      <c r="HED105" s="14"/>
      <c r="HEE105" s="14"/>
      <c r="HEF105" s="36"/>
      <c r="HEG105" s="14"/>
      <c r="HEH105" s="14"/>
      <c r="HEI105" s="14"/>
      <c r="HEJ105" s="14"/>
      <c r="HEK105" s="14"/>
      <c r="HEL105" s="14"/>
      <c r="HEM105" s="14"/>
      <c r="HEN105" s="36"/>
      <c r="HEO105" s="14"/>
      <c r="HEP105" s="14"/>
      <c r="HEQ105" s="14"/>
      <c r="HER105" s="14"/>
      <c r="HES105" s="14"/>
      <c r="HET105" s="14"/>
      <c r="HEU105" s="14"/>
      <c r="HEV105" s="36"/>
      <c r="HEW105" s="14"/>
      <c r="HEX105" s="14"/>
      <c r="HEY105" s="14"/>
      <c r="HEZ105" s="14"/>
      <c r="HFA105" s="14"/>
      <c r="HFB105" s="14"/>
      <c r="HFC105" s="14"/>
      <c r="HFD105" s="36"/>
      <c r="HFE105" s="14"/>
      <c r="HFF105" s="14"/>
      <c r="HFG105" s="14"/>
      <c r="HFH105" s="14"/>
      <c r="HFI105" s="14"/>
      <c r="HFJ105" s="14"/>
      <c r="HFK105" s="14"/>
      <c r="HFL105" s="36"/>
      <c r="HFM105" s="14"/>
      <c r="HFN105" s="14"/>
      <c r="HFO105" s="14"/>
      <c r="HFP105" s="14"/>
      <c r="HFQ105" s="14"/>
      <c r="HFR105" s="14"/>
      <c r="HFS105" s="14"/>
      <c r="HFT105" s="36"/>
      <c r="HFU105" s="14"/>
      <c r="HFV105" s="14"/>
      <c r="HFW105" s="14"/>
      <c r="HFX105" s="14"/>
      <c r="HFY105" s="14"/>
      <c r="HFZ105" s="14"/>
      <c r="HGA105" s="14"/>
      <c r="HGB105" s="36"/>
      <c r="HGC105" s="14"/>
      <c r="HGD105" s="14"/>
      <c r="HGE105" s="14"/>
      <c r="HGF105" s="14"/>
      <c r="HGG105" s="14"/>
      <c r="HGH105" s="14"/>
      <c r="HGI105" s="14"/>
      <c r="HGJ105" s="36"/>
      <c r="HGK105" s="14"/>
      <c r="HGL105" s="14"/>
      <c r="HGM105" s="14"/>
      <c r="HGN105" s="14"/>
      <c r="HGO105" s="14"/>
      <c r="HGP105" s="14"/>
      <c r="HGQ105" s="14"/>
      <c r="HGR105" s="36"/>
      <c r="HGS105" s="14"/>
      <c r="HGT105" s="14"/>
      <c r="HGU105" s="14"/>
      <c r="HGV105" s="14"/>
      <c r="HGW105" s="14"/>
      <c r="HGX105" s="14"/>
      <c r="HGY105" s="14"/>
      <c r="HGZ105" s="36"/>
      <c r="HHA105" s="14"/>
      <c r="HHB105" s="14"/>
      <c r="HHC105" s="14"/>
      <c r="HHD105" s="14"/>
      <c r="HHE105" s="14"/>
      <c r="HHF105" s="14"/>
      <c r="HHG105" s="14"/>
      <c r="HHH105" s="36"/>
      <c r="HHI105" s="14"/>
      <c r="HHJ105" s="14"/>
      <c r="HHK105" s="14"/>
      <c r="HHL105" s="14"/>
      <c r="HHM105" s="14"/>
      <c r="HHN105" s="14"/>
      <c r="HHO105" s="14"/>
      <c r="HHP105" s="36"/>
      <c r="HHQ105" s="14"/>
      <c r="HHR105" s="14"/>
      <c r="HHS105" s="14"/>
      <c r="HHT105" s="14"/>
      <c r="HHU105" s="14"/>
      <c r="HHV105" s="14"/>
      <c r="HHW105" s="14"/>
      <c r="HHX105" s="36"/>
      <c r="HHY105" s="14"/>
      <c r="HHZ105" s="14"/>
      <c r="HIA105" s="14"/>
      <c r="HIB105" s="14"/>
      <c r="HIC105" s="14"/>
      <c r="HID105" s="14"/>
      <c r="HIE105" s="14"/>
      <c r="HIF105" s="36"/>
      <c r="HIG105" s="14"/>
      <c r="HIH105" s="14"/>
      <c r="HII105" s="14"/>
      <c r="HIJ105" s="14"/>
      <c r="HIK105" s="14"/>
      <c r="HIL105" s="14"/>
      <c r="HIM105" s="14"/>
      <c r="HIN105" s="36"/>
      <c r="HIO105" s="14"/>
      <c r="HIP105" s="14"/>
      <c r="HIQ105" s="14"/>
      <c r="HIR105" s="14"/>
      <c r="HIS105" s="14"/>
      <c r="HIT105" s="14"/>
      <c r="HIU105" s="14"/>
      <c r="HIV105" s="36"/>
      <c r="HIW105" s="14"/>
      <c r="HIX105" s="14"/>
      <c r="HIY105" s="14"/>
      <c r="HIZ105" s="14"/>
      <c r="HJA105" s="14"/>
      <c r="HJB105" s="14"/>
      <c r="HJC105" s="14"/>
      <c r="HJD105" s="36"/>
      <c r="HJE105" s="14"/>
      <c r="HJF105" s="14"/>
      <c r="HJG105" s="14"/>
      <c r="HJH105" s="14"/>
      <c r="HJI105" s="14"/>
      <c r="HJJ105" s="14"/>
      <c r="HJK105" s="14"/>
      <c r="HJL105" s="36"/>
      <c r="HJM105" s="14"/>
      <c r="HJN105" s="14"/>
      <c r="HJO105" s="14"/>
      <c r="HJP105" s="14"/>
      <c r="HJQ105" s="14"/>
      <c r="HJR105" s="14"/>
      <c r="HJS105" s="14"/>
      <c r="HJT105" s="36"/>
      <c r="HJU105" s="14"/>
      <c r="HJV105" s="14"/>
      <c r="HJW105" s="14"/>
      <c r="HJX105" s="14"/>
      <c r="HJY105" s="14"/>
      <c r="HJZ105" s="14"/>
      <c r="HKA105" s="14"/>
      <c r="HKB105" s="36"/>
      <c r="HKC105" s="14"/>
      <c r="HKD105" s="14"/>
      <c r="HKE105" s="14"/>
      <c r="HKF105" s="14"/>
      <c r="HKG105" s="14"/>
      <c r="HKH105" s="14"/>
      <c r="HKI105" s="14"/>
      <c r="HKJ105" s="36"/>
      <c r="HKK105" s="14"/>
      <c r="HKL105" s="14"/>
      <c r="HKM105" s="14"/>
      <c r="HKN105" s="14"/>
      <c r="HKO105" s="14"/>
      <c r="HKP105" s="14"/>
      <c r="HKQ105" s="14"/>
      <c r="HKR105" s="36"/>
      <c r="HKS105" s="14"/>
      <c r="HKT105" s="14"/>
      <c r="HKU105" s="14"/>
      <c r="HKV105" s="14"/>
      <c r="HKW105" s="14"/>
      <c r="HKX105" s="14"/>
      <c r="HKY105" s="14"/>
      <c r="HKZ105" s="36"/>
      <c r="HLA105" s="14"/>
      <c r="HLB105" s="14"/>
      <c r="HLC105" s="14"/>
      <c r="HLD105" s="14"/>
      <c r="HLE105" s="14"/>
      <c r="HLF105" s="14"/>
      <c r="HLG105" s="14"/>
      <c r="HLH105" s="36"/>
      <c r="HLI105" s="14"/>
      <c r="HLJ105" s="14"/>
      <c r="HLK105" s="14"/>
      <c r="HLL105" s="14"/>
      <c r="HLM105" s="14"/>
      <c r="HLN105" s="14"/>
      <c r="HLO105" s="14"/>
      <c r="HLP105" s="36"/>
      <c r="HLQ105" s="14"/>
      <c r="HLR105" s="14"/>
      <c r="HLS105" s="14"/>
      <c r="HLT105" s="14"/>
      <c r="HLU105" s="14"/>
      <c r="HLV105" s="14"/>
      <c r="HLW105" s="14"/>
      <c r="HLX105" s="36"/>
      <c r="HLY105" s="14"/>
      <c r="HLZ105" s="14"/>
      <c r="HMA105" s="14"/>
      <c r="HMB105" s="14"/>
      <c r="HMC105" s="14"/>
      <c r="HMD105" s="14"/>
      <c r="HME105" s="14"/>
      <c r="HMF105" s="36"/>
      <c r="HMG105" s="14"/>
      <c r="HMH105" s="14"/>
      <c r="HMI105" s="14"/>
      <c r="HMJ105" s="14"/>
      <c r="HMK105" s="14"/>
      <c r="HML105" s="14"/>
      <c r="HMM105" s="14"/>
      <c r="HMN105" s="36"/>
      <c r="HMO105" s="14"/>
      <c r="HMP105" s="14"/>
      <c r="HMQ105" s="14"/>
      <c r="HMR105" s="14"/>
      <c r="HMS105" s="14"/>
      <c r="HMT105" s="14"/>
      <c r="HMU105" s="14"/>
      <c r="HMV105" s="36"/>
      <c r="HMW105" s="14"/>
      <c r="HMX105" s="14"/>
      <c r="HMY105" s="14"/>
      <c r="HMZ105" s="14"/>
      <c r="HNA105" s="14"/>
      <c r="HNB105" s="14"/>
      <c r="HNC105" s="14"/>
      <c r="HND105" s="36"/>
      <c r="HNE105" s="14"/>
      <c r="HNF105" s="14"/>
      <c r="HNG105" s="14"/>
      <c r="HNH105" s="14"/>
      <c r="HNI105" s="14"/>
      <c r="HNJ105" s="14"/>
      <c r="HNK105" s="14"/>
      <c r="HNL105" s="36"/>
      <c r="HNM105" s="14"/>
      <c r="HNN105" s="14"/>
      <c r="HNO105" s="14"/>
      <c r="HNP105" s="14"/>
      <c r="HNQ105" s="14"/>
      <c r="HNR105" s="14"/>
      <c r="HNS105" s="14"/>
      <c r="HNT105" s="36"/>
      <c r="HNU105" s="14"/>
      <c r="HNV105" s="14"/>
      <c r="HNW105" s="14"/>
      <c r="HNX105" s="14"/>
      <c r="HNY105" s="14"/>
      <c r="HNZ105" s="14"/>
      <c r="HOA105" s="14"/>
      <c r="HOB105" s="36"/>
      <c r="HOC105" s="14"/>
      <c r="HOD105" s="14"/>
      <c r="HOE105" s="14"/>
      <c r="HOF105" s="14"/>
      <c r="HOG105" s="14"/>
      <c r="HOH105" s="14"/>
      <c r="HOI105" s="14"/>
      <c r="HOJ105" s="36"/>
      <c r="HOK105" s="14"/>
      <c r="HOL105" s="14"/>
      <c r="HOM105" s="14"/>
      <c r="HON105" s="14"/>
      <c r="HOO105" s="14"/>
      <c r="HOP105" s="14"/>
      <c r="HOQ105" s="14"/>
      <c r="HOR105" s="36"/>
      <c r="HOS105" s="14"/>
      <c r="HOT105" s="14"/>
      <c r="HOU105" s="14"/>
      <c r="HOV105" s="14"/>
      <c r="HOW105" s="14"/>
      <c r="HOX105" s="14"/>
      <c r="HOY105" s="14"/>
      <c r="HOZ105" s="36"/>
      <c r="HPA105" s="14"/>
      <c r="HPB105" s="14"/>
      <c r="HPC105" s="14"/>
      <c r="HPD105" s="14"/>
      <c r="HPE105" s="14"/>
      <c r="HPF105" s="14"/>
      <c r="HPG105" s="14"/>
      <c r="HPH105" s="36"/>
      <c r="HPI105" s="14"/>
      <c r="HPJ105" s="14"/>
      <c r="HPK105" s="14"/>
      <c r="HPL105" s="14"/>
      <c r="HPM105" s="14"/>
      <c r="HPN105" s="14"/>
      <c r="HPO105" s="14"/>
      <c r="HPP105" s="36"/>
      <c r="HPQ105" s="14"/>
      <c r="HPR105" s="14"/>
      <c r="HPS105" s="14"/>
      <c r="HPT105" s="14"/>
      <c r="HPU105" s="14"/>
      <c r="HPV105" s="14"/>
      <c r="HPW105" s="14"/>
      <c r="HPX105" s="36"/>
      <c r="HPY105" s="14"/>
      <c r="HPZ105" s="14"/>
      <c r="HQA105" s="14"/>
      <c r="HQB105" s="14"/>
      <c r="HQC105" s="14"/>
      <c r="HQD105" s="14"/>
      <c r="HQE105" s="14"/>
      <c r="HQF105" s="36"/>
      <c r="HQG105" s="14"/>
      <c r="HQH105" s="14"/>
      <c r="HQI105" s="14"/>
      <c r="HQJ105" s="14"/>
      <c r="HQK105" s="14"/>
      <c r="HQL105" s="14"/>
      <c r="HQM105" s="14"/>
      <c r="HQN105" s="36"/>
      <c r="HQO105" s="14"/>
      <c r="HQP105" s="14"/>
      <c r="HQQ105" s="14"/>
      <c r="HQR105" s="14"/>
      <c r="HQS105" s="14"/>
      <c r="HQT105" s="14"/>
      <c r="HQU105" s="14"/>
      <c r="HQV105" s="36"/>
      <c r="HQW105" s="14"/>
      <c r="HQX105" s="14"/>
      <c r="HQY105" s="14"/>
      <c r="HQZ105" s="14"/>
      <c r="HRA105" s="14"/>
      <c r="HRB105" s="14"/>
      <c r="HRC105" s="14"/>
      <c r="HRD105" s="36"/>
      <c r="HRE105" s="14"/>
      <c r="HRF105" s="14"/>
      <c r="HRG105" s="14"/>
      <c r="HRH105" s="14"/>
      <c r="HRI105" s="14"/>
      <c r="HRJ105" s="14"/>
      <c r="HRK105" s="14"/>
      <c r="HRL105" s="36"/>
      <c r="HRM105" s="14"/>
      <c r="HRN105" s="14"/>
      <c r="HRO105" s="14"/>
      <c r="HRP105" s="14"/>
      <c r="HRQ105" s="14"/>
      <c r="HRR105" s="14"/>
      <c r="HRS105" s="14"/>
      <c r="HRT105" s="36"/>
      <c r="HRU105" s="14"/>
      <c r="HRV105" s="14"/>
      <c r="HRW105" s="14"/>
      <c r="HRX105" s="14"/>
      <c r="HRY105" s="14"/>
      <c r="HRZ105" s="14"/>
      <c r="HSA105" s="14"/>
      <c r="HSB105" s="36"/>
      <c r="HSC105" s="14"/>
      <c r="HSD105" s="14"/>
      <c r="HSE105" s="14"/>
      <c r="HSF105" s="14"/>
      <c r="HSG105" s="14"/>
      <c r="HSH105" s="14"/>
      <c r="HSI105" s="14"/>
      <c r="HSJ105" s="36"/>
      <c r="HSK105" s="14"/>
      <c r="HSL105" s="14"/>
      <c r="HSM105" s="14"/>
      <c r="HSN105" s="14"/>
      <c r="HSO105" s="14"/>
      <c r="HSP105" s="14"/>
      <c r="HSQ105" s="14"/>
      <c r="HSR105" s="36"/>
      <c r="HSS105" s="14"/>
      <c r="HST105" s="14"/>
      <c r="HSU105" s="14"/>
      <c r="HSV105" s="14"/>
      <c r="HSW105" s="14"/>
      <c r="HSX105" s="14"/>
      <c r="HSY105" s="14"/>
      <c r="HSZ105" s="36"/>
      <c r="HTA105" s="14"/>
      <c r="HTB105" s="14"/>
      <c r="HTC105" s="14"/>
      <c r="HTD105" s="14"/>
      <c r="HTE105" s="14"/>
      <c r="HTF105" s="14"/>
      <c r="HTG105" s="14"/>
      <c r="HTH105" s="36"/>
      <c r="HTI105" s="14"/>
      <c r="HTJ105" s="14"/>
      <c r="HTK105" s="14"/>
      <c r="HTL105" s="14"/>
      <c r="HTM105" s="14"/>
      <c r="HTN105" s="14"/>
      <c r="HTO105" s="14"/>
      <c r="HTP105" s="36"/>
      <c r="HTQ105" s="14"/>
      <c r="HTR105" s="14"/>
      <c r="HTS105" s="14"/>
      <c r="HTT105" s="14"/>
      <c r="HTU105" s="14"/>
      <c r="HTV105" s="14"/>
      <c r="HTW105" s="14"/>
      <c r="HTX105" s="36"/>
      <c r="HTY105" s="14"/>
      <c r="HTZ105" s="14"/>
      <c r="HUA105" s="14"/>
      <c r="HUB105" s="14"/>
      <c r="HUC105" s="14"/>
      <c r="HUD105" s="14"/>
      <c r="HUE105" s="14"/>
      <c r="HUF105" s="36"/>
      <c r="HUG105" s="14"/>
      <c r="HUH105" s="14"/>
      <c r="HUI105" s="14"/>
      <c r="HUJ105" s="14"/>
      <c r="HUK105" s="14"/>
      <c r="HUL105" s="14"/>
      <c r="HUM105" s="14"/>
      <c r="HUN105" s="36"/>
      <c r="HUO105" s="14"/>
      <c r="HUP105" s="14"/>
      <c r="HUQ105" s="14"/>
      <c r="HUR105" s="14"/>
      <c r="HUS105" s="14"/>
      <c r="HUT105" s="14"/>
      <c r="HUU105" s="14"/>
      <c r="HUV105" s="36"/>
      <c r="HUW105" s="14"/>
      <c r="HUX105" s="14"/>
      <c r="HUY105" s="14"/>
      <c r="HUZ105" s="14"/>
      <c r="HVA105" s="14"/>
      <c r="HVB105" s="14"/>
      <c r="HVC105" s="14"/>
      <c r="HVD105" s="36"/>
      <c r="HVE105" s="14"/>
      <c r="HVF105" s="14"/>
      <c r="HVG105" s="14"/>
      <c r="HVH105" s="14"/>
      <c r="HVI105" s="14"/>
      <c r="HVJ105" s="14"/>
      <c r="HVK105" s="14"/>
      <c r="HVL105" s="36"/>
      <c r="HVM105" s="14"/>
      <c r="HVN105" s="14"/>
      <c r="HVO105" s="14"/>
      <c r="HVP105" s="14"/>
      <c r="HVQ105" s="14"/>
      <c r="HVR105" s="14"/>
      <c r="HVS105" s="14"/>
      <c r="HVT105" s="36"/>
      <c r="HVU105" s="14"/>
      <c r="HVV105" s="14"/>
      <c r="HVW105" s="14"/>
      <c r="HVX105" s="14"/>
      <c r="HVY105" s="14"/>
      <c r="HVZ105" s="14"/>
      <c r="HWA105" s="14"/>
      <c r="HWB105" s="36"/>
      <c r="HWC105" s="14"/>
      <c r="HWD105" s="14"/>
      <c r="HWE105" s="14"/>
      <c r="HWF105" s="14"/>
      <c r="HWG105" s="14"/>
      <c r="HWH105" s="14"/>
      <c r="HWI105" s="14"/>
      <c r="HWJ105" s="36"/>
      <c r="HWK105" s="14"/>
      <c r="HWL105" s="14"/>
      <c r="HWM105" s="14"/>
      <c r="HWN105" s="14"/>
      <c r="HWO105" s="14"/>
      <c r="HWP105" s="14"/>
      <c r="HWQ105" s="14"/>
      <c r="HWR105" s="36"/>
      <c r="HWS105" s="14"/>
      <c r="HWT105" s="14"/>
      <c r="HWU105" s="14"/>
      <c r="HWV105" s="14"/>
      <c r="HWW105" s="14"/>
      <c r="HWX105" s="14"/>
      <c r="HWY105" s="14"/>
      <c r="HWZ105" s="36"/>
      <c r="HXA105" s="14"/>
      <c r="HXB105" s="14"/>
      <c r="HXC105" s="14"/>
      <c r="HXD105" s="14"/>
      <c r="HXE105" s="14"/>
      <c r="HXF105" s="14"/>
      <c r="HXG105" s="14"/>
      <c r="HXH105" s="36"/>
      <c r="HXI105" s="14"/>
      <c r="HXJ105" s="14"/>
      <c r="HXK105" s="14"/>
      <c r="HXL105" s="14"/>
      <c r="HXM105" s="14"/>
      <c r="HXN105" s="14"/>
      <c r="HXO105" s="14"/>
      <c r="HXP105" s="36"/>
      <c r="HXQ105" s="14"/>
      <c r="HXR105" s="14"/>
      <c r="HXS105" s="14"/>
      <c r="HXT105" s="14"/>
      <c r="HXU105" s="14"/>
      <c r="HXV105" s="14"/>
      <c r="HXW105" s="14"/>
      <c r="HXX105" s="36"/>
      <c r="HXY105" s="14"/>
      <c r="HXZ105" s="14"/>
      <c r="HYA105" s="14"/>
      <c r="HYB105" s="14"/>
      <c r="HYC105" s="14"/>
      <c r="HYD105" s="14"/>
      <c r="HYE105" s="14"/>
      <c r="HYF105" s="36"/>
      <c r="HYG105" s="14"/>
      <c r="HYH105" s="14"/>
      <c r="HYI105" s="14"/>
      <c r="HYJ105" s="14"/>
      <c r="HYK105" s="14"/>
      <c r="HYL105" s="14"/>
      <c r="HYM105" s="14"/>
      <c r="HYN105" s="36"/>
      <c r="HYO105" s="14"/>
      <c r="HYP105" s="14"/>
      <c r="HYQ105" s="14"/>
      <c r="HYR105" s="14"/>
      <c r="HYS105" s="14"/>
      <c r="HYT105" s="14"/>
      <c r="HYU105" s="14"/>
      <c r="HYV105" s="36"/>
      <c r="HYW105" s="14"/>
      <c r="HYX105" s="14"/>
      <c r="HYY105" s="14"/>
      <c r="HYZ105" s="14"/>
      <c r="HZA105" s="14"/>
      <c r="HZB105" s="14"/>
      <c r="HZC105" s="14"/>
      <c r="HZD105" s="36"/>
      <c r="HZE105" s="14"/>
      <c r="HZF105" s="14"/>
      <c r="HZG105" s="14"/>
      <c r="HZH105" s="14"/>
      <c r="HZI105" s="14"/>
      <c r="HZJ105" s="14"/>
      <c r="HZK105" s="14"/>
      <c r="HZL105" s="36"/>
      <c r="HZM105" s="14"/>
      <c r="HZN105" s="14"/>
      <c r="HZO105" s="14"/>
      <c r="HZP105" s="14"/>
      <c r="HZQ105" s="14"/>
      <c r="HZR105" s="14"/>
      <c r="HZS105" s="14"/>
      <c r="HZT105" s="36"/>
      <c r="HZU105" s="14"/>
      <c r="HZV105" s="14"/>
      <c r="HZW105" s="14"/>
      <c r="HZX105" s="14"/>
      <c r="HZY105" s="14"/>
      <c r="HZZ105" s="14"/>
      <c r="IAA105" s="14"/>
      <c r="IAB105" s="36"/>
      <c r="IAC105" s="14"/>
      <c r="IAD105" s="14"/>
      <c r="IAE105" s="14"/>
      <c r="IAF105" s="14"/>
      <c r="IAG105" s="14"/>
      <c r="IAH105" s="14"/>
      <c r="IAI105" s="14"/>
      <c r="IAJ105" s="36"/>
      <c r="IAK105" s="14"/>
      <c r="IAL105" s="14"/>
      <c r="IAM105" s="14"/>
      <c r="IAN105" s="14"/>
      <c r="IAO105" s="14"/>
      <c r="IAP105" s="14"/>
      <c r="IAQ105" s="14"/>
      <c r="IAR105" s="36"/>
      <c r="IAS105" s="14"/>
      <c r="IAT105" s="14"/>
      <c r="IAU105" s="14"/>
      <c r="IAV105" s="14"/>
      <c r="IAW105" s="14"/>
      <c r="IAX105" s="14"/>
      <c r="IAY105" s="14"/>
      <c r="IAZ105" s="36"/>
      <c r="IBA105" s="14"/>
      <c r="IBB105" s="14"/>
      <c r="IBC105" s="14"/>
      <c r="IBD105" s="14"/>
      <c r="IBE105" s="14"/>
      <c r="IBF105" s="14"/>
      <c r="IBG105" s="14"/>
      <c r="IBH105" s="36"/>
      <c r="IBI105" s="14"/>
      <c r="IBJ105" s="14"/>
      <c r="IBK105" s="14"/>
      <c r="IBL105" s="14"/>
      <c r="IBM105" s="14"/>
      <c r="IBN105" s="14"/>
      <c r="IBO105" s="14"/>
      <c r="IBP105" s="36"/>
      <c r="IBQ105" s="14"/>
      <c r="IBR105" s="14"/>
      <c r="IBS105" s="14"/>
      <c r="IBT105" s="14"/>
      <c r="IBU105" s="14"/>
      <c r="IBV105" s="14"/>
      <c r="IBW105" s="14"/>
      <c r="IBX105" s="36"/>
      <c r="IBY105" s="14"/>
      <c r="IBZ105" s="14"/>
      <c r="ICA105" s="14"/>
      <c r="ICB105" s="14"/>
      <c r="ICC105" s="14"/>
      <c r="ICD105" s="14"/>
      <c r="ICE105" s="14"/>
      <c r="ICF105" s="36"/>
      <c r="ICG105" s="14"/>
      <c r="ICH105" s="14"/>
      <c r="ICI105" s="14"/>
      <c r="ICJ105" s="14"/>
      <c r="ICK105" s="14"/>
      <c r="ICL105" s="14"/>
      <c r="ICM105" s="14"/>
      <c r="ICN105" s="36"/>
      <c r="ICO105" s="14"/>
      <c r="ICP105" s="14"/>
      <c r="ICQ105" s="14"/>
      <c r="ICR105" s="14"/>
      <c r="ICS105" s="14"/>
      <c r="ICT105" s="14"/>
      <c r="ICU105" s="14"/>
      <c r="ICV105" s="36"/>
      <c r="ICW105" s="14"/>
      <c r="ICX105" s="14"/>
      <c r="ICY105" s="14"/>
      <c r="ICZ105" s="14"/>
      <c r="IDA105" s="14"/>
      <c r="IDB105" s="14"/>
      <c r="IDC105" s="14"/>
      <c r="IDD105" s="36"/>
      <c r="IDE105" s="14"/>
      <c r="IDF105" s="14"/>
      <c r="IDG105" s="14"/>
      <c r="IDH105" s="14"/>
      <c r="IDI105" s="14"/>
      <c r="IDJ105" s="14"/>
      <c r="IDK105" s="14"/>
      <c r="IDL105" s="36"/>
      <c r="IDM105" s="14"/>
      <c r="IDN105" s="14"/>
      <c r="IDO105" s="14"/>
      <c r="IDP105" s="14"/>
      <c r="IDQ105" s="14"/>
      <c r="IDR105" s="14"/>
      <c r="IDS105" s="14"/>
      <c r="IDT105" s="36"/>
      <c r="IDU105" s="14"/>
      <c r="IDV105" s="14"/>
      <c r="IDW105" s="14"/>
      <c r="IDX105" s="14"/>
      <c r="IDY105" s="14"/>
      <c r="IDZ105" s="14"/>
      <c r="IEA105" s="14"/>
      <c r="IEB105" s="36"/>
      <c r="IEC105" s="14"/>
      <c r="IED105" s="14"/>
      <c r="IEE105" s="14"/>
      <c r="IEF105" s="14"/>
      <c r="IEG105" s="14"/>
      <c r="IEH105" s="14"/>
      <c r="IEI105" s="14"/>
      <c r="IEJ105" s="36"/>
      <c r="IEK105" s="14"/>
      <c r="IEL105" s="14"/>
      <c r="IEM105" s="14"/>
      <c r="IEN105" s="14"/>
      <c r="IEO105" s="14"/>
      <c r="IEP105" s="14"/>
      <c r="IEQ105" s="14"/>
      <c r="IER105" s="36"/>
      <c r="IES105" s="14"/>
      <c r="IET105" s="14"/>
      <c r="IEU105" s="14"/>
      <c r="IEV105" s="14"/>
      <c r="IEW105" s="14"/>
      <c r="IEX105" s="14"/>
      <c r="IEY105" s="14"/>
      <c r="IEZ105" s="36"/>
      <c r="IFA105" s="14"/>
      <c r="IFB105" s="14"/>
      <c r="IFC105" s="14"/>
      <c r="IFD105" s="14"/>
      <c r="IFE105" s="14"/>
      <c r="IFF105" s="14"/>
      <c r="IFG105" s="14"/>
      <c r="IFH105" s="36"/>
      <c r="IFI105" s="14"/>
      <c r="IFJ105" s="14"/>
      <c r="IFK105" s="14"/>
      <c r="IFL105" s="14"/>
      <c r="IFM105" s="14"/>
      <c r="IFN105" s="14"/>
      <c r="IFO105" s="14"/>
      <c r="IFP105" s="36"/>
      <c r="IFQ105" s="14"/>
      <c r="IFR105" s="14"/>
      <c r="IFS105" s="14"/>
      <c r="IFT105" s="14"/>
      <c r="IFU105" s="14"/>
      <c r="IFV105" s="14"/>
      <c r="IFW105" s="14"/>
      <c r="IFX105" s="36"/>
      <c r="IFY105" s="14"/>
      <c r="IFZ105" s="14"/>
      <c r="IGA105" s="14"/>
      <c r="IGB105" s="14"/>
      <c r="IGC105" s="14"/>
      <c r="IGD105" s="14"/>
      <c r="IGE105" s="14"/>
      <c r="IGF105" s="36"/>
      <c r="IGG105" s="14"/>
      <c r="IGH105" s="14"/>
      <c r="IGI105" s="14"/>
      <c r="IGJ105" s="14"/>
      <c r="IGK105" s="14"/>
      <c r="IGL105" s="14"/>
      <c r="IGM105" s="14"/>
      <c r="IGN105" s="36"/>
      <c r="IGO105" s="14"/>
      <c r="IGP105" s="14"/>
      <c r="IGQ105" s="14"/>
      <c r="IGR105" s="14"/>
      <c r="IGS105" s="14"/>
      <c r="IGT105" s="14"/>
      <c r="IGU105" s="14"/>
      <c r="IGV105" s="36"/>
      <c r="IGW105" s="14"/>
      <c r="IGX105" s="14"/>
      <c r="IGY105" s="14"/>
      <c r="IGZ105" s="14"/>
      <c r="IHA105" s="14"/>
      <c r="IHB105" s="14"/>
      <c r="IHC105" s="14"/>
      <c r="IHD105" s="36"/>
      <c r="IHE105" s="14"/>
      <c r="IHF105" s="14"/>
      <c r="IHG105" s="14"/>
      <c r="IHH105" s="14"/>
      <c r="IHI105" s="14"/>
      <c r="IHJ105" s="14"/>
      <c r="IHK105" s="14"/>
      <c r="IHL105" s="36"/>
      <c r="IHM105" s="14"/>
      <c r="IHN105" s="14"/>
      <c r="IHO105" s="14"/>
      <c r="IHP105" s="14"/>
      <c r="IHQ105" s="14"/>
      <c r="IHR105" s="14"/>
      <c r="IHS105" s="14"/>
      <c r="IHT105" s="36"/>
      <c r="IHU105" s="14"/>
      <c r="IHV105" s="14"/>
      <c r="IHW105" s="14"/>
      <c r="IHX105" s="14"/>
      <c r="IHY105" s="14"/>
      <c r="IHZ105" s="14"/>
      <c r="IIA105" s="14"/>
      <c r="IIB105" s="36"/>
      <c r="IIC105" s="14"/>
      <c r="IID105" s="14"/>
      <c r="IIE105" s="14"/>
      <c r="IIF105" s="14"/>
      <c r="IIG105" s="14"/>
      <c r="IIH105" s="14"/>
      <c r="III105" s="14"/>
      <c r="IIJ105" s="36"/>
      <c r="IIK105" s="14"/>
      <c r="IIL105" s="14"/>
      <c r="IIM105" s="14"/>
      <c r="IIN105" s="14"/>
      <c r="IIO105" s="14"/>
      <c r="IIP105" s="14"/>
      <c r="IIQ105" s="14"/>
      <c r="IIR105" s="36"/>
      <c r="IIS105" s="14"/>
      <c r="IIT105" s="14"/>
      <c r="IIU105" s="14"/>
      <c r="IIV105" s="14"/>
      <c r="IIW105" s="14"/>
      <c r="IIX105" s="14"/>
      <c r="IIY105" s="14"/>
      <c r="IIZ105" s="36"/>
      <c r="IJA105" s="14"/>
      <c r="IJB105" s="14"/>
      <c r="IJC105" s="14"/>
      <c r="IJD105" s="14"/>
      <c r="IJE105" s="14"/>
      <c r="IJF105" s="14"/>
      <c r="IJG105" s="14"/>
      <c r="IJH105" s="36"/>
      <c r="IJI105" s="14"/>
      <c r="IJJ105" s="14"/>
      <c r="IJK105" s="14"/>
      <c r="IJL105" s="14"/>
      <c r="IJM105" s="14"/>
      <c r="IJN105" s="14"/>
      <c r="IJO105" s="14"/>
      <c r="IJP105" s="36"/>
      <c r="IJQ105" s="14"/>
      <c r="IJR105" s="14"/>
      <c r="IJS105" s="14"/>
      <c r="IJT105" s="14"/>
      <c r="IJU105" s="14"/>
      <c r="IJV105" s="14"/>
      <c r="IJW105" s="14"/>
      <c r="IJX105" s="36"/>
      <c r="IJY105" s="14"/>
      <c r="IJZ105" s="14"/>
      <c r="IKA105" s="14"/>
      <c r="IKB105" s="14"/>
      <c r="IKC105" s="14"/>
      <c r="IKD105" s="14"/>
      <c r="IKE105" s="14"/>
      <c r="IKF105" s="36"/>
      <c r="IKG105" s="14"/>
      <c r="IKH105" s="14"/>
      <c r="IKI105" s="14"/>
      <c r="IKJ105" s="14"/>
      <c r="IKK105" s="14"/>
      <c r="IKL105" s="14"/>
      <c r="IKM105" s="14"/>
      <c r="IKN105" s="36"/>
      <c r="IKO105" s="14"/>
      <c r="IKP105" s="14"/>
      <c r="IKQ105" s="14"/>
      <c r="IKR105" s="14"/>
      <c r="IKS105" s="14"/>
      <c r="IKT105" s="14"/>
      <c r="IKU105" s="14"/>
      <c r="IKV105" s="36"/>
      <c r="IKW105" s="14"/>
      <c r="IKX105" s="14"/>
      <c r="IKY105" s="14"/>
      <c r="IKZ105" s="14"/>
      <c r="ILA105" s="14"/>
      <c r="ILB105" s="14"/>
      <c r="ILC105" s="14"/>
      <c r="ILD105" s="36"/>
      <c r="ILE105" s="14"/>
      <c r="ILF105" s="14"/>
      <c r="ILG105" s="14"/>
      <c r="ILH105" s="14"/>
      <c r="ILI105" s="14"/>
      <c r="ILJ105" s="14"/>
      <c r="ILK105" s="14"/>
      <c r="ILL105" s="36"/>
      <c r="ILM105" s="14"/>
      <c r="ILN105" s="14"/>
      <c r="ILO105" s="14"/>
      <c r="ILP105" s="14"/>
      <c r="ILQ105" s="14"/>
      <c r="ILR105" s="14"/>
      <c r="ILS105" s="14"/>
      <c r="ILT105" s="36"/>
      <c r="ILU105" s="14"/>
      <c r="ILV105" s="14"/>
      <c r="ILW105" s="14"/>
      <c r="ILX105" s="14"/>
      <c r="ILY105" s="14"/>
      <c r="ILZ105" s="14"/>
      <c r="IMA105" s="14"/>
      <c r="IMB105" s="36"/>
      <c r="IMC105" s="14"/>
      <c r="IMD105" s="14"/>
      <c r="IME105" s="14"/>
      <c r="IMF105" s="14"/>
      <c r="IMG105" s="14"/>
      <c r="IMH105" s="14"/>
      <c r="IMI105" s="14"/>
      <c r="IMJ105" s="36"/>
      <c r="IMK105" s="14"/>
      <c r="IML105" s="14"/>
      <c r="IMM105" s="14"/>
      <c r="IMN105" s="14"/>
      <c r="IMO105" s="14"/>
      <c r="IMP105" s="14"/>
      <c r="IMQ105" s="14"/>
      <c r="IMR105" s="36"/>
      <c r="IMS105" s="14"/>
      <c r="IMT105" s="14"/>
      <c r="IMU105" s="14"/>
      <c r="IMV105" s="14"/>
      <c r="IMW105" s="14"/>
      <c r="IMX105" s="14"/>
      <c r="IMY105" s="14"/>
      <c r="IMZ105" s="36"/>
      <c r="INA105" s="14"/>
      <c r="INB105" s="14"/>
      <c r="INC105" s="14"/>
      <c r="IND105" s="14"/>
      <c r="INE105" s="14"/>
      <c r="INF105" s="14"/>
      <c r="ING105" s="14"/>
      <c r="INH105" s="36"/>
      <c r="INI105" s="14"/>
      <c r="INJ105" s="14"/>
      <c r="INK105" s="14"/>
      <c r="INL105" s="14"/>
      <c r="INM105" s="14"/>
      <c r="INN105" s="14"/>
      <c r="INO105" s="14"/>
      <c r="INP105" s="36"/>
      <c r="INQ105" s="14"/>
      <c r="INR105" s="14"/>
      <c r="INS105" s="14"/>
      <c r="INT105" s="14"/>
      <c r="INU105" s="14"/>
      <c r="INV105" s="14"/>
      <c r="INW105" s="14"/>
      <c r="INX105" s="36"/>
      <c r="INY105" s="14"/>
      <c r="INZ105" s="14"/>
      <c r="IOA105" s="14"/>
      <c r="IOB105" s="14"/>
      <c r="IOC105" s="14"/>
      <c r="IOD105" s="14"/>
      <c r="IOE105" s="14"/>
      <c r="IOF105" s="36"/>
      <c r="IOG105" s="14"/>
      <c r="IOH105" s="14"/>
      <c r="IOI105" s="14"/>
      <c r="IOJ105" s="14"/>
      <c r="IOK105" s="14"/>
      <c r="IOL105" s="14"/>
      <c r="IOM105" s="14"/>
      <c r="ION105" s="36"/>
      <c r="IOO105" s="14"/>
      <c r="IOP105" s="14"/>
      <c r="IOQ105" s="14"/>
      <c r="IOR105" s="14"/>
      <c r="IOS105" s="14"/>
      <c r="IOT105" s="14"/>
      <c r="IOU105" s="14"/>
      <c r="IOV105" s="36"/>
      <c r="IOW105" s="14"/>
      <c r="IOX105" s="14"/>
      <c r="IOY105" s="14"/>
      <c r="IOZ105" s="14"/>
      <c r="IPA105" s="14"/>
      <c r="IPB105" s="14"/>
      <c r="IPC105" s="14"/>
      <c r="IPD105" s="36"/>
      <c r="IPE105" s="14"/>
      <c r="IPF105" s="14"/>
      <c r="IPG105" s="14"/>
      <c r="IPH105" s="14"/>
      <c r="IPI105" s="14"/>
      <c r="IPJ105" s="14"/>
      <c r="IPK105" s="14"/>
      <c r="IPL105" s="36"/>
      <c r="IPM105" s="14"/>
      <c r="IPN105" s="14"/>
      <c r="IPO105" s="14"/>
      <c r="IPP105" s="14"/>
      <c r="IPQ105" s="14"/>
      <c r="IPR105" s="14"/>
      <c r="IPS105" s="14"/>
      <c r="IPT105" s="36"/>
      <c r="IPU105" s="14"/>
      <c r="IPV105" s="14"/>
      <c r="IPW105" s="14"/>
      <c r="IPX105" s="14"/>
      <c r="IPY105" s="14"/>
      <c r="IPZ105" s="14"/>
      <c r="IQA105" s="14"/>
      <c r="IQB105" s="36"/>
      <c r="IQC105" s="14"/>
      <c r="IQD105" s="14"/>
      <c r="IQE105" s="14"/>
      <c r="IQF105" s="14"/>
      <c r="IQG105" s="14"/>
      <c r="IQH105" s="14"/>
      <c r="IQI105" s="14"/>
      <c r="IQJ105" s="36"/>
      <c r="IQK105" s="14"/>
      <c r="IQL105" s="14"/>
      <c r="IQM105" s="14"/>
      <c r="IQN105" s="14"/>
      <c r="IQO105" s="14"/>
      <c r="IQP105" s="14"/>
      <c r="IQQ105" s="14"/>
      <c r="IQR105" s="36"/>
      <c r="IQS105" s="14"/>
      <c r="IQT105" s="14"/>
      <c r="IQU105" s="14"/>
      <c r="IQV105" s="14"/>
      <c r="IQW105" s="14"/>
      <c r="IQX105" s="14"/>
      <c r="IQY105" s="14"/>
      <c r="IQZ105" s="36"/>
      <c r="IRA105" s="14"/>
      <c r="IRB105" s="14"/>
      <c r="IRC105" s="14"/>
      <c r="IRD105" s="14"/>
      <c r="IRE105" s="14"/>
      <c r="IRF105" s="14"/>
      <c r="IRG105" s="14"/>
      <c r="IRH105" s="36"/>
      <c r="IRI105" s="14"/>
      <c r="IRJ105" s="14"/>
      <c r="IRK105" s="14"/>
      <c r="IRL105" s="14"/>
      <c r="IRM105" s="14"/>
      <c r="IRN105" s="14"/>
      <c r="IRO105" s="14"/>
      <c r="IRP105" s="36"/>
      <c r="IRQ105" s="14"/>
      <c r="IRR105" s="14"/>
      <c r="IRS105" s="14"/>
      <c r="IRT105" s="14"/>
      <c r="IRU105" s="14"/>
      <c r="IRV105" s="14"/>
      <c r="IRW105" s="14"/>
      <c r="IRX105" s="36"/>
      <c r="IRY105" s="14"/>
      <c r="IRZ105" s="14"/>
      <c r="ISA105" s="14"/>
      <c r="ISB105" s="14"/>
      <c r="ISC105" s="14"/>
      <c r="ISD105" s="14"/>
      <c r="ISE105" s="14"/>
      <c r="ISF105" s="36"/>
      <c r="ISG105" s="14"/>
      <c r="ISH105" s="14"/>
      <c r="ISI105" s="14"/>
      <c r="ISJ105" s="14"/>
      <c r="ISK105" s="14"/>
      <c r="ISL105" s="14"/>
      <c r="ISM105" s="14"/>
      <c r="ISN105" s="36"/>
      <c r="ISO105" s="14"/>
      <c r="ISP105" s="14"/>
      <c r="ISQ105" s="14"/>
      <c r="ISR105" s="14"/>
      <c r="ISS105" s="14"/>
      <c r="IST105" s="14"/>
      <c r="ISU105" s="14"/>
      <c r="ISV105" s="36"/>
      <c r="ISW105" s="14"/>
      <c r="ISX105" s="14"/>
      <c r="ISY105" s="14"/>
      <c r="ISZ105" s="14"/>
      <c r="ITA105" s="14"/>
      <c r="ITB105" s="14"/>
      <c r="ITC105" s="14"/>
      <c r="ITD105" s="36"/>
      <c r="ITE105" s="14"/>
      <c r="ITF105" s="14"/>
      <c r="ITG105" s="14"/>
      <c r="ITH105" s="14"/>
      <c r="ITI105" s="14"/>
      <c r="ITJ105" s="14"/>
      <c r="ITK105" s="14"/>
      <c r="ITL105" s="36"/>
      <c r="ITM105" s="14"/>
      <c r="ITN105" s="14"/>
      <c r="ITO105" s="14"/>
      <c r="ITP105" s="14"/>
      <c r="ITQ105" s="14"/>
      <c r="ITR105" s="14"/>
      <c r="ITS105" s="14"/>
      <c r="ITT105" s="36"/>
      <c r="ITU105" s="14"/>
      <c r="ITV105" s="14"/>
      <c r="ITW105" s="14"/>
      <c r="ITX105" s="14"/>
      <c r="ITY105" s="14"/>
      <c r="ITZ105" s="14"/>
      <c r="IUA105" s="14"/>
      <c r="IUB105" s="36"/>
      <c r="IUC105" s="14"/>
      <c r="IUD105" s="14"/>
      <c r="IUE105" s="14"/>
      <c r="IUF105" s="14"/>
      <c r="IUG105" s="14"/>
      <c r="IUH105" s="14"/>
      <c r="IUI105" s="14"/>
      <c r="IUJ105" s="36"/>
      <c r="IUK105" s="14"/>
      <c r="IUL105" s="14"/>
      <c r="IUM105" s="14"/>
      <c r="IUN105" s="14"/>
      <c r="IUO105" s="14"/>
      <c r="IUP105" s="14"/>
      <c r="IUQ105" s="14"/>
      <c r="IUR105" s="36"/>
      <c r="IUS105" s="14"/>
      <c r="IUT105" s="14"/>
      <c r="IUU105" s="14"/>
      <c r="IUV105" s="14"/>
      <c r="IUW105" s="14"/>
      <c r="IUX105" s="14"/>
      <c r="IUY105" s="14"/>
      <c r="IUZ105" s="36"/>
      <c r="IVA105" s="14"/>
      <c r="IVB105" s="14"/>
      <c r="IVC105" s="14"/>
      <c r="IVD105" s="14"/>
      <c r="IVE105" s="14"/>
      <c r="IVF105" s="14"/>
      <c r="IVG105" s="14"/>
      <c r="IVH105" s="36"/>
      <c r="IVI105" s="14"/>
      <c r="IVJ105" s="14"/>
      <c r="IVK105" s="14"/>
      <c r="IVL105" s="14"/>
      <c r="IVM105" s="14"/>
      <c r="IVN105" s="14"/>
      <c r="IVO105" s="14"/>
      <c r="IVP105" s="36"/>
      <c r="IVQ105" s="14"/>
      <c r="IVR105" s="14"/>
      <c r="IVS105" s="14"/>
      <c r="IVT105" s="14"/>
      <c r="IVU105" s="14"/>
      <c r="IVV105" s="14"/>
      <c r="IVW105" s="14"/>
      <c r="IVX105" s="36"/>
      <c r="IVY105" s="14"/>
      <c r="IVZ105" s="14"/>
      <c r="IWA105" s="14"/>
      <c r="IWB105" s="14"/>
      <c r="IWC105" s="14"/>
      <c r="IWD105" s="14"/>
      <c r="IWE105" s="14"/>
      <c r="IWF105" s="36"/>
      <c r="IWG105" s="14"/>
      <c r="IWH105" s="14"/>
      <c r="IWI105" s="14"/>
      <c r="IWJ105" s="14"/>
      <c r="IWK105" s="14"/>
      <c r="IWL105" s="14"/>
      <c r="IWM105" s="14"/>
      <c r="IWN105" s="36"/>
      <c r="IWO105" s="14"/>
      <c r="IWP105" s="14"/>
      <c r="IWQ105" s="14"/>
      <c r="IWR105" s="14"/>
      <c r="IWS105" s="14"/>
      <c r="IWT105" s="14"/>
      <c r="IWU105" s="14"/>
      <c r="IWV105" s="36"/>
      <c r="IWW105" s="14"/>
      <c r="IWX105" s="14"/>
      <c r="IWY105" s="14"/>
      <c r="IWZ105" s="14"/>
      <c r="IXA105" s="14"/>
      <c r="IXB105" s="14"/>
      <c r="IXC105" s="14"/>
      <c r="IXD105" s="36"/>
      <c r="IXE105" s="14"/>
      <c r="IXF105" s="14"/>
      <c r="IXG105" s="14"/>
      <c r="IXH105" s="14"/>
      <c r="IXI105" s="14"/>
      <c r="IXJ105" s="14"/>
      <c r="IXK105" s="14"/>
      <c r="IXL105" s="36"/>
      <c r="IXM105" s="14"/>
      <c r="IXN105" s="14"/>
      <c r="IXO105" s="14"/>
      <c r="IXP105" s="14"/>
      <c r="IXQ105" s="14"/>
      <c r="IXR105" s="14"/>
      <c r="IXS105" s="14"/>
      <c r="IXT105" s="36"/>
      <c r="IXU105" s="14"/>
      <c r="IXV105" s="14"/>
      <c r="IXW105" s="14"/>
      <c r="IXX105" s="14"/>
      <c r="IXY105" s="14"/>
      <c r="IXZ105" s="14"/>
      <c r="IYA105" s="14"/>
      <c r="IYB105" s="36"/>
      <c r="IYC105" s="14"/>
      <c r="IYD105" s="14"/>
      <c r="IYE105" s="14"/>
      <c r="IYF105" s="14"/>
      <c r="IYG105" s="14"/>
      <c r="IYH105" s="14"/>
      <c r="IYI105" s="14"/>
      <c r="IYJ105" s="36"/>
      <c r="IYK105" s="14"/>
      <c r="IYL105" s="14"/>
      <c r="IYM105" s="14"/>
      <c r="IYN105" s="14"/>
      <c r="IYO105" s="14"/>
      <c r="IYP105" s="14"/>
      <c r="IYQ105" s="14"/>
      <c r="IYR105" s="36"/>
      <c r="IYS105" s="14"/>
      <c r="IYT105" s="14"/>
      <c r="IYU105" s="14"/>
      <c r="IYV105" s="14"/>
      <c r="IYW105" s="14"/>
      <c r="IYX105" s="14"/>
      <c r="IYY105" s="14"/>
      <c r="IYZ105" s="36"/>
      <c r="IZA105" s="14"/>
      <c r="IZB105" s="14"/>
      <c r="IZC105" s="14"/>
      <c r="IZD105" s="14"/>
      <c r="IZE105" s="14"/>
      <c r="IZF105" s="14"/>
      <c r="IZG105" s="14"/>
      <c r="IZH105" s="36"/>
      <c r="IZI105" s="14"/>
      <c r="IZJ105" s="14"/>
      <c r="IZK105" s="14"/>
      <c r="IZL105" s="14"/>
      <c r="IZM105" s="14"/>
      <c r="IZN105" s="14"/>
      <c r="IZO105" s="14"/>
      <c r="IZP105" s="36"/>
      <c r="IZQ105" s="14"/>
      <c r="IZR105" s="14"/>
      <c r="IZS105" s="14"/>
      <c r="IZT105" s="14"/>
      <c r="IZU105" s="14"/>
      <c r="IZV105" s="14"/>
      <c r="IZW105" s="14"/>
      <c r="IZX105" s="36"/>
      <c r="IZY105" s="14"/>
      <c r="IZZ105" s="14"/>
      <c r="JAA105" s="14"/>
      <c r="JAB105" s="14"/>
      <c r="JAC105" s="14"/>
      <c r="JAD105" s="14"/>
      <c r="JAE105" s="14"/>
      <c r="JAF105" s="36"/>
      <c r="JAG105" s="14"/>
      <c r="JAH105" s="14"/>
      <c r="JAI105" s="14"/>
      <c r="JAJ105" s="14"/>
      <c r="JAK105" s="14"/>
      <c r="JAL105" s="14"/>
      <c r="JAM105" s="14"/>
      <c r="JAN105" s="36"/>
      <c r="JAO105" s="14"/>
      <c r="JAP105" s="14"/>
      <c r="JAQ105" s="14"/>
      <c r="JAR105" s="14"/>
      <c r="JAS105" s="14"/>
      <c r="JAT105" s="14"/>
      <c r="JAU105" s="14"/>
      <c r="JAV105" s="36"/>
      <c r="JAW105" s="14"/>
      <c r="JAX105" s="14"/>
      <c r="JAY105" s="14"/>
      <c r="JAZ105" s="14"/>
      <c r="JBA105" s="14"/>
      <c r="JBB105" s="14"/>
      <c r="JBC105" s="14"/>
      <c r="JBD105" s="36"/>
      <c r="JBE105" s="14"/>
      <c r="JBF105" s="14"/>
      <c r="JBG105" s="14"/>
      <c r="JBH105" s="14"/>
      <c r="JBI105" s="14"/>
      <c r="JBJ105" s="14"/>
      <c r="JBK105" s="14"/>
      <c r="JBL105" s="36"/>
      <c r="JBM105" s="14"/>
      <c r="JBN105" s="14"/>
      <c r="JBO105" s="14"/>
      <c r="JBP105" s="14"/>
      <c r="JBQ105" s="14"/>
      <c r="JBR105" s="14"/>
      <c r="JBS105" s="14"/>
      <c r="JBT105" s="36"/>
      <c r="JBU105" s="14"/>
      <c r="JBV105" s="14"/>
      <c r="JBW105" s="14"/>
      <c r="JBX105" s="14"/>
      <c r="JBY105" s="14"/>
      <c r="JBZ105" s="14"/>
      <c r="JCA105" s="14"/>
      <c r="JCB105" s="36"/>
      <c r="JCC105" s="14"/>
      <c r="JCD105" s="14"/>
      <c r="JCE105" s="14"/>
      <c r="JCF105" s="14"/>
      <c r="JCG105" s="14"/>
      <c r="JCH105" s="14"/>
      <c r="JCI105" s="14"/>
      <c r="JCJ105" s="36"/>
      <c r="JCK105" s="14"/>
      <c r="JCL105" s="14"/>
      <c r="JCM105" s="14"/>
      <c r="JCN105" s="14"/>
      <c r="JCO105" s="14"/>
      <c r="JCP105" s="14"/>
      <c r="JCQ105" s="14"/>
      <c r="JCR105" s="36"/>
      <c r="JCS105" s="14"/>
      <c r="JCT105" s="14"/>
      <c r="JCU105" s="14"/>
      <c r="JCV105" s="14"/>
      <c r="JCW105" s="14"/>
      <c r="JCX105" s="14"/>
      <c r="JCY105" s="14"/>
      <c r="JCZ105" s="36"/>
      <c r="JDA105" s="14"/>
      <c r="JDB105" s="14"/>
      <c r="JDC105" s="14"/>
      <c r="JDD105" s="14"/>
      <c r="JDE105" s="14"/>
      <c r="JDF105" s="14"/>
      <c r="JDG105" s="14"/>
      <c r="JDH105" s="36"/>
      <c r="JDI105" s="14"/>
      <c r="JDJ105" s="14"/>
      <c r="JDK105" s="14"/>
      <c r="JDL105" s="14"/>
      <c r="JDM105" s="14"/>
      <c r="JDN105" s="14"/>
      <c r="JDO105" s="14"/>
      <c r="JDP105" s="36"/>
      <c r="JDQ105" s="14"/>
      <c r="JDR105" s="14"/>
      <c r="JDS105" s="14"/>
      <c r="JDT105" s="14"/>
      <c r="JDU105" s="14"/>
      <c r="JDV105" s="14"/>
      <c r="JDW105" s="14"/>
      <c r="JDX105" s="36"/>
      <c r="JDY105" s="14"/>
      <c r="JDZ105" s="14"/>
      <c r="JEA105" s="14"/>
      <c r="JEB105" s="14"/>
      <c r="JEC105" s="14"/>
      <c r="JED105" s="14"/>
      <c r="JEE105" s="14"/>
      <c r="JEF105" s="36"/>
      <c r="JEG105" s="14"/>
      <c r="JEH105" s="14"/>
      <c r="JEI105" s="14"/>
      <c r="JEJ105" s="14"/>
      <c r="JEK105" s="14"/>
      <c r="JEL105" s="14"/>
      <c r="JEM105" s="14"/>
      <c r="JEN105" s="36"/>
      <c r="JEO105" s="14"/>
      <c r="JEP105" s="14"/>
      <c r="JEQ105" s="14"/>
      <c r="JER105" s="14"/>
      <c r="JES105" s="14"/>
      <c r="JET105" s="14"/>
      <c r="JEU105" s="14"/>
      <c r="JEV105" s="36"/>
      <c r="JEW105" s="14"/>
      <c r="JEX105" s="14"/>
      <c r="JEY105" s="14"/>
      <c r="JEZ105" s="14"/>
      <c r="JFA105" s="14"/>
      <c r="JFB105" s="14"/>
      <c r="JFC105" s="14"/>
      <c r="JFD105" s="36"/>
      <c r="JFE105" s="14"/>
      <c r="JFF105" s="14"/>
      <c r="JFG105" s="14"/>
      <c r="JFH105" s="14"/>
      <c r="JFI105" s="14"/>
      <c r="JFJ105" s="14"/>
      <c r="JFK105" s="14"/>
      <c r="JFL105" s="36"/>
      <c r="JFM105" s="14"/>
      <c r="JFN105" s="14"/>
      <c r="JFO105" s="14"/>
      <c r="JFP105" s="14"/>
      <c r="JFQ105" s="14"/>
      <c r="JFR105" s="14"/>
      <c r="JFS105" s="14"/>
      <c r="JFT105" s="36"/>
      <c r="JFU105" s="14"/>
      <c r="JFV105" s="14"/>
      <c r="JFW105" s="14"/>
      <c r="JFX105" s="14"/>
      <c r="JFY105" s="14"/>
      <c r="JFZ105" s="14"/>
      <c r="JGA105" s="14"/>
      <c r="JGB105" s="36"/>
      <c r="JGC105" s="14"/>
      <c r="JGD105" s="14"/>
      <c r="JGE105" s="14"/>
      <c r="JGF105" s="14"/>
      <c r="JGG105" s="14"/>
      <c r="JGH105" s="14"/>
      <c r="JGI105" s="14"/>
      <c r="JGJ105" s="36"/>
      <c r="JGK105" s="14"/>
      <c r="JGL105" s="14"/>
      <c r="JGM105" s="14"/>
      <c r="JGN105" s="14"/>
      <c r="JGO105" s="14"/>
      <c r="JGP105" s="14"/>
      <c r="JGQ105" s="14"/>
      <c r="JGR105" s="36"/>
      <c r="JGS105" s="14"/>
      <c r="JGT105" s="14"/>
      <c r="JGU105" s="14"/>
      <c r="JGV105" s="14"/>
      <c r="JGW105" s="14"/>
      <c r="JGX105" s="14"/>
      <c r="JGY105" s="14"/>
      <c r="JGZ105" s="36"/>
      <c r="JHA105" s="14"/>
      <c r="JHB105" s="14"/>
      <c r="JHC105" s="14"/>
      <c r="JHD105" s="14"/>
      <c r="JHE105" s="14"/>
      <c r="JHF105" s="14"/>
      <c r="JHG105" s="14"/>
      <c r="JHH105" s="36"/>
      <c r="JHI105" s="14"/>
      <c r="JHJ105" s="14"/>
      <c r="JHK105" s="14"/>
      <c r="JHL105" s="14"/>
      <c r="JHM105" s="14"/>
      <c r="JHN105" s="14"/>
      <c r="JHO105" s="14"/>
      <c r="JHP105" s="36"/>
      <c r="JHQ105" s="14"/>
      <c r="JHR105" s="14"/>
      <c r="JHS105" s="14"/>
      <c r="JHT105" s="14"/>
      <c r="JHU105" s="14"/>
      <c r="JHV105" s="14"/>
      <c r="JHW105" s="14"/>
      <c r="JHX105" s="36"/>
      <c r="JHY105" s="14"/>
      <c r="JHZ105" s="14"/>
      <c r="JIA105" s="14"/>
      <c r="JIB105" s="14"/>
      <c r="JIC105" s="14"/>
      <c r="JID105" s="14"/>
      <c r="JIE105" s="14"/>
      <c r="JIF105" s="36"/>
      <c r="JIG105" s="14"/>
      <c r="JIH105" s="14"/>
      <c r="JII105" s="14"/>
      <c r="JIJ105" s="14"/>
      <c r="JIK105" s="14"/>
      <c r="JIL105" s="14"/>
      <c r="JIM105" s="14"/>
      <c r="JIN105" s="36"/>
      <c r="JIO105" s="14"/>
      <c r="JIP105" s="14"/>
      <c r="JIQ105" s="14"/>
      <c r="JIR105" s="14"/>
      <c r="JIS105" s="14"/>
      <c r="JIT105" s="14"/>
      <c r="JIU105" s="14"/>
      <c r="JIV105" s="36"/>
      <c r="JIW105" s="14"/>
      <c r="JIX105" s="14"/>
      <c r="JIY105" s="14"/>
      <c r="JIZ105" s="14"/>
      <c r="JJA105" s="14"/>
      <c r="JJB105" s="14"/>
      <c r="JJC105" s="14"/>
      <c r="JJD105" s="36"/>
      <c r="JJE105" s="14"/>
      <c r="JJF105" s="14"/>
      <c r="JJG105" s="14"/>
      <c r="JJH105" s="14"/>
      <c r="JJI105" s="14"/>
      <c r="JJJ105" s="14"/>
      <c r="JJK105" s="14"/>
      <c r="JJL105" s="36"/>
      <c r="JJM105" s="14"/>
      <c r="JJN105" s="14"/>
      <c r="JJO105" s="14"/>
      <c r="JJP105" s="14"/>
      <c r="JJQ105" s="14"/>
      <c r="JJR105" s="14"/>
      <c r="JJS105" s="14"/>
      <c r="JJT105" s="36"/>
      <c r="JJU105" s="14"/>
      <c r="JJV105" s="14"/>
      <c r="JJW105" s="14"/>
      <c r="JJX105" s="14"/>
      <c r="JJY105" s="14"/>
      <c r="JJZ105" s="14"/>
      <c r="JKA105" s="14"/>
      <c r="JKB105" s="36"/>
      <c r="JKC105" s="14"/>
      <c r="JKD105" s="14"/>
      <c r="JKE105" s="14"/>
      <c r="JKF105" s="14"/>
      <c r="JKG105" s="14"/>
      <c r="JKH105" s="14"/>
      <c r="JKI105" s="14"/>
      <c r="JKJ105" s="36"/>
      <c r="JKK105" s="14"/>
      <c r="JKL105" s="14"/>
      <c r="JKM105" s="14"/>
      <c r="JKN105" s="14"/>
      <c r="JKO105" s="14"/>
      <c r="JKP105" s="14"/>
      <c r="JKQ105" s="14"/>
      <c r="JKR105" s="36"/>
      <c r="JKS105" s="14"/>
      <c r="JKT105" s="14"/>
      <c r="JKU105" s="14"/>
      <c r="JKV105" s="14"/>
      <c r="JKW105" s="14"/>
      <c r="JKX105" s="14"/>
      <c r="JKY105" s="14"/>
      <c r="JKZ105" s="36"/>
      <c r="JLA105" s="14"/>
      <c r="JLB105" s="14"/>
      <c r="JLC105" s="14"/>
      <c r="JLD105" s="14"/>
      <c r="JLE105" s="14"/>
      <c r="JLF105" s="14"/>
      <c r="JLG105" s="14"/>
      <c r="JLH105" s="36"/>
      <c r="JLI105" s="14"/>
      <c r="JLJ105" s="14"/>
      <c r="JLK105" s="14"/>
      <c r="JLL105" s="14"/>
      <c r="JLM105" s="14"/>
      <c r="JLN105" s="14"/>
      <c r="JLO105" s="14"/>
      <c r="JLP105" s="36"/>
      <c r="JLQ105" s="14"/>
      <c r="JLR105" s="14"/>
      <c r="JLS105" s="14"/>
      <c r="JLT105" s="14"/>
      <c r="JLU105" s="14"/>
      <c r="JLV105" s="14"/>
      <c r="JLW105" s="14"/>
      <c r="JLX105" s="36"/>
      <c r="JLY105" s="14"/>
      <c r="JLZ105" s="14"/>
      <c r="JMA105" s="14"/>
      <c r="JMB105" s="14"/>
      <c r="JMC105" s="14"/>
      <c r="JMD105" s="14"/>
      <c r="JME105" s="14"/>
      <c r="JMF105" s="36"/>
      <c r="JMG105" s="14"/>
      <c r="JMH105" s="14"/>
      <c r="JMI105" s="14"/>
      <c r="JMJ105" s="14"/>
      <c r="JMK105" s="14"/>
      <c r="JML105" s="14"/>
      <c r="JMM105" s="14"/>
      <c r="JMN105" s="36"/>
      <c r="JMO105" s="14"/>
      <c r="JMP105" s="14"/>
      <c r="JMQ105" s="14"/>
      <c r="JMR105" s="14"/>
      <c r="JMS105" s="14"/>
      <c r="JMT105" s="14"/>
      <c r="JMU105" s="14"/>
      <c r="JMV105" s="36"/>
      <c r="JMW105" s="14"/>
      <c r="JMX105" s="14"/>
      <c r="JMY105" s="14"/>
      <c r="JMZ105" s="14"/>
      <c r="JNA105" s="14"/>
      <c r="JNB105" s="14"/>
      <c r="JNC105" s="14"/>
      <c r="JND105" s="36"/>
      <c r="JNE105" s="14"/>
      <c r="JNF105" s="14"/>
      <c r="JNG105" s="14"/>
      <c r="JNH105" s="14"/>
      <c r="JNI105" s="14"/>
      <c r="JNJ105" s="14"/>
      <c r="JNK105" s="14"/>
      <c r="JNL105" s="36"/>
      <c r="JNM105" s="14"/>
      <c r="JNN105" s="14"/>
      <c r="JNO105" s="14"/>
      <c r="JNP105" s="14"/>
      <c r="JNQ105" s="14"/>
      <c r="JNR105" s="14"/>
      <c r="JNS105" s="14"/>
      <c r="JNT105" s="36"/>
      <c r="JNU105" s="14"/>
      <c r="JNV105" s="14"/>
      <c r="JNW105" s="14"/>
      <c r="JNX105" s="14"/>
      <c r="JNY105" s="14"/>
      <c r="JNZ105" s="14"/>
      <c r="JOA105" s="14"/>
      <c r="JOB105" s="36"/>
      <c r="JOC105" s="14"/>
      <c r="JOD105" s="14"/>
      <c r="JOE105" s="14"/>
      <c r="JOF105" s="14"/>
      <c r="JOG105" s="14"/>
      <c r="JOH105" s="14"/>
      <c r="JOI105" s="14"/>
      <c r="JOJ105" s="36"/>
      <c r="JOK105" s="14"/>
      <c r="JOL105" s="14"/>
      <c r="JOM105" s="14"/>
      <c r="JON105" s="14"/>
      <c r="JOO105" s="14"/>
      <c r="JOP105" s="14"/>
      <c r="JOQ105" s="14"/>
      <c r="JOR105" s="36"/>
      <c r="JOS105" s="14"/>
      <c r="JOT105" s="14"/>
      <c r="JOU105" s="14"/>
      <c r="JOV105" s="14"/>
      <c r="JOW105" s="14"/>
      <c r="JOX105" s="14"/>
      <c r="JOY105" s="14"/>
      <c r="JOZ105" s="36"/>
      <c r="JPA105" s="14"/>
      <c r="JPB105" s="14"/>
      <c r="JPC105" s="14"/>
      <c r="JPD105" s="14"/>
      <c r="JPE105" s="14"/>
      <c r="JPF105" s="14"/>
      <c r="JPG105" s="14"/>
      <c r="JPH105" s="36"/>
      <c r="JPI105" s="14"/>
      <c r="JPJ105" s="14"/>
      <c r="JPK105" s="14"/>
      <c r="JPL105" s="14"/>
      <c r="JPM105" s="14"/>
      <c r="JPN105" s="14"/>
      <c r="JPO105" s="14"/>
      <c r="JPP105" s="36"/>
      <c r="JPQ105" s="14"/>
      <c r="JPR105" s="14"/>
      <c r="JPS105" s="14"/>
      <c r="JPT105" s="14"/>
      <c r="JPU105" s="14"/>
      <c r="JPV105" s="14"/>
      <c r="JPW105" s="14"/>
      <c r="JPX105" s="36"/>
      <c r="JPY105" s="14"/>
      <c r="JPZ105" s="14"/>
      <c r="JQA105" s="14"/>
      <c r="JQB105" s="14"/>
      <c r="JQC105" s="14"/>
      <c r="JQD105" s="14"/>
      <c r="JQE105" s="14"/>
      <c r="JQF105" s="36"/>
      <c r="JQG105" s="14"/>
      <c r="JQH105" s="14"/>
      <c r="JQI105" s="14"/>
      <c r="JQJ105" s="14"/>
      <c r="JQK105" s="14"/>
      <c r="JQL105" s="14"/>
      <c r="JQM105" s="14"/>
      <c r="JQN105" s="36"/>
      <c r="JQO105" s="14"/>
      <c r="JQP105" s="14"/>
      <c r="JQQ105" s="14"/>
      <c r="JQR105" s="14"/>
      <c r="JQS105" s="14"/>
      <c r="JQT105" s="14"/>
      <c r="JQU105" s="14"/>
      <c r="JQV105" s="36"/>
      <c r="JQW105" s="14"/>
      <c r="JQX105" s="14"/>
      <c r="JQY105" s="14"/>
      <c r="JQZ105" s="14"/>
      <c r="JRA105" s="14"/>
      <c r="JRB105" s="14"/>
      <c r="JRC105" s="14"/>
      <c r="JRD105" s="36"/>
      <c r="JRE105" s="14"/>
      <c r="JRF105" s="14"/>
      <c r="JRG105" s="14"/>
      <c r="JRH105" s="14"/>
      <c r="JRI105" s="14"/>
      <c r="JRJ105" s="14"/>
      <c r="JRK105" s="14"/>
      <c r="JRL105" s="36"/>
      <c r="JRM105" s="14"/>
      <c r="JRN105" s="14"/>
      <c r="JRO105" s="14"/>
      <c r="JRP105" s="14"/>
      <c r="JRQ105" s="14"/>
      <c r="JRR105" s="14"/>
      <c r="JRS105" s="14"/>
      <c r="JRT105" s="36"/>
      <c r="JRU105" s="14"/>
      <c r="JRV105" s="14"/>
      <c r="JRW105" s="14"/>
      <c r="JRX105" s="14"/>
      <c r="JRY105" s="14"/>
      <c r="JRZ105" s="14"/>
      <c r="JSA105" s="14"/>
      <c r="JSB105" s="36"/>
      <c r="JSC105" s="14"/>
      <c r="JSD105" s="14"/>
      <c r="JSE105" s="14"/>
      <c r="JSF105" s="14"/>
      <c r="JSG105" s="14"/>
      <c r="JSH105" s="14"/>
      <c r="JSI105" s="14"/>
      <c r="JSJ105" s="36"/>
      <c r="JSK105" s="14"/>
      <c r="JSL105" s="14"/>
      <c r="JSM105" s="14"/>
      <c r="JSN105" s="14"/>
      <c r="JSO105" s="14"/>
      <c r="JSP105" s="14"/>
      <c r="JSQ105" s="14"/>
      <c r="JSR105" s="36"/>
      <c r="JSS105" s="14"/>
      <c r="JST105" s="14"/>
      <c r="JSU105" s="14"/>
      <c r="JSV105" s="14"/>
      <c r="JSW105" s="14"/>
      <c r="JSX105" s="14"/>
      <c r="JSY105" s="14"/>
      <c r="JSZ105" s="36"/>
      <c r="JTA105" s="14"/>
      <c r="JTB105" s="14"/>
      <c r="JTC105" s="14"/>
      <c r="JTD105" s="14"/>
      <c r="JTE105" s="14"/>
      <c r="JTF105" s="14"/>
      <c r="JTG105" s="14"/>
      <c r="JTH105" s="36"/>
      <c r="JTI105" s="14"/>
      <c r="JTJ105" s="14"/>
      <c r="JTK105" s="14"/>
      <c r="JTL105" s="14"/>
      <c r="JTM105" s="14"/>
      <c r="JTN105" s="14"/>
      <c r="JTO105" s="14"/>
      <c r="JTP105" s="36"/>
      <c r="JTQ105" s="14"/>
      <c r="JTR105" s="14"/>
      <c r="JTS105" s="14"/>
      <c r="JTT105" s="14"/>
      <c r="JTU105" s="14"/>
      <c r="JTV105" s="14"/>
      <c r="JTW105" s="14"/>
      <c r="JTX105" s="36"/>
      <c r="JTY105" s="14"/>
      <c r="JTZ105" s="14"/>
      <c r="JUA105" s="14"/>
      <c r="JUB105" s="14"/>
      <c r="JUC105" s="14"/>
      <c r="JUD105" s="14"/>
      <c r="JUE105" s="14"/>
      <c r="JUF105" s="36"/>
      <c r="JUG105" s="14"/>
      <c r="JUH105" s="14"/>
      <c r="JUI105" s="14"/>
      <c r="JUJ105" s="14"/>
      <c r="JUK105" s="14"/>
      <c r="JUL105" s="14"/>
      <c r="JUM105" s="14"/>
      <c r="JUN105" s="36"/>
      <c r="JUO105" s="14"/>
      <c r="JUP105" s="14"/>
      <c r="JUQ105" s="14"/>
      <c r="JUR105" s="14"/>
      <c r="JUS105" s="14"/>
      <c r="JUT105" s="14"/>
      <c r="JUU105" s="14"/>
      <c r="JUV105" s="36"/>
      <c r="JUW105" s="14"/>
      <c r="JUX105" s="14"/>
      <c r="JUY105" s="14"/>
      <c r="JUZ105" s="14"/>
      <c r="JVA105" s="14"/>
      <c r="JVB105" s="14"/>
      <c r="JVC105" s="14"/>
      <c r="JVD105" s="36"/>
      <c r="JVE105" s="14"/>
      <c r="JVF105" s="14"/>
      <c r="JVG105" s="14"/>
      <c r="JVH105" s="14"/>
      <c r="JVI105" s="14"/>
      <c r="JVJ105" s="14"/>
      <c r="JVK105" s="14"/>
      <c r="JVL105" s="36"/>
      <c r="JVM105" s="14"/>
      <c r="JVN105" s="14"/>
      <c r="JVO105" s="14"/>
      <c r="JVP105" s="14"/>
      <c r="JVQ105" s="14"/>
      <c r="JVR105" s="14"/>
      <c r="JVS105" s="14"/>
      <c r="JVT105" s="36"/>
      <c r="JVU105" s="14"/>
      <c r="JVV105" s="14"/>
      <c r="JVW105" s="14"/>
      <c r="JVX105" s="14"/>
      <c r="JVY105" s="14"/>
      <c r="JVZ105" s="14"/>
      <c r="JWA105" s="14"/>
      <c r="JWB105" s="36"/>
      <c r="JWC105" s="14"/>
      <c r="JWD105" s="14"/>
      <c r="JWE105" s="14"/>
      <c r="JWF105" s="14"/>
      <c r="JWG105" s="14"/>
      <c r="JWH105" s="14"/>
      <c r="JWI105" s="14"/>
      <c r="JWJ105" s="36"/>
      <c r="JWK105" s="14"/>
      <c r="JWL105" s="14"/>
      <c r="JWM105" s="14"/>
      <c r="JWN105" s="14"/>
      <c r="JWO105" s="14"/>
      <c r="JWP105" s="14"/>
      <c r="JWQ105" s="14"/>
      <c r="JWR105" s="36"/>
      <c r="JWS105" s="14"/>
      <c r="JWT105" s="14"/>
      <c r="JWU105" s="14"/>
      <c r="JWV105" s="14"/>
      <c r="JWW105" s="14"/>
      <c r="JWX105" s="14"/>
      <c r="JWY105" s="14"/>
      <c r="JWZ105" s="36"/>
      <c r="JXA105" s="14"/>
      <c r="JXB105" s="14"/>
      <c r="JXC105" s="14"/>
      <c r="JXD105" s="14"/>
      <c r="JXE105" s="14"/>
      <c r="JXF105" s="14"/>
      <c r="JXG105" s="14"/>
      <c r="JXH105" s="36"/>
      <c r="JXI105" s="14"/>
      <c r="JXJ105" s="14"/>
      <c r="JXK105" s="14"/>
      <c r="JXL105" s="14"/>
      <c r="JXM105" s="14"/>
      <c r="JXN105" s="14"/>
      <c r="JXO105" s="14"/>
      <c r="JXP105" s="36"/>
      <c r="JXQ105" s="14"/>
      <c r="JXR105" s="14"/>
      <c r="JXS105" s="14"/>
      <c r="JXT105" s="14"/>
      <c r="JXU105" s="14"/>
      <c r="JXV105" s="14"/>
      <c r="JXW105" s="14"/>
      <c r="JXX105" s="36"/>
      <c r="JXY105" s="14"/>
      <c r="JXZ105" s="14"/>
      <c r="JYA105" s="14"/>
      <c r="JYB105" s="14"/>
      <c r="JYC105" s="14"/>
      <c r="JYD105" s="14"/>
      <c r="JYE105" s="14"/>
      <c r="JYF105" s="36"/>
      <c r="JYG105" s="14"/>
      <c r="JYH105" s="14"/>
      <c r="JYI105" s="14"/>
      <c r="JYJ105" s="14"/>
      <c r="JYK105" s="14"/>
      <c r="JYL105" s="14"/>
      <c r="JYM105" s="14"/>
      <c r="JYN105" s="36"/>
      <c r="JYO105" s="14"/>
      <c r="JYP105" s="14"/>
      <c r="JYQ105" s="14"/>
      <c r="JYR105" s="14"/>
      <c r="JYS105" s="14"/>
      <c r="JYT105" s="14"/>
      <c r="JYU105" s="14"/>
      <c r="JYV105" s="36"/>
      <c r="JYW105" s="14"/>
      <c r="JYX105" s="14"/>
      <c r="JYY105" s="14"/>
      <c r="JYZ105" s="14"/>
      <c r="JZA105" s="14"/>
      <c r="JZB105" s="14"/>
      <c r="JZC105" s="14"/>
      <c r="JZD105" s="36"/>
      <c r="JZE105" s="14"/>
      <c r="JZF105" s="14"/>
      <c r="JZG105" s="14"/>
      <c r="JZH105" s="14"/>
      <c r="JZI105" s="14"/>
      <c r="JZJ105" s="14"/>
      <c r="JZK105" s="14"/>
      <c r="JZL105" s="36"/>
      <c r="JZM105" s="14"/>
      <c r="JZN105" s="14"/>
      <c r="JZO105" s="14"/>
      <c r="JZP105" s="14"/>
      <c r="JZQ105" s="14"/>
      <c r="JZR105" s="14"/>
      <c r="JZS105" s="14"/>
      <c r="JZT105" s="36"/>
      <c r="JZU105" s="14"/>
      <c r="JZV105" s="14"/>
      <c r="JZW105" s="14"/>
      <c r="JZX105" s="14"/>
      <c r="JZY105" s="14"/>
      <c r="JZZ105" s="14"/>
      <c r="KAA105" s="14"/>
      <c r="KAB105" s="36"/>
      <c r="KAC105" s="14"/>
      <c r="KAD105" s="14"/>
      <c r="KAE105" s="14"/>
      <c r="KAF105" s="14"/>
      <c r="KAG105" s="14"/>
      <c r="KAH105" s="14"/>
      <c r="KAI105" s="14"/>
      <c r="KAJ105" s="36"/>
      <c r="KAK105" s="14"/>
      <c r="KAL105" s="14"/>
      <c r="KAM105" s="14"/>
      <c r="KAN105" s="14"/>
      <c r="KAO105" s="14"/>
      <c r="KAP105" s="14"/>
      <c r="KAQ105" s="14"/>
      <c r="KAR105" s="36"/>
      <c r="KAS105" s="14"/>
      <c r="KAT105" s="14"/>
      <c r="KAU105" s="14"/>
      <c r="KAV105" s="14"/>
      <c r="KAW105" s="14"/>
      <c r="KAX105" s="14"/>
      <c r="KAY105" s="14"/>
      <c r="KAZ105" s="36"/>
      <c r="KBA105" s="14"/>
      <c r="KBB105" s="14"/>
      <c r="KBC105" s="14"/>
      <c r="KBD105" s="14"/>
      <c r="KBE105" s="14"/>
      <c r="KBF105" s="14"/>
      <c r="KBG105" s="14"/>
      <c r="KBH105" s="36"/>
      <c r="KBI105" s="14"/>
      <c r="KBJ105" s="14"/>
      <c r="KBK105" s="14"/>
      <c r="KBL105" s="14"/>
      <c r="KBM105" s="14"/>
      <c r="KBN105" s="14"/>
      <c r="KBO105" s="14"/>
      <c r="KBP105" s="36"/>
      <c r="KBQ105" s="14"/>
      <c r="KBR105" s="14"/>
      <c r="KBS105" s="14"/>
      <c r="KBT105" s="14"/>
      <c r="KBU105" s="14"/>
      <c r="KBV105" s="14"/>
      <c r="KBW105" s="14"/>
      <c r="KBX105" s="36"/>
      <c r="KBY105" s="14"/>
      <c r="KBZ105" s="14"/>
      <c r="KCA105" s="14"/>
      <c r="KCB105" s="14"/>
      <c r="KCC105" s="14"/>
      <c r="KCD105" s="14"/>
      <c r="KCE105" s="14"/>
      <c r="KCF105" s="36"/>
      <c r="KCG105" s="14"/>
      <c r="KCH105" s="14"/>
      <c r="KCI105" s="14"/>
      <c r="KCJ105" s="14"/>
      <c r="KCK105" s="14"/>
      <c r="KCL105" s="14"/>
      <c r="KCM105" s="14"/>
      <c r="KCN105" s="36"/>
      <c r="KCO105" s="14"/>
      <c r="KCP105" s="14"/>
      <c r="KCQ105" s="14"/>
      <c r="KCR105" s="14"/>
      <c r="KCS105" s="14"/>
      <c r="KCT105" s="14"/>
      <c r="KCU105" s="14"/>
      <c r="KCV105" s="36"/>
      <c r="KCW105" s="14"/>
      <c r="KCX105" s="14"/>
      <c r="KCY105" s="14"/>
      <c r="KCZ105" s="14"/>
      <c r="KDA105" s="14"/>
      <c r="KDB105" s="14"/>
      <c r="KDC105" s="14"/>
      <c r="KDD105" s="36"/>
      <c r="KDE105" s="14"/>
      <c r="KDF105" s="14"/>
      <c r="KDG105" s="14"/>
      <c r="KDH105" s="14"/>
      <c r="KDI105" s="14"/>
      <c r="KDJ105" s="14"/>
      <c r="KDK105" s="14"/>
      <c r="KDL105" s="36"/>
      <c r="KDM105" s="14"/>
      <c r="KDN105" s="14"/>
      <c r="KDO105" s="14"/>
      <c r="KDP105" s="14"/>
      <c r="KDQ105" s="14"/>
      <c r="KDR105" s="14"/>
      <c r="KDS105" s="14"/>
      <c r="KDT105" s="36"/>
      <c r="KDU105" s="14"/>
      <c r="KDV105" s="14"/>
      <c r="KDW105" s="14"/>
      <c r="KDX105" s="14"/>
      <c r="KDY105" s="14"/>
      <c r="KDZ105" s="14"/>
      <c r="KEA105" s="14"/>
      <c r="KEB105" s="36"/>
      <c r="KEC105" s="14"/>
      <c r="KED105" s="14"/>
      <c r="KEE105" s="14"/>
      <c r="KEF105" s="14"/>
      <c r="KEG105" s="14"/>
      <c r="KEH105" s="14"/>
      <c r="KEI105" s="14"/>
      <c r="KEJ105" s="36"/>
      <c r="KEK105" s="14"/>
      <c r="KEL105" s="14"/>
      <c r="KEM105" s="14"/>
      <c r="KEN105" s="14"/>
      <c r="KEO105" s="14"/>
      <c r="KEP105" s="14"/>
      <c r="KEQ105" s="14"/>
      <c r="KER105" s="36"/>
      <c r="KES105" s="14"/>
      <c r="KET105" s="14"/>
      <c r="KEU105" s="14"/>
      <c r="KEV105" s="14"/>
      <c r="KEW105" s="14"/>
      <c r="KEX105" s="14"/>
      <c r="KEY105" s="14"/>
      <c r="KEZ105" s="36"/>
      <c r="KFA105" s="14"/>
      <c r="KFB105" s="14"/>
      <c r="KFC105" s="14"/>
      <c r="KFD105" s="14"/>
      <c r="KFE105" s="14"/>
      <c r="KFF105" s="14"/>
      <c r="KFG105" s="14"/>
      <c r="KFH105" s="36"/>
      <c r="KFI105" s="14"/>
      <c r="KFJ105" s="14"/>
      <c r="KFK105" s="14"/>
      <c r="KFL105" s="14"/>
      <c r="KFM105" s="14"/>
      <c r="KFN105" s="14"/>
      <c r="KFO105" s="14"/>
      <c r="KFP105" s="36"/>
      <c r="KFQ105" s="14"/>
      <c r="KFR105" s="14"/>
      <c r="KFS105" s="14"/>
      <c r="KFT105" s="14"/>
      <c r="KFU105" s="14"/>
      <c r="KFV105" s="14"/>
      <c r="KFW105" s="14"/>
      <c r="KFX105" s="36"/>
      <c r="KFY105" s="14"/>
      <c r="KFZ105" s="14"/>
      <c r="KGA105" s="14"/>
      <c r="KGB105" s="14"/>
      <c r="KGC105" s="14"/>
      <c r="KGD105" s="14"/>
      <c r="KGE105" s="14"/>
      <c r="KGF105" s="36"/>
      <c r="KGG105" s="14"/>
      <c r="KGH105" s="14"/>
      <c r="KGI105" s="14"/>
      <c r="KGJ105" s="14"/>
      <c r="KGK105" s="14"/>
      <c r="KGL105" s="14"/>
      <c r="KGM105" s="14"/>
      <c r="KGN105" s="36"/>
      <c r="KGO105" s="14"/>
      <c r="KGP105" s="14"/>
      <c r="KGQ105" s="14"/>
      <c r="KGR105" s="14"/>
      <c r="KGS105" s="14"/>
      <c r="KGT105" s="14"/>
      <c r="KGU105" s="14"/>
      <c r="KGV105" s="36"/>
      <c r="KGW105" s="14"/>
      <c r="KGX105" s="14"/>
      <c r="KGY105" s="14"/>
      <c r="KGZ105" s="14"/>
      <c r="KHA105" s="14"/>
      <c r="KHB105" s="14"/>
      <c r="KHC105" s="14"/>
      <c r="KHD105" s="36"/>
      <c r="KHE105" s="14"/>
      <c r="KHF105" s="14"/>
      <c r="KHG105" s="14"/>
      <c r="KHH105" s="14"/>
      <c r="KHI105" s="14"/>
      <c r="KHJ105" s="14"/>
      <c r="KHK105" s="14"/>
      <c r="KHL105" s="36"/>
      <c r="KHM105" s="14"/>
      <c r="KHN105" s="14"/>
      <c r="KHO105" s="14"/>
      <c r="KHP105" s="14"/>
      <c r="KHQ105" s="14"/>
      <c r="KHR105" s="14"/>
      <c r="KHS105" s="14"/>
      <c r="KHT105" s="36"/>
      <c r="KHU105" s="14"/>
      <c r="KHV105" s="14"/>
      <c r="KHW105" s="14"/>
      <c r="KHX105" s="14"/>
      <c r="KHY105" s="14"/>
      <c r="KHZ105" s="14"/>
      <c r="KIA105" s="14"/>
      <c r="KIB105" s="36"/>
      <c r="KIC105" s="14"/>
      <c r="KID105" s="14"/>
      <c r="KIE105" s="14"/>
      <c r="KIF105" s="14"/>
      <c r="KIG105" s="14"/>
      <c r="KIH105" s="14"/>
      <c r="KII105" s="14"/>
      <c r="KIJ105" s="36"/>
      <c r="KIK105" s="14"/>
      <c r="KIL105" s="14"/>
      <c r="KIM105" s="14"/>
      <c r="KIN105" s="14"/>
      <c r="KIO105" s="14"/>
      <c r="KIP105" s="14"/>
      <c r="KIQ105" s="14"/>
      <c r="KIR105" s="36"/>
      <c r="KIS105" s="14"/>
      <c r="KIT105" s="14"/>
      <c r="KIU105" s="14"/>
      <c r="KIV105" s="14"/>
      <c r="KIW105" s="14"/>
      <c r="KIX105" s="14"/>
      <c r="KIY105" s="14"/>
      <c r="KIZ105" s="36"/>
      <c r="KJA105" s="14"/>
      <c r="KJB105" s="14"/>
      <c r="KJC105" s="14"/>
      <c r="KJD105" s="14"/>
      <c r="KJE105" s="14"/>
      <c r="KJF105" s="14"/>
      <c r="KJG105" s="14"/>
      <c r="KJH105" s="36"/>
      <c r="KJI105" s="14"/>
      <c r="KJJ105" s="14"/>
      <c r="KJK105" s="14"/>
      <c r="KJL105" s="14"/>
      <c r="KJM105" s="14"/>
      <c r="KJN105" s="14"/>
      <c r="KJO105" s="14"/>
      <c r="KJP105" s="36"/>
      <c r="KJQ105" s="14"/>
      <c r="KJR105" s="14"/>
      <c r="KJS105" s="14"/>
      <c r="KJT105" s="14"/>
      <c r="KJU105" s="14"/>
      <c r="KJV105" s="14"/>
      <c r="KJW105" s="14"/>
      <c r="KJX105" s="36"/>
      <c r="KJY105" s="14"/>
      <c r="KJZ105" s="14"/>
      <c r="KKA105" s="14"/>
      <c r="KKB105" s="14"/>
      <c r="KKC105" s="14"/>
      <c r="KKD105" s="14"/>
      <c r="KKE105" s="14"/>
      <c r="KKF105" s="36"/>
      <c r="KKG105" s="14"/>
      <c r="KKH105" s="14"/>
      <c r="KKI105" s="14"/>
      <c r="KKJ105" s="14"/>
      <c r="KKK105" s="14"/>
      <c r="KKL105" s="14"/>
      <c r="KKM105" s="14"/>
      <c r="KKN105" s="36"/>
      <c r="KKO105" s="14"/>
      <c r="KKP105" s="14"/>
      <c r="KKQ105" s="14"/>
      <c r="KKR105" s="14"/>
      <c r="KKS105" s="14"/>
      <c r="KKT105" s="14"/>
      <c r="KKU105" s="14"/>
      <c r="KKV105" s="36"/>
      <c r="KKW105" s="14"/>
      <c r="KKX105" s="14"/>
      <c r="KKY105" s="14"/>
      <c r="KKZ105" s="14"/>
      <c r="KLA105" s="14"/>
      <c r="KLB105" s="14"/>
      <c r="KLC105" s="14"/>
      <c r="KLD105" s="36"/>
      <c r="KLE105" s="14"/>
      <c r="KLF105" s="14"/>
      <c r="KLG105" s="14"/>
      <c r="KLH105" s="14"/>
      <c r="KLI105" s="14"/>
      <c r="KLJ105" s="14"/>
      <c r="KLK105" s="14"/>
      <c r="KLL105" s="36"/>
      <c r="KLM105" s="14"/>
      <c r="KLN105" s="14"/>
      <c r="KLO105" s="14"/>
      <c r="KLP105" s="14"/>
      <c r="KLQ105" s="14"/>
      <c r="KLR105" s="14"/>
      <c r="KLS105" s="14"/>
      <c r="KLT105" s="36"/>
      <c r="KLU105" s="14"/>
      <c r="KLV105" s="14"/>
      <c r="KLW105" s="14"/>
      <c r="KLX105" s="14"/>
      <c r="KLY105" s="14"/>
      <c r="KLZ105" s="14"/>
      <c r="KMA105" s="14"/>
      <c r="KMB105" s="36"/>
      <c r="KMC105" s="14"/>
      <c r="KMD105" s="14"/>
      <c r="KME105" s="14"/>
      <c r="KMF105" s="14"/>
      <c r="KMG105" s="14"/>
      <c r="KMH105" s="14"/>
      <c r="KMI105" s="14"/>
      <c r="KMJ105" s="36"/>
      <c r="KMK105" s="14"/>
      <c r="KML105" s="14"/>
      <c r="KMM105" s="14"/>
      <c r="KMN105" s="14"/>
      <c r="KMO105" s="14"/>
      <c r="KMP105" s="14"/>
      <c r="KMQ105" s="14"/>
      <c r="KMR105" s="36"/>
      <c r="KMS105" s="14"/>
      <c r="KMT105" s="14"/>
      <c r="KMU105" s="14"/>
      <c r="KMV105" s="14"/>
      <c r="KMW105" s="14"/>
      <c r="KMX105" s="14"/>
      <c r="KMY105" s="14"/>
      <c r="KMZ105" s="36"/>
      <c r="KNA105" s="14"/>
      <c r="KNB105" s="14"/>
      <c r="KNC105" s="14"/>
      <c r="KND105" s="14"/>
      <c r="KNE105" s="14"/>
      <c r="KNF105" s="14"/>
      <c r="KNG105" s="14"/>
      <c r="KNH105" s="36"/>
      <c r="KNI105" s="14"/>
      <c r="KNJ105" s="14"/>
      <c r="KNK105" s="14"/>
      <c r="KNL105" s="14"/>
      <c r="KNM105" s="14"/>
      <c r="KNN105" s="14"/>
      <c r="KNO105" s="14"/>
      <c r="KNP105" s="36"/>
      <c r="KNQ105" s="14"/>
      <c r="KNR105" s="14"/>
      <c r="KNS105" s="14"/>
      <c r="KNT105" s="14"/>
      <c r="KNU105" s="14"/>
      <c r="KNV105" s="14"/>
      <c r="KNW105" s="14"/>
      <c r="KNX105" s="36"/>
      <c r="KNY105" s="14"/>
      <c r="KNZ105" s="14"/>
      <c r="KOA105" s="14"/>
      <c r="KOB105" s="14"/>
      <c r="KOC105" s="14"/>
      <c r="KOD105" s="14"/>
      <c r="KOE105" s="14"/>
      <c r="KOF105" s="36"/>
      <c r="KOG105" s="14"/>
      <c r="KOH105" s="14"/>
      <c r="KOI105" s="14"/>
      <c r="KOJ105" s="14"/>
      <c r="KOK105" s="14"/>
      <c r="KOL105" s="14"/>
      <c r="KOM105" s="14"/>
      <c r="KON105" s="36"/>
      <c r="KOO105" s="14"/>
      <c r="KOP105" s="14"/>
      <c r="KOQ105" s="14"/>
      <c r="KOR105" s="14"/>
      <c r="KOS105" s="14"/>
      <c r="KOT105" s="14"/>
      <c r="KOU105" s="14"/>
      <c r="KOV105" s="36"/>
      <c r="KOW105" s="14"/>
      <c r="KOX105" s="14"/>
      <c r="KOY105" s="14"/>
      <c r="KOZ105" s="14"/>
      <c r="KPA105" s="14"/>
      <c r="KPB105" s="14"/>
      <c r="KPC105" s="14"/>
      <c r="KPD105" s="36"/>
      <c r="KPE105" s="14"/>
      <c r="KPF105" s="14"/>
      <c r="KPG105" s="14"/>
      <c r="KPH105" s="14"/>
      <c r="KPI105" s="14"/>
      <c r="KPJ105" s="14"/>
      <c r="KPK105" s="14"/>
      <c r="KPL105" s="36"/>
      <c r="KPM105" s="14"/>
      <c r="KPN105" s="14"/>
      <c r="KPO105" s="14"/>
      <c r="KPP105" s="14"/>
      <c r="KPQ105" s="14"/>
      <c r="KPR105" s="14"/>
      <c r="KPS105" s="14"/>
      <c r="KPT105" s="36"/>
      <c r="KPU105" s="14"/>
      <c r="KPV105" s="14"/>
      <c r="KPW105" s="14"/>
      <c r="KPX105" s="14"/>
      <c r="KPY105" s="14"/>
      <c r="KPZ105" s="14"/>
      <c r="KQA105" s="14"/>
      <c r="KQB105" s="36"/>
      <c r="KQC105" s="14"/>
      <c r="KQD105" s="14"/>
      <c r="KQE105" s="14"/>
      <c r="KQF105" s="14"/>
      <c r="KQG105" s="14"/>
      <c r="KQH105" s="14"/>
      <c r="KQI105" s="14"/>
      <c r="KQJ105" s="36"/>
      <c r="KQK105" s="14"/>
      <c r="KQL105" s="14"/>
      <c r="KQM105" s="14"/>
      <c r="KQN105" s="14"/>
      <c r="KQO105" s="14"/>
      <c r="KQP105" s="14"/>
      <c r="KQQ105" s="14"/>
      <c r="KQR105" s="36"/>
      <c r="KQS105" s="14"/>
      <c r="KQT105" s="14"/>
      <c r="KQU105" s="14"/>
      <c r="KQV105" s="14"/>
      <c r="KQW105" s="14"/>
      <c r="KQX105" s="14"/>
      <c r="KQY105" s="14"/>
      <c r="KQZ105" s="36"/>
      <c r="KRA105" s="14"/>
      <c r="KRB105" s="14"/>
      <c r="KRC105" s="14"/>
      <c r="KRD105" s="14"/>
      <c r="KRE105" s="14"/>
      <c r="KRF105" s="14"/>
      <c r="KRG105" s="14"/>
      <c r="KRH105" s="36"/>
      <c r="KRI105" s="14"/>
      <c r="KRJ105" s="14"/>
      <c r="KRK105" s="14"/>
      <c r="KRL105" s="14"/>
      <c r="KRM105" s="14"/>
      <c r="KRN105" s="14"/>
      <c r="KRO105" s="14"/>
      <c r="KRP105" s="36"/>
      <c r="KRQ105" s="14"/>
      <c r="KRR105" s="14"/>
      <c r="KRS105" s="14"/>
      <c r="KRT105" s="14"/>
      <c r="KRU105" s="14"/>
      <c r="KRV105" s="14"/>
      <c r="KRW105" s="14"/>
      <c r="KRX105" s="36"/>
      <c r="KRY105" s="14"/>
      <c r="KRZ105" s="14"/>
      <c r="KSA105" s="14"/>
      <c r="KSB105" s="14"/>
      <c r="KSC105" s="14"/>
      <c r="KSD105" s="14"/>
      <c r="KSE105" s="14"/>
      <c r="KSF105" s="36"/>
      <c r="KSG105" s="14"/>
      <c r="KSH105" s="14"/>
      <c r="KSI105" s="14"/>
      <c r="KSJ105" s="14"/>
      <c r="KSK105" s="14"/>
      <c r="KSL105" s="14"/>
      <c r="KSM105" s="14"/>
      <c r="KSN105" s="36"/>
      <c r="KSO105" s="14"/>
      <c r="KSP105" s="14"/>
      <c r="KSQ105" s="14"/>
      <c r="KSR105" s="14"/>
      <c r="KSS105" s="14"/>
      <c r="KST105" s="14"/>
      <c r="KSU105" s="14"/>
      <c r="KSV105" s="36"/>
      <c r="KSW105" s="14"/>
      <c r="KSX105" s="14"/>
      <c r="KSY105" s="14"/>
      <c r="KSZ105" s="14"/>
      <c r="KTA105" s="14"/>
      <c r="KTB105" s="14"/>
      <c r="KTC105" s="14"/>
      <c r="KTD105" s="36"/>
      <c r="KTE105" s="14"/>
      <c r="KTF105" s="14"/>
      <c r="KTG105" s="14"/>
      <c r="KTH105" s="14"/>
      <c r="KTI105" s="14"/>
      <c r="KTJ105" s="14"/>
      <c r="KTK105" s="14"/>
      <c r="KTL105" s="36"/>
      <c r="KTM105" s="14"/>
      <c r="KTN105" s="14"/>
      <c r="KTO105" s="14"/>
      <c r="KTP105" s="14"/>
      <c r="KTQ105" s="14"/>
      <c r="KTR105" s="14"/>
      <c r="KTS105" s="14"/>
      <c r="KTT105" s="36"/>
      <c r="KTU105" s="14"/>
      <c r="KTV105" s="14"/>
      <c r="KTW105" s="14"/>
      <c r="KTX105" s="14"/>
      <c r="KTY105" s="14"/>
      <c r="KTZ105" s="14"/>
      <c r="KUA105" s="14"/>
      <c r="KUB105" s="36"/>
      <c r="KUC105" s="14"/>
      <c r="KUD105" s="14"/>
      <c r="KUE105" s="14"/>
      <c r="KUF105" s="14"/>
      <c r="KUG105" s="14"/>
      <c r="KUH105" s="14"/>
      <c r="KUI105" s="14"/>
      <c r="KUJ105" s="36"/>
      <c r="KUK105" s="14"/>
      <c r="KUL105" s="14"/>
      <c r="KUM105" s="14"/>
      <c r="KUN105" s="14"/>
      <c r="KUO105" s="14"/>
      <c r="KUP105" s="14"/>
      <c r="KUQ105" s="14"/>
      <c r="KUR105" s="36"/>
      <c r="KUS105" s="14"/>
      <c r="KUT105" s="14"/>
      <c r="KUU105" s="14"/>
      <c r="KUV105" s="14"/>
      <c r="KUW105" s="14"/>
      <c r="KUX105" s="14"/>
      <c r="KUY105" s="14"/>
      <c r="KUZ105" s="36"/>
      <c r="KVA105" s="14"/>
      <c r="KVB105" s="14"/>
      <c r="KVC105" s="14"/>
      <c r="KVD105" s="14"/>
      <c r="KVE105" s="14"/>
      <c r="KVF105" s="14"/>
      <c r="KVG105" s="14"/>
      <c r="KVH105" s="36"/>
      <c r="KVI105" s="14"/>
      <c r="KVJ105" s="14"/>
      <c r="KVK105" s="14"/>
      <c r="KVL105" s="14"/>
      <c r="KVM105" s="14"/>
      <c r="KVN105" s="14"/>
      <c r="KVO105" s="14"/>
      <c r="KVP105" s="36"/>
      <c r="KVQ105" s="14"/>
      <c r="KVR105" s="14"/>
      <c r="KVS105" s="14"/>
      <c r="KVT105" s="14"/>
      <c r="KVU105" s="14"/>
      <c r="KVV105" s="14"/>
      <c r="KVW105" s="14"/>
      <c r="KVX105" s="36"/>
      <c r="KVY105" s="14"/>
      <c r="KVZ105" s="14"/>
      <c r="KWA105" s="14"/>
      <c r="KWB105" s="14"/>
      <c r="KWC105" s="14"/>
      <c r="KWD105" s="14"/>
      <c r="KWE105" s="14"/>
      <c r="KWF105" s="36"/>
      <c r="KWG105" s="14"/>
      <c r="KWH105" s="14"/>
      <c r="KWI105" s="14"/>
      <c r="KWJ105" s="14"/>
      <c r="KWK105" s="14"/>
      <c r="KWL105" s="14"/>
      <c r="KWM105" s="14"/>
      <c r="KWN105" s="36"/>
      <c r="KWO105" s="14"/>
      <c r="KWP105" s="14"/>
      <c r="KWQ105" s="14"/>
      <c r="KWR105" s="14"/>
      <c r="KWS105" s="14"/>
      <c r="KWT105" s="14"/>
      <c r="KWU105" s="14"/>
      <c r="KWV105" s="36"/>
      <c r="KWW105" s="14"/>
      <c r="KWX105" s="14"/>
      <c r="KWY105" s="14"/>
      <c r="KWZ105" s="14"/>
      <c r="KXA105" s="14"/>
      <c r="KXB105" s="14"/>
      <c r="KXC105" s="14"/>
      <c r="KXD105" s="36"/>
      <c r="KXE105" s="14"/>
      <c r="KXF105" s="14"/>
      <c r="KXG105" s="14"/>
      <c r="KXH105" s="14"/>
      <c r="KXI105" s="14"/>
      <c r="KXJ105" s="14"/>
      <c r="KXK105" s="14"/>
      <c r="KXL105" s="36"/>
      <c r="KXM105" s="14"/>
      <c r="KXN105" s="14"/>
      <c r="KXO105" s="14"/>
      <c r="KXP105" s="14"/>
      <c r="KXQ105" s="14"/>
      <c r="KXR105" s="14"/>
      <c r="KXS105" s="14"/>
      <c r="KXT105" s="36"/>
      <c r="KXU105" s="14"/>
      <c r="KXV105" s="14"/>
      <c r="KXW105" s="14"/>
      <c r="KXX105" s="14"/>
      <c r="KXY105" s="14"/>
      <c r="KXZ105" s="14"/>
      <c r="KYA105" s="14"/>
      <c r="KYB105" s="36"/>
      <c r="KYC105" s="14"/>
      <c r="KYD105" s="14"/>
      <c r="KYE105" s="14"/>
      <c r="KYF105" s="14"/>
      <c r="KYG105" s="14"/>
      <c r="KYH105" s="14"/>
      <c r="KYI105" s="14"/>
      <c r="KYJ105" s="36"/>
      <c r="KYK105" s="14"/>
      <c r="KYL105" s="14"/>
      <c r="KYM105" s="14"/>
      <c r="KYN105" s="14"/>
      <c r="KYO105" s="14"/>
      <c r="KYP105" s="14"/>
      <c r="KYQ105" s="14"/>
      <c r="KYR105" s="36"/>
      <c r="KYS105" s="14"/>
      <c r="KYT105" s="14"/>
      <c r="KYU105" s="14"/>
      <c r="KYV105" s="14"/>
      <c r="KYW105" s="14"/>
      <c r="KYX105" s="14"/>
      <c r="KYY105" s="14"/>
      <c r="KYZ105" s="36"/>
      <c r="KZA105" s="14"/>
      <c r="KZB105" s="14"/>
      <c r="KZC105" s="14"/>
      <c r="KZD105" s="14"/>
      <c r="KZE105" s="14"/>
      <c r="KZF105" s="14"/>
      <c r="KZG105" s="14"/>
      <c r="KZH105" s="36"/>
      <c r="KZI105" s="14"/>
      <c r="KZJ105" s="14"/>
      <c r="KZK105" s="14"/>
      <c r="KZL105" s="14"/>
      <c r="KZM105" s="14"/>
      <c r="KZN105" s="14"/>
      <c r="KZO105" s="14"/>
      <c r="KZP105" s="36"/>
      <c r="KZQ105" s="14"/>
      <c r="KZR105" s="14"/>
      <c r="KZS105" s="14"/>
      <c r="KZT105" s="14"/>
      <c r="KZU105" s="14"/>
      <c r="KZV105" s="14"/>
      <c r="KZW105" s="14"/>
      <c r="KZX105" s="36"/>
      <c r="KZY105" s="14"/>
      <c r="KZZ105" s="14"/>
      <c r="LAA105" s="14"/>
      <c r="LAB105" s="14"/>
      <c r="LAC105" s="14"/>
      <c r="LAD105" s="14"/>
      <c r="LAE105" s="14"/>
      <c r="LAF105" s="36"/>
      <c r="LAG105" s="14"/>
      <c r="LAH105" s="14"/>
      <c r="LAI105" s="14"/>
      <c r="LAJ105" s="14"/>
      <c r="LAK105" s="14"/>
      <c r="LAL105" s="14"/>
      <c r="LAM105" s="14"/>
      <c r="LAN105" s="36"/>
      <c r="LAO105" s="14"/>
      <c r="LAP105" s="14"/>
      <c r="LAQ105" s="14"/>
      <c r="LAR105" s="14"/>
      <c r="LAS105" s="14"/>
      <c r="LAT105" s="14"/>
      <c r="LAU105" s="14"/>
      <c r="LAV105" s="36"/>
      <c r="LAW105" s="14"/>
      <c r="LAX105" s="14"/>
      <c r="LAY105" s="14"/>
      <c r="LAZ105" s="14"/>
      <c r="LBA105" s="14"/>
      <c r="LBB105" s="14"/>
      <c r="LBC105" s="14"/>
      <c r="LBD105" s="36"/>
      <c r="LBE105" s="14"/>
      <c r="LBF105" s="14"/>
      <c r="LBG105" s="14"/>
      <c r="LBH105" s="14"/>
      <c r="LBI105" s="14"/>
      <c r="LBJ105" s="14"/>
      <c r="LBK105" s="14"/>
      <c r="LBL105" s="36"/>
      <c r="LBM105" s="14"/>
      <c r="LBN105" s="14"/>
      <c r="LBO105" s="14"/>
      <c r="LBP105" s="14"/>
      <c r="LBQ105" s="14"/>
      <c r="LBR105" s="14"/>
      <c r="LBS105" s="14"/>
      <c r="LBT105" s="36"/>
      <c r="LBU105" s="14"/>
      <c r="LBV105" s="14"/>
      <c r="LBW105" s="14"/>
      <c r="LBX105" s="14"/>
      <c r="LBY105" s="14"/>
      <c r="LBZ105" s="14"/>
      <c r="LCA105" s="14"/>
      <c r="LCB105" s="36"/>
      <c r="LCC105" s="14"/>
      <c r="LCD105" s="14"/>
      <c r="LCE105" s="14"/>
      <c r="LCF105" s="14"/>
      <c r="LCG105" s="14"/>
      <c r="LCH105" s="14"/>
      <c r="LCI105" s="14"/>
      <c r="LCJ105" s="36"/>
      <c r="LCK105" s="14"/>
      <c r="LCL105" s="14"/>
      <c r="LCM105" s="14"/>
      <c r="LCN105" s="14"/>
      <c r="LCO105" s="14"/>
      <c r="LCP105" s="14"/>
      <c r="LCQ105" s="14"/>
      <c r="LCR105" s="36"/>
      <c r="LCS105" s="14"/>
      <c r="LCT105" s="14"/>
      <c r="LCU105" s="14"/>
      <c r="LCV105" s="14"/>
      <c r="LCW105" s="14"/>
      <c r="LCX105" s="14"/>
      <c r="LCY105" s="14"/>
      <c r="LCZ105" s="36"/>
      <c r="LDA105" s="14"/>
      <c r="LDB105" s="14"/>
      <c r="LDC105" s="14"/>
      <c r="LDD105" s="14"/>
      <c r="LDE105" s="14"/>
      <c r="LDF105" s="14"/>
      <c r="LDG105" s="14"/>
      <c r="LDH105" s="36"/>
      <c r="LDI105" s="14"/>
      <c r="LDJ105" s="14"/>
      <c r="LDK105" s="14"/>
      <c r="LDL105" s="14"/>
      <c r="LDM105" s="14"/>
      <c r="LDN105" s="14"/>
      <c r="LDO105" s="14"/>
      <c r="LDP105" s="36"/>
      <c r="LDQ105" s="14"/>
      <c r="LDR105" s="14"/>
      <c r="LDS105" s="14"/>
      <c r="LDT105" s="14"/>
      <c r="LDU105" s="14"/>
      <c r="LDV105" s="14"/>
      <c r="LDW105" s="14"/>
      <c r="LDX105" s="36"/>
      <c r="LDY105" s="14"/>
      <c r="LDZ105" s="14"/>
      <c r="LEA105" s="14"/>
      <c r="LEB105" s="14"/>
      <c r="LEC105" s="14"/>
      <c r="LED105" s="14"/>
      <c r="LEE105" s="14"/>
      <c r="LEF105" s="36"/>
      <c r="LEG105" s="14"/>
      <c r="LEH105" s="14"/>
      <c r="LEI105" s="14"/>
      <c r="LEJ105" s="14"/>
      <c r="LEK105" s="14"/>
      <c r="LEL105" s="14"/>
      <c r="LEM105" s="14"/>
      <c r="LEN105" s="36"/>
      <c r="LEO105" s="14"/>
      <c r="LEP105" s="14"/>
      <c r="LEQ105" s="14"/>
      <c r="LER105" s="14"/>
      <c r="LES105" s="14"/>
      <c r="LET105" s="14"/>
      <c r="LEU105" s="14"/>
      <c r="LEV105" s="36"/>
      <c r="LEW105" s="14"/>
      <c r="LEX105" s="14"/>
      <c r="LEY105" s="14"/>
      <c r="LEZ105" s="14"/>
      <c r="LFA105" s="14"/>
      <c r="LFB105" s="14"/>
      <c r="LFC105" s="14"/>
      <c r="LFD105" s="36"/>
      <c r="LFE105" s="14"/>
      <c r="LFF105" s="14"/>
      <c r="LFG105" s="14"/>
      <c r="LFH105" s="14"/>
      <c r="LFI105" s="14"/>
      <c r="LFJ105" s="14"/>
      <c r="LFK105" s="14"/>
      <c r="LFL105" s="36"/>
      <c r="LFM105" s="14"/>
      <c r="LFN105" s="14"/>
      <c r="LFO105" s="14"/>
      <c r="LFP105" s="14"/>
      <c r="LFQ105" s="14"/>
      <c r="LFR105" s="14"/>
      <c r="LFS105" s="14"/>
      <c r="LFT105" s="36"/>
      <c r="LFU105" s="14"/>
      <c r="LFV105" s="14"/>
      <c r="LFW105" s="14"/>
      <c r="LFX105" s="14"/>
      <c r="LFY105" s="14"/>
      <c r="LFZ105" s="14"/>
      <c r="LGA105" s="14"/>
      <c r="LGB105" s="36"/>
      <c r="LGC105" s="14"/>
      <c r="LGD105" s="14"/>
      <c r="LGE105" s="14"/>
      <c r="LGF105" s="14"/>
      <c r="LGG105" s="14"/>
      <c r="LGH105" s="14"/>
      <c r="LGI105" s="14"/>
      <c r="LGJ105" s="36"/>
      <c r="LGK105" s="14"/>
      <c r="LGL105" s="14"/>
      <c r="LGM105" s="14"/>
      <c r="LGN105" s="14"/>
      <c r="LGO105" s="14"/>
      <c r="LGP105" s="14"/>
      <c r="LGQ105" s="14"/>
      <c r="LGR105" s="36"/>
      <c r="LGS105" s="14"/>
      <c r="LGT105" s="14"/>
      <c r="LGU105" s="14"/>
      <c r="LGV105" s="14"/>
      <c r="LGW105" s="14"/>
      <c r="LGX105" s="14"/>
      <c r="LGY105" s="14"/>
      <c r="LGZ105" s="36"/>
      <c r="LHA105" s="14"/>
      <c r="LHB105" s="14"/>
      <c r="LHC105" s="14"/>
      <c r="LHD105" s="14"/>
      <c r="LHE105" s="14"/>
      <c r="LHF105" s="14"/>
      <c r="LHG105" s="14"/>
      <c r="LHH105" s="36"/>
      <c r="LHI105" s="14"/>
      <c r="LHJ105" s="14"/>
      <c r="LHK105" s="14"/>
      <c r="LHL105" s="14"/>
      <c r="LHM105" s="14"/>
      <c r="LHN105" s="14"/>
      <c r="LHO105" s="14"/>
      <c r="LHP105" s="36"/>
      <c r="LHQ105" s="14"/>
      <c r="LHR105" s="14"/>
      <c r="LHS105" s="14"/>
      <c r="LHT105" s="14"/>
      <c r="LHU105" s="14"/>
      <c r="LHV105" s="14"/>
      <c r="LHW105" s="14"/>
      <c r="LHX105" s="36"/>
      <c r="LHY105" s="14"/>
      <c r="LHZ105" s="14"/>
      <c r="LIA105" s="14"/>
      <c r="LIB105" s="14"/>
      <c r="LIC105" s="14"/>
      <c r="LID105" s="14"/>
      <c r="LIE105" s="14"/>
      <c r="LIF105" s="36"/>
      <c r="LIG105" s="14"/>
      <c r="LIH105" s="14"/>
      <c r="LII105" s="14"/>
      <c r="LIJ105" s="14"/>
      <c r="LIK105" s="14"/>
      <c r="LIL105" s="14"/>
      <c r="LIM105" s="14"/>
      <c r="LIN105" s="36"/>
      <c r="LIO105" s="14"/>
      <c r="LIP105" s="14"/>
      <c r="LIQ105" s="14"/>
      <c r="LIR105" s="14"/>
      <c r="LIS105" s="14"/>
      <c r="LIT105" s="14"/>
      <c r="LIU105" s="14"/>
      <c r="LIV105" s="36"/>
      <c r="LIW105" s="14"/>
      <c r="LIX105" s="14"/>
      <c r="LIY105" s="14"/>
      <c r="LIZ105" s="14"/>
      <c r="LJA105" s="14"/>
      <c r="LJB105" s="14"/>
      <c r="LJC105" s="14"/>
      <c r="LJD105" s="36"/>
      <c r="LJE105" s="14"/>
      <c r="LJF105" s="14"/>
      <c r="LJG105" s="14"/>
      <c r="LJH105" s="14"/>
      <c r="LJI105" s="14"/>
      <c r="LJJ105" s="14"/>
      <c r="LJK105" s="14"/>
      <c r="LJL105" s="36"/>
      <c r="LJM105" s="14"/>
      <c r="LJN105" s="14"/>
      <c r="LJO105" s="14"/>
      <c r="LJP105" s="14"/>
      <c r="LJQ105" s="14"/>
      <c r="LJR105" s="14"/>
      <c r="LJS105" s="14"/>
      <c r="LJT105" s="36"/>
      <c r="LJU105" s="14"/>
      <c r="LJV105" s="14"/>
      <c r="LJW105" s="14"/>
      <c r="LJX105" s="14"/>
      <c r="LJY105" s="14"/>
      <c r="LJZ105" s="14"/>
      <c r="LKA105" s="14"/>
      <c r="LKB105" s="36"/>
      <c r="LKC105" s="14"/>
      <c r="LKD105" s="14"/>
      <c r="LKE105" s="14"/>
      <c r="LKF105" s="14"/>
      <c r="LKG105" s="14"/>
      <c r="LKH105" s="14"/>
      <c r="LKI105" s="14"/>
      <c r="LKJ105" s="36"/>
      <c r="LKK105" s="14"/>
      <c r="LKL105" s="14"/>
      <c r="LKM105" s="14"/>
      <c r="LKN105" s="14"/>
      <c r="LKO105" s="14"/>
      <c r="LKP105" s="14"/>
      <c r="LKQ105" s="14"/>
      <c r="LKR105" s="36"/>
      <c r="LKS105" s="14"/>
      <c r="LKT105" s="14"/>
      <c r="LKU105" s="14"/>
      <c r="LKV105" s="14"/>
      <c r="LKW105" s="14"/>
      <c r="LKX105" s="14"/>
      <c r="LKY105" s="14"/>
      <c r="LKZ105" s="36"/>
      <c r="LLA105" s="14"/>
      <c r="LLB105" s="14"/>
      <c r="LLC105" s="14"/>
      <c r="LLD105" s="14"/>
      <c r="LLE105" s="14"/>
      <c r="LLF105" s="14"/>
      <c r="LLG105" s="14"/>
      <c r="LLH105" s="36"/>
      <c r="LLI105" s="14"/>
      <c r="LLJ105" s="14"/>
      <c r="LLK105" s="14"/>
      <c r="LLL105" s="14"/>
      <c r="LLM105" s="14"/>
      <c r="LLN105" s="14"/>
      <c r="LLO105" s="14"/>
      <c r="LLP105" s="36"/>
      <c r="LLQ105" s="14"/>
      <c r="LLR105" s="14"/>
      <c r="LLS105" s="14"/>
      <c r="LLT105" s="14"/>
      <c r="LLU105" s="14"/>
      <c r="LLV105" s="14"/>
      <c r="LLW105" s="14"/>
      <c r="LLX105" s="36"/>
      <c r="LLY105" s="14"/>
      <c r="LLZ105" s="14"/>
      <c r="LMA105" s="14"/>
      <c r="LMB105" s="14"/>
      <c r="LMC105" s="14"/>
      <c r="LMD105" s="14"/>
      <c r="LME105" s="14"/>
      <c r="LMF105" s="36"/>
      <c r="LMG105" s="14"/>
      <c r="LMH105" s="14"/>
      <c r="LMI105" s="14"/>
      <c r="LMJ105" s="14"/>
      <c r="LMK105" s="14"/>
      <c r="LML105" s="14"/>
      <c r="LMM105" s="14"/>
      <c r="LMN105" s="36"/>
      <c r="LMO105" s="14"/>
      <c r="LMP105" s="14"/>
      <c r="LMQ105" s="14"/>
      <c r="LMR105" s="14"/>
      <c r="LMS105" s="14"/>
      <c r="LMT105" s="14"/>
      <c r="LMU105" s="14"/>
      <c r="LMV105" s="36"/>
      <c r="LMW105" s="14"/>
      <c r="LMX105" s="14"/>
      <c r="LMY105" s="14"/>
      <c r="LMZ105" s="14"/>
      <c r="LNA105" s="14"/>
      <c r="LNB105" s="14"/>
      <c r="LNC105" s="14"/>
      <c r="LND105" s="36"/>
      <c r="LNE105" s="14"/>
      <c r="LNF105" s="14"/>
      <c r="LNG105" s="14"/>
      <c r="LNH105" s="14"/>
      <c r="LNI105" s="14"/>
      <c r="LNJ105" s="14"/>
      <c r="LNK105" s="14"/>
      <c r="LNL105" s="36"/>
      <c r="LNM105" s="14"/>
      <c r="LNN105" s="14"/>
      <c r="LNO105" s="14"/>
      <c r="LNP105" s="14"/>
      <c r="LNQ105" s="14"/>
      <c r="LNR105" s="14"/>
      <c r="LNS105" s="14"/>
      <c r="LNT105" s="36"/>
      <c r="LNU105" s="14"/>
      <c r="LNV105" s="14"/>
      <c r="LNW105" s="14"/>
      <c r="LNX105" s="14"/>
      <c r="LNY105" s="14"/>
      <c r="LNZ105" s="14"/>
      <c r="LOA105" s="14"/>
      <c r="LOB105" s="36"/>
      <c r="LOC105" s="14"/>
      <c r="LOD105" s="14"/>
      <c r="LOE105" s="14"/>
      <c r="LOF105" s="14"/>
      <c r="LOG105" s="14"/>
      <c r="LOH105" s="14"/>
      <c r="LOI105" s="14"/>
      <c r="LOJ105" s="36"/>
      <c r="LOK105" s="14"/>
      <c r="LOL105" s="14"/>
      <c r="LOM105" s="14"/>
      <c r="LON105" s="14"/>
      <c r="LOO105" s="14"/>
      <c r="LOP105" s="14"/>
      <c r="LOQ105" s="14"/>
      <c r="LOR105" s="36"/>
      <c r="LOS105" s="14"/>
      <c r="LOT105" s="14"/>
      <c r="LOU105" s="14"/>
      <c r="LOV105" s="14"/>
      <c r="LOW105" s="14"/>
      <c r="LOX105" s="14"/>
      <c r="LOY105" s="14"/>
      <c r="LOZ105" s="36"/>
      <c r="LPA105" s="14"/>
      <c r="LPB105" s="14"/>
      <c r="LPC105" s="14"/>
      <c r="LPD105" s="14"/>
      <c r="LPE105" s="14"/>
      <c r="LPF105" s="14"/>
      <c r="LPG105" s="14"/>
      <c r="LPH105" s="36"/>
      <c r="LPI105" s="14"/>
      <c r="LPJ105" s="14"/>
      <c r="LPK105" s="14"/>
      <c r="LPL105" s="14"/>
      <c r="LPM105" s="14"/>
      <c r="LPN105" s="14"/>
      <c r="LPO105" s="14"/>
      <c r="LPP105" s="36"/>
      <c r="LPQ105" s="14"/>
      <c r="LPR105" s="14"/>
      <c r="LPS105" s="14"/>
      <c r="LPT105" s="14"/>
      <c r="LPU105" s="14"/>
      <c r="LPV105" s="14"/>
      <c r="LPW105" s="14"/>
      <c r="LPX105" s="36"/>
      <c r="LPY105" s="14"/>
      <c r="LPZ105" s="14"/>
      <c r="LQA105" s="14"/>
      <c r="LQB105" s="14"/>
      <c r="LQC105" s="14"/>
      <c r="LQD105" s="14"/>
      <c r="LQE105" s="14"/>
      <c r="LQF105" s="36"/>
      <c r="LQG105" s="14"/>
      <c r="LQH105" s="14"/>
      <c r="LQI105" s="14"/>
      <c r="LQJ105" s="14"/>
      <c r="LQK105" s="14"/>
      <c r="LQL105" s="14"/>
      <c r="LQM105" s="14"/>
      <c r="LQN105" s="36"/>
      <c r="LQO105" s="14"/>
      <c r="LQP105" s="14"/>
      <c r="LQQ105" s="14"/>
      <c r="LQR105" s="14"/>
      <c r="LQS105" s="14"/>
      <c r="LQT105" s="14"/>
      <c r="LQU105" s="14"/>
      <c r="LQV105" s="36"/>
      <c r="LQW105" s="14"/>
      <c r="LQX105" s="14"/>
      <c r="LQY105" s="14"/>
      <c r="LQZ105" s="14"/>
      <c r="LRA105" s="14"/>
      <c r="LRB105" s="14"/>
      <c r="LRC105" s="14"/>
      <c r="LRD105" s="36"/>
      <c r="LRE105" s="14"/>
      <c r="LRF105" s="14"/>
      <c r="LRG105" s="14"/>
      <c r="LRH105" s="14"/>
      <c r="LRI105" s="14"/>
      <c r="LRJ105" s="14"/>
      <c r="LRK105" s="14"/>
      <c r="LRL105" s="36"/>
      <c r="LRM105" s="14"/>
      <c r="LRN105" s="14"/>
      <c r="LRO105" s="14"/>
      <c r="LRP105" s="14"/>
      <c r="LRQ105" s="14"/>
      <c r="LRR105" s="14"/>
      <c r="LRS105" s="14"/>
      <c r="LRT105" s="36"/>
      <c r="LRU105" s="14"/>
      <c r="LRV105" s="14"/>
      <c r="LRW105" s="14"/>
      <c r="LRX105" s="14"/>
      <c r="LRY105" s="14"/>
      <c r="LRZ105" s="14"/>
      <c r="LSA105" s="14"/>
      <c r="LSB105" s="36"/>
      <c r="LSC105" s="14"/>
      <c r="LSD105" s="14"/>
      <c r="LSE105" s="14"/>
      <c r="LSF105" s="14"/>
      <c r="LSG105" s="14"/>
      <c r="LSH105" s="14"/>
      <c r="LSI105" s="14"/>
      <c r="LSJ105" s="36"/>
      <c r="LSK105" s="14"/>
      <c r="LSL105" s="14"/>
      <c r="LSM105" s="14"/>
      <c r="LSN105" s="14"/>
      <c r="LSO105" s="14"/>
      <c r="LSP105" s="14"/>
      <c r="LSQ105" s="14"/>
      <c r="LSR105" s="36"/>
      <c r="LSS105" s="14"/>
      <c r="LST105" s="14"/>
      <c r="LSU105" s="14"/>
      <c r="LSV105" s="14"/>
      <c r="LSW105" s="14"/>
      <c r="LSX105" s="14"/>
      <c r="LSY105" s="14"/>
      <c r="LSZ105" s="36"/>
      <c r="LTA105" s="14"/>
      <c r="LTB105" s="14"/>
      <c r="LTC105" s="14"/>
      <c r="LTD105" s="14"/>
      <c r="LTE105" s="14"/>
      <c r="LTF105" s="14"/>
      <c r="LTG105" s="14"/>
      <c r="LTH105" s="36"/>
      <c r="LTI105" s="14"/>
      <c r="LTJ105" s="14"/>
      <c r="LTK105" s="14"/>
      <c r="LTL105" s="14"/>
      <c r="LTM105" s="14"/>
      <c r="LTN105" s="14"/>
      <c r="LTO105" s="14"/>
      <c r="LTP105" s="36"/>
      <c r="LTQ105" s="14"/>
      <c r="LTR105" s="14"/>
      <c r="LTS105" s="14"/>
      <c r="LTT105" s="14"/>
      <c r="LTU105" s="14"/>
      <c r="LTV105" s="14"/>
      <c r="LTW105" s="14"/>
      <c r="LTX105" s="36"/>
      <c r="LTY105" s="14"/>
      <c r="LTZ105" s="14"/>
      <c r="LUA105" s="14"/>
      <c r="LUB105" s="14"/>
      <c r="LUC105" s="14"/>
      <c r="LUD105" s="14"/>
      <c r="LUE105" s="14"/>
      <c r="LUF105" s="36"/>
      <c r="LUG105" s="14"/>
      <c r="LUH105" s="14"/>
      <c r="LUI105" s="14"/>
      <c r="LUJ105" s="14"/>
      <c r="LUK105" s="14"/>
      <c r="LUL105" s="14"/>
      <c r="LUM105" s="14"/>
      <c r="LUN105" s="36"/>
      <c r="LUO105" s="14"/>
      <c r="LUP105" s="14"/>
      <c r="LUQ105" s="14"/>
      <c r="LUR105" s="14"/>
      <c r="LUS105" s="14"/>
      <c r="LUT105" s="14"/>
      <c r="LUU105" s="14"/>
      <c r="LUV105" s="36"/>
      <c r="LUW105" s="14"/>
      <c r="LUX105" s="14"/>
      <c r="LUY105" s="14"/>
      <c r="LUZ105" s="14"/>
      <c r="LVA105" s="14"/>
      <c r="LVB105" s="14"/>
      <c r="LVC105" s="14"/>
      <c r="LVD105" s="36"/>
      <c r="LVE105" s="14"/>
      <c r="LVF105" s="14"/>
      <c r="LVG105" s="14"/>
      <c r="LVH105" s="14"/>
      <c r="LVI105" s="14"/>
      <c r="LVJ105" s="14"/>
      <c r="LVK105" s="14"/>
      <c r="LVL105" s="36"/>
      <c r="LVM105" s="14"/>
      <c r="LVN105" s="14"/>
      <c r="LVO105" s="14"/>
      <c r="LVP105" s="14"/>
      <c r="LVQ105" s="14"/>
      <c r="LVR105" s="14"/>
      <c r="LVS105" s="14"/>
      <c r="LVT105" s="36"/>
      <c r="LVU105" s="14"/>
      <c r="LVV105" s="14"/>
      <c r="LVW105" s="14"/>
      <c r="LVX105" s="14"/>
      <c r="LVY105" s="14"/>
      <c r="LVZ105" s="14"/>
      <c r="LWA105" s="14"/>
      <c r="LWB105" s="36"/>
      <c r="LWC105" s="14"/>
      <c r="LWD105" s="14"/>
      <c r="LWE105" s="14"/>
      <c r="LWF105" s="14"/>
      <c r="LWG105" s="14"/>
      <c r="LWH105" s="14"/>
      <c r="LWI105" s="14"/>
      <c r="LWJ105" s="36"/>
      <c r="LWK105" s="14"/>
      <c r="LWL105" s="14"/>
      <c r="LWM105" s="14"/>
      <c r="LWN105" s="14"/>
      <c r="LWO105" s="14"/>
      <c r="LWP105" s="14"/>
      <c r="LWQ105" s="14"/>
      <c r="LWR105" s="36"/>
      <c r="LWS105" s="14"/>
      <c r="LWT105" s="14"/>
      <c r="LWU105" s="14"/>
      <c r="LWV105" s="14"/>
      <c r="LWW105" s="14"/>
      <c r="LWX105" s="14"/>
      <c r="LWY105" s="14"/>
      <c r="LWZ105" s="36"/>
      <c r="LXA105" s="14"/>
      <c r="LXB105" s="14"/>
      <c r="LXC105" s="14"/>
      <c r="LXD105" s="14"/>
      <c r="LXE105" s="14"/>
      <c r="LXF105" s="14"/>
      <c r="LXG105" s="14"/>
      <c r="LXH105" s="36"/>
      <c r="LXI105" s="14"/>
      <c r="LXJ105" s="14"/>
      <c r="LXK105" s="14"/>
      <c r="LXL105" s="14"/>
      <c r="LXM105" s="14"/>
      <c r="LXN105" s="14"/>
      <c r="LXO105" s="14"/>
      <c r="LXP105" s="36"/>
      <c r="LXQ105" s="14"/>
      <c r="LXR105" s="14"/>
      <c r="LXS105" s="14"/>
      <c r="LXT105" s="14"/>
      <c r="LXU105" s="14"/>
      <c r="LXV105" s="14"/>
      <c r="LXW105" s="14"/>
      <c r="LXX105" s="36"/>
      <c r="LXY105" s="14"/>
      <c r="LXZ105" s="14"/>
      <c r="LYA105" s="14"/>
      <c r="LYB105" s="14"/>
      <c r="LYC105" s="14"/>
      <c r="LYD105" s="14"/>
      <c r="LYE105" s="14"/>
      <c r="LYF105" s="36"/>
      <c r="LYG105" s="14"/>
      <c r="LYH105" s="14"/>
      <c r="LYI105" s="14"/>
      <c r="LYJ105" s="14"/>
      <c r="LYK105" s="14"/>
      <c r="LYL105" s="14"/>
      <c r="LYM105" s="14"/>
      <c r="LYN105" s="36"/>
      <c r="LYO105" s="14"/>
      <c r="LYP105" s="14"/>
      <c r="LYQ105" s="14"/>
      <c r="LYR105" s="14"/>
      <c r="LYS105" s="14"/>
      <c r="LYT105" s="14"/>
      <c r="LYU105" s="14"/>
      <c r="LYV105" s="36"/>
      <c r="LYW105" s="14"/>
      <c r="LYX105" s="14"/>
      <c r="LYY105" s="14"/>
      <c r="LYZ105" s="14"/>
      <c r="LZA105" s="14"/>
      <c r="LZB105" s="14"/>
      <c r="LZC105" s="14"/>
      <c r="LZD105" s="36"/>
      <c r="LZE105" s="14"/>
      <c r="LZF105" s="14"/>
      <c r="LZG105" s="14"/>
      <c r="LZH105" s="14"/>
      <c r="LZI105" s="14"/>
      <c r="LZJ105" s="14"/>
      <c r="LZK105" s="14"/>
      <c r="LZL105" s="36"/>
      <c r="LZM105" s="14"/>
      <c r="LZN105" s="14"/>
      <c r="LZO105" s="14"/>
      <c r="LZP105" s="14"/>
      <c r="LZQ105" s="14"/>
      <c r="LZR105" s="14"/>
      <c r="LZS105" s="14"/>
      <c r="LZT105" s="36"/>
      <c r="LZU105" s="14"/>
      <c r="LZV105" s="14"/>
      <c r="LZW105" s="14"/>
      <c r="LZX105" s="14"/>
      <c r="LZY105" s="14"/>
      <c r="LZZ105" s="14"/>
      <c r="MAA105" s="14"/>
      <c r="MAB105" s="36"/>
      <c r="MAC105" s="14"/>
      <c r="MAD105" s="14"/>
      <c r="MAE105" s="14"/>
      <c r="MAF105" s="14"/>
      <c r="MAG105" s="14"/>
      <c r="MAH105" s="14"/>
      <c r="MAI105" s="14"/>
      <c r="MAJ105" s="36"/>
      <c r="MAK105" s="14"/>
      <c r="MAL105" s="14"/>
      <c r="MAM105" s="14"/>
      <c r="MAN105" s="14"/>
      <c r="MAO105" s="14"/>
      <c r="MAP105" s="14"/>
      <c r="MAQ105" s="14"/>
      <c r="MAR105" s="36"/>
      <c r="MAS105" s="14"/>
      <c r="MAT105" s="14"/>
      <c r="MAU105" s="14"/>
      <c r="MAV105" s="14"/>
      <c r="MAW105" s="14"/>
      <c r="MAX105" s="14"/>
      <c r="MAY105" s="14"/>
      <c r="MAZ105" s="36"/>
      <c r="MBA105" s="14"/>
      <c r="MBB105" s="14"/>
      <c r="MBC105" s="14"/>
      <c r="MBD105" s="14"/>
      <c r="MBE105" s="14"/>
      <c r="MBF105" s="14"/>
      <c r="MBG105" s="14"/>
      <c r="MBH105" s="36"/>
      <c r="MBI105" s="14"/>
      <c r="MBJ105" s="14"/>
      <c r="MBK105" s="14"/>
      <c r="MBL105" s="14"/>
      <c r="MBM105" s="14"/>
      <c r="MBN105" s="14"/>
      <c r="MBO105" s="14"/>
      <c r="MBP105" s="36"/>
      <c r="MBQ105" s="14"/>
      <c r="MBR105" s="14"/>
      <c r="MBS105" s="14"/>
      <c r="MBT105" s="14"/>
      <c r="MBU105" s="14"/>
      <c r="MBV105" s="14"/>
      <c r="MBW105" s="14"/>
      <c r="MBX105" s="36"/>
      <c r="MBY105" s="14"/>
      <c r="MBZ105" s="14"/>
      <c r="MCA105" s="14"/>
      <c r="MCB105" s="14"/>
      <c r="MCC105" s="14"/>
      <c r="MCD105" s="14"/>
      <c r="MCE105" s="14"/>
      <c r="MCF105" s="36"/>
      <c r="MCG105" s="14"/>
      <c r="MCH105" s="14"/>
      <c r="MCI105" s="14"/>
      <c r="MCJ105" s="14"/>
      <c r="MCK105" s="14"/>
      <c r="MCL105" s="14"/>
      <c r="MCM105" s="14"/>
      <c r="MCN105" s="36"/>
      <c r="MCO105" s="14"/>
      <c r="MCP105" s="14"/>
      <c r="MCQ105" s="14"/>
      <c r="MCR105" s="14"/>
      <c r="MCS105" s="14"/>
      <c r="MCT105" s="14"/>
      <c r="MCU105" s="14"/>
      <c r="MCV105" s="36"/>
      <c r="MCW105" s="14"/>
      <c r="MCX105" s="14"/>
      <c r="MCY105" s="14"/>
      <c r="MCZ105" s="14"/>
      <c r="MDA105" s="14"/>
      <c r="MDB105" s="14"/>
      <c r="MDC105" s="14"/>
      <c r="MDD105" s="36"/>
      <c r="MDE105" s="14"/>
      <c r="MDF105" s="14"/>
      <c r="MDG105" s="14"/>
      <c r="MDH105" s="14"/>
      <c r="MDI105" s="14"/>
      <c r="MDJ105" s="14"/>
      <c r="MDK105" s="14"/>
      <c r="MDL105" s="36"/>
      <c r="MDM105" s="14"/>
      <c r="MDN105" s="14"/>
      <c r="MDO105" s="14"/>
      <c r="MDP105" s="14"/>
      <c r="MDQ105" s="14"/>
      <c r="MDR105" s="14"/>
      <c r="MDS105" s="14"/>
      <c r="MDT105" s="36"/>
      <c r="MDU105" s="14"/>
      <c r="MDV105" s="14"/>
      <c r="MDW105" s="14"/>
      <c r="MDX105" s="14"/>
      <c r="MDY105" s="14"/>
      <c r="MDZ105" s="14"/>
      <c r="MEA105" s="14"/>
      <c r="MEB105" s="36"/>
      <c r="MEC105" s="14"/>
      <c r="MED105" s="14"/>
      <c r="MEE105" s="14"/>
      <c r="MEF105" s="14"/>
      <c r="MEG105" s="14"/>
      <c r="MEH105" s="14"/>
      <c r="MEI105" s="14"/>
      <c r="MEJ105" s="36"/>
      <c r="MEK105" s="14"/>
      <c r="MEL105" s="14"/>
      <c r="MEM105" s="14"/>
      <c r="MEN105" s="14"/>
      <c r="MEO105" s="14"/>
      <c r="MEP105" s="14"/>
      <c r="MEQ105" s="14"/>
      <c r="MER105" s="36"/>
      <c r="MES105" s="14"/>
      <c r="MET105" s="14"/>
      <c r="MEU105" s="14"/>
      <c r="MEV105" s="14"/>
      <c r="MEW105" s="14"/>
      <c r="MEX105" s="14"/>
      <c r="MEY105" s="14"/>
      <c r="MEZ105" s="36"/>
      <c r="MFA105" s="14"/>
      <c r="MFB105" s="14"/>
      <c r="MFC105" s="14"/>
      <c r="MFD105" s="14"/>
      <c r="MFE105" s="14"/>
      <c r="MFF105" s="14"/>
      <c r="MFG105" s="14"/>
      <c r="MFH105" s="36"/>
      <c r="MFI105" s="14"/>
      <c r="MFJ105" s="14"/>
      <c r="MFK105" s="14"/>
      <c r="MFL105" s="14"/>
      <c r="MFM105" s="14"/>
      <c r="MFN105" s="14"/>
      <c r="MFO105" s="14"/>
      <c r="MFP105" s="36"/>
      <c r="MFQ105" s="14"/>
      <c r="MFR105" s="14"/>
      <c r="MFS105" s="14"/>
      <c r="MFT105" s="14"/>
      <c r="MFU105" s="14"/>
      <c r="MFV105" s="14"/>
      <c r="MFW105" s="14"/>
      <c r="MFX105" s="36"/>
      <c r="MFY105" s="14"/>
      <c r="MFZ105" s="14"/>
      <c r="MGA105" s="14"/>
      <c r="MGB105" s="14"/>
      <c r="MGC105" s="14"/>
      <c r="MGD105" s="14"/>
      <c r="MGE105" s="14"/>
      <c r="MGF105" s="36"/>
      <c r="MGG105" s="14"/>
      <c r="MGH105" s="14"/>
      <c r="MGI105" s="14"/>
      <c r="MGJ105" s="14"/>
      <c r="MGK105" s="14"/>
      <c r="MGL105" s="14"/>
      <c r="MGM105" s="14"/>
      <c r="MGN105" s="36"/>
      <c r="MGO105" s="14"/>
      <c r="MGP105" s="14"/>
      <c r="MGQ105" s="14"/>
      <c r="MGR105" s="14"/>
      <c r="MGS105" s="14"/>
      <c r="MGT105" s="14"/>
      <c r="MGU105" s="14"/>
      <c r="MGV105" s="36"/>
      <c r="MGW105" s="14"/>
      <c r="MGX105" s="14"/>
      <c r="MGY105" s="14"/>
      <c r="MGZ105" s="14"/>
      <c r="MHA105" s="14"/>
      <c r="MHB105" s="14"/>
      <c r="MHC105" s="14"/>
      <c r="MHD105" s="36"/>
      <c r="MHE105" s="14"/>
      <c r="MHF105" s="14"/>
      <c r="MHG105" s="14"/>
      <c r="MHH105" s="14"/>
      <c r="MHI105" s="14"/>
      <c r="MHJ105" s="14"/>
      <c r="MHK105" s="14"/>
      <c r="MHL105" s="36"/>
      <c r="MHM105" s="14"/>
      <c r="MHN105" s="14"/>
      <c r="MHO105" s="14"/>
      <c r="MHP105" s="14"/>
      <c r="MHQ105" s="14"/>
      <c r="MHR105" s="14"/>
      <c r="MHS105" s="14"/>
      <c r="MHT105" s="36"/>
      <c r="MHU105" s="14"/>
      <c r="MHV105" s="14"/>
      <c r="MHW105" s="14"/>
      <c r="MHX105" s="14"/>
      <c r="MHY105" s="14"/>
      <c r="MHZ105" s="14"/>
      <c r="MIA105" s="14"/>
      <c r="MIB105" s="36"/>
      <c r="MIC105" s="14"/>
      <c r="MID105" s="14"/>
      <c r="MIE105" s="14"/>
      <c r="MIF105" s="14"/>
      <c r="MIG105" s="14"/>
      <c r="MIH105" s="14"/>
      <c r="MII105" s="14"/>
      <c r="MIJ105" s="36"/>
      <c r="MIK105" s="14"/>
      <c r="MIL105" s="14"/>
      <c r="MIM105" s="14"/>
      <c r="MIN105" s="14"/>
      <c r="MIO105" s="14"/>
      <c r="MIP105" s="14"/>
      <c r="MIQ105" s="14"/>
      <c r="MIR105" s="36"/>
      <c r="MIS105" s="14"/>
      <c r="MIT105" s="14"/>
      <c r="MIU105" s="14"/>
      <c r="MIV105" s="14"/>
      <c r="MIW105" s="14"/>
      <c r="MIX105" s="14"/>
      <c r="MIY105" s="14"/>
      <c r="MIZ105" s="36"/>
      <c r="MJA105" s="14"/>
      <c r="MJB105" s="14"/>
      <c r="MJC105" s="14"/>
      <c r="MJD105" s="14"/>
      <c r="MJE105" s="14"/>
      <c r="MJF105" s="14"/>
      <c r="MJG105" s="14"/>
      <c r="MJH105" s="36"/>
      <c r="MJI105" s="14"/>
      <c r="MJJ105" s="14"/>
      <c r="MJK105" s="14"/>
      <c r="MJL105" s="14"/>
      <c r="MJM105" s="14"/>
      <c r="MJN105" s="14"/>
      <c r="MJO105" s="14"/>
      <c r="MJP105" s="36"/>
      <c r="MJQ105" s="14"/>
      <c r="MJR105" s="14"/>
      <c r="MJS105" s="14"/>
      <c r="MJT105" s="14"/>
      <c r="MJU105" s="14"/>
      <c r="MJV105" s="14"/>
      <c r="MJW105" s="14"/>
      <c r="MJX105" s="36"/>
      <c r="MJY105" s="14"/>
      <c r="MJZ105" s="14"/>
      <c r="MKA105" s="14"/>
      <c r="MKB105" s="14"/>
      <c r="MKC105" s="14"/>
      <c r="MKD105" s="14"/>
      <c r="MKE105" s="14"/>
      <c r="MKF105" s="36"/>
      <c r="MKG105" s="14"/>
      <c r="MKH105" s="14"/>
      <c r="MKI105" s="14"/>
      <c r="MKJ105" s="14"/>
      <c r="MKK105" s="14"/>
      <c r="MKL105" s="14"/>
      <c r="MKM105" s="14"/>
      <c r="MKN105" s="36"/>
      <c r="MKO105" s="14"/>
      <c r="MKP105" s="14"/>
      <c r="MKQ105" s="14"/>
      <c r="MKR105" s="14"/>
      <c r="MKS105" s="14"/>
      <c r="MKT105" s="14"/>
      <c r="MKU105" s="14"/>
      <c r="MKV105" s="36"/>
      <c r="MKW105" s="14"/>
      <c r="MKX105" s="14"/>
      <c r="MKY105" s="14"/>
      <c r="MKZ105" s="14"/>
      <c r="MLA105" s="14"/>
      <c r="MLB105" s="14"/>
      <c r="MLC105" s="14"/>
      <c r="MLD105" s="36"/>
      <c r="MLE105" s="14"/>
      <c r="MLF105" s="14"/>
      <c r="MLG105" s="14"/>
      <c r="MLH105" s="14"/>
      <c r="MLI105" s="14"/>
      <c r="MLJ105" s="14"/>
      <c r="MLK105" s="14"/>
      <c r="MLL105" s="36"/>
      <c r="MLM105" s="14"/>
      <c r="MLN105" s="14"/>
      <c r="MLO105" s="14"/>
      <c r="MLP105" s="14"/>
      <c r="MLQ105" s="14"/>
      <c r="MLR105" s="14"/>
      <c r="MLS105" s="14"/>
      <c r="MLT105" s="36"/>
      <c r="MLU105" s="14"/>
      <c r="MLV105" s="14"/>
      <c r="MLW105" s="14"/>
      <c r="MLX105" s="14"/>
      <c r="MLY105" s="14"/>
      <c r="MLZ105" s="14"/>
      <c r="MMA105" s="14"/>
      <c r="MMB105" s="36"/>
      <c r="MMC105" s="14"/>
      <c r="MMD105" s="14"/>
      <c r="MME105" s="14"/>
      <c r="MMF105" s="14"/>
      <c r="MMG105" s="14"/>
      <c r="MMH105" s="14"/>
      <c r="MMI105" s="14"/>
      <c r="MMJ105" s="36"/>
      <c r="MMK105" s="14"/>
      <c r="MML105" s="14"/>
      <c r="MMM105" s="14"/>
      <c r="MMN105" s="14"/>
      <c r="MMO105" s="14"/>
      <c r="MMP105" s="14"/>
      <c r="MMQ105" s="14"/>
      <c r="MMR105" s="36"/>
      <c r="MMS105" s="14"/>
      <c r="MMT105" s="14"/>
      <c r="MMU105" s="14"/>
      <c r="MMV105" s="14"/>
      <c r="MMW105" s="14"/>
      <c r="MMX105" s="14"/>
      <c r="MMY105" s="14"/>
      <c r="MMZ105" s="36"/>
      <c r="MNA105" s="14"/>
      <c r="MNB105" s="14"/>
      <c r="MNC105" s="14"/>
      <c r="MND105" s="14"/>
      <c r="MNE105" s="14"/>
      <c r="MNF105" s="14"/>
      <c r="MNG105" s="14"/>
      <c r="MNH105" s="36"/>
      <c r="MNI105" s="14"/>
      <c r="MNJ105" s="14"/>
      <c r="MNK105" s="14"/>
      <c r="MNL105" s="14"/>
      <c r="MNM105" s="14"/>
      <c r="MNN105" s="14"/>
      <c r="MNO105" s="14"/>
      <c r="MNP105" s="36"/>
      <c r="MNQ105" s="14"/>
      <c r="MNR105" s="14"/>
      <c r="MNS105" s="14"/>
      <c r="MNT105" s="14"/>
      <c r="MNU105" s="14"/>
      <c r="MNV105" s="14"/>
      <c r="MNW105" s="14"/>
      <c r="MNX105" s="36"/>
      <c r="MNY105" s="14"/>
      <c r="MNZ105" s="14"/>
      <c r="MOA105" s="14"/>
      <c r="MOB105" s="14"/>
      <c r="MOC105" s="14"/>
      <c r="MOD105" s="14"/>
      <c r="MOE105" s="14"/>
      <c r="MOF105" s="36"/>
      <c r="MOG105" s="14"/>
      <c r="MOH105" s="14"/>
      <c r="MOI105" s="14"/>
      <c r="MOJ105" s="14"/>
      <c r="MOK105" s="14"/>
      <c r="MOL105" s="14"/>
      <c r="MOM105" s="14"/>
      <c r="MON105" s="36"/>
      <c r="MOO105" s="14"/>
      <c r="MOP105" s="14"/>
      <c r="MOQ105" s="14"/>
      <c r="MOR105" s="14"/>
      <c r="MOS105" s="14"/>
      <c r="MOT105" s="14"/>
      <c r="MOU105" s="14"/>
      <c r="MOV105" s="36"/>
      <c r="MOW105" s="14"/>
      <c r="MOX105" s="14"/>
      <c r="MOY105" s="14"/>
      <c r="MOZ105" s="14"/>
      <c r="MPA105" s="14"/>
      <c r="MPB105" s="14"/>
      <c r="MPC105" s="14"/>
      <c r="MPD105" s="36"/>
      <c r="MPE105" s="14"/>
      <c r="MPF105" s="14"/>
      <c r="MPG105" s="14"/>
      <c r="MPH105" s="14"/>
      <c r="MPI105" s="14"/>
      <c r="MPJ105" s="14"/>
      <c r="MPK105" s="14"/>
      <c r="MPL105" s="36"/>
      <c r="MPM105" s="14"/>
      <c r="MPN105" s="14"/>
      <c r="MPO105" s="14"/>
      <c r="MPP105" s="14"/>
      <c r="MPQ105" s="14"/>
      <c r="MPR105" s="14"/>
      <c r="MPS105" s="14"/>
      <c r="MPT105" s="36"/>
      <c r="MPU105" s="14"/>
      <c r="MPV105" s="14"/>
      <c r="MPW105" s="14"/>
      <c r="MPX105" s="14"/>
      <c r="MPY105" s="14"/>
      <c r="MPZ105" s="14"/>
      <c r="MQA105" s="14"/>
      <c r="MQB105" s="36"/>
      <c r="MQC105" s="14"/>
      <c r="MQD105" s="14"/>
      <c r="MQE105" s="14"/>
      <c r="MQF105" s="14"/>
      <c r="MQG105" s="14"/>
      <c r="MQH105" s="14"/>
      <c r="MQI105" s="14"/>
      <c r="MQJ105" s="36"/>
      <c r="MQK105" s="14"/>
      <c r="MQL105" s="14"/>
      <c r="MQM105" s="14"/>
      <c r="MQN105" s="14"/>
      <c r="MQO105" s="14"/>
      <c r="MQP105" s="14"/>
      <c r="MQQ105" s="14"/>
      <c r="MQR105" s="36"/>
      <c r="MQS105" s="14"/>
      <c r="MQT105" s="14"/>
      <c r="MQU105" s="14"/>
      <c r="MQV105" s="14"/>
      <c r="MQW105" s="14"/>
      <c r="MQX105" s="14"/>
      <c r="MQY105" s="14"/>
      <c r="MQZ105" s="36"/>
      <c r="MRA105" s="14"/>
      <c r="MRB105" s="14"/>
      <c r="MRC105" s="14"/>
      <c r="MRD105" s="14"/>
      <c r="MRE105" s="14"/>
      <c r="MRF105" s="14"/>
      <c r="MRG105" s="14"/>
      <c r="MRH105" s="36"/>
      <c r="MRI105" s="14"/>
      <c r="MRJ105" s="14"/>
      <c r="MRK105" s="14"/>
      <c r="MRL105" s="14"/>
      <c r="MRM105" s="14"/>
      <c r="MRN105" s="14"/>
      <c r="MRO105" s="14"/>
      <c r="MRP105" s="36"/>
      <c r="MRQ105" s="14"/>
      <c r="MRR105" s="14"/>
      <c r="MRS105" s="14"/>
      <c r="MRT105" s="14"/>
      <c r="MRU105" s="14"/>
      <c r="MRV105" s="14"/>
      <c r="MRW105" s="14"/>
      <c r="MRX105" s="36"/>
      <c r="MRY105" s="14"/>
      <c r="MRZ105" s="14"/>
      <c r="MSA105" s="14"/>
      <c r="MSB105" s="14"/>
      <c r="MSC105" s="14"/>
      <c r="MSD105" s="14"/>
      <c r="MSE105" s="14"/>
      <c r="MSF105" s="36"/>
      <c r="MSG105" s="14"/>
      <c r="MSH105" s="14"/>
      <c r="MSI105" s="14"/>
      <c r="MSJ105" s="14"/>
      <c r="MSK105" s="14"/>
      <c r="MSL105" s="14"/>
      <c r="MSM105" s="14"/>
      <c r="MSN105" s="36"/>
      <c r="MSO105" s="14"/>
      <c r="MSP105" s="14"/>
      <c r="MSQ105" s="14"/>
      <c r="MSR105" s="14"/>
      <c r="MSS105" s="14"/>
      <c r="MST105" s="14"/>
      <c r="MSU105" s="14"/>
      <c r="MSV105" s="36"/>
      <c r="MSW105" s="14"/>
      <c r="MSX105" s="14"/>
      <c r="MSY105" s="14"/>
      <c r="MSZ105" s="14"/>
      <c r="MTA105" s="14"/>
      <c r="MTB105" s="14"/>
      <c r="MTC105" s="14"/>
      <c r="MTD105" s="36"/>
      <c r="MTE105" s="14"/>
      <c r="MTF105" s="14"/>
      <c r="MTG105" s="14"/>
      <c r="MTH105" s="14"/>
      <c r="MTI105" s="14"/>
      <c r="MTJ105" s="14"/>
      <c r="MTK105" s="14"/>
      <c r="MTL105" s="36"/>
      <c r="MTM105" s="14"/>
      <c r="MTN105" s="14"/>
      <c r="MTO105" s="14"/>
      <c r="MTP105" s="14"/>
      <c r="MTQ105" s="14"/>
      <c r="MTR105" s="14"/>
      <c r="MTS105" s="14"/>
      <c r="MTT105" s="36"/>
      <c r="MTU105" s="14"/>
      <c r="MTV105" s="14"/>
      <c r="MTW105" s="14"/>
      <c r="MTX105" s="14"/>
      <c r="MTY105" s="14"/>
      <c r="MTZ105" s="14"/>
      <c r="MUA105" s="14"/>
      <c r="MUB105" s="36"/>
      <c r="MUC105" s="14"/>
      <c r="MUD105" s="14"/>
      <c r="MUE105" s="14"/>
      <c r="MUF105" s="14"/>
      <c r="MUG105" s="14"/>
      <c r="MUH105" s="14"/>
      <c r="MUI105" s="14"/>
      <c r="MUJ105" s="36"/>
      <c r="MUK105" s="14"/>
      <c r="MUL105" s="14"/>
      <c r="MUM105" s="14"/>
      <c r="MUN105" s="14"/>
      <c r="MUO105" s="14"/>
      <c r="MUP105" s="14"/>
      <c r="MUQ105" s="14"/>
      <c r="MUR105" s="36"/>
      <c r="MUS105" s="14"/>
      <c r="MUT105" s="14"/>
      <c r="MUU105" s="14"/>
      <c r="MUV105" s="14"/>
      <c r="MUW105" s="14"/>
      <c r="MUX105" s="14"/>
      <c r="MUY105" s="14"/>
      <c r="MUZ105" s="36"/>
      <c r="MVA105" s="14"/>
      <c r="MVB105" s="14"/>
      <c r="MVC105" s="14"/>
      <c r="MVD105" s="14"/>
      <c r="MVE105" s="14"/>
      <c r="MVF105" s="14"/>
      <c r="MVG105" s="14"/>
      <c r="MVH105" s="36"/>
      <c r="MVI105" s="14"/>
      <c r="MVJ105" s="14"/>
      <c r="MVK105" s="14"/>
      <c r="MVL105" s="14"/>
      <c r="MVM105" s="14"/>
      <c r="MVN105" s="14"/>
      <c r="MVO105" s="14"/>
      <c r="MVP105" s="36"/>
      <c r="MVQ105" s="14"/>
      <c r="MVR105" s="14"/>
      <c r="MVS105" s="14"/>
      <c r="MVT105" s="14"/>
      <c r="MVU105" s="14"/>
      <c r="MVV105" s="14"/>
      <c r="MVW105" s="14"/>
      <c r="MVX105" s="36"/>
      <c r="MVY105" s="14"/>
      <c r="MVZ105" s="14"/>
      <c r="MWA105" s="14"/>
      <c r="MWB105" s="14"/>
      <c r="MWC105" s="14"/>
      <c r="MWD105" s="14"/>
      <c r="MWE105" s="14"/>
      <c r="MWF105" s="36"/>
      <c r="MWG105" s="14"/>
      <c r="MWH105" s="14"/>
      <c r="MWI105" s="14"/>
      <c r="MWJ105" s="14"/>
      <c r="MWK105" s="14"/>
      <c r="MWL105" s="14"/>
      <c r="MWM105" s="14"/>
      <c r="MWN105" s="36"/>
      <c r="MWO105" s="14"/>
      <c r="MWP105" s="14"/>
      <c r="MWQ105" s="14"/>
      <c r="MWR105" s="14"/>
      <c r="MWS105" s="14"/>
      <c r="MWT105" s="14"/>
      <c r="MWU105" s="14"/>
      <c r="MWV105" s="36"/>
      <c r="MWW105" s="14"/>
      <c r="MWX105" s="14"/>
      <c r="MWY105" s="14"/>
      <c r="MWZ105" s="14"/>
      <c r="MXA105" s="14"/>
      <c r="MXB105" s="14"/>
      <c r="MXC105" s="14"/>
      <c r="MXD105" s="36"/>
      <c r="MXE105" s="14"/>
      <c r="MXF105" s="14"/>
      <c r="MXG105" s="14"/>
      <c r="MXH105" s="14"/>
      <c r="MXI105" s="14"/>
      <c r="MXJ105" s="14"/>
      <c r="MXK105" s="14"/>
      <c r="MXL105" s="36"/>
      <c r="MXM105" s="14"/>
      <c r="MXN105" s="14"/>
      <c r="MXO105" s="14"/>
      <c r="MXP105" s="14"/>
      <c r="MXQ105" s="14"/>
      <c r="MXR105" s="14"/>
      <c r="MXS105" s="14"/>
      <c r="MXT105" s="36"/>
      <c r="MXU105" s="14"/>
      <c r="MXV105" s="14"/>
      <c r="MXW105" s="14"/>
      <c r="MXX105" s="14"/>
      <c r="MXY105" s="14"/>
      <c r="MXZ105" s="14"/>
      <c r="MYA105" s="14"/>
      <c r="MYB105" s="36"/>
      <c r="MYC105" s="14"/>
      <c r="MYD105" s="14"/>
      <c r="MYE105" s="14"/>
      <c r="MYF105" s="14"/>
      <c r="MYG105" s="14"/>
      <c r="MYH105" s="14"/>
      <c r="MYI105" s="14"/>
      <c r="MYJ105" s="36"/>
      <c r="MYK105" s="14"/>
      <c r="MYL105" s="14"/>
      <c r="MYM105" s="14"/>
      <c r="MYN105" s="14"/>
      <c r="MYO105" s="14"/>
      <c r="MYP105" s="14"/>
      <c r="MYQ105" s="14"/>
      <c r="MYR105" s="36"/>
      <c r="MYS105" s="14"/>
      <c r="MYT105" s="14"/>
      <c r="MYU105" s="14"/>
      <c r="MYV105" s="14"/>
      <c r="MYW105" s="14"/>
      <c r="MYX105" s="14"/>
      <c r="MYY105" s="14"/>
      <c r="MYZ105" s="36"/>
      <c r="MZA105" s="14"/>
      <c r="MZB105" s="14"/>
      <c r="MZC105" s="14"/>
      <c r="MZD105" s="14"/>
      <c r="MZE105" s="14"/>
      <c r="MZF105" s="14"/>
      <c r="MZG105" s="14"/>
      <c r="MZH105" s="36"/>
      <c r="MZI105" s="14"/>
      <c r="MZJ105" s="14"/>
      <c r="MZK105" s="14"/>
      <c r="MZL105" s="14"/>
      <c r="MZM105" s="14"/>
      <c r="MZN105" s="14"/>
      <c r="MZO105" s="14"/>
      <c r="MZP105" s="36"/>
      <c r="MZQ105" s="14"/>
      <c r="MZR105" s="14"/>
      <c r="MZS105" s="14"/>
      <c r="MZT105" s="14"/>
      <c r="MZU105" s="14"/>
      <c r="MZV105" s="14"/>
      <c r="MZW105" s="14"/>
      <c r="MZX105" s="36"/>
      <c r="MZY105" s="14"/>
      <c r="MZZ105" s="14"/>
      <c r="NAA105" s="14"/>
      <c r="NAB105" s="14"/>
      <c r="NAC105" s="14"/>
      <c r="NAD105" s="14"/>
      <c r="NAE105" s="14"/>
      <c r="NAF105" s="36"/>
      <c r="NAG105" s="14"/>
      <c r="NAH105" s="14"/>
      <c r="NAI105" s="14"/>
      <c r="NAJ105" s="14"/>
      <c r="NAK105" s="14"/>
      <c r="NAL105" s="14"/>
      <c r="NAM105" s="14"/>
      <c r="NAN105" s="36"/>
      <c r="NAO105" s="14"/>
      <c r="NAP105" s="14"/>
      <c r="NAQ105" s="14"/>
      <c r="NAR105" s="14"/>
      <c r="NAS105" s="14"/>
      <c r="NAT105" s="14"/>
      <c r="NAU105" s="14"/>
      <c r="NAV105" s="36"/>
      <c r="NAW105" s="14"/>
      <c r="NAX105" s="14"/>
      <c r="NAY105" s="14"/>
      <c r="NAZ105" s="14"/>
      <c r="NBA105" s="14"/>
      <c r="NBB105" s="14"/>
      <c r="NBC105" s="14"/>
      <c r="NBD105" s="36"/>
      <c r="NBE105" s="14"/>
      <c r="NBF105" s="14"/>
      <c r="NBG105" s="14"/>
      <c r="NBH105" s="14"/>
      <c r="NBI105" s="14"/>
      <c r="NBJ105" s="14"/>
      <c r="NBK105" s="14"/>
      <c r="NBL105" s="36"/>
      <c r="NBM105" s="14"/>
      <c r="NBN105" s="14"/>
      <c r="NBO105" s="14"/>
      <c r="NBP105" s="14"/>
      <c r="NBQ105" s="14"/>
      <c r="NBR105" s="14"/>
      <c r="NBS105" s="14"/>
      <c r="NBT105" s="36"/>
      <c r="NBU105" s="14"/>
      <c r="NBV105" s="14"/>
      <c r="NBW105" s="14"/>
      <c r="NBX105" s="14"/>
      <c r="NBY105" s="14"/>
      <c r="NBZ105" s="14"/>
      <c r="NCA105" s="14"/>
      <c r="NCB105" s="36"/>
      <c r="NCC105" s="14"/>
      <c r="NCD105" s="14"/>
      <c r="NCE105" s="14"/>
      <c r="NCF105" s="14"/>
      <c r="NCG105" s="14"/>
      <c r="NCH105" s="14"/>
      <c r="NCI105" s="14"/>
      <c r="NCJ105" s="36"/>
      <c r="NCK105" s="14"/>
      <c r="NCL105" s="14"/>
      <c r="NCM105" s="14"/>
      <c r="NCN105" s="14"/>
      <c r="NCO105" s="14"/>
      <c r="NCP105" s="14"/>
      <c r="NCQ105" s="14"/>
      <c r="NCR105" s="36"/>
      <c r="NCS105" s="14"/>
      <c r="NCT105" s="14"/>
      <c r="NCU105" s="14"/>
      <c r="NCV105" s="14"/>
      <c r="NCW105" s="14"/>
      <c r="NCX105" s="14"/>
      <c r="NCY105" s="14"/>
      <c r="NCZ105" s="36"/>
      <c r="NDA105" s="14"/>
      <c r="NDB105" s="14"/>
      <c r="NDC105" s="14"/>
      <c r="NDD105" s="14"/>
      <c r="NDE105" s="14"/>
      <c r="NDF105" s="14"/>
      <c r="NDG105" s="14"/>
      <c r="NDH105" s="36"/>
      <c r="NDI105" s="14"/>
      <c r="NDJ105" s="14"/>
      <c r="NDK105" s="14"/>
      <c r="NDL105" s="14"/>
      <c r="NDM105" s="14"/>
      <c r="NDN105" s="14"/>
      <c r="NDO105" s="14"/>
      <c r="NDP105" s="36"/>
      <c r="NDQ105" s="14"/>
      <c r="NDR105" s="14"/>
      <c r="NDS105" s="14"/>
      <c r="NDT105" s="14"/>
      <c r="NDU105" s="14"/>
      <c r="NDV105" s="14"/>
      <c r="NDW105" s="14"/>
      <c r="NDX105" s="36"/>
      <c r="NDY105" s="14"/>
      <c r="NDZ105" s="14"/>
      <c r="NEA105" s="14"/>
      <c r="NEB105" s="14"/>
      <c r="NEC105" s="14"/>
      <c r="NED105" s="14"/>
      <c r="NEE105" s="14"/>
      <c r="NEF105" s="36"/>
      <c r="NEG105" s="14"/>
      <c r="NEH105" s="14"/>
      <c r="NEI105" s="14"/>
      <c r="NEJ105" s="14"/>
      <c r="NEK105" s="14"/>
      <c r="NEL105" s="14"/>
      <c r="NEM105" s="14"/>
      <c r="NEN105" s="36"/>
      <c r="NEO105" s="14"/>
      <c r="NEP105" s="14"/>
      <c r="NEQ105" s="14"/>
      <c r="NER105" s="14"/>
      <c r="NES105" s="14"/>
      <c r="NET105" s="14"/>
      <c r="NEU105" s="14"/>
      <c r="NEV105" s="36"/>
      <c r="NEW105" s="14"/>
      <c r="NEX105" s="14"/>
      <c r="NEY105" s="14"/>
      <c r="NEZ105" s="14"/>
      <c r="NFA105" s="14"/>
      <c r="NFB105" s="14"/>
      <c r="NFC105" s="14"/>
      <c r="NFD105" s="36"/>
      <c r="NFE105" s="14"/>
      <c r="NFF105" s="14"/>
      <c r="NFG105" s="14"/>
      <c r="NFH105" s="14"/>
      <c r="NFI105" s="14"/>
      <c r="NFJ105" s="14"/>
      <c r="NFK105" s="14"/>
      <c r="NFL105" s="36"/>
      <c r="NFM105" s="14"/>
      <c r="NFN105" s="14"/>
      <c r="NFO105" s="14"/>
      <c r="NFP105" s="14"/>
      <c r="NFQ105" s="14"/>
      <c r="NFR105" s="14"/>
      <c r="NFS105" s="14"/>
      <c r="NFT105" s="36"/>
      <c r="NFU105" s="14"/>
      <c r="NFV105" s="14"/>
      <c r="NFW105" s="14"/>
      <c r="NFX105" s="14"/>
      <c r="NFY105" s="14"/>
      <c r="NFZ105" s="14"/>
      <c r="NGA105" s="14"/>
      <c r="NGB105" s="36"/>
      <c r="NGC105" s="14"/>
      <c r="NGD105" s="14"/>
      <c r="NGE105" s="14"/>
      <c r="NGF105" s="14"/>
      <c r="NGG105" s="14"/>
      <c r="NGH105" s="14"/>
      <c r="NGI105" s="14"/>
      <c r="NGJ105" s="36"/>
      <c r="NGK105" s="14"/>
      <c r="NGL105" s="14"/>
      <c r="NGM105" s="14"/>
      <c r="NGN105" s="14"/>
      <c r="NGO105" s="14"/>
      <c r="NGP105" s="14"/>
      <c r="NGQ105" s="14"/>
      <c r="NGR105" s="36"/>
      <c r="NGS105" s="14"/>
      <c r="NGT105" s="14"/>
      <c r="NGU105" s="14"/>
      <c r="NGV105" s="14"/>
      <c r="NGW105" s="14"/>
      <c r="NGX105" s="14"/>
      <c r="NGY105" s="14"/>
      <c r="NGZ105" s="36"/>
      <c r="NHA105" s="14"/>
      <c r="NHB105" s="14"/>
      <c r="NHC105" s="14"/>
      <c r="NHD105" s="14"/>
      <c r="NHE105" s="14"/>
      <c r="NHF105" s="14"/>
      <c r="NHG105" s="14"/>
      <c r="NHH105" s="36"/>
      <c r="NHI105" s="14"/>
      <c r="NHJ105" s="14"/>
      <c r="NHK105" s="14"/>
      <c r="NHL105" s="14"/>
      <c r="NHM105" s="14"/>
      <c r="NHN105" s="14"/>
      <c r="NHO105" s="14"/>
      <c r="NHP105" s="36"/>
      <c r="NHQ105" s="14"/>
      <c r="NHR105" s="14"/>
      <c r="NHS105" s="14"/>
      <c r="NHT105" s="14"/>
      <c r="NHU105" s="14"/>
      <c r="NHV105" s="14"/>
      <c r="NHW105" s="14"/>
      <c r="NHX105" s="36"/>
      <c r="NHY105" s="14"/>
      <c r="NHZ105" s="14"/>
      <c r="NIA105" s="14"/>
      <c r="NIB105" s="14"/>
      <c r="NIC105" s="14"/>
      <c r="NID105" s="14"/>
      <c r="NIE105" s="14"/>
      <c r="NIF105" s="36"/>
      <c r="NIG105" s="14"/>
      <c r="NIH105" s="14"/>
      <c r="NII105" s="14"/>
      <c r="NIJ105" s="14"/>
      <c r="NIK105" s="14"/>
      <c r="NIL105" s="14"/>
      <c r="NIM105" s="14"/>
      <c r="NIN105" s="36"/>
      <c r="NIO105" s="14"/>
      <c r="NIP105" s="14"/>
      <c r="NIQ105" s="14"/>
      <c r="NIR105" s="14"/>
      <c r="NIS105" s="14"/>
      <c r="NIT105" s="14"/>
      <c r="NIU105" s="14"/>
      <c r="NIV105" s="36"/>
      <c r="NIW105" s="14"/>
      <c r="NIX105" s="14"/>
      <c r="NIY105" s="14"/>
      <c r="NIZ105" s="14"/>
      <c r="NJA105" s="14"/>
      <c r="NJB105" s="14"/>
      <c r="NJC105" s="14"/>
      <c r="NJD105" s="36"/>
      <c r="NJE105" s="14"/>
      <c r="NJF105" s="14"/>
      <c r="NJG105" s="14"/>
      <c r="NJH105" s="14"/>
      <c r="NJI105" s="14"/>
      <c r="NJJ105" s="14"/>
      <c r="NJK105" s="14"/>
      <c r="NJL105" s="36"/>
      <c r="NJM105" s="14"/>
      <c r="NJN105" s="14"/>
      <c r="NJO105" s="14"/>
      <c r="NJP105" s="14"/>
      <c r="NJQ105" s="14"/>
      <c r="NJR105" s="14"/>
      <c r="NJS105" s="14"/>
      <c r="NJT105" s="36"/>
      <c r="NJU105" s="14"/>
      <c r="NJV105" s="14"/>
      <c r="NJW105" s="14"/>
      <c r="NJX105" s="14"/>
      <c r="NJY105" s="14"/>
      <c r="NJZ105" s="14"/>
      <c r="NKA105" s="14"/>
      <c r="NKB105" s="36"/>
      <c r="NKC105" s="14"/>
      <c r="NKD105" s="14"/>
      <c r="NKE105" s="14"/>
      <c r="NKF105" s="14"/>
      <c r="NKG105" s="14"/>
      <c r="NKH105" s="14"/>
      <c r="NKI105" s="14"/>
      <c r="NKJ105" s="36"/>
      <c r="NKK105" s="14"/>
      <c r="NKL105" s="14"/>
      <c r="NKM105" s="14"/>
      <c r="NKN105" s="14"/>
      <c r="NKO105" s="14"/>
      <c r="NKP105" s="14"/>
      <c r="NKQ105" s="14"/>
      <c r="NKR105" s="36"/>
      <c r="NKS105" s="14"/>
      <c r="NKT105" s="14"/>
      <c r="NKU105" s="14"/>
      <c r="NKV105" s="14"/>
      <c r="NKW105" s="14"/>
      <c r="NKX105" s="14"/>
      <c r="NKY105" s="14"/>
      <c r="NKZ105" s="36"/>
      <c r="NLA105" s="14"/>
      <c r="NLB105" s="14"/>
      <c r="NLC105" s="14"/>
      <c r="NLD105" s="14"/>
      <c r="NLE105" s="14"/>
      <c r="NLF105" s="14"/>
      <c r="NLG105" s="14"/>
      <c r="NLH105" s="36"/>
      <c r="NLI105" s="14"/>
      <c r="NLJ105" s="14"/>
      <c r="NLK105" s="14"/>
      <c r="NLL105" s="14"/>
      <c r="NLM105" s="14"/>
      <c r="NLN105" s="14"/>
      <c r="NLO105" s="14"/>
      <c r="NLP105" s="36"/>
      <c r="NLQ105" s="14"/>
      <c r="NLR105" s="14"/>
      <c r="NLS105" s="14"/>
      <c r="NLT105" s="14"/>
      <c r="NLU105" s="14"/>
      <c r="NLV105" s="14"/>
      <c r="NLW105" s="14"/>
      <c r="NLX105" s="36"/>
      <c r="NLY105" s="14"/>
      <c r="NLZ105" s="14"/>
      <c r="NMA105" s="14"/>
      <c r="NMB105" s="14"/>
      <c r="NMC105" s="14"/>
      <c r="NMD105" s="14"/>
      <c r="NME105" s="14"/>
      <c r="NMF105" s="36"/>
      <c r="NMG105" s="14"/>
      <c r="NMH105" s="14"/>
      <c r="NMI105" s="14"/>
      <c r="NMJ105" s="14"/>
      <c r="NMK105" s="14"/>
      <c r="NML105" s="14"/>
      <c r="NMM105" s="14"/>
      <c r="NMN105" s="36"/>
      <c r="NMO105" s="14"/>
      <c r="NMP105" s="14"/>
      <c r="NMQ105" s="14"/>
      <c r="NMR105" s="14"/>
      <c r="NMS105" s="14"/>
      <c r="NMT105" s="14"/>
      <c r="NMU105" s="14"/>
      <c r="NMV105" s="36"/>
      <c r="NMW105" s="14"/>
      <c r="NMX105" s="14"/>
      <c r="NMY105" s="14"/>
      <c r="NMZ105" s="14"/>
      <c r="NNA105" s="14"/>
      <c r="NNB105" s="14"/>
      <c r="NNC105" s="14"/>
      <c r="NND105" s="36"/>
      <c r="NNE105" s="14"/>
      <c r="NNF105" s="14"/>
      <c r="NNG105" s="14"/>
      <c r="NNH105" s="14"/>
      <c r="NNI105" s="14"/>
      <c r="NNJ105" s="14"/>
      <c r="NNK105" s="14"/>
      <c r="NNL105" s="36"/>
      <c r="NNM105" s="14"/>
      <c r="NNN105" s="14"/>
      <c r="NNO105" s="14"/>
      <c r="NNP105" s="14"/>
      <c r="NNQ105" s="14"/>
      <c r="NNR105" s="14"/>
      <c r="NNS105" s="14"/>
      <c r="NNT105" s="36"/>
      <c r="NNU105" s="14"/>
      <c r="NNV105" s="14"/>
      <c r="NNW105" s="14"/>
      <c r="NNX105" s="14"/>
      <c r="NNY105" s="14"/>
      <c r="NNZ105" s="14"/>
      <c r="NOA105" s="14"/>
      <c r="NOB105" s="36"/>
      <c r="NOC105" s="14"/>
      <c r="NOD105" s="14"/>
      <c r="NOE105" s="14"/>
      <c r="NOF105" s="14"/>
      <c r="NOG105" s="14"/>
      <c r="NOH105" s="14"/>
      <c r="NOI105" s="14"/>
      <c r="NOJ105" s="36"/>
      <c r="NOK105" s="14"/>
      <c r="NOL105" s="14"/>
      <c r="NOM105" s="14"/>
      <c r="NON105" s="14"/>
      <c r="NOO105" s="14"/>
      <c r="NOP105" s="14"/>
      <c r="NOQ105" s="14"/>
      <c r="NOR105" s="36"/>
      <c r="NOS105" s="14"/>
      <c r="NOT105" s="14"/>
      <c r="NOU105" s="14"/>
      <c r="NOV105" s="14"/>
      <c r="NOW105" s="14"/>
      <c r="NOX105" s="14"/>
      <c r="NOY105" s="14"/>
      <c r="NOZ105" s="36"/>
      <c r="NPA105" s="14"/>
      <c r="NPB105" s="14"/>
      <c r="NPC105" s="14"/>
      <c r="NPD105" s="14"/>
      <c r="NPE105" s="14"/>
      <c r="NPF105" s="14"/>
      <c r="NPG105" s="14"/>
      <c r="NPH105" s="36"/>
      <c r="NPI105" s="14"/>
      <c r="NPJ105" s="14"/>
      <c r="NPK105" s="14"/>
      <c r="NPL105" s="14"/>
      <c r="NPM105" s="14"/>
      <c r="NPN105" s="14"/>
      <c r="NPO105" s="14"/>
      <c r="NPP105" s="36"/>
      <c r="NPQ105" s="14"/>
      <c r="NPR105" s="14"/>
      <c r="NPS105" s="14"/>
      <c r="NPT105" s="14"/>
      <c r="NPU105" s="14"/>
      <c r="NPV105" s="14"/>
      <c r="NPW105" s="14"/>
      <c r="NPX105" s="36"/>
      <c r="NPY105" s="14"/>
      <c r="NPZ105" s="14"/>
      <c r="NQA105" s="14"/>
      <c r="NQB105" s="14"/>
      <c r="NQC105" s="14"/>
      <c r="NQD105" s="14"/>
      <c r="NQE105" s="14"/>
      <c r="NQF105" s="36"/>
      <c r="NQG105" s="14"/>
      <c r="NQH105" s="14"/>
      <c r="NQI105" s="14"/>
      <c r="NQJ105" s="14"/>
      <c r="NQK105" s="14"/>
      <c r="NQL105" s="14"/>
      <c r="NQM105" s="14"/>
      <c r="NQN105" s="36"/>
      <c r="NQO105" s="14"/>
      <c r="NQP105" s="14"/>
      <c r="NQQ105" s="14"/>
      <c r="NQR105" s="14"/>
      <c r="NQS105" s="14"/>
      <c r="NQT105" s="14"/>
      <c r="NQU105" s="14"/>
      <c r="NQV105" s="36"/>
      <c r="NQW105" s="14"/>
      <c r="NQX105" s="14"/>
      <c r="NQY105" s="14"/>
      <c r="NQZ105" s="14"/>
      <c r="NRA105" s="14"/>
      <c r="NRB105" s="14"/>
      <c r="NRC105" s="14"/>
      <c r="NRD105" s="36"/>
      <c r="NRE105" s="14"/>
      <c r="NRF105" s="14"/>
      <c r="NRG105" s="14"/>
      <c r="NRH105" s="14"/>
      <c r="NRI105" s="14"/>
      <c r="NRJ105" s="14"/>
      <c r="NRK105" s="14"/>
      <c r="NRL105" s="36"/>
      <c r="NRM105" s="14"/>
      <c r="NRN105" s="14"/>
      <c r="NRO105" s="14"/>
      <c r="NRP105" s="14"/>
      <c r="NRQ105" s="14"/>
      <c r="NRR105" s="14"/>
      <c r="NRS105" s="14"/>
      <c r="NRT105" s="36"/>
      <c r="NRU105" s="14"/>
      <c r="NRV105" s="14"/>
      <c r="NRW105" s="14"/>
      <c r="NRX105" s="14"/>
      <c r="NRY105" s="14"/>
      <c r="NRZ105" s="14"/>
      <c r="NSA105" s="14"/>
      <c r="NSB105" s="36"/>
      <c r="NSC105" s="14"/>
      <c r="NSD105" s="14"/>
      <c r="NSE105" s="14"/>
      <c r="NSF105" s="14"/>
      <c r="NSG105" s="14"/>
      <c r="NSH105" s="14"/>
      <c r="NSI105" s="14"/>
      <c r="NSJ105" s="36"/>
      <c r="NSK105" s="14"/>
      <c r="NSL105" s="14"/>
      <c r="NSM105" s="14"/>
      <c r="NSN105" s="14"/>
      <c r="NSO105" s="14"/>
      <c r="NSP105" s="14"/>
      <c r="NSQ105" s="14"/>
      <c r="NSR105" s="36"/>
      <c r="NSS105" s="14"/>
      <c r="NST105" s="14"/>
      <c r="NSU105" s="14"/>
      <c r="NSV105" s="14"/>
      <c r="NSW105" s="14"/>
      <c r="NSX105" s="14"/>
      <c r="NSY105" s="14"/>
      <c r="NSZ105" s="36"/>
      <c r="NTA105" s="14"/>
      <c r="NTB105" s="14"/>
      <c r="NTC105" s="14"/>
      <c r="NTD105" s="14"/>
      <c r="NTE105" s="14"/>
      <c r="NTF105" s="14"/>
      <c r="NTG105" s="14"/>
      <c r="NTH105" s="36"/>
      <c r="NTI105" s="14"/>
      <c r="NTJ105" s="14"/>
      <c r="NTK105" s="14"/>
      <c r="NTL105" s="14"/>
      <c r="NTM105" s="14"/>
      <c r="NTN105" s="14"/>
      <c r="NTO105" s="14"/>
      <c r="NTP105" s="36"/>
      <c r="NTQ105" s="14"/>
      <c r="NTR105" s="14"/>
      <c r="NTS105" s="14"/>
      <c r="NTT105" s="14"/>
      <c r="NTU105" s="14"/>
      <c r="NTV105" s="14"/>
      <c r="NTW105" s="14"/>
      <c r="NTX105" s="36"/>
      <c r="NTY105" s="14"/>
      <c r="NTZ105" s="14"/>
      <c r="NUA105" s="14"/>
      <c r="NUB105" s="14"/>
      <c r="NUC105" s="14"/>
      <c r="NUD105" s="14"/>
      <c r="NUE105" s="14"/>
      <c r="NUF105" s="36"/>
      <c r="NUG105" s="14"/>
      <c r="NUH105" s="14"/>
      <c r="NUI105" s="14"/>
      <c r="NUJ105" s="14"/>
      <c r="NUK105" s="14"/>
      <c r="NUL105" s="14"/>
      <c r="NUM105" s="14"/>
      <c r="NUN105" s="36"/>
      <c r="NUO105" s="14"/>
      <c r="NUP105" s="14"/>
      <c r="NUQ105" s="14"/>
      <c r="NUR105" s="14"/>
      <c r="NUS105" s="14"/>
      <c r="NUT105" s="14"/>
      <c r="NUU105" s="14"/>
      <c r="NUV105" s="36"/>
      <c r="NUW105" s="14"/>
      <c r="NUX105" s="14"/>
      <c r="NUY105" s="14"/>
      <c r="NUZ105" s="14"/>
      <c r="NVA105" s="14"/>
      <c r="NVB105" s="14"/>
      <c r="NVC105" s="14"/>
      <c r="NVD105" s="36"/>
      <c r="NVE105" s="14"/>
      <c r="NVF105" s="14"/>
      <c r="NVG105" s="14"/>
      <c r="NVH105" s="14"/>
      <c r="NVI105" s="14"/>
      <c r="NVJ105" s="14"/>
      <c r="NVK105" s="14"/>
      <c r="NVL105" s="36"/>
      <c r="NVM105" s="14"/>
      <c r="NVN105" s="14"/>
      <c r="NVO105" s="14"/>
      <c r="NVP105" s="14"/>
      <c r="NVQ105" s="14"/>
      <c r="NVR105" s="14"/>
      <c r="NVS105" s="14"/>
      <c r="NVT105" s="36"/>
      <c r="NVU105" s="14"/>
      <c r="NVV105" s="14"/>
      <c r="NVW105" s="14"/>
      <c r="NVX105" s="14"/>
      <c r="NVY105" s="14"/>
      <c r="NVZ105" s="14"/>
      <c r="NWA105" s="14"/>
      <c r="NWB105" s="36"/>
      <c r="NWC105" s="14"/>
      <c r="NWD105" s="14"/>
      <c r="NWE105" s="14"/>
      <c r="NWF105" s="14"/>
      <c r="NWG105" s="14"/>
      <c r="NWH105" s="14"/>
      <c r="NWI105" s="14"/>
      <c r="NWJ105" s="36"/>
      <c r="NWK105" s="14"/>
      <c r="NWL105" s="14"/>
      <c r="NWM105" s="14"/>
      <c r="NWN105" s="14"/>
      <c r="NWO105" s="14"/>
      <c r="NWP105" s="14"/>
      <c r="NWQ105" s="14"/>
      <c r="NWR105" s="36"/>
      <c r="NWS105" s="14"/>
      <c r="NWT105" s="14"/>
      <c r="NWU105" s="14"/>
      <c r="NWV105" s="14"/>
      <c r="NWW105" s="14"/>
      <c r="NWX105" s="14"/>
      <c r="NWY105" s="14"/>
      <c r="NWZ105" s="36"/>
      <c r="NXA105" s="14"/>
      <c r="NXB105" s="14"/>
      <c r="NXC105" s="14"/>
      <c r="NXD105" s="14"/>
      <c r="NXE105" s="14"/>
      <c r="NXF105" s="14"/>
      <c r="NXG105" s="14"/>
      <c r="NXH105" s="36"/>
      <c r="NXI105" s="14"/>
      <c r="NXJ105" s="14"/>
      <c r="NXK105" s="14"/>
      <c r="NXL105" s="14"/>
      <c r="NXM105" s="14"/>
      <c r="NXN105" s="14"/>
      <c r="NXO105" s="14"/>
      <c r="NXP105" s="36"/>
      <c r="NXQ105" s="14"/>
      <c r="NXR105" s="14"/>
      <c r="NXS105" s="14"/>
      <c r="NXT105" s="14"/>
      <c r="NXU105" s="14"/>
      <c r="NXV105" s="14"/>
      <c r="NXW105" s="14"/>
      <c r="NXX105" s="36"/>
      <c r="NXY105" s="14"/>
      <c r="NXZ105" s="14"/>
      <c r="NYA105" s="14"/>
      <c r="NYB105" s="14"/>
      <c r="NYC105" s="14"/>
      <c r="NYD105" s="14"/>
      <c r="NYE105" s="14"/>
      <c r="NYF105" s="36"/>
      <c r="NYG105" s="14"/>
      <c r="NYH105" s="14"/>
      <c r="NYI105" s="14"/>
      <c r="NYJ105" s="14"/>
      <c r="NYK105" s="14"/>
      <c r="NYL105" s="14"/>
      <c r="NYM105" s="14"/>
      <c r="NYN105" s="36"/>
      <c r="NYO105" s="14"/>
      <c r="NYP105" s="14"/>
      <c r="NYQ105" s="14"/>
      <c r="NYR105" s="14"/>
      <c r="NYS105" s="14"/>
      <c r="NYT105" s="14"/>
      <c r="NYU105" s="14"/>
      <c r="NYV105" s="36"/>
      <c r="NYW105" s="14"/>
      <c r="NYX105" s="14"/>
      <c r="NYY105" s="14"/>
      <c r="NYZ105" s="14"/>
      <c r="NZA105" s="14"/>
      <c r="NZB105" s="14"/>
      <c r="NZC105" s="14"/>
      <c r="NZD105" s="36"/>
      <c r="NZE105" s="14"/>
      <c r="NZF105" s="14"/>
      <c r="NZG105" s="14"/>
      <c r="NZH105" s="14"/>
      <c r="NZI105" s="14"/>
      <c r="NZJ105" s="14"/>
      <c r="NZK105" s="14"/>
      <c r="NZL105" s="36"/>
      <c r="NZM105" s="14"/>
      <c r="NZN105" s="14"/>
      <c r="NZO105" s="14"/>
      <c r="NZP105" s="14"/>
      <c r="NZQ105" s="14"/>
      <c r="NZR105" s="14"/>
      <c r="NZS105" s="14"/>
      <c r="NZT105" s="36"/>
      <c r="NZU105" s="14"/>
      <c r="NZV105" s="14"/>
      <c r="NZW105" s="14"/>
      <c r="NZX105" s="14"/>
      <c r="NZY105" s="14"/>
      <c r="NZZ105" s="14"/>
      <c r="OAA105" s="14"/>
      <c r="OAB105" s="36"/>
      <c r="OAC105" s="14"/>
      <c r="OAD105" s="14"/>
      <c r="OAE105" s="14"/>
      <c r="OAF105" s="14"/>
      <c r="OAG105" s="14"/>
      <c r="OAH105" s="14"/>
      <c r="OAI105" s="14"/>
      <c r="OAJ105" s="36"/>
      <c r="OAK105" s="14"/>
      <c r="OAL105" s="14"/>
      <c r="OAM105" s="14"/>
      <c r="OAN105" s="14"/>
      <c r="OAO105" s="14"/>
      <c r="OAP105" s="14"/>
      <c r="OAQ105" s="14"/>
      <c r="OAR105" s="36"/>
      <c r="OAS105" s="14"/>
      <c r="OAT105" s="14"/>
      <c r="OAU105" s="14"/>
      <c r="OAV105" s="14"/>
      <c r="OAW105" s="14"/>
      <c r="OAX105" s="14"/>
      <c r="OAY105" s="14"/>
      <c r="OAZ105" s="36"/>
      <c r="OBA105" s="14"/>
      <c r="OBB105" s="14"/>
      <c r="OBC105" s="14"/>
      <c r="OBD105" s="14"/>
      <c r="OBE105" s="14"/>
      <c r="OBF105" s="14"/>
      <c r="OBG105" s="14"/>
      <c r="OBH105" s="36"/>
      <c r="OBI105" s="14"/>
      <c r="OBJ105" s="14"/>
      <c r="OBK105" s="14"/>
      <c r="OBL105" s="14"/>
      <c r="OBM105" s="14"/>
      <c r="OBN105" s="14"/>
      <c r="OBO105" s="14"/>
      <c r="OBP105" s="36"/>
      <c r="OBQ105" s="14"/>
      <c r="OBR105" s="14"/>
      <c r="OBS105" s="14"/>
      <c r="OBT105" s="14"/>
      <c r="OBU105" s="14"/>
      <c r="OBV105" s="14"/>
      <c r="OBW105" s="14"/>
      <c r="OBX105" s="36"/>
      <c r="OBY105" s="14"/>
      <c r="OBZ105" s="14"/>
      <c r="OCA105" s="14"/>
      <c r="OCB105" s="14"/>
      <c r="OCC105" s="14"/>
      <c r="OCD105" s="14"/>
      <c r="OCE105" s="14"/>
      <c r="OCF105" s="36"/>
      <c r="OCG105" s="14"/>
      <c r="OCH105" s="14"/>
      <c r="OCI105" s="14"/>
      <c r="OCJ105" s="14"/>
      <c r="OCK105" s="14"/>
      <c r="OCL105" s="14"/>
      <c r="OCM105" s="14"/>
      <c r="OCN105" s="36"/>
      <c r="OCO105" s="14"/>
      <c r="OCP105" s="14"/>
      <c r="OCQ105" s="14"/>
      <c r="OCR105" s="14"/>
      <c r="OCS105" s="14"/>
      <c r="OCT105" s="14"/>
      <c r="OCU105" s="14"/>
      <c r="OCV105" s="36"/>
      <c r="OCW105" s="14"/>
      <c r="OCX105" s="14"/>
      <c r="OCY105" s="14"/>
      <c r="OCZ105" s="14"/>
      <c r="ODA105" s="14"/>
      <c r="ODB105" s="14"/>
      <c r="ODC105" s="14"/>
      <c r="ODD105" s="36"/>
      <c r="ODE105" s="14"/>
      <c r="ODF105" s="14"/>
      <c r="ODG105" s="14"/>
      <c r="ODH105" s="14"/>
      <c r="ODI105" s="14"/>
      <c r="ODJ105" s="14"/>
      <c r="ODK105" s="14"/>
      <c r="ODL105" s="36"/>
      <c r="ODM105" s="14"/>
      <c r="ODN105" s="14"/>
      <c r="ODO105" s="14"/>
      <c r="ODP105" s="14"/>
      <c r="ODQ105" s="14"/>
      <c r="ODR105" s="14"/>
      <c r="ODS105" s="14"/>
      <c r="ODT105" s="36"/>
      <c r="ODU105" s="14"/>
      <c r="ODV105" s="14"/>
      <c r="ODW105" s="14"/>
      <c r="ODX105" s="14"/>
      <c r="ODY105" s="14"/>
      <c r="ODZ105" s="14"/>
      <c r="OEA105" s="14"/>
      <c r="OEB105" s="36"/>
      <c r="OEC105" s="14"/>
      <c r="OED105" s="14"/>
      <c r="OEE105" s="14"/>
      <c r="OEF105" s="14"/>
      <c r="OEG105" s="14"/>
      <c r="OEH105" s="14"/>
      <c r="OEI105" s="14"/>
      <c r="OEJ105" s="36"/>
      <c r="OEK105" s="14"/>
      <c r="OEL105" s="14"/>
      <c r="OEM105" s="14"/>
      <c r="OEN105" s="14"/>
      <c r="OEO105" s="14"/>
      <c r="OEP105" s="14"/>
      <c r="OEQ105" s="14"/>
      <c r="OER105" s="36"/>
      <c r="OES105" s="14"/>
      <c r="OET105" s="14"/>
      <c r="OEU105" s="14"/>
      <c r="OEV105" s="14"/>
      <c r="OEW105" s="14"/>
      <c r="OEX105" s="14"/>
      <c r="OEY105" s="14"/>
      <c r="OEZ105" s="36"/>
      <c r="OFA105" s="14"/>
      <c r="OFB105" s="14"/>
      <c r="OFC105" s="14"/>
      <c r="OFD105" s="14"/>
      <c r="OFE105" s="14"/>
      <c r="OFF105" s="14"/>
      <c r="OFG105" s="14"/>
      <c r="OFH105" s="36"/>
      <c r="OFI105" s="14"/>
      <c r="OFJ105" s="14"/>
      <c r="OFK105" s="14"/>
      <c r="OFL105" s="14"/>
      <c r="OFM105" s="14"/>
      <c r="OFN105" s="14"/>
      <c r="OFO105" s="14"/>
      <c r="OFP105" s="36"/>
      <c r="OFQ105" s="14"/>
      <c r="OFR105" s="14"/>
      <c r="OFS105" s="14"/>
      <c r="OFT105" s="14"/>
      <c r="OFU105" s="14"/>
      <c r="OFV105" s="14"/>
      <c r="OFW105" s="14"/>
      <c r="OFX105" s="36"/>
      <c r="OFY105" s="14"/>
      <c r="OFZ105" s="14"/>
      <c r="OGA105" s="14"/>
      <c r="OGB105" s="14"/>
      <c r="OGC105" s="14"/>
      <c r="OGD105" s="14"/>
      <c r="OGE105" s="14"/>
      <c r="OGF105" s="36"/>
      <c r="OGG105" s="14"/>
      <c r="OGH105" s="14"/>
      <c r="OGI105" s="14"/>
      <c r="OGJ105" s="14"/>
      <c r="OGK105" s="14"/>
      <c r="OGL105" s="14"/>
      <c r="OGM105" s="14"/>
      <c r="OGN105" s="36"/>
      <c r="OGO105" s="14"/>
      <c r="OGP105" s="14"/>
      <c r="OGQ105" s="14"/>
      <c r="OGR105" s="14"/>
      <c r="OGS105" s="14"/>
      <c r="OGT105" s="14"/>
      <c r="OGU105" s="14"/>
      <c r="OGV105" s="36"/>
      <c r="OGW105" s="14"/>
      <c r="OGX105" s="14"/>
      <c r="OGY105" s="14"/>
      <c r="OGZ105" s="14"/>
      <c r="OHA105" s="14"/>
      <c r="OHB105" s="14"/>
      <c r="OHC105" s="14"/>
      <c r="OHD105" s="36"/>
      <c r="OHE105" s="14"/>
      <c r="OHF105" s="14"/>
      <c r="OHG105" s="14"/>
      <c r="OHH105" s="14"/>
      <c r="OHI105" s="14"/>
      <c r="OHJ105" s="14"/>
      <c r="OHK105" s="14"/>
      <c r="OHL105" s="36"/>
      <c r="OHM105" s="14"/>
      <c r="OHN105" s="14"/>
      <c r="OHO105" s="14"/>
      <c r="OHP105" s="14"/>
      <c r="OHQ105" s="14"/>
      <c r="OHR105" s="14"/>
      <c r="OHS105" s="14"/>
      <c r="OHT105" s="36"/>
      <c r="OHU105" s="14"/>
      <c r="OHV105" s="14"/>
      <c r="OHW105" s="14"/>
      <c r="OHX105" s="14"/>
      <c r="OHY105" s="14"/>
      <c r="OHZ105" s="14"/>
      <c r="OIA105" s="14"/>
      <c r="OIB105" s="36"/>
      <c r="OIC105" s="14"/>
      <c r="OID105" s="14"/>
      <c r="OIE105" s="14"/>
      <c r="OIF105" s="14"/>
      <c r="OIG105" s="14"/>
      <c r="OIH105" s="14"/>
      <c r="OII105" s="14"/>
      <c r="OIJ105" s="36"/>
      <c r="OIK105" s="14"/>
      <c r="OIL105" s="14"/>
      <c r="OIM105" s="14"/>
      <c r="OIN105" s="14"/>
      <c r="OIO105" s="14"/>
      <c r="OIP105" s="14"/>
      <c r="OIQ105" s="14"/>
      <c r="OIR105" s="36"/>
      <c r="OIS105" s="14"/>
      <c r="OIT105" s="14"/>
      <c r="OIU105" s="14"/>
      <c r="OIV105" s="14"/>
      <c r="OIW105" s="14"/>
      <c r="OIX105" s="14"/>
      <c r="OIY105" s="14"/>
      <c r="OIZ105" s="36"/>
      <c r="OJA105" s="14"/>
      <c r="OJB105" s="14"/>
      <c r="OJC105" s="14"/>
      <c r="OJD105" s="14"/>
      <c r="OJE105" s="14"/>
      <c r="OJF105" s="14"/>
      <c r="OJG105" s="14"/>
      <c r="OJH105" s="36"/>
      <c r="OJI105" s="14"/>
      <c r="OJJ105" s="14"/>
      <c r="OJK105" s="14"/>
      <c r="OJL105" s="14"/>
      <c r="OJM105" s="14"/>
      <c r="OJN105" s="14"/>
      <c r="OJO105" s="14"/>
      <c r="OJP105" s="36"/>
      <c r="OJQ105" s="14"/>
      <c r="OJR105" s="14"/>
      <c r="OJS105" s="14"/>
      <c r="OJT105" s="14"/>
      <c r="OJU105" s="14"/>
      <c r="OJV105" s="14"/>
      <c r="OJW105" s="14"/>
      <c r="OJX105" s="36"/>
      <c r="OJY105" s="14"/>
      <c r="OJZ105" s="14"/>
      <c r="OKA105" s="14"/>
      <c r="OKB105" s="14"/>
      <c r="OKC105" s="14"/>
      <c r="OKD105" s="14"/>
      <c r="OKE105" s="14"/>
      <c r="OKF105" s="36"/>
      <c r="OKG105" s="14"/>
      <c r="OKH105" s="14"/>
      <c r="OKI105" s="14"/>
      <c r="OKJ105" s="14"/>
      <c r="OKK105" s="14"/>
      <c r="OKL105" s="14"/>
      <c r="OKM105" s="14"/>
      <c r="OKN105" s="36"/>
      <c r="OKO105" s="14"/>
      <c r="OKP105" s="14"/>
      <c r="OKQ105" s="14"/>
      <c r="OKR105" s="14"/>
      <c r="OKS105" s="14"/>
      <c r="OKT105" s="14"/>
      <c r="OKU105" s="14"/>
      <c r="OKV105" s="36"/>
      <c r="OKW105" s="14"/>
      <c r="OKX105" s="14"/>
      <c r="OKY105" s="14"/>
      <c r="OKZ105" s="14"/>
      <c r="OLA105" s="14"/>
      <c r="OLB105" s="14"/>
      <c r="OLC105" s="14"/>
      <c r="OLD105" s="36"/>
      <c r="OLE105" s="14"/>
      <c r="OLF105" s="14"/>
      <c r="OLG105" s="14"/>
      <c r="OLH105" s="14"/>
      <c r="OLI105" s="14"/>
      <c r="OLJ105" s="14"/>
      <c r="OLK105" s="14"/>
      <c r="OLL105" s="36"/>
      <c r="OLM105" s="14"/>
      <c r="OLN105" s="14"/>
      <c r="OLO105" s="14"/>
      <c r="OLP105" s="14"/>
      <c r="OLQ105" s="14"/>
      <c r="OLR105" s="14"/>
      <c r="OLS105" s="14"/>
      <c r="OLT105" s="36"/>
      <c r="OLU105" s="14"/>
      <c r="OLV105" s="14"/>
      <c r="OLW105" s="14"/>
      <c r="OLX105" s="14"/>
      <c r="OLY105" s="14"/>
      <c r="OLZ105" s="14"/>
      <c r="OMA105" s="14"/>
      <c r="OMB105" s="36"/>
      <c r="OMC105" s="14"/>
      <c r="OMD105" s="14"/>
      <c r="OME105" s="14"/>
      <c r="OMF105" s="14"/>
      <c r="OMG105" s="14"/>
      <c r="OMH105" s="14"/>
      <c r="OMI105" s="14"/>
      <c r="OMJ105" s="36"/>
      <c r="OMK105" s="14"/>
      <c r="OML105" s="14"/>
      <c r="OMM105" s="14"/>
      <c r="OMN105" s="14"/>
      <c r="OMO105" s="14"/>
      <c r="OMP105" s="14"/>
      <c r="OMQ105" s="14"/>
      <c r="OMR105" s="36"/>
      <c r="OMS105" s="14"/>
      <c r="OMT105" s="14"/>
      <c r="OMU105" s="14"/>
      <c r="OMV105" s="14"/>
      <c r="OMW105" s="14"/>
      <c r="OMX105" s="14"/>
      <c r="OMY105" s="14"/>
      <c r="OMZ105" s="36"/>
      <c r="ONA105" s="14"/>
      <c r="ONB105" s="14"/>
      <c r="ONC105" s="14"/>
      <c r="OND105" s="14"/>
      <c r="ONE105" s="14"/>
      <c r="ONF105" s="14"/>
      <c r="ONG105" s="14"/>
      <c r="ONH105" s="36"/>
      <c r="ONI105" s="14"/>
      <c r="ONJ105" s="14"/>
      <c r="ONK105" s="14"/>
      <c r="ONL105" s="14"/>
      <c r="ONM105" s="14"/>
      <c r="ONN105" s="14"/>
      <c r="ONO105" s="14"/>
      <c r="ONP105" s="36"/>
      <c r="ONQ105" s="14"/>
      <c r="ONR105" s="14"/>
      <c r="ONS105" s="14"/>
      <c r="ONT105" s="14"/>
      <c r="ONU105" s="14"/>
      <c r="ONV105" s="14"/>
      <c r="ONW105" s="14"/>
      <c r="ONX105" s="36"/>
      <c r="ONY105" s="14"/>
      <c r="ONZ105" s="14"/>
      <c r="OOA105" s="14"/>
      <c r="OOB105" s="14"/>
      <c r="OOC105" s="14"/>
      <c r="OOD105" s="14"/>
      <c r="OOE105" s="14"/>
      <c r="OOF105" s="36"/>
      <c r="OOG105" s="14"/>
      <c r="OOH105" s="14"/>
      <c r="OOI105" s="14"/>
      <c r="OOJ105" s="14"/>
      <c r="OOK105" s="14"/>
      <c r="OOL105" s="14"/>
      <c r="OOM105" s="14"/>
      <c r="OON105" s="36"/>
      <c r="OOO105" s="14"/>
      <c r="OOP105" s="14"/>
      <c r="OOQ105" s="14"/>
      <c r="OOR105" s="14"/>
      <c r="OOS105" s="14"/>
      <c r="OOT105" s="14"/>
      <c r="OOU105" s="14"/>
      <c r="OOV105" s="36"/>
      <c r="OOW105" s="14"/>
      <c r="OOX105" s="14"/>
      <c r="OOY105" s="14"/>
      <c r="OOZ105" s="14"/>
      <c r="OPA105" s="14"/>
      <c r="OPB105" s="14"/>
      <c r="OPC105" s="14"/>
      <c r="OPD105" s="36"/>
      <c r="OPE105" s="14"/>
      <c r="OPF105" s="14"/>
      <c r="OPG105" s="14"/>
      <c r="OPH105" s="14"/>
      <c r="OPI105" s="14"/>
      <c r="OPJ105" s="14"/>
      <c r="OPK105" s="14"/>
      <c r="OPL105" s="36"/>
      <c r="OPM105" s="14"/>
      <c r="OPN105" s="14"/>
      <c r="OPO105" s="14"/>
      <c r="OPP105" s="14"/>
      <c r="OPQ105" s="14"/>
      <c r="OPR105" s="14"/>
      <c r="OPS105" s="14"/>
      <c r="OPT105" s="36"/>
      <c r="OPU105" s="14"/>
      <c r="OPV105" s="14"/>
      <c r="OPW105" s="14"/>
      <c r="OPX105" s="14"/>
      <c r="OPY105" s="14"/>
      <c r="OPZ105" s="14"/>
      <c r="OQA105" s="14"/>
      <c r="OQB105" s="36"/>
      <c r="OQC105" s="14"/>
      <c r="OQD105" s="14"/>
      <c r="OQE105" s="14"/>
      <c r="OQF105" s="14"/>
      <c r="OQG105" s="14"/>
      <c r="OQH105" s="14"/>
      <c r="OQI105" s="14"/>
      <c r="OQJ105" s="36"/>
      <c r="OQK105" s="14"/>
      <c r="OQL105" s="14"/>
      <c r="OQM105" s="14"/>
      <c r="OQN105" s="14"/>
      <c r="OQO105" s="14"/>
      <c r="OQP105" s="14"/>
      <c r="OQQ105" s="14"/>
      <c r="OQR105" s="36"/>
      <c r="OQS105" s="14"/>
      <c r="OQT105" s="14"/>
      <c r="OQU105" s="14"/>
      <c r="OQV105" s="14"/>
      <c r="OQW105" s="14"/>
      <c r="OQX105" s="14"/>
      <c r="OQY105" s="14"/>
      <c r="OQZ105" s="36"/>
      <c r="ORA105" s="14"/>
      <c r="ORB105" s="14"/>
      <c r="ORC105" s="14"/>
      <c r="ORD105" s="14"/>
      <c r="ORE105" s="14"/>
      <c r="ORF105" s="14"/>
      <c r="ORG105" s="14"/>
      <c r="ORH105" s="36"/>
      <c r="ORI105" s="14"/>
      <c r="ORJ105" s="14"/>
      <c r="ORK105" s="14"/>
      <c r="ORL105" s="14"/>
      <c r="ORM105" s="14"/>
      <c r="ORN105" s="14"/>
      <c r="ORO105" s="14"/>
      <c r="ORP105" s="36"/>
      <c r="ORQ105" s="14"/>
      <c r="ORR105" s="14"/>
      <c r="ORS105" s="14"/>
      <c r="ORT105" s="14"/>
      <c r="ORU105" s="14"/>
      <c r="ORV105" s="14"/>
      <c r="ORW105" s="14"/>
      <c r="ORX105" s="36"/>
      <c r="ORY105" s="14"/>
      <c r="ORZ105" s="14"/>
      <c r="OSA105" s="14"/>
      <c r="OSB105" s="14"/>
      <c r="OSC105" s="14"/>
      <c r="OSD105" s="14"/>
      <c r="OSE105" s="14"/>
      <c r="OSF105" s="36"/>
      <c r="OSG105" s="14"/>
      <c r="OSH105" s="14"/>
      <c r="OSI105" s="14"/>
      <c r="OSJ105" s="14"/>
      <c r="OSK105" s="14"/>
      <c r="OSL105" s="14"/>
      <c r="OSM105" s="14"/>
      <c r="OSN105" s="36"/>
      <c r="OSO105" s="14"/>
      <c r="OSP105" s="14"/>
      <c r="OSQ105" s="14"/>
      <c r="OSR105" s="14"/>
      <c r="OSS105" s="14"/>
      <c r="OST105" s="14"/>
      <c r="OSU105" s="14"/>
      <c r="OSV105" s="36"/>
      <c r="OSW105" s="14"/>
      <c r="OSX105" s="14"/>
      <c r="OSY105" s="14"/>
      <c r="OSZ105" s="14"/>
      <c r="OTA105" s="14"/>
      <c r="OTB105" s="14"/>
      <c r="OTC105" s="14"/>
      <c r="OTD105" s="36"/>
      <c r="OTE105" s="14"/>
      <c r="OTF105" s="14"/>
      <c r="OTG105" s="14"/>
      <c r="OTH105" s="14"/>
      <c r="OTI105" s="14"/>
      <c r="OTJ105" s="14"/>
      <c r="OTK105" s="14"/>
      <c r="OTL105" s="36"/>
      <c r="OTM105" s="14"/>
      <c r="OTN105" s="14"/>
      <c r="OTO105" s="14"/>
      <c r="OTP105" s="14"/>
      <c r="OTQ105" s="14"/>
      <c r="OTR105" s="14"/>
      <c r="OTS105" s="14"/>
      <c r="OTT105" s="36"/>
      <c r="OTU105" s="14"/>
      <c r="OTV105" s="14"/>
      <c r="OTW105" s="14"/>
      <c r="OTX105" s="14"/>
      <c r="OTY105" s="14"/>
      <c r="OTZ105" s="14"/>
      <c r="OUA105" s="14"/>
      <c r="OUB105" s="36"/>
      <c r="OUC105" s="14"/>
      <c r="OUD105" s="14"/>
      <c r="OUE105" s="14"/>
      <c r="OUF105" s="14"/>
      <c r="OUG105" s="14"/>
      <c r="OUH105" s="14"/>
      <c r="OUI105" s="14"/>
      <c r="OUJ105" s="36"/>
      <c r="OUK105" s="14"/>
      <c r="OUL105" s="14"/>
      <c r="OUM105" s="14"/>
      <c r="OUN105" s="14"/>
      <c r="OUO105" s="14"/>
      <c r="OUP105" s="14"/>
      <c r="OUQ105" s="14"/>
      <c r="OUR105" s="36"/>
      <c r="OUS105" s="14"/>
      <c r="OUT105" s="14"/>
      <c r="OUU105" s="14"/>
      <c r="OUV105" s="14"/>
      <c r="OUW105" s="14"/>
      <c r="OUX105" s="14"/>
      <c r="OUY105" s="14"/>
      <c r="OUZ105" s="36"/>
      <c r="OVA105" s="14"/>
      <c r="OVB105" s="14"/>
      <c r="OVC105" s="14"/>
      <c r="OVD105" s="14"/>
      <c r="OVE105" s="14"/>
      <c r="OVF105" s="14"/>
      <c r="OVG105" s="14"/>
      <c r="OVH105" s="36"/>
      <c r="OVI105" s="14"/>
      <c r="OVJ105" s="14"/>
      <c r="OVK105" s="14"/>
      <c r="OVL105" s="14"/>
      <c r="OVM105" s="14"/>
      <c r="OVN105" s="14"/>
      <c r="OVO105" s="14"/>
      <c r="OVP105" s="36"/>
      <c r="OVQ105" s="14"/>
      <c r="OVR105" s="14"/>
      <c r="OVS105" s="14"/>
      <c r="OVT105" s="14"/>
      <c r="OVU105" s="14"/>
      <c r="OVV105" s="14"/>
      <c r="OVW105" s="14"/>
      <c r="OVX105" s="36"/>
      <c r="OVY105" s="14"/>
      <c r="OVZ105" s="14"/>
      <c r="OWA105" s="14"/>
      <c r="OWB105" s="14"/>
      <c r="OWC105" s="14"/>
      <c r="OWD105" s="14"/>
      <c r="OWE105" s="14"/>
      <c r="OWF105" s="36"/>
      <c r="OWG105" s="14"/>
      <c r="OWH105" s="14"/>
      <c r="OWI105" s="14"/>
      <c r="OWJ105" s="14"/>
      <c r="OWK105" s="14"/>
      <c r="OWL105" s="14"/>
      <c r="OWM105" s="14"/>
      <c r="OWN105" s="36"/>
      <c r="OWO105" s="14"/>
      <c r="OWP105" s="14"/>
      <c r="OWQ105" s="14"/>
      <c r="OWR105" s="14"/>
      <c r="OWS105" s="14"/>
      <c r="OWT105" s="14"/>
      <c r="OWU105" s="14"/>
      <c r="OWV105" s="36"/>
      <c r="OWW105" s="14"/>
      <c r="OWX105" s="14"/>
      <c r="OWY105" s="14"/>
      <c r="OWZ105" s="14"/>
      <c r="OXA105" s="14"/>
      <c r="OXB105" s="14"/>
      <c r="OXC105" s="14"/>
      <c r="OXD105" s="36"/>
      <c r="OXE105" s="14"/>
      <c r="OXF105" s="14"/>
      <c r="OXG105" s="14"/>
      <c r="OXH105" s="14"/>
      <c r="OXI105" s="14"/>
      <c r="OXJ105" s="14"/>
      <c r="OXK105" s="14"/>
      <c r="OXL105" s="36"/>
      <c r="OXM105" s="14"/>
      <c r="OXN105" s="14"/>
      <c r="OXO105" s="14"/>
      <c r="OXP105" s="14"/>
      <c r="OXQ105" s="14"/>
      <c r="OXR105" s="14"/>
      <c r="OXS105" s="14"/>
      <c r="OXT105" s="36"/>
      <c r="OXU105" s="14"/>
      <c r="OXV105" s="14"/>
      <c r="OXW105" s="14"/>
      <c r="OXX105" s="14"/>
      <c r="OXY105" s="14"/>
      <c r="OXZ105" s="14"/>
      <c r="OYA105" s="14"/>
      <c r="OYB105" s="36"/>
      <c r="OYC105" s="14"/>
      <c r="OYD105" s="14"/>
      <c r="OYE105" s="14"/>
      <c r="OYF105" s="14"/>
      <c r="OYG105" s="14"/>
      <c r="OYH105" s="14"/>
      <c r="OYI105" s="14"/>
      <c r="OYJ105" s="36"/>
      <c r="OYK105" s="14"/>
      <c r="OYL105" s="14"/>
      <c r="OYM105" s="14"/>
      <c r="OYN105" s="14"/>
      <c r="OYO105" s="14"/>
      <c r="OYP105" s="14"/>
      <c r="OYQ105" s="14"/>
      <c r="OYR105" s="36"/>
      <c r="OYS105" s="14"/>
      <c r="OYT105" s="14"/>
      <c r="OYU105" s="14"/>
      <c r="OYV105" s="14"/>
      <c r="OYW105" s="14"/>
      <c r="OYX105" s="14"/>
      <c r="OYY105" s="14"/>
      <c r="OYZ105" s="36"/>
      <c r="OZA105" s="14"/>
      <c r="OZB105" s="14"/>
      <c r="OZC105" s="14"/>
      <c r="OZD105" s="14"/>
      <c r="OZE105" s="14"/>
      <c r="OZF105" s="14"/>
      <c r="OZG105" s="14"/>
      <c r="OZH105" s="36"/>
      <c r="OZI105" s="14"/>
      <c r="OZJ105" s="14"/>
      <c r="OZK105" s="14"/>
      <c r="OZL105" s="14"/>
      <c r="OZM105" s="14"/>
      <c r="OZN105" s="14"/>
      <c r="OZO105" s="14"/>
      <c r="OZP105" s="36"/>
      <c r="OZQ105" s="14"/>
      <c r="OZR105" s="14"/>
      <c r="OZS105" s="14"/>
      <c r="OZT105" s="14"/>
      <c r="OZU105" s="14"/>
      <c r="OZV105" s="14"/>
      <c r="OZW105" s="14"/>
      <c r="OZX105" s="36"/>
      <c r="OZY105" s="14"/>
      <c r="OZZ105" s="14"/>
      <c r="PAA105" s="14"/>
      <c r="PAB105" s="14"/>
      <c r="PAC105" s="14"/>
      <c r="PAD105" s="14"/>
      <c r="PAE105" s="14"/>
      <c r="PAF105" s="36"/>
      <c r="PAG105" s="14"/>
      <c r="PAH105" s="14"/>
      <c r="PAI105" s="14"/>
      <c r="PAJ105" s="14"/>
      <c r="PAK105" s="14"/>
      <c r="PAL105" s="14"/>
      <c r="PAM105" s="14"/>
      <c r="PAN105" s="36"/>
      <c r="PAO105" s="14"/>
      <c r="PAP105" s="14"/>
      <c r="PAQ105" s="14"/>
      <c r="PAR105" s="14"/>
      <c r="PAS105" s="14"/>
      <c r="PAT105" s="14"/>
      <c r="PAU105" s="14"/>
      <c r="PAV105" s="36"/>
      <c r="PAW105" s="14"/>
      <c r="PAX105" s="14"/>
      <c r="PAY105" s="14"/>
      <c r="PAZ105" s="14"/>
      <c r="PBA105" s="14"/>
      <c r="PBB105" s="14"/>
      <c r="PBC105" s="14"/>
      <c r="PBD105" s="36"/>
      <c r="PBE105" s="14"/>
      <c r="PBF105" s="14"/>
      <c r="PBG105" s="14"/>
      <c r="PBH105" s="14"/>
      <c r="PBI105" s="14"/>
      <c r="PBJ105" s="14"/>
      <c r="PBK105" s="14"/>
      <c r="PBL105" s="36"/>
      <c r="PBM105" s="14"/>
      <c r="PBN105" s="14"/>
      <c r="PBO105" s="14"/>
      <c r="PBP105" s="14"/>
      <c r="PBQ105" s="14"/>
      <c r="PBR105" s="14"/>
      <c r="PBS105" s="14"/>
      <c r="PBT105" s="36"/>
      <c r="PBU105" s="14"/>
      <c r="PBV105" s="14"/>
      <c r="PBW105" s="14"/>
      <c r="PBX105" s="14"/>
      <c r="PBY105" s="14"/>
      <c r="PBZ105" s="14"/>
      <c r="PCA105" s="14"/>
      <c r="PCB105" s="36"/>
      <c r="PCC105" s="14"/>
      <c r="PCD105" s="14"/>
      <c r="PCE105" s="14"/>
      <c r="PCF105" s="14"/>
      <c r="PCG105" s="14"/>
      <c r="PCH105" s="14"/>
      <c r="PCI105" s="14"/>
      <c r="PCJ105" s="36"/>
      <c r="PCK105" s="14"/>
      <c r="PCL105" s="14"/>
      <c r="PCM105" s="14"/>
      <c r="PCN105" s="14"/>
      <c r="PCO105" s="14"/>
      <c r="PCP105" s="14"/>
      <c r="PCQ105" s="14"/>
      <c r="PCR105" s="36"/>
      <c r="PCS105" s="14"/>
      <c r="PCT105" s="14"/>
      <c r="PCU105" s="14"/>
      <c r="PCV105" s="14"/>
      <c r="PCW105" s="14"/>
      <c r="PCX105" s="14"/>
      <c r="PCY105" s="14"/>
      <c r="PCZ105" s="36"/>
      <c r="PDA105" s="14"/>
      <c r="PDB105" s="14"/>
      <c r="PDC105" s="14"/>
      <c r="PDD105" s="14"/>
      <c r="PDE105" s="14"/>
      <c r="PDF105" s="14"/>
      <c r="PDG105" s="14"/>
      <c r="PDH105" s="36"/>
      <c r="PDI105" s="14"/>
      <c r="PDJ105" s="14"/>
      <c r="PDK105" s="14"/>
      <c r="PDL105" s="14"/>
      <c r="PDM105" s="14"/>
      <c r="PDN105" s="14"/>
      <c r="PDO105" s="14"/>
      <c r="PDP105" s="36"/>
      <c r="PDQ105" s="14"/>
      <c r="PDR105" s="14"/>
      <c r="PDS105" s="14"/>
      <c r="PDT105" s="14"/>
      <c r="PDU105" s="14"/>
      <c r="PDV105" s="14"/>
      <c r="PDW105" s="14"/>
      <c r="PDX105" s="36"/>
      <c r="PDY105" s="14"/>
      <c r="PDZ105" s="14"/>
      <c r="PEA105" s="14"/>
      <c r="PEB105" s="14"/>
      <c r="PEC105" s="14"/>
      <c r="PED105" s="14"/>
      <c r="PEE105" s="14"/>
      <c r="PEF105" s="36"/>
      <c r="PEG105" s="14"/>
      <c r="PEH105" s="14"/>
      <c r="PEI105" s="14"/>
      <c r="PEJ105" s="14"/>
      <c r="PEK105" s="14"/>
      <c r="PEL105" s="14"/>
      <c r="PEM105" s="14"/>
      <c r="PEN105" s="36"/>
      <c r="PEO105" s="14"/>
      <c r="PEP105" s="14"/>
      <c r="PEQ105" s="14"/>
      <c r="PER105" s="14"/>
      <c r="PES105" s="14"/>
      <c r="PET105" s="14"/>
      <c r="PEU105" s="14"/>
      <c r="PEV105" s="36"/>
      <c r="PEW105" s="14"/>
      <c r="PEX105" s="14"/>
      <c r="PEY105" s="14"/>
      <c r="PEZ105" s="14"/>
      <c r="PFA105" s="14"/>
      <c r="PFB105" s="14"/>
      <c r="PFC105" s="14"/>
      <c r="PFD105" s="36"/>
      <c r="PFE105" s="14"/>
      <c r="PFF105" s="14"/>
      <c r="PFG105" s="14"/>
      <c r="PFH105" s="14"/>
      <c r="PFI105" s="14"/>
      <c r="PFJ105" s="14"/>
      <c r="PFK105" s="14"/>
      <c r="PFL105" s="36"/>
      <c r="PFM105" s="14"/>
      <c r="PFN105" s="14"/>
      <c r="PFO105" s="14"/>
      <c r="PFP105" s="14"/>
      <c r="PFQ105" s="14"/>
      <c r="PFR105" s="14"/>
      <c r="PFS105" s="14"/>
      <c r="PFT105" s="36"/>
      <c r="PFU105" s="14"/>
      <c r="PFV105" s="14"/>
      <c r="PFW105" s="14"/>
      <c r="PFX105" s="14"/>
      <c r="PFY105" s="14"/>
      <c r="PFZ105" s="14"/>
      <c r="PGA105" s="14"/>
      <c r="PGB105" s="36"/>
      <c r="PGC105" s="14"/>
      <c r="PGD105" s="14"/>
      <c r="PGE105" s="14"/>
      <c r="PGF105" s="14"/>
      <c r="PGG105" s="14"/>
      <c r="PGH105" s="14"/>
      <c r="PGI105" s="14"/>
      <c r="PGJ105" s="36"/>
      <c r="PGK105" s="14"/>
      <c r="PGL105" s="14"/>
      <c r="PGM105" s="14"/>
      <c r="PGN105" s="14"/>
      <c r="PGO105" s="14"/>
      <c r="PGP105" s="14"/>
      <c r="PGQ105" s="14"/>
      <c r="PGR105" s="36"/>
      <c r="PGS105" s="14"/>
      <c r="PGT105" s="14"/>
      <c r="PGU105" s="14"/>
      <c r="PGV105" s="14"/>
      <c r="PGW105" s="14"/>
      <c r="PGX105" s="14"/>
      <c r="PGY105" s="14"/>
      <c r="PGZ105" s="36"/>
      <c r="PHA105" s="14"/>
      <c r="PHB105" s="14"/>
      <c r="PHC105" s="14"/>
      <c r="PHD105" s="14"/>
      <c r="PHE105" s="14"/>
      <c r="PHF105" s="14"/>
      <c r="PHG105" s="14"/>
      <c r="PHH105" s="36"/>
      <c r="PHI105" s="14"/>
      <c r="PHJ105" s="14"/>
      <c r="PHK105" s="14"/>
      <c r="PHL105" s="14"/>
      <c r="PHM105" s="14"/>
      <c r="PHN105" s="14"/>
      <c r="PHO105" s="14"/>
      <c r="PHP105" s="36"/>
      <c r="PHQ105" s="14"/>
      <c r="PHR105" s="14"/>
      <c r="PHS105" s="14"/>
      <c r="PHT105" s="14"/>
      <c r="PHU105" s="14"/>
      <c r="PHV105" s="14"/>
      <c r="PHW105" s="14"/>
      <c r="PHX105" s="36"/>
      <c r="PHY105" s="14"/>
      <c r="PHZ105" s="14"/>
      <c r="PIA105" s="14"/>
      <c r="PIB105" s="14"/>
      <c r="PIC105" s="14"/>
      <c r="PID105" s="14"/>
      <c r="PIE105" s="14"/>
      <c r="PIF105" s="36"/>
      <c r="PIG105" s="14"/>
      <c r="PIH105" s="14"/>
      <c r="PII105" s="14"/>
      <c r="PIJ105" s="14"/>
      <c r="PIK105" s="14"/>
      <c r="PIL105" s="14"/>
      <c r="PIM105" s="14"/>
      <c r="PIN105" s="36"/>
      <c r="PIO105" s="14"/>
      <c r="PIP105" s="14"/>
      <c r="PIQ105" s="14"/>
      <c r="PIR105" s="14"/>
      <c r="PIS105" s="14"/>
      <c r="PIT105" s="14"/>
      <c r="PIU105" s="14"/>
      <c r="PIV105" s="36"/>
      <c r="PIW105" s="14"/>
      <c r="PIX105" s="14"/>
      <c r="PIY105" s="14"/>
      <c r="PIZ105" s="14"/>
      <c r="PJA105" s="14"/>
      <c r="PJB105" s="14"/>
      <c r="PJC105" s="14"/>
      <c r="PJD105" s="36"/>
      <c r="PJE105" s="14"/>
      <c r="PJF105" s="14"/>
      <c r="PJG105" s="14"/>
      <c r="PJH105" s="14"/>
      <c r="PJI105" s="14"/>
      <c r="PJJ105" s="14"/>
      <c r="PJK105" s="14"/>
      <c r="PJL105" s="36"/>
      <c r="PJM105" s="14"/>
      <c r="PJN105" s="14"/>
      <c r="PJO105" s="14"/>
      <c r="PJP105" s="14"/>
      <c r="PJQ105" s="14"/>
      <c r="PJR105" s="14"/>
      <c r="PJS105" s="14"/>
      <c r="PJT105" s="36"/>
      <c r="PJU105" s="14"/>
      <c r="PJV105" s="14"/>
      <c r="PJW105" s="14"/>
      <c r="PJX105" s="14"/>
      <c r="PJY105" s="14"/>
      <c r="PJZ105" s="14"/>
      <c r="PKA105" s="14"/>
      <c r="PKB105" s="36"/>
      <c r="PKC105" s="14"/>
      <c r="PKD105" s="14"/>
      <c r="PKE105" s="14"/>
      <c r="PKF105" s="14"/>
      <c r="PKG105" s="14"/>
      <c r="PKH105" s="14"/>
      <c r="PKI105" s="14"/>
      <c r="PKJ105" s="36"/>
      <c r="PKK105" s="14"/>
      <c r="PKL105" s="14"/>
      <c r="PKM105" s="14"/>
      <c r="PKN105" s="14"/>
      <c r="PKO105" s="14"/>
      <c r="PKP105" s="14"/>
      <c r="PKQ105" s="14"/>
      <c r="PKR105" s="36"/>
      <c r="PKS105" s="14"/>
      <c r="PKT105" s="14"/>
      <c r="PKU105" s="14"/>
      <c r="PKV105" s="14"/>
      <c r="PKW105" s="14"/>
      <c r="PKX105" s="14"/>
      <c r="PKY105" s="14"/>
      <c r="PKZ105" s="36"/>
      <c r="PLA105" s="14"/>
      <c r="PLB105" s="14"/>
      <c r="PLC105" s="14"/>
      <c r="PLD105" s="14"/>
      <c r="PLE105" s="14"/>
      <c r="PLF105" s="14"/>
      <c r="PLG105" s="14"/>
      <c r="PLH105" s="36"/>
      <c r="PLI105" s="14"/>
      <c r="PLJ105" s="14"/>
      <c r="PLK105" s="14"/>
      <c r="PLL105" s="14"/>
      <c r="PLM105" s="14"/>
      <c r="PLN105" s="14"/>
      <c r="PLO105" s="14"/>
      <c r="PLP105" s="36"/>
      <c r="PLQ105" s="14"/>
      <c r="PLR105" s="14"/>
      <c r="PLS105" s="14"/>
      <c r="PLT105" s="14"/>
      <c r="PLU105" s="14"/>
      <c r="PLV105" s="14"/>
      <c r="PLW105" s="14"/>
      <c r="PLX105" s="36"/>
      <c r="PLY105" s="14"/>
      <c r="PLZ105" s="14"/>
      <c r="PMA105" s="14"/>
      <c r="PMB105" s="14"/>
      <c r="PMC105" s="14"/>
      <c r="PMD105" s="14"/>
      <c r="PME105" s="14"/>
      <c r="PMF105" s="36"/>
      <c r="PMG105" s="14"/>
      <c r="PMH105" s="14"/>
      <c r="PMI105" s="14"/>
      <c r="PMJ105" s="14"/>
      <c r="PMK105" s="14"/>
      <c r="PML105" s="14"/>
      <c r="PMM105" s="14"/>
      <c r="PMN105" s="36"/>
      <c r="PMO105" s="14"/>
      <c r="PMP105" s="14"/>
      <c r="PMQ105" s="14"/>
      <c r="PMR105" s="14"/>
      <c r="PMS105" s="14"/>
      <c r="PMT105" s="14"/>
      <c r="PMU105" s="14"/>
      <c r="PMV105" s="36"/>
      <c r="PMW105" s="14"/>
      <c r="PMX105" s="14"/>
      <c r="PMY105" s="14"/>
      <c r="PMZ105" s="14"/>
      <c r="PNA105" s="14"/>
      <c r="PNB105" s="14"/>
      <c r="PNC105" s="14"/>
      <c r="PND105" s="36"/>
      <c r="PNE105" s="14"/>
      <c r="PNF105" s="14"/>
      <c r="PNG105" s="14"/>
      <c r="PNH105" s="14"/>
      <c r="PNI105" s="14"/>
      <c r="PNJ105" s="14"/>
      <c r="PNK105" s="14"/>
      <c r="PNL105" s="36"/>
      <c r="PNM105" s="14"/>
      <c r="PNN105" s="14"/>
      <c r="PNO105" s="14"/>
      <c r="PNP105" s="14"/>
      <c r="PNQ105" s="14"/>
      <c r="PNR105" s="14"/>
      <c r="PNS105" s="14"/>
      <c r="PNT105" s="36"/>
      <c r="PNU105" s="14"/>
      <c r="PNV105" s="14"/>
      <c r="PNW105" s="14"/>
      <c r="PNX105" s="14"/>
      <c r="PNY105" s="14"/>
      <c r="PNZ105" s="14"/>
      <c r="POA105" s="14"/>
      <c r="POB105" s="36"/>
      <c r="POC105" s="14"/>
      <c r="POD105" s="14"/>
      <c r="POE105" s="14"/>
      <c r="POF105" s="14"/>
      <c r="POG105" s="14"/>
      <c r="POH105" s="14"/>
      <c r="POI105" s="14"/>
      <c r="POJ105" s="36"/>
      <c r="POK105" s="14"/>
      <c r="POL105" s="14"/>
      <c r="POM105" s="14"/>
      <c r="PON105" s="14"/>
      <c r="POO105" s="14"/>
      <c r="POP105" s="14"/>
      <c r="POQ105" s="14"/>
      <c r="POR105" s="36"/>
      <c r="POS105" s="14"/>
      <c r="POT105" s="14"/>
      <c r="POU105" s="14"/>
      <c r="POV105" s="14"/>
      <c r="POW105" s="14"/>
      <c r="POX105" s="14"/>
      <c r="POY105" s="14"/>
      <c r="POZ105" s="36"/>
      <c r="PPA105" s="14"/>
      <c r="PPB105" s="14"/>
      <c r="PPC105" s="14"/>
      <c r="PPD105" s="14"/>
      <c r="PPE105" s="14"/>
      <c r="PPF105" s="14"/>
      <c r="PPG105" s="14"/>
      <c r="PPH105" s="36"/>
      <c r="PPI105" s="14"/>
      <c r="PPJ105" s="14"/>
      <c r="PPK105" s="14"/>
      <c r="PPL105" s="14"/>
      <c r="PPM105" s="14"/>
      <c r="PPN105" s="14"/>
      <c r="PPO105" s="14"/>
      <c r="PPP105" s="36"/>
      <c r="PPQ105" s="14"/>
      <c r="PPR105" s="14"/>
      <c r="PPS105" s="14"/>
      <c r="PPT105" s="14"/>
      <c r="PPU105" s="14"/>
      <c r="PPV105" s="14"/>
      <c r="PPW105" s="14"/>
      <c r="PPX105" s="36"/>
      <c r="PPY105" s="14"/>
      <c r="PPZ105" s="14"/>
      <c r="PQA105" s="14"/>
      <c r="PQB105" s="14"/>
      <c r="PQC105" s="14"/>
      <c r="PQD105" s="14"/>
      <c r="PQE105" s="14"/>
      <c r="PQF105" s="36"/>
      <c r="PQG105" s="14"/>
      <c r="PQH105" s="14"/>
      <c r="PQI105" s="14"/>
      <c r="PQJ105" s="14"/>
      <c r="PQK105" s="14"/>
      <c r="PQL105" s="14"/>
      <c r="PQM105" s="14"/>
      <c r="PQN105" s="36"/>
      <c r="PQO105" s="14"/>
      <c r="PQP105" s="14"/>
      <c r="PQQ105" s="14"/>
      <c r="PQR105" s="14"/>
      <c r="PQS105" s="14"/>
      <c r="PQT105" s="14"/>
      <c r="PQU105" s="14"/>
      <c r="PQV105" s="36"/>
      <c r="PQW105" s="14"/>
      <c r="PQX105" s="14"/>
      <c r="PQY105" s="14"/>
      <c r="PQZ105" s="14"/>
      <c r="PRA105" s="14"/>
      <c r="PRB105" s="14"/>
      <c r="PRC105" s="14"/>
      <c r="PRD105" s="36"/>
      <c r="PRE105" s="14"/>
      <c r="PRF105" s="14"/>
      <c r="PRG105" s="14"/>
      <c r="PRH105" s="14"/>
      <c r="PRI105" s="14"/>
      <c r="PRJ105" s="14"/>
      <c r="PRK105" s="14"/>
      <c r="PRL105" s="36"/>
      <c r="PRM105" s="14"/>
      <c r="PRN105" s="14"/>
      <c r="PRO105" s="14"/>
      <c r="PRP105" s="14"/>
      <c r="PRQ105" s="14"/>
      <c r="PRR105" s="14"/>
      <c r="PRS105" s="14"/>
      <c r="PRT105" s="36"/>
      <c r="PRU105" s="14"/>
      <c r="PRV105" s="14"/>
      <c r="PRW105" s="14"/>
      <c r="PRX105" s="14"/>
      <c r="PRY105" s="14"/>
      <c r="PRZ105" s="14"/>
      <c r="PSA105" s="14"/>
      <c r="PSB105" s="36"/>
      <c r="PSC105" s="14"/>
      <c r="PSD105" s="14"/>
      <c r="PSE105" s="14"/>
      <c r="PSF105" s="14"/>
      <c r="PSG105" s="14"/>
      <c r="PSH105" s="14"/>
      <c r="PSI105" s="14"/>
      <c r="PSJ105" s="36"/>
      <c r="PSK105" s="14"/>
      <c r="PSL105" s="14"/>
      <c r="PSM105" s="14"/>
      <c r="PSN105" s="14"/>
      <c r="PSO105" s="14"/>
      <c r="PSP105" s="14"/>
      <c r="PSQ105" s="14"/>
      <c r="PSR105" s="36"/>
      <c r="PSS105" s="14"/>
      <c r="PST105" s="14"/>
      <c r="PSU105" s="14"/>
      <c r="PSV105" s="14"/>
      <c r="PSW105" s="14"/>
      <c r="PSX105" s="14"/>
      <c r="PSY105" s="14"/>
      <c r="PSZ105" s="36"/>
      <c r="PTA105" s="14"/>
      <c r="PTB105" s="14"/>
      <c r="PTC105" s="14"/>
      <c r="PTD105" s="14"/>
      <c r="PTE105" s="14"/>
      <c r="PTF105" s="14"/>
      <c r="PTG105" s="14"/>
      <c r="PTH105" s="36"/>
      <c r="PTI105" s="14"/>
      <c r="PTJ105" s="14"/>
      <c r="PTK105" s="14"/>
      <c r="PTL105" s="14"/>
      <c r="PTM105" s="14"/>
      <c r="PTN105" s="14"/>
      <c r="PTO105" s="14"/>
      <c r="PTP105" s="36"/>
      <c r="PTQ105" s="14"/>
      <c r="PTR105" s="14"/>
      <c r="PTS105" s="14"/>
      <c r="PTT105" s="14"/>
      <c r="PTU105" s="14"/>
      <c r="PTV105" s="14"/>
      <c r="PTW105" s="14"/>
      <c r="PTX105" s="36"/>
      <c r="PTY105" s="14"/>
      <c r="PTZ105" s="14"/>
      <c r="PUA105" s="14"/>
      <c r="PUB105" s="14"/>
      <c r="PUC105" s="14"/>
      <c r="PUD105" s="14"/>
      <c r="PUE105" s="14"/>
      <c r="PUF105" s="36"/>
      <c r="PUG105" s="14"/>
      <c r="PUH105" s="14"/>
      <c r="PUI105" s="14"/>
      <c r="PUJ105" s="14"/>
      <c r="PUK105" s="14"/>
      <c r="PUL105" s="14"/>
      <c r="PUM105" s="14"/>
      <c r="PUN105" s="36"/>
      <c r="PUO105" s="14"/>
      <c r="PUP105" s="14"/>
      <c r="PUQ105" s="14"/>
      <c r="PUR105" s="14"/>
      <c r="PUS105" s="14"/>
      <c r="PUT105" s="14"/>
      <c r="PUU105" s="14"/>
      <c r="PUV105" s="36"/>
      <c r="PUW105" s="14"/>
      <c r="PUX105" s="14"/>
      <c r="PUY105" s="14"/>
      <c r="PUZ105" s="14"/>
      <c r="PVA105" s="14"/>
      <c r="PVB105" s="14"/>
      <c r="PVC105" s="14"/>
      <c r="PVD105" s="36"/>
      <c r="PVE105" s="14"/>
      <c r="PVF105" s="14"/>
      <c r="PVG105" s="14"/>
      <c r="PVH105" s="14"/>
      <c r="PVI105" s="14"/>
      <c r="PVJ105" s="14"/>
      <c r="PVK105" s="14"/>
      <c r="PVL105" s="36"/>
      <c r="PVM105" s="14"/>
      <c r="PVN105" s="14"/>
      <c r="PVO105" s="14"/>
      <c r="PVP105" s="14"/>
      <c r="PVQ105" s="14"/>
      <c r="PVR105" s="14"/>
      <c r="PVS105" s="14"/>
      <c r="PVT105" s="36"/>
      <c r="PVU105" s="14"/>
      <c r="PVV105" s="14"/>
      <c r="PVW105" s="14"/>
      <c r="PVX105" s="14"/>
      <c r="PVY105" s="14"/>
      <c r="PVZ105" s="14"/>
      <c r="PWA105" s="14"/>
      <c r="PWB105" s="36"/>
      <c r="PWC105" s="14"/>
      <c r="PWD105" s="14"/>
      <c r="PWE105" s="14"/>
      <c r="PWF105" s="14"/>
      <c r="PWG105" s="14"/>
      <c r="PWH105" s="14"/>
      <c r="PWI105" s="14"/>
      <c r="PWJ105" s="36"/>
      <c r="PWK105" s="14"/>
      <c r="PWL105" s="14"/>
      <c r="PWM105" s="14"/>
      <c r="PWN105" s="14"/>
      <c r="PWO105" s="14"/>
      <c r="PWP105" s="14"/>
      <c r="PWQ105" s="14"/>
      <c r="PWR105" s="36"/>
      <c r="PWS105" s="14"/>
      <c r="PWT105" s="14"/>
      <c r="PWU105" s="14"/>
      <c r="PWV105" s="14"/>
      <c r="PWW105" s="14"/>
      <c r="PWX105" s="14"/>
      <c r="PWY105" s="14"/>
      <c r="PWZ105" s="36"/>
      <c r="PXA105" s="14"/>
      <c r="PXB105" s="14"/>
      <c r="PXC105" s="14"/>
      <c r="PXD105" s="14"/>
      <c r="PXE105" s="14"/>
      <c r="PXF105" s="14"/>
      <c r="PXG105" s="14"/>
      <c r="PXH105" s="36"/>
      <c r="PXI105" s="14"/>
      <c r="PXJ105" s="14"/>
      <c r="PXK105" s="14"/>
      <c r="PXL105" s="14"/>
      <c r="PXM105" s="14"/>
      <c r="PXN105" s="14"/>
      <c r="PXO105" s="14"/>
      <c r="PXP105" s="36"/>
      <c r="PXQ105" s="14"/>
      <c r="PXR105" s="14"/>
      <c r="PXS105" s="14"/>
      <c r="PXT105" s="14"/>
      <c r="PXU105" s="14"/>
      <c r="PXV105" s="14"/>
      <c r="PXW105" s="14"/>
      <c r="PXX105" s="36"/>
      <c r="PXY105" s="14"/>
      <c r="PXZ105" s="14"/>
      <c r="PYA105" s="14"/>
      <c r="PYB105" s="14"/>
      <c r="PYC105" s="14"/>
      <c r="PYD105" s="14"/>
      <c r="PYE105" s="14"/>
      <c r="PYF105" s="36"/>
      <c r="PYG105" s="14"/>
      <c r="PYH105" s="14"/>
      <c r="PYI105" s="14"/>
      <c r="PYJ105" s="14"/>
      <c r="PYK105" s="14"/>
      <c r="PYL105" s="14"/>
      <c r="PYM105" s="14"/>
      <c r="PYN105" s="36"/>
      <c r="PYO105" s="14"/>
      <c r="PYP105" s="14"/>
      <c r="PYQ105" s="14"/>
      <c r="PYR105" s="14"/>
      <c r="PYS105" s="14"/>
      <c r="PYT105" s="14"/>
      <c r="PYU105" s="14"/>
      <c r="PYV105" s="36"/>
      <c r="PYW105" s="14"/>
      <c r="PYX105" s="14"/>
      <c r="PYY105" s="14"/>
      <c r="PYZ105" s="14"/>
      <c r="PZA105" s="14"/>
      <c r="PZB105" s="14"/>
      <c r="PZC105" s="14"/>
      <c r="PZD105" s="36"/>
      <c r="PZE105" s="14"/>
      <c r="PZF105" s="14"/>
      <c r="PZG105" s="14"/>
      <c r="PZH105" s="14"/>
      <c r="PZI105" s="14"/>
      <c r="PZJ105" s="14"/>
      <c r="PZK105" s="14"/>
      <c r="PZL105" s="36"/>
      <c r="PZM105" s="14"/>
      <c r="PZN105" s="14"/>
      <c r="PZO105" s="14"/>
      <c r="PZP105" s="14"/>
      <c r="PZQ105" s="14"/>
      <c r="PZR105" s="14"/>
      <c r="PZS105" s="14"/>
      <c r="PZT105" s="36"/>
      <c r="PZU105" s="14"/>
      <c r="PZV105" s="14"/>
      <c r="PZW105" s="14"/>
      <c r="PZX105" s="14"/>
      <c r="PZY105" s="14"/>
      <c r="PZZ105" s="14"/>
      <c r="QAA105" s="14"/>
      <c r="QAB105" s="36"/>
      <c r="QAC105" s="14"/>
      <c r="QAD105" s="14"/>
      <c r="QAE105" s="14"/>
      <c r="QAF105" s="14"/>
      <c r="QAG105" s="14"/>
      <c r="QAH105" s="14"/>
      <c r="QAI105" s="14"/>
      <c r="QAJ105" s="36"/>
      <c r="QAK105" s="14"/>
      <c r="QAL105" s="14"/>
      <c r="QAM105" s="14"/>
      <c r="QAN105" s="14"/>
      <c r="QAO105" s="14"/>
      <c r="QAP105" s="14"/>
      <c r="QAQ105" s="14"/>
      <c r="QAR105" s="36"/>
      <c r="QAS105" s="14"/>
      <c r="QAT105" s="14"/>
      <c r="QAU105" s="14"/>
      <c r="QAV105" s="14"/>
      <c r="QAW105" s="14"/>
      <c r="QAX105" s="14"/>
      <c r="QAY105" s="14"/>
      <c r="QAZ105" s="36"/>
      <c r="QBA105" s="14"/>
      <c r="QBB105" s="14"/>
      <c r="QBC105" s="14"/>
      <c r="QBD105" s="14"/>
      <c r="QBE105" s="14"/>
      <c r="QBF105" s="14"/>
      <c r="QBG105" s="14"/>
      <c r="QBH105" s="36"/>
      <c r="QBI105" s="14"/>
      <c r="QBJ105" s="14"/>
      <c r="QBK105" s="14"/>
      <c r="QBL105" s="14"/>
      <c r="QBM105" s="14"/>
      <c r="QBN105" s="14"/>
      <c r="QBO105" s="14"/>
      <c r="QBP105" s="36"/>
      <c r="QBQ105" s="14"/>
      <c r="QBR105" s="14"/>
      <c r="QBS105" s="14"/>
      <c r="QBT105" s="14"/>
      <c r="QBU105" s="14"/>
      <c r="QBV105" s="14"/>
      <c r="QBW105" s="14"/>
      <c r="QBX105" s="36"/>
      <c r="QBY105" s="14"/>
      <c r="QBZ105" s="14"/>
      <c r="QCA105" s="14"/>
      <c r="QCB105" s="14"/>
      <c r="QCC105" s="14"/>
      <c r="QCD105" s="14"/>
      <c r="QCE105" s="14"/>
      <c r="QCF105" s="36"/>
      <c r="QCG105" s="14"/>
      <c r="QCH105" s="14"/>
      <c r="QCI105" s="14"/>
      <c r="QCJ105" s="14"/>
      <c r="QCK105" s="14"/>
      <c r="QCL105" s="14"/>
      <c r="QCM105" s="14"/>
      <c r="QCN105" s="36"/>
      <c r="QCO105" s="14"/>
      <c r="QCP105" s="14"/>
      <c r="QCQ105" s="14"/>
      <c r="QCR105" s="14"/>
      <c r="QCS105" s="14"/>
      <c r="QCT105" s="14"/>
      <c r="QCU105" s="14"/>
      <c r="QCV105" s="36"/>
      <c r="QCW105" s="14"/>
      <c r="QCX105" s="14"/>
      <c r="QCY105" s="14"/>
      <c r="QCZ105" s="14"/>
      <c r="QDA105" s="14"/>
      <c r="QDB105" s="14"/>
      <c r="QDC105" s="14"/>
      <c r="QDD105" s="36"/>
      <c r="QDE105" s="14"/>
      <c r="QDF105" s="14"/>
      <c r="QDG105" s="14"/>
      <c r="QDH105" s="14"/>
      <c r="QDI105" s="14"/>
      <c r="QDJ105" s="14"/>
      <c r="QDK105" s="14"/>
      <c r="QDL105" s="36"/>
      <c r="QDM105" s="14"/>
      <c r="QDN105" s="14"/>
      <c r="QDO105" s="14"/>
      <c r="QDP105" s="14"/>
      <c r="QDQ105" s="14"/>
      <c r="QDR105" s="14"/>
      <c r="QDS105" s="14"/>
      <c r="QDT105" s="36"/>
      <c r="QDU105" s="14"/>
      <c r="QDV105" s="14"/>
      <c r="QDW105" s="14"/>
      <c r="QDX105" s="14"/>
      <c r="QDY105" s="14"/>
      <c r="QDZ105" s="14"/>
      <c r="QEA105" s="14"/>
      <c r="QEB105" s="36"/>
      <c r="QEC105" s="14"/>
      <c r="QED105" s="14"/>
      <c r="QEE105" s="14"/>
      <c r="QEF105" s="14"/>
      <c r="QEG105" s="14"/>
      <c r="QEH105" s="14"/>
      <c r="QEI105" s="14"/>
      <c r="QEJ105" s="36"/>
      <c r="QEK105" s="14"/>
      <c r="QEL105" s="14"/>
      <c r="QEM105" s="14"/>
      <c r="QEN105" s="14"/>
      <c r="QEO105" s="14"/>
      <c r="QEP105" s="14"/>
      <c r="QEQ105" s="14"/>
      <c r="QER105" s="36"/>
      <c r="QES105" s="14"/>
      <c r="QET105" s="14"/>
      <c r="QEU105" s="14"/>
      <c r="QEV105" s="14"/>
      <c r="QEW105" s="14"/>
      <c r="QEX105" s="14"/>
      <c r="QEY105" s="14"/>
      <c r="QEZ105" s="36"/>
      <c r="QFA105" s="14"/>
      <c r="QFB105" s="14"/>
      <c r="QFC105" s="14"/>
      <c r="QFD105" s="14"/>
      <c r="QFE105" s="14"/>
      <c r="QFF105" s="14"/>
      <c r="QFG105" s="14"/>
      <c r="QFH105" s="36"/>
      <c r="QFI105" s="14"/>
      <c r="QFJ105" s="14"/>
      <c r="QFK105" s="14"/>
      <c r="QFL105" s="14"/>
      <c r="QFM105" s="14"/>
      <c r="QFN105" s="14"/>
      <c r="QFO105" s="14"/>
      <c r="QFP105" s="36"/>
      <c r="QFQ105" s="14"/>
      <c r="QFR105" s="14"/>
      <c r="QFS105" s="14"/>
      <c r="QFT105" s="14"/>
      <c r="QFU105" s="14"/>
      <c r="QFV105" s="14"/>
      <c r="QFW105" s="14"/>
      <c r="QFX105" s="36"/>
      <c r="QFY105" s="14"/>
      <c r="QFZ105" s="14"/>
      <c r="QGA105" s="14"/>
      <c r="QGB105" s="14"/>
      <c r="QGC105" s="14"/>
      <c r="QGD105" s="14"/>
      <c r="QGE105" s="14"/>
      <c r="QGF105" s="36"/>
      <c r="QGG105" s="14"/>
      <c r="QGH105" s="14"/>
      <c r="QGI105" s="14"/>
      <c r="QGJ105" s="14"/>
      <c r="QGK105" s="14"/>
      <c r="QGL105" s="14"/>
      <c r="QGM105" s="14"/>
      <c r="QGN105" s="36"/>
      <c r="QGO105" s="14"/>
      <c r="QGP105" s="14"/>
      <c r="QGQ105" s="14"/>
      <c r="QGR105" s="14"/>
      <c r="QGS105" s="14"/>
      <c r="QGT105" s="14"/>
      <c r="QGU105" s="14"/>
      <c r="QGV105" s="36"/>
      <c r="QGW105" s="14"/>
      <c r="QGX105" s="14"/>
      <c r="QGY105" s="14"/>
      <c r="QGZ105" s="14"/>
      <c r="QHA105" s="14"/>
      <c r="QHB105" s="14"/>
      <c r="QHC105" s="14"/>
      <c r="QHD105" s="36"/>
      <c r="QHE105" s="14"/>
      <c r="QHF105" s="14"/>
      <c r="QHG105" s="14"/>
      <c r="QHH105" s="14"/>
      <c r="QHI105" s="14"/>
      <c r="QHJ105" s="14"/>
      <c r="QHK105" s="14"/>
      <c r="QHL105" s="36"/>
      <c r="QHM105" s="14"/>
      <c r="QHN105" s="14"/>
      <c r="QHO105" s="14"/>
      <c r="QHP105" s="14"/>
      <c r="QHQ105" s="14"/>
      <c r="QHR105" s="14"/>
      <c r="QHS105" s="14"/>
      <c r="QHT105" s="36"/>
      <c r="QHU105" s="14"/>
      <c r="QHV105" s="14"/>
      <c r="QHW105" s="14"/>
      <c r="QHX105" s="14"/>
      <c r="QHY105" s="14"/>
      <c r="QHZ105" s="14"/>
      <c r="QIA105" s="14"/>
      <c r="QIB105" s="36"/>
      <c r="QIC105" s="14"/>
      <c r="QID105" s="14"/>
      <c r="QIE105" s="14"/>
      <c r="QIF105" s="14"/>
      <c r="QIG105" s="14"/>
      <c r="QIH105" s="14"/>
      <c r="QII105" s="14"/>
      <c r="QIJ105" s="36"/>
      <c r="QIK105" s="14"/>
      <c r="QIL105" s="14"/>
      <c r="QIM105" s="14"/>
      <c r="QIN105" s="14"/>
      <c r="QIO105" s="14"/>
      <c r="QIP105" s="14"/>
      <c r="QIQ105" s="14"/>
      <c r="QIR105" s="36"/>
      <c r="QIS105" s="14"/>
      <c r="QIT105" s="14"/>
      <c r="QIU105" s="14"/>
      <c r="QIV105" s="14"/>
      <c r="QIW105" s="14"/>
      <c r="QIX105" s="14"/>
      <c r="QIY105" s="14"/>
      <c r="QIZ105" s="36"/>
      <c r="QJA105" s="14"/>
      <c r="QJB105" s="14"/>
      <c r="QJC105" s="14"/>
      <c r="QJD105" s="14"/>
      <c r="QJE105" s="14"/>
      <c r="QJF105" s="14"/>
      <c r="QJG105" s="14"/>
      <c r="QJH105" s="36"/>
      <c r="QJI105" s="14"/>
      <c r="QJJ105" s="14"/>
      <c r="QJK105" s="14"/>
      <c r="QJL105" s="14"/>
      <c r="QJM105" s="14"/>
      <c r="QJN105" s="14"/>
      <c r="QJO105" s="14"/>
      <c r="QJP105" s="36"/>
      <c r="QJQ105" s="14"/>
      <c r="QJR105" s="14"/>
      <c r="QJS105" s="14"/>
      <c r="QJT105" s="14"/>
      <c r="QJU105" s="14"/>
      <c r="QJV105" s="14"/>
      <c r="QJW105" s="14"/>
      <c r="QJX105" s="36"/>
      <c r="QJY105" s="14"/>
      <c r="QJZ105" s="14"/>
      <c r="QKA105" s="14"/>
      <c r="QKB105" s="14"/>
      <c r="QKC105" s="14"/>
      <c r="QKD105" s="14"/>
      <c r="QKE105" s="14"/>
      <c r="QKF105" s="36"/>
      <c r="QKG105" s="14"/>
      <c r="QKH105" s="14"/>
      <c r="QKI105" s="14"/>
      <c r="QKJ105" s="14"/>
      <c r="QKK105" s="14"/>
      <c r="QKL105" s="14"/>
      <c r="QKM105" s="14"/>
      <c r="QKN105" s="36"/>
      <c r="QKO105" s="14"/>
      <c r="QKP105" s="14"/>
      <c r="QKQ105" s="14"/>
      <c r="QKR105" s="14"/>
      <c r="QKS105" s="14"/>
      <c r="QKT105" s="14"/>
      <c r="QKU105" s="14"/>
      <c r="QKV105" s="36"/>
      <c r="QKW105" s="14"/>
      <c r="QKX105" s="14"/>
      <c r="QKY105" s="14"/>
      <c r="QKZ105" s="14"/>
      <c r="QLA105" s="14"/>
      <c r="QLB105" s="14"/>
      <c r="QLC105" s="14"/>
      <c r="QLD105" s="36"/>
      <c r="QLE105" s="14"/>
      <c r="QLF105" s="14"/>
      <c r="QLG105" s="14"/>
      <c r="QLH105" s="14"/>
      <c r="QLI105" s="14"/>
      <c r="QLJ105" s="14"/>
      <c r="QLK105" s="14"/>
      <c r="QLL105" s="36"/>
      <c r="QLM105" s="14"/>
      <c r="QLN105" s="14"/>
      <c r="QLO105" s="14"/>
      <c r="QLP105" s="14"/>
      <c r="QLQ105" s="14"/>
      <c r="QLR105" s="14"/>
      <c r="QLS105" s="14"/>
      <c r="QLT105" s="36"/>
      <c r="QLU105" s="14"/>
      <c r="QLV105" s="14"/>
      <c r="QLW105" s="14"/>
      <c r="QLX105" s="14"/>
      <c r="QLY105" s="14"/>
      <c r="QLZ105" s="14"/>
      <c r="QMA105" s="14"/>
      <c r="QMB105" s="36"/>
      <c r="QMC105" s="14"/>
      <c r="QMD105" s="14"/>
      <c r="QME105" s="14"/>
      <c r="QMF105" s="14"/>
      <c r="QMG105" s="14"/>
      <c r="QMH105" s="14"/>
      <c r="QMI105" s="14"/>
      <c r="QMJ105" s="36"/>
      <c r="QMK105" s="14"/>
      <c r="QML105" s="14"/>
      <c r="QMM105" s="14"/>
      <c r="QMN105" s="14"/>
      <c r="QMO105" s="14"/>
      <c r="QMP105" s="14"/>
      <c r="QMQ105" s="14"/>
      <c r="QMR105" s="36"/>
      <c r="QMS105" s="14"/>
      <c r="QMT105" s="14"/>
      <c r="QMU105" s="14"/>
      <c r="QMV105" s="14"/>
      <c r="QMW105" s="14"/>
      <c r="QMX105" s="14"/>
      <c r="QMY105" s="14"/>
      <c r="QMZ105" s="36"/>
      <c r="QNA105" s="14"/>
      <c r="QNB105" s="14"/>
      <c r="QNC105" s="14"/>
      <c r="QND105" s="14"/>
      <c r="QNE105" s="14"/>
      <c r="QNF105" s="14"/>
      <c r="QNG105" s="14"/>
      <c r="QNH105" s="36"/>
      <c r="QNI105" s="14"/>
      <c r="QNJ105" s="14"/>
      <c r="QNK105" s="14"/>
      <c r="QNL105" s="14"/>
      <c r="QNM105" s="14"/>
      <c r="QNN105" s="14"/>
      <c r="QNO105" s="14"/>
      <c r="QNP105" s="36"/>
      <c r="QNQ105" s="14"/>
      <c r="QNR105" s="14"/>
      <c r="QNS105" s="14"/>
      <c r="QNT105" s="14"/>
      <c r="QNU105" s="14"/>
      <c r="QNV105" s="14"/>
      <c r="QNW105" s="14"/>
      <c r="QNX105" s="36"/>
      <c r="QNY105" s="14"/>
      <c r="QNZ105" s="14"/>
      <c r="QOA105" s="14"/>
      <c r="QOB105" s="14"/>
      <c r="QOC105" s="14"/>
      <c r="QOD105" s="14"/>
      <c r="QOE105" s="14"/>
      <c r="QOF105" s="36"/>
      <c r="QOG105" s="14"/>
      <c r="QOH105" s="14"/>
      <c r="QOI105" s="14"/>
      <c r="QOJ105" s="14"/>
      <c r="QOK105" s="14"/>
      <c r="QOL105" s="14"/>
      <c r="QOM105" s="14"/>
      <c r="QON105" s="36"/>
      <c r="QOO105" s="14"/>
      <c r="QOP105" s="14"/>
      <c r="QOQ105" s="14"/>
      <c r="QOR105" s="14"/>
      <c r="QOS105" s="14"/>
      <c r="QOT105" s="14"/>
      <c r="QOU105" s="14"/>
      <c r="QOV105" s="36"/>
      <c r="QOW105" s="14"/>
      <c r="QOX105" s="14"/>
      <c r="QOY105" s="14"/>
      <c r="QOZ105" s="14"/>
      <c r="QPA105" s="14"/>
      <c r="QPB105" s="14"/>
      <c r="QPC105" s="14"/>
      <c r="QPD105" s="36"/>
      <c r="QPE105" s="14"/>
      <c r="QPF105" s="14"/>
      <c r="QPG105" s="14"/>
      <c r="QPH105" s="14"/>
      <c r="QPI105" s="14"/>
      <c r="QPJ105" s="14"/>
      <c r="QPK105" s="14"/>
      <c r="QPL105" s="36"/>
      <c r="QPM105" s="14"/>
      <c r="QPN105" s="14"/>
      <c r="QPO105" s="14"/>
      <c r="QPP105" s="14"/>
      <c r="QPQ105" s="14"/>
      <c r="QPR105" s="14"/>
      <c r="QPS105" s="14"/>
      <c r="QPT105" s="36"/>
      <c r="QPU105" s="14"/>
      <c r="QPV105" s="14"/>
      <c r="QPW105" s="14"/>
      <c r="QPX105" s="14"/>
      <c r="QPY105" s="14"/>
      <c r="QPZ105" s="14"/>
      <c r="QQA105" s="14"/>
      <c r="QQB105" s="36"/>
      <c r="QQC105" s="14"/>
      <c r="QQD105" s="14"/>
      <c r="QQE105" s="14"/>
      <c r="QQF105" s="14"/>
      <c r="QQG105" s="14"/>
      <c r="QQH105" s="14"/>
      <c r="QQI105" s="14"/>
      <c r="QQJ105" s="36"/>
      <c r="QQK105" s="14"/>
      <c r="QQL105" s="14"/>
      <c r="QQM105" s="14"/>
      <c r="QQN105" s="14"/>
      <c r="QQO105" s="14"/>
      <c r="QQP105" s="14"/>
      <c r="QQQ105" s="14"/>
      <c r="QQR105" s="36"/>
      <c r="QQS105" s="14"/>
      <c r="QQT105" s="14"/>
      <c r="QQU105" s="14"/>
      <c r="QQV105" s="14"/>
      <c r="QQW105" s="14"/>
      <c r="QQX105" s="14"/>
      <c r="QQY105" s="14"/>
      <c r="QQZ105" s="36"/>
      <c r="QRA105" s="14"/>
      <c r="QRB105" s="14"/>
      <c r="QRC105" s="14"/>
      <c r="QRD105" s="14"/>
      <c r="QRE105" s="14"/>
      <c r="QRF105" s="14"/>
      <c r="QRG105" s="14"/>
      <c r="QRH105" s="36"/>
      <c r="QRI105" s="14"/>
      <c r="QRJ105" s="14"/>
      <c r="QRK105" s="14"/>
      <c r="QRL105" s="14"/>
      <c r="QRM105" s="14"/>
      <c r="QRN105" s="14"/>
      <c r="QRO105" s="14"/>
      <c r="QRP105" s="36"/>
      <c r="QRQ105" s="14"/>
      <c r="QRR105" s="14"/>
      <c r="QRS105" s="14"/>
      <c r="QRT105" s="14"/>
      <c r="QRU105" s="14"/>
      <c r="QRV105" s="14"/>
      <c r="QRW105" s="14"/>
      <c r="QRX105" s="36"/>
      <c r="QRY105" s="14"/>
      <c r="QRZ105" s="14"/>
      <c r="QSA105" s="14"/>
      <c r="QSB105" s="14"/>
      <c r="QSC105" s="14"/>
      <c r="QSD105" s="14"/>
      <c r="QSE105" s="14"/>
      <c r="QSF105" s="36"/>
      <c r="QSG105" s="14"/>
      <c r="QSH105" s="14"/>
      <c r="QSI105" s="14"/>
      <c r="QSJ105" s="14"/>
      <c r="QSK105" s="14"/>
      <c r="QSL105" s="14"/>
      <c r="QSM105" s="14"/>
      <c r="QSN105" s="36"/>
      <c r="QSO105" s="14"/>
      <c r="QSP105" s="14"/>
      <c r="QSQ105" s="14"/>
      <c r="QSR105" s="14"/>
      <c r="QSS105" s="14"/>
      <c r="QST105" s="14"/>
      <c r="QSU105" s="14"/>
      <c r="QSV105" s="36"/>
      <c r="QSW105" s="14"/>
      <c r="QSX105" s="14"/>
      <c r="QSY105" s="14"/>
      <c r="QSZ105" s="14"/>
      <c r="QTA105" s="14"/>
      <c r="QTB105" s="14"/>
      <c r="QTC105" s="14"/>
      <c r="QTD105" s="36"/>
      <c r="QTE105" s="14"/>
      <c r="QTF105" s="14"/>
      <c r="QTG105" s="14"/>
      <c r="QTH105" s="14"/>
      <c r="QTI105" s="14"/>
      <c r="QTJ105" s="14"/>
      <c r="QTK105" s="14"/>
      <c r="QTL105" s="36"/>
      <c r="QTM105" s="14"/>
      <c r="QTN105" s="14"/>
      <c r="QTO105" s="14"/>
      <c r="QTP105" s="14"/>
      <c r="QTQ105" s="14"/>
      <c r="QTR105" s="14"/>
      <c r="QTS105" s="14"/>
      <c r="QTT105" s="36"/>
      <c r="QTU105" s="14"/>
      <c r="QTV105" s="14"/>
      <c r="QTW105" s="14"/>
      <c r="QTX105" s="14"/>
      <c r="QTY105" s="14"/>
      <c r="QTZ105" s="14"/>
      <c r="QUA105" s="14"/>
      <c r="QUB105" s="36"/>
      <c r="QUC105" s="14"/>
      <c r="QUD105" s="14"/>
      <c r="QUE105" s="14"/>
      <c r="QUF105" s="14"/>
      <c r="QUG105" s="14"/>
      <c r="QUH105" s="14"/>
      <c r="QUI105" s="14"/>
      <c r="QUJ105" s="36"/>
      <c r="QUK105" s="14"/>
      <c r="QUL105" s="14"/>
      <c r="QUM105" s="14"/>
      <c r="QUN105" s="14"/>
      <c r="QUO105" s="14"/>
      <c r="QUP105" s="14"/>
      <c r="QUQ105" s="14"/>
      <c r="QUR105" s="36"/>
      <c r="QUS105" s="14"/>
      <c r="QUT105" s="14"/>
      <c r="QUU105" s="14"/>
      <c r="QUV105" s="14"/>
      <c r="QUW105" s="14"/>
      <c r="QUX105" s="14"/>
      <c r="QUY105" s="14"/>
      <c r="QUZ105" s="36"/>
      <c r="QVA105" s="14"/>
      <c r="QVB105" s="14"/>
      <c r="QVC105" s="14"/>
      <c r="QVD105" s="14"/>
      <c r="QVE105" s="14"/>
      <c r="QVF105" s="14"/>
      <c r="QVG105" s="14"/>
      <c r="QVH105" s="36"/>
      <c r="QVI105" s="14"/>
      <c r="QVJ105" s="14"/>
      <c r="QVK105" s="14"/>
      <c r="QVL105" s="14"/>
      <c r="QVM105" s="14"/>
      <c r="QVN105" s="14"/>
      <c r="QVO105" s="14"/>
      <c r="QVP105" s="36"/>
      <c r="QVQ105" s="14"/>
      <c r="QVR105" s="14"/>
      <c r="QVS105" s="14"/>
      <c r="QVT105" s="14"/>
      <c r="QVU105" s="14"/>
      <c r="QVV105" s="14"/>
      <c r="QVW105" s="14"/>
      <c r="QVX105" s="36"/>
      <c r="QVY105" s="14"/>
      <c r="QVZ105" s="14"/>
      <c r="QWA105" s="14"/>
      <c r="QWB105" s="14"/>
      <c r="QWC105" s="14"/>
      <c r="QWD105" s="14"/>
      <c r="QWE105" s="14"/>
      <c r="QWF105" s="36"/>
      <c r="QWG105" s="14"/>
      <c r="QWH105" s="14"/>
      <c r="QWI105" s="14"/>
      <c r="QWJ105" s="14"/>
      <c r="QWK105" s="14"/>
      <c r="QWL105" s="14"/>
      <c r="QWM105" s="14"/>
      <c r="QWN105" s="36"/>
      <c r="QWO105" s="14"/>
      <c r="QWP105" s="14"/>
      <c r="QWQ105" s="14"/>
      <c r="QWR105" s="14"/>
      <c r="QWS105" s="14"/>
      <c r="QWT105" s="14"/>
      <c r="QWU105" s="14"/>
      <c r="QWV105" s="36"/>
      <c r="QWW105" s="14"/>
      <c r="QWX105" s="14"/>
      <c r="QWY105" s="14"/>
      <c r="QWZ105" s="14"/>
      <c r="QXA105" s="14"/>
      <c r="QXB105" s="14"/>
      <c r="QXC105" s="14"/>
      <c r="QXD105" s="36"/>
      <c r="QXE105" s="14"/>
      <c r="QXF105" s="14"/>
      <c r="QXG105" s="14"/>
      <c r="QXH105" s="14"/>
      <c r="QXI105" s="14"/>
      <c r="QXJ105" s="14"/>
      <c r="QXK105" s="14"/>
      <c r="QXL105" s="36"/>
      <c r="QXM105" s="14"/>
      <c r="QXN105" s="14"/>
      <c r="QXO105" s="14"/>
      <c r="QXP105" s="14"/>
      <c r="QXQ105" s="14"/>
      <c r="QXR105" s="14"/>
      <c r="QXS105" s="14"/>
      <c r="QXT105" s="36"/>
      <c r="QXU105" s="14"/>
      <c r="QXV105" s="14"/>
      <c r="QXW105" s="14"/>
      <c r="QXX105" s="14"/>
      <c r="QXY105" s="14"/>
      <c r="QXZ105" s="14"/>
      <c r="QYA105" s="14"/>
      <c r="QYB105" s="36"/>
      <c r="QYC105" s="14"/>
      <c r="QYD105" s="14"/>
      <c r="QYE105" s="14"/>
      <c r="QYF105" s="14"/>
      <c r="QYG105" s="14"/>
      <c r="QYH105" s="14"/>
      <c r="QYI105" s="14"/>
      <c r="QYJ105" s="36"/>
      <c r="QYK105" s="14"/>
      <c r="QYL105" s="14"/>
      <c r="QYM105" s="14"/>
      <c r="QYN105" s="14"/>
      <c r="QYO105" s="14"/>
      <c r="QYP105" s="14"/>
      <c r="QYQ105" s="14"/>
      <c r="QYR105" s="36"/>
      <c r="QYS105" s="14"/>
      <c r="QYT105" s="14"/>
      <c r="QYU105" s="14"/>
      <c r="QYV105" s="14"/>
      <c r="QYW105" s="14"/>
      <c r="QYX105" s="14"/>
      <c r="QYY105" s="14"/>
      <c r="QYZ105" s="36"/>
      <c r="QZA105" s="14"/>
      <c r="QZB105" s="14"/>
      <c r="QZC105" s="14"/>
      <c r="QZD105" s="14"/>
      <c r="QZE105" s="14"/>
      <c r="QZF105" s="14"/>
      <c r="QZG105" s="14"/>
      <c r="QZH105" s="36"/>
      <c r="QZI105" s="14"/>
      <c r="QZJ105" s="14"/>
      <c r="QZK105" s="14"/>
      <c r="QZL105" s="14"/>
      <c r="QZM105" s="14"/>
      <c r="QZN105" s="14"/>
      <c r="QZO105" s="14"/>
      <c r="QZP105" s="36"/>
      <c r="QZQ105" s="14"/>
      <c r="QZR105" s="14"/>
      <c r="QZS105" s="14"/>
      <c r="QZT105" s="14"/>
      <c r="QZU105" s="14"/>
      <c r="QZV105" s="14"/>
      <c r="QZW105" s="14"/>
      <c r="QZX105" s="36"/>
      <c r="QZY105" s="14"/>
      <c r="QZZ105" s="14"/>
      <c r="RAA105" s="14"/>
      <c r="RAB105" s="14"/>
      <c r="RAC105" s="14"/>
      <c r="RAD105" s="14"/>
      <c r="RAE105" s="14"/>
      <c r="RAF105" s="36"/>
      <c r="RAG105" s="14"/>
      <c r="RAH105" s="14"/>
      <c r="RAI105" s="14"/>
      <c r="RAJ105" s="14"/>
      <c r="RAK105" s="14"/>
      <c r="RAL105" s="14"/>
      <c r="RAM105" s="14"/>
      <c r="RAN105" s="36"/>
      <c r="RAO105" s="14"/>
      <c r="RAP105" s="14"/>
      <c r="RAQ105" s="14"/>
      <c r="RAR105" s="14"/>
      <c r="RAS105" s="14"/>
      <c r="RAT105" s="14"/>
      <c r="RAU105" s="14"/>
      <c r="RAV105" s="36"/>
      <c r="RAW105" s="14"/>
      <c r="RAX105" s="14"/>
      <c r="RAY105" s="14"/>
      <c r="RAZ105" s="14"/>
      <c r="RBA105" s="14"/>
      <c r="RBB105" s="14"/>
      <c r="RBC105" s="14"/>
      <c r="RBD105" s="36"/>
      <c r="RBE105" s="14"/>
      <c r="RBF105" s="14"/>
      <c r="RBG105" s="14"/>
      <c r="RBH105" s="14"/>
      <c r="RBI105" s="14"/>
      <c r="RBJ105" s="14"/>
      <c r="RBK105" s="14"/>
      <c r="RBL105" s="36"/>
      <c r="RBM105" s="14"/>
      <c r="RBN105" s="14"/>
      <c r="RBO105" s="14"/>
      <c r="RBP105" s="14"/>
      <c r="RBQ105" s="14"/>
      <c r="RBR105" s="14"/>
      <c r="RBS105" s="14"/>
      <c r="RBT105" s="36"/>
      <c r="RBU105" s="14"/>
      <c r="RBV105" s="14"/>
      <c r="RBW105" s="14"/>
      <c r="RBX105" s="14"/>
      <c r="RBY105" s="14"/>
      <c r="RBZ105" s="14"/>
      <c r="RCA105" s="14"/>
      <c r="RCB105" s="36"/>
      <c r="RCC105" s="14"/>
      <c r="RCD105" s="14"/>
      <c r="RCE105" s="14"/>
      <c r="RCF105" s="14"/>
      <c r="RCG105" s="14"/>
      <c r="RCH105" s="14"/>
      <c r="RCI105" s="14"/>
      <c r="RCJ105" s="36"/>
      <c r="RCK105" s="14"/>
      <c r="RCL105" s="14"/>
      <c r="RCM105" s="14"/>
      <c r="RCN105" s="14"/>
      <c r="RCO105" s="14"/>
      <c r="RCP105" s="14"/>
      <c r="RCQ105" s="14"/>
      <c r="RCR105" s="36"/>
      <c r="RCS105" s="14"/>
      <c r="RCT105" s="14"/>
      <c r="RCU105" s="14"/>
      <c r="RCV105" s="14"/>
      <c r="RCW105" s="14"/>
      <c r="RCX105" s="14"/>
      <c r="RCY105" s="14"/>
      <c r="RCZ105" s="36"/>
      <c r="RDA105" s="14"/>
      <c r="RDB105" s="14"/>
      <c r="RDC105" s="14"/>
      <c r="RDD105" s="14"/>
      <c r="RDE105" s="14"/>
      <c r="RDF105" s="14"/>
      <c r="RDG105" s="14"/>
      <c r="RDH105" s="36"/>
      <c r="RDI105" s="14"/>
      <c r="RDJ105" s="14"/>
      <c r="RDK105" s="14"/>
      <c r="RDL105" s="14"/>
      <c r="RDM105" s="14"/>
      <c r="RDN105" s="14"/>
      <c r="RDO105" s="14"/>
      <c r="RDP105" s="36"/>
      <c r="RDQ105" s="14"/>
      <c r="RDR105" s="14"/>
      <c r="RDS105" s="14"/>
      <c r="RDT105" s="14"/>
      <c r="RDU105" s="14"/>
      <c r="RDV105" s="14"/>
      <c r="RDW105" s="14"/>
      <c r="RDX105" s="36"/>
      <c r="RDY105" s="14"/>
      <c r="RDZ105" s="14"/>
      <c r="REA105" s="14"/>
      <c r="REB105" s="14"/>
      <c r="REC105" s="14"/>
      <c r="RED105" s="14"/>
      <c r="REE105" s="14"/>
      <c r="REF105" s="36"/>
      <c r="REG105" s="14"/>
      <c r="REH105" s="14"/>
      <c r="REI105" s="14"/>
      <c r="REJ105" s="14"/>
      <c r="REK105" s="14"/>
      <c r="REL105" s="14"/>
      <c r="REM105" s="14"/>
      <c r="REN105" s="36"/>
      <c r="REO105" s="14"/>
      <c r="REP105" s="14"/>
      <c r="REQ105" s="14"/>
      <c r="RER105" s="14"/>
      <c r="RES105" s="14"/>
      <c r="RET105" s="14"/>
      <c r="REU105" s="14"/>
      <c r="REV105" s="36"/>
      <c r="REW105" s="14"/>
      <c r="REX105" s="14"/>
      <c r="REY105" s="14"/>
      <c r="REZ105" s="14"/>
      <c r="RFA105" s="14"/>
      <c r="RFB105" s="14"/>
      <c r="RFC105" s="14"/>
      <c r="RFD105" s="36"/>
      <c r="RFE105" s="14"/>
      <c r="RFF105" s="14"/>
      <c r="RFG105" s="14"/>
      <c r="RFH105" s="14"/>
      <c r="RFI105" s="14"/>
      <c r="RFJ105" s="14"/>
      <c r="RFK105" s="14"/>
      <c r="RFL105" s="36"/>
      <c r="RFM105" s="14"/>
      <c r="RFN105" s="14"/>
      <c r="RFO105" s="14"/>
      <c r="RFP105" s="14"/>
      <c r="RFQ105" s="14"/>
      <c r="RFR105" s="14"/>
      <c r="RFS105" s="14"/>
      <c r="RFT105" s="36"/>
      <c r="RFU105" s="14"/>
      <c r="RFV105" s="14"/>
      <c r="RFW105" s="14"/>
      <c r="RFX105" s="14"/>
      <c r="RFY105" s="14"/>
      <c r="RFZ105" s="14"/>
      <c r="RGA105" s="14"/>
      <c r="RGB105" s="36"/>
      <c r="RGC105" s="14"/>
      <c r="RGD105" s="14"/>
      <c r="RGE105" s="14"/>
      <c r="RGF105" s="14"/>
      <c r="RGG105" s="14"/>
      <c r="RGH105" s="14"/>
      <c r="RGI105" s="14"/>
      <c r="RGJ105" s="36"/>
      <c r="RGK105" s="14"/>
      <c r="RGL105" s="14"/>
      <c r="RGM105" s="14"/>
      <c r="RGN105" s="14"/>
      <c r="RGO105" s="14"/>
      <c r="RGP105" s="14"/>
      <c r="RGQ105" s="14"/>
      <c r="RGR105" s="36"/>
      <c r="RGS105" s="14"/>
      <c r="RGT105" s="14"/>
      <c r="RGU105" s="14"/>
      <c r="RGV105" s="14"/>
      <c r="RGW105" s="14"/>
      <c r="RGX105" s="14"/>
      <c r="RGY105" s="14"/>
      <c r="RGZ105" s="36"/>
      <c r="RHA105" s="14"/>
      <c r="RHB105" s="14"/>
      <c r="RHC105" s="14"/>
      <c r="RHD105" s="14"/>
      <c r="RHE105" s="14"/>
      <c r="RHF105" s="14"/>
      <c r="RHG105" s="14"/>
      <c r="RHH105" s="36"/>
      <c r="RHI105" s="14"/>
      <c r="RHJ105" s="14"/>
      <c r="RHK105" s="14"/>
      <c r="RHL105" s="14"/>
      <c r="RHM105" s="14"/>
      <c r="RHN105" s="14"/>
      <c r="RHO105" s="14"/>
      <c r="RHP105" s="36"/>
      <c r="RHQ105" s="14"/>
      <c r="RHR105" s="14"/>
      <c r="RHS105" s="14"/>
      <c r="RHT105" s="14"/>
      <c r="RHU105" s="14"/>
      <c r="RHV105" s="14"/>
      <c r="RHW105" s="14"/>
      <c r="RHX105" s="36"/>
      <c r="RHY105" s="14"/>
      <c r="RHZ105" s="14"/>
      <c r="RIA105" s="14"/>
      <c r="RIB105" s="14"/>
      <c r="RIC105" s="14"/>
      <c r="RID105" s="14"/>
      <c r="RIE105" s="14"/>
      <c r="RIF105" s="36"/>
      <c r="RIG105" s="14"/>
      <c r="RIH105" s="14"/>
      <c r="RII105" s="14"/>
      <c r="RIJ105" s="14"/>
      <c r="RIK105" s="14"/>
      <c r="RIL105" s="14"/>
      <c r="RIM105" s="14"/>
      <c r="RIN105" s="36"/>
      <c r="RIO105" s="14"/>
      <c r="RIP105" s="14"/>
      <c r="RIQ105" s="14"/>
      <c r="RIR105" s="14"/>
      <c r="RIS105" s="14"/>
      <c r="RIT105" s="14"/>
      <c r="RIU105" s="14"/>
      <c r="RIV105" s="36"/>
      <c r="RIW105" s="14"/>
      <c r="RIX105" s="14"/>
      <c r="RIY105" s="14"/>
      <c r="RIZ105" s="14"/>
      <c r="RJA105" s="14"/>
      <c r="RJB105" s="14"/>
      <c r="RJC105" s="14"/>
      <c r="RJD105" s="36"/>
      <c r="RJE105" s="14"/>
      <c r="RJF105" s="14"/>
      <c r="RJG105" s="14"/>
      <c r="RJH105" s="14"/>
      <c r="RJI105" s="14"/>
      <c r="RJJ105" s="14"/>
      <c r="RJK105" s="14"/>
      <c r="RJL105" s="36"/>
      <c r="RJM105" s="14"/>
      <c r="RJN105" s="14"/>
      <c r="RJO105" s="14"/>
      <c r="RJP105" s="14"/>
      <c r="RJQ105" s="14"/>
      <c r="RJR105" s="14"/>
      <c r="RJS105" s="14"/>
      <c r="RJT105" s="36"/>
      <c r="RJU105" s="14"/>
      <c r="RJV105" s="14"/>
      <c r="RJW105" s="14"/>
      <c r="RJX105" s="14"/>
      <c r="RJY105" s="14"/>
      <c r="RJZ105" s="14"/>
      <c r="RKA105" s="14"/>
      <c r="RKB105" s="36"/>
      <c r="RKC105" s="14"/>
      <c r="RKD105" s="14"/>
      <c r="RKE105" s="14"/>
      <c r="RKF105" s="14"/>
      <c r="RKG105" s="14"/>
      <c r="RKH105" s="14"/>
      <c r="RKI105" s="14"/>
      <c r="RKJ105" s="36"/>
      <c r="RKK105" s="14"/>
      <c r="RKL105" s="14"/>
      <c r="RKM105" s="14"/>
      <c r="RKN105" s="14"/>
      <c r="RKO105" s="14"/>
      <c r="RKP105" s="14"/>
      <c r="RKQ105" s="14"/>
      <c r="RKR105" s="36"/>
      <c r="RKS105" s="14"/>
      <c r="RKT105" s="14"/>
      <c r="RKU105" s="14"/>
      <c r="RKV105" s="14"/>
      <c r="RKW105" s="14"/>
      <c r="RKX105" s="14"/>
      <c r="RKY105" s="14"/>
      <c r="RKZ105" s="36"/>
      <c r="RLA105" s="14"/>
      <c r="RLB105" s="14"/>
      <c r="RLC105" s="14"/>
      <c r="RLD105" s="14"/>
      <c r="RLE105" s="14"/>
      <c r="RLF105" s="14"/>
      <c r="RLG105" s="14"/>
      <c r="RLH105" s="36"/>
      <c r="RLI105" s="14"/>
      <c r="RLJ105" s="14"/>
      <c r="RLK105" s="14"/>
      <c r="RLL105" s="14"/>
      <c r="RLM105" s="14"/>
      <c r="RLN105" s="14"/>
      <c r="RLO105" s="14"/>
      <c r="RLP105" s="36"/>
      <c r="RLQ105" s="14"/>
      <c r="RLR105" s="14"/>
      <c r="RLS105" s="14"/>
      <c r="RLT105" s="14"/>
      <c r="RLU105" s="14"/>
      <c r="RLV105" s="14"/>
      <c r="RLW105" s="14"/>
      <c r="RLX105" s="36"/>
      <c r="RLY105" s="14"/>
      <c r="RLZ105" s="14"/>
      <c r="RMA105" s="14"/>
      <c r="RMB105" s="14"/>
      <c r="RMC105" s="14"/>
      <c r="RMD105" s="14"/>
      <c r="RME105" s="14"/>
      <c r="RMF105" s="36"/>
      <c r="RMG105" s="14"/>
      <c r="RMH105" s="14"/>
      <c r="RMI105" s="14"/>
      <c r="RMJ105" s="14"/>
      <c r="RMK105" s="14"/>
      <c r="RML105" s="14"/>
      <c r="RMM105" s="14"/>
      <c r="RMN105" s="36"/>
      <c r="RMO105" s="14"/>
      <c r="RMP105" s="14"/>
      <c r="RMQ105" s="14"/>
      <c r="RMR105" s="14"/>
      <c r="RMS105" s="14"/>
      <c r="RMT105" s="14"/>
      <c r="RMU105" s="14"/>
      <c r="RMV105" s="36"/>
      <c r="RMW105" s="14"/>
      <c r="RMX105" s="14"/>
      <c r="RMY105" s="14"/>
      <c r="RMZ105" s="14"/>
      <c r="RNA105" s="14"/>
      <c r="RNB105" s="14"/>
      <c r="RNC105" s="14"/>
      <c r="RND105" s="36"/>
      <c r="RNE105" s="14"/>
      <c r="RNF105" s="14"/>
      <c r="RNG105" s="14"/>
      <c r="RNH105" s="14"/>
      <c r="RNI105" s="14"/>
      <c r="RNJ105" s="14"/>
      <c r="RNK105" s="14"/>
      <c r="RNL105" s="36"/>
      <c r="RNM105" s="14"/>
      <c r="RNN105" s="14"/>
      <c r="RNO105" s="14"/>
      <c r="RNP105" s="14"/>
      <c r="RNQ105" s="14"/>
      <c r="RNR105" s="14"/>
      <c r="RNS105" s="14"/>
      <c r="RNT105" s="36"/>
      <c r="RNU105" s="14"/>
      <c r="RNV105" s="14"/>
      <c r="RNW105" s="14"/>
      <c r="RNX105" s="14"/>
      <c r="RNY105" s="14"/>
      <c r="RNZ105" s="14"/>
      <c r="ROA105" s="14"/>
      <c r="ROB105" s="36"/>
      <c r="ROC105" s="14"/>
      <c r="ROD105" s="14"/>
      <c r="ROE105" s="14"/>
      <c r="ROF105" s="14"/>
      <c r="ROG105" s="14"/>
      <c r="ROH105" s="14"/>
      <c r="ROI105" s="14"/>
      <c r="ROJ105" s="36"/>
      <c r="ROK105" s="14"/>
      <c r="ROL105" s="14"/>
      <c r="ROM105" s="14"/>
      <c r="RON105" s="14"/>
      <c r="ROO105" s="14"/>
      <c r="ROP105" s="14"/>
      <c r="ROQ105" s="14"/>
      <c r="ROR105" s="36"/>
      <c r="ROS105" s="14"/>
      <c r="ROT105" s="14"/>
      <c r="ROU105" s="14"/>
      <c r="ROV105" s="14"/>
      <c r="ROW105" s="14"/>
      <c r="ROX105" s="14"/>
      <c r="ROY105" s="14"/>
      <c r="ROZ105" s="36"/>
      <c r="RPA105" s="14"/>
      <c r="RPB105" s="14"/>
      <c r="RPC105" s="14"/>
      <c r="RPD105" s="14"/>
      <c r="RPE105" s="14"/>
      <c r="RPF105" s="14"/>
      <c r="RPG105" s="14"/>
      <c r="RPH105" s="36"/>
      <c r="RPI105" s="14"/>
      <c r="RPJ105" s="14"/>
      <c r="RPK105" s="14"/>
      <c r="RPL105" s="14"/>
      <c r="RPM105" s="14"/>
      <c r="RPN105" s="14"/>
      <c r="RPO105" s="14"/>
      <c r="RPP105" s="36"/>
      <c r="RPQ105" s="14"/>
      <c r="RPR105" s="14"/>
      <c r="RPS105" s="14"/>
      <c r="RPT105" s="14"/>
      <c r="RPU105" s="14"/>
      <c r="RPV105" s="14"/>
      <c r="RPW105" s="14"/>
      <c r="RPX105" s="36"/>
      <c r="RPY105" s="14"/>
      <c r="RPZ105" s="14"/>
      <c r="RQA105" s="14"/>
      <c r="RQB105" s="14"/>
      <c r="RQC105" s="14"/>
      <c r="RQD105" s="14"/>
      <c r="RQE105" s="14"/>
      <c r="RQF105" s="36"/>
      <c r="RQG105" s="14"/>
      <c r="RQH105" s="14"/>
      <c r="RQI105" s="14"/>
      <c r="RQJ105" s="14"/>
      <c r="RQK105" s="14"/>
      <c r="RQL105" s="14"/>
      <c r="RQM105" s="14"/>
      <c r="RQN105" s="36"/>
      <c r="RQO105" s="14"/>
      <c r="RQP105" s="14"/>
      <c r="RQQ105" s="14"/>
      <c r="RQR105" s="14"/>
      <c r="RQS105" s="14"/>
      <c r="RQT105" s="14"/>
      <c r="RQU105" s="14"/>
      <c r="RQV105" s="36"/>
      <c r="RQW105" s="14"/>
      <c r="RQX105" s="14"/>
      <c r="RQY105" s="14"/>
      <c r="RQZ105" s="14"/>
      <c r="RRA105" s="14"/>
      <c r="RRB105" s="14"/>
      <c r="RRC105" s="14"/>
      <c r="RRD105" s="36"/>
      <c r="RRE105" s="14"/>
      <c r="RRF105" s="14"/>
      <c r="RRG105" s="14"/>
      <c r="RRH105" s="14"/>
      <c r="RRI105" s="14"/>
      <c r="RRJ105" s="14"/>
      <c r="RRK105" s="14"/>
      <c r="RRL105" s="36"/>
      <c r="RRM105" s="14"/>
      <c r="RRN105" s="14"/>
      <c r="RRO105" s="14"/>
      <c r="RRP105" s="14"/>
      <c r="RRQ105" s="14"/>
      <c r="RRR105" s="14"/>
      <c r="RRS105" s="14"/>
      <c r="RRT105" s="36"/>
      <c r="RRU105" s="14"/>
      <c r="RRV105" s="14"/>
      <c r="RRW105" s="14"/>
      <c r="RRX105" s="14"/>
      <c r="RRY105" s="14"/>
      <c r="RRZ105" s="14"/>
      <c r="RSA105" s="14"/>
      <c r="RSB105" s="36"/>
      <c r="RSC105" s="14"/>
      <c r="RSD105" s="14"/>
      <c r="RSE105" s="14"/>
      <c r="RSF105" s="14"/>
      <c r="RSG105" s="14"/>
      <c r="RSH105" s="14"/>
      <c r="RSI105" s="14"/>
      <c r="RSJ105" s="36"/>
      <c r="RSK105" s="14"/>
      <c r="RSL105" s="14"/>
      <c r="RSM105" s="14"/>
      <c r="RSN105" s="14"/>
      <c r="RSO105" s="14"/>
      <c r="RSP105" s="14"/>
      <c r="RSQ105" s="14"/>
      <c r="RSR105" s="36"/>
      <c r="RSS105" s="14"/>
      <c r="RST105" s="14"/>
      <c r="RSU105" s="14"/>
      <c r="RSV105" s="14"/>
      <c r="RSW105" s="14"/>
      <c r="RSX105" s="14"/>
      <c r="RSY105" s="14"/>
      <c r="RSZ105" s="36"/>
      <c r="RTA105" s="14"/>
      <c r="RTB105" s="14"/>
      <c r="RTC105" s="14"/>
      <c r="RTD105" s="14"/>
      <c r="RTE105" s="14"/>
      <c r="RTF105" s="14"/>
      <c r="RTG105" s="14"/>
      <c r="RTH105" s="36"/>
      <c r="RTI105" s="14"/>
      <c r="RTJ105" s="14"/>
      <c r="RTK105" s="14"/>
      <c r="RTL105" s="14"/>
      <c r="RTM105" s="14"/>
      <c r="RTN105" s="14"/>
      <c r="RTO105" s="14"/>
      <c r="RTP105" s="36"/>
      <c r="RTQ105" s="14"/>
      <c r="RTR105" s="14"/>
      <c r="RTS105" s="14"/>
      <c r="RTT105" s="14"/>
      <c r="RTU105" s="14"/>
      <c r="RTV105" s="14"/>
      <c r="RTW105" s="14"/>
      <c r="RTX105" s="36"/>
      <c r="RTY105" s="14"/>
      <c r="RTZ105" s="14"/>
      <c r="RUA105" s="14"/>
      <c r="RUB105" s="14"/>
      <c r="RUC105" s="14"/>
      <c r="RUD105" s="14"/>
      <c r="RUE105" s="14"/>
      <c r="RUF105" s="36"/>
      <c r="RUG105" s="14"/>
      <c r="RUH105" s="14"/>
      <c r="RUI105" s="14"/>
      <c r="RUJ105" s="14"/>
      <c r="RUK105" s="14"/>
      <c r="RUL105" s="14"/>
      <c r="RUM105" s="14"/>
      <c r="RUN105" s="36"/>
      <c r="RUO105" s="14"/>
      <c r="RUP105" s="14"/>
      <c r="RUQ105" s="14"/>
      <c r="RUR105" s="14"/>
      <c r="RUS105" s="14"/>
      <c r="RUT105" s="14"/>
      <c r="RUU105" s="14"/>
      <c r="RUV105" s="36"/>
      <c r="RUW105" s="14"/>
      <c r="RUX105" s="14"/>
      <c r="RUY105" s="14"/>
      <c r="RUZ105" s="14"/>
      <c r="RVA105" s="14"/>
      <c r="RVB105" s="14"/>
      <c r="RVC105" s="14"/>
      <c r="RVD105" s="36"/>
      <c r="RVE105" s="14"/>
      <c r="RVF105" s="14"/>
      <c r="RVG105" s="14"/>
      <c r="RVH105" s="14"/>
      <c r="RVI105" s="14"/>
      <c r="RVJ105" s="14"/>
      <c r="RVK105" s="14"/>
      <c r="RVL105" s="36"/>
      <c r="RVM105" s="14"/>
      <c r="RVN105" s="14"/>
      <c r="RVO105" s="14"/>
      <c r="RVP105" s="14"/>
      <c r="RVQ105" s="14"/>
      <c r="RVR105" s="14"/>
      <c r="RVS105" s="14"/>
      <c r="RVT105" s="36"/>
      <c r="RVU105" s="14"/>
      <c r="RVV105" s="14"/>
      <c r="RVW105" s="14"/>
      <c r="RVX105" s="14"/>
      <c r="RVY105" s="14"/>
      <c r="RVZ105" s="14"/>
      <c r="RWA105" s="14"/>
      <c r="RWB105" s="36"/>
      <c r="RWC105" s="14"/>
      <c r="RWD105" s="14"/>
      <c r="RWE105" s="14"/>
      <c r="RWF105" s="14"/>
      <c r="RWG105" s="14"/>
      <c r="RWH105" s="14"/>
      <c r="RWI105" s="14"/>
      <c r="RWJ105" s="36"/>
      <c r="RWK105" s="14"/>
      <c r="RWL105" s="14"/>
      <c r="RWM105" s="14"/>
      <c r="RWN105" s="14"/>
      <c r="RWO105" s="14"/>
      <c r="RWP105" s="14"/>
      <c r="RWQ105" s="14"/>
      <c r="RWR105" s="36"/>
      <c r="RWS105" s="14"/>
      <c r="RWT105" s="14"/>
      <c r="RWU105" s="14"/>
      <c r="RWV105" s="14"/>
      <c r="RWW105" s="14"/>
      <c r="RWX105" s="14"/>
      <c r="RWY105" s="14"/>
      <c r="RWZ105" s="36"/>
      <c r="RXA105" s="14"/>
      <c r="RXB105" s="14"/>
      <c r="RXC105" s="14"/>
      <c r="RXD105" s="14"/>
      <c r="RXE105" s="14"/>
      <c r="RXF105" s="14"/>
      <c r="RXG105" s="14"/>
      <c r="RXH105" s="36"/>
      <c r="RXI105" s="14"/>
      <c r="RXJ105" s="14"/>
      <c r="RXK105" s="14"/>
      <c r="RXL105" s="14"/>
      <c r="RXM105" s="14"/>
      <c r="RXN105" s="14"/>
      <c r="RXO105" s="14"/>
      <c r="RXP105" s="36"/>
      <c r="RXQ105" s="14"/>
      <c r="RXR105" s="14"/>
      <c r="RXS105" s="14"/>
      <c r="RXT105" s="14"/>
      <c r="RXU105" s="14"/>
      <c r="RXV105" s="14"/>
      <c r="RXW105" s="14"/>
      <c r="RXX105" s="36"/>
      <c r="RXY105" s="14"/>
      <c r="RXZ105" s="14"/>
      <c r="RYA105" s="14"/>
      <c r="RYB105" s="14"/>
      <c r="RYC105" s="14"/>
      <c r="RYD105" s="14"/>
      <c r="RYE105" s="14"/>
      <c r="RYF105" s="36"/>
      <c r="RYG105" s="14"/>
      <c r="RYH105" s="14"/>
      <c r="RYI105" s="14"/>
      <c r="RYJ105" s="14"/>
      <c r="RYK105" s="14"/>
      <c r="RYL105" s="14"/>
      <c r="RYM105" s="14"/>
      <c r="RYN105" s="36"/>
      <c r="RYO105" s="14"/>
      <c r="RYP105" s="14"/>
      <c r="RYQ105" s="14"/>
      <c r="RYR105" s="14"/>
      <c r="RYS105" s="14"/>
      <c r="RYT105" s="14"/>
      <c r="RYU105" s="14"/>
      <c r="RYV105" s="36"/>
      <c r="RYW105" s="14"/>
      <c r="RYX105" s="14"/>
      <c r="RYY105" s="14"/>
      <c r="RYZ105" s="14"/>
      <c r="RZA105" s="14"/>
      <c r="RZB105" s="14"/>
      <c r="RZC105" s="14"/>
      <c r="RZD105" s="36"/>
      <c r="RZE105" s="14"/>
      <c r="RZF105" s="14"/>
      <c r="RZG105" s="14"/>
      <c r="RZH105" s="14"/>
      <c r="RZI105" s="14"/>
      <c r="RZJ105" s="14"/>
      <c r="RZK105" s="14"/>
      <c r="RZL105" s="36"/>
      <c r="RZM105" s="14"/>
      <c r="RZN105" s="14"/>
      <c r="RZO105" s="14"/>
      <c r="RZP105" s="14"/>
      <c r="RZQ105" s="14"/>
      <c r="RZR105" s="14"/>
      <c r="RZS105" s="14"/>
      <c r="RZT105" s="36"/>
      <c r="RZU105" s="14"/>
      <c r="RZV105" s="14"/>
      <c r="RZW105" s="14"/>
      <c r="RZX105" s="14"/>
      <c r="RZY105" s="14"/>
      <c r="RZZ105" s="14"/>
      <c r="SAA105" s="14"/>
      <c r="SAB105" s="36"/>
      <c r="SAC105" s="14"/>
      <c r="SAD105" s="14"/>
      <c r="SAE105" s="14"/>
      <c r="SAF105" s="14"/>
      <c r="SAG105" s="14"/>
      <c r="SAH105" s="14"/>
      <c r="SAI105" s="14"/>
      <c r="SAJ105" s="36"/>
      <c r="SAK105" s="14"/>
      <c r="SAL105" s="14"/>
      <c r="SAM105" s="14"/>
      <c r="SAN105" s="14"/>
      <c r="SAO105" s="14"/>
      <c r="SAP105" s="14"/>
      <c r="SAQ105" s="14"/>
      <c r="SAR105" s="36"/>
      <c r="SAS105" s="14"/>
      <c r="SAT105" s="14"/>
      <c r="SAU105" s="14"/>
      <c r="SAV105" s="14"/>
      <c r="SAW105" s="14"/>
      <c r="SAX105" s="14"/>
      <c r="SAY105" s="14"/>
      <c r="SAZ105" s="36"/>
      <c r="SBA105" s="14"/>
      <c r="SBB105" s="14"/>
      <c r="SBC105" s="14"/>
      <c r="SBD105" s="14"/>
      <c r="SBE105" s="14"/>
      <c r="SBF105" s="14"/>
      <c r="SBG105" s="14"/>
      <c r="SBH105" s="36"/>
      <c r="SBI105" s="14"/>
      <c r="SBJ105" s="14"/>
      <c r="SBK105" s="14"/>
      <c r="SBL105" s="14"/>
      <c r="SBM105" s="14"/>
      <c r="SBN105" s="14"/>
      <c r="SBO105" s="14"/>
      <c r="SBP105" s="36"/>
      <c r="SBQ105" s="14"/>
      <c r="SBR105" s="14"/>
      <c r="SBS105" s="14"/>
      <c r="SBT105" s="14"/>
      <c r="SBU105" s="14"/>
      <c r="SBV105" s="14"/>
      <c r="SBW105" s="14"/>
      <c r="SBX105" s="36"/>
      <c r="SBY105" s="14"/>
      <c r="SBZ105" s="14"/>
      <c r="SCA105" s="14"/>
      <c r="SCB105" s="14"/>
      <c r="SCC105" s="14"/>
      <c r="SCD105" s="14"/>
      <c r="SCE105" s="14"/>
      <c r="SCF105" s="36"/>
      <c r="SCG105" s="14"/>
      <c r="SCH105" s="14"/>
      <c r="SCI105" s="14"/>
      <c r="SCJ105" s="14"/>
      <c r="SCK105" s="14"/>
      <c r="SCL105" s="14"/>
      <c r="SCM105" s="14"/>
      <c r="SCN105" s="36"/>
      <c r="SCO105" s="14"/>
      <c r="SCP105" s="14"/>
      <c r="SCQ105" s="14"/>
      <c r="SCR105" s="14"/>
      <c r="SCS105" s="14"/>
      <c r="SCT105" s="14"/>
      <c r="SCU105" s="14"/>
      <c r="SCV105" s="36"/>
      <c r="SCW105" s="14"/>
      <c r="SCX105" s="14"/>
      <c r="SCY105" s="14"/>
      <c r="SCZ105" s="14"/>
      <c r="SDA105" s="14"/>
      <c r="SDB105" s="14"/>
      <c r="SDC105" s="14"/>
      <c r="SDD105" s="36"/>
      <c r="SDE105" s="14"/>
      <c r="SDF105" s="14"/>
      <c r="SDG105" s="14"/>
      <c r="SDH105" s="14"/>
      <c r="SDI105" s="14"/>
      <c r="SDJ105" s="14"/>
      <c r="SDK105" s="14"/>
      <c r="SDL105" s="36"/>
      <c r="SDM105" s="14"/>
      <c r="SDN105" s="14"/>
      <c r="SDO105" s="14"/>
      <c r="SDP105" s="14"/>
      <c r="SDQ105" s="14"/>
      <c r="SDR105" s="14"/>
      <c r="SDS105" s="14"/>
      <c r="SDT105" s="36"/>
      <c r="SDU105" s="14"/>
      <c r="SDV105" s="14"/>
      <c r="SDW105" s="14"/>
      <c r="SDX105" s="14"/>
      <c r="SDY105" s="14"/>
      <c r="SDZ105" s="14"/>
      <c r="SEA105" s="14"/>
      <c r="SEB105" s="36"/>
      <c r="SEC105" s="14"/>
      <c r="SED105" s="14"/>
      <c r="SEE105" s="14"/>
      <c r="SEF105" s="14"/>
      <c r="SEG105" s="14"/>
      <c r="SEH105" s="14"/>
      <c r="SEI105" s="14"/>
      <c r="SEJ105" s="36"/>
      <c r="SEK105" s="14"/>
      <c r="SEL105" s="14"/>
      <c r="SEM105" s="14"/>
      <c r="SEN105" s="14"/>
      <c r="SEO105" s="14"/>
      <c r="SEP105" s="14"/>
      <c r="SEQ105" s="14"/>
      <c r="SER105" s="36"/>
      <c r="SES105" s="14"/>
      <c r="SET105" s="14"/>
      <c r="SEU105" s="14"/>
      <c r="SEV105" s="14"/>
      <c r="SEW105" s="14"/>
      <c r="SEX105" s="14"/>
      <c r="SEY105" s="14"/>
      <c r="SEZ105" s="36"/>
      <c r="SFA105" s="14"/>
      <c r="SFB105" s="14"/>
      <c r="SFC105" s="14"/>
      <c r="SFD105" s="14"/>
      <c r="SFE105" s="14"/>
      <c r="SFF105" s="14"/>
      <c r="SFG105" s="14"/>
      <c r="SFH105" s="36"/>
      <c r="SFI105" s="14"/>
      <c r="SFJ105" s="14"/>
      <c r="SFK105" s="14"/>
      <c r="SFL105" s="14"/>
      <c r="SFM105" s="14"/>
      <c r="SFN105" s="14"/>
      <c r="SFO105" s="14"/>
      <c r="SFP105" s="36"/>
      <c r="SFQ105" s="14"/>
      <c r="SFR105" s="14"/>
      <c r="SFS105" s="14"/>
      <c r="SFT105" s="14"/>
      <c r="SFU105" s="14"/>
      <c r="SFV105" s="14"/>
      <c r="SFW105" s="14"/>
      <c r="SFX105" s="36"/>
      <c r="SFY105" s="14"/>
      <c r="SFZ105" s="14"/>
      <c r="SGA105" s="14"/>
      <c r="SGB105" s="14"/>
      <c r="SGC105" s="14"/>
      <c r="SGD105" s="14"/>
      <c r="SGE105" s="14"/>
      <c r="SGF105" s="36"/>
      <c r="SGG105" s="14"/>
      <c r="SGH105" s="14"/>
      <c r="SGI105" s="14"/>
      <c r="SGJ105" s="14"/>
      <c r="SGK105" s="14"/>
      <c r="SGL105" s="14"/>
      <c r="SGM105" s="14"/>
      <c r="SGN105" s="36"/>
      <c r="SGO105" s="14"/>
      <c r="SGP105" s="14"/>
      <c r="SGQ105" s="14"/>
      <c r="SGR105" s="14"/>
      <c r="SGS105" s="14"/>
      <c r="SGT105" s="14"/>
      <c r="SGU105" s="14"/>
      <c r="SGV105" s="36"/>
      <c r="SGW105" s="14"/>
      <c r="SGX105" s="14"/>
      <c r="SGY105" s="14"/>
      <c r="SGZ105" s="14"/>
      <c r="SHA105" s="14"/>
      <c r="SHB105" s="14"/>
      <c r="SHC105" s="14"/>
      <c r="SHD105" s="36"/>
      <c r="SHE105" s="14"/>
      <c r="SHF105" s="14"/>
      <c r="SHG105" s="14"/>
      <c r="SHH105" s="14"/>
      <c r="SHI105" s="14"/>
      <c r="SHJ105" s="14"/>
      <c r="SHK105" s="14"/>
      <c r="SHL105" s="36"/>
      <c r="SHM105" s="14"/>
      <c r="SHN105" s="14"/>
      <c r="SHO105" s="14"/>
      <c r="SHP105" s="14"/>
      <c r="SHQ105" s="14"/>
      <c r="SHR105" s="14"/>
      <c r="SHS105" s="14"/>
      <c r="SHT105" s="36"/>
      <c r="SHU105" s="14"/>
      <c r="SHV105" s="14"/>
      <c r="SHW105" s="14"/>
      <c r="SHX105" s="14"/>
      <c r="SHY105" s="14"/>
      <c r="SHZ105" s="14"/>
      <c r="SIA105" s="14"/>
      <c r="SIB105" s="36"/>
      <c r="SIC105" s="14"/>
      <c r="SID105" s="14"/>
      <c r="SIE105" s="14"/>
      <c r="SIF105" s="14"/>
      <c r="SIG105" s="14"/>
      <c r="SIH105" s="14"/>
      <c r="SII105" s="14"/>
      <c r="SIJ105" s="36"/>
      <c r="SIK105" s="14"/>
      <c r="SIL105" s="14"/>
      <c r="SIM105" s="14"/>
      <c r="SIN105" s="14"/>
      <c r="SIO105" s="14"/>
      <c r="SIP105" s="14"/>
      <c r="SIQ105" s="14"/>
      <c r="SIR105" s="36"/>
      <c r="SIS105" s="14"/>
      <c r="SIT105" s="14"/>
      <c r="SIU105" s="14"/>
      <c r="SIV105" s="14"/>
      <c r="SIW105" s="14"/>
      <c r="SIX105" s="14"/>
      <c r="SIY105" s="14"/>
      <c r="SIZ105" s="36"/>
      <c r="SJA105" s="14"/>
      <c r="SJB105" s="14"/>
      <c r="SJC105" s="14"/>
      <c r="SJD105" s="14"/>
      <c r="SJE105" s="14"/>
      <c r="SJF105" s="14"/>
      <c r="SJG105" s="14"/>
      <c r="SJH105" s="36"/>
      <c r="SJI105" s="14"/>
      <c r="SJJ105" s="14"/>
      <c r="SJK105" s="14"/>
      <c r="SJL105" s="14"/>
      <c r="SJM105" s="14"/>
      <c r="SJN105" s="14"/>
      <c r="SJO105" s="14"/>
      <c r="SJP105" s="36"/>
      <c r="SJQ105" s="14"/>
      <c r="SJR105" s="14"/>
      <c r="SJS105" s="14"/>
      <c r="SJT105" s="14"/>
      <c r="SJU105" s="14"/>
      <c r="SJV105" s="14"/>
      <c r="SJW105" s="14"/>
      <c r="SJX105" s="36"/>
      <c r="SJY105" s="14"/>
      <c r="SJZ105" s="14"/>
      <c r="SKA105" s="14"/>
      <c r="SKB105" s="14"/>
      <c r="SKC105" s="14"/>
      <c r="SKD105" s="14"/>
      <c r="SKE105" s="14"/>
      <c r="SKF105" s="36"/>
      <c r="SKG105" s="14"/>
      <c r="SKH105" s="14"/>
      <c r="SKI105" s="14"/>
      <c r="SKJ105" s="14"/>
      <c r="SKK105" s="14"/>
      <c r="SKL105" s="14"/>
      <c r="SKM105" s="14"/>
      <c r="SKN105" s="36"/>
      <c r="SKO105" s="14"/>
      <c r="SKP105" s="14"/>
      <c r="SKQ105" s="14"/>
      <c r="SKR105" s="14"/>
      <c r="SKS105" s="14"/>
      <c r="SKT105" s="14"/>
      <c r="SKU105" s="14"/>
      <c r="SKV105" s="36"/>
      <c r="SKW105" s="14"/>
      <c r="SKX105" s="14"/>
      <c r="SKY105" s="14"/>
      <c r="SKZ105" s="14"/>
      <c r="SLA105" s="14"/>
      <c r="SLB105" s="14"/>
      <c r="SLC105" s="14"/>
      <c r="SLD105" s="36"/>
      <c r="SLE105" s="14"/>
      <c r="SLF105" s="14"/>
      <c r="SLG105" s="14"/>
      <c r="SLH105" s="14"/>
      <c r="SLI105" s="14"/>
      <c r="SLJ105" s="14"/>
      <c r="SLK105" s="14"/>
      <c r="SLL105" s="36"/>
      <c r="SLM105" s="14"/>
      <c r="SLN105" s="14"/>
      <c r="SLO105" s="14"/>
      <c r="SLP105" s="14"/>
      <c r="SLQ105" s="14"/>
      <c r="SLR105" s="14"/>
      <c r="SLS105" s="14"/>
      <c r="SLT105" s="36"/>
      <c r="SLU105" s="14"/>
      <c r="SLV105" s="14"/>
      <c r="SLW105" s="14"/>
      <c r="SLX105" s="14"/>
      <c r="SLY105" s="14"/>
      <c r="SLZ105" s="14"/>
      <c r="SMA105" s="14"/>
      <c r="SMB105" s="36"/>
      <c r="SMC105" s="14"/>
      <c r="SMD105" s="14"/>
      <c r="SME105" s="14"/>
      <c r="SMF105" s="14"/>
      <c r="SMG105" s="14"/>
      <c r="SMH105" s="14"/>
      <c r="SMI105" s="14"/>
      <c r="SMJ105" s="36"/>
      <c r="SMK105" s="14"/>
      <c r="SML105" s="14"/>
      <c r="SMM105" s="14"/>
      <c r="SMN105" s="14"/>
      <c r="SMO105" s="14"/>
      <c r="SMP105" s="14"/>
      <c r="SMQ105" s="14"/>
      <c r="SMR105" s="36"/>
      <c r="SMS105" s="14"/>
      <c r="SMT105" s="14"/>
      <c r="SMU105" s="14"/>
      <c r="SMV105" s="14"/>
      <c r="SMW105" s="14"/>
      <c r="SMX105" s="14"/>
      <c r="SMY105" s="14"/>
      <c r="SMZ105" s="36"/>
      <c r="SNA105" s="14"/>
      <c r="SNB105" s="14"/>
      <c r="SNC105" s="14"/>
      <c r="SND105" s="14"/>
      <c r="SNE105" s="14"/>
      <c r="SNF105" s="14"/>
      <c r="SNG105" s="14"/>
      <c r="SNH105" s="36"/>
      <c r="SNI105" s="14"/>
      <c r="SNJ105" s="14"/>
      <c r="SNK105" s="14"/>
      <c r="SNL105" s="14"/>
      <c r="SNM105" s="14"/>
      <c r="SNN105" s="14"/>
      <c r="SNO105" s="14"/>
      <c r="SNP105" s="36"/>
      <c r="SNQ105" s="14"/>
      <c r="SNR105" s="14"/>
      <c r="SNS105" s="14"/>
      <c r="SNT105" s="14"/>
      <c r="SNU105" s="14"/>
      <c r="SNV105" s="14"/>
      <c r="SNW105" s="14"/>
      <c r="SNX105" s="36"/>
      <c r="SNY105" s="14"/>
      <c r="SNZ105" s="14"/>
      <c r="SOA105" s="14"/>
      <c r="SOB105" s="14"/>
      <c r="SOC105" s="14"/>
      <c r="SOD105" s="14"/>
      <c r="SOE105" s="14"/>
      <c r="SOF105" s="36"/>
      <c r="SOG105" s="14"/>
      <c r="SOH105" s="14"/>
      <c r="SOI105" s="14"/>
      <c r="SOJ105" s="14"/>
      <c r="SOK105" s="14"/>
      <c r="SOL105" s="14"/>
      <c r="SOM105" s="14"/>
      <c r="SON105" s="36"/>
      <c r="SOO105" s="14"/>
      <c r="SOP105" s="14"/>
      <c r="SOQ105" s="14"/>
      <c r="SOR105" s="14"/>
      <c r="SOS105" s="14"/>
      <c r="SOT105" s="14"/>
      <c r="SOU105" s="14"/>
      <c r="SOV105" s="36"/>
      <c r="SOW105" s="14"/>
      <c r="SOX105" s="14"/>
      <c r="SOY105" s="14"/>
      <c r="SOZ105" s="14"/>
      <c r="SPA105" s="14"/>
      <c r="SPB105" s="14"/>
      <c r="SPC105" s="14"/>
      <c r="SPD105" s="36"/>
      <c r="SPE105" s="14"/>
      <c r="SPF105" s="14"/>
      <c r="SPG105" s="14"/>
      <c r="SPH105" s="14"/>
      <c r="SPI105" s="14"/>
      <c r="SPJ105" s="14"/>
      <c r="SPK105" s="14"/>
      <c r="SPL105" s="36"/>
      <c r="SPM105" s="14"/>
      <c r="SPN105" s="14"/>
      <c r="SPO105" s="14"/>
      <c r="SPP105" s="14"/>
      <c r="SPQ105" s="14"/>
      <c r="SPR105" s="14"/>
      <c r="SPS105" s="14"/>
      <c r="SPT105" s="36"/>
      <c r="SPU105" s="14"/>
      <c r="SPV105" s="14"/>
      <c r="SPW105" s="14"/>
      <c r="SPX105" s="14"/>
      <c r="SPY105" s="14"/>
      <c r="SPZ105" s="14"/>
      <c r="SQA105" s="14"/>
      <c r="SQB105" s="36"/>
      <c r="SQC105" s="14"/>
      <c r="SQD105" s="14"/>
      <c r="SQE105" s="14"/>
      <c r="SQF105" s="14"/>
      <c r="SQG105" s="14"/>
      <c r="SQH105" s="14"/>
      <c r="SQI105" s="14"/>
      <c r="SQJ105" s="36"/>
      <c r="SQK105" s="14"/>
      <c r="SQL105" s="14"/>
      <c r="SQM105" s="14"/>
      <c r="SQN105" s="14"/>
      <c r="SQO105" s="14"/>
      <c r="SQP105" s="14"/>
      <c r="SQQ105" s="14"/>
      <c r="SQR105" s="36"/>
      <c r="SQS105" s="14"/>
      <c r="SQT105" s="14"/>
      <c r="SQU105" s="14"/>
      <c r="SQV105" s="14"/>
      <c r="SQW105" s="14"/>
      <c r="SQX105" s="14"/>
      <c r="SQY105" s="14"/>
      <c r="SQZ105" s="36"/>
      <c r="SRA105" s="14"/>
      <c r="SRB105" s="14"/>
      <c r="SRC105" s="14"/>
      <c r="SRD105" s="14"/>
      <c r="SRE105" s="14"/>
      <c r="SRF105" s="14"/>
      <c r="SRG105" s="14"/>
      <c r="SRH105" s="36"/>
      <c r="SRI105" s="14"/>
      <c r="SRJ105" s="14"/>
      <c r="SRK105" s="14"/>
      <c r="SRL105" s="14"/>
      <c r="SRM105" s="14"/>
      <c r="SRN105" s="14"/>
      <c r="SRO105" s="14"/>
      <c r="SRP105" s="36"/>
      <c r="SRQ105" s="14"/>
      <c r="SRR105" s="14"/>
      <c r="SRS105" s="14"/>
      <c r="SRT105" s="14"/>
      <c r="SRU105" s="14"/>
      <c r="SRV105" s="14"/>
      <c r="SRW105" s="14"/>
      <c r="SRX105" s="36"/>
      <c r="SRY105" s="14"/>
      <c r="SRZ105" s="14"/>
      <c r="SSA105" s="14"/>
      <c r="SSB105" s="14"/>
      <c r="SSC105" s="14"/>
      <c r="SSD105" s="14"/>
      <c r="SSE105" s="14"/>
      <c r="SSF105" s="36"/>
      <c r="SSG105" s="14"/>
      <c r="SSH105" s="14"/>
      <c r="SSI105" s="14"/>
      <c r="SSJ105" s="14"/>
      <c r="SSK105" s="14"/>
      <c r="SSL105" s="14"/>
      <c r="SSM105" s="14"/>
      <c r="SSN105" s="36"/>
      <c r="SSO105" s="14"/>
      <c r="SSP105" s="14"/>
      <c r="SSQ105" s="14"/>
      <c r="SSR105" s="14"/>
      <c r="SSS105" s="14"/>
      <c r="SST105" s="14"/>
      <c r="SSU105" s="14"/>
      <c r="SSV105" s="36"/>
      <c r="SSW105" s="14"/>
      <c r="SSX105" s="14"/>
      <c r="SSY105" s="14"/>
      <c r="SSZ105" s="14"/>
      <c r="STA105" s="14"/>
      <c r="STB105" s="14"/>
      <c r="STC105" s="14"/>
      <c r="STD105" s="36"/>
      <c r="STE105" s="14"/>
      <c r="STF105" s="14"/>
      <c r="STG105" s="14"/>
      <c r="STH105" s="14"/>
      <c r="STI105" s="14"/>
      <c r="STJ105" s="14"/>
      <c r="STK105" s="14"/>
      <c r="STL105" s="36"/>
      <c r="STM105" s="14"/>
      <c r="STN105" s="14"/>
      <c r="STO105" s="14"/>
      <c r="STP105" s="14"/>
      <c r="STQ105" s="14"/>
      <c r="STR105" s="14"/>
      <c r="STS105" s="14"/>
      <c r="STT105" s="36"/>
      <c r="STU105" s="14"/>
      <c r="STV105" s="14"/>
      <c r="STW105" s="14"/>
      <c r="STX105" s="14"/>
      <c r="STY105" s="14"/>
      <c r="STZ105" s="14"/>
      <c r="SUA105" s="14"/>
      <c r="SUB105" s="36"/>
      <c r="SUC105" s="14"/>
      <c r="SUD105" s="14"/>
      <c r="SUE105" s="14"/>
      <c r="SUF105" s="14"/>
      <c r="SUG105" s="14"/>
      <c r="SUH105" s="14"/>
      <c r="SUI105" s="14"/>
      <c r="SUJ105" s="36"/>
      <c r="SUK105" s="14"/>
      <c r="SUL105" s="14"/>
      <c r="SUM105" s="14"/>
      <c r="SUN105" s="14"/>
      <c r="SUO105" s="14"/>
      <c r="SUP105" s="14"/>
      <c r="SUQ105" s="14"/>
      <c r="SUR105" s="36"/>
      <c r="SUS105" s="14"/>
      <c r="SUT105" s="14"/>
      <c r="SUU105" s="14"/>
      <c r="SUV105" s="14"/>
      <c r="SUW105" s="14"/>
      <c r="SUX105" s="14"/>
      <c r="SUY105" s="14"/>
      <c r="SUZ105" s="36"/>
      <c r="SVA105" s="14"/>
      <c r="SVB105" s="14"/>
      <c r="SVC105" s="14"/>
      <c r="SVD105" s="14"/>
      <c r="SVE105" s="14"/>
      <c r="SVF105" s="14"/>
      <c r="SVG105" s="14"/>
      <c r="SVH105" s="36"/>
      <c r="SVI105" s="14"/>
      <c r="SVJ105" s="14"/>
      <c r="SVK105" s="14"/>
      <c r="SVL105" s="14"/>
      <c r="SVM105" s="14"/>
      <c r="SVN105" s="14"/>
      <c r="SVO105" s="14"/>
      <c r="SVP105" s="36"/>
      <c r="SVQ105" s="14"/>
      <c r="SVR105" s="14"/>
      <c r="SVS105" s="14"/>
      <c r="SVT105" s="14"/>
      <c r="SVU105" s="14"/>
      <c r="SVV105" s="14"/>
      <c r="SVW105" s="14"/>
      <c r="SVX105" s="36"/>
      <c r="SVY105" s="14"/>
      <c r="SVZ105" s="14"/>
      <c r="SWA105" s="14"/>
      <c r="SWB105" s="14"/>
      <c r="SWC105" s="14"/>
      <c r="SWD105" s="14"/>
      <c r="SWE105" s="14"/>
      <c r="SWF105" s="36"/>
      <c r="SWG105" s="14"/>
      <c r="SWH105" s="14"/>
      <c r="SWI105" s="14"/>
      <c r="SWJ105" s="14"/>
      <c r="SWK105" s="14"/>
      <c r="SWL105" s="14"/>
      <c r="SWM105" s="14"/>
      <c r="SWN105" s="36"/>
      <c r="SWO105" s="14"/>
      <c r="SWP105" s="14"/>
      <c r="SWQ105" s="14"/>
      <c r="SWR105" s="14"/>
      <c r="SWS105" s="14"/>
      <c r="SWT105" s="14"/>
      <c r="SWU105" s="14"/>
      <c r="SWV105" s="36"/>
      <c r="SWW105" s="14"/>
      <c r="SWX105" s="14"/>
      <c r="SWY105" s="14"/>
      <c r="SWZ105" s="14"/>
      <c r="SXA105" s="14"/>
      <c r="SXB105" s="14"/>
      <c r="SXC105" s="14"/>
      <c r="SXD105" s="36"/>
      <c r="SXE105" s="14"/>
      <c r="SXF105" s="14"/>
      <c r="SXG105" s="14"/>
      <c r="SXH105" s="14"/>
      <c r="SXI105" s="14"/>
      <c r="SXJ105" s="14"/>
      <c r="SXK105" s="14"/>
      <c r="SXL105" s="36"/>
      <c r="SXM105" s="14"/>
      <c r="SXN105" s="14"/>
      <c r="SXO105" s="14"/>
      <c r="SXP105" s="14"/>
      <c r="SXQ105" s="14"/>
      <c r="SXR105" s="14"/>
      <c r="SXS105" s="14"/>
      <c r="SXT105" s="36"/>
      <c r="SXU105" s="14"/>
      <c r="SXV105" s="14"/>
      <c r="SXW105" s="14"/>
      <c r="SXX105" s="14"/>
      <c r="SXY105" s="14"/>
      <c r="SXZ105" s="14"/>
      <c r="SYA105" s="14"/>
      <c r="SYB105" s="36"/>
      <c r="SYC105" s="14"/>
      <c r="SYD105" s="14"/>
      <c r="SYE105" s="14"/>
      <c r="SYF105" s="14"/>
      <c r="SYG105" s="14"/>
      <c r="SYH105" s="14"/>
      <c r="SYI105" s="14"/>
      <c r="SYJ105" s="36"/>
      <c r="SYK105" s="14"/>
      <c r="SYL105" s="14"/>
      <c r="SYM105" s="14"/>
      <c r="SYN105" s="14"/>
      <c r="SYO105" s="14"/>
      <c r="SYP105" s="14"/>
      <c r="SYQ105" s="14"/>
      <c r="SYR105" s="36"/>
      <c r="SYS105" s="14"/>
      <c r="SYT105" s="14"/>
      <c r="SYU105" s="14"/>
      <c r="SYV105" s="14"/>
      <c r="SYW105" s="14"/>
      <c r="SYX105" s="14"/>
      <c r="SYY105" s="14"/>
      <c r="SYZ105" s="36"/>
      <c r="SZA105" s="14"/>
      <c r="SZB105" s="14"/>
      <c r="SZC105" s="14"/>
      <c r="SZD105" s="14"/>
      <c r="SZE105" s="14"/>
      <c r="SZF105" s="14"/>
      <c r="SZG105" s="14"/>
      <c r="SZH105" s="36"/>
      <c r="SZI105" s="14"/>
      <c r="SZJ105" s="14"/>
      <c r="SZK105" s="14"/>
      <c r="SZL105" s="14"/>
      <c r="SZM105" s="14"/>
      <c r="SZN105" s="14"/>
      <c r="SZO105" s="14"/>
      <c r="SZP105" s="36"/>
      <c r="SZQ105" s="14"/>
      <c r="SZR105" s="14"/>
      <c r="SZS105" s="14"/>
      <c r="SZT105" s="14"/>
      <c r="SZU105" s="14"/>
      <c r="SZV105" s="14"/>
      <c r="SZW105" s="14"/>
      <c r="SZX105" s="36"/>
      <c r="SZY105" s="14"/>
      <c r="SZZ105" s="14"/>
      <c r="TAA105" s="14"/>
      <c r="TAB105" s="14"/>
      <c r="TAC105" s="14"/>
      <c r="TAD105" s="14"/>
      <c r="TAE105" s="14"/>
      <c r="TAF105" s="36"/>
      <c r="TAG105" s="14"/>
      <c r="TAH105" s="14"/>
      <c r="TAI105" s="14"/>
      <c r="TAJ105" s="14"/>
      <c r="TAK105" s="14"/>
      <c r="TAL105" s="14"/>
      <c r="TAM105" s="14"/>
      <c r="TAN105" s="36"/>
      <c r="TAO105" s="14"/>
      <c r="TAP105" s="14"/>
      <c r="TAQ105" s="14"/>
      <c r="TAR105" s="14"/>
      <c r="TAS105" s="14"/>
      <c r="TAT105" s="14"/>
      <c r="TAU105" s="14"/>
      <c r="TAV105" s="36"/>
      <c r="TAW105" s="14"/>
      <c r="TAX105" s="14"/>
      <c r="TAY105" s="14"/>
      <c r="TAZ105" s="14"/>
      <c r="TBA105" s="14"/>
      <c r="TBB105" s="14"/>
      <c r="TBC105" s="14"/>
      <c r="TBD105" s="36"/>
      <c r="TBE105" s="14"/>
      <c r="TBF105" s="14"/>
      <c r="TBG105" s="14"/>
      <c r="TBH105" s="14"/>
      <c r="TBI105" s="14"/>
      <c r="TBJ105" s="14"/>
      <c r="TBK105" s="14"/>
      <c r="TBL105" s="36"/>
      <c r="TBM105" s="14"/>
      <c r="TBN105" s="14"/>
      <c r="TBO105" s="14"/>
      <c r="TBP105" s="14"/>
      <c r="TBQ105" s="14"/>
      <c r="TBR105" s="14"/>
      <c r="TBS105" s="14"/>
      <c r="TBT105" s="36"/>
      <c r="TBU105" s="14"/>
      <c r="TBV105" s="14"/>
      <c r="TBW105" s="14"/>
      <c r="TBX105" s="14"/>
      <c r="TBY105" s="14"/>
      <c r="TBZ105" s="14"/>
      <c r="TCA105" s="14"/>
      <c r="TCB105" s="36"/>
      <c r="TCC105" s="14"/>
      <c r="TCD105" s="14"/>
      <c r="TCE105" s="14"/>
      <c r="TCF105" s="14"/>
      <c r="TCG105" s="14"/>
      <c r="TCH105" s="14"/>
      <c r="TCI105" s="14"/>
      <c r="TCJ105" s="36"/>
      <c r="TCK105" s="14"/>
      <c r="TCL105" s="14"/>
      <c r="TCM105" s="14"/>
      <c r="TCN105" s="14"/>
      <c r="TCO105" s="14"/>
      <c r="TCP105" s="14"/>
      <c r="TCQ105" s="14"/>
      <c r="TCR105" s="36"/>
      <c r="TCS105" s="14"/>
      <c r="TCT105" s="14"/>
      <c r="TCU105" s="14"/>
      <c r="TCV105" s="14"/>
      <c r="TCW105" s="14"/>
      <c r="TCX105" s="14"/>
      <c r="TCY105" s="14"/>
      <c r="TCZ105" s="36"/>
      <c r="TDA105" s="14"/>
      <c r="TDB105" s="14"/>
      <c r="TDC105" s="14"/>
      <c r="TDD105" s="14"/>
      <c r="TDE105" s="14"/>
      <c r="TDF105" s="14"/>
      <c r="TDG105" s="14"/>
      <c r="TDH105" s="36"/>
      <c r="TDI105" s="14"/>
      <c r="TDJ105" s="14"/>
      <c r="TDK105" s="14"/>
      <c r="TDL105" s="14"/>
      <c r="TDM105" s="14"/>
      <c r="TDN105" s="14"/>
      <c r="TDO105" s="14"/>
      <c r="TDP105" s="36"/>
      <c r="TDQ105" s="14"/>
      <c r="TDR105" s="14"/>
      <c r="TDS105" s="14"/>
      <c r="TDT105" s="14"/>
      <c r="TDU105" s="14"/>
      <c r="TDV105" s="14"/>
      <c r="TDW105" s="14"/>
      <c r="TDX105" s="36"/>
      <c r="TDY105" s="14"/>
      <c r="TDZ105" s="14"/>
      <c r="TEA105" s="14"/>
      <c r="TEB105" s="14"/>
      <c r="TEC105" s="14"/>
      <c r="TED105" s="14"/>
      <c r="TEE105" s="14"/>
      <c r="TEF105" s="36"/>
      <c r="TEG105" s="14"/>
      <c r="TEH105" s="14"/>
      <c r="TEI105" s="14"/>
      <c r="TEJ105" s="14"/>
      <c r="TEK105" s="14"/>
      <c r="TEL105" s="14"/>
      <c r="TEM105" s="14"/>
      <c r="TEN105" s="36"/>
      <c r="TEO105" s="14"/>
      <c r="TEP105" s="14"/>
      <c r="TEQ105" s="14"/>
      <c r="TER105" s="14"/>
      <c r="TES105" s="14"/>
      <c r="TET105" s="14"/>
      <c r="TEU105" s="14"/>
      <c r="TEV105" s="36"/>
      <c r="TEW105" s="14"/>
      <c r="TEX105" s="14"/>
      <c r="TEY105" s="14"/>
      <c r="TEZ105" s="14"/>
      <c r="TFA105" s="14"/>
      <c r="TFB105" s="14"/>
      <c r="TFC105" s="14"/>
      <c r="TFD105" s="36"/>
      <c r="TFE105" s="14"/>
      <c r="TFF105" s="14"/>
      <c r="TFG105" s="14"/>
      <c r="TFH105" s="14"/>
      <c r="TFI105" s="14"/>
      <c r="TFJ105" s="14"/>
      <c r="TFK105" s="14"/>
      <c r="TFL105" s="36"/>
      <c r="TFM105" s="14"/>
      <c r="TFN105" s="14"/>
      <c r="TFO105" s="14"/>
      <c r="TFP105" s="14"/>
      <c r="TFQ105" s="14"/>
      <c r="TFR105" s="14"/>
      <c r="TFS105" s="14"/>
      <c r="TFT105" s="36"/>
      <c r="TFU105" s="14"/>
      <c r="TFV105" s="14"/>
      <c r="TFW105" s="14"/>
      <c r="TFX105" s="14"/>
      <c r="TFY105" s="14"/>
      <c r="TFZ105" s="14"/>
      <c r="TGA105" s="14"/>
      <c r="TGB105" s="36"/>
      <c r="TGC105" s="14"/>
      <c r="TGD105" s="14"/>
      <c r="TGE105" s="14"/>
      <c r="TGF105" s="14"/>
      <c r="TGG105" s="14"/>
      <c r="TGH105" s="14"/>
      <c r="TGI105" s="14"/>
      <c r="TGJ105" s="36"/>
      <c r="TGK105" s="14"/>
      <c r="TGL105" s="14"/>
      <c r="TGM105" s="14"/>
      <c r="TGN105" s="14"/>
      <c r="TGO105" s="14"/>
      <c r="TGP105" s="14"/>
      <c r="TGQ105" s="14"/>
      <c r="TGR105" s="36"/>
      <c r="TGS105" s="14"/>
      <c r="TGT105" s="14"/>
      <c r="TGU105" s="14"/>
      <c r="TGV105" s="14"/>
      <c r="TGW105" s="14"/>
      <c r="TGX105" s="14"/>
      <c r="TGY105" s="14"/>
      <c r="TGZ105" s="36"/>
      <c r="THA105" s="14"/>
      <c r="THB105" s="14"/>
      <c r="THC105" s="14"/>
      <c r="THD105" s="14"/>
      <c r="THE105" s="14"/>
      <c r="THF105" s="14"/>
      <c r="THG105" s="14"/>
      <c r="THH105" s="36"/>
      <c r="THI105" s="14"/>
      <c r="THJ105" s="14"/>
      <c r="THK105" s="14"/>
      <c r="THL105" s="14"/>
      <c r="THM105" s="14"/>
      <c r="THN105" s="14"/>
      <c r="THO105" s="14"/>
      <c r="THP105" s="36"/>
      <c r="THQ105" s="14"/>
      <c r="THR105" s="14"/>
      <c r="THS105" s="14"/>
      <c r="THT105" s="14"/>
      <c r="THU105" s="14"/>
      <c r="THV105" s="14"/>
      <c r="THW105" s="14"/>
      <c r="THX105" s="36"/>
      <c r="THY105" s="14"/>
      <c r="THZ105" s="14"/>
      <c r="TIA105" s="14"/>
      <c r="TIB105" s="14"/>
      <c r="TIC105" s="14"/>
      <c r="TID105" s="14"/>
      <c r="TIE105" s="14"/>
      <c r="TIF105" s="36"/>
      <c r="TIG105" s="14"/>
      <c r="TIH105" s="14"/>
      <c r="TII105" s="14"/>
      <c r="TIJ105" s="14"/>
      <c r="TIK105" s="14"/>
      <c r="TIL105" s="14"/>
      <c r="TIM105" s="14"/>
      <c r="TIN105" s="36"/>
      <c r="TIO105" s="14"/>
      <c r="TIP105" s="14"/>
      <c r="TIQ105" s="14"/>
      <c r="TIR105" s="14"/>
      <c r="TIS105" s="14"/>
      <c r="TIT105" s="14"/>
      <c r="TIU105" s="14"/>
      <c r="TIV105" s="36"/>
      <c r="TIW105" s="14"/>
      <c r="TIX105" s="14"/>
      <c r="TIY105" s="14"/>
      <c r="TIZ105" s="14"/>
      <c r="TJA105" s="14"/>
      <c r="TJB105" s="14"/>
      <c r="TJC105" s="14"/>
      <c r="TJD105" s="36"/>
      <c r="TJE105" s="14"/>
      <c r="TJF105" s="14"/>
      <c r="TJG105" s="14"/>
      <c r="TJH105" s="14"/>
      <c r="TJI105" s="14"/>
      <c r="TJJ105" s="14"/>
      <c r="TJK105" s="14"/>
      <c r="TJL105" s="36"/>
      <c r="TJM105" s="14"/>
      <c r="TJN105" s="14"/>
      <c r="TJO105" s="14"/>
      <c r="TJP105" s="14"/>
      <c r="TJQ105" s="14"/>
      <c r="TJR105" s="14"/>
      <c r="TJS105" s="14"/>
      <c r="TJT105" s="36"/>
      <c r="TJU105" s="14"/>
      <c r="TJV105" s="14"/>
      <c r="TJW105" s="14"/>
      <c r="TJX105" s="14"/>
      <c r="TJY105" s="14"/>
      <c r="TJZ105" s="14"/>
      <c r="TKA105" s="14"/>
      <c r="TKB105" s="36"/>
      <c r="TKC105" s="14"/>
      <c r="TKD105" s="14"/>
      <c r="TKE105" s="14"/>
      <c r="TKF105" s="14"/>
      <c r="TKG105" s="14"/>
      <c r="TKH105" s="14"/>
      <c r="TKI105" s="14"/>
      <c r="TKJ105" s="36"/>
      <c r="TKK105" s="14"/>
      <c r="TKL105" s="14"/>
      <c r="TKM105" s="14"/>
      <c r="TKN105" s="14"/>
      <c r="TKO105" s="14"/>
      <c r="TKP105" s="14"/>
      <c r="TKQ105" s="14"/>
      <c r="TKR105" s="36"/>
      <c r="TKS105" s="14"/>
      <c r="TKT105" s="14"/>
      <c r="TKU105" s="14"/>
      <c r="TKV105" s="14"/>
      <c r="TKW105" s="14"/>
      <c r="TKX105" s="14"/>
      <c r="TKY105" s="14"/>
      <c r="TKZ105" s="36"/>
      <c r="TLA105" s="14"/>
      <c r="TLB105" s="14"/>
      <c r="TLC105" s="14"/>
      <c r="TLD105" s="14"/>
      <c r="TLE105" s="14"/>
      <c r="TLF105" s="14"/>
      <c r="TLG105" s="14"/>
      <c r="TLH105" s="36"/>
      <c r="TLI105" s="14"/>
      <c r="TLJ105" s="14"/>
      <c r="TLK105" s="14"/>
      <c r="TLL105" s="14"/>
      <c r="TLM105" s="14"/>
      <c r="TLN105" s="14"/>
      <c r="TLO105" s="14"/>
      <c r="TLP105" s="36"/>
      <c r="TLQ105" s="14"/>
      <c r="TLR105" s="14"/>
      <c r="TLS105" s="14"/>
      <c r="TLT105" s="14"/>
      <c r="TLU105" s="14"/>
      <c r="TLV105" s="14"/>
      <c r="TLW105" s="14"/>
      <c r="TLX105" s="36"/>
      <c r="TLY105" s="14"/>
      <c r="TLZ105" s="14"/>
      <c r="TMA105" s="14"/>
      <c r="TMB105" s="14"/>
      <c r="TMC105" s="14"/>
      <c r="TMD105" s="14"/>
      <c r="TME105" s="14"/>
      <c r="TMF105" s="36"/>
      <c r="TMG105" s="14"/>
      <c r="TMH105" s="14"/>
      <c r="TMI105" s="14"/>
      <c r="TMJ105" s="14"/>
      <c r="TMK105" s="14"/>
      <c r="TML105" s="14"/>
      <c r="TMM105" s="14"/>
      <c r="TMN105" s="36"/>
      <c r="TMO105" s="14"/>
      <c r="TMP105" s="14"/>
      <c r="TMQ105" s="14"/>
      <c r="TMR105" s="14"/>
      <c r="TMS105" s="14"/>
      <c r="TMT105" s="14"/>
      <c r="TMU105" s="14"/>
      <c r="TMV105" s="36"/>
      <c r="TMW105" s="14"/>
      <c r="TMX105" s="14"/>
      <c r="TMY105" s="14"/>
      <c r="TMZ105" s="14"/>
      <c r="TNA105" s="14"/>
      <c r="TNB105" s="14"/>
      <c r="TNC105" s="14"/>
      <c r="TND105" s="36"/>
      <c r="TNE105" s="14"/>
      <c r="TNF105" s="14"/>
      <c r="TNG105" s="14"/>
      <c r="TNH105" s="14"/>
      <c r="TNI105" s="14"/>
      <c r="TNJ105" s="14"/>
      <c r="TNK105" s="14"/>
      <c r="TNL105" s="36"/>
      <c r="TNM105" s="14"/>
      <c r="TNN105" s="14"/>
      <c r="TNO105" s="14"/>
      <c r="TNP105" s="14"/>
      <c r="TNQ105" s="14"/>
      <c r="TNR105" s="14"/>
      <c r="TNS105" s="14"/>
      <c r="TNT105" s="36"/>
      <c r="TNU105" s="14"/>
      <c r="TNV105" s="14"/>
      <c r="TNW105" s="14"/>
      <c r="TNX105" s="14"/>
      <c r="TNY105" s="14"/>
      <c r="TNZ105" s="14"/>
      <c r="TOA105" s="14"/>
      <c r="TOB105" s="36"/>
      <c r="TOC105" s="14"/>
      <c r="TOD105" s="14"/>
      <c r="TOE105" s="14"/>
      <c r="TOF105" s="14"/>
      <c r="TOG105" s="14"/>
      <c r="TOH105" s="14"/>
      <c r="TOI105" s="14"/>
      <c r="TOJ105" s="36"/>
      <c r="TOK105" s="14"/>
      <c r="TOL105" s="14"/>
      <c r="TOM105" s="14"/>
      <c r="TON105" s="14"/>
      <c r="TOO105" s="14"/>
      <c r="TOP105" s="14"/>
      <c r="TOQ105" s="14"/>
      <c r="TOR105" s="36"/>
      <c r="TOS105" s="14"/>
      <c r="TOT105" s="14"/>
      <c r="TOU105" s="14"/>
      <c r="TOV105" s="14"/>
      <c r="TOW105" s="14"/>
      <c r="TOX105" s="14"/>
      <c r="TOY105" s="14"/>
      <c r="TOZ105" s="36"/>
      <c r="TPA105" s="14"/>
      <c r="TPB105" s="14"/>
      <c r="TPC105" s="14"/>
      <c r="TPD105" s="14"/>
      <c r="TPE105" s="14"/>
      <c r="TPF105" s="14"/>
      <c r="TPG105" s="14"/>
      <c r="TPH105" s="36"/>
      <c r="TPI105" s="14"/>
      <c r="TPJ105" s="14"/>
      <c r="TPK105" s="14"/>
      <c r="TPL105" s="14"/>
      <c r="TPM105" s="14"/>
      <c r="TPN105" s="14"/>
      <c r="TPO105" s="14"/>
      <c r="TPP105" s="36"/>
      <c r="TPQ105" s="14"/>
      <c r="TPR105" s="14"/>
      <c r="TPS105" s="14"/>
      <c r="TPT105" s="14"/>
      <c r="TPU105" s="14"/>
      <c r="TPV105" s="14"/>
      <c r="TPW105" s="14"/>
      <c r="TPX105" s="36"/>
      <c r="TPY105" s="14"/>
      <c r="TPZ105" s="14"/>
      <c r="TQA105" s="14"/>
      <c r="TQB105" s="14"/>
      <c r="TQC105" s="14"/>
      <c r="TQD105" s="14"/>
      <c r="TQE105" s="14"/>
      <c r="TQF105" s="36"/>
      <c r="TQG105" s="14"/>
      <c r="TQH105" s="14"/>
      <c r="TQI105" s="14"/>
      <c r="TQJ105" s="14"/>
      <c r="TQK105" s="14"/>
      <c r="TQL105" s="14"/>
      <c r="TQM105" s="14"/>
      <c r="TQN105" s="36"/>
      <c r="TQO105" s="14"/>
      <c r="TQP105" s="14"/>
      <c r="TQQ105" s="14"/>
      <c r="TQR105" s="14"/>
      <c r="TQS105" s="14"/>
      <c r="TQT105" s="14"/>
      <c r="TQU105" s="14"/>
      <c r="TQV105" s="36"/>
      <c r="TQW105" s="14"/>
      <c r="TQX105" s="14"/>
      <c r="TQY105" s="14"/>
      <c r="TQZ105" s="14"/>
      <c r="TRA105" s="14"/>
      <c r="TRB105" s="14"/>
      <c r="TRC105" s="14"/>
      <c r="TRD105" s="36"/>
      <c r="TRE105" s="14"/>
      <c r="TRF105" s="14"/>
      <c r="TRG105" s="14"/>
      <c r="TRH105" s="14"/>
      <c r="TRI105" s="14"/>
      <c r="TRJ105" s="14"/>
      <c r="TRK105" s="14"/>
      <c r="TRL105" s="36"/>
      <c r="TRM105" s="14"/>
      <c r="TRN105" s="14"/>
      <c r="TRO105" s="14"/>
      <c r="TRP105" s="14"/>
      <c r="TRQ105" s="14"/>
      <c r="TRR105" s="14"/>
      <c r="TRS105" s="14"/>
      <c r="TRT105" s="36"/>
      <c r="TRU105" s="14"/>
      <c r="TRV105" s="14"/>
      <c r="TRW105" s="14"/>
      <c r="TRX105" s="14"/>
      <c r="TRY105" s="14"/>
      <c r="TRZ105" s="14"/>
      <c r="TSA105" s="14"/>
      <c r="TSB105" s="36"/>
      <c r="TSC105" s="14"/>
      <c r="TSD105" s="14"/>
      <c r="TSE105" s="14"/>
      <c r="TSF105" s="14"/>
      <c r="TSG105" s="14"/>
      <c r="TSH105" s="14"/>
      <c r="TSI105" s="14"/>
      <c r="TSJ105" s="36"/>
      <c r="TSK105" s="14"/>
      <c r="TSL105" s="14"/>
      <c r="TSM105" s="14"/>
      <c r="TSN105" s="14"/>
      <c r="TSO105" s="14"/>
      <c r="TSP105" s="14"/>
      <c r="TSQ105" s="14"/>
      <c r="TSR105" s="36"/>
      <c r="TSS105" s="14"/>
      <c r="TST105" s="14"/>
      <c r="TSU105" s="14"/>
      <c r="TSV105" s="14"/>
      <c r="TSW105" s="14"/>
      <c r="TSX105" s="14"/>
      <c r="TSY105" s="14"/>
      <c r="TSZ105" s="36"/>
      <c r="TTA105" s="14"/>
      <c r="TTB105" s="14"/>
      <c r="TTC105" s="14"/>
      <c r="TTD105" s="14"/>
      <c r="TTE105" s="14"/>
      <c r="TTF105" s="14"/>
      <c r="TTG105" s="14"/>
      <c r="TTH105" s="36"/>
      <c r="TTI105" s="14"/>
      <c r="TTJ105" s="14"/>
      <c r="TTK105" s="14"/>
      <c r="TTL105" s="14"/>
      <c r="TTM105" s="14"/>
      <c r="TTN105" s="14"/>
      <c r="TTO105" s="14"/>
      <c r="TTP105" s="36"/>
      <c r="TTQ105" s="14"/>
      <c r="TTR105" s="14"/>
      <c r="TTS105" s="14"/>
      <c r="TTT105" s="14"/>
      <c r="TTU105" s="14"/>
      <c r="TTV105" s="14"/>
      <c r="TTW105" s="14"/>
      <c r="TTX105" s="36"/>
      <c r="TTY105" s="14"/>
      <c r="TTZ105" s="14"/>
      <c r="TUA105" s="14"/>
      <c r="TUB105" s="14"/>
      <c r="TUC105" s="14"/>
      <c r="TUD105" s="14"/>
      <c r="TUE105" s="14"/>
      <c r="TUF105" s="36"/>
      <c r="TUG105" s="14"/>
      <c r="TUH105" s="14"/>
      <c r="TUI105" s="14"/>
      <c r="TUJ105" s="14"/>
      <c r="TUK105" s="14"/>
      <c r="TUL105" s="14"/>
      <c r="TUM105" s="14"/>
      <c r="TUN105" s="36"/>
      <c r="TUO105" s="14"/>
      <c r="TUP105" s="14"/>
      <c r="TUQ105" s="14"/>
      <c r="TUR105" s="14"/>
      <c r="TUS105" s="14"/>
      <c r="TUT105" s="14"/>
      <c r="TUU105" s="14"/>
      <c r="TUV105" s="36"/>
      <c r="TUW105" s="14"/>
      <c r="TUX105" s="14"/>
      <c r="TUY105" s="14"/>
      <c r="TUZ105" s="14"/>
      <c r="TVA105" s="14"/>
      <c r="TVB105" s="14"/>
      <c r="TVC105" s="14"/>
      <c r="TVD105" s="36"/>
      <c r="TVE105" s="14"/>
      <c r="TVF105" s="14"/>
      <c r="TVG105" s="14"/>
      <c r="TVH105" s="14"/>
      <c r="TVI105" s="14"/>
      <c r="TVJ105" s="14"/>
      <c r="TVK105" s="14"/>
      <c r="TVL105" s="36"/>
      <c r="TVM105" s="14"/>
      <c r="TVN105" s="14"/>
      <c r="TVO105" s="14"/>
      <c r="TVP105" s="14"/>
      <c r="TVQ105" s="14"/>
      <c r="TVR105" s="14"/>
      <c r="TVS105" s="14"/>
      <c r="TVT105" s="36"/>
      <c r="TVU105" s="14"/>
      <c r="TVV105" s="14"/>
      <c r="TVW105" s="14"/>
      <c r="TVX105" s="14"/>
      <c r="TVY105" s="14"/>
      <c r="TVZ105" s="14"/>
      <c r="TWA105" s="14"/>
      <c r="TWB105" s="36"/>
      <c r="TWC105" s="14"/>
      <c r="TWD105" s="14"/>
      <c r="TWE105" s="14"/>
      <c r="TWF105" s="14"/>
      <c r="TWG105" s="14"/>
      <c r="TWH105" s="14"/>
      <c r="TWI105" s="14"/>
      <c r="TWJ105" s="36"/>
      <c r="TWK105" s="14"/>
      <c r="TWL105" s="14"/>
      <c r="TWM105" s="14"/>
      <c r="TWN105" s="14"/>
      <c r="TWO105" s="14"/>
      <c r="TWP105" s="14"/>
      <c r="TWQ105" s="14"/>
      <c r="TWR105" s="36"/>
      <c r="TWS105" s="14"/>
      <c r="TWT105" s="14"/>
      <c r="TWU105" s="14"/>
      <c r="TWV105" s="14"/>
      <c r="TWW105" s="14"/>
      <c r="TWX105" s="14"/>
      <c r="TWY105" s="14"/>
      <c r="TWZ105" s="36"/>
      <c r="TXA105" s="14"/>
      <c r="TXB105" s="14"/>
      <c r="TXC105" s="14"/>
      <c r="TXD105" s="14"/>
      <c r="TXE105" s="14"/>
      <c r="TXF105" s="14"/>
      <c r="TXG105" s="14"/>
      <c r="TXH105" s="36"/>
      <c r="TXI105" s="14"/>
      <c r="TXJ105" s="14"/>
      <c r="TXK105" s="14"/>
      <c r="TXL105" s="14"/>
      <c r="TXM105" s="14"/>
      <c r="TXN105" s="14"/>
      <c r="TXO105" s="14"/>
      <c r="TXP105" s="36"/>
      <c r="TXQ105" s="14"/>
      <c r="TXR105" s="14"/>
      <c r="TXS105" s="14"/>
      <c r="TXT105" s="14"/>
      <c r="TXU105" s="14"/>
      <c r="TXV105" s="14"/>
      <c r="TXW105" s="14"/>
      <c r="TXX105" s="36"/>
      <c r="TXY105" s="14"/>
      <c r="TXZ105" s="14"/>
      <c r="TYA105" s="14"/>
      <c r="TYB105" s="14"/>
      <c r="TYC105" s="14"/>
      <c r="TYD105" s="14"/>
      <c r="TYE105" s="14"/>
      <c r="TYF105" s="36"/>
      <c r="TYG105" s="14"/>
      <c r="TYH105" s="14"/>
      <c r="TYI105" s="14"/>
      <c r="TYJ105" s="14"/>
      <c r="TYK105" s="14"/>
      <c r="TYL105" s="14"/>
      <c r="TYM105" s="14"/>
      <c r="TYN105" s="36"/>
      <c r="TYO105" s="14"/>
      <c r="TYP105" s="14"/>
      <c r="TYQ105" s="14"/>
      <c r="TYR105" s="14"/>
      <c r="TYS105" s="14"/>
      <c r="TYT105" s="14"/>
      <c r="TYU105" s="14"/>
      <c r="TYV105" s="36"/>
      <c r="TYW105" s="14"/>
      <c r="TYX105" s="14"/>
      <c r="TYY105" s="14"/>
      <c r="TYZ105" s="14"/>
      <c r="TZA105" s="14"/>
      <c r="TZB105" s="14"/>
      <c r="TZC105" s="14"/>
      <c r="TZD105" s="36"/>
      <c r="TZE105" s="14"/>
      <c r="TZF105" s="14"/>
      <c r="TZG105" s="14"/>
      <c r="TZH105" s="14"/>
      <c r="TZI105" s="14"/>
      <c r="TZJ105" s="14"/>
      <c r="TZK105" s="14"/>
      <c r="TZL105" s="36"/>
      <c r="TZM105" s="14"/>
      <c r="TZN105" s="14"/>
      <c r="TZO105" s="14"/>
      <c r="TZP105" s="14"/>
      <c r="TZQ105" s="14"/>
      <c r="TZR105" s="14"/>
      <c r="TZS105" s="14"/>
      <c r="TZT105" s="36"/>
      <c r="TZU105" s="14"/>
      <c r="TZV105" s="14"/>
      <c r="TZW105" s="14"/>
      <c r="TZX105" s="14"/>
      <c r="TZY105" s="14"/>
      <c r="TZZ105" s="14"/>
      <c r="UAA105" s="14"/>
      <c r="UAB105" s="36"/>
      <c r="UAC105" s="14"/>
      <c r="UAD105" s="14"/>
      <c r="UAE105" s="14"/>
      <c r="UAF105" s="14"/>
      <c r="UAG105" s="14"/>
      <c r="UAH105" s="14"/>
      <c r="UAI105" s="14"/>
      <c r="UAJ105" s="36"/>
      <c r="UAK105" s="14"/>
      <c r="UAL105" s="14"/>
      <c r="UAM105" s="14"/>
      <c r="UAN105" s="14"/>
      <c r="UAO105" s="14"/>
      <c r="UAP105" s="14"/>
      <c r="UAQ105" s="14"/>
      <c r="UAR105" s="36"/>
      <c r="UAS105" s="14"/>
      <c r="UAT105" s="14"/>
      <c r="UAU105" s="14"/>
      <c r="UAV105" s="14"/>
      <c r="UAW105" s="14"/>
      <c r="UAX105" s="14"/>
      <c r="UAY105" s="14"/>
      <c r="UAZ105" s="36"/>
      <c r="UBA105" s="14"/>
      <c r="UBB105" s="14"/>
      <c r="UBC105" s="14"/>
      <c r="UBD105" s="14"/>
      <c r="UBE105" s="14"/>
      <c r="UBF105" s="14"/>
      <c r="UBG105" s="14"/>
      <c r="UBH105" s="36"/>
      <c r="UBI105" s="14"/>
      <c r="UBJ105" s="14"/>
      <c r="UBK105" s="14"/>
      <c r="UBL105" s="14"/>
      <c r="UBM105" s="14"/>
      <c r="UBN105" s="14"/>
      <c r="UBO105" s="14"/>
      <c r="UBP105" s="36"/>
      <c r="UBQ105" s="14"/>
      <c r="UBR105" s="14"/>
      <c r="UBS105" s="14"/>
      <c r="UBT105" s="14"/>
      <c r="UBU105" s="14"/>
      <c r="UBV105" s="14"/>
      <c r="UBW105" s="14"/>
      <c r="UBX105" s="36"/>
      <c r="UBY105" s="14"/>
      <c r="UBZ105" s="14"/>
      <c r="UCA105" s="14"/>
      <c r="UCB105" s="14"/>
      <c r="UCC105" s="14"/>
      <c r="UCD105" s="14"/>
      <c r="UCE105" s="14"/>
      <c r="UCF105" s="36"/>
      <c r="UCG105" s="14"/>
      <c r="UCH105" s="14"/>
      <c r="UCI105" s="14"/>
      <c r="UCJ105" s="14"/>
      <c r="UCK105" s="14"/>
      <c r="UCL105" s="14"/>
      <c r="UCM105" s="14"/>
      <c r="UCN105" s="36"/>
      <c r="UCO105" s="14"/>
      <c r="UCP105" s="14"/>
      <c r="UCQ105" s="14"/>
      <c r="UCR105" s="14"/>
      <c r="UCS105" s="14"/>
      <c r="UCT105" s="14"/>
      <c r="UCU105" s="14"/>
      <c r="UCV105" s="36"/>
      <c r="UCW105" s="14"/>
      <c r="UCX105" s="14"/>
      <c r="UCY105" s="14"/>
      <c r="UCZ105" s="14"/>
      <c r="UDA105" s="14"/>
      <c r="UDB105" s="14"/>
      <c r="UDC105" s="14"/>
      <c r="UDD105" s="36"/>
      <c r="UDE105" s="14"/>
      <c r="UDF105" s="14"/>
      <c r="UDG105" s="14"/>
      <c r="UDH105" s="14"/>
      <c r="UDI105" s="14"/>
      <c r="UDJ105" s="14"/>
      <c r="UDK105" s="14"/>
      <c r="UDL105" s="36"/>
      <c r="UDM105" s="14"/>
      <c r="UDN105" s="14"/>
      <c r="UDO105" s="14"/>
      <c r="UDP105" s="14"/>
      <c r="UDQ105" s="14"/>
      <c r="UDR105" s="14"/>
      <c r="UDS105" s="14"/>
      <c r="UDT105" s="36"/>
      <c r="UDU105" s="14"/>
      <c r="UDV105" s="14"/>
      <c r="UDW105" s="14"/>
      <c r="UDX105" s="14"/>
      <c r="UDY105" s="14"/>
      <c r="UDZ105" s="14"/>
      <c r="UEA105" s="14"/>
      <c r="UEB105" s="36"/>
      <c r="UEC105" s="14"/>
      <c r="UED105" s="14"/>
      <c r="UEE105" s="14"/>
      <c r="UEF105" s="14"/>
      <c r="UEG105" s="14"/>
      <c r="UEH105" s="14"/>
      <c r="UEI105" s="14"/>
      <c r="UEJ105" s="36"/>
      <c r="UEK105" s="14"/>
      <c r="UEL105" s="14"/>
      <c r="UEM105" s="14"/>
      <c r="UEN105" s="14"/>
      <c r="UEO105" s="14"/>
      <c r="UEP105" s="14"/>
      <c r="UEQ105" s="14"/>
      <c r="UER105" s="36"/>
      <c r="UES105" s="14"/>
      <c r="UET105" s="14"/>
      <c r="UEU105" s="14"/>
      <c r="UEV105" s="14"/>
      <c r="UEW105" s="14"/>
      <c r="UEX105" s="14"/>
      <c r="UEY105" s="14"/>
      <c r="UEZ105" s="36"/>
      <c r="UFA105" s="14"/>
      <c r="UFB105" s="14"/>
      <c r="UFC105" s="14"/>
      <c r="UFD105" s="14"/>
      <c r="UFE105" s="14"/>
      <c r="UFF105" s="14"/>
      <c r="UFG105" s="14"/>
      <c r="UFH105" s="36"/>
      <c r="UFI105" s="14"/>
      <c r="UFJ105" s="14"/>
      <c r="UFK105" s="14"/>
      <c r="UFL105" s="14"/>
      <c r="UFM105" s="14"/>
      <c r="UFN105" s="14"/>
      <c r="UFO105" s="14"/>
      <c r="UFP105" s="36"/>
      <c r="UFQ105" s="14"/>
      <c r="UFR105" s="14"/>
      <c r="UFS105" s="14"/>
      <c r="UFT105" s="14"/>
      <c r="UFU105" s="14"/>
      <c r="UFV105" s="14"/>
      <c r="UFW105" s="14"/>
      <c r="UFX105" s="36"/>
      <c r="UFY105" s="14"/>
      <c r="UFZ105" s="14"/>
      <c r="UGA105" s="14"/>
      <c r="UGB105" s="14"/>
      <c r="UGC105" s="14"/>
      <c r="UGD105" s="14"/>
      <c r="UGE105" s="14"/>
      <c r="UGF105" s="36"/>
      <c r="UGG105" s="14"/>
      <c r="UGH105" s="14"/>
      <c r="UGI105" s="14"/>
      <c r="UGJ105" s="14"/>
      <c r="UGK105" s="14"/>
      <c r="UGL105" s="14"/>
      <c r="UGM105" s="14"/>
      <c r="UGN105" s="36"/>
      <c r="UGO105" s="14"/>
      <c r="UGP105" s="14"/>
      <c r="UGQ105" s="14"/>
      <c r="UGR105" s="14"/>
      <c r="UGS105" s="14"/>
      <c r="UGT105" s="14"/>
      <c r="UGU105" s="14"/>
      <c r="UGV105" s="36"/>
      <c r="UGW105" s="14"/>
      <c r="UGX105" s="14"/>
      <c r="UGY105" s="14"/>
      <c r="UGZ105" s="14"/>
      <c r="UHA105" s="14"/>
      <c r="UHB105" s="14"/>
      <c r="UHC105" s="14"/>
      <c r="UHD105" s="36"/>
      <c r="UHE105" s="14"/>
      <c r="UHF105" s="14"/>
      <c r="UHG105" s="14"/>
      <c r="UHH105" s="14"/>
      <c r="UHI105" s="14"/>
      <c r="UHJ105" s="14"/>
      <c r="UHK105" s="14"/>
      <c r="UHL105" s="36"/>
      <c r="UHM105" s="14"/>
      <c r="UHN105" s="14"/>
      <c r="UHO105" s="14"/>
      <c r="UHP105" s="14"/>
      <c r="UHQ105" s="14"/>
      <c r="UHR105" s="14"/>
      <c r="UHS105" s="14"/>
      <c r="UHT105" s="36"/>
      <c r="UHU105" s="14"/>
      <c r="UHV105" s="14"/>
      <c r="UHW105" s="14"/>
      <c r="UHX105" s="14"/>
      <c r="UHY105" s="14"/>
      <c r="UHZ105" s="14"/>
      <c r="UIA105" s="14"/>
      <c r="UIB105" s="36"/>
      <c r="UIC105" s="14"/>
      <c r="UID105" s="14"/>
      <c r="UIE105" s="14"/>
      <c r="UIF105" s="14"/>
      <c r="UIG105" s="14"/>
      <c r="UIH105" s="14"/>
      <c r="UII105" s="14"/>
      <c r="UIJ105" s="36"/>
      <c r="UIK105" s="14"/>
      <c r="UIL105" s="14"/>
      <c r="UIM105" s="14"/>
      <c r="UIN105" s="14"/>
      <c r="UIO105" s="14"/>
      <c r="UIP105" s="14"/>
      <c r="UIQ105" s="14"/>
      <c r="UIR105" s="36"/>
      <c r="UIS105" s="14"/>
      <c r="UIT105" s="14"/>
      <c r="UIU105" s="14"/>
      <c r="UIV105" s="14"/>
      <c r="UIW105" s="14"/>
      <c r="UIX105" s="14"/>
      <c r="UIY105" s="14"/>
      <c r="UIZ105" s="36"/>
      <c r="UJA105" s="14"/>
      <c r="UJB105" s="14"/>
      <c r="UJC105" s="14"/>
      <c r="UJD105" s="14"/>
      <c r="UJE105" s="14"/>
      <c r="UJF105" s="14"/>
      <c r="UJG105" s="14"/>
      <c r="UJH105" s="36"/>
      <c r="UJI105" s="14"/>
      <c r="UJJ105" s="14"/>
      <c r="UJK105" s="14"/>
      <c r="UJL105" s="14"/>
      <c r="UJM105" s="14"/>
      <c r="UJN105" s="14"/>
      <c r="UJO105" s="14"/>
      <c r="UJP105" s="36"/>
      <c r="UJQ105" s="14"/>
      <c r="UJR105" s="14"/>
      <c r="UJS105" s="14"/>
      <c r="UJT105" s="14"/>
      <c r="UJU105" s="14"/>
      <c r="UJV105" s="14"/>
      <c r="UJW105" s="14"/>
      <c r="UJX105" s="36"/>
      <c r="UJY105" s="14"/>
      <c r="UJZ105" s="14"/>
      <c r="UKA105" s="14"/>
      <c r="UKB105" s="14"/>
      <c r="UKC105" s="14"/>
      <c r="UKD105" s="14"/>
      <c r="UKE105" s="14"/>
      <c r="UKF105" s="36"/>
      <c r="UKG105" s="14"/>
      <c r="UKH105" s="14"/>
      <c r="UKI105" s="14"/>
      <c r="UKJ105" s="14"/>
      <c r="UKK105" s="14"/>
      <c r="UKL105" s="14"/>
      <c r="UKM105" s="14"/>
      <c r="UKN105" s="36"/>
      <c r="UKO105" s="14"/>
      <c r="UKP105" s="14"/>
      <c r="UKQ105" s="14"/>
      <c r="UKR105" s="14"/>
      <c r="UKS105" s="14"/>
      <c r="UKT105" s="14"/>
      <c r="UKU105" s="14"/>
      <c r="UKV105" s="36"/>
      <c r="UKW105" s="14"/>
      <c r="UKX105" s="14"/>
      <c r="UKY105" s="14"/>
      <c r="UKZ105" s="14"/>
      <c r="ULA105" s="14"/>
      <c r="ULB105" s="14"/>
      <c r="ULC105" s="14"/>
      <c r="ULD105" s="36"/>
      <c r="ULE105" s="14"/>
      <c r="ULF105" s="14"/>
      <c r="ULG105" s="14"/>
      <c r="ULH105" s="14"/>
      <c r="ULI105" s="14"/>
      <c r="ULJ105" s="14"/>
      <c r="ULK105" s="14"/>
      <c r="ULL105" s="36"/>
      <c r="ULM105" s="14"/>
      <c r="ULN105" s="14"/>
      <c r="ULO105" s="14"/>
      <c r="ULP105" s="14"/>
      <c r="ULQ105" s="14"/>
      <c r="ULR105" s="14"/>
      <c r="ULS105" s="14"/>
      <c r="ULT105" s="36"/>
      <c r="ULU105" s="14"/>
      <c r="ULV105" s="14"/>
      <c r="ULW105" s="14"/>
      <c r="ULX105" s="14"/>
      <c r="ULY105" s="14"/>
      <c r="ULZ105" s="14"/>
      <c r="UMA105" s="14"/>
      <c r="UMB105" s="36"/>
      <c r="UMC105" s="14"/>
      <c r="UMD105" s="14"/>
      <c r="UME105" s="14"/>
      <c r="UMF105" s="14"/>
      <c r="UMG105" s="14"/>
      <c r="UMH105" s="14"/>
      <c r="UMI105" s="14"/>
      <c r="UMJ105" s="36"/>
      <c r="UMK105" s="14"/>
      <c r="UML105" s="14"/>
      <c r="UMM105" s="14"/>
      <c r="UMN105" s="14"/>
      <c r="UMO105" s="14"/>
      <c r="UMP105" s="14"/>
      <c r="UMQ105" s="14"/>
      <c r="UMR105" s="36"/>
      <c r="UMS105" s="14"/>
      <c r="UMT105" s="14"/>
      <c r="UMU105" s="14"/>
      <c r="UMV105" s="14"/>
      <c r="UMW105" s="14"/>
      <c r="UMX105" s="14"/>
      <c r="UMY105" s="14"/>
      <c r="UMZ105" s="36"/>
      <c r="UNA105" s="14"/>
      <c r="UNB105" s="14"/>
      <c r="UNC105" s="14"/>
      <c r="UND105" s="14"/>
      <c r="UNE105" s="14"/>
      <c r="UNF105" s="14"/>
      <c r="UNG105" s="14"/>
      <c r="UNH105" s="36"/>
      <c r="UNI105" s="14"/>
      <c r="UNJ105" s="14"/>
      <c r="UNK105" s="14"/>
      <c r="UNL105" s="14"/>
      <c r="UNM105" s="14"/>
      <c r="UNN105" s="14"/>
      <c r="UNO105" s="14"/>
      <c r="UNP105" s="36"/>
      <c r="UNQ105" s="14"/>
      <c r="UNR105" s="14"/>
      <c r="UNS105" s="14"/>
      <c r="UNT105" s="14"/>
      <c r="UNU105" s="14"/>
      <c r="UNV105" s="14"/>
      <c r="UNW105" s="14"/>
      <c r="UNX105" s="36"/>
      <c r="UNY105" s="14"/>
      <c r="UNZ105" s="14"/>
      <c r="UOA105" s="14"/>
      <c r="UOB105" s="14"/>
      <c r="UOC105" s="14"/>
      <c r="UOD105" s="14"/>
      <c r="UOE105" s="14"/>
      <c r="UOF105" s="36"/>
      <c r="UOG105" s="14"/>
      <c r="UOH105" s="14"/>
      <c r="UOI105" s="14"/>
      <c r="UOJ105" s="14"/>
      <c r="UOK105" s="14"/>
      <c r="UOL105" s="14"/>
      <c r="UOM105" s="14"/>
      <c r="UON105" s="36"/>
      <c r="UOO105" s="14"/>
      <c r="UOP105" s="14"/>
      <c r="UOQ105" s="14"/>
      <c r="UOR105" s="14"/>
      <c r="UOS105" s="14"/>
      <c r="UOT105" s="14"/>
      <c r="UOU105" s="14"/>
      <c r="UOV105" s="36"/>
      <c r="UOW105" s="14"/>
      <c r="UOX105" s="14"/>
      <c r="UOY105" s="14"/>
      <c r="UOZ105" s="14"/>
      <c r="UPA105" s="14"/>
      <c r="UPB105" s="14"/>
      <c r="UPC105" s="14"/>
      <c r="UPD105" s="36"/>
      <c r="UPE105" s="14"/>
      <c r="UPF105" s="14"/>
      <c r="UPG105" s="14"/>
      <c r="UPH105" s="14"/>
      <c r="UPI105" s="14"/>
      <c r="UPJ105" s="14"/>
      <c r="UPK105" s="14"/>
      <c r="UPL105" s="36"/>
      <c r="UPM105" s="14"/>
      <c r="UPN105" s="14"/>
      <c r="UPO105" s="14"/>
      <c r="UPP105" s="14"/>
      <c r="UPQ105" s="14"/>
      <c r="UPR105" s="14"/>
      <c r="UPS105" s="14"/>
      <c r="UPT105" s="36"/>
      <c r="UPU105" s="14"/>
      <c r="UPV105" s="14"/>
      <c r="UPW105" s="14"/>
      <c r="UPX105" s="14"/>
      <c r="UPY105" s="14"/>
      <c r="UPZ105" s="14"/>
      <c r="UQA105" s="14"/>
      <c r="UQB105" s="36"/>
      <c r="UQC105" s="14"/>
      <c r="UQD105" s="14"/>
      <c r="UQE105" s="14"/>
      <c r="UQF105" s="14"/>
      <c r="UQG105" s="14"/>
      <c r="UQH105" s="14"/>
      <c r="UQI105" s="14"/>
      <c r="UQJ105" s="36"/>
      <c r="UQK105" s="14"/>
      <c r="UQL105" s="14"/>
      <c r="UQM105" s="14"/>
      <c r="UQN105" s="14"/>
      <c r="UQO105" s="14"/>
      <c r="UQP105" s="14"/>
      <c r="UQQ105" s="14"/>
      <c r="UQR105" s="36"/>
      <c r="UQS105" s="14"/>
      <c r="UQT105" s="14"/>
      <c r="UQU105" s="14"/>
      <c r="UQV105" s="14"/>
      <c r="UQW105" s="14"/>
      <c r="UQX105" s="14"/>
      <c r="UQY105" s="14"/>
      <c r="UQZ105" s="36"/>
      <c r="URA105" s="14"/>
      <c r="URB105" s="14"/>
      <c r="URC105" s="14"/>
      <c r="URD105" s="14"/>
      <c r="URE105" s="14"/>
      <c r="URF105" s="14"/>
      <c r="URG105" s="14"/>
      <c r="URH105" s="36"/>
      <c r="URI105" s="14"/>
      <c r="URJ105" s="14"/>
      <c r="URK105" s="14"/>
      <c r="URL105" s="14"/>
      <c r="URM105" s="14"/>
      <c r="URN105" s="14"/>
      <c r="URO105" s="14"/>
      <c r="URP105" s="36"/>
      <c r="URQ105" s="14"/>
      <c r="URR105" s="14"/>
      <c r="URS105" s="14"/>
      <c r="URT105" s="14"/>
      <c r="URU105" s="14"/>
      <c r="URV105" s="14"/>
      <c r="URW105" s="14"/>
      <c r="URX105" s="36"/>
      <c r="URY105" s="14"/>
      <c r="URZ105" s="14"/>
      <c r="USA105" s="14"/>
      <c r="USB105" s="14"/>
      <c r="USC105" s="14"/>
      <c r="USD105" s="14"/>
      <c r="USE105" s="14"/>
      <c r="USF105" s="36"/>
      <c r="USG105" s="14"/>
      <c r="USH105" s="14"/>
      <c r="USI105" s="14"/>
      <c r="USJ105" s="14"/>
      <c r="USK105" s="14"/>
      <c r="USL105" s="14"/>
      <c r="USM105" s="14"/>
      <c r="USN105" s="36"/>
      <c r="USO105" s="14"/>
      <c r="USP105" s="14"/>
      <c r="USQ105" s="14"/>
      <c r="USR105" s="14"/>
      <c r="USS105" s="14"/>
      <c r="UST105" s="14"/>
      <c r="USU105" s="14"/>
      <c r="USV105" s="36"/>
      <c r="USW105" s="14"/>
      <c r="USX105" s="14"/>
      <c r="USY105" s="14"/>
      <c r="USZ105" s="14"/>
      <c r="UTA105" s="14"/>
      <c r="UTB105" s="14"/>
      <c r="UTC105" s="14"/>
      <c r="UTD105" s="36"/>
      <c r="UTE105" s="14"/>
      <c r="UTF105" s="14"/>
      <c r="UTG105" s="14"/>
      <c r="UTH105" s="14"/>
      <c r="UTI105" s="14"/>
      <c r="UTJ105" s="14"/>
      <c r="UTK105" s="14"/>
      <c r="UTL105" s="36"/>
      <c r="UTM105" s="14"/>
      <c r="UTN105" s="14"/>
      <c r="UTO105" s="14"/>
      <c r="UTP105" s="14"/>
      <c r="UTQ105" s="14"/>
      <c r="UTR105" s="14"/>
      <c r="UTS105" s="14"/>
      <c r="UTT105" s="36"/>
      <c r="UTU105" s="14"/>
      <c r="UTV105" s="14"/>
      <c r="UTW105" s="14"/>
      <c r="UTX105" s="14"/>
      <c r="UTY105" s="14"/>
      <c r="UTZ105" s="14"/>
      <c r="UUA105" s="14"/>
      <c r="UUB105" s="36"/>
      <c r="UUC105" s="14"/>
      <c r="UUD105" s="14"/>
      <c r="UUE105" s="14"/>
      <c r="UUF105" s="14"/>
      <c r="UUG105" s="14"/>
      <c r="UUH105" s="14"/>
      <c r="UUI105" s="14"/>
      <c r="UUJ105" s="36"/>
      <c r="UUK105" s="14"/>
      <c r="UUL105" s="14"/>
      <c r="UUM105" s="14"/>
      <c r="UUN105" s="14"/>
      <c r="UUO105" s="14"/>
      <c r="UUP105" s="14"/>
      <c r="UUQ105" s="14"/>
      <c r="UUR105" s="36"/>
      <c r="UUS105" s="14"/>
      <c r="UUT105" s="14"/>
      <c r="UUU105" s="14"/>
      <c r="UUV105" s="14"/>
      <c r="UUW105" s="14"/>
      <c r="UUX105" s="14"/>
      <c r="UUY105" s="14"/>
      <c r="UUZ105" s="36"/>
      <c r="UVA105" s="14"/>
      <c r="UVB105" s="14"/>
      <c r="UVC105" s="14"/>
      <c r="UVD105" s="14"/>
      <c r="UVE105" s="14"/>
      <c r="UVF105" s="14"/>
      <c r="UVG105" s="14"/>
      <c r="UVH105" s="36"/>
      <c r="UVI105" s="14"/>
      <c r="UVJ105" s="14"/>
      <c r="UVK105" s="14"/>
      <c r="UVL105" s="14"/>
      <c r="UVM105" s="14"/>
      <c r="UVN105" s="14"/>
      <c r="UVO105" s="14"/>
      <c r="UVP105" s="36"/>
      <c r="UVQ105" s="14"/>
      <c r="UVR105" s="14"/>
      <c r="UVS105" s="14"/>
      <c r="UVT105" s="14"/>
      <c r="UVU105" s="14"/>
      <c r="UVV105" s="14"/>
      <c r="UVW105" s="14"/>
      <c r="UVX105" s="36"/>
      <c r="UVY105" s="14"/>
      <c r="UVZ105" s="14"/>
      <c r="UWA105" s="14"/>
      <c r="UWB105" s="14"/>
      <c r="UWC105" s="14"/>
      <c r="UWD105" s="14"/>
      <c r="UWE105" s="14"/>
      <c r="UWF105" s="36"/>
      <c r="UWG105" s="14"/>
      <c r="UWH105" s="14"/>
      <c r="UWI105" s="14"/>
      <c r="UWJ105" s="14"/>
      <c r="UWK105" s="14"/>
      <c r="UWL105" s="14"/>
      <c r="UWM105" s="14"/>
      <c r="UWN105" s="36"/>
      <c r="UWO105" s="14"/>
      <c r="UWP105" s="14"/>
      <c r="UWQ105" s="14"/>
      <c r="UWR105" s="14"/>
      <c r="UWS105" s="14"/>
      <c r="UWT105" s="14"/>
      <c r="UWU105" s="14"/>
      <c r="UWV105" s="36"/>
      <c r="UWW105" s="14"/>
      <c r="UWX105" s="14"/>
      <c r="UWY105" s="14"/>
      <c r="UWZ105" s="14"/>
      <c r="UXA105" s="14"/>
      <c r="UXB105" s="14"/>
      <c r="UXC105" s="14"/>
      <c r="UXD105" s="36"/>
      <c r="UXE105" s="14"/>
      <c r="UXF105" s="14"/>
      <c r="UXG105" s="14"/>
      <c r="UXH105" s="14"/>
      <c r="UXI105" s="14"/>
      <c r="UXJ105" s="14"/>
      <c r="UXK105" s="14"/>
      <c r="UXL105" s="36"/>
      <c r="UXM105" s="14"/>
      <c r="UXN105" s="14"/>
      <c r="UXO105" s="14"/>
      <c r="UXP105" s="14"/>
      <c r="UXQ105" s="14"/>
      <c r="UXR105" s="14"/>
      <c r="UXS105" s="14"/>
      <c r="UXT105" s="36"/>
      <c r="UXU105" s="14"/>
      <c r="UXV105" s="14"/>
      <c r="UXW105" s="14"/>
      <c r="UXX105" s="14"/>
      <c r="UXY105" s="14"/>
      <c r="UXZ105" s="14"/>
      <c r="UYA105" s="14"/>
      <c r="UYB105" s="36"/>
      <c r="UYC105" s="14"/>
      <c r="UYD105" s="14"/>
      <c r="UYE105" s="14"/>
      <c r="UYF105" s="14"/>
      <c r="UYG105" s="14"/>
      <c r="UYH105" s="14"/>
      <c r="UYI105" s="14"/>
      <c r="UYJ105" s="36"/>
      <c r="UYK105" s="14"/>
      <c r="UYL105" s="14"/>
      <c r="UYM105" s="14"/>
      <c r="UYN105" s="14"/>
      <c r="UYO105" s="14"/>
      <c r="UYP105" s="14"/>
      <c r="UYQ105" s="14"/>
      <c r="UYR105" s="36"/>
      <c r="UYS105" s="14"/>
      <c r="UYT105" s="14"/>
      <c r="UYU105" s="14"/>
      <c r="UYV105" s="14"/>
      <c r="UYW105" s="14"/>
      <c r="UYX105" s="14"/>
      <c r="UYY105" s="14"/>
      <c r="UYZ105" s="36"/>
      <c r="UZA105" s="14"/>
      <c r="UZB105" s="14"/>
      <c r="UZC105" s="14"/>
      <c r="UZD105" s="14"/>
      <c r="UZE105" s="14"/>
      <c r="UZF105" s="14"/>
      <c r="UZG105" s="14"/>
      <c r="UZH105" s="36"/>
      <c r="UZI105" s="14"/>
      <c r="UZJ105" s="14"/>
      <c r="UZK105" s="14"/>
      <c r="UZL105" s="14"/>
      <c r="UZM105" s="14"/>
      <c r="UZN105" s="14"/>
      <c r="UZO105" s="14"/>
      <c r="UZP105" s="36"/>
      <c r="UZQ105" s="14"/>
      <c r="UZR105" s="14"/>
      <c r="UZS105" s="14"/>
      <c r="UZT105" s="14"/>
      <c r="UZU105" s="14"/>
      <c r="UZV105" s="14"/>
      <c r="UZW105" s="14"/>
      <c r="UZX105" s="36"/>
      <c r="UZY105" s="14"/>
      <c r="UZZ105" s="14"/>
      <c r="VAA105" s="14"/>
      <c r="VAB105" s="14"/>
      <c r="VAC105" s="14"/>
      <c r="VAD105" s="14"/>
      <c r="VAE105" s="14"/>
      <c r="VAF105" s="36"/>
      <c r="VAG105" s="14"/>
      <c r="VAH105" s="14"/>
      <c r="VAI105" s="14"/>
      <c r="VAJ105" s="14"/>
      <c r="VAK105" s="14"/>
      <c r="VAL105" s="14"/>
      <c r="VAM105" s="14"/>
      <c r="VAN105" s="36"/>
      <c r="VAO105" s="14"/>
      <c r="VAP105" s="14"/>
      <c r="VAQ105" s="14"/>
      <c r="VAR105" s="14"/>
      <c r="VAS105" s="14"/>
      <c r="VAT105" s="14"/>
      <c r="VAU105" s="14"/>
      <c r="VAV105" s="36"/>
      <c r="VAW105" s="14"/>
      <c r="VAX105" s="14"/>
      <c r="VAY105" s="14"/>
      <c r="VAZ105" s="14"/>
      <c r="VBA105" s="14"/>
      <c r="VBB105" s="14"/>
      <c r="VBC105" s="14"/>
      <c r="VBD105" s="36"/>
      <c r="VBE105" s="14"/>
      <c r="VBF105" s="14"/>
      <c r="VBG105" s="14"/>
      <c r="VBH105" s="14"/>
      <c r="VBI105" s="14"/>
      <c r="VBJ105" s="14"/>
      <c r="VBK105" s="14"/>
      <c r="VBL105" s="36"/>
      <c r="VBM105" s="14"/>
      <c r="VBN105" s="14"/>
      <c r="VBO105" s="14"/>
      <c r="VBP105" s="14"/>
      <c r="VBQ105" s="14"/>
      <c r="VBR105" s="14"/>
      <c r="VBS105" s="14"/>
      <c r="VBT105" s="36"/>
      <c r="VBU105" s="14"/>
      <c r="VBV105" s="14"/>
      <c r="VBW105" s="14"/>
      <c r="VBX105" s="14"/>
      <c r="VBY105" s="14"/>
      <c r="VBZ105" s="14"/>
      <c r="VCA105" s="14"/>
      <c r="VCB105" s="36"/>
      <c r="VCC105" s="14"/>
      <c r="VCD105" s="14"/>
      <c r="VCE105" s="14"/>
      <c r="VCF105" s="14"/>
      <c r="VCG105" s="14"/>
      <c r="VCH105" s="14"/>
      <c r="VCI105" s="14"/>
      <c r="VCJ105" s="36"/>
      <c r="VCK105" s="14"/>
      <c r="VCL105" s="14"/>
      <c r="VCM105" s="14"/>
      <c r="VCN105" s="14"/>
      <c r="VCO105" s="14"/>
      <c r="VCP105" s="14"/>
      <c r="VCQ105" s="14"/>
      <c r="VCR105" s="36"/>
      <c r="VCS105" s="14"/>
      <c r="VCT105" s="14"/>
      <c r="VCU105" s="14"/>
      <c r="VCV105" s="14"/>
      <c r="VCW105" s="14"/>
      <c r="VCX105" s="14"/>
      <c r="VCY105" s="14"/>
      <c r="VCZ105" s="36"/>
      <c r="VDA105" s="14"/>
      <c r="VDB105" s="14"/>
      <c r="VDC105" s="14"/>
      <c r="VDD105" s="14"/>
      <c r="VDE105" s="14"/>
      <c r="VDF105" s="14"/>
      <c r="VDG105" s="14"/>
      <c r="VDH105" s="36"/>
      <c r="VDI105" s="14"/>
      <c r="VDJ105" s="14"/>
      <c r="VDK105" s="14"/>
      <c r="VDL105" s="14"/>
      <c r="VDM105" s="14"/>
      <c r="VDN105" s="14"/>
      <c r="VDO105" s="14"/>
      <c r="VDP105" s="36"/>
      <c r="VDQ105" s="14"/>
      <c r="VDR105" s="14"/>
      <c r="VDS105" s="14"/>
      <c r="VDT105" s="14"/>
      <c r="VDU105" s="14"/>
      <c r="VDV105" s="14"/>
      <c r="VDW105" s="14"/>
      <c r="VDX105" s="36"/>
      <c r="VDY105" s="14"/>
      <c r="VDZ105" s="14"/>
      <c r="VEA105" s="14"/>
      <c r="VEB105" s="14"/>
      <c r="VEC105" s="14"/>
      <c r="VED105" s="14"/>
      <c r="VEE105" s="14"/>
      <c r="VEF105" s="36"/>
      <c r="VEG105" s="14"/>
      <c r="VEH105" s="14"/>
      <c r="VEI105" s="14"/>
      <c r="VEJ105" s="14"/>
      <c r="VEK105" s="14"/>
      <c r="VEL105" s="14"/>
      <c r="VEM105" s="14"/>
      <c r="VEN105" s="36"/>
      <c r="VEO105" s="14"/>
      <c r="VEP105" s="14"/>
      <c r="VEQ105" s="14"/>
      <c r="VER105" s="14"/>
      <c r="VES105" s="14"/>
      <c r="VET105" s="14"/>
      <c r="VEU105" s="14"/>
      <c r="VEV105" s="36"/>
      <c r="VEW105" s="14"/>
      <c r="VEX105" s="14"/>
      <c r="VEY105" s="14"/>
      <c r="VEZ105" s="14"/>
      <c r="VFA105" s="14"/>
      <c r="VFB105" s="14"/>
      <c r="VFC105" s="14"/>
      <c r="VFD105" s="36"/>
      <c r="VFE105" s="14"/>
      <c r="VFF105" s="14"/>
      <c r="VFG105" s="14"/>
      <c r="VFH105" s="14"/>
      <c r="VFI105" s="14"/>
      <c r="VFJ105" s="14"/>
      <c r="VFK105" s="14"/>
      <c r="VFL105" s="36"/>
      <c r="VFM105" s="14"/>
      <c r="VFN105" s="14"/>
      <c r="VFO105" s="14"/>
      <c r="VFP105" s="14"/>
      <c r="VFQ105" s="14"/>
      <c r="VFR105" s="14"/>
      <c r="VFS105" s="14"/>
      <c r="VFT105" s="36"/>
      <c r="VFU105" s="14"/>
      <c r="VFV105" s="14"/>
      <c r="VFW105" s="14"/>
      <c r="VFX105" s="14"/>
      <c r="VFY105" s="14"/>
      <c r="VFZ105" s="14"/>
      <c r="VGA105" s="14"/>
      <c r="VGB105" s="36"/>
      <c r="VGC105" s="14"/>
      <c r="VGD105" s="14"/>
      <c r="VGE105" s="14"/>
      <c r="VGF105" s="14"/>
      <c r="VGG105" s="14"/>
      <c r="VGH105" s="14"/>
      <c r="VGI105" s="14"/>
      <c r="VGJ105" s="36"/>
      <c r="VGK105" s="14"/>
      <c r="VGL105" s="14"/>
      <c r="VGM105" s="14"/>
      <c r="VGN105" s="14"/>
      <c r="VGO105" s="14"/>
      <c r="VGP105" s="14"/>
      <c r="VGQ105" s="14"/>
      <c r="VGR105" s="36"/>
      <c r="VGS105" s="14"/>
      <c r="VGT105" s="14"/>
      <c r="VGU105" s="14"/>
      <c r="VGV105" s="14"/>
      <c r="VGW105" s="14"/>
      <c r="VGX105" s="14"/>
      <c r="VGY105" s="14"/>
      <c r="VGZ105" s="36"/>
      <c r="VHA105" s="14"/>
      <c r="VHB105" s="14"/>
      <c r="VHC105" s="14"/>
      <c r="VHD105" s="14"/>
      <c r="VHE105" s="14"/>
      <c r="VHF105" s="14"/>
      <c r="VHG105" s="14"/>
      <c r="VHH105" s="36"/>
      <c r="VHI105" s="14"/>
      <c r="VHJ105" s="14"/>
      <c r="VHK105" s="14"/>
      <c r="VHL105" s="14"/>
      <c r="VHM105" s="14"/>
      <c r="VHN105" s="14"/>
      <c r="VHO105" s="14"/>
      <c r="VHP105" s="36"/>
      <c r="VHQ105" s="14"/>
      <c r="VHR105" s="14"/>
      <c r="VHS105" s="14"/>
      <c r="VHT105" s="14"/>
      <c r="VHU105" s="14"/>
      <c r="VHV105" s="14"/>
      <c r="VHW105" s="14"/>
      <c r="VHX105" s="36"/>
      <c r="VHY105" s="14"/>
      <c r="VHZ105" s="14"/>
      <c r="VIA105" s="14"/>
      <c r="VIB105" s="14"/>
      <c r="VIC105" s="14"/>
      <c r="VID105" s="14"/>
      <c r="VIE105" s="14"/>
      <c r="VIF105" s="36"/>
      <c r="VIG105" s="14"/>
      <c r="VIH105" s="14"/>
      <c r="VII105" s="14"/>
      <c r="VIJ105" s="14"/>
      <c r="VIK105" s="14"/>
      <c r="VIL105" s="14"/>
      <c r="VIM105" s="14"/>
      <c r="VIN105" s="36"/>
      <c r="VIO105" s="14"/>
      <c r="VIP105" s="14"/>
      <c r="VIQ105" s="14"/>
      <c r="VIR105" s="14"/>
      <c r="VIS105" s="14"/>
      <c r="VIT105" s="14"/>
      <c r="VIU105" s="14"/>
      <c r="VIV105" s="36"/>
      <c r="VIW105" s="14"/>
      <c r="VIX105" s="14"/>
      <c r="VIY105" s="14"/>
      <c r="VIZ105" s="14"/>
      <c r="VJA105" s="14"/>
      <c r="VJB105" s="14"/>
      <c r="VJC105" s="14"/>
      <c r="VJD105" s="36"/>
      <c r="VJE105" s="14"/>
      <c r="VJF105" s="14"/>
      <c r="VJG105" s="14"/>
      <c r="VJH105" s="14"/>
      <c r="VJI105" s="14"/>
      <c r="VJJ105" s="14"/>
      <c r="VJK105" s="14"/>
      <c r="VJL105" s="36"/>
      <c r="VJM105" s="14"/>
      <c r="VJN105" s="14"/>
      <c r="VJO105" s="14"/>
      <c r="VJP105" s="14"/>
      <c r="VJQ105" s="14"/>
      <c r="VJR105" s="14"/>
      <c r="VJS105" s="14"/>
      <c r="VJT105" s="36"/>
      <c r="VJU105" s="14"/>
      <c r="VJV105" s="14"/>
      <c r="VJW105" s="14"/>
      <c r="VJX105" s="14"/>
      <c r="VJY105" s="14"/>
      <c r="VJZ105" s="14"/>
      <c r="VKA105" s="14"/>
      <c r="VKB105" s="36"/>
      <c r="VKC105" s="14"/>
      <c r="VKD105" s="14"/>
      <c r="VKE105" s="14"/>
      <c r="VKF105" s="14"/>
      <c r="VKG105" s="14"/>
      <c r="VKH105" s="14"/>
      <c r="VKI105" s="14"/>
      <c r="VKJ105" s="36"/>
      <c r="VKK105" s="14"/>
      <c r="VKL105" s="14"/>
      <c r="VKM105" s="14"/>
      <c r="VKN105" s="14"/>
      <c r="VKO105" s="14"/>
      <c r="VKP105" s="14"/>
      <c r="VKQ105" s="14"/>
      <c r="VKR105" s="36"/>
      <c r="VKS105" s="14"/>
      <c r="VKT105" s="14"/>
      <c r="VKU105" s="14"/>
      <c r="VKV105" s="14"/>
      <c r="VKW105" s="14"/>
      <c r="VKX105" s="14"/>
      <c r="VKY105" s="14"/>
      <c r="VKZ105" s="36"/>
      <c r="VLA105" s="14"/>
      <c r="VLB105" s="14"/>
      <c r="VLC105" s="14"/>
      <c r="VLD105" s="14"/>
      <c r="VLE105" s="14"/>
      <c r="VLF105" s="14"/>
      <c r="VLG105" s="14"/>
      <c r="VLH105" s="36"/>
      <c r="VLI105" s="14"/>
      <c r="VLJ105" s="14"/>
      <c r="VLK105" s="14"/>
      <c r="VLL105" s="14"/>
      <c r="VLM105" s="14"/>
      <c r="VLN105" s="14"/>
      <c r="VLO105" s="14"/>
      <c r="VLP105" s="36"/>
      <c r="VLQ105" s="14"/>
      <c r="VLR105" s="14"/>
      <c r="VLS105" s="14"/>
      <c r="VLT105" s="14"/>
      <c r="VLU105" s="14"/>
      <c r="VLV105" s="14"/>
      <c r="VLW105" s="14"/>
      <c r="VLX105" s="36"/>
      <c r="VLY105" s="14"/>
      <c r="VLZ105" s="14"/>
      <c r="VMA105" s="14"/>
      <c r="VMB105" s="14"/>
      <c r="VMC105" s="14"/>
      <c r="VMD105" s="14"/>
      <c r="VME105" s="14"/>
      <c r="VMF105" s="36"/>
      <c r="VMG105" s="14"/>
      <c r="VMH105" s="14"/>
      <c r="VMI105" s="14"/>
      <c r="VMJ105" s="14"/>
      <c r="VMK105" s="14"/>
      <c r="VML105" s="14"/>
      <c r="VMM105" s="14"/>
      <c r="VMN105" s="36"/>
      <c r="VMO105" s="14"/>
      <c r="VMP105" s="14"/>
      <c r="VMQ105" s="14"/>
      <c r="VMR105" s="14"/>
      <c r="VMS105" s="14"/>
      <c r="VMT105" s="14"/>
      <c r="VMU105" s="14"/>
      <c r="VMV105" s="36"/>
      <c r="VMW105" s="14"/>
      <c r="VMX105" s="14"/>
      <c r="VMY105" s="14"/>
      <c r="VMZ105" s="14"/>
      <c r="VNA105" s="14"/>
      <c r="VNB105" s="14"/>
      <c r="VNC105" s="14"/>
      <c r="VND105" s="36"/>
      <c r="VNE105" s="14"/>
      <c r="VNF105" s="14"/>
      <c r="VNG105" s="14"/>
      <c r="VNH105" s="14"/>
      <c r="VNI105" s="14"/>
      <c r="VNJ105" s="14"/>
      <c r="VNK105" s="14"/>
      <c r="VNL105" s="36"/>
      <c r="VNM105" s="14"/>
      <c r="VNN105" s="14"/>
      <c r="VNO105" s="14"/>
      <c r="VNP105" s="14"/>
      <c r="VNQ105" s="14"/>
      <c r="VNR105" s="14"/>
      <c r="VNS105" s="14"/>
      <c r="VNT105" s="36"/>
      <c r="VNU105" s="14"/>
      <c r="VNV105" s="14"/>
      <c r="VNW105" s="14"/>
      <c r="VNX105" s="14"/>
      <c r="VNY105" s="14"/>
      <c r="VNZ105" s="14"/>
      <c r="VOA105" s="14"/>
      <c r="VOB105" s="36"/>
      <c r="VOC105" s="14"/>
      <c r="VOD105" s="14"/>
      <c r="VOE105" s="14"/>
      <c r="VOF105" s="14"/>
      <c r="VOG105" s="14"/>
      <c r="VOH105" s="14"/>
      <c r="VOI105" s="14"/>
      <c r="VOJ105" s="36"/>
      <c r="VOK105" s="14"/>
      <c r="VOL105" s="14"/>
      <c r="VOM105" s="14"/>
      <c r="VON105" s="14"/>
      <c r="VOO105" s="14"/>
      <c r="VOP105" s="14"/>
      <c r="VOQ105" s="14"/>
      <c r="VOR105" s="36"/>
      <c r="VOS105" s="14"/>
      <c r="VOT105" s="14"/>
      <c r="VOU105" s="14"/>
      <c r="VOV105" s="14"/>
      <c r="VOW105" s="14"/>
      <c r="VOX105" s="14"/>
      <c r="VOY105" s="14"/>
      <c r="VOZ105" s="36"/>
      <c r="VPA105" s="14"/>
      <c r="VPB105" s="14"/>
      <c r="VPC105" s="14"/>
      <c r="VPD105" s="14"/>
      <c r="VPE105" s="14"/>
      <c r="VPF105" s="14"/>
      <c r="VPG105" s="14"/>
      <c r="VPH105" s="36"/>
      <c r="VPI105" s="14"/>
      <c r="VPJ105" s="14"/>
      <c r="VPK105" s="14"/>
      <c r="VPL105" s="14"/>
      <c r="VPM105" s="14"/>
      <c r="VPN105" s="14"/>
      <c r="VPO105" s="14"/>
      <c r="VPP105" s="36"/>
      <c r="VPQ105" s="14"/>
      <c r="VPR105" s="14"/>
      <c r="VPS105" s="14"/>
      <c r="VPT105" s="14"/>
      <c r="VPU105" s="14"/>
      <c r="VPV105" s="14"/>
      <c r="VPW105" s="14"/>
      <c r="VPX105" s="36"/>
      <c r="VPY105" s="14"/>
      <c r="VPZ105" s="14"/>
      <c r="VQA105" s="14"/>
      <c r="VQB105" s="14"/>
      <c r="VQC105" s="14"/>
      <c r="VQD105" s="14"/>
      <c r="VQE105" s="14"/>
      <c r="VQF105" s="36"/>
      <c r="VQG105" s="14"/>
      <c r="VQH105" s="14"/>
      <c r="VQI105" s="14"/>
      <c r="VQJ105" s="14"/>
      <c r="VQK105" s="14"/>
      <c r="VQL105" s="14"/>
      <c r="VQM105" s="14"/>
      <c r="VQN105" s="36"/>
      <c r="VQO105" s="14"/>
      <c r="VQP105" s="14"/>
      <c r="VQQ105" s="14"/>
      <c r="VQR105" s="14"/>
      <c r="VQS105" s="14"/>
      <c r="VQT105" s="14"/>
      <c r="VQU105" s="14"/>
      <c r="VQV105" s="36"/>
      <c r="VQW105" s="14"/>
      <c r="VQX105" s="14"/>
      <c r="VQY105" s="14"/>
      <c r="VQZ105" s="14"/>
      <c r="VRA105" s="14"/>
      <c r="VRB105" s="14"/>
      <c r="VRC105" s="14"/>
      <c r="VRD105" s="36"/>
      <c r="VRE105" s="14"/>
      <c r="VRF105" s="14"/>
      <c r="VRG105" s="14"/>
      <c r="VRH105" s="14"/>
      <c r="VRI105" s="14"/>
      <c r="VRJ105" s="14"/>
      <c r="VRK105" s="14"/>
      <c r="VRL105" s="36"/>
      <c r="VRM105" s="14"/>
      <c r="VRN105" s="14"/>
      <c r="VRO105" s="14"/>
      <c r="VRP105" s="14"/>
      <c r="VRQ105" s="14"/>
      <c r="VRR105" s="14"/>
      <c r="VRS105" s="14"/>
      <c r="VRT105" s="36"/>
      <c r="VRU105" s="14"/>
      <c r="VRV105" s="14"/>
      <c r="VRW105" s="14"/>
      <c r="VRX105" s="14"/>
      <c r="VRY105" s="14"/>
      <c r="VRZ105" s="14"/>
      <c r="VSA105" s="14"/>
      <c r="VSB105" s="36"/>
      <c r="VSC105" s="14"/>
      <c r="VSD105" s="14"/>
      <c r="VSE105" s="14"/>
      <c r="VSF105" s="14"/>
      <c r="VSG105" s="14"/>
      <c r="VSH105" s="14"/>
      <c r="VSI105" s="14"/>
      <c r="VSJ105" s="36"/>
      <c r="VSK105" s="14"/>
      <c r="VSL105" s="14"/>
      <c r="VSM105" s="14"/>
      <c r="VSN105" s="14"/>
      <c r="VSO105" s="14"/>
      <c r="VSP105" s="14"/>
      <c r="VSQ105" s="14"/>
      <c r="VSR105" s="36"/>
      <c r="VSS105" s="14"/>
      <c r="VST105" s="14"/>
      <c r="VSU105" s="14"/>
      <c r="VSV105" s="14"/>
      <c r="VSW105" s="14"/>
      <c r="VSX105" s="14"/>
      <c r="VSY105" s="14"/>
      <c r="VSZ105" s="36"/>
      <c r="VTA105" s="14"/>
      <c r="VTB105" s="14"/>
      <c r="VTC105" s="14"/>
      <c r="VTD105" s="14"/>
      <c r="VTE105" s="14"/>
      <c r="VTF105" s="14"/>
      <c r="VTG105" s="14"/>
      <c r="VTH105" s="36"/>
      <c r="VTI105" s="14"/>
      <c r="VTJ105" s="14"/>
      <c r="VTK105" s="14"/>
      <c r="VTL105" s="14"/>
      <c r="VTM105" s="14"/>
      <c r="VTN105" s="14"/>
      <c r="VTO105" s="14"/>
      <c r="VTP105" s="36"/>
      <c r="VTQ105" s="14"/>
      <c r="VTR105" s="14"/>
      <c r="VTS105" s="14"/>
      <c r="VTT105" s="14"/>
      <c r="VTU105" s="14"/>
      <c r="VTV105" s="14"/>
      <c r="VTW105" s="14"/>
      <c r="VTX105" s="36"/>
      <c r="VTY105" s="14"/>
      <c r="VTZ105" s="14"/>
      <c r="VUA105" s="14"/>
      <c r="VUB105" s="14"/>
      <c r="VUC105" s="14"/>
      <c r="VUD105" s="14"/>
      <c r="VUE105" s="14"/>
      <c r="VUF105" s="36"/>
      <c r="VUG105" s="14"/>
      <c r="VUH105" s="14"/>
      <c r="VUI105" s="14"/>
      <c r="VUJ105" s="14"/>
      <c r="VUK105" s="14"/>
      <c r="VUL105" s="14"/>
      <c r="VUM105" s="14"/>
      <c r="VUN105" s="36"/>
      <c r="VUO105" s="14"/>
      <c r="VUP105" s="14"/>
      <c r="VUQ105" s="14"/>
      <c r="VUR105" s="14"/>
      <c r="VUS105" s="14"/>
      <c r="VUT105" s="14"/>
      <c r="VUU105" s="14"/>
      <c r="VUV105" s="36"/>
      <c r="VUW105" s="14"/>
      <c r="VUX105" s="14"/>
      <c r="VUY105" s="14"/>
      <c r="VUZ105" s="14"/>
      <c r="VVA105" s="14"/>
      <c r="VVB105" s="14"/>
      <c r="VVC105" s="14"/>
      <c r="VVD105" s="36"/>
      <c r="VVE105" s="14"/>
      <c r="VVF105" s="14"/>
      <c r="VVG105" s="14"/>
      <c r="VVH105" s="14"/>
      <c r="VVI105" s="14"/>
      <c r="VVJ105" s="14"/>
      <c r="VVK105" s="14"/>
      <c r="VVL105" s="36"/>
      <c r="VVM105" s="14"/>
      <c r="VVN105" s="14"/>
      <c r="VVO105" s="14"/>
      <c r="VVP105" s="14"/>
      <c r="VVQ105" s="14"/>
      <c r="VVR105" s="14"/>
      <c r="VVS105" s="14"/>
      <c r="VVT105" s="36"/>
      <c r="VVU105" s="14"/>
      <c r="VVV105" s="14"/>
      <c r="VVW105" s="14"/>
      <c r="VVX105" s="14"/>
      <c r="VVY105" s="14"/>
      <c r="VVZ105" s="14"/>
      <c r="VWA105" s="14"/>
      <c r="VWB105" s="36"/>
      <c r="VWC105" s="14"/>
      <c r="VWD105" s="14"/>
      <c r="VWE105" s="14"/>
      <c r="VWF105" s="14"/>
      <c r="VWG105" s="14"/>
      <c r="VWH105" s="14"/>
      <c r="VWI105" s="14"/>
      <c r="VWJ105" s="36"/>
      <c r="VWK105" s="14"/>
      <c r="VWL105" s="14"/>
      <c r="VWM105" s="14"/>
      <c r="VWN105" s="14"/>
      <c r="VWO105" s="14"/>
      <c r="VWP105" s="14"/>
      <c r="VWQ105" s="14"/>
      <c r="VWR105" s="36"/>
      <c r="VWS105" s="14"/>
      <c r="VWT105" s="14"/>
      <c r="VWU105" s="14"/>
      <c r="VWV105" s="14"/>
      <c r="VWW105" s="14"/>
      <c r="VWX105" s="14"/>
      <c r="VWY105" s="14"/>
      <c r="VWZ105" s="36"/>
      <c r="VXA105" s="14"/>
      <c r="VXB105" s="14"/>
      <c r="VXC105" s="14"/>
      <c r="VXD105" s="14"/>
      <c r="VXE105" s="14"/>
      <c r="VXF105" s="14"/>
      <c r="VXG105" s="14"/>
      <c r="VXH105" s="36"/>
      <c r="VXI105" s="14"/>
      <c r="VXJ105" s="14"/>
      <c r="VXK105" s="14"/>
      <c r="VXL105" s="14"/>
      <c r="VXM105" s="14"/>
      <c r="VXN105" s="14"/>
      <c r="VXO105" s="14"/>
      <c r="VXP105" s="36"/>
      <c r="VXQ105" s="14"/>
      <c r="VXR105" s="14"/>
      <c r="VXS105" s="14"/>
      <c r="VXT105" s="14"/>
      <c r="VXU105" s="14"/>
      <c r="VXV105" s="14"/>
      <c r="VXW105" s="14"/>
      <c r="VXX105" s="36"/>
      <c r="VXY105" s="14"/>
      <c r="VXZ105" s="14"/>
      <c r="VYA105" s="14"/>
      <c r="VYB105" s="14"/>
      <c r="VYC105" s="14"/>
      <c r="VYD105" s="14"/>
      <c r="VYE105" s="14"/>
      <c r="VYF105" s="36"/>
      <c r="VYG105" s="14"/>
      <c r="VYH105" s="14"/>
      <c r="VYI105" s="14"/>
      <c r="VYJ105" s="14"/>
      <c r="VYK105" s="14"/>
      <c r="VYL105" s="14"/>
      <c r="VYM105" s="14"/>
      <c r="VYN105" s="36"/>
      <c r="VYO105" s="14"/>
      <c r="VYP105" s="14"/>
      <c r="VYQ105" s="14"/>
      <c r="VYR105" s="14"/>
      <c r="VYS105" s="14"/>
      <c r="VYT105" s="14"/>
      <c r="VYU105" s="14"/>
      <c r="VYV105" s="36"/>
      <c r="VYW105" s="14"/>
      <c r="VYX105" s="14"/>
      <c r="VYY105" s="14"/>
      <c r="VYZ105" s="14"/>
      <c r="VZA105" s="14"/>
      <c r="VZB105" s="14"/>
      <c r="VZC105" s="14"/>
      <c r="VZD105" s="36"/>
      <c r="VZE105" s="14"/>
      <c r="VZF105" s="14"/>
      <c r="VZG105" s="14"/>
      <c r="VZH105" s="14"/>
      <c r="VZI105" s="14"/>
      <c r="VZJ105" s="14"/>
      <c r="VZK105" s="14"/>
      <c r="VZL105" s="36"/>
      <c r="VZM105" s="14"/>
      <c r="VZN105" s="14"/>
      <c r="VZO105" s="14"/>
      <c r="VZP105" s="14"/>
      <c r="VZQ105" s="14"/>
      <c r="VZR105" s="14"/>
      <c r="VZS105" s="14"/>
      <c r="VZT105" s="36"/>
      <c r="VZU105" s="14"/>
      <c r="VZV105" s="14"/>
      <c r="VZW105" s="14"/>
      <c r="VZX105" s="14"/>
      <c r="VZY105" s="14"/>
      <c r="VZZ105" s="14"/>
      <c r="WAA105" s="14"/>
      <c r="WAB105" s="36"/>
      <c r="WAC105" s="14"/>
      <c r="WAD105" s="14"/>
      <c r="WAE105" s="14"/>
      <c r="WAF105" s="14"/>
      <c r="WAG105" s="14"/>
      <c r="WAH105" s="14"/>
      <c r="WAI105" s="14"/>
      <c r="WAJ105" s="36"/>
      <c r="WAK105" s="14"/>
      <c r="WAL105" s="14"/>
      <c r="WAM105" s="14"/>
      <c r="WAN105" s="14"/>
      <c r="WAO105" s="14"/>
      <c r="WAP105" s="14"/>
      <c r="WAQ105" s="14"/>
      <c r="WAR105" s="36"/>
      <c r="WAS105" s="14"/>
      <c r="WAT105" s="14"/>
      <c r="WAU105" s="14"/>
      <c r="WAV105" s="14"/>
      <c r="WAW105" s="14"/>
      <c r="WAX105" s="14"/>
      <c r="WAY105" s="14"/>
      <c r="WAZ105" s="36"/>
      <c r="WBA105" s="14"/>
      <c r="WBB105" s="14"/>
      <c r="WBC105" s="14"/>
      <c r="WBD105" s="14"/>
      <c r="WBE105" s="14"/>
      <c r="WBF105" s="14"/>
      <c r="WBG105" s="14"/>
      <c r="WBH105" s="36"/>
      <c r="WBI105" s="14"/>
      <c r="WBJ105" s="14"/>
      <c r="WBK105" s="14"/>
      <c r="WBL105" s="14"/>
      <c r="WBM105" s="14"/>
      <c r="WBN105" s="14"/>
      <c r="WBO105" s="14"/>
      <c r="WBP105" s="36"/>
      <c r="WBQ105" s="14"/>
      <c r="WBR105" s="14"/>
      <c r="WBS105" s="14"/>
      <c r="WBT105" s="14"/>
      <c r="WBU105" s="14"/>
      <c r="WBV105" s="14"/>
      <c r="WBW105" s="14"/>
      <c r="WBX105" s="36"/>
      <c r="WBY105" s="14"/>
      <c r="WBZ105" s="14"/>
      <c r="WCA105" s="14"/>
      <c r="WCB105" s="14"/>
      <c r="WCC105" s="14"/>
      <c r="WCD105" s="14"/>
      <c r="WCE105" s="14"/>
      <c r="WCF105" s="36"/>
      <c r="WCG105" s="14"/>
      <c r="WCH105" s="14"/>
      <c r="WCI105" s="14"/>
      <c r="WCJ105" s="14"/>
      <c r="WCK105" s="14"/>
      <c r="WCL105" s="14"/>
      <c r="WCM105" s="14"/>
      <c r="WCN105" s="36"/>
      <c r="WCO105" s="14"/>
      <c r="WCP105" s="14"/>
      <c r="WCQ105" s="14"/>
      <c r="WCR105" s="14"/>
      <c r="WCS105" s="14"/>
      <c r="WCT105" s="14"/>
      <c r="WCU105" s="14"/>
      <c r="WCV105" s="36"/>
      <c r="WCW105" s="14"/>
      <c r="WCX105" s="14"/>
      <c r="WCY105" s="14"/>
      <c r="WCZ105" s="14"/>
      <c r="WDA105" s="14"/>
      <c r="WDB105" s="14"/>
      <c r="WDC105" s="14"/>
      <c r="WDD105" s="36"/>
      <c r="WDE105" s="14"/>
      <c r="WDF105" s="14"/>
      <c r="WDG105" s="14"/>
      <c r="WDH105" s="14"/>
      <c r="WDI105" s="14"/>
      <c r="WDJ105" s="14"/>
      <c r="WDK105" s="14"/>
      <c r="WDL105" s="36"/>
      <c r="WDM105" s="14"/>
      <c r="WDN105" s="14"/>
      <c r="WDO105" s="14"/>
      <c r="WDP105" s="14"/>
      <c r="WDQ105" s="14"/>
      <c r="WDR105" s="14"/>
      <c r="WDS105" s="14"/>
      <c r="WDT105" s="36"/>
      <c r="WDU105" s="14"/>
      <c r="WDV105" s="14"/>
      <c r="WDW105" s="14"/>
      <c r="WDX105" s="14"/>
      <c r="WDY105" s="14"/>
      <c r="WDZ105" s="14"/>
      <c r="WEA105" s="14"/>
      <c r="WEB105" s="36"/>
      <c r="WEC105" s="14"/>
      <c r="WED105" s="14"/>
      <c r="WEE105" s="14"/>
      <c r="WEF105" s="14"/>
      <c r="WEG105" s="14"/>
      <c r="WEH105" s="14"/>
      <c r="WEI105" s="14"/>
      <c r="WEJ105" s="36"/>
      <c r="WEK105" s="14"/>
      <c r="WEL105" s="14"/>
      <c r="WEM105" s="14"/>
      <c r="WEN105" s="14"/>
      <c r="WEO105" s="14"/>
      <c r="WEP105" s="14"/>
      <c r="WEQ105" s="14"/>
      <c r="WER105" s="36"/>
      <c r="WES105" s="14"/>
      <c r="WET105" s="14"/>
      <c r="WEU105" s="14"/>
      <c r="WEV105" s="14"/>
      <c r="WEW105" s="14"/>
      <c r="WEX105" s="14"/>
      <c r="WEY105" s="14"/>
      <c r="WEZ105" s="36"/>
      <c r="WFA105" s="14"/>
      <c r="WFB105" s="14"/>
      <c r="WFC105" s="14"/>
      <c r="WFD105" s="14"/>
      <c r="WFE105" s="14"/>
      <c r="WFF105" s="14"/>
      <c r="WFG105" s="14"/>
      <c r="WFH105" s="36"/>
      <c r="WFI105" s="14"/>
      <c r="WFJ105" s="14"/>
      <c r="WFK105" s="14"/>
      <c r="WFL105" s="14"/>
      <c r="WFM105" s="14"/>
      <c r="WFN105" s="14"/>
      <c r="WFO105" s="14"/>
      <c r="WFP105" s="36"/>
      <c r="WFQ105" s="14"/>
      <c r="WFR105" s="14"/>
      <c r="WFS105" s="14"/>
      <c r="WFT105" s="14"/>
      <c r="WFU105" s="14"/>
      <c r="WFV105" s="14"/>
      <c r="WFW105" s="14"/>
      <c r="WFX105" s="36"/>
      <c r="WFY105" s="14"/>
      <c r="WFZ105" s="14"/>
      <c r="WGA105" s="14"/>
      <c r="WGB105" s="14"/>
      <c r="WGC105" s="14"/>
      <c r="WGD105" s="14"/>
      <c r="WGE105" s="14"/>
      <c r="WGF105" s="36"/>
      <c r="WGG105" s="14"/>
      <c r="WGH105" s="14"/>
      <c r="WGI105" s="14"/>
      <c r="WGJ105" s="14"/>
      <c r="WGK105" s="14"/>
      <c r="WGL105" s="14"/>
      <c r="WGM105" s="14"/>
      <c r="WGN105" s="36"/>
      <c r="WGO105" s="14"/>
      <c r="WGP105" s="14"/>
      <c r="WGQ105" s="14"/>
      <c r="WGR105" s="14"/>
      <c r="WGS105" s="14"/>
      <c r="WGT105" s="14"/>
      <c r="WGU105" s="14"/>
      <c r="WGV105" s="36"/>
      <c r="WGW105" s="14"/>
      <c r="WGX105" s="14"/>
      <c r="WGY105" s="14"/>
      <c r="WGZ105" s="14"/>
      <c r="WHA105" s="14"/>
      <c r="WHB105" s="14"/>
      <c r="WHC105" s="14"/>
      <c r="WHD105" s="36"/>
      <c r="WHE105" s="14"/>
      <c r="WHF105" s="14"/>
      <c r="WHG105" s="14"/>
      <c r="WHH105" s="14"/>
      <c r="WHI105" s="14"/>
      <c r="WHJ105" s="14"/>
      <c r="WHK105" s="14"/>
      <c r="WHL105" s="36"/>
      <c r="WHM105" s="14"/>
      <c r="WHN105" s="14"/>
      <c r="WHO105" s="14"/>
      <c r="WHP105" s="14"/>
      <c r="WHQ105" s="14"/>
      <c r="WHR105" s="14"/>
      <c r="WHS105" s="14"/>
      <c r="WHT105" s="36"/>
      <c r="WHU105" s="14"/>
      <c r="WHV105" s="14"/>
      <c r="WHW105" s="14"/>
      <c r="WHX105" s="14"/>
      <c r="WHY105" s="14"/>
      <c r="WHZ105" s="14"/>
      <c r="WIA105" s="14"/>
      <c r="WIB105" s="36"/>
      <c r="WIC105" s="14"/>
      <c r="WID105" s="14"/>
      <c r="WIE105" s="14"/>
      <c r="WIF105" s="14"/>
      <c r="WIG105" s="14"/>
      <c r="WIH105" s="14"/>
      <c r="WII105" s="14"/>
      <c r="WIJ105" s="36"/>
      <c r="WIK105" s="14"/>
      <c r="WIL105" s="14"/>
      <c r="WIM105" s="14"/>
      <c r="WIN105" s="14"/>
      <c r="WIO105" s="14"/>
      <c r="WIP105" s="14"/>
      <c r="WIQ105" s="14"/>
      <c r="WIR105" s="36"/>
      <c r="WIS105" s="14"/>
      <c r="WIT105" s="14"/>
      <c r="WIU105" s="14"/>
      <c r="WIV105" s="14"/>
      <c r="WIW105" s="14"/>
      <c r="WIX105" s="14"/>
      <c r="WIY105" s="14"/>
      <c r="WIZ105" s="36"/>
      <c r="WJA105" s="14"/>
      <c r="WJB105" s="14"/>
      <c r="WJC105" s="14"/>
      <c r="WJD105" s="14"/>
      <c r="WJE105" s="14"/>
      <c r="WJF105" s="14"/>
      <c r="WJG105" s="14"/>
      <c r="WJH105" s="36"/>
      <c r="WJI105" s="14"/>
      <c r="WJJ105" s="14"/>
      <c r="WJK105" s="14"/>
      <c r="WJL105" s="14"/>
      <c r="WJM105" s="14"/>
      <c r="WJN105" s="14"/>
      <c r="WJO105" s="14"/>
      <c r="WJP105" s="36"/>
      <c r="WJQ105" s="14"/>
      <c r="WJR105" s="14"/>
      <c r="WJS105" s="14"/>
      <c r="WJT105" s="14"/>
      <c r="WJU105" s="14"/>
      <c r="WJV105" s="14"/>
      <c r="WJW105" s="14"/>
      <c r="WJX105" s="36"/>
      <c r="WJY105" s="14"/>
      <c r="WJZ105" s="14"/>
      <c r="WKA105" s="14"/>
      <c r="WKB105" s="14"/>
      <c r="WKC105" s="14"/>
      <c r="WKD105" s="14"/>
      <c r="WKE105" s="14"/>
      <c r="WKF105" s="36"/>
      <c r="WKG105" s="14"/>
      <c r="WKH105" s="14"/>
      <c r="WKI105" s="14"/>
      <c r="WKJ105" s="14"/>
      <c r="WKK105" s="14"/>
      <c r="WKL105" s="14"/>
      <c r="WKM105" s="14"/>
      <c r="WKN105" s="36"/>
      <c r="WKO105" s="14"/>
      <c r="WKP105" s="14"/>
      <c r="WKQ105" s="14"/>
      <c r="WKR105" s="14"/>
      <c r="WKS105" s="14"/>
      <c r="WKT105" s="14"/>
      <c r="WKU105" s="14"/>
      <c r="WKV105" s="36"/>
      <c r="WKW105" s="14"/>
      <c r="WKX105" s="14"/>
      <c r="WKY105" s="14"/>
      <c r="WKZ105" s="14"/>
      <c r="WLA105" s="14"/>
      <c r="WLB105" s="14"/>
      <c r="WLC105" s="14"/>
      <c r="WLD105" s="36"/>
      <c r="WLE105" s="14"/>
      <c r="WLF105" s="14"/>
      <c r="WLG105" s="14"/>
      <c r="WLH105" s="14"/>
      <c r="WLI105" s="14"/>
      <c r="WLJ105" s="14"/>
      <c r="WLK105" s="14"/>
      <c r="WLL105" s="36"/>
      <c r="WLM105" s="14"/>
      <c r="WLN105" s="14"/>
      <c r="WLO105" s="14"/>
      <c r="WLP105" s="14"/>
      <c r="WLQ105" s="14"/>
      <c r="WLR105" s="14"/>
      <c r="WLS105" s="14"/>
      <c r="WLT105" s="36"/>
      <c r="WLU105" s="14"/>
      <c r="WLV105" s="14"/>
      <c r="WLW105" s="14"/>
      <c r="WLX105" s="14"/>
      <c r="WLY105" s="14"/>
      <c r="WLZ105" s="14"/>
      <c r="WMA105" s="14"/>
      <c r="WMB105" s="36"/>
      <c r="WMC105" s="14"/>
      <c r="WMD105" s="14"/>
      <c r="WME105" s="14"/>
      <c r="WMF105" s="14"/>
      <c r="WMG105" s="14"/>
      <c r="WMH105" s="14"/>
      <c r="WMI105" s="14"/>
      <c r="WMJ105" s="36"/>
      <c r="WMK105" s="14"/>
      <c r="WML105" s="14"/>
      <c r="WMM105" s="14"/>
      <c r="WMN105" s="14"/>
      <c r="WMO105" s="14"/>
      <c r="WMP105" s="14"/>
      <c r="WMQ105" s="14"/>
      <c r="WMR105" s="36"/>
      <c r="WMS105" s="14"/>
      <c r="WMT105" s="14"/>
      <c r="WMU105" s="14"/>
      <c r="WMV105" s="14"/>
      <c r="WMW105" s="14"/>
      <c r="WMX105" s="14"/>
      <c r="WMY105" s="14"/>
      <c r="WMZ105" s="36"/>
      <c r="WNA105" s="14"/>
      <c r="WNB105" s="14"/>
      <c r="WNC105" s="14"/>
      <c r="WND105" s="14"/>
      <c r="WNE105" s="14"/>
      <c r="WNF105" s="14"/>
      <c r="WNG105" s="14"/>
      <c r="WNH105" s="36"/>
      <c r="WNI105" s="14"/>
      <c r="WNJ105" s="14"/>
      <c r="WNK105" s="14"/>
      <c r="WNL105" s="14"/>
      <c r="WNM105" s="14"/>
      <c r="WNN105" s="14"/>
      <c r="WNO105" s="14"/>
      <c r="WNP105" s="36"/>
      <c r="WNQ105" s="14"/>
      <c r="WNR105" s="14"/>
      <c r="WNS105" s="14"/>
      <c r="WNT105" s="14"/>
      <c r="WNU105" s="14"/>
      <c r="WNV105" s="14"/>
      <c r="WNW105" s="14"/>
      <c r="WNX105" s="36"/>
      <c r="WNY105" s="14"/>
      <c r="WNZ105" s="14"/>
      <c r="WOA105" s="14"/>
      <c r="WOB105" s="14"/>
      <c r="WOC105" s="14"/>
      <c r="WOD105" s="14"/>
      <c r="WOE105" s="14"/>
      <c r="WOF105" s="36"/>
      <c r="WOG105" s="14"/>
      <c r="WOH105" s="14"/>
      <c r="WOI105" s="14"/>
      <c r="WOJ105" s="14"/>
      <c r="WOK105" s="14"/>
      <c r="WOL105" s="14"/>
      <c r="WOM105" s="14"/>
      <c r="WON105" s="36"/>
      <c r="WOO105" s="14"/>
      <c r="WOP105" s="14"/>
      <c r="WOQ105" s="14"/>
      <c r="WOR105" s="14"/>
      <c r="WOS105" s="14"/>
      <c r="WOT105" s="14"/>
      <c r="WOU105" s="14"/>
      <c r="WOV105" s="36"/>
      <c r="WOW105" s="14"/>
      <c r="WOX105" s="14"/>
      <c r="WOY105" s="14"/>
      <c r="WOZ105" s="14"/>
      <c r="WPA105" s="14"/>
      <c r="WPB105" s="14"/>
      <c r="WPC105" s="14"/>
      <c r="WPD105" s="36"/>
      <c r="WPE105" s="14"/>
      <c r="WPF105" s="14"/>
      <c r="WPG105" s="14"/>
      <c r="WPH105" s="14"/>
      <c r="WPI105" s="14"/>
      <c r="WPJ105" s="14"/>
      <c r="WPK105" s="14"/>
      <c r="WPL105" s="36"/>
      <c r="WPM105" s="14"/>
      <c r="WPN105" s="14"/>
      <c r="WPO105" s="14"/>
      <c r="WPP105" s="14"/>
      <c r="WPQ105" s="14"/>
      <c r="WPR105" s="14"/>
      <c r="WPS105" s="14"/>
      <c r="WPT105" s="36"/>
      <c r="WPU105" s="14"/>
      <c r="WPV105" s="14"/>
      <c r="WPW105" s="14"/>
      <c r="WPX105" s="14"/>
      <c r="WPY105" s="14"/>
      <c r="WPZ105" s="14"/>
      <c r="WQA105" s="14"/>
      <c r="WQB105" s="36"/>
      <c r="WQC105" s="14"/>
      <c r="WQD105" s="14"/>
      <c r="WQE105" s="14"/>
      <c r="WQF105" s="14"/>
      <c r="WQG105" s="14"/>
      <c r="WQH105" s="14"/>
      <c r="WQI105" s="14"/>
      <c r="WQJ105" s="36"/>
      <c r="WQK105" s="14"/>
      <c r="WQL105" s="14"/>
      <c r="WQM105" s="14"/>
      <c r="WQN105" s="14"/>
      <c r="WQO105" s="14"/>
      <c r="WQP105" s="14"/>
      <c r="WQQ105" s="14"/>
      <c r="WQR105" s="36"/>
      <c r="WQS105" s="14"/>
      <c r="WQT105" s="14"/>
      <c r="WQU105" s="14"/>
      <c r="WQV105" s="14"/>
      <c r="WQW105" s="14"/>
      <c r="WQX105" s="14"/>
      <c r="WQY105" s="14"/>
      <c r="WQZ105" s="36"/>
      <c r="WRA105" s="14"/>
      <c r="WRB105" s="14"/>
      <c r="WRC105" s="14"/>
      <c r="WRD105" s="14"/>
      <c r="WRE105" s="14"/>
      <c r="WRF105" s="14"/>
      <c r="WRG105" s="14"/>
      <c r="WRH105" s="36"/>
      <c r="WRI105" s="14"/>
      <c r="WRJ105" s="14"/>
      <c r="WRK105" s="14"/>
      <c r="WRL105" s="14"/>
      <c r="WRM105" s="14"/>
      <c r="WRN105" s="14"/>
      <c r="WRO105" s="14"/>
      <c r="WRP105" s="36"/>
      <c r="WRQ105" s="14"/>
      <c r="WRR105" s="14"/>
      <c r="WRS105" s="14"/>
      <c r="WRT105" s="14"/>
      <c r="WRU105" s="14"/>
      <c r="WRV105" s="14"/>
      <c r="WRW105" s="14"/>
      <c r="WRX105" s="36"/>
      <c r="WRY105" s="14"/>
      <c r="WRZ105" s="14"/>
      <c r="WSA105" s="14"/>
      <c r="WSB105" s="14"/>
      <c r="WSC105" s="14"/>
      <c r="WSD105" s="14"/>
      <c r="WSE105" s="14"/>
      <c r="WSF105" s="36"/>
      <c r="WSG105" s="14"/>
      <c r="WSH105" s="14"/>
      <c r="WSI105" s="14"/>
      <c r="WSJ105" s="14"/>
      <c r="WSK105" s="14"/>
      <c r="WSL105" s="14"/>
      <c r="WSM105" s="14"/>
      <c r="WSN105" s="36"/>
      <c r="WSO105" s="14"/>
      <c r="WSP105" s="14"/>
      <c r="WSQ105" s="14"/>
      <c r="WSR105" s="14"/>
      <c r="WSS105" s="14"/>
      <c r="WST105" s="14"/>
      <c r="WSU105" s="14"/>
      <c r="WSV105" s="36"/>
      <c r="WSW105" s="14"/>
      <c r="WSX105" s="14"/>
      <c r="WSY105" s="14"/>
      <c r="WSZ105" s="14"/>
      <c r="WTA105" s="14"/>
      <c r="WTB105" s="14"/>
      <c r="WTC105" s="14"/>
      <c r="WTD105" s="36"/>
      <c r="WTE105" s="14"/>
      <c r="WTF105" s="14"/>
      <c r="WTG105" s="14"/>
      <c r="WTH105" s="14"/>
      <c r="WTI105" s="14"/>
      <c r="WTJ105" s="14"/>
      <c r="WTK105" s="14"/>
      <c r="WTL105" s="36"/>
      <c r="WTM105" s="14"/>
      <c r="WTN105" s="14"/>
      <c r="WTO105" s="14"/>
      <c r="WTP105" s="14"/>
      <c r="WTQ105" s="14"/>
      <c r="WTR105" s="14"/>
      <c r="WTS105" s="14"/>
      <c r="WTT105" s="36"/>
      <c r="WTU105" s="14"/>
      <c r="WTV105" s="14"/>
      <c r="WTW105" s="14"/>
      <c r="WTX105" s="14"/>
      <c r="WTY105" s="14"/>
      <c r="WTZ105" s="14"/>
      <c r="WUA105" s="14"/>
      <c r="WUB105" s="36"/>
      <c r="WUC105" s="14"/>
      <c r="WUD105" s="14"/>
      <c r="WUE105" s="14"/>
      <c r="WUF105" s="14"/>
      <c r="WUG105" s="14"/>
      <c r="WUH105" s="14"/>
      <c r="WUI105" s="14"/>
      <c r="WUJ105" s="36"/>
      <c r="WUK105" s="14"/>
      <c r="WUL105" s="14"/>
      <c r="WUM105" s="14"/>
      <c r="WUN105" s="14"/>
      <c r="WUO105" s="14"/>
      <c r="WUP105" s="14"/>
      <c r="WUQ105" s="14"/>
      <c r="WUR105" s="36"/>
      <c r="WUS105" s="14"/>
      <c r="WUT105" s="14"/>
      <c r="WUU105" s="14"/>
      <c r="WUV105" s="14"/>
      <c r="WUW105" s="14"/>
      <c r="WUX105" s="14"/>
      <c r="WUY105" s="14"/>
      <c r="WUZ105" s="36"/>
      <c r="WVA105" s="14"/>
      <c r="WVB105" s="14"/>
      <c r="WVC105" s="14"/>
      <c r="WVD105" s="14"/>
      <c r="WVE105" s="14"/>
      <c r="WVF105" s="14"/>
      <c r="WVG105" s="14"/>
      <c r="WVH105" s="36"/>
      <c r="WVI105" s="14"/>
      <c r="WVJ105" s="14"/>
      <c r="WVK105" s="14"/>
      <c r="WVL105" s="14"/>
      <c r="WVM105" s="14"/>
      <c r="WVN105" s="14"/>
      <c r="WVO105" s="14"/>
      <c r="WVP105" s="36"/>
      <c r="WVQ105" s="14"/>
      <c r="WVR105" s="14"/>
      <c r="WVS105" s="14"/>
      <c r="WVT105" s="14"/>
      <c r="WVU105" s="14"/>
      <c r="WVV105" s="14"/>
      <c r="WVW105" s="14"/>
      <c r="WVX105" s="36"/>
      <c r="WVY105" s="14"/>
      <c r="WVZ105" s="14"/>
      <c r="WWA105" s="14"/>
      <c r="WWB105" s="14"/>
      <c r="WWC105" s="14"/>
      <c r="WWD105" s="14"/>
      <c r="WWE105" s="14"/>
      <c r="WWF105" s="36"/>
      <c r="WWG105" s="14"/>
      <c r="WWH105" s="14"/>
      <c r="WWI105" s="14"/>
      <c r="WWJ105" s="14"/>
      <c r="WWK105" s="14"/>
      <c r="WWL105" s="14"/>
      <c r="WWM105" s="14"/>
      <c r="WWN105" s="36"/>
      <c r="WWO105" s="14"/>
      <c r="WWP105" s="14"/>
      <c r="WWQ105" s="14"/>
      <c r="WWR105" s="14"/>
      <c r="WWS105" s="14"/>
      <c r="WWT105" s="14"/>
      <c r="WWU105" s="14"/>
      <c r="WWV105" s="36"/>
      <c r="WWW105" s="14"/>
      <c r="WWX105" s="14"/>
      <c r="WWY105" s="14"/>
      <c r="WWZ105" s="14"/>
      <c r="WXA105" s="14"/>
      <c r="WXB105" s="14"/>
      <c r="WXC105" s="14"/>
      <c r="WXD105" s="36"/>
      <c r="WXE105" s="14"/>
      <c r="WXF105" s="14"/>
      <c r="WXG105" s="14"/>
      <c r="WXH105" s="14"/>
      <c r="WXI105" s="14"/>
      <c r="WXJ105" s="14"/>
      <c r="WXK105" s="14"/>
      <c r="WXL105" s="36"/>
      <c r="WXM105" s="14"/>
      <c r="WXN105" s="14"/>
      <c r="WXO105" s="14"/>
      <c r="WXP105" s="14"/>
      <c r="WXQ105" s="14"/>
      <c r="WXR105" s="14"/>
      <c r="WXS105" s="14"/>
      <c r="WXT105" s="36"/>
      <c r="WXU105" s="14"/>
      <c r="WXV105" s="14"/>
      <c r="WXW105" s="14"/>
      <c r="WXX105" s="14"/>
      <c r="WXY105" s="14"/>
      <c r="WXZ105" s="14"/>
      <c r="WYA105" s="14"/>
      <c r="WYB105" s="36"/>
      <c r="WYC105" s="14"/>
      <c r="WYD105" s="14"/>
      <c r="WYE105" s="14"/>
      <c r="WYF105" s="14"/>
      <c r="WYG105" s="14"/>
      <c r="WYH105" s="14"/>
      <c r="WYI105" s="14"/>
      <c r="WYJ105" s="36"/>
      <c r="WYK105" s="14"/>
      <c r="WYL105" s="14"/>
      <c r="WYM105" s="14"/>
      <c r="WYN105" s="14"/>
      <c r="WYO105" s="14"/>
      <c r="WYP105" s="14"/>
      <c r="WYQ105" s="14"/>
      <c r="WYR105" s="36"/>
      <c r="WYS105" s="14"/>
      <c r="WYT105" s="14"/>
      <c r="WYU105" s="14"/>
      <c r="WYV105" s="14"/>
      <c r="WYW105" s="14"/>
      <c r="WYX105" s="14"/>
      <c r="WYY105" s="14"/>
      <c r="WYZ105" s="36"/>
      <c r="WZA105" s="14"/>
      <c r="WZB105" s="14"/>
      <c r="WZC105" s="14"/>
      <c r="WZD105" s="14"/>
      <c r="WZE105" s="14"/>
      <c r="WZF105" s="14"/>
      <c r="WZG105" s="14"/>
      <c r="WZH105" s="36"/>
      <c r="WZI105" s="14"/>
      <c r="WZJ105" s="14"/>
      <c r="WZK105" s="14"/>
      <c r="WZL105" s="14"/>
      <c r="WZM105" s="14"/>
      <c r="WZN105" s="14"/>
      <c r="WZO105" s="14"/>
      <c r="WZP105" s="36"/>
      <c r="WZQ105" s="14"/>
      <c r="WZR105" s="14"/>
      <c r="WZS105" s="14"/>
      <c r="WZT105" s="14"/>
      <c r="WZU105" s="14"/>
      <c r="WZV105" s="14"/>
      <c r="WZW105" s="14"/>
      <c r="WZX105" s="36"/>
      <c r="WZY105" s="14"/>
      <c r="WZZ105" s="14"/>
      <c r="XAA105" s="14"/>
      <c r="XAB105" s="14"/>
      <c r="XAC105" s="14"/>
      <c r="XAD105" s="14"/>
      <c r="XAE105" s="14"/>
      <c r="XAF105" s="36"/>
      <c r="XAG105" s="14"/>
      <c r="XAH105" s="14"/>
      <c r="XAI105" s="14"/>
      <c r="XAJ105" s="14"/>
      <c r="XAK105" s="14"/>
      <c r="XAL105" s="14"/>
      <c r="XAM105" s="14"/>
      <c r="XAN105" s="36"/>
      <c r="XAO105" s="14"/>
      <c r="XAP105" s="14"/>
      <c r="XAQ105" s="14"/>
      <c r="XAR105" s="14"/>
      <c r="XAS105" s="14"/>
      <c r="XAT105" s="14"/>
      <c r="XAU105" s="14"/>
      <c r="XAV105" s="36"/>
      <c r="XAW105" s="14"/>
      <c r="XAX105" s="14"/>
      <c r="XAY105" s="14"/>
      <c r="XAZ105" s="14"/>
      <c r="XBA105" s="14"/>
      <c r="XBB105" s="14"/>
      <c r="XBC105" s="14"/>
      <c r="XBD105" s="36"/>
      <c r="XBE105" s="14"/>
      <c r="XBF105" s="14"/>
      <c r="XBG105" s="14"/>
      <c r="XBH105" s="14"/>
      <c r="XBI105" s="14"/>
      <c r="XBJ105" s="14"/>
      <c r="XBK105" s="14"/>
      <c r="XBL105" s="36"/>
      <c r="XBM105" s="14"/>
      <c r="XBN105" s="14"/>
      <c r="XBO105" s="14"/>
      <c r="XBP105" s="14"/>
      <c r="XBQ105" s="14"/>
      <c r="XBR105" s="14"/>
      <c r="XBS105" s="14"/>
      <c r="XBT105" s="36"/>
      <c r="XBU105" s="14"/>
      <c r="XBV105" s="14"/>
      <c r="XBW105" s="14"/>
      <c r="XBX105" s="14"/>
      <c r="XBY105" s="14"/>
      <c r="XBZ105" s="14"/>
      <c r="XCA105" s="14"/>
      <c r="XCB105" s="36"/>
      <c r="XCC105" s="14"/>
      <c r="XCD105" s="14"/>
      <c r="XCE105" s="14"/>
      <c r="XCF105" s="14"/>
      <c r="XCG105" s="14"/>
      <c r="XCH105" s="14"/>
      <c r="XCI105" s="14"/>
      <c r="XCJ105" s="36"/>
      <c r="XCK105" s="14"/>
      <c r="XCL105" s="14"/>
      <c r="XCM105" s="14"/>
      <c r="XCN105" s="14"/>
      <c r="XCO105" s="14"/>
      <c r="XCP105" s="14"/>
      <c r="XCQ105" s="14"/>
      <c r="XCR105" s="36"/>
      <c r="XCS105" s="14"/>
      <c r="XCT105" s="14"/>
      <c r="XCU105" s="14"/>
      <c r="XCV105" s="14"/>
      <c r="XCW105" s="14"/>
      <c r="XCX105" s="14"/>
      <c r="XCY105" s="14"/>
      <c r="XCZ105" s="36"/>
      <c r="XDA105" s="14"/>
      <c r="XDB105" s="14"/>
      <c r="XDC105" s="14"/>
      <c r="XDD105" s="14"/>
      <c r="XDE105" s="14"/>
      <c r="XDF105" s="14"/>
      <c r="XDG105" s="14"/>
      <c r="XDH105" s="36"/>
      <c r="XDI105" s="14"/>
      <c r="XDJ105" s="14"/>
      <c r="XDK105" s="14"/>
      <c r="XDL105" s="14"/>
      <c r="XDM105" s="14"/>
      <c r="XDN105" s="14"/>
      <c r="XDO105" s="14"/>
      <c r="XDP105" s="36"/>
      <c r="XDQ105" s="14"/>
      <c r="XDR105" s="14"/>
      <c r="XDS105" s="14"/>
      <c r="XDT105" s="14"/>
      <c r="XDU105" s="14"/>
      <c r="XDV105" s="14"/>
      <c r="XDW105" s="14"/>
      <c r="XDX105" s="36"/>
      <c r="XDY105" s="14"/>
      <c r="XDZ105" s="14"/>
      <c r="XEA105" s="14"/>
      <c r="XEB105" s="14"/>
      <c r="XEC105" s="14"/>
      <c r="XED105" s="14"/>
      <c r="XEE105" s="14"/>
      <c r="XEF105" s="36"/>
      <c r="XEG105" s="14"/>
      <c r="XEH105" s="14"/>
      <c r="XEI105" s="14"/>
      <c r="XEJ105" s="14"/>
      <c r="XEK105" s="14"/>
      <c r="XEL105" s="14"/>
      <c r="XEM105" s="14"/>
      <c r="XEN105" s="36"/>
      <c r="XEO105" s="14"/>
      <c r="XEP105" s="14"/>
      <c r="XEQ105" s="14"/>
      <c r="XER105" s="14"/>
      <c r="XES105" s="14"/>
      <c r="XET105" s="14"/>
      <c r="XEU105" s="14"/>
      <c r="XEV105" s="36"/>
      <c r="XEW105" s="14"/>
      <c r="XEX105" s="14"/>
      <c r="XEY105" s="14"/>
      <c r="XEZ105" s="14"/>
      <c r="XFA105" s="14"/>
      <c r="XFB105" s="14"/>
      <c r="XFC105" s="14"/>
      <c r="XFD105" s="36"/>
    </row>
    <row r="106" spans="1:16384" customFormat="1" ht="15.75" customHeight="1" x14ac:dyDescent="0.3">
      <c r="A106" s="46" t="s">
        <v>45</v>
      </c>
      <c r="B106" s="46"/>
      <c r="C106" s="46"/>
      <c r="D106" s="46"/>
      <c r="E106" s="46"/>
      <c r="F106" s="46"/>
      <c r="G106" s="46"/>
      <c r="H106" s="47">
        <f>SUM(H102:H105)</f>
        <v>29000</v>
      </c>
      <c r="J106" s="197"/>
      <c r="CC106" s="46" t="s">
        <v>45</v>
      </c>
      <c r="CD106" s="46"/>
      <c r="CE106" s="46"/>
      <c r="CF106" s="46"/>
      <c r="CG106" s="46"/>
      <c r="CH106" s="46"/>
      <c r="CI106" s="46"/>
      <c r="CJ106" s="47">
        <v>0</v>
      </c>
      <c r="CK106" s="46" t="s">
        <v>45</v>
      </c>
      <c r="CL106" s="46"/>
      <c r="CM106" s="46"/>
      <c r="CN106" s="46"/>
      <c r="CO106" s="46"/>
      <c r="CP106" s="46"/>
      <c r="CQ106" s="46"/>
      <c r="CR106" s="47">
        <v>0</v>
      </c>
      <c r="CS106" s="46" t="s">
        <v>45</v>
      </c>
      <c r="CT106" s="46"/>
      <c r="CU106" s="46"/>
      <c r="CV106" s="46"/>
      <c r="CW106" s="46"/>
      <c r="CX106" s="46"/>
      <c r="CY106" s="46"/>
      <c r="CZ106" s="47">
        <v>0</v>
      </c>
      <c r="DA106" s="46" t="s">
        <v>45</v>
      </c>
      <c r="DB106" s="46"/>
      <c r="DC106" s="46"/>
      <c r="DD106" s="46"/>
      <c r="DE106" s="46"/>
      <c r="DF106" s="46"/>
      <c r="DG106" s="46"/>
      <c r="DH106" s="47">
        <v>0</v>
      </c>
      <c r="DI106" s="46" t="s">
        <v>45</v>
      </c>
      <c r="DJ106" s="46"/>
      <c r="DK106" s="46"/>
      <c r="DL106" s="46"/>
      <c r="DM106" s="46"/>
      <c r="DN106" s="46"/>
      <c r="DO106" s="46"/>
      <c r="DP106" s="47">
        <v>0</v>
      </c>
      <c r="DQ106" s="46" t="s">
        <v>45</v>
      </c>
      <c r="DR106" s="46"/>
      <c r="DS106" s="46"/>
      <c r="DT106" s="46"/>
      <c r="DU106" s="46"/>
      <c r="DV106" s="46"/>
      <c r="DW106" s="46"/>
      <c r="DX106" s="47">
        <v>0</v>
      </c>
      <c r="DY106" s="46" t="s">
        <v>45</v>
      </c>
      <c r="DZ106" s="46"/>
      <c r="EA106" s="46"/>
      <c r="EB106" s="46"/>
      <c r="EC106" s="46"/>
      <c r="ED106" s="46"/>
      <c r="EE106" s="46"/>
      <c r="EF106" s="47">
        <v>0</v>
      </c>
      <c r="EG106" s="46" t="s">
        <v>45</v>
      </c>
      <c r="EH106" s="46"/>
      <c r="EI106" s="46"/>
      <c r="EJ106" s="46"/>
      <c r="EK106" s="46"/>
      <c r="EL106" s="46"/>
      <c r="EM106" s="46"/>
      <c r="EN106" s="47">
        <v>0</v>
      </c>
      <c r="EO106" s="46" t="s">
        <v>45</v>
      </c>
      <c r="EP106" s="46"/>
      <c r="EQ106" s="46"/>
      <c r="ER106" s="46"/>
      <c r="ES106" s="46"/>
      <c r="ET106" s="46"/>
      <c r="EU106" s="46"/>
      <c r="EV106" s="47">
        <v>0</v>
      </c>
      <c r="EW106" s="46" t="s">
        <v>45</v>
      </c>
      <c r="EX106" s="46"/>
      <c r="EY106" s="46"/>
      <c r="EZ106" s="46"/>
      <c r="FA106" s="46"/>
      <c r="FB106" s="46"/>
      <c r="FC106" s="46"/>
      <c r="FD106" s="47">
        <v>0</v>
      </c>
      <c r="FE106" s="46" t="s">
        <v>45</v>
      </c>
      <c r="FF106" s="46"/>
      <c r="FG106" s="46"/>
      <c r="FH106" s="46"/>
      <c r="FI106" s="46"/>
      <c r="FJ106" s="46"/>
      <c r="FK106" s="46"/>
      <c r="FL106" s="47">
        <v>0</v>
      </c>
      <c r="FM106" s="46" t="s">
        <v>45</v>
      </c>
      <c r="FN106" s="46"/>
      <c r="FO106" s="46"/>
      <c r="FP106" s="46"/>
      <c r="FQ106" s="46"/>
      <c r="FR106" s="46"/>
      <c r="FS106" s="46"/>
      <c r="FT106" s="47">
        <v>0</v>
      </c>
      <c r="FU106" s="46" t="s">
        <v>45</v>
      </c>
      <c r="FV106" s="46"/>
      <c r="FW106" s="46"/>
      <c r="FX106" s="46"/>
      <c r="FY106" s="46"/>
      <c r="FZ106" s="46"/>
      <c r="GA106" s="46"/>
      <c r="GB106" s="47">
        <v>0</v>
      </c>
      <c r="GC106" s="46" t="s">
        <v>45</v>
      </c>
      <c r="GD106" s="46"/>
      <c r="GE106" s="46"/>
      <c r="GF106" s="46"/>
      <c r="GG106" s="46"/>
      <c r="GH106" s="46"/>
      <c r="GI106" s="46"/>
      <c r="GJ106" s="47">
        <v>0</v>
      </c>
      <c r="GK106" s="46" t="s">
        <v>45</v>
      </c>
      <c r="GL106" s="46"/>
      <c r="GM106" s="46"/>
      <c r="GN106" s="46"/>
      <c r="GO106" s="46"/>
      <c r="GP106" s="46"/>
      <c r="GQ106" s="46"/>
      <c r="GR106" s="47">
        <v>0</v>
      </c>
      <c r="GS106" s="46" t="s">
        <v>45</v>
      </c>
      <c r="GT106" s="46"/>
      <c r="GU106" s="46"/>
      <c r="GV106" s="46"/>
      <c r="GW106" s="46"/>
      <c r="GX106" s="46"/>
      <c r="GY106" s="46"/>
      <c r="GZ106" s="47">
        <v>0</v>
      </c>
      <c r="HA106" s="46" t="s">
        <v>45</v>
      </c>
      <c r="HB106" s="46"/>
      <c r="HC106" s="46"/>
      <c r="HD106" s="46"/>
      <c r="HE106" s="46"/>
      <c r="HF106" s="46"/>
      <c r="HG106" s="46"/>
      <c r="HH106" s="47">
        <v>0</v>
      </c>
      <c r="HI106" s="46" t="s">
        <v>45</v>
      </c>
      <c r="HJ106" s="46"/>
      <c r="HK106" s="46"/>
      <c r="HL106" s="46"/>
      <c r="HM106" s="46"/>
      <c r="HN106" s="46"/>
      <c r="HO106" s="46"/>
      <c r="HP106" s="47">
        <v>0</v>
      </c>
      <c r="HQ106" s="46" t="s">
        <v>45</v>
      </c>
      <c r="HR106" s="46"/>
      <c r="HS106" s="46"/>
      <c r="HT106" s="46"/>
      <c r="HU106" s="46"/>
      <c r="HV106" s="46"/>
      <c r="HW106" s="46"/>
      <c r="HX106" s="47">
        <v>0</v>
      </c>
      <c r="HY106" s="46" t="s">
        <v>45</v>
      </c>
      <c r="HZ106" s="46"/>
      <c r="IA106" s="46"/>
      <c r="IB106" s="46"/>
      <c r="IC106" s="46"/>
      <c r="ID106" s="46"/>
      <c r="IE106" s="46"/>
      <c r="IF106" s="47">
        <v>0</v>
      </c>
      <c r="IG106" s="46" t="s">
        <v>45</v>
      </c>
      <c r="IH106" s="46"/>
      <c r="II106" s="46"/>
      <c r="IJ106" s="46"/>
      <c r="IK106" s="46"/>
      <c r="IL106" s="46"/>
      <c r="IM106" s="46"/>
      <c r="IN106" s="47">
        <v>0</v>
      </c>
      <c r="IO106" s="46" t="s">
        <v>45</v>
      </c>
      <c r="IP106" s="46"/>
      <c r="IQ106" s="46"/>
      <c r="IR106" s="46"/>
      <c r="IS106" s="46"/>
      <c r="IT106" s="46"/>
      <c r="IU106" s="46"/>
      <c r="IV106" s="47">
        <v>0</v>
      </c>
      <c r="IW106" s="46" t="s">
        <v>45</v>
      </c>
      <c r="IX106" s="46"/>
      <c r="IY106" s="46"/>
      <c r="IZ106" s="46"/>
      <c r="JA106" s="46"/>
      <c r="JB106" s="46"/>
      <c r="JC106" s="46"/>
      <c r="JD106" s="47">
        <v>0</v>
      </c>
      <c r="JE106" s="46" t="s">
        <v>45</v>
      </c>
      <c r="JF106" s="46"/>
      <c r="JG106" s="46"/>
      <c r="JH106" s="46"/>
      <c r="JI106" s="46"/>
      <c r="JJ106" s="46"/>
      <c r="JK106" s="46"/>
      <c r="JL106" s="47">
        <v>0</v>
      </c>
      <c r="JM106" s="46" t="s">
        <v>45</v>
      </c>
      <c r="JN106" s="46"/>
      <c r="JO106" s="46"/>
      <c r="JP106" s="46"/>
      <c r="JQ106" s="46"/>
      <c r="JR106" s="46"/>
      <c r="JS106" s="46"/>
      <c r="JT106" s="47">
        <v>0</v>
      </c>
      <c r="JU106" s="46" t="s">
        <v>45</v>
      </c>
      <c r="JV106" s="46"/>
      <c r="JW106" s="46"/>
      <c r="JX106" s="46"/>
      <c r="JY106" s="46"/>
      <c r="JZ106" s="46"/>
      <c r="KA106" s="46"/>
      <c r="KB106" s="47">
        <v>0</v>
      </c>
      <c r="KC106" s="46" t="s">
        <v>45</v>
      </c>
      <c r="KD106" s="46"/>
      <c r="KE106" s="46"/>
      <c r="KF106" s="46"/>
      <c r="KG106" s="46"/>
      <c r="KH106" s="46"/>
      <c r="KI106" s="46"/>
      <c r="KJ106" s="47">
        <v>0</v>
      </c>
      <c r="KK106" s="46" t="s">
        <v>45</v>
      </c>
      <c r="KL106" s="46"/>
      <c r="KM106" s="46"/>
      <c r="KN106" s="46"/>
      <c r="KO106" s="46"/>
      <c r="KP106" s="46"/>
      <c r="KQ106" s="46"/>
      <c r="KR106" s="47">
        <v>0</v>
      </c>
      <c r="KS106" s="46" t="s">
        <v>45</v>
      </c>
      <c r="KT106" s="46"/>
      <c r="KU106" s="46"/>
      <c r="KV106" s="46"/>
      <c r="KW106" s="46"/>
      <c r="KX106" s="46"/>
      <c r="KY106" s="46"/>
      <c r="KZ106" s="47">
        <v>0</v>
      </c>
      <c r="LA106" s="46" t="s">
        <v>45</v>
      </c>
      <c r="LB106" s="46"/>
      <c r="LC106" s="46"/>
      <c r="LD106" s="46"/>
      <c r="LE106" s="46"/>
      <c r="LF106" s="46"/>
      <c r="LG106" s="46"/>
      <c r="LH106" s="47">
        <v>0</v>
      </c>
      <c r="LI106" s="46" t="s">
        <v>45</v>
      </c>
      <c r="LJ106" s="46"/>
      <c r="LK106" s="46"/>
      <c r="LL106" s="46"/>
      <c r="LM106" s="46"/>
      <c r="LN106" s="46"/>
      <c r="LO106" s="46"/>
      <c r="LP106" s="47">
        <v>0</v>
      </c>
      <c r="LQ106" s="46" t="s">
        <v>45</v>
      </c>
      <c r="LR106" s="46"/>
      <c r="LS106" s="46"/>
      <c r="LT106" s="46"/>
      <c r="LU106" s="46"/>
      <c r="LV106" s="46"/>
      <c r="LW106" s="46"/>
      <c r="LX106" s="47">
        <v>0</v>
      </c>
      <c r="LY106" s="46" t="s">
        <v>45</v>
      </c>
      <c r="LZ106" s="46"/>
      <c r="MA106" s="46"/>
      <c r="MB106" s="46"/>
      <c r="MC106" s="46"/>
      <c r="MD106" s="46"/>
      <c r="ME106" s="46"/>
      <c r="MF106" s="47">
        <v>0</v>
      </c>
      <c r="MG106" s="46" t="s">
        <v>45</v>
      </c>
      <c r="MH106" s="46"/>
      <c r="MI106" s="46"/>
      <c r="MJ106" s="46"/>
      <c r="MK106" s="46"/>
      <c r="ML106" s="46"/>
      <c r="MM106" s="46"/>
      <c r="MN106" s="47">
        <v>0</v>
      </c>
      <c r="MO106" s="46" t="s">
        <v>45</v>
      </c>
      <c r="MP106" s="46"/>
      <c r="MQ106" s="46"/>
      <c r="MR106" s="46"/>
      <c r="MS106" s="46"/>
      <c r="MT106" s="46"/>
      <c r="MU106" s="46"/>
      <c r="MV106" s="47">
        <v>0</v>
      </c>
      <c r="MW106" s="46" t="s">
        <v>45</v>
      </c>
      <c r="MX106" s="46"/>
      <c r="MY106" s="46"/>
      <c r="MZ106" s="46"/>
      <c r="NA106" s="46"/>
      <c r="NB106" s="46"/>
      <c r="NC106" s="46"/>
      <c r="ND106" s="47">
        <v>0</v>
      </c>
      <c r="NE106" s="46" t="s">
        <v>45</v>
      </c>
      <c r="NF106" s="46"/>
      <c r="NG106" s="46"/>
      <c r="NH106" s="46"/>
      <c r="NI106" s="46"/>
      <c r="NJ106" s="46"/>
      <c r="NK106" s="46"/>
      <c r="NL106" s="47">
        <v>0</v>
      </c>
      <c r="NM106" s="46" t="s">
        <v>45</v>
      </c>
      <c r="NN106" s="46"/>
      <c r="NO106" s="46"/>
      <c r="NP106" s="46"/>
      <c r="NQ106" s="46"/>
      <c r="NR106" s="46"/>
      <c r="NS106" s="46"/>
      <c r="NT106" s="47">
        <v>0</v>
      </c>
      <c r="NU106" s="46" t="s">
        <v>45</v>
      </c>
      <c r="NV106" s="46"/>
      <c r="NW106" s="46"/>
      <c r="NX106" s="46"/>
      <c r="NY106" s="46"/>
      <c r="NZ106" s="46"/>
      <c r="OA106" s="46"/>
      <c r="OB106" s="47">
        <v>0</v>
      </c>
      <c r="OC106" s="46" t="s">
        <v>45</v>
      </c>
      <c r="OD106" s="46"/>
      <c r="OE106" s="46"/>
      <c r="OF106" s="46"/>
      <c r="OG106" s="46"/>
      <c r="OH106" s="46"/>
      <c r="OI106" s="46"/>
      <c r="OJ106" s="47">
        <v>0</v>
      </c>
      <c r="OK106" s="46" t="s">
        <v>45</v>
      </c>
      <c r="OL106" s="46"/>
      <c r="OM106" s="46"/>
      <c r="ON106" s="46"/>
      <c r="OO106" s="46"/>
      <c r="OP106" s="46"/>
      <c r="OQ106" s="46"/>
      <c r="OR106" s="47">
        <v>0</v>
      </c>
      <c r="OS106" s="46" t="s">
        <v>45</v>
      </c>
      <c r="OT106" s="46"/>
      <c r="OU106" s="46"/>
      <c r="OV106" s="46"/>
      <c r="OW106" s="46"/>
      <c r="OX106" s="46"/>
      <c r="OY106" s="46"/>
      <c r="OZ106" s="47">
        <v>0</v>
      </c>
      <c r="PA106" s="46" t="s">
        <v>45</v>
      </c>
      <c r="PB106" s="46"/>
      <c r="PC106" s="46"/>
      <c r="PD106" s="46"/>
      <c r="PE106" s="46"/>
      <c r="PF106" s="46"/>
      <c r="PG106" s="46"/>
      <c r="PH106" s="47">
        <v>0</v>
      </c>
      <c r="PI106" s="46" t="s">
        <v>45</v>
      </c>
      <c r="PJ106" s="46"/>
      <c r="PK106" s="46"/>
      <c r="PL106" s="46"/>
      <c r="PM106" s="46"/>
      <c r="PN106" s="46"/>
      <c r="PO106" s="46"/>
      <c r="PP106" s="47">
        <v>0</v>
      </c>
      <c r="PQ106" s="46" t="s">
        <v>45</v>
      </c>
      <c r="PR106" s="46"/>
      <c r="PS106" s="46"/>
      <c r="PT106" s="46"/>
      <c r="PU106" s="46"/>
      <c r="PV106" s="46"/>
      <c r="PW106" s="46"/>
      <c r="PX106" s="47">
        <v>0</v>
      </c>
      <c r="PY106" s="46" t="s">
        <v>45</v>
      </c>
      <c r="PZ106" s="46"/>
      <c r="QA106" s="46"/>
      <c r="QB106" s="46"/>
      <c r="QC106" s="46"/>
      <c r="QD106" s="46"/>
      <c r="QE106" s="46"/>
      <c r="QF106" s="47">
        <v>0</v>
      </c>
      <c r="QG106" s="46" t="s">
        <v>45</v>
      </c>
      <c r="QH106" s="46"/>
      <c r="QI106" s="46"/>
      <c r="QJ106" s="46"/>
      <c r="QK106" s="46"/>
      <c r="QL106" s="46"/>
      <c r="QM106" s="46"/>
      <c r="QN106" s="47">
        <v>0</v>
      </c>
      <c r="QO106" s="46" t="s">
        <v>45</v>
      </c>
      <c r="QP106" s="46"/>
      <c r="QQ106" s="46"/>
      <c r="QR106" s="46"/>
      <c r="QS106" s="46"/>
      <c r="QT106" s="46"/>
      <c r="QU106" s="46"/>
      <c r="QV106" s="47">
        <v>0</v>
      </c>
      <c r="QW106" s="46" t="s">
        <v>45</v>
      </c>
      <c r="QX106" s="46"/>
      <c r="QY106" s="46"/>
      <c r="QZ106" s="46"/>
      <c r="RA106" s="46"/>
      <c r="RB106" s="46"/>
      <c r="RC106" s="46"/>
      <c r="RD106" s="47">
        <v>0</v>
      </c>
      <c r="RE106" s="46" t="s">
        <v>45</v>
      </c>
      <c r="RF106" s="46"/>
      <c r="RG106" s="46"/>
      <c r="RH106" s="46"/>
      <c r="RI106" s="46"/>
      <c r="RJ106" s="46"/>
      <c r="RK106" s="46"/>
      <c r="RL106" s="47">
        <v>0</v>
      </c>
      <c r="RM106" s="46" t="s">
        <v>45</v>
      </c>
      <c r="RN106" s="46"/>
      <c r="RO106" s="46"/>
      <c r="RP106" s="46"/>
      <c r="RQ106" s="46"/>
      <c r="RR106" s="46"/>
      <c r="RS106" s="46"/>
      <c r="RT106" s="47">
        <v>0</v>
      </c>
      <c r="RU106" s="46" t="s">
        <v>45</v>
      </c>
      <c r="RV106" s="46"/>
      <c r="RW106" s="46"/>
      <c r="RX106" s="46"/>
      <c r="RY106" s="46"/>
      <c r="RZ106" s="46"/>
      <c r="SA106" s="46"/>
      <c r="SB106" s="47">
        <v>0</v>
      </c>
      <c r="SC106" s="46" t="s">
        <v>45</v>
      </c>
      <c r="SD106" s="46"/>
      <c r="SE106" s="46"/>
      <c r="SF106" s="46"/>
      <c r="SG106" s="46"/>
      <c r="SH106" s="46"/>
      <c r="SI106" s="46"/>
      <c r="SJ106" s="47">
        <v>0</v>
      </c>
      <c r="SK106" s="46" t="s">
        <v>45</v>
      </c>
      <c r="SL106" s="46"/>
      <c r="SM106" s="46"/>
      <c r="SN106" s="46"/>
      <c r="SO106" s="46"/>
      <c r="SP106" s="46"/>
      <c r="SQ106" s="46"/>
      <c r="SR106" s="47">
        <v>0</v>
      </c>
      <c r="SS106" s="46" t="s">
        <v>45</v>
      </c>
      <c r="ST106" s="46"/>
      <c r="SU106" s="46"/>
      <c r="SV106" s="46"/>
      <c r="SW106" s="46"/>
      <c r="SX106" s="46"/>
      <c r="SY106" s="46"/>
      <c r="SZ106" s="47">
        <v>0</v>
      </c>
      <c r="TA106" s="46" t="s">
        <v>45</v>
      </c>
      <c r="TB106" s="46"/>
      <c r="TC106" s="46"/>
      <c r="TD106" s="46"/>
      <c r="TE106" s="46"/>
      <c r="TF106" s="46"/>
      <c r="TG106" s="46"/>
      <c r="TH106" s="47">
        <v>0</v>
      </c>
      <c r="TI106" s="46" t="s">
        <v>45</v>
      </c>
      <c r="TJ106" s="46"/>
      <c r="TK106" s="46"/>
      <c r="TL106" s="46"/>
      <c r="TM106" s="46"/>
      <c r="TN106" s="46"/>
      <c r="TO106" s="46"/>
      <c r="TP106" s="47">
        <v>0</v>
      </c>
      <c r="TQ106" s="46" t="s">
        <v>45</v>
      </c>
      <c r="TR106" s="46"/>
      <c r="TS106" s="46"/>
      <c r="TT106" s="46"/>
      <c r="TU106" s="46"/>
      <c r="TV106" s="46"/>
      <c r="TW106" s="46"/>
      <c r="TX106" s="47">
        <v>0</v>
      </c>
      <c r="TY106" s="46" t="s">
        <v>45</v>
      </c>
      <c r="TZ106" s="46"/>
      <c r="UA106" s="46"/>
      <c r="UB106" s="46"/>
      <c r="UC106" s="46"/>
      <c r="UD106" s="46"/>
      <c r="UE106" s="46"/>
      <c r="UF106" s="47">
        <v>0</v>
      </c>
      <c r="UG106" s="46" t="s">
        <v>45</v>
      </c>
      <c r="UH106" s="46"/>
      <c r="UI106" s="46"/>
      <c r="UJ106" s="46"/>
      <c r="UK106" s="46"/>
      <c r="UL106" s="46"/>
      <c r="UM106" s="46"/>
      <c r="UN106" s="47">
        <v>0</v>
      </c>
      <c r="UO106" s="46" t="s">
        <v>45</v>
      </c>
      <c r="UP106" s="46"/>
      <c r="UQ106" s="46"/>
      <c r="UR106" s="46"/>
      <c r="US106" s="46"/>
      <c r="UT106" s="46"/>
      <c r="UU106" s="46"/>
      <c r="UV106" s="47">
        <v>0</v>
      </c>
      <c r="UW106" s="46" t="s">
        <v>45</v>
      </c>
      <c r="UX106" s="46"/>
      <c r="UY106" s="46"/>
      <c r="UZ106" s="46"/>
      <c r="VA106" s="46"/>
      <c r="VB106" s="46"/>
      <c r="VC106" s="46"/>
      <c r="VD106" s="47">
        <v>0</v>
      </c>
      <c r="VE106" s="46" t="s">
        <v>45</v>
      </c>
      <c r="VF106" s="46"/>
      <c r="VG106" s="46"/>
      <c r="VH106" s="46"/>
      <c r="VI106" s="46"/>
      <c r="VJ106" s="46"/>
      <c r="VK106" s="46"/>
      <c r="VL106" s="47">
        <v>0</v>
      </c>
      <c r="VM106" s="46" t="s">
        <v>45</v>
      </c>
      <c r="VN106" s="46"/>
      <c r="VO106" s="46"/>
      <c r="VP106" s="46"/>
      <c r="VQ106" s="46"/>
      <c r="VR106" s="46"/>
      <c r="VS106" s="46"/>
      <c r="VT106" s="47">
        <v>0</v>
      </c>
      <c r="VU106" s="46" t="s">
        <v>45</v>
      </c>
      <c r="VV106" s="46"/>
      <c r="VW106" s="46"/>
      <c r="VX106" s="46"/>
      <c r="VY106" s="46"/>
      <c r="VZ106" s="46"/>
      <c r="WA106" s="46"/>
      <c r="WB106" s="47">
        <v>0</v>
      </c>
      <c r="WC106" s="46" t="s">
        <v>45</v>
      </c>
      <c r="WD106" s="46"/>
      <c r="WE106" s="46"/>
      <c r="WF106" s="46"/>
      <c r="WG106" s="46"/>
      <c r="WH106" s="46"/>
      <c r="WI106" s="46"/>
      <c r="WJ106" s="47">
        <v>0</v>
      </c>
      <c r="WK106" s="46" t="s">
        <v>45</v>
      </c>
      <c r="WL106" s="46"/>
      <c r="WM106" s="46"/>
      <c r="WN106" s="46"/>
      <c r="WO106" s="46"/>
      <c r="WP106" s="46"/>
      <c r="WQ106" s="46"/>
      <c r="WR106" s="47">
        <v>0</v>
      </c>
      <c r="WS106" s="46" t="s">
        <v>45</v>
      </c>
      <c r="WT106" s="46"/>
      <c r="WU106" s="46"/>
      <c r="WV106" s="46"/>
      <c r="WW106" s="46"/>
      <c r="WX106" s="46"/>
      <c r="WY106" s="46"/>
      <c r="WZ106" s="47">
        <v>0</v>
      </c>
      <c r="XA106" s="46" t="s">
        <v>45</v>
      </c>
      <c r="XB106" s="46"/>
      <c r="XC106" s="46"/>
      <c r="XD106" s="46"/>
      <c r="XE106" s="46"/>
      <c r="XF106" s="46"/>
      <c r="XG106" s="46"/>
      <c r="XH106" s="47">
        <v>0</v>
      </c>
      <c r="XI106" s="46" t="s">
        <v>45</v>
      </c>
      <c r="XJ106" s="46"/>
      <c r="XK106" s="46"/>
      <c r="XL106" s="46"/>
      <c r="XM106" s="46"/>
      <c r="XN106" s="46"/>
      <c r="XO106" s="46"/>
      <c r="XP106" s="47">
        <v>0</v>
      </c>
      <c r="XQ106" s="46" t="s">
        <v>45</v>
      </c>
      <c r="XR106" s="46"/>
      <c r="XS106" s="46"/>
      <c r="XT106" s="46"/>
      <c r="XU106" s="46"/>
      <c r="XV106" s="46"/>
      <c r="XW106" s="46"/>
      <c r="XX106" s="47">
        <v>0</v>
      </c>
      <c r="XY106" s="46" t="s">
        <v>45</v>
      </c>
      <c r="XZ106" s="46"/>
      <c r="YA106" s="46"/>
      <c r="YB106" s="46"/>
      <c r="YC106" s="46"/>
      <c r="YD106" s="46"/>
      <c r="YE106" s="46"/>
      <c r="YF106" s="47">
        <v>0</v>
      </c>
      <c r="YG106" s="46" t="s">
        <v>45</v>
      </c>
      <c r="YH106" s="46"/>
      <c r="YI106" s="46"/>
      <c r="YJ106" s="46"/>
      <c r="YK106" s="46"/>
      <c r="YL106" s="46"/>
      <c r="YM106" s="46"/>
      <c r="YN106" s="47">
        <v>0</v>
      </c>
      <c r="YO106" s="46" t="s">
        <v>45</v>
      </c>
      <c r="YP106" s="46"/>
      <c r="YQ106" s="46"/>
      <c r="YR106" s="46"/>
      <c r="YS106" s="46"/>
      <c r="YT106" s="46"/>
      <c r="YU106" s="46"/>
      <c r="YV106" s="47">
        <v>0</v>
      </c>
      <c r="YW106" s="46" t="s">
        <v>45</v>
      </c>
      <c r="YX106" s="46"/>
      <c r="YY106" s="46"/>
      <c r="YZ106" s="46"/>
      <c r="ZA106" s="46"/>
      <c r="ZB106" s="46"/>
      <c r="ZC106" s="46"/>
      <c r="ZD106" s="47">
        <v>0</v>
      </c>
      <c r="ZE106" s="46" t="s">
        <v>45</v>
      </c>
      <c r="ZF106" s="46"/>
      <c r="ZG106" s="46"/>
      <c r="ZH106" s="46"/>
      <c r="ZI106" s="46"/>
      <c r="ZJ106" s="46"/>
      <c r="ZK106" s="46"/>
      <c r="ZL106" s="47">
        <v>0</v>
      </c>
      <c r="ZM106" s="46" t="s">
        <v>45</v>
      </c>
      <c r="ZN106" s="46"/>
      <c r="ZO106" s="46"/>
      <c r="ZP106" s="46"/>
      <c r="ZQ106" s="46"/>
      <c r="ZR106" s="46"/>
      <c r="ZS106" s="46"/>
      <c r="ZT106" s="47">
        <v>0</v>
      </c>
      <c r="ZU106" s="46" t="s">
        <v>45</v>
      </c>
      <c r="ZV106" s="46"/>
      <c r="ZW106" s="46"/>
      <c r="ZX106" s="46"/>
      <c r="ZY106" s="46"/>
      <c r="ZZ106" s="46"/>
      <c r="AAA106" s="46"/>
      <c r="AAB106" s="47">
        <v>0</v>
      </c>
      <c r="AAC106" s="46" t="s">
        <v>45</v>
      </c>
      <c r="AAD106" s="46"/>
      <c r="AAE106" s="46"/>
      <c r="AAF106" s="46"/>
      <c r="AAG106" s="46"/>
      <c r="AAH106" s="46"/>
      <c r="AAI106" s="46"/>
      <c r="AAJ106" s="47">
        <v>0</v>
      </c>
      <c r="AAK106" s="46" t="s">
        <v>45</v>
      </c>
      <c r="AAL106" s="46"/>
      <c r="AAM106" s="46"/>
      <c r="AAN106" s="46"/>
      <c r="AAO106" s="46"/>
      <c r="AAP106" s="46"/>
      <c r="AAQ106" s="46"/>
      <c r="AAR106" s="47">
        <v>0</v>
      </c>
      <c r="AAS106" s="46" t="s">
        <v>45</v>
      </c>
      <c r="AAT106" s="46"/>
      <c r="AAU106" s="46"/>
      <c r="AAV106" s="46"/>
      <c r="AAW106" s="46"/>
      <c r="AAX106" s="46"/>
      <c r="AAY106" s="46"/>
      <c r="AAZ106" s="47">
        <v>0</v>
      </c>
      <c r="ABA106" s="46" t="s">
        <v>45</v>
      </c>
      <c r="ABB106" s="46"/>
      <c r="ABC106" s="46"/>
      <c r="ABD106" s="46"/>
      <c r="ABE106" s="46"/>
      <c r="ABF106" s="46"/>
      <c r="ABG106" s="46"/>
      <c r="ABH106" s="47">
        <v>0</v>
      </c>
      <c r="ABI106" s="46" t="s">
        <v>45</v>
      </c>
      <c r="ABJ106" s="46"/>
      <c r="ABK106" s="46"/>
      <c r="ABL106" s="46"/>
      <c r="ABM106" s="46"/>
      <c r="ABN106" s="46"/>
      <c r="ABO106" s="46"/>
      <c r="ABP106" s="47">
        <v>0</v>
      </c>
      <c r="ABQ106" s="46" t="s">
        <v>45</v>
      </c>
      <c r="ABR106" s="46"/>
      <c r="ABS106" s="46"/>
      <c r="ABT106" s="46"/>
      <c r="ABU106" s="46"/>
      <c r="ABV106" s="46"/>
      <c r="ABW106" s="46"/>
      <c r="ABX106" s="47">
        <v>0</v>
      </c>
      <c r="ABY106" s="46" t="s">
        <v>45</v>
      </c>
      <c r="ABZ106" s="46"/>
      <c r="ACA106" s="46"/>
      <c r="ACB106" s="46"/>
      <c r="ACC106" s="46"/>
      <c r="ACD106" s="46"/>
      <c r="ACE106" s="46"/>
      <c r="ACF106" s="47">
        <v>0</v>
      </c>
      <c r="ACG106" s="46" t="s">
        <v>45</v>
      </c>
      <c r="ACH106" s="46"/>
      <c r="ACI106" s="46"/>
      <c r="ACJ106" s="46"/>
      <c r="ACK106" s="46"/>
      <c r="ACL106" s="46"/>
      <c r="ACM106" s="46"/>
      <c r="ACN106" s="47">
        <v>0</v>
      </c>
      <c r="ACO106" s="46" t="s">
        <v>45</v>
      </c>
      <c r="ACP106" s="46"/>
      <c r="ACQ106" s="46"/>
      <c r="ACR106" s="46"/>
      <c r="ACS106" s="46"/>
      <c r="ACT106" s="46"/>
      <c r="ACU106" s="46"/>
      <c r="ACV106" s="47">
        <v>0</v>
      </c>
      <c r="ACW106" s="46" t="s">
        <v>45</v>
      </c>
      <c r="ACX106" s="46"/>
      <c r="ACY106" s="46"/>
      <c r="ACZ106" s="46"/>
      <c r="ADA106" s="46"/>
      <c r="ADB106" s="46"/>
      <c r="ADC106" s="46"/>
      <c r="ADD106" s="47">
        <v>0</v>
      </c>
      <c r="ADE106" s="46" t="s">
        <v>45</v>
      </c>
      <c r="ADF106" s="46"/>
      <c r="ADG106" s="46"/>
      <c r="ADH106" s="46"/>
      <c r="ADI106" s="46"/>
      <c r="ADJ106" s="46"/>
      <c r="ADK106" s="46"/>
      <c r="ADL106" s="47">
        <v>0</v>
      </c>
      <c r="ADM106" s="46" t="s">
        <v>45</v>
      </c>
      <c r="ADN106" s="46"/>
      <c r="ADO106" s="46"/>
      <c r="ADP106" s="46"/>
      <c r="ADQ106" s="46"/>
      <c r="ADR106" s="46"/>
      <c r="ADS106" s="46"/>
      <c r="ADT106" s="47">
        <v>0</v>
      </c>
      <c r="ADU106" s="46" t="s">
        <v>45</v>
      </c>
      <c r="ADV106" s="46"/>
      <c r="ADW106" s="46"/>
      <c r="ADX106" s="46"/>
      <c r="ADY106" s="46"/>
      <c r="ADZ106" s="46"/>
      <c r="AEA106" s="46"/>
      <c r="AEB106" s="47">
        <v>0</v>
      </c>
      <c r="AEC106" s="46" t="s">
        <v>45</v>
      </c>
      <c r="AED106" s="46"/>
      <c r="AEE106" s="46"/>
      <c r="AEF106" s="46"/>
      <c r="AEG106" s="46"/>
      <c r="AEH106" s="46"/>
      <c r="AEI106" s="46"/>
      <c r="AEJ106" s="47">
        <v>0</v>
      </c>
      <c r="AEK106" s="46" t="s">
        <v>45</v>
      </c>
      <c r="AEL106" s="46"/>
      <c r="AEM106" s="46"/>
      <c r="AEN106" s="46"/>
      <c r="AEO106" s="46"/>
      <c r="AEP106" s="46"/>
      <c r="AEQ106" s="46"/>
      <c r="AER106" s="47">
        <v>0</v>
      </c>
      <c r="AES106" s="46" t="s">
        <v>45</v>
      </c>
      <c r="AET106" s="46"/>
      <c r="AEU106" s="46"/>
      <c r="AEV106" s="46"/>
      <c r="AEW106" s="46"/>
      <c r="AEX106" s="46"/>
      <c r="AEY106" s="46"/>
      <c r="AEZ106" s="47">
        <v>0</v>
      </c>
      <c r="AFA106" s="46" t="s">
        <v>45</v>
      </c>
      <c r="AFB106" s="46"/>
      <c r="AFC106" s="46"/>
      <c r="AFD106" s="46"/>
      <c r="AFE106" s="46"/>
      <c r="AFF106" s="46"/>
      <c r="AFG106" s="46"/>
      <c r="AFH106" s="47">
        <v>0</v>
      </c>
      <c r="AFI106" s="46" t="s">
        <v>45</v>
      </c>
      <c r="AFJ106" s="46"/>
      <c r="AFK106" s="46"/>
      <c r="AFL106" s="46"/>
      <c r="AFM106" s="46"/>
      <c r="AFN106" s="46"/>
      <c r="AFO106" s="46"/>
      <c r="AFP106" s="47">
        <v>0</v>
      </c>
      <c r="AFQ106" s="46" t="s">
        <v>45</v>
      </c>
      <c r="AFR106" s="46"/>
      <c r="AFS106" s="46"/>
      <c r="AFT106" s="46"/>
      <c r="AFU106" s="46"/>
      <c r="AFV106" s="46"/>
      <c r="AFW106" s="46"/>
      <c r="AFX106" s="47">
        <v>0</v>
      </c>
      <c r="AFY106" s="46" t="s">
        <v>45</v>
      </c>
      <c r="AFZ106" s="46"/>
      <c r="AGA106" s="46"/>
      <c r="AGB106" s="46"/>
      <c r="AGC106" s="46"/>
      <c r="AGD106" s="46"/>
      <c r="AGE106" s="46"/>
      <c r="AGF106" s="47">
        <v>0</v>
      </c>
      <c r="AGG106" s="46" t="s">
        <v>45</v>
      </c>
      <c r="AGH106" s="46"/>
      <c r="AGI106" s="46"/>
      <c r="AGJ106" s="46"/>
      <c r="AGK106" s="46"/>
      <c r="AGL106" s="46"/>
      <c r="AGM106" s="46"/>
      <c r="AGN106" s="47">
        <v>0</v>
      </c>
      <c r="AGO106" s="46" t="s">
        <v>45</v>
      </c>
      <c r="AGP106" s="46"/>
      <c r="AGQ106" s="46"/>
      <c r="AGR106" s="46"/>
      <c r="AGS106" s="46"/>
      <c r="AGT106" s="46"/>
      <c r="AGU106" s="46"/>
      <c r="AGV106" s="47">
        <v>0</v>
      </c>
      <c r="AGW106" s="46" t="s">
        <v>45</v>
      </c>
      <c r="AGX106" s="46"/>
      <c r="AGY106" s="46"/>
      <c r="AGZ106" s="46"/>
      <c r="AHA106" s="46"/>
      <c r="AHB106" s="46"/>
      <c r="AHC106" s="46"/>
      <c r="AHD106" s="47">
        <v>0</v>
      </c>
      <c r="AHE106" s="46" t="s">
        <v>45</v>
      </c>
      <c r="AHF106" s="46"/>
      <c r="AHG106" s="46"/>
      <c r="AHH106" s="46"/>
      <c r="AHI106" s="46"/>
      <c r="AHJ106" s="46"/>
      <c r="AHK106" s="46"/>
      <c r="AHL106" s="47">
        <v>0</v>
      </c>
      <c r="AHM106" s="46" t="s">
        <v>45</v>
      </c>
      <c r="AHN106" s="46"/>
      <c r="AHO106" s="46"/>
      <c r="AHP106" s="46"/>
      <c r="AHQ106" s="46"/>
      <c r="AHR106" s="46"/>
      <c r="AHS106" s="46"/>
      <c r="AHT106" s="47">
        <v>0</v>
      </c>
      <c r="AHU106" s="46" t="s">
        <v>45</v>
      </c>
      <c r="AHV106" s="46"/>
      <c r="AHW106" s="46"/>
      <c r="AHX106" s="46"/>
      <c r="AHY106" s="46"/>
      <c r="AHZ106" s="46"/>
      <c r="AIA106" s="46"/>
      <c r="AIB106" s="47">
        <v>0</v>
      </c>
      <c r="AIC106" s="46" t="s">
        <v>45</v>
      </c>
      <c r="AID106" s="46"/>
      <c r="AIE106" s="46"/>
      <c r="AIF106" s="46"/>
      <c r="AIG106" s="46"/>
      <c r="AIH106" s="46"/>
      <c r="AII106" s="46"/>
      <c r="AIJ106" s="47">
        <v>0</v>
      </c>
      <c r="AIK106" s="46" t="s">
        <v>45</v>
      </c>
      <c r="AIL106" s="46"/>
      <c r="AIM106" s="46"/>
      <c r="AIN106" s="46"/>
      <c r="AIO106" s="46"/>
      <c r="AIP106" s="46"/>
      <c r="AIQ106" s="46"/>
      <c r="AIR106" s="47">
        <v>0</v>
      </c>
      <c r="AIS106" s="46" t="s">
        <v>45</v>
      </c>
      <c r="AIT106" s="46"/>
      <c r="AIU106" s="46"/>
      <c r="AIV106" s="46"/>
      <c r="AIW106" s="46"/>
      <c r="AIX106" s="46"/>
      <c r="AIY106" s="46"/>
      <c r="AIZ106" s="47">
        <v>0</v>
      </c>
      <c r="AJA106" s="46" t="s">
        <v>45</v>
      </c>
      <c r="AJB106" s="46"/>
      <c r="AJC106" s="46"/>
      <c r="AJD106" s="46"/>
      <c r="AJE106" s="46"/>
      <c r="AJF106" s="46"/>
      <c r="AJG106" s="46"/>
      <c r="AJH106" s="47">
        <v>0</v>
      </c>
      <c r="AJI106" s="46" t="s">
        <v>45</v>
      </c>
      <c r="AJJ106" s="46"/>
      <c r="AJK106" s="46"/>
      <c r="AJL106" s="46"/>
      <c r="AJM106" s="46"/>
      <c r="AJN106" s="46"/>
      <c r="AJO106" s="46"/>
      <c r="AJP106" s="47">
        <v>0</v>
      </c>
      <c r="AJQ106" s="46" t="s">
        <v>45</v>
      </c>
      <c r="AJR106" s="46"/>
      <c r="AJS106" s="46"/>
      <c r="AJT106" s="46"/>
      <c r="AJU106" s="46"/>
      <c r="AJV106" s="46"/>
      <c r="AJW106" s="46"/>
      <c r="AJX106" s="47">
        <v>0</v>
      </c>
      <c r="AJY106" s="46" t="s">
        <v>45</v>
      </c>
      <c r="AJZ106" s="46"/>
      <c r="AKA106" s="46"/>
      <c r="AKB106" s="46"/>
      <c r="AKC106" s="46"/>
      <c r="AKD106" s="46"/>
      <c r="AKE106" s="46"/>
      <c r="AKF106" s="47">
        <v>0</v>
      </c>
      <c r="AKG106" s="46" t="s">
        <v>45</v>
      </c>
      <c r="AKH106" s="46"/>
      <c r="AKI106" s="46"/>
      <c r="AKJ106" s="46"/>
      <c r="AKK106" s="46"/>
      <c r="AKL106" s="46"/>
      <c r="AKM106" s="46"/>
      <c r="AKN106" s="47">
        <v>0</v>
      </c>
      <c r="AKO106" s="46" t="s">
        <v>45</v>
      </c>
      <c r="AKP106" s="46"/>
      <c r="AKQ106" s="46"/>
      <c r="AKR106" s="46"/>
      <c r="AKS106" s="46"/>
      <c r="AKT106" s="46"/>
      <c r="AKU106" s="46"/>
      <c r="AKV106" s="47">
        <v>0</v>
      </c>
      <c r="AKW106" s="46" t="s">
        <v>45</v>
      </c>
      <c r="AKX106" s="46"/>
      <c r="AKY106" s="46"/>
      <c r="AKZ106" s="46"/>
      <c r="ALA106" s="46"/>
      <c r="ALB106" s="46"/>
      <c r="ALC106" s="46"/>
      <c r="ALD106" s="47">
        <v>0</v>
      </c>
      <c r="ALE106" s="46" t="s">
        <v>45</v>
      </c>
      <c r="ALF106" s="46"/>
      <c r="ALG106" s="46"/>
      <c r="ALH106" s="46"/>
      <c r="ALI106" s="46"/>
      <c r="ALJ106" s="46"/>
      <c r="ALK106" s="46"/>
      <c r="ALL106" s="47">
        <v>0</v>
      </c>
      <c r="ALM106" s="46" t="s">
        <v>45</v>
      </c>
      <c r="ALN106" s="46"/>
      <c r="ALO106" s="46"/>
      <c r="ALP106" s="46"/>
      <c r="ALQ106" s="46"/>
      <c r="ALR106" s="46"/>
      <c r="ALS106" s="46"/>
      <c r="ALT106" s="47">
        <v>0</v>
      </c>
      <c r="ALU106" s="46" t="s">
        <v>45</v>
      </c>
      <c r="ALV106" s="46"/>
      <c r="ALW106" s="46"/>
      <c r="ALX106" s="46"/>
      <c r="ALY106" s="46"/>
      <c r="ALZ106" s="46"/>
      <c r="AMA106" s="46"/>
      <c r="AMB106" s="47">
        <v>0</v>
      </c>
      <c r="AMC106" s="46" t="s">
        <v>45</v>
      </c>
      <c r="AMD106" s="46"/>
      <c r="AME106" s="46"/>
      <c r="AMF106" s="46"/>
      <c r="AMG106" s="46"/>
      <c r="AMH106" s="46"/>
      <c r="AMI106" s="46"/>
      <c r="AMJ106" s="47">
        <v>0</v>
      </c>
      <c r="AMK106" s="46" t="s">
        <v>45</v>
      </c>
      <c r="AML106" s="46"/>
      <c r="AMM106" s="46"/>
      <c r="AMN106" s="46"/>
      <c r="AMO106" s="46"/>
      <c r="AMP106" s="46"/>
      <c r="AMQ106" s="46"/>
      <c r="AMR106" s="47">
        <v>0</v>
      </c>
      <c r="AMS106" s="46" t="s">
        <v>45</v>
      </c>
      <c r="AMT106" s="46"/>
      <c r="AMU106" s="46"/>
      <c r="AMV106" s="46"/>
      <c r="AMW106" s="46"/>
      <c r="AMX106" s="46"/>
      <c r="AMY106" s="46"/>
      <c r="AMZ106" s="47">
        <v>0</v>
      </c>
      <c r="ANA106" s="46" t="s">
        <v>45</v>
      </c>
      <c r="ANB106" s="46"/>
      <c r="ANC106" s="46"/>
      <c r="AND106" s="46"/>
      <c r="ANE106" s="46"/>
      <c r="ANF106" s="46"/>
      <c r="ANG106" s="46"/>
      <c r="ANH106" s="47">
        <v>0</v>
      </c>
      <c r="ANI106" s="46" t="s">
        <v>45</v>
      </c>
      <c r="ANJ106" s="46"/>
      <c r="ANK106" s="46"/>
      <c r="ANL106" s="46"/>
      <c r="ANM106" s="46"/>
      <c r="ANN106" s="46"/>
      <c r="ANO106" s="46"/>
      <c r="ANP106" s="47">
        <v>0</v>
      </c>
      <c r="ANQ106" s="46" t="s">
        <v>45</v>
      </c>
      <c r="ANR106" s="46"/>
      <c r="ANS106" s="46"/>
      <c r="ANT106" s="46"/>
      <c r="ANU106" s="46"/>
      <c r="ANV106" s="46"/>
      <c r="ANW106" s="46"/>
      <c r="ANX106" s="47">
        <v>0</v>
      </c>
      <c r="ANY106" s="46" t="s">
        <v>45</v>
      </c>
      <c r="ANZ106" s="46"/>
      <c r="AOA106" s="46"/>
      <c r="AOB106" s="46"/>
      <c r="AOC106" s="46"/>
      <c r="AOD106" s="46"/>
      <c r="AOE106" s="46"/>
      <c r="AOF106" s="47">
        <v>0</v>
      </c>
      <c r="AOG106" s="46" t="s">
        <v>45</v>
      </c>
      <c r="AOH106" s="46"/>
      <c r="AOI106" s="46"/>
      <c r="AOJ106" s="46"/>
      <c r="AOK106" s="46"/>
      <c r="AOL106" s="46"/>
      <c r="AOM106" s="46"/>
      <c r="AON106" s="47">
        <v>0</v>
      </c>
      <c r="AOO106" s="46" t="s">
        <v>45</v>
      </c>
      <c r="AOP106" s="46"/>
      <c r="AOQ106" s="46"/>
      <c r="AOR106" s="46"/>
      <c r="AOS106" s="46"/>
      <c r="AOT106" s="46"/>
      <c r="AOU106" s="46"/>
      <c r="AOV106" s="47">
        <v>0</v>
      </c>
      <c r="AOW106" s="46" t="s">
        <v>45</v>
      </c>
      <c r="AOX106" s="46"/>
      <c r="AOY106" s="46"/>
      <c r="AOZ106" s="46"/>
      <c r="APA106" s="46"/>
      <c r="APB106" s="46"/>
      <c r="APC106" s="46"/>
      <c r="APD106" s="47">
        <v>0</v>
      </c>
      <c r="APE106" s="46" t="s">
        <v>45</v>
      </c>
      <c r="APF106" s="46"/>
      <c r="APG106" s="46"/>
      <c r="APH106" s="46"/>
      <c r="API106" s="46"/>
      <c r="APJ106" s="46"/>
      <c r="APK106" s="46"/>
      <c r="APL106" s="47">
        <v>0</v>
      </c>
      <c r="APM106" s="46" t="s">
        <v>45</v>
      </c>
      <c r="APN106" s="46"/>
      <c r="APO106" s="46"/>
      <c r="APP106" s="46"/>
      <c r="APQ106" s="46"/>
      <c r="APR106" s="46"/>
      <c r="APS106" s="46"/>
      <c r="APT106" s="47">
        <v>0</v>
      </c>
      <c r="APU106" s="46" t="s">
        <v>45</v>
      </c>
      <c r="APV106" s="46"/>
      <c r="APW106" s="46"/>
      <c r="APX106" s="46"/>
      <c r="APY106" s="46"/>
      <c r="APZ106" s="46"/>
      <c r="AQA106" s="46"/>
      <c r="AQB106" s="47">
        <v>0</v>
      </c>
      <c r="AQC106" s="46" t="s">
        <v>45</v>
      </c>
      <c r="AQD106" s="46"/>
      <c r="AQE106" s="46"/>
      <c r="AQF106" s="46"/>
      <c r="AQG106" s="46"/>
      <c r="AQH106" s="46"/>
      <c r="AQI106" s="46"/>
      <c r="AQJ106" s="47">
        <v>0</v>
      </c>
      <c r="AQK106" s="46" t="s">
        <v>45</v>
      </c>
      <c r="AQL106" s="46"/>
      <c r="AQM106" s="46"/>
      <c r="AQN106" s="46"/>
      <c r="AQO106" s="46"/>
      <c r="AQP106" s="46"/>
      <c r="AQQ106" s="46"/>
      <c r="AQR106" s="47">
        <v>0</v>
      </c>
      <c r="AQS106" s="46" t="s">
        <v>45</v>
      </c>
      <c r="AQT106" s="46"/>
      <c r="AQU106" s="46"/>
      <c r="AQV106" s="46"/>
      <c r="AQW106" s="46"/>
      <c r="AQX106" s="46"/>
      <c r="AQY106" s="46"/>
      <c r="AQZ106" s="47">
        <v>0</v>
      </c>
      <c r="ARA106" s="46" t="s">
        <v>45</v>
      </c>
      <c r="ARB106" s="46"/>
      <c r="ARC106" s="46"/>
      <c r="ARD106" s="46"/>
      <c r="ARE106" s="46"/>
      <c r="ARF106" s="46"/>
      <c r="ARG106" s="46"/>
      <c r="ARH106" s="47">
        <v>0</v>
      </c>
      <c r="ARI106" s="46" t="s">
        <v>45</v>
      </c>
      <c r="ARJ106" s="46"/>
      <c r="ARK106" s="46"/>
      <c r="ARL106" s="46"/>
      <c r="ARM106" s="46"/>
      <c r="ARN106" s="46"/>
      <c r="ARO106" s="46"/>
      <c r="ARP106" s="47">
        <v>0</v>
      </c>
      <c r="ARQ106" s="46" t="s">
        <v>45</v>
      </c>
      <c r="ARR106" s="46"/>
      <c r="ARS106" s="46"/>
      <c r="ART106" s="46"/>
      <c r="ARU106" s="46"/>
      <c r="ARV106" s="46"/>
      <c r="ARW106" s="46"/>
      <c r="ARX106" s="47">
        <v>0</v>
      </c>
      <c r="ARY106" s="46" t="s">
        <v>45</v>
      </c>
      <c r="ARZ106" s="46"/>
      <c r="ASA106" s="46"/>
      <c r="ASB106" s="46"/>
      <c r="ASC106" s="46"/>
      <c r="ASD106" s="46"/>
      <c r="ASE106" s="46"/>
      <c r="ASF106" s="47">
        <v>0</v>
      </c>
      <c r="ASG106" s="46" t="s">
        <v>45</v>
      </c>
      <c r="ASH106" s="46"/>
      <c r="ASI106" s="46"/>
      <c r="ASJ106" s="46"/>
      <c r="ASK106" s="46"/>
      <c r="ASL106" s="46"/>
      <c r="ASM106" s="46"/>
      <c r="ASN106" s="47">
        <v>0</v>
      </c>
      <c r="ASO106" s="46" t="s">
        <v>45</v>
      </c>
      <c r="ASP106" s="46"/>
      <c r="ASQ106" s="46"/>
      <c r="ASR106" s="46"/>
      <c r="ASS106" s="46"/>
      <c r="AST106" s="46"/>
      <c r="ASU106" s="46"/>
      <c r="ASV106" s="47">
        <v>0</v>
      </c>
      <c r="ASW106" s="46" t="s">
        <v>45</v>
      </c>
      <c r="ASX106" s="46"/>
      <c r="ASY106" s="46"/>
      <c r="ASZ106" s="46"/>
      <c r="ATA106" s="46"/>
      <c r="ATB106" s="46"/>
      <c r="ATC106" s="46"/>
      <c r="ATD106" s="47">
        <v>0</v>
      </c>
      <c r="ATE106" s="46" t="s">
        <v>45</v>
      </c>
      <c r="ATF106" s="46"/>
      <c r="ATG106" s="46"/>
      <c r="ATH106" s="46"/>
      <c r="ATI106" s="46"/>
      <c r="ATJ106" s="46"/>
      <c r="ATK106" s="46"/>
      <c r="ATL106" s="47">
        <v>0</v>
      </c>
      <c r="ATM106" s="46" t="s">
        <v>45</v>
      </c>
      <c r="ATN106" s="46"/>
      <c r="ATO106" s="46"/>
      <c r="ATP106" s="46"/>
      <c r="ATQ106" s="46"/>
      <c r="ATR106" s="46"/>
      <c r="ATS106" s="46"/>
      <c r="ATT106" s="47">
        <v>0</v>
      </c>
      <c r="ATU106" s="46" t="s">
        <v>45</v>
      </c>
      <c r="ATV106" s="46"/>
      <c r="ATW106" s="46"/>
      <c r="ATX106" s="46"/>
      <c r="ATY106" s="46"/>
      <c r="ATZ106" s="46"/>
      <c r="AUA106" s="46"/>
      <c r="AUB106" s="47">
        <v>0</v>
      </c>
      <c r="AUC106" s="46" t="s">
        <v>45</v>
      </c>
      <c r="AUD106" s="46"/>
      <c r="AUE106" s="46"/>
      <c r="AUF106" s="46"/>
      <c r="AUG106" s="46"/>
      <c r="AUH106" s="46"/>
      <c r="AUI106" s="46"/>
      <c r="AUJ106" s="47">
        <v>0</v>
      </c>
      <c r="AUK106" s="46" t="s">
        <v>45</v>
      </c>
      <c r="AUL106" s="46"/>
      <c r="AUM106" s="46"/>
      <c r="AUN106" s="46"/>
      <c r="AUO106" s="46"/>
      <c r="AUP106" s="46"/>
      <c r="AUQ106" s="46"/>
      <c r="AUR106" s="47">
        <v>0</v>
      </c>
      <c r="AUS106" s="46" t="s">
        <v>45</v>
      </c>
      <c r="AUT106" s="46"/>
      <c r="AUU106" s="46"/>
      <c r="AUV106" s="46"/>
      <c r="AUW106" s="46"/>
      <c r="AUX106" s="46"/>
      <c r="AUY106" s="46"/>
      <c r="AUZ106" s="47">
        <v>0</v>
      </c>
      <c r="AVA106" s="46" t="s">
        <v>45</v>
      </c>
      <c r="AVB106" s="46"/>
      <c r="AVC106" s="46"/>
      <c r="AVD106" s="46"/>
      <c r="AVE106" s="46"/>
      <c r="AVF106" s="46"/>
      <c r="AVG106" s="46"/>
      <c r="AVH106" s="47">
        <v>0</v>
      </c>
      <c r="AVI106" s="46" t="s">
        <v>45</v>
      </c>
      <c r="AVJ106" s="46"/>
      <c r="AVK106" s="46"/>
      <c r="AVL106" s="46"/>
      <c r="AVM106" s="46"/>
      <c r="AVN106" s="46"/>
      <c r="AVO106" s="46"/>
      <c r="AVP106" s="47">
        <v>0</v>
      </c>
      <c r="AVQ106" s="46" t="s">
        <v>45</v>
      </c>
      <c r="AVR106" s="46"/>
      <c r="AVS106" s="46"/>
      <c r="AVT106" s="46"/>
      <c r="AVU106" s="46"/>
      <c r="AVV106" s="46"/>
      <c r="AVW106" s="46"/>
      <c r="AVX106" s="47">
        <v>0</v>
      </c>
      <c r="AVY106" s="46" t="s">
        <v>45</v>
      </c>
      <c r="AVZ106" s="46"/>
      <c r="AWA106" s="46"/>
      <c r="AWB106" s="46"/>
      <c r="AWC106" s="46"/>
      <c r="AWD106" s="46"/>
      <c r="AWE106" s="46"/>
      <c r="AWF106" s="47">
        <v>0</v>
      </c>
      <c r="AWG106" s="46" t="s">
        <v>45</v>
      </c>
      <c r="AWH106" s="46"/>
      <c r="AWI106" s="46"/>
      <c r="AWJ106" s="46"/>
      <c r="AWK106" s="46"/>
      <c r="AWL106" s="46"/>
      <c r="AWM106" s="46"/>
      <c r="AWN106" s="47">
        <v>0</v>
      </c>
      <c r="AWO106" s="46" t="s">
        <v>45</v>
      </c>
      <c r="AWP106" s="46"/>
      <c r="AWQ106" s="46"/>
      <c r="AWR106" s="46"/>
      <c r="AWS106" s="46"/>
      <c r="AWT106" s="46"/>
      <c r="AWU106" s="46"/>
      <c r="AWV106" s="47">
        <v>0</v>
      </c>
      <c r="AWW106" s="46" t="s">
        <v>45</v>
      </c>
      <c r="AWX106" s="46"/>
      <c r="AWY106" s="46"/>
      <c r="AWZ106" s="46"/>
      <c r="AXA106" s="46"/>
      <c r="AXB106" s="46"/>
      <c r="AXC106" s="46"/>
      <c r="AXD106" s="47">
        <v>0</v>
      </c>
      <c r="AXE106" s="46" t="s">
        <v>45</v>
      </c>
      <c r="AXF106" s="46"/>
      <c r="AXG106" s="46"/>
      <c r="AXH106" s="46"/>
      <c r="AXI106" s="46"/>
      <c r="AXJ106" s="46"/>
      <c r="AXK106" s="46"/>
      <c r="AXL106" s="47">
        <v>0</v>
      </c>
      <c r="AXM106" s="46" t="s">
        <v>45</v>
      </c>
      <c r="AXN106" s="46"/>
      <c r="AXO106" s="46"/>
      <c r="AXP106" s="46"/>
      <c r="AXQ106" s="46"/>
      <c r="AXR106" s="46"/>
      <c r="AXS106" s="46"/>
      <c r="AXT106" s="47">
        <v>0</v>
      </c>
      <c r="AXU106" s="46" t="s">
        <v>45</v>
      </c>
      <c r="AXV106" s="46"/>
      <c r="AXW106" s="46"/>
      <c r="AXX106" s="46"/>
      <c r="AXY106" s="46"/>
      <c r="AXZ106" s="46"/>
      <c r="AYA106" s="46"/>
      <c r="AYB106" s="47">
        <v>0</v>
      </c>
      <c r="AYC106" s="46" t="s">
        <v>45</v>
      </c>
      <c r="AYD106" s="46"/>
      <c r="AYE106" s="46"/>
      <c r="AYF106" s="46"/>
      <c r="AYG106" s="46"/>
      <c r="AYH106" s="46"/>
      <c r="AYI106" s="46"/>
      <c r="AYJ106" s="47">
        <v>0</v>
      </c>
      <c r="AYK106" s="46" t="s">
        <v>45</v>
      </c>
      <c r="AYL106" s="46"/>
      <c r="AYM106" s="46"/>
      <c r="AYN106" s="46"/>
      <c r="AYO106" s="46"/>
      <c r="AYP106" s="46"/>
      <c r="AYQ106" s="46"/>
      <c r="AYR106" s="47">
        <v>0</v>
      </c>
      <c r="AYS106" s="46" t="s">
        <v>45</v>
      </c>
      <c r="AYT106" s="46"/>
      <c r="AYU106" s="46"/>
      <c r="AYV106" s="46"/>
      <c r="AYW106" s="46"/>
      <c r="AYX106" s="46"/>
      <c r="AYY106" s="46"/>
      <c r="AYZ106" s="47">
        <v>0</v>
      </c>
      <c r="AZA106" s="46" t="s">
        <v>45</v>
      </c>
      <c r="AZB106" s="46"/>
      <c r="AZC106" s="46"/>
      <c r="AZD106" s="46"/>
      <c r="AZE106" s="46"/>
      <c r="AZF106" s="46"/>
      <c r="AZG106" s="46"/>
      <c r="AZH106" s="47">
        <v>0</v>
      </c>
      <c r="AZI106" s="46" t="s">
        <v>45</v>
      </c>
      <c r="AZJ106" s="46"/>
      <c r="AZK106" s="46"/>
      <c r="AZL106" s="46"/>
      <c r="AZM106" s="46"/>
      <c r="AZN106" s="46"/>
      <c r="AZO106" s="46"/>
      <c r="AZP106" s="47">
        <v>0</v>
      </c>
      <c r="AZQ106" s="46" t="s">
        <v>45</v>
      </c>
      <c r="AZR106" s="46"/>
      <c r="AZS106" s="46"/>
      <c r="AZT106" s="46"/>
      <c r="AZU106" s="46"/>
      <c r="AZV106" s="46"/>
      <c r="AZW106" s="46"/>
      <c r="AZX106" s="47">
        <v>0</v>
      </c>
      <c r="AZY106" s="46" t="s">
        <v>45</v>
      </c>
      <c r="AZZ106" s="46"/>
      <c r="BAA106" s="46"/>
      <c r="BAB106" s="46"/>
      <c r="BAC106" s="46"/>
      <c r="BAD106" s="46"/>
      <c r="BAE106" s="46"/>
      <c r="BAF106" s="47">
        <v>0</v>
      </c>
      <c r="BAG106" s="46" t="s">
        <v>45</v>
      </c>
      <c r="BAH106" s="46"/>
      <c r="BAI106" s="46"/>
      <c r="BAJ106" s="46"/>
      <c r="BAK106" s="46"/>
      <c r="BAL106" s="46"/>
      <c r="BAM106" s="46"/>
      <c r="BAN106" s="47">
        <v>0</v>
      </c>
      <c r="BAO106" s="46" t="s">
        <v>45</v>
      </c>
      <c r="BAP106" s="46"/>
      <c r="BAQ106" s="46"/>
      <c r="BAR106" s="46"/>
      <c r="BAS106" s="46"/>
      <c r="BAT106" s="46"/>
      <c r="BAU106" s="46"/>
      <c r="BAV106" s="47">
        <v>0</v>
      </c>
      <c r="BAW106" s="46" t="s">
        <v>45</v>
      </c>
      <c r="BAX106" s="46"/>
      <c r="BAY106" s="46"/>
      <c r="BAZ106" s="46"/>
      <c r="BBA106" s="46"/>
      <c r="BBB106" s="46"/>
      <c r="BBC106" s="46"/>
      <c r="BBD106" s="47">
        <v>0</v>
      </c>
      <c r="BBE106" s="46" t="s">
        <v>45</v>
      </c>
      <c r="BBF106" s="46"/>
      <c r="BBG106" s="46"/>
      <c r="BBH106" s="46"/>
      <c r="BBI106" s="46"/>
      <c r="BBJ106" s="46"/>
      <c r="BBK106" s="46"/>
      <c r="BBL106" s="47">
        <v>0</v>
      </c>
      <c r="BBM106" s="46" t="s">
        <v>45</v>
      </c>
      <c r="BBN106" s="46"/>
      <c r="BBO106" s="46"/>
      <c r="BBP106" s="46"/>
      <c r="BBQ106" s="46"/>
      <c r="BBR106" s="46"/>
      <c r="BBS106" s="46"/>
      <c r="BBT106" s="47">
        <v>0</v>
      </c>
      <c r="BBU106" s="46" t="s">
        <v>45</v>
      </c>
      <c r="BBV106" s="46"/>
      <c r="BBW106" s="46"/>
      <c r="BBX106" s="46"/>
      <c r="BBY106" s="46"/>
      <c r="BBZ106" s="46"/>
      <c r="BCA106" s="46"/>
      <c r="BCB106" s="47">
        <v>0</v>
      </c>
      <c r="BCC106" s="46" t="s">
        <v>45</v>
      </c>
      <c r="BCD106" s="46"/>
      <c r="BCE106" s="46"/>
      <c r="BCF106" s="46"/>
      <c r="BCG106" s="46"/>
      <c r="BCH106" s="46"/>
      <c r="BCI106" s="46"/>
      <c r="BCJ106" s="47">
        <v>0</v>
      </c>
      <c r="BCK106" s="46" t="s">
        <v>45</v>
      </c>
      <c r="BCL106" s="46"/>
      <c r="BCM106" s="46"/>
      <c r="BCN106" s="46"/>
      <c r="BCO106" s="46"/>
      <c r="BCP106" s="46"/>
      <c r="BCQ106" s="46"/>
      <c r="BCR106" s="47">
        <v>0</v>
      </c>
      <c r="BCS106" s="46" t="s">
        <v>45</v>
      </c>
      <c r="BCT106" s="46"/>
      <c r="BCU106" s="46"/>
      <c r="BCV106" s="46"/>
      <c r="BCW106" s="46"/>
      <c r="BCX106" s="46"/>
      <c r="BCY106" s="46"/>
      <c r="BCZ106" s="47">
        <v>0</v>
      </c>
      <c r="BDA106" s="46" t="s">
        <v>45</v>
      </c>
      <c r="BDB106" s="46"/>
      <c r="BDC106" s="46"/>
      <c r="BDD106" s="46"/>
      <c r="BDE106" s="46"/>
      <c r="BDF106" s="46"/>
      <c r="BDG106" s="46"/>
      <c r="BDH106" s="47">
        <v>0</v>
      </c>
      <c r="BDI106" s="46" t="s">
        <v>45</v>
      </c>
      <c r="BDJ106" s="46"/>
      <c r="BDK106" s="46"/>
      <c r="BDL106" s="46"/>
      <c r="BDM106" s="46"/>
      <c r="BDN106" s="46"/>
      <c r="BDO106" s="46"/>
      <c r="BDP106" s="47">
        <v>0</v>
      </c>
      <c r="BDQ106" s="46" t="s">
        <v>45</v>
      </c>
      <c r="BDR106" s="46"/>
      <c r="BDS106" s="46"/>
      <c r="BDT106" s="46"/>
      <c r="BDU106" s="46"/>
      <c r="BDV106" s="46"/>
      <c r="BDW106" s="46"/>
      <c r="BDX106" s="47">
        <v>0</v>
      </c>
      <c r="BDY106" s="46" t="s">
        <v>45</v>
      </c>
      <c r="BDZ106" s="46"/>
      <c r="BEA106" s="46"/>
      <c r="BEB106" s="46"/>
      <c r="BEC106" s="46"/>
      <c r="BED106" s="46"/>
      <c r="BEE106" s="46"/>
      <c r="BEF106" s="47">
        <v>0</v>
      </c>
      <c r="BEG106" s="46" t="s">
        <v>45</v>
      </c>
      <c r="BEH106" s="46"/>
      <c r="BEI106" s="46"/>
      <c r="BEJ106" s="46"/>
      <c r="BEK106" s="46"/>
      <c r="BEL106" s="46"/>
      <c r="BEM106" s="46"/>
      <c r="BEN106" s="47">
        <v>0</v>
      </c>
      <c r="BEO106" s="46" t="s">
        <v>45</v>
      </c>
      <c r="BEP106" s="46"/>
      <c r="BEQ106" s="46"/>
      <c r="BER106" s="46"/>
      <c r="BES106" s="46"/>
      <c r="BET106" s="46"/>
      <c r="BEU106" s="46"/>
      <c r="BEV106" s="47">
        <v>0</v>
      </c>
      <c r="BEW106" s="46" t="s">
        <v>45</v>
      </c>
      <c r="BEX106" s="46"/>
      <c r="BEY106" s="46"/>
      <c r="BEZ106" s="46"/>
      <c r="BFA106" s="46"/>
      <c r="BFB106" s="46"/>
      <c r="BFC106" s="46"/>
      <c r="BFD106" s="47">
        <v>0</v>
      </c>
      <c r="BFE106" s="46" t="s">
        <v>45</v>
      </c>
      <c r="BFF106" s="46"/>
      <c r="BFG106" s="46"/>
      <c r="BFH106" s="46"/>
      <c r="BFI106" s="46"/>
      <c r="BFJ106" s="46"/>
      <c r="BFK106" s="46"/>
      <c r="BFL106" s="47">
        <v>0</v>
      </c>
      <c r="BFM106" s="46" t="s">
        <v>45</v>
      </c>
      <c r="BFN106" s="46"/>
      <c r="BFO106" s="46"/>
      <c r="BFP106" s="46"/>
      <c r="BFQ106" s="46"/>
      <c r="BFR106" s="46"/>
      <c r="BFS106" s="46"/>
      <c r="BFT106" s="47">
        <v>0</v>
      </c>
      <c r="BFU106" s="46" t="s">
        <v>45</v>
      </c>
      <c r="BFV106" s="46"/>
      <c r="BFW106" s="46"/>
      <c r="BFX106" s="46"/>
      <c r="BFY106" s="46"/>
      <c r="BFZ106" s="46"/>
      <c r="BGA106" s="46"/>
      <c r="BGB106" s="47">
        <v>0</v>
      </c>
      <c r="BGC106" s="46" t="s">
        <v>45</v>
      </c>
      <c r="BGD106" s="46"/>
      <c r="BGE106" s="46"/>
      <c r="BGF106" s="46"/>
      <c r="BGG106" s="46"/>
      <c r="BGH106" s="46"/>
      <c r="BGI106" s="46"/>
      <c r="BGJ106" s="47">
        <v>0</v>
      </c>
      <c r="BGK106" s="46" t="s">
        <v>45</v>
      </c>
      <c r="BGL106" s="46"/>
      <c r="BGM106" s="46"/>
      <c r="BGN106" s="46"/>
      <c r="BGO106" s="46"/>
      <c r="BGP106" s="46"/>
      <c r="BGQ106" s="46"/>
      <c r="BGR106" s="47">
        <v>0</v>
      </c>
      <c r="BGS106" s="46" t="s">
        <v>45</v>
      </c>
      <c r="BGT106" s="46"/>
      <c r="BGU106" s="46"/>
      <c r="BGV106" s="46"/>
      <c r="BGW106" s="46"/>
      <c r="BGX106" s="46"/>
      <c r="BGY106" s="46"/>
      <c r="BGZ106" s="47">
        <v>0</v>
      </c>
      <c r="BHA106" s="46" t="s">
        <v>45</v>
      </c>
      <c r="BHB106" s="46"/>
      <c r="BHC106" s="46"/>
      <c r="BHD106" s="46"/>
      <c r="BHE106" s="46"/>
      <c r="BHF106" s="46"/>
      <c r="BHG106" s="46"/>
      <c r="BHH106" s="47">
        <v>0</v>
      </c>
      <c r="BHI106" s="46" t="s">
        <v>45</v>
      </c>
      <c r="BHJ106" s="46"/>
      <c r="BHK106" s="46"/>
      <c r="BHL106" s="46"/>
      <c r="BHM106" s="46"/>
      <c r="BHN106" s="46"/>
      <c r="BHO106" s="46"/>
      <c r="BHP106" s="47">
        <v>0</v>
      </c>
      <c r="BHQ106" s="46" t="s">
        <v>45</v>
      </c>
      <c r="BHR106" s="46"/>
      <c r="BHS106" s="46"/>
      <c r="BHT106" s="46"/>
      <c r="BHU106" s="46"/>
      <c r="BHV106" s="46"/>
      <c r="BHW106" s="46"/>
      <c r="BHX106" s="47">
        <v>0</v>
      </c>
      <c r="BHY106" s="46" t="s">
        <v>45</v>
      </c>
      <c r="BHZ106" s="46"/>
      <c r="BIA106" s="46"/>
      <c r="BIB106" s="46"/>
      <c r="BIC106" s="46"/>
      <c r="BID106" s="46"/>
      <c r="BIE106" s="46"/>
      <c r="BIF106" s="47">
        <v>0</v>
      </c>
      <c r="BIG106" s="46" t="s">
        <v>45</v>
      </c>
      <c r="BIH106" s="46"/>
      <c r="BII106" s="46"/>
      <c r="BIJ106" s="46"/>
      <c r="BIK106" s="46"/>
      <c r="BIL106" s="46"/>
      <c r="BIM106" s="46"/>
      <c r="BIN106" s="47">
        <v>0</v>
      </c>
      <c r="BIO106" s="46" t="s">
        <v>45</v>
      </c>
      <c r="BIP106" s="46"/>
      <c r="BIQ106" s="46"/>
      <c r="BIR106" s="46"/>
      <c r="BIS106" s="46"/>
      <c r="BIT106" s="46"/>
      <c r="BIU106" s="46"/>
      <c r="BIV106" s="47">
        <v>0</v>
      </c>
      <c r="BIW106" s="46" t="s">
        <v>45</v>
      </c>
      <c r="BIX106" s="46"/>
      <c r="BIY106" s="46"/>
      <c r="BIZ106" s="46"/>
      <c r="BJA106" s="46"/>
      <c r="BJB106" s="46"/>
      <c r="BJC106" s="46"/>
      <c r="BJD106" s="47">
        <v>0</v>
      </c>
      <c r="BJE106" s="46" t="s">
        <v>45</v>
      </c>
      <c r="BJF106" s="46"/>
      <c r="BJG106" s="46"/>
      <c r="BJH106" s="46"/>
      <c r="BJI106" s="46"/>
      <c r="BJJ106" s="46"/>
      <c r="BJK106" s="46"/>
      <c r="BJL106" s="47">
        <v>0</v>
      </c>
      <c r="BJM106" s="46" t="s">
        <v>45</v>
      </c>
      <c r="BJN106" s="46"/>
      <c r="BJO106" s="46"/>
      <c r="BJP106" s="46"/>
      <c r="BJQ106" s="46"/>
      <c r="BJR106" s="46"/>
      <c r="BJS106" s="46"/>
      <c r="BJT106" s="47">
        <v>0</v>
      </c>
      <c r="BJU106" s="46" t="s">
        <v>45</v>
      </c>
      <c r="BJV106" s="46"/>
      <c r="BJW106" s="46"/>
      <c r="BJX106" s="46"/>
      <c r="BJY106" s="46"/>
      <c r="BJZ106" s="46"/>
      <c r="BKA106" s="46"/>
      <c r="BKB106" s="47">
        <v>0</v>
      </c>
      <c r="BKC106" s="46" t="s">
        <v>45</v>
      </c>
      <c r="BKD106" s="46"/>
      <c r="BKE106" s="46"/>
      <c r="BKF106" s="46"/>
      <c r="BKG106" s="46"/>
      <c r="BKH106" s="46"/>
      <c r="BKI106" s="46"/>
      <c r="BKJ106" s="47">
        <v>0</v>
      </c>
      <c r="BKK106" s="46" t="s">
        <v>45</v>
      </c>
      <c r="BKL106" s="46"/>
      <c r="BKM106" s="46"/>
      <c r="BKN106" s="46"/>
      <c r="BKO106" s="46"/>
      <c r="BKP106" s="46"/>
      <c r="BKQ106" s="46"/>
      <c r="BKR106" s="47">
        <v>0</v>
      </c>
      <c r="BKS106" s="46" t="s">
        <v>45</v>
      </c>
      <c r="BKT106" s="46"/>
      <c r="BKU106" s="46"/>
      <c r="BKV106" s="46"/>
      <c r="BKW106" s="46"/>
      <c r="BKX106" s="46"/>
      <c r="BKY106" s="46"/>
      <c r="BKZ106" s="47">
        <v>0</v>
      </c>
      <c r="BLA106" s="46" t="s">
        <v>45</v>
      </c>
      <c r="BLB106" s="46"/>
      <c r="BLC106" s="46"/>
      <c r="BLD106" s="46"/>
      <c r="BLE106" s="46"/>
      <c r="BLF106" s="46"/>
      <c r="BLG106" s="46"/>
      <c r="BLH106" s="47">
        <v>0</v>
      </c>
      <c r="BLI106" s="46" t="s">
        <v>45</v>
      </c>
      <c r="BLJ106" s="46"/>
      <c r="BLK106" s="46"/>
      <c r="BLL106" s="46"/>
      <c r="BLM106" s="46"/>
      <c r="BLN106" s="46"/>
      <c r="BLO106" s="46"/>
      <c r="BLP106" s="47">
        <v>0</v>
      </c>
      <c r="BLQ106" s="46" t="s">
        <v>45</v>
      </c>
      <c r="BLR106" s="46"/>
      <c r="BLS106" s="46"/>
      <c r="BLT106" s="46"/>
      <c r="BLU106" s="46"/>
      <c r="BLV106" s="46"/>
      <c r="BLW106" s="46"/>
      <c r="BLX106" s="47">
        <v>0</v>
      </c>
      <c r="BLY106" s="46" t="s">
        <v>45</v>
      </c>
      <c r="BLZ106" s="46"/>
      <c r="BMA106" s="46"/>
      <c r="BMB106" s="46"/>
      <c r="BMC106" s="46"/>
      <c r="BMD106" s="46"/>
      <c r="BME106" s="46"/>
      <c r="BMF106" s="47">
        <v>0</v>
      </c>
      <c r="BMG106" s="46" t="s">
        <v>45</v>
      </c>
      <c r="BMH106" s="46"/>
      <c r="BMI106" s="46"/>
      <c r="BMJ106" s="46"/>
      <c r="BMK106" s="46"/>
      <c r="BML106" s="46"/>
      <c r="BMM106" s="46"/>
      <c r="BMN106" s="47">
        <v>0</v>
      </c>
      <c r="BMO106" s="46" t="s">
        <v>45</v>
      </c>
      <c r="BMP106" s="46"/>
      <c r="BMQ106" s="46"/>
      <c r="BMR106" s="46"/>
      <c r="BMS106" s="46"/>
      <c r="BMT106" s="46"/>
      <c r="BMU106" s="46"/>
      <c r="BMV106" s="47">
        <v>0</v>
      </c>
      <c r="BMW106" s="46" t="s">
        <v>45</v>
      </c>
      <c r="BMX106" s="46"/>
      <c r="BMY106" s="46"/>
      <c r="BMZ106" s="46"/>
      <c r="BNA106" s="46"/>
      <c r="BNB106" s="46"/>
      <c r="BNC106" s="46"/>
      <c r="BND106" s="47">
        <v>0</v>
      </c>
      <c r="BNE106" s="46" t="s">
        <v>45</v>
      </c>
      <c r="BNF106" s="46"/>
      <c r="BNG106" s="46"/>
      <c r="BNH106" s="46"/>
      <c r="BNI106" s="46"/>
      <c r="BNJ106" s="46"/>
      <c r="BNK106" s="46"/>
      <c r="BNL106" s="47">
        <v>0</v>
      </c>
      <c r="BNM106" s="46" t="s">
        <v>45</v>
      </c>
      <c r="BNN106" s="46"/>
      <c r="BNO106" s="46"/>
      <c r="BNP106" s="46"/>
      <c r="BNQ106" s="46"/>
      <c r="BNR106" s="46"/>
      <c r="BNS106" s="46"/>
      <c r="BNT106" s="47">
        <v>0</v>
      </c>
      <c r="BNU106" s="46" t="s">
        <v>45</v>
      </c>
      <c r="BNV106" s="46"/>
      <c r="BNW106" s="46"/>
      <c r="BNX106" s="46"/>
      <c r="BNY106" s="46"/>
      <c r="BNZ106" s="46"/>
      <c r="BOA106" s="46"/>
      <c r="BOB106" s="47">
        <v>0</v>
      </c>
      <c r="BOC106" s="46" t="s">
        <v>45</v>
      </c>
      <c r="BOD106" s="46"/>
      <c r="BOE106" s="46"/>
      <c r="BOF106" s="46"/>
      <c r="BOG106" s="46"/>
      <c r="BOH106" s="46"/>
      <c r="BOI106" s="46"/>
      <c r="BOJ106" s="47">
        <v>0</v>
      </c>
      <c r="BOK106" s="46" t="s">
        <v>45</v>
      </c>
      <c r="BOL106" s="46"/>
      <c r="BOM106" s="46"/>
      <c r="BON106" s="46"/>
      <c r="BOO106" s="46"/>
      <c r="BOP106" s="46"/>
      <c r="BOQ106" s="46"/>
      <c r="BOR106" s="47">
        <v>0</v>
      </c>
      <c r="BOS106" s="46" t="s">
        <v>45</v>
      </c>
      <c r="BOT106" s="46"/>
      <c r="BOU106" s="46"/>
      <c r="BOV106" s="46"/>
      <c r="BOW106" s="46"/>
      <c r="BOX106" s="46"/>
      <c r="BOY106" s="46"/>
      <c r="BOZ106" s="47">
        <v>0</v>
      </c>
      <c r="BPA106" s="46" t="s">
        <v>45</v>
      </c>
      <c r="BPB106" s="46"/>
      <c r="BPC106" s="46"/>
      <c r="BPD106" s="46"/>
      <c r="BPE106" s="46"/>
      <c r="BPF106" s="46"/>
      <c r="BPG106" s="46"/>
      <c r="BPH106" s="47">
        <v>0</v>
      </c>
      <c r="BPI106" s="46" t="s">
        <v>45</v>
      </c>
      <c r="BPJ106" s="46"/>
      <c r="BPK106" s="46"/>
      <c r="BPL106" s="46"/>
      <c r="BPM106" s="46"/>
      <c r="BPN106" s="46"/>
      <c r="BPO106" s="46"/>
      <c r="BPP106" s="47">
        <v>0</v>
      </c>
      <c r="BPQ106" s="46" t="s">
        <v>45</v>
      </c>
      <c r="BPR106" s="46"/>
      <c r="BPS106" s="46"/>
      <c r="BPT106" s="46"/>
      <c r="BPU106" s="46"/>
      <c r="BPV106" s="46"/>
      <c r="BPW106" s="46"/>
      <c r="BPX106" s="47">
        <v>0</v>
      </c>
      <c r="BPY106" s="46" t="s">
        <v>45</v>
      </c>
      <c r="BPZ106" s="46"/>
      <c r="BQA106" s="46"/>
      <c r="BQB106" s="46"/>
      <c r="BQC106" s="46"/>
      <c r="BQD106" s="46"/>
      <c r="BQE106" s="46"/>
      <c r="BQF106" s="47">
        <v>0</v>
      </c>
      <c r="BQG106" s="46" t="s">
        <v>45</v>
      </c>
      <c r="BQH106" s="46"/>
      <c r="BQI106" s="46"/>
      <c r="BQJ106" s="46"/>
      <c r="BQK106" s="46"/>
      <c r="BQL106" s="46"/>
      <c r="BQM106" s="46"/>
      <c r="BQN106" s="47">
        <v>0</v>
      </c>
      <c r="BQO106" s="46" t="s">
        <v>45</v>
      </c>
      <c r="BQP106" s="46"/>
      <c r="BQQ106" s="46"/>
      <c r="BQR106" s="46"/>
      <c r="BQS106" s="46"/>
      <c r="BQT106" s="46"/>
      <c r="BQU106" s="46"/>
      <c r="BQV106" s="47">
        <v>0</v>
      </c>
      <c r="BQW106" s="46" t="s">
        <v>45</v>
      </c>
      <c r="BQX106" s="46"/>
      <c r="BQY106" s="46"/>
      <c r="BQZ106" s="46"/>
      <c r="BRA106" s="46"/>
      <c r="BRB106" s="46"/>
      <c r="BRC106" s="46"/>
      <c r="BRD106" s="47">
        <v>0</v>
      </c>
      <c r="BRE106" s="46" t="s">
        <v>45</v>
      </c>
      <c r="BRF106" s="46"/>
      <c r="BRG106" s="46"/>
      <c r="BRH106" s="46"/>
      <c r="BRI106" s="46"/>
      <c r="BRJ106" s="46"/>
      <c r="BRK106" s="46"/>
      <c r="BRL106" s="47">
        <v>0</v>
      </c>
      <c r="BRM106" s="46" t="s">
        <v>45</v>
      </c>
      <c r="BRN106" s="46"/>
      <c r="BRO106" s="46"/>
      <c r="BRP106" s="46"/>
      <c r="BRQ106" s="46"/>
      <c r="BRR106" s="46"/>
      <c r="BRS106" s="46"/>
      <c r="BRT106" s="47">
        <v>0</v>
      </c>
      <c r="BRU106" s="46" t="s">
        <v>45</v>
      </c>
      <c r="BRV106" s="46"/>
      <c r="BRW106" s="46"/>
      <c r="BRX106" s="46"/>
      <c r="BRY106" s="46"/>
      <c r="BRZ106" s="46"/>
      <c r="BSA106" s="46"/>
      <c r="BSB106" s="47">
        <v>0</v>
      </c>
      <c r="BSC106" s="46" t="s">
        <v>45</v>
      </c>
      <c r="BSD106" s="46"/>
      <c r="BSE106" s="46"/>
      <c r="BSF106" s="46"/>
      <c r="BSG106" s="46"/>
      <c r="BSH106" s="46"/>
      <c r="BSI106" s="46"/>
      <c r="BSJ106" s="47">
        <v>0</v>
      </c>
      <c r="BSK106" s="46" t="s">
        <v>45</v>
      </c>
      <c r="BSL106" s="46"/>
      <c r="BSM106" s="46"/>
      <c r="BSN106" s="46"/>
      <c r="BSO106" s="46"/>
      <c r="BSP106" s="46"/>
      <c r="BSQ106" s="46"/>
      <c r="BSR106" s="47">
        <v>0</v>
      </c>
      <c r="BSS106" s="46" t="s">
        <v>45</v>
      </c>
      <c r="BST106" s="46"/>
      <c r="BSU106" s="46"/>
      <c r="BSV106" s="46"/>
      <c r="BSW106" s="46"/>
      <c r="BSX106" s="46"/>
      <c r="BSY106" s="46"/>
      <c r="BSZ106" s="47">
        <v>0</v>
      </c>
      <c r="BTA106" s="46" t="s">
        <v>45</v>
      </c>
      <c r="BTB106" s="46"/>
      <c r="BTC106" s="46"/>
      <c r="BTD106" s="46"/>
      <c r="BTE106" s="46"/>
      <c r="BTF106" s="46"/>
      <c r="BTG106" s="46"/>
      <c r="BTH106" s="47">
        <v>0</v>
      </c>
      <c r="BTI106" s="46" t="s">
        <v>45</v>
      </c>
      <c r="BTJ106" s="46"/>
      <c r="BTK106" s="46"/>
      <c r="BTL106" s="46"/>
      <c r="BTM106" s="46"/>
      <c r="BTN106" s="46"/>
      <c r="BTO106" s="46"/>
      <c r="BTP106" s="47">
        <v>0</v>
      </c>
      <c r="BTQ106" s="46" t="s">
        <v>45</v>
      </c>
      <c r="BTR106" s="46"/>
      <c r="BTS106" s="46"/>
      <c r="BTT106" s="46"/>
      <c r="BTU106" s="46"/>
      <c r="BTV106" s="46"/>
      <c r="BTW106" s="46"/>
      <c r="BTX106" s="47">
        <v>0</v>
      </c>
      <c r="BTY106" s="46" t="s">
        <v>45</v>
      </c>
      <c r="BTZ106" s="46"/>
      <c r="BUA106" s="46"/>
      <c r="BUB106" s="46"/>
      <c r="BUC106" s="46"/>
      <c r="BUD106" s="46"/>
      <c r="BUE106" s="46"/>
      <c r="BUF106" s="47">
        <v>0</v>
      </c>
      <c r="BUG106" s="46" t="s">
        <v>45</v>
      </c>
      <c r="BUH106" s="46"/>
      <c r="BUI106" s="46"/>
      <c r="BUJ106" s="46"/>
      <c r="BUK106" s="46"/>
      <c r="BUL106" s="46"/>
      <c r="BUM106" s="46"/>
      <c r="BUN106" s="47">
        <v>0</v>
      </c>
      <c r="BUO106" s="46" t="s">
        <v>45</v>
      </c>
      <c r="BUP106" s="46"/>
      <c r="BUQ106" s="46"/>
      <c r="BUR106" s="46"/>
      <c r="BUS106" s="46"/>
      <c r="BUT106" s="46"/>
      <c r="BUU106" s="46"/>
      <c r="BUV106" s="47">
        <v>0</v>
      </c>
      <c r="BUW106" s="46" t="s">
        <v>45</v>
      </c>
      <c r="BUX106" s="46"/>
      <c r="BUY106" s="46"/>
      <c r="BUZ106" s="46"/>
      <c r="BVA106" s="46"/>
      <c r="BVB106" s="46"/>
      <c r="BVC106" s="46"/>
      <c r="BVD106" s="47">
        <v>0</v>
      </c>
      <c r="BVE106" s="46" t="s">
        <v>45</v>
      </c>
      <c r="BVF106" s="46"/>
      <c r="BVG106" s="46"/>
      <c r="BVH106" s="46"/>
      <c r="BVI106" s="46"/>
      <c r="BVJ106" s="46"/>
      <c r="BVK106" s="46"/>
      <c r="BVL106" s="47">
        <v>0</v>
      </c>
      <c r="BVM106" s="46" t="s">
        <v>45</v>
      </c>
      <c r="BVN106" s="46"/>
      <c r="BVO106" s="46"/>
      <c r="BVP106" s="46"/>
      <c r="BVQ106" s="46"/>
      <c r="BVR106" s="46"/>
      <c r="BVS106" s="46"/>
      <c r="BVT106" s="47">
        <v>0</v>
      </c>
      <c r="BVU106" s="46" t="s">
        <v>45</v>
      </c>
      <c r="BVV106" s="46"/>
      <c r="BVW106" s="46"/>
      <c r="BVX106" s="46"/>
      <c r="BVY106" s="46"/>
      <c r="BVZ106" s="46"/>
      <c r="BWA106" s="46"/>
      <c r="BWB106" s="47">
        <v>0</v>
      </c>
      <c r="BWC106" s="46" t="s">
        <v>45</v>
      </c>
      <c r="BWD106" s="46"/>
      <c r="BWE106" s="46"/>
      <c r="BWF106" s="46"/>
      <c r="BWG106" s="46"/>
      <c r="BWH106" s="46"/>
      <c r="BWI106" s="46"/>
      <c r="BWJ106" s="47">
        <v>0</v>
      </c>
      <c r="BWK106" s="46" t="s">
        <v>45</v>
      </c>
      <c r="BWL106" s="46"/>
      <c r="BWM106" s="46"/>
      <c r="BWN106" s="46"/>
      <c r="BWO106" s="46"/>
      <c r="BWP106" s="46"/>
      <c r="BWQ106" s="46"/>
      <c r="BWR106" s="47">
        <v>0</v>
      </c>
      <c r="BWS106" s="46" t="s">
        <v>45</v>
      </c>
      <c r="BWT106" s="46"/>
      <c r="BWU106" s="46"/>
      <c r="BWV106" s="46"/>
      <c r="BWW106" s="46"/>
      <c r="BWX106" s="46"/>
      <c r="BWY106" s="46"/>
      <c r="BWZ106" s="47">
        <v>0</v>
      </c>
      <c r="BXA106" s="46" t="s">
        <v>45</v>
      </c>
      <c r="BXB106" s="46"/>
      <c r="BXC106" s="46"/>
      <c r="BXD106" s="46"/>
      <c r="BXE106" s="46"/>
      <c r="BXF106" s="46"/>
      <c r="BXG106" s="46"/>
      <c r="BXH106" s="47">
        <v>0</v>
      </c>
      <c r="BXI106" s="46" t="s">
        <v>45</v>
      </c>
      <c r="BXJ106" s="46"/>
      <c r="BXK106" s="46"/>
      <c r="BXL106" s="46"/>
      <c r="BXM106" s="46"/>
      <c r="BXN106" s="46"/>
      <c r="BXO106" s="46"/>
      <c r="BXP106" s="47">
        <v>0</v>
      </c>
      <c r="BXQ106" s="46" t="s">
        <v>45</v>
      </c>
      <c r="BXR106" s="46"/>
      <c r="BXS106" s="46"/>
      <c r="BXT106" s="46"/>
      <c r="BXU106" s="46"/>
      <c r="BXV106" s="46"/>
      <c r="BXW106" s="46"/>
      <c r="BXX106" s="47">
        <v>0</v>
      </c>
      <c r="BXY106" s="46" t="s">
        <v>45</v>
      </c>
      <c r="BXZ106" s="46"/>
      <c r="BYA106" s="46"/>
      <c r="BYB106" s="46"/>
      <c r="BYC106" s="46"/>
      <c r="BYD106" s="46"/>
      <c r="BYE106" s="46"/>
      <c r="BYF106" s="47">
        <v>0</v>
      </c>
      <c r="BYG106" s="46" t="s">
        <v>45</v>
      </c>
      <c r="BYH106" s="46"/>
      <c r="BYI106" s="46"/>
      <c r="BYJ106" s="46"/>
      <c r="BYK106" s="46"/>
      <c r="BYL106" s="46"/>
      <c r="BYM106" s="46"/>
      <c r="BYN106" s="47">
        <v>0</v>
      </c>
      <c r="BYO106" s="46" t="s">
        <v>45</v>
      </c>
      <c r="BYP106" s="46"/>
      <c r="BYQ106" s="46"/>
      <c r="BYR106" s="46"/>
      <c r="BYS106" s="46"/>
      <c r="BYT106" s="46"/>
      <c r="BYU106" s="46"/>
      <c r="BYV106" s="47">
        <v>0</v>
      </c>
      <c r="BYW106" s="46" t="s">
        <v>45</v>
      </c>
      <c r="BYX106" s="46"/>
      <c r="BYY106" s="46"/>
      <c r="BYZ106" s="46"/>
      <c r="BZA106" s="46"/>
      <c r="BZB106" s="46"/>
      <c r="BZC106" s="46"/>
      <c r="BZD106" s="47">
        <v>0</v>
      </c>
      <c r="BZE106" s="46" t="s">
        <v>45</v>
      </c>
      <c r="BZF106" s="46"/>
      <c r="BZG106" s="46"/>
      <c r="BZH106" s="46"/>
      <c r="BZI106" s="46"/>
      <c r="BZJ106" s="46"/>
      <c r="BZK106" s="46"/>
      <c r="BZL106" s="47">
        <v>0</v>
      </c>
      <c r="BZM106" s="46" t="s">
        <v>45</v>
      </c>
      <c r="BZN106" s="46"/>
      <c r="BZO106" s="46"/>
      <c r="BZP106" s="46"/>
      <c r="BZQ106" s="46"/>
      <c r="BZR106" s="46"/>
      <c r="BZS106" s="46"/>
      <c r="BZT106" s="47">
        <v>0</v>
      </c>
      <c r="BZU106" s="46" t="s">
        <v>45</v>
      </c>
      <c r="BZV106" s="46"/>
      <c r="BZW106" s="46"/>
      <c r="BZX106" s="46"/>
      <c r="BZY106" s="46"/>
      <c r="BZZ106" s="46"/>
      <c r="CAA106" s="46"/>
      <c r="CAB106" s="47">
        <v>0</v>
      </c>
      <c r="CAC106" s="46" t="s">
        <v>45</v>
      </c>
      <c r="CAD106" s="46"/>
      <c r="CAE106" s="46"/>
      <c r="CAF106" s="46"/>
      <c r="CAG106" s="46"/>
      <c r="CAH106" s="46"/>
      <c r="CAI106" s="46"/>
      <c r="CAJ106" s="47">
        <v>0</v>
      </c>
      <c r="CAK106" s="46" t="s">
        <v>45</v>
      </c>
      <c r="CAL106" s="46"/>
      <c r="CAM106" s="46"/>
      <c r="CAN106" s="46"/>
      <c r="CAO106" s="46"/>
      <c r="CAP106" s="46"/>
      <c r="CAQ106" s="46"/>
      <c r="CAR106" s="47">
        <v>0</v>
      </c>
      <c r="CAS106" s="46" t="s">
        <v>45</v>
      </c>
      <c r="CAT106" s="46"/>
      <c r="CAU106" s="46"/>
      <c r="CAV106" s="46"/>
      <c r="CAW106" s="46"/>
      <c r="CAX106" s="46"/>
      <c r="CAY106" s="46"/>
      <c r="CAZ106" s="47">
        <v>0</v>
      </c>
      <c r="CBA106" s="46" t="s">
        <v>45</v>
      </c>
      <c r="CBB106" s="46"/>
      <c r="CBC106" s="46"/>
      <c r="CBD106" s="46"/>
      <c r="CBE106" s="46"/>
      <c r="CBF106" s="46"/>
      <c r="CBG106" s="46"/>
      <c r="CBH106" s="47">
        <v>0</v>
      </c>
      <c r="CBI106" s="46" t="s">
        <v>45</v>
      </c>
      <c r="CBJ106" s="46"/>
      <c r="CBK106" s="46"/>
      <c r="CBL106" s="46"/>
      <c r="CBM106" s="46"/>
      <c r="CBN106" s="46"/>
      <c r="CBO106" s="46"/>
      <c r="CBP106" s="47">
        <v>0</v>
      </c>
      <c r="CBQ106" s="46" t="s">
        <v>45</v>
      </c>
      <c r="CBR106" s="46"/>
      <c r="CBS106" s="46"/>
      <c r="CBT106" s="46"/>
      <c r="CBU106" s="46"/>
      <c r="CBV106" s="46"/>
      <c r="CBW106" s="46"/>
      <c r="CBX106" s="47">
        <v>0</v>
      </c>
      <c r="CBY106" s="46" t="s">
        <v>45</v>
      </c>
      <c r="CBZ106" s="46"/>
      <c r="CCA106" s="46"/>
      <c r="CCB106" s="46"/>
      <c r="CCC106" s="46"/>
      <c r="CCD106" s="46"/>
      <c r="CCE106" s="46"/>
      <c r="CCF106" s="47">
        <v>0</v>
      </c>
      <c r="CCG106" s="46" t="s">
        <v>45</v>
      </c>
      <c r="CCH106" s="46"/>
      <c r="CCI106" s="46"/>
      <c r="CCJ106" s="46"/>
      <c r="CCK106" s="46"/>
      <c r="CCL106" s="46"/>
      <c r="CCM106" s="46"/>
      <c r="CCN106" s="47">
        <v>0</v>
      </c>
      <c r="CCO106" s="46" t="s">
        <v>45</v>
      </c>
      <c r="CCP106" s="46"/>
      <c r="CCQ106" s="46"/>
      <c r="CCR106" s="46"/>
      <c r="CCS106" s="46"/>
      <c r="CCT106" s="46"/>
      <c r="CCU106" s="46"/>
      <c r="CCV106" s="47">
        <v>0</v>
      </c>
      <c r="CCW106" s="46" t="s">
        <v>45</v>
      </c>
      <c r="CCX106" s="46"/>
      <c r="CCY106" s="46"/>
      <c r="CCZ106" s="46"/>
      <c r="CDA106" s="46"/>
      <c r="CDB106" s="46"/>
      <c r="CDC106" s="46"/>
      <c r="CDD106" s="47">
        <v>0</v>
      </c>
      <c r="CDE106" s="46" t="s">
        <v>45</v>
      </c>
      <c r="CDF106" s="46"/>
      <c r="CDG106" s="46"/>
      <c r="CDH106" s="46"/>
      <c r="CDI106" s="46"/>
      <c r="CDJ106" s="46"/>
      <c r="CDK106" s="46"/>
      <c r="CDL106" s="47">
        <v>0</v>
      </c>
      <c r="CDM106" s="46" t="s">
        <v>45</v>
      </c>
      <c r="CDN106" s="46"/>
      <c r="CDO106" s="46"/>
      <c r="CDP106" s="46"/>
      <c r="CDQ106" s="46"/>
      <c r="CDR106" s="46"/>
      <c r="CDS106" s="46"/>
      <c r="CDT106" s="47">
        <v>0</v>
      </c>
      <c r="CDU106" s="46" t="s">
        <v>45</v>
      </c>
      <c r="CDV106" s="46"/>
      <c r="CDW106" s="46"/>
      <c r="CDX106" s="46"/>
      <c r="CDY106" s="46"/>
      <c r="CDZ106" s="46"/>
      <c r="CEA106" s="46"/>
      <c r="CEB106" s="47">
        <v>0</v>
      </c>
      <c r="CEC106" s="46" t="s">
        <v>45</v>
      </c>
      <c r="CED106" s="46"/>
      <c r="CEE106" s="46"/>
      <c r="CEF106" s="46"/>
      <c r="CEG106" s="46"/>
      <c r="CEH106" s="46"/>
      <c r="CEI106" s="46"/>
      <c r="CEJ106" s="47">
        <v>0</v>
      </c>
      <c r="CEK106" s="46" t="s">
        <v>45</v>
      </c>
      <c r="CEL106" s="46"/>
      <c r="CEM106" s="46"/>
      <c r="CEN106" s="46"/>
      <c r="CEO106" s="46"/>
      <c r="CEP106" s="46"/>
      <c r="CEQ106" s="46"/>
      <c r="CER106" s="47">
        <v>0</v>
      </c>
      <c r="CES106" s="46" t="s">
        <v>45</v>
      </c>
      <c r="CET106" s="46"/>
      <c r="CEU106" s="46"/>
      <c r="CEV106" s="46"/>
      <c r="CEW106" s="46"/>
      <c r="CEX106" s="46"/>
      <c r="CEY106" s="46"/>
      <c r="CEZ106" s="47">
        <v>0</v>
      </c>
      <c r="CFA106" s="46" t="s">
        <v>45</v>
      </c>
      <c r="CFB106" s="46"/>
      <c r="CFC106" s="46"/>
      <c r="CFD106" s="46"/>
      <c r="CFE106" s="46"/>
      <c r="CFF106" s="46"/>
      <c r="CFG106" s="46"/>
      <c r="CFH106" s="47">
        <v>0</v>
      </c>
      <c r="CFI106" s="46" t="s">
        <v>45</v>
      </c>
      <c r="CFJ106" s="46"/>
      <c r="CFK106" s="46"/>
      <c r="CFL106" s="46"/>
      <c r="CFM106" s="46"/>
      <c r="CFN106" s="46"/>
      <c r="CFO106" s="46"/>
      <c r="CFP106" s="47">
        <v>0</v>
      </c>
      <c r="CFQ106" s="46" t="s">
        <v>45</v>
      </c>
      <c r="CFR106" s="46"/>
      <c r="CFS106" s="46"/>
      <c r="CFT106" s="46"/>
      <c r="CFU106" s="46"/>
      <c r="CFV106" s="46"/>
      <c r="CFW106" s="46"/>
      <c r="CFX106" s="47">
        <v>0</v>
      </c>
      <c r="CFY106" s="46" t="s">
        <v>45</v>
      </c>
      <c r="CFZ106" s="46"/>
      <c r="CGA106" s="46"/>
      <c r="CGB106" s="46"/>
      <c r="CGC106" s="46"/>
      <c r="CGD106" s="46"/>
      <c r="CGE106" s="46"/>
      <c r="CGF106" s="47">
        <v>0</v>
      </c>
      <c r="CGG106" s="46" t="s">
        <v>45</v>
      </c>
      <c r="CGH106" s="46"/>
      <c r="CGI106" s="46"/>
      <c r="CGJ106" s="46"/>
      <c r="CGK106" s="46"/>
      <c r="CGL106" s="46"/>
      <c r="CGM106" s="46"/>
      <c r="CGN106" s="47">
        <v>0</v>
      </c>
      <c r="CGO106" s="46" t="s">
        <v>45</v>
      </c>
      <c r="CGP106" s="46"/>
      <c r="CGQ106" s="46"/>
      <c r="CGR106" s="46"/>
      <c r="CGS106" s="46"/>
      <c r="CGT106" s="46"/>
      <c r="CGU106" s="46"/>
      <c r="CGV106" s="47">
        <v>0</v>
      </c>
      <c r="CGW106" s="46" t="s">
        <v>45</v>
      </c>
      <c r="CGX106" s="46"/>
      <c r="CGY106" s="46"/>
      <c r="CGZ106" s="46"/>
      <c r="CHA106" s="46"/>
      <c r="CHB106" s="46"/>
      <c r="CHC106" s="46"/>
      <c r="CHD106" s="47">
        <v>0</v>
      </c>
      <c r="CHE106" s="46" t="s">
        <v>45</v>
      </c>
      <c r="CHF106" s="46"/>
      <c r="CHG106" s="46"/>
      <c r="CHH106" s="46"/>
      <c r="CHI106" s="46"/>
      <c r="CHJ106" s="46"/>
      <c r="CHK106" s="46"/>
      <c r="CHL106" s="47">
        <v>0</v>
      </c>
      <c r="CHM106" s="46" t="s">
        <v>45</v>
      </c>
      <c r="CHN106" s="46"/>
      <c r="CHO106" s="46"/>
      <c r="CHP106" s="46"/>
      <c r="CHQ106" s="46"/>
      <c r="CHR106" s="46"/>
      <c r="CHS106" s="46"/>
      <c r="CHT106" s="47">
        <v>0</v>
      </c>
      <c r="CHU106" s="46" t="s">
        <v>45</v>
      </c>
      <c r="CHV106" s="46"/>
      <c r="CHW106" s="46"/>
      <c r="CHX106" s="46"/>
      <c r="CHY106" s="46"/>
      <c r="CHZ106" s="46"/>
      <c r="CIA106" s="46"/>
      <c r="CIB106" s="47">
        <v>0</v>
      </c>
      <c r="CIC106" s="46" t="s">
        <v>45</v>
      </c>
      <c r="CID106" s="46"/>
      <c r="CIE106" s="46"/>
      <c r="CIF106" s="46"/>
      <c r="CIG106" s="46"/>
      <c r="CIH106" s="46"/>
      <c r="CII106" s="46"/>
      <c r="CIJ106" s="47">
        <v>0</v>
      </c>
      <c r="CIK106" s="46" t="s">
        <v>45</v>
      </c>
      <c r="CIL106" s="46"/>
      <c r="CIM106" s="46"/>
      <c r="CIN106" s="46"/>
      <c r="CIO106" s="46"/>
      <c r="CIP106" s="46"/>
      <c r="CIQ106" s="46"/>
      <c r="CIR106" s="47">
        <v>0</v>
      </c>
      <c r="CIS106" s="46" t="s">
        <v>45</v>
      </c>
      <c r="CIT106" s="46"/>
      <c r="CIU106" s="46"/>
      <c r="CIV106" s="46"/>
      <c r="CIW106" s="46"/>
      <c r="CIX106" s="46"/>
      <c r="CIY106" s="46"/>
      <c r="CIZ106" s="47">
        <v>0</v>
      </c>
      <c r="CJA106" s="46" t="s">
        <v>45</v>
      </c>
      <c r="CJB106" s="46"/>
      <c r="CJC106" s="46"/>
      <c r="CJD106" s="46"/>
      <c r="CJE106" s="46"/>
      <c r="CJF106" s="46"/>
      <c r="CJG106" s="46"/>
      <c r="CJH106" s="47">
        <v>0</v>
      </c>
      <c r="CJI106" s="46" t="s">
        <v>45</v>
      </c>
      <c r="CJJ106" s="46"/>
      <c r="CJK106" s="46"/>
      <c r="CJL106" s="46"/>
      <c r="CJM106" s="46"/>
      <c r="CJN106" s="46"/>
      <c r="CJO106" s="46"/>
      <c r="CJP106" s="47">
        <v>0</v>
      </c>
      <c r="CJQ106" s="46" t="s">
        <v>45</v>
      </c>
      <c r="CJR106" s="46"/>
      <c r="CJS106" s="46"/>
      <c r="CJT106" s="46"/>
      <c r="CJU106" s="46"/>
      <c r="CJV106" s="46"/>
      <c r="CJW106" s="46"/>
      <c r="CJX106" s="47">
        <v>0</v>
      </c>
      <c r="CJY106" s="46" t="s">
        <v>45</v>
      </c>
      <c r="CJZ106" s="46"/>
      <c r="CKA106" s="46"/>
      <c r="CKB106" s="46"/>
      <c r="CKC106" s="46"/>
      <c r="CKD106" s="46"/>
      <c r="CKE106" s="46"/>
      <c r="CKF106" s="47">
        <v>0</v>
      </c>
      <c r="CKG106" s="46" t="s">
        <v>45</v>
      </c>
      <c r="CKH106" s="46"/>
      <c r="CKI106" s="46"/>
      <c r="CKJ106" s="46"/>
      <c r="CKK106" s="46"/>
      <c r="CKL106" s="46"/>
      <c r="CKM106" s="46"/>
      <c r="CKN106" s="47">
        <v>0</v>
      </c>
      <c r="CKO106" s="46" t="s">
        <v>45</v>
      </c>
      <c r="CKP106" s="46"/>
      <c r="CKQ106" s="46"/>
      <c r="CKR106" s="46"/>
      <c r="CKS106" s="46"/>
      <c r="CKT106" s="46"/>
      <c r="CKU106" s="46"/>
      <c r="CKV106" s="47">
        <v>0</v>
      </c>
      <c r="CKW106" s="46" t="s">
        <v>45</v>
      </c>
      <c r="CKX106" s="46"/>
      <c r="CKY106" s="46"/>
      <c r="CKZ106" s="46"/>
      <c r="CLA106" s="46"/>
      <c r="CLB106" s="46"/>
      <c r="CLC106" s="46"/>
      <c r="CLD106" s="47">
        <v>0</v>
      </c>
      <c r="CLE106" s="46" t="s">
        <v>45</v>
      </c>
      <c r="CLF106" s="46"/>
      <c r="CLG106" s="46"/>
      <c r="CLH106" s="46"/>
      <c r="CLI106" s="46"/>
      <c r="CLJ106" s="46"/>
      <c r="CLK106" s="46"/>
      <c r="CLL106" s="47">
        <v>0</v>
      </c>
      <c r="CLM106" s="46" t="s">
        <v>45</v>
      </c>
      <c r="CLN106" s="46"/>
      <c r="CLO106" s="46"/>
      <c r="CLP106" s="46"/>
      <c r="CLQ106" s="46"/>
      <c r="CLR106" s="46"/>
      <c r="CLS106" s="46"/>
      <c r="CLT106" s="47">
        <v>0</v>
      </c>
      <c r="CLU106" s="46" t="s">
        <v>45</v>
      </c>
      <c r="CLV106" s="46"/>
      <c r="CLW106" s="46"/>
      <c r="CLX106" s="46"/>
      <c r="CLY106" s="46"/>
      <c r="CLZ106" s="46"/>
      <c r="CMA106" s="46"/>
      <c r="CMB106" s="47">
        <v>0</v>
      </c>
      <c r="CMC106" s="46" t="s">
        <v>45</v>
      </c>
      <c r="CMD106" s="46"/>
      <c r="CME106" s="46"/>
      <c r="CMF106" s="46"/>
      <c r="CMG106" s="46"/>
      <c r="CMH106" s="46"/>
      <c r="CMI106" s="46"/>
      <c r="CMJ106" s="47">
        <v>0</v>
      </c>
      <c r="CMK106" s="46" t="s">
        <v>45</v>
      </c>
      <c r="CML106" s="46"/>
      <c r="CMM106" s="46"/>
      <c r="CMN106" s="46"/>
      <c r="CMO106" s="46"/>
      <c r="CMP106" s="46"/>
      <c r="CMQ106" s="46"/>
      <c r="CMR106" s="47">
        <v>0</v>
      </c>
      <c r="CMS106" s="46" t="s">
        <v>45</v>
      </c>
      <c r="CMT106" s="46"/>
      <c r="CMU106" s="46"/>
      <c r="CMV106" s="46"/>
      <c r="CMW106" s="46"/>
      <c r="CMX106" s="46"/>
      <c r="CMY106" s="46"/>
      <c r="CMZ106" s="47">
        <v>0</v>
      </c>
      <c r="CNA106" s="46" t="s">
        <v>45</v>
      </c>
      <c r="CNB106" s="46"/>
      <c r="CNC106" s="46"/>
      <c r="CND106" s="46"/>
      <c r="CNE106" s="46"/>
      <c r="CNF106" s="46"/>
      <c r="CNG106" s="46"/>
      <c r="CNH106" s="47">
        <v>0</v>
      </c>
      <c r="CNI106" s="46" t="s">
        <v>45</v>
      </c>
      <c r="CNJ106" s="46"/>
      <c r="CNK106" s="46"/>
      <c r="CNL106" s="46"/>
      <c r="CNM106" s="46"/>
      <c r="CNN106" s="46"/>
      <c r="CNO106" s="46"/>
      <c r="CNP106" s="47">
        <v>0</v>
      </c>
      <c r="CNQ106" s="46" t="s">
        <v>45</v>
      </c>
      <c r="CNR106" s="46"/>
      <c r="CNS106" s="46"/>
      <c r="CNT106" s="46"/>
      <c r="CNU106" s="46"/>
      <c r="CNV106" s="46"/>
      <c r="CNW106" s="46"/>
      <c r="CNX106" s="47">
        <v>0</v>
      </c>
      <c r="CNY106" s="46" t="s">
        <v>45</v>
      </c>
      <c r="CNZ106" s="46"/>
      <c r="COA106" s="46"/>
      <c r="COB106" s="46"/>
      <c r="COC106" s="46"/>
      <c r="COD106" s="46"/>
      <c r="COE106" s="46"/>
      <c r="COF106" s="47">
        <v>0</v>
      </c>
      <c r="COG106" s="46" t="s">
        <v>45</v>
      </c>
      <c r="COH106" s="46"/>
      <c r="COI106" s="46"/>
      <c r="COJ106" s="46"/>
      <c r="COK106" s="46"/>
      <c r="COL106" s="46"/>
      <c r="COM106" s="46"/>
      <c r="CON106" s="47">
        <v>0</v>
      </c>
      <c r="COO106" s="46" t="s">
        <v>45</v>
      </c>
      <c r="COP106" s="46"/>
      <c r="COQ106" s="46"/>
      <c r="COR106" s="46"/>
      <c r="COS106" s="46"/>
      <c r="COT106" s="46"/>
      <c r="COU106" s="46"/>
      <c r="COV106" s="47">
        <v>0</v>
      </c>
      <c r="COW106" s="46" t="s">
        <v>45</v>
      </c>
      <c r="COX106" s="46"/>
      <c r="COY106" s="46"/>
      <c r="COZ106" s="46"/>
      <c r="CPA106" s="46"/>
      <c r="CPB106" s="46"/>
      <c r="CPC106" s="46"/>
      <c r="CPD106" s="47">
        <v>0</v>
      </c>
      <c r="CPE106" s="46" t="s">
        <v>45</v>
      </c>
      <c r="CPF106" s="46"/>
      <c r="CPG106" s="46"/>
      <c r="CPH106" s="46"/>
      <c r="CPI106" s="46"/>
      <c r="CPJ106" s="46"/>
      <c r="CPK106" s="46"/>
      <c r="CPL106" s="47">
        <v>0</v>
      </c>
      <c r="CPM106" s="46" t="s">
        <v>45</v>
      </c>
      <c r="CPN106" s="46"/>
      <c r="CPO106" s="46"/>
      <c r="CPP106" s="46"/>
      <c r="CPQ106" s="46"/>
      <c r="CPR106" s="46"/>
      <c r="CPS106" s="46"/>
      <c r="CPT106" s="47">
        <v>0</v>
      </c>
      <c r="CPU106" s="46" t="s">
        <v>45</v>
      </c>
      <c r="CPV106" s="46"/>
      <c r="CPW106" s="46"/>
      <c r="CPX106" s="46"/>
      <c r="CPY106" s="46"/>
      <c r="CPZ106" s="46"/>
      <c r="CQA106" s="46"/>
      <c r="CQB106" s="47">
        <v>0</v>
      </c>
      <c r="CQC106" s="46" t="s">
        <v>45</v>
      </c>
      <c r="CQD106" s="46"/>
      <c r="CQE106" s="46"/>
      <c r="CQF106" s="46"/>
      <c r="CQG106" s="46"/>
      <c r="CQH106" s="46"/>
      <c r="CQI106" s="46"/>
      <c r="CQJ106" s="47">
        <v>0</v>
      </c>
      <c r="CQK106" s="46" t="s">
        <v>45</v>
      </c>
      <c r="CQL106" s="46"/>
      <c r="CQM106" s="46"/>
      <c r="CQN106" s="46"/>
      <c r="CQO106" s="46"/>
      <c r="CQP106" s="46"/>
      <c r="CQQ106" s="46"/>
      <c r="CQR106" s="47">
        <v>0</v>
      </c>
      <c r="CQS106" s="46" t="s">
        <v>45</v>
      </c>
      <c r="CQT106" s="46"/>
      <c r="CQU106" s="46"/>
      <c r="CQV106" s="46"/>
      <c r="CQW106" s="46"/>
      <c r="CQX106" s="46"/>
      <c r="CQY106" s="46"/>
      <c r="CQZ106" s="47">
        <v>0</v>
      </c>
      <c r="CRA106" s="46" t="s">
        <v>45</v>
      </c>
      <c r="CRB106" s="46"/>
      <c r="CRC106" s="46"/>
      <c r="CRD106" s="46"/>
      <c r="CRE106" s="46"/>
      <c r="CRF106" s="46"/>
      <c r="CRG106" s="46"/>
      <c r="CRH106" s="47">
        <v>0</v>
      </c>
      <c r="CRI106" s="46" t="s">
        <v>45</v>
      </c>
      <c r="CRJ106" s="46"/>
      <c r="CRK106" s="46"/>
      <c r="CRL106" s="46"/>
      <c r="CRM106" s="46"/>
      <c r="CRN106" s="46"/>
      <c r="CRO106" s="46"/>
      <c r="CRP106" s="47">
        <v>0</v>
      </c>
      <c r="CRQ106" s="46" t="s">
        <v>45</v>
      </c>
      <c r="CRR106" s="46"/>
      <c r="CRS106" s="46"/>
      <c r="CRT106" s="46"/>
      <c r="CRU106" s="46"/>
      <c r="CRV106" s="46"/>
      <c r="CRW106" s="46"/>
      <c r="CRX106" s="47">
        <v>0</v>
      </c>
      <c r="CRY106" s="46" t="s">
        <v>45</v>
      </c>
      <c r="CRZ106" s="46"/>
      <c r="CSA106" s="46"/>
      <c r="CSB106" s="46"/>
      <c r="CSC106" s="46"/>
      <c r="CSD106" s="46"/>
      <c r="CSE106" s="46"/>
      <c r="CSF106" s="47">
        <v>0</v>
      </c>
      <c r="CSG106" s="46" t="s">
        <v>45</v>
      </c>
      <c r="CSH106" s="46"/>
      <c r="CSI106" s="46"/>
      <c r="CSJ106" s="46"/>
      <c r="CSK106" s="46"/>
      <c r="CSL106" s="46"/>
      <c r="CSM106" s="46"/>
      <c r="CSN106" s="47">
        <v>0</v>
      </c>
      <c r="CSO106" s="46" t="s">
        <v>45</v>
      </c>
      <c r="CSP106" s="46"/>
      <c r="CSQ106" s="46"/>
      <c r="CSR106" s="46"/>
      <c r="CSS106" s="46"/>
      <c r="CST106" s="46"/>
      <c r="CSU106" s="46"/>
      <c r="CSV106" s="47">
        <v>0</v>
      </c>
      <c r="CSW106" s="46" t="s">
        <v>45</v>
      </c>
      <c r="CSX106" s="46"/>
      <c r="CSY106" s="46"/>
      <c r="CSZ106" s="46"/>
      <c r="CTA106" s="46"/>
      <c r="CTB106" s="46"/>
      <c r="CTC106" s="46"/>
      <c r="CTD106" s="47">
        <v>0</v>
      </c>
      <c r="CTE106" s="46" t="s">
        <v>45</v>
      </c>
      <c r="CTF106" s="46"/>
      <c r="CTG106" s="46"/>
      <c r="CTH106" s="46"/>
      <c r="CTI106" s="46"/>
      <c r="CTJ106" s="46"/>
      <c r="CTK106" s="46"/>
      <c r="CTL106" s="47">
        <v>0</v>
      </c>
      <c r="CTM106" s="46" t="s">
        <v>45</v>
      </c>
      <c r="CTN106" s="46"/>
      <c r="CTO106" s="46"/>
      <c r="CTP106" s="46"/>
      <c r="CTQ106" s="46"/>
      <c r="CTR106" s="46"/>
      <c r="CTS106" s="46"/>
      <c r="CTT106" s="47">
        <v>0</v>
      </c>
      <c r="CTU106" s="46" t="s">
        <v>45</v>
      </c>
      <c r="CTV106" s="46"/>
      <c r="CTW106" s="46"/>
      <c r="CTX106" s="46"/>
      <c r="CTY106" s="46"/>
      <c r="CTZ106" s="46"/>
      <c r="CUA106" s="46"/>
      <c r="CUB106" s="47">
        <v>0</v>
      </c>
      <c r="CUC106" s="46" t="s">
        <v>45</v>
      </c>
      <c r="CUD106" s="46"/>
      <c r="CUE106" s="46"/>
      <c r="CUF106" s="46"/>
      <c r="CUG106" s="46"/>
      <c r="CUH106" s="46"/>
      <c r="CUI106" s="46"/>
      <c r="CUJ106" s="47">
        <v>0</v>
      </c>
      <c r="CUK106" s="46" t="s">
        <v>45</v>
      </c>
      <c r="CUL106" s="46"/>
      <c r="CUM106" s="46"/>
      <c r="CUN106" s="46"/>
      <c r="CUO106" s="46"/>
      <c r="CUP106" s="46"/>
      <c r="CUQ106" s="46"/>
      <c r="CUR106" s="47">
        <v>0</v>
      </c>
      <c r="CUS106" s="46" t="s">
        <v>45</v>
      </c>
      <c r="CUT106" s="46"/>
      <c r="CUU106" s="46"/>
      <c r="CUV106" s="46"/>
      <c r="CUW106" s="46"/>
      <c r="CUX106" s="46"/>
      <c r="CUY106" s="46"/>
      <c r="CUZ106" s="47">
        <v>0</v>
      </c>
      <c r="CVA106" s="46" t="s">
        <v>45</v>
      </c>
      <c r="CVB106" s="46"/>
      <c r="CVC106" s="46"/>
      <c r="CVD106" s="46"/>
      <c r="CVE106" s="46"/>
      <c r="CVF106" s="46"/>
      <c r="CVG106" s="46"/>
      <c r="CVH106" s="47">
        <v>0</v>
      </c>
      <c r="CVI106" s="46" t="s">
        <v>45</v>
      </c>
      <c r="CVJ106" s="46"/>
      <c r="CVK106" s="46"/>
      <c r="CVL106" s="46"/>
      <c r="CVM106" s="46"/>
      <c r="CVN106" s="46"/>
      <c r="CVO106" s="46"/>
      <c r="CVP106" s="47">
        <v>0</v>
      </c>
      <c r="CVQ106" s="46" t="s">
        <v>45</v>
      </c>
      <c r="CVR106" s="46"/>
      <c r="CVS106" s="46"/>
      <c r="CVT106" s="46"/>
      <c r="CVU106" s="46"/>
      <c r="CVV106" s="46"/>
      <c r="CVW106" s="46"/>
      <c r="CVX106" s="47">
        <v>0</v>
      </c>
      <c r="CVY106" s="46" t="s">
        <v>45</v>
      </c>
      <c r="CVZ106" s="46"/>
      <c r="CWA106" s="46"/>
      <c r="CWB106" s="46"/>
      <c r="CWC106" s="46"/>
      <c r="CWD106" s="46"/>
      <c r="CWE106" s="46"/>
      <c r="CWF106" s="47">
        <v>0</v>
      </c>
      <c r="CWG106" s="46" t="s">
        <v>45</v>
      </c>
      <c r="CWH106" s="46"/>
      <c r="CWI106" s="46"/>
      <c r="CWJ106" s="46"/>
      <c r="CWK106" s="46"/>
      <c r="CWL106" s="46"/>
      <c r="CWM106" s="46"/>
      <c r="CWN106" s="47">
        <v>0</v>
      </c>
      <c r="CWO106" s="46" t="s">
        <v>45</v>
      </c>
      <c r="CWP106" s="46"/>
      <c r="CWQ106" s="46"/>
      <c r="CWR106" s="46"/>
      <c r="CWS106" s="46"/>
      <c r="CWT106" s="46"/>
      <c r="CWU106" s="46"/>
      <c r="CWV106" s="47">
        <v>0</v>
      </c>
      <c r="CWW106" s="46" t="s">
        <v>45</v>
      </c>
      <c r="CWX106" s="46"/>
      <c r="CWY106" s="46"/>
      <c r="CWZ106" s="46"/>
      <c r="CXA106" s="46"/>
      <c r="CXB106" s="46"/>
      <c r="CXC106" s="46"/>
      <c r="CXD106" s="47">
        <v>0</v>
      </c>
      <c r="CXE106" s="46" t="s">
        <v>45</v>
      </c>
      <c r="CXF106" s="46"/>
      <c r="CXG106" s="46"/>
      <c r="CXH106" s="46"/>
      <c r="CXI106" s="46"/>
      <c r="CXJ106" s="46"/>
      <c r="CXK106" s="46"/>
      <c r="CXL106" s="47">
        <v>0</v>
      </c>
      <c r="CXM106" s="46" t="s">
        <v>45</v>
      </c>
      <c r="CXN106" s="46"/>
      <c r="CXO106" s="46"/>
      <c r="CXP106" s="46"/>
      <c r="CXQ106" s="46"/>
      <c r="CXR106" s="46"/>
      <c r="CXS106" s="46"/>
      <c r="CXT106" s="47">
        <v>0</v>
      </c>
      <c r="CXU106" s="46" t="s">
        <v>45</v>
      </c>
      <c r="CXV106" s="46"/>
      <c r="CXW106" s="46"/>
      <c r="CXX106" s="46"/>
      <c r="CXY106" s="46"/>
      <c r="CXZ106" s="46"/>
      <c r="CYA106" s="46"/>
      <c r="CYB106" s="47">
        <v>0</v>
      </c>
      <c r="CYC106" s="46" t="s">
        <v>45</v>
      </c>
      <c r="CYD106" s="46"/>
      <c r="CYE106" s="46"/>
      <c r="CYF106" s="46"/>
      <c r="CYG106" s="46"/>
      <c r="CYH106" s="46"/>
      <c r="CYI106" s="46"/>
      <c r="CYJ106" s="47">
        <v>0</v>
      </c>
      <c r="CYK106" s="46" t="s">
        <v>45</v>
      </c>
      <c r="CYL106" s="46"/>
      <c r="CYM106" s="46"/>
      <c r="CYN106" s="46"/>
      <c r="CYO106" s="46"/>
      <c r="CYP106" s="46"/>
      <c r="CYQ106" s="46"/>
      <c r="CYR106" s="47">
        <v>0</v>
      </c>
      <c r="CYS106" s="46" t="s">
        <v>45</v>
      </c>
      <c r="CYT106" s="46"/>
      <c r="CYU106" s="46"/>
      <c r="CYV106" s="46"/>
      <c r="CYW106" s="46"/>
      <c r="CYX106" s="46"/>
      <c r="CYY106" s="46"/>
      <c r="CYZ106" s="47">
        <v>0</v>
      </c>
      <c r="CZA106" s="46" t="s">
        <v>45</v>
      </c>
      <c r="CZB106" s="46"/>
      <c r="CZC106" s="46"/>
      <c r="CZD106" s="46"/>
      <c r="CZE106" s="46"/>
      <c r="CZF106" s="46"/>
      <c r="CZG106" s="46"/>
      <c r="CZH106" s="47">
        <v>0</v>
      </c>
      <c r="CZI106" s="46" t="s">
        <v>45</v>
      </c>
      <c r="CZJ106" s="46"/>
      <c r="CZK106" s="46"/>
      <c r="CZL106" s="46"/>
      <c r="CZM106" s="46"/>
      <c r="CZN106" s="46"/>
      <c r="CZO106" s="46"/>
      <c r="CZP106" s="47">
        <v>0</v>
      </c>
      <c r="CZQ106" s="46" t="s">
        <v>45</v>
      </c>
      <c r="CZR106" s="46"/>
      <c r="CZS106" s="46"/>
      <c r="CZT106" s="46"/>
      <c r="CZU106" s="46"/>
      <c r="CZV106" s="46"/>
      <c r="CZW106" s="46"/>
      <c r="CZX106" s="47">
        <v>0</v>
      </c>
      <c r="CZY106" s="46" t="s">
        <v>45</v>
      </c>
      <c r="CZZ106" s="46"/>
      <c r="DAA106" s="46"/>
      <c r="DAB106" s="46"/>
      <c r="DAC106" s="46"/>
      <c r="DAD106" s="46"/>
      <c r="DAE106" s="46"/>
      <c r="DAF106" s="47">
        <v>0</v>
      </c>
      <c r="DAG106" s="46" t="s">
        <v>45</v>
      </c>
      <c r="DAH106" s="46"/>
      <c r="DAI106" s="46"/>
      <c r="DAJ106" s="46"/>
      <c r="DAK106" s="46"/>
      <c r="DAL106" s="46"/>
      <c r="DAM106" s="46"/>
      <c r="DAN106" s="47">
        <v>0</v>
      </c>
      <c r="DAO106" s="46" t="s">
        <v>45</v>
      </c>
      <c r="DAP106" s="46"/>
      <c r="DAQ106" s="46"/>
      <c r="DAR106" s="46"/>
      <c r="DAS106" s="46"/>
      <c r="DAT106" s="46"/>
      <c r="DAU106" s="46"/>
      <c r="DAV106" s="47">
        <v>0</v>
      </c>
      <c r="DAW106" s="46" t="s">
        <v>45</v>
      </c>
      <c r="DAX106" s="46"/>
      <c r="DAY106" s="46"/>
      <c r="DAZ106" s="46"/>
      <c r="DBA106" s="46"/>
      <c r="DBB106" s="46"/>
      <c r="DBC106" s="46"/>
      <c r="DBD106" s="47">
        <v>0</v>
      </c>
      <c r="DBE106" s="46" t="s">
        <v>45</v>
      </c>
      <c r="DBF106" s="46"/>
      <c r="DBG106" s="46"/>
      <c r="DBH106" s="46"/>
      <c r="DBI106" s="46"/>
      <c r="DBJ106" s="46"/>
      <c r="DBK106" s="46"/>
      <c r="DBL106" s="47">
        <v>0</v>
      </c>
      <c r="DBM106" s="46" t="s">
        <v>45</v>
      </c>
      <c r="DBN106" s="46"/>
      <c r="DBO106" s="46"/>
      <c r="DBP106" s="46"/>
      <c r="DBQ106" s="46"/>
      <c r="DBR106" s="46"/>
      <c r="DBS106" s="46"/>
      <c r="DBT106" s="47">
        <v>0</v>
      </c>
      <c r="DBU106" s="46" t="s">
        <v>45</v>
      </c>
      <c r="DBV106" s="46"/>
      <c r="DBW106" s="46"/>
      <c r="DBX106" s="46"/>
      <c r="DBY106" s="46"/>
      <c r="DBZ106" s="46"/>
      <c r="DCA106" s="46"/>
      <c r="DCB106" s="47">
        <v>0</v>
      </c>
      <c r="DCC106" s="46" t="s">
        <v>45</v>
      </c>
      <c r="DCD106" s="46"/>
      <c r="DCE106" s="46"/>
      <c r="DCF106" s="46"/>
      <c r="DCG106" s="46"/>
      <c r="DCH106" s="46"/>
      <c r="DCI106" s="46"/>
      <c r="DCJ106" s="47">
        <v>0</v>
      </c>
      <c r="DCK106" s="46" t="s">
        <v>45</v>
      </c>
      <c r="DCL106" s="46"/>
      <c r="DCM106" s="46"/>
      <c r="DCN106" s="46"/>
      <c r="DCO106" s="46"/>
      <c r="DCP106" s="46"/>
      <c r="DCQ106" s="46"/>
      <c r="DCR106" s="47">
        <v>0</v>
      </c>
      <c r="DCS106" s="46" t="s">
        <v>45</v>
      </c>
      <c r="DCT106" s="46"/>
      <c r="DCU106" s="46"/>
      <c r="DCV106" s="46"/>
      <c r="DCW106" s="46"/>
      <c r="DCX106" s="46"/>
      <c r="DCY106" s="46"/>
      <c r="DCZ106" s="47">
        <v>0</v>
      </c>
      <c r="DDA106" s="46" t="s">
        <v>45</v>
      </c>
      <c r="DDB106" s="46"/>
      <c r="DDC106" s="46"/>
      <c r="DDD106" s="46"/>
      <c r="DDE106" s="46"/>
      <c r="DDF106" s="46"/>
      <c r="DDG106" s="46"/>
      <c r="DDH106" s="47">
        <v>0</v>
      </c>
      <c r="DDI106" s="46" t="s">
        <v>45</v>
      </c>
      <c r="DDJ106" s="46"/>
      <c r="DDK106" s="46"/>
      <c r="DDL106" s="46"/>
      <c r="DDM106" s="46"/>
      <c r="DDN106" s="46"/>
      <c r="DDO106" s="46"/>
      <c r="DDP106" s="47">
        <v>0</v>
      </c>
      <c r="DDQ106" s="46" t="s">
        <v>45</v>
      </c>
      <c r="DDR106" s="46"/>
      <c r="DDS106" s="46"/>
      <c r="DDT106" s="46"/>
      <c r="DDU106" s="46"/>
      <c r="DDV106" s="46"/>
      <c r="DDW106" s="46"/>
      <c r="DDX106" s="47">
        <v>0</v>
      </c>
      <c r="DDY106" s="46" t="s">
        <v>45</v>
      </c>
      <c r="DDZ106" s="46"/>
      <c r="DEA106" s="46"/>
      <c r="DEB106" s="46"/>
      <c r="DEC106" s="46"/>
      <c r="DED106" s="46"/>
      <c r="DEE106" s="46"/>
      <c r="DEF106" s="47">
        <v>0</v>
      </c>
      <c r="DEG106" s="46" t="s">
        <v>45</v>
      </c>
      <c r="DEH106" s="46"/>
      <c r="DEI106" s="46"/>
      <c r="DEJ106" s="46"/>
      <c r="DEK106" s="46"/>
      <c r="DEL106" s="46"/>
      <c r="DEM106" s="46"/>
      <c r="DEN106" s="47">
        <v>0</v>
      </c>
      <c r="DEO106" s="46" t="s">
        <v>45</v>
      </c>
      <c r="DEP106" s="46"/>
      <c r="DEQ106" s="46"/>
      <c r="DER106" s="46"/>
      <c r="DES106" s="46"/>
      <c r="DET106" s="46"/>
      <c r="DEU106" s="46"/>
      <c r="DEV106" s="47">
        <v>0</v>
      </c>
      <c r="DEW106" s="46" t="s">
        <v>45</v>
      </c>
      <c r="DEX106" s="46"/>
      <c r="DEY106" s="46"/>
      <c r="DEZ106" s="46"/>
      <c r="DFA106" s="46"/>
      <c r="DFB106" s="46"/>
      <c r="DFC106" s="46"/>
      <c r="DFD106" s="47">
        <v>0</v>
      </c>
      <c r="DFE106" s="46" t="s">
        <v>45</v>
      </c>
      <c r="DFF106" s="46"/>
      <c r="DFG106" s="46"/>
      <c r="DFH106" s="46"/>
      <c r="DFI106" s="46"/>
      <c r="DFJ106" s="46"/>
      <c r="DFK106" s="46"/>
      <c r="DFL106" s="47">
        <v>0</v>
      </c>
      <c r="DFM106" s="46" t="s">
        <v>45</v>
      </c>
      <c r="DFN106" s="46"/>
      <c r="DFO106" s="46"/>
      <c r="DFP106" s="46"/>
      <c r="DFQ106" s="46"/>
      <c r="DFR106" s="46"/>
      <c r="DFS106" s="46"/>
      <c r="DFT106" s="47">
        <v>0</v>
      </c>
      <c r="DFU106" s="46" t="s">
        <v>45</v>
      </c>
      <c r="DFV106" s="46"/>
      <c r="DFW106" s="46"/>
      <c r="DFX106" s="46"/>
      <c r="DFY106" s="46"/>
      <c r="DFZ106" s="46"/>
      <c r="DGA106" s="46"/>
      <c r="DGB106" s="47">
        <v>0</v>
      </c>
      <c r="DGC106" s="46" t="s">
        <v>45</v>
      </c>
      <c r="DGD106" s="46"/>
      <c r="DGE106" s="46"/>
      <c r="DGF106" s="46"/>
      <c r="DGG106" s="46"/>
      <c r="DGH106" s="46"/>
      <c r="DGI106" s="46"/>
      <c r="DGJ106" s="47">
        <v>0</v>
      </c>
      <c r="DGK106" s="46" t="s">
        <v>45</v>
      </c>
      <c r="DGL106" s="46"/>
      <c r="DGM106" s="46"/>
      <c r="DGN106" s="46"/>
      <c r="DGO106" s="46"/>
      <c r="DGP106" s="46"/>
      <c r="DGQ106" s="46"/>
      <c r="DGR106" s="47">
        <v>0</v>
      </c>
      <c r="DGS106" s="46" t="s">
        <v>45</v>
      </c>
      <c r="DGT106" s="46"/>
      <c r="DGU106" s="46"/>
      <c r="DGV106" s="46"/>
      <c r="DGW106" s="46"/>
      <c r="DGX106" s="46"/>
      <c r="DGY106" s="46"/>
      <c r="DGZ106" s="47">
        <v>0</v>
      </c>
      <c r="DHA106" s="46" t="s">
        <v>45</v>
      </c>
      <c r="DHB106" s="46"/>
      <c r="DHC106" s="46"/>
      <c r="DHD106" s="46"/>
      <c r="DHE106" s="46"/>
      <c r="DHF106" s="46"/>
      <c r="DHG106" s="46"/>
      <c r="DHH106" s="47">
        <v>0</v>
      </c>
      <c r="DHI106" s="46" t="s">
        <v>45</v>
      </c>
      <c r="DHJ106" s="46"/>
      <c r="DHK106" s="46"/>
      <c r="DHL106" s="46"/>
      <c r="DHM106" s="46"/>
      <c r="DHN106" s="46"/>
      <c r="DHO106" s="46"/>
      <c r="DHP106" s="47">
        <v>0</v>
      </c>
      <c r="DHQ106" s="46" t="s">
        <v>45</v>
      </c>
      <c r="DHR106" s="46"/>
      <c r="DHS106" s="46"/>
      <c r="DHT106" s="46"/>
      <c r="DHU106" s="46"/>
      <c r="DHV106" s="46"/>
      <c r="DHW106" s="46"/>
      <c r="DHX106" s="47">
        <v>0</v>
      </c>
      <c r="DHY106" s="46" t="s">
        <v>45</v>
      </c>
      <c r="DHZ106" s="46"/>
      <c r="DIA106" s="46"/>
      <c r="DIB106" s="46"/>
      <c r="DIC106" s="46"/>
      <c r="DID106" s="46"/>
      <c r="DIE106" s="46"/>
      <c r="DIF106" s="47">
        <v>0</v>
      </c>
      <c r="DIG106" s="46" t="s">
        <v>45</v>
      </c>
      <c r="DIH106" s="46"/>
      <c r="DII106" s="46"/>
      <c r="DIJ106" s="46"/>
      <c r="DIK106" s="46"/>
      <c r="DIL106" s="46"/>
      <c r="DIM106" s="46"/>
      <c r="DIN106" s="47">
        <v>0</v>
      </c>
      <c r="DIO106" s="46" t="s">
        <v>45</v>
      </c>
      <c r="DIP106" s="46"/>
      <c r="DIQ106" s="46"/>
      <c r="DIR106" s="46"/>
      <c r="DIS106" s="46"/>
      <c r="DIT106" s="46"/>
      <c r="DIU106" s="46"/>
      <c r="DIV106" s="47">
        <v>0</v>
      </c>
      <c r="DIW106" s="46" t="s">
        <v>45</v>
      </c>
      <c r="DIX106" s="46"/>
      <c r="DIY106" s="46"/>
      <c r="DIZ106" s="46"/>
      <c r="DJA106" s="46"/>
      <c r="DJB106" s="46"/>
      <c r="DJC106" s="46"/>
      <c r="DJD106" s="47">
        <v>0</v>
      </c>
      <c r="DJE106" s="46" t="s">
        <v>45</v>
      </c>
      <c r="DJF106" s="46"/>
      <c r="DJG106" s="46"/>
      <c r="DJH106" s="46"/>
      <c r="DJI106" s="46"/>
      <c r="DJJ106" s="46"/>
      <c r="DJK106" s="46"/>
      <c r="DJL106" s="47">
        <v>0</v>
      </c>
      <c r="DJM106" s="46" t="s">
        <v>45</v>
      </c>
      <c r="DJN106" s="46"/>
      <c r="DJO106" s="46"/>
      <c r="DJP106" s="46"/>
      <c r="DJQ106" s="46"/>
      <c r="DJR106" s="46"/>
      <c r="DJS106" s="46"/>
      <c r="DJT106" s="47">
        <v>0</v>
      </c>
      <c r="DJU106" s="46" t="s">
        <v>45</v>
      </c>
      <c r="DJV106" s="46"/>
      <c r="DJW106" s="46"/>
      <c r="DJX106" s="46"/>
      <c r="DJY106" s="46"/>
      <c r="DJZ106" s="46"/>
      <c r="DKA106" s="46"/>
      <c r="DKB106" s="47">
        <v>0</v>
      </c>
      <c r="DKC106" s="46" t="s">
        <v>45</v>
      </c>
      <c r="DKD106" s="46"/>
      <c r="DKE106" s="46"/>
      <c r="DKF106" s="46"/>
      <c r="DKG106" s="46"/>
      <c r="DKH106" s="46"/>
      <c r="DKI106" s="46"/>
      <c r="DKJ106" s="47">
        <v>0</v>
      </c>
      <c r="DKK106" s="46" t="s">
        <v>45</v>
      </c>
      <c r="DKL106" s="46"/>
      <c r="DKM106" s="46"/>
      <c r="DKN106" s="46"/>
      <c r="DKO106" s="46"/>
      <c r="DKP106" s="46"/>
      <c r="DKQ106" s="46"/>
      <c r="DKR106" s="47">
        <v>0</v>
      </c>
      <c r="DKS106" s="46" t="s">
        <v>45</v>
      </c>
      <c r="DKT106" s="46"/>
      <c r="DKU106" s="46"/>
      <c r="DKV106" s="46"/>
      <c r="DKW106" s="46"/>
      <c r="DKX106" s="46"/>
      <c r="DKY106" s="46"/>
      <c r="DKZ106" s="47">
        <v>0</v>
      </c>
      <c r="DLA106" s="46" t="s">
        <v>45</v>
      </c>
      <c r="DLB106" s="46"/>
      <c r="DLC106" s="46"/>
      <c r="DLD106" s="46"/>
      <c r="DLE106" s="46"/>
      <c r="DLF106" s="46"/>
      <c r="DLG106" s="46"/>
      <c r="DLH106" s="47">
        <v>0</v>
      </c>
      <c r="DLI106" s="46" t="s">
        <v>45</v>
      </c>
      <c r="DLJ106" s="46"/>
      <c r="DLK106" s="46"/>
      <c r="DLL106" s="46"/>
      <c r="DLM106" s="46"/>
      <c r="DLN106" s="46"/>
      <c r="DLO106" s="46"/>
      <c r="DLP106" s="47">
        <v>0</v>
      </c>
      <c r="DLQ106" s="46" t="s">
        <v>45</v>
      </c>
      <c r="DLR106" s="46"/>
      <c r="DLS106" s="46"/>
      <c r="DLT106" s="46"/>
      <c r="DLU106" s="46"/>
      <c r="DLV106" s="46"/>
      <c r="DLW106" s="46"/>
      <c r="DLX106" s="47">
        <v>0</v>
      </c>
      <c r="DLY106" s="46" t="s">
        <v>45</v>
      </c>
      <c r="DLZ106" s="46"/>
      <c r="DMA106" s="46"/>
      <c r="DMB106" s="46"/>
      <c r="DMC106" s="46"/>
      <c r="DMD106" s="46"/>
      <c r="DME106" s="46"/>
      <c r="DMF106" s="47">
        <v>0</v>
      </c>
      <c r="DMG106" s="46" t="s">
        <v>45</v>
      </c>
      <c r="DMH106" s="46"/>
      <c r="DMI106" s="46"/>
      <c r="DMJ106" s="46"/>
      <c r="DMK106" s="46"/>
      <c r="DML106" s="46"/>
      <c r="DMM106" s="46"/>
      <c r="DMN106" s="47">
        <v>0</v>
      </c>
      <c r="DMO106" s="46" t="s">
        <v>45</v>
      </c>
      <c r="DMP106" s="46"/>
      <c r="DMQ106" s="46"/>
      <c r="DMR106" s="46"/>
      <c r="DMS106" s="46"/>
      <c r="DMT106" s="46"/>
      <c r="DMU106" s="46"/>
      <c r="DMV106" s="47">
        <v>0</v>
      </c>
      <c r="DMW106" s="46" t="s">
        <v>45</v>
      </c>
      <c r="DMX106" s="46"/>
      <c r="DMY106" s="46"/>
      <c r="DMZ106" s="46"/>
      <c r="DNA106" s="46"/>
      <c r="DNB106" s="46"/>
      <c r="DNC106" s="46"/>
      <c r="DND106" s="47">
        <v>0</v>
      </c>
      <c r="DNE106" s="46" t="s">
        <v>45</v>
      </c>
      <c r="DNF106" s="46"/>
      <c r="DNG106" s="46"/>
      <c r="DNH106" s="46"/>
      <c r="DNI106" s="46"/>
      <c r="DNJ106" s="46"/>
      <c r="DNK106" s="46"/>
      <c r="DNL106" s="47">
        <v>0</v>
      </c>
      <c r="DNM106" s="46" t="s">
        <v>45</v>
      </c>
      <c r="DNN106" s="46"/>
      <c r="DNO106" s="46"/>
      <c r="DNP106" s="46"/>
      <c r="DNQ106" s="46"/>
      <c r="DNR106" s="46"/>
      <c r="DNS106" s="46"/>
      <c r="DNT106" s="47">
        <v>0</v>
      </c>
      <c r="DNU106" s="46" t="s">
        <v>45</v>
      </c>
      <c r="DNV106" s="46"/>
      <c r="DNW106" s="46"/>
      <c r="DNX106" s="46"/>
      <c r="DNY106" s="46"/>
      <c r="DNZ106" s="46"/>
      <c r="DOA106" s="46"/>
      <c r="DOB106" s="47">
        <v>0</v>
      </c>
      <c r="DOC106" s="46" t="s">
        <v>45</v>
      </c>
      <c r="DOD106" s="46"/>
      <c r="DOE106" s="46"/>
      <c r="DOF106" s="46"/>
      <c r="DOG106" s="46"/>
      <c r="DOH106" s="46"/>
      <c r="DOI106" s="46"/>
      <c r="DOJ106" s="47">
        <v>0</v>
      </c>
      <c r="DOK106" s="46" t="s">
        <v>45</v>
      </c>
      <c r="DOL106" s="46"/>
      <c r="DOM106" s="46"/>
      <c r="DON106" s="46"/>
      <c r="DOO106" s="46"/>
      <c r="DOP106" s="46"/>
      <c r="DOQ106" s="46"/>
      <c r="DOR106" s="47">
        <v>0</v>
      </c>
      <c r="DOS106" s="46" t="s">
        <v>45</v>
      </c>
      <c r="DOT106" s="46"/>
      <c r="DOU106" s="46"/>
      <c r="DOV106" s="46"/>
      <c r="DOW106" s="46"/>
      <c r="DOX106" s="46"/>
      <c r="DOY106" s="46"/>
      <c r="DOZ106" s="47">
        <v>0</v>
      </c>
      <c r="DPA106" s="46" t="s">
        <v>45</v>
      </c>
      <c r="DPB106" s="46"/>
      <c r="DPC106" s="46"/>
      <c r="DPD106" s="46"/>
      <c r="DPE106" s="46"/>
      <c r="DPF106" s="46"/>
      <c r="DPG106" s="46"/>
      <c r="DPH106" s="47">
        <v>0</v>
      </c>
      <c r="DPI106" s="46" t="s">
        <v>45</v>
      </c>
      <c r="DPJ106" s="46"/>
      <c r="DPK106" s="46"/>
      <c r="DPL106" s="46"/>
      <c r="DPM106" s="46"/>
      <c r="DPN106" s="46"/>
      <c r="DPO106" s="46"/>
      <c r="DPP106" s="47">
        <v>0</v>
      </c>
      <c r="DPQ106" s="46" t="s">
        <v>45</v>
      </c>
      <c r="DPR106" s="46"/>
      <c r="DPS106" s="46"/>
      <c r="DPT106" s="46"/>
      <c r="DPU106" s="46"/>
      <c r="DPV106" s="46"/>
      <c r="DPW106" s="46"/>
      <c r="DPX106" s="47">
        <v>0</v>
      </c>
      <c r="DPY106" s="46" t="s">
        <v>45</v>
      </c>
      <c r="DPZ106" s="46"/>
      <c r="DQA106" s="46"/>
      <c r="DQB106" s="46"/>
      <c r="DQC106" s="46"/>
      <c r="DQD106" s="46"/>
      <c r="DQE106" s="46"/>
      <c r="DQF106" s="47">
        <v>0</v>
      </c>
      <c r="DQG106" s="46" t="s">
        <v>45</v>
      </c>
      <c r="DQH106" s="46"/>
      <c r="DQI106" s="46"/>
      <c r="DQJ106" s="46"/>
      <c r="DQK106" s="46"/>
      <c r="DQL106" s="46"/>
      <c r="DQM106" s="46"/>
      <c r="DQN106" s="47">
        <v>0</v>
      </c>
      <c r="DQO106" s="46" t="s">
        <v>45</v>
      </c>
      <c r="DQP106" s="46"/>
      <c r="DQQ106" s="46"/>
      <c r="DQR106" s="46"/>
      <c r="DQS106" s="46"/>
      <c r="DQT106" s="46"/>
      <c r="DQU106" s="46"/>
      <c r="DQV106" s="47">
        <v>0</v>
      </c>
      <c r="DQW106" s="46" t="s">
        <v>45</v>
      </c>
      <c r="DQX106" s="46"/>
      <c r="DQY106" s="46"/>
      <c r="DQZ106" s="46"/>
      <c r="DRA106" s="46"/>
      <c r="DRB106" s="46"/>
      <c r="DRC106" s="46"/>
      <c r="DRD106" s="47">
        <v>0</v>
      </c>
      <c r="DRE106" s="46" t="s">
        <v>45</v>
      </c>
      <c r="DRF106" s="46"/>
      <c r="DRG106" s="46"/>
      <c r="DRH106" s="46"/>
      <c r="DRI106" s="46"/>
      <c r="DRJ106" s="46"/>
      <c r="DRK106" s="46"/>
      <c r="DRL106" s="47">
        <v>0</v>
      </c>
      <c r="DRM106" s="46" t="s">
        <v>45</v>
      </c>
      <c r="DRN106" s="46"/>
      <c r="DRO106" s="46"/>
      <c r="DRP106" s="46"/>
      <c r="DRQ106" s="46"/>
      <c r="DRR106" s="46"/>
      <c r="DRS106" s="46"/>
      <c r="DRT106" s="47">
        <v>0</v>
      </c>
      <c r="DRU106" s="46" t="s">
        <v>45</v>
      </c>
      <c r="DRV106" s="46"/>
      <c r="DRW106" s="46"/>
      <c r="DRX106" s="46"/>
      <c r="DRY106" s="46"/>
      <c r="DRZ106" s="46"/>
      <c r="DSA106" s="46"/>
      <c r="DSB106" s="47">
        <v>0</v>
      </c>
      <c r="DSC106" s="46" t="s">
        <v>45</v>
      </c>
      <c r="DSD106" s="46"/>
      <c r="DSE106" s="46"/>
      <c r="DSF106" s="46"/>
      <c r="DSG106" s="46"/>
      <c r="DSH106" s="46"/>
      <c r="DSI106" s="46"/>
      <c r="DSJ106" s="47">
        <v>0</v>
      </c>
      <c r="DSK106" s="46" t="s">
        <v>45</v>
      </c>
      <c r="DSL106" s="46"/>
      <c r="DSM106" s="46"/>
      <c r="DSN106" s="46"/>
      <c r="DSO106" s="46"/>
      <c r="DSP106" s="46"/>
      <c r="DSQ106" s="46"/>
      <c r="DSR106" s="47">
        <v>0</v>
      </c>
      <c r="DSS106" s="46" t="s">
        <v>45</v>
      </c>
      <c r="DST106" s="46"/>
      <c r="DSU106" s="46"/>
      <c r="DSV106" s="46"/>
      <c r="DSW106" s="46"/>
      <c r="DSX106" s="46"/>
      <c r="DSY106" s="46"/>
      <c r="DSZ106" s="47">
        <v>0</v>
      </c>
      <c r="DTA106" s="46" t="s">
        <v>45</v>
      </c>
      <c r="DTB106" s="46"/>
      <c r="DTC106" s="46"/>
      <c r="DTD106" s="46"/>
      <c r="DTE106" s="46"/>
      <c r="DTF106" s="46"/>
      <c r="DTG106" s="46"/>
      <c r="DTH106" s="47">
        <v>0</v>
      </c>
      <c r="DTI106" s="46" t="s">
        <v>45</v>
      </c>
      <c r="DTJ106" s="46"/>
      <c r="DTK106" s="46"/>
      <c r="DTL106" s="46"/>
      <c r="DTM106" s="46"/>
      <c r="DTN106" s="46"/>
      <c r="DTO106" s="46"/>
      <c r="DTP106" s="47">
        <v>0</v>
      </c>
      <c r="DTQ106" s="46" t="s">
        <v>45</v>
      </c>
      <c r="DTR106" s="46"/>
      <c r="DTS106" s="46"/>
      <c r="DTT106" s="46"/>
      <c r="DTU106" s="46"/>
      <c r="DTV106" s="46"/>
      <c r="DTW106" s="46"/>
      <c r="DTX106" s="47">
        <v>0</v>
      </c>
      <c r="DTY106" s="46" t="s">
        <v>45</v>
      </c>
      <c r="DTZ106" s="46"/>
      <c r="DUA106" s="46"/>
      <c r="DUB106" s="46"/>
      <c r="DUC106" s="46"/>
      <c r="DUD106" s="46"/>
      <c r="DUE106" s="46"/>
      <c r="DUF106" s="47">
        <v>0</v>
      </c>
      <c r="DUG106" s="46" t="s">
        <v>45</v>
      </c>
      <c r="DUH106" s="46"/>
      <c r="DUI106" s="46"/>
      <c r="DUJ106" s="46"/>
      <c r="DUK106" s="46"/>
      <c r="DUL106" s="46"/>
      <c r="DUM106" s="46"/>
      <c r="DUN106" s="47">
        <v>0</v>
      </c>
      <c r="DUO106" s="46" t="s">
        <v>45</v>
      </c>
      <c r="DUP106" s="46"/>
      <c r="DUQ106" s="46"/>
      <c r="DUR106" s="46"/>
      <c r="DUS106" s="46"/>
      <c r="DUT106" s="46"/>
      <c r="DUU106" s="46"/>
      <c r="DUV106" s="47">
        <v>0</v>
      </c>
      <c r="DUW106" s="46" t="s">
        <v>45</v>
      </c>
      <c r="DUX106" s="46"/>
      <c r="DUY106" s="46"/>
      <c r="DUZ106" s="46"/>
      <c r="DVA106" s="46"/>
      <c r="DVB106" s="46"/>
      <c r="DVC106" s="46"/>
      <c r="DVD106" s="47">
        <v>0</v>
      </c>
      <c r="DVE106" s="46" t="s">
        <v>45</v>
      </c>
      <c r="DVF106" s="46"/>
      <c r="DVG106" s="46"/>
      <c r="DVH106" s="46"/>
      <c r="DVI106" s="46"/>
      <c r="DVJ106" s="46"/>
      <c r="DVK106" s="46"/>
      <c r="DVL106" s="47">
        <v>0</v>
      </c>
      <c r="DVM106" s="46" t="s">
        <v>45</v>
      </c>
      <c r="DVN106" s="46"/>
      <c r="DVO106" s="46"/>
      <c r="DVP106" s="46"/>
      <c r="DVQ106" s="46"/>
      <c r="DVR106" s="46"/>
      <c r="DVS106" s="46"/>
      <c r="DVT106" s="47">
        <v>0</v>
      </c>
      <c r="DVU106" s="46" t="s">
        <v>45</v>
      </c>
      <c r="DVV106" s="46"/>
      <c r="DVW106" s="46"/>
      <c r="DVX106" s="46"/>
      <c r="DVY106" s="46"/>
      <c r="DVZ106" s="46"/>
      <c r="DWA106" s="46"/>
      <c r="DWB106" s="47">
        <v>0</v>
      </c>
      <c r="DWC106" s="46" t="s">
        <v>45</v>
      </c>
      <c r="DWD106" s="46"/>
      <c r="DWE106" s="46"/>
      <c r="DWF106" s="46"/>
      <c r="DWG106" s="46"/>
      <c r="DWH106" s="46"/>
      <c r="DWI106" s="46"/>
      <c r="DWJ106" s="47">
        <v>0</v>
      </c>
      <c r="DWK106" s="46" t="s">
        <v>45</v>
      </c>
      <c r="DWL106" s="46"/>
      <c r="DWM106" s="46"/>
      <c r="DWN106" s="46"/>
      <c r="DWO106" s="46"/>
      <c r="DWP106" s="46"/>
      <c r="DWQ106" s="46"/>
      <c r="DWR106" s="47">
        <v>0</v>
      </c>
      <c r="DWS106" s="46" t="s">
        <v>45</v>
      </c>
      <c r="DWT106" s="46"/>
      <c r="DWU106" s="46"/>
      <c r="DWV106" s="46"/>
      <c r="DWW106" s="46"/>
      <c r="DWX106" s="46"/>
      <c r="DWY106" s="46"/>
      <c r="DWZ106" s="47">
        <v>0</v>
      </c>
      <c r="DXA106" s="46" t="s">
        <v>45</v>
      </c>
      <c r="DXB106" s="46"/>
      <c r="DXC106" s="46"/>
      <c r="DXD106" s="46"/>
      <c r="DXE106" s="46"/>
      <c r="DXF106" s="46"/>
      <c r="DXG106" s="46"/>
      <c r="DXH106" s="47">
        <v>0</v>
      </c>
      <c r="DXI106" s="46" t="s">
        <v>45</v>
      </c>
      <c r="DXJ106" s="46"/>
      <c r="DXK106" s="46"/>
      <c r="DXL106" s="46"/>
      <c r="DXM106" s="46"/>
      <c r="DXN106" s="46"/>
      <c r="DXO106" s="46"/>
      <c r="DXP106" s="47">
        <v>0</v>
      </c>
      <c r="DXQ106" s="46" t="s">
        <v>45</v>
      </c>
      <c r="DXR106" s="46"/>
      <c r="DXS106" s="46"/>
      <c r="DXT106" s="46"/>
      <c r="DXU106" s="46"/>
      <c r="DXV106" s="46"/>
      <c r="DXW106" s="46"/>
      <c r="DXX106" s="47">
        <v>0</v>
      </c>
      <c r="DXY106" s="46" t="s">
        <v>45</v>
      </c>
      <c r="DXZ106" s="46"/>
      <c r="DYA106" s="46"/>
      <c r="DYB106" s="46"/>
      <c r="DYC106" s="46"/>
      <c r="DYD106" s="46"/>
      <c r="DYE106" s="46"/>
      <c r="DYF106" s="47">
        <v>0</v>
      </c>
      <c r="DYG106" s="46" t="s">
        <v>45</v>
      </c>
      <c r="DYH106" s="46"/>
      <c r="DYI106" s="46"/>
      <c r="DYJ106" s="46"/>
      <c r="DYK106" s="46"/>
      <c r="DYL106" s="46"/>
      <c r="DYM106" s="46"/>
      <c r="DYN106" s="47">
        <v>0</v>
      </c>
      <c r="DYO106" s="46" t="s">
        <v>45</v>
      </c>
      <c r="DYP106" s="46"/>
      <c r="DYQ106" s="46"/>
      <c r="DYR106" s="46"/>
      <c r="DYS106" s="46"/>
      <c r="DYT106" s="46"/>
      <c r="DYU106" s="46"/>
      <c r="DYV106" s="47">
        <v>0</v>
      </c>
      <c r="DYW106" s="46" t="s">
        <v>45</v>
      </c>
      <c r="DYX106" s="46"/>
      <c r="DYY106" s="46"/>
      <c r="DYZ106" s="46"/>
      <c r="DZA106" s="46"/>
      <c r="DZB106" s="46"/>
      <c r="DZC106" s="46"/>
      <c r="DZD106" s="47">
        <v>0</v>
      </c>
      <c r="DZE106" s="46" t="s">
        <v>45</v>
      </c>
      <c r="DZF106" s="46"/>
      <c r="DZG106" s="46"/>
      <c r="DZH106" s="46"/>
      <c r="DZI106" s="46"/>
      <c r="DZJ106" s="46"/>
      <c r="DZK106" s="46"/>
      <c r="DZL106" s="47">
        <v>0</v>
      </c>
      <c r="DZM106" s="46" t="s">
        <v>45</v>
      </c>
      <c r="DZN106" s="46"/>
      <c r="DZO106" s="46"/>
      <c r="DZP106" s="46"/>
      <c r="DZQ106" s="46"/>
      <c r="DZR106" s="46"/>
      <c r="DZS106" s="46"/>
      <c r="DZT106" s="47">
        <v>0</v>
      </c>
      <c r="DZU106" s="46" t="s">
        <v>45</v>
      </c>
      <c r="DZV106" s="46"/>
      <c r="DZW106" s="46"/>
      <c r="DZX106" s="46"/>
      <c r="DZY106" s="46"/>
      <c r="DZZ106" s="46"/>
      <c r="EAA106" s="46"/>
      <c r="EAB106" s="47">
        <v>0</v>
      </c>
      <c r="EAC106" s="46" t="s">
        <v>45</v>
      </c>
      <c r="EAD106" s="46"/>
      <c r="EAE106" s="46"/>
      <c r="EAF106" s="46"/>
      <c r="EAG106" s="46"/>
      <c r="EAH106" s="46"/>
      <c r="EAI106" s="46"/>
      <c r="EAJ106" s="47">
        <v>0</v>
      </c>
      <c r="EAK106" s="46" t="s">
        <v>45</v>
      </c>
      <c r="EAL106" s="46"/>
      <c r="EAM106" s="46"/>
      <c r="EAN106" s="46"/>
      <c r="EAO106" s="46"/>
      <c r="EAP106" s="46"/>
      <c r="EAQ106" s="46"/>
      <c r="EAR106" s="47">
        <v>0</v>
      </c>
      <c r="EAS106" s="46" t="s">
        <v>45</v>
      </c>
      <c r="EAT106" s="46"/>
      <c r="EAU106" s="46"/>
      <c r="EAV106" s="46"/>
      <c r="EAW106" s="46"/>
      <c r="EAX106" s="46"/>
      <c r="EAY106" s="46"/>
      <c r="EAZ106" s="47">
        <v>0</v>
      </c>
      <c r="EBA106" s="46" t="s">
        <v>45</v>
      </c>
      <c r="EBB106" s="46"/>
      <c r="EBC106" s="46"/>
      <c r="EBD106" s="46"/>
      <c r="EBE106" s="46"/>
      <c r="EBF106" s="46"/>
      <c r="EBG106" s="46"/>
      <c r="EBH106" s="47">
        <v>0</v>
      </c>
      <c r="EBI106" s="46" t="s">
        <v>45</v>
      </c>
      <c r="EBJ106" s="46"/>
      <c r="EBK106" s="46"/>
      <c r="EBL106" s="46"/>
      <c r="EBM106" s="46"/>
      <c r="EBN106" s="46"/>
      <c r="EBO106" s="46"/>
      <c r="EBP106" s="47">
        <v>0</v>
      </c>
      <c r="EBQ106" s="46" t="s">
        <v>45</v>
      </c>
      <c r="EBR106" s="46"/>
      <c r="EBS106" s="46"/>
      <c r="EBT106" s="46"/>
      <c r="EBU106" s="46"/>
      <c r="EBV106" s="46"/>
      <c r="EBW106" s="46"/>
      <c r="EBX106" s="47">
        <v>0</v>
      </c>
      <c r="EBY106" s="46" t="s">
        <v>45</v>
      </c>
      <c r="EBZ106" s="46"/>
      <c r="ECA106" s="46"/>
      <c r="ECB106" s="46"/>
      <c r="ECC106" s="46"/>
      <c r="ECD106" s="46"/>
      <c r="ECE106" s="46"/>
      <c r="ECF106" s="47">
        <v>0</v>
      </c>
      <c r="ECG106" s="46" t="s">
        <v>45</v>
      </c>
      <c r="ECH106" s="46"/>
      <c r="ECI106" s="46"/>
      <c r="ECJ106" s="46"/>
      <c r="ECK106" s="46"/>
      <c r="ECL106" s="46"/>
      <c r="ECM106" s="46"/>
      <c r="ECN106" s="47">
        <v>0</v>
      </c>
      <c r="ECO106" s="46" t="s">
        <v>45</v>
      </c>
      <c r="ECP106" s="46"/>
      <c r="ECQ106" s="46"/>
      <c r="ECR106" s="46"/>
      <c r="ECS106" s="46"/>
      <c r="ECT106" s="46"/>
      <c r="ECU106" s="46"/>
      <c r="ECV106" s="47">
        <v>0</v>
      </c>
      <c r="ECW106" s="46" t="s">
        <v>45</v>
      </c>
      <c r="ECX106" s="46"/>
      <c r="ECY106" s="46"/>
      <c r="ECZ106" s="46"/>
      <c r="EDA106" s="46"/>
      <c r="EDB106" s="46"/>
      <c r="EDC106" s="46"/>
      <c r="EDD106" s="47">
        <v>0</v>
      </c>
      <c r="EDE106" s="46" t="s">
        <v>45</v>
      </c>
      <c r="EDF106" s="46"/>
      <c r="EDG106" s="46"/>
      <c r="EDH106" s="46"/>
      <c r="EDI106" s="46"/>
      <c r="EDJ106" s="46"/>
      <c r="EDK106" s="46"/>
      <c r="EDL106" s="47">
        <v>0</v>
      </c>
      <c r="EDM106" s="46" t="s">
        <v>45</v>
      </c>
      <c r="EDN106" s="46"/>
      <c r="EDO106" s="46"/>
      <c r="EDP106" s="46"/>
      <c r="EDQ106" s="46"/>
      <c r="EDR106" s="46"/>
      <c r="EDS106" s="46"/>
      <c r="EDT106" s="47">
        <v>0</v>
      </c>
      <c r="EDU106" s="46" t="s">
        <v>45</v>
      </c>
      <c r="EDV106" s="46"/>
      <c r="EDW106" s="46"/>
      <c r="EDX106" s="46"/>
      <c r="EDY106" s="46"/>
      <c r="EDZ106" s="46"/>
      <c r="EEA106" s="46"/>
      <c r="EEB106" s="47">
        <v>0</v>
      </c>
      <c r="EEC106" s="46" t="s">
        <v>45</v>
      </c>
      <c r="EED106" s="46"/>
      <c r="EEE106" s="46"/>
      <c r="EEF106" s="46"/>
      <c r="EEG106" s="46"/>
      <c r="EEH106" s="46"/>
      <c r="EEI106" s="46"/>
      <c r="EEJ106" s="47">
        <v>0</v>
      </c>
      <c r="EEK106" s="46" t="s">
        <v>45</v>
      </c>
      <c r="EEL106" s="46"/>
      <c r="EEM106" s="46"/>
      <c r="EEN106" s="46"/>
      <c r="EEO106" s="46"/>
      <c r="EEP106" s="46"/>
      <c r="EEQ106" s="46"/>
      <c r="EER106" s="47">
        <v>0</v>
      </c>
      <c r="EES106" s="46" t="s">
        <v>45</v>
      </c>
      <c r="EET106" s="46"/>
      <c r="EEU106" s="46"/>
      <c r="EEV106" s="46"/>
      <c r="EEW106" s="46"/>
      <c r="EEX106" s="46"/>
      <c r="EEY106" s="46"/>
      <c r="EEZ106" s="47">
        <v>0</v>
      </c>
      <c r="EFA106" s="46" t="s">
        <v>45</v>
      </c>
      <c r="EFB106" s="46"/>
      <c r="EFC106" s="46"/>
      <c r="EFD106" s="46"/>
      <c r="EFE106" s="46"/>
      <c r="EFF106" s="46"/>
      <c r="EFG106" s="46"/>
      <c r="EFH106" s="47">
        <v>0</v>
      </c>
      <c r="EFI106" s="46" t="s">
        <v>45</v>
      </c>
      <c r="EFJ106" s="46"/>
      <c r="EFK106" s="46"/>
      <c r="EFL106" s="46"/>
      <c r="EFM106" s="46"/>
      <c r="EFN106" s="46"/>
      <c r="EFO106" s="46"/>
      <c r="EFP106" s="47">
        <v>0</v>
      </c>
      <c r="EFQ106" s="46" t="s">
        <v>45</v>
      </c>
      <c r="EFR106" s="46"/>
      <c r="EFS106" s="46"/>
      <c r="EFT106" s="46"/>
      <c r="EFU106" s="46"/>
      <c r="EFV106" s="46"/>
      <c r="EFW106" s="46"/>
      <c r="EFX106" s="47">
        <v>0</v>
      </c>
      <c r="EFY106" s="46" t="s">
        <v>45</v>
      </c>
      <c r="EFZ106" s="46"/>
      <c r="EGA106" s="46"/>
      <c r="EGB106" s="46"/>
      <c r="EGC106" s="46"/>
      <c r="EGD106" s="46"/>
      <c r="EGE106" s="46"/>
      <c r="EGF106" s="47">
        <v>0</v>
      </c>
      <c r="EGG106" s="46" t="s">
        <v>45</v>
      </c>
      <c r="EGH106" s="46"/>
      <c r="EGI106" s="46"/>
      <c r="EGJ106" s="46"/>
      <c r="EGK106" s="46"/>
      <c r="EGL106" s="46"/>
      <c r="EGM106" s="46"/>
      <c r="EGN106" s="47">
        <v>0</v>
      </c>
      <c r="EGO106" s="46" t="s">
        <v>45</v>
      </c>
      <c r="EGP106" s="46"/>
      <c r="EGQ106" s="46"/>
      <c r="EGR106" s="46"/>
      <c r="EGS106" s="46"/>
      <c r="EGT106" s="46"/>
      <c r="EGU106" s="46"/>
      <c r="EGV106" s="47">
        <v>0</v>
      </c>
      <c r="EGW106" s="46" t="s">
        <v>45</v>
      </c>
      <c r="EGX106" s="46"/>
      <c r="EGY106" s="46"/>
      <c r="EGZ106" s="46"/>
      <c r="EHA106" s="46"/>
      <c r="EHB106" s="46"/>
      <c r="EHC106" s="46"/>
      <c r="EHD106" s="47">
        <v>0</v>
      </c>
      <c r="EHE106" s="46" t="s">
        <v>45</v>
      </c>
      <c r="EHF106" s="46"/>
      <c r="EHG106" s="46"/>
      <c r="EHH106" s="46"/>
      <c r="EHI106" s="46"/>
      <c r="EHJ106" s="46"/>
      <c r="EHK106" s="46"/>
      <c r="EHL106" s="47">
        <v>0</v>
      </c>
      <c r="EHM106" s="46" t="s">
        <v>45</v>
      </c>
      <c r="EHN106" s="46"/>
      <c r="EHO106" s="46"/>
      <c r="EHP106" s="46"/>
      <c r="EHQ106" s="46"/>
      <c r="EHR106" s="46"/>
      <c r="EHS106" s="46"/>
      <c r="EHT106" s="47">
        <v>0</v>
      </c>
      <c r="EHU106" s="46" t="s">
        <v>45</v>
      </c>
      <c r="EHV106" s="46"/>
      <c r="EHW106" s="46"/>
      <c r="EHX106" s="46"/>
      <c r="EHY106" s="46"/>
      <c r="EHZ106" s="46"/>
      <c r="EIA106" s="46"/>
      <c r="EIB106" s="47">
        <v>0</v>
      </c>
      <c r="EIC106" s="46" t="s">
        <v>45</v>
      </c>
      <c r="EID106" s="46"/>
      <c r="EIE106" s="46"/>
      <c r="EIF106" s="46"/>
      <c r="EIG106" s="46"/>
      <c r="EIH106" s="46"/>
      <c r="EII106" s="46"/>
      <c r="EIJ106" s="47">
        <v>0</v>
      </c>
      <c r="EIK106" s="46" t="s">
        <v>45</v>
      </c>
      <c r="EIL106" s="46"/>
      <c r="EIM106" s="46"/>
      <c r="EIN106" s="46"/>
      <c r="EIO106" s="46"/>
      <c r="EIP106" s="46"/>
      <c r="EIQ106" s="46"/>
      <c r="EIR106" s="47">
        <v>0</v>
      </c>
      <c r="EIS106" s="46" t="s">
        <v>45</v>
      </c>
      <c r="EIT106" s="46"/>
      <c r="EIU106" s="46"/>
      <c r="EIV106" s="46"/>
      <c r="EIW106" s="46"/>
      <c r="EIX106" s="46"/>
      <c r="EIY106" s="46"/>
      <c r="EIZ106" s="47">
        <v>0</v>
      </c>
      <c r="EJA106" s="46" t="s">
        <v>45</v>
      </c>
      <c r="EJB106" s="46"/>
      <c r="EJC106" s="46"/>
      <c r="EJD106" s="46"/>
      <c r="EJE106" s="46"/>
      <c r="EJF106" s="46"/>
      <c r="EJG106" s="46"/>
      <c r="EJH106" s="47">
        <v>0</v>
      </c>
      <c r="EJI106" s="46" t="s">
        <v>45</v>
      </c>
      <c r="EJJ106" s="46"/>
      <c r="EJK106" s="46"/>
      <c r="EJL106" s="46"/>
      <c r="EJM106" s="46"/>
      <c r="EJN106" s="46"/>
      <c r="EJO106" s="46"/>
      <c r="EJP106" s="47">
        <v>0</v>
      </c>
      <c r="EJQ106" s="46" t="s">
        <v>45</v>
      </c>
      <c r="EJR106" s="46"/>
      <c r="EJS106" s="46"/>
      <c r="EJT106" s="46"/>
      <c r="EJU106" s="46"/>
      <c r="EJV106" s="46"/>
      <c r="EJW106" s="46"/>
      <c r="EJX106" s="47">
        <v>0</v>
      </c>
      <c r="EJY106" s="46" t="s">
        <v>45</v>
      </c>
      <c r="EJZ106" s="46"/>
      <c r="EKA106" s="46"/>
      <c r="EKB106" s="46"/>
      <c r="EKC106" s="46"/>
      <c r="EKD106" s="46"/>
      <c r="EKE106" s="46"/>
      <c r="EKF106" s="47">
        <v>0</v>
      </c>
      <c r="EKG106" s="46" t="s">
        <v>45</v>
      </c>
      <c r="EKH106" s="46"/>
      <c r="EKI106" s="46"/>
      <c r="EKJ106" s="46"/>
      <c r="EKK106" s="46"/>
      <c r="EKL106" s="46"/>
      <c r="EKM106" s="46"/>
      <c r="EKN106" s="47">
        <v>0</v>
      </c>
      <c r="EKO106" s="46" t="s">
        <v>45</v>
      </c>
      <c r="EKP106" s="46"/>
      <c r="EKQ106" s="46"/>
      <c r="EKR106" s="46"/>
      <c r="EKS106" s="46"/>
      <c r="EKT106" s="46"/>
      <c r="EKU106" s="46"/>
      <c r="EKV106" s="47">
        <v>0</v>
      </c>
      <c r="EKW106" s="46" t="s">
        <v>45</v>
      </c>
      <c r="EKX106" s="46"/>
      <c r="EKY106" s="46"/>
      <c r="EKZ106" s="46"/>
      <c r="ELA106" s="46"/>
      <c r="ELB106" s="46"/>
      <c r="ELC106" s="46"/>
      <c r="ELD106" s="47">
        <v>0</v>
      </c>
      <c r="ELE106" s="46" t="s">
        <v>45</v>
      </c>
      <c r="ELF106" s="46"/>
      <c r="ELG106" s="46"/>
      <c r="ELH106" s="46"/>
      <c r="ELI106" s="46"/>
      <c r="ELJ106" s="46"/>
      <c r="ELK106" s="46"/>
      <c r="ELL106" s="47">
        <v>0</v>
      </c>
      <c r="ELM106" s="46" t="s">
        <v>45</v>
      </c>
      <c r="ELN106" s="46"/>
      <c r="ELO106" s="46"/>
      <c r="ELP106" s="46"/>
      <c r="ELQ106" s="46"/>
      <c r="ELR106" s="46"/>
      <c r="ELS106" s="46"/>
      <c r="ELT106" s="47">
        <v>0</v>
      </c>
      <c r="ELU106" s="46" t="s">
        <v>45</v>
      </c>
      <c r="ELV106" s="46"/>
      <c r="ELW106" s="46"/>
      <c r="ELX106" s="46"/>
      <c r="ELY106" s="46"/>
      <c r="ELZ106" s="46"/>
      <c r="EMA106" s="46"/>
      <c r="EMB106" s="47">
        <v>0</v>
      </c>
      <c r="EMC106" s="46" t="s">
        <v>45</v>
      </c>
      <c r="EMD106" s="46"/>
      <c r="EME106" s="46"/>
      <c r="EMF106" s="46"/>
      <c r="EMG106" s="46"/>
      <c r="EMH106" s="46"/>
      <c r="EMI106" s="46"/>
      <c r="EMJ106" s="47">
        <v>0</v>
      </c>
      <c r="EMK106" s="46" t="s">
        <v>45</v>
      </c>
      <c r="EML106" s="46"/>
      <c r="EMM106" s="46"/>
      <c r="EMN106" s="46"/>
      <c r="EMO106" s="46"/>
      <c r="EMP106" s="46"/>
      <c r="EMQ106" s="46"/>
      <c r="EMR106" s="47">
        <v>0</v>
      </c>
      <c r="EMS106" s="46" t="s">
        <v>45</v>
      </c>
      <c r="EMT106" s="46"/>
      <c r="EMU106" s="46"/>
      <c r="EMV106" s="46"/>
      <c r="EMW106" s="46"/>
      <c r="EMX106" s="46"/>
      <c r="EMY106" s="46"/>
      <c r="EMZ106" s="47">
        <v>0</v>
      </c>
      <c r="ENA106" s="46" t="s">
        <v>45</v>
      </c>
      <c r="ENB106" s="46"/>
      <c r="ENC106" s="46"/>
      <c r="END106" s="46"/>
      <c r="ENE106" s="46"/>
      <c r="ENF106" s="46"/>
      <c r="ENG106" s="46"/>
      <c r="ENH106" s="47">
        <v>0</v>
      </c>
      <c r="ENI106" s="46" t="s">
        <v>45</v>
      </c>
      <c r="ENJ106" s="46"/>
      <c r="ENK106" s="46"/>
      <c r="ENL106" s="46"/>
      <c r="ENM106" s="46"/>
      <c r="ENN106" s="46"/>
      <c r="ENO106" s="46"/>
      <c r="ENP106" s="47">
        <v>0</v>
      </c>
      <c r="ENQ106" s="46" t="s">
        <v>45</v>
      </c>
      <c r="ENR106" s="46"/>
      <c r="ENS106" s="46"/>
      <c r="ENT106" s="46"/>
      <c r="ENU106" s="46"/>
      <c r="ENV106" s="46"/>
      <c r="ENW106" s="46"/>
      <c r="ENX106" s="47">
        <v>0</v>
      </c>
      <c r="ENY106" s="46" t="s">
        <v>45</v>
      </c>
      <c r="ENZ106" s="46"/>
      <c r="EOA106" s="46"/>
      <c r="EOB106" s="46"/>
      <c r="EOC106" s="46"/>
      <c r="EOD106" s="46"/>
      <c r="EOE106" s="46"/>
      <c r="EOF106" s="47">
        <v>0</v>
      </c>
      <c r="EOG106" s="46" t="s">
        <v>45</v>
      </c>
      <c r="EOH106" s="46"/>
      <c r="EOI106" s="46"/>
      <c r="EOJ106" s="46"/>
      <c r="EOK106" s="46"/>
      <c r="EOL106" s="46"/>
      <c r="EOM106" s="46"/>
      <c r="EON106" s="47">
        <v>0</v>
      </c>
      <c r="EOO106" s="46" t="s">
        <v>45</v>
      </c>
      <c r="EOP106" s="46"/>
      <c r="EOQ106" s="46"/>
      <c r="EOR106" s="46"/>
      <c r="EOS106" s="46"/>
      <c r="EOT106" s="46"/>
      <c r="EOU106" s="46"/>
      <c r="EOV106" s="47">
        <v>0</v>
      </c>
      <c r="EOW106" s="46" t="s">
        <v>45</v>
      </c>
      <c r="EOX106" s="46"/>
      <c r="EOY106" s="46"/>
      <c r="EOZ106" s="46"/>
      <c r="EPA106" s="46"/>
      <c r="EPB106" s="46"/>
      <c r="EPC106" s="46"/>
      <c r="EPD106" s="47">
        <v>0</v>
      </c>
      <c r="EPE106" s="46" t="s">
        <v>45</v>
      </c>
      <c r="EPF106" s="46"/>
      <c r="EPG106" s="46"/>
      <c r="EPH106" s="46"/>
      <c r="EPI106" s="46"/>
      <c r="EPJ106" s="46"/>
      <c r="EPK106" s="46"/>
      <c r="EPL106" s="47">
        <v>0</v>
      </c>
      <c r="EPM106" s="46" t="s">
        <v>45</v>
      </c>
      <c r="EPN106" s="46"/>
      <c r="EPO106" s="46"/>
      <c r="EPP106" s="46"/>
      <c r="EPQ106" s="46"/>
      <c r="EPR106" s="46"/>
      <c r="EPS106" s="46"/>
      <c r="EPT106" s="47">
        <v>0</v>
      </c>
      <c r="EPU106" s="46" t="s">
        <v>45</v>
      </c>
      <c r="EPV106" s="46"/>
      <c r="EPW106" s="46"/>
      <c r="EPX106" s="46"/>
      <c r="EPY106" s="46"/>
      <c r="EPZ106" s="46"/>
      <c r="EQA106" s="46"/>
      <c r="EQB106" s="47">
        <v>0</v>
      </c>
      <c r="EQC106" s="46" t="s">
        <v>45</v>
      </c>
      <c r="EQD106" s="46"/>
      <c r="EQE106" s="46"/>
      <c r="EQF106" s="46"/>
      <c r="EQG106" s="46"/>
      <c r="EQH106" s="46"/>
      <c r="EQI106" s="46"/>
      <c r="EQJ106" s="47">
        <v>0</v>
      </c>
      <c r="EQK106" s="46" t="s">
        <v>45</v>
      </c>
      <c r="EQL106" s="46"/>
      <c r="EQM106" s="46"/>
      <c r="EQN106" s="46"/>
      <c r="EQO106" s="46"/>
      <c r="EQP106" s="46"/>
      <c r="EQQ106" s="46"/>
      <c r="EQR106" s="47">
        <v>0</v>
      </c>
      <c r="EQS106" s="46" t="s">
        <v>45</v>
      </c>
      <c r="EQT106" s="46"/>
      <c r="EQU106" s="46"/>
      <c r="EQV106" s="46"/>
      <c r="EQW106" s="46"/>
      <c r="EQX106" s="46"/>
      <c r="EQY106" s="46"/>
      <c r="EQZ106" s="47">
        <v>0</v>
      </c>
      <c r="ERA106" s="46" t="s">
        <v>45</v>
      </c>
      <c r="ERB106" s="46"/>
      <c r="ERC106" s="46"/>
      <c r="ERD106" s="46"/>
      <c r="ERE106" s="46"/>
      <c r="ERF106" s="46"/>
      <c r="ERG106" s="46"/>
      <c r="ERH106" s="47">
        <v>0</v>
      </c>
      <c r="ERI106" s="46" t="s">
        <v>45</v>
      </c>
      <c r="ERJ106" s="46"/>
      <c r="ERK106" s="46"/>
      <c r="ERL106" s="46"/>
      <c r="ERM106" s="46"/>
      <c r="ERN106" s="46"/>
      <c r="ERO106" s="46"/>
      <c r="ERP106" s="47">
        <v>0</v>
      </c>
      <c r="ERQ106" s="46" t="s">
        <v>45</v>
      </c>
      <c r="ERR106" s="46"/>
      <c r="ERS106" s="46"/>
      <c r="ERT106" s="46"/>
      <c r="ERU106" s="46"/>
      <c r="ERV106" s="46"/>
      <c r="ERW106" s="46"/>
      <c r="ERX106" s="47">
        <v>0</v>
      </c>
      <c r="ERY106" s="46" t="s">
        <v>45</v>
      </c>
      <c r="ERZ106" s="46"/>
      <c r="ESA106" s="46"/>
      <c r="ESB106" s="46"/>
      <c r="ESC106" s="46"/>
      <c r="ESD106" s="46"/>
      <c r="ESE106" s="46"/>
      <c r="ESF106" s="47">
        <v>0</v>
      </c>
      <c r="ESG106" s="46" t="s">
        <v>45</v>
      </c>
      <c r="ESH106" s="46"/>
      <c r="ESI106" s="46"/>
      <c r="ESJ106" s="46"/>
      <c r="ESK106" s="46"/>
      <c r="ESL106" s="46"/>
      <c r="ESM106" s="46"/>
      <c r="ESN106" s="47">
        <v>0</v>
      </c>
      <c r="ESO106" s="46" t="s">
        <v>45</v>
      </c>
      <c r="ESP106" s="46"/>
      <c r="ESQ106" s="46"/>
      <c r="ESR106" s="46"/>
      <c r="ESS106" s="46"/>
      <c r="EST106" s="46"/>
      <c r="ESU106" s="46"/>
      <c r="ESV106" s="47">
        <v>0</v>
      </c>
      <c r="ESW106" s="46" t="s">
        <v>45</v>
      </c>
      <c r="ESX106" s="46"/>
      <c r="ESY106" s="46"/>
      <c r="ESZ106" s="46"/>
      <c r="ETA106" s="46"/>
      <c r="ETB106" s="46"/>
      <c r="ETC106" s="46"/>
      <c r="ETD106" s="47">
        <v>0</v>
      </c>
      <c r="ETE106" s="46" t="s">
        <v>45</v>
      </c>
      <c r="ETF106" s="46"/>
      <c r="ETG106" s="46"/>
      <c r="ETH106" s="46"/>
      <c r="ETI106" s="46"/>
      <c r="ETJ106" s="46"/>
      <c r="ETK106" s="46"/>
      <c r="ETL106" s="47">
        <v>0</v>
      </c>
      <c r="ETM106" s="46" t="s">
        <v>45</v>
      </c>
      <c r="ETN106" s="46"/>
      <c r="ETO106" s="46"/>
      <c r="ETP106" s="46"/>
      <c r="ETQ106" s="46"/>
      <c r="ETR106" s="46"/>
      <c r="ETS106" s="46"/>
      <c r="ETT106" s="47">
        <v>0</v>
      </c>
      <c r="ETU106" s="46" t="s">
        <v>45</v>
      </c>
      <c r="ETV106" s="46"/>
      <c r="ETW106" s="46"/>
      <c r="ETX106" s="46"/>
      <c r="ETY106" s="46"/>
      <c r="ETZ106" s="46"/>
      <c r="EUA106" s="46"/>
      <c r="EUB106" s="47">
        <v>0</v>
      </c>
      <c r="EUC106" s="46" t="s">
        <v>45</v>
      </c>
      <c r="EUD106" s="46"/>
      <c r="EUE106" s="46"/>
      <c r="EUF106" s="46"/>
      <c r="EUG106" s="46"/>
      <c r="EUH106" s="46"/>
      <c r="EUI106" s="46"/>
      <c r="EUJ106" s="47">
        <v>0</v>
      </c>
      <c r="EUK106" s="46" t="s">
        <v>45</v>
      </c>
      <c r="EUL106" s="46"/>
      <c r="EUM106" s="46"/>
      <c r="EUN106" s="46"/>
      <c r="EUO106" s="46"/>
      <c r="EUP106" s="46"/>
      <c r="EUQ106" s="46"/>
      <c r="EUR106" s="47">
        <v>0</v>
      </c>
      <c r="EUS106" s="46" t="s">
        <v>45</v>
      </c>
      <c r="EUT106" s="46"/>
      <c r="EUU106" s="46"/>
      <c r="EUV106" s="46"/>
      <c r="EUW106" s="46"/>
      <c r="EUX106" s="46"/>
      <c r="EUY106" s="46"/>
      <c r="EUZ106" s="47">
        <v>0</v>
      </c>
      <c r="EVA106" s="46" t="s">
        <v>45</v>
      </c>
      <c r="EVB106" s="46"/>
      <c r="EVC106" s="46"/>
      <c r="EVD106" s="46"/>
      <c r="EVE106" s="46"/>
      <c r="EVF106" s="46"/>
      <c r="EVG106" s="46"/>
      <c r="EVH106" s="47">
        <v>0</v>
      </c>
      <c r="EVI106" s="46" t="s">
        <v>45</v>
      </c>
      <c r="EVJ106" s="46"/>
      <c r="EVK106" s="46"/>
      <c r="EVL106" s="46"/>
      <c r="EVM106" s="46"/>
      <c r="EVN106" s="46"/>
      <c r="EVO106" s="46"/>
      <c r="EVP106" s="47">
        <v>0</v>
      </c>
      <c r="EVQ106" s="46" t="s">
        <v>45</v>
      </c>
      <c r="EVR106" s="46"/>
      <c r="EVS106" s="46"/>
      <c r="EVT106" s="46"/>
      <c r="EVU106" s="46"/>
      <c r="EVV106" s="46"/>
      <c r="EVW106" s="46"/>
      <c r="EVX106" s="47">
        <v>0</v>
      </c>
      <c r="EVY106" s="46" t="s">
        <v>45</v>
      </c>
      <c r="EVZ106" s="46"/>
      <c r="EWA106" s="46"/>
      <c r="EWB106" s="46"/>
      <c r="EWC106" s="46"/>
      <c r="EWD106" s="46"/>
      <c r="EWE106" s="46"/>
      <c r="EWF106" s="47">
        <v>0</v>
      </c>
      <c r="EWG106" s="46" t="s">
        <v>45</v>
      </c>
      <c r="EWH106" s="46"/>
      <c r="EWI106" s="46"/>
      <c r="EWJ106" s="46"/>
      <c r="EWK106" s="46"/>
      <c r="EWL106" s="46"/>
      <c r="EWM106" s="46"/>
      <c r="EWN106" s="47">
        <v>0</v>
      </c>
      <c r="EWO106" s="46" t="s">
        <v>45</v>
      </c>
      <c r="EWP106" s="46"/>
      <c r="EWQ106" s="46"/>
      <c r="EWR106" s="46"/>
      <c r="EWS106" s="46"/>
      <c r="EWT106" s="46"/>
      <c r="EWU106" s="46"/>
      <c r="EWV106" s="47">
        <v>0</v>
      </c>
      <c r="EWW106" s="46" t="s">
        <v>45</v>
      </c>
      <c r="EWX106" s="46"/>
      <c r="EWY106" s="46"/>
      <c r="EWZ106" s="46"/>
      <c r="EXA106" s="46"/>
      <c r="EXB106" s="46"/>
      <c r="EXC106" s="46"/>
      <c r="EXD106" s="47">
        <v>0</v>
      </c>
      <c r="EXE106" s="46" t="s">
        <v>45</v>
      </c>
      <c r="EXF106" s="46"/>
      <c r="EXG106" s="46"/>
      <c r="EXH106" s="46"/>
      <c r="EXI106" s="46"/>
      <c r="EXJ106" s="46"/>
      <c r="EXK106" s="46"/>
      <c r="EXL106" s="47">
        <v>0</v>
      </c>
      <c r="EXM106" s="46" t="s">
        <v>45</v>
      </c>
      <c r="EXN106" s="46"/>
      <c r="EXO106" s="46"/>
      <c r="EXP106" s="46"/>
      <c r="EXQ106" s="46"/>
      <c r="EXR106" s="46"/>
      <c r="EXS106" s="46"/>
      <c r="EXT106" s="47">
        <v>0</v>
      </c>
      <c r="EXU106" s="46" t="s">
        <v>45</v>
      </c>
      <c r="EXV106" s="46"/>
      <c r="EXW106" s="46"/>
      <c r="EXX106" s="46"/>
      <c r="EXY106" s="46"/>
      <c r="EXZ106" s="46"/>
      <c r="EYA106" s="46"/>
      <c r="EYB106" s="47">
        <v>0</v>
      </c>
      <c r="EYC106" s="46" t="s">
        <v>45</v>
      </c>
      <c r="EYD106" s="46"/>
      <c r="EYE106" s="46"/>
      <c r="EYF106" s="46"/>
      <c r="EYG106" s="46"/>
      <c r="EYH106" s="46"/>
      <c r="EYI106" s="46"/>
      <c r="EYJ106" s="47">
        <v>0</v>
      </c>
      <c r="EYK106" s="46" t="s">
        <v>45</v>
      </c>
      <c r="EYL106" s="46"/>
      <c r="EYM106" s="46"/>
      <c r="EYN106" s="46"/>
      <c r="EYO106" s="46"/>
      <c r="EYP106" s="46"/>
      <c r="EYQ106" s="46"/>
      <c r="EYR106" s="47">
        <v>0</v>
      </c>
      <c r="EYS106" s="46" t="s">
        <v>45</v>
      </c>
      <c r="EYT106" s="46"/>
      <c r="EYU106" s="46"/>
      <c r="EYV106" s="46"/>
      <c r="EYW106" s="46"/>
      <c r="EYX106" s="46"/>
      <c r="EYY106" s="46"/>
      <c r="EYZ106" s="47">
        <v>0</v>
      </c>
      <c r="EZA106" s="46" t="s">
        <v>45</v>
      </c>
      <c r="EZB106" s="46"/>
      <c r="EZC106" s="46"/>
      <c r="EZD106" s="46"/>
      <c r="EZE106" s="46"/>
      <c r="EZF106" s="46"/>
      <c r="EZG106" s="46"/>
      <c r="EZH106" s="47">
        <v>0</v>
      </c>
      <c r="EZI106" s="46" t="s">
        <v>45</v>
      </c>
      <c r="EZJ106" s="46"/>
      <c r="EZK106" s="46"/>
      <c r="EZL106" s="46"/>
      <c r="EZM106" s="46"/>
      <c r="EZN106" s="46"/>
      <c r="EZO106" s="46"/>
      <c r="EZP106" s="47">
        <v>0</v>
      </c>
      <c r="EZQ106" s="46" t="s">
        <v>45</v>
      </c>
      <c r="EZR106" s="46"/>
      <c r="EZS106" s="46"/>
      <c r="EZT106" s="46"/>
      <c r="EZU106" s="46"/>
      <c r="EZV106" s="46"/>
      <c r="EZW106" s="46"/>
      <c r="EZX106" s="47">
        <v>0</v>
      </c>
      <c r="EZY106" s="46" t="s">
        <v>45</v>
      </c>
      <c r="EZZ106" s="46"/>
      <c r="FAA106" s="46"/>
      <c r="FAB106" s="46"/>
      <c r="FAC106" s="46"/>
      <c r="FAD106" s="46"/>
      <c r="FAE106" s="46"/>
      <c r="FAF106" s="47">
        <v>0</v>
      </c>
      <c r="FAG106" s="46" t="s">
        <v>45</v>
      </c>
      <c r="FAH106" s="46"/>
      <c r="FAI106" s="46"/>
      <c r="FAJ106" s="46"/>
      <c r="FAK106" s="46"/>
      <c r="FAL106" s="46"/>
      <c r="FAM106" s="46"/>
      <c r="FAN106" s="47">
        <v>0</v>
      </c>
      <c r="FAO106" s="46" t="s">
        <v>45</v>
      </c>
      <c r="FAP106" s="46"/>
      <c r="FAQ106" s="46"/>
      <c r="FAR106" s="46"/>
      <c r="FAS106" s="46"/>
      <c r="FAT106" s="46"/>
      <c r="FAU106" s="46"/>
      <c r="FAV106" s="47">
        <v>0</v>
      </c>
      <c r="FAW106" s="46" t="s">
        <v>45</v>
      </c>
      <c r="FAX106" s="46"/>
      <c r="FAY106" s="46"/>
      <c r="FAZ106" s="46"/>
      <c r="FBA106" s="46"/>
      <c r="FBB106" s="46"/>
      <c r="FBC106" s="46"/>
      <c r="FBD106" s="47">
        <v>0</v>
      </c>
      <c r="FBE106" s="46" t="s">
        <v>45</v>
      </c>
      <c r="FBF106" s="46"/>
      <c r="FBG106" s="46"/>
      <c r="FBH106" s="46"/>
      <c r="FBI106" s="46"/>
      <c r="FBJ106" s="46"/>
      <c r="FBK106" s="46"/>
      <c r="FBL106" s="47">
        <v>0</v>
      </c>
      <c r="FBM106" s="46" t="s">
        <v>45</v>
      </c>
      <c r="FBN106" s="46"/>
      <c r="FBO106" s="46"/>
      <c r="FBP106" s="46"/>
      <c r="FBQ106" s="46"/>
      <c r="FBR106" s="46"/>
      <c r="FBS106" s="46"/>
      <c r="FBT106" s="47">
        <v>0</v>
      </c>
      <c r="FBU106" s="46" t="s">
        <v>45</v>
      </c>
      <c r="FBV106" s="46"/>
      <c r="FBW106" s="46"/>
      <c r="FBX106" s="46"/>
      <c r="FBY106" s="46"/>
      <c r="FBZ106" s="46"/>
      <c r="FCA106" s="46"/>
      <c r="FCB106" s="47">
        <v>0</v>
      </c>
      <c r="FCC106" s="46" t="s">
        <v>45</v>
      </c>
      <c r="FCD106" s="46"/>
      <c r="FCE106" s="46"/>
      <c r="FCF106" s="46"/>
      <c r="FCG106" s="46"/>
      <c r="FCH106" s="46"/>
      <c r="FCI106" s="46"/>
      <c r="FCJ106" s="47">
        <v>0</v>
      </c>
      <c r="FCK106" s="46" t="s">
        <v>45</v>
      </c>
      <c r="FCL106" s="46"/>
      <c r="FCM106" s="46"/>
      <c r="FCN106" s="46"/>
      <c r="FCO106" s="46"/>
      <c r="FCP106" s="46"/>
      <c r="FCQ106" s="46"/>
      <c r="FCR106" s="47">
        <v>0</v>
      </c>
      <c r="FCS106" s="46" t="s">
        <v>45</v>
      </c>
      <c r="FCT106" s="46"/>
      <c r="FCU106" s="46"/>
      <c r="FCV106" s="46"/>
      <c r="FCW106" s="46"/>
      <c r="FCX106" s="46"/>
      <c r="FCY106" s="46"/>
      <c r="FCZ106" s="47">
        <v>0</v>
      </c>
      <c r="FDA106" s="46" t="s">
        <v>45</v>
      </c>
      <c r="FDB106" s="46"/>
      <c r="FDC106" s="46"/>
      <c r="FDD106" s="46"/>
      <c r="FDE106" s="46"/>
      <c r="FDF106" s="46"/>
      <c r="FDG106" s="46"/>
      <c r="FDH106" s="47">
        <v>0</v>
      </c>
      <c r="FDI106" s="46" t="s">
        <v>45</v>
      </c>
      <c r="FDJ106" s="46"/>
      <c r="FDK106" s="46"/>
      <c r="FDL106" s="46"/>
      <c r="FDM106" s="46"/>
      <c r="FDN106" s="46"/>
      <c r="FDO106" s="46"/>
      <c r="FDP106" s="47">
        <v>0</v>
      </c>
      <c r="FDQ106" s="46" t="s">
        <v>45</v>
      </c>
      <c r="FDR106" s="46"/>
      <c r="FDS106" s="46"/>
      <c r="FDT106" s="46"/>
      <c r="FDU106" s="46"/>
      <c r="FDV106" s="46"/>
      <c r="FDW106" s="46"/>
      <c r="FDX106" s="47">
        <v>0</v>
      </c>
      <c r="FDY106" s="46" t="s">
        <v>45</v>
      </c>
      <c r="FDZ106" s="46"/>
      <c r="FEA106" s="46"/>
      <c r="FEB106" s="46"/>
      <c r="FEC106" s="46"/>
      <c r="FED106" s="46"/>
      <c r="FEE106" s="46"/>
      <c r="FEF106" s="47">
        <v>0</v>
      </c>
      <c r="FEG106" s="46" t="s">
        <v>45</v>
      </c>
      <c r="FEH106" s="46"/>
      <c r="FEI106" s="46"/>
      <c r="FEJ106" s="46"/>
      <c r="FEK106" s="46"/>
      <c r="FEL106" s="46"/>
      <c r="FEM106" s="46"/>
      <c r="FEN106" s="47">
        <v>0</v>
      </c>
      <c r="FEO106" s="46" t="s">
        <v>45</v>
      </c>
      <c r="FEP106" s="46"/>
      <c r="FEQ106" s="46"/>
      <c r="FER106" s="46"/>
      <c r="FES106" s="46"/>
      <c r="FET106" s="46"/>
      <c r="FEU106" s="46"/>
      <c r="FEV106" s="47">
        <v>0</v>
      </c>
      <c r="FEW106" s="46" t="s">
        <v>45</v>
      </c>
      <c r="FEX106" s="46"/>
      <c r="FEY106" s="46"/>
      <c r="FEZ106" s="46"/>
      <c r="FFA106" s="46"/>
      <c r="FFB106" s="46"/>
      <c r="FFC106" s="46"/>
      <c r="FFD106" s="47">
        <v>0</v>
      </c>
      <c r="FFE106" s="46" t="s">
        <v>45</v>
      </c>
      <c r="FFF106" s="46"/>
      <c r="FFG106" s="46"/>
      <c r="FFH106" s="46"/>
      <c r="FFI106" s="46"/>
      <c r="FFJ106" s="46"/>
      <c r="FFK106" s="46"/>
      <c r="FFL106" s="47">
        <v>0</v>
      </c>
      <c r="FFM106" s="46" t="s">
        <v>45</v>
      </c>
      <c r="FFN106" s="46"/>
      <c r="FFO106" s="46"/>
      <c r="FFP106" s="46"/>
      <c r="FFQ106" s="46"/>
      <c r="FFR106" s="46"/>
      <c r="FFS106" s="46"/>
      <c r="FFT106" s="47">
        <v>0</v>
      </c>
      <c r="FFU106" s="46" t="s">
        <v>45</v>
      </c>
      <c r="FFV106" s="46"/>
      <c r="FFW106" s="46"/>
      <c r="FFX106" s="46"/>
      <c r="FFY106" s="46"/>
      <c r="FFZ106" s="46"/>
      <c r="FGA106" s="46"/>
      <c r="FGB106" s="47">
        <v>0</v>
      </c>
      <c r="FGC106" s="46" t="s">
        <v>45</v>
      </c>
      <c r="FGD106" s="46"/>
      <c r="FGE106" s="46"/>
      <c r="FGF106" s="46"/>
      <c r="FGG106" s="46"/>
      <c r="FGH106" s="46"/>
      <c r="FGI106" s="46"/>
      <c r="FGJ106" s="47">
        <v>0</v>
      </c>
      <c r="FGK106" s="46" t="s">
        <v>45</v>
      </c>
      <c r="FGL106" s="46"/>
      <c r="FGM106" s="46"/>
      <c r="FGN106" s="46"/>
      <c r="FGO106" s="46"/>
      <c r="FGP106" s="46"/>
      <c r="FGQ106" s="46"/>
      <c r="FGR106" s="47">
        <v>0</v>
      </c>
      <c r="FGS106" s="46" t="s">
        <v>45</v>
      </c>
      <c r="FGT106" s="46"/>
      <c r="FGU106" s="46"/>
      <c r="FGV106" s="46"/>
      <c r="FGW106" s="46"/>
      <c r="FGX106" s="46"/>
      <c r="FGY106" s="46"/>
      <c r="FGZ106" s="47">
        <v>0</v>
      </c>
      <c r="FHA106" s="46" t="s">
        <v>45</v>
      </c>
      <c r="FHB106" s="46"/>
      <c r="FHC106" s="46"/>
      <c r="FHD106" s="46"/>
      <c r="FHE106" s="46"/>
      <c r="FHF106" s="46"/>
      <c r="FHG106" s="46"/>
      <c r="FHH106" s="47">
        <v>0</v>
      </c>
      <c r="FHI106" s="46" t="s">
        <v>45</v>
      </c>
      <c r="FHJ106" s="46"/>
      <c r="FHK106" s="46"/>
      <c r="FHL106" s="46"/>
      <c r="FHM106" s="46"/>
      <c r="FHN106" s="46"/>
      <c r="FHO106" s="46"/>
      <c r="FHP106" s="47">
        <v>0</v>
      </c>
      <c r="FHQ106" s="46" t="s">
        <v>45</v>
      </c>
      <c r="FHR106" s="46"/>
      <c r="FHS106" s="46"/>
      <c r="FHT106" s="46"/>
      <c r="FHU106" s="46"/>
      <c r="FHV106" s="46"/>
      <c r="FHW106" s="46"/>
      <c r="FHX106" s="47">
        <v>0</v>
      </c>
      <c r="FHY106" s="46" t="s">
        <v>45</v>
      </c>
      <c r="FHZ106" s="46"/>
      <c r="FIA106" s="46"/>
      <c r="FIB106" s="46"/>
      <c r="FIC106" s="46"/>
      <c r="FID106" s="46"/>
      <c r="FIE106" s="46"/>
      <c r="FIF106" s="47">
        <v>0</v>
      </c>
      <c r="FIG106" s="46" t="s">
        <v>45</v>
      </c>
      <c r="FIH106" s="46"/>
      <c r="FII106" s="46"/>
      <c r="FIJ106" s="46"/>
      <c r="FIK106" s="46"/>
      <c r="FIL106" s="46"/>
      <c r="FIM106" s="46"/>
      <c r="FIN106" s="47">
        <v>0</v>
      </c>
      <c r="FIO106" s="46" t="s">
        <v>45</v>
      </c>
      <c r="FIP106" s="46"/>
      <c r="FIQ106" s="46"/>
      <c r="FIR106" s="46"/>
      <c r="FIS106" s="46"/>
      <c r="FIT106" s="46"/>
      <c r="FIU106" s="46"/>
      <c r="FIV106" s="47">
        <v>0</v>
      </c>
      <c r="FIW106" s="46" t="s">
        <v>45</v>
      </c>
      <c r="FIX106" s="46"/>
      <c r="FIY106" s="46"/>
      <c r="FIZ106" s="46"/>
      <c r="FJA106" s="46"/>
      <c r="FJB106" s="46"/>
      <c r="FJC106" s="46"/>
      <c r="FJD106" s="47">
        <v>0</v>
      </c>
      <c r="FJE106" s="46" t="s">
        <v>45</v>
      </c>
      <c r="FJF106" s="46"/>
      <c r="FJG106" s="46"/>
      <c r="FJH106" s="46"/>
      <c r="FJI106" s="46"/>
      <c r="FJJ106" s="46"/>
      <c r="FJK106" s="46"/>
      <c r="FJL106" s="47">
        <v>0</v>
      </c>
      <c r="FJM106" s="46" t="s">
        <v>45</v>
      </c>
      <c r="FJN106" s="46"/>
      <c r="FJO106" s="46"/>
      <c r="FJP106" s="46"/>
      <c r="FJQ106" s="46"/>
      <c r="FJR106" s="46"/>
      <c r="FJS106" s="46"/>
      <c r="FJT106" s="47">
        <v>0</v>
      </c>
      <c r="FJU106" s="46" t="s">
        <v>45</v>
      </c>
      <c r="FJV106" s="46"/>
      <c r="FJW106" s="46"/>
      <c r="FJX106" s="46"/>
      <c r="FJY106" s="46"/>
      <c r="FJZ106" s="46"/>
      <c r="FKA106" s="46"/>
      <c r="FKB106" s="47">
        <v>0</v>
      </c>
      <c r="FKC106" s="46" t="s">
        <v>45</v>
      </c>
      <c r="FKD106" s="46"/>
      <c r="FKE106" s="46"/>
      <c r="FKF106" s="46"/>
      <c r="FKG106" s="46"/>
      <c r="FKH106" s="46"/>
      <c r="FKI106" s="46"/>
      <c r="FKJ106" s="47">
        <v>0</v>
      </c>
      <c r="FKK106" s="46" t="s">
        <v>45</v>
      </c>
      <c r="FKL106" s="46"/>
      <c r="FKM106" s="46"/>
      <c r="FKN106" s="46"/>
      <c r="FKO106" s="46"/>
      <c r="FKP106" s="46"/>
      <c r="FKQ106" s="46"/>
      <c r="FKR106" s="47">
        <v>0</v>
      </c>
      <c r="FKS106" s="46" t="s">
        <v>45</v>
      </c>
      <c r="FKT106" s="46"/>
      <c r="FKU106" s="46"/>
      <c r="FKV106" s="46"/>
      <c r="FKW106" s="46"/>
      <c r="FKX106" s="46"/>
      <c r="FKY106" s="46"/>
      <c r="FKZ106" s="47">
        <v>0</v>
      </c>
      <c r="FLA106" s="46" t="s">
        <v>45</v>
      </c>
      <c r="FLB106" s="46"/>
      <c r="FLC106" s="46"/>
      <c r="FLD106" s="46"/>
      <c r="FLE106" s="46"/>
      <c r="FLF106" s="46"/>
      <c r="FLG106" s="46"/>
      <c r="FLH106" s="47">
        <v>0</v>
      </c>
      <c r="FLI106" s="46" t="s">
        <v>45</v>
      </c>
      <c r="FLJ106" s="46"/>
      <c r="FLK106" s="46"/>
      <c r="FLL106" s="46"/>
      <c r="FLM106" s="46"/>
      <c r="FLN106" s="46"/>
      <c r="FLO106" s="46"/>
      <c r="FLP106" s="47">
        <v>0</v>
      </c>
      <c r="FLQ106" s="46" t="s">
        <v>45</v>
      </c>
      <c r="FLR106" s="46"/>
      <c r="FLS106" s="46"/>
      <c r="FLT106" s="46"/>
      <c r="FLU106" s="46"/>
      <c r="FLV106" s="46"/>
      <c r="FLW106" s="46"/>
      <c r="FLX106" s="47">
        <v>0</v>
      </c>
      <c r="FLY106" s="46" t="s">
        <v>45</v>
      </c>
      <c r="FLZ106" s="46"/>
      <c r="FMA106" s="46"/>
      <c r="FMB106" s="46"/>
      <c r="FMC106" s="46"/>
      <c r="FMD106" s="46"/>
      <c r="FME106" s="46"/>
      <c r="FMF106" s="47">
        <v>0</v>
      </c>
      <c r="FMG106" s="46" t="s">
        <v>45</v>
      </c>
      <c r="FMH106" s="46"/>
      <c r="FMI106" s="46"/>
      <c r="FMJ106" s="46"/>
      <c r="FMK106" s="46"/>
      <c r="FML106" s="46"/>
      <c r="FMM106" s="46"/>
      <c r="FMN106" s="47">
        <v>0</v>
      </c>
      <c r="FMO106" s="46" t="s">
        <v>45</v>
      </c>
      <c r="FMP106" s="46"/>
      <c r="FMQ106" s="46"/>
      <c r="FMR106" s="46"/>
      <c r="FMS106" s="46"/>
      <c r="FMT106" s="46"/>
      <c r="FMU106" s="46"/>
      <c r="FMV106" s="47">
        <v>0</v>
      </c>
      <c r="FMW106" s="46" t="s">
        <v>45</v>
      </c>
      <c r="FMX106" s="46"/>
      <c r="FMY106" s="46"/>
      <c r="FMZ106" s="46"/>
      <c r="FNA106" s="46"/>
      <c r="FNB106" s="46"/>
      <c r="FNC106" s="46"/>
      <c r="FND106" s="47">
        <v>0</v>
      </c>
      <c r="FNE106" s="46" t="s">
        <v>45</v>
      </c>
      <c r="FNF106" s="46"/>
      <c r="FNG106" s="46"/>
      <c r="FNH106" s="46"/>
      <c r="FNI106" s="46"/>
      <c r="FNJ106" s="46"/>
      <c r="FNK106" s="46"/>
      <c r="FNL106" s="47">
        <v>0</v>
      </c>
      <c r="FNM106" s="46" t="s">
        <v>45</v>
      </c>
      <c r="FNN106" s="46"/>
      <c r="FNO106" s="46"/>
      <c r="FNP106" s="46"/>
      <c r="FNQ106" s="46"/>
      <c r="FNR106" s="46"/>
      <c r="FNS106" s="46"/>
      <c r="FNT106" s="47">
        <v>0</v>
      </c>
      <c r="FNU106" s="46" t="s">
        <v>45</v>
      </c>
      <c r="FNV106" s="46"/>
      <c r="FNW106" s="46"/>
      <c r="FNX106" s="46"/>
      <c r="FNY106" s="46"/>
      <c r="FNZ106" s="46"/>
      <c r="FOA106" s="46"/>
      <c r="FOB106" s="47">
        <v>0</v>
      </c>
      <c r="FOC106" s="46" t="s">
        <v>45</v>
      </c>
      <c r="FOD106" s="46"/>
      <c r="FOE106" s="46"/>
      <c r="FOF106" s="46"/>
      <c r="FOG106" s="46"/>
      <c r="FOH106" s="46"/>
      <c r="FOI106" s="46"/>
      <c r="FOJ106" s="47">
        <v>0</v>
      </c>
      <c r="FOK106" s="46" t="s">
        <v>45</v>
      </c>
      <c r="FOL106" s="46"/>
      <c r="FOM106" s="46"/>
      <c r="FON106" s="46"/>
      <c r="FOO106" s="46"/>
      <c r="FOP106" s="46"/>
      <c r="FOQ106" s="46"/>
      <c r="FOR106" s="47">
        <v>0</v>
      </c>
      <c r="FOS106" s="46" t="s">
        <v>45</v>
      </c>
      <c r="FOT106" s="46"/>
      <c r="FOU106" s="46"/>
      <c r="FOV106" s="46"/>
      <c r="FOW106" s="46"/>
      <c r="FOX106" s="46"/>
      <c r="FOY106" s="46"/>
      <c r="FOZ106" s="47">
        <v>0</v>
      </c>
      <c r="FPA106" s="46" t="s">
        <v>45</v>
      </c>
      <c r="FPB106" s="46"/>
      <c r="FPC106" s="46"/>
      <c r="FPD106" s="46"/>
      <c r="FPE106" s="46"/>
      <c r="FPF106" s="46"/>
      <c r="FPG106" s="46"/>
      <c r="FPH106" s="47">
        <v>0</v>
      </c>
      <c r="FPI106" s="46" t="s">
        <v>45</v>
      </c>
      <c r="FPJ106" s="46"/>
      <c r="FPK106" s="46"/>
      <c r="FPL106" s="46"/>
      <c r="FPM106" s="46"/>
      <c r="FPN106" s="46"/>
      <c r="FPO106" s="46"/>
      <c r="FPP106" s="47">
        <v>0</v>
      </c>
      <c r="FPQ106" s="46" t="s">
        <v>45</v>
      </c>
      <c r="FPR106" s="46"/>
      <c r="FPS106" s="46"/>
      <c r="FPT106" s="46"/>
      <c r="FPU106" s="46"/>
      <c r="FPV106" s="46"/>
      <c r="FPW106" s="46"/>
      <c r="FPX106" s="47">
        <v>0</v>
      </c>
      <c r="FPY106" s="46" t="s">
        <v>45</v>
      </c>
      <c r="FPZ106" s="46"/>
      <c r="FQA106" s="46"/>
      <c r="FQB106" s="46"/>
      <c r="FQC106" s="46"/>
      <c r="FQD106" s="46"/>
      <c r="FQE106" s="46"/>
      <c r="FQF106" s="47">
        <v>0</v>
      </c>
      <c r="FQG106" s="46" t="s">
        <v>45</v>
      </c>
      <c r="FQH106" s="46"/>
      <c r="FQI106" s="46"/>
      <c r="FQJ106" s="46"/>
      <c r="FQK106" s="46"/>
      <c r="FQL106" s="46"/>
      <c r="FQM106" s="46"/>
      <c r="FQN106" s="47">
        <v>0</v>
      </c>
      <c r="FQO106" s="46" t="s">
        <v>45</v>
      </c>
      <c r="FQP106" s="46"/>
      <c r="FQQ106" s="46"/>
      <c r="FQR106" s="46"/>
      <c r="FQS106" s="46"/>
      <c r="FQT106" s="46"/>
      <c r="FQU106" s="46"/>
      <c r="FQV106" s="47">
        <v>0</v>
      </c>
      <c r="FQW106" s="46" t="s">
        <v>45</v>
      </c>
      <c r="FQX106" s="46"/>
      <c r="FQY106" s="46"/>
      <c r="FQZ106" s="46"/>
      <c r="FRA106" s="46"/>
      <c r="FRB106" s="46"/>
      <c r="FRC106" s="46"/>
      <c r="FRD106" s="47">
        <v>0</v>
      </c>
      <c r="FRE106" s="46" t="s">
        <v>45</v>
      </c>
      <c r="FRF106" s="46"/>
      <c r="FRG106" s="46"/>
      <c r="FRH106" s="46"/>
      <c r="FRI106" s="46"/>
      <c r="FRJ106" s="46"/>
      <c r="FRK106" s="46"/>
      <c r="FRL106" s="47">
        <v>0</v>
      </c>
      <c r="FRM106" s="46" t="s">
        <v>45</v>
      </c>
      <c r="FRN106" s="46"/>
      <c r="FRO106" s="46"/>
      <c r="FRP106" s="46"/>
      <c r="FRQ106" s="46"/>
      <c r="FRR106" s="46"/>
      <c r="FRS106" s="46"/>
      <c r="FRT106" s="47">
        <v>0</v>
      </c>
      <c r="FRU106" s="46" t="s">
        <v>45</v>
      </c>
      <c r="FRV106" s="46"/>
      <c r="FRW106" s="46"/>
      <c r="FRX106" s="46"/>
      <c r="FRY106" s="46"/>
      <c r="FRZ106" s="46"/>
      <c r="FSA106" s="46"/>
      <c r="FSB106" s="47">
        <v>0</v>
      </c>
      <c r="FSC106" s="46" t="s">
        <v>45</v>
      </c>
      <c r="FSD106" s="46"/>
      <c r="FSE106" s="46"/>
      <c r="FSF106" s="46"/>
      <c r="FSG106" s="46"/>
      <c r="FSH106" s="46"/>
      <c r="FSI106" s="46"/>
      <c r="FSJ106" s="47">
        <v>0</v>
      </c>
      <c r="FSK106" s="46" t="s">
        <v>45</v>
      </c>
      <c r="FSL106" s="46"/>
      <c r="FSM106" s="46"/>
      <c r="FSN106" s="46"/>
      <c r="FSO106" s="46"/>
      <c r="FSP106" s="46"/>
      <c r="FSQ106" s="46"/>
      <c r="FSR106" s="47">
        <v>0</v>
      </c>
      <c r="FSS106" s="46" t="s">
        <v>45</v>
      </c>
      <c r="FST106" s="46"/>
      <c r="FSU106" s="46"/>
      <c r="FSV106" s="46"/>
      <c r="FSW106" s="46"/>
      <c r="FSX106" s="46"/>
      <c r="FSY106" s="46"/>
      <c r="FSZ106" s="47">
        <v>0</v>
      </c>
      <c r="FTA106" s="46" t="s">
        <v>45</v>
      </c>
      <c r="FTB106" s="46"/>
      <c r="FTC106" s="46"/>
      <c r="FTD106" s="46"/>
      <c r="FTE106" s="46"/>
      <c r="FTF106" s="46"/>
      <c r="FTG106" s="46"/>
      <c r="FTH106" s="47">
        <v>0</v>
      </c>
      <c r="FTI106" s="46" t="s">
        <v>45</v>
      </c>
      <c r="FTJ106" s="46"/>
      <c r="FTK106" s="46"/>
      <c r="FTL106" s="46"/>
      <c r="FTM106" s="46"/>
      <c r="FTN106" s="46"/>
      <c r="FTO106" s="46"/>
      <c r="FTP106" s="47">
        <v>0</v>
      </c>
      <c r="FTQ106" s="46" t="s">
        <v>45</v>
      </c>
      <c r="FTR106" s="46"/>
      <c r="FTS106" s="46"/>
      <c r="FTT106" s="46"/>
      <c r="FTU106" s="46"/>
      <c r="FTV106" s="46"/>
      <c r="FTW106" s="46"/>
      <c r="FTX106" s="47">
        <v>0</v>
      </c>
      <c r="FTY106" s="46" t="s">
        <v>45</v>
      </c>
      <c r="FTZ106" s="46"/>
      <c r="FUA106" s="46"/>
      <c r="FUB106" s="46"/>
      <c r="FUC106" s="46"/>
      <c r="FUD106" s="46"/>
      <c r="FUE106" s="46"/>
      <c r="FUF106" s="47">
        <v>0</v>
      </c>
      <c r="FUG106" s="46" t="s">
        <v>45</v>
      </c>
      <c r="FUH106" s="46"/>
      <c r="FUI106" s="46"/>
      <c r="FUJ106" s="46"/>
      <c r="FUK106" s="46"/>
      <c r="FUL106" s="46"/>
      <c r="FUM106" s="46"/>
      <c r="FUN106" s="47">
        <v>0</v>
      </c>
      <c r="FUO106" s="46" t="s">
        <v>45</v>
      </c>
      <c r="FUP106" s="46"/>
      <c r="FUQ106" s="46"/>
      <c r="FUR106" s="46"/>
      <c r="FUS106" s="46"/>
      <c r="FUT106" s="46"/>
      <c r="FUU106" s="46"/>
      <c r="FUV106" s="47">
        <v>0</v>
      </c>
      <c r="FUW106" s="46" t="s">
        <v>45</v>
      </c>
      <c r="FUX106" s="46"/>
      <c r="FUY106" s="46"/>
      <c r="FUZ106" s="46"/>
      <c r="FVA106" s="46"/>
      <c r="FVB106" s="46"/>
      <c r="FVC106" s="46"/>
      <c r="FVD106" s="47">
        <v>0</v>
      </c>
      <c r="FVE106" s="46" t="s">
        <v>45</v>
      </c>
      <c r="FVF106" s="46"/>
      <c r="FVG106" s="46"/>
      <c r="FVH106" s="46"/>
      <c r="FVI106" s="46"/>
      <c r="FVJ106" s="46"/>
      <c r="FVK106" s="46"/>
      <c r="FVL106" s="47">
        <v>0</v>
      </c>
      <c r="FVM106" s="46" t="s">
        <v>45</v>
      </c>
      <c r="FVN106" s="46"/>
      <c r="FVO106" s="46"/>
      <c r="FVP106" s="46"/>
      <c r="FVQ106" s="46"/>
      <c r="FVR106" s="46"/>
      <c r="FVS106" s="46"/>
      <c r="FVT106" s="47">
        <v>0</v>
      </c>
      <c r="FVU106" s="46" t="s">
        <v>45</v>
      </c>
      <c r="FVV106" s="46"/>
      <c r="FVW106" s="46"/>
      <c r="FVX106" s="46"/>
      <c r="FVY106" s="46"/>
      <c r="FVZ106" s="46"/>
      <c r="FWA106" s="46"/>
      <c r="FWB106" s="47">
        <v>0</v>
      </c>
      <c r="FWC106" s="46" t="s">
        <v>45</v>
      </c>
      <c r="FWD106" s="46"/>
      <c r="FWE106" s="46"/>
      <c r="FWF106" s="46"/>
      <c r="FWG106" s="46"/>
      <c r="FWH106" s="46"/>
      <c r="FWI106" s="46"/>
      <c r="FWJ106" s="47">
        <v>0</v>
      </c>
      <c r="FWK106" s="46" t="s">
        <v>45</v>
      </c>
      <c r="FWL106" s="46"/>
      <c r="FWM106" s="46"/>
      <c r="FWN106" s="46"/>
      <c r="FWO106" s="46"/>
      <c r="FWP106" s="46"/>
      <c r="FWQ106" s="46"/>
      <c r="FWR106" s="47">
        <v>0</v>
      </c>
      <c r="FWS106" s="46" t="s">
        <v>45</v>
      </c>
      <c r="FWT106" s="46"/>
      <c r="FWU106" s="46"/>
      <c r="FWV106" s="46"/>
      <c r="FWW106" s="46"/>
      <c r="FWX106" s="46"/>
      <c r="FWY106" s="46"/>
      <c r="FWZ106" s="47">
        <v>0</v>
      </c>
      <c r="FXA106" s="46" t="s">
        <v>45</v>
      </c>
      <c r="FXB106" s="46"/>
      <c r="FXC106" s="46"/>
      <c r="FXD106" s="46"/>
      <c r="FXE106" s="46"/>
      <c r="FXF106" s="46"/>
      <c r="FXG106" s="46"/>
      <c r="FXH106" s="47">
        <v>0</v>
      </c>
      <c r="FXI106" s="46" t="s">
        <v>45</v>
      </c>
      <c r="FXJ106" s="46"/>
      <c r="FXK106" s="46"/>
      <c r="FXL106" s="46"/>
      <c r="FXM106" s="46"/>
      <c r="FXN106" s="46"/>
      <c r="FXO106" s="46"/>
      <c r="FXP106" s="47">
        <v>0</v>
      </c>
      <c r="FXQ106" s="46" t="s">
        <v>45</v>
      </c>
      <c r="FXR106" s="46"/>
      <c r="FXS106" s="46"/>
      <c r="FXT106" s="46"/>
      <c r="FXU106" s="46"/>
      <c r="FXV106" s="46"/>
      <c r="FXW106" s="46"/>
      <c r="FXX106" s="47">
        <v>0</v>
      </c>
      <c r="FXY106" s="46" t="s">
        <v>45</v>
      </c>
      <c r="FXZ106" s="46"/>
      <c r="FYA106" s="46"/>
      <c r="FYB106" s="46"/>
      <c r="FYC106" s="46"/>
      <c r="FYD106" s="46"/>
      <c r="FYE106" s="46"/>
      <c r="FYF106" s="47">
        <v>0</v>
      </c>
      <c r="FYG106" s="46" t="s">
        <v>45</v>
      </c>
      <c r="FYH106" s="46"/>
      <c r="FYI106" s="46"/>
      <c r="FYJ106" s="46"/>
      <c r="FYK106" s="46"/>
      <c r="FYL106" s="46"/>
      <c r="FYM106" s="46"/>
      <c r="FYN106" s="47">
        <v>0</v>
      </c>
      <c r="FYO106" s="46" t="s">
        <v>45</v>
      </c>
      <c r="FYP106" s="46"/>
      <c r="FYQ106" s="46"/>
      <c r="FYR106" s="46"/>
      <c r="FYS106" s="46"/>
      <c r="FYT106" s="46"/>
      <c r="FYU106" s="46"/>
      <c r="FYV106" s="47">
        <v>0</v>
      </c>
      <c r="FYW106" s="46" t="s">
        <v>45</v>
      </c>
      <c r="FYX106" s="46"/>
      <c r="FYY106" s="46"/>
      <c r="FYZ106" s="46"/>
      <c r="FZA106" s="46"/>
      <c r="FZB106" s="46"/>
      <c r="FZC106" s="46"/>
      <c r="FZD106" s="47">
        <v>0</v>
      </c>
      <c r="FZE106" s="46" t="s">
        <v>45</v>
      </c>
      <c r="FZF106" s="46"/>
      <c r="FZG106" s="46"/>
      <c r="FZH106" s="46"/>
      <c r="FZI106" s="46"/>
      <c r="FZJ106" s="46"/>
      <c r="FZK106" s="46"/>
      <c r="FZL106" s="47">
        <v>0</v>
      </c>
      <c r="FZM106" s="46" t="s">
        <v>45</v>
      </c>
      <c r="FZN106" s="46"/>
      <c r="FZO106" s="46"/>
      <c r="FZP106" s="46"/>
      <c r="FZQ106" s="46"/>
      <c r="FZR106" s="46"/>
      <c r="FZS106" s="46"/>
      <c r="FZT106" s="47">
        <v>0</v>
      </c>
      <c r="FZU106" s="46" t="s">
        <v>45</v>
      </c>
      <c r="FZV106" s="46"/>
      <c r="FZW106" s="46"/>
      <c r="FZX106" s="46"/>
      <c r="FZY106" s="46"/>
      <c r="FZZ106" s="46"/>
      <c r="GAA106" s="46"/>
      <c r="GAB106" s="47">
        <v>0</v>
      </c>
      <c r="GAC106" s="46" t="s">
        <v>45</v>
      </c>
      <c r="GAD106" s="46"/>
      <c r="GAE106" s="46"/>
      <c r="GAF106" s="46"/>
      <c r="GAG106" s="46"/>
      <c r="GAH106" s="46"/>
      <c r="GAI106" s="46"/>
      <c r="GAJ106" s="47">
        <v>0</v>
      </c>
      <c r="GAK106" s="46" t="s">
        <v>45</v>
      </c>
      <c r="GAL106" s="46"/>
      <c r="GAM106" s="46"/>
      <c r="GAN106" s="46"/>
      <c r="GAO106" s="46"/>
      <c r="GAP106" s="46"/>
      <c r="GAQ106" s="46"/>
      <c r="GAR106" s="47">
        <v>0</v>
      </c>
      <c r="GAS106" s="46" t="s">
        <v>45</v>
      </c>
      <c r="GAT106" s="46"/>
      <c r="GAU106" s="46"/>
      <c r="GAV106" s="46"/>
      <c r="GAW106" s="46"/>
      <c r="GAX106" s="46"/>
      <c r="GAY106" s="46"/>
      <c r="GAZ106" s="47">
        <v>0</v>
      </c>
      <c r="GBA106" s="46" t="s">
        <v>45</v>
      </c>
      <c r="GBB106" s="46"/>
      <c r="GBC106" s="46"/>
      <c r="GBD106" s="46"/>
      <c r="GBE106" s="46"/>
      <c r="GBF106" s="46"/>
      <c r="GBG106" s="46"/>
      <c r="GBH106" s="47">
        <v>0</v>
      </c>
      <c r="GBI106" s="46" t="s">
        <v>45</v>
      </c>
      <c r="GBJ106" s="46"/>
      <c r="GBK106" s="46"/>
      <c r="GBL106" s="46"/>
      <c r="GBM106" s="46"/>
      <c r="GBN106" s="46"/>
      <c r="GBO106" s="46"/>
      <c r="GBP106" s="47">
        <v>0</v>
      </c>
      <c r="GBQ106" s="46" t="s">
        <v>45</v>
      </c>
      <c r="GBR106" s="46"/>
      <c r="GBS106" s="46"/>
      <c r="GBT106" s="46"/>
      <c r="GBU106" s="46"/>
      <c r="GBV106" s="46"/>
      <c r="GBW106" s="46"/>
      <c r="GBX106" s="47">
        <v>0</v>
      </c>
      <c r="GBY106" s="46" t="s">
        <v>45</v>
      </c>
      <c r="GBZ106" s="46"/>
      <c r="GCA106" s="46"/>
      <c r="GCB106" s="46"/>
      <c r="GCC106" s="46"/>
      <c r="GCD106" s="46"/>
      <c r="GCE106" s="46"/>
      <c r="GCF106" s="47">
        <v>0</v>
      </c>
      <c r="GCG106" s="46" t="s">
        <v>45</v>
      </c>
      <c r="GCH106" s="46"/>
      <c r="GCI106" s="46"/>
      <c r="GCJ106" s="46"/>
      <c r="GCK106" s="46"/>
      <c r="GCL106" s="46"/>
      <c r="GCM106" s="46"/>
      <c r="GCN106" s="47">
        <v>0</v>
      </c>
      <c r="GCO106" s="46" t="s">
        <v>45</v>
      </c>
      <c r="GCP106" s="46"/>
      <c r="GCQ106" s="46"/>
      <c r="GCR106" s="46"/>
      <c r="GCS106" s="46"/>
      <c r="GCT106" s="46"/>
      <c r="GCU106" s="46"/>
      <c r="GCV106" s="47">
        <v>0</v>
      </c>
      <c r="GCW106" s="46" t="s">
        <v>45</v>
      </c>
      <c r="GCX106" s="46"/>
      <c r="GCY106" s="46"/>
      <c r="GCZ106" s="46"/>
      <c r="GDA106" s="46"/>
      <c r="GDB106" s="46"/>
      <c r="GDC106" s="46"/>
      <c r="GDD106" s="47">
        <v>0</v>
      </c>
      <c r="GDE106" s="46" t="s">
        <v>45</v>
      </c>
      <c r="GDF106" s="46"/>
      <c r="GDG106" s="46"/>
      <c r="GDH106" s="46"/>
      <c r="GDI106" s="46"/>
      <c r="GDJ106" s="46"/>
      <c r="GDK106" s="46"/>
      <c r="GDL106" s="47">
        <v>0</v>
      </c>
      <c r="GDM106" s="46" t="s">
        <v>45</v>
      </c>
      <c r="GDN106" s="46"/>
      <c r="GDO106" s="46"/>
      <c r="GDP106" s="46"/>
      <c r="GDQ106" s="46"/>
      <c r="GDR106" s="46"/>
      <c r="GDS106" s="46"/>
      <c r="GDT106" s="47">
        <v>0</v>
      </c>
      <c r="GDU106" s="46" t="s">
        <v>45</v>
      </c>
      <c r="GDV106" s="46"/>
      <c r="GDW106" s="46"/>
      <c r="GDX106" s="46"/>
      <c r="GDY106" s="46"/>
      <c r="GDZ106" s="46"/>
      <c r="GEA106" s="46"/>
      <c r="GEB106" s="47">
        <v>0</v>
      </c>
      <c r="GEC106" s="46" t="s">
        <v>45</v>
      </c>
      <c r="GED106" s="46"/>
      <c r="GEE106" s="46"/>
      <c r="GEF106" s="46"/>
      <c r="GEG106" s="46"/>
      <c r="GEH106" s="46"/>
      <c r="GEI106" s="46"/>
      <c r="GEJ106" s="47">
        <v>0</v>
      </c>
      <c r="GEK106" s="46" t="s">
        <v>45</v>
      </c>
      <c r="GEL106" s="46"/>
      <c r="GEM106" s="46"/>
      <c r="GEN106" s="46"/>
      <c r="GEO106" s="46"/>
      <c r="GEP106" s="46"/>
      <c r="GEQ106" s="46"/>
      <c r="GER106" s="47">
        <v>0</v>
      </c>
      <c r="GES106" s="46" t="s">
        <v>45</v>
      </c>
      <c r="GET106" s="46"/>
      <c r="GEU106" s="46"/>
      <c r="GEV106" s="46"/>
      <c r="GEW106" s="46"/>
      <c r="GEX106" s="46"/>
      <c r="GEY106" s="46"/>
      <c r="GEZ106" s="47">
        <v>0</v>
      </c>
      <c r="GFA106" s="46" t="s">
        <v>45</v>
      </c>
      <c r="GFB106" s="46"/>
      <c r="GFC106" s="46"/>
      <c r="GFD106" s="46"/>
      <c r="GFE106" s="46"/>
      <c r="GFF106" s="46"/>
      <c r="GFG106" s="46"/>
      <c r="GFH106" s="47">
        <v>0</v>
      </c>
      <c r="GFI106" s="46" t="s">
        <v>45</v>
      </c>
      <c r="GFJ106" s="46"/>
      <c r="GFK106" s="46"/>
      <c r="GFL106" s="46"/>
      <c r="GFM106" s="46"/>
      <c r="GFN106" s="46"/>
      <c r="GFO106" s="46"/>
      <c r="GFP106" s="47">
        <v>0</v>
      </c>
      <c r="GFQ106" s="46" t="s">
        <v>45</v>
      </c>
      <c r="GFR106" s="46"/>
      <c r="GFS106" s="46"/>
      <c r="GFT106" s="46"/>
      <c r="GFU106" s="46"/>
      <c r="GFV106" s="46"/>
      <c r="GFW106" s="46"/>
      <c r="GFX106" s="47">
        <v>0</v>
      </c>
      <c r="GFY106" s="46" t="s">
        <v>45</v>
      </c>
      <c r="GFZ106" s="46"/>
      <c r="GGA106" s="46"/>
      <c r="GGB106" s="46"/>
      <c r="GGC106" s="46"/>
      <c r="GGD106" s="46"/>
      <c r="GGE106" s="46"/>
      <c r="GGF106" s="47">
        <v>0</v>
      </c>
      <c r="GGG106" s="46" t="s">
        <v>45</v>
      </c>
      <c r="GGH106" s="46"/>
      <c r="GGI106" s="46"/>
      <c r="GGJ106" s="46"/>
      <c r="GGK106" s="46"/>
      <c r="GGL106" s="46"/>
      <c r="GGM106" s="46"/>
      <c r="GGN106" s="47">
        <v>0</v>
      </c>
      <c r="GGO106" s="46" t="s">
        <v>45</v>
      </c>
      <c r="GGP106" s="46"/>
      <c r="GGQ106" s="46"/>
      <c r="GGR106" s="46"/>
      <c r="GGS106" s="46"/>
      <c r="GGT106" s="46"/>
      <c r="GGU106" s="46"/>
      <c r="GGV106" s="47">
        <v>0</v>
      </c>
      <c r="GGW106" s="46" t="s">
        <v>45</v>
      </c>
      <c r="GGX106" s="46"/>
      <c r="GGY106" s="46"/>
      <c r="GGZ106" s="46"/>
      <c r="GHA106" s="46"/>
      <c r="GHB106" s="46"/>
      <c r="GHC106" s="46"/>
      <c r="GHD106" s="47">
        <v>0</v>
      </c>
      <c r="GHE106" s="46" t="s">
        <v>45</v>
      </c>
      <c r="GHF106" s="46"/>
      <c r="GHG106" s="46"/>
      <c r="GHH106" s="46"/>
      <c r="GHI106" s="46"/>
      <c r="GHJ106" s="46"/>
      <c r="GHK106" s="46"/>
      <c r="GHL106" s="47">
        <v>0</v>
      </c>
      <c r="GHM106" s="46" t="s">
        <v>45</v>
      </c>
      <c r="GHN106" s="46"/>
      <c r="GHO106" s="46"/>
      <c r="GHP106" s="46"/>
      <c r="GHQ106" s="46"/>
      <c r="GHR106" s="46"/>
      <c r="GHS106" s="46"/>
      <c r="GHT106" s="47">
        <v>0</v>
      </c>
      <c r="GHU106" s="46" t="s">
        <v>45</v>
      </c>
      <c r="GHV106" s="46"/>
      <c r="GHW106" s="46"/>
      <c r="GHX106" s="46"/>
      <c r="GHY106" s="46"/>
      <c r="GHZ106" s="46"/>
      <c r="GIA106" s="46"/>
      <c r="GIB106" s="47">
        <v>0</v>
      </c>
      <c r="GIC106" s="46" t="s">
        <v>45</v>
      </c>
      <c r="GID106" s="46"/>
      <c r="GIE106" s="46"/>
      <c r="GIF106" s="46"/>
      <c r="GIG106" s="46"/>
      <c r="GIH106" s="46"/>
      <c r="GII106" s="46"/>
      <c r="GIJ106" s="47">
        <v>0</v>
      </c>
      <c r="GIK106" s="46" t="s">
        <v>45</v>
      </c>
      <c r="GIL106" s="46"/>
      <c r="GIM106" s="46"/>
      <c r="GIN106" s="46"/>
      <c r="GIO106" s="46"/>
      <c r="GIP106" s="46"/>
      <c r="GIQ106" s="46"/>
      <c r="GIR106" s="47">
        <v>0</v>
      </c>
      <c r="GIS106" s="46" t="s">
        <v>45</v>
      </c>
      <c r="GIT106" s="46"/>
      <c r="GIU106" s="46"/>
      <c r="GIV106" s="46"/>
      <c r="GIW106" s="46"/>
      <c r="GIX106" s="46"/>
      <c r="GIY106" s="46"/>
      <c r="GIZ106" s="47">
        <v>0</v>
      </c>
      <c r="GJA106" s="46" t="s">
        <v>45</v>
      </c>
      <c r="GJB106" s="46"/>
      <c r="GJC106" s="46"/>
      <c r="GJD106" s="46"/>
      <c r="GJE106" s="46"/>
      <c r="GJF106" s="46"/>
      <c r="GJG106" s="46"/>
      <c r="GJH106" s="47">
        <v>0</v>
      </c>
      <c r="GJI106" s="46" t="s">
        <v>45</v>
      </c>
      <c r="GJJ106" s="46"/>
      <c r="GJK106" s="46"/>
      <c r="GJL106" s="46"/>
      <c r="GJM106" s="46"/>
      <c r="GJN106" s="46"/>
      <c r="GJO106" s="46"/>
      <c r="GJP106" s="47">
        <v>0</v>
      </c>
      <c r="GJQ106" s="46" t="s">
        <v>45</v>
      </c>
      <c r="GJR106" s="46"/>
      <c r="GJS106" s="46"/>
      <c r="GJT106" s="46"/>
      <c r="GJU106" s="46"/>
      <c r="GJV106" s="46"/>
      <c r="GJW106" s="46"/>
      <c r="GJX106" s="47">
        <v>0</v>
      </c>
      <c r="GJY106" s="46" t="s">
        <v>45</v>
      </c>
      <c r="GJZ106" s="46"/>
      <c r="GKA106" s="46"/>
      <c r="GKB106" s="46"/>
      <c r="GKC106" s="46"/>
      <c r="GKD106" s="46"/>
      <c r="GKE106" s="46"/>
      <c r="GKF106" s="47">
        <v>0</v>
      </c>
      <c r="GKG106" s="46" t="s">
        <v>45</v>
      </c>
      <c r="GKH106" s="46"/>
      <c r="GKI106" s="46"/>
      <c r="GKJ106" s="46"/>
      <c r="GKK106" s="46"/>
      <c r="GKL106" s="46"/>
      <c r="GKM106" s="46"/>
      <c r="GKN106" s="47">
        <v>0</v>
      </c>
      <c r="GKO106" s="46" t="s">
        <v>45</v>
      </c>
      <c r="GKP106" s="46"/>
      <c r="GKQ106" s="46"/>
      <c r="GKR106" s="46"/>
      <c r="GKS106" s="46"/>
      <c r="GKT106" s="46"/>
      <c r="GKU106" s="46"/>
      <c r="GKV106" s="47">
        <v>0</v>
      </c>
      <c r="GKW106" s="46" t="s">
        <v>45</v>
      </c>
      <c r="GKX106" s="46"/>
      <c r="GKY106" s="46"/>
      <c r="GKZ106" s="46"/>
      <c r="GLA106" s="46"/>
      <c r="GLB106" s="46"/>
      <c r="GLC106" s="46"/>
      <c r="GLD106" s="47">
        <v>0</v>
      </c>
      <c r="GLE106" s="46" t="s">
        <v>45</v>
      </c>
      <c r="GLF106" s="46"/>
      <c r="GLG106" s="46"/>
      <c r="GLH106" s="46"/>
      <c r="GLI106" s="46"/>
      <c r="GLJ106" s="46"/>
      <c r="GLK106" s="46"/>
      <c r="GLL106" s="47">
        <v>0</v>
      </c>
      <c r="GLM106" s="46" t="s">
        <v>45</v>
      </c>
      <c r="GLN106" s="46"/>
      <c r="GLO106" s="46"/>
      <c r="GLP106" s="46"/>
      <c r="GLQ106" s="46"/>
      <c r="GLR106" s="46"/>
      <c r="GLS106" s="46"/>
      <c r="GLT106" s="47">
        <v>0</v>
      </c>
      <c r="GLU106" s="46" t="s">
        <v>45</v>
      </c>
      <c r="GLV106" s="46"/>
      <c r="GLW106" s="46"/>
      <c r="GLX106" s="46"/>
      <c r="GLY106" s="46"/>
      <c r="GLZ106" s="46"/>
      <c r="GMA106" s="46"/>
      <c r="GMB106" s="47">
        <v>0</v>
      </c>
      <c r="GMC106" s="46" t="s">
        <v>45</v>
      </c>
      <c r="GMD106" s="46"/>
      <c r="GME106" s="46"/>
      <c r="GMF106" s="46"/>
      <c r="GMG106" s="46"/>
      <c r="GMH106" s="46"/>
      <c r="GMI106" s="46"/>
      <c r="GMJ106" s="47">
        <v>0</v>
      </c>
      <c r="GMK106" s="46" t="s">
        <v>45</v>
      </c>
      <c r="GML106" s="46"/>
      <c r="GMM106" s="46"/>
      <c r="GMN106" s="46"/>
      <c r="GMO106" s="46"/>
      <c r="GMP106" s="46"/>
      <c r="GMQ106" s="46"/>
      <c r="GMR106" s="47">
        <v>0</v>
      </c>
      <c r="GMS106" s="46" t="s">
        <v>45</v>
      </c>
      <c r="GMT106" s="46"/>
      <c r="GMU106" s="46"/>
      <c r="GMV106" s="46"/>
      <c r="GMW106" s="46"/>
      <c r="GMX106" s="46"/>
      <c r="GMY106" s="46"/>
      <c r="GMZ106" s="47">
        <v>0</v>
      </c>
      <c r="GNA106" s="46" t="s">
        <v>45</v>
      </c>
      <c r="GNB106" s="46"/>
      <c r="GNC106" s="46"/>
      <c r="GND106" s="46"/>
      <c r="GNE106" s="46"/>
      <c r="GNF106" s="46"/>
      <c r="GNG106" s="46"/>
      <c r="GNH106" s="47">
        <v>0</v>
      </c>
      <c r="GNI106" s="46" t="s">
        <v>45</v>
      </c>
      <c r="GNJ106" s="46"/>
      <c r="GNK106" s="46"/>
      <c r="GNL106" s="46"/>
      <c r="GNM106" s="46"/>
      <c r="GNN106" s="46"/>
      <c r="GNO106" s="46"/>
      <c r="GNP106" s="47">
        <v>0</v>
      </c>
      <c r="GNQ106" s="46" t="s">
        <v>45</v>
      </c>
      <c r="GNR106" s="46"/>
      <c r="GNS106" s="46"/>
      <c r="GNT106" s="46"/>
      <c r="GNU106" s="46"/>
      <c r="GNV106" s="46"/>
      <c r="GNW106" s="46"/>
      <c r="GNX106" s="47">
        <v>0</v>
      </c>
      <c r="GNY106" s="46" t="s">
        <v>45</v>
      </c>
      <c r="GNZ106" s="46"/>
      <c r="GOA106" s="46"/>
      <c r="GOB106" s="46"/>
      <c r="GOC106" s="46"/>
      <c r="GOD106" s="46"/>
      <c r="GOE106" s="46"/>
      <c r="GOF106" s="47">
        <v>0</v>
      </c>
      <c r="GOG106" s="46" t="s">
        <v>45</v>
      </c>
      <c r="GOH106" s="46"/>
      <c r="GOI106" s="46"/>
      <c r="GOJ106" s="46"/>
      <c r="GOK106" s="46"/>
      <c r="GOL106" s="46"/>
      <c r="GOM106" s="46"/>
      <c r="GON106" s="47">
        <v>0</v>
      </c>
      <c r="GOO106" s="46" t="s">
        <v>45</v>
      </c>
      <c r="GOP106" s="46"/>
      <c r="GOQ106" s="46"/>
      <c r="GOR106" s="46"/>
      <c r="GOS106" s="46"/>
      <c r="GOT106" s="46"/>
      <c r="GOU106" s="46"/>
      <c r="GOV106" s="47">
        <v>0</v>
      </c>
      <c r="GOW106" s="46" t="s">
        <v>45</v>
      </c>
      <c r="GOX106" s="46"/>
      <c r="GOY106" s="46"/>
      <c r="GOZ106" s="46"/>
      <c r="GPA106" s="46"/>
      <c r="GPB106" s="46"/>
      <c r="GPC106" s="46"/>
      <c r="GPD106" s="47">
        <v>0</v>
      </c>
      <c r="GPE106" s="46" t="s">
        <v>45</v>
      </c>
      <c r="GPF106" s="46"/>
      <c r="GPG106" s="46"/>
      <c r="GPH106" s="46"/>
      <c r="GPI106" s="46"/>
      <c r="GPJ106" s="46"/>
      <c r="GPK106" s="46"/>
      <c r="GPL106" s="47">
        <v>0</v>
      </c>
      <c r="GPM106" s="46" t="s">
        <v>45</v>
      </c>
      <c r="GPN106" s="46"/>
      <c r="GPO106" s="46"/>
      <c r="GPP106" s="46"/>
      <c r="GPQ106" s="46"/>
      <c r="GPR106" s="46"/>
      <c r="GPS106" s="46"/>
      <c r="GPT106" s="47">
        <v>0</v>
      </c>
      <c r="GPU106" s="46" t="s">
        <v>45</v>
      </c>
      <c r="GPV106" s="46"/>
      <c r="GPW106" s="46"/>
      <c r="GPX106" s="46"/>
      <c r="GPY106" s="46"/>
      <c r="GPZ106" s="46"/>
      <c r="GQA106" s="46"/>
      <c r="GQB106" s="47">
        <v>0</v>
      </c>
      <c r="GQC106" s="46" t="s">
        <v>45</v>
      </c>
      <c r="GQD106" s="46"/>
      <c r="GQE106" s="46"/>
      <c r="GQF106" s="46"/>
      <c r="GQG106" s="46"/>
      <c r="GQH106" s="46"/>
      <c r="GQI106" s="46"/>
      <c r="GQJ106" s="47">
        <v>0</v>
      </c>
      <c r="GQK106" s="46" t="s">
        <v>45</v>
      </c>
      <c r="GQL106" s="46"/>
      <c r="GQM106" s="46"/>
      <c r="GQN106" s="46"/>
      <c r="GQO106" s="46"/>
      <c r="GQP106" s="46"/>
      <c r="GQQ106" s="46"/>
      <c r="GQR106" s="47">
        <v>0</v>
      </c>
      <c r="GQS106" s="46" t="s">
        <v>45</v>
      </c>
      <c r="GQT106" s="46"/>
      <c r="GQU106" s="46"/>
      <c r="GQV106" s="46"/>
      <c r="GQW106" s="46"/>
      <c r="GQX106" s="46"/>
      <c r="GQY106" s="46"/>
      <c r="GQZ106" s="47">
        <v>0</v>
      </c>
      <c r="GRA106" s="46" t="s">
        <v>45</v>
      </c>
      <c r="GRB106" s="46"/>
      <c r="GRC106" s="46"/>
      <c r="GRD106" s="46"/>
      <c r="GRE106" s="46"/>
      <c r="GRF106" s="46"/>
      <c r="GRG106" s="46"/>
      <c r="GRH106" s="47">
        <v>0</v>
      </c>
      <c r="GRI106" s="46" t="s">
        <v>45</v>
      </c>
      <c r="GRJ106" s="46"/>
      <c r="GRK106" s="46"/>
      <c r="GRL106" s="46"/>
      <c r="GRM106" s="46"/>
      <c r="GRN106" s="46"/>
      <c r="GRO106" s="46"/>
      <c r="GRP106" s="47">
        <v>0</v>
      </c>
      <c r="GRQ106" s="46" t="s">
        <v>45</v>
      </c>
      <c r="GRR106" s="46"/>
      <c r="GRS106" s="46"/>
      <c r="GRT106" s="46"/>
      <c r="GRU106" s="46"/>
      <c r="GRV106" s="46"/>
      <c r="GRW106" s="46"/>
      <c r="GRX106" s="47">
        <v>0</v>
      </c>
      <c r="GRY106" s="46" t="s">
        <v>45</v>
      </c>
      <c r="GRZ106" s="46"/>
      <c r="GSA106" s="46"/>
      <c r="GSB106" s="46"/>
      <c r="GSC106" s="46"/>
      <c r="GSD106" s="46"/>
      <c r="GSE106" s="46"/>
      <c r="GSF106" s="47">
        <v>0</v>
      </c>
      <c r="GSG106" s="46" t="s">
        <v>45</v>
      </c>
      <c r="GSH106" s="46"/>
      <c r="GSI106" s="46"/>
      <c r="GSJ106" s="46"/>
      <c r="GSK106" s="46"/>
      <c r="GSL106" s="46"/>
      <c r="GSM106" s="46"/>
      <c r="GSN106" s="47">
        <v>0</v>
      </c>
      <c r="GSO106" s="46" t="s">
        <v>45</v>
      </c>
      <c r="GSP106" s="46"/>
      <c r="GSQ106" s="46"/>
      <c r="GSR106" s="46"/>
      <c r="GSS106" s="46"/>
      <c r="GST106" s="46"/>
      <c r="GSU106" s="46"/>
      <c r="GSV106" s="47">
        <v>0</v>
      </c>
      <c r="GSW106" s="46" t="s">
        <v>45</v>
      </c>
      <c r="GSX106" s="46"/>
      <c r="GSY106" s="46"/>
      <c r="GSZ106" s="46"/>
      <c r="GTA106" s="46"/>
      <c r="GTB106" s="46"/>
      <c r="GTC106" s="46"/>
      <c r="GTD106" s="47">
        <v>0</v>
      </c>
      <c r="GTE106" s="46" t="s">
        <v>45</v>
      </c>
      <c r="GTF106" s="46"/>
      <c r="GTG106" s="46"/>
      <c r="GTH106" s="46"/>
      <c r="GTI106" s="46"/>
      <c r="GTJ106" s="46"/>
      <c r="GTK106" s="46"/>
      <c r="GTL106" s="47">
        <v>0</v>
      </c>
      <c r="GTM106" s="46" t="s">
        <v>45</v>
      </c>
      <c r="GTN106" s="46"/>
      <c r="GTO106" s="46"/>
      <c r="GTP106" s="46"/>
      <c r="GTQ106" s="46"/>
      <c r="GTR106" s="46"/>
      <c r="GTS106" s="46"/>
      <c r="GTT106" s="47">
        <v>0</v>
      </c>
      <c r="GTU106" s="46" t="s">
        <v>45</v>
      </c>
      <c r="GTV106" s="46"/>
      <c r="GTW106" s="46"/>
      <c r="GTX106" s="46"/>
      <c r="GTY106" s="46"/>
      <c r="GTZ106" s="46"/>
      <c r="GUA106" s="46"/>
      <c r="GUB106" s="47">
        <v>0</v>
      </c>
      <c r="GUC106" s="46" t="s">
        <v>45</v>
      </c>
      <c r="GUD106" s="46"/>
      <c r="GUE106" s="46"/>
      <c r="GUF106" s="46"/>
      <c r="GUG106" s="46"/>
      <c r="GUH106" s="46"/>
      <c r="GUI106" s="46"/>
      <c r="GUJ106" s="47">
        <v>0</v>
      </c>
      <c r="GUK106" s="46" t="s">
        <v>45</v>
      </c>
      <c r="GUL106" s="46"/>
      <c r="GUM106" s="46"/>
      <c r="GUN106" s="46"/>
      <c r="GUO106" s="46"/>
      <c r="GUP106" s="46"/>
      <c r="GUQ106" s="46"/>
      <c r="GUR106" s="47">
        <v>0</v>
      </c>
      <c r="GUS106" s="46" t="s">
        <v>45</v>
      </c>
      <c r="GUT106" s="46"/>
      <c r="GUU106" s="46"/>
      <c r="GUV106" s="46"/>
      <c r="GUW106" s="46"/>
      <c r="GUX106" s="46"/>
      <c r="GUY106" s="46"/>
      <c r="GUZ106" s="47">
        <v>0</v>
      </c>
      <c r="GVA106" s="46" t="s">
        <v>45</v>
      </c>
      <c r="GVB106" s="46"/>
      <c r="GVC106" s="46"/>
      <c r="GVD106" s="46"/>
      <c r="GVE106" s="46"/>
      <c r="GVF106" s="46"/>
      <c r="GVG106" s="46"/>
      <c r="GVH106" s="47">
        <v>0</v>
      </c>
      <c r="GVI106" s="46" t="s">
        <v>45</v>
      </c>
      <c r="GVJ106" s="46"/>
      <c r="GVK106" s="46"/>
      <c r="GVL106" s="46"/>
      <c r="GVM106" s="46"/>
      <c r="GVN106" s="46"/>
      <c r="GVO106" s="46"/>
      <c r="GVP106" s="47">
        <v>0</v>
      </c>
      <c r="GVQ106" s="46" t="s">
        <v>45</v>
      </c>
      <c r="GVR106" s="46"/>
      <c r="GVS106" s="46"/>
      <c r="GVT106" s="46"/>
      <c r="GVU106" s="46"/>
      <c r="GVV106" s="46"/>
      <c r="GVW106" s="46"/>
      <c r="GVX106" s="47">
        <v>0</v>
      </c>
      <c r="GVY106" s="46" t="s">
        <v>45</v>
      </c>
      <c r="GVZ106" s="46"/>
      <c r="GWA106" s="46"/>
      <c r="GWB106" s="46"/>
      <c r="GWC106" s="46"/>
      <c r="GWD106" s="46"/>
      <c r="GWE106" s="46"/>
      <c r="GWF106" s="47">
        <v>0</v>
      </c>
      <c r="GWG106" s="46" t="s">
        <v>45</v>
      </c>
      <c r="GWH106" s="46"/>
      <c r="GWI106" s="46"/>
      <c r="GWJ106" s="46"/>
      <c r="GWK106" s="46"/>
      <c r="GWL106" s="46"/>
      <c r="GWM106" s="46"/>
      <c r="GWN106" s="47">
        <v>0</v>
      </c>
      <c r="GWO106" s="46" t="s">
        <v>45</v>
      </c>
      <c r="GWP106" s="46"/>
      <c r="GWQ106" s="46"/>
      <c r="GWR106" s="46"/>
      <c r="GWS106" s="46"/>
      <c r="GWT106" s="46"/>
      <c r="GWU106" s="46"/>
      <c r="GWV106" s="47">
        <v>0</v>
      </c>
      <c r="GWW106" s="46" t="s">
        <v>45</v>
      </c>
      <c r="GWX106" s="46"/>
      <c r="GWY106" s="46"/>
      <c r="GWZ106" s="46"/>
      <c r="GXA106" s="46"/>
      <c r="GXB106" s="46"/>
      <c r="GXC106" s="46"/>
      <c r="GXD106" s="47">
        <v>0</v>
      </c>
      <c r="GXE106" s="46" t="s">
        <v>45</v>
      </c>
      <c r="GXF106" s="46"/>
      <c r="GXG106" s="46"/>
      <c r="GXH106" s="46"/>
      <c r="GXI106" s="46"/>
      <c r="GXJ106" s="46"/>
      <c r="GXK106" s="46"/>
      <c r="GXL106" s="47">
        <v>0</v>
      </c>
      <c r="GXM106" s="46" t="s">
        <v>45</v>
      </c>
      <c r="GXN106" s="46"/>
      <c r="GXO106" s="46"/>
      <c r="GXP106" s="46"/>
      <c r="GXQ106" s="46"/>
      <c r="GXR106" s="46"/>
      <c r="GXS106" s="46"/>
      <c r="GXT106" s="47">
        <v>0</v>
      </c>
      <c r="GXU106" s="46" t="s">
        <v>45</v>
      </c>
      <c r="GXV106" s="46"/>
      <c r="GXW106" s="46"/>
      <c r="GXX106" s="46"/>
      <c r="GXY106" s="46"/>
      <c r="GXZ106" s="46"/>
      <c r="GYA106" s="46"/>
      <c r="GYB106" s="47">
        <v>0</v>
      </c>
      <c r="GYC106" s="46" t="s">
        <v>45</v>
      </c>
      <c r="GYD106" s="46"/>
      <c r="GYE106" s="46"/>
      <c r="GYF106" s="46"/>
      <c r="GYG106" s="46"/>
      <c r="GYH106" s="46"/>
      <c r="GYI106" s="46"/>
      <c r="GYJ106" s="47">
        <v>0</v>
      </c>
      <c r="GYK106" s="46" t="s">
        <v>45</v>
      </c>
      <c r="GYL106" s="46"/>
      <c r="GYM106" s="46"/>
      <c r="GYN106" s="46"/>
      <c r="GYO106" s="46"/>
      <c r="GYP106" s="46"/>
      <c r="GYQ106" s="46"/>
      <c r="GYR106" s="47">
        <v>0</v>
      </c>
      <c r="GYS106" s="46" t="s">
        <v>45</v>
      </c>
      <c r="GYT106" s="46"/>
      <c r="GYU106" s="46"/>
      <c r="GYV106" s="46"/>
      <c r="GYW106" s="46"/>
      <c r="GYX106" s="46"/>
      <c r="GYY106" s="46"/>
      <c r="GYZ106" s="47">
        <v>0</v>
      </c>
      <c r="GZA106" s="46" t="s">
        <v>45</v>
      </c>
      <c r="GZB106" s="46"/>
      <c r="GZC106" s="46"/>
      <c r="GZD106" s="46"/>
      <c r="GZE106" s="46"/>
      <c r="GZF106" s="46"/>
      <c r="GZG106" s="46"/>
      <c r="GZH106" s="47">
        <v>0</v>
      </c>
      <c r="GZI106" s="46" t="s">
        <v>45</v>
      </c>
      <c r="GZJ106" s="46"/>
      <c r="GZK106" s="46"/>
      <c r="GZL106" s="46"/>
      <c r="GZM106" s="46"/>
      <c r="GZN106" s="46"/>
      <c r="GZO106" s="46"/>
      <c r="GZP106" s="47">
        <v>0</v>
      </c>
      <c r="GZQ106" s="46" t="s">
        <v>45</v>
      </c>
      <c r="GZR106" s="46"/>
      <c r="GZS106" s="46"/>
      <c r="GZT106" s="46"/>
      <c r="GZU106" s="46"/>
      <c r="GZV106" s="46"/>
      <c r="GZW106" s="46"/>
      <c r="GZX106" s="47">
        <v>0</v>
      </c>
      <c r="GZY106" s="46" t="s">
        <v>45</v>
      </c>
      <c r="GZZ106" s="46"/>
      <c r="HAA106" s="46"/>
      <c r="HAB106" s="46"/>
      <c r="HAC106" s="46"/>
      <c r="HAD106" s="46"/>
      <c r="HAE106" s="46"/>
      <c r="HAF106" s="47">
        <v>0</v>
      </c>
      <c r="HAG106" s="46" t="s">
        <v>45</v>
      </c>
      <c r="HAH106" s="46"/>
      <c r="HAI106" s="46"/>
      <c r="HAJ106" s="46"/>
      <c r="HAK106" s="46"/>
      <c r="HAL106" s="46"/>
      <c r="HAM106" s="46"/>
      <c r="HAN106" s="47">
        <v>0</v>
      </c>
      <c r="HAO106" s="46" t="s">
        <v>45</v>
      </c>
      <c r="HAP106" s="46"/>
      <c r="HAQ106" s="46"/>
      <c r="HAR106" s="46"/>
      <c r="HAS106" s="46"/>
      <c r="HAT106" s="46"/>
      <c r="HAU106" s="46"/>
      <c r="HAV106" s="47">
        <v>0</v>
      </c>
      <c r="HAW106" s="46" t="s">
        <v>45</v>
      </c>
      <c r="HAX106" s="46"/>
      <c r="HAY106" s="46"/>
      <c r="HAZ106" s="46"/>
      <c r="HBA106" s="46"/>
      <c r="HBB106" s="46"/>
      <c r="HBC106" s="46"/>
      <c r="HBD106" s="47">
        <v>0</v>
      </c>
      <c r="HBE106" s="46" t="s">
        <v>45</v>
      </c>
      <c r="HBF106" s="46"/>
      <c r="HBG106" s="46"/>
      <c r="HBH106" s="46"/>
      <c r="HBI106" s="46"/>
      <c r="HBJ106" s="46"/>
      <c r="HBK106" s="46"/>
      <c r="HBL106" s="47">
        <v>0</v>
      </c>
      <c r="HBM106" s="46" t="s">
        <v>45</v>
      </c>
      <c r="HBN106" s="46"/>
      <c r="HBO106" s="46"/>
      <c r="HBP106" s="46"/>
      <c r="HBQ106" s="46"/>
      <c r="HBR106" s="46"/>
      <c r="HBS106" s="46"/>
      <c r="HBT106" s="47">
        <v>0</v>
      </c>
      <c r="HBU106" s="46" t="s">
        <v>45</v>
      </c>
      <c r="HBV106" s="46"/>
      <c r="HBW106" s="46"/>
      <c r="HBX106" s="46"/>
      <c r="HBY106" s="46"/>
      <c r="HBZ106" s="46"/>
      <c r="HCA106" s="46"/>
      <c r="HCB106" s="47">
        <v>0</v>
      </c>
      <c r="HCC106" s="46" t="s">
        <v>45</v>
      </c>
      <c r="HCD106" s="46"/>
      <c r="HCE106" s="46"/>
      <c r="HCF106" s="46"/>
      <c r="HCG106" s="46"/>
      <c r="HCH106" s="46"/>
      <c r="HCI106" s="46"/>
      <c r="HCJ106" s="47">
        <v>0</v>
      </c>
      <c r="HCK106" s="46" t="s">
        <v>45</v>
      </c>
      <c r="HCL106" s="46"/>
      <c r="HCM106" s="46"/>
      <c r="HCN106" s="46"/>
      <c r="HCO106" s="46"/>
      <c r="HCP106" s="46"/>
      <c r="HCQ106" s="46"/>
      <c r="HCR106" s="47">
        <v>0</v>
      </c>
      <c r="HCS106" s="46" t="s">
        <v>45</v>
      </c>
      <c r="HCT106" s="46"/>
      <c r="HCU106" s="46"/>
      <c r="HCV106" s="46"/>
      <c r="HCW106" s="46"/>
      <c r="HCX106" s="46"/>
      <c r="HCY106" s="46"/>
      <c r="HCZ106" s="47">
        <v>0</v>
      </c>
      <c r="HDA106" s="46" t="s">
        <v>45</v>
      </c>
      <c r="HDB106" s="46"/>
      <c r="HDC106" s="46"/>
      <c r="HDD106" s="46"/>
      <c r="HDE106" s="46"/>
      <c r="HDF106" s="46"/>
      <c r="HDG106" s="46"/>
      <c r="HDH106" s="47">
        <v>0</v>
      </c>
      <c r="HDI106" s="46" t="s">
        <v>45</v>
      </c>
      <c r="HDJ106" s="46"/>
      <c r="HDK106" s="46"/>
      <c r="HDL106" s="46"/>
      <c r="HDM106" s="46"/>
      <c r="HDN106" s="46"/>
      <c r="HDO106" s="46"/>
      <c r="HDP106" s="47">
        <v>0</v>
      </c>
      <c r="HDQ106" s="46" t="s">
        <v>45</v>
      </c>
      <c r="HDR106" s="46"/>
      <c r="HDS106" s="46"/>
      <c r="HDT106" s="46"/>
      <c r="HDU106" s="46"/>
      <c r="HDV106" s="46"/>
      <c r="HDW106" s="46"/>
      <c r="HDX106" s="47">
        <v>0</v>
      </c>
      <c r="HDY106" s="46" t="s">
        <v>45</v>
      </c>
      <c r="HDZ106" s="46"/>
      <c r="HEA106" s="46"/>
      <c r="HEB106" s="46"/>
      <c r="HEC106" s="46"/>
      <c r="HED106" s="46"/>
      <c r="HEE106" s="46"/>
      <c r="HEF106" s="47">
        <v>0</v>
      </c>
      <c r="HEG106" s="46" t="s">
        <v>45</v>
      </c>
      <c r="HEH106" s="46"/>
      <c r="HEI106" s="46"/>
      <c r="HEJ106" s="46"/>
      <c r="HEK106" s="46"/>
      <c r="HEL106" s="46"/>
      <c r="HEM106" s="46"/>
      <c r="HEN106" s="47">
        <v>0</v>
      </c>
      <c r="HEO106" s="46" t="s">
        <v>45</v>
      </c>
      <c r="HEP106" s="46"/>
      <c r="HEQ106" s="46"/>
      <c r="HER106" s="46"/>
      <c r="HES106" s="46"/>
      <c r="HET106" s="46"/>
      <c r="HEU106" s="46"/>
      <c r="HEV106" s="47">
        <v>0</v>
      </c>
      <c r="HEW106" s="46" t="s">
        <v>45</v>
      </c>
      <c r="HEX106" s="46"/>
      <c r="HEY106" s="46"/>
      <c r="HEZ106" s="46"/>
      <c r="HFA106" s="46"/>
      <c r="HFB106" s="46"/>
      <c r="HFC106" s="46"/>
      <c r="HFD106" s="47">
        <v>0</v>
      </c>
      <c r="HFE106" s="46" t="s">
        <v>45</v>
      </c>
      <c r="HFF106" s="46"/>
      <c r="HFG106" s="46"/>
      <c r="HFH106" s="46"/>
      <c r="HFI106" s="46"/>
      <c r="HFJ106" s="46"/>
      <c r="HFK106" s="46"/>
      <c r="HFL106" s="47">
        <v>0</v>
      </c>
      <c r="HFM106" s="46" t="s">
        <v>45</v>
      </c>
      <c r="HFN106" s="46"/>
      <c r="HFO106" s="46"/>
      <c r="HFP106" s="46"/>
      <c r="HFQ106" s="46"/>
      <c r="HFR106" s="46"/>
      <c r="HFS106" s="46"/>
      <c r="HFT106" s="47">
        <v>0</v>
      </c>
      <c r="HFU106" s="46" t="s">
        <v>45</v>
      </c>
      <c r="HFV106" s="46"/>
      <c r="HFW106" s="46"/>
      <c r="HFX106" s="46"/>
      <c r="HFY106" s="46"/>
      <c r="HFZ106" s="46"/>
      <c r="HGA106" s="46"/>
      <c r="HGB106" s="47">
        <v>0</v>
      </c>
      <c r="HGC106" s="46" t="s">
        <v>45</v>
      </c>
      <c r="HGD106" s="46"/>
      <c r="HGE106" s="46"/>
      <c r="HGF106" s="46"/>
      <c r="HGG106" s="46"/>
      <c r="HGH106" s="46"/>
      <c r="HGI106" s="46"/>
      <c r="HGJ106" s="47">
        <v>0</v>
      </c>
      <c r="HGK106" s="46" t="s">
        <v>45</v>
      </c>
      <c r="HGL106" s="46"/>
      <c r="HGM106" s="46"/>
      <c r="HGN106" s="46"/>
      <c r="HGO106" s="46"/>
      <c r="HGP106" s="46"/>
      <c r="HGQ106" s="46"/>
      <c r="HGR106" s="47">
        <v>0</v>
      </c>
      <c r="HGS106" s="46" t="s">
        <v>45</v>
      </c>
      <c r="HGT106" s="46"/>
      <c r="HGU106" s="46"/>
      <c r="HGV106" s="46"/>
      <c r="HGW106" s="46"/>
      <c r="HGX106" s="46"/>
      <c r="HGY106" s="46"/>
      <c r="HGZ106" s="47">
        <v>0</v>
      </c>
      <c r="HHA106" s="46" t="s">
        <v>45</v>
      </c>
      <c r="HHB106" s="46"/>
      <c r="HHC106" s="46"/>
      <c r="HHD106" s="46"/>
      <c r="HHE106" s="46"/>
      <c r="HHF106" s="46"/>
      <c r="HHG106" s="46"/>
      <c r="HHH106" s="47">
        <v>0</v>
      </c>
      <c r="HHI106" s="46" t="s">
        <v>45</v>
      </c>
      <c r="HHJ106" s="46"/>
      <c r="HHK106" s="46"/>
      <c r="HHL106" s="46"/>
      <c r="HHM106" s="46"/>
      <c r="HHN106" s="46"/>
      <c r="HHO106" s="46"/>
      <c r="HHP106" s="47">
        <v>0</v>
      </c>
      <c r="HHQ106" s="46" t="s">
        <v>45</v>
      </c>
      <c r="HHR106" s="46"/>
      <c r="HHS106" s="46"/>
      <c r="HHT106" s="46"/>
      <c r="HHU106" s="46"/>
      <c r="HHV106" s="46"/>
      <c r="HHW106" s="46"/>
      <c r="HHX106" s="47">
        <v>0</v>
      </c>
      <c r="HHY106" s="46" t="s">
        <v>45</v>
      </c>
      <c r="HHZ106" s="46"/>
      <c r="HIA106" s="46"/>
      <c r="HIB106" s="46"/>
      <c r="HIC106" s="46"/>
      <c r="HID106" s="46"/>
      <c r="HIE106" s="46"/>
      <c r="HIF106" s="47">
        <v>0</v>
      </c>
      <c r="HIG106" s="46" t="s">
        <v>45</v>
      </c>
      <c r="HIH106" s="46"/>
      <c r="HII106" s="46"/>
      <c r="HIJ106" s="46"/>
      <c r="HIK106" s="46"/>
      <c r="HIL106" s="46"/>
      <c r="HIM106" s="46"/>
      <c r="HIN106" s="47">
        <v>0</v>
      </c>
      <c r="HIO106" s="46" t="s">
        <v>45</v>
      </c>
      <c r="HIP106" s="46"/>
      <c r="HIQ106" s="46"/>
      <c r="HIR106" s="46"/>
      <c r="HIS106" s="46"/>
      <c r="HIT106" s="46"/>
      <c r="HIU106" s="46"/>
      <c r="HIV106" s="47">
        <v>0</v>
      </c>
      <c r="HIW106" s="46" t="s">
        <v>45</v>
      </c>
      <c r="HIX106" s="46"/>
      <c r="HIY106" s="46"/>
      <c r="HIZ106" s="46"/>
      <c r="HJA106" s="46"/>
      <c r="HJB106" s="46"/>
      <c r="HJC106" s="46"/>
      <c r="HJD106" s="47">
        <v>0</v>
      </c>
      <c r="HJE106" s="46" t="s">
        <v>45</v>
      </c>
      <c r="HJF106" s="46"/>
      <c r="HJG106" s="46"/>
      <c r="HJH106" s="46"/>
      <c r="HJI106" s="46"/>
      <c r="HJJ106" s="46"/>
      <c r="HJK106" s="46"/>
      <c r="HJL106" s="47">
        <v>0</v>
      </c>
      <c r="HJM106" s="46" t="s">
        <v>45</v>
      </c>
      <c r="HJN106" s="46"/>
      <c r="HJO106" s="46"/>
      <c r="HJP106" s="46"/>
      <c r="HJQ106" s="46"/>
      <c r="HJR106" s="46"/>
      <c r="HJS106" s="46"/>
      <c r="HJT106" s="47">
        <v>0</v>
      </c>
      <c r="HJU106" s="46" t="s">
        <v>45</v>
      </c>
      <c r="HJV106" s="46"/>
      <c r="HJW106" s="46"/>
      <c r="HJX106" s="46"/>
      <c r="HJY106" s="46"/>
      <c r="HJZ106" s="46"/>
      <c r="HKA106" s="46"/>
      <c r="HKB106" s="47">
        <v>0</v>
      </c>
      <c r="HKC106" s="46" t="s">
        <v>45</v>
      </c>
      <c r="HKD106" s="46"/>
      <c r="HKE106" s="46"/>
      <c r="HKF106" s="46"/>
      <c r="HKG106" s="46"/>
      <c r="HKH106" s="46"/>
      <c r="HKI106" s="46"/>
      <c r="HKJ106" s="47">
        <v>0</v>
      </c>
      <c r="HKK106" s="46" t="s">
        <v>45</v>
      </c>
      <c r="HKL106" s="46"/>
      <c r="HKM106" s="46"/>
      <c r="HKN106" s="46"/>
      <c r="HKO106" s="46"/>
      <c r="HKP106" s="46"/>
      <c r="HKQ106" s="46"/>
      <c r="HKR106" s="47">
        <v>0</v>
      </c>
      <c r="HKS106" s="46" t="s">
        <v>45</v>
      </c>
      <c r="HKT106" s="46"/>
      <c r="HKU106" s="46"/>
      <c r="HKV106" s="46"/>
      <c r="HKW106" s="46"/>
      <c r="HKX106" s="46"/>
      <c r="HKY106" s="46"/>
      <c r="HKZ106" s="47">
        <v>0</v>
      </c>
      <c r="HLA106" s="46" t="s">
        <v>45</v>
      </c>
      <c r="HLB106" s="46"/>
      <c r="HLC106" s="46"/>
      <c r="HLD106" s="46"/>
      <c r="HLE106" s="46"/>
      <c r="HLF106" s="46"/>
      <c r="HLG106" s="46"/>
      <c r="HLH106" s="47">
        <v>0</v>
      </c>
      <c r="HLI106" s="46" t="s">
        <v>45</v>
      </c>
      <c r="HLJ106" s="46"/>
      <c r="HLK106" s="46"/>
      <c r="HLL106" s="46"/>
      <c r="HLM106" s="46"/>
      <c r="HLN106" s="46"/>
      <c r="HLO106" s="46"/>
      <c r="HLP106" s="47">
        <v>0</v>
      </c>
      <c r="HLQ106" s="46" t="s">
        <v>45</v>
      </c>
      <c r="HLR106" s="46"/>
      <c r="HLS106" s="46"/>
      <c r="HLT106" s="46"/>
      <c r="HLU106" s="46"/>
      <c r="HLV106" s="46"/>
      <c r="HLW106" s="46"/>
      <c r="HLX106" s="47">
        <v>0</v>
      </c>
      <c r="HLY106" s="46" t="s">
        <v>45</v>
      </c>
      <c r="HLZ106" s="46"/>
      <c r="HMA106" s="46"/>
      <c r="HMB106" s="46"/>
      <c r="HMC106" s="46"/>
      <c r="HMD106" s="46"/>
      <c r="HME106" s="46"/>
      <c r="HMF106" s="47">
        <v>0</v>
      </c>
      <c r="HMG106" s="46" t="s">
        <v>45</v>
      </c>
      <c r="HMH106" s="46"/>
      <c r="HMI106" s="46"/>
      <c r="HMJ106" s="46"/>
      <c r="HMK106" s="46"/>
      <c r="HML106" s="46"/>
      <c r="HMM106" s="46"/>
      <c r="HMN106" s="47">
        <v>0</v>
      </c>
      <c r="HMO106" s="46" t="s">
        <v>45</v>
      </c>
      <c r="HMP106" s="46"/>
      <c r="HMQ106" s="46"/>
      <c r="HMR106" s="46"/>
      <c r="HMS106" s="46"/>
      <c r="HMT106" s="46"/>
      <c r="HMU106" s="46"/>
      <c r="HMV106" s="47">
        <v>0</v>
      </c>
      <c r="HMW106" s="46" t="s">
        <v>45</v>
      </c>
      <c r="HMX106" s="46"/>
      <c r="HMY106" s="46"/>
      <c r="HMZ106" s="46"/>
      <c r="HNA106" s="46"/>
      <c r="HNB106" s="46"/>
      <c r="HNC106" s="46"/>
      <c r="HND106" s="47">
        <v>0</v>
      </c>
      <c r="HNE106" s="46" t="s">
        <v>45</v>
      </c>
      <c r="HNF106" s="46"/>
      <c r="HNG106" s="46"/>
      <c r="HNH106" s="46"/>
      <c r="HNI106" s="46"/>
      <c r="HNJ106" s="46"/>
      <c r="HNK106" s="46"/>
      <c r="HNL106" s="47">
        <v>0</v>
      </c>
      <c r="HNM106" s="46" t="s">
        <v>45</v>
      </c>
      <c r="HNN106" s="46"/>
      <c r="HNO106" s="46"/>
      <c r="HNP106" s="46"/>
      <c r="HNQ106" s="46"/>
      <c r="HNR106" s="46"/>
      <c r="HNS106" s="46"/>
      <c r="HNT106" s="47">
        <v>0</v>
      </c>
      <c r="HNU106" s="46" t="s">
        <v>45</v>
      </c>
      <c r="HNV106" s="46"/>
      <c r="HNW106" s="46"/>
      <c r="HNX106" s="46"/>
      <c r="HNY106" s="46"/>
      <c r="HNZ106" s="46"/>
      <c r="HOA106" s="46"/>
      <c r="HOB106" s="47">
        <v>0</v>
      </c>
      <c r="HOC106" s="46" t="s">
        <v>45</v>
      </c>
      <c r="HOD106" s="46"/>
      <c r="HOE106" s="46"/>
      <c r="HOF106" s="46"/>
      <c r="HOG106" s="46"/>
      <c r="HOH106" s="46"/>
      <c r="HOI106" s="46"/>
      <c r="HOJ106" s="47">
        <v>0</v>
      </c>
      <c r="HOK106" s="46" t="s">
        <v>45</v>
      </c>
      <c r="HOL106" s="46"/>
      <c r="HOM106" s="46"/>
      <c r="HON106" s="46"/>
      <c r="HOO106" s="46"/>
      <c r="HOP106" s="46"/>
      <c r="HOQ106" s="46"/>
      <c r="HOR106" s="47">
        <v>0</v>
      </c>
      <c r="HOS106" s="46" t="s">
        <v>45</v>
      </c>
      <c r="HOT106" s="46"/>
      <c r="HOU106" s="46"/>
      <c r="HOV106" s="46"/>
      <c r="HOW106" s="46"/>
      <c r="HOX106" s="46"/>
      <c r="HOY106" s="46"/>
      <c r="HOZ106" s="47">
        <v>0</v>
      </c>
      <c r="HPA106" s="46" t="s">
        <v>45</v>
      </c>
      <c r="HPB106" s="46"/>
      <c r="HPC106" s="46"/>
      <c r="HPD106" s="46"/>
      <c r="HPE106" s="46"/>
      <c r="HPF106" s="46"/>
      <c r="HPG106" s="46"/>
      <c r="HPH106" s="47">
        <v>0</v>
      </c>
      <c r="HPI106" s="46" t="s">
        <v>45</v>
      </c>
      <c r="HPJ106" s="46"/>
      <c r="HPK106" s="46"/>
      <c r="HPL106" s="46"/>
      <c r="HPM106" s="46"/>
      <c r="HPN106" s="46"/>
      <c r="HPO106" s="46"/>
      <c r="HPP106" s="47">
        <v>0</v>
      </c>
      <c r="HPQ106" s="46" t="s">
        <v>45</v>
      </c>
      <c r="HPR106" s="46"/>
      <c r="HPS106" s="46"/>
      <c r="HPT106" s="46"/>
      <c r="HPU106" s="46"/>
      <c r="HPV106" s="46"/>
      <c r="HPW106" s="46"/>
      <c r="HPX106" s="47">
        <v>0</v>
      </c>
      <c r="HPY106" s="46" t="s">
        <v>45</v>
      </c>
      <c r="HPZ106" s="46"/>
      <c r="HQA106" s="46"/>
      <c r="HQB106" s="46"/>
      <c r="HQC106" s="46"/>
      <c r="HQD106" s="46"/>
      <c r="HQE106" s="46"/>
      <c r="HQF106" s="47">
        <v>0</v>
      </c>
      <c r="HQG106" s="46" t="s">
        <v>45</v>
      </c>
      <c r="HQH106" s="46"/>
      <c r="HQI106" s="46"/>
      <c r="HQJ106" s="46"/>
      <c r="HQK106" s="46"/>
      <c r="HQL106" s="46"/>
      <c r="HQM106" s="46"/>
      <c r="HQN106" s="47">
        <v>0</v>
      </c>
      <c r="HQO106" s="46" t="s">
        <v>45</v>
      </c>
      <c r="HQP106" s="46"/>
      <c r="HQQ106" s="46"/>
      <c r="HQR106" s="46"/>
      <c r="HQS106" s="46"/>
      <c r="HQT106" s="46"/>
      <c r="HQU106" s="46"/>
      <c r="HQV106" s="47">
        <v>0</v>
      </c>
      <c r="HQW106" s="46" t="s">
        <v>45</v>
      </c>
      <c r="HQX106" s="46"/>
      <c r="HQY106" s="46"/>
      <c r="HQZ106" s="46"/>
      <c r="HRA106" s="46"/>
      <c r="HRB106" s="46"/>
      <c r="HRC106" s="46"/>
      <c r="HRD106" s="47">
        <v>0</v>
      </c>
      <c r="HRE106" s="46" t="s">
        <v>45</v>
      </c>
      <c r="HRF106" s="46"/>
      <c r="HRG106" s="46"/>
      <c r="HRH106" s="46"/>
      <c r="HRI106" s="46"/>
      <c r="HRJ106" s="46"/>
      <c r="HRK106" s="46"/>
      <c r="HRL106" s="47">
        <v>0</v>
      </c>
      <c r="HRM106" s="46" t="s">
        <v>45</v>
      </c>
      <c r="HRN106" s="46"/>
      <c r="HRO106" s="46"/>
      <c r="HRP106" s="46"/>
      <c r="HRQ106" s="46"/>
      <c r="HRR106" s="46"/>
      <c r="HRS106" s="46"/>
      <c r="HRT106" s="47">
        <v>0</v>
      </c>
      <c r="HRU106" s="46" t="s">
        <v>45</v>
      </c>
      <c r="HRV106" s="46"/>
      <c r="HRW106" s="46"/>
      <c r="HRX106" s="46"/>
      <c r="HRY106" s="46"/>
      <c r="HRZ106" s="46"/>
      <c r="HSA106" s="46"/>
      <c r="HSB106" s="47">
        <v>0</v>
      </c>
      <c r="HSC106" s="46" t="s">
        <v>45</v>
      </c>
      <c r="HSD106" s="46"/>
      <c r="HSE106" s="46"/>
      <c r="HSF106" s="46"/>
      <c r="HSG106" s="46"/>
      <c r="HSH106" s="46"/>
      <c r="HSI106" s="46"/>
      <c r="HSJ106" s="47">
        <v>0</v>
      </c>
      <c r="HSK106" s="46" t="s">
        <v>45</v>
      </c>
      <c r="HSL106" s="46"/>
      <c r="HSM106" s="46"/>
      <c r="HSN106" s="46"/>
      <c r="HSO106" s="46"/>
      <c r="HSP106" s="46"/>
      <c r="HSQ106" s="46"/>
      <c r="HSR106" s="47">
        <v>0</v>
      </c>
      <c r="HSS106" s="46" t="s">
        <v>45</v>
      </c>
      <c r="HST106" s="46"/>
      <c r="HSU106" s="46"/>
      <c r="HSV106" s="46"/>
      <c r="HSW106" s="46"/>
      <c r="HSX106" s="46"/>
      <c r="HSY106" s="46"/>
      <c r="HSZ106" s="47">
        <v>0</v>
      </c>
      <c r="HTA106" s="46" t="s">
        <v>45</v>
      </c>
      <c r="HTB106" s="46"/>
      <c r="HTC106" s="46"/>
      <c r="HTD106" s="46"/>
      <c r="HTE106" s="46"/>
      <c r="HTF106" s="46"/>
      <c r="HTG106" s="46"/>
      <c r="HTH106" s="47">
        <v>0</v>
      </c>
      <c r="HTI106" s="46" t="s">
        <v>45</v>
      </c>
      <c r="HTJ106" s="46"/>
      <c r="HTK106" s="46"/>
      <c r="HTL106" s="46"/>
      <c r="HTM106" s="46"/>
      <c r="HTN106" s="46"/>
      <c r="HTO106" s="46"/>
      <c r="HTP106" s="47">
        <v>0</v>
      </c>
      <c r="HTQ106" s="46" t="s">
        <v>45</v>
      </c>
      <c r="HTR106" s="46"/>
      <c r="HTS106" s="46"/>
      <c r="HTT106" s="46"/>
      <c r="HTU106" s="46"/>
      <c r="HTV106" s="46"/>
      <c r="HTW106" s="46"/>
      <c r="HTX106" s="47">
        <v>0</v>
      </c>
      <c r="HTY106" s="46" t="s">
        <v>45</v>
      </c>
      <c r="HTZ106" s="46"/>
      <c r="HUA106" s="46"/>
      <c r="HUB106" s="46"/>
      <c r="HUC106" s="46"/>
      <c r="HUD106" s="46"/>
      <c r="HUE106" s="46"/>
      <c r="HUF106" s="47">
        <v>0</v>
      </c>
      <c r="HUG106" s="46" t="s">
        <v>45</v>
      </c>
      <c r="HUH106" s="46"/>
      <c r="HUI106" s="46"/>
      <c r="HUJ106" s="46"/>
      <c r="HUK106" s="46"/>
      <c r="HUL106" s="46"/>
      <c r="HUM106" s="46"/>
      <c r="HUN106" s="47">
        <v>0</v>
      </c>
      <c r="HUO106" s="46" t="s">
        <v>45</v>
      </c>
      <c r="HUP106" s="46"/>
      <c r="HUQ106" s="46"/>
      <c r="HUR106" s="46"/>
      <c r="HUS106" s="46"/>
      <c r="HUT106" s="46"/>
      <c r="HUU106" s="46"/>
      <c r="HUV106" s="47">
        <v>0</v>
      </c>
      <c r="HUW106" s="46" t="s">
        <v>45</v>
      </c>
      <c r="HUX106" s="46"/>
      <c r="HUY106" s="46"/>
      <c r="HUZ106" s="46"/>
      <c r="HVA106" s="46"/>
      <c r="HVB106" s="46"/>
      <c r="HVC106" s="46"/>
      <c r="HVD106" s="47">
        <v>0</v>
      </c>
      <c r="HVE106" s="46" t="s">
        <v>45</v>
      </c>
      <c r="HVF106" s="46"/>
      <c r="HVG106" s="46"/>
      <c r="HVH106" s="46"/>
      <c r="HVI106" s="46"/>
      <c r="HVJ106" s="46"/>
      <c r="HVK106" s="46"/>
      <c r="HVL106" s="47">
        <v>0</v>
      </c>
      <c r="HVM106" s="46" t="s">
        <v>45</v>
      </c>
      <c r="HVN106" s="46"/>
      <c r="HVO106" s="46"/>
      <c r="HVP106" s="46"/>
      <c r="HVQ106" s="46"/>
      <c r="HVR106" s="46"/>
      <c r="HVS106" s="46"/>
      <c r="HVT106" s="47">
        <v>0</v>
      </c>
      <c r="HVU106" s="46" t="s">
        <v>45</v>
      </c>
      <c r="HVV106" s="46"/>
      <c r="HVW106" s="46"/>
      <c r="HVX106" s="46"/>
      <c r="HVY106" s="46"/>
      <c r="HVZ106" s="46"/>
      <c r="HWA106" s="46"/>
      <c r="HWB106" s="47">
        <v>0</v>
      </c>
      <c r="HWC106" s="46" t="s">
        <v>45</v>
      </c>
      <c r="HWD106" s="46"/>
      <c r="HWE106" s="46"/>
      <c r="HWF106" s="46"/>
      <c r="HWG106" s="46"/>
      <c r="HWH106" s="46"/>
      <c r="HWI106" s="46"/>
      <c r="HWJ106" s="47">
        <v>0</v>
      </c>
      <c r="HWK106" s="46" t="s">
        <v>45</v>
      </c>
      <c r="HWL106" s="46"/>
      <c r="HWM106" s="46"/>
      <c r="HWN106" s="46"/>
      <c r="HWO106" s="46"/>
      <c r="HWP106" s="46"/>
      <c r="HWQ106" s="46"/>
      <c r="HWR106" s="47">
        <v>0</v>
      </c>
      <c r="HWS106" s="46" t="s">
        <v>45</v>
      </c>
      <c r="HWT106" s="46"/>
      <c r="HWU106" s="46"/>
      <c r="HWV106" s="46"/>
      <c r="HWW106" s="46"/>
      <c r="HWX106" s="46"/>
      <c r="HWY106" s="46"/>
      <c r="HWZ106" s="47">
        <v>0</v>
      </c>
      <c r="HXA106" s="46" t="s">
        <v>45</v>
      </c>
      <c r="HXB106" s="46"/>
      <c r="HXC106" s="46"/>
      <c r="HXD106" s="46"/>
      <c r="HXE106" s="46"/>
      <c r="HXF106" s="46"/>
      <c r="HXG106" s="46"/>
      <c r="HXH106" s="47">
        <v>0</v>
      </c>
      <c r="HXI106" s="46" t="s">
        <v>45</v>
      </c>
      <c r="HXJ106" s="46"/>
      <c r="HXK106" s="46"/>
      <c r="HXL106" s="46"/>
      <c r="HXM106" s="46"/>
      <c r="HXN106" s="46"/>
      <c r="HXO106" s="46"/>
      <c r="HXP106" s="47">
        <v>0</v>
      </c>
      <c r="HXQ106" s="46" t="s">
        <v>45</v>
      </c>
      <c r="HXR106" s="46"/>
      <c r="HXS106" s="46"/>
      <c r="HXT106" s="46"/>
      <c r="HXU106" s="46"/>
      <c r="HXV106" s="46"/>
      <c r="HXW106" s="46"/>
      <c r="HXX106" s="47">
        <v>0</v>
      </c>
      <c r="HXY106" s="46" t="s">
        <v>45</v>
      </c>
      <c r="HXZ106" s="46"/>
      <c r="HYA106" s="46"/>
      <c r="HYB106" s="46"/>
      <c r="HYC106" s="46"/>
      <c r="HYD106" s="46"/>
      <c r="HYE106" s="46"/>
      <c r="HYF106" s="47">
        <v>0</v>
      </c>
      <c r="HYG106" s="46" t="s">
        <v>45</v>
      </c>
      <c r="HYH106" s="46"/>
      <c r="HYI106" s="46"/>
      <c r="HYJ106" s="46"/>
      <c r="HYK106" s="46"/>
      <c r="HYL106" s="46"/>
      <c r="HYM106" s="46"/>
      <c r="HYN106" s="47">
        <v>0</v>
      </c>
      <c r="HYO106" s="46" t="s">
        <v>45</v>
      </c>
      <c r="HYP106" s="46"/>
      <c r="HYQ106" s="46"/>
      <c r="HYR106" s="46"/>
      <c r="HYS106" s="46"/>
      <c r="HYT106" s="46"/>
      <c r="HYU106" s="46"/>
      <c r="HYV106" s="47">
        <v>0</v>
      </c>
      <c r="HYW106" s="46" t="s">
        <v>45</v>
      </c>
      <c r="HYX106" s="46"/>
      <c r="HYY106" s="46"/>
      <c r="HYZ106" s="46"/>
      <c r="HZA106" s="46"/>
      <c r="HZB106" s="46"/>
      <c r="HZC106" s="46"/>
      <c r="HZD106" s="47">
        <v>0</v>
      </c>
      <c r="HZE106" s="46" t="s">
        <v>45</v>
      </c>
      <c r="HZF106" s="46"/>
      <c r="HZG106" s="46"/>
      <c r="HZH106" s="46"/>
      <c r="HZI106" s="46"/>
      <c r="HZJ106" s="46"/>
      <c r="HZK106" s="46"/>
      <c r="HZL106" s="47">
        <v>0</v>
      </c>
      <c r="HZM106" s="46" t="s">
        <v>45</v>
      </c>
      <c r="HZN106" s="46"/>
      <c r="HZO106" s="46"/>
      <c r="HZP106" s="46"/>
      <c r="HZQ106" s="46"/>
      <c r="HZR106" s="46"/>
      <c r="HZS106" s="46"/>
      <c r="HZT106" s="47">
        <v>0</v>
      </c>
      <c r="HZU106" s="46" t="s">
        <v>45</v>
      </c>
      <c r="HZV106" s="46"/>
      <c r="HZW106" s="46"/>
      <c r="HZX106" s="46"/>
      <c r="HZY106" s="46"/>
      <c r="HZZ106" s="46"/>
      <c r="IAA106" s="46"/>
      <c r="IAB106" s="47">
        <v>0</v>
      </c>
      <c r="IAC106" s="46" t="s">
        <v>45</v>
      </c>
      <c r="IAD106" s="46"/>
      <c r="IAE106" s="46"/>
      <c r="IAF106" s="46"/>
      <c r="IAG106" s="46"/>
      <c r="IAH106" s="46"/>
      <c r="IAI106" s="46"/>
      <c r="IAJ106" s="47">
        <v>0</v>
      </c>
      <c r="IAK106" s="46" t="s">
        <v>45</v>
      </c>
      <c r="IAL106" s="46"/>
      <c r="IAM106" s="46"/>
      <c r="IAN106" s="46"/>
      <c r="IAO106" s="46"/>
      <c r="IAP106" s="46"/>
      <c r="IAQ106" s="46"/>
      <c r="IAR106" s="47">
        <v>0</v>
      </c>
      <c r="IAS106" s="46" t="s">
        <v>45</v>
      </c>
      <c r="IAT106" s="46"/>
      <c r="IAU106" s="46"/>
      <c r="IAV106" s="46"/>
      <c r="IAW106" s="46"/>
      <c r="IAX106" s="46"/>
      <c r="IAY106" s="46"/>
      <c r="IAZ106" s="47">
        <v>0</v>
      </c>
      <c r="IBA106" s="46" t="s">
        <v>45</v>
      </c>
      <c r="IBB106" s="46"/>
      <c r="IBC106" s="46"/>
      <c r="IBD106" s="46"/>
      <c r="IBE106" s="46"/>
      <c r="IBF106" s="46"/>
      <c r="IBG106" s="46"/>
      <c r="IBH106" s="47">
        <v>0</v>
      </c>
      <c r="IBI106" s="46" t="s">
        <v>45</v>
      </c>
      <c r="IBJ106" s="46"/>
      <c r="IBK106" s="46"/>
      <c r="IBL106" s="46"/>
      <c r="IBM106" s="46"/>
      <c r="IBN106" s="46"/>
      <c r="IBO106" s="46"/>
      <c r="IBP106" s="47">
        <v>0</v>
      </c>
      <c r="IBQ106" s="46" t="s">
        <v>45</v>
      </c>
      <c r="IBR106" s="46"/>
      <c r="IBS106" s="46"/>
      <c r="IBT106" s="46"/>
      <c r="IBU106" s="46"/>
      <c r="IBV106" s="46"/>
      <c r="IBW106" s="46"/>
      <c r="IBX106" s="47">
        <v>0</v>
      </c>
      <c r="IBY106" s="46" t="s">
        <v>45</v>
      </c>
      <c r="IBZ106" s="46"/>
      <c r="ICA106" s="46"/>
      <c r="ICB106" s="46"/>
      <c r="ICC106" s="46"/>
      <c r="ICD106" s="46"/>
      <c r="ICE106" s="46"/>
      <c r="ICF106" s="47">
        <v>0</v>
      </c>
      <c r="ICG106" s="46" t="s">
        <v>45</v>
      </c>
      <c r="ICH106" s="46"/>
      <c r="ICI106" s="46"/>
      <c r="ICJ106" s="46"/>
      <c r="ICK106" s="46"/>
      <c r="ICL106" s="46"/>
      <c r="ICM106" s="46"/>
      <c r="ICN106" s="47">
        <v>0</v>
      </c>
      <c r="ICO106" s="46" t="s">
        <v>45</v>
      </c>
      <c r="ICP106" s="46"/>
      <c r="ICQ106" s="46"/>
      <c r="ICR106" s="46"/>
      <c r="ICS106" s="46"/>
      <c r="ICT106" s="46"/>
      <c r="ICU106" s="46"/>
      <c r="ICV106" s="47">
        <v>0</v>
      </c>
      <c r="ICW106" s="46" t="s">
        <v>45</v>
      </c>
      <c r="ICX106" s="46"/>
      <c r="ICY106" s="46"/>
      <c r="ICZ106" s="46"/>
      <c r="IDA106" s="46"/>
      <c r="IDB106" s="46"/>
      <c r="IDC106" s="46"/>
      <c r="IDD106" s="47">
        <v>0</v>
      </c>
      <c r="IDE106" s="46" t="s">
        <v>45</v>
      </c>
      <c r="IDF106" s="46"/>
      <c r="IDG106" s="46"/>
      <c r="IDH106" s="46"/>
      <c r="IDI106" s="46"/>
      <c r="IDJ106" s="46"/>
      <c r="IDK106" s="46"/>
      <c r="IDL106" s="47">
        <v>0</v>
      </c>
      <c r="IDM106" s="46" t="s">
        <v>45</v>
      </c>
      <c r="IDN106" s="46"/>
      <c r="IDO106" s="46"/>
      <c r="IDP106" s="46"/>
      <c r="IDQ106" s="46"/>
      <c r="IDR106" s="46"/>
      <c r="IDS106" s="46"/>
      <c r="IDT106" s="47">
        <v>0</v>
      </c>
      <c r="IDU106" s="46" t="s">
        <v>45</v>
      </c>
      <c r="IDV106" s="46"/>
      <c r="IDW106" s="46"/>
      <c r="IDX106" s="46"/>
      <c r="IDY106" s="46"/>
      <c r="IDZ106" s="46"/>
      <c r="IEA106" s="46"/>
      <c r="IEB106" s="47">
        <v>0</v>
      </c>
      <c r="IEC106" s="46" t="s">
        <v>45</v>
      </c>
      <c r="IED106" s="46"/>
      <c r="IEE106" s="46"/>
      <c r="IEF106" s="46"/>
      <c r="IEG106" s="46"/>
      <c r="IEH106" s="46"/>
      <c r="IEI106" s="46"/>
      <c r="IEJ106" s="47">
        <v>0</v>
      </c>
      <c r="IEK106" s="46" t="s">
        <v>45</v>
      </c>
      <c r="IEL106" s="46"/>
      <c r="IEM106" s="46"/>
      <c r="IEN106" s="46"/>
      <c r="IEO106" s="46"/>
      <c r="IEP106" s="46"/>
      <c r="IEQ106" s="46"/>
      <c r="IER106" s="47">
        <v>0</v>
      </c>
      <c r="IES106" s="46" t="s">
        <v>45</v>
      </c>
      <c r="IET106" s="46"/>
      <c r="IEU106" s="46"/>
      <c r="IEV106" s="46"/>
      <c r="IEW106" s="46"/>
      <c r="IEX106" s="46"/>
      <c r="IEY106" s="46"/>
      <c r="IEZ106" s="47">
        <v>0</v>
      </c>
      <c r="IFA106" s="46" t="s">
        <v>45</v>
      </c>
      <c r="IFB106" s="46"/>
      <c r="IFC106" s="46"/>
      <c r="IFD106" s="46"/>
      <c r="IFE106" s="46"/>
      <c r="IFF106" s="46"/>
      <c r="IFG106" s="46"/>
      <c r="IFH106" s="47">
        <v>0</v>
      </c>
      <c r="IFI106" s="46" t="s">
        <v>45</v>
      </c>
      <c r="IFJ106" s="46"/>
      <c r="IFK106" s="46"/>
      <c r="IFL106" s="46"/>
      <c r="IFM106" s="46"/>
      <c r="IFN106" s="46"/>
      <c r="IFO106" s="46"/>
      <c r="IFP106" s="47">
        <v>0</v>
      </c>
      <c r="IFQ106" s="46" t="s">
        <v>45</v>
      </c>
      <c r="IFR106" s="46"/>
      <c r="IFS106" s="46"/>
      <c r="IFT106" s="46"/>
      <c r="IFU106" s="46"/>
      <c r="IFV106" s="46"/>
      <c r="IFW106" s="46"/>
      <c r="IFX106" s="47">
        <v>0</v>
      </c>
      <c r="IFY106" s="46" t="s">
        <v>45</v>
      </c>
      <c r="IFZ106" s="46"/>
      <c r="IGA106" s="46"/>
      <c r="IGB106" s="46"/>
      <c r="IGC106" s="46"/>
      <c r="IGD106" s="46"/>
      <c r="IGE106" s="46"/>
      <c r="IGF106" s="47">
        <v>0</v>
      </c>
      <c r="IGG106" s="46" t="s">
        <v>45</v>
      </c>
      <c r="IGH106" s="46"/>
      <c r="IGI106" s="46"/>
      <c r="IGJ106" s="46"/>
      <c r="IGK106" s="46"/>
      <c r="IGL106" s="46"/>
      <c r="IGM106" s="46"/>
      <c r="IGN106" s="47">
        <v>0</v>
      </c>
      <c r="IGO106" s="46" t="s">
        <v>45</v>
      </c>
      <c r="IGP106" s="46"/>
      <c r="IGQ106" s="46"/>
      <c r="IGR106" s="46"/>
      <c r="IGS106" s="46"/>
      <c r="IGT106" s="46"/>
      <c r="IGU106" s="46"/>
      <c r="IGV106" s="47">
        <v>0</v>
      </c>
      <c r="IGW106" s="46" t="s">
        <v>45</v>
      </c>
      <c r="IGX106" s="46"/>
      <c r="IGY106" s="46"/>
      <c r="IGZ106" s="46"/>
      <c r="IHA106" s="46"/>
      <c r="IHB106" s="46"/>
      <c r="IHC106" s="46"/>
      <c r="IHD106" s="47">
        <v>0</v>
      </c>
      <c r="IHE106" s="46" t="s">
        <v>45</v>
      </c>
      <c r="IHF106" s="46"/>
      <c r="IHG106" s="46"/>
      <c r="IHH106" s="46"/>
      <c r="IHI106" s="46"/>
      <c r="IHJ106" s="46"/>
      <c r="IHK106" s="46"/>
      <c r="IHL106" s="47">
        <v>0</v>
      </c>
      <c r="IHM106" s="46" t="s">
        <v>45</v>
      </c>
      <c r="IHN106" s="46"/>
      <c r="IHO106" s="46"/>
      <c r="IHP106" s="46"/>
      <c r="IHQ106" s="46"/>
      <c r="IHR106" s="46"/>
      <c r="IHS106" s="46"/>
      <c r="IHT106" s="47">
        <v>0</v>
      </c>
      <c r="IHU106" s="46" t="s">
        <v>45</v>
      </c>
      <c r="IHV106" s="46"/>
      <c r="IHW106" s="46"/>
      <c r="IHX106" s="46"/>
      <c r="IHY106" s="46"/>
      <c r="IHZ106" s="46"/>
      <c r="IIA106" s="46"/>
      <c r="IIB106" s="47">
        <v>0</v>
      </c>
      <c r="IIC106" s="46" t="s">
        <v>45</v>
      </c>
      <c r="IID106" s="46"/>
      <c r="IIE106" s="46"/>
      <c r="IIF106" s="46"/>
      <c r="IIG106" s="46"/>
      <c r="IIH106" s="46"/>
      <c r="III106" s="46"/>
      <c r="IIJ106" s="47">
        <v>0</v>
      </c>
      <c r="IIK106" s="46" t="s">
        <v>45</v>
      </c>
      <c r="IIL106" s="46"/>
      <c r="IIM106" s="46"/>
      <c r="IIN106" s="46"/>
      <c r="IIO106" s="46"/>
      <c r="IIP106" s="46"/>
      <c r="IIQ106" s="46"/>
      <c r="IIR106" s="47">
        <v>0</v>
      </c>
      <c r="IIS106" s="46" t="s">
        <v>45</v>
      </c>
      <c r="IIT106" s="46"/>
      <c r="IIU106" s="46"/>
      <c r="IIV106" s="46"/>
      <c r="IIW106" s="46"/>
      <c r="IIX106" s="46"/>
      <c r="IIY106" s="46"/>
      <c r="IIZ106" s="47">
        <v>0</v>
      </c>
      <c r="IJA106" s="46" t="s">
        <v>45</v>
      </c>
      <c r="IJB106" s="46"/>
      <c r="IJC106" s="46"/>
      <c r="IJD106" s="46"/>
      <c r="IJE106" s="46"/>
      <c r="IJF106" s="46"/>
      <c r="IJG106" s="46"/>
      <c r="IJH106" s="47">
        <v>0</v>
      </c>
      <c r="IJI106" s="46" t="s">
        <v>45</v>
      </c>
      <c r="IJJ106" s="46"/>
      <c r="IJK106" s="46"/>
      <c r="IJL106" s="46"/>
      <c r="IJM106" s="46"/>
      <c r="IJN106" s="46"/>
      <c r="IJO106" s="46"/>
      <c r="IJP106" s="47">
        <v>0</v>
      </c>
      <c r="IJQ106" s="46" t="s">
        <v>45</v>
      </c>
      <c r="IJR106" s="46"/>
      <c r="IJS106" s="46"/>
      <c r="IJT106" s="46"/>
      <c r="IJU106" s="46"/>
      <c r="IJV106" s="46"/>
      <c r="IJW106" s="46"/>
      <c r="IJX106" s="47">
        <v>0</v>
      </c>
      <c r="IJY106" s="46" t="s">
        <v>45</v>
      </c>
      <c r="IJZ106" s="46"/>
      <c r="IKA106" s="46"/>
      <c r="IKB106" s="46"/>
      <c r="IKC106" s="46"/>
      <c r="IKD106" s="46"/>
      <c r="IKE106" s="46"/>
      <c r="IKF106" s="47">
        <v>0</v>
      </c>
      <c r="IKG106" s="46" t="s">
        <v>45</v>
      </c>
      <c r="IKH106" s="46"/>
      <c r="IKI106" s="46"/>
      <c r="IKJ106" s="46"/>
      <c r="IKK106" s="46"/>
      <c r="IKL106" s="46"/>
      <c r="IKM106" s="46"/>
      <c r="IKN106" s="47">
        <v>0</v>
      </c>
      <c r="IKO106" s="46" t="s">
        <v>45</v>
      </c>
      <c r="IKP106" s="46"/>
      <c r="IKQ106" s="46"/>
      <c r="IKR106" s="46"/>
      <c r="IKS106" s="46"/>
      <c r="IKT106" s="46"/>
      <c r="IKU106" s="46"/>
      <c r="IKV106" s="47">
        <v>0</v>
      </c>
      <c r="IKW106" s="46" t="s">
        <v>45</v>
      </c>
      <c r="IKX106" s="46"/>
      <c r="IKY106" s="46"/>
      <c r="IKZ106" s="46"/>
      <c r="ILA106" s="46"/>
      <c r="ILB106" s="46"/>
      <c r="ILC106" s="46"/>
      <c r="ILD106" s="47">
        <v>0</v>
      </c>
      <c r="ILE106" s="46" t="s">
        <v>45</v>
      </c>
      <c r="ILF106" s="46"/>
      <c r="ILG106" s="46"/>
      <c r="ILH106" s="46"/>
      <c r="ILI106" s="46"/>
      <c r="ILJ106" s="46"/>
      <c r="ILK106" s="46"/>
      <c r="ILL106" s="47">
        <v>0</v>
      </c>
      <c r="ILM106" s="46" t="s">
        <v>45</v>
      </c>
      <c r="ILN106" s="46"/>
      <c r="ILO106" s="46"/>
      <c r="ILP106" s="46"/>
      <c r="ILQ106" s="46"/>
      <c r="ILR106" s="46"/>
      <c r="ILS106" s="46"/>
      <c r="ILT106" s="47">
        <v>0</v>
      </c>
      <c r="ILU106" s="46" t="s">
        <v>45</v>
      </c>
      <c r="ILV106" s="46"/>
      <c r="ILW106" s="46"/>
      <c r="ILX106" s="46"/>
      <c r="ILY106" s="46"/>
      <c r="ILZ106" s="46"/>
      <c r="IMA106" s="46"/>
      <c r="IMB106" s="47">
        <v>0</v>
      </c>
      <c r="IMC106" s="46" t="s">
        <v>45</v>
      </c>
      <c r="IMD106" s="46"/>
      <c r="IME106" s="46"/>
      <c r="IMF106" s="46"/>
      <c r="IMG106" s="46"/>
      <c r="IMH106" s="46"/>
      <c r="IMI106" s="46"/>
      <c r="IMJ106" s="47">
        <v>0</v>
      </c>
      <c r="IMK106" s="46" t="s">
        <v>45</v>
      </c>
      <c r="IML106" s="46"/>
      <c r="IMM106" s="46"/>
      <c r="IMN106" s="46"/>
      <c r="IMO106" s="46"/>
      <c r="IMP106" s="46"/>
      <c r="IMQ106" s="46"/>
      <c r="IMR106" s="47">
        <v>0</v>
      </c>
      <c r="IMS106" s="46" t="s">
        <v>45</v>
      </c>
      <c r="IMT106" s="46"/>
      <c r="IMU106" s="46"/>
      <c r="IMV106" s="46"/>
      <c r="IMW106" s="46"/>
      <c r="IMX106" s="46"/>
      <c r="IMY106" s="46"/>
      <c r="IMZ106" s="47">
        <v>0</v>
      </c>
      <c r="INA106" s="46" t="s">
        <v>45</v>
      </c>
      <c r="INB106" s="46"/>
      <c r="INC106" s="46"/>
      <c r="IND106" s="46"/>
      <c r="INE106" s="46"/>
      <c r="INF106" s="46"/>
      <c r="ING106" s="46"/>
      <c r="INH106" s="47">
        <v>0</v>
      </c>
      <c r="INI106" s="46" t="s">
        <v>45</v>
      </c>
      <c r="INJ106" s="46"/>
      <c r="INK106" s="46"/>
      <c r="INL106" s="46"/>
      <c r="INM106" s="46"/>
      <c r="INN106" s="46"/>
      <c r="INO106" s="46"/>
      <c r="INP106" s="47">
        <v>0</v>
      </c>
      <c r="INQ106" s="46" t="s">
        <v>45</v>
      </c>
      <c r="INR106" s="46"/>
      <c r="INS106" s="46"/>
      <c r="INT106" s="46"/>
      <c r="INU106" s="46"/>
      <c r="INV106" s="46"/>
      <c r="INW106" s="46"/>
      <c r="INX106" s="47">
        <v>0</v>
      </c>
      <c r="INY106" s="46" t="s">
        <v>45</v>
      </c>
      <c r="INZ106" s="46"/>
      <c r="IOA106" s="46"/>
      <c r="IOB106" s="46"/>
      <c r="IOC106" s="46"/>
      <c r="IOD106" s="46"/>
      <c r="IOE106" s="46"/>
      <c r="IOF106" s="47">
        <v>0</v>
      </c>
      <c r="IOG106" s="46" t="s">
        <v>45</v>
      </c>
      <c r="IOH106" s="46"/>
      <c r="IOI106" s="46"/>
      <c r="IOJ106" s="46"/>
      <c r="IOK106" s="46"/>
      <c r="IOL106" s="46"/>
      <c r="IOM106" s="46"/>
      <c r="ION106" s="47">
        <v>0</v>
      </c>
      <c r="IOO106" s="46" t="s">
        <v>45</v>
      </c>
      <c r="IOP106" s="46"/>
      <c r="IOQ106" s="46"/>
      <c r="IOR106" s="46"/>
      <c r="IOS106" s="46"/>
      <c r="IOT106" s="46"/>
      <c r="IOU106" s="46"/>
      <c r="IOV106" s="47">
        <v>0</v>
      </c>
      <c r="IOW106" s="46" t="s">
        <v>45</v>
      </c>
      <c r="IOX106" s="46"/>
      <c r="IOY106" s="46"/>
      <c r="IOZ106" s="46"/>
      <c r="IPA106" s="46"/>
      <c r="IPB106" s="46"/>
      <c r="IPC106" s="46"/>
      <c r="IPD106" s="47">
        <v>0</v>
      </c>
      <c r="IPE106" s="46" t="s">
        <v>45</v>
      </c>
      <c r="IPF106" s="46"/>
      <c r="IPG106" s="46"/>
      <c r="IPH106" s="46"/>
      <c r="IPI106" s="46"/>
      <c r="IPJ106" s="46"/>
      <c r="IPK106" s="46"/>
      <c r="IPL106" s="47">
        <v>0</v>
      </c>
      <c r="IPM106" s="46" t="s">
        <v>45</v>
      </c>
      <c r="IPN106" s="46"/>
      <c r="IPO106" s="46"/>
      <c r="IPP106" s="46"/>
      <c r="IPQ106" s="46"/>
      <c r="IPR106" s="46"/>
      <c r="IPS106" s="46"/>
      <c r="IPT106" s="47">
        <v>0</v>
      </c>
      <c r="IPU106" s="46" t="s">
        <v>45</v>
      </c>
      <c r="IPV106" s="46"/>
      <c r="IPW106" s="46"/>
      <c r="IPX106" s="46"/>
      <c r="IPY106" s="46"/>
      <c r="IPZ106" s="46"/>
      <c r="IQA106" s="46"/>
      <c r="IQB106" s="47">
        <v>0</v>
      </c>
      <c r="IQC106" s="46" t="s">
        <v>45</v>
      </c>
      <c r="IQD106" s="46"/>
      <c r="IQE106" s="46"/>
      <c r="IQF106" s="46"/>
      <c r="IQG106" s="46"/>
      <c r="IQH106" s="46"/>
      <c r="IQI106" s="46"/>
      <c r="IQJ106" s="47">
        <v>0</v>
      </c>
      <c r="IQK106" s="46" t="s">
        <v>45</v>
      </c>
      <c r="IQL106" s="46"/>
      <c r="IQM106" s="46"/>
      <c r="IQN106" s="46"/>
      <c r="IQO106" s="46"/>
      <c r="IQP106" s="46"/>
      <c r="IQQ106" s="46"/>
      <c r="IQR106" s="47">
        <v>0</v>
      </c>
      <c r="IQS106" s="46" t="s">
        <v>45</v>
      </c>
      <c r="IQT106" s="46"/>
      <c r="IQU106" s="46"/>
      <c r="IQV106" s="46"/>
      <c r="IQW106" s="46"/>
      <c r="IQX106" s="46"/>
      <c r="IQY106" s="46"/>
      <c r="IQZ106" s="47">
        <v>0</v>
      </c>
      <c r="IRA106" s="46" t="s">
        <v>45</v>
      </c>
      <c r="IRB106" s="46"/>
      <c r="IRC106" s="46"/>
      <c r="IRD106" s="46"/>
      <c r="IRE106" s="46"/>
      <c r="IRF106" s="46"/>
      <c r="IRG106" s="46"/>
      <c r="IRH106" s="47">
        <v>0</v>
      </c>
      <c r="IRI106" s="46" t="s">
        <v>45</v>
      </c>
      <c r="IRJ106" s="46"/>
      <c r="IRK106" s="46"/>
      <c r="IRL106" s="46"/>
      <c r="IRM106" s="46"/>
      <c r="IRN106" s="46"/>
      <c r="IRO106" s="46"/>
      <c r="IRP106" s="47">
        <v>0</v>
      </c>
      <c r="IRQ106" s="46" t="s">
        <v>45</v>
      </c>
      <c r="IRR106" s="46"/>
      <c r="IRS106" s="46"/>
      <c r="IRT106" s="46"/>
      <c r="IRU106" s="46"/>
      <c r="IRV106" s="46"/>
      <c r="IRW106" s="46"/>
      <c r="IRX106" s="47">
        <v>0</v>
      </c>
      <c r="IRY106" s="46" t="s">
        <v>45</v>
      </c>
      <c r="IRZ106" s="46"/>
      <c r="ISA106" s="46"/>
      <c r="ISB106" s="46"/>
      <c r="ISC106" s="46"/>
      <c r="ISD106" s="46"/>
      <c r="ISE106" s="46"/>
      <c r="ISF106" s="47">
        <v>0</v>
      </c>
      <c r="ISG106" s="46" t="s">
        <v>45</v>
      </c>
      <c r="ISH106" s="46"/>
      <c r="ISI106" s="46"/>
      <c r="ISJ106" s="46"/>
      <c r="ISK106" s="46"/>
      <c r="ISL106" s="46"/>
      <c r="ISM106" s="46"/>
      <c r="ISN106" s="47">
        <v>0</v>
      </c>
      <c r="ISO106" s="46" t="s">
        <v>45</v>
      </c>
      <c r="ISP106" s="46"/>
      <c r="ISQ106" s="46"/>
      <c r="ISR106" s="46"/>
      <c r="ISS106" s="46"/>
      <c r="IST106" s="46"/>
      <c r="ISU106" s="46"/>
      <c r="ISV106" s="47">
        <v>0</v>
      </c>
      <c r="ISW106" s="46" t="s">
        <v>45</v>
      </c>
      <c r="ISX106" s="46"/>
      <c r="ISY106" s="46"/>
      <c r="ISZ106" s="46"/>
      <c r="ITA106" s="46"/>
      <c r="ITB106" s="46"/>
      <c r="ITC106" s="46"/>
      <c r="ITD106" s="47">
        <v>0</v>
      </c>
      <c r="ITE106" s="46" t="s">
        <v>45</v>
      </c>
      <c r="ITF106" s="46"/>
      <c r="ITG106" s="46"/>
      <c r="ITH106" s="46"/>
      <c r="ITI106" s="46"/>
      <c r="ITJ106" s="46"/>
      <c r="ITK106" s="46"/>
      <c r="ITL106" s="47">
        <v>0</v>
      </c>
      <c r="ITM106" s="46" t="s">
        <v>45</v>
      </c>
      <c r="ITN106" s="46"/>
      <c r="ITO106" s="46"/>
      <c r="ITP106" s="46"/>
      <c r="ITQ106" s="46"/>
      <c r="ITR106" s="46"/>
      <c r="ITS106" s="46"/>
      <c r="ITT106" s="47">
        <v>0</v>
      </c>
      <c r="ITU106" s="46" t="s">
        <v>45</v>
      </c>
      <c r="ITV106" s="46"/>
      <c r="ITW106" s="46"/>
      <c r="ITX106" s="46"/>
      <c r="ITY106" s="46"/>
      <c r="ITZ106" s="46"/>
      <c r="IUA106" s="46"/>
      <c r="IUB106" s="47">
        <v>0</v>
      </c>
      <c r="IUC106" s="46" t="s">
        <v>45</v>
      </c>
      <c r="IUD106" s="46"/>
      <c r="IUE106" s="46"/>
      <c r="IUF106" s="46"/>
      <c r="IUG106" s="46"/>
      <c r="IUH106" s="46"/>
      <c r="IUI106" s="46"/>
      <c r="IUJ106" s="47">
        <v>0</v>
      </c>
      <c r="IUK106" s="46" t="s">
        <v>45</v>
      </c>
      <c r="IUL106" s="46"/>
      <c r="IUM106" s="46"/>
      <c r="IUN106" s="46"/>
      <c r="IUO106" s="46"/>
      <c r="IUP106" s="46"/>
      <c r="IUQ106" s="46"/>
      <c r="IUR106" s="47">
        <v>0</v>
      </c>
      <c r="IUS106" s="46" t="s">
        <v>45</v>
      </c>
      <c r="IUT106" s="46"/>
      <c r="IUU106" s="46"/>
      <c r="IUV106" s="46"/>
      <c r="IUW106" s="46"/>
      <c r="IUX106" s="46"/>
      <c r="IUY106" s="46"/>
      <c r="IUZ106" s="47">
        <v>0</v>
      </c>
      <c r="IVA106" s="46" t="s">
        <v>45</v>
      </c>
      <c r="IVB106" s="46"/>
      <c r="IVC106" s="46"/>
      <c r="IVD106" s="46"/>
      <c r="IVE106" s="46"/>
      <c r="IVF106" s="46"/>
      <c r="IVG106" s="46"/>
      <c r="IVH106" s="47">
        <v>0</v>
      </c>
      <c r="IVI106" s="46" t="s">
        <v>45</v>
      </c>
      <c r="IVJ106" s="46"/>
      <c r="IVK106" s="46"/>
      <c r="IVL106" s="46"/>
      <c r="IVM106" s="46"/>
      <c r="IVN106" s="46"/>
      <c r="IVO106" s="46"/>
      <c r="IVP106" s="47">
        <v>0</v>
      </c>
      <c r="IVQ106" s="46" t="s">
        <v>45</v>
      </c>
      <c r="IVR106" s="46"/>
      <c r="IVS106" s="46"/>
      <c r="IVT106" s="46"/>
      <c r="IVU106" s="46"/>
      <c r="IVV106" s="46"/>
      <c r="IVW106" s="46"/>
      <c r="IVX106" s="47">
        <v>0</v>
      </c>
      <c r="IVY106" s="46" t="s">
        <v>45</v>
      </c>
      <c r="IVZ106" s="46"/>
      <c r="IWA106" s="46"/>
      <c r="IWB106" s="46"/>
      <c r="IWC106" s="46"/>
      <c r="IWD106" s="46"/>
      <c r="IWE106" s="46"/>
      <c r="IWF106" s="47">
        <v>0</v>
      </c>
      <c r="IWG106" s="46" t="s">
        <v>45</v>
      </c>
      <c r="IWH106" s="46"/>
      <c r="IWI106" s="46"/>
      <c r="IWJ106" s="46"/>
      <c r="IWK106" s="46"/>
      <c r="IWL106" s="46"/>
      <c r="IWM106" s="46"/>
      <c r="IWN106" s="47">
        <v>0</v>
      </c>
      <c r="IWO106" s="46" t="s">
        <v>45</v>
      </c>
      <c r="IWP106" s="46"/>
      <c r="IWQ106" s="46"/>
      <c r="IWR106" s="46"/>
      <c r="IWS106" s="46"/>
      <c r="IWT106" s="46"/>
      <c r="IWU106" s="46"/>
      <c r="IWV106" s="47">
        <v>0</v>
      </c>
      <c r="IWW106" s="46" t="s">
        <v>45</v>
      </c>
      <c r="IWX106" s="46"/>
      <c r="IWY106" s="46"/>
      <c r="IWZ106" s="46"/>
      <c r="IXA106" s="46"/>
      <c r="IXB106" s="46"/>
      <c r="IXC106" s="46"/>
      <c r="IXD106" s="47">
        <v>0</v>
      </c>
      <c r="IXE106" s="46" t="s">
        <v>45</v>
      </c>
      <c r="IXF106" s="46"/>
      <c r="IXG106" s="46"/>
      <c r="IXH106" s="46"/>
      <c r="IXI106" s="46"/>
      <c r="IXJ106" s="46"/>
      <c r="IXK106" s="46"/>
      <c r="IXL106" s="47">
        <v>0</v>
      </c>
      <c r="IXM106" s="46" t="s">
        <v>45</v>
      </c>
      <c r="IXN106" s="46"/>
      <c r="IXO106" s="46"/>
      <c r="IXP106" s="46"/>
      <c r="IXQ106" s="46"/>
      <c r="IXR106" s="46"/>
      <c r="IXS106" s="46"/>
      <c r="IXT106" s="47">
        <v>0</v>
      </c>
      <c r="IXU106" s="46" t="s">
        <v>45</v>
      </c>
      <c r="IXV106" s="46"/>
      <c r="IXW106" s="46"/>
      <c r="IXX106" s="46"/>
      <c r="IXY106" s="46"/>
      <c r="IXZ106" s="46"/>
      <c r="IYA106" s="46"/>
      <c r="IYB106" s="47">
        <v>0</v>
      </c>
      <c r="IYC106" s="46" t="s">
        <v>45</v>
      </c>
      <c r="IYD106" s="46"/>
      <c r="IYE106" s="46"/>
      <c r="IYF106" s="46"/>
      <c r="IYG106" s="46"/>
      <c r="IYH106" s="46"/>
      <c r="IYI106" s="46"/>
      <c r="IYJ106" s="47">
        <v>0</v>
      </c>
      <c r="IYK106" s="46" t="s">
        <v>45</v>
      </c>
      <c r="IYL106" s="46"/>
      <c r="IYM106" s="46"/>
      <c r="IYN106" s="46"/>
      <c r="IYO106" s="46"/>
      <c r="IYP106" s="46"/>
      <c r="IYQ106" s="46"/>
      <c r="IYR106" s="47">
        <v>0</v>
      </c>
      <c r="IYS106" s="46" t="s">
        <v>45</v>
      </c>
      <c r="IYT106" s="46"/>
      <c r="IYU106" s="46"/>
      <c r="IYV106" s="46"/>
      <c r="IYW106" s="46"/>
      <c r="IYX106" s="46"/>
      <c r="IYY106" s="46"/>
      <c r="IYZ106" s="47">
        <v>0</v>
      </c>
      <c r="IZA106" s="46" t="s">
        <v>45</v>
      </c>
      <c r="IZB106" s="46"/>
      <c r="IZC106" s="46"/>
      <c r="IZD106" s="46"/>
      <c r="IZE106" s="46"/>
      <c r="IZF106" s="46"/>
      <c r="IZG106" s="46"/>
      <c r="IZH106" s="47">
        <v>0</v>
      </c>
      <c r="IZI106" s="46" t="s">
        <v>45</v>
      </c>
      <c r="IZJ106" s="46"/>
      <c r="IZK106" s="46"/>
      <c r="IZL106" s="46"/>
      <c r="IZM106" s="46"/>
      <c r="IZN106" s="46"/>
      <c r="IZO106" s="46"/>
      <c r="IZP106" s="47">
        <v>0</v>
      </c>
      <c r="IZQ106" s="46" t="s">
        <v>45</v>
      </c>
      <c r="IZR106" s="46"/>
      <c r="IZS106" s="46"/>
      <c r="IZT106" s="46"/>
      <c r="IZU106" s="46"/>
      <c r="IZV106" s="46"/>
      <c r="IZW106" s="46"/>
      <c r="IZX106" s="47">
        <v>0</v>
      </c>
      <c r="IZY106" s="46" t="s">
        <v>45</v>
      </c>
      <c r="IZZ106" s="46"/>
      <c r="JAA106" s="46"/>
      <c r="JAB106" s="46"/>
      <c r="JAC106" s="46"/>
      <c r="JAD106" s="46"/>
      <c r="JAE106" s="46"/>
      <c r="JAF106" s="47">
        <v>0</v>
      </c>
      <c r="JAG106" s="46" t="s">
        <v>45</v>
      </c>
      <c r="JAH106" s="46"/>
      <c r="JAI106" s="46"/>
      <c r="JAJ106" s="46"/>
      <c r="JAK106" s="46"/>
      <c r="JAL106" s="46"/>
      <c r="JAM106" s="46"/>
      <c r="JAN106" s="47">
        <v>0</v>
      </c>
      <c r="JAO106" s="46" t="s">
        <v>45</v>
      </c>
      <c r="JAP106" s="46"/>
      <c r="JAQ106" s="46"/>
      <c r="JAR106" s="46"/>
      <c r="JAS106" s="46"/>
      <c r="JAT106" s="46"/>
      <c r="JAU106" s="46"/>
      <c r="JAV106" s="47">
        <v>0</v>
      </c>
      <c r="JAW106" s="46" t="s">
        <v>45</v>
      </c>
      <c r="JAX106" s="46"/>
      <c r="JAY106" s="46"/>
      <c r="JAZ106" s="46"/>
      <c r="JBA106" s="46"/>
      <c r="JBB106" s="46"/>
      <c r="JBC106" s="46"/>
      <c r="JBD106" s="47">
        <v>0</v>
      </c>
      <c r="JBE106" s="46" t="s">
        <v>45</v>
      </c>
      <c r="JBF106" s="46"/>
      <c r="JBG106" s="46"/>
      <c r="JBH106" s="46"/>
      <c r="JBI106" s="46"/>
      <c r="JBJ106" s="46"/>
      <c r="JBK106" s="46"/>
      <c r="JBL106" s="47">
        <v>0</v>
      </c>
      <c r="JBM106" s="46" t="s">
        <v>45</v>
      </c>
      <c r="JBN106" s="46"/>
      <c r="JBO106" s="46"/>
      <c r="JBP106" s="46"/>
      <c r="JBQ106" s="46"/>
      <c r="JBR106" s="46"/>
      <c r="JBS106" s="46"/>
      <c r="JBT106" s="47">
        <v>0</v>
      </c>
      <c r="JBU106" s="46" t="s">
        <v>45</v>
      </c>
      <c r="JBV106" s="46"/>
      <c r="JBW106" s="46"/>
      <c r="JBX106" s="46"/>
      <c r="JBY106" s="46"/>
      <c r="JBZ106" s="46"/>
      <c r="JCA106" s="46"/>
      <c r="JCB106" s="47">
        <v>0</v>
      </c>
      <c r="JCC106" s="46" t="s">
        <v>45</v>
      </c>
      <c r="JCD106" s="46"/>
      <c r="JCE106" s="46"/>
      <c r="JCF106" s="46"/>
      <c r="JCG106" s="46"/>
      <c r="JCH106" s="46"/>
      <c r="JCI106" s="46"/>
      <c r="JCJ106" s="47">
        <v>0</v>
      </c>
      <c r="JCK106" s="46" t="s">
        <v>45</v>
      </c>
      <c r="JCL106" s="46"/>
      <c r="JCM106" s="46"/>
      <c r="JCN106" s="46"/>
      <c r="JCO106" s="46"/>
      <c r="JCP106" s="46"/>
      <c r="JCQ106" s="46"/>
      <c r="JCR106" s="47">
        <v>0</v>
      </c>
      <c r="JCS106" s="46" t="s">
        <v>45</v>
      </c>
      <c r="JCT106" s="46"/>
      <c r="JCU106" s="46"/>
      <c r="JCV106" s="46"/>
      <c r="JCW106" s="46"/>
      <c r="JCX106" s="46"/>
      <c r="JCY106" s="46"/>
      <c r="JCZ106" s="47">
        <v>0</v>
      </c>
      <c r="JDA106" s="46" t="s">
        <v>45</v>
      </c>
      <c r="JDB106" s="46"/>
      <c r="JDC106" s="46"/>
      <c r="JDD106" s="46"/>
      <c r="JDE106" s="46"/>
      <c r="JDF106" s="46"/>
      <c r="JDG106" s="46"/>
      <c r="JDH106" s="47">
        <v>0</v>
      </c>
      <c r="JDI106" s="46" t="s">
        <v>45</v>
      </c>
      <c r="JDJ106" s="46"/>
      <c r="JDK106" s="46"/>
      <c r="JDL106" s="46"/>
      <c r="JDM106" s="46"/>
      <c r="JDN106" s="46"/>
      <c r="JDO106" s="46"/>
      <c r="JDP106" s="47">
        <v>0</v>
      </c>
      <c r="JDQ106" s="46" t="s">
        <v>45</v>
      </c>
      <c r="JDR106" s="46"/>
      <c r="JDS106" s="46"/>
      <c r="JDT106" s="46"/>
      <c r="JDU106" s="46"/>
      <c r="JDV106" s="46"/>
      <c r="JDW106" s="46"/>
      <c r="JDX106" s="47">
        <v>0</v>
      </c>
      <c r="JDY106" s="46" t="s">
        <v>45</v>
      </c>
      <c r="JDZ106" s="46"/>
      <c r="JEA106" s="46"/>
      <c r="JEB106" s="46"/>
      <c r="JEC106" s="46"/>
      <c r="JED106" s="46"/>
      <c r="JEE106" s="46"/>
      <c r="JEF106" s="47">
        <v>0</v>
      </c>
      <c r="JEG106" s="46" t="s">
        <v>45</v>
      </c>
      <c r="JEH106" s="46"/>
      <c r="JEI106" s="46"/>
      <c r="JEJ106" s="46"/>
      <c r="JEK106" s="46"/>
      <c r="JEL106" s="46"/>
      <c r="JEM106" s="46"/>
      <c r="JEN106" s="47">
        <v>0</v>
      </c>
      <c r="JEO106" s="46" t="s">
        <v>45</v>
      </c>
      <c r="JEP106" s="46"/>
      <c r="JEQ106" s="46"/>
      <c r="JER106" s="46"/>
      <c r="JES106" s="46"/>
      <c r="JET106" s="46"/>
      <c r="JEU106" s="46"/>
      <c r="JEV106" s="47">
        <v>0</v>
      </c>
      <c r="JEW106" s="46" t="s">
        <v>45</v>
      </c>
      <c r="JEX106" s="46"/>
      <c r="JEY106" s="46"/>
      <c r="JEZ106" s="46"/>
      <c r="JFA106" s="46"/>
      <c r="JFB106" s="46"/>
      <c r="JFC106" s="46"/>
      <c r="JFD106" s="47">
        <v>0</v>
      </c>
      <c r="JFE106" s="46" t="s">
        <v>45</v>
      </c>
      <c r="JFF106" s="46"/>
      <c r="JFG106" s="46"/>
      <c r="JFH106" s="46"/>
      <c r="JFI106" s="46"/>
      <c r="JFJ106" s="46"/>
      <c r="JFK106" s="46"/>
      <c r="JFL106" s="47">
        <v>0</v>
      </c>
      <c r="JFM106" s="46" t="s">
        <v>45</v>
      </c>
      <c r="JFN106" s="46"/>
      <c r="JFO106" s="46"/>
      <c r="JFP106" s="46"/>
      <c r="JFQ106" s="46"/>
      <c r="JFR106" s="46"/>
      <c r="JFS106" s="46"/>
      <c r="JFT106" s="47">
        <v>0</v>
      </c>
      <c r="JFU106" s="46" t="s">
        <v>45</v>
      </c>
      <c r="JFV106" s="46"/>
      <c r="JFW106" s="46"/>
      <c r="JFX106" s="46"/>
      <c r="JFY106" s="46"/>
      <c r="JFZ106" s="46"/>
      <c r="JGA106" s="46"/>
      <c r="JGB106" s="47">
        <v>0</v>
      </c>
      <c r="JGC106" s="46" t="s">
        <v>45</v>
      </c>
      <c r="JGD106" s="46"/>
      <c r="JGE106" s="46"/>
      <c r="JGF106" s="46"/>
      <c r="JGG106" s="46"/>
      <c r="JGH106" s="46"/>
      <c r="JGI106" s="46"/>
      <c r="JGJ106" s="47">
        <v>0</v>
      </c>
      <c r="JGK106" s="46" t="s">
        <v>45</v>
      </c>
      <c r="JGL106" s="46"/>
      <c r="JGM106" s="46"/>
      <c r="JGN106" s="46"/>
      <c r="JGO106" s="46"/>
      <c r="JGP106" s="46"/>
      <c r="JGQ106" s="46"/>
      <c r="JGR106" s="47">
        <v>0</v>
      </c>
      <c r="JGS106" s="46" t="s">
        <v>45</v>
      </c>
      <c r="JGT106" s="46"/>
      <c r="JGU106" s="46"/>
      <c r="JGV106" s="46"/>
      <c r="JGW106" s="46"/>
      <c r="JGX106" s="46"/>
      <c r="JGY106" s="46"/>
      <c r="JGZ106" s="47">
        <v>0</v>
      </c>
      <c r="JHA106" s="46" t="s">
        <v>45</v>
      </c>
      <c r="JHB106" s="46"/>
      <c r="JHC106" s="46"/>
      <c r="JHD106" s="46"/>
      <c r="JHE106" s="46"/>
      <c r="JHF106" s="46"/>
      <c r="JHG106" s="46"/>
      <c r="JHH106" s="47">
        <v>0</v>
      </c>
      <c r="JHI106" s="46" t="s">
        <v>45</v>
      </c>
      <c r="JHJ106" s="46"/>
      <c r="JHK106" s="46"/>
      <c r="JHL106" s="46"/>
      <c r="JHM106" s="46"/>
      <c r="JHN106" s="46"/>
      <c r="JHO106" s="46"/>
      <c r="JHP106" s="47">
        <v>0</v>
      </c>
      <c r="JHQ106" s="46" t="s">
        <v>45</v>
      </c>
      <c r="JHR106" s="46"/>
      <c r="JHS106" s="46"/>
      <c r="JHT106" s="46"/>
      <c r="JHU106" s="46"/>
      <c r="JHV106" s="46"/>
      <c r="JHW106" s="46"/>
      <c r="JHX106" s="47">
        <v>0</v>
      </c>
      <c r="JHY106" s="46" t="s">
        <v>45</v>
      </c>
      <c r="JHZ106" s="46"/>
      <c r="JIA106" s="46"/>
      <c r="JIB106" s="46"/>
      <c r="JIC106" s="46"/>
      <c r="JID106" s="46"/>
      <c r="JIE106" s="46"/>
      <c r="JIF106" s="47">
        <v>0</v>
      </c>
      <c r="JIG106" s="46" t="s">
        <v>45</v>
      </c>
      <c r="JIH106" s="46"/>
      <c r="JII106" s="46"/>
      <c r="JIJ106" s="46"/>
      <c r="JIK106" s="46"/>
      <c r="JIL106" s="46"/>
      <c r="JIM106" s="46"/>
      <c r="JIN106" s="47">
        <v>0</v>
      </c>
      <c r="JIO106" s="46" t="s">
        <v>45</v>
      </c>
      <c r="JIP106" s="46"/>
      <c r="JIQ106" s="46"/>
      <c r="JIR106" s="46"/>
      <c r="JIS106" s="46"/>
      <c r="JIT106" s="46"/>
      <c r="JIU106" s="46"/>
      <c r="JIV106" s="47">
        <v>0</v>
      </c>
      <c r="JIW106" s="46" t="s">
        <v>45</v>
      </c>
      <c r="JIX106" s="46"/>
      <c r="JIY106" s="46"/>
      <c r="JIZ106" s="46"/>
      <c r="JJA106" s="46"/>
      <c r="JJB106" s="46"/>
      <c r="JJC106" s="46"/>
      <c r="JJD106" s="47">
        <v>0</v>
      </c>
      <c r="JJE106" s="46" t="s">
        <v>45</v>
      </c>
      <c r="JJF106" s="46"/>
      <c r="JJG106" s="46"/>
      <c r="JJH106" s="46"/>
      <c r="JJI106" s="46"/>
      <c r="JJJ106" s="46"/>
      <c r="JJK106" s="46"/>
      <c r="JJL106" s="47">
        <v>0</v>
      </c>
      <c r="JJM106" s="46" t="s">
        <v>45</v>
      </c>
      <c r="JJN106" s="46"/>
      <c r="JJO106" s="46"/>
      <c r="JJP106" s="46"/>
      <c r="JJQ106" s="46"/>
      <c r="JJR106" s="46"/>
      <c r="JJS106" s="46"/>
      <c r="JJT106" s="47">
        <v>0</v>
      </c>
      <c r="JJU106" s="46" t="s">
        <v>45</v>
      </c>
      <c r="JJV106" s="46"/>
      <c r="JJW106" s="46"/>
      <c r="JJX106" s="46"/>
      <c r="JJY106" s="46"/>
      <c r="JJZ106" s="46"/>
      <c r="JKA106" s="46"/>
      <c r="JKB106" s="47">
        <v>0</v>
      </c>
      <c r="JKC106" s="46" t="s">
        <v>45</v>
      </c>
      <c r="JKD106" s="46"/>
      <c r="JKE106" s="46"/>
      <c r="JKF106" s="46"/>
      <c r="JKG106" s="46"/>
      <c r="JKH106" s="46"/>
      <c r="JKI106" s="46"/>
      <c r="JKJ106" s="47">
        <v>0</v>
      </c>
      <c r="JKK106" s="46" t="s">
        <v>45</v>
      </c>
      <c r="JKL106" s="46"/>
      <c r="JKM106" s="46"/>
      <c r="JKN106" s="46"/>
      <c r="JKO106" s="46"/>
      <c r="JKP106" s="46"/>
      <c r="JKQ106" s="46"/>
      <c r="JKR106" s="47">
        <v>0</v>
      </c>
      <c r="JKS106" s="46" t="s">
        <v>45</v>
      </c>
      <c r="JKT106" s="46"/>
      <c r="JKU106" s="46"/>
      <c r="JKV106" s="46"/>
      <c r="JKW106" s="46"/>
      <c r="JKX106" s="46"/>
      <c r="JKY106" s="46"/>
      <c r="JKZ106" s="47">
        <v>0</v>
      </c>
      <c r="JLA106" s="46" t="s">
        <v>45</v>
      </c>
      <c r="JLB106" s="46"/>
      <c r="JLC106" s="46"/>
      <c r="JLD106" s="46"/>
      <c r="JLE106" s="46"/>
      <c r="JLF106" s="46"/>
      <c r="JLG106" s="46"/>
      <c r="JLH106" s="47">
        <v>0</v>
      </c>
      <c r="JLI106" s="46" t="s">
        <v>45</v>
      </c>
      <c r="JLJ106" s="46"/>
      <c r="JLK106" s="46"/>
      <c r="JLL106" s="46"/>
      <c r="JLM106" s="46"/>
      <c r="JLN106" s="46"/>
      <c r="JLO106" s="46"/>
      <c r="JLP106" s="47">
        <v>0</v>
      </c>
      <c r="JLQ106" s="46" t="s">
        <v>45</v>
      </c>
      <c r="JLR106" s="46"/>
      <c r="JLS106" s="46"/>
      <c r="JLT106" s="46"/>
      <c r="JLU106" s="46"/>
      <c r="JLV106" s="46"/>
      <c r="JLW106" s="46"/>
      <c r="JLX106" s="47">
        <v>0</v>
      </c>
      <c r="JLY106" s="46" t="s">
        <v>45</v>
      </c>
      <c r="JLZ106" s="46"/>
      <c r="JMA106" s="46"/>
      <c r="JMB106" s="46"/>
      <c r="JMC106" s="46"/>
      <c r="JMD106" s="46"/>
      <c r="JME106" s="46"/>
      <c r="JMF106" s="47">
        <v>0</v>
      </c>
      <c r="JMG106" s="46" t="s">
        <v>45</v>
      </c>
      <c r="JMH106" s="46"/>
      <c r="JMI106" s="46"/>
      <c r="JMJ106" s="46"/>
      <c r="JMK106" s="46"/>
      <c r="JML106" s="46"/>
      <c r="JMM106" s="46"/>
      <c r="JMN106" s="47">
        <v>0</v>
      </c>
      <c r="JMO106" s="46" t="s">
        <v>45</v>
      </c>
      <c r="JMP106" s="46"/>
      <c r="JMQ106" s="46"/>
      <c r="JMR106" s="46"/>
      <c r="JMS106" s="46"/>
      <c r="JMT106" s="46"/>
      <c r="JMU106" s="46"/>
      <c r="JMV106" s="47">
        <v>0</v>
      </c>
      <c r="JMW106" s="46" t="s">
        <v>45</v>
      </c>
      <c r="JMX106" s="46"/>
      <c r="JMY106" s="46"/>
      <c r="JMZ106" s="46"/>
      <c r="JNA106" s="46"/>
      <c r="JNB106" s="46"/>
      <c r="JNC106" s="46"/>
      <c r="JND106" s="47">
        <v>0</v>
      </c>
      <c r="JNE106" s="46" t="s">
        <v>45</v>
      </c>
      <c r="JNF106" s="46"/>
      <c r="JNG106" s="46"/>
      <c r="JNH106" s="46"/>
      <c r="JNI106" s="46"/>
      <c r="JNJ106" s="46"/>
      <c r="JNK106" s="46"/>
      <c r="JNL106" s="47">
        <v>0</v>
      </c>
      <c r="JNM106" s="46" t="s">
        <v>45</v>
      </c>
      <c r="JNN106" s="46"/>
      <c r="JNO106" s="46"/>
      <c r="JNP106" s="46"/>
      <c r="JNQ106" s="46"/>
      <c r="JNR106" s="46"/>
      <c r="JNS106" s="46"/>
      <c r="JNT106" s="47">
        <v>0</v>
      </c>
      <c r="JNU106" s="46" t="s">
        <v>45</v>
      </c>
      <c r="JNV106" s="46"/>
      <c r="JNW106" s="46"/>
      <c r="JNX106" s="46"/>
      <c r="JNY106" s="46"/>
      <c r="JNZ106" s="46"/>
      <c r="JOA106" s="46"/>
      <c r="JOB106" s="47">
        <v>0</v>
      </c>
      <c r="JOC106" s="46" t="s">
        <v>45</v>
      </c>
      <c r="JOD106" s="46"/>
      <c r="JOE106" s="46"/>
      <c r="JOF106" s="46"/>
      <c r="JOG106" s="46"/>
      <c r="JOH106" s="46"/>
      <c r="JOI106" s="46"/>
      <c r="JOJ106" s="47">
        <v>0</v>
      </c>
      <c r="JOK106" s="46" t="s">
        <v>45</v>
      </c>
      <c r="JOL106" s="46"/>
      <c r="JOM106" s="46"/>
      <c r="JON106" s="46"/>
      <c r="JOO106" s="46"/>
      <c r="JOP106" s="46"/>
      <c r="JOQ106" s="46"/>
      <c r="JOR106" s="47">
        <v>0</v>
      </c>
      <c r="JOS106" s="46" t="s">
        <v>45</v>
      </c>
      <c r="JOT106" s="46"/>
      <c r="JOU106" s="46"/>
      <c r="JOV106" s="46"/>
      <c r="JOW106" s="46"/>
      <c r="JOX106" s="46"/>
      <c r="JOY106" s="46"/>
      <c r="JOZ106" s="47">
        <v>0</v>
      </c>
      <c r="JPA106" s="46" t="s">
        <v>45</v>
      </c>
      <c r="JPB106" s="46"/>
      <c r="JPC106" s="46"/>
      <c r="JPD106" s="46"/>
      <c r="JPE106" s="46"/>
      <c r="JPF106" s="46"/>
      <c r="JPG106" s="46"/>
      <c r="JPH106" s="47">
        <v>0</v>
      </c>
      <c r="JPI106" s="46" t="s">
        <v>45</v>
      </c>
      <c r="JPJ106" s="46"/>
      <c r="JPK106" s="46"/>
      <c r="JPL106" s="46"/>
      <c r="JPM106" s="46"/>
      <c r="JPN106" s="46"/>
      <c r="JPO106" s="46"/>
      <c r="JPP106" s="47">
        <v>0</v>
      </c>
      <c r="JPQ106" s="46" t="s">
        <v>45</v>
      </c>
      <c r="JPR106" s="46"/>
      <c r="JPS106" s="46"/>
      <c r="JPT106" s="46"/>
      <c r="JPU106" s="46"/>
      <c r="JPV106" s="46"/>
      <c r="JPW106" s="46"/>
      <c r="JPX106" s="47">
        <v>0</v>
      </c>
      <c r="JPY106" s="46" t="s">
        <v>45</v>
      </c>
      <c r="JPZ106" s="46"/>
      <c r="JQA106" s="46"/>
      <c r="JQB106" s="46"/>
      <c r="JQC106" s="46"/>
      <c r="JQD106" s="46"/>
      <c r="JQE106" s="46"/>
      <c r="JQF106" s="47">
        <v>0</v>
      </c>
      <c r="JQG106" s="46" t="s">
        <v>45</v>
      </c>
      <c r="JQH106" s="46"/>
      <c r="JQI106" s="46"/>
      <c r="JQJ106" s="46"/>
      <c r="JQK106" s="46"/>
      <c r="JQL106" s="46"/>
      <c r="JQM106" s="46"/>
      <c r="JQN106" s="47">
        <v>0</v>
      </c>
      <c r="JQO106" s="46" t="s">
        <v>45</v>
      </c>
      <c r="JQP106" s="46"/>
      <c r="JQQ106" s="46"/>
      <c r="JQR106" s="46"/>
      <c r="JQS106" s="46"/>
      <c r="JQT106" s="46"/>
      <c r="JQU106" s="46"/>
      <c r="JQV106" s="47">
        <v>0</v>
      </c>
      <c r="JQW106" s="46" t="s">
        <v>45</v>
      </c>
      <c r="JQX106" s="46"/>
      <c r="JQY106" s="46"/>
      <c r="JQZ106" s="46"/>
      <c r="JRA106" s="46"/>
      <c r="JRB106" s="46"/>
      <c r="JRC106" s="46"/>
      <c r="JRD106" s="47">
        <v>0</v>
      </c>
      <c r="JRE106" s="46" t="s">
        <v>45</v>
      </c>
      <c r="JRF106" s="46"/>
      <c r="JRG106" s="46"/>
      <c r="JRH106" s="46"/>
      <c r="JRI106" s="46"/>
      <c r="JRJ106" s="46"/>
      <c r="JRK106" s="46"/>
      <c r="JRL106" s="47">
        <v>0</v>
      </c>
      <c r="JRM106" s="46" t="s">
        <v>45</v>
      </c>
      <c r="JRN106" s="46"/>
      <c r="JRO106" s="46"/>
      <c r="JRP106" s="46"/>
      <c r="JRQ106" s="46"/>
      <c r="JRR106" s="46"/>
      <c r="JRS106" s="46"/>
      <c r="JRT106" s="47">
        <v>0</v>
      </c>
      <c r="JRU106" s="46" t="s">
        <v>45</v>
      </c>
      <c r="JRV106" s="46"/>
      <c r="JRW106" s="46"/>
      <c r="JRX106" s="46"/>
      <c r="JRY106" s="46"/>
      <c r="JRZ106" s="46"/>
      <c r="JSA106" s="46"/>
      <c r="JSB106" s="47">
        <v>0</v>
      </c>
      <c r="JSC106" s="46" t="s">
        <v>45</v>
      </c>
      <c r="JSD106" s="46"/>
      <c r="JSE106" s="46"/>
      <c r="JSF106" s="46"/>
      <c r="JSG106" s="46"/>
      <c r="JSH106" s="46"/>
      <c r="JSI106" s="46"/>
      <c r="JSJ106" s="47">
        <v>0</v>
      </c>
      <c r="JSK106" s="46" t="s">
        <v>45</v>
      </c>
      <c r="JSL106" s="46"/>
      <c r="JSM106" s="46"/>
      <c r="JSN106" s="46"/>
      <c r="JSO106" s="46"/>
      <c r="JSP106" s="46"/>
      <c r="JSQ106" s="46"/>
      <c r="JSR106" s="47">
        <v>0</v>
      </c>
      <c r="JSS106" s="46" t="s">
        <v>45</v>
      </c>
      <c r="JST106" s="46"/>
      <c r="JSU106" s="46"/>
      <c r="JSV106" s="46"/>
      <c r="JSW106" s="46"/>
      <c r="JSX106" s="46"/>
      <c r="JSY106" s="46"/>
      <c r="JSZ106" s="47">
        <v>0</v>
      </c>
      <c r="JTA106" s="46" t="s">
        <v>45</v>
      </c>
      <c r="JTB106" s="46"/>
      <c r="JTC106" s="46"/>
      <c r="JTD106" s="46"/>
      <c r="JTE106" s="46"/>
      <c r="JTF106" s="46"/>
      <c r="JTG106" s="46"/>
      <c r="JTH106" s="47">
        <v>0</v>
      </c>
      <c r="JTI106" s="46" t="s">
        <v>45</v>
      </c>
      <c r="JTJ106" s="46"/>
      <c r="JTK106" s="46"/>
      <c r="JTL106" s="46"/>
      <c r="JTM106" s="46"/>
      <c r="JTN106" s="46"/>
      <c r="JTO106" s="46"/>
      <c r="JTP106" s="47">
        <v>0</v>
      </c>
      <c r="JTQ106" s="46" t="s">
        <v>45</v>
      </c>
      <c r="JTR106" s="46"/>
      <c r="JTS106" s="46"/>
      <c r="JTT106" s="46"/>
      <c r="JTU106" s="46"/>
      <c r="JTV106" s="46"/>
      <c r="JTW106" s="46"/>
      <c r="JTX106" s="47">
        <v>0</v>
      </c>
      <c r="JTY106" s="46" t="s">
        <v>45</v>
      </c>
      <c r="JTZ106" s="46"/>
      <c r="JUA106" s="46"/>
      <c r="JUB106" s="46"/>
      <c r="JUC106" s="46"/>
      <c r="JUD106" s="46"/>
      <c r="JUE106" s="46"/>
      <c r="JUF106" s="47">
        <v>0</v>
      </c>
      <c r="JUG106" s="46" t="s">
        <v>45</v>
      </c>
      <c r="JUH106" s="46"/>
      <c r="JUI106" s="46"/>
      <c r="JUJ106" s="46"/>
      <c r="JUK106" s="46"/>
      <c r="JUL106" s="46"/>
      <c r="JUM106" s="46"/>
      <c r="JUN106" s="47">
        <v>0</v>
      </c>
      <c r="JUO106" s="46" t="s">
        <v>45</v>
      </c>
      <c r="JUP106" s="46"/>
      <c r="JUQ106" s="46"/>
      <c r="JUR106" s="46"/>
      <c r="JUS106" s="46"/>
      <c r="JUT106" s="46"/>
      <c r="JUU106" s="46"/>
      <c r="JUV106" s="47">
        <v>0</v>
      </c>
      <c r="JUW106" s="46" t="s">
        <v>45</v>
      </c>
      <c r="JUX106" s="46"/>
      <c r="JUY106" s="46"/>
      <c r="JUZ106" s="46"/>
      <c r="JVA106" s="46"/>
      <c r="JVB106" s="46"/>
      <c r="JVC106" s="46"/>
      <c r="JVD106" s="47">
        <v>0</v>
      </c>
      <c r="JVE106" s="46" t="s">
        <v>45</v>
      </c>
      <c r="JVF106" s="46"/>
      <c r="JVG106" s="46"/>
      <c r="JVH106" s="46"/>
      <c r="JVI106" s="46"/>
      <c r="JVJ106" s="46"/>
      <c r="JVK106" s="46"/>
      <c r="JVL106" s="47">
        <v>0</v>
      </c>
      <c r="JVM106" s="46" t="s">
        <v>45</v>
      </c>
      <c r="JVN106" s="46"/>
      <c r="JVO106" s="46"/>
      <c r="JVP106" s="46"/>
      <c r="JVQ106" s="46"/>
      <c r="JVR106" s="46"/>
      <c r="JVS106" s="46"/>
      <c r="JVT106" s="47">
        <v>0</v>
      </c>
      <c r="JVU106" s="46" t="s">
        <v>45</v>
      </c>
      <c r="JVV106" s="46"/>
      <c r="JVW106" s="46"/>
      <c r="JVX106" s="46"/>
      <c r="JVY106" s="46"/>
      <c r="JVZ106" s="46"/>
      <c r="JWA106" s="46"/>
      <c r="JWB106" s="47">
        <v>0</v>
      </c>
      <c r="JWC106" s="46" t="s">
        <v>45</v>
      </c>
      <c r="JWD106" s="46"/>
      <c r="JWE106" s="46"/>
      <c r="JWF106" s="46"/>
      <c r="JWG106" s="46"/>
      <c r="JWH106" s="46"/>
      <c r="JWI106" s="46"/>
      <c r="JWJ106" s="47">
        <v>0</v>
      </c>
      <c r="JWK106" s="46" t="s">
        <v>45</v>
      </c>
      <c r="JWL106" s="46"/>
      <c r="JWM106" s="46"/>
      <c r="JWN106" s="46"/>
      <c r="JWO106" s="46"/>
      <c r="JWP106" s="46"/>
      <c r="JWQ106" s="46"/>
      <c r="JWR106" s="47">
        <v>0</v>
      </c>
      <c r="JWS106" s="46" t="s">
        <v>45</v>
      </c>
      <c r="JWT106" s="46"/>
      <c r="JWU106" s="46"/>
      <c r="JWV106" s="46"/>
      <c r="JWW106" s="46"/>
      <c r="JWX106" s="46"/>
      <c r="JWY106" s="46"/>
      <c r="JWZ106" s="47">
        <v>0</v>
      </c>
      <c r="JXA106" s="46" t="s">
        <v>45</v>
      </c>
      <c r="JXB106" s="46"/>
      <c r="JXC106" s="46"/>
      <c r="JXD106" s="46"/>
      <c r="JXE106" s="46"/>
      <c r="JXF106" s="46"/>
      <c r="JXG106" s="46"/>
      <c r="JXH106" s="47">
        <v>0</v>
      </c>
      <c r="JXI106" s="46" t="s">
        <v>45</v>
      </c>
      <c r="JXJ106" s="46"/>
      <c r="JXK106" s="46"/>
      <c r="JXL106" s="46"/>
      <c r="JXM106" s="46"/>
      <c r="JXN106" s="46"/>
      <c r="JXO106" s="46"/>
      <c r="JXP106" s="47">
        <v>0</v>
      </c>
      <c r="JXQ106" s="46" t="s">
        <v>45</v>
      </c>
      <c r="JXR106" s="46"/>
      <c r="JXS106" s="46"/>
      <c r="JXT106" s="46"/>
      <c r="JXU106" s="46"/>
      <c r="JXV106" s="46"/>
      <c r="JXW106" s="46"/>
      <c r="JXX106" s="47">
        <v>0</v>
      </c>
      <c r="JXY106" s="46" t="s">
        <v>45</v>
      </c>
      <c r="JXZ106" s="46"/>
      <c r="JYA106" s="46"/>
      <c r="JYB106" s="46"/>
      <c r="JYC106" s="46"/>
      <c r="JYD106" s="46"/>
      <c r="JYE106" s="46"/>
      <c r="JYF106" s="47">
        <v>0</v>
      </c>
      <c r="JYG106" s="46" t="s">
        <v>45</v>
      </c>
      <c r="JYH106" s="46"/>
      <c r="JYI106" s="46"/>
      <c r="JYJ106" s="46"/>
      <c r="JYK106" s="46"/>
      <c r="JYL106" s="46"/>
      <c r="JYM106" s="46"/>
      <c r="JYN106" s="47">
        <v>0</v>
      </c>
      <c r="JYO106" s="46" t="s">
        <v>45</v>
      </c>
      <c r="JYP106" s="46"/>
      <c r="JYQ106" s="46"/>
      <c r="JYR106" s="46"/>
      <c r="JYS106" s="46"/>
      <c r="JYT106" s="46"/>
      <c r="JYU106" s="46"/>
      <c r="JYV106" s="47">
        <v>0</v>
      </c>
      <c r="JYW106" s="46" t="s">
        <v>45</v>
      </c>
      <c r="JYX106" s="46"/>
      <c r="JYY106" s="46"/>
      <c r="JYZ106" s="46"/>
      <c r="JZA106" s="46"/>
      <c r="JZB106" s="46"/>
      <c r="JZC106" s="46"/>
      <c r="JZD106" s="47">
        <v>0</v>
      </c>
      <c r="JZE106" s="46" t="s">
        <v>45</v>
      </c>
      <c r="JZF106" s="46"/>
      <c r="JZG106" s="46"/>
      <c r="JZH106" s="46"/>
      <c r="JZI106" s="46"/>
      <c r="JZJ106" s="46"/>
      <c r="JZK106" s="46"/>
      <c r="JZL106" s="47">
        <v>0</v>
      </c>
      <c r="JZM106" s="46" t="s">
        <v>45</v>
      </c>
      <c r="JZN106" s="46"/>
      <c r="JZO106" s="46"/>
      <c r="JZP106" s="46"/>
      <c r="JZQ106" s="46"/>
      <c r="JZR106" s="46"/>
      <c r="JZS106" s="46"/>
      <c r="JZT106" s="47">
        <v>0</v>
      </c>
      <c r="JZU106" s="46" t="s">
        <v>45</v>
      </c>
      <c r="JZV106" s="46"/>
      <c r="JZW106" s="46"/>
      <c r="JZX106" s="46"/>
      <c r="JZY106" s="46"/>
      <c r="JZZ106" s="46"/>
      <c r="KAA106" s="46"/>
      <c r="KAB106" s="47">
        <v>0</v>
      </c>
      <c r="KAC106" s="46" t="s">
        <v>45</v>
      </c>
      <c r="KAD106" s="46"/>
      <c r="KAE106" s="46"/>
      <c r="KAF106" s="46"/>
      <c r="KAG106" s="46"/>
      <c r="KAH106" s="46"/>
      <c r="KAI106" s="46"/>
      <c r="KAJ106" s="47">
        <v>0</v>
      </c>
      <c r="KAK106" s="46" t="s">
        <v>45</v>
      </c>
      <c r="KAL106" s="46"/>
      <c r="KAM106" s="46"/>
      <c r="KAN106" s="46"/>
      <c r="KAO106" s="46"/>
      <c r="KAP106" s="46"/>
      <c r="KAQ106" s="46"/>
      <c r="KAR106" s="47">
        <v>0</v>
      </c>
      <c r="KAS106" s="46" t="s">
        <v>45</v>
      </c>
      <c r="KAT106" s="46"/>
      <c r="KAU106" s="46"/>
      <c r="KAV106" s="46"/>
      <c r="KAW106" s="46"/>
      <c r="KAX106" s="46"/>
      <c r="KAY106" s="46"/>
      <c r="KAZ106" s="47">
        <v>0</v>
      </c>
      <c r="KBA106" s="46" t="s">
        <v>45</v>
      </c>
      <c r="KBB106" s="46"/>
      <c r="KBC106" s="46"/>
      <c r="KBD106" s="46"/>
      <c r="KBE106" s="46"/>
      <c r="KBF106" s="46"/>
      <c r="KBG106" s="46"/>
      <c r="KBH106" s="47">
        <v>0</v>
      </c>
      <c r="KBI106" s="46" t="s">
        <v>45</v>
      </c>
      <c r="KBJ106" s="46"/>
      <c r="KBK106" s="46"/>
      <c r="KBL106" s="46"/>
      <c r="KBM106" s="46"/>
      <c r="KBN106" s="46"/>
      <c r="KBO106" s="46"/>
      <c r="KBP106" s="47">
        <v>0</v>
      </c>
      <c r="KBQ106" s="46" t="s">
        <v>45</v>
      </c>
      <c r="KBR106" s="46"/>
      <c r="KBS106" s="46"/>
      <c r="KBT106" s="46"/>
      <c r="KBU106" s="46"/>
      <c r="KBV106" s="46"/>
      <c r="KBW106" s="46"/>
      <c r="KBX106" s="47">
        <v>0</v>
      </c>
      <c r="KBY106" s="46" t="s">
        <v>45</v>
      </c>
      <c r="KBZ106" s="46"/>
      <c r="KCA106" s="46"/>
      <c r="KCB106" s="46"/>
      <c r="KCC106" s="46"/>
      <c r="KCD106" s="46"/>
      <c r="KCE106" s="46"/>
      <c r="KCF106" s="47">
        <v>0</v>
      </c>
      <c r="KCG106" s="46" t="s">
        <v>45</v>
      </c>
      <c r="KCH106" s="46"/>
      <c r="KCI106" s="46"/>
      <c r="KCJ106" s="46"/>
      <c r="KCK106" s="46"/>
      <c r="KCL106" s="46"/>
      <c r="KCM106" s="46"/>
      <c r="KCN106" s="47">
        <v>0</v>
      </c>
      <c r="KCO106" s="46" t="s">
        <v>45</v>
      </c>
      <c r="KCP106" s="46"/>
      <c r="KCQ106" s="46"/>
      <c r="KCR106" s="46"/>
      <c r="KCS106" s="46"/>
      <c r="KCT106" s="46"/>
      <c r="KCU106" s="46"/>
      <c r="KCV106" s="47">
        <v>0</v>
      </c>
      <c r="KCW106" s="46" t="s">
        <v>45</v>
      </c>
      <c r="KCX106" s="46"/>
      <c r="KCY106" s="46"/>
      <c r="KCZ106" s="46"/>
      <c r="KDA106" s="46"/>
      <c r="KDB106" s="46"/>
      <c r="KDC106" s="46"/>
      <c r="KDD106" s="47">
        <v>0</v>
      </c>
      <c r="KDE106" s="46" t="s">
        <v>45</v>
      </c>
      <c r="KDF106" s="46"/>
      <c r="KDG106" s="46"/>
      <c r="KDH106" s="46"/>
      <c r="KDI106" s="46"/>
      <c r="KDJ106" s="46"/>
      <c r="KDK106" s="46"/>
      <c r="KDL106" s="47">
        <v>0</v>
      </c>
      <c r="KDM106" s="46" t="s">
        <v>45</v>
      </c>
      <c r="KDN106" s="46"/>
      <c r="KDO106" s="46"/>
      <c r="KDP106" s="46"/>
      <c r="KDQ106" s="46"/>
      <c r="KDR106" s="46"/>
      <c r="KDS106" s="46"/>
      <c r="KDT106" s="47">
        <v>0</v>
      </c>
      <c r="KDU106" s="46" t="s">
        <v>45</v>
      </c>
      <c r="KDV106" s="46"/>
      <c r="KDW106" s="46"/>
      <c r="KDX106" s="46"/>
      <c r="KDY106" s="46"/>
      <c r="KDZ106" s="46"/>
      <c r="KEA106" s="46"/>
      <c r="KEB106" s="47">
        <v>0</v>
      </c>
      <c r="KEC106" s="46" t="s">
        <v>45</v>
      </c>
      <c r="KED106" s="46"/>
      <c r="KEE106" s="46"/>
      <c r="KEF106" s="46"/>
      <c r="KEG106" s="46"/>
      <c r="KEH106" s="46"/>
      <c r="KEI106" s="46"/>
      <c r="KEJ106" s="47">
        <v>0</v>
      </c>
      <c r="KEK106" s="46" t="s">
        <v>45</v>
      </c>
      <c r="KEL106" s="46"/>
      <c r="KEM106" s="46"/>
      <c r="KEN106" s="46"/>
      <c r="KEO106" s="46"/>
      <c r="KEP106" s="46"/>
      <c r="KEQ106" s="46"/>
      <c r="KER106" s="47">
        <v>0</v>
      </c>
      <c r="KES106" s="46" t="s">
        <v>45</v>
      </c>
      <c r="KET106" s="46"/>
      <c r="KEU106" s="46"/>
      <c r="KEV106" s="46"/>
      <c r="KEW106" s="46"/>
      <c r="KEX106" s="46"/>
      <c r="KEY106" s="46"/>
      <c r="KEZ106" s="47">
        <v>0</v>
      </c>
      <c r="KFA106" s="46" t="s">
        <v>45</v>
      </c>
      <c r="KFB106" s="46"/>
      <c r="KFC106" s="46"/>
      <c r="KFD106" s="46"/>
      <c r="KFE106" s="46"/>
      <c r="KFF106" s="46"/>
      <c r="KFG106" s="46"/>
      <c r="KFH106" s="47">
        <v>0</v>
      </c>
      <c r="KFI106" s="46" t="s">
        <v>45</v>
      </c>
      <c r="KFJ106" s="46"/>
      <c r="KFK106" s="46"/>
      <c r="KFL106" s="46"/>
      <c r="KFM106" s="46"/>
      <c r="KFN106" s="46"/>
      <c r="KFO106" s="46"/>
      <c r="KFP106" s="47">
        <v>0</v>
      </c>
      <c r="KFQ106" s="46" t="s">
        <v>45</v>
      </c>
      <c r="KFR106" s="46"/>
      <c r="KFS106" s="46"/>
      <c r="KFT106" s="46"/>
      <c r="KFU106" s="46"/>
      <c r="KFV106" s="46"/>
      <c r="KFW106" s="46"/>
      <c r="KFX106" s="47">
        <v>0</v>
      </c>
      <c r="KFY106" s="46" t="s">
        <v>45</v>
      </c>
      <c r="KFZ106" s="46"/>
      <c r="KGA106" s="46"/>
      <c r="KGB106" s="46"/>
      <c r="KGC106" s="46"/>
      <c r="KGD106" s="46"/>
      <c r="KGE106" s="46"/>
      <c r="KGF106" s="47">
        <v>0</v>
      </c>
      <c r="KGG106" s="46" t="s">
        <v>45</v>
      </c>
      <c r="KGH106" s="46"/>
      <c r="KGI106" s="46"/>
      <c r="KGJ106" s="46"/>
      <c r="KGK106" s="46"/>
      <c r="KGL106" s="46"/>
      <c r="KGM106" s="46"/>
      <c r="KGN106" s="47">
        <v>0</v>
      </c>
      <c r="KGO106" s="46" t="s">
        <v>45</v>
      </c>
      <c r="KGP106" s="46"/>
      <c r="KGQ106" s="46"/>
      <c r="KGR106" s="46"/>
      <c r="KGS106" s="46"/>
      <c r="KGT106" s="46"/>
      <c r="KGU106" s="46"/>
      <c r="KGV106" s="47">
        <v>0</v>
      </c>
      <c r="KGW106" s="46" t="s">
        <v>45</v>
      </c>
      <c r="KGX106" s="46"/>
      <c r="KGY106" s="46"/>
      <c r="KGZ106" s="46"/>
      <c r="KHA106" s="46"/>
      <c r="KHB106" s="46"/>
      <c r="KHC106" s="46"/>
      <c r="KHD106" s="47">
        <v>0</v>
      </c>
      <c r="KHE106" s="46" t="s">
        <v>45</v>
      </c>
      <c r="KHF106" s="46"/>
      <c r="KHG106" s="46"/>
      <c r="KHH106" s="46"/>
      <c r="KHI106" s="46"/>
      <c r="KHJ106" s="46"/>
      <c r="KHK106" s="46"/>
      <c r="KHL106" s="47">
        <v>0</v>
      </c>
      <c r="KHM106" s="46" t="s">
        <v>45</v>
      </c>
      <c r="KHN106" s="46"/>
      <c r="KHO106" s="46"/>
      <c r="KHP106" s="46"/>
      <c r="KHQ106" s="46"/>
      <c r="KHR106" s="46"/>
      <c r="KHS106" s="46"/>
      <c r="KHT106" s="47">
        <v>0</v>
      </c>
      <c r="KHU106" s="46" t="s">
        <v>45</v>
      </c>
      <c r="KHV106" s="46"/>
      <c r="KHW106" s="46"/>
      <c r="KHX106" s="46"/>
      <c r="KHY106" s="46"/>
      <c r="KHZ106" s="46"/>
      <c r="KIA106" s="46"/>
      <c r="KIB106" s="47">
        <v>0</v>
      </c>
      <c r="KIC106" s="46" t="s">
        <v>45</v>
      </c>
      <c r="KID106" s="46"/>
      <c r="KIE106" s="46"/>
      <c r="KIF106" s="46"/>
      <c r="KIG106" s="46"/>
      <c r="KIH106" s="46"/>
      <c r="KII106" s="46"/>
      <c r="KIJ106" s="47">
        <v>0</v>
      </c>
      <c r="KIK106" s="46" t="s">
        <v>45</v>
      </c>
      <c r="KIL106" s="46"/>
      <c r="KIM106" s="46"/>
      <c r="KIN106" s="46"/>
      <c r="KIO106" s="46"/>
      <c r="KIP106" s="46"/>
      <c r="KIQ106" s="46"/>
      <c r="KIR106" s="47">
        <v>0</v>
      </c>
      <c r="KIS106" s="46" t="s">
        <v>45</v>
      </c>
      <c r="KIT106" s="46"/>
      <c r="KIU106" s="46"/>
      <c r="KIV106" s="46"/>
      <c r="KIW106" s="46"/>
      <c r="KIX106" s="46"/>
      <c r="KIY106" s="46"/>
      <c r="KIZ106" s="47">
        <v>0</v>
      </c>
      <c r="KJA106" s="46" t="s">
        <v>45</v>
      </c>
      <c r="KJB106" s="46"/>
      <c r="KJC106" s="46"/>
      <c r="KJD106" s="46"/>
      <c r="KJE106" s="46"/>
      <c r="KJF106" s="46"/>
      <c r="KJG106" s="46"/>
      <c r="KJH106" s="47">
        <v>0</v>
      </c>
      <c r="KJI106" s="46" t="s">
        <v>45</v>
      </c>
      <c r="KJJ106" s="46"/>
      <c r="KJK106" s="46"/>
      <c r="KJL106" s="46"/>
      <c r="KJM106" s="46"/>
      <c r="KJN106" s="46"/>
      <c r="KJO106" s="46"/>
      <c r="KJP106" s="47">
        <v>0</v>
      </c>
      <c r="KJQ106" s="46" t="s">
        <v>45</v>
      </c>
      <c r="KJR106" s="46"/>
      <c r="KJS106" s="46"/>
      <c r="KJT106" s="46"/>
      <c r="KJU106" s="46"/>
      <c r="KJV106" s="46"/>
      <c r="KJW106" s="46"/>
      <c r="KJX106" s="47">
        <v>0</v>
      </c>
      <c r="KJY106" s="46" t="s">
        <v>45</v>
      </c>
      <c r="KJZ106" s="46"/>
      <c r="KKA106" s="46"/>
      <c r="KKB106" s="46"/>
      <c r="KKC106" s="46"/>
      <c r="KKD106" s="46"/>
      <c r="KKE106" s="46"/>
      <c r="KKF106" s="47">
        <v>0</v>
      </c>
      <c r="KKG106" s="46" t="s">
        <v>45</v>
      </c>
      <c r="KKH106" s="46"/>
      <c r="KKI106" s="46"/>
      <c r="KKJ106" s="46"/>
      <c r="KKK106" s="46"/>
      <c r="KKL106" s="46"/>
      <c r="KKM106" s="46"/>
      <c r="KKN106" s="47">
        <v>0</v>
      </c>
      <c r="KKO106" s="46" t="s">
        <v>45</v>
      </c>
      <c r="KKP106" s="46"/>
      <c r="KKQ106" s="46"/>
      <c r="KKR106" s="46"/>
      <c r="KKS106" s="46"/>
      <c r="KKT106" s="46"/>
      <c r="KKU106" s="46"/>
      <c r="KKV106" s="47">
        <v>0</v>
      </c>
      <c r="KKW106" s="46" t="s">
        <v>45</v>
      </c>
      <c r="KKX106" s="46"/>
      <c r="KKY106" s="46"/>
      <c r="KKZ106" s="46"/>
      <c r="KLA106" s="46"/>
      <c r="KLB106" s="46"/>
      <c r="KLC106" s="46"/>
      <c r="KLD106" s="47">
        <v>0</v>
      </c>
      <c r="KLE106" s="46" t="s">
        <v>45</v>
      </c>
      <c r="KLF106" s="46"/>
      <c r="KLG106" s="46"/>
      <c r="KLH106" s="46"/>
      <c r="KLI106" s="46"/>
      <c r="KLJ106" s="46"/>
      <c r="KLK106" s="46"/>
      <c r="KLL106" s="47">
        <v>0</v>
      </c>
      <c r="KLM106" s="46" t="s">
        <v>45</v>
      </c>
      <c r="KLN106" s="46"/>
      <c r="KLO106" s="46"/>
      <c r="KLP106" s="46"/>
      <c r="KLQ106" s="46"/>
      <c r="KLR106" s="46"/>
      <c r="KLS106" s="46"/>
      <c r="KLT106" s="47">
        <v>0</v>
      </c>
      <c r="KLU106" s="46" t="s">
        <v>45</v>
      </c>
      <c r="KLV106" s="46"/>
      <c r="KLW106" s="46"/>
      <c r="KLX106" s="46"/>
      <c r="KLY106" s="46"/>
      <c r="KLZ106" s="46"/>
      <c r="KMA106" s="46"/>
      <c r="KMB106" s="47">
        <v>0</v>
      </c>
      <c r="KMC106" s="46" t="s">
        <v>45</v>
      </c>
      <c r="KMD106" s="46"/>
      <c r="KME106" s="46"/>
      <c r="KMF106" s="46"/>
      <c r="KMG106" s="46"/>
      <c r="KMH106" s="46"/>
      <c r="KMI106" s="46"/>
      <c r="KMJ106" s="47">
        <v>0</v>
      </c>
      <c r="KMK106" s="46" t="s">
        <v>45</v>
      </c>
      <c r="KML106" s="46"/>
      <c r="KMM106" s="46"/>
      <c r="KMN106" s="46"/>
      <c r="KMO106" s="46"/>
      <c r="KMP106" s="46"/>
      <c r="KMQ106" s="46"/>
      <c r="KMR106" s="47">
        <v>0</v>
      </c>
      <c r="KMS106" s="46" t="s">
        <v>45</v>
      </c>
      <c r="KMT106" s="46"/>
      <c r="KMU106" s="46"/>
      <c r="KMV106" s="46"/>
      <c r="KMW106" s="46"/>
      <c r="KMX106" s="46"/>
      <c r="KMY106" s="46"/>
      <c r="KMZ106" s="47">
        <v>0</v>
      </c>
      <c r="KNA106" s="46" t="s">
        <v>45</v>
      </c>
      <c r="KNB106" s="46"/>
      <c r="KNC106" s="46"/>
      <c r="KND106" s="46"/>
      <c r="KNE106" s="46"/>
      <c r="KNF106" s="46"/>
      <c r="KNG106" s="46"/>
      <c r="KNH106" s="47">
        <v>0</v>
      </c>
      <c r="KNI106" s="46" t="s">
        <v>45</v>
      </c>
      <c r="KNJ106" s="46"/>
      <c r="KNK106" s="46"/>
      <c r="KNL106" s="46"/>
      <c r="KNM106" s="46"/>
      <c r="KNN106" s="46"/>
      <c r="KNO106" s="46"/>
      <c r="KNP106" s="47">
        <v>0</v>
      </c>
      <c r="KNQ106" s="46" t="s">
        <v>45</v>
      </c>
      <c r="KNR106" s="46"/>
      <c r="KNS106" s="46"/>
      <c r="KNT106" s="46"/>
      <c r="KNU106" s="46"/>
      <c r="KNV106" s="46"/>
      <c r="KNW106" s="46"/>
      <c r="KNX106" s="47">
        <v>0</v>
      </c>
      <c r="KNY106" s="46" t="s">
        <v>45</v>
      </c>
      <c r="KNZ106" s="46"/>
      <c r="KOA106" s="46"/>
      <c r="KOB106" s="46"/>
      <c r="KOC106" s="46"/>
      <c r="KOD106" s="46"/>
      <c r="KOE106" s="46"/>
      <c r="KOF106" s="47">
        <v>0</v>
      </c>
      <c r="KOG106" s="46" t="s">
        <v>45</v>
      </c>
      <c r="KOH106" s="46"/>
      <c r="KOI106" s="46"/>
      <c r="KOJ106" s="46"/>
      <c r="KOK106" s="46"/>
      <c r="KOL106" s="46"/>
      <c r="KOM106" s="46"/>
      <c r="KON106" s="47">
        <v>0</v>
      </c>
      <c r="KOO106" s="46" t="s">
        <v>45</v>
      </c>
      <c r="KOP106" s="46"/>
      <c r="KOQ106" s="46"/>
      <c r="KOR106" s="46"/>
      <c r="KOS106" s="46"/>
      <c r="KOT106" s="46"/>
      <c r="KOU106" s="46"/>
      <c r="KOV106" s="47">
        <v>0</v>
      </c>
      <c r="KOW106" s="46" t="s">
        <v>45</v>
      </c>
      <c r="KOX106" s="46"/>
      <c r="KOY106" s="46"/>
      <c r="KOZ106" s="46"/>
      <c r="KPA106" s="46"/>
      <c r="KPB106" s="46"/>
      <c r="KPC106" s="46"/>
      <c r="KPD106" s="47">
        <v>0</v>
      </c>
      <c r="KPE106" s="46" t="s">
        <v>45</v>
      </c>
      <c r="KPF106" s="46"/>
      <c r="KPG106" s="46"/>
      <c r="KPH106" s="46"/>
      <c r="KPI106" s="46"/>
      <c r="KPJ106" s="46"/>
      <c r="KPK106" s="46"/>
      <c r="KPL106" s="47">
        <v>0</v>
      </c>
      <c r="KPM106" s="46" t="s">
        <v>45</v>
      </c>
      <c r="KPN106" s="46"/>
      <c r="KPO106" s="46"/>
      <c r="KPP106" s="46"/>
      <c r="KPQ106" s="46"/>
      <c r="KPR106" s="46"/>
      <c r="KPS106" s="46"/>
      <c r="KPT106" s="47">
        <v>0</v>
      </c>
      <c r="KPU106" s="46" t="s">
        <v>45</v>
      </c>
      <c r="KPV106" s="46"/>
      <c r="KPW106" s="46"/>
      <c r="KPX106" s="46"/>
      <c r="KPY106" s="46"/>
      <c r="KPZ106" s="46"/>
      <c r="KQA106" s="46"/>
      <c r="KQB106" s="47">
        <v>0</v>
      </c>
      <c r="KQC106" s="46" t="s">
        <v>45</v>
      </c>
      <c r="KQD106" s="46"/>
      <c r="KQE106" s="46"/>
      <c r="KQF106" s="46"/>
      <c r="KQG106" s="46"/>
      <c r="KQH106" s="46"/>
      <c r="KQI106" s="46"/>
      <c r="KQJ106" s="47">
        <v>0</v>
      </c>
      <c r="KQK106" s="46" t="s">
        <v>45</v>
      </c>
      <c r="KQL106" s="46"/>
      <c r="KQM106" s="46"/>
      <c r="KQN106" s="46"/>
      <c r="KQO106" s="46"/>
      <c r="KQP106" s="46"/>
      <c r="KQQ106" s="46"/>
      <c r="KQR106" s="47">
        <v>0</v>
      </c>
      <c r="KQS106" s="46" t="s">
        <v>45</v>
      </c>
      <c r="KQT106" s="46"/>
      <c r="KQU106" s="46"/>
      <c r="KQV106" s="46"/>
      <c r="KQW106" s="46"/>
      <c r="KQX106" s="46"/>
      <c r="KQY106" s="46"/>
      <c r="KQZ106" s="47">
        <v>0</v>
      </c>
      <c r="KRA106" s="46" t="s">
        <v>45</v>
      </c>
      <c r="KRB106" s="46"/>
      <c r="KRC106" s="46"/>
      <c r="KRD106" s="46"/>
      <c r="KRE106" s="46"/>
      <c r="KRF106" s="46"/>
      <c r="KRG106" s="46"/>
      <c r="KRH106" s="47">
        <v>0</v>
      </c>
      <c r="KRI106" s="46" t="s">
        <v>45</v>
      </c>
      <c r="KRJ106" s="46"/>
      <c r="KRK106" s="46"/>
      <c r="KRL106" s="46"/>
      <c r="KRM106" s="46"/>
      <c r="KRN106" s="46"/>
      <c r="KRO106" s="46"/>
      <c r="KRP106" s="47">
        <v>0</v>
      </c>
      <c r="KRQ106" s="46" t="s">
        <v>45</v>
      </c>
      <c r="KRR106" s="46"/>
      <c r="KRS106" s="46"/>
      <c r="KRT106" s="46"/>
      <c r="KRU106" s="46"/>
      <c r="KRV106" s="46"/>
      <c r="KRW106" s="46"/>
      <c r="KRX106" s="47">
        <v>0</v>
      </c>
      <c r="KRY106" s="46" t="s">
        <v>45</v>
      </c>
      <c r="KRZ106" s="46"/>
      <c r="KSA106" s="46"/>
      <c r="KSB106" s="46"/>
      <c r="KSC106" s="46"/>
      <c r="KSD106" s="46"/>
      <c r="KSE106" s="46"/>
      <c r="KSF106" s="47">
        <v>0</v>
      </c>
      <c r="KSG106" s="46" t="s">
        <v>45</v>
      </c>
      <c r="KSH106" s="46"/>
      <c r="KSI106" s="46"/>
      <c r="KSJ106" s="46"/>
      <c r="KSK106" s="46"/>
      <c r="KSL106" s="46"/>
      <c r="KSM106" s="46"/>
      <c r="KSN106" s="47">
        <v>0</v>
      </c>
      <c r="KSO106" s="46" t="s">
        <v>45</v>
      </c>
      <c r="KSP106" s="46"/>
      <c r="KSQ106" s="46"/>
      <c r="KSR106" s="46"/>
      <c r="KSS106" s="46"/>
      <c r="KST106" s="46"/>
      <c r="KSU106" s="46"/>
      <c r="KSV106" s="47">
        <v>0</v>
      </c>
      <c r="KSW106" s="46" t="s">
        <v>45</v>
      </c>
      <c r="KSX106" s="46"/>
      <c r="KSY106" s="46"/>
      <c r="KSZ106" s="46"/>
      <c r="KTA106" s="46"/>
      <c r="KTB106" s="46"/>
      <c r="KTC106" s="46"/>
      <c r="KTD106" s="47">
        <v>0</v>
      </c>
      <c r="KTE106" s="46" t="s">
        <v>45</v>
      </c>
      <c r="KTF106" s="46"/>
      <c r="KTG106" s="46"/>
      <c r="KTH106" s="46"/>
      <c r="KTI106" s="46"/>
      <c r="KTJ106" s="46"/>
      <c r="KTK106" s="46"/>
      <c r="KTL106" s="47">
        <v>0</v>
      </c>
      <c r="KTM106" s="46" t="s">
        <v>45</v>
      </c>
      <c r="KTN106" s="46"/>
      <c r="KTO106" s="46"/>
      <c r="KTP106" s="46"/>
      <c r="KTQ106" s="46"/>
      <c r="KTR106" s="46"/>
      <c r="KTS106" s="46"/>
      <c r="KTT106" s="47">
        <v>0</v>
      </c>
      <c r="KTU106" s="46" t="s">
        <v>45</v>
      </c>
      <c r="KTV106" s="46"/>
      <c r="KTW106" s="46"/>
      <c r="KTX106" s="46"/>
      <c r="KTY106" s="46"/>
      <c r="KTZ106" s="46"/>
      <c r="KUA106" s="46"/>
      <c r="KUB106" s="47">
        <v>0</v>
      </c>
      <c r="KUC106" s="46" t="s">
        <v>45</v>
      </c>
      <c r="KUD106" s="46"/>
      <c r="KUE106" s="46"/>
      <c r="KUF106" s="46"/>
      <c r="KUG106" s="46"/>
      <c r="KUH106" s="46"/>
      <c r="KUI106" s="46"/>
      <c r="KUJ106" s="47">
        <v>0</v>
      </c>
      <c r="KUK106" s="46" t="s">
        <v>45</v>
      </c>
      <c r="KUL106" s="46"/>
      <c r="KUM106" s="46"/>
      <c r="KUN106" s="46"/>
      <c r="KUO106" s="46"/>
      <c r="KUP106" s="46"/>
      <c r="KUQ106" s="46"/>
      <c r="KUR106" s="47">
        <v>0</v>
      </c>
      <c r="KUS106" s="46" t="s">
        <v>45</v>
      </c>
      <c r="KUT106" s="46"/>
      <c r="KUU106" s="46"/>
      <c r="KUV106" s="46"/>
      <c r="KUW106" s="46"/>
      <c r="KUX106" s="46"/>
      <c r="KUY106" s="46"/>
      <c r="KUZ106" s="47">
        <v>0</v>
      </c>
      <c r="KVA106" s="46" t="s">
        <v>45</v>
      </c>
      <c r="KVB106" s="46"/>
      <c r="KVC106" s="46"/>
      <c r="KVD106" s="46"/>
      <c r="KVE106" s="46"/>
      <c r="KVF106" s="46"/>
      <c r="KVG106" s="46"/>
      <c r="KVH106" s="47">
        <v>0</v>
      </c>
      <c r="KVI106" s="46" t="s">
        <v>45</v>
      </c>
      <c r="KVJ106" s="46"/>
      <c r="KVK106" s="46"/>
      <c r="KVL106" s="46"/>
      <c r="KVM106" s="46"/>
      <c r="KVN106" s="46"/>
      <c r="KVO106" s="46"/>
      <c r="KVP106" s="47">
        <v>0</v>
      </c>
      <c r="KVQ106" s="46" t="s">
        <v>45</v>
      </c>
      <c r="KVR106" s="46"/>
      <c r="KVS106" s="46"/>
      <c r="KVT106" s="46"/>
      <c r="KVU106" s="46"/>
      <c r="KVV106" s="46"/>
      <c r="KVW106" s="46"/>
      <c r="KVX106" s="47">
        <v>0</v>
      </c>
      <c r="KVY106" s="46" t="s">
        <v>45</v>
      </c>
      <c r="KVZ106" s="46"/>
      <c r="KWA106" s="46"/>
      <c r="KWB106" s="46"/>
      <c r="KWC106" s="46"/>
      <c r="KWD106" s="46"/>
      <c r="KWE106" s="46"/>
      <c r="KWF106" s="47">
        <v>0</v>
      </c>
      <c r="KWG106" s="46" t="s">
        <v>45</v>
      </c>
      <c r="KWH106" s="46"/>
      <c r="KWI106" s="46"/>
      <c r="KWJ106" s="46"/>
      <c r="KWK106" s="46"/>
      <c r="KWL106" s="46"/>
      <c r="KWM106" s="46"/>
      <c r="KWN106" s="47">
        <v>0</v>
      </c>
      <c r="KWO106" s="46" t="s">
        <v>45</v>
      </c>
      <c r="KWP106" s="46"/>
      <c r="KWQ106" s="46"/>
      <c r="KWR106" s="46"/>
      <c r="KWS106" s="46"/>
      <c r="KWT106" s="46"/>
      <c r="KWU106" s="46"/>
      <c r="KWV106" s="47">
        <v>0</v>
      </c>
      <c r="KWW106" s="46" t="s">
        <v>45</v>
      </c>
      <c r="KWX106" s="46"/>
      <c r="KWY106" s="46"/>
      <c r="KWZ106" s="46"/>
      <c r="KXA106" s="46"/>
      <c r="KXB106" s="46"/>
      <c r="KXC106" s="46"/>
      <c r="KXD106" s="47">
        <v>0</v>
      </c>
      <c r="KXE106" s="46" t="s">
        <v>45</v>
      </c>
      <c r="KXF106" s="46"/>
      <c r="KXG106" s="46"/>
      <c r="KXH106" s="46"/>
      <c r="KXI106" s="46"/>
      <c r="KXJ106" s="46"/>
      <c r="KXK106" s="46"/>
      <c r="KXL106" s="47">
        <v>0</v>
      </c>
      <c r="KXM106" s="46" t="s">
        <v>45</v>
      </c>
      <c r="KXN106" s="46"/>
      <c r="KXO106" s="46"/>
      <c r="KXP106" s="46"/>
      <c r="KXQ106" s="46"/>
      <c r="KXR106" s="46"/>
      <c r="KXS106" s="46"/>
      <c r="KXT106" s="47">
        <v>0</v>
      </c>
      <c r="KXU106" s="46" t="s">
        <v>45</v>
      </c>
      <c r="KXV106" s="46"/>
      <c r="KXW106" s="46"/>
      <c r="KXX106" s="46"/>
      <c r="KXY106" s="46"/>
      <c r="KXZ106" s="46"/>
      <c r="KYA106" s="46"/>
      <c r="KYB106" s="47">
        <v>0</v>
      </c>
      <c r="KYC106" s="46" t="s">
        <v>45</v>
      </c>
      <c r="KYD106" s="46"/>
      <c r="KYE106" s="46"/>
      <c r="KYF106" s="46"/>
      <c r="KYG106" s="46"/>
      <c r="KYH106" s="46"/>
      <c r="KYI106" s="46"/>
      <c r="KYJ106" s="47">
        <v>0</v>
      </c>
      <c r="KYK106" s="46" t="s">
        <v>45</v>
      </c>
      <c r="KYL106" s="46"/>
      <c r="KYM106" s="46"/>
      <c r="KYN106" s="46"/>
      <c r="KYO106" s="46"/>
      <c r="KYP106" s="46"/>
      <c r="KYQ106" s="46"/>
      <c r="KYR106" s="47">
        <v>0</v>
      </c>
      <c r="KYS106" s="46" t="s">
        <v>45</v>
      </c>
      <c r="KYT106" s="46"/>
      <c r="KYU106" s="46"/>
      <c r="KYV106" s="46"/>
      <c r="KYW106" s="46"/>
      <c r="KYX106" s="46"/>
      <c r="KYY106" s="46"/>
      <c r="KYZ106" s="47">
        <v>0</v>
      </c>
      <c r="KZA106" s="46" t="s">
        <v>45</v>
      </c>
      <c r="KZB106" s="46"/>
      <c r="KZC106" s="46"/>
      <c r="KZD106" s="46"/>
      <c r="KZE106" s="46"/>
      <c r="KZF106" s="46"/>
      <c r="KZG106" s="46"/>
      <c r="KZH106" s="47">
        <v>0</v>
      </c>
      <c r="KZI106" s="46" t="s">
        <v>45</v>
      </c>
      <c r="KZJ106" s="46"/>
      <c r="KZK106" s="46"/>
      <c r="KZL106" s="46"/>
      <c r="KZM106" s="46"/>
      <c r="KZN106" s="46"/>
      <c r="KZO106" s="46"/>
      <c r="KZP106" s="47">
        <v>0</v>
      </c>
      <c r="KZQ106" s="46" t="s">
        <v>45</v>
      </c>
      <c r="KZR106" s="46"/>
      <c r="KZS106" s="46"/>
      <c r="KZT106" s="46"/>
      <c r="KZU106" s="46"/>
      <c r="KZV106" s="46"/>
      <c r="KZW106" s="46"/>
      <c r="KZX106" s="47">
        <v>0</v>
      </c>
      <c r="KZY106" s="46" t="s">
        <v>45</v>
      </c>
      <c r="KZZ106" s="46"/>
      <c r="LAA106" s="46"/>
      <c r="LAB106" s="46"/>
      <c r="LAC106" s="46"/>
      <c r="LAD106" s="46"/>
      <c r="LAE106" s="46"/>
      <c r="LAF106" s="47">
        <v>0</v>
      </c>
      <c r="LAG106" s="46" t="s">
        <v>45</v>
      </c>
      <c r="LAH106" s="46"/>
      <c r="LAI106" s="46"/>
      <c r="LAJ106" s="46"/>
      <c r="LAK106" s="46"/>
      <c r="LAL106" s="46"/>
      <c r="LAM106" s="46"/>
      <c r="LAN106" s="47">
        <v>0</v>
      </c>
      <c r="LAO106" s="46" t="s">
        <v>45</v>
      </c>
      <c r="LAP106" s="46"/>
      <c r="LAQ106" s="46"/>
      <c r="LAR106" s="46"/>
      <c r="LAS106" s="46"/>
      <c r="LAT106" s="46"/>
      <c r="LAU106" s="46"/>
      <c r="LAV106" s="47">
        <v>0</v>
      </c>
      <c r="LAW106" s="46" t="s">
        <v>45</v>
      </c>
      <c r="LAX106" s="46"/>
      <c r="LAY106" s="46"/>
      <c r="LAZ106" s="46"/>
      <c r="LBA106" s="46"/>
      <c r="LBB106" s="46"/>
      <c r="LBC106" s="46"/>
      <c r="LBD106" s="47">
        <v>0</v>
      </c>
      <c r="LBE106" s="46" t="s">
        <v>45</v>
      </c>
      <c r="LBF106" s="46"/>
      <c r="LBG106" s="46"/>
      <c r="LBH106" s="46"/>
      <c r="LBI106" s="46"/>
      <c r="LBJ106" s="46"/>
      <c r="LBK106" s="46"/>
      <c r="LBL106" s="47">
        <v>0</v>
      </c>
      <c r="LBM106" s="46" t="s">
        <v>45</v>
      </c>
      <c r="LBN106" s="46"/>
      <c r="LBO106" s="46"/>
      <c r="LBP106" s="46"/>
      <c r="LBQ106" s="46"/>
      <c r="LBR106" s="46"/>
      <c r="LBS106" s="46"/>
      <c r="LBT106" s="47">
        <v>0</v>
      </c>
      <c r="LBU106" s="46" t="s">
        <v>45</v>
      </c>
      <c r="LBV106" s="46"/>
      <c r="LBW106" s="46"/>
      <c r="LBX106" s="46"/>
      <c r="LBY106" s="46"/>
      <c r="LBZ106" s="46"/>
      <c r="LCA106" s="46"/>
      <c r="LCB106" s="47">
        <v>0</v>
      </c>
      <c r="LCC106" s="46" t="s">
        <v>45</v>
      </c>
      <c r="LCD106" s="46"/>
      <c r="LCE106" s="46"/>
      <c r="LCF106" s="46"/>
      <c r="LCG106" s="46"/>
      <c r="LCH106" s="46"/>
      <c r="LCI106" s="46"/>
      <c r="LCJ106" s="47">
        <v>0</v>
      </c>
      <c r="LCK106" s="46" t="s">
        <v>45</v>
      </c>
      <c r="LCL106" s="46"/>
      <c r="LCM106" s="46"/>
      <c r="LCN106" s="46"/>
      <c r="LCO106" s="46"/>
      <c r="LCP106" s="46"/>
      <c r="LCQ106" s="46"/>
      <c r="LCR106" s="47">
        <v>0</v>
      </c>
      <c r="LCS106" s="46" t="s">
        <v>45</v>
      </c>
      <c r="LCT106" s="46"/>
      <c r="LCU106" s="46"/>
      <c r="LCV106" s="46"/>
      <c r="LCW106" s="46"/>
      <c r="LCX106" s="46"/>
      <c r="LCY106" s="46"/>
      <c r="LCZ106" s="47">
        <v>0</v>
      </c>
      <c r="LDA106" s="46" t="s">
        <v>45</v>
      </c>
      <c r="LDB106" s="46"/>
      <c r="LDC106" s="46"/>
      <c r="LDD106" s="46"/>
      <c r="LDE106" s="46"/>
      <c r="LDF106" s="46"/>
      <c r="LDG106" s="46"/>
      <c r="LDH106" s="47">
        <v>0</v>
      </c>
      <c r="LDI106" s="46" t="s">
        <v>45</v>
      </c>
      <c r="LDJ106" s="46"/>
      <c r="LDK106" s="46"/>
      <c r="LDL106" s="46"/>
      <c r="LDM106" s="46"/>
      <c r="LDN106" s="46"/>
      <c r="LDO106" s="46"/>
      <c r="LDP106" s="47">
        <v>0</v>
      </c>
      <c r="LDQ106" s="46" t="s">
        <v>45</v>
      </c>
      <c r="LDR106" s="46"/>
      <c r="LDS106" s="46"/>
      <c r="LDT106" s="46"/>
      <c r="LDU106" s="46"/>
      <c r="LDV106" s="46"/>
      <c r="LDW106" s="46"/>
      <c r="LDX106" s="47">
        <v>0</v>
      </c>
      <c r="LDY106" s="46" t="s">
        <v>45</v>
      </c>
      <c r="LDZ106" s="46"/>
      <c r="LEA106" s="46"/>
      <c r="LEB106" s="46"/>
      <c r="LEC106" s="46"/>
      <c r="LED106" s="46"/>
      <c r="LEE106" s="46"/>
      <c r="LEF106" s="47">
        <v>0</v>
      </c>
      <c r="LEG106" s="46" t="s">
        <v>45</v>
      </c>
      <c r="LEH106" s="46"/>
      <c r="LEI106" s="46"/>
      <c r="LEJ106" s="46"/>
      <c r="LEK106" s="46"/>
      <c r="LEL106" s="46"/>
      <c r="LEM106" s="46"/>
      <c r="LEN106" s="47">
        <v>0</v>
      </c>
      <c r="LEO106" s="46" t="s">
        <v>45</v>
      </c>
      <c r="LEP106" s="46"/>
      <c r="LEQ106" s="46"/>
      <c r="LER106" s="46"/>
      <c r="LES106" s="46"/>
      <c r="LET106" s="46"/>
      <c r="LEU106" s="46"/>
      <c r="LEV106" s="47">
        <v>0</v>
      </c>
      <c r="LEW106" s="46" t="s">
        <v>45</v>
      </c>
      <c r="LEX106" s="46"/>
      <c r="LEY106" s="46"/>
      <c r="LEZ106" s="46"/>
      <c r="LFA106" s="46"/>
      <c r="LFB106" s="46"/>
      <c r="LFC106" s="46"/>
      <c r="LFD106" s="47">
        <v>0</v>
      </c>
      <c r="LFE106" s="46" t="s">
        <v>45</v>
      </c>
      <c r="LFF106" s="46"/>
      <c r="LFG106" s="46"/>
      <c r="LFH106" s="46"/>
      <c r="LFI106" s="46"/>
      <c r="LFJ106" s="46"/>
      <c r="LFK106" s="46"/>
      <c r="LFL106" s="47">
        <v>0</v>
      </c>
      <c r="LFM106" s="46" t="s">
        <v>45</v>
      </c>
      <c r="LFN106" s="46"/>
      <c r="LFO106" s="46"/>
      <c r="LFP106" s="46"/>
      <c r="LFQ106" s="46"/>
      <c r="LFR106" s="46"/>
      <c r="LFS106" s="46"/>
      <c r="LFT106" s="47">
        <v>0</v>
      </c>
      <c r="LFU106" s="46" t="s">
        <v>45</v>
      </c>
      <c r="LFV106" s="46"/>
      <c r="LFW106" s="46"/>
      <c r="LFX106" s="46"/>
      <c r="LFY106" s="46"/>
      <c r="LFZ106" s="46"/>
      <c r="LGA106" s="46"/>
      <c r="LGB106" s="47">
        <v>0</v>
      </c>
      <c r="LGC106" s="46" t="s">
        <v>45</v>
      </c>
      <c r="LGD106" s="46"/>
      <c r="LGE106" s="46"/>
      <c r="LGF106" s="46"/>
      <c r="LGG106" s="46"/>
      <c r="LGH106" s="46"/>
      <c r="LGI106" s="46"/>
      <c r="LGJ106" s="47">
        <v>0</v>
      </c>
      <c r="LGK106" s="46" t="s">
        <v>45</v>
      </c>
      <c r="LGL106" s="46"/>
      <c r="LGM106" s="46"/>
      <c r="LGN106" s="46"/>
      <c r="LGO106" s="46"/>
      <c r="LGP106" s="46"/>
      <c r="LGQ106" s="46"/>
      <c r="LGR106" s="47">
        <v>0</v>
      </c>
      <c r="LGS106" s="46" t="s">
        <v>45</v>
      </c>
      <c r="LGT106" s="46"/>
      <c r="LGU106" s="46"/>
      <c r="LGV106" s="46"/>
      <c r="LGW106" s="46"/>
      <c r="LGX106" s="46"/>
      <c r="LGY106" s="46"/>
      <c r="LGZ106" s="47">
        <v>0</v>
      </c>
      <c r="LHA106" s="46" t="s">
        <v>45</v>
      </c>
      <c r="LHB106" s="46"/>
      <c r="LHC106" s="46"/>
      <c r="LHD106" s="46"/>
      <c r="LHE106" s="46"/>
      <c r="LHF106" s="46"/>
      <c r="LHG106" s="46"/>
      <c r="LHH106" s="47">
        <v>0</v>
      </c>
      <c r="LHI106" s="46" t="s">
        <v>45</v>
      </c>
      <c r="LHJ106" s="46"/>
      <c r="LHK106" s="46"/>
      <c r="LHL106" s="46"/>
      <c r="LHM106" s="46"/>
      <c r="LHN106" s="46"/>
      <c r="LHO106" s="46"/>
      <c r="LHP106" s="47">
        <v>0</v>
      </c>
      <c r="LHQ106" s="46" t="s">
        <v>45</v>
      </c>
      <c r="LHR106" s="46"/>
      <c r="LHS106" s="46"/>
      <c r="LHT106" s="46"/>
      <c r="LHU106" s="46"/>
      <c r="LHV106" s="46"/>
      <c r="LHW106" s="46"/>
      <c r="LHX106" s="47">
        <v>0</v>
      </c>
      <c r="LHY106" s="46" t="s">
        <v>45</v>
      </c>
      <c r="LHZ106" s="46"/>
      <c r="LIA106" s="46"/>
      <c r="LIB106" s="46"/>
      <c r="LIC106" s="46"/>
      <c r="LID106" s="46"/>
      <c r="LIE106" s="46"/>
      <c r="LIF106" s="47">
        <v>0</v>
      </c>
      <c r="LIG106" s="46" t="s">
        <v>45</v>
      </c>
      <c r="LIH106" s="46"/>
      <c r="LII106" s="46"/>
      <c r="LIJ106" s="46"/>
      <c r="LIK106" s="46"/>
      <c r="LIL106" s="46"/>
      <c r="LIM106" s="46"/>
      <c r="LIN106" s="47">
        <v>0</v>
      </c>
      <c r="LIO106" s="46" t="s">
        <v>45</v>
      </c>
      <c r="LIP106" s="46"/>
      <c r="LIQ106" s="46"/>
      <c r="LIR106" s="46"/>
      <c r="LIS106" s="46"/>
      <c r="LIT106" s="46"/>
      <c r="LIU106" s="46"/>
      <c r="LIV106" s="47">
        <v>0</v>
      </c>
      <c r="LIW106" s="46" t="s">
        <v>45</v>
      </c>
      <c r="LIX106" s="46"/>
      <c r="LIY106" s="46"/>
      <c r="LIZ106" s="46"/>
      <c r="LJA106" s="46"/>
      <c r="LJB106" s="46"/>
      <c r="LJC106" s="46"/>
      <c r="LJD106" s="47">
        <v>0</v>
      </c>
      <c r="LJE106" s="46" t="s">
        <v>45</v>
      </c>
      <c r="LJF106" s="46"/>
      <c r="LJG106" s="46"/>
      <c r="LJH106" s="46"/>
      <c r="LJI106" s="46"/>
      <c r="LJJ106" s="46"/>
      <c r="LJK106" s="46"/>
      <c r="LJL106" s="47">
        <v>0</v>
      </c>
      <c r="LJM106" s="46" t="s">
        <v>45</v>
      </c>
      <c r="LJN106" s="46"/>
      <c r="LJO106" s="46"/>
      <c r="LJP106" s="46"/>
      <c r="LJQ106" s="46"/>
      <c r="LJR106" s="46"/>
      <c r="LJS106" s="46"/>
      <c r="LJT106" s="47">
        <v>0</v>
      </c>
      <c r="LJU106" s="46" t="s">
        <v>45</v>
      </c>
      <c r="LJV106" s="46"/>
      <c r="LJW106" s="46"/>
      <c r="LJX106" s="46"/>
      <c r="LJY106" s="46"/>
      <c r="LJZ106" s="46"/>
      <c r="LKA106" s="46"/>
      <c r="LKB106" s="47">
        <v>0</v>
      </c>
      <c r="LKC106" s="46" t="s">
        <v>45</v>
      </c>
      <c r="LKD106" s="46"/>
      <c r="LKE106" s="46"/>
      <c r="LKF106" s="46"/>
      <c r="LKG106" s="46"/>
      <c r="LKH106" s="46"/>
      <c r="LKI106" s="46"/>
      <c r="LKJ106" s="47">
        <v>0</v>
      </c>
      <c r="LKK106" s="46" t="s">
        <v>45</v>
      </c>
      <c r="LKL106" s="46"/>
      <c r="LKM106" s="46"/>
      <c r="LKN106" s="46"/>
      <c r="LKO106" s="46"/>
      <c r="LKP106" s="46"/>
      <c r="LKQ106" s="46"/>
      <c r="LKR106" s="47">
        <v>0</v>
      </c>
      <c r="LKS106" s="46" t="s">
        <v>45</v>
      </c>
      <c r="LKT106" s="46"/>
      <c r="LKU106" s="46"/>
      <c r="LKV106" s="46"/>
      <c r="LKW106" s="46"/>
      <c r="LKX106" s="46"/>
      <c r="LKY106" s="46"/>
      <c r="LKZ106" s="47">
        <v>0</v>
      </c>
      <c r="LLA106" s="46" t="s">
        <v>45</v>
      </c>
      <c r="LLB106" s="46"/>
      <c r="LLC106" s="46"/>
      <c r="LLD106" s="46"/>
      <c r="LLE106" s="46"/>
      <c r="LLF106" s="46"/>
      <c r="LLG106" s="46"/>
      <c r="LLH106" s="47">
        <v>0</v>
      </c>
      <c r="LLI106" s="46" t="s">
        <v>45</v>
      </c>
      <c r="LLJ106" s="46"/>
      <c r="LLK106" s="46"/>
      <c r="LLL106" s="46"/>
      <c r="LLM106" s="46"/>
      <c r="LLN106" s="46"/>
      <c r="LLO106" s="46"/>
      <c r="LLP106" s="47">
        <v>0</v>
      </c>
      <c r="LLQ106" s="46" t="s">
        <v>45</v>
      </c>
      <c r="LLR106" s="46"/>
      <c r="LLS106" s="46"/>
      <c r="LLT106" s="46"/>
      <c r="LLU106" s="46"/>
      <c r="LLV106" s="46"/>
      <c r="LLW106" s="46"/>
      <c r="LLX106" s="47">
        <v>0</v>
      </c>
      <c r="LLY106" s="46" t="s">
        <v>45</v>
      </c>
      <c r="LLZ106" s="46"/>
      <c r="LMA106" s="46"/>
      <c r="LMB106" s="46"/>
      <c r="LMC106" s="46"/>
      <c r="LMD106" s="46"/>
      <c r="LME106" s="46"/>
      <c r="LMF106" s="47">
        <v>0</v>
      </c>
      <c r="LMG106" s="46" t="s">
        <v>45</v>
      </c>
      <c r="LMH106" s="46"/>
      <c r="LMI106" s="46"/>
      <c r="LMJ106" s="46"/>
      <c r="LMK106" s="46"/>
      <c r="LML106" s="46"/>
      <c r="LMM106" s="46"/>
      <c r="LMN106" s="47">
        <v>0</v>
      </c>
      <c r="LMO106" s="46" t="s">
        <v>45</v>
      </c>
      <c r="LMP106" s="46"/>
      <c r="LMQ106" s="46"/>
      <c r="LMR106" s="46"/>
      <c r="LMS106" s="46"/>
      <c r="LMT106" s="46"/>
      <c r="LMU106" s="46"/>
      <c r="LMV106" s="47">
        <v>0</v>
      </c>
      <c r="LMW106" s="46" t="s">
        <v>45</v>
      </c>
      <c r="LMX106" s="46"/>
      <c r="LMY106" s="46"/>
      <c r="LMZ106" s="46"/>
      <c r="LNA106" s="46"/>
      <c r="LNB106" s="46"/>
      <c r="LNC106" s="46"/>
      <c r="LND106" s="47">
        <v>0</v>
      </c>
      <c r="LNE106" s="46" t="s">
        <v>45</v>
      </c>
      <c r="LNF106" s="46"/>
      <c r="LNG106" s="46"/>
      <c r="LNH106" s="46"/>
      <c r="LNI106" s="46"/>
      <c r="LNJ106" s="46"/>
      <c r="LNK106" s="46"/>
      <c r="LNL106" s="47">
        <v>0</v>
      </c>
      <c r="LNM106" s="46" t="s">
        <v>45</v>
      </c>
      <c r="LNN106" s="46"/>
      <c r="LNO106" s="46"/>
      <c r="LNP106" s="46"/>
      <c r="LNQ106" s="46"/>
      <c r="LNR106" s="46"/>
      <c r="LNS106" s="46"/>
      <c r="LNT106" s="47">
        <v>0</v>
      </c>
      <c r="LNU106" s="46" t="s">
        <v>45</v>
      </c>
      <c r="LNV106" s="46"/>
      <c r="LNW106" s="46"/>
      <c r="LNX106" s="46"/>
      <c r="LNY106" s="46"/>
      <c r="LNZ106" s="46"/>
      <c r="LOA106" s="46"/>
      <c r="LOB106" s="47">
        <v>0</v>
      </c>
      <c r="LOC106" s="46" t="s">
        <v>45</v>
      </c>
      <c r="LOD106" s="46"/>
      <c r="LOE106" s="46"/>
      <c r="LOF106" s="46"/>
      <c r="LOG106" s="46"/>
      <c r="LOH106" s="46"/>
      <c r="LOI106" s="46"/>
      <c r="LOJ106" s="47">
        <v>0</v>
      </c>
      <c r="LOK106" s="46" t="s">
        <v>45</v>
      </c>
      <c r="LOL106" s="46"/>
      <c r="LOM106" s="46"/>
      <c r="LON106" s="46"/>
      <c r="LOO106" s="46"/>
      <c r="LOP106" s="46"/>
      <c r="LOQ106" s="46"/>
      <c r="LOR106" s="47">
        <v>0</v>
      </c>
      <c r="LOS106" s="46" t="s">
        <v>45</v>
      </c>
      <c r="LOT106" s="46"/>
      <c r="LOU106" s="46"/>
      <c r="LOV106" s="46"/>
      <c r="LOW106" s="46"/>
      <c r="LOX106" s="46"/>
      <c r="LOY106" s="46"/>
      <c r="LOZ106" s="47">
        <v>0</v>
      </c>
      <c r="LPA106" s="46" t="s">
        <v>45</v>
      </c>
      <c r="LPB106" s="46"/>
      <c r="LPC106" s="46"/>
      <c r="LPD106" s="46"/>
      <c r="LPE106" s="46"/>
      <c r="LPF106" s="46"/>
      <c r="LPG106" s="46"/>
      <c r="LPH106" s="47">
        <v>0</v>
      </c>
      <c r="LPI106" s="46" t="s">
        <v>45</v>
      </c>
      <c r="LPJ106" s="46"/>
      <c r="LPK106" s="46"/>
      <c r="LPL106" s="46"/>
      <c r="LPM106" s="46"/>
      <c r="LPN106" s="46"/>
      <c r="LPO106" s="46"/>
      <c r="LPP106" s="47">
        <v>0</v>
      </c>
      <c r="LPQ106" s="46" t="s">
        <v>45</v>
      </c>
      <c r="LPR106" s="46"/>
      <c r="LPS106" s="46"/>
      <c r="LPT106" s="46"/>
      <c r="LPU106" s="46"/>
      <c r="LPV106" s="46"/>
      <c r="LPW106" s="46"/>
      <c r="LPX106" s="47">
        <v>0</v>
      </c>
      <c r="LPY106" s="46" t="s">
        <v>45</v>
      </c>
      <c r="LPZ106" s="46"/>
      <c r="LQA106" s="46"/>
      <c r="LQB106" s="46"/>
      <c r="LQC106" s="46"/>
      <c r="LQD106" s="46"/>
      <c r="LQE106" s="46"/>
      <c r="LQF106" s="47">
        <v>0</v>
      </c>
      <c r="LQG106" s="46" t="s">
        <v>45</v>
      </c>
      <c r="LQH106" s="46"/>
      <c r="LQI106" s="46"/>
      <c r="LQJ106" s="46"/>
      <c r="LQK106" s="46"/>
      <c r="LQL106" s="46"/>
      <c r="LQM106" s="46"/>
      <c r="LQN106" s="47">
        <v>0</v>
      </c>
      <c r="LQO106" s="46" t="s">
        <v>45</v>
      </c>
      <c r="LQP106" s="46"/>
      <c r="LQQ106" s="46"/>
      <c r="LQR106" s="46"/>
      <c r="LQS106" s="46"/>
      <c r="LQT106" s="46"/>
      <c r="LQU106" s="46"/>
      <c r="LQV106" s="47">
        <v>0</v>
      </c>
      <c r="LQW106" s="46" t="s">
        <v>45</v>
      </c>
      <c r="LQX106" s="46"/>
      <c r="LQY106" s="46"/>
      <c r="LQZ106" s="46"/>
      <c r="LRA106" s="46"/>
      <c r="LRB106" s="46"/>
      <c r="LRC106" s="46"/>
      <c r="LRD106" s="47">
        <v>0</v>
      </c>
      <c r="LRE106" s="46" t="s">
        <v>45</v>
      </c>
      <c r="LRF106" s="46"/>
      <c r="LRG106" s="46"/>
      <c r="LRH106" s="46"/>
      <c r="LRI106" s="46"/>
      <c r="LRJ106" s="46"/>
      <c r="LRK106" s="46"/>
      <c r="LRL106" s="47">
        <v>0</v>
      </c>
      <c r="LRM106" s="46" t="s">
        <v>45</v>
      </c>
      <c r="LRN106" s="46"/>
      <c r="LRO106" s="46"/>
      <c r="LRP106" s="46"/>
      <c r="LRQ106" s="46"/>
      <c r="LRR106" s="46"/>
      <c r="LRS106" s="46"/>
      <c r="LRT106" s="47">
        <v>0</v>
      </c>
      <c r="LRU106" s="46" t="s">
        <v>45</v>
      </c>
      <c r="LRV106" s="46"/>
      <c r="LRW106" s="46"/>
      <c r="LRX106" s="46"/>
      <c r="LRY106" s="46"/>
      <c r="LRZ106" s="46"/>
      <c r="LSA106" s="46"/>
      <c r="LSB106" s="47">
        <v>0</v>
      </c>
      <c r="LSC106" s="46" t="s">
        <v>45</v>
      </c>
      <c r="LSD106" s="46"/>
      <c r="LSE106" s="46"/>
      <c r="LSF106" s="46"/>
      <c r="LSG106" s="46"/>
      <c r="LSH106" s="46"/>
      <c r="LSI106" s="46"/>
      <c r="LSJ106" s="47">
        <v>0</v>
      </c>
      <c r="LSK106" s="46" t="s">
        <v>45</v>
      </c>
      <c r="LSL106" s="46"/>
      <c r="LSM106" s="46"/>
      <c r="LSN106" s="46"/>
      <c r="LSO106" s="46"/>
      <c r="LSP106" s="46"/>
      <c r="LSQ106" s="46"/>
      <c r="LSR106" s="47">
        <v>0</v>
      </c>
      <c r="LSS106" s="46" t="s">
        <v>45</v>
      </c>
      <c r="LST106" s="46"/>
      <c r="LSU106" s="46"/>
      <c r="LSV106" s="46"/>
      <c r="LSW106" s="46"/>
      <c r="LSX106" s="46"/>
      <c r="LSY106" s="46"/>
      <c r="LSZ106" s="47">
        <v>0</v>
      </c>
      <c r="LTA106" s="46" t="s">
        <v>45</v>
      </c>
      <c r="LTB106" s="46"/>
      <c r="LTC106" s="46"/>
      <c r="LTD106" s="46"/>
      <c r="LTE106" s="46"/>
      <c r="LTF106" s="46"/>
      <c r="LTG106" s="46"/>
      <c r="LTH106" s="47">
        <v>0</v>
      </c>
      <c r="LTI106" s="46" t="s">
        <v>45</v>
      </c>
      <c r="LTJ106" s="46"/>
      <c r="LTK106" s="46"/>
      <c r="LTL106" s="46"/>
      <c r="LTM106" s="46"/>
      <c r="LTN106" s="46"/>
      <c r="LTO106" s="46"/>
      <c r="LTP106" s="47">
        <v>0</v>
      </c>
      <c r="LTQ106" s="46" t="s">
        <v>45</v>
      </c>
      <c r="LTR106" s="46"/>
      <c r="LTS106" s="46"/>
      <c r="LTT106" s="46"/>
      <c r="LTU106" s="46"/>
      <c r="LTV106" s="46"/>
      <c r="LTW106" s="46"/>
      <c r="LTX106" s="47">
        <v>0</v>
      </c>
      <c r="LTY106" s="46" t="s">
        <v>45</v>
      </c>
      <c r="LTZ106" s="46"/>
      <c r="LUA106" s="46"/>
      <c r="LUB106" s="46"/>
      <c r="LUC106" s="46"/>
      <c r="LUD106" s="46"/>
      <c r="LUE106" s="46"/>
      <c r="LUF106" s="47">
        <v>0</v>
      </c>
      <c r="LUG106" s="46" t="s">
        <v>45</v>
      </c>
      <c r="LUH106" s="46"/>
      <c r="LUI106" s="46"/>
      <c r="LUJ106" s="46"/>
      <c r="LUK106" s="46"/>
      <c r="LUL106" s="46"/>
      <c r="LUM106" s="46"/>
      <c r="LUN106" s="47">
        <v>0</v>
      </c>
      <c r="LUO106" s="46" t="s">
        <v>45</v>
      </c>
      <c r="LUP106" s="46"/>
      <c r="LUQ106" s="46"/>
      <c r="LUR106" s="46"/>
      <c r="LUS106" s="46"/>
      <c r="LUT106" s="46"/>
      <c r="LUU106" s="46"/>
      <c r="LUV106" s="47">
        <v>0</v>
      </c>
      <c r="LUW106" s="46" t="s">
        <v>45</v>
      </c>
      <c r="LUX106" s="46"/>
      <c r="LUY106" s="46"/>
      <c r="LUZ106" s="46"/>
      <c r="LVA106" s="46"/>
      <c r="LVB106" s="46"/>
      <c r="LVC106" s="46"/>
      <c r="LVD106" s="47">
        <v>0</v>
      </c>
      <c r="LVE106" s="46" t="s">
        <v>45</v>
      </c>
      <c r="LVF106" s="46"/>
      <c r="LVG106" s="46"/>
      <c r="LVH106" s="46"/>
      <c r="LVI106" s="46"/>
      <c r="LVJ106" s="46"/>
      <c r="LVK106" s="46"/>
      <c r="LVL106" s="47">
        <v>0</v>
      </c>
      <c r="LVM106" s="46" t="s">
        <v>45</v>
      </c>
      <c r="LVN106" s="46"/>
      <c r="LVO106" s="46"/>
      <c r="LVP106" s="46"/>
      <c r="LVQ106" s="46"/>
      <c r="LVR106" s="46"/>
      <c r="LVS106" s="46"/>
      <c r="LVT106" s="47">
        <v>0</v>
      </c>
      <c r="LVU106" s="46" t="s">
        <v>45</v>
      </c>
      <c r="LVV106" s="46"/>
      <c r="LVW106" s="46"/>
      <c r="LVX106" s="46"/>
      <c r="LVY106" s="46"/>
      <c r="LVZ106" s="46"/>
      <c r="LWA106" s="46"/>
      <c r="LWB106" s="47">
        <v>0</v>
      </c>
      <c r="LWC106" s="46" t="s">
        <v>45</v>
      </c>
      <c r="LWD106" s="46"/>
      <c r="LWE106" s="46"/>
      <c r="LWF106" s="46"/>
      <c r="LWG106" s="46"/>
      <c r="LWH106" s="46"/>
      <c r="LWI106" s="46"/>
      <c r="LWJ106" s="47">
        <v>0</v>
      </c>
      <c r="LWK106" s="46" t="s">
        <v>45</v>
      </c>
      <c r="LWL106" s="46"/>
      <c r="LWM106" s="46"/>
      <c r="LWN106" s="46"/>
      <c r="LWO106" s="46"/>
      <c r="LWP106" s="46"/>
      <c r="LWQ106" s="46"/>
      <c r="LWR106" s="47">
        <v>0</v>
      </c>
      <c r="LWS106" s="46" t="s">
        <v>45</v>
      </c>
      <c r="LWT106" s="46"/>
      <c r="LWU106" s="46"/>
      <c r="LWV106" s="46"/>
      <c r="LWW106" s="46"/>
      <c r="LWX106" s="46"/>
      <c r="LWY106" s="46"/>
      <c r="LWZ106" s="47">
        <v>0</v>
      </c>
      <c r="LXA106" s="46" t="s">
        <v>45</v>
      </c>
      <c r="LXB106" s="46"/>
      <c r="LXC106" s="46"/>
      <c r="LXD106" s="46"/>
      <c r="LXE106" s="46"/>
      <c r="LXF106" s="46"/>
      <c r="LXG106" s="46"/>
      <c r="LXH106" s="47">
        <v>0</v>
      </c>
      <c r="LXI106" s="46" t="s">
        <v>45</v>
      </c>
      <c r="LXJ106" s="46"/>
      <c r="LXK106" s="46"/>
      <c r="LXL106" s="46"/>
      <c r="LXM106" s="46"/>
      <c r="LXN106" s="46"/>
      <c r="LXO106" s="46"/>
      <c r="LXP106" s="47">
        <v>0</v>
      </c>
      <c r="LXQ106" s="46" t="s">
        <v>45</v>
      </c>
      <c r="LXR106" s="46"/>
      <c r="LXS106" s="46"/>
      <c r="LXT106" s="46"/>
      <c r="LXU106" s="46"/>
      <c r="LXV106" s="46"/>
      <c r="LXW106" s="46"/>
      <c r="LXX106" s="47">
        <v>0</v>
      </c>
      <c r="LXY106" s="46" t="s">
        <v>45</v>
      </c>
      <c r="LXZ106" s="46"/>
      <c r="LYA106" s="46"/>
      <c r="LYB106" s="46"/>
      <c r="LYC106" s="46"/>
      <c r="LYD106" s="46"/>
      <c r="LYE106" s="46"/>
      <c r="LYF106" s="47">
        <v>0</v>
      </c>
      <c r="LYG106" s="46" t="s">
        <v>45</v>
      </c>
      <c r="LYH106" s="46"/>
      <c r="LYI106" s="46"/>
      <c r="LYJ106" s="46"/>
      <c r="LYK106" s="46"/>
      <c r="LYL106" s="46"/>
      <c r="LYM106" s="46"/>
      <c r="LYN106" s="47">
        <v>0</v>
      </c>
      <c r="LYO106" s="46" t="s">
        <v>45</v>
      </c>
      <c r="LYP106" s="46"/>
      <c r="LYQ106" s="46"/>
      <c r="LYR106" s="46"/>
      <c r="LYS106" s="46"/>
      <c r="LYT106" s="46"/>
      <c r="LYU106" s="46"/>
      <c r="LYV106" s="47">
        <v>0</v>
      </c>
      <c r="LYW106" s="46" t="s">
        <v>45</v>
      </c>
      <c r="LYX106" s="46"/>
      <c r="LYY106" s="46"/>
      <c r="LYZ106" s="46"/>
      <c r="LZA106" s="46"/>
      <c r="LZB106" s="46"/>
      <c r="LZC106" s="46"/>
      <c r="LZD106" s="47">
        <v>0</v>
      </c>
      <c r="LZE106" s="46" t="s">
        <v>45</v>
      </c>
      <c r="LZF106" s="46"/>
      <c r="LZG106" s="46"/>
      <c r="LZH106" s="46"/>
      <c r="LZI106" s="46"/>
      <c r="LZJ106" s="46"/>
      <c r="LZK106" s="46"/>
      <c r="LZL106" s="47">
        <v>0</v>
      </c>
      <c r="LZM106" s="46" t="s">
        <v>45</v>
      </c>
      <c r="LZN106" s="46"/>
      <c r="LZO106" s="46"/>
      <c r="LZP106" s="46"/>
      <c r="LZQ106" s="46"/>
      <c r="LZR106" s="46"/>
      <c r="LZS106" s="46"/>
      <c r="LZT106" s="47">
        <v>0</v>
      </c>
      <c r="LZU106" s="46" t="s">
        <v>45</v>
      </c>
      <c r="LZV106" s="46"/>
      <c r="LZW106" s="46"/>
      <c r="LZX106" s="46"/>
      <c r="LZY106" s="46"/>
      <c r="LZZ106" s="46"/>
      <c r="MAA106" s="46"/>
      <c r="MAB106" s="47">
        <v>0</v>
      </c>
      <c r="MAC106" s="46" t="s">
        <v>45</v>
      </c>
      <c r="MAD106" s="46"/>
      <c r="MAE106" s="46"/>
      <c r="MAF106" s="46"/>
      <c r="MAG106" s="46"/>
      <c r="MAH106" s="46"/>
      <c r="MAI106" s="46"/>
      <c r="MAJ106" s="47">
        <v>0</v>
      </c>
      <c r="MAK106" s="46" t="s">
        <v>45</v>
      </c>
      <c r="MAL106" s="46"/>
      <c r="MAM106" s="46"/>
      <c r="MAN106" s="46"/>
      <c r="MAO106" s="46"/>
      <c r="MAP106" s="46"/>
      <c r="MAQ106" s="46"/>
      <c r="MAR106" s="47">
        <v>0</v>
      </c>
      <c r="MAS106" s="46" t="s">
        <v>45</v>
      </c>
      <c r="MAT106" s="46"/>
      <c r="MAU106" s="46"/>
      <c r="MAV106" s="46"/>
      <c r="MAW106" s="46"/>
      <c r="MAX106" s="46"/>
      <c r="MAY106" s="46"/>
      <c r="MAZ106" s="47">
        <v>0</v>
      </c>
      <c r="MBA106" s="46" t="s">
        <v>45</v>
      </c>
      <c r="MBB106" s="46"/>
      <c r="MBC106" s="46"/>
      <c r="MBD106" s="46"/>
      <c r="MBE106" s="46"/>
      <c r="MBF106" s="46"/>
      <c r="MBG106" s="46"/>
      <c r="MBH106" s="47">
        <v>0</v>
      </c>
      <c r="MBI106" s="46" t="s">
        <v>45</v>
      </c>
      <c r="MBJ106" s="46"/>
      <c r="MBK106" s="46"/>
      <c r="MBL106" s="46"/>
      <c r="MBM106" s="46"/>
      <c r="MBN106" s="46"/>
      <c r="MBO106" s="46"/>
      <c r="MBP106" s="47">
        <v>0</v>
      </c>
      <c r="MBQ106" s="46" t="s">
        <v>45</v>
      </c>
      <c r="MBR106" s="46"/>
      <c r="MBS106" s="46"/>
      <c r="MBT106" s="46"/>
      <c r="MBU106" s="46"/>
      <c r="MBV106" s="46"/>
      <c r="MBW106" s="46"/>
      <c r="MBX106" s="47">
        <v>0</v>
      </c>
      <c r="MBY106" s="46" t="s">
        <v>45</v>
      </c>
      <c r="MBZ106" s="46"/>
      <c r="MCA106" s="46"/>
      <c r="MCB106" s="46"/>
      <c r="MCC106" s="46"/>
      <c r="MCD106" s="46"/>
      <c r="MCE106" s="46"/>
      <c r="MCF106" s="47">
        <v>0</v>
      </c>
      <c r="MCG106" s="46" t="s">
        <v>45</v>
      </c>
      <c r="MCH106" s="46"/>
      <c r="MCI106" s="46"/>
      <c r="MCJ106" s="46"/>
      <c r="MCK106" s="46"/>
      <c r="MCL106" s="46"/>
      <c r="MCM106" s="46"/>
      <c r="MCN106" s="47">
        <v>0</v>
      </c>
      <c r="MCO106" s="46" t="s">
        <v>45</v>
      </c>
      <c r="MCP106" s="46"/>
      <c r="MCQ106" s="46"/>
      <c r="MCR106" s="46"/>
      <c r="MCS106" s="46"/>
      <c r="MCT106" s="46"/>
      <c r="MCU106" s="46"/>
      <c r="MCV106" s="47">
        <v>0</v>
      </c>
      <c r="MCW106" s="46" t="s">
        <v>45</v>
      </c>
      <c r="MCX106" s="46"/>
      <c r="MCY106" s="46"/>
      <c r="MCZ106" s="46"/>
      <c r="MDA106" s="46"/>
      <c r="MDB106" s="46"/>
      <c r="MDC106" s="46"/>
      <c r="MDD106" s="47">
        <v>0</v>
      </c>
      <c r="MDE106" s="46" t="s">
        <v>45</v>
      </c>
      <c r="MDF106" s="46"/>
      <c r="MDG106" s="46"/>
      <c r="MDH106" s="46"/>
      <c r="MDI106" s="46"/>
      <c r="MDJ106" s="46"/>
      <c r="MDK106" s="46"/>
      <c r="MDL106" s="47">
        <v>0</v>
      </c>
      <c r="MDM106" s="46" t="s">
        <v>45</v>
      </c>
      <c r="MDN106" s="46"/>
      <c r="MDO106" s="46"/>
      <c r="MDP106" s="46"/>
      <c r="MDQ106" s="46"/>
      <c r="MDR106" s="46"/>
      <c r="MDS106" s="46"/>
      <c r="MDT106" s="47">
        <v>0</v>
      </c>
      <c r="MDU106" s="46" t="s">
        <v>45</v>
      </c>
      <c r="MDV106" s="46"/>
      <c r="MDW106" s="46"/>
      <c r="MDX106" s="46"/>
      <c r="MDY106" s="46"/>
      <c r="MDZ106" s="46"/>
      <c r="MEA106" s="46"/>
      <c r="MEB106" s="47">
        <v>0</v>
      </c>
      <c r="MEC106" s="46" t="s">
        <v>45</v>
      </c>
      <c r="MED106" s="46"/>
      <c r="MEE106" s="46"/>
      <c r="MEF106" s="46"/>
      <c r="MEG106" s="46"/>
      <c r="MEH106" s="46"/>
      <c r="MEI106" s="46"/>
      <c r="MEJ106" s="47">
        <v>0</v>
      </c>
      <c r="MEK106" s="46" t="s">
        <v>45</v>
      </c>
      <c r="MEL106" s="46"/>
      <c r="MEM106" s="46"/>
      <c r="MEN106" s="46"/>
      <c r="MEO106" s="46"/>
      <c r="MEP106" s="46"/>
      <c r="MEQ106" s="46"/>
      <c r="MER106" s="47">
        <v>0</v>
      </c>
      <c r="MES106" s="46" t="s">
        <v>45</v>
      </c>
      <c r="MET106" s="46"/>
      <c r="MEU106" s="46"/>
      <c r="MEV106" s="46"/>
      <c r="MEW106" s="46"/>
      <c r="MEX106" s="46"/>
      <c r="MEY106" s="46"/>
      <c r="MEZ106" s="47">
        <v>0</v>
      </c>
      <c r="MFA106" s="46" t="s">
        <v>45</v>
      </c>
      <c r="MFB106" s="46"/>
      <c r="MFC106" s="46"/>
      <c r="MFD106" s="46"/>
      <c r="MFE106" s="46"/>
      <c r="MFF106" s="46"/>
      <c r="MFG106" s="46"/>
      <c r="MFH106" s="47">
        <v>0</v>
      </c>
      <c r="MFI106" s="46" t="s">
        <v>45</v>
      </c>
      <c r="MFJ106" s="46"/>
      <c r="MFK106" s="46"/>
      <c r="MFL106" s="46"/>
      <c r="MFM106" s="46"/>
      <c r="MFN106" s="46"/>
      <c r="MFO106" s="46"/>
      <c r="MFP106" s="47">
        <v>0</v>
      </c>
      <c r="MFQ106" s="46" t="s">
        <v>45</v>
      </c>
      <c r="MFR106" s="46"/>
      <c r="MFS106" s="46"/>
      <c r="MFT106" s="46"/>
      <c r="MFU106" s="46"/>
      <c r="MFV106" s="46"/>
      <c r="MFW106" s="46"/>
      <c r="MFX106" s="47">
        <v>0</v>
      </c>
      <c r="MFY106" s="46" t="s">
        <v>45</v>
      </c>
      <c r="MFZ106" s="46"/>
      <c r="MGA106" s="46"/>
      <c r="MGB106" s="46"/>
      <c r="MGC106" s="46"/>
      <c r="MGD106" s="46"/>
      <c r="MGE106" s="46"/>
      <c r="MGF106" s="47">
        <v>0</v>
      </c>
      <c r="MGG106" s="46" t="s">
        <v>45</v>
      </c>
      <c r="MGH106" s="46"/>
      <c r="MGI106" s="46"/>
      <c r="MGJ106" s="46"/>
      <c r="MGK106" s="46"/>
      <c r="MGL106" s="46"/>
      <c r="MGM106" s="46"/>
      <c r="MGN106" s="47">
        <v>0</v>
      </c>
      <c r="MGO106" s="46" t="s">
        <v>45</v>
      </c>
      <c r="MGP106" s="46"/>
      <c r="MGQ106" s="46"/>
      <c r="MGR106" s="46"/>
      <c r="MGS106" s="46"/>
      <c r="MGT106" s="46"/>
      <c r="MGU106" s="46"/>
      <c r="MGV106" s="47">
        <v>0</v>
      </c>
      <c r="MGW106" s="46" t="s">
        <v>45</v>
      </c>
      <c r="MGX106" s="46"/>
      <c r="MGY106" s="46"/>
      <c r="MGZ106" s="46"/>
      <c r="MHA106" s="46"/>
      <c r="MHB106" s="46"/>
      <c r="MHC106" s="46"/>
      <c r="MHD106" s="47">
        <v>0</v>
      </c>
      <c r="MHE106" s="46" t="s">
        <v>45</v>
      </c>
      <c r="MHF106" s="46"/>
      <c r="MHG106" s="46"/>
      <c r="MHH106" s="46"/>
      <c r="MHI106" s="46"/>
      <c r="MHJ106" s="46"/>
      <c r="MHK106" s="46"/>
      <c r="MHL106" s="47">
        <v>0</v>
      </c>
      <c r="MHM106" s="46" t="s">
        <v>45</v>
      </c>
      <c r="MHN106" s="46"/>
      <c r="MHO106" s="46"/>
      <c r="MHP106" s="46"/>
      <c r="MHQ106" s="46"/>
      <c r="MHR106" s="46"/>
      <c r="MHS106" s="46"/>
      <c r="MHT106" s="47">
        <v>0</v>
      </c>
      <c r="MHU106" s="46" t="s">
        <v>45</v>
      </c>
      <c r="MHV106" s="46"/>
      <c r="MHW106" s="46"/>
      <c r="MHX106" s="46"/>
      <c r="MHY106" s="46"/>
      <c r="MHZ106" s="46"/>
      <c r="MIA106" s="46"/>
      <c r="MIB106" s="47">
        <v>0</v>
      </c>
      <c r="MIC106" s="46" t="s">
        <v>45</v>
      </c>
      <c r="MID106" s="46"/>
      <c r="MIE106" s="46"/>
      <c r="MIF106" s="46"/>
      <c r="MIG106" s="46"/>
      <c r="MIH106" s="46"/>
      <c r="MII106" s="46"/>
      <c r="MIJ106" s="47">
        <v>0</v>
      </c>
      <c r="MIK106" s="46" t="s">
        <v>45</v>
      </c>
      <c r="MIL106" s="46"/>
      <c r="MIM106" s="46"/>
      <c r="MIN106" s="46"/>
      <c r="MIO106" s="46"/>
      <c r="MIP106" s="46"/>
      <c r="MIQ106" s="46"/>
      <c r="MIR106" s="47">
        <v>0</v>
      </c>
      <c r="MIS106" s="46" t="s">
        <v>45</v>
      </c>
      <c r="MIT106" s="46"/>
      <c r="MIU106" s="46"/>
      <c r="MIV106" s="46"/>
      <c r="MIW106" s="46"/>
      <c r="MIX106" s="46"/>
      <c r="MIY106" s="46"/>
      <c r="MIZ106" s="47">
        <v>0</v>
      </c>
      <c r="MJA106" s="46" t="s">
        <v>45</v>
      </c>
      <c r="MJB106" s="46"/>
      <c r="MJC106" s="46"/>
      <c r="MJD106" s="46"/>
      <c r="MJE106" s="46"/>
      <c r="MJF106" s="46"/>
      <c r="MJG106" s="46"/>
      <c r="MJH106" s="47">
        <v>0</v>
      </c>
      <c r="MJI106" s="46" t="s">
        <v>45</v>
      </c>
      <c r="MJJ106" s="46"/>
      <c r="MJK106" s="46"/>
      <c r="MJL106" s="46"/>
      <c r="MJM106" s="46"/>
      <c r="MJN106" s="46"/>
      <c r="MJO106" s="46"/>
      <c r="MJP106" s="47">
        <v>0</v>
      </c>
      <c r="MJQ106" s="46" t="s">
        <v>45</v>
      </c>
      <c r="MJR106" s="46"/>
      <c r="MJS106" s="46"/>
      <c r="MJT106" s="46"/>
      <c r="MJU106" s="46"/>
      <c r="MJV106" s="46"/>
      <c r="MJW106" s="46"/>
      <c r="MJX106" s="47">
        <v>0</v>
      </c>
      <c r="MJY106" s="46" t="s">
        <v>45</v>
      </c>
      <c r="MJZ106" s="46"/>
      <c r="MKA106" s="46"/>
      <c r="MKB106" s="46"/>
      <c r="MKC106" s="46"/>
      <c r="MKD106" s="46"/>
      <c r="MKE106" s="46"/>
      <c r="MKF106" s="47">
        <v>0</v>
      </c>
      <c r="MKG106" s="46" t="s">
        <v>45</v>
      </c>
      <c r="MKH106" s="46"/>
      <c r="MKI106" s="46"/>
      <c r="MKJ106" s="46"/>
      <c r="MKK106" s="46"/>
      <c r="MKL106" s="46"/>
      <c r="MKM106" s="46"/>
      <c r="MKN106" s="47">
        <v>0</v>
      </c>
      <c r="MKO106" s="46" t="s">
        <v>45</v>
      </c>
      <c r="MKP106" s="46"/>
      <c r="MKQ106" s="46"/>
      <c r="MKR106" s="46"/>
      <c r="MKS106" s="46"/>
      <c r="MKT106" s="46"/>
      <c r="MKU106" s="46"/>
      <c r="MKV106" s="47">
        <v>0</v>
      </c>
      <c r="MKW106" s="46" t="s">
        <v>45</v>
      </c>
      <c r="MKX106" s="46"/>
      <c r="MKY106" s="46"/>
      <c r="MKZ106" s="46"/>
      <c r="MLA106" s="46"/>
      <c r="MLB106" s="46"/>
      <c r="MLC106" s="46"/>
      <c r="MLD106" s="47">
        <v>0</v>
      </c>
      <c r="MLE106" s="46" t="s">
        <v>45</v>
      </c>
      <c r="MLF106" s="46"/>
      <c r="MLG106" s="46"/>
      <c r="MLH106" s="46"/>
      <c r="MLI106" s="46"/>
      <c r="MLJ106" s="46"/>
      <c r="MLK106" s="46"/>
      <c r="MLL106" s="47">
        <v>0</v>
      </c>
      <c r="MLM106" s="46" t="s">
        <v>45</v>
      </c>
      <c r="MLN106" s="46"/>
      <c r="MLO106" s="46"/>
      <c r="MLP106" s="46"/>
      <c r="MLQ106" s="46"/>
      <c r="MLR106" s="46"/>
      <c r="MLS106" s="46"/>
      <c r="MLT106" s="47">
        <v>0</v>
      </c>
      <c r="MLU106" s="46" t="s">
        <v>45</v>
      </c>
      <c r="MLV106" s="46"/>
      <c r="MLW106" s="46"/>
      <c r="MLX106" s="46"/>
      <c r="MLY106" s="46"/>
      <c r="MLZ106" s="46"/>
      <c r="MMA106" s="46"/>
      <c r="MMB106" s="47">
        <v>0</v>
      </c>
      <c r="MMC106" s="46" t="s">
        <v>45</v>
      </c>
      <c r="MMD106" s="46"/>
      <c r="MME106" s="46"/>
      <c r="MMF106" s="46"/>
      <c r="MMG106" s="46"/>
      <c r="MMH106" s="46"/>
      <c r="MMI106" s="46"/>
      <c r="MMJ106" s="47">
        <v>0</v>
      </c>
      <c r="MMK106" s="46" t="s">
        <v>45</v>
      </c>
      <c r="MML106" s="46"/>
      <c r="MMM106" s="46"/>
      <c r="MMN106" s="46"/>
      <c r="MMO106" s="46"/>
      <c r="MMP106" s="46"/>
      <c r="MMQ106" s="46"/>
      <c r="MMR106" s="47">
        <v>0</v>
      </c>
      <c r="MMS106" s="46" t="s">
        <v>45</v>
      </c>
      <c r="MMT106" s="46"/>
      <c r="MMU106" s="46"/>
      <c r="MMV106" s="46"/>
      <c r="MMW106" s="46"/>
      <c r="MMX106" s="46"/>
      <c r="MMY106" s="46"/>
      <c r="MMZ106" s="47">
        <v>0</v>
      </c>
      <c r="MNA106" s="46" t="s">
        <v>45</v>
      </c>
      <c r="MNB106" s="46"/>
      <c r="MNC106" s="46"/>
      <c r="MND106" s="46"/>
      <c r="MNE106" s="46"/>
      <c r="MNF106" s="46"/>
      <c r="MNG106" s="46"/>
      <c r="MNH106" s="47">
        <v>0</v>
      </c>
      <c r="MNI106" s="46" t="s">
        <v>45</v>
      </c>
      <c r="MNJ106" s="46"/>
      <c r="MNK106" s="46"/>
      <c r="MNL106" s="46"/>
      <c r="MNM106" s="46"/>
      <c r="MNN106" s="46"/>
      <c r="MNO106" s="46"/>
      <c r="MNP106" s="47">
        <v>0</v>
      </c>
      <c r="MNQ106" s="46" t="s">
        <v>45</v>
      </c>
      <c r="MNR106" s="46"/>
      <c r="MNS106" s="46"/>
      <c r="MNT106" s="46"/>
      <c r="MNU106" s="46"/>
      <c r="MNV106" s="46"/>
      <c r="MNW106" s="46"/>
      <c r="MNX106" s="47">
        <v>0</v>
      </c>
      <c r="MNY106" s="46" t="s">
        <v>45</v>
      </c>
      <c r="MNZ106" s="46"/>
      <c r="MOA106" s="46"/>
      <c r="MOB106" s="46"/>
      <c r="MOC106" s="46"/>
      <c r="MOD106" s="46"/>
      <c r="MOE106" s="46"/>
      <c r="MOF106" s="47">
        <v>0</v>
      </c>
      <c r="MOG106" s="46" t="s">
        <v>45</v>
      </c>
      <c r="MOH106" s="46"/>
      <c r="MOI106" s="46"/>
      <c r="MOJ106" s="46"/>
      <c r="MOK106" s="46"/>
      <c r="MOL106" s="46"/>
      <c r="MOM106" s="46"/>
      <c r="MON106" s="47">
        <v>0</v>
      </c>
      <c r="MOO106" s="46" t="s">
        <v>45</v>
      </c>
      <c r="MOP106" s="46"/>
      <c r="MOQ106" s="46"/>
      <c r="MOR106" s="46"/>
      <c r="MOS106" s="46"/>
      <c r="MOT106" s="46"/>
      <c r="MOU106" s="46"/>
      <c r="MOV106" s="47">
        <v>0</v>
      </c>
      <c r="MOW106" s="46" t="s">
        <v>45</v>
      </c>
      <c r="MOX106" s="46"/>
      <c r="MOY106" s="46"/>
      <c r="MOZ106" s="46"/>
      <c r="MPA106" s="46"/>
      <c r="MPB106" s="46"/>
      <c r="MPC106" s="46"/>
      <c r="MPD106" s="47">
        <v>0</v>
      </c>
      <c r="MPE106" s="46" t="s">
        <v>45</v>
      </c>
      <c r="MPF106" s="46"/>
      <c r="MPG106" s="46"/>
      <c r="MPH106" s="46"/>
      <c r="MPI106" s="46"/>
      <c r="MPJ106" s="46"/>
      <c r="MPK106" s="46"/>
      <c r="MPL106" s="47">
        <v>0</v>
      </c>
      <c r="MPM106" s="46" t="s">
        <v>45</v>
      </c>
      <c r="MPN106" s="46"/>
      <c r="MPO106" s="46"/>
      <c r="MPP106" s="46"/>
      <c r="MPQ106" s="46"/>
      <c r="MPR106" s="46"/>
      <c r="MPS106" s="46"/>
      <c r="MPT106" s="47">
        <v>0</v>
      </c>
      <c r="MPU106" s="46" t="s">
        <v>45</v>
      </c>
      <c r="MPV106" s="46"/>
      <c r="MPW106" s="46"/>
      <c r="MPX106" s="46"/>
      <c r="MPY106" s="46"/>
      <c r="MPZ106" s="46"/>
      <c r="MQA106" s="46"/>
      <c r="MQB106" s="47">
        <v>0</v>
      </c>
      <c r="MQC106" s="46" t="s">
        <v>45</v>
      </c>
      <c r="MQD106" s="46"/>
      <c r="MQE106" s="46"/>
      <c r="MQF106" s="46"/>
      <c r="MQG106" s="46"/>
      <c r="MQH106" s="46"/>
      <c r="MQI106" s="46"/>
      <c r="MQJ106" s="47">
        <v>0</v>
      </c>
      <c r="MQK106" s="46" t="s">
        <v>45</v>
      </c>
      <c r="MQL106" s="46"/>
      <c r="MQM106" s="46"/>
      <c r="MQN106" s="46"/>
      <c r="MQO106" s="46"/>
      <c r="MQP106" s="46"/>
      <c r="MQQ106" s="46"/>
      <c r="MQR106" s="47">
        <v>0</v>
      </c>
      <c r="MQS106" s="46" t="s">
        <v>45</v>
      </c>
      <c r="MQT106" s="46"/>
      <c r="MQU106" s="46"/>
      <c r="MQV106" s="46"/>
      <c r="MQW106" s="46"/>
      <c r="MQX106" s="46"/>
      <c r="MQY106" s="46"/>
      <c r="MQZ106" s="47">
        <v>0</v>
      </c>
      <c r="MRA106" s="46" t="s">
        <v>45</v>
      </c>
      <c r="MRB106" s="46"/>
      <c r="MRC106" s="46"/>
      <c r="MRD106" s="46"/>
      <c r="MRE106" s="46"/>
      <c r="MRF106" s="46"/>
      <c r="MRG106" s="46"/>
      <c r="MRH106" s="47">
        <v>0</v>
      </c>
      <c r="MRI106" s="46" t="s">
        <v>45</v>
      </c>
      <c r="MRJ106" s="46"/>
      <c r="MRK106" s="46"/>
      <c r="MRL106" s="46"/>
      <c r="MRM106" s="46"/>
      <c r="MRN106" s="46"/>
      <c r="MRO106" s="46"/>
      <c r="MRP106" s="47">
        <v>0</v>
      </c>
      <c r="MRQ106" s="46" t="s">
        <v>45</v>
      </c>
      <c r="MRR106" s="46"/>
      <c r="MRS106" s="46"/>
      <c r="MRT106" s="46"/>
      <c r="MRU106" s="46"/>
      <c r="MRV106" s="46"/>
      <c r="MRW106" s="46"/>
      <c r="MRX106" s="47">
        <v>0</v>
      </c>
      <c r="MRY106" s="46" t="s">
        <v>45</v>
      </c>
      <c r="MRZ106" s="46"/>
      <c r="MSA106" s="46"/>
      <c r="MSB106" s="46"/>
      <c r="MSC106" s="46"/>
      <c r="MSD106" s="46"/>
      <c r="MSE106" s="46"/>
      <c r="MSF106" s="47">
        <v>0</v>
      </c>
      <c r="MSG106" s="46" t="s">
        <v>45</v>
      </c>
      <c r="MSH106" s="46"/>
      <c r="MSI106" s="46"/>
      <c r="MSJ106" s="46"/>
      <c r="MSK106" s="46"/>
      <c r="MSL106" s="46"/>
      <c r="MSM106" s="46"/>
      <c r="MSN106" s="47">
        <v>0</v>
      </c>
      <c r="MSO106" s="46" t="s">
        <v>45</v>
      </c>
      <c r="MSP106" s="46"/>
      <c r="MSQ106" s="46"/>
      <c r="MSR106" s="46"/>
      <c r="MSS106" s="46"/>
      <c r="MST106" s="46"/>
      <c r="MSU106" s="46"/>
      <c r="MSV106" s="47">
        <v>0</v>
      </c>
      <c r="MSW106" s="46" t="s">
        <v>45</v>
      </c>
      <c r="MSX106" s="46"/>
      <c r="MSY106" s="46"/>
      <c r="MSZ106" s="46"/>
      <c r="MTA106" s="46"/>
      <c r="MTB106" s="46"/>
      <c r="MTC106" s="46"/>
      <c r="MTD106" s="47">
        <v>0</v>
      </c>
      <c r="MTE106" s="46" t="s">
        <v>45</v>
      </c>
      <c r="MTF106" s="46"/>
      <c r="MTG106" s="46"/>
      <c r="MTH106" s="46"/>
      <c r="MTI106" s="46"/>
      <c r="MTJ106" s="46"/>
      <c r="MTK106" s="46"/>
      <c r="MTL106" s="47">
        <v>0</v>
      </c>
      <c r="MTM106" s="46" t="s">
        <v>45</v>
      </c>
      <c r="MTN106" s="46"/>
      <c r="MTO106" s="46"/>
      <c r="MTP106" s="46"/>
      <c r="MTQ106" s="46"/>
      <c r="MTR106" s="46"/>
      <c r="MTS106" s="46"/>
      <c r="MTT106" s="47">
        <v>0</v>
      </c>
      <c r="MTU106" s="46" t="s">
        <v>45</v>
      </c>
      <c r="MTV106" s="46"/>
      <c r="MTW106" s="46"/>
      <c r="MTX106" s="46"/>
      <c r="MTY106" s="46"/>
      <c r="MTZ106" s="46"/>
      <c r="MUA106" s="46"/>
      <c r="MUB106" s="47">
        <v>0</v>
      </c>
      <c r="MUC106" s="46" t="s">
        <v>45</v>
      </c>
      <c r="MUD106" s="46"/>
      <c r="MUE106" s="46"/>
      <c r="MUF106" s="46"/>
      <c r="MUG106" s="46"/>
      <c r="MUH106" s="46"/>
      <c r="MUI106" s="46"/>
      <c r="MUJ106" s="47">
        <v>0</v>
      </c>
      <c r="MUK106" s="46" t="s">
        <v>45</v>
      </c>
      <c r="MUL106" s="46"/>
      <c r="MUM106" s="46"/>
      <c r="MUN106" s="46"/>
      <c r="MUO106" s="46"/>
      <c r="MUP106" s="46"/>
      <c r="MUQ106" s="46"/>
      <c r="MUR106" s="47">
        <v>0</v>
      </c>
      <c r="MUS106" s="46" t="s">
        <v>45</v>
      </c>
      <c r="MUT106" s="46"/>
      <c r="MUU106" s="46"/>
      <c r="MUV106" s="46"/>
      <c r="MUW106" s="46"/>
      <c r="MUX106" s="46"/>
      <c r="MUY106" s="46"/>
      <c r="MUZ106" s="47">
        <v>0</v>
      </c>
      <c r="MVA106" s="46" t="s">
        <v>45</v>
      </c>
      <c r="MVB106" s="46"/>
      <c r="MVC106" s="46"/>
      <c r="MVD106" s="46"/>
      <c r="MVE106" s="46"/>
      <c r="MVF106" s="46"/>
      <c r="MVG106" s="46"/>
      <c r="MVH106" s="47">
        <v>0</v>
      </c>
      <c r="MVI106" s="46" t="s">
        <v>45</v>
      </c>
      <c r="MVJ106" s="46"/>
      <c r="MVK106" s="46"/>
      <c r="MVL106" s="46"/>
      <c r="MVM106" s="46"/>
      <c r="MVN106" s="46"/>
      <c r="MVO106" s="46"/>
      <c r="MVP106" s="47">
        <v>0</v>
      </c>
      <c r="MVQ106" s="46" t="s">
        <v>45</v>
      </c>
      <c r="MVR106" s="46"/>
      <c r="MVS106" s="46"/>
      <c r="MVT106" s="46"/>
      <c r="MVU106" s="46"/>
      <c r="MVV106" s="46"/>
      <c r="MVW106" s="46"/>
      <c r="MVX106" s="47">
        <v>0</v>
      </c>
      <c r="MVY106" s="46" t="s">
        <v>45</v>
      </c>
      <c r="MVZ106" s="46"/>
      <c r="MWA106" s="46"/>
      <c r="MWB106" s="46"/>
      <c r="MWC106" s="46"/>
      <c r="MWD106" s="46"/>
      <c r="MWE106" s="46"/>
      <c r="MWF106" s="47">
        <v>0</v>
      </c>
      <c r="MWG106" s="46" t="s">
        <v>45</v>
      </c>
      <c r="MWH106" s="46"/>
      <c r="MWI106" s="46"/>
      <c r="MWJ106" s="46"/>
      <c r="MWK106" s="46"/>
      <c r="MWL106" s="46"/>
      <c r="MWM106" s="46"/>
      <c r="MWN106" s="47">
        <v>0</v>
      </c>
      <c r="MWO106" s="46" t="s">
        <v>45</v>
      </c>
      <c r="MWP106" s="46"/>
      <c r="MWQ106" s="46"/>
      <c r="MWR106" s="46"/>
      <c r="MWS106" s="46"/>
      <c r="MWT106" s="46"/>
      <c r="MWU106" s="46"/>
      <c r="MWV106" s="47">
        <v>0</v>
      </c>
      <c r="MWW106" s="46" t="s">
        <v>45</v>
      </c>
      <c r="MWX106" s="46"/>
      <c r="MWY106" s="46"/>
      <c r="MWZ106" s="46"/>
      <c r="MXA106" s="46"/>
      <c r="MXB106" s="46"/>
      <c r="MXC106" s="46"/>
      <c r="MXD106" s="47">
        <v>0</v>
      </c>
      <c r="MXE106" s="46" t="s">
        <v>45</v>
      </c>
      <c r="MXF106" s="46"/>
      <c r="MXG106" s="46"/>
      <c r="MXH106" s="46"/>
      <c r="MXI106" s="46"/>
      <c r="MXJ106" s="46"/>
      <c r="MXK106" s="46"/>
      <c r="MXL106" s="47">
        <v>0</v>
      </c>
      <c r="MXM106" s="46" t="s">
        <v>45</v>
      </c>
      <c r="MXN106" s="46"/>
      <c r="MXO106" s="46"/>
      <c r="MXP106" s="46"/>
      <c r="MXQ106" s="46"/>
      <c r="MXR106" s="46"/>
      <c r="MXS106" s="46"/>
      <c r="MXT106" s="47">
        <v>0</v>
      </c>
      <c r="MXU106" s="46" t="s">
        <v>45</v>
      </c>
      <c r="MXV106" s="46"/>
      <c r="MXW106" s="46"/>
      <c r="MXX106" s="46"/>
      <c r="MXY106" s="46"/>
      <c r="MXZ106" s="46"/>
      <c r="MYA106" s="46"/>
      <c r="MYB106" s="47">
        <v>0</v>
      </c>
      <c r="MYC106" s="46" t="s">
        <v>45</v>
      </c>
      <c r="MYD106" s="46"/>
      <c r="MYE106" s="46"/>
      <c r="MYF106" s="46"/>
      <c r="MYG106" s="46"/>
      <c r="MYH106" s="46"/>
      <c r="MYI106" s="46"/>
      <c r="MYJ106" s="47">
        <v>0</v>
      </c>
      <c r="MYK106" s="46" t="s">
        <v>45</v>
      </c>
      <c r="MYL106" s="46"/>
      <c r="MYM106" s="46"/>
      <c r="MYN106" s="46"/>
      <c r="MYO106" s="46"/>
      <c r="MYP106" s="46"/>
      <c r="MYQ106" s="46"/>
      <c r="MYR106" s="47">
        <v>0</v>
      </c>
      <c r="MYS106" s="46" t="s">
        <v>45</v>
      </c>
      <c r="MYT106" s="46"/>
      <c r="MYU106" s="46"/>
      <c r="MYV106" s="46"/>
      <c r="MYW106" s="46"/>
      <c r="MYX106" s="46"/>
      <c r="MYY106" s="46"/>
      <c r="MYZ106" s="47">
        <v>0</v>
      </c>
      <c r="MZA106" s="46" t="s">
        <v>45</v>
      </c>
      <c r="MZB106" s="46"/>
      <c r="MZC106" s="46"/>
      <c r="MZD106" s="46"/>
      <c r="MZE106" s="46"/>
      <c r="MZF106" s="46"/>
      <c r="MZG106" s="46"/>
      <c r="MZH106" s="47">
        <v>0</v>
      </c>
      <c r="MZI106" s="46" t="s">
        <v>45</v>
      </c>
      <c r="MZJ106" s="46"/>
      <c r="MZK106" s="46"/>
      <c r="MZL106" s="46"/>
      <c r="MZM106" s="46"/>
      <c r="MZN106" s="46"/>
      <c r="MZO106" s="46"/>
      <c r="MZP106" s="47">
        <v>0</v>
      </c>
      <c r="MZQ106" s="46" t="s">
        <v>45</v>
      </c>
      <c r="MZR106" s="46"/>
      <c r="MZS106" s="46"/>
      <c r="MZT106" s="46"/>
      <c r="MZU106" s="46"/>
      <c r="MZV106" s="46"/>
      <c r="MZW106" s="46"/>
      <c r="MZX106" s="47">
        <v>0</v>
      </c>
      <c r="MZY106" s="46" t="s">
        <v>45</v>
      </c>
      <c r="MZZ106" s="46"/>
      <c r="NAA106" s="46"/>
      <c r="NAB106" s="46"/>
      <c r="NAC106" s="46"/>
      <c r="NAD106" s="46"/>
      <c r="NAE106" s="46"/>
      <c r="NAF106" s="47">
        <v>0</v>
      </c>
      <c r="NAG106" s="46" t="s">
        <v>45</v>
      </c>
      <c r="NAH106" s="46"/>
      <c r="NAI106" s="46"/>
      <c r="NAJ106" s="46"/>
      <c r="NAK106" s="46"/>
      <c r="NAL106" s="46"/>
      <c r="NAM106" s="46"/>
      <c r="NAN106" s="47">
        <v>0</v>
      </c>
      <c r="NAO106" s="46" t="s">
        <v>45</v>
      </c>
      <c r="NAP106" s="46"/>
      <c r="NAQ106" s="46"/>
      <c r="NAR106" s="46"/>
      <c r="NAS106" s="46"/>
      <c r="NAT106" s="46"/>
      <c r="NAU106" s="46"/>
      <c r="NAV106" s="47">
        <v>0</v>
      </c>
      <c r="NAW106" s="46" t="s">
        <v>45</v>
      </c>
      <c r="NAX106" s="46"/>
      <c r="NAY106" s="46"/>
      <c r="NAZ106" s="46"/>
      <c r="NBA106" s="46"/>
      <c r="NBB106" s="46"/>
      <c r="NBC106" s="46"/>
      <c r="NBD106" s="47">
        <v>0</v>
      </c>
      <c r="NBE106" s="46" t="s">
        <v>45</v>
      </c>
      <c r="NBF106" s="46"/>
      <c r="NBG106" s="46"/>
      <c r="NBH106" s="46"/>
      <c r="NBI106" s="46"/>
      <c r="NBJ106" s="46"/>
      <c r="NBK106" s="46"/>
      <c r="NBL106" s="47">
        <v>0</v>
      </c>
      <c r="NBM106" s="46" t="s">
        <v>45</v>
      </c>
      <c r="NBN106" s="46"/>
      <c r="NBO106" s="46"/>
      <c r="NBP106" s="46"/>
      <c r="NBQ106" s="46"/>
      <c r="NBR106" s="46"/>
      <c r="NBS106" s="46"/>
      <c r="NBT106" s="47">
        <v>0</v>
      </c>
      <c r="NBU106" s="46" t="s">
        <v>45</v>
      </c>
      <c r="NBV106" s="46"/>
      <c r="NBW106" s="46"/>
      <c r="NBX106" s="46"/>
      <c r="NBY106" s="46"/>
      <c r="NBZ106" s="46"/>
      <c r="NCA106" s="46"/>
      <c r="NCB106" s="47">
        <v>0</v>
      </c>
      <c r="NCC106" s="46" t="s">
        <v>45</v>
      </c>
      <c r="NCD106" s="46"/>
      <c r="NCE106" s="46"/>
      <c r="NCF106" s="46"/>
      <c r="NCG106" s="46"/>
      <c r="NCH106" s="46"/>
      <c r="NCI106" s="46"/>
      <c r="NCJ106" s="47">
        <v>0</v>
      </c>
      <c r="NCK106" s="46" t="s">
        <v>45</v>
      </c>
      <c r="NCL106" s="46"/>
      <c r="NCM106" s="46"/>
      <c r="NCN106" s="46"/>
      <c r="NCO106" s="46"/>
      <c r="NCP106" s="46"/>
      <c r="NCQ106" s="46"/>
      <c r="NCR106" s="47">
        <v>0</v>
      </c>
      <c r="NCS106" s="46" t="s">
        <v>45</v>
      </c>
      <c r="NCT106" s="46"/>
      <c r="NCU106" s="46"/>
      <c r="NCV106" s="46"/>
      <c r="NCW106" s="46"/>
      <c r="NCX106" s="46"/>
      <c r="NCY106" s="46"/>
      <c r="NCZ106" s="47">
        <v>0</v>
      </c>
      <c r="NDA106" s="46" t="s">
        <v>45</v>
      </c>
      <c r="NDB106" s="46"/>
      <c r="NDC106" s="46"/>
      <c r="NDD106" s="46"/>
      <c r="NDE106" s="46"/>
      <c r="NDF106" s="46"/>
      <c r="NDG106" s="46"/>
      <c r="NDH106" s="47">
        <v>0</v>
      </c>
      <c r="NDI106" s="46" t="s">
        <v>45</v>
      </c>
      <c r="NDJ106" s="46"/>
      <c r="NDK106" s="46"/>
      <c r="NDL106" s="46"/>
      <c r="NDM106" s="46"/>
      <c r="NDN106" s="46"/>
      <c r="NDO106" s="46"/>
      <c r="NDP106" s="47">
        <v>0</v>
      </c>
      <c r="NDQ106" s="46" t="s">
        <v>45</v>
      </c>
      <c r="NDR106" s="46"/>
      <c r="NDS106" s="46"/>
      <c r="NDT106" s="46"/>
      <c r="NDU106" s="46"/>
      <c r="NDV106" s="46"/>
      <c r="NDW106" s="46"/>
      <c r="NDX106" s="47">
        <v>0</v>
      </c>
      <c r="NDY106" s="46" t="s">
        <v>45</v>
      </c>
      <c r="NDZ106" s="46"/>
      <c r="NEA106" s="46"/>
      <c r="NEB106" s="46"/>
      <c r="NEC106" s="46"/>
      <c r="NED106" s="46"/>
      <c r="NEE106" s="46"/>
      <c r="NEF106" s="47">
        <v>0</v>
      </c>
      <c r="NEG106" s="46" t="s">
        <v>45</v>
      </c>
      <c r="NEH106" s="46"/>
      <c r="NEI106" s="46"/>
      <c r="NEJ106" s="46"/>
      <c r="NEK106" s="46"/>
      <c r="NEL106" s="46"/>
      <c r="NEM106" s="46"/>
      <c r="NEN106" s="47">
        <v>0</v>
      </c>
      <c r="NEO106" s="46" t="s">
        <v>45</v>
      </c>
      <c r="NEP106" s="46"/>
      <c r="NEQ106" s="46"/>
      <c r="NER106" s="46"/>
      <c r="NES106" s="46"/>
      <c r="NET106" s="46"/>
      <c r="NEU106" s="46"/>
      <c r="NEV106" s="47">
        <v>0</v>
      </c>
      <c r="NEW106" s="46" t="s">
        <v>45</v>
      </c>
      <c r="NEX106" s="46"/>
      <c r="NEY106" s="46"/>
      <c r="NEZ106" s="46"/>
      <c r="NFA106" s="46"/>
      <c r="NFB106" s="46"/>
      <c r="NFC106" s="46"/>
      <c r="NFD106" s="47">
        <v>0</v>
      </c>
      <c r="NFE106" s="46" t="s">
        <v>45</v>
      </c>
      <c r="NFF106" s="46"/>
      <c r="NFG106" s="46"/>
      <c r="NFH106" s="46"/>
      <c r="NFI106" s="46"/>
      <c r="NFJ106" s="46"/>
      <c r="NFK106" s="46"/>
      <c r="NFL106" s="47">
        <v>0</v>
      </c>
      <c r="NFM106" s="46" t="s">
        <v>45</v>
      </c>
      <c r="NFN106" s="46"/>
      <c r="NFO106" s="46"/>
      <c r="NFP106" s="46"/>
      <c r="NFQ106" s="46"/>
      <c r="NFR106" s="46"/>
      <c r="NFS106" s="46"/>
      <c r="NFT106" s="47">
        <v>0</v>
      </c>
      <c r="NFU106" s="46" t="s">
        <v>45</v>
      </c>
      <c r="NFV106" s="46"/>
      <c r="NFW106" s="46"/>
      <c r="NFX106" s="46"/>
      <c r="NFY106" s="46"/>
      <c r="NFZ106" s="46"/>
      <c r="NGA106" s="46"/>
      <c r="NGB106" s="47">
        <v>0</v>
      </c>
      <c r="NGC106" s="46" t="s">
        <v>45</v>
      </c>
      <c r="NGD106" s="46"/>
      <c r="NGE106" s="46"/>
      <c r="NGF106" s="46"/>
      <c r="NGG106" s="46"/>
      <c r="NGH106" s="46"/>
      <c r="NGI106" s="46"/>
      <c r="NGJ106" s="47">
        <v>0</v>
      </c>
      <c r="NGK106" s="46" t="s">
        <v>45</v>
      </c>
      <c r="NGL106" s="46"/>
      <c r="NGM106" s="46"/>
      <c r="NGN106" s="46"/>
      <c r="NGO106" s="46"/>
      <c r="NGP106" s="46"/>
      <c r="NGQ106" s="46"/>
      <c r="NGR106" s="47">
        <v>0</v>
      </c>
      <c r="NGS106" s="46" t="s">
        <v>45</v>
      </c>
      <c r="NGT106" s="46"/>
      <c r="NGU106" s="46"/>
      <c r="NGV106" s="46"/>
      <c r="NGW106" s="46"/>
      <c r="NGX106" s="46"/>
      <c r="NGY106" s="46"/>
      <c r="NGZ106" s="47">
        <v>0</v>
      </c>
      <c r="NHA106" s="46" t="s">
        <v>45</v>
      </c>
      <c r="NHB106" s="46"/>
      <c r="NHC106" s="46"/>
      <c r="NHD106" s="46"/>
      <c r="NHE106" s="46"/>
      <c r="NHF106" s="46"/>
      <c r="NHG106" s="46"/>
      <c r="NHH106" s="47">
        <v>0</v>
      </c>
      <c r="NHI106" s="46" t="s">
        <v>45</v>
      </c>
      <c r="NHJ106" s="46"/>
      <c r="NHK106" s="46"/>
      <c r="NHL106" s="46"/>
      <c r="NHM106" s="46"/>
      <c r="NHN106" s="46"/>
      <c r="NHO106" s="46"/>
      <c r="NHP106" s="47">
        <v>0</v>
      </c>
      <c r="NHQ106" s="46" t="s">
        <v>45</v>
      </c>
      <c r="NHR106" s="46"/>
      <c r="NHS106" s="46"/>
      <c r="NHT106" s="46"/>
      <c r="NHU106" s="46"/>
      <c r="NHV106" s="46"/>
      <c r="NHW106" s="46"/>
      <c r="NHX106" s="47">
        <v>0</v>
      </c>
      <c r="NHY106" s="46" t="s">
        <v>45</v>
      </c>
      <c r="NHZ106" s="46"/>
      <c r="NIA106" s="46"/>
      <c r="NIB106" s="46"/>
      <c r="NIC106" s="46"/>
      <c r="NID106" s="46"/>
      <c r="NIE106" s="46"/>
      <c r="NIF106" s="47">
        <v>0</v>
      </c>
      <c r="NIG106" s="46" t="s">
        <v>45</v>
      </c>
      <c r="NIH106" s="46"/>
      <c r="NII106" s="46"/>
      <c r="NIJ106" s="46"/>
      <c r="NIK106" s="46"/>
      <c r="NIL106" s="46"/>
      <c r="NIM106" s="46"/>
      <c r="NIN106" s="47">
        <v>0</v>
      </c>
      <c r="NIO106" s="46" t="s">
        <v>45</v>
      </c>
      <c r="NIP106" s="46"/>
      <c r="NIQ106" s="46"/>
      <c r="NIR106" s="46"/>
      <c r="NIS106" s="46"/>
      <c r="NIT106" s="46"/>
      <c r="NIU106" s="46"/>
      <c r="NIV106" s="47">
        <v>0</v>
      </c>
      <c r="NIW106" s="46" t="s">
        <v>45</v>
      </c>
      <c r="NIX106" s="46"/>
      <c r="NIY106" s="46"/>
      <c r="NIZ106" s="46"/>
      <c r="NJA106" s="46"/>
      <c r="NJB106" s="46"/>
      <c r="NJC106" s="46"/>
      <c r="NJD106" s="47">
        <v>0</v>
      </c>
      <c r="NJE106" s="46" t="s">
        <v>45</v>
      </c>
      <c r="NJF106" s="46"/>
      <c r="NJG106" s="46"/>
      <c r="NJH106" s="46"/>
      <c r="NJI106" s="46"/>
      <c r="NJJ106" s="46"/>
      <c r="NJK106" s="46"/>
      <c r="NJL106" s="47">
        <v>0</v>
      </c>
      <c r="NJM106" s="46" t="s">
        <v>45</v>
      </c>
      <c r="NJN106" s="46"/>
      <c r="NJO106" s="46"/>
      <c r="NJP106" s="46"/>
      <c r="NJQ106" s="46"/>
      <c r="NJR106" s="46"/>
      <c r="NJS106" s="46"/>
      <c r="NJT106" s="47">
        <v>0</v>
      </c>
      <c r="NJU106" s="46" t="s">
        <v>45</v>
      </c>
      <c r="NJV106" s="46"/>
      <c r="NJW106" s="46"/>
      <c r="NJX106" s="46"/>
      <c r="NJY106" s="46"/>
      <c r="NJZ106" s="46"/>
      <c r="NKA106" s="46"/>
      <c r="NKB106" s="47">
        <v>0</v>
      </c>
      <c r="NKC106" s="46" t="s">
        <v>45</v>
      </c>
      <c r="NKD106" s="46"/>
      <c r="NKE106" s="46"/>
      <c r="NKF106" s="46"/>
      <c r="NKG106" s="46"/>
      <c r="NKH106" s="46"/>
      <c r="NKI106" s="46"/>
      <c r="NKJ106" s="47">
        <v>0</v>
      </c>
      <c r="NKK106" s="46" t="s">
        <v>45</v>
      </c>
      <c r="NKL106" s="46"/>
      <c r="NKM106" s="46"/>
      <c r="NKN106" s="46"/>
      <c r="NKO106" s="46"/>
      <c r="NKP106" s="46"/>
      <c r="NKQ106" s="46"/>
      <c r="NKR106" s="47">
        <v>0</v>
      </c>
      <c r="NKS106" s="46" t="s">
        <v>45</v>
      </c>
      <c r="NKT106" s="46"/>
      <c r="NKU106" s="46"/>
      <c r="NKV106" s="46"/>
      <c r="NKW106" s="46"/>
      <c r="NKX106" s="46"/>
      <c r="NKY106" s="46"/>
      <c r="NKZ106" s="47">
        <v>0</v>
      </c>
      <c r="NLA106" s="46" t="s">
        <v>45</v>
      </c>
      <c r="NLB106" s="46"/>
      <c r="NLC106" s="46"/>
      <c r="NLD106" s="46"/>
      <c r="NLE106" s="46"/>
      <c r="NLF106" s="46"/>
      <c r="NLG106" s="46"/>
      <c r="NLH106" s="47">
        <v>0</v>
      </c>
      <c r="NLI106" s="46" t="s">
        <v>45</v>
      </c>
      <c r="NLJ106" s="46"/>
      <c r="NLK106" s="46"/>
      <c r="NLL106" s="46"/>
      <c r="NLM106" s="46"/>
      <c r="NLN106" s="46"/>
      <c r="NLO106" s="46"/>
      <c r="NLP106" s="47">
        <v>0</v>
      </c>
      <c r="NLQ106" s="46" t="s">
        <v>45</v>
      </c>
      <c r="NLR106" s="46"/>
      <c r="NLS106" s="46"/>
      <c r="NLT106" s="46"/>
      <c r="NLU106" s="46"/>
      <c r="NLV106" s="46"/>
      <c r="NLW106" s="46"/>
      <c r="NLX106" s="47">
        <v>0</v>
      </c>
      <c r="NLY106" s="46" t="s">
        <v>45</v>
      </c>
      <c r="NLZ106" s="46"/>
      <c r="NMA106" s="46"/>
      <c r="NMB106" s="46"/>
      <c r="NMC106" s="46"/>
      <c r="NMD106" s="46"/>
      <c r="NME106" s="46"/>
      <c r="NMF106" s="47">
        <v>0</v>
      </c>
      <c r="NMG106" s="46" t="s">
        <v>45</v>
      </c>
      <c r="NMH106" s="46"/>
      <c r="NMI106" s="46"/>
      <c r="NMJ106" s="46"/>
      <c r="NMK106" s="46"/>
      <c r="NML106" s="46"/>
      <c r="NMM106" s="46"/>
      <c r="NMN106" s="47">
        <v>0</v>
      </c>
      <c r="NMO106" s="46" t="s">
        <v>45</v>
      </c>
      <c r="NMP106" s="46"/>
      <c r="NMQ106" s="46"/>
      <c r="NMR106" s="46"/>
      <c r="NMS106" s="46"/>
      <c r="NMT106" s="46"/>
      <c r="NMU106" s="46"/>
      <c r="NMV106" s="47">
        <v>0</v>
      </c>
      <c r="NMW106" s="46" t="s">
        <v>45</v>
      </c>
      <c r="NMX106" s="46"/>
      <c r="NMY106" s="46"/>
      <c r="NMZ106" s="46"/>
      <c r="NNA106" s="46"/>
      <c r="NNB106" s="46"/>
      <c r="NNC106" s="46"/>
      <c r="NND106" s="47">
        <v>0</v>
      </c>
      <c r="NNE106" s="46" t="s">
        <v>45</v>
      </c>
      <c r="NNF106" s="46"/>
      <c r="NNG106" s="46"/>
      <c r="NNH106" s="46"/>
      <c r="NNI106" s="46"/>
      <c r="NNJ106" s="46"/>
      <c r="NNK106" s="46"/>
      <c r="NNL106" s="47">
        <v>0</v>
      </c>
      <c r="NNM106" s="46" t="s">
        <v>45</v>
      </c>
      <c r="NNN106" s="46"/>
      <c r="NNO106" s="46"/>
      <c r="NNP106" s="46"/>
      <c r="NNQ106" s="46"/>
      <c r="NNR106" s="46"/>
      <c r="NNS106" s="46"/>
      <c r="NNT106" s="47">
        <v>0</v>
      </c>
      <c r="NNU106" s="46" t="s">
        <v>45</v>
      </c>
      <c r="NNV106" s="46"/>
      <c r="NNW106" s="46"/>
      <c r="NNX106" s="46"/>
      <c r="NNY106" s="46"/>
      <c r="NNZ106" s="46"/>
      <c r="NOA106" s="46"/>
      <c r="NOB106" s="47">
        <v>0</v>
      </c>
      <c r="NOC106" s="46" t="s">
        <v>45</v>
      </c>
      <c r="NOD106" s="46"/>
      <c r="NOE106" s="46"/>
      <c r="NOF106" s="46"/>
      <c r="NOG106" s="46"/>
      <c r="NOH106" s="46"/>
      <c r="NOI106" s="46"/>
      <c r="NOJ106" s="47">
        <v>0</v>
      </c>
      <c r="NOK106" s="46" t="s">
        <v>45</v>
      </c>
      <c r="NOL106" s="46"/>
      <c r="NOM106" s="46"/>
      <c r="NON106" s="46"/>
      <c r="NOO106" s="46"/>
      <c r="NOP106" s="46"/>
      <c r="NOQ106" s="46"/>
      <c r="NOR106" s="47">
        <v>0</v>
      </c>
      <c r="NOS106" s="46" t="s">
        <v>45</v>
      </c>
      <c r="NOT106" s="46"/>
      <c r="NOU106" s="46"/>
      <c r="NOV106" s="46"/>
      <c r="NOW106" s="46"/>
      <c r="NOX106" s="46"/>
      <c r="NOY106" s="46"/>
      <c r="NOZ106" s="47">
        <v>0</v>
      </c>
      <c r="NPA106" s="46" t="s">
        <v>45</v>
      </c>
      <c r="NPB106" s="46"/>
      <c r="NPC106" s="46"/>
      <c r="NPD106" s="46"/>
      <c r="NPE106" s="46"/>
      <c r="NPF106" s="46"/>
      <c r="NPG106" s="46"/>
      <c r="NPH106" s="47">
        <v>0</v>
      </c>
      <c r="NPI106" s="46" t="s">
        <v>45</v>
      </c>
      <c r="NPJ106" s="46"/>
      <c r="NPK106" s="46"/>
      <c r="NPL106" s="46"/>
      <c r="NPM106" s="46"/>
      <c r="NPN106" s="46"/>
      <c r="NPO106" s="46"/>
      <c r="NPP106" s="47">
        <v>0</v>
      </c>
      <c r="NPQ106" s="46" t="s">
        <v>45</v>
      </c>
      <c r="NPR106" s="46"/>
      <c r="NPS106" s="46"/>
      <c r="NPT106" s="46"/>
      <c r="NPU106" s="46"/>
      <c r="NPV106" s="46"/>
      <c r="NPW106" s="46"/>
      <c r="NPX106" s="47">
        <v>0</v>
      </c>
      <c r="NPY106" s="46" t="s">
        <v>45</v>
      </c>
      <c r="NPZ106" s="46"/>
      <c r="NQA106" s="46"/>
      <c r="NQB106" s="46"/>
      <c r="NQC106" s="46"/>
      <c r="NQD106" s="46"/>
      <c r="NQE106" s="46"/>
      <c r="NQF106" s="47">
        <v>0</v>
      </c>
      <c r="NQG106" s="46" t="s">
        <v>45</v>
      </c>
      <c r="NQH106" s="46"/>
      <c r="NQI106" s="46"/>
      <c r="NQJ106" s="46"/>
      <c r="NQK106" s="46"/>
      <c r="NQL106" s="46"/>
      <c r="NQM106" s="46"/>
      <c r="NQN106" s="47">
        <v>0</v>
      </c>
      <c r="NQO106" s="46" t="s">
        <v>45</v>
      </c>
      <c r="NQP106" s="46"/>
      <c r="NQQ106" s="46"/>
      <c r="NQR106" s="46"/>
      <c r="NQS106" s="46"/>
      <c r="NQT106" s="46"/>
      <c r="NQU106" s="46"/>
      <c r="NQV106" s="47">
        <v>0</v>
      </c>
      <c r="NQW106" s="46" t="s">
        <v>45</v>
      </c>
      <c r="NQX106" s="46"/>
      <c r="NQY106" s="46"/>
      <c r="NQZ106" s="46"/>
      <c r="NRA106" s="46"/>
      <c r="NRB106" s="46"/>
      <c r="NRC106" s="46"/>
      <c r="NRD106" s="47">
        <v>0</v>
      </c>
      <c r="NRE106" s="46" t="s">
        <v>45</v>
      </c>
      <c r="NRF106" s="46"/>
      <c r="NRG106" s="46"/>
      <c r="NRH106" s="46"/>
      <c r="NRI106" s="46"/>
      <c r="NRJ106" s="46"/>
      <c r="NRK106" s="46"/>
      <c r="NRL106" s="47">
        <v>0</v>
      </c>
      <c r="NRM106" s="46" t="s">
        <v>45</v>
      </c>
      <c r="NRN106" s="46"/>
      <c r="NRO106" s="46"/>
      <c r="NRP106" s="46"/>
      <c r="NRQ106" s="46"/>
      <c r="NRR106" s="46"/>
      <c r="NRS106" s="46"/>
      <c r="NRT106" s="47">
        <v>0</v>
      </c>
      <c r="NRU106" s="46" t="s">
        <v>45</v>
      </c>
      <c r="NRV106" s="46"/>
      <c r="NRW106" s="46"/>
      <c r="NRX106" s="46"/>
      <c r="NRY106" s="46"/>
      <c r="NRZ106" s="46"/>
      <c r="NSA106" s="46"/>
      <c r="NSB106" s="47">
        <v>0</v>
      </c>
      <c r="NSC106" s="46" t="s">
        <v>45</v>
      </c>
      <c r="NSD106" s="46"/>
      <c r="NSE106" s="46"/>
      <c r="NSF106" s="46"/>
      <c r="NSG106" s="46"/>
      <c r="NSH106" s="46"/>
      <c r="NSI106" s="46"/>
      <c r="NSJ106" s="47">
        <v>0</v>
      </c>
      <c r="NSK106" s="46" t="s">
        <v>45</v>
      </c>
      <c r="NSL106" s="46"/>
      <c r="NSM106" s="46"/>
      <c r="NSN106" s="46"/>
      <c r="NSO106" s="46"/>
      <c r="NSP106" s="46"/>
      <c r="NSQ106" s="46"/>
      <c r="NSR106" s="47">
        <v>0</v>
      </c>
      <c r="NSS106" s="46" t="s">
        <v>45</v>
      </c>
      <c r="NST106" s="46"/>
      <c r="NSU106" s="46"/>
      <c r="NSV106" s="46"/>
      <c r="NSW106" s="46"/>
      <c r="NSX106" s="46"/>
      <c r="NSY106" s="46"/>
      <c r="NSZ106" s="47">
        <v>0</v>
      </c>
      <c r="NTA106" s="46" t="s">
        <v>45</v>
      </c>
      <c r="NTB106" s="46"/>
      <c r="NTC106" s="46"/>
      <c r="NTD106" s="46"/>
      <c r="NTE106" s="46"/>
      <c r="NTF106" s="46"/>
      <c r="NTG106" s="46"/>
      <c r="NTH106" s="47">
        <v>0</v>
      </c>
      <c r="NTI106" s="46" t="s">
        <v>45</v>
      </c>
      <c r="NTJ106" s="46"/>
      <c r="NTK106" s="46"/>
      <c r="NTL106" s="46"/>
      <c r="NTM106" s="46"/>
      <c r="NTN106" s="46"/>
      <c r="NTO106" s="46"/>
      <c r="NTP106" s="47">
        <v>0</v>
      </c>
      <c r="NTQ106" s="46" t="s">
        <v>45</v>
      </c>
      <c r="NTR106" s="46"/>
      <c r="NTS106" s="46"/>
      <c r="NTT106" s="46"/>
      <c r="NTU106" s="46"/>
      <c r="NTV106" s="46"/>
      <c r="NTW106" s="46"/>
      <c r="NTX106" s="47">
        <v>0</v>
      </c>
      <c r="NTY106" s="46" t="s">
        <v>45</v>
      </c>
      <c r="NTZ106" s="46"/>
      <c r="NUA106" s="46"/>
      <c r="NUB106" s="46"/>
      <c r="NUC106" s="46"/>
      <c r="NUD106" s="46"/>
      <c r="NUE106" s="46"/>
      <c r="NUF106" s="47">
        <v>0</v>
      </c>
      <c r="NUG106" s="46" t="s">
        <v>45</v>
      </c>
      <c r="NUH106" s="46"/>
      <c r="NUI106" s="46"/>
      <c r="NUJ106" s="46"/>
      <c r="NUK106" s="46"/>
      <c r="NUL106" s="46"/>
      <c r="NUM106" s="46"/>
      <c r="NUN106" s="47">
        <v>0</v>
      </c>
      <c r="NUO106" s="46" t="s">
        <v>45</v>
      </c>
      <c r="NUP106" s="46"/>
      <c r="NUQ106" s="46"/>
      <c r="NUR106" s="46"/>
      <c r="NUS106" s="46"/>
      <c r="NUT106" s="46"/>
      <c r="NUU106" s="46"/>
      <c r="NUV106" s="47">
        <v>0</v>
      </c>
      <c r="NUW106" s="46" t="s">
        <v>45</v>
      </c>
      <c r="NUX106" s="46"/>
      <c r="NUY106" s="46"/>
      <c r="NUZ106" s="46"/>
      <c r="NVA106" s="46"/>
      <c r="NVB106" s="46"/>
      <c r="NVC106" s="46"/>
      <c r="NVD106" s="47">
        <v>0</v>
      </c>
      <c r="NVE106" s="46" t="s">
        <v>45</v>
      </c>
      <c r="NVF106" s="46"/>
      <c r="NVG106" s="46"/>
      <c r="NVH106" s="46"/>
      <c r="NVI106" s="46"/>
      <c r="NVJ106" s="46"/>
      <c r="NVK106" s="46"/>
      <c r="NVL106" s="47">
        <v>0</v>
      </c>
      <c r="NVM106" s="46" t="s">
        <v>45</v>
      </c>
      <c r="NVN106" s="46"/>
      <c r="NVO106" s="46"/>
      <c r="NVP106" s="46"/>
      <c r="NVQ106" s="46"/>
      <c r="NVR106" s="46"/>
      <c r="NVS106" s="46"/>
      <c r="NVT106" s="47">
        <v>0</v>
      </c>
      <c r="NVU106" s="46" t="s">
        <v>45</v>
      </c>
      <c r="NVV106" s="46"/>
      <c r="NVW106" s="46"/>
      <c r="NVX106" s="46"/>
      <c r="NVY106" s="46"/>
      <c r="NVZ106" s="46"/>
      <c r="NWA106" s="46"/>
      <c r="NWB106" s="47">
        <v>0</v>
      </c>
      <c r="NWC106" s="46" t="s">
        <v>45</v>
      </c>
      <c r="NWD106" s="46"/>
      <c r="NWE106" s="46"/>
      <c r="NWF106" s="46"/>
      <c r="NWG106" s="46"/>
      <c r="NWH106" s="46"/>
      <c r="NWI106" s="46"/>
      <c r="NWJ106" s="47">
        <v>0</v>
      </c>
      <c r="NWK106" s="46" t="s">
        <v>45</v>
      </c>
      <c r="NWL106" s="46"/>
      <c r="NWM106" s="46"/>
      <c r="NWN106" s="46"/>
      <c r="NWO106" s="46"/>
      <c r="NWP106" s="46"/>
      <c r="NWQ106" s="46"/>
      <c r="NWR106" s="47">
        <v>0</v>
      </c>
      <c r="NWS106" s="46" t="s">
        <v>45</v>
      </c>
      <c r="NWT106" s="46"/>
      <c r="NWU106" s="46"/>
      <c r="NWV106" s="46"/>
      <c r="NWW106" s="46"/>
      <c r="NWX106" s="46"/>
      <c r="NWY106" s="46"/>
      <c r="NWZ106" s="47">
        <v>0</v>
      </c>
      <c r="NXA106" s="46" t="s">
        <v>45</v>
      </c>
      <c r="NXB106" s="46"/>
      <c r="NXC106" s="46"/>
      <c r="NXD106" s="46"/>
      <c r="NXE106" s="46"/>
      <c r="NXF106" s="46"/>
      <c r="NXG106" s="46"/>
      <c r="NXH106" s="47">
        <v>0</v>
      </c>
      <c r="NXI106" s="46" t="s">
        <v>45</v>
      </c>
      <c r="NXJ106" s="46"/>
      <c r="NXK106" s="46"/>
      <c r="NXL106" s="46"/>
      <c r="NXM106" s="46"/>
      <c r="NXN106" s="46"/>
      <c r="NXO106" s="46"/>
      <c r="NXP106" s="47">
        <v>0</v>
      </c>
      <c r="NXQ106" s="46" t="s">
        <v>45</v>
      </c>
      <c r="NXR106" s="46"/>
      <c r="NXS106" s="46"/>
      <c r="NXT106" s="46"/>
      <c r="NXU106" s="46"/>
      <c r="NXV106" s="46"/>
      <c r="NXW106" s="46"/>
      <c r="NXX106" s="47">
        <v>0</v>
      </c>
      <c r="NXY106" s="46" t="s">
        <v>45</v>
      </c>
      <c r="NXZ106" s="46"/>
      <c r="NYA106" s="46"/>
      <c r="NYB106" s="46"/>
      <c r="NYC106" s="46"/>
      <c r="NYD106" s="46"/>
      <c r="NYE106" s="46"/>
      <c r="NYF106" s="47">
        <v>0</v>
      </c>
      <c r="NYG106" s="46" t="s">
        <v>45</v>
      </c>
      <c r="NYH106" s="46"/>
      <c r="NYI106" s="46"/>
      <c r="NYJ106" s="46"/>
      <c r="NYK106" s="46"/>
      <c r="NYL106" s="46"/>
      <c r="NYM106" s="46"/>
      <c r="NYN106" s="47">
        <v>0</v>
      </c>
      <c r="NYO106" s="46" t="s">
        <v>45</v>
      </c>
      <c r="NYP106" s="46"/>
      <c r="NYQ106" s="46"/>
      <c r="NYR106" s="46"/>
      <c r="NYS106" s="46"/>
      <c r="NYT106" s="46"/>
      <c r="NYU106" s="46"/>
      <c r="NYV106" s="47">
        <v>0</v>
      </c>
      <c r="NYW106" s="46" t="s">
        <v>45</v>
      </c>
      <c r="NYX106" s="46"/>
      <c r="NYY106" s="46"/>
      <c r="NYZ106" s="46"/>
      <c r="NZA106" s="46"/>
      <c r="NZB106" s="46"/>
      <c r="NZC106" s="46"/>
      <c r="NZD106" s="47">
        <v>0</v>
      </c>
      <c r="NZE106" s="46" t="s">
        <v>45</v>
      </c>
      <c r="NZF106" s="46"/>
      <c r="NZG106" s="46"/>
      <c r="NZH106" s="46"/>
      <c r="NZI106" s="46"/>
      <c r="NZJ106" s="46"/>
      <c r="NZK106" s="46"/>
      <c r="NZL106" s="47">
        <v>0</v>
      </c>
      <c r="NZM106" s="46" t="s">
        <v>45</v>
      </c>
      <c r="NZN106" s="46"/>
      <c r="NZO106" s="46"/>
      <c r="NZP106" s="46"/>
      <c r="NZQ106" s="46"/>
      <c r="NZR106" s="46"/>
      <c r="NZS106" s="46"/>
      <c r="NZT106" s="47">
        <v>0</v>
      </c>
      <c r="NZU106" s="46" t="s">
        <v>45</v>
      </c>
      <c r="NZV106" s="46"/>
      <c r="NZW106" s="46"/>
      <c r="NZX106" s="46"/>
      <c r="NZY106" s="46"/>
      <c r="NZZ106" s="46"/>
      <c r="OAA106" s="46"/>
      <c r="OAB106" s="47">
        <v>0</v>
      </c>
      <c r="OAC106" s="46" t="s">
        <v>45</v>
      </c>
      <c r="OAD106" s="46"/>
      <c r="OAE106" s="46"/>
      <c r="OAF106" s="46"/>
      <c r="OAG106" s="46"/>
      <c r="OAH106" s="46"/>
      <c r="OAI106" s="46"/>
      <c r="OAJ106" s="47">
        <v>0</v>
      </c>
      <c r="OAK106" s="46" t="s">
        <v>45</v>
      </c>
      <c r="OAL106" s="46"/>
      <c r="OAM106" s="46"/>
      <c r="OAN106" s="46"/>
      <c r="OAO106" s="46"/>
      <c r="OAP106" s="46"/>
      <c r="OAQ106" s="46"/>
      <c r="OAR106" s="47">
        <v>0</v>
      </c>
      <c r="OAS106" s="46" t="s">
        <v>45</v>
      </c>
      <c r="OAT106" s="46"/>
      <c r="OAU106" s="46"/>
      <c r="OAV106" s="46"/>
      <c r="OAW106" s="46"/>
      <c r="OAX106" s="46"/>
      <c r="OAY106" s="46"/>
      <c r="OAZ106" s="47">
        <v>0</v>
      </c>
      <c r="OBA106" s="46" t="s">
        <v>45</v>
      </c>
      <c r="OBB106" s="46"/>
      <c r="OBC106" s="46"/>
      <c r="OBD106" s="46"/>
      <c r="OBE106" s="46"/>
      <c r="OBF106" s="46"/>
      <c r="OBG106" s="46"/>
      <c r="OBH106" s="47">
        <v>0</v>
      </c>
      <c r="OBI106" s="46" t="s">
        <v>45</v>
      </c>
      <c r="OBJ106" s="46"/>
      <c r="OBK106" s="46"/>
      <c r="OBL106" s="46"/>
      <c r="OBM106" s="46"/>
      <c r="OBN106" s="46"/>
      <c r="OBO106" s="46"/>
      <c r="OBP106" s="47">
        <v>0</v>
      </c>
      <c r="OBQ106" s="46" t="s">
        <v>45</v>
      </c>
      <c r="OBR106" s="46"/>
      <c r="OBS106" s="46"/>
      <c r="OBT106" s="46"/>
      <c r="OBU106" s="46"/>
      <c r="OBV106" s="46"/>
      <c r="OBW106" s="46"/>
      <c r="OBX106" s="47">
        <v>0</v>
      </c>
      <c r="OBY106" s="46" t="s">
        <v>45</v>
      </c>
      <c r="OBZ106" s="46"/>
      <c r="OCA106" s="46"/>
      <c r="OCB106" s="46"/>
      <c r="OCC106" s="46"/>
      <c r="OCD106" s="46"/>
      <c r="OCE106" s="46"/>
      <c r="OCF106" s="47">
        <v>0</v>
      </c>
      <c r="OCG106" s="46" t="s">
        <v>45</v>
      </c>
      <c r="OCH106" s="46"/>
      <c r="OCI106" s="46"/>
      <c r="OCJ106" s="46"/>
      <c r="OCK106" s="46"/>
      <c r="OCL106" s="46"/>
      <c r="OCM106" s="46"/>
      <c r="OCN106" s="47">
        <v>0</v>
      </c>
      <c r="OCO106" s="46" t="s">
        <v>45</v>
      </c>
      <c r="OCP106" s="46"/>
      <c r="OCQ106" s="46"/>
      <c r="OCR106" s="46"/>
      <c r="OCS106" s="46"/>
      <c r="OCT106" s="46"/>
      <c r="OCU106" s="46"/>
      <c r="OCV106" s="47">
        <v>0</v>
      </c>
      <c r="OCW106" s="46" t="s">
        <v>45</v>
      </c>
      <c r="OCX106" s="46"/>
      <c r="OCY106" s="46"/>
      <c r="OCZ106" s="46"/>
      <c r="ODA106" s="46"/>
      <c r="ODB106" s="46"/>
      <c r="ODC106" s="46"/>
      <c r="ODD106" s="47">
        <v>0</v>
      </c>
      <c r="ODE106" s="46" t="s">
        <v>45</v>
      </c>
      <c r="ODF106" s="46"/>
      <c r="ODG106" s="46"/>
      <c r="ODH106" s="46"/>
      <c r="ODI106" s="46"/>
      <c r="ODJ106" s="46"/>
      <c r="ODK106" s="46"/>
      <c r="ODL106" s="47">
        <v>0</v>
      </c>
      <c r="ODM106" s="46" t="s">
        <v>45</v>
      </c>
      <c r="ODN106" s="46"/>
      <c r="ODO106" s="46"/>
      <c r="ODP106" s="46"/>
      <c r="ODQ106" s="46"/>
      <c r="ODR106" s="46"/>
      <c r="ODS106" s="46"/>
      <c r="ODT106" s="47">
        <v>0</v>
      </c>
      <c r="ODU106" s="46" t="s">
        <v>45</v>
      </c>
      <c r="ODV106" s="46"/>
      <c r="ODW106" s="46"/>
      <c r="ODX106" s="46"/>
      <c r="ODY106" s="46"/>
      <c r="ODZ106" s="46"/>
      <c r="OEA106" s="46"/>
      <c r="OEB106" s="47">
        <v>0</v>
      </c>
      <c r="OEC106" s="46" t="s">
        <v>45</v>
      </c>
      <c r="OED106" s="46"/>
      <c r="OEE106" s="46"/>
      <c r="OEF106" s="46"/>
      <c r="OEG106" s="46"/>
      <c r="OEH106" s="46"/>
      <c r="OEI106" s="46"/>
      <c r="OEJ106" s="47">
        <v>0</v>
      </c>
      <c r="OEK106" s="46" t="s">
        <v>45</v>
      </c>
      <c r="OEL106" s="46"/>
      <c r="OEM106" s="46"/>
      <c r="OEN106" s="46"/>
      <c r="OEO106" s="46"/>
      <c r="OEP106" s="46"/>
      <c r="OEQ106" s="46"/>
      <c r="OER106" s="47">
        <v>0</v>
      </c>
      <c r="OES106" s="46" t="s">
        <v>45</v>
      </c>
      <c r="OET106" s="46"/>
      <c r="OEU106" s="46"/>
      <c r="OEV106" s="46"/>
      <c r="OEW106" s="46"/>
      <c r="OEX106" s="46"/>
      <c r="OEY106" s="46"/>
      <c r="OEZ106" s="47">
        <v>0</v>
      </c>
      <c r="OFA106" s="46" t="s">
        <v>45</v>
      </c>
      <c r="OFB106" s="46"/>
      <c r="OFC106" s="46"/>
      <c r="OFD106" s="46"/>
      <c r="OFE106" s="46"/>
      <c r="OFF106" s="46"/>
      <c r="OFG106" s="46"/>
      <c r="OFH106" s="47">
        <v>0</v>
      </c>
      <c r="OFI106" s="46" t="s">
        <v>45</v>
      </c>
      <c r="OFJ106" s="46"/>
      <c r="OFK106" s="46"/>
      <c r="OFL106" s="46"/>
      <c r="OFM106" s="46"/>
      <c r="OFN106" s="46"/>
      <c r="OFO106" s="46"/>
      <c r="OFP106" s="47">
        <v>0</v>
      </c>
      <c r="OFQ106" s="46" t="s">
        <v>45</v>
      </c>
      <c r="OFR106" s="46"/>
      <c r="OFS106" s="46"/>
      <c r="OFT106" s="46"/>
      <c r="OFU106" s="46"/>
      <c r="OFV106" s="46"/>
      <c r="OFW106" s="46"/>
      <c r="OFX106" s="47">
        <v>0</v>
      </c>
      <c r="OFY106" s="46" t="s">
        <v>45</v>
      </c>
      <c r="OFZ106" s="46"/>
      <c r="OGA106" s="46"/>
      <c r="OGB106" s="46"/>
      <c r="OGC106" s="46"/>
      <c r="OGD106" s="46"/>
      <c r="OGE106" s="46"/>
      <c r="OGF106" s="47">
        <v>0</v>
      </c>
      <c r="OGG106" s="46" t="s">
        <v>45</v>
      </c>
      <c r="OGH106" s="46"/>
      <c r="OGI106" s="46"/>
      <c r="OGJ106" s="46"/>
      <c r="OGK106" s="46"/>
      <c r="OGL106" s="46"/>
      <c r="OGM106" s="46"/>
      <c r="OGN106" s="47">
        <v>0</v>
      </c>
      <c r="OGO106" s="46" t="s">
        <v>45</v>
      </c>
      <c r="OGP106" s="46"/>
      <c r="OGQ106" s="46"/>
      <c r="OGR106" s="46"/>
      <c r="OGS106" s="46"/>
      <c r="OGT106" s="46"/>
      <c r="OGU106" s="46"/>
      <c r="OGV106" s="47">
        <v>0</v>
      </c>
      <c r="OGW106" s="46" t="s">
        <v>45</v>
      </c>
      <c r="OGX106" s="46"/>
      <c r="OGY106" s="46"/>
      <c r="OGZ106" s="46"/>
      <c r="OHA106" s="46"/>
      <c r="OHB106" s="46"/>
      <c r="OHC106" s="46"/>
      <c r="OHD106" s="47">
        <v>0</v>
      </c>
      <c r="OHE106" s="46" t="s">
        <v>45</v>
      </c>
      <c r="OHF106" s="46"/>
      <c r="OHG106" s="46"/>
      <c r="OHH106" s="46"/>
      <c r="OHI106" s="46"/>
      <c r="OHJ106" s="46"/>
      <c r="OHK106" s="46"/>
      <c r="OHL106" s="47">
        <v>0</v>
      </c>
      <c r="OHM106" s="46" t="s">
        <v>45</v>
      </c>
      <c r="OHN106" s="46"/>
      <c r="OHO106" s="46"/>
      <c r="OHP106" s="46"/>
      <c r="OHQ106" s="46"/>
      <c r="OHR106" s="46"/>
      <c r="OHS106" s="46"/>
      <c r="OHT106" s="47">
        <v>0</v>
      </c>
      <c r="OHU106" s="46" t="s">
        <v>45</v>
      </c>
      <c r="OHV106" s="46"/>
      <c r="OHW106" s="46"/>
      <c r="OHX106" s="46"/>
      <c r="OHY106" s="46"/>
      <c r="OHZ106" s="46"/>
      <c r="OIA106" s="46"/>
      <c r="OIB106" s="47">
        <v>0</v>
      </c>
      <c r="OIC106" s="46" t="s">
        <v>45</v>
      </c>
      <c r="OID106" s="46"/>
      <c r="OIE106" s="46"/>
      <c r="OIF106" s="46"/>
      <c r="OIG106" s="46"/>
      <c r="OIH106" s="46"/>
      <c r="OII106" s="46"/>
      <c r="OIJ106" s="47">
        <v>0</v>
      </c>
      <c r="OIK106" s="46" t="s">
        <v>45</v>
      </c>
      <c r="OIL106" s="46"/>
      <c r="OIM106" s="46"/>
      <c r="OIN106" s="46"/>
      <c r="OIO106" s="46"/>
      <c r="OIP106" s="46"/>
      <c r="OIQ106" s="46"/>
      <c r="OIR106" s="47">
        <v>0</v>
      </c>
      <c r="OIS106" s="46" t="s">
        <v>45</v>
      </c>
      <c r="OIT106" s="46"/>
      <c r="OIU106" s="46"/>
      <c r="OIV106" s="46"/>
      <c r="OIW106" s="46"/>
      <c r="OIX106" s="46"/>
      <c r="OIY106" s="46"/>
      <c r="OIZ106" s="47">
        <v>0</v>
      </c>
      <c r="OJA106" s="46" t="s">
        <v>45</v>
      </c>
      <c r="OJB106" s="46"/>
      <c r="OJC106" s="46"/>
      <c r="OJD106" s="46"/>
      <c r="OJE106" s="46"/>
      <c r="OJF106" s="46"/>
      <c r="OJG106" s="46"/>
      <c r="OJH106" s="47">
        <v>0</v>
      </c>
      <c r="OJI106" s="46" t="s">
        <v>45</v>
      </c>
      <c r="OJJ106" s="46"/>
      <c r="OJK106" s="46"/>
      <c r="OJL106" s="46"/>
      <c r="OJM106" s="46"/>
      <c r="OJN106" s="46"/>
      <c r="OJO106" s="46"/>
      <c r="OJP106" s="47">
        <v>0</v>
      </c>
      <c r="OJQ106" s="46" t="s">
        <v>45</v>
      </c>
      <c r="OJR106" s="46"/>
      <c r="OJS106" s="46"/>
      <c r="OJT106" s="46"/>
      <c r="OJU106" s="46"/>
      <c r="OJV106" s="46"/>
      <c r="OJW106" s="46"/>
      <c r="OJX106" s="47">
        <v>0</v>
      </c>
      <c r="OJY106" s="46" t="s">
        <v>45</v>
      </c>
      <c r="OJZ106" s="46"/>
      <c r="OKA106" s="46"/>
      <c r="OKB106" s="46"/>
      <c r="OKC106" s="46"/>
      <c r="OKD106" s="46"/>
      <c r="OKE106" s="46"/>
      <c r="OKF106" s="47">
        <v>0</v>
      </c>
      <c r="OKG106" s="46" t="s">
        <v>45</v>
      </c>
      <c r="OKH106" s="46"/>
      <c r="OKI106" s="46"/>
      <c r="OKJ106" s="46"/>
      <c r="OKK106" s="46"/>
      <c r="OKL106" s="46"/>
      <c r="OKM106" s="46"/>
      <c r="OKN106" s="47">
        <v>0</v>
      </c>
      <c r="OKO106" s="46" t="s">
        <v>45</v>
      </c>
      <c r="OKP106" s="46"/>
      <c r="OKQ106" s="46"/>
      <c r="OKR106" s="46"/>
      <c r="OKS106" s="46"/>
      <c r="OKT106" s="46"/>
      <c r="OKU106" s="46"/>
      <c r="OKV106" s="47">
        <v>0</v>
      </c>
      <c r="OKW106" s="46" t="s">
        <v>45</v>
      </c>
      <c r="OKX106" s="46"/>
      <c r="OKY106" s="46"/>
      <c r="OKZ106" s="46"/>
      <c r="OLA106" s="46"/>
      <c r="OLB106" s="46"/>
      <c r="OLC106" s="46"/>
      <c r="OLD106" s="47">
        <v>0</v>
      </c>
      <c r="OLE106" s="46" t="s">
        <v>45</v>
      </c>
      <c r="OLF106" s="46"/>
      <c r="OLG106" s="46"/>
      <c r="OLH106" s="46"/>
      <c r="OLI106" s="46"/>
      <c r="OLJ106" s="46"/>
      <c r="OLK106" s="46"/>
      <c r="OLL106" s="47">
        <v>0</v>
      </c>
      <c r="OLM106" s="46" t="s">
        <v>45</v>
      </c>
      <c r="OLN106" s="46"/>
      <c r="OLO106" s="46"/>
      <c r="OLP106" s="46"/>
      <c r="OLQ106" s="46"/>
      <c r="OLR106" s="46"/>
      <c r="OLS106" s="46"/>
      <c r="OLT106" s="47">
        <v>0</v>
      </c>
      <c r="OLU106" s="46" t="s">
        <v>45</v>
      </c>
      <c r="OLV106" s="46"/>
      <c r="OLW106" s="46"/>
      <c r="OLX106" s="46"/>
      <c r="OLY106" s="46"/>
      <c r="OLZ106" s="46"/>
      <c r="OMA106" s="46"/>
      <c r="OMB106" s="47">
        <v>0</v>
      </c>
      <c r="OMC106" s="46" t="s">
        <v>45</v>
      </c>
      <c r="OMD106" s="46"/>
      <c r="OME106" s="46"/>
      <c r="OMF106" s="46"/>
      <c r="OMG106" s="46"/>
      <c r="OMH106" s="46"/>
      <c r="OMI106" s="46"/>
      <c r="OMJ106" s="47">
        <v>0</v>
      </c>
      <c r="OMK106" s="46" t="s">
        <v>45</v>
      </c>
      <c r="OML106" s="46"/>
      <c r="OMM106" s="46"/>
      <c r="OMN106" s="46"/>
      <c r="OMO106" s="46"/>
      <c r="OMP106" s="46"/>
      <c r="OMQ106" s="46"/>
      <c r="OMR106" s="47">
        <v>0</v>
      </c>
      <c r="OMS106" s="46" t="s">
        <v>45</v>
      </c>
      <c r="OMT106" s="46"/>
      <c r="OMU106" s="46"/>
      <c r="OMV106" s="46"/>
      <c r="OMW106" s="46"/>
      <c r="OMX106" s="46"/>
      <c r="OMY106" s="46"/>
      <c r="OMZ106" s="47">
        <v>0</v>
      </c>
      <c r="ONA106" s="46" t="s">
        <v>45</v>
      </c>
      <c r="ONB106" s="46"/>
      <c r="ONC106" s="46"/>
      <c r="OND106" s="46"/>
      <c r="ONE106" s="46"/>
      <c r="ONF106" s="46"/>
      <c r="ONG106" s="46"/>
      <c r="ONH106" s="47">
        <v>0</v>
      </c>
      <c r="ONI106" s="46" t="s">
        <v>45</v>
      </c>
      <c r="ONJ106" s="46"/>
      <c r="ONK106" s="46"/>
      <c r="ONL106" s="46"/>
      <c r="ONM106" s="46"/>
      <c r="ONN106" s="46"/>
      <c r="ONO106" s="46"/>
      <c r="ONP106" s="47">
        <v>0</v>
      </c>
      <c r="ONQ106" s="46" t="s">
        <v>45</v>
      </c>
      <c r="ONR106" s="46"/>
      <c r="ONS106" s="46"/>
      <c r="ONT106" s="46"/>
      <c r="ONU106" s="46"/>
      <c r="ONV106" s="46"/>
      <c r="ONW106" s="46"/>
      <c r="ONX106" s="47">
        <v>0</v>
      </c>
      <c r="ONY106" s="46" t="s">
        <v>45</v>
      </c>
      <c r="ONZ106" s="46"/>
      <c r="OOA106" s="46"/>
      <c r="OOB106" s="46"/>
      <c r="OOC106" s="46"/>
      <c r="OOD106" s="46"/>
      <c r="OOE106" s="46"/>
      <c r="OOF106" s="47">
        <v>0</v>
      </c>
      <c r="OOG106" s="46" t="s">
        <v>45</v>
      </c>
      <c r="OOH106" s="46"/>
      <c r="OOI106" s="46"/>
      <c r="OOJ106" s="46"/>
      <c r="OOK106" s="46"/>
      <c r="OOL106" s="46"/>
      <c r="OOM106" s="46"/>
      <c r="OON106" s="47">
        <v>0</v>
      </c>
      <c r="OOO106" s="46" t="s">
        <v>45</v>
      </c>
      <c r="OOP106" s="46"/>
      <c r="OOQ106" s="46"/>
      <c r="OOR106" s="46"/>
      <c r="OOS106" s="46"/>
      <c r="OOT106" s="46"/>
      <c r="OOU106" s="46"/>
      <c r="OOV106" s="47">
        <v>0</v>
      </c>
      <c r="OOW106" s="46" t="s">
        <v>45</v>
      </c>
      <c r="OOX106" s="46"/>
      <c r="OOY106" s="46"/>
      <c r="OOZ106" s="46"/>
      <c r="OPA106" s="46"/>
      <c r="OPB106" s="46"/>
      <c r="OPC106" s="46"/>
      <c r="OPD106" s="47">
        <v>0</v>
      </c>
      <c r="OPE106" s="46" t="s">
        <v>45</v>
      </c>
      <c r="OPF106" s="46"/>
      <c r="OPG106" s="46"/>
      <c r="OPH106" s="46"/>
      <c r="OPI106" s="46"/>
      <c r="OPJ106" s="46"/>
      <c r="OPK106" s="46"/>
      <c r="OPL106" s="47">
        <v>0</v>
      </c>
      <c r="OPM106" s="46" t="s">
        <v>45</v>
      </c>
      <c r="OPN106" s="46"/>
      <c r="OPO106" s="46"/>
      <c r="OPP106" s="46"/>
      <c r="OPQ106" s="46"/>
      <c r="OPR106" s="46"/>
      <c r="OPS106" s="46"/>
      <c r="OPT106" s="47">
        <v>0</v>
      </c>
      <c r="OPU106" s="46" t="s">
        <v>45</v>
      </c>
      <c r="OPV106" s="46"/>
      <c r="OPW106" s="46"/>
      <c r="OPX106" s="46"/>
      <c r="OPY106" s="46"/>
      <c r="OPZ106" s="46"/>
      <c r="OQA106" s="46"/>
      <c r="OQB106" s="47">
        <v>0</v>
      </c>
      <c r="OQC106" s="46" t="s">
        <v>45</v>
      </c>
      <c r="OQD106" s="46"/>
      <c r="OQE106" s="46"/>
      <c r="OQF106" s="46"/>
      <c r="OQG106" s="46"/>
      <c r="OQH106" s="46"/>
      <c r="OQI106" s="46"/>
      <c r="OQJ106" s="47">
        <v>0</v>
      </c>
      <c r="OQK106" s="46" t="s">
        <v>45</v>
      </c>
      <c r="OQL106" s="46"/>
      <c r="OQM106" s="46"/>
      <c r="OQN106" s="46"/>
      <c r="OQO106" s="46"/>
      <c r="OQP106" s="46"/>
      <c r="OQQ106" s="46"/>
      <c r="OQR106" s="47">
        <v>0</v>
      </c>
      <c r="OQS106" s="46" t="s">
        <v>45</v>
      </c>
      <c r="OQT106" s="46"/>
      <c r="OQU106" s="46"/>
      <c r="OQV106" s="46"/>
      <c r="OQW106" s="46"/>
      <c r="OQX106" s="46"/>
      <c r="OQY106" s="46"/>
      <c r="OQZ106" s="47">
        <v>0</v>
      </c>
      <c r="ORA106" s="46" t="s">
        <v>45</v>
      </c>
      <c r="ORB106" s="46"/>
      <c r="ORC106" s="46"/>
      <c r="ORD106" s="46"/>
      <c r="ORE106" s="46"/>
      <c r="ORF106" s="46"/>
      <c r="ORG106" s="46"/>
      <c r="ORH106" s="47">
        <v>0</v>
      </c>
      <c r="ORI106" s="46" t="s">
        <v>45</v>
      </c>
      <c r="ORJ106" s="46"/>
      <c r="ORK106" s="46"/>
      <c r="ORL106" s="46"/>
      <c r="ORM106" s="46"/>
      <c r="ORN106" s="46"/>
      <c r="ORO106" s="46"/>
      <c r="ORP106" s="47">
        <v>0</v>
      </c>
      <c r="ORQ106" s="46" t="s">
        <v>45</v>
      </c>
      <c r="ORR106" s="46"/>
      <c r="ORS106" s="46"/>
      <c r="ORT106" s="46"/>
      <c r="ORU106" s="46"/>
      <c r="ORV106" s="46"/>
      <c r="ORW106" s="46"/>
      <c r="ORX106" s="47">
        <v>0</v>
      </c>
      <c r="ORY106" s="46" t="s">
        <v>45</v>
      </c>
      <c r="ORZ106" s="46"/>
      <c r="OSA106" s="46"/>
      <c r="OSB106" s="46"/>
      <c r="OSC106" s="46"/>
      <c r="OSD106" s="46"/>
      <c r="OSE106" s="46"/>
      <c r="OSF106" s="47">
        <v>0</v>
      </c>
      <c r="OSG106" s="46" t="s">
        <v>45</v>
      </c>
      <c r="OSH106" s="46"/>
      <c r="OSI106" s="46"/>
      <c r="OSJ106" s="46"/>
      <c r="OSK106" s="46"/>
      <c r="OSL106" s="46"/>
      <c r="OSM106" s="46"/>
      <c r="OSN106" s="47">
        <v>0</v>
      </c>
      <c r="OSO106" s="46" t="s">
        <v>45</v>
      </c>
      <c r="OSP106" s="46"/>
      <c r="OSQ106" s="46"/>
      <c r="OSR106" s="46"/>
      <c r="OSS106" s="46"/>
      <c r="OST106" s="46"/>
      <c r="OSU106" s="46"/>
      <c r="OSV106" s="47">
        <v>0</v>
      </c>
      <c r="OSW106" s="46" t="s">
        <v>45</v>
      </c>
      <c r="OSX106" s="46"/>
      <c r="OSY106" s="46"/>
      <c r="OSZ106" s="46"/>
      <c r="OTA106" s="46"/>
      <c r="OTB106" s="46"/>
      <c r="OTC106" s="46"/>
      <c r="OTD106" s="47">
        <v>0</v>
      </c>
      <c r="OTE106" s="46" t="s">
        <v>45</v>
      </c>
      <c r="OTF106" s="46"/>
      <c r="OTG106" s="46"/>
      <c r="OTH106" s="46"/>
      <c r="OTI106" s="46"/>
      <c r="OTJ106" s="46"/>
      <c r="OTK106" s="46"/>
      <c r="OTL106" s="47">
        <v>0</v>
      </c>
      <c r="OTM106" s="46" t="s">
        <v>45</v>
      </c>
      <c r="OTN106" s="46"/>
      <c r="OTO106" s="46"/>
      <c r="OTP106" s="46"/>
      <c r="OTQ106" s="46"/>
      <c r="OTR106" s="46"/>
      <c r="OTS106" s="46"/>
      <c r="OTT106" s="47">
        <v>0</v>
      </c>
      <c r="OTU106" s="46" t="s">
        <v>45</v>
      </c>
      <c r="OTV106" s="46"/>
      <c r="OTW106" s="46"/>
      <c r="OTX106" s="46"/>
      <c r="OTY106" s="46"/>
      <c r="OTZ106" s="46"/>
      <c r="OUA106" s="46"/>
      <c r="OUB106" s="47">
        <v>0</v>
      </c>
      <c r="OUC106" s="46" t="s">
        <v>45</v>
      </c>
      <c r="OUD106" s="46"/>
      <c r="OUE106" s="46"/>
      <c r="OUF106" s="46"/>
      <c r="OUG106" s="46"/>
      <c r="OUH106" s="46"/>
      <c r="OUI106" s="46"/>
      <c r="OUJ106" s="47">
        <v>0</v>
      </c>
      <c r="OUK106" s="46" t="s">
        <v>45</v>
      </c>
      <c r="OUL106" s="46"/>
      <c r="OUM106" s="46"/>
      <c r="OUN106" s="46"/>
      <c r="OUO106" s="46"/>
      <c r="OUP106" s="46"/>
      <c r="OUQ106" s="46"/>
      <c r="OUR106" s="47">
        <v>0</v>
      </c>
      <c r="OUS106" s="46" t="s">
        <v>45</v>
      </c>
      <c r="OUT106" s="46"/>
      <c r="OUU106" s="46"/>
      <c r="OUV106" s="46"/>
      <c r="OUW106" s="46"/>
      <c r="OUX106" s="46"/>
      <c r="OUY106" s="46"/>
      <c r="OUZ106" s="47">
        <v>0</v>
      </c>
      <c r="OVA106" s="46" t="s">
        <v>45</v>
      </c>
      <c r="OVB106" s="46"/>
      <c r="OVC106" s="46"/>
      <c r="OVD106" s="46"/>
      <c r="OVE106" s="46"/>
      <c r="OVF106" s="46"/>
      <c r="OVG106" s="46"/>
      <c r="OVH106" s="47">
        <v>0</v>
      </c>
      <c r="OVI106" s="46" t="s">
        <v>45</v>
      </c>
      <c r="OVJ106" s="46"/>
      <c r="OVK106" s="46"/>
      <c r="OVL106" s="46"/>
      <c r="OVM106" s="46"/>
      <c r="OVN106" s="46"/>
      <c r="OVO106" s="46"/>
      <c r="OVP106" s="47">
        <v>0</v>
      </c>
      <c r="OVQ106" s="46" t="s">
        <v>45</v>
      </c>
      <c r="OVR106" s="46"/>
      <c r="OVS106" s="46"/>
      <c r="OVT106" s="46"/>
      <c r="OVU106" s="46"/>
      <c r="OVV106" s="46"/>
      <c r="OVW106" s="46"/>
      <c r="OVX106" s="47">
        <v>0</v>
      </c>
      <c r="OVY106" s="46" t="s">
        <v>45</v>
      </c>
      <c r="OVZ106" s="46"/>
      <c r="OWA106" s="46"/>
      <c r="OWB106" s="46"/>
      <c r="OWC106" s="46"/>
      <c r="OWD106" s="46"/>
      <c r="OWE106" s="46"/>
      <c r="OWF106" s="47">
        <v>0</v>
      </c>
      <c r="OWG106" s="46" t="s">
        <v>45</v>
      </c>
      <c r="OWH106" s="46"/>
      <c r="OWI106" s="46"/>
      <c r="OWJ106" s="46"/>
      <c r="OWK106" s="46"/>
      <c r="OWL106" s="46"/>
      <c r="OWM106" s="46"/>
      <c r="OWN106" s="47">
        <v>0</v>
      </c>
      <c r="OWO106" s="46" t="s">
        <v>45</v>
      </c>
      <c r="OWP106" s="46"/>
      <c r="OWQ106" s="46"/>
      <c r="OWR106" s="46"/>
      <c r="OWS106" s="46"/>
      <c r="OWT106" s="46"/>
      <c r="OWU106" s="46"/>
      <c r="OWV106" s="47">
        <v>0</v>
      </c>
      <c r="OWW106" s="46" t="s">
        <v>45</v>
      </c>
      <c r="OWX106" s="46"/>
      <c r="OWY106" s="46"/>
      <c r="OWZ106" s="46"/>
      <c r="OXA106" s="46"/>
      <c r="OXB106" s="46"/>
      <c r="OXC106" s="46"/>
      <c r="OXD106" s="47">
        <v>0</v>
      </c>
      <c r="OXE106" s="46" t="s">
        <v>45</v>
      </c>
      <c r="OXF106" s="46"/>
      <c r="OXG106" s="46"/>
      <c r="OXH106" s="46"/>
      <c r="OXI106" s="46"/>
      <c r="OXJ106" s="46"/>
      <c r="OXK106" s="46"/>
      <c r="OXL106" s="47">
        <v>0</v>
      </c>
      <c r="OXM106" s="46" t="s">
        <v>45</v>
      </c>
      <c r="OXN106" s="46"/>
      <c r="OXO106" s="46"/>
      <c r="OXP106" s="46"/>
      <c r="OXQ106" s="46"/>
      <c r="OXR106" s="46"/>
      <c r="OXS106" s="46"/>
      <c r="OXT106" s="47">
        <v>0</v>
      </c>
      <c r="OXU106" s="46" t="s">
        <v>45</v>
      </c>
      <c r="OXV106" s="46"/>
      <c r="OXW106" s="46"/>
      <c r="OXX106" s="46"/>
      <c r="OXY106" s="46"/>
      <c r="OXZ106" s="46"/>
      <c r="OYA106" s="46"/>
      <c r="OYB106" s="47">
        <v>0</v>
      </c>
      <c r="OYC106" s="46" t="s">
        <v>45</v>
      </c>
      <c r="OYD106" s="46"/>
      <c r="OYE106" s="46"/>
      <c r="OYF106" s="46"/>
      <c r="OYG106" s="46"/>
      <c r="OYH106" s="46"/>
      <c r="OYI106" s="46"/>
      <c r="OYJ106" s="47">
        <v>0</v>
      </c>
      <c r="OYK106" s="46" t="s">
        <v>45</v>
      </c>
      <c r="OYL106" s="46"/>
      <c r="OYM106" s="46"/>
      <c r="OYN106" s="46"/>
      <c r="OYO106" s="46"/>
      <c r="OYP106" s="46"/>
      <c r="OYQ106" s="46"/>
      <c r="OYR106" s="47">
        <v>0</v>
      </c>
      <c r="OYS106" s="46" t="s">
        <v>45</v>
      </c>
      <c r="OYT106" s="46"/>
      <c r="OYU106" s="46"/>
      <c r="OYV106" s="46"/>
      <c r="OYW106" s="46"/>
      <c r="OYX106" s="46"/>
      <c r="OYY106" s="46"/>
      <c r="OYZ106" s="47">
        <v>0</v>
      </c>
      <c r="OZA106" s="46" t="s">
        <v>45</v>
      </c>
      <c r="OZB106" s="46"/>
      <c r="OZC106" s="46"/>
      <c r="OZD106" s="46"/>
      <c r="OZE106" s="46"/>
      <c r="OZF106" s="46"/>
      <c r="OZG106" s="46"/>
      <c r="OZH106" s="47">
        <v>0</v>
      </c>
      <c r="OZI106" s="46" t="s">
        <v>45</v>
      </c>
      <c r="OZJ106" s="46"/>
      <c r="OZK106" s="46"/>
      <c r="OZL106" s="46"/>
      <c r="OZM106" s="46"/>
      <c r="OZN106" s="46"/>
      <c r="OZO106" s="46"/>
      <c r="OZP106" s="47">
        <v>0</v>
      </c>
      <c r="OZQ106" s="46" t="s">
        <v>45</v>
      </c>
      <c r="OZR106" s="46"/>
      <c r="OZS106" s="46"/>
      <c r="OZT106" s="46"/>
      <c r="OZU106" s="46"/>
      <c r="OZV106" s="46"/>
      <c r="OZW106" s="46"/>
      <c r="OZX106" s="47">
        <v>0</v>
      </c>
      <c r="OZY106" s="46" t="s">
        <v>45</v>
      </c>
      <c r="OZZ106" s="46"/>
      <c r="PAA106" s="46"/>
      <c r="PAB106" s="46"/>
      <c r="PAC106" s="46"/>
      <c r="PAD106" s="46"/>
      <c r="PAE106" s="46"/>
      <c r="PAF106" s="47">
        <v>0</v>
      </c>
      <c r="PAG106" s="46" t="s">
        <v>45</v>
      </c>
      <c r="PAH106" s="46"/>
      <c r="PAI106" s="46"/>
      <c r="PAJ106" s="46"/>
      <c r="PAK106" s="46"/>
      <c r="PAL106" s="46"/>
      <c r="PAM106" s="46"/>
      <c r="PAN106" s="47">
        <v>0</v>
      </c>
      <c r="PAO106" s="46" t="s">
        <v>45</v>
      </c>
      <c r="PAP106" s="46"/>
      <c r="PAQ106" s="46"/>
      <c r="PAR106" s="46"/>
      <c r="PAS106" s="46"/>
      <c r="PAT106" s="46"/>
      <c r="PAU106" s="46"/>
      <c r="PAV106" s="47">
        <v>0</v>
      </c>
      <c r="PAW106" s="46" t="s">
        <v>45</v>
      </c>
      <c r="PAX106" s="46"/>
      <c r="PAY106" s="46"/>
      <c r="PAZ106" s="46"/>
      <c r="PBA106" s="46"/>
      <c r="PBB106" s="46"/>
      <c r="PBC106" s="46"/>
      <c r="PBD106" s="47">
        <v>0</v>
      </c>
      <c r="PBE106" s="46" t="s">
        <v>45</v>
      </c>
      <c r="PBF106" s="46"/>
      <c r="PBG106" s="46"/>
      <c r="PBH106" s="46"/>
      <c r="PBI106" s="46"/>
      <c r="PBJ106" s="46"/>
      <c r="PBK106" s="46"/>
      <c r="PBL106" s="47">
        <v>0</v>
      </c>
      <c r="PBM106" s="46" t="s">
        <v>45</v>
      </c>
      <c r="PBN106" s="46"/>
      <c r="PBO106" s="46"/>
      <c r="PBP106" s="46"/>
      <c r="PBQ106" s="46"/>
      <c r="PBR106" s="46"/>
      <c r="PBS106" s="46"/>
      <c r="PBT106" s="47">
        <v>0</v>
      </c>
      <c r="PBU106" s="46" t="s">
        <v>45</v>
      </c>
      <c r="PBV106" s="46"/>
      <c r="PBW106" s="46"/>
      <c r="PBX106" s="46"/>
      <c r="PBY106" s="46"/>
      <c r="PBZ106" s="46"/>
      <c r="PCA106" s="46"/>
      <c r="PCB106" s="47">
        <v>0</v>
      </c>
      <c r="PCC106" s="46" t="s">
        <v>45</v>
      </c>
      <c r="PCD106" s="46"/>
      <c r="PCE106" s="46"/>
      <c r="PCF106" s="46"/>
      <c r="PCG106" s="46"/>
      <c r="PCH106" s="46"/>
      <c r="PCI106" s="46"/>
      <c r="PCJ106" s="47">
        <v>0</v>
      </c>
      <c r="PCK106" s="46" t="s">
        <v>45</v>
      </c>
      <c r="PCL106" s="46"/>
      <c r="PCM106" s="46"/>
      <c r="PCN106" s="46"/>
      <c r="PCO106" s="46"/>
      <c r="PCP106" s="46"/>
      <c r="PCQ106" s="46"/>
      <c r="PCR106" s="47">
        <v>0</v>
      </c>
      <c r="PCS106" s="46" t="s">
        <v>45</v>
      </c>
      <c r="PCT106" s="46"/>
      <c r="PCU106" s="46"/>
      <c r="PCV106" s="46"/>
      <c r="PCW106" s="46"/>
      <c r="PCX106" s="46"/>
      <c r="PCY106" s="46"/>
      <c r="PCZ106" s="47">
        <v>0</v>
      </c>
      <c r="PDA106" s="46" t="s">
        <v>45</v>
      </c>
      <c r="PDB106" s="46"/>
      <c r="PDC106" s="46"/>
      <c r="PDD106" s="46"/>
      <c r="PDE106" s="46"/>
      <c r="PDF106" s="46"/>
      <c r="PDG106" s="46"/>
      <c r="PDH106" s="47">
        <v>0</v>
      </c>
      <c r="PDI106" s="46" t="s">
        <v>45</v>
      </c>
      <c r="PDJ106" s="46"/>
      <c r="PDK106" s="46"/>
      <c r="PDL106" s="46"/>
      <c r="PDM106" s="46"/>
      <c r="PDN106" s="46"/>
      <c r="PDO106" s="46"/>
      <c r="PDP106" s="47">
        <v>0</v>
      </c>
      <c r="PDQ106" s="46" t="s">
        <v>45</v>
      </c>
      <c r="PDR106" s="46"/>
      <c r="PDS106" s="46"/>
      <c r="PDT106" s="46"/>
      <c r="PDU106" s="46"/>
      <c r="PDV106" s="46"/>
      <c r="PDW106" s="46"/>
      <c r="PDX106" s="47">
        <v>0</v>
      </c>
      <c r="PDY106" s="46" t="s">
        <v>45</v>
      </c>
      <c r="PDZ106" s="46"/>
      <c r="PEA106" s="46"/>
      <c r="PEB106" s="46"/>
      <c r="PEC106" s="46"/>
      <c r="PED106" s="46"/>
      <c r="PEE106" s="46"/>
      <c r="PEF106" s="47">
        <v>0</v>
      </c>
      <c r="PEG106" s="46" t="s">
        <v>45</v>
      </c>
      <c r="PEH106" s="46"/>
      <c r="PEI106" s="46"/>
      <c r="PEJ106" s="46"/>
      <c r="PEK106" s="46"/>
      <c r="PEL106" s="46"/>
      <c r="PEM106" s="46"/>
      <c r="PEN106" s="47">
        <v>0</v>
      </c>
      <c r="PEO106" s="46" t="s">
        <v>45</v>
      </c>
      <c r="PEP106" s="46"/>
      <c r="PEQ106" s="46"/>
      <c r="PER106" s="46"/>
      <c r="PES106" s="46"/>
      <c r="PET106" s="46"/>
      <c r="PEU106" s="46"/>
      <c r="PEV106" s="47">
        <v>0</v>
      </c>
      <c r="PEW106" s="46" t="s">
        <v>45</v>
      </c>
      <c r="PEX106" s="46"/>
      <c r="PEY106" s="46"/>
      <c r="PEZ106" s="46"/>
      <c r="PFA106" s="46"/>
      <c r="PFB106" s="46"/>
      <c r="PFC106" s="46"/>
      <c r="PFD106" s="47">
        <v>0</v>
      </c>
      <c r="PFE106" s="46" t="s">
        <v>45</v>
      </c>
      <c r="PFF106" s="46"/>
      <c r="PFG106" s="46"/>
      <c r="PFH106" s="46"/>
      <c r="PFI106" s="46"/>
      <c r="PFJ106" s="46"/>
      <c r="PFK106" s="46"/>
      <c r="PFL106" s="47">
        <v>0</v>
      </c>
      <c r="PFM106" s="46" t="s">
        <v>45</v>
      </c>
      <c r="PFN106" s="46"/>
      <c r="PFO106" s="46"/>
      <c r="PFP106" s="46"/>
      <c r="PFQ106" s="46"/>
      <c r="PFR106" s="46"/>
      <c r="PFS106" s="46"/>
      <c r="PFT106" s="47">
        <v>0</v>
      </c>
      <c r="PFU106" s="46" t="s">
        <v>45</v>
      </c>
      <c r="PFV106" s="46"/>
      <c r="PFW106" s="46"/>
      <c r="PFX106" s="46"/>
      <c r="PFY106" s="46"/>
      <c r="PFZ106" s="46"/>
      <c r="PGA106" s="46"/>
      <c r="PGB106" s="47">
        <v>0</v>
      </c>
      <c r="PGC106" s="46" t="s">
        <v>45</v>
      </c>
      <c r="PGD106" s="46"/>
      <c r="PGE106" s="46"/>
      <c r="PGF106" s="46"/>
      <c r="PGG106" s="46"/>
      <c r="PGH106" s="46"/>
      <c r="PGI106" s="46"/>
      <c r="PGJ106" s="47">
        <v>0</v>
      </c>
      <c r="PGK106" s="46" t="s">
        <v>45</v>
      </c>
      <c r="PGL106" s="46"/>
      <c r="PGM106" s="46"/>
      <c r="PGN106" s="46"/>
      <c r="PGO106" s="46"/>
      <c r="PGP106" s="46"/>
      <c r="PGQ106" s="46"/>
      <c r="PGR106" s="47">
        <v>0</v>
      </c>
      <c r="PGS106" s="46" t="s">
        <v>45</v>
      </c>
      <c r="PGT106" s="46"/>
      <c r="PGU106" s="46"/>
      <c r="PGV106" s="46"/>
      <c r="PGW106" s="46"/>
      <c r="PGX106" s="46"/>
      <c r="PGY106" s="46"/>
      <c r="PGZ106" s="47">
        <v>0</v>
      </c>
      <c r="PHA106" s="46" t="s">
        <v>45</v>
      </c>
      <c r="PHB106" s="46"/>
      <c r="PHC106" s="46"/>
      <c r="PHD106" s="46"/>
      <c r="PHE106" s="46"/>
      <c r="PHF106" s="46"/>
      <c r="PHG106" s="46"/>
      <c r="PHH106" s="47">
        <v>0</v>
      </c>
      <c r="PHI106" s="46" t="s">
        <v>45</v>
      </c>
      <c r="PHJ106" s="46"/>
      <c r="PHK106" s="46"/>
      <c r="PHL106" s="46"/>
      <c r="PHM106" s="46"/>
      <c r="PHN106" s="46"/>
      <c r="PHO106" s="46"/>
      <c r="PHP106" s="47">
        <v>0</v>
      </c>
      <c r="PHQ106" s="46" t="s">
        <v>45</v>
      </c>
      <c r="PHR106" s="46"/>
      <c r="PHS106" s="46"/>
      <c r="PHT106" s="46"/>
      <c r="PHU106" s="46"/>
      <c r="PHV106" s="46"/>
      <c r="PHW106" s="46"/>
      <c r="PHX106" s="47">
        <v>0</v>
      </c>
      <c r="PHY106" s="46" t="s">
        <v>45</v>
      </c>
      <c r="PHZ106" s="46"/>
      <c r="PIA106" s="46"/>
      <c r="PIB106" s="46"/>
      <c r="PIC106" s="46"/>
      <c r="PID106" s="46"/>
      <c r="PIE106" s="46"/>
      <c r="PIF106" s="47">
        <v>0</v>
      </c>
      <c r="PIG106" s="46" t="s">
        <v>45</v>
      </c>
      <c r="PIH106" s="46"/>
      <c r="PII106" s="46"/>
      <c r="PIJ106" s="46"/>
      <c r="PIK106" s="46"/>
      <c r="PIL106" s="46"/>
      <c r="PIM106" s="46"/>
      <c r="PIN106" s="47">
        <v>0</v>
      </c>
      <c r="PIO106" s="46" t="s">
        <v>45</v>
      </c>
      <c r="PIP106" s="46"/>
      <c r="PIQ106" s="46"/>
      <c r="PIR106" s="46"/>
      <c r="PIS106" s="46"/>
      <c r="PIT106" s="46"/>
      <c r="PIU106" s="46"/>
      <c r="PIV106" s="47">
        <v>0</v>
      </c>
      <c r="PIW106" s="46" t="s">
        <v>45</v>
      </c>
      <c r="PIX106" s="46"/>
      <c r="PIY106" s="46"/>
      <c r="PIZ106" s="46"/>
      <c r="PJA106" s="46"/>
      <c r="PJB106" s="46"/>
      <c r="PJC106" s="46"/>
      <c r="PJD106" s="47">
        <v>0</v>
      </c>
      <c r="PJE106" s="46" t="s">
        <v>45</v>
      </c>
      <c r="PJF106" s="46"/>
      <c r="PJG106" s="46"/>
      <c r="PJH106" s="46"/>
      <c r="PJI106" s="46"/>
      <c r="PJJ106" s="46"/>
      <c r="PJK106" s="46"/>
      <c r="PJL106" s="47">
        <v>0</v>
      </c>
      <c r="PJM106" s="46" t="s">
        <v>45</v>
      </c>
      <c r="PJN106" s="46"/>
      <c r="PJO106" s="46"/>
      <c r="PJP106" s="46"/>
      <c r="PJQ106" s="46"/>
      <c r="PJR106" s="46"/>
      <c r="PJS106" s="46"/>
      <c r="PJT106" s="47">
        <v>0</v>
      </c>
      <c r="PJU106" s="46" t="s">
        <v>45</v>
      </c>
      <c r="PJV106" s="46"/>
      <c r="PJW106" s="46"/>
      <c r="PJX106" s="46"/>
      <c r="PJY106" s="46"/>
      <c r="PJZ106" s="46"/>
      <c r="PKA106" s="46"/>
      <c r="PKB106" s="47">
        <v>0</v>
      </c>
      <c r="PKC106" s="46" t="s">
        <v>45</v>
      </c>
      <c r="PKD106" s="46"/>
      <c r="PKE106" s="46"/>
      <c r="PKF106" s="46"/>
      <c r="PKG106" s="46"/>
      <c r="PKH106" s="46"/>
      <c r="PKI106" s="46"/>
      <c r="PKJ106" s="47">
        <v>0</v>
      </c>
      <c r="PKK106" s="46" t="s">
        <v>45</v>
      </c>
      <c r="PKL106" s="46"/>
      <c r="PKM106" s="46"/>
      <c r="PKN106" s="46"/>
      <c r="PKO106" s="46"/>
      <c r="PKP106" s="46"/>
      <c r="PKQ106" s="46"/>
      <c r="PKR106" s="47">
        <v>0</v>
      </c>
      <c r="PKS106" s="46" t="s">
        <v>45</v>
      </c>
      <c r="PKT106" s="46"/>
      <c r="PKU106" s="46"/>
      <c r="PKV106" s="46"/>
      <c r="PKW106" s="46"/>
      <c r="PKX106" s="46"/>
      <c r="PKY106" s="46"/>
      <c r="PKZ106" s="47">
        <v>0</v>
      </c>
      <c r="PLA106" s="46" t="s">
        <v>45</v>
      </c>
      <c r="PLB106" s="46"/>
      <c r="PLC106" s="46"/>
      <c r="PLD106" s="46"/>
      <c r="PLE106" s="46"/>
      <c r="PLF106" s="46"/>
      <c r="PLG106" s="46"/>
      <c r="PLH106" s="47">
        <v>0</v>
      </c>
      <c r="PLI106" s="46" t="s">
        <v>45</v>
      </c>
      <c r="PLJ106" s="46"/>
      <c r="PLK106" s="46"/>
      <c r="PLL106" s="46"/>
      <c r="PLM106" s="46"/>
      <c r="PLN106" s="46"/>
      <c r="PLO106" s="46"/>
      <c r="PLP106" s="47">
        <v>0</v>
      </c>
      <c r="PLQ106" s="46" t="s">
        <v>45</v>
      </c>
      <c r="PLR106" s="46"/>
      <c r="PLS106" s="46"/>
      <c r="PLT106" s="46"/>
      <c r="PLU106" s="46"/>
      <c r="PLV106" s="46"/>
      <c r="PLW106" s="46"/>
      <c r="PLX106" s="47">
        <v>0</v>
      </c>
      <c r="PLY106" s="46" t="s">
        <v>45</v>
      </c>
      <c r="PLZ106" s="46"/>
      <c r="PMA106" s="46"/>
      <c r="PMB106" s="46"/>
      <c r="PMC106" s="46"/>
      <c r="PMD106" s="46"/>
      <c r="PME106" s="46"/>
      <c r="PMF106" s="47">
        <v>0</v>
      </c>
      <c r="PMG106" s="46" t="s">
        <v>45</v>
      </c>
      <c r="PMH106" s="46"/>
      <c r="PMI106" s="46"/>
      <c r="PMJ106" s="46"/>
      <c r="PMK106" s="46"/>
      <c r="PML106" s="46"/>
      <c r="PMM106" s="46"/>
      <c r="PMN106" s="47">
        <v>0</v>
      </c>
      <c r="PMO106" s="46" t="s">
        <v>45</v>
      </c>
      <c r="PMP106" s="46"/>
      <c r="PMQ106" s="46"/>
      <c r="PMR106" s="46"/>
      <c r="PMS106" s="46"/>
      <c r="PMT106" s="46"/>
      <c r="PMU106" s="46"/>
      <c r="PMV106" s="47">
        <v>0</v>
      </c>
      <c r="PMW106" s="46" t="s">
        <v>45</v>
      </c>
      <c r="PMX106" s="46"/>
      <c r="PMY106" s="46"/>
      <c r="PMZ106" s="46"/>
      <c r="PNA106" s="46"/>
      <c r="PNB106" s="46"/>
      <c r="PNC106" s="46"/>
      <c r="PND106" s="47">
        <v>0</v>
      </c>
      <c r="PNE106" s="46" t="s">
        <v>45</v>
      </c>
      <c r="PNF106" s="46"/>
      <c r="PNG106" s="46"/>
      <c r="PNH106" s="46"/>
      <c r="PNI106" s="46"/>
      <c r="PNJ106" s="46"/>
      <c r="PNK106" s="46"/>
      <c r="PNL106" s="47">
        <v>0</v>
      </c>
      <c r="PNM106" s="46" t="s">
        <v>45</v>
      </c>
      <c r="PNN106" s="46"/>
      <c r="PNO106" s="46"/>
      <c r="PNP106" s="46"/>
      <c r="PNQ106" s="46"/>
      <c r="PNR106" s="46"/>
      <c r="PNS106" s="46"/>
      <c r="PNT106" s="47">
        <v>0</v>
      </c>
      <c r="PNU106" s="46" t="s">
        <v>45</v>
      </c>
      <c r="PNV106" s="46"/>
      <c r="PNW106" s="46"/>
      <c r="PNX106" s="46"/>
      <c r="PNY106" s="46"/>
      <c r="PNZ106" s="46"/>
      <c r="POA106" s="46"/>
      <c r="POB106" s="47">
        <v>0</v>
      </c>
      <c r="POC106" s="46" t="s">
        <v>45</v>
      </c>
      <c r="POD106" s="46"/>
      <c r="POE106" s="46"/>
      <c r="POF106" s="46"/>
      <c r="POG106" s="46"/>
      <c r="POH106" s="46"/>
      <c r="POI106" s="46"/>
      <c r="POJ106" s="47">
        <v>0</v>
      </c>
      <c r="POK106" s="46" t="s">
        <v>45</v>
      </c>
      <c r="POL106" s="46"/>
      <c r="POM106" s="46"/>
      <c r="PON106" s="46"/>
      <c r="POO106" s="46"/>
      <c r="POP106" s="46"/>
      <c r="POQ106" s="46"/>
      <c r="POR106" s="47">
        <v>0</v>
      </c>
      <c r="POS106" s="46" t="s">
        <v>45</v>
      </c>
      <c r="POT106" s="46"/>
      <c r="POU106" s="46"/>
      <c r="POV106" s="46"/>
      <c r="POW106" s="46"/>
      <c r="POX106" s="46"/>
      <c r="POY106" s="46"/>
      <c r="POZ106" s="47">
        <v>0</v>
      </c>
      <c r="PPA106" s="46" t="s">
        <v>45</v>
      </c>
      <c r="PPB106" s="46"/>
      <c r="PPC106" s="46"/>
      <c r="PPD106" s="46"/>
      <c r="PPE106" s="46"/>
      <c r="PPF106" s="46"/>
      <c r="PPG106" s="46"/>
      <c r="PPH106" s="47">
        <v>0</v>
      </c>
      <c r="PPI106" s="46" t="s">
        <v>45</v>
      </c>
      <c r="PPJ106" s="46"/>
      <c r="PPK106" s="46"/>
      <c r="PPL106" s="46"/>
      <c r="PPM106" s="46"/>
      <c r="PPN106" s="46"/>
      <c r="PPO106" s="46"/>
      <c r="PPP106" s="47">
        <v>0</v>
      </c>
      <c r="PPQ106" s="46" t="s">
        <v>45</v>
      </c>
      <c r="PPR106" s="46"/>
      <c r="PPS106" s="46"/>
      <c r="PPT106" s="46"/>
      <c r="PPU106" s="46"/>
      <c r="PPV106" s="46"/>
      <c r="PPW106" s="46"/>
      <c r="PPX106" s="47">
        <v>0</v>
      </c>
      <c r="PPY106" s="46" t="s">
        <v>45</v>
      </c>
      <c r="PPZ106" s="46"/>
      <c r="PQA106" s="46"/>
      <c r="PQB106" s="46"/>
      <c r="PQC106" s="46"/>
      <c r="PQD106" s="46"/>
      <c r="PQE106" s="46"/>
      <c r="PQF106" s="47">
        <v>0</v>
      </c>
      <c r="PQG106" s="46" t="s">
        <v>45</v>
      </c>
      <c r="PQH106" s="46"/>
      <c r="PQI106" s="46"/>
      <c r="PQJ106" s="46"/>
      <c r="PQK106" s="46"/>
      <c r="PQL106" s="46"/>
      <c r="PQM106" s="46"/>
      <c r="PQN106" s="47">
        <v>0</v>
      </c>
      <c r="PQO106" s="46" t="s">
        <v>45</v>
      </c>
      <c r="PQP106" s="46"/>
      <c r="PQQ106" s="46"/>
      <c r="PQR106" s="46"/>
      <c r="PQS106" s="46"/>
      <c r="PQT106" s="46"/>
      <c r="PQU106" s="46"/>
      <c r="PQV106" s="47">
        <v>0</v>
      </c>
      <c r="PQW106" s="46" t="s">
        <v>45</v>
      </c>
      <c r="PQX106" s="46"/>
      <c r="PQY106" s="46"/>
      <c r="PQZ106" s="46"/>
      <c r="PRA106" s="46"/>
      <c r="PRB106" s="46"/>
      <c r="PRC106" s="46"/>
      <c r="PRD106" s="47">
        <v>0</v>
      </c>
      <c r="PRE106" s="46" t="s">
        <v>45</v>
      </c>
      <c r="PRF106" s="46"/>
      <c r="PRG106" s="46"/>
      <c r="PRH106" s="46"/>
      <c r="PRI106" s="46"/>
      <c r="PRJ106" s="46"/>
      <c r="PRK106" s="46"/>
      <c r="PRL106" s="47">
        <v>0</v>
      </c>
      <c r="PRM106" s="46" t="s">
        <v>45</v>
      </c>
      <c r="PRN106" s="46"/>
      <c r="PRO106" s="46"/>
      <c r="PRP106" s="46"/>
      <c r="PRQ106" s="46"/>
      <c r="PRR106" s="46"/>
      <c r="PRS106" s="46"/>
      <c r="PRT106" s="47">
        <v>0</v>
      </c>
      <c r="PRU106" s="46" t="s">
        <v>45</v>
      </c>
      <c r="PRV106" s="46"/>
      <c r="PRW106" s="46"/>
      <c r="PRX106" s="46"/>
      <c r="PRY106" s="46"/>
      <c r="PRZ106" s="46"/>
      <c r="PSA106" s="46"/>
      <c r="PSB106" s="47">
        <v>0</v>
      </c>
      <c r="PSC106" s="46" t="s">
        <v>45</v>
      </c>
      <c r="PSD106" s="46"/>
      <c r="PSE106" s="46"/>
      <c r="PSF106" s="46"/>
      <c r="PSG106" s="46"/>
      <c r="PSH106" s="46"/>
      <c r="PSI106" s="46"/>
      <c r="PSJ106" s="47">
        <v>0</v>
      </c>
      <c r="PSK106" s="46" t="s">
        <v>45</v>
      </c>
      <c r="PSL106" s="46"/>
      <c r="PSM106" s="46"/>
      <c r="PSN106" s="46"/>
      <c r="PSO106" s="46"/>
      <c r="PSP106" s="46"/>
      <c r="PSQ106" s="46"/>
      <c r="PSR106" s="47">
        <v>0</v>
      </c>
      <c r="PSS106" s="46" t="s">
        <v>45</v>
      </c>
      <c r="PST106" s="46"/>
      <c r="PSU106" s="46"/>
      <c r="PSV106" s="46"/>
      <c r="PSW106" s="46"/>
      <c r="PSX106" s="46"/>
      <c r="PSY106" s="46"/>
      <c r="PSZ106" s="47">
        <v>0</v>
      </c>
      <c r="PTA106" s="46" t="s">
        <v>45</v>
      </c>
      <c r="PTB106" s="46"/>
      <c r="PTC106" s="46"/>
      <c r="PTD106" s="46"/>
      <c r="PTE106" s="46"/>
      <c r="PTF106" s="46"/>
      <c r="PTG106" s="46"/>
      <c r="PTH106" s="47">
        <v>0</v>
      </c>
      <c r="PTI106" s="46" t="s">
        <v>45</v>
      </c>
      <c r="PTJ106" s="46"/>
      <c r="PTK106" s="46"/>
      <c r="PTL106" s="46"/>
      <c r="PTM106" s="46"/>
      <c r="PTN106" s="46"/>
      <c r="PTO106" s="46"/>
      <c r="PTP106" s="47">
        <v>0</v>
      </c>
      <c r="PTQ106" s="46" t="s">
        <v>45</v>
      </c>
      <c r="PTR106" s="46"/>
      <c r="PTS106" s="46"/>
      <c r="PTT106" s="46"/>
      <c r="PTU106" s="46"/>
      <c r="PTV106" s="46"/>
      <c r="PTW106" s="46"/>
      <c r="PTX106" s="47">
        <v>0</v>
      </c>
      <c r="PTY106" s="46" t="s">
        <v>45</v>
      </c>
      <c r="PTZ106" s="46"/>
      <c r="PUA106" s="46"/>
      <c r="PUB106" s="46"/>
      <c r="PUC106" s="46"/>
      <c r="PUD106" s="46"/>
      <c r="PUE106" s="46"/>
      <c r="PUF106" s="47">
        <v>0</v>
      </c>
      <c r="PUG106" s="46" t="s">
        <v>45</v>
      </c>
      <c r="PUH106" s="46"/>
      <c r="PUI106" s="46"/>
      <c r="PUJ106" s="46"/>
      <c r="PUK106" s="46"/>
      <c r="PUL106" s="46"/>
      <c r="PUM106" s="46"/>
      <c r="PUN106" s="47">
        <v>0</v>
      </c>
      <c r="PUO106" s="46" t="s">
        <v>45</v>
      </c>
      <c r="PUP106" s="46"/>
      <c r="PUQ106" s="46"/>
      <c r="PUR106" s="46"/>
      <c r="PUS106" s="46"/>
      <c r="PUT106" s="46"/>
      <c r="PUU106" s="46"/>
      <c r="PUV106" s="47">
        <v>0</v>
      </c>
      <c r="PUW106" s="46" t="s">
        <v>45</v>
      </c>
      <c r="PUX106" s="46"/>
      <c r="PUY106" s="46"/>
      <c r="PUZ106" s="46"/>
      <c r="PVA106" s="46"/>
      <c r="PVB106" s="46"/>
      <c r="PVC106" s="46"/>
      <c r="PVD106" s="47">
        <v>0</v>
      </c>
      <c r="PVE106" s="46" t="s">
        <v>45</v>
      </c>
      <c r="PVF106" s="46"/>
      <c r="PVG106" s="46"/>
      <c r="PVH106" s="46"/>
      <c r="PVI106" s="46"/>
      <c r="PVJ106" s="46"/>
      <c r="PVK106" s="46"/>
      <c r="PVL106" s="47">
        <v>0</v>
      </c>
      <c r="PVM106" s="46" t="s">
        <v>45</v>
      </c>
      <c r="PVN106" s="46"/>
      <c r="PVO106" s="46"/>
      <c r="PVP106" s="46"/>
      <c r="PVQ106" s="46"/>
      <c r="PVR106" s="46"/>
      <c r="PVS106" s="46"/>
      <c r="PVT106" s="47">
        <v>0</v>
      </c>
      <c r="PVU106" s="46" t="s">
        <v>45</v>
      </c>
      <c r="PVV106" s="46"/>
      <c r="PVW106" s="46"/>
      <c r="PVX106" s="46"/>
      <c r="PVY106" s="46"/>
      <c r="PVZ106" s="46"/>
      <c r="PWA106" s="46"/>
      <c r="PWB106" s="47">
        <v>0</v>
      </c>
      <c r="PWC106" s="46" t="s">
        <v>45</v>
      </c>
      <c r="PWD106" s="46"/>
      <c r="PWE106" s="46"/>
      <c r="PWF106" s="46"/>
      <c r="PWG106" s="46"/>
      <c r="PWH106" s="46"/>
      <c r="PWI106" s="46"/>
      <c r="PWJ106" s="47">
        <v>0</v>
      </c>
      <c r="PWK106" s="46" t="s">
        <v>45</v>
      </c>
      <c r="PWL106" s="46"/>
      <c r="PWM106" s="46"/>
      <c r="PWN106" s="46"/>
      <c r="PWO106" s="46"/>
      <c r="PWP106" s="46"/>
      <c r="PWQ106" s="46"/>
      <c r="PWR106" s="47">
        <v>0</v>
      </c>
      <c r="PWS106" s="46" t="s">
        <v>45</v>
      </c>
      <c r="PWT106" s="46"/>
      <c r="PWU106" s="46"/>
      <c r="PWV106" s="46"/>
      <c r="PWW106" s="46"/>
      <c r="PWX106" s="46"/>
      <c r="PWY106" s="46"/>
      <c r="PWZ106" s="47">
        <v>0</v>
      </c>
      <c r="PXA106" s="46" t="s">
        <v>45</v>
      </c>
      <c r="PXB106" s="46"/>
      <c r="PXC106" s="46"/>
      <c r="PXD106" s="46"/>
      <c r="PXE106" s="46"/>
      <c r="PXF106" s="46"/>
      <c r="PXG106" s="46"/>
      <c r="PXH106" s="47">
        <v>0</v>
      </c>
      <c r="PXI106" s="46" t="s">
        <v>45</v>
      </c>
      <c r="PXJ106" s="46"/>
      <c r="PXK106" s="46"/>
      <c r="PXL106" s="46"/>
      <c r="PXM106" s="46"/>
      <c r="PXN106" s="46"/>
      <c r="PXO106" s="46"/>
      <c r="PXP106" s="47">
        <v>0</v>
      </c>
      <c r="PXQ106" s="46" t="s">
        <v>45</v>
      </c>
      <c r="PXR106" s="46"/>
      <c r="PXS106" s="46"/>
      <c r="PXT106" s="46"/>
      <c r="PXU106" s="46"/>
      <c r="PXV106" s="46"/>
      <c r="PXW106" s="46"/>
      <c r="PXX106" s="47">
        <v>0</v>
      </c>
      <c r="PXY106" s="46" t="s">
        <v>45</v>
      </c>
      <c r="PXZ106" s="46"/>
      <c r="PYA106" s="46"/>
      <c r="PYB106" s="46"/>
      <c r="PYC106" s="46"/>
      <c r="PYD106" s="46"/>
      <c r="PYE106" s="46"/>
      <c r="PYF106" s="47">
        <v>0</v>
      </c>
      <c r="PYG106" s="46" t="s">
        <v>45</v>
      </c>
      <c r="PYH106" s="46"/>
      <c r="PYI106" s="46"/>
      <c r="PYJ106" s="46"/>
      <c r="PYK106" s="46"/>
      <c r="PYL106" s="46"/>
      <c r="PYM106" s="46"/>
      <c r="PYN106" s="47">
        <v>0</v>
      </c>
      <c r="PYO106" s="46" t="s">
        <v>45</v>
      </c>
      <c r="PYP106" s="46"/>
      <c r="PYQ106" s="46"/>
      <c r="PYR106" s="46"/>
      <c r="PYS106" s="46"/>
      <c r="PYT106" s="46"/>
      <c r="PYU106" s="46"/>
      <c r="PYV106" s="47">
        <v>0</v>
      </c>
      <c r="PYW106" s="46" t="s">
        <v>45</v>
      </c>
      <c r="PYX106" s="46"/>
      <c r="PYY106" s="46"/>
      <c r="PYZ106" s="46"/>
      <c r="PZA106" s="46"/>
      <c r="PZB106" s="46"/>
      <c r="PZC106" s="46"/>
      <c r="PZD106" s="47">
        <v>0</v>
      </c>
      <c r="PZE106" s="46" t="s">
        <v>45</v>
      </c>
      <c r="PZF106" s="46"/>
      <c r="PZG106" s="46"/>
      <c r="PZH106" s="46"/>
      <c r="PZI106" s="46"/>
      <c r="PZJ106" s="46"/>
      <c r="PZK106" s="46"/>
      <c r="PZL106" s="47">
        <v>0</v>
      </c>
      <c r="PZM106" s="46" t="s">
        <v>45</v>
      </c>
      <c r="PZN106" s="46"/>
      <c r="PZO106" s="46"/>
      <c r="PZP106" s="46"/>
      <c r="PZQ106" s="46"/>
      <c r="PZR106" s="46"/>
      <c r="PZS106" s="46"/>
      <c r="PZT106" s="47">
        <v>0</v>
      </c>
      <c r="PZU106" s="46" t="s">
        <v>45</v>
      </c>
      <c r="PZV106" s="46"/>
      <c r="PZW106" s="46"/>
      <c r="PZX106" s="46"/>
      <c r="PZY106" s="46"/>
      <c r="PZZ106" s="46"/>
      <c r="QAA106" s="46"/>
      <c r="QAB106" s="47">
        <v>0</v>
      </c>
      <c r="QAC106" s="46" t="s">
        <v>45</v>
      </c>
      <c r="QAD106" s="46"/>
      <c r="QAE106" s="46"/>
      <c r="QAF106" s="46"/>
      <c r="QAG106" s="46"/>
      <c r="QAH106" s="46"/>
      <c r="QAI106" s="46"/>
      <c r="QAJ106" s="47">
        <v>0</v>
      </c>
      <c r="QAK106" s="46" t="s">
        <v>45</v>
      </c>
      <c r="QAL106" s="46"/>
      <c r="QAM106" s="46"/>
      <c r="QAN106" s="46"/>
      <c r="QAO106" s="46"/>
      <c r="QAP106" s="46"/>
      <c r="QAQ106" s="46"/>
      <c r="QAR106" s="47">
        <v>0</v>
      </c>
      <c r="QAS106" s="46" t="s">
        <v>45</v>
      </c>
      <c r="QAT106" s="46"/>
      <c r="QAU106" s="46"/>
      <c r="QAV106" s="46"/>
      <c r="QAW106" s="46"/>
      <c r="QAX106" s="46"/>
      <c r="QAY106" s="46"/>
      <c r="QAZ106" s="47">
        <v>0</v>
      </c>
      <c r="QBA106" s="46" t="s">
        <v>45</v>
      </c>
      <c r="QBB106" s="46"/>
      <c r="QBC106" s="46"/>
      <c r="QBD106" s="46"/>
      <c r="QBE106" s="46"/>
      <c r="QBF106" s="46"/>
      <c r="QBG106" s="46"/>
      <c r="QBH106" s="47">
        <v>0</v>
      </c>
      <c r="QBI106" s="46" t="s">
        <v>45</v>
      </c>
      <c r="QBJ106" s="46"/>
      <c r="QBK106" s="46"/>
      <c r="QBL106" s="46"/>
      <c r="QBM106" s="46"/>
      <c r="QBN106" s="46"/>
      <c r="QBO106" s="46"/>
      <c r="QBP106" s="47">
        <v>0</v>
      </c>
      <c r="QBQ106" s="46" t="s">
        <v>45</v>
      </c>
      <c r="QBR106" s="46"/>
      <c r="QBS106" s="46"/>
      <c r="QBT106" s="46"/>
      <c r="QBU106" s="46"/>
      <c r="QBV106" s="46"/>
      <c r="QBW106" s="46"/>
      <c r="QBX106" s="47">
        <v>0</v>
      </c>
      <c r="QBY106" s="46" t="s">
        <v>45</v>
      </c>
      <c r="QBZ106" s="46"/>
      <c r="QCA106" s="46"/>
      <c r="QCB106" s="46"/>
      <c r="QCC106" s="46"/>
      <c r="QCD106" s="46"/>
      <c r="QCE106" s="46"/>
      <c r="QCF106" s="47">
        <v>0</v>
      </c>
      <c r="QCG106" s="46" t="s">
        <v>45</v>
      </c>
      <c r="QCH106" s="46"/>
      <c r="QCI106" s="46"/>
      <c r="QCJ106" s="46"/>
      <c r="QCK106" s="46"/>
      <c r="QCL106" s="46"/>
      <c r="QCM106" s="46"/>
      <c r="QCN106" s="47">
        <v>0</v>
      </c>
      <c r="QCO106" s="46" t="s">
        <v>45</v>
      </c>
      <c r="QCP106" s="46"/>
      <c r="QCQ106" s="46"/>
      <c r="QCR106" s="46"/>
      <c r="QCS106" s="46"/>
      <c r="QCT106" s="46"/>
      <c r="QCU106" s="46"/>
      <c r="QCV106" s="47">
        <v>0</v>
      </c>
      <c r="QCW106" s="46" t="s">
        <v>45</v>
      </c>
      <c r="QCX106" s="46"/>
      <c r="QCY106" s="46"/>
      <c r="QCZ106" s="46"/>
      <c r="QDA106" s="46"/>
      <c r="QDB106" s="46"/>
      <c r="QDC106" s="46"/>
      <c r="QDD106" s="47">
        <v>0</v>
      </c>
      <c r="QDE106" s="46" t="s">
        <v>45</v>
      </c>
      <c r="QDF106" s="46"/>
      <c r="QDG106" s="46"/>
      <c r="QDH106" s="46"/>
      <c r="QDI106" s="46"/>
      <c r="QDJ106" s="46"/>
      <c r="QDK106" s="46"/>
      <c r="QDL106" s="47">
        <v>0</v>
      </c>
      <c r="QDM106" s="46" t="s">
        <v>45</v>
      </c>
      <c r="QDN106" s="46"/>
      <c r="QDO106" s="46"/>
      <c r="QDP106" s="46"/>
      <c r="QDQ106" s="46"/>
      <c r="QDR106" s="46"/>
      <c r="QDS106" s="46"/>
      <c r="QDT106" s="47">
        <v>0</v>
      </c>
      <c r="QDU106" s="46" t="s">
        <v>45</v>
      </c>
      <c r="QDV106" s="46"/>
      <c r="QDW106" s="46"/>
      <c r="QDX106" s="46"/>
      <c r="QDY106" s="46"/>
      <c r="QDZ106" s="46"/>
      <c r="QEA106" s="46"/>
      <c r="QEB106" s="47">
        <v>0</v>
      </c>
      <c r="QEC106" s="46" t="s">
        <v>45</v>
      </c>
      <c r="QED106" s="46"/>
      <c r="QEE106" s="46"/>
      <c r="QEF106" s="46"/>
      <c r="QEG106" s="46"/>
      <c r="QEH106" s="46"/>
      <c r="QEI106" s="46"/>
      <c r="QEJ106" s="47">
        <v>0</v>
      </c>
      <c r="QEK106" s="46" t="s">
        <v>45</v>
      </c>
      <c r="QEL106" s="46"/>
      <c r="QEM106" s="46"/>
      <c r="QEN106" s="46"/>
      <c r="QEO106" s="46"/>
      <c r="QEP106" s="46"/>
      <c r="QEQ106" s="46"/>
      <c r="QER106" s="47">
        <v>0</v>
      </c>
      <c r="QES106" s="46" t="s">
        <v>45</v>
      </c>
      <c r="QET106" s="46"/>
      <c r="QEU106" s="46"/>
      <c r="QEV106" s="46"/>
      <c r="QEW106" s="46"/>
      <c r="QEX106" s="46"/>
      <c r="QEY106" s="46"/>
      <c r="QEZ106" s="47">
        <v>0</v>
      </c>
      <c r="QFA106" s="46" t="s">
        <v>45</v>
      </c>
      <c r="QFB106" s="46"/>
      <c r="QFC106" s="46"/>
      <c r="QFD106" s="46"/>
      <c r="QFE106" s="46"/>
      <c r="QFF106" s="46"/>
      <c r="QFG106" s="46"/>
      <c r="QFH106" s="47">
        <v>0</v>
      </c>
      <c r="QFI106" s="46" t="s">
        <v>45</v>
      </c>
      <c r="QFJ106" s="46"/>
      <c r="QFK106" s="46"/>
      <c r="QFL106" s="46"/>
      <c r="QFM106" s="46"/>
      <c r="QFN106" s="46"/>
      <c r="QFO106" s="46"/>
      <c r="QFP106" s="47">
        <v>0</v>
      </c>
      <c r="QFQ106" s="46" t="s">
        <v>45</v>
      </c>
      <c r="QFR106" s="46"/>
      <c r="QFS106" s="46"/>
      <c r="QFT106" s="46"/>
      <c r="QFU106" s="46"/>
      <c r="QFV106" s="46"/>
      <c r="QFW106" s="46"/>
      <c r="QFX106" s="47">
        <v>0</v>
      </c>
      <c r="QFY106" s="46" t="s">
        <v>45</v>
      </c>
      <c r="QFZ106" s="46"/>
      <c r="QGA106" s="46"/>
      <c r="QGB106" s="46"/>
      <c r="QGC106" s="46"/>
      <c r="QGD106" s="46"/>
      <c r="QGE106" s="46"/>
      <c r="QGF106" s="47">
        <v>0</v>
      </c>
      <c r="QGG106" s="46" t="s">
        <v>45</v>
      </c>
      <c r="QGH106" s="46"/>
      <c r="QGI106" s="46"/>
      <c r="QGJ106" s="46"/>
      <c r="QGK106" s="46"/>
      <c r="QGL106" s="46"/>
      <c r="QGM106" s="46"/>
      <c r="QGN106" s="47">
        <v>0</v>
      </c>
      <c r="QGO106" s="46" t="s">
        <v>45</v>
      </c>
      <c r="QGP106" s="46"/>
      <c r="QGQ106" s="46"/>
      <c r="QGR106" s="46"/>
      <c r="QGS106" s="46"/>
      <c r="QGT106" s="46"/>
      <c r="QGU106" s="46"/>
      <c r="QGV106" s="47">
        <v>0</v>
      </c>
      <c r="QGW106" s="46" t="s">
        <v>45</v>
      </c>
      <c r="QGX106" s="46"/>
      <c r="QGY106" s="46"/>
      <c r="QGZ106" s="46"/>
      <c r="QHA106" s="46"/>
      <c r="QHB106" s="46"/>
      <c r="QHC106" s="46"/>
      <c r="QHD106" s="47">
        <v>0</v>
      </c>
      <c r="QHE106" s="46" t="s">
        <v>45</v>
      </c>
      <c r="QHF106" s="46"/>
      <c r="QHG106" s="46"/>
      <c r="QHH106" s="46"/>
      <c r="QHI106" s="46"/>
      <c r="QHJ106" s="46"/>
      <c r="QHK106" s="46"/>
      <c r="QHL106" s="47">
        <v>0</v>
      </c>
      <c r="QHM106" s="46" t="s">
        <v>45</v>
      </c>
      <c r="QHN106" s="46"/>
      <c r="QHO106" s="46"/>
      <c r="QHP106" s="46"/>
      <c r="QHQ106" s="46"/>
      <c r="QHR106" s="46"/>
      <c r="QHS106" s="46"/>
      <c r="QHT106" s="47">
        <v>0</v>
      </c>
      <c r="QHU106" s="46" t="s">
        <v>45</v>
      </c>
      <c r="QHV106" s="46"/>
      <c r="QHW106" s="46"/>
      <c r="QHX106" s="46"/>
      <c r="QHY106" s="46"/>
      <c r="QHZ106" s="46"/>
      <c r="QIA106" s="46"/>
      <c r="QIB106" s="47">
        <v>0</v>
      </c>
      <c r="QIC106" s="46" t="s">
        <v>45</v>
      </c>
      <c r="QID106" s="46"/>
      <c r="QIE106" s="46"/>
      <c r="QIF106" s="46"/>
      <c r="QIG106" s="46"/>
      <c r="QIH106" s="46"/>
      <c r="QII106" s="46"/>
      <c r="QIJ106" s="47">
        <v>0</v>
      </c>
      <c r="QIK106" s="46" t="s">
        <v>45</v>
      </c>
      <c r="QIL106" s="46"/>
      <c r="QIM106" s="46"/>
      <c r="QIN106" s="46"/>
      <c r="QIO106" s="46"/>
      <c r="QIP106" s="46"/>
      <c r="QIQ106" s="46"/>
      <c r="QIR106" s="47">
        <v>0</v>
      </c>
      <c r="QIS106" s="46" t="s">
        <v>45</v>
      </c>
      <c r="QIT106" s="46"/>
      <c r="QIU106" s="46"/>
      <c r="QIV106" s="46"/>
      <c r="QIW106" s="46"/>
      <c r="QIX106" s="46"/>
      <c r="QIY106" s="46"/>
      <c r="QIZ106" s="47">
        <v>0</v>
      </c>
      <c r="QJA106" s="46" t="s">
        <v>45</v>
      </c>
      <c r="QJB106" s="46"/>
      <c r="QJC106" s="46"/>
      <c r="QJD106" s="46"/>
      <c r="QJE106" s="46"/>
      <c r="QJF106" s="46"/>
      <c r="QJG106" s="46"/>
      <c r="QJH106" s="47">
        <v>0</v>
      </c>
      <c r="QJI106" s="46" t="s">
        <v>45</v>
      </c>
      <c r="QJJ106" s="46"/>
      <c r="QJK106" s="46"/>
      <c r="QJL106" s="46"/>
      <c r="QJM106" s="46"/>
      <c r="QJN106" s="46"/>
      <c r="QJO106" s="46"/>
      <c r="QJP106" s="47">
        <v>0</v>
      </c>
      <c r="QJQ106" s="46" t="s">
        <v>45</v>
      </c>
      <c r="QJR106" s="46"/>
      <c r="QJS106" s="46"/>
      <c r="QJT106" s="46"/>
      <c r="QJU106" s="46"/>
      <c r="QJV106" s="46"/>
      <c r="QJW106" s="46"/>
      <c r="QJX106" s="47">
        <v>0</v>
      </c>
      <c r="QJY106" s="46" t="s">
        <v>45</v>
      </c>
      <c r="QJZ106" s="46"/>
      <c r="QKA106" s="46"/>
      <c r="QKB106" s="46"/>
      <c r="QKC106" s="46"/>
      <c r="QKD106" s="46"/>
      <c r="QKE106" s="46"/>
      <c r="QKF106" s="47">
        <v>0</v>
      </c>
      <c r="QKG106" s="46" t="s">
        <v>45</v>
      </c>
      <c r="QKH106" s="46"/>
      <c r="QKI106" s="46"/>
      <c r="QKJ106" s="46"/>
      <c r="QKK106" s="46"/>
      <c r="QKL106" s="46"/>
      <c r="QKM106" s="46"/>
      <c r="QKN106" s="47">
        <v>0</v>
      </c>
      <c r="QKO106" s="46" t="s">
        <v>45</v>
      </c>
      <c r="QKP106" s="46"/>
      <c r="QKQ106" s="46"/>
      <c r="QKR106" s="46"/>
      <c r="QKS106" s="46"/>
      <c r="QKT106" s="46"/>
      <c r="QKU106" s="46"/>
      <c r="QKV106" s="47">
        <v>0</v>
      </c>
      <c r="QKW106" s="46" t="s">
        <v>45</v>
      </c>
      <c r="QKX106" s="46"/>
      <c r="QKY106" s="46"/>
      <c r="QKZ106" s="46"/>
      <c r="QLA106" s="46"/>
      <c r="QLB106" s="46"/>
      <c r="QLC106" s="46"/>
      <c r="QLD106" s="47">
        <v>0</v>
      </c>
      <c r="QLE106" s="46" t="s">
        <v>45</v>
      </c>
      <c r="QLF106" s="46"/>
      <c r="QLG106" s="46"/>
      <c r="QLH106" s="46"/>
      <c r="QLI106" s="46"/>
      <c r="QLJ106" s="46"/>
      <c r="QLK106" s="46"/>
      <c r="QLL106" s="47">
        <v>0</v>
      </c>
      <c r="QLM106" s="46" t="s">
        <v>45</v>
      </c>
      <c r="QLN106" s="46"/>
      <c r="QLO106" s="46"/>
      <c r="QLP106" s="46"/>
      <c r="QLQ106" s="46"/>
      <c r="QLR106" s="46"/>
      <c r="QLS106" s="46"/>
      <c r="QLT106" s="47">
        <v>0</v>
      </c>
      <c r="QLU106" s="46" t="s">
        <v>45</v>
      </c>
      <c r="QLV106" s="46"/>
      <c r="QLW106" s="46"/>
      <c r="QLX106" s="46"/>
      <c r="QLY106" s="46"/>
      <c r="QLZ106" s="46"/>
      <c r="QMA106" s="46"/>
      <c r="QMB106" s="47">
        <v>0</v>
      </c>
      <c r="QMC106" s="46" t="s">
        <v>45</v>
      </c>
      <c r="QMD106" s="46"/>
      <c r="QME106" s="46"/>
      <c r="QMF106" s="46"/>
      <c r="QMG106" s="46"/>
      <c r="QMH106" s="46"/>
      <c r="QMI106" s="46"/>
      <c r="QMJ106" s="47">
        <v>0</v>
      </c>
      <c r="QMK106" s="46" t="s">
        <v>45</v>
      </c>
      <c r="QML106" s="46"/>
      <c r="QMM106" s="46"/>
      <c r="QMN106" s="46"/>
      <c r="QMO106" s="46"/>
      <c r="QMP106" s="46"/>
      <c r="QMQ106" s="46"/>
      <c r="QMR106" s="47">
        <v>0</v>
      </c>
      <c r="QMS106" s="46" t="s">
        <v>45</v>
      </c>
      <c r="QMT106" s="46"/>
      <c r="QMU106" s="46"/>
      <c r="QMV106" s="46"/>
      <c r="QMW106" s="46"/>
      <c r="QMX106" s="46"/>
      <c r="QMY106" s="46"/>
      <c r="QMZ106" s="47">
        <v>0</v>
      </c>
      <c r="QNA106" s="46" t="s">
        <v>45</v>
      </c>
      <c r="QNB106" s="46"/>
      <c r="QNC106" s="46"/>
      <c r="QND106" s="46"/>
      <c r="QNE106" s="46"/>
      <c r="QNF106" s="46"/>
      <c r="QNG106" s="46"/>
      <c r="QNH106" s="47">
        <v>0</v>
      </c>
      <c r="QNI106" s="46" t="s">
        <v>45</v>
      </c>
      <c r="QNJ106" s="46"/>
      <c r="QNK106" s="46"/>
      <c r="QNL106" s="46"/>
      <c r="QNM106" s="46"/>
      <c r="QNN106" s="46"/>
      <c r="QNO106" s="46"/>
      <c r="QNP106" s="47">
        <v>0</v>
      </c>
      <c r="QNQ106" s="46" t="s">
        <v>45</v>
      </c>
      <c r="QNR106" s="46"/>
      <c r="QNS106" s="46"/>
      <c r="QNT106" s="46"/>
      <c r="QNU106" s="46"/>
      <c r="QNV106" s="46"/>
      <c r="QNW106" s="46"/>
      <c r="QNX106" s="47">
        <v>0</v>
      </c>
      <c r="QNY106" s="46" t="s">
        <v>45</v>
      </c>
      <c r="QNZ106" s="46"/>
      <c r="QOA106" s="46"/>
      <c r="QOB106" s="46"/>
      <c r="QOC106" s="46"/>
      <c r="QOD106" s="46"/>
      <c r="QOE106" s="46"/>
      <c r="QOF106" s="47">
        <v>0</v>
      </c>
      <c r="QOG106" s="46" t="s">
        <v>45</v>
      </c>
      <c r="QOH106" s="46"/>
      <c r="QOI106" s="46"/>
      <c r="QOJ106" s="46"/>
      <c r="QOK106" s="46"/>
      <c r="QOL106" s="46"/>
      <c r="QOM106" s="46"/>
      <c r="QON106" s="47">
        <v>0</v>
      </c>
      <c r="QOO106" s="46" t="s">
        <v>45</v>
      </c>
      <c r="QOP106" s="46"/>
      <c r="QOQ106" s="46"/>
      <c r="QOR106" s="46"/>
      <c r="QOS106" s="46"/>
      <c r="QOT106" s="46"/>
      <c r="QOU106" s="46"/>
      <c r="QOV106" s="47">
        <v>0</v>
      </c>
      <c r="QOW106" s="46" t="s">
        <v>45</v>
      </c>
      <c r="QOX106" s="46"/>
      <c r="QOY106" s="46"/>
      <c r="QOZ106" s="46"/>
      <c r="QPA106" s="46"/>
      <c r="QPB106" s="46"/>
      <c r="QPC106" s="46"/>
      <c r="QPD106" s="47">
        <v>0</v>
      </c>
      <c r="QPE106" s="46" t="s">
        <v>45</v>
      </c>
      <c r="QPF106" s="46"/>
      <c r="QPG106" s="46"/>
      <c r="QPH106" s="46"/>
      <c r="QPI106" s="46"/>
      <c r="QPJ106" s="46"/>
      <c r="QPK106" s="46"/>
      <c r="QPL106" s="47">
        <v>0</v>
      </c>
      <c r="QPM106" s="46" t="s">
        <v>45</v>
      </c>
      <c r="QPN106" s="46"/>
      <c r="QPO106" s="46"/>
      <c r="QPP106" s="46"/>
      <c r="QPQ106" s="46"/>
      <c r="QPR106" s="46"/>
      <c r="QPS106" s="46"/>
      <c r="QPT106" s="47">
        <v>0</v>
      </c>
      <c r="QPU106" s="46" t="s">
        <v>45</v>
      </c>
      <c r="QPV106" s="46"/>
      <c r="QPW106" s="46"/>
      <c r="QPX106" s="46"/>
      <c r="QPY106" s="46"/>
      <c r="QPZ106" s="46"/>
      <c r="QQA106" s="46"/>
      <c r="QQB106" s="47">
        <v>0</v>
      </c>
      <c r="QQC106" s="46" t="s">
        <v>45</v>
      </c>
      <c r="QQD106" s="46"/>
      <c r="QQE106" s="46"/>
      <c r="QQF106" s="46"/>
      <c r="QQG106" s="46"/>
      <c r="QQH106" s="46"/>
      <c r="QQI106" s="46"/>
      <c r="QQJ106" s="47">
        <v>0</v>
      </c>
      <c r="QQK106" s="46" t="s">
        <v>45</v>
      </c>
      <c r="QQL106" s="46"/>
      <c r="QQM106" s="46"/>
      <c r="QQN106" s="46"/>
      <c r="QQO106" s="46"/>
      <c r="QQP106" s="46"/>
      <c r="QQQ106" s="46"/>
      <c r="QQR106" s="47">
        <v>0</v>
      </c>
      <c r="QQS106" s="46" t="s">
        <v>45</v>
      </c>
      <c r="QQT106" s="46"/>
      <c r="QQU106" s="46"/>
      <c r="QQV106" s="46"/>
      <c r="QQW106" s="46"/>
      <c r="QQX106" s="46"/>
      <c r="QQY106" s="46"/>
      <c r="QQZ106" s="47">
        <v>0</v>
      </c>
      <c r="QRA106" s="46" t="s">
        <v>45</v>
      </c>
      <c r="QRB106" s="46"/>
      <c r="QRC106" s="46"/>
      <c r="QRD106" s="46"/>
      <c r="QRE106" s="46"/>
      <c r="QRF106" s="46"/>
      <c r="QRG106" s="46"/>
      <c r="QRH106" s="47">
        <v>0</v>
      </c>
      <c r="QRI106" s="46" t="s">
        <v>45</v>
      </c>
      <c r="QRJ106" s="46"/>
      <c r="QRK106" s="46"/>
      <c r="QRL106" s="46"/>
      <c r="QRM106" s="46"/>
      <c r="QRN106" s="46"/>
      <c r="QRO106" s="46"/>
      <c r="QRP106" s="47">
        <v>0</v>
      </c>
      <c r="QRQ106" s="46" t="s">
        <v>45</v>
      </c>
      <c r="QRR106" s="46"/>
      <c r="QRS106" s="46"/>
      <c r="QRT106" s="46"/>
      <c r="QRU106" s="46"/>
      <c r="QRV106" s="46"/>
      <c r="QRW106" s="46"/>
      <c r="QRX106" s="47">
        <v>0</v>
      </c>
      <c r="QRY106" s="46" t="s">
        <v>45</v>
      </c>
      <c r="QRZ106" s="46"/>
      <c r="QSA106" s="46"/>
      <c r="QSB106" s="46"/>
      <c r="QSC106" s="46"/>
      <c r="QSD106" s="46"/>
      <c r="QSE106" s="46"/>
      <c r="QSF106" s="47">
        <v>0</v>
      </c>
      <c r="QSG106" s="46" t="s">
        <v>45</v>
      </c>
      <c r="QSH106" s="46"/>
      <c r="QSI106" s="46"/>
      <c r="QSJ106" s="46"/>
      <c r="QSK106" s="46"/>
      <c r="QSL106" s="46"/>
      <c r="QSM106" s="46"/>
      <c r="QSN106" s="47">
        <v>0</v>
      </c>
      <c r="QSO106" s="46" t="s">
        <v>45</v>
      </c>
      <c r="QSP106" s="46"/>
      <c r="QSQ106" s="46"/>
      <c r="QSR106" s="46"/>
      <c r="QSS106" s="46"/>
      <c r="QST106" s="46"/>
      <c r="QSU106" s="46"/>
      <c r="QSV106" s="47">
        <v>0</v>
      </c>
      <c r="QSW106" s="46" t="s">
        <v>45</v>
      </c>
      <c r="QSX106" s="46"/>
      <c r="QSY106" s="46"/>
      <c r="QSZ106" s="46"/>
      <c r="QTA106" s="46"/>
      <c r="QTB106" s="46"/>
      <c r="QTC106" s="46"/>
      <c r="QTD106" s="47">
        <v>0</v>
      </c>
      <c r="QTE106" s="46" t="s">
        <v>45</v>
      </c>
      <c r="QTF106" s="46"/>
      <c r="QTG106" s="46"/>
      <c r="QTH106" s="46"/>
      <c r="QTI106" s="46"/>
      <c r="QTJ106" s="46"/>
      <c r="QTK106" s="46"/>
      <c r="QTL106" s="47">
        <v>0</v>
      </c>
      <c r="QTM106" s="46" t="s">
        <v>45</v>
      </c>
      <c r="QTN106" s="46"/>
      <c r="QTO106" s="46"/>
      <c r="QTP106" s="46"/>
      <c r="QTQ106" s="46"/>
      <c r="QTR106" s="46"/>
      <c r="QTS106" s="46"/>
      <c r="QTT106" s="47">
        <v>0</v>
      </c>
      <c r="QTU106" s="46" t="s">
        <v>45</v>
      </c>
      <c r="QTV106" s="46"/>
      <c r="QTW106" s="46"/>
      <c r="QTX106" s="46"/>
      <c r="QTY106" s="46"/>
      <c r="QTZ106" s="46"/>
      <c r="QUA106" s="46"/>
      <c r="QUB106" s="47">
        <v>0</v>
      </c>
      <c r="QUC106" s="46" t="s">
        <v>45</v>
      </c>
      <c r="QUD106" s="46"/>
      <c r="QUE106" s="46"/>
      <c r="QUF106" s="46"/>
      <c r="QUG106" s="46"/>
      <c r="QUH106" s="46"/>
      <c r="QUI106" s="46"/>
      <c r="QUJ106" s="47">
        <v>0</v>
      </c>
      <c r="QUK106" s="46" t="s">
        <v>45</v>
      </c>
      <c r="QUL106" s="46"/>
      <c r="QUM106" s="46"/>
      <c r="QUN106" s="46"/>
      <c r="QUO106" s="46"/>
      <c r="QUP106" s="46"/>
      <c r="QUQ106" s="46"/>
      <c r="QUR106" s="47">
        <v>0</v>
      </c>
      <c r="QUS106" s="46" t="s">
        <v>45</v>
      </c>
      <c r="QUT106" s="46"/>
      <c r="QUU106" s="46"/>
      <c r="QUV106" s="46"/>
      <c r="QUW106" s="46"/>
      <c r="QUX106" s="46"/>
      <c r="QUY106" s="46"/>
      <c r="QUZ106" s="47">
        <v>0</v>
      </c>
      <c r="QVA106" s="46" t="s">
        <v>45</v>
      </c>
      <c r="QVB106" s="46"/>
      <c r="QVC106" s="46"/>
      <c r="QVD106" s="46"/>
      <c r="QVE106" s="46"/>
      <c r="QVF106" s="46"/>
      <c r="QVG106" s="46"/>
      <c r="QVH106" s="47">
        <v>0</v>
      </c>
      <c r="QVI106" s="46" t="s">
        <v>45</v>
      </c>
      <c r="QVJ106" s="46"/>
      <c r="QVK106" s="46"/>
      <c r="QVL106" s="46"/>
      <c r="QVM106" s="46"/>
      <c r="QVN106" s="46"/>
      <c r="QVO106" s="46"/>
      <c r="QVP106" s="47">
        <v>0</v>
      </c>
      <c r="QVQ106" s="46" t="s">
        <v>45</v>
      </c>
      <c r="QVR106" s="46"/>
      <c r="QVS106" s="46"/>
      <c r="QVT106" s="46"/>
      <c r="QVU106" s="46"/>
      <c r="QVV106" s="46"/>
      <c r="QVW106" s="46"/>
      <c r="QVX106" s="47">
        <v>0</v>
      </c>
      <c r="QVY106" s="46" t="s">
        <v>45</v>
      </c>
      <c r="QVZ106" s="46"/>
      <c r="QWA106" s="46"/>
      <c r="QWB106" s="46"/>
      <c r="QWC106" s="46"/>
      <c r="QWD106" s="46"/>
      <c r="QWE106" s="46"/>
      <c r="QWF106" s="47">
        <v>0</v>
      </c>
      <c r="QWG106" s="46" t="s">
        <v>45</v>
      </c>
      <c r="QWH106" s="46"/>
      <c r="QWI106" s="46"/>
      <c r="QWJ106" s="46"/>
      <c r="QWK106" s="46"/>
      <c r="QWL106" s="46"/>
      <c r="QWM106" s="46"/>
      <c r="QWN106" s="47">
        <v>0</v>
      </c>
      <c r="QWO106" s="46" t="s">
        <v>45</v>
      </c>
      <c r="QWP106" s="46"/>
      <c r="QWQ106" s="46"/>
      <c r="QWR106" s="46"/>
      <c r="QWS106" s="46"/>
      <c r="QWT106" s="46"/>
      <c r="QWU106" s="46"/>
      <c r="QWV106" s="47">
        <v>0</v>
      </c>
      <c r="QWW106" s="46" t="s">
        <v>45</v>
      </c>
      <c r="QWX106" s="46"/>
      <c r="QWY106" s="46"/>
      <c r="QWZ106" s="46"/>
      <c r="QXA106" s="46"/>
      <c r="QXB106" s="46"/>
      <c r="QXC106" s="46"/>
      <c r="QXD106" s="47">
        <v>0</v>
      </c>
      <c r="QXE106" s="46" t="s">
        <v>45</v>
      </c>
      <c r="QXF106" s="46"/>
      <c r="QXG106" s="46"/>
      <c r="QXH106" s="46"/>
      <c r="QXI106" s="46"/>
      <c r="QXJ106" s="46"/>
      <c r="QXK106" s="46"/>
      <c r="QXL106" s="47">
        <v>0</v>
      </c>
      <c r="QXM106" s="46" t="s">
        <v>45</v>
      </c>
      <c r="QXN106" s="46"/>
      <c r="QXO106" s="46"/>
      <c r="QXP106" s="46"/>
      <c r="QXQ106" s="46"/>
      <c r="QXR106" s="46"/>
      <c r="QXS106" s="46"/>
      <c r="QXT106" s="47">
        <v>0</v>
      </c>
      <c r="QXU106" s="46" t="s">
        <v>45</v>
      </c>
      <c r="QXV106" s="46"/>
      <c r="QXW106" s="46"/>
      <c r="QXX106" s="46"/>
      <c r="QXY106" s="46"/>
      <c r="QXZ106" s="46"/>
      <c r="QYA106" s="46"/>
      <c r="QYB106" s="47">
        <v>0</v>
      </c>
      <c r="QYC106" s="46" t="s">
        <v>45</v>
      </c>
      <c r="QYD106" s="46"/>
      <c r="QYE106" s="46"/>
      <c r="QYF106" s="46"/>
      <c r="QYG106" s="46"/>
      <c r="QYH106" s="46"/>
      <c r="QYI106" s="46"/>
      <c r="QYJ106" s="47">
        <v>0</v>
      </c>
      <c r="QYK106" s="46" t="s">
        <v>45</v>
      </c>
      <c r="QYL106" s="46"/>
      <c r="QYM106" s="46"/>
      <c r="QYN106" s="46"/>
      <c r="QYO106" s="46"/>
      <c r="QYP106" s="46"/>
      <c r="QYQ106" s="46"/>
      <c r="QYR106" s="47">
        <v>0</v>
      </c>
      <c r="QYS106" s="46" t="s">
        <v>45</v>
      </c>
      <c r="QYT106" s="46"/>
      <c r="QYU106" s="46"/>
      <c r="QYV106" s="46"/>
      <c r="QYW106" s="46"/>
      <c r="QYX106" s="46"/>
      <c r="QYY106" s="46"/>
      <c r="QYZ106" s="47">
        <v>0</v>
      </c>
      <c r="QZA106" s="46" t="s">
        <v>45</v>
      </c>
      <c r="QZB106" s="46"/>
      <c r="QZC106" s="46"/>
      <c r="QZD106" s="46"/>
      <c r="QZE106" s="46"/>
      <c r="QZF106" s="46"/>
      <c r="QZG106" s="46"/>
      <c r="QZH106" s="47">
        <v>0</v>
      </c>
      <c r="QZI106" s="46" t="s">
        <v>45</v>
      </c>
      <c r="QZJ106" s="46"/>
      <c r="QZK106" s="46"/>
      <c r="QZL106" s="46"/>
      <c r="QZM106" s="46"/>
      <c r="QZN106" s="46"/>
      <c r="QZO106" s="46"/>
      <c r="QZP106" s="47">
        <v>0</v>
      </c>
      <c r="QZQ106" s="46" t="s">
        <v>45</v>
      </c>
      <c r="QZR106" s="46"/>
      <c r="QZS106" s="46"/>
      <c r="QZT106" s="46"/>
      <c r="QZU106" s="46"/>
      <c r="QZV106" s="46"/>
      <c r="QZW106" s="46"/>
      <c r="QZX106" s="47">
        <v>0</v>
      </c>
      <c r="QZY106" s="46" t="s">
        <v>45</v>
      </c>
      <c r="QZZ106" s="46"/>
      <c r="RAA106" s="46"/>
      <c r="RAB106" s="46"/>
      <c r="RAC106" s="46"/>
      <c r="RAD106" s="46"/>
      <c r="RAE106" s="46"/>
      <c r="RAF106" s="47">
        <v>0</v>
      </c>
      <c r="RAG106" s="46" t="s">
        <v>45</v>
      </c>
      <c r="RAH106" s="46"/>
      <c r="RAI106" s="46"/>
      <c r="RAJ106" s="46"/>
      <c r="RAK106" s="46"/>
      <c r="RAL106" s="46"/>
      <c r="RAM106" s="46"/>
      <c r="RAN106" s="47">
        <v>0</v>
      </c>
      <c r="RAO106" s="46" t="s">
        <v>45</v>
      </c>
      <c r="RAP106" s="46"/>
      <c r="RAQ106" s="46"/>
      <c r="RAR106" s="46"/>
      <c r="RAS106" s="46"/>
      <c r="RAT106" s="46"/>
      <c r="RAU106" s="46"/>
      <c r="RAV106" s="47">
        <v>0</v>
      </c>
      <c r="RAW106" s="46" t="s">
        <v>45</v>
      </c>
      <c r="RAX106" s="46"/>
      <c r="RAY106" s="46"/>
      <c r="RAZ106" s="46"/>
      <c r="RBA106" s="46"/>
      <c r="RBB106" s="46"/>
      <c r="RBC106" s="46"/>
      <c r="RBD106" s="47">
        <v>0</v>
      </c>
      <c r="RBE106" s="46" t="s">
        <v>45</v>
      </c>
      <c r="RBF106" s="46"/>
      <c r="RBG106" s="46"/>
      <c r="RBH106" s="46"/>
      <c r="RBI106" s="46"/>
      <c r="RBJ106" s="46"/>
      <c r="RBK106" s="46"/>
      <c r="RBL106" s="47">
        <v>0</v>
      </c>
      <c r="RBM106" s="46" t="s">
        <v>45</v>
      </c>
      <c r="RBN106" s="46"/>
      <c r="RBO106" s="46"/>
      <c r="RBP106" s="46"/>
      <c r="RBQ106" s="46"/>
      <c r="RBR106" s="46"/>
      <c r="RBS106" s="46"/>
      <c r="RBT106" s="47">
        <v>0</v>
      </c>
      <c r="RBU106" s="46" t="s">
        <v>45</v>
      </c>
      <c r="RBV106" s="46"/>
      <c r="RBW106" s="46"/>
      <c r="RBX106" s="46"/>
      <c r="RBY106" s="46"/>
      <c r="RBZ106" s="46"/>
      <c r="RCA106" s="46"/>
      <c r="RCB106" s="47">
        <v>0</v>
      </c>
      <c r="RCC106" s="46" t="s">
        <v>45</v>
      </c>
      <c r="RCD106" s="46"/>
      <c r="RCE106" s="46"/>
      <c r="RCF106" s="46"/>
      <c r="RCG106" s="46"/>
      <c r="RCH106" s="46"/>
      <c r="RCI106" s="46"/>
      <c r="RCJ106" s="47">
        <v>0</v>
      </c>
      <c r="RCK106" s="46" t="s">
        <v>45</v>
      </c>
      <c r="RCL106" s="46"/>
      <c r="RCM106" s="46"/>
      <c r="RCN106" s="46"/>
      <c r="RCO106" s="46"/>
      <c r="RCP106" s="46"/>
      <c r="RCQ106" s="46"/>
      <c r="RCR106" s="47">
        <v>0</v>
      </c>
      <c r="RCS106" s="46" t="s">
        <v>45</v>
      </c>
      <c r="RCT106" s="46"/>
      <c r="RCU106" s="46"/>
      <c r="RCV106" s="46"/>
      <c r="RCW106" s="46"/>
      <c r="RCX106" s="46"/>
      <c r="RCY106" s="46"/>
      <c r="RCZ106" s="47">
        <v>0</v>
      </c>
      <c r="RDA106" s="46" t="s">
        <v>45</v>
      </c>
      <c r="RDB106" s="46"/>
      <c r="RDC106" s="46"/>
      <c r="RDD106" s="46"/>
      <c r="RDE106" s="46"/>
      <c r="RDF106" s="46"/>
      <c r="RDG106" s="46"/>
      <c r="RDH106" s="47">
        <v>0</v>
      </c>
      <c r="RDI106" s="46" t="s">
        <v>45</v>
      </c>
      <c r="RDJ106" s="46"/>
      <c r="RDK106" s="46"/>
      <c r="RDL106" s="46"/>
      <c r="RDM106" s="46"/>
      <c r="RDN106" s="46"/>
      <c r="RDO106" s="46"/>
      <c r="RDP106" s="47">
        <v>0</v>
      </c>
      <c r="RDQ106" s="46" t="s">
        <v>45</v>
      </c>
      <c r="RDR106" s="46"/>
      <c r="RDS106" s="46"/>
      <c r="RDT106" s="46"/>
      <c r="RDU106" s="46"/>
      <c r="RDV106" s="46"/>
      <c r="RDW106" s="46"/>
      <c r="RDX106" s="47">
        <v>0</v>
      </c>
      <c r="RDY106" s="46" t="s">
        <v>45</v>
      </c>
      <c r="RDZ106" s="46"/>
      <c r="REA106" s="46"/>
      <c r="REB106" s="46"/>
      <c r="REC106" s="46"/>
      <c r="RED106" s="46"/>
      <c r="REE106" s="46"/>
      <c r="REF106" s="47">
        <v>0</v>
      </c>
      <c r="REG106" s="46" t="s">
        <v>45</v>
      </c>
      <c r="REH106" s="46"/>
      <c r="REI106" s="46"/>
      <c r="REJ106" s="46"/>
      <c r="REK106" s="46"/>
      <c r="REL106" s="46"/>
      <c r="REM106" s="46"/>
      <c r="REN106" s="47">
        <v>0</v>
      </c>
      <c r="REO106" s="46" t="s">
        <v>45</v>
      </c>
      <c r="REP106" s="46"/>
      <c r="REQ106" s="46"/>
      <c r="RER106" s="46"/>
      <c r="RES106" s="46"/>
      <c r="RET106" s="46"/>
      <c r="REU106" s="46"/>
      <c r="REV106" s="47">
        <v>0</v>
      </c>
      <c r="REW106" s="46" t="s">
        <v>45</v>
      </c>
      <c r="REX106" s="46"/>
      <c r="REY106" s="46"/>
      <c r="REZ106" s="46"/>
      <c r="RFA106" s="46"/>
      <c r="RFB106" s="46"/>
      <c r="RFC106" s="46"/>
      <c r="RFD106" s="47">
        <v>0</v>
      </c>
      <c r="RFE106" s="46" t="s">
        <v>45</v>
      </c>
      <c r="RFF106" s="46"/>
      <c r="RFG106" s="46"/>
      <c r="RFH106" s="46"/>
      <c r="RFI106" s="46"/>
      <c r="RFJ106" s="46"/>
      <c r="RFK106" s="46"/>
      <c r="RFL106" s="47">
        <v>0</v>
      </c>
      <c r="RFM106" s="46" t="s">
        <v>45</v>
      </c>
      <c r="RFN106" s="46"/>
      <c r="RFO106" s="46"/>
      <c r="RFP106" s="46"/>
      <c r="RFQ106" s="46"/>
      <c r="RFR106" s="46"/>
      <c r="RFS106" s="46"/>
      <c r="RFT106" s="47">
        <v>0</v>
      </c>
      <c r="RFU106" s="46" t="s">
        <v>45</v>
      </c>
      <c r="RFV106" s="46"/>
      <c r="RFW106" s="46"/>
      <c r="RFX106" s="46"/>
      <c r="RFY106" s="46"/>
      <c r="RFZ106" s="46"/>
      <c r="RGA106" s="46"/>
      <c r="RGB106" s="47">
        <v>0</v>
      </c>
      <c r="RGC106" s="46" t="s">
        <v>45</v>
      </c>
      <c r="RGD106" s="46"/>
      <c r="RGE106" s="46"/>
      <c r="RGF106" s="46"/>
      <c r="RGG106" s="46"/>
      <c r="RGH106" s="46"/>
      <c r="RGI106" s="46"/>
      <c r="RGJ106" s="47">
        <v>0</v>
      </c>
      <c r="RGK106" s="46" t="s">
        <v>45</v>
      </c>
      <c r="RGL106" s="46"/>
      <c r="RGM106" s="46"/>
      <c r="RGN106" s="46"/>
      <c r="RGO106" s="46"/>
      <c r="RGP106" s="46"/>
      <c r="RGQ106" s="46"/>
      <c r="RGR106" s="47">
        <v>0</v>
      </c>
      <c r="RGS106" s="46" t="s">
        <v>45</v>
      </c>
      <c r="RGT106" s="46"/>
      <c r="RGU106" s="46"/>
      <c r="RGV106" s="46"/>
      <c r="RGW106" s="46"/>
      <c r="RGX106" s="46"/>
      <c r="RGY106" s="46"/>
      <c r="RGZ106" s="47">
        <v>0</v>
      </c>
      <c r="RHA106" s="46" t="s">
        <v>45</v>
      </c>
      <c r="RHB106" s="46"/>
      <c r="RHC106" s="46"/>
      <c r="RHD106" s="46"/>
      <c r="RHE106" s="46"/>
      <c r="RHF106" s="46"/>
      <c r="RHG106" s="46"/>
      <c r="RHH106" s="47">
        <v>0</v>
      </c>
      <c r="RHI106" s="46" t="s">
        <v>45</v>
      </c>
      <c r="RHJ106" s="46"/>
      <c r="RHK106" s="46"/>
      <c r="RHL106" s="46"/>
      <c r="RHM106" s="46"/>
      <c r="RHN106" s="46"/>
      <c r="RHO106" s="46"/>
      <c r="RHP106" s="47">
        <v>0</v>
      </c>
      <c r="RHQ106" s="46" t="s">
        <v>45</v>
      </c>
      <c r="RHR106" s="46"/>
      <c r="RHS106" s="46"/>
      <c r="RHT106" s="46"/>
      <c r="RHU106" s="46"/>
      <c r="RHV106" s="46"/>
      <c r="RHW106" s="46"/>
      <c r="RHX106" s="47">
        <v>0</v>
      </c>
      <c r="RHY106" s="46" t="s">
        <v>45</v>
      </c>
      <c r="RHZ106" s="46"/>
      <c r="RIA106" s="46"/>
      <c r="RIB106" s="46"/>
      <c r="RIC106" s="46"/>
      <c r="RID106" s="46"/>
      <c r="RIE106" s="46"/>
      <c r="RIF106" s="47">
        <v>0</v>
      </c>
      <c r="RIG106" s="46" t="s">
        <v>45</v>
      </c>
      <c r="RIH106" s="46"/>
      <c r="RII106" s="46"/>
      <c r="RIJ106" s="46"/>
      <c r="RIK106" s="46"/>
      <c r="RIL106" s="46"/>
      <c r="RIM106" s="46"/>
      <c r="RIN106" s="47">
        <v>0</v>
      </c>
      <c r="RIO106" s="46" t="s">
        <v>45</v>
      </c>
      <c r="RIP106" s="46"/>
      <c r="RIQ106" s="46"/>
      <c r="RIR106" s="46"/>
      <c r="RIS106" s="46"/>
      <c r="RIT106" s="46"/>
      <c r="RIU106" s="46"/>
      <c r="RIV106" s="47">
        <v>0</v>
      </c>
      <c r="RIW106" s="46" t="s">
        <v>45</v>
      </c>
      <c r="RIX106" s="46"/>
      <c r="RIY106" s="46"/>
      <c r="RIZ106" s="46"/>
      <c r="RJA106" s="46"/>
      <c r="RJB106" s="46"/>
      <c r="RJC106" s="46"/>
      <c r="RJD106" s="47">
        <v>0</v>
      </c>
      <c r="RJE106" s="46" t="s">
        <v>45</v>
      </c>
      <c r="RJF106" s="46"/>
      <c r="RJG106" s="46"/>
      <c r="RJH106" s="46"/>
      <c r="RJI106" s="46"/>
      <c r="RJJ106" s="46"/>
      <c r="RJK106" s="46"/>
      <c r="RJL106" s="47">
        <v>0</v>
      </c>
      <c r="RJM106" s="46" t="s">
        <v>45</v>
      </c>
      <c r="RJN106" s="46"/>
      <c r="RJO106" s="46"/>
      <c r="RJP106" s="46"/>
      <c r="RJQ106" s="46"/>
      <c r="RJR106" s="46"/>
      <c r="RJS106" s="46"/>
      <c r="RJT106" s="47">
        <v>0</v>
      </c>
      <c r="RJU106" s="46" t="s">
        <v>45</v>
      </c>
      <c r="RJV106" s="46"/>
      <c r="RJW106" s="46"/>
      <c r="RJX106" s="46"/>
      <c r="RJY106" s="46"/>
      <c r="RJZ106" s="46"/>
      <c r="RKA106" s="46"/>
      <c r="RKB106" s="47">
        <v>0</v>
      </c>
      <c r="RKC106" s="46" t="s">
        <v>45</v>
      </c>
      <c r="RKD106" s="46"/>
      <c r="RKE106" s="46"/>
      <c r="RKF106" s="46"/>
      <c r="RKG106" s="46"/>
      <c r="RKH106" s="46"/>
      <c r="RKI106" s="46"/>
      <c r="RKJ106" s="47">
        <v>0</v>
      </c>
      <c r="RKK106" s="46" t="s">
        <v>45</v>
      </c>
      <c r="RKL106" s="46"/>
      <c r="RKM106" s="46"/>
      <c r="RKN106" s="46"/>
      <c r="RKO106" s="46"/>
      <c r="RKP106" s="46"/>
      <c r="RKQ106" s="46"/>
      <c r="RKR106" s="47">
        <v>0</v>
      </c>
      <c r="RKS106" s="46" t="s">
        <v>45</v>
      </c>
      <c r="RKT106" s="46"/>
      <c r="RKU106" s="46"/>
      <c r="RKV106" s="46"/>
      <c r="RKW106" s="46"/>
      <c r="RKX106" s="46"/>
      <c r="RKY106" s="46"/>
      <c r="RKZ106" s="47">
        <v>0</v>
      </c>
      <c r="RLA106" s="46" t="s">
        <v>45</v>
      </c>
      <c r="RLB106" s="46"/>
      <c r="RLC106" s="46"/>
      <c r="RLD106" s="46"/>
      <c r="RLE106" s="46"/>
      <c r="RLF106" s="46"/>
      <c r="RLG106" s="46"/>
      <c r="RLH106" s="47">
        <v>0</v>
      </c>
      <c r="RLI106" s="46" t="s">
        <v>45</v>
      </c>
      <c r="RLJ106" s="46"/>
      <c r="RLK106" s="46"/>
      <c r="RLL106" s="46"/>
      <c r="RLM106" s="46"/>
      <c r="RLN106" s="46"/>
      <c r="RLO106" s="46"/>
      <c r="RLP106" s="47">
        <v>0</v>
      </c>
      <c r="RLQ106" s="46" t="s">
        <v>45</v>
      </c>
      <c r="RLR106" s="46"/>
      <c r="RLS106" s="46"/>
      <c r="RLT106" s="46"/>
      <c r="RLU106" s="46"/>
      <c r="RLV106" s="46"/>
      <c r="RLW106" s="46"/>
      <c r="RLX106" s="47">
        <v>0</v>
      </c>
      <c r="RLY106" s="46" t="s">
        <v>45</v>
      </c>
      <c r="RLZ106" s="46"/>
      <c r="RMA106" s="46"/>
      <c r="RMB106" s="46"/>
      <c r="RMC106" s="46"/>
      <c r="RMD106" s="46"/>
      <c r="RME106" s="46"/>
      <c r="RMF106" s="47">
        <v>0</v>
      </c>
      <c r="RMG106" s="46" t="s">
        <v>45</v>
      </c>
      <c r="RMH106" s="46"/>
      <c r="RMI106" s="46"/>
      <c r="RMJ106" s="46"/>
      <c r="RMK106" s="46"/>
      <c r="RML106" s="46"/>
      <c r="RMM106" s="46"/>
      <c r="RMN106" s="47">
        <v>0</v>
      </c>
      <c r="RMO106" s="46" t="s">
        <v>45</v>
      </c>
      <c r="RMP106" s="46"/>
      <c r="RMQ106" s="46"/>
      <c r="RMR106" s="46"/>
      <c r="RMS106" s="46"/>
      <c r="RMT106" s="46"/>
      <c r="RMU106" s="46"/>
      <c r="RMV106" s="47">
        <v>0</v>
      </c>
      <c r="RMW106" s="46" t="s">
        <v>45</v>
      </c>
      <c r="RMX106" s="46"/>
      <c r="RMY106" s="46"/>
      <c r="RMZ106" s="46"/>
      <c r="RNA106" s="46"/>
      <c r="RNB106" s="46"/>
      <c r="RNC106" s="46"/>
      <c r="RND106" s="47">
        <v>0</v>
      </c>
      <c r="RNE106" s="46" t="s">
        <v>45</v>
      </c>
      <c r="RNF106" s="46"/>
      <c r="RNG106" s="46"/>
      <c r="RNH106" s="46"/>
      <c r="RNI106" s="46"/>
      <c r="RNJ106" s="46"/>
      <c r="RNK106" s="46"/>
      <c r="RNL106" s="47">
        <v>0</v>
      </c>
      <c r="RNM106" s="46" t="s">
        <v>45</v>
      </c>
      <c r="RNN106" s="46"/>
      <c r="RNO106" s="46"/>
      <c r="RNP106" s="46"/>
      <c r="RNQ106" s="46"/>
      <c r="RNR106" s="46"/>
      <c r="RNS106" s="46"/>
      <c r="RNT106" s="47">
        <v>0</v>
      </c>
      <c r="RNU106" s="46" t="s">
        <v>45</v>
      </c>
      <c r="RNV106" s="46"/>
      <c r="RNW106" s="46"/>
      <c r="RNX106" s="46"/>
      <c r="RNY106" s="46"/>
      <c r="RNZ106" s="46"/>
      <c r="ROA106" s="46"/>
      <c r="ROB106" s="47">
        <v>0</v>
      </c>
      <c r="ROC106" s="46" t="s">
        <v>45</v>
      </c>
      <c r="ROD106" s="46"/>
      <c r="ROE106" s="46"/>
      <c r="ROF106" s="46"/>
      <c r="ROG106" s="46"/>
      <c r="ROH106" s="46"/>
      <c r="ROI106" s="46"/>
      <c r="ROJ106" s="47">
        <v>0</v>
      </c>
      <c r="ROK106" s="46" t="s">
        <v>45</v>
      </c>
      <c r="ROL106" s="46"/>
      <c r="ROM106" s="46"/>
      <c r="RON106" s="46"/>
      <c r="ROO106" s="46"/>
      <c r="ROP106" s="46"/>
      <c r="ROQ106" s="46"/>
      <c r="ROR106" s="47">
        <v>0</v>
      </c>
      <c r="ROS106" s="46" t="s">
        <v>45</v>
      </c>
      <c r="ROT106" s="46"/>
      <c r="ROU106" s="46"/>
      <c r="ROV106" s="46"/>
      <c r="ROW106" s="46"/>
      <c r="ROX106" s="46"/>
      <c r="ROY106" s="46"/>
      <c r="ROZ106" s="47">
        <v>0</v>
      </c>
      <c r="RPA106" s="46" t="s">
        <v>45</v>
      </c>
      <c r="RPB106" s="46"/>
      <c r="RPC106" s="46"/>
      <c r="RPD106" s="46"/>
      <c r="RPE106" s="46"/>
      <c r="RPF106" s="46"/>
      <c r="RPG106" s="46"/>
      <c r="RPH106" s="47">
        <v>0</v>
      </c>
      <c r="RPI106" s="46" t="s">
        <v>45</v>
      </c>
      <c r="RPJ106" s="46"/>
      <c r="RPK106" s="46"/>
      <c r="RPL106" s="46"/>
      <c r="RPM106" s="46"/>
      <c r="RPN106" s="46"/>
      <c r="RPO106" s="46"/>
      <c r="RPP106" s="47">
        <v>0</v>
      </c>
      <c r="RPQ106" s="46" t="s">
        <v>45</v>
      </c>
      <c r="RPR106" s="46"/>
      <c r="RPS106" s="46"/>
      <c r="RPT106" s="46"/>
      <c r="RPU106" s="46"/>
      <c r="RPV106" s="46"/>
      <c r="RPW106" s="46"/>
      <c r="RPX106" s="47">
        <v>0</v>
      </c>
      <c r="RPY106" s="46" t="s">
        <v>45</v>
      </c>
      <c r="RPZ106" s="46"/>
      <c r="RQA106" s="46"/>
      <c r="RQB106" s="46"/>
      <c r="RQC106" s="46"/>
      <c r="RQD106" s="46"/>
      <c r="RQE106" s="46"/>
      <c r="RQF106" s="47">
        <v>0</v>
      </c>
      <c r="RQG106" s="46" t="s">
        <v>45</v>
      </c>
      <c r="RQH106" s="46"/>
      <c r="RQI106" s="46"/>
      <c r="RQJ106" s="46"/>
      <c r="RQK106" s="46"/>
      <c r="RQL106" s="46"/>
      <c r="RQM106" s="46"/>
      <c r="RQN106" s="47">
        <v>0</v>
      </c>
      <c r="RQO106" s="46" t="s">
        <v>45</v>
      </c>
      <c r="RQP106" s="46"/>
      <c r="RQQ106" s="46"/>
      <c r="RQR106" s="46"/>
      <c r="RQS106" s="46"/>
      <c r="RQT106" s="46"/>
      <c r="RQU106" s="46"/>
      <c r="RQV106" s="47">
        <v>0</v>
      </c>
      <c r="RQW106" s="46" t="s">
        <v>45</v>
      </c>
      <c r="RQX106" s="46"/>
      <c r="RQY106" s="46"/>
      <c r="RQZ106" s="46"/>
      <c r="RRA106" s="46"/>
      <c r="RRB106" s="46"/>
      <c r="RRC106" s="46"/>
      <c r="RRD106" s="47">
        <v>0</v>
      </c>
      <c r="RRE106" s="46" t="s">
        <v>45</v>
      </c>
      <c r="RRF106" s="46"/>
      <c r="RRG106" s="46"/>
      <c r="RRH106" s="46"/>
      <c r="RRI106" s="46"/>
      <c r="RRJ106" s="46"/>
      <c r="RRK106" s="46"/>
      <c r="RRL106" s="47">
        <v>0</v>
      </c>
      <c r="RRM106" s="46" t="s">
        <v>45</v>
      </c>
      <c r="RRN106" s="46"/>
      <c r="RRO106" s="46"/>
      <c r="RRP106" s="46"/>
      <c r="RRQ106" s="46"/>
      <c r="RRR106" s="46"/>
      <c r="RRS106" s="46"/>
      <c r="RRT106" s="47">
        <v>0</v>
      </c>
      <c r="RRU106" s="46" t="s">
        <v>45</v>
      </c>
      <c r="RRV106" s="46"/>
      <c r="RRW106" s="46"/>
      <c r="RRX106" s="46"/>
      <c r="RRY106" s="46"/>
      <c r="RRZ106" s="46"/>
      <c r="RSA106" s="46"/>
      <c r="RSB106" s="47">
        <v>0</v>
      </c>
      <c r="RSC106" s="46" t="s">
        <v>45</v>
      </c>
      <c r="RSD106" s="46"/>
      <c r="RSE106" s="46"/>
      <c r="RSF106" s="46"/>
      <c r="RSG106" s="46"/>
      <c r="RSH106" s="46"/>
      <c r="RSI106" s="46"/>
      <c r="RSJ106" s="47">
        <v>0</v>
      </c>
      <c r="RSK106" s="46" t="s">
        <v>45</v>
      </c>
      <c r="RSL106" s="46"/>
      <c r="RSM106" s="46"/>
      <c r="RSN106" s="46"/>
      <c r="RSO106" s="46"/>
      <c r="RSP106" s="46"/>
      <c r="RSQ106" s="46"/>
      <c r="RSR106" s="47">
        <v>0</v>
      </c>
      <c r="RSS106" s="46" t="s">
        <v>45</v>
      </c>
      <c r="RST106" s="46"/>
      <c r="RSU106" s="46"/>
      <c r="RSV106" s="46"/>
      <c r="RSW106" s="46"/>
      <c r="RSX106" s="46"/>
      <c r="RSY106" s="46"/>
      <c r="RSZ106" s="47">
        <v>0</v>
      </c>
      <c r="RTA106" s="46" t="s">
        <v>45</v>
      </c>
      <c r="RTB106" s="46"/>
      <c r="RTC106" s="46"/>
      <c r="RTD106" s="46"/>
      <c r="RTE106" s="46"/>
      <c r="RTF106" s="46"/>
      <c r="RTG106" s="46"/>
      <c r="RTH106" s="47">
        <v>0</v>
      </c>
      <c r="RTI106" s="46" t="s">
        <v>45</v>
      </c>
      <c r="RTJ106" s="46"/>
      <c r="RTK106" s="46"/>
      <c r="RTL106" s="46"/>
      <c r="RTM106" s="46"/>
      <c r="RTN106" s="46"/>
      <c r="RTO106" s="46"/>
      <c r="RTP106" s="47">
        <v>0</v>
      </c>
      <c r="RTQ106" s="46" t="s">
        <v>45</v>
      </c>
      <c r="RTR106" s="46"/>
      <c r="RTS106" s="46"/>
      <c r="RTT106" s="46"/>
      <c r="RTU106" s="46"/>
      <c r="RTV106" s="46"/>
      <c r="RTW106" s="46"/>
      <c r="RTX106" s="47">
        <v>0</v>
      </c>
      <c r="RTY106" s="46" t="s">
        <v>45</v>
      </c>
      <c r="RTZ106" s="46"/>
      <c r="RUA106" s="46"/>
      <c r="RUB106" s="46"/>
      <c r="RUC106" s="46"/>
      <c r="RUD106" s="46"/>
      <c r="RUE106" s="46"/>
      <c r="RUF106" s="47">
        <v>0</v>
      </c>
      <c r="RUG106" s="46" t="s">
        <v>45</v>
      </c>
      <c r="RUH106" s="46"/>
      <c r="RUI106" s="46"/>
      <c r="RUJ106" s="46"/>
      <c r="RUK106" s="46"/>
      <c r="RUL106" s="46"/>
      <c r="RUM106" s="46"/>
      <c r="RUN106" s="47">
        <v>0</v>
      </c>
      <c r="RUO106" s="46" t="s">
        <v>45</v>
      </c>
      <c r="RUP106" s="46"/>
      <c r="RUQ106" s="46"/>
      <c r="RUR106" s="46"/>
      <c r="RUS106" s="46"/>
      <c r="RUT106" s="46"/>
      <c r="RUU106" s="46"/>
      <c r="RUV106" s="47">
        <v>0</v>
      </c>
      <c r="RUW106" s="46" t="s">
        <v>45</v>
      </c>
      <c r="RUX106" s="46"/>
      <c r="RUY106" s="46"/>
      <c r="RUZ106" s="46"/>
      <c r="RVA106" s="46"/>
      <c r="RVB106" s="46"/>
      <c r="RVC106" s="46"/>
      <c r="RVD106" s="47">
        <v>0</v>
      </c>
      <c r="RVE106" s="46" t="s">
        <v>45</v>
      </c>
      <c r="RVF106" s="46"/>
      <c r="RVG106" s="46"/>
      <c r="RVH106" s="46"/>
      <c r="RVI106" s="46"/>
      <c r="RVJ106" s="46"/>
      <c r="RVK106" s="46"/>
      <c r="RVL106" s="47">
        <v>0</v>
      </c>
      <c r="RVM106" s="46" t="s">
        <v>45</v>
      </c>
      <c r="RVN106" s="46"/>
      <c r="RVO106" s="46"/>
      <c r="RVP106" s="46"/>
      <c r="RVQ106" s="46"/>
      <c r="RVR106" s="46"/>
      <c r="RVS106" s="46"/>
      <c r="RVT106" s="47">
        <v>0</v>
      </c>
      <c r="RVU106" s="46" t="s">
        <v>45</v>
      </c>
      <c r="RVV106" s="46"/>
      <c r="RVW106" s="46"/>
      <c r="RVX106" s="46"/>
      <c r="RVY106" s="46"/>
      <c r="RVZ106" s="46"/>
      <c r="RWA106" s="46"/>
      <c r="RWB106" s="47">
        <v>0</v>
      </c>
      <c r="RWC106" s="46" t="s">
        <v>45</v>
      </c>
      <c r="RWD106" s="46"/>
      <c r="RWE106" s="46"/>
      <c r="RWF106" s="46"/>
      <c r="RWG106" s="46"/>
      <c r="RWH106" s="46"/>
      <c r="RWI106" s="46"/>
      <c r="RWJ106" s="47">
        <v>0</v>
      </c>
      <c r="RWK106" s="46" t="s">
        <v>45</v>
      </c>
      <c r="RWL106" s="46"/>
      <c r="RWM106" s="46"/>
      <c r="RWN106" s="46"/>
      <c r="RWO106" s="46"/>
      <c r="RWP106" s="46"/>
      <c r="RWQ106" s="46"/>
      <c r="RWR106" s="47">
        <v>0</v>
      </c>
      <c r="RWS106" s="46" t="s">
        <v>45</v>
      </c>
      <c r="RWT106" s="46"/>
      <c r="RWU106" s="46"/>
      <c r="RWV106" s="46"/>
      <c r="RWW106" s="46"/>
      <c r="RWX106" s="46"/>
      <c r="RWY106" s="46"/>
      <c r="RWZ106" s="47">
        <v>0</v>
      </c>
      <c r="RXA106" s="46" t="s">
        <v>45</v>
      </c>
      <c r="RXB106" s="46"/>
      <c r="RXC106" s="46"/>
      <c r="RXD106" s="46"/>
      <c r="RXE106" s="46"/>
      <c r="RXF106" s="46"/>
      <c r="RXG106" s="46"/>
      <c r="RXH106" s="47">
        <v>0</v>
      </c>
      <c r="RXI106" s="46" t="s">
        <v>45</v>
      </c>
      <c r="RXJ106" s="46"/>
      <c r="RXK106" s="46"/>
      <c r="RXL106" s="46"/>
      <c r="RXM106" s="46"/>
      <c r="RXN106" s="46"/>
      <c r="RXO106" s="46"/>
      <c r="RXP106" s="47">
        <v>0</v>
      </c>
      <c r="RXQ106" s="46" t="s">
        <v>45</v>
      </c>
      <c r="RXR106" s="46"/>
      <c r="RXS106" s="46"/>
      <c r="RXT106" s="46"/>
      <c r="RXU106" s="46"/>
      <c r="RXV106" s="46"/>
      <c r="RXW106" s="46"/>
      <c r="RXX106" s="47">
        <v>0</v>
      </c>
      <c r="RXY106" s="46" t="s">
        <v>45</v>
      </c>
      <c r="RXZ106" s="46"/>
      <c r="RYA106" s="46"/>
      <c r="RYB106" s="46"/>
      <c r="RYC106" s="46"/>
      <c r="RYD106" s="46"/>
      <c r="RYE106" s="46"/>
      <c r="RYF106" s="47">
        <v>0</v>
      </c>
      <c r="RYG106" s="46" t="s">
        <v>45</v>
      </c>
      <c r="RYH106" s="46"/>
      <c r="RYI106" s="46"/>
      <c r="RYJ106" s="46"/>
      <c r="RYK106" s="46"/>
      <c r="RYL106" s="46"/>
      <c r="RYM106" s="46"/>
      <c r="RYN106" s="47">
        <v>0</v>
      </c>
      <c r="RYO106" s="46" t="s">
        <v>45</v>
      </c>
      <c r="RYP106" s="46"/>
      <c r="RYQ106" s="46"/>
      <c r="RYR106" s="46"/>
      <c r="RYS106" s="46"/>
      <c r="RYT106" s="46"/>
      <c r="RYU106" s="46"/>
      <c r="RYV106" s="47">
        <v>0</v>
      </c>
      <c r="RYW106" s="46" t="s">
        <v>45</v>
      </c>
      <c r="RYX106" s="46"/>
      <c r="RYY106" s="46"/>
      <c r="RYZ106" s="46"/>
      <c r="RZA106" s="46"/>
      <c r="RZB106" s="46"/>
      <c r="RZC106" s="46"/>
      <c r="RZD106" s="47">
        <v>0</v>
      </c>
      <c r="RZE106" s="46" t="s">
        <v>45</v>
      </c>
      <c r="RZF106" s="46"/>
      <c r="RZG106" s="46"/>
      <c r="RZH106" s="46"/>
      <c r="RZI106" s="46"/>
      <c r="RZJ106" s="46"/>
      <c r="RZK106" s="46"/>
      <c r="RZL106" s="47">
        <v>0</v>
      </c>
      <c r="RZM106" s="46" t="s">
        <v>45</v>
      </c>
      <c r="RZN106" s="46"/>
      <c r="RZO106" s="46"/>
      <c r="RZP106" s="46"/>
      <c r="RZQ106" s="46"/>
      <c r="RZR106" s="46"/>
      <c r="RZS106" s="46"/>
      <c r="RZT106" s="47">
        <v>0</v>
      </c>
      <c r="RZU106" s="46" t="s">
        <v>45</v>
      </c>
      <c r="RZV106" s="46"/>
      <c r="RZW106" s="46"/>
      <c r="RZX106" s="46"/>
      <c r="RZY106" s="46"/>
      <c r="RZZ106" s="46"/>
      <c r="SAA106" s="46"/>
      <c r="SAB106" s="47">
        <v>0</v>
      </c>
      <c r="SAC106" s="46" t="s">
        <v>45</v>
      </c>
      <c r="SAD106" s="46"/>
      <c r="SAE106" s="46"/>
      <c r="SAF106" s="46"/>
      <c r="SAG106" s="46"/>
      <c r="SAH106" s="46"/>
      <c r="SAI106" s="46"/>
      <c r="SAJ106" s="47">
        <v>0</v>
      </c>
      <c r="SAK106" s="46" t="s">
        <v>45</v>
      </c>
      <c r="SAL106" s="46"/>
      <c r="SAM106" s="46"/>
      <c r="SAN106" s="46"/>
      <c r="SAO106" s="46"/>
      <c r="SAP106" s="46"/>
      <c r="SAQ106" s="46"/>
      <c r="SAR106" s="47">
        <v>0</v>
      </c>
      <c r="SAS106" s="46" t="s">
        <v>45</v>
      </c>
      <c r="SAT106" s="46"/>
      <c r="SAU106" s="46"/>
      <c r="SAV106" s="46"/>
      <c r="SAW106" s="46"/>
      <c r="SAX106" s="46"/>
      <c r="SAY106" s="46"/>
      <c r="SAZ106" s="47">
        <v>0</v>
      </c>
      <c r="SBA106" s="46" t="s">
        <v>45</v>
      </c>
      <c r="SBB106" s="46"/>
      <c r="SBC106" s="46"/>
      <c r="SBD106" s="46"/>
      <c r="SBE106" s="46"/>
      <c r="SBF106" s="46"/>
      <c r="SBG106" s="46"/>
      <c r="SBH106" s="47">
        <v>0</v>
      </c>
      <c r="SBI106" s="46" t="s">
        <v>45</v>
      </c>
      <c r="SBJ106" s="46"/>
      <c r="SBK106" s="46"/>
      <c r="SBL106" s="46"/>
      <c r="SBM106" s="46"/>
      <c r="SBN106" s="46"/>
      <c r="SBO106" s="46"/>
      <c r="SBP106" s="47">
        <v>0</v>
      </c>
      <c r="SBQ106" s="46" t="s">
        <v>45</v>
      </c>
      <c r="SBR106" s="46"/>
      <c r="SBS106" s="46"/>
      <c r="SBT106" s="46"/>
      <c r="SBU106" s="46"/>
      <c r="SBV106" s="46"/>
      <c r="SBW106" s="46"/>
      <c r="SBX106" s="47">
        <v>0</v>
      </c>
      <c r="SBY106" s="46" t="s">
        <v>45</v>
      </c>
      <c r="SBZ106" s="46"/>
      <c r="SCA106" s="46"/>
      <c r="SCB106" s="46"/>
      <c r="SCC106" s="46"/>
      <c r="SCD106" s="46"/>
      <c r="SCE106" s="46"/>
      <c r="SCF106" s="47">
        <v>0</v>
      </c>
      <c r="SCG106" s="46" t="s">
        <v>45</v>
      </c>
      <c r="SCH106" s="46"/>
      <c r="SCI106" s="46"/>
      <c r="SCJ106" s="46"/>
      <c r="SCK106" s="46"/>
      <c r="SCL106" s="46"/>
      <c r="SCM106" s="46"/>
      <c r="SCN106" s="47">
        <v>0</v>
      </c>
      <c r="SCO106" s="46" t="s">
        <v>45</v>
      </c>
      <c r="SCP106" s="46"/>
      <c r="SCQ106" s="46"/>
      <c r="SCR106" s="46"/>
      <c r="SCS106" s="46"/>
      <c r="SCT106" s="46"/>
      <c r="SCU106" s="46"/>
      <c r="SCV106" s="47">
        <v>0</v>
      </c>
      <c r="SCW106" s="46" t="s">
        <v>45</v>
      </c>
      <c r="SCX106" s="46"/>
      <c r="SCY106" s="46"/>
      <c r="SCZ106" s="46"/>
      <c r="SDA106" s="46"/>
      <c r="SDB106" s="46"/>
      <c r="SDC106" s="46"/>
      <c r="SDD106" s="47">
        <v>0</v>
      </c>
      <c r="SDE106" s="46" t="s">
        <v>45</v>
      </c>
      <c r="SDF106" s="46"/>
      <c r="SDG106" s="46"/>
      <c r="SDH106" s="46"/>
      <c r="SDI106" s="46"/>
      <c r="SDJ106" s="46"/>
      <c r="SDK106" s="46"/>
      <c r="SDL106" s="47">
        <v>0</v>
      </c>
      <c r="SDM106" s="46" t="s">
        <v>45</v>
      </c>
      <c r="SDN106" s="46"/>
      <c r="SDO106" s="46"/>
      <c r="SDP106" s="46"/>
      <c r="SDQ106" s="46"/>
      <c r="SDR106" s="46"/>
      <c r="SDS106" s="46"/>
      <c r="SDT106" s="47">
        <v>0</v>
      </c>
      <c r="SDU106" s="46" t="s">
        <v>45</v>
      </c>
      <c r="SDV106" s="46"/>
      <c r="SDW106" s="46"/>
      <c r="SDX106" s="46"/>
      <c r="SDY106" s="46"/>
      <c r="SDZ106" s="46"/>
      <c r="SEA106" s="46"/>
      <c r="SEB106" s="47">
        <v>0</v>
      </c>
      <c r="SEC106" s="46" t="s">
        <v>45</v>
      </c>
      <c r="SED106" s="46"/>
      <c r="SEE106" s="46"/>
      <c r="SEF106" s="46"/>
      <c r="SEG106" s="46"/>
      <c r="SEH106" s="46"/>
      <c r="SEI106" s="46"/>
      <c r="SEJ106" s="47">
        <v>0</v>
      </c>
      <c r="SEK106" s="46" t="s">
        <v>45</v>
      </c>
      <c r="SEL106" s="46"/>
      <c r="SEM106" s="46"/>
      <c r="SEN106" s="46"/>
      <c r="SEO106" s="46"/>
      <c r="SEP106" s="46"/>
      <c r="SEQ106" s="46"/>
      <c r="SER106" s="47">
        <v>0</v>
      </c>
      <c r="SES106" s="46" t="s">
        <v>45</v>
      </c>
      <c r="SET106" s="46"/>
      <c r="SEU106" s="46"/>
      <c r="SEV106" s="46"/>
      <c r="SEW106" s="46"/>
      <c r="SEX106" s="46"/>
      <c r="SEY106" s="46"/>
      <c r="SEZ106" s="47">
        <v>0</v>
      </c>
      <c r="SFA106" s="46" t="s">
        <v>45</v>
      </c>
      <c r="SFB106" s="46"/>
      <c r="SFC106" s="46"/>
      <c r="SFD106" s="46"/>
      <c r="SFE106" s="46"/>
      <c r="SFF106" s="46"/>
      <c r="SFG106" s="46"/>
      <c r="SFH106" s="47">
        <v>0</v>
      </c>
      <c r="SFI106" s="46" t="s">
        <v>45</v>
      </c>
      <c r="SFJ106" s="46"/>
      <c r="SFK106" s="46"/>
      <c r="SFL106" s="46"/>
      <c r="SFM106" s="46"/>
      <c r="SFN106" s="46"/>
      <c r="SFO106" s="46"/>
      <c r="SFP106" s="47">
        <v>0</v>
      </c>
      <c r="SFQ106" s="46" t="s">
        <v>45</v>
      </c>
      <c r="SFR106" s="46"/>
      <c r="SFS106" s="46"/>
      <c r="SFT106" s="46"/>
      <c r="SFU106" s="46"/>
      <c r="SFV106" s="46"/>
      <c r="SFW106" s="46"/>
      <c r="SFX106" s="47">
        <v>0</v>
      </c>
      <c r="SFY106" s="46" t="s">
        <v>45</v>
      </c>
      <c r="SFZ106" s="46"/>
      <c r="SGA106" s="46"/>
      <c r="SGB106" s="46"/>
      <c r="SGC106" s="46"/>
      <c r="SGD106" s="46"/>
      <c r="SGE106" s="46"/>
      <c r="SGF106" s="47">
        <v>0</v>
      </c>
      <c r="SGG106" s="46" t="s">
        <v>45</v>
      </c>
      <c r="SGH106" s="46"/>
      <c r="SGI106" s="46"/>
      <c r="SGJ106" s="46"/>
      <c r="SGK106" s="46"/>
      <c r="SGL106" s="46"/>
      <c r="SGM106" s="46"/>
      <c r="SGN106" s="47">
        <v>0</v>
      </c>
      <c r="SGO106" s="46" t="s">
        <v>45</v>
      </c>
      <c r="SGP106" s="46"/>
      <c r="SGQ106" s="46"/>
      <c r="SGR106" s="46"/>
      <c r="SGS106" s="46"/>
      <c r="SGT106" s="46"/>
      <c r="SGU106" s="46"/>
      <c r="SGV106" s="47">
        <v>0</v>
      </c>
      <c r="SGW106" s="46" t="s">
        <v>45</v>
      </c>
      <c r="SGX106" s="46"/>
      <c r="SGY106" s="46"/>
      <c r="SGZ106" s="46"/>
      <c r="SHA106" s="46"/>
      <c r="SHB106" s="46"/>
      <c r="SHC106" s="46"/>
      <c r="SHD106" s="47">
        <v>0</v>
      </c>
      <c r="SHE106" s="46" t="s">
        <v>45</v>
      </c>
      <c r="SHF106" s="46"/>
      <c r="SHG106" s="46"/>
      <c r="SHH106" s="46"/>
      <c r="SHI106" s="46"/>
      <c r="SHJ106" s="46"/>
      <c r="SHK106" s="46"/>
      <c r="SHL106" s="47">
        <v>0</v>
      </c>
      <c r="SHM106" s="46" t="s">
        <v>45</v>
      </c>
      <c r="SHN106" s="46"/>
      <c r="SHO106" s="46"/>
      <c r="SHP106" s="46"/>
      <c r="SHQ106" s="46"/>
      <c r="SHR106" s="46"/>
      <c r="SHS106" s="46"/>
      <c r="SHT106" s="47">
        <v>0</v>
      </c>
      <c r="SHU106" s="46" t="s">
        <v>45</v>
      </c>
      <c r="SHV106" s="46"/>
      <c r="SHW106" s="46"/>
      <c r="SHX106" s="46"/>
      <c r="SHY106" s="46"/>
      <c r="SHZ106" s="46"/>
      <c r="SIA106" s="46"/>
      <c r="SIB106" s="47">
        <v>0</v>
      </c>
      <c r="SIC106" s="46" t="s">
        <v>45</v>
      </c>
      <c r="SID106" s="46"/>
      <c r="SIE106" s="46"/>
      <c r="SIF106" s="46"/>
      <c r="SIG106" s="46"/>
      <c r="SIH106" s="46"/>
      <c r="SII106" s="46"/>
      <c r="SIJ106" s="47">
        <v>0</v>
      </c>
      <c r="SIK106" s="46" t="s">
        <v>45</v>
      </c>
      <c r="SIL106" s="46"/>
      <c r="SIM106" s="46"/>
      <c r="SIN106" s="46"/>
      <c r="SIO106" s="46"/>
      <c r="SIP106" s="46"/>
      <c r="SIQ106" s="46"/>
      <c r="SIR106" s="47">
        <v>0</v>
      </c>
      <c r="SIS106" s="46" t="s">
        <v>45</v>
      </c>
      <c r="SIT106" s="46"/>
      <c r="SIU106" s="46"/>
      <c r="SIV106" s="46"/>
      <c r="SIW106" s="46"/>
      <c r="SIX106" s="46"/>
      <c r="SIY106" s="46"/>
      <c r="SIZ106" s="47">
        <v>0</v>
      </c>
      <c r="SJA106" s="46" t="s">
        <v>45</v>
      </c>
      <c r="SJB106" s="46"/>
      <c r="SJC106" s="46"/>
      <c r="SJD106" s="46"/>
      <c r="SJE106" s="46"/>
      <c r="SJF106" s="46"/>
      <c r="SJG106" s="46"/>
      <c r="SJH106" s="47">
        <v>0</v>
      </c>
      <c r="SJI106" s="46" t="s">
        <v>45</v>
      </c>
      <c r="SJJ106" s="46"/>
      <c r="SJK106" s="46"/>
      <c r="SJL106" s="46"/>
      <c r="SJM106" s="46"/>
      <c r="SJN106" s="46"/>
      <c r="SJO106" s="46"/>
      <c r="SJP106" s="47">
        <v>0</v>
      </c>
      <c r="SJQ106" s="46" t="s">
        <v>45</v>
      </c>
      <c r="SJR106" s="46"/>
      <c r="SJS106" s="46"/>
      <c r="SJT106" s="46"/>
      <c r="SJU106" s="46"/>
      <c r="SJV106" s="46"/>
      <c r="SJW106" s="46"/>
      <c r="SJX106" s="47">
        <v>0</v>
      </c>
      <c r="SJY106" s="46" t="s">
        <v>45</v>
      </c>
      <c r="SJZ106" s="46"/>
      <c r="SKA106" s="46"/>
      <c r="SKB106" s="46"/>
      <c r="SKC106" s="46"/>
      <c r="SKD106" s="46"/>
      <c r="SKE106" s="46"/>
      <c r="SKF106" s="47">
        <v>0</v>
      </c>
      <c r="SKG106" s="46" t="s">
        <v>45</v>
      </c>
      <c r="SKH106" s="46"/>
      <c r="SKI106" s="46"/>
      <c r="SKJ106" s="46"/>
      <c r="SKK106" s="46"/>
      <c r="SKL106" s="46"/>
      <c r="SKM106" s="46"/>
      <c r="SKN106" s="47">
        <v>0</v>
      </c>
      <c r="SKO106" s="46" t="s">
        <v>45</v>
      </c>
      <c r="SKP106" s="46"/>
      <c r="SKQ106" s="46"/>
      <c r="SKR106" s="46"/>
      <c r="SKS106" s="46"/>
      <c r="SKT106" s="46"/>
      <c r="SKU106" s="46"/>
      <c r="SKV106" s="47">
        <v>0</v>
      </c>
      <c r="SKW106" s="46" t="s">
        <v>45</v>
      </c>
      <c r="SKX106" s="46"/>
      <c r="SKY106" s="46"/>
      <c r="SKZ106" s="46"/>
      <c r="SLA106" s="46"/>
      <c r="SLB106" s="46"/>
      <c r="SLC106" s="46"/>
      <c r="SLD106" s="47">
        <v>0</v>
      </c>
      <c r="SLE106" s="46" t="s">
        <v>45</v>
      </c>
      <c r="SLF106" s="46"/>
      <c r="SLG106" s="46"/>
      <c r="SLH106" s="46"/>
      <c r="SLI106" s="46"/>
      <c r="SLJ106" s="46"/>
      <c r="SLK106" s="46"/>
      <c r="SLL106" s="47">
        <v>0</v>
      </c>
      <c r="SLM106" s="46" t="s">
        <v>45</v>
      </c>
      <c r="SLN106" s="46"/>
      <c r="SLO106" s="46"/>
      <c r="SLP106" s="46"/>
      <c r="SLQ106" s="46"/>
      <c r="SLR106" s="46"/>
      <c r="SLS106" s="46"/>
      <c r="SLT106" s="47">
        <v>0</v>
      </c>
      <c r="SLU106" s="46" t="s">
        <v>45</v>
      </c>
      <c r="SLV106" s="46"/>
      <c r="SLW106" s="46"/>
      <c r="SLX106" s="46"/>
      <c r="SLY106" s="46"/>
      <c r="SLZ106" s="46"/>
      <c r="SMA106" s="46"/>
      <c r="SMB106" s="47">
        <v>0</v>
      </c>
      <c r="SMC106" s="46" t="s">
        <v>45</v>
      </c>
      <c r="SMD106" s="46"/>
      <c r="SME106" s="46"/>
      <c r="SMF106" s="46"/>
      <c r="SMG106" s="46"/>
      <c r="SMH106" s="46"/>
      <c r="SMI106" s="46"/>
      <c r="SMJ106" s="47">
        <v>0</v>
      </c>
      <c r="SMK106" s="46" t="s">
        <v>45</v>
      </c>
      <c r="SML106" s="46"/>
      <c r="SMM106" s="46"/>
      <c r="SMN106" s="46"/>
      <c r="SMO106" s="46"/>
      <c r="SMP106" s="46"/>
      <c r="SMQ106" s="46"/>
      <c r="SMR106" s="47">
        <v>0</v>
      </c>
      <c r="SMS106" s="46" t="s">
        <v>45</v>
      </c>
      <c r="SMT106" s="46"/>
      <c r="SMU106" s="46"/>
      <c r="SMV106" s="46"/>
      <c r="SMW106" s="46"/>
      <c r="SMX106" s="46"/>
      <c r="SMY106" s="46"/>
      <c r="SMZ106" s="47">
        <v>0</v>
      </c>
      <c r="SNA106" s="46" t="s">
        <v>45</v>
      </c>
      <c r="SNB106" s="46"/>
      <c r="SNC106" s="46"/>
      <c r="SND106" s="46"/>
      <c r="SNE106" s="46"/>
      <c r="SNF106" s="46"/>
      <c r="SNG106" s="46"/>
      <c r="SNH106" s="47">
        <v>0</v>
      </c>
      <c r="SNI106" s="46" t="s">
        <v>45</v>
      </c>
      <c r="SNJ106" s="46"/>
      <c r="SNK106" s="46"/>
      <c r="SNL106" s="46"/>
      <c r="SNM106" s="46"/>
      <c r="SNN106" s="46"/>
      <c r="SNO106" s="46"/>
      <c r="SNP106" s="47">
        <v>0</v>
      </c>
      <c r="SNQ106" s="46" t="s">
        <v>45</v>
      </c>
      <c r="SNR106" s="46"/>
      <c r="SNS106" s="46"/>
      <c r="SNT106" s="46"/>
      <c r="SNU106" s="46"/>
      <c r="SNV106" s="46"/>
      <c r="SNW106" s="46"/>
      <c r="SNX106" s="47">
        <v>0</v>
      </c>
      <c r="SNY106" s="46" t="s">
        <v>45</v>
      </c>
      <c r="SNZ106" s="46"/>
      <c r="SOA106" s="46"/>
      <c r="SOB106" s="46"/>
      <c r="SOC106" s="46"/>
      <c r="SOD106" s="46"/>
      <c r="SOE106" s="46"/>
      <c r="SOF106" s="47">
        <v>0</v>
      </c>
      <c r="SOG106" s="46" t="s">
        <v>45</v>
      </c>
      <c r="SOH106" s="46"/>
      <c r="SOI106" s="46"/>
      <c r="SOJ106" s="46"/>
      <c r="SOK106" s="46"/>
      <c r="SOL106" s="46"/>
      <c r="SOM106" s="46"/>
      <c r="SON106" s="47">
        <v>0</v>
      </c>
      <c r="SOO106" s="46" t="s">
        <v>45</v>
      </c>
      <c r="SOP106" s="46"/>
      <c r="SOQ106" s="46"/>
      <c r="SOR106" s="46"/>
      <c r="SOS106" s="46"/>
      <c r="SOT106" s="46"/>
      <c r="SOU106" s="46"/>
      <c r="SOV106" s="47">
        <v>0</v>
      </c>
      <c r="SOW106" s="46" t="s">
        <v>45</v>
      </c>
      <c r="SOX106" s="46"/>
      <c r="SOY106" s="46"/>
      <c r="SOZ106" s="46"/>
      <c r="SPA106" s="46"/>
      <c r="SPB106" s="46"/>
      <c r="SPC106" s="46"/>
      <c r="SPD106" s="47">
        <v>0</v>
      </c>
      <c r="SPE106" s="46" t="s">
        <v>45</v>
      </c>
      <c r="SPF106" s="46"/>
      <c r="SPG106" s="46"/>
      <c r="SPH106" s="46"/>
      <c r="SPI106" s="46"/>
      <c r="SPJ106" s="46"/>
      <c r="SPK106" s="46"/>
      <c r="SPL106" s="47">
        <v>0</v>
      </c>
      <c r="SPM106" s="46" t="s">
        <v>45</v>
      </c>
      <c r="SPN106" s="46"/>
      <c r="SPO106" s="46"/>
      <c r="SPP106" s="46"/>
      <c r="SPQ106" s="46"/>
      <c r="SPR106" s="46"/>
      <c r="SPS106" s="46"/>
      <c r="SPT106" s="47">
        <v>0</v>
      </c>
      <c r="SPU106" s="46" t="s">
        <v>45</v>
      </c>
      <c r="SPV106" s="46"/>
      <c r="SPW106" s="46"/>
      <c r="SPX106" s="46"/>
      <c r="SPY106" s="46"/>
      <c r="SPZ106" s="46"/>
      <c r="SQA106" s="46"/>
      <c r="SQB106" s="47">
        <v>0</v>
      </c>
      <c r="SQC106" s="46" t="s">
        <v>45</v>
      </c>
      <c r="SQD106" s="46"/>
      <c r="SQE106" s="46"/>
      <c r="SQF106" s="46"/>
      <c r="SQG106" s="46"/>
      <c r="SQH106" s="46"/>
      <c r="SQI106" s="46"/>
      <c r="SQJ106" s="47">
        <v>0</v>
      </c>
      <c r="SQK106" s="46" t="s">
        <v>45</v>
      </c>
      <c r="SQL106" s="46"/>
      <c r="SQM106" s="46"/>
      <c r="SQN106" s="46"/>
      <c r="SQO106" s="46"/>
      <c r="SQP106" s="46"/>
      <c r="SQQ106" s="46"/>
      <c r="SQR106" s="47">
        <v>0</v>
      </c>
      <c r="SQS106" s="46" t="s">
        <v>45</v>
      </c>
      <c r="SQT106" s="46"/>
      <c r="SQU106" s="46"/>
      <c r="SQV106" s="46"/>
      <c r="SQW106" s="46"/>
      <c r="SQX106" s="46"/>
      <c r="SQY106" s="46"/>
      <c r="SQZ106" s="47">
        <v>0</v>
      </c>
      <c r="SRA106" s="46" t="s">
        <v>45</v>
      </c>
      <c r="SRB106" s="46"/>
      <c r="SRC106" s="46"/>
      <c r="SRD106" s="46"/>
      <c r="SRE106" s="46"/>
      <c r="SRF106" s="46"/>
      <c r="SRG106" s="46"/>
      <c r="SRH106" s="47">
        <v>0</v>
      </c>
      <c r="SRI106" s="46" t="s">
        <v>45</v>
      </c>
      <c r="SRJ106" s="46"/>
      <c r="SRK106" s="46"/>
      <c r="SRL106" s="46"/>
      <c r="SRM106" s="46"/>
      <c r="SRN106" s="46"/>
      <c r="SRO106" s="46"/>
      <c r="SRP106" s="47">
        <v>0</v>
      </c>
      <c r="SRQ106" s="46" t="s">
        <v>45</v>
      </c>
      <c r="SRR106" s="46"/>
      <c r="SRS106" s="46"/>
      <c r="SRT106" s="46"/>
      <c r="SRU106" s="46"/>
      <c r="SRV106" s="46"/>
      <c r="SRW106" s="46"/>
      <c r="SRX106" s="47">
        <v>0</v>
      </c>
      <c r="SRY106" s="46" t="s">
        <v>45</v>
      </c>
      <c r="SRZ106" s="46"/>
      <c r="SSA106" s="46"/>
      <c r="SSB106" s="46"/>
      <c r="SSC106" s="46"/>
      <c r="SSD106" s="46"/>
      <c r="SSE106" s="46"/>
      <c r="SSF106" s="47">
        <v>0</v>
      </c>
      <c r="SSG106" s="46" t="s">
        <v>45</v>
      </c>
      <c r="SSH106" s="46"/>
      <c r="SSI106" s="46"/>
      <c r="SSJ106" s="46"/>
      <c r="SSK106" s="46"/>
      <c r="SSL106" s="46"/>
      <c r="SSM106" s="46"/>
      <c r="SSN106" s="47">
        <v>0</v>
      </c>
      <c r="SSO106" s="46" t="s">
        <v>45</v>
      </c>
      <c r="SSP106" s="46"/>
      <c r="SSQ106" s="46"/>
      <c r="SSR106" s="46"/>
      <c r="SSS106" s="46"/>
      <c r="SST106" s="46"/>
      <c r="SSU106" s="46"/>
      <c r="SSV106" s="47">
        <v>0</v>
      </c>
      <c r="SSW106" s="46" t="s">
        <v>45</v>
      </c>
      <c r="SSX106" s="46"/>
      <c r="SSY106" s="46"/>
      <c r="SSZ106" s="46"/>
      <c r="STA106" s="46"/>
      <c r="STB106" s="46"/>
      <c r="STC106" s="46"/>
      <c r="STD106" s="47">
        <v>0</v>
      </c>
      <c r="STE106" s="46" t="s">
        <v>45</v>
      </c>
      <c r="STF106" s="46"/>
      <c r="STG106" s="46"/>
      <c r="STH106" s="46"/>
      <c r="STI106" s="46"/>
      <c r="STJ106" s="46"/>
      <c r="STK106" s="46"/>
      <c r="STL106" s="47">
        <v>0</v>
      </c>
      <c r="STM106" s="46" t="s">
        <v>45</v>
      </c>
      <c r="STN106" s="46"/>
      <c r="STO106" s="46"/>
      <c r="STP106" s="46"/>
      <c r="STQ106" s="46"/>
      <c r="STR106" s="46"/>
      <c r="STS106" s="46"/>
      <c r="STT106" s="47">
        <v>0</v>
      </c>
      <c r="STU106" s="46" t="s">
        <v>45</v>
      </c>
      <c r="STV106" s="46"/>
      <c r="STW106" s="46"/>
      <c r="STX106" s="46"/>
      <c r="STY106" s="46"/>
      <c r="STZ106" s="46"/>
      <c r="SUA106" s="46"/>
      <c r="SUB106" s="47">
        <v>0</v>
      </c>
      <c r="SUC106" s="46" t="s">
        <v>45</v>
      </c>
      <c r="SUD106" s="46"/>
      <c r="SUE106" s="46"/>
      <c r="SUF106" s="46"/>
      <c r="SUG106" s="46"/>
      <c r="SUH106" s="46"/>
      <c r="SUI106" s="46"/>
      <c r="SUJ106" s="47">
        <v>0</v>
      </c>
      <c r="SUK106" s="46" t="s">
        <v>45</v>
      </c>
      <c r="SUL106" s="46"/>
      <c r="SUM106" s="46"/>
      <c r="SUN106" s="46"/>
      <c r="SUO106" s="46"/>
      <c r="SUP106" s="46"/>
      <c r="SUQ106" s="46"/>
      <c r="SUR106" s="47">
        <v>0</v>
      </c>
      <c r="SUS106" s="46" t="s">
        <v>45</v>
      </c>
      <c r="SUT106" s="46"/>
      <c r="SUU106" s="46"/>
      <c r="SUV106" s="46"/>
      <c r="SUW106" s="46"/>
      <c r="SUX106" s="46"/>
      <c r="SUY106" s="46"/>
      <c r="SUZ106" s="47">
        <v>0</v>
      </c>
      <c r="SVA106" s="46" t="s">
        <v>45</v>
      </c>
      <c r="SVB106" s="46"/>
      <c r="SVC106" s="46"/>
      <c r="SVD106" s="46"/>
      <c r="SVE106" s="46"/>
      <c r="SVF106" s="46"/>
      <c r="SVG106" s="46"/>
      <c r="SVH106" s="47">
        <v>0</v>
      </c>
      <c r="SVI106" s="46" t="s">
        <v>45</v>
      </c>
      <c r="SVJ106" s="46"/>
      <c r="SVK106" s="46"/>
      <c r="SVL106" s="46"/>
      <c r="SVM106" s="46"/>
      <c r="SVN106" s="46"/>
      <c r="SVO106" s="46"/>
      <c r="SVP106" s="47">
        <v>0</v>
      </c>
      <c r="SVQ106" s="46" t="s">
        <v>45</v>
      </c>
      <c r="SVR106" s="46"/>
      <c r="SVS106" s="46"/>
      <c r="SVT106" s="46"/>
      <c r="SVU106" s="46"/>
      <c r="SVV106" s="46"/>
      <c r="SVW106" s="46"/>
      <c r="SVX106" s="47">
        <v>0</v>
      </c>
      <c r="SVY106" s="46" t="s">
        <v>45</v>
      </c>
      <c r="SVZ106" s="46"/>
      <c r="SWA106" s="46"/>
      <c r="SWB106" s="46"/>
      <c r="SWC106" s="46"/>
      <c r="SWD106" s="46"/>
      <c r="SWE106" s="46"/>
      <c r="SWF106" s="47">
        <v>0</v>
      </c>
      <c r="SWG106" s="46" t="s">
        <v>45</v>
      </c>
      <c r="SWH106" s="46"/>
      <c r="SWI106" s="46"/>
      <c r="SWJ106" s="46"/>
      <c r="SWK106" s="46"/>
      <c r="SWL106" s="46"/>
      <c r="SWM106" s="46"/>
      <c r="SWN106" s="47">
        <v>0</v>
      </c>
      <c r="SWO106" s="46" t="s">
        <v>45</v>
      </c>
      <c r="SWP106" s="46"/>
      <c r="SWQ106" s="46"/>
      <c r="SWR106" s="46"/>
      <c r="SWS106" s="46"/>
      <c r="SWT106" s="46"/>
      <c r="SWU106" s="46"/>
      <c r="SWV106" s="47">
        <v>0</v>
      </c>
      <c r="SWW106" s="46" t="s">
        <v>45</v>
      </c>
      <c r="SWX106" s="46"/>
      <c r="SWY106" s="46"/>
      <c r="SWZ106" s="46"/>
      <c r="SXA106" s="46"/>
      <c r="SXB106" s="46"/>
      <c r="SXC106" s="46"/>
      <c r="SXD106" s="47">
        <v>0</v>
      </c>
      <c r="SXE106" s="46" t="s">
        <v>45</v>
      </c>
      <c r="SXF106" s="46"/>
      <c r="SXG106" s="46"/>
      <c r="SXH106" s="46"/>
      <c r="SXI106" s="46"/>
      <c r="SXJ106" s="46"/>
      <c r="SXK106" s="46"/>
      <c r="SXL106" s="47">
        <v>0</v>
      </c>
      <c r="SXM106" s="46" t="s">
        <v>45</v>
      </c>
      <c r="SXN106" s="46"/>
      <c r="SXO106" s="46"/>
      <c r="SXP106" s="46"/>
      <c r="SXQ106" s="46"/>
      <c r="SXR106" s="46"/>
      <c r="SXS106" s="46"/>
      <c r="SXT106" s="47">
        <v>0</v>
      </c>
      <c r="SXU106" s="46" t="s">
        <v>45</v>
      </c>
      <c r="SXV106" s="46"/>
      <c r="SXW106" s="46"/>
      <c r="SXX106" s="46"/>
      <c r="SXY106" s="46"/>
      <c r="SXZ106" s="46"/>
      <c r="SYA106" s="46"/>
      <c r="SYB106" s="47">
        <v>0</v>
      </c>
      <c r="SYC106" s="46" t="s">
        <v>45</v>
      </c>
      <c r="SYD106" s="46"/>
      <c r="SYE106" s="46"/>
      <c r="SYF106" s="46"/>
      <c r="SYG106" s="46"/>
      <c r="SYH106" s="46"/>
      <c r="SYI106" s="46"/>
      <c r="SYJ106" s="47">
        <v>0</v>
      </c>
      <c r="SYK106" s="46" t="s">
        <v>45</v>
      </c>
      <c r="SYL106" s="46"/>
      <c r="SYM106" s="46"/>
      <c r="SYN106" s="46"/>
      <c r="SYO106" s="46"/>
      <c r="SYP106" s="46"/>
      <c r="SYQ106" s="46"/>
      <c r="SYR106" s="47">
        <v>0</v>
      </c>
      <c r="SYS106" s="46" t="s">
        <v>45</v>
      </c>
      <c r="SYT106" s="46"/>
      <c r="SYU106" s="46"/>
      <c r="SYV106" s="46"/>
      <c r="SYW106" s="46"/>
      <c r="SYX106" s="46"/>
      <c r="SYY106" s="46"/>
      <c r="SYZ106" s="47">
        <v>0</v>
      </c>
      <c r="SZA106" s="46" t="s">
        <v>45</v>
      </c>
      <c r="SZB106" s="46"/>
      <c r="SZC106" s="46"/>
      <c r="SZD106" s="46"/>
      <c r="SZE106" s="46"/>
      <c r="SZF106" s="46"/>
      <c r="SZG106" s="46"/>
      <c r="SZH106" s="47">
        <v>0</v>
      </c>
      <c r="SZI106" s="46" t="s">
        <v>45</v>
      </c>
      <c r="SZJ106" s="46"/>
      <c r="SZK106" s="46"/>
      <c r="SZL106" s="46"/>
      <c r="SZM106" s="46"/>
      <c r="SZN106" s="46"/>
      <c r="SZO106" s="46"/>
      <c r="SZP106" s="47">
        <v>0</v>
      </c>
      <c r="SZQ106" s="46" t="s">
        <v>45</v>
      </c>
      <c r="SZR106" s="46"/>
      <c r="SZS106" s="46"/>
      <c r="SZT106" s="46"/>
      <c r="SZU106" s="46"/>
      <c r="SZV106" s="46"/>
      <c r="SZW106" s="46"/>
      <c r="SZX106" s="47">
        <v>0</v>
      </c>
      <c r="SZY106" s="46" t="s">
        <v>45</v>
      </c>
      <c r="SZZ106" s="46"/>
      <c r="TAA106" s="46"/>
      <c r="TAB106" s="46"/>
      <c r="TAC106" s="46"/>
      <c r="TAD106" s="46"/>
      <c r="TAE106" s="46"/>
      <c r="TAF106" s="47">
        <v>0</v>
      </c>
      <c r="TAG106" s="46" t="s">
        <v>45</v>
      </c>
      <c r="TAH106" s="46"/>
      <c r="TAI106" s="46"/>
      <c r="TAJ106" s="46"/>
      <c r="TAK106" s="46"/>
      <c r="TAL106" s="46"/>
      <c r="TAM106" s="46"/>
      <c r="TAN106" s="47">
        <v>0</v>
      </c>
      <c r="TAO106" s="46" t="s">
        <v>45</v>
      </c>
      <c r="TAP106" s="46"/>
      <c r="TAQ106" s="46"/>
      <c r="TAR106" s="46"/>
      <c r="TAS106" s="46"/>
      <c r="TAT106" s="46"/>
      <c r="TAU106" s="46"/>
      <c r="TAV106" s="47">
        <v>0</v>
      </c>
      <c r="TAW106" s="46" t="s">
        <v>45</v>
      </c>
      <c r="TAX106" s="46"/>
      <c r="TAY106" s="46"/>
      <c r="TAZ106" s="46"/>
      <c r="TBA106" s="46"/>
      <c r="TBB106" s="46"/>
      <c r="TBC106" s="46"/>
      <c r="TBD106" s="47">
        <v>0</v>
      </c>
      <c r="TBE106" s="46" t="s">
        <v>45</v>
      </c>
      <c r="TBF106" s="46"/>
      <c r="TBG106" s="46"/>
      <c r="TBH106" s="46"/>
      <c r="TBI106" s="46"/>
      <c r="TBJ106" s="46"/>
      <c r="TBK106" s="46"/>
      <c r="TBL106" s="47">
        <v>0</v>
      </c>
      <c r="TBM106" s="46" t="s">
        <v>45</v>
      </c>
      <c r="TBN106" s="46"/>
      <c r="TBO106" s="46"/>
      <c r="TBP106" s="46"/>
      <c r="TBQ106" s="46"/>
      <c r="TBR106" s="46"/>
      <c r="TBS106" s="46"/>
      <c r="TBT106" s="47">
        <v>0</v>
      </c>
      <c r="TBU106" s="46" t="s">
        <v>45</v>
      </c>
      <c r="TBV106" s="46"/>
      <c r="TBW106" s="46"/>
      <c r="TBX106" s="46"/>
      <c r="TBY106" s="46"/>
      <c r="TBZ106" s="46"/>
      <c r="TCA106" s="46"/>
      <c r="TCB106" s="47">
        <v>0</v>
      </c>
      <c r="TCC106" s="46" t="s">
        <v>45</v>
      </c>
      <c r="TCD106" s="46"/>
      <c r="TCE106" s="46"/>
      <c r="TCF106" s="46"/>
      <c r="TCG106" s="46"/>
      <c r="TCH106" s="46"/>
      <c r="TCI106" s="46"/>
      <c r="TCJ106" s="47">
        <v>0</v>
      </c>
      <c r="TCK106" s="46" t="s">
        <v>45</v>
      </c>
      <c r="TCL106" s="46"/>
      <c r="TCM106" s="46"/>
      <c r="TCN106" s="46"/>
      <c r="TCO106" s="46"/>
      <c r="TCP106" s="46"/>
      <c r="TCQ106" s="46"/>
      <c r="TCR106" s="47">
        <v>0</v>
      </c>
      <c r="TCS106" s="46" t="s">
        <v>45</v>
      </c>
      <c r="TCT106" s="46"/>
      <c r="TCU106" s="46"/>
      <c r="TCV106" s="46"/>
      <c r="TCW106" s="46"/>
      <c r="TCX106" s="46"/>
      <c r="TCY106" s="46"/>
      <c r="TCZ106" s="47">
        <v>0</v>
      </c>
      <c r="TDA106" s="46" t="s">
        <v>45</v>
      </c>
      <c r="TDB106" s="46"/>
      <c r="TDC106" s="46"/>
      <c r="TDD106" s="46"/>
      <c r="TDE106" s="46"/>
      <c r="TDF106" s="46"/>
      <c r="TDG106" s="46"/>
      <c r="TDH106" s="47">
        <v>0</v>
      </c>
      <c r="TDI106" s="46" t="s">
        <v>45</v>
      </c>
      <c r="TDJ106" s="46"/>
      <c r="TDK106" s="46"/>
      <c r="TDL106" s="46"/>
      <c r="TDM106" s="46"/>
      <c r="TDN106" s="46"/>
      <c r="TDO106" s="46"/>
      <c r="TDP106" s="47">
        <v>0</v>
      </c>
      <c r="TDQ106" s="46" t="s">
        <v>45</v>
      </c>
      <c r="TDR106" s="46"/>
      <c r="TDS106" s="46"/>
      <c r="TDT106" s="46"/>
      <c r="TDU106" s="46"/>
      <c r="TDV106" s="46"/>
      <c r="TDW106" s="46"/>
      <c r="TDX106" s="47">
        <v>0</v>
      </c>
      <c r="TDY106" s="46" t="s">
        <v>45</v>
      </c>
      <c r="TDZ106" s="46"/>
      <c r="TEA106" s="46"/>
      <c r="TEB106" s="46"/>
      <c r="TEC106" s="46"/>
      <c r="TED106" s="46"/>
      <c r="TEE106" s="46"/>
      <c r="TEF106" s="47">
        <v>0</v>
      </c>
      <c r="TEG106" s="46" t="s">
        <v>45</v>
      </c>
      <c r="TEH106" s="46"/>
      <c r="TEI106" s="46"/>
      <c r="TEJ106" s="46"/>
      <c r="TEK106" s="46"/>
      <c r="TEL106" s="46"/>
      <c r="TEM106" s="46"/>
      <c r="TEN106" s="47">
        <v>0</v>
      </c>
      <c r="TEO106" s="46" t="s">
        <v>45</v>
      </c>
      <c r="TEP106" s="46"/>
      <c r="TEQ106" s="46"/>
      <c r="TER106" s="46"/>
      <c r="TES106" s="46"/>
      <c r="TET106" s="46"/>
      <c r="TEU106" s="46"/>
      <c r="TEV106" s="47">
        <v>0</v>
      </c>
      <c r="TEW106" s="46" t="s">
        <v>45</v>
      </c>
      <c r="TEX106" s="46"/>
      <c r="TEY106" s="46"/>
      <c r="TEZ106" s="46"/>
      <c r="TFA106" s="46"/>
      <c r="TFB106" s="46"/>
      <c r="TFC106" s="46"/>
      <c r="TFD106" s="47">
        <v>0</v>
      </c>
      <c r="TFE106" s="46" t="s">
        <v>45</v>
      </c>
      <c r="TFF106" s="46"/>
      <c r="TFG106" s="46"/>
      <c r="TFH106" s="46"/>
      <c r="TFI106" s="46"/>
      <c r="TFJ106" s="46"/>
      <c r="TFK106" s="46"/>
      <c r="TFL106" s="47">
        <v>0</v>
      </c>
      <c r="TFM106" s="46" t="s">
        <v>45</v>
      </c>
      <c r="TFN106" s="46"/>
      <c r="TFO106" s="46"/>
      <c r="TFP106" s="46"/>
      <c r="TFQ106" s="46"/>
      <c r="TFR106" s="46"/>
      <c r="TFS106" s="46"/>
      <c r="TFT106" s="47">
        <v>0</v>
      </c>
      <c r="TFU106" s="46" t="s">
        <v>45</v>
      </c>
      <c r="TFV106" s="46"/>
      <c r="TFW106" s="46"/>
      <c r="TFX106" s="46"/>
      <c r="TFY106" s="46"/>
      <c r="TFZ106" s="46"/>
      <c r="TGA106" s="46"/>
      <c r="TGB106" s="47">
        <v>0</v>
      </c>
      <c r="TGC106" s="46" t="s">
        <v>45</v>
      </c>
      <c r="TGD106" s="46"/>
      <c r="TGE106" s="46"/>
      <c r="TGF106" s="46"/>
      <c r="TGG106" s="46"/>
      <c r="TGH106" s="46"/>
      <c r="TGI106" s="46"/>
      <c r="TGJ106" s="47">
        <v>0</v>
      </c>
      <c r="TGK106" s="46" t="s">
        <v>45</v>
      </c>
      <c r="TGL106" s="46"/>
      <c r="TGM106" s="46"/>
      <c r="TGN106" s="46"/>
      <c r="TGO106" s="46"/>
      <c r="TGP106" s="46"/>
      <c r="TGQ106" s="46"/>
      <c r="TGR106" s="47">
        <v>0</v>
      </c>
      <c r="TGS106" s="46" t="s">
        <v>45</v>
      </c>
      <c r="TGT106" s="46"/>
      <c r="TGU106" s="46"/>
      <c r="TGV106" s="46"/>
      <c r="TGW106" s="46"/>
      <c r="TGX106" s="46"/>
      <c r="TGY106" s="46"/>
      <c r="TGZ106" s="47">
        <v>0</v>
      </c>
      <c r="THA106" s="46" t="s">
        <v>45</v>
      </c>
      <c r="THB106" s="46"/>
      <c r="THC106" s="46"/>
      <c r="THD106" s="46"/>
      <c r="THE106" s="46"/>
      <c r="THF106" s="46"/>
      <c r="THG106" s="46"/>
      <c r="THH106" s="47">
        <v>0</v>
      </c>
      <c r="THI106" s="46" t="s">
        <v>45</v>
      </c>
      <c r="THJ106" s="46"/>
      <c r="THK106" s="46"/>
      <c r="THL106" s="46"/>
      <c r="THM106" s="46"/>
      <c r="THN106" s="46"/>
      <c r="THO106" s="46"/>
      <c r="THP106" s="47">
        <v>0</v>
      </c>
      <c r="THQ106" s="46" t="s">
        <v>45</v>
      </c>
      <c r="THR106" s="46"/>
      <c r="THS106" s="46"/>
      <c r="THT106" s="46"/>
      <c r="THU106" s="46"/>
      <c r="THV106" s="46"/>
      <c r="THW106" s="46"/>
      <c r="THX106" s="47">
        <v>0</v>
      </c>
      <c r="THY106" s="46" t="s">
        <v>45</v>
      </c>
      <c r="THZ106" s="46"/>
      <c r="TIA106" s="46"/>
      <c r="TIB106" s="46"/>
      <c r="TIC106" s="46"/>
      <c r="TID106" s="46"/>
      <c r="TIE106" s="46"/>
      <c r="TIF106" s="47">
        <v>0</v>
      </c>
      <c r="TIG106" s="46" t="s">
        <v>45</v>
      </c>
      <c r="TIH106" s="46"/>
      <c r="TII106" s="46"/>
      <c r="TIJ106" s="46"/>
      <c r="TIK106" s="46"/>
      <c r="TIL106" s="46"/>
      <c r="TIM106" s="46"/>
      <c r="TIN106" s="47">
        <v>0</v>
      </c>
      <c r="TIO106" s="46" t="s">
        <v>45</v>
      </c>
      <c r="TIP106" s="46"/>
      <c r="TIQ106" s="46"/>
      <c r="TIR106" s="46"/>
      <c r="TIS106" s="46"/>
      <c r="TIT106" s="46"/>
      <c r="TIU106" s="46"/>
      <c r="TIV106" s="47">
        <v>0</v>
      </c>
      <c r="TIW106" s="46" t="s">
        <v>45</v>
      </c>
      <c r="TIX106" s="46"/>
      <c r="TIY106" s="46"/>
      <c r="TIZ106" s="46"/>
      <c r="TJA106" s="46"/>
      <c r="TJB106" s="46"/>
      <c r="TJC106" s="46"/>
      <c r="TJD106" s="47">
        <v>0</v>
      </c>
      <c r="TJE106" s="46" t="s">
        <v>45</v>
      </c>
      <c r="TJF106" s="46"/>
      <c r="TJG106" s="46"/>
      <c r="TJH106" s="46"/>
      <c r="TJI106" s="46"/>
      <c r="TJJ106" s="46"/>
      <c r="TJK106" s="46"/>
      <c r="TJL106" s="47">
        <v>0</v>
      </c>
      <c r="TJM106" s="46" t="s">
        <v>45</v>
      </c>
      <c r="TJN106" s="46"/>
      <c r="TJO106" s="46"/>
      <c r="TJP106" s="46"/>
      <c r="TJQ106" s="46"/>
      <c r="TJR106" s="46"/>
      <c r="TJS106" s="46"/>
      <c r="TJT106" s="47">
        <v>0</v>
      </c>
      <c r="TJU106" s="46" t="s">
        <v>45</v>
      </c>
      <c r="TJV106" s="46"/>
      <c r="TJW106" s="46"/>
      <c r="TJX106" s="46"/>
      <c r="TJY106" s="46"/>
      <c r="TJZ106" s="46"/>
      <c r="TKA106" s="46"/>
      <c r="TKB106" s="47">
        <v>0</v>
      </c>
      <c r="TKC106" s="46" t="s">
        <v>45</v>
      </c>
      <c r="TKD106" s="46"/>
      <c r="TKE106" s="46"/>
      <c r="TKF106" s="46"/>
      <c r="TKG106" s="46"/>
      <c r="TKH106" s="46"/>
      <c r="TKI106" s="46"/>
      <c r="TKJ106" s="47">
        <v>0</v>
      </c>
      <c r="TKK106" s="46" t="s">
        <v>45</v>
      </c>
      <c r="TKL106" s="46"/>
      <c r="TKM106" s="46"/>
      <c r="TKN106" s="46"/>
      <c r="TKO106" s="46"/>
      <c r="TKP106" s="46"/>
      <c r="TKQ106" s="46"/>
      <c r="TKR106" s="47">
        <v>0</v>
      </c>
      <c r="TKS106" s="46" t="s">
        <v>45</v>
      </c>
      <c r="TKT106" s="46"/>
      <c r="TKU106" s="46"/>
      <c r="TKV106" s="46"/>
      <c r="TKW106" s="46"/>
      <c r="TKX106" s="46"/>
      <c r="TKY106" s="46"/>
      <c r="TKZ106" s="47">
        <v>0</v>
      </c>
      <c r="TLA106" s="46" t="s">
        <v>45</v>
      </c>
      <c r="TLB106" s="46"/>
      <c r="TLC106" s="46"/>
      <c r="TLD106" s="46"/>
      <c r="TLE106" s="46"/>
      <c r="TLF106" s="46"/>
      <c r="TLG106" s="46"/>
      <c r="TLH106" s="47">
        <v>0</v>
      </c>
      <c r="TLI106" s="46" t="s">
        <v>45</v>
      </c>
      <c r="TLJ106" s="46"/>
      <c r="TLK106" s="46"/>
      <c r="TLL106" s="46"/>
      <c r="TLM106" s="46"/>
      <c r="TLN106" s="46"/>
      <c r="TLO106" s="46"/>
      <c r="TLP106" s="47">
        <v>0</v>
      </c>
      <c r="TLQ106" s="46" t="s">
        <v>45</v>
      </c>
      <c r="TLR106" s="46"/>
      <c r="TLS106" s="46"/>
      <c r="TLT106" s="46"/>
      <c r="TLU106" s="46"/>
      <c r="TLV106" s="46"/>
      <c r="TLW106" s="46"/>
      <c r="TLX106" s="47">
        <v>0</v>
      </c>
      <c r="TLY106" s="46" t="s">
        <v>45</v>
      </c>
      <c r="TLZ106" s="46"/>
      <c r="TMA106" s="46"/>
      <c r="TMB106" s="46"/>
      <c r="TMC106" s="46"/>
      <c r="TMD106" s="46"/>
      <c r="TME106" s="46"/>
      <c r="TMF106" s="47">
        <v>0</v>
      </c>
      <c r="TMG106" s="46" t="s">
        <v>45</v>
      </c>
      <c r="TMH106" s="46"/>
      <c r="TMI106" s="46"/>
      <c r="TMJ106" s="46"/>
      <c r="TMK106" s="46"/>
      <c r="TML106" s="46"/>
      <c r="TMM106" s="46"/>
      <c r="TMN106" s="47">
        <v>0</v>
      </c>
      <c r="TMO106" s="46" t="s">
        <v>45</v>
      </c>
      <c r="TMP106" s="46"/>
      <c r="TMQ106" s="46"/>
      <c r="TMR106" s="46"/>
      <c r="TMS106" s="46"/>
      <c r="TMT106" s="46"/>
      <c r="TMU106" s="46"/>
      <c r="TMV106" s="47">
        <v>0</v>
      </c>
      <c r="TMW106" s="46" t="s">
        <v>45</v>
      </c>
      <c r="TMX106" s="46"/>
      <c r="TMY106" s="46"/>
      <c r="TMZ106" s="46"/>
      <c r="TNA106" s="46"/>
      <c r="TNB106" s="46"/>
      <c r="TNC106" s="46"/>
      <c r="TND106" s="47">
        <v>0</v>
      </c>
      <c r="TNE106" s="46" t="s">
        <v>45</v>
      </c>
      <c r="TNF106" s="46"/>
      <c r="TNG106" s="46"/>
      <c r="TNH106" s="46"/>
      <c r="TNI106" s="46"/>
      <c r="TNJ106" s="46"/>
      <c r="TNK106" s="46"/>
      <c r="TNL106" s="47">
        <v>0</v>
      </c>
      <c r="TNM106" s="46" t="s">
        <v>45</v>
      </c>
      <c r="TNN106" s="46"/>
      <c r="TNO106" s="46"/>
      <c r="TNP106" s="46"/>
      <c r="TNQ106" s="46"/>
      <c r="TNR106" s="46"/>
      <c r="TNS106" s="46"/>
      <c r="TNT106" s="47">
        <v>0</v>
      </c>
      <c r="TNU106" s="46" t="s">
        <v>45</v>
      </c>
      <c r="TNV106" s="46"/>
      <c r="TNW106" s="46"/>
      <c r="TNX106" s="46"/>
      <c r="TNY106" s="46"/>
      <c r="TNZ106" s="46"/>
      <c r="TOA106" s="46"/>
      <c r="TOB106" s="47">
        <v>0</v>
      </c>
      <c r="TOC106" s="46" t="s">
        <v>45</v>
      </c>
      <c r="TOD106" s="46"/>
      <c r="TOE106" s="46"/>
      <c r="TOF106" s="46"/>
      <c r="TOG106" s="46"/>
      <c r="TOH106" s="46"/>
      <c r="TOI106" s="46"/>
      <c r="TOJ106" s="47">
        <v>0</v>
      </c>
      <c r="TOK106" s="46" t="s">
        <v>45</v>
      </c>
      <c r="TOL106" s="46"/>
      <c r="TOM106" s="46"/>
      <c r="TON106" s="46"/>
      <c r="TOO106" s="46"/>
      <c r="TOP106" s="46"/>
      <c r="TOQ106" s="46"/>
      <c r="TOR106" s="47">
        <v>0</v>
      </c>
      <c r="TOS106" s="46" t="s">
        <v>45</v>
      </c>
      <c r="TOT106" s="46"/>
      <c r="TOU106" s="46"/>
      <c r="TOV106" s="46"/>
      <c r="TOW106" s="46"/>
      <c r="TOX106" s="46"/>
      <c r="TOY106" s="46"/>
      <c r="TOZ106" s="47">
        <v>0</v>
      </c>
      <c r="TPA106" s="46" t="s">
        <v>45</v>
      </c>
      <c r="TPB106" s="46"/>
      <c r="TPC106" s="46"/>
      <c r="TPD106" s="46"/>
      <c r="TPE106" s="46"/>
      <c r="TPF106" s="46"/>
      <c r="TPG106" s="46"/>
      <c r="TPH106" s="47">
        <v>0</v>
      </c>
      <c r="TPI106" s="46" t="s">
        <v>45</v>
      </c>
      <c r="TPJ106" s="46"/>
      <c r="TPK106" s="46"/>
      <c r="TPL106" s="46"/>
      <c r="TPM106" s="46"/>
      <c r="TPN106" s="46"/>
      <c r="TPO106" s="46"/>
      <c r="TPP106" s="47">
        <v>0</v>
      </c>
      <c r="TPQ106" s="46" t="s">
        <v>45</v>
      </c>
      <c r="TPR106" s="46"/>
      <c r="TPS106" s="46"/>
      <c r="TPT106" s="46"/>
      <c r="TPU106" s="46"/>
      <c r="TPV106" s="46"/>
      <c r="TPW106" s="46"/>
      <c r="TPX106" s="47">
        <v>0</v>
      </c>
      <c r="TPY106" s="46" t="s">
        <v>45</v>
      </c>
      <c r="TPZ106" s="46"/>
      <c r="TQA106" s="46"/>
      <c r="TQB106" s="46"/>
      <c r="TQC106" s="46"/>
      <c r="TQD106" s="46"/>
      <c r="TQE106" s="46"/>
      <c r="TQF106" s="47">
        <v>0</v>
      </c>
      <c r="TQG106" s="46" t="s">
        <v>45</v>
      </c>
      <c r="TQH106" s="46"/>
      <c r="TQI106" s="46"/>
      <c r="TQJ106" s="46"/>
      <c r="TQK106" s="46"/>
      <c r="TQL106" s="46"/>
      <c r="TQM106" s="46"/>
      <c r="TQN106" s="47">
        <v>0</v>
      </c>
      <c r="TQO106" s="46" t="s">
        <v>45</v>
      </c>
      <c r="TQP106" s="46"/>
      <c r="TQQ106" s="46"/>
      <c r="TQR106" s="46"/>
      <c r="TQS106" s="46"/>
      <c r="TQT106" s="46"/>
      <c r="TQU106" s="46"/>
      <c r="TQV106" s="47">
        <v>0</v>
      </c>
      <c r="TQW106" s="46" t="s">
        <v>45</v>
      </c>
      <c r="TQX106" s="46"/>
      <c r="TQY106" s="46"/>
      <c r="TQZ106" s="46"/>
      <c r="TRA106" s="46"/>
      <c r="TRB106" s="46"/>
      <c r="TRC106" s="46"/>
      <c r="TRD106" s="47">
        <v>0</v>
      </c>
      <c r="TRE106" s="46" t="s">
        <v>45</v>
      </c>
      <c r="TRF106" s="46"/>
      <c r="TRG106" s="46"/>
      <c r="TRH106" s="46"/>
      <c r="TRI106" s="46"/>
      <c r="TRJ106" s="46"/>
      <c r="TRK106" s="46"/>
      <c r="TRL106" s="47">
        <v>0</v>
      </c>
      <c r="TRM106" s="46" t="s">
        <v>45</v>
      </c>
      <c r="TRN106" s="46"/>
      <c r="TRO106" s="46"/>
      <c r="TRP106" s="46"/>
      <c r="TRQ106" s="46"/>
      <c r="TRR106" s="46"/>
      <c r="TRS106" s="46"/>
      <c r="TRT106" s="47">
        <v>0</v>
      </c>
      <c r="TRU106" s="46" t="s">
        <v>45</v>
      </c>
      <c r="TRV106" s="46"/>
      <c r="TRW106" s="46"/>
      <c r="TRX106" s="46"/>
      <c r="TRY106" s="46"/>
      <c r="TRZ106" s="46"/>
      <c r="TSA106" s="46"/>
      <c r="TSB106" s="47">
        <v>0</v>
      </c>
      <c r="TSC106" s="46" t="s">
        <v>45</v>
      </c>
      <c r="TSD106" s="46"/>
      <c r="TSE106" s="46"/>
      <c r="TSF106" s="46"/>
      <c r="TSG106" s="46"/>
      <c r="TSH106" s="46"/>
      <c r="TSI106" s="46"/>
      <c r="TSJ106" s="47">
        <v>0</v>
      </c>
      <c r="TSK106" s="46" t="s">
        <v>45</v>
      </c>
      <c r="TSL106" s="46"/>
      <c r="TSM106" s="46"/>
      <c r="TSN106" s="46"/>
      <c r="TSO106" s="46"/>
      <c r="TSP106" s="46"/>
      <c r="TSQ106" s="46"/>
      <c r="TSR106" s="47">
        <v>0</v>
      </c>
      <c r="TSS106" s="46" t="s">
        <v>45</v>
      </c>
      <c r="TST106" s="46"/>
      <c r="TSU106" s="46"/>
      <c r="TSV106" s="46"/>
      <c r="TSW106" s="46"/>
      <c r="TSX106" s="46"/>
      <c r="TSY106" s="46"/>
      <c r="TSZ106" s="47">
        <v>0</v>
      </c>
      <c r="TTA106" s="46" t="s">
        <v>45</v>
      </c>
      <c r="TTB106" s="46"/>
      <c r="TTC106" s="46"/>
      <c r="TTD106" s="46"/>
      <c r="TTE106" s="46"/>
      <c r="TTF106" s="46"/>
      <c r="TTG106" s="46"/>
      <c r="TTH106" s="47">
        <v>0</v>
      </c>
      <c r="TTI106" s="46" t="s">
        <v>45</v>
      </c>
      <c r="TTJ106" s="46"/>
      <c r="TTK106" s="46"/>
      <c r="TTL106" s="46"/>
      <c r="TTM106" s="46"/>
      <c r="TTN106" s="46"/>
      <c r="TTO106" s="46"/>
      <c r="TTP106" s="47">
        <v>0</v>
      </c>
      <c r="TTQ106" s="46" t="s">
        <v>45</v>
      </c>
      <c r="TTR106" s="46"/>
      <c r="TTS106" s="46"/>
      <c r="TTT106" s="46"/>
      <c r="TTU106" s="46"/>
      <c r="TTV106" s="46"/>
      <c r="TTW106" s="46"/>
      <c r="TTX106" s="47">
        <v>0</v>
      </c>
      <c r="TTY106" s="46" t="s">
        <v>45</v>
      </c>
      <c r="TTZ106" s="46"/>
      <c r="TUA106" s="46"/>
      <c r="TUB106" s="46"/>
      <c r="TUC106" s="46"/>
      <c r="TUD106" s="46"/>
      <c r="TUE106" s="46"/>
      <c r="TUF106" s="47">
        <v>0</v>
      </c>
      <c r="TUG106" s="46" t="s">
        <v>45</v>
      </c>
      <c r="TUH106" s="46"/>
      <c r="TUI106" s="46"/>
      <c r="TUJ106" s="46"/>
      <c r="TUK106" s="46"/>
      <c r="TUL106" s="46"/>
      <c r="TUM106" s="46"/>
      <c r="TUN106" s="47">
        <v>0</v>
      </c>
      <c r="TUO106" s="46" t="s">
        <v>45</v>
      </c>
      <c r="TUP106" s="46"/>
      <c r="TUQ106" s="46"/>
      <c r="TUR106" s="46"/>
      <c r="TUS106" s="46"/>
      <c r="TUT106" s="46"/>
      <c r="TUU106" s="46"/>
      <c r="TUV106" s="47">
        <v>0</v>
      </c>
      <c r="TUW106" s="46" t="s">
        <v>45</v>
      </c>
      <c r="TUX106" s="46"/>
      <c r="TUY106" s="46"/>
      <c r="TUZ106" s="46"/>
      <c r="TVA106" s="46"/>
      <c r="TVB106" s="46"/>
      <c r="TVC106" s="46"/>
      <c r="TVD106" s="47">
        <v>0</v>
      </c>
      <c r="TVE106" s="46" t="s">
        <v>45</v>
      </c>
      <c r="TVF106" s="46"/>
      <c r="TVG106" s="46"/>
      <c r="TVH106" s="46"/>
      <c r="TVI106" s="46"/>
      <c r="TVJ106" s="46"/>
      <c r="TVK106" s="46"/>
      <c r="TVL106" s="47">
        <v>0</v>
      </c>
      <c r="TVM106" s="46" t="s">
        <v>45</v>
      </c>
      <c r="TVN106" s="46"/>
      <c r="TVO106" s="46"/>
      <c r="TVP106" s="46"/>
      <c r="TVQ106" s="46"/>
      <c r="TVR106" s="46"/>
      <c r="TVS106" s="46"/>
      <c r="TVT106" s="47">
        <v>0</v>
      </c>
      <c r="TVU106" s="46" t="s">
        <v>45</v>
      </c>
      <c r="TVV106" s="46"/>
      <c r="TVW106" s="46"/>
      <c r="TVX106" s="46"/>
      <c r="TVY106" s="46"/>
      <c r="TVZ106" s="46"/>
      <c r="TWA106" s="46"/>
      <c r="TWB106" s="47">
        <v>0</v>
      </c>
      <c r="TWC106" s="46" t="s">
        <v>45</v>
      </c>
      <c r="TWD106" s="46"/>
      <c r="TWE106" s="46"/>
      <c r="TWF106" s="46"/>
      <c r="TWG106" s="46"/>
      <c r="TWH106" s="46"/>
      <c r="TWI106" s="46"/>
      <c r="TWJ106" s="47">
        <v>0</v>
      </c>
      <c r="TWK106" s="46" t="s">
        <v>45</v>
      </c>
      <c r="TWL106" s="46"/>
      <c r="TWM106" s="46"/>
      <c r="TWN106" s="46"/>
      <c r="TWO106" s="46"/>
      <c r="TWP106" s="46"/>
      <c r="TWQ106" s="46"/>
      <c r="TWR106" s="47">
        <v>0</v>
      </c>
      <c r="TWS106" s="46" t="s">
        <v>45</v>
      </c>
      <c r="TWT106" s="46"/>
      <c r="TWU106" s="46"/>
      <c r="TWV106" s="46"/>
      <c r="TWW106" s="46"/>
      <c r="TWX106" s="46"/>
      <c r="TWY106" s="46"/>
      <c r="TWZ106" s="47">
        <v>0</v>
      </c>
      <c r="TXA106" s="46" t="s">
        <v>45</v>
      </c>
      <c r="TXB106" s="46"/>
      <c r="TXC106" s="46"/>
      <c r="TXD106" s="46"/>
      <c r="TXE106" s="46"/>
      <c r="TXF106" s="46"/>
      <c r="TXG106" s="46"/>
      <c r="TXH106" s="47">
        <v>0</v>
      </c>
      <c r="TXI106" s="46" t="s">
        <v>45</v>
      </c>
      <c r="TXJ106" s="46"/>
      <c r="TXK106" s="46"/>
      <c r="TXL106" s="46"/>
      <c r="TXM106" s="46"/>
      <c r="TXN106" s="46"/>
      <c r="TXO106" s="46"/>
      <c r="TXP106" s="47">
        <v>0</v>
      </c>
      <c r="TXQ106" s="46" t="s">
        <v>45</v>
      </c>
      <c r="TXR106" s="46"/>
      <c r="TXS106" s="46"/>
      <c r="TXT106" s="46"/>
      <c r="TXU106" s="46"/>
      <c r="TXV106" s="46"/>
      <c r="TXW106" s="46"/>
      <c r="TXX106" s="47">
        <v>0</v>
      </c>
      <c r="TXY106" s="46" t="s">
        <v>45</v>
      </c>
      <c r="TXZ106" s="46"/>
      <c r="TYA106" s="46"/>
      <c r="TYB106" s="46"/>
      <c r="TYC106" s="46"/>
      <c r="TYD106" s="46"/>
      <c r="TYE106" s="46"/>
      <c r="TYF106" s="47">
        <v>0</v>
      </c>
      <c r="TYG106" s="46" t="s">
        <v>45</v>
      </c>
      <c r="TYH106" s="46"/>
      <c r="TYI106" s="46"/>
      <c r="TYJ106" s="46"/>
      <c r="TYK106" s="46"/>
      <c r="TYL106" s="46"/>
      <c r="TYM106" s="46"/>
      <c r="TYN106" s="47">
        <v>0</v>
      </c>
      <c r="TYO106" s="46" t="s">
        <v>45</v>
      </c>
      <c r="TYP106" s="46"/>
      <c r="TYQ106" s="46"/>
      <c r="TYR106" s="46"/>
      <c r="TYS106" s="46"/>
      <c r="TYT106" s="46"/>
      <c r="TYU106" s="46"/>
      <c r="TYV106" s="47">
        <v>0</v>
      </c>
      <c r="TYW106" s="46" t="s">
        <v>45</v>
      </c>
      <c r="TYX106" s="46"/>
      <c r="TYY106" s="46"/>
      <c r="TYZ106" s="46"/>
      <c r="TZA106" s="46"/>
      <c r="TZB106" s="46"/>
      <c r="TZC106" s="46"/>
      <c r="TZD106" s="47">
        <v>0</v>
      </c>
      <c r="TZE106" s="46" t="s">
        <v>45</v>
      </c>
      <c r="TZF106" s="46"/>
      <c r="TZG106" s="46"/>
      <c r="TZH106" s="46"/>
      <c r="TZI106" s="46"/>
      <c r="TZJ106" s="46"/>
      <c r="TZK106" s="46"/>
      <c r="TZL106" s="47">
        <v>0</v>
      </c>
      <c r="TZM106" s="46" t="s">
        <v>45</v>
      </c>
      <c r="TZN106" s="46"/>
      <c r="TZO106" s="46"/>
      <c r="TZP106" s="46"/>
      <c r="TZQ106" s="46"/>
      <c r="TZR106" s="46"/>
      <c r="TZS106" s="46"/>
      <c r="TZT106" s="47">
        <v>0</v>
      </c>
      <c r="TZU106" s="46" t="s">
        <v>45</v>
      </c>
      <c r="TZV106" s="46"/>
      <c r="TZW106" s="46"/>
      <c r="TZX106" s="46"/>
      <c r="TZY106" s="46"/>
      <c r="TZZ106" s="46"/>
      <c r="UAA106" s="46"/>
      <c r="UAB106" s="47">
        <v>0</v>
      </c>
      <c r="UAC106" s="46" t="s">
        <v>45</v>
      </c>
      <c r="UAD106" s="46"/>
      <c r="UAE106" s="46"/>
      <c r="UAF106" s="46"/>
      <c r="UAG106" s="46"/>
      <c r="UAH106" s="46"/>
      <c r="UAI106" s="46"/>
      <c r="UAJ106" s="47">
        <v>0</v>
      </c>
      <c r="UAK106" s="46" t="s">
        <v>45</v>
      </c>
      <c r="UAL106" s="46"/>
      <c r="UAM106" s="46"/>
      <c r="UAN106" s="46"/>
      <c r="UAO106" s="46"/>
      <c r="UAP106" s="46"/>
      <c r="UAQ106" s="46"/>
      <c r="UAR106" s="47">
        <v>0</v>
      </c>
      <c r="UAS106" s="46" t="s">
        <v>45</v>
      </c>
      <c r="UAT106" s="46"/>
      <c r="UAU106" s="46"/>
      <c r="UAV106" s="46"/>
      <c r="UAW106" s="46"/>
      <c r="UAX106" s="46"/>
      <c r="UAY106" s="46"/>
      <c r="UAZ106" s="47">
        <v>0</v>
      </c>
      <c r="UBA106" s="46" t="s">
        <v>45</v>
      </c>
      <c r="UBB106" s="46"/>
      <c r="UBC106" s="46"/>
      <c r="UBD106" s="46"/>
      <c r="UBE106" s="46"/>
      <c r="UBF106" s="46"/>
      <c r="UBG106" s="46"/>
      <c r="UBH106" s="47">
        <v>0</v>
      </c>
      <c r="UBI106" s="46" t="s">
        <v>45</v>
      </c>
      <c r="UBJ106" s="46"/>
      <c r="UBK106" s="46"/>
      <c r="UBL106" s="46"/>
      <c r="UBM106" s="46"/>
      <c r="UBN106" s="46"/>
      <c r="UBO106" s="46"/>
      <c r="UBP106" s="47">
        <v>0</v>
      </c>
      <c r="UBQ106" s="46" t="s">
        <v>45</v>
      </c>
      <c r="UBR106" s="46"/>
      <c r="UBS106" s="46"/>
      <c r="UBT106" s="46"/>
      <c r="UBU106" s="46"/>
      <c r="UBV106" s="46"/>
      <c r="UBW106" s="46"/>
      <c r="UBX106" s="47">
        <v>0</v>
      </c>
      <c r="UBY106" s="46" t="s">
        <v>45</v>
      </c>
      <c r="UBZ106" s="46"/>
      <c r="UCA106" s="46"/>
      <c r="UCB106" s="46"/>
      <c r="UCC106" s="46"/>
      <c r="UCD106" s="46"/>
      <c r="UCE106" s="46"/>
      <c r="UCF106" s="47">
        <v>0</v>
      </c>
      <c r="UCG106" s="46" t="s">
        <v>45</v>
      </c>
      <c r="UCH106" s="46"/>
      <c r="UCI106" s="46"/>
      <c r="UCJ106" s="46"/>
      <c r="UCK106" s="46"/>
      <c r="UCL106" s="46"/>
      <c r="UCM106" s="46"/>
      <c r="UCN106" s="47">
        <v>0</v>
      </c>
      <c r="UCO106" s="46" t="s">
        <v>45</v>
      </c>
      <c r="UCP106" s="46"/>
      <c r="UCQ106" s="46"/>
      <c r="UCR106" s="46"/>
      <c r="UCS106" s="46"/>
      <c r="UCT106" s="46"/>
      <c r="UCU106" s="46"/>
      <c r="UCV106" s="47">
        <v>0</v>
      </c>
      <c r="UCW106" s="46" t="s">
        <v>45</v>
      </c>
      <c r="UCX106" s="46"/>
      <c r="UCY106" s="46"/>
      <c r="UCZ106" s="46"/>
      <c r="UDA106" s="46"/>
      <c r="UDB106" s="46"/>
      <c r="UDC106" s="46"/>
      <c r="UDD106" s="47">
        <v>0</v>
      </c>
      <c r="UDE106" s="46" t="s">
        <v>45</v>
      </c>
      <c r="UDF106" s="46"/>
      <c r="UDG106" s="46"/>
      <c r="UDH106" s="46"/>
      <c r="UDI106" s="46"/>
      <c r="UDJ106" s="46"/>
      <c r="UDK106" s="46"/>
      <c r="UDL106" s="47">
        <v>0</v>
      </c>
      <c r="UDM106" s="46" t="s">
        <v>45</v>
      </c>
      <c r="UDN106" s="46"/>
      <c r="UDO106" s="46"/>
      <c r="UDP106" s="46"/>
      <c r="UDQ106" s="46"/>
      <c r="UDR106" s="46"/>
      <c r="UDS106" s="46"/>
      <c r="UDT106" s="47">
        <v>0</v>
      </c>
      <c r="UDU106" s="46" t="s">
        <v>45</v>
      </c>
      <c r="UDV106" s="46"/>
      <c r="UDW106" s="46"/>
      <c r="UDX106" s="46"/>
      <c r="UDY106" s="46"/>
      <c r="UDZ106" s="46"/>
      <c r="UEA106" s="46"/>
      <c r="UEB106" s="47">
        <v>0</v>
      </c>
      <c r="UEC106" s="46" t="s">
        <v>45</v>
      </c>
      <c r="UED106" s="46"/>
      <c r="UEE106" s="46"/>
      <c r="UEF106" s="46"/>
      <c r="UEG106" s="46"/>
      <c r="UEH106" s="46"/>
      <c r="UEI106" s="46"/>
      <c r="UEJ106" s="47">
        <v>0</v>
      </c>
      <c r="UEK106" s="46" t="s">
        <v>45</v>
      </c>
      <c r="UEL106" s="46"/>
      <c r="UEM106" s="46"/>
      <c r="UEN106" s="46"/>
      <c r="UEO106" s="46"/>
      <c r="UEP106" s="46"/>
      <c r="UEQ106" s="46"/>
      <c r="UER106" s="47">
        <v>0</v>
      </c>
      <c r="UES106" s="46" t="s">
        <v>45</v>
      </c>
      <c r="UET106" s="46"/>
      <c r="UEU106" s="46"/>
      <c r="UEV106" s="46"/>
      <c r="UEW106" s="46"/>
      <c r="UEX106" s="46"/>
      <c r="UEY106" s="46"/>
      <c r="UEZ106" s="47">
        <v>0</v>
      </c>
      <c r="UFA106" s="46" t="s">
        <v>45</v>
      </c>
      <c r="UFB106" s="46"/>
      <c r="UFC106" s="46"/>
      <c r="UFD106" s="46"/>
      <c r="UFE106" s="46"/>
      <c r="UFF106" s="46"/>
      <c r="UFG106" s="46"/>
      <c r="UFH106" s="47">
        <v>0</v>
      </c>
      <c r="UFI106" s="46" t="s">
        <v>45</v>
      </c>
      <c r="UFJ106" s="46"/>
      <c r="UFK106" s="46"/>
      <c r="UFL106" s="46"/>
      <c r="UFM106" s="46"/>
      <c r="UFN106" s="46"/>
      <c r="UFO106" s="46"/>
      <c r="UFP106" s="47">
        <v>0</v>
      </c>
      <c r="UFQ106" s="46" t="s">
        <v>45</v>
      </c>
      <c r="UFR106" s="46"/>
      <c r="UFS106" s="46"/>
      <c r="UFT106" s="46"/>
      <c r="UFU106" s="46"/>
      <c r="UFV106" s="46"/>
      <c r="UFW106" s="46"/>
      <c r="UFX106" s="47">
        <v>0</v>
      </c>
      <c r="UFY106" s="46" t="s">
        <v>45</v>
      </c>
      <c r="UFZ106" s="46"/>
      <c r="UGA106" s="46"/>
      <c r="UGB106" s="46"/>
      <c r="UGC106" s="46"/>
      <c r="UGD106" s="46"/>
      <c r="UGE106" s="46"/>
      <c r="UGF106" s="47">
        <v>0</v>
      </c>
      <c r="UGG106" s="46" t="s">
        <v>45</v>
      </c>
      <c r="UGH106" s="46"/>
      <c r="UGI106" s="46"/>
      <c r="UGJ106" s="46"/>
      <c r="UGK106" s="46"/>
      <c r="UGL106" s="46"/>
      <c r="UGM106" s="46"/>
      <c r="UGN106" s="47">
        <v>0</v>
      </c>
      <c r="UGO106" s="46" t="s">
        <v>45</v>
      </c>
      <c r="UGP106" s="46"/>
      <c r="UGQ106" s="46"/>
      <c r="UGR106" s="46"/>
      <c r="UGS106" s="46"/>
      <c r="UGT106" s="46"/>
      <c r="UGU106" s="46"/>
      <c r="UGV106" s="47">
        <v>0</v>
      </c>
      <c r="UGW106" s="46" t="s">
        <v>45</v>
      </c>
      <c r="UGX106" s="46"/>
      <c r="UGY106" s="46"/>
      <c r="UGZ106" s="46"/>
      <c r="UHA106" s="46"/>
      <c r="UHB106" s="46"/>
      <c r="UHC106" s="46"/>
      <c r="UHD106" s="47">
        <v>0</v>
      </c>
      <c r="UHE106" s="46" t="s">
        <v>45</v>
      </c>
      <c r="UHF106" s="46"/>
      <c r="UHG106" s="46"/>
      <c r="UHH106" s="46"/>
      <c r="UHI106" s="46"/>
      <c r="UHJ106" s="46"/>
      <c r="UHK106" s="46"/>
      <c r="UHL106" s="47">
        <v>0</v>
      </c>
      <c r="UHM106" s="46" t="s">
        <v>45</v>
      </c>
      <c r="UHN106" s="46"/>
      <c r="UHO106" s="46"/>
      <c r="UHP106" s="46"/>
      <c r="UHQ106" s="46"/>
      <c r="UHR106" s="46"/>
      <c r="UHS106" s="46"/>
      <c r="UHT106" s="47">
        <v>0</v>
      </c>
      <c r="UHU106" s="46" t="s">
        <v>45</v>
      </c>
      <c r="UHV106" s="46"/>
      <c r="UHW106" s="46"/>
      <c r="UHX106" s="46"/>
      <c r="UHY106" s="46"/>
      <c r="UHZ106" s="46"/>
      <c r="UIA106" s="46"/>
      <c r="UIB106" s="47">
        <v>0</v>
      </c>
      <c r="UIC106" s="46" t="s">
        <v>45</v>
      </c>
      <c r="UID106" s="46"/>
      <c r="UIE106" s="46"/>
      <c r="UIF106" s="46"/>
      <c r="UIG106" s="46"/>
      <c r="UIH106" s="46"/>
      <c r="UII106" s="46"/>
      <c r="UIJ106" s="47">
        <v>0</v>
      </c>
      <c r="UIK106" s="46" t="s">
        <v>45</v>
      </c>
      <c r="UIL106" s="46"/>
      <c r="UIM106" s="46"/>
      <c r="UIN106" s="46"/>
      <c r="UIO106" s="46"/>
      <c r="UIP106" s="46"/>
      <c r="UIQ106" s="46"/>
      <c r="UIR106" s="47">
        <v>0</v>
      </c>
      <c r="UIS106" s="46" t="s">
        <v>45</v>
      </c>
      <c r="UIT106" s="46"/>
      <c r="UIU106" s="46"/>
      <c r="UIV106" s="46"/>
      <c r="UIW106" s="46"/>
      <c r="UIX106" s="46"/>
      <c r="UIY106" s="46"/>
      <c r="UIZ106" s="47">
        <v>0</v>
      </c>
      <c r="UJA106" s="46" t="s">
        <v>45</v>
      </c>
      <c r="UJB106" s="46"/>
      <c r="UJC106" s="46"/>
      <c r="UJD106" s="46"/>
      <c r="UJE106" s="46"/>
      <c r="UJF106" s="46"/>
      <c r="UJG106" s="46"/>
      <c r="UJH106" s="47">
        <v>0</v>
      </c>
      <c r="UJI106" s="46" t="s">
        <v>45</v>
      </c>
      <c r="UJJ106" s="46"/>
      <c r="UJK106" s="46"/>
      <c r="UJL106" s="46"/>
      <c r="UJM106" s="46"/>
      <c r="UJN106" s="46"/>
      <c r="UJO106" s="46"/>
      <c r="UJP106" s="47">
        <v>0</v>
      </c>
      <c r="UJQ106" s="46" t="s">
        <v>45</v>
      </c>
      <c r="UJR106" s="46"/>
      <c r="UJS106" s="46"/>
      <c r="UJT106" s="46"/>
      <c r="UJU106" s="46"/>
      <c r="UJV106" s="46"/>
      <c r="UJW106" s="46"/>
      <c r="UJX106" s="47">
        <v>0</v>
      </c>
      <c r="UJY106" s="46" t="s">
        <v>45</v>
      </c>
      <c r="UJZ106" s="46"/>
      <c r="UKA106" s="46"/>
      <c r="UKB106" s="46"/>
      <c r="UKC106" s="46"/>
      <c r="UKD106" s="46"/>
      <c r="UKE106" s="46"/>
      <c r="UKF106" s="47">
        <v>0</v>
      </c>
      <c r="UKG106" s="46" t="s">
        <v>45</v>
      </c>
      <c r="UKH106" s="46"/>
      <c r="UKI106" s="46"/>
      <c r="UKJ106" s="46"/>
      <c r="UKK106" s="46"/>
      <c r="UKL106" s="46"/>
      <c r="UKM106" s="46"/>
      <c r="UKN106" s="47">
        <v>0</v>
      </c>
      <c r="UKO106" s="46" t="s">
        <v>45</v>
      </c>
      <c r="UKP106" s="46"/>
      <c r="UKQ106" s="46"/>
      <c r="UKR106" s="46"/>
      <c r="UKS106" s="46"/>
      <c r="UKT106" s="46"/>
      <c r="UKU106" s="46"/>
      <c r="UKV106" s="47">
        <v>0</v>
      </c>
      <c r="UKW106" s="46" t="s">
        <v>45</v>
      </c>
      <c r="UKX106" s="46"/>
      <c r="UKY106" s="46"/>
      <c r="UKZ106" s="46"/>
      <c r="ULA106" s="46"/>
      <c r="ULB106" s="46"/>
      <c r="ULC106" s="46"/>
      <c r="ULD106" s="47">
        <v>0</v>
      </c>
      <c r="ULE106" s="46" t="s">
        <v>45</v>
      </c>
      <c r="ULF106" s="46"/>
      <c r="ULG106" s="46"/>
      <c r="ULH106" s="46"/>
      <c r="ULI106" s="46"/>
      <c r="ULJ106" s="46"/>
      <c r="ULK106" s="46"/>
      <c r="ULL106" s="47">
        <v>0</v>
      </c>
      <c r="ULM106" s="46" t="s">
        <v>45</v>
      </c>
      <c r="ULN106" s="46"/>
      <c r="ULO106" s="46"/>
      <c r="ULP106" s="46"/>
      <c r="ULQ106" s="46"/>
      <c r="ULR106" s="46"/>
      <c r="ULS106" s="46"/>
      <c r="ULT106" s="47">
        <v>0</v>
      </c>
      <c r="ULU106" s="46" t="s">
        <v>45</v>
      </c>
      <c r="ULV106" s="46"/>
      <c r="ULW106" s="46"/>
      <c r="ULX106" s="46"/>
      <c r="ULY106" s="46"/>
      <c r="ULZ106" s="46"/>
      <c r="UMA106" s="46"/>
      <c r="UMB106" s="47">
        <v>0</v>
      </c>
      <c r="UMC106" s="46" t="s">
        <v>45</v>
      </c>
      <c r="UMD106" s="46"/>
      <c r="UME106" s="46"/>
      <c r="UMF106" s="46"/>
      <c r="UMG106" s="46"/>
      <c r="UMH106" s="46"/>
      <c r="UMI106" s="46"/>
      <c r="UMJ106" s="47">
        <v>0</v>
      </c>
      <c r="UMK106" s="46" t="s">
        <v>45</v>
      </c>
      <c r="UML106" s="46"/>
      <c r="UMM106" s="46"/>
      <c r="UMN106" s="46"/>
      <c r="UMO106" s="46"/>
      <c r="UMP106" s="46"/>
      <c r="UMQ106" s="46"/>
      <c r="UMR106" s="47">
        <v>0</v>
      </c>
      <c r="UMS106" s="46" t="s">
        <v>45</v>
      </c>
      <c r="UMT106" s="46"/>
      <c r="UMU106" s="46"/>
      <c r="UMV106" s="46"/>
      <c r="UMW106" s="46"/>
      <c r="UMX106" s="46"/>
      <c r="UMY106" s="46"/>
      <c r="UMZ106" s="47">
        <v>0</v>
      </c>
      <c r="UNA106" s="46" t="s">
        <v>45</v>
      </c>
      <c r="UNB106" s="46"/>
      <c r="UNC106" s="46"/>
      <c r="UND106" s="46"/>
      <c r="UNE106" s="46"/>
      <c r="UNF106" s="46"/>
      <c r="UNG106" s="46"/>
      <c r="UNH106" s="47">
        <v>0</v>
      </c>
      <c r="UNI106" s="46" t="s">
        <v>45</v>
      </c>
      <c r="UNJ106" s="46"/>
      <c r="UNK106" s="46"/>
      <c r="UNL106" s="46"/>
      <c r="UNM106" s="46"/>
      <c r="UNN106" s="46"/>
      <c r="UNO106" s="46"/>
      <c r="UNP106" s="47">
        <v>0</v>
      </c>
      <c r="UNQ106" s="46" t="s">
        <v>45</v>
      </c>
      <c r="UNR106" s="46"/>
      <c r="UNS106" s="46"/>
      <c r="UNT106" s="46"/>
      <c r="UNU106" s="46"/>
      <c r="UNV106" s="46"/>
      <c r="UNW106" s="46"/>
      <c r="UNX106" s="47">
        <v>0</v>
      </c>
      <c r="UNY106" s="46" t="s">
        <v>45</v>
      </c>
      <c r="UNZ106" s="46"/>
      <c r="UOA106" s="46"/>
      <c r="UOB106" s="46"/>
      <c r="UOC106" s="46"/>
      <c r="UOD106" s="46"/>
      <c r="UOE106" s="46"/>
      <c r="UOF106" s="47">
        <v>0</v>
      </c>
      <c r="UOG106" s="46" t="s">
        <v>45</v>
      </c>
      <c r="UOH106" s="46"/>
      <c r="UOI106" s="46"/>
      <c r="UOJ106" s="46"/>
      <c r="UOK106" s="46"/>
      <c r="UOL106" s="46"/>
      <c r="UOM106" s="46"/>
      <c r="UON106" s="47">
        <v>0</v>
      </c>
      <c r="UOO106" s="46" t="s">
        <v>45</v>
      </c>
      <c r="UOP106" s="46"/>
      <c r="UOQ106" s="46"/>
      <c r="UOR106" s="46"/>
      <c r="UOS106" s="46"/>
      <c r="UOT106" s="46"/>
      <c r="UOU106" s="46"/>
      <c r="UOV106" s="47">
        <v>0</v>
      </c>
      <c r="UOW106" s="46" t="s">
        <v>45</v>
      </c>
      <c r="UOX106" s="46"/>
      <c r="UOY106" s="46"/>
      <c r="UOZ106" s="46"/>
      <c r="UPA106" s="46"/>
      <c r="UPB106" s="46"/>
      <c r="UPC106" s="46"/>
      <c r="UPD106" s="47">
        <v>0</v>
      </c>
      <c r="UPE106" s="46" t="s">
        <v>45</v>
      </c>
      <c r="UPF106" s="46"/>
      <c r="UPG106" s="46"/>
      <c r="UPH106" s="46"/>
      <c r="UPI106" s="46"/>
      <c r="UPJ106" s="46"/>
      <c r="UPK106" s="46"/>
      <c r="UPL106" s="47">
        <v>0</v>
      </c>
      <c r="UPM106" s="46" t="s">
        <v>45</v>
      </c>
      <c r="UPN106" s="46"/>
      <c r="UPO106" s="46"/>
      <c r="UPP106" s="46"/>
      <c r="UPQ106" s="46"/>
      <c r="UPR106" s="46"/>
      <c r="UPS106" s="46"/>
      <c r="UPT106" s="47">
        <v>0</v>
      </c>
      <c r="UPU106" s="46" t="s">
        <v>45</v>
      </c>
      <c r="UPV106" s="46"/>
      <c r="UPW106" s="46"/>
      <c r="UPX106" s="46"/>
      <c r="UPY106" s="46"/>
      <c r="UPZ106" s="46"/>
      <c r="UQA106" s="46"/>
      <c r="UQB106" s="47">
        <v>0</v>
      </c>
      <c r="UQC106" s="46" t="s">
        <v>45</v>
      </c>
      <c r="UQD106" s="46"/>
      <c r="UQE106" s="46"/>
      <c r="UQF106" s="46"/>
      <c r="UQG106" s="46"/>
      <c r="UQH106" s="46"/>
      <c r="UQI106" s="46"/>
      <c r="UQJ106" s="47">
        <v>0</v>
      </c>
      <c r="UQK106" s="46" t="s">
        <v>45</v>
      </c>
      <c r="UQL106" s="46"/>
      <c r="UQM106" s="46"/>
      <c r="UQN106" s="46"/>
      <c r="UQO106" s="46"/>
      <c r="UQP106" s="46"/>
      <c r="UQQ106" s="46"/>
      <c r="UQR106" s="47">
        <v>0</v>
      </c>
      <c r="UQS106" s="46" t="s">
        <v>45</v>
      </c>
      <c r="UQT106" s="46"/>
      <c r="UQU106" s="46"/>
      <c r="UQV106" s="46"/>
      <c r="UQW106" s="46"/>
      <c r="UQX106" s="46"/>
      <c r="UQY106" s="46"/>
      <c r="UQZ106" s="47">
        <v>0</v>
      </c>
      <c r="URA106" s="46" t="s">
        <v>45</v>
      </c>
      <c r="URB106" s="46"/>
      <c r="URC106" s="46"/>
      <c r="URD106" s="46"/>
      <c r="URE106" s="46"/>
      <c r="URF106" s="46"/>
      <c r="URG106" s="46"/>
      <c r="URH106" s="47">
        <v>0</v>
      </c>
      <c r="URI106" s="46" t="s">
        <v>45</v>
      </c>
      <c r="URJ106" s="46"/>
      <c r="URK106" s="46"/>
      <c r="URL106" s="46"/>
      <c r="URM106" s="46"/>
      <c r="URN106" s="46"/>
      <c r="URO106" s="46"/>
      <c r="URP106" s="47">
        <v>0</v>
      </c>
      <c r="URQ106" s="46" t="s">
        <v>45</v>
      </c>
      <c r="URR106" s="46"/>
      <c r="URS106" s="46"/>
      <c r="URT106" s="46"/>
      <c r="URU106" s="46"/>
      <c r="URV106" s="46"/>
      <c r="URW106" s="46"/>
      <c r="URX106" s="47">
        <v>0</v>
      </c>
      <c r="URY106" s="46" t="s">
        <v>45</v>
      </c>
      <c r="URZ106" s="46"/>
      <c r="USA106" s="46"/>
      <c r="USB106" s="46"/>
      <c r="USC106" s="46"/>
      <c r="USD106" s="46"/>
      <c r="USE106" s="46"/>
      <c r="USF106" s="47">
        <v>0</v>
      </c>
      <c r="USG106" s="46" t="s">
        <v>45</v>
      </c>
      <c r="USH106" s="46"/>
      <c r="USI106" s="46"/>
      <c r="USJ106" s="46"/>
      <c r="USK106" s="46"/>
      <c r="USL106" s="46"/>
      <c r="USM106" s="46"/>
      <c r="USN106" s="47">
        <v>0</v>
      </c>
      <c r="USO106" s="46" t="s">
        <v>45</v>
      </c>
      <c r="USP106" s="46"/>
      <c r="USQ106" s="46"/>
      <c r="USR106" s="46"/>
      <c r="USS106" s="46"/>
      <c r="UST106" s="46"/>
      <c r="USU106" s="46"/>
      <c r="USV106" s="47">
        <v>0</v>
      </c>
      <c r="USW106" s="46" t="s">
        <v>45</v>
      </c>
      <c r="USX106" s="46"/>
      <c r="USY106" s="46"/>
      <c r="USZ106" s="46"/>
      <c r="UTA106" s="46"/>
      <c r="UTB106" s="46"/>
      <c r="UTC106" s="46"/>
      <c r="UTD106" s="47">
        <v>0</v>
      </c>
      <c r="UTE106" s="46" t="s">
        <v>45</v>
      </c>
      <c r="UTF106" s="46"/>
      <c r="UTG106" s="46"/>
      <c r="UTH106" s="46"/>
      <c r="UTI106" s="46"/>
      <c r="UTJ106" s="46"/>
      <c r="UTK106" s="46"/>
      <c r="UTL106" s="47">
        <v>0</v>
      </c>
      <c r="UTM106" s="46" t="s">
        <v>45</v>
      </c>
      <c r="UTN106" s="46"/>
      <c r="UTO106" s="46"/>
      <c r="UTP106" s="46"/>
      <c r="UTQ106" s="46"/>
      <c r="UTR106" s="46"/>
      <c r="UTS106" s="46"/>
      <c r="UTT106" s="47">
        <v>0</v>
      </c>
      <c r="UTU106" s="46" t="s">
        <v>45</v>
      </c>
      <c r="UTV106" s="46"/>
      <c r="UTW106" s="46"/>
      <c r="UTX106" s="46"/>
      <c r="UTY106" s="46"/>
      <c r="UTZ106" s="46"/>
      <c r="UUA106" s="46"/>
      <c r="UUB106" s="47">
        <v>0</v>
      </c>
      <c r="UUC106" s="46" t="s">
        <v>45</v>
      </c>
      <c r="UUD106" s="46"/>
      <c r="UUE106" s="46"/>
      <c r="UUF106" s="46"/>
      <c r="UUG106" s="46"/>
      <c r="UUH106" s="46"/>
      <c r="UUI106" s="46"/>
      <c r="UUJ106" s="47">
        <v>0</v>
      </c>
      <c r="UUK106" s="46" t="s">
        <v>45</v>
      </c>
      <c r="UUL106" s="46"/>
      <c r="UUM106" s="46"/>
      <c r="UUN106" s="46"/>
      <c r="UUO106" s="46"/>
      <c r="UUP106" s="46"/>
      <c r="UUQ106" s="46"/>
      <c r="UUR106" s="47">
        <v>0</v>
      </c>
      <c r="UUS106" s="46" t="s">
        <v>45</v>
      </c>
      <c r="UUT106" s="46"/>
      <c r="UUU106" s="46"/>
      <c r="UUV106" s="46"/>
      <c r="UUW106" s="46"/>
      <c r="UUX106" s="46"/>
      <c r="UUY106" s="46"/>
      <c r="UUZ106" s="47">
        <v>0</v>
      </c>
      <c r="UVA106" s="46" t="s">
        <v>45</v>
      </c>
      <c r="UVB106" s="46"/>
      <c r="UVC106" s="46"/>
      <c r="UVD106" s="46"/>
      <c r="UVE106" s="46"/>
      <c r="UVF106" s="46"/>
      <c r="UVG106" s="46"/>
      <c r="UVH106" s="47">
        <v>0</v>
      </c>
      <c r="UVI106" s="46" t="s">
        <v>45</v>
      </c>
      <c r="UVJ106" s="46"/>
      <c r="UVK106" s="46"/>
      <c r="UVL106" s="46"/>
      <c r="UVM106" s="46"/>
      <c r="UVN106" s="46"/>
      <c r="UVO106" s="46"/>
      <c r="UVP106" s="47">
        <v>0</v>
      </c>
      <c r="UVQ106" s="46" t="s">
        <v>45</v>
      </c>
      <c r="UVR106" s="46"/>
      <c r="UVS106" s="46"/>
      <c r="UVT106" s="46"/>
      <c r="UVU106" s="46"/>
      <c r="UVV106" s="46"/>
      <c r="UVW106" s="46"/>
      <c r="UVX106" s="47">
        <v>0</v>
      </c>
      <c r="UVY106" s="46" t="s">
        <v>45</v>
      </c>
      <c r="UVZ106" s="46"/>
      <c r="UWA106" s="46"/>
      <c r="UWB106" s="46"/>
      <c r="UWC106" s="46"/>
      <c r="UWD106" s="46"/>
      <c r="UWE106" s="46"/>
      <c r="UWF106" s="47">
        <v>0</v>
      </c>
      <c r="UWG106" s="46" t="s">
        <v>45</v>
      </c>
      <c r="UWH106" s="46"/>
      <c r="UWI106" s="46"/>
      <c r="UWJ106" s="46"/>
      <c r="UWK106" s="46"/>
      <c r="UWL106" s="46"/>
      <c r="UWM106" s="46"/>
      <c r="UWN106" s="47">
        <v>0</v>
      </c>
      <c r="UWO106" s="46" t="s">
        <v>45</v>
      </c>
      <c r="UWP106" s="46"/>
      <c r="UWQ106" s="46"/>
      <c r="UWR106" s="46"/>
      <c r="UWS106" s="46"/>
      <c r="UWT106" s="46"/>
      <c r="UWU106" s="46"/>
      <c r="UWV106" s="47">
        <v>0</v>
      </c>
      <c r="UWW106" s="46" t="s">
        <v>45</v>
      </c>
      <c r="UWX106" s="46"/>
      <c r="UWY106" s="46"/>
      <c r="UWZ106" s="46"/>
      <c r="UXA106" s="46"/>
      <c r="UXB106" s="46"/>
      <c r="UXC106" s="46"/>
      <c r="UXD106" s="47">
        <v>0</v>
      </c>
      <c r="UXE106" s="46" t="s">
        <v>45</v>
      </c>
      <c r="UXF106" s="46"/>
      <c r="UXG106" s="46"/>
      <c r="UXH106" s="46"/>
      <c r="UXI106" s="46"/>
      <c r="UXJ106" s="46"/>
      <c r="UXK106" s="46"/>
      <c r="UXL106" s="47">
        <v>0</v>
      </c>
      <c r="UXM106" s="46" t="s">
        <v>45</v>
      </c>
      <c r="UXN106" s="46"/>
      <c r="UXO106" s="46"/>
      <c r="UXP106" s="46"/>
      <c r="UXQ106" s="46"/>
      <c r="UXR106" s="46"/>
      <c r="UXS106" s="46"/>
      <c r="UXT106" s="47">
        <v>0</v>
      </c>
      <c r="UXU106" s="46" t="s">
        <v>45</v>
      </c>
      <c r="UXV106" s="46"/>
      <c r="UXW106" s="46"/>
      <c r="UXX106" s="46"/>
      <c r="UXY106" s="46"/>
      <c r="UXZ106" s="46"/>
      <c r="UYA106" s="46"/>
      <c r="UYB106" s="47">
        <v>0</v>
      </c>
      <c r="UYC106" s="46" t="s">
        <v>45</v>
      </c>
      <c r="UYD106" s="46"/>
      <c r="UYE106" s="46"/>
      <c r="UYF106" s="46"/>
      <c r="UYG106" s="46"/>
      <c r="UYH106" s="46"/>
      <c r="UYI106" s="46"/>
      <c r="UYJ106" s="47">
        <v>0</v>
      </c>
      <c r="UYK106" s="46" t="s">
        <v>45</v>
      </c>
      <c r="UYL106" s="46"/>
      <c r="UYM106" s="46"/>
      <c r="UYN106" s="46"/>
      <c r="UYO106" s="46"/>
      <c r="UYP106" s="46"/>
      <c r="UYQ106" s="46"/>
      <c r="UYR106" s="47">
        <v>0</v>
      </c>
      <c r="UYS106" s="46" t="s">
        <v>45</v>
      </c>
      <c r="UYT106" s="46"/>
      <c r="UYU106" s="46"/>
      <c r="UYV106" s="46"/>
      <c r="UYW106" s="46"/>
      <c r="UYX106" s="46"/>
      <c r="UYY106" s="46"/>
      <c r="UYZ106" s="47">
        <v>0</v>
      </c>
      <c r="UZA106" s="46" t="s">
        <v>45</v>
      </c>
      <c r="UZB106" s="46"/>
      <c r="UZC106" s="46"/>
      <c r="UZD106" s="46"/>
      <c r="UZE106" s="46"/>
      <c r="UZF106" s="46"/>
      <c r="UZG106" s="46"/>
      <c r="UZH106" s="47">
        <v>0</v>
      </c>
      <c r="UZI106" s="46" t="s">
        <v>45</v>
      </c>
      <c r="UZJ106" s="46"/>
      <c r="UZK106" s="46"/>
      <c r="UZL106" s="46"/>
      <c r="UZM106" s="46"/>
      <c r="UZN106" s="46"/>
      <c r="UZO106" s="46"/>
      <c r="UZP106" s="47">
        <v>0</v>
      </c>
      <c r="UZQ106" s="46" t="s">
        <v>45</v>
      </c>
      <c r="UZR106" s="46"/>
      <c r="UZS106" s="46"/>
      <c r="UZT106" s="46"/>
      <c r="UZU106" s="46"/>
      <c r="UZV106" s="46"/>
      <c r="UZW106" s="46"/>
      <c r="UZX106" s="47">
        <v>0</v>
      </c>
      <c r="UZY106" s="46" t="s">
        <v>45</v>
      </c>
      <c r="UZZ106" s="46"/>
      <c r="VAA106" s="46"/>
      <c r="VAB106" s="46"/>
      <c r="VAC106" s="46"/>
      <c r="VAD106" s="46"/>
      <c r="VAE106" s="46"/>
      <c r="VAF106" s="47">
        <v>0</v>
      </c>
      <c r="VAG106" s="46" t="s">
        <v>45</v>
      </c>
      <c r="VAH106" s="46"/>
      <c r="VAI106" s="46"/>
      <c r="VAJ106" s="46"/>
      <c r="VAK106" s="46"/>
      <c r="VAL106" s="46"/>
      <c r="VAM106" s="46"/>
      <c r="VAN106" s="47">
        <v>0</v>
      </c>
      <c r="VAO106" s="46" t="s">
        <v>45</v>
      </c>
      <c r="VAP106" s="46"/>
      <c r="VAQ106" s="46"/>
      <c r="VAR106" s="46"/>
      <c r="VAS106" s="46"/>
      <c r="VAT106" s="46"/>
      <c r="VAU106" s="46"/>
      <c r="VAV106" s="47">
        <v>0</v>
      </c>
      <c r="VAW106" s="46" t="s">
        <v>45</v>
      </c>
      <c r="VAX106" s="46"/>
      <c r="VAY106" s="46"/>
      <c r="VAZ106" s="46"/>
      <c r="VBA106" s="46"/>
      <c r="VBB106" s="46"/>
      <c r="VBC106" s="46"/>
      <c r="VBD106" s="47">
        <v>0</v>
      </c>
      <c r="VBE106" s="46" t="s">
        <v>45</v>
      </c>
      <c r="VBF106" s="46"/>
      <c r="VBG106" s="46"/>
      <c r="VBH106" s="46"/>
      <c r="VBI106" s="46"/>
      <c r="VBJ106" s="46"/>
      <c r="VBK106" s="46"/>
      <c r="VBL106" s="47">
        <v>0</v>
      </c>
      <c r="VBM106" s="46" t="s">
        <v>45</v>
      </c>
      <c r="VBN106" s="46"/>
      <c r="VBO106" s="46"/>
      <c r="VBP106" s="46"/>
      <c r="VBQ106" s="46"/>
      <c r="VBR106" s="46"/>
      <c r="VBS106" s="46"/>
      <c r="VBT106" s="47">
        <v>0</v>
      </c>
      <c r="VBU106" s="46" t="s">
        <v>45</v>
      </c>
      <c r="VBV106" s="46"/>
      <c r="VBW106" s="46"/>
      <c r="VBX106" s="46"/>
      <c r="VBY106" s="46"/>
      <c r="VBZ106" s="46"/>
      <c r="VCA106" s="46"/>
      <c r="VCB106" s="47">
        <v>0</v>
      </c>
      <c r="VCC106" s="46" t="s">
        <v>45</v>
      </c>
      <c r="VCD106" s="46"/>
      <c r="VCE106" s="46"/>
      <c r="VCF106" s="46"/>
      <c r="VCG106" s="46"/>
      <c r="VCH106" s="46"/>
      <c r="VCI106" s="46"/>
      <c r="VCJ106" s="47">
        <v>0</v>
      </c>
      <c r="VCK106" s="46" t="s">
        <v>45</v>
      </c>
      <c r="VCL106" s="46"/>
      <c r="VCM106" s="46"/>
      <c r="VCN106" s="46"/>
      <c r="VCO106" s="46"/>
      <c r="VCP106" s="46"/>
      <c r="VCQ106" s="46"/>
      <c r="VCR106" s="47">
        <v>0</v>
      </c>
      <c r="VCS106" s="46" t="s">
        <v>45</v>
      </c>
      <c r="VCT106" s="46"/>
      <c r="VCU106" s="46"/>
      <c r="VCV106" s="46"/>
      <c r="VCW106" s="46"/>
      <c r="VCX106" s="46"/>
      <c r="VCY106" s="46"/>
      <c r="VCZ106" s="47">
        <v>0</v>
      </c>
      <c r="VDA106" s="46" t="s">
        <v>45</v>
      </c>
      <c r="VDB106" s="46"/>
      <c r="VDC106" s="46"/>
      <c r="VDD106" s="46"/>
      <c r="VDE106" s="46"/>
      <c r="VDF106" s="46"/>
      <c r="VDG106" s="46"/>
      <c r="VDH106" s="47">
        <v>0</v>
      </c>
      <c r="VDI106" s="46" t="s">
        <v>45</v>
      </c>
      <c r="VDJ106" s="46"/>
      <c r="VDK106" s="46"/>
      <c r="VDL106" s="46"/>
      <c r="VDM106" s="46"/>
      <c r="VDN106" s="46"/>
      <c r="VDO106" s="46"/>
      <c r="VDP106" s="47">
        <v>0</v>
      </c>
      <c r="VDQ106" s="46" t="s">
        <v>45</v>
      </c>
      <c r="VDR106" s="46"/>
      <c r="VDS106" s="46"/>
      <c r="VDT106" s="46"/>
      <c r="VDU106" s="46"/>
      <c r="VDV106" s="46"/>
      <c r="VDW106" s="46"/>
      <c r="VDX106" s="47">
        <v>0</v>
      </c>
      <c r="VDY106" s="46" t="s">
        <v>45</v>
      </c>
      <c r="VDZ106" s="46"/>
      <c r="VEA106" s="46"/>
      <c r="VEB106" s="46"/>
      <c r="VEC106" s="46"/>
      <c r="VED106" s="46"/>
      <c r="VEE106" s="46"/>
      <c r="VEF106" s="47">
        <v>0</v>
      </c>
      <c r="VEG106" s="46" t="s">
        <v>45</v>
      </c>
      <c r="VEH106" s="46"/>
      <c r="VEI106" s="46"/>
      <c r="VEJ106" s="46"/>
      <c r="VEK106" s="46"/>
      <c r="VEL106" s="46"/>
      <c r="VEM106" s="46"/>
      <c r="VEN106" s="47">
        <v>0</v>
      </c>
      <c r="VEO106" s="46" t="s">
        <v>45</v>
      </c>
      <c r="VEP106" s="46"/>
      <c r="VEQ106" s="46"/>
      <c r="VER106" s="46"/>
      <c r="VES106" s="46"/>
      <c r="VET106" s="46"/>
      <c r="VEU106" s="46"/>
      <c r="VEV106" s="47">
        <v>0</v>
      </c>
      <c r="VEW106" s="46" t="s">
        <v>45</v>
      </c>
      <c r="VEX106" s="46"/>
      <c r="VEY106" s="46"/>
      <c r="VEZ106" s="46"/>
      <c r="VFA106" s="46"/>
      <c r="VFB106" s="46"/>
      <c r="VFC106" s="46"/>
      <c r="VFD106" s="47">
        <v>0</v>
      </c>
      <c r="VFE106" s="46" t="s">
        <v>45</v>
      </c>
      <c r="VFF106" s="46"/>
      <c r="VFG106" s="46"/>
      <c r="VFH106" s="46"/>
      <c r="VFI106" s="46"/>
      <c r="VFJ106" s="46"/>
      <c r="VFK106" s="46"/>
      <c r="VFL106" s="47">
        <v>0</v>
      </c>
      <c r="VFM106" s="46" t="s">
        <v>45</v>
      </c>
      <c r="VFN106" s="46"/>
      <c r="VFO106" s="46"/>
      <c r="VFP106" s="46"/>
      <c r="VFQ106" s="46"/>
      <c r="VFR106" s="46"/>
      <c r="VFS106" s="46"/>
      <c r="VFT106" s="47">
        <v>0</v>
      </c>
      <c r="VFU106" s="46" t="s">
        <v>45</v>
      </c>
      <c r="VFV106" s="46"/>
      <c r="VFW106" s="46"/>
      <c r="VFX106" s="46"/>
      <c r="VFY106" s="46"/>
      <c r="VFZ106" s="46"/>
      <c r="VGA106" s="46"/>
      <c r="VGB106" s="47">
        <v>0</v>
      </c>
      <c r="VGC106" s="46" t="s">
        <v>45</v>
      </c>
      <c r="VGD106" s="46"/>
      <c r="VGE106" s="46"/>
      <c r="VGF106" s="46"/>
      <c r="VGG106" s="46"/>
      <c r="VGH106" s="46"/>
      <c r="VGI106" s="46"/>
      <c r="VGJ106" s="47">
        <v>0</v>
      </c>
      <c r="VGK106" s="46" t="s">
        <v>45</v>
      </c>
      <c r="VGL106" s="46"/>
      <c r="VGM106" s="46"/>
      <c r="VGN106" s="46"/>
      <c r="VGO106" s="46"/>
      <c r="VGP106" s="46"/>
      <c r="VGQ106" s="46"/>
      <c r="VGR106" s="47">
        <v>0</v>
      </c>
      <c r="VGS106" s="46" t="s">
        <v>45</v>
      </c>
      <c r="VGT106" s="46"/>
      <c r="VGU106" s="46"/>
      <c r="VGV106" s="46"/>
      <c r="VGW106" s="46"/>
      <c r="VGX106" s="46"/>
      <c r="VGY106" s="46"/>
      <c r="VGZ106" s="47">
        <v>0</v>
      </c>
      <c r="VHA106" s="46" t="s">
        <v>45</v>
      </c>
      <c r="VHB106" s="46"/>
      <c r="VHC106" s="46"/>
      <c r="VHD106" s="46"/>
      <c r="VHE106" s="46"/>
      <c r="VHF106" s="46"/>
      <c r="VHG106" s="46"/>
      <c r="VHH106" s="47">
        <v>0</v>
      </c>
      <c r="VHI106" s="46" t="s">
        <v>45</v>
      </c>
      <c r="VHJ106" s="46"/>
      <c r="VHK106" s="46"/>
      <c r="VHL106" s="46"/>
      <c r="VHM106" s="46"/>
      <c r="VHN106" s="46"/>
      <c r="VHO106" s="46"/>
      <c r="VHP106" s="47">
        <v>0</v>
      </c>
      <c r="VHQ106" s="46" t="s">
        <v>45</v>
      </c>
      <c r="VHR106" s="46"/>
      <c r="VHS106" s="46"/>
      <c r="VHT106" s="46"/>
      <c r="VHU106" s="46"/>
      <c r="VHV106" s="46"/>
      <c r="VHW106" s="46"/>
      <c r="VHX106" s="47">
        <v>0</v>
      </c>
      <c r="VHY106" s="46" t="s">
        <v>45</v>
      </c>
      <c r="VHZ106" s="46"/>
      <c r="VIA106" s="46"/>
      <c r="VIB106" s="46"/>
      <c r="VIC106" s="46"/>
      <c r="VID106" s="46"/>
      <c r="VIE106" s="46"/>
      <c r="VIF106" s="47">
        <v>0</v>
      </c>
      <c r="VIG106" s="46" t="s">
        <v>45</v>
      </c>
      <c r="VIH106" s="46"/>
      <c r="VII106" s="46"/>
      <c r="VIJ106" s="46"/>
      <c r="VIK106" s="46"/>
      <c r="VIL106" s="46"/>
      <c r="VIM106" s="46"/>
      <c r="VIN106" s="47">
        <v>0</v>
      </c>
      <c r="VIO106" s="46" t="s">
        <v>45</v>
      </c>
      <c r="VIP106" s="46"/>
      <c r="VIQ106" s="46"/>
      <c r="VIR106" s="46"/>
      <c r="VIS106" s="46"/>
      <c r="VIT106" s="46"/>
      <c r="VIU106" s="46"/>
      <c r="VIV106" s="47">
        <v>0</v>
      </c>
      <c r="VIW106" s="46" t="s">
        <v>45</v>
      </c>
      <c r="VIX106" s="46"/>
      <c r="VIY106" s="46"/>
      <c r="VIZ106" s="46"/>
      <c r="VJA106" s="46"/>
      <c r="VJB106" s="46"/>
      <c r="VJC106" s="46"/>
      <c r="VJD106" s="47">
        <v>0</v>
      </c>
      <c r="VJE106" s="46" t="s">
        <v>45</v>
      </c>
      <c r="VJF106" s="46"/>
      <c r="VJG106" s="46"/>
      <c r="VJH106" s="46"/>
      <c r="VJI106" s="46"/>
      <c r="VJJ106" s="46"/>
      <c r="VJK106" s="46"/>
      <c r="VJL106" s="47">
        <v>0</v>
      </c>
      <c r="VJM106" s="46" t="s">
        <v>45</v>
      </c>
      <c r="VJN106" s="46"/>
      <c r="VJO106" s="46"/>
      <c r="VJP106" s="46"/>
      <c r="VJQ106" s="46"/>
      <c r="VJR106" s="46"/>
      <c r="VJS106" s="46"/>
      <c r="VJT106" s="47">
        <v>0</v>
      </c>
      <c r="VJU106" s="46" t="s">
        <v>45</v>
      </c>
      <c r="VJV106" s="46"/>
      <c r="VJW106" s="46"/>
      <c r="VJX106" s="46"/>
      <c r="VJY106" s="46"/>
      <c r="VJZ106" s="46"/>
      <c r="VKA106" s="46"/>
      <c r="VKB106" s="47">
        <v>0</v>
      </c>
      <c r="VKC106" s="46" t="s">
        <v>45</v>
      </c>
      <c r="VKD106" s="46"/>
      <c r="VKE106" s="46"/>
      <c r="VKF106" s="46"/>
      <c r="VKG106" s="46"/>
      <c r="VKH106" s="46"/>
      <c r="VKI106" s="46"/>
      <c r="VKJ106" s="47">
        <v>0</v>
      </c>
      <c r="VKK106" s="46" t="s">
        <v>45</v>
      </c>
      <c r="VKL106" s="46"/>
      <c r="VKM106" s="46"/>
      <c r="VKN106" s="46"/>
      <c r="VKO106" s="46"/>
      <c r="VKP106" s="46"/>
      <c r="VKQ106" s="46"/>
      <c r="VKR106" s="47">
        <v>0</v>
      </c>
      <c r="VKS106" s="46" t="s">
        <v>45</v>
      </c>
      <c r="VKT106" s="46"/>
      <c r="VKU106" s="46"/>
      <c r="VKV106" s="46"/>
      <c r="VKW106" s="46"/>
      <c r="VKX106" s="46"/>
      <c r="VKY106" s="46"/>
      <c r="VKZ106" s="47">
        <v>0</v>
      </c>
      <c r="VLA106" s="46" t="s">
        <v>45</v>
      </c>
      <c r="VLB106" s="46"/>
      <c r="VLC106" s="46"/>
      <c r="VLD106" s="46"/>
      <c r="VLE106" s="46"/>
      <c r="VLF106" s="46"/>
      <c r="VLG106" s="46"/>
      <c r="VLH106" s="47">
        <v>0</v>
      </c>
      <c r="VLI106" s="46" t="s">
        <v>45</v>
      </c>
      <c r="VLJ106" s="46"/>
      <c r="VLK106" s="46"/>
      <c r="VLL106" s="46"/>
      <c r="VLM106" s="46"/>
      <c r="VLN106" s="46"/>
      <c r="VLO106" s="46"/>
      <c r="VLP106" s="47">
        <v>0</v>
      </c>
      <c r="VLQ106" s="46" t="s">
        <v>45</v>
      </c>
      <c r="VLR106" s="46"/>
      <c r="VLS106" s="46"/>
      <c r="VLT106" s="46"/>
      <c r="VLU106" s="46"/>
      <c r="VLV106" s="46"/>
      <c r="VLW106" s="46"/>
      <c r="VLX106" s="47">
        <v>0</v>
      </c>
      <c r="VLY106" s="46" t="s">
        <v>45</v>
      </c>
      <c r="VLZ106" s="46"/>
      <c r="VMA106" s="46"/>
      <c r="VMB106" s="46"/>
      <c r="VMC106" s="46"/>
      <c r="VMD106" s="46"/>
      <c r="VME106" s="46"/>
      <c r="VMF106" s="47">
        <v>0</v>
      </c>
      <c r="VMG106" s="46" t="s">
        <v>45</v>
      </c>
      <c r="VMH106" s="46"/>
      <c r="VMI106" s="46"/>
      <c r="VMJ106" s="46"/>
      <c r="VMK106" s="46"/>
      <c r="VML106" s="46"/>
      <c r="VMM106" s="46"/>
      <c r="VMN106" s="47">
        <v>0</v>
      </c>
      <c r="VMO106" s="46" t="s">
        <v>45</v>
      </c>
      <c r="VMP106" s="46"/>
      <c r="VMQ106" s="46"/>
      <c r="VMR106" s="46"/>
      <c r="VMS106" s="46"/>
      <c r="VMT106" s="46"/>
      <c r="VMU106" s="46"/>
      <c r="VMV106" s="47">
        <v>0</v>
      </c>
      <c r="VMW106" s="46" t="s">
        <v>45</v>
      </c>
      <c r="VMX106" s="46"/>
      <c r="VMY106" s="46"/>
      <c r="VMZ106" s="46"/>
      <c r="VNA106" s="46"/>
      <c r="VNB106" s="46"/>
      <c r="VNC106" s="46"/>
      <c r="VND106" s="47">
        <v>0</v>
      </c>
      <c r="VNE106" s="46" t="s">
        <v>45</v>
      </c>
      <c r="VNF106" s="46"/>
      <c r="VNG106" s="46"/>
      <c r="VNH106" s="46"/>
      <c r="VNI106" s="46"/>
      <c r="VNJ106" s="46"/>
      <c r="VNK106" s="46"/>
      <c r="VNL106" s="47">
        <v>0</v>
      </c>
      <c r="VNM106" s="46" t="s">
        <v>45</v>
      </c>
      <c r="VNN106" s="46"/>
      <c r="VNO106" s="46"/>
      <c r="VNP106" s="46"/>
      <c r="VNQ106" s="46"/>
      <c r="VNR106" s="46"/>
      <c r="VNS106" s="46"/>
      <c r="VNT106" s="47">
        <v>0</v>
      </c>
      <c r="VNU106" s="46" t="s">
        <v>45</v>
      </c>
      <c r="VNV106" s="46"/>
      <c r="VNW106" s="46"/>
      <c r="VNX106" s="46"/>
      <c r="VNY106" s="46"/>
      <c r="VNZ106" s="46"/>
      <c r="VOA106" s="46"/>
      <c r="VOB106" s="47">
        <v>0</v>
      </c>
      <c r="VOC106" s="46" t="s">
        <v>45</v>
      </c>
      <c r="VOD106" s="46"/>
      <c r="VOE106" s="46"/>
      <c r="VOF106" s="46"/>
      <c r="VOG106" s="46"/>
      <c r="VOH106" s="46"/>
      <c r="VOI106" s="46"/>
      <c r="VOJ106" s="47">
        <v>0</v>
      </c>
      <c r="VOK106" s="46" t="s">
        <v>45</v>
      </c>
      <c r="VOL106" s="46"/>
      <c r="VOM106" s="46"/>
      <c r="VON106" s="46"/>
      <c r="VOO106" s="46"/>
      <c r="VOP106" s="46"/>
      <c r="VOQ106" s="46"/>
      <c r="VOR106" s="47">
        <v>0</v>
      </c>
      <c r="VOS106" s="46" t="s">
        <v>45</v>
      </c>
      <c r="VOT106" s="46"/>
      <c r="VOU106" s="46"/>
      <c r="VOV106" s="46"/>
      <c r="VOW106" s="46"/>
      <c r="VOX106" s="46"/>
      <c r="VOY106" s="46"/>
      <c r="VOZ106" s="47">
        <v>0</v>
      </c>
      <c r="VPA106" s="46" t="s">
        <v>45</v>
      </c>
      <c r="VPB106" s="46"/>
      <c r="VPC106" s="46"/>
      <c r="VPD106" s="46"/>
      <c r="VPE106" s="46"/>
      <c r="VPF106" s="46"/>
      <c r="VPG106" s="46"/>
      <c r="VPH106" s="47">
        <v>0</v>
      </c>
      <c r="VPI106" s="46" t="s">
        <v>45</v>
      </c>
      <c r="VPJ106" s="46"/>
      <c r="VPK106" s="46"/>
      <c r="VPL106" s="46"/>
      <c r="VPM106" s="46"/>
      <c r="VPN106" s="46"/>
      <c r="VPO106" s="46"/>
      <c r="VPP106" s="47">
        <v>0</v>
      </c>
      <c r="VPQ106" s="46" t="s">
        <v>45</v>
      </c>
      <c r="VPR106" s="46"/>
      <c r="VPS106" s="46"/>
      <c r="VPT106" s="46"/>
      <c r="VPU106" s="46"/>
      <c r="VPV106" s="46"/>
      <c r="VPW106" s="46"/>
      <c r="VPX106" s="47">
        <v>0</v>
      </c>
      <c r="VPY106" s="46" t="s">
        <v>45</v>
      </c>
      <c r="VPZ106" s="46"/>
      <c r="VQA106" s="46"/>
      <c r="VQB106" s="46"/>
      <c r="VQC106" s="46"/>
      <c r="VQD106" s="46"/>
      <c r="VQE106" s="46"/>
      <c r="VQF106" s="47">
        <v>0</v>
      </c>
      <c r="VQG106" s="46" t="s">
        <v>45</v>
      </c>
      <c r="VQH106" s="46"/>
      <c r="VQI106" s="46"/>
      <c r="VQJ106" s="46"/>
      <c r="VQK106" s="46"/>
      <c r="VQL106" s="46"/>
      <c r="VQM106" s="46"/>
      <c r="VQN106" s="47">
        <v>0</v>
      </c>
      <c r="VQO106" s="46" t="s">
        <v>45</v>
      </c>
      <c r="VQP106" s="46"/>
      <c r="VQQ106" s="46"/>
      <c r="VQR106" s="46"/>
      <c r="VQS106" s="46"/>
      <c r="VQT106" s="46"/>
      <c r="VQU106" s="46"/>
      <c r="VQV106" s="47">
        <v>0</v>
      </c>
      <c r="VQW106" s="46" t="s">
        <v>45</v>
      </c>
      <c r="VQX106" s="46"/>
      <c r="VQY106" s="46"/>
      <c r="VQZ106" s="46"/>
      <c r="VRA106" s="46"/>
      <c r="VRB106" s="46"/>
      <c r="VRC106" s="46"/>
      <c r="VRD106" s="47">
        <v>0</v>
      </c>
      <c r="VRE106" s="46" t="s">
        <v>45</v>
      </c>
      <c r="VRF106" s="46"/>
      <c r="VRG106" s="46"/>
      <c r="VRH106" s="46"/>
      <c r="VRI106" s="46"/>
      <c r="VRJ106" s="46"/>
      <c r="VRK106" s="46"/>
      <c r="VRL106" s="47">
        <v>0</v>
      </c>
      <c r="VRM106" s="46" t="s">
        <v>45</v>
      </c>
      <c r="VRN106" s="46"/>
      <c r="VRO106" s="46"/>
      <c r="VRP106" s="46"/>
      <c r="VRQ106" s="46"/>
      <c r="VRR106" s="46"/>
      <c r="VRS106" s="46"/>
      <c r="VRT106" s="47">
        <v>0</v>
      </c>
      <c r="VRU106" s="46" t="s">
        <v>45</v>
      </c>
      <c r="VRV106" s="46"/>
      <c r="VRW106" s="46"/>
      <c r="VRX106" s="46"/>
      <c r="VRY106" s="46"/>
      <c r="VRZ106" s="46"/>
      <c r="VSA106" s="46"/>
      <c r="VSB106" s="47">
        <v>0</v>
      </c>
      <c r="VSC106" s="46" t="s">
        <v>45</v>
      </c>
      <c r="VSD106" s="46"/>
      <c r="VSE106" s="46"/>
      <c r="VSF106" s="46"/>
      <c r="VSG106" s="46"/>
      <c r="VSH106" s="46"/>
      <c r="VSI106" s="46"/>
      <c r="VSJ106" s="47">
        <v>0</v>
      </c>
      <c r="VSK106" s="46" t="s">
        <v>45</v>
      </c>
      <c r="VSL106" s="46"/>
      <c r="VSM106" s="46"/>
      <c r="VSN106" s="46"/>
      <c r="VSO106" s="46"/>
      <c r="VSP106" s="46"/>
      <c r="VSQ106" s="46"/>
      <c r="VSR106" s="47">
        <v>0</v>
      </c>
      <c r="VSS106" s="46" t="s">
        <v>45</v>
      </c>
      <c r="VST106" s="46"/>
      <c r="VSU106" s="46"/>
      <c r="VSV106" s="46"/>
      <c r="VSW106" s="46"/>
      <c r="VSX106" s="46"/>
      <c r="VSY106" s="46"/>
      <c r="VSZ106" s="47">
        <v>0</v>
      </c>
      <c r="VTA106" s="46" t="s">
        <v>45</v>
      </c>
      <c r="VTB106" s="46"/>
      <c r="VTC106" s="46"/>
      <c r="VTD106" s="46"/>
      <c r="VTE106" s="46"/>
      <c r="VTF106" s="46"/>
      <c r="VTG106" s="46"/>
      <c r="VTH106" s="47">
        <v>0</v>
      </c>
      <c r="VTI106" s="46" t="s">
        <v>45</v>
      </c>
      <c r="VTJ106" s="46"/>
      <c r="VTK106" s="46"/>
      <c r="VTL106" s="46"/>
      <c r="VTM106" s="46"/>
      <c r="VTN106" s="46"/>
      <c r="VTO106" s="46"/>
      <c r="VTP106" s="47">
        <v>0</v>
      </c>
      <c r="VTQ106" s="46" t="s">
        <v>45</v>
      </c>
      <c r="VTR106" s="46"/>
      <c r="VTS106" s="46"/>
      <c r="VTT106" s="46"/>
      <c r="VTU106" s="46"/>
      <c r="VTV106" s="46"/>
      <c r="VTW106" s="46"/>
      <c r="VTX106" s="47">
        <v>0</v>
      </c>
      <c r="VTY106" s="46" t="s">
        <v>45</v>
      </c>
      <c r="VTZ106" s="46"/>
      <c r="VUA106" s="46"/>
      <c r="VUB106" s="46"/>
      <c r="VUC106" s="46"/>
      <c r="VUD106" s="46"/>
      <c r="VUE106" s="46"/>
      <c r="VUF106" s="47">
        <v>0</v>
      </c>
      <c r="VUG106" s="46" t="s">
        <v>45</v>
      </c>
      <c r="VUH106" s="46"/>
      <c r="VUI106" s="46"/>
      <c r="VUJ106" s="46"/>
      <c r="VUK106" s="46"/>
      <c r="VUL106" s="46"/>
      <c r="VUM106" s="46"/>
      <c r="VUN106" s="47">
        <v>0</v>
      </c>
      <c r="VUO106" s="46" t="s">
        <v>45</v>
      </c>
      <c r="VUP106" s="46"/>
      <c r="VUQ106" s="46"/>
      <c r="VUR106" s="46"/>
      <c r="VUS106" s="46"/>
      <c r="VUT106" s="46"/>
      <c r="VUU106" s="46"/>
      <c r="VUV106" s="47">
        <v>0</v>
      </c>
      <c r="VUW106" s="46" t="s">
        <v>45</v>
      </c>
      <c r="VUX106" s="46"/>
      <c r="VUY106" s="46"/>
      <c r="VUZ106" s="46"/>
      <c r="VVA106" s="46"/>
      <c r="VVB106" s="46"/>
      <c r="VVC106" s="46"/>
      <c r="VVD106" s="47">
        <v>0</v>
      </c>
      <c r="VVE106" s="46" t="s">
        <v>45</v>
      </c>
      <c r="VVF106" s="46"/>
      <c r="VVG106" s="46"/>
      <c r="VVH106" s="46"/>
      <c r="VVI106" s="46"/>
      <c r="VVJ106" s="46"/>
      <c r="VVK106" s="46"/>
      <c r="VVL106" s="47">
        <v>0</v>
      </c>
      <c r="VVM106" s="46" t="s">
        <v>45</v>
      </c>
      <c r="VVN106" s="46"/>
      <c r="VVO106" s="46"/>
      <c r="VVP106" s="46"/>
      <c r="VVQ106" s="46"/>
      <c r="VVR106" s="46"/>
      <c r="VVS106" s="46"/>
      <c r="VVT106" s="47">
        <v>0</v>
      </c>
      <c r="VVU106" s="46" t="s">
        <v>45</v>
      </c>
      <c r="VVV106" s="46"/>
      <c r="VVW106" s="46"/>
      <c r="VVX106" s="46"/>
      <c r="VVY106" s="46"/>
      <c r="VVZ106" s="46"/>
      <c r="VWA106" s="46"/>
      <c r="VWB106" s="47">
        <v>0</v>
      </c>
      <c r="VWC106" s="46" t="s">
        <v>45</v>
      </c>
      <c r="VWD106" s="46"/>
      <c r="VWE106" s="46"/>
      <c r="VWF106" s="46"/>
      <c r="VWG106" s="46"/>
      <c r="VWH106" s="46"/>
      <c r="VWI106" s="46"/>
      <c r="VWJ106" s="47">
        <v>0</v>
      </c>
      <c r="VWK106" s="46" t="s">
        <v>45</v>
      </c>
      <c r="VWL106" s="46"/>
      <c r="VWM106" s="46"/>
      <c r="VWN106" s="46"/>
      <c r="VWO106" s="46"/>
      <c r="VWP106" s="46"/>
      <c r="VWQ106" s="46"/>
      <c r="VWR106" s="47">
        <v>0</v>
      </c>
      <c r="VWS106" s="46" t="s">
        <v>45</v>
      </c>
      <c r="VWT106" s="46"/>
      <c r="VWU106" s="46"/>
      <c r="VWV106" s="46"/>
      <c r="VWW106" s="46"/>
      <c r="VWX106" s="46"/>
      <c r="VWY106" s="46"/>
      <c r="VWZ106" s="47">
        <v>0</v>
      </c>
      <c r="VXA106" s="46" t="s">
        <v>45</v>
      </c>
      <c r="VXB106" s="46"/>
      <c r="VXC106" s="46"/>
      <c r="VXD106" s="46"/>
      <c r="VXE106" s="46"/>
      <c r="VXF106" s="46"/>
      <c r="VXG106" s="46"/>
      <c r="VXH106" s="47">
        <v>0</v>
      </c>
      <c r="VXI106" s="46" t="s">
        <v>45</v>
      </c>
      <c r="VXJ106" s="46"/>
      <c r="VXK106" s="46"/>
      <c r="VXL106" s="46"/>
      <c r="VXM106" s="46"/>
      <c r="VXN106" s="46"/>
      <c r="VXO106" s="46"/>
      <c r="VXP106" s="47">
        <v>0</v>
      </c>
      <c r="VXQ106" s="46" t="s">
        <v>45</v>
      </c>
      <c r="VXR106" s="46"/>
      <c r="VXS106" s="46"/>
      <c r="VXT106" s="46"/>
      <c r="VXU106" s="46"/>
      <c r="VXV106" s="46"/>
      <c r="VXW106" s="46"/>
      <c r="VXX106" s="47">
        <v>0</v>
      </c>
      <c r="VXY106" s="46" t="s">
        <v>45</v>
      </c>
      <c r="VXZ106" s="46"/>
      <c r="VYA106" s="46"/>
      <c r="VYB106" s="46"/>
      <c r="VYC106" s="46"/>
      <c r="VYD106" s="46"/>
      <c r="VYE106" s="46"/>
      <c r="VYF106" s="47">
        <v>0</v>
      </c>
      <c r="VYG106" s="46" t="s">
        <v>45</v>
      </c>
      <c r="VYH106" s="46"/>
      <c r="VYI106" s="46"/>
      <c r="VYJ106" s="46"/>
      <c r="VYK106" s="46"/>
      <c r="VYL106" s="46"/>
      <c r="VYM106" s="46"/>
      <c r="VYN106" s="47">
        <v>0</v>
      </c>
      <c r="VYO106" s="46" t="s">
        <v>45</v>
      </c>
      <c r="VYP106" s="46"/>
      <c r="VYQ106" s="46"/>
      <c r="VYR106" s="46"/>
      <c r="VYS106" s="46"/>
      <c r="VYT106" s="46"/>
      <c r="VYU106" s="46"/>
      <c r="VYV106" s="47">
        <v>0</v>
      </c>
      <c r="VYW106" s="46" t="s">
        <v>45</v>
      </c>
      <c r="VYX106" s="46"/>
      <c r="VYY106" s="46"/>
      <c r="VYZ106" s="46"/>
      <c r="VZA106" s="46"/>
      <c r="VZB106" s="46"/>
      <c r="VZC106" s="46"/>
      <c r="VZD106" s="47">
        <v>0</v>
      </c>
      <c r="VZE106" s="46" t="s">
        <v>45</v>
      </c>
      <c r="VZF106" s="46"/>
      <c r="VZG106" s="46"/>
      <c r="VZH106" s="46"/>
      <c r="VZI106" s="46"/>
      <c r="VZJ106" s="46"/>
      <c r="VZK106" s="46"/>
      <c r="VZL106" s="47">
        <v>0</v>
      </c>
      <c r="VZM106" s="46" t="s">
        <v>45</v>
      </c>
      <c r="VZN106" s="46"/>
      <c r="VZO106" s="46"/>
      <c r="VZP106" s="46"/>
      <c r="VZQ106" s="46"/>
      <c r="VZR106" s="46"/>
      <c r="VZS106" s="46"/>
      <c r="VZT106" s="47">
        <v>0</v>
      </c>
      <c r="VZU106" s="46" t="s">
        <v>45</v>
      </c>
      <c r="VZV106" s="46"/>
      <c r="VZW106" s="46"/>
      <c r="VZX106" s="46"/>
      <c r="VZY106" s="46"/>
      <c r="VZZ106" s="46"/>
      <c r="WAA106" s="46"/>
      <c r="WAB106" s="47">
        <v>0</v>
      </c>
      <c r="WAC106" s="46" t="s">
        <v>45</v>
      </c>
      <c r="WAD106" s="46"/>
      <c r="WAE106" s="46"/>
      <c r="WAF106" s="46"/>
      <c r="WAG106" s="46"/>
      <c r="WAH106" s="46"/>
      <c r="WAI106" s="46"/>
      <c r="WAJ106" s="47">
        <v>0</v>
      </c>
      <c r="WAK106" s="46" t="s">
        <v>45</v>
      </c>
      <c r="WAL106" s="46"/>
      <c r="WAM106" s="46"/>
      <c r="WAN106" s="46"/>
      <c r="WAO106" s="46"/>
      <c r="WAP106" s="46"/>
      <c r="WAQ106" s="46"/>
      <c r="WAR106" s="47">
        <v>0</v>
      </c>
      <c r="WAS106" s="46" t="s">
        <v>45</v>
      </c>
      <c r="WAT106" s="46"/>
      <c r="WAU106" s="46"/>
      <c r="WAV106" s="46"/>
      <c r="WAW106" s="46"/>
      <c r="WAX106" s="46"/>
      <c r="WAY106" s="46"/>
      <c r="WAZ106" s="47">
        <v>0</v>
      </c>
      <c r="WBA106" s="46" t="s">
        <v>45</v>
      </c>
      <c r="WBB106" s="46"/>
      <c r="WBC106" s="46"/>
      <c r="WBD106" s="46"/>
      <c r="WBE106" s="46"/>
      <c r="WBF106" s="46"/>
      <c r="WBG106" s="46"/>
      <c r="WBH106" s="47">
        <v>0</v>
      </c>
      <c r="WBI106" s="46" t="s">
        <v>45</v>
      </c>
      <c r="WBJ106" s="46"/>
      <c r="WBK106" s="46"/>
      <c r="WBL106" s="46"/>
      <c r="WBM106" s="46"/>
      <c r="WBN106" s="46"/>
      <c r="WBO106" s="46"/>
      <c r="WBP106" s="47">
        <v>0</v>
      </c>
      <c r="WBQ106" s="46" t="s">
        <v>45</v>
      </c>
      <c r="WBR106" s="46"/>
      <c r="WBS106" s="46"/>
      <c r="WBT106" s="46"/>
      <c r="WBU106" s="46"/>
      <c r="WBV106" s="46"/>
      <c r="WBW106" s="46"/>
      <c r="WBX106" s="47">
        <v>0</v>
      </c>
      <c r="WBY106" s="46" t="s">
        <v>45</v>
      </c>
      <c r="WBZ106" s="46"/>
      <c r="WCA106" s="46"/>
      <c r="WCB106" s="46"/>
      <c r="WCC106" s="46"/>
      <c r="WCD106" s="46"/>
      <c r="WCE106" s="46"/>
      <c r="WCF106" s="47">
        <v>0</v>
      </c>
      <c r="WCG106" s="46" t="s">
        <v>45</v>
      </c>
      <c r="WCH106" s="46"/>
      <c r="WCI106" s="46"/>
      <c r="WCJ106" s="46"/>
      <c r="WCK106" s="46"/>
      <c r="WCL106" s="46"/>
      <c r="WCM106" s="46"/>
      <c r="WCN106" s="47">
        <v>0</v>
      </c>
      <c r="WCO106" s="46" t="s">
        <v>45</v>
      </c>
      <c r="WCP106" s="46"/>
      <c r="WCQ106" s="46"/>
      <c r="WCR106" s="46"/>
      <c r="WCS106" s="46"/>
      <c r="WCT106" s="46"/>
      <c r="WCU106" s="46"/>
      <c r="WCV106" s="47">
        <v>0</v>
      </c>
      <c r="WCW106" s="46" t="s">
        <v>45</v>
      </c>
      <c r="WCX106" s="46"/>
      <c r="WCY106" s="46"/>
      <c r="WCZ106" s="46"/>
      <c r="WDA106" s="46"/>
      <c r="WDB106" s="46"/>
      <c r="WDC106" s="46"/>
      <c r="WDD106" s="47">
        <v>0</v>
      </c>
      <c r="WDE106" s="46" t="s">
        <v>45</v>
      </c>
      <c r="WDF106" s="46"/>
      <c r="WDG106" s="46"/>
      <c r="WDH106" s="46"/>
      <c r="WDI106" s="46"/>
      <c r="WDJ106" s="46"/>
      <c r="WDK106" s="46"/>
      <c r="WDL106" s="47">
        <v>0</v>
      </c>
      <c r="WDM106" s="46" t="s">
        <v>45</v>
      </c>
      <c r="WDN106" s="46"/>
      <c r="WDO106" s="46"/>
      <c r="WDP106" s="46"/>
      <c r="WDQ106" s="46"/>
      <c r="WDR106" s="46"/>
      <c r="WDS106" s="46"/>
      <c r="WDT106" s="47">
        <v>0</v>
      </c>
      <c r="WDU106" s="46" t="s">
        <v>45</v>
      </c>
      <c r="WDV106" s="46"/>
      <c r="WDW106" s="46"/>
      <c r="WDX106" s="46"/>
      <c r="WDY106" s="46"/>
      <c r="WDZ106" s="46"/>
      <c r="WEA106" s="46"/>
      <c r="WEB106" s="47">
        <v>0</v>
      </c>
      <c r="WEC106" s="46" t="s">
        <v>45</v>
      </c>
      <c r="WED106" s="46"/>
      <c r="WEE106" s="46"/>
      <c r="WEF106" s="46"/>
      <c r="WEG106" s="46"/>
      <c r="WEH106" s="46"/>
      <c r="WEI106" s="46"/>
      <c r="WEJ106" s="47">
        <v>0</v>
      </c>
      <c r="WEK106" s="46" t="s">
        <v>45</v>
      </c>
      <c r="WEL106" s="46"/>
      <c r="WEM106" s="46"/>
      <c r="WEN106" s="46"/>
      <c r="WEO106" s="46"/>
      <c r="WEP106" s="46"/>
      <c r="WEQ106" s="46"/>
      <c r="WER106" s="47">
        <v>0</v>
      </c>
      <c r="WES106" s="46" t="s">
        <v>45</v>
      </c>
      <c r="WET106" s="46"/>
      <c r="WEU106" s="46"/>
      <c r="WEV106" s="46"/>
      <c r="WEW106" s="46"/>
      <c r="WEX106" s="46"/>
      <c r="WEY106" s="46"/>
      <c r="WEZ106" s="47">
        <v>0</v>
      </c>
      <c r="WFA106" s="46" t="s">
        <v>45</v>
      </c>
      <c r="WFB106" s="46"/>
      <c r="WFC106" s="46"/>
      <c r="WFD106" s="46"/>
      <c r="WFE106" s="46"/>
      <c r="WFF106" s="46"/>
      <c r="WFG106" s="46"/>
      <c r="WFH106" s="47">
        <v>0</v>
      </c>
      <c r="WFI106" s="46" t="s">
        <v>45</v>
      </c>
      <c r="WFJ106" s="46"/>
      <c r="WFK106" s="46"/>
      <c r="WFL106" s="46"/>
      <c r="WFM106" s="46"/>
      <c r="WFN106" s="46"/>
      <c r="WFO106" s="46"/>
      <c r="WFP106" s="47">
        <v>0</v>
      </c>
      <c r="WFQ106" s="46" t="s">
        <v>45</v>
      </c>
      <c r="WFR106" s="46"/>
      <c r="WFS106" s="46"/>
      <c r="WFT106" s="46"/>
      <c r="WFU106" s="46"/>
      <c r="WFV106" s="46"/>
      <c r="WFW106" s="46"/>
      <c r="WFX106" s="47">
        <v>0</v>
      </c>
      <c r="WFY106" s="46" t="s">
        <v>45</v>
      </c>
      <c r="WFZ106" s="46"/>
      <c r="WGA106" s="46"/>
      <c r="WGB106" s="46"/>
      <c r="WGC106" s="46"/>
      <c r="WGD106" s="46"/>
      <c r="WGE106" s="46"/>
      <c r="WGF106" s="47">
        <v>0</v>
      </c>
      <c r="WGG106" s="46" t="s">
        <v>45</v>
      </c>
      <c r="WGH106" s="46"/>
      <c r="WGI106" s="46"/>
      <c r="WGJ106" s="46"/>
      <c r="WGK106" s="46"/>
      <c r="WGL106" s="46"/>
      <c r="WGM106" s="46"/>
      <c r="WGN106" s="47">
        <v>0</v>
      </c>
      <c r="WGO106" s="46" t="s">
        <v>45</v>
      </c>
      <c r="WGP106" s="46"/>
      <c r="WGQ106" s="46"/>
      <c r="WGR106" s="46"/>
      <c r="WGS106" s="46"/>
      <c r="WGT106" s="46"/>
      <c r="WGU106" s="46"/>
      <c r="WGV106" s="47">
        <v>0</v>
      </c>
      <c r="WGW106" s="46" t="s">
        <v>45</v>
      </c>
      <c r="WGX106" s="46"/>
      <c r="WGY106" s="46"/>
      <c r="WGZ106" s="46"/>
      <c r="WHA106" s="46"/>
      <c r="WHB106" s="46"/>
      <c r="WHC106" s="46"/>
      <c r="WHD106" s="47">
        <v>0</v>
      </c>
      <c r="WHE106" s="46" t="s">
        <v>45</v>
      </c>
      <c r="WHF106" s="46"/>
      <c r="WHG106" s="46"/>
      <c r="WHH106" s="46"/>
      <c r="WHI106" s="46"/>
      <c r="WHJ106" s="46"/>
      <c r="WHK106" s="46"/>
      <c r="WHL106" s="47">
        <v>0</v>
      </c>
      <c r="WHM106" s="46" t="s">
        <v>45</v>
      </c>
      <c r="WHN106" s="46"/>
      <c r="WHO106" s="46"/>
      <c r="WHP106" s="46"/>
      <c r="WHQ106" s="46"/>
      <c r="WHR106" s="46"/>
      <c r="WHS106" s="46"/>
      <c r="WHT106" s="47">
        <v>0</v>
      </c>
      <c r="WHU106" s="46" t="s">
        <v>45</v>
      </c>
      <c r="WHV106" s="46"/>
      <c r="WHW106" s="46"/>
      <c r="WHX106" s="46"/>
      <c r="WHY106" s="46"/>
      <c r="WHZ106" s="46"/>
      <c r="WIA106" s="46"/>
      <c r="WIB106" s="47">
        <v>0</v>
      </c>
      <c r="WIC106" s="46" t="s">
        <v>45</v>
      </c>
      <c r="WID106" s="46"/>
      <c r="WIE106" s="46"/>
      <c r="WIF106" s="46"/>
      <c r="WIG106" s="46"/>
      <c r="WIH106" s="46"/>
      <c r="WII106" s="46"/>
      <c r="WIJ106" s="47">
        <v>0</v>
      </c>
      <c r="WIK106" s="46" t="s">
        <v>45</v>
      </c>
      <c r="WIL106" s="46"/>
      <c r="WIM106" s="46"/>
      <c r="WIN106" s="46"/>
      <c r="WIO106" s="46"/>
      <c r="WIP106" s="46"/>
      <c r="WIQ106" s="46"/>
      <c r="WIR106" s="47">
        <v>0</v>
      </c>
      <c r="WIS106" s="46" t="s">
        <v>45</v>
      </c>
      <c r="WIT106" s="46"/>
      <c r="WIU106" s="46"/>
      <c r="WIV106" s="46"/>
      <c r="WIW106" s="46"/>
      <c r="WIX106" s="46"/>
      <c r="WIY106" s="46"/>
      <c r="WIZ106" s="47">
        <v>0</v>
      </c>
      <c r="WJA106" s="46" t="s">
        <v>45</v>
      </c>
      <c r="WJB106" s="46"/>
      <c r="WJC106" s="46"/>
      <c r="WJD106" s="46"/>
      <c r="WJE106" s="46"/>
      <c r="WJF106" s="46"/>
      <c r="WJG106" s="46"/>
      <c r="WJH106" s="47">
        <v>0</v>
      </c>
      <c r="WJI106" s="46" t="s">
        <v>45</v>
      </c>
      <c r="WJJ106" s="46"/>
      <c r="WJK106" s="46"/>
      <c r="WJL106" s="46"/>
      <c r="WJM106" s="46"/>
      <c r="WJN106" s="46"/>
      <c r="WJO106" s="46"/>
      <c r="WJP106" s="47">
        <v>0</v>
      </c>
      <c r="WJQ106" s="46" t="s">
        <v>45</v>
      </c>
      <c r="WJR106" s="46"/>
      <c r="WJS106" s="46"/>
      <c r="WJT106" s="46"/>
      <c r="WJU106" s="46"/>
      <c r="WJV106" s="46"/>
      <c r="WJW106" s="46"/>
      <c r="WJX106" s="47">
        <v>0</v>
      </c>
      <c r="WJY106" s="46" t="s">
        <v>45</v>
      </c>
      <c r="WJZ106" s="46"/>
      <c r="WKA106" s="46"/>
      <c r="WKB106" s="46"/>
      <c r="WKC106" s="46"/>
      <c r="WKD106" s="46"/>
      <c r="WKE106" s="46"/>
      <c r="WKF106" s="47">
        <v>0</v>
      </c>
      <c r="WKG106" s="46" t="s">
        <v>45</v>
      </c>
      <c r="WKH106" s="46"/>
      <c r="WKI106" s="46"/>
      <c r="WKJ106" s="46"/>
      <c r="WKK106" s="46"/>
      <c r="WKL106" s="46"/>
      <c r="WKM106" s="46"/>
      <c r="WKN106" s="47">
        <v>0</v>
      </c>
      <c r="WKO106" s="46" t="s">
        <v>45</v>
      </c>
      <c r="WKP106" s="46"/>
      <c r="WKQ106" s="46"/>
      <c r="WKR106" s="46"/>
      <c r="WKS106" s="46"/>
      <c r="WKT106" s="46"/>
      <c r="WKU106" s="46"/>
      <c r="WKV106" s="47">
        <v>0</v>
      </c>
      <c r="WKW106" s="46" t="s">
        <v>45</v>
      </c>
      <c r="WKX106" s="46"/>
      <c r="WKY106" s="46"/>
      <c r="WKZ106" s="46"/>
      <c r="WLA106" s="46"/>
      <c r="WLB106" s="46"/>
      <c r="WLC106" s="46"/>
      <c r="WLD106" s="47">
        <v>0</v>
      </c>
      <c r="WLE106" s="46" t="s">
        <v>45</v>
      </c>
      <c r="WLF106" s="46"/>
      <c r="WLG106" s="46"/>
      <c r="WLH106" s="46"/>
      <c r="WLI106" s="46"/>
      <c r="WLJ106" s="46"/>
      <c r="WLK106" s="46"/>
      <c r="WLL106" s="47">
        <v>0</v>
      </c>
      <c r="WLM106" s="46" t="s">
        <v>45</v>
      </c>
      <c r="WLN106" s="46"/>
      <c r="WLO106" s="46"/>
      <c r="WLP106" s="46"/>
      <c r="WLQ106" s="46"/>
      <c r="WLR106" s="46"/>
      <c r="WLS106" s="46"/>
      <c r="WLT106" s="47">
        <v>0</v>
      </c>
      <c r="WLU106" s="46" t="s">
        <v>45</v>
      </c>
      <c r="WLV106" s="46"/>
      <c r="WLW106" s="46"/>
      <c r="WLX106" s="46"/>
      <c r="WLY106" s="46"/>
      <c r="WLZ106" s="46"/>
      <c r="WMA106" s="46"/>
      <c r="WMB106" s="47">
        <v>0</v>
      </c>
      <c r="WMC106" s="46" t="s">
        <v>45</v>
      </c>
      <c r="WMD106" s="46"/>
      <c r="WME106" s="46"/>
      <c r="WMF106" s="46"/>
      <c r="WMG106" s="46"/>
      <c r="WMH106" s="46"/>
      <c r="WMI106" s="46"/>
      <c r="WMJ106" s="47">
        <v>0</v>
      </c>
      <c r="WMK106" s="46" t="s">
        <v>45</v>
      </c>
      <c r="WML106" s="46"/>
      <c r="WMM106" s="46"/>
      <c r="WMN106" s="46"/>
      <c r="WMO106" s="46"/>
      <c r="WMP106" s="46"/>
      <c r="WMQ106" s="46"/>
      <c r="WMR106" s="47">
        <v>0</v>
      </c>
      <c r="WMS106" s="46" t="s">
        <v>45</v>
      </c>
      <c r="WMT106" s="46"/>
      <c r="WMU106" s="46"/>
      <c r="WMV106" s="46"/>
      <c r="WMW106" s="46"/>
      <c r="WMX106" s="46"/>
      <c r="WMY106" s="46"/>
      <c r="WMZ106" s="47">
        <v>0</v>
      </c>
      <c r="WNA106" s="46" t="s">
        <v>45</v>
      </c>
      <c r="WNB106" s="46"/>
      <c r="WNC106" s="46"/>
      <c r="WND106" s="46"/>
      <c r="WNE106" s="46"/>
      <c r="WNF106" s="46"/>
      <c r="WNG106" s="46"/>
      <c r="WNH106" s="47">
        <v>0</v>
      </c>
      <c r="WNI106" s="46" t="s">
        <v>45</v>
      </c>
      <c r="WNJ106" s="46"/>
      <c r="WNK106" s="46"/>
      <c r="WNL106" s="46"/>
      <c r="WNM106" s="46"/>
      <c r="WNN106" s="46"/>
      <c r="WNO106" s="46"/>
      <c r="WNP106" s="47">
        <v>0</v>
      </c>
      <c r="WNQ106" s="46" t="s">
        <v>45</v>
      </c>
      <c r="WNR106" s="46"/>
      <c r="WNS106" s="46"/>
      <c r="WNT106" s="46"/>
      <c r="WNU106" s="46"/>
      <c r="WNV106" s="46"/>
      <c r="WNW106" s="46"/>
      <c r="WNX106" s="47">
        <v>0</v>
      </c>
      <c r="WNY106" s="46" t="s">
        <v>45</v>
      </c>
      <c r="WNZ106" s="46"/>
      <c r="WOA106" s="46"/>
      <c r="WOB106" s="46"/>
      <c r="WOC106" s="46"/>
      <c r="WOD106" s="46"/>
      <c r="WOE106" s="46"/>
      <c r="WOF106" s="47">
        <v>0</v>
      </c>
      <c r="WOG106" s="46" t="s">
        <v>45</v>
      </c>
      <c r="WOH106" s="46"/>
      <c r="WOI106" s="46"/>
      <c r="WOJ106" s="46"/>
      <c r="WOK106" s="46"/>
      <c r="WOL106" s="46"/>
      <c r="WOM106" s="46"/>
      <c r="WON106" s="47">
        <v>0</v>
      </c>
      <c r="WOO106" s="46" t="s">
        <v>45</v>
      </c>
      <c r="WOP106" s="46"/>
      <c r="WOQ106" s="46"/>
      <c r="WOR106" s="46"/>
      <c r="WOS106" s="46"/>
      <c r="WOT106" s="46"/>
      <c r="WOU106" s="46"/>
      <c r="WOV106" s="47">
        <v>0</v>
      </c>
      <c r="WOW106" s="46" t="s">
        <v>45</v>
      </c>
      <c r="WOX106" s="46"/>
      <c r="WOY106" s="46"/>
      <c r="WOZ106" s="46"/>
      <c r="WPA106" s="46"/>
      <c r="WPB106" s="46"/>
      <c r="WPC106" s="46"/>
      <c r="WPD106" s="47">
        <v>0</v>
      </c>
      <c r="WPE106" s="46" t="s">
        <v>45</v>
      </c>
      <c r="WPF106" s="46"/>
      <c r="WPG106" s="46"/>
      <c r="WPH106" s="46"/>
      <c r="WPI106" s="46"/>
      <c r="WPJ106" s="46"/>
      <c r="WPK106" s="46"/>
      <c r="WPL106" s="47">
        <v>0</v>
      </c>
      <c r="WPM106" s="46" t="s">
        <v>45</v>
      </c>
      <c r="WPN106" s="46"/>
      <c r="WPO106" s="46"/>
      <c r="WPP106" s="46"/>
      <c r="WPQ106" s="46"/>
      <c r="WPR106" s="46"/>
      <c r="WPS106" s="46"/>
      <c r="WPT106" s="47">
        <v>0</v>
      </c>
      <c r="WPU106" s="46" t="s">
        <v>45</v>
      </c>
      <c r="WPV106" s="46"/>
      <c r="WPW106" s="46"/>
      <c r="WPX106" s="46"/>
      <c r="WPY106" s="46"/>
      <c r="WPZ106" s="46"/>
      <c r="WQA106" s="46"/>
      <c r="WQB106" s="47">
        <v>0</v>
      </c>
      <c r="WQC106" s="46" t="s">
        <v>45</v>
      </c>
      <c r="WQD106" s="46"/>
      <c r="WQE106" s="46"/>
      <c r="WQF106" s="46"/>
      <c r="WQG106" s="46"/>
      <c r="WQH106" s="46"/>
      <c r="WQI106" s="46"/>
      <c r="WQJ106" s="47">
        <v>0</v>
      </c>
      <c r="WQK106" s="46" t="s">
        <v>45</v>
      </c>
      <c r="WQL106" s="46"/>
      <c r="WQM106" s="46"/>
      <c r="WQN106" s="46"/>
      <c r="WQO106" s="46"/>
      <c r="WQP106" s="46"/>
      <c r="WQQ106" s="46"/>
      <c r="WQR106" s="47">
        <v>0</v>
      </c>
      <c r="WQS106" s="46" t="s">
        <v>45</v>
      </c>
      <c r="WQT106" s="46"/>
      <c r="WQU106" s="46"/>
      <c r="WQV106" s="46"/>
      <c r="WQW106" s="46"/>
      <c r="WQX106" s="46"/>
      <c r="WQY106" s="46"/>
      <c r="WQZ106" s="47">
        <v>0</v>
      </c>
      <c r="WRA106" s="46" t="s">
        <v>45</v>
      </c>
      <c r="WRB106" s="46"/>
      <c r="WRC106" s="46"/>
      <c r="WRD106" s="46"/>
      <c r="WRE106" s="46"/>
      <c r="WRF106" s="46"/>
      <c r="WRG106" s="46"/>
      <c r="WRH106" s="47">
        <v>0</v>
      </c>
      <c r="WRI106" s="46" t="s">
        <v>45</v>
      </c>
      <c r="WRJ106" s="46"/>
      <c r="WRK106" s="46"/>
      <c r="WRL106" s="46"/>
      <c r="WRM106" s="46"/>
      <c r="WRN106" s="46"/>
      <c r="WRO106" s="46"/>
      <c r="WRP106" s="47">
        <v>0</v>
      </c>
      <c r="WRQ106" s="46" t="s">
        <v>45</v>
      </c>
      <c r="WRR106" s="46"/>
      <c r="WRS106" s="46"/>
      <c r="WRT106" s="46"/>
      <c r="WRU106" s="46"/>
      <c r="WRV106" s="46"/>
      <c r="WRW106" s="46"/>
      <c r="WRX106" s="47">
        <v>0</v>
      </c>
      <c r="WRY106" s="46" t="s">
        <v>45</v>
      </c>
      <c r="WRZ106" s="46"/>
      <c r="WSA106" s="46"/>
      <c r="WSB106" s="46"/>
      <c r="WSC106" s="46"/>
      <c r="WSD106" s="46"/>
      <c r="WSE106" s="46"/>
      <c r="WSF106" s="47">
        <v>0</v>
      </c>
      <c r="WSG106" s="46" t="s">
        <v>45</v>
      </c>
      <c r="WSH106" s="46"/>
      <c r="WSI106" s="46"/>
      <c r="WSJ106" s="46"/>
      <c r="WSK106" s="46"/>
      <c r="WSL106" s="46"/>
      <c r="WSM106" s="46"/>
      <c r="WSN106" s="47">
        <v>0</v>
      </c>
      <c r="WSO106" s="46" t="s">
        <v>45</v>
      </c>
      <c r="WSP106" s="46"/>
      <c r="WSQ106" s="46"/>
      <c r="WSR106" s="46"/>
      <c r="WSS106" s="46"/>
      <c r="WST106" s="46"/>
      <c r="WSU106" s="46"/>
      <c r="WSV106" s="47">
        <v>0</v>
      </c>
      <c r="WSW106" s="46" t="s">
        <v>45</v>
      </c>
      <c r="WSX106" s="46"/>
      <c r="WSY106" s="46"/>
      <c r="WSZ106" s="46"/>
      <c r="WTA106" s="46"/>
      <c r="WTB106" s="46"/>
      <c r="WTC106" s="46"/>
      <c r="WTD106" s="47">
        <v>0</v>
      </c>
      <c r="WTE106" s="46" t="s">
        <v>45</v>
      </c>
      <c r="WTF106" s="46"/>
      <c r="WTG106" s="46"/>
      <c r="WTH106" s="46"/>
      <c r="WTI106" s="46"/>
      <c r="WTJ106" s="46"/>
      <c r="WTK106" s="46"/>
      <c r="WTL106" s="47">
        <v>0</v>
      </c>
      <c r="WTM106" s="46" t="s">
        <v>45</v>
      </c>
      <c r="WTN106" s="46"/>
      <c r="WTO106" s="46"/>
      <c r="WTP106" s="46"/>
      <c r="WTQ106" s="46"/>
      <c r="WTR106" s="46"/>
      <c r="WTS106" s="46"/>
      <c r="WTT106" s="47">
        <v>0</v>
      </c>
      <c r="WTU106" s="46" t="s">
        <v>45</v>
      </c>
      <c r="WTV106" s="46"/>
      <c r="WTW106" s="46"/>
      <c r="WTX106" s="46"/>
      <c r="WTY106" s="46"/>
      <c r="WTZ106" s="46"/>
      <c r="WUA106" s="46"/>
      <c r="WUB106" s="47">
        <v>0</v>
      </c>
      <c r="WUC106" s="46" t="s">
        <v>45</v>
      </c>
      <c r="WUD106" s="46"/>
      <c r="WUE106" s="46"/>
      <c r="WUF106" s="46"/>
      <c r="WUG106" s="46"/>
      <c r="WUH106" s="46"/>
      <c r="WUI106" s="46"/>
      <c r="WUJ106" s="47">
        <v>0</v>
      </c>
      <c r="WUK106" s="46" t="s">
        <v>45</v>
      </c>
      <c r="WUL106" s="46"/>
      <c r="WUM106" s="46"/>
      <c r="WUN106" s="46"/>
      <c r="WUO106" s="46"/>
      <c r="WUP106" s="46"/>
      <c r="WUQ106" s="46"/>
      <c r="WUR106" s="47">
        <v>0</v>
      </c>
      <c r="WUS106" s="46" t="s">
        <v>45</v>
      </c>
      <c r="WUT106" s="46"/>
      <c r="WUU106" s="46"/>
      <c r="WUV106" s="46"/>
      <c r="WUW106" s="46"/>
      <c r="WUX106" s="46"/>
      <c r="WUY106" s="46"/>
      <c r="WUZ106" s="47">
        <v>0</v>
      </c>
      <c r="WVA106" s="46" t="s">
        <v>45</v>
      </c>
      <c r="WVB106" s="46"/>
      <c r="WVC106" s="46"/>
      <c r="WVD106" s="46"/>
      <c r="WVE106" s="46"/>
      <c r="WVF106" s="46"/>
      <c r="WVG106" s="46"/>
      <c r="WVH106" s="47">
        <v>0</v>
      </c>
      <c r="WVI106" s="46" t="s">
        <v>45</v>
      </c>
      <c r="WVJ106" s="46"/>
      <c r="WVK106" s="46"/>
      <c r="WVL106" s="46"/>
      <c r="WVM106" s="46"/>
      <c r="WVN106" s="46"/>
      <c r="WVO106" s="46"/>
      <c r="WVP106" s="47">
        <v>0</v>
      </c>
      <c r="WVQ106" s="46" t="s">
        <v>45</v>
      </c>
      <c r="WVR106" s="46"/>
      <c r="WVS106" s="46"/>
      <c r="WVT106" s="46"/>
      <c r="WVU106" s="46"/>
      <c r="WVV106" s="46"/>
      <c r="WVW106" s="46"/>
      <c r="WVX106" s="47">
        <v>0</v>
      </c>
      <c r="WVY106" s="46" t="s">
        <v>45</v>
      </c>
      <c r="WVZ106" s="46"/>
      <c r="WWA106" s="46"/>
      <c r="WWB106" s="46"/>
      <c r="WWC106" s="46"/>
      <c r="WWD106" s="46"/>
      <c r="WWE106" s="46"/>
      <c r="WWF106" s="47">
        <v>0</v>
      </c>
      <c r="WWG106" s="46" t="s">
        <v>45</v>
      </c>
      <c r="WWH106" s="46"/>
      <c r="WWI106" s="46"/>
      <c r="WWJ106" s="46"/>
      <c r="WWK106" s="46"/>
      <c r="WWL106" s="46"/>
      <c r="WWM106" s="46"/>
      <c r="WWN106" s="47">
        <v>0</v>
      </c>
      <c r="WWO106" s="46" t="s">
        <v>45</v>
      </c>
      <c r="WWP106" s="46"/>
      <c r="WWQ106" s="46"/>
      <c r="WWR106" s="46"/>
      <c r="WWS106" s="46"/>
      <c r="WWT106" s="46"/>
      <c r="WWU106" s="46"/>
      <c r="WWV106" s="47">
        <v>0</v>
      </c>
      <c r="WWW106" s="46" t="s">
        <v>45</v>
      </c>
      <c r="WWX106" s="46"/>
      <c r="WWY106" s="46"/>
      <c r="WWZ106" s="46"/>
      <c r="WXA106" s="46"/>
      <c r="WXB106" s="46"/>
      <c r="WXC106" s="46"/>
      <c r="WXD106" s="47">
        <v>0</v>
      </c>
      <c r="WXE106" s="46" t="s">
        <v>45</v>
      </c>
      <c r="WXF106" s="46"/>
      <c r="WXG106" s="46"/>
      <c r="WXH106" s="46"/>
      <c r="WXI106" s="46"/>
      <c r="WXJ106" s="46"/>
      <c r="WXK106" s="46"/>
      <c r="WXL106" s="47">
        <v>0</v>
      </c>
      <c r="WXM106" s="46" t="s">
        <v>45</v>
      </c>
      <c r="WXN106" s="46"/>
      <c r="WXO106" s="46"/>
      <c r="WXP106" s="46"/>
      <c r="WXQ106" s="46"/>
      <c r="WXR106" s="46"/>
      <c r="WXS106" s="46"/>
      <c r="WXT106" s="47">
        <v>0</v>
      </c>
      <c r="WXU106" s="46" t="s">
        <v>45</v>
      </c>
      <c r="WXV106" s="46"/>
      <c r="WXW106" s="46"/>
      <c r="WXX106" s="46"/>
      <c r="WXY106" s="46"/>
      <c r="WXZ106" s="46"/>
      <c r="WYA106" s="46"/>
      <c r="WYB106" s="47">
        <v>0</v>
      </c>
      <c r="WYC106" s="46" t="s">
        <v>45</v>
      </c>
      <c r="WYD106" s="46"/>
      <c r="WYE106" s="46"/>
      <c r="WYF106" s="46"/>
      <c r="WYG106" s="46"/>
      <c r="WYH106" s="46"/>
      <c r="WYI106" s="46"/>
      <c r="WYJ106" s="47">
        <v>0</v>
      </c>
      <c r="WYK106" s="46" t="s">
        <v>45</v>
      </c>
      <c r="WYL106" s="46"/>
      <c r="WYM106" s="46"/>
      <c r="WYN106" s="46"/>
      <c r="WYO106" s="46"/>
      <c r="WYP106" s="46"/>
      <c r="WYQ106" s="46"/>
      <c r="WYR106" s="47">
        <v>0</v>
      </c>
      <c r="WYS106" s="46" t="s">
        <v>45</v>
      </c>
      <c r="WYT106" s="46"/>
      <c r="WYU106" s="46"/>
      <c r="WYV106" s="46"/>
      <c r="WYW106" s="46"/>
      <c r="WYX106" s="46"/>
      <c r="WYY106" s="46"/>
      <c r="WYZ106" s="47">
        <v>0</v>
      </c>
      <c r="WZA106" s="46" t="s">
        <v>45</v>
      </c>
      <c r="WZB106" s="46"/>
      <c r="WZC106" s="46"/>
      <c r="WZD106" s="46"/>
      <c r="WZE106" s="46"/>
      <c r="WZF106" s="46"/>
      <c r="WZG106" s="46"/>
      <c r="WZH106" s="47">
        <v>0</v>
      </c>
      <c r="WZI106" s="46" t="s">
        <v>45</v>
      </c>
      <c r="WZJ106" s="46"/>
      <c r="WZK106" s="46"/>
      <c r="WZL106" s="46"/>
      <c r="WZM106" s="46"/>
      <c r="WZN106" s="46"/>
      <c r="WZO106" s="46"/>
      <c r="WZP106" s="47">
        <v>0</v>
      </c>
      <c r="WZQ106" s="46" t="s">
        <v>45</v>
      </c>
      <c r="WZR106" s="46"/>
      <c r="WZS106" s="46"/>
      <c r="WZT106" s="46"/>
      <c r="WZU106" s="46"/>
      <c r="WZV106" s="46"/>
      <c r="WZW106" s="46"/>
      <c r="WZX106" s="47">
        <v>0</v>
      </c>
      <c r="WZY106" s="46" t="s">
        <v>45</v>
      </c>
      <c r="WZZ106" s="46"/>
      <c r="XAA106" s="46"/>
      <c r="XAB106" s="46"/>
      <c r="XAC106" s="46"/>
      <c r="XAD106" s="46"/>
      <c r="XAE106" s="46"/>
      <c r="XAF106" s="47">
        <v>0</v>
      </c>
      <c r="XAG106" s="46" t="s">
        <v>45</v>
      </c>
      <c r="XAH106" s="46"/>
      <c r="XAI106" s="46"/>
      <c r="XAJ106" s="46"/>
      <c r="XAK106" s="46"/>
      <c r="XAL106" s="46"/>
      <c r="XAM106" s="46"/>
      <c r="XAN106" s="47">
        <v>0</v>
      </c>
      <c r="XAO106" s="46" t="s">
        <v>45</v>
      </c>
      <c r="XAP106" s="46"/>
      <c r="XAQ106" s="46"/>
      <c r="XAR106" s="46"/>
      <c r="XAS106" s="46"/>
      <c r="XAT106" s="46"/>
      <c r="XAU106" s="46"/>
      <c r="XAV106" s="47">
        <v>0</v>
      </c>
      <c r="XAW106" s="46" t="s">
        <v>45</v>
      </c>
      <c r="XAX106" s="46"/>
      <c r="XAY106" s="46"/>
      <c r="XAZ106" s="46"/>
      <c r="XBA106" s="46"/>
      <c r="XBB106" s="46"/>
      <c r="XBC106" s="46"/>
      <c r="XBD106" s="47">
        <v>0</v>
      </c>
      <c r="XBE106" s="46" t="s">
        <v>45</v>
      </c>
      <c r="XBF106" s="46"/>
      <c r="XBG106" s="46"/>
      <c r="XBH106" s="46"/>
      <c r="XBI106" s="46"/>
      <c r="XBJ106" s="46"/>
      <c r="XBK106" s="46"/>
      <c r="XBL106" s="47">
        <v>0</v>
      </c>
      <c r="XBM106" s="46" t="s">
        <v>45</v>
      </c>
      <c r="XBN106" s="46"/>
      <c r="XBO106" s="46"/>
      <c r="XBP106" s="46"/>
      <c r="XBQ106" s="46"/>
      <c r="XBR106" s="46"/>
      <c r="XBS106" s="46"/>
      <c r="XBT106" s="47">
        <v>0</v>
      </c>
      <c r="XBU106" s="46" t="s">
        <v>45</v>
      </c>
      <c r="XBV106" s="46"/>
      <c r="XBW106" s="46"/>
      <c r="XBX106" s="46"/>
      <c r="XBY106" s="46"/>
      <c r="XBZ106" s="46"/>
      <c r="XCA106" s="46"/>
      <c r="XCB106" s="47">
        <v>0</v>
      </c>
      <c r="XCC106" s="46" t="s">
        <v>45</v>
      </c>
      <c r="XCD106" s="46"/>
      <c r="XCE106" s="46"/>
      <c r="XCF106" s="46"/>
      <c r="XCG106" s="46"/>
      <c r="XCH106" s="46"/>
      <c r="XCI106" s="46"/>
      <c r="XCJ106" s="47">
        <v>0</v>
      </c>
      <c r="XCK106" s="46" t="s">
        <v>45</v>
      </c>
      <c r="XCL106" s="46"/>
      <c r="XCM106" s="46"/>
      <c r="XCN106" s="46"/>
      <c r="XCO106" s="46"/>
      <c r="XCP106" s="46"/>
      <c r="XCQ106" s="46"/>
      <c r="XCR106" s="47">
        <v>0</v>
      </c>
      <c r="XCS106" s="46" t="s">
        <v>45</v>
      </c>
      <c r="XCT106" s="46"/>
      <c r="XCU106" s="46"/>
      <c r="XCV106" s="46"/>
      <c r="XCW106" s="46"/>
      <c r="XCX106" s="46"/>
      <c r="XCY106" s="46"/>
      <c r="XCZ106" s="47">
        <v>0</v>
      </c>
      <c r="XDA106" s="46" t="s">
        <v>45</v>
      </c>
      <c r="XDB106" s="46"/>
      <c r="XDC106" s="46"/>
      <c r="XDD106" s="46"/>
      <c r="XDE106" s="46"/>
      <c r="XDF106" s="46"/>
      <c r="XDG106" s="46"/>
      <c r="XDH106" s="47">
        <v>0</v>
      </c>
      <c r="XDI106" s="46" t="s">
        <v>45</v>
      </c>
      <c r="XDJ106" s="46"/>
      <c r="XDK106" s="46"/>
      <c r="XDL106" s="46"/>
      <c r="XDM106" s="46"/>
      <c r="XDN106" s="46"/>
      <c r="XDO106" s="46"/>
      <c r="XDP106" s="47">
        <v>0</v>
      </c>
      <c r="XDQ106" s="46" t="s">
        <v>45</v>
      </c>
      <c r="XDR106" s="46"/>
      <c r="XDS106" s="46"/>
      <c r="XDT106" s="46"/>
      <c r="XDU106" s="46"/>
      <c r="XDV106" s="46"/>
      <c r="XDW106" s="46"/>
      <c r="XDX106" s="47">
        <v>0</v>
      </c>
      <c r="XDY106" s="46" t="s">
        <v>45</v>
      </c>
      <c r="XDZ106" s="46"/>
      <c r="XEA106" s="46"/>
      <c r="XEB106" s="46"/>
      <c r="XEC106" s="46"/>
      <c r="XED106" s="46"/>
      <c r="XEE106" s="46"/>
      <c r="XEF106" s="47">
        <v>0</v>
      </c>
      <c r="XEG106" s="46" t="s">
        <v>45</v>
      </c>
      <c r="XEH106" s="46"/>
      <c r="XEI106" s="46"/>
      <c r="XEJ106" s="46"/>
      <c r="XEK106" s="46"/>
      <c r="XEL106" s="46"/>
      <c r="XEM106" s="46"/>
      <c r="XEN106" s="47">
        <v>0</v>
      </c>
      <c r="XEO106" s="46" t="s">
        <v>45</v>
      </c>
      <c r="XEP106" s="46"/>
      <c r="XEQ106" s="46"/>
      <c r="XER106" s="46"/>
      <c r="XES106" s="46"/>
      <c r="XET106" s="46"/>
      <c r="XEU106" s="46"/>
      <c r="XEV106" s="47">
        <v>0</v>
      </c>
      <c r="XEW106" s="46" t="s">
        <v>45</v>
      </c>
      <c r="XEX106" s="46"/>
      <c r="XEY106" s="46"/>
      <c r="XEZ106" s="46"/>
      <c r="XFA106" s="46"/>
      <c r="XFB106" s="46"/>
      <c r="XFC106" s="46"/>
      <c r="XFD106" s="47">
        <v>0</v>
      </c>
    </row>
    <row r="107" spans="1:16384" customFormat="1" ht="15.75" customHeight="1" x14ac:dyDescent="0.3"/>
    <row r="108" spans="1:16384" customFormat="1" ht="15.75" customHeight="1" x14ac:dyDescent="0.3">
      <c r="A108" s="222" t="s">
        <v>50</v>
      </c>
      <c r="B108" s="223"/>
      <c r="C108" s="223"/>
      <c r="D108" s="223"/>
      <c r="E108" s="223"/>
      <c r="F108" s="223"/>
      <c r="G108" s="223"/>
      <c r="H108" s="224"/>
    </row>
    <row r="109" spans="1:16384" customFormat="1" ht="15.75" customHeight="1" x14ac:dyDescent="0.3">
      <c r="A109" s="42" t="s">
        <v>48</v>
      </c>
      <c r="B109" s="42"/>
      <c r="C109" s="42"/>
      <c r="D109" s="42"/>
      <c r="E109" s="42"/>
      <c r="F109" s="42"/>
      <c r="G109" s="42"/>
      <c r="H109" s="47">
        <v>93465.4</v>
      </c>
    </row>
    <row r="110" spans="1:16384" customFormat="1" ht="15.75" customHeight="1" x14ac:dyDescent="0.3">
      <c r="A110" s="14" t="s">
        <v>51</v>
      </c>
      <c r="B110" s="44"/>
      <c r="C110" s="38"/>
      <c r="D110" s="14"/>
      <c r="E110" s="14"/>
      <c r="F110" s="14"/>
      <c r="G110" s="14"/>
      <c r="H110" s="36">
        <f>'Planilla Extraord'!G44</f>
        <v>0</v>
      </c>
    </row>
    <row r="111" spans="1:16384" customFormat="1" ht="15.75" customHeight="1" x14ac:dyDescent="0.3">
      <c r="A111" s="14" t="s">
        <v>52</v>
      </c>
      <c r="B111" s="45"/>
      <c r="C111" s="14"/>
      <c r="D111" s="14"/>
      <c r="E111" s="14"/>
      <c r="F111" s="14"/>
      <c r="G111" s="14"/>
      <c r="H111" s="36">
        <f>-H80</f>
        <v>0</v>
      </c>
    </row>
    <row r="112" spans="1:16384" customFormat="1" ht="15.75" customHeight="1" x14ac:dyDescent="0.3">
      <c r="A112" s="14"/>
      <c r="B112" s="14"/>
      <c r="C112" s="14"/>
      <c r="D112" s="14"/>
      <c r="E112" s="14"/>
      <c r="F112" s="14"/>
      <c r="G112" s="14"/>
      <c r="H112" s="36"/>
    </row>
    <row r="113" spans="1:8" customFormat="1" ht="15.75" customHeight="1" x14ac:dyDescent="0.3">
      <c r="A113" s="46" t="s">
        <v>45</v>
      </c>
      <c r="B113" s="46"/>
      <c r="C113" s="46"/>
      <c r="D113" s="46"/>
      <c r="E113" s="46"/>
      <c r="F113" s="46"/>
      <c r="G113" s="46"/>
      <c r="H113" s="47">
        <f>SUM(H109:H112)</f>
        <v>93465.4</v>
      </c>
    </row>
    <row r="114" spans="1:8" customFormat="1" ht="15.75" customHeight="1" x14ac:dyDescent="0.3"/>
    <row r="115" spans="1:8" customFormat="1" ht="15.75" customHeight="1" x14ac:dyDescent="0.3"/>
    <row r="116" spans="1:8" customFormat="1" ht="15.75" customHeight="1" x14ac:dyDescent="0.3"/>
    <row r="117" spans="1:8" customFormat="1" ht="15.75" customHeight="1" x14ac:dyDescent="0.3">
      <c r="A117" s="222" t="s">
        <v>47</v>
      </c>
      <c r="B117" s="223"/>
      <c r="C117" s="223"/>
      <c r="D117" s="223"/>
      <c r="E117" s="223"/>
      <c r="F117" s="223"/>
      <c r="G117" s="223"/>
      <c r="H117" s="224"/>
    </row>
    <row r="118" spans="1:8" customFormat="1" ht="15.75" customHeight="1" x14ac:dyDescent="0.3">
      <c r="A118" s="42" t="s">
        <v>48</v>
      </c>
      <c r="B118" s="42"/>
      <c r="C118" s="42"/>
      <c r="D118" s="42"/>
      <c r="E118" s="42"/>
      <c r="F118" s="42"/>
      <c r="G118" s="42"/>
      <c r="H118" s="43">
        <v>800</v>
      </c>
    </row>
    <row r="119" spans="1:8" customFormat="1" ht="15.75" customHeight="1" x14ac:dyDescent="0.3">
      <c r="A119" s="14"/>
      <c r="B119" s="44"/>
      <c r="C119" s="38"/>
      <c r="D119" s="14"/>
      <c r="E119" s="14"/>
      <c r="F119" s="14"/>
      <c r="G119" s="14"/>
      <c r="H119" s="36"/>
    </row>
    <row r="120" spans="1:8" customFormat="1" ht="15.75" customHeight="1" x14ac:dyDescent="0.3">
      <c r="A120" s="14"/>
      <c r="B120" s="45"/>
      <c r="C120" s="14"/>
      <c r="D120" s="14"/>
      <c r="E120" s="14"/>
      <c r="F120" s="14"/>
      <c r="G120" s="14"/>
      <c r="H120" s="36"/>
    </row>
    <row r="121" spans="1:8" customFormat="1" ht="15.75" customHeight="1" x14ac:dyDescent="0.3">
      <c r="A121" s="14"/>
      <c r="B121" s="14"/>
      <c r="C121" s="14"/>
      <c r="D121" s="14"/>
      <c r="E121" s="14"/>
      <c r="F121" s="14"/>
      <c r="G121" s="14"/>
      <c r="H121" s="36"/>
    </row>
    <row r="122" spans="1:8" customFormat="1" ht="15.75" customHeight="1" x14ac:dyDescent="0.3">
      <c r="A122" s="46" t="s">
        <v>45</v>
      </c>
      <c r="B122" s="46"/>
      <c r="C122" s="46"/>
      <c r="D122" s="46"/>
      <c r="E122" s="46"/>
      <c r="F122" s="46"/>
      <c r="G122" s="46"/>
      <c r="H122" s="47">
        <f>SUM(H118:H121)</f>
        <v>800</v>
      </c>
    </row>
    <row r="123" spans="1:8" customFormat="1" ht="15.75" customHeight="1" x14ac:dyDescent="0.3"/>
    <row r="124" spans="1:8" customFormat="1" ht="15.75" customHeight="1" x14ac:dyDescent="0.3"/>
    <row r="125" spans="1:8" customFormat="1" ht="15.75" customHeight="1" x14ac:dyDescent="0.3">
      <c r="A125" s="48" t="s">
        <v>44</v>
      </c>
      <c r="B125" s="48"/>
      <c r="C125" s="48"/>
      <c r="D125" s="48"/>
    </row>
    <row r="126" spans="1:8" customFormat="1" ht="15.75" customHeight="1" x14ac:dyDescent="0.3">
      <c r="A126" s="14"/>
      <c r="B126" s="18"/>
      <c r="C126" s="18"/>
      <c r="D126" s="49"/>
    </row>
    <row r="127" spans="1:8" customFormat="1" ht="15.75" customHeight="1" x14ac:dyDescent="0.3">
      <c r="A127" s="14"/>
      <c r="B127" s="14"/>
      <c r="C127" s="14"/>
      <c r="D127" s="49"/>
    </row>
    <row r="128" spans="1:8" customFormat="1" ht="15.75" hidden="1" customHeight="1" x14ac:dyDescent="0.3">
      <c r="A128" s="14"/>
      <c r="B128" s="14"/>
      <c r="C128" s="14"/>
      <c r="D128" s="49"/>
    </row>
    <row r="129" spans="1:8" customFormat="1" ht="15.75" customHeight="1" x14ac:dyDescent="0.3">
      <c r="A129" s="14"/>
      <c r="B129" s="14"/>
      <c r="C129" s="14"/>
      <c r="D129" s="49"/>
    </row>
    <row r="130" spans="1:8" customFormat="1" ht="15.75" customHeight="1" x14ac:dyDescent="0.3">
      <c r="A130" s="50" t="s">
        <v>14</v>
      </c>
      <c r="B130" s="50"/>
      <c r="C130" s="225">
        <f>SUM(D126:D129)</f>
        <v>0</v>
      </c>
      <c r="D130" s="226"/>
    </row>
    <row r="131" spans="1:8" customFormat="1" ht="15.75" customHeight="1" x14ac:dyDescent="0.3"/>
    <row r="132" spans="1:8" customFormat="1" ht="15.75" customHeight="1" x14ac:dyDescent="0.3"/>
    <row r="133" spans="1:8" customFormat="1" ht="15.75" customHeight="1" x14ac:dyDescent="0.3">
      <c r="A133" s="227"/>
      <c r="B133" s="228"/>
      <c r="C133" s="228"/>
      <c r="D133" s="228"/>
      <c r="E133" s="228"/>
      <c r="F133" s="228"/>
      <c r="G133" s="228"/>
      <c r="H133" s="229"/>
    </row>
    <row r="134" spans="1:8" customFormat="1" ht="15.75" customHeight="1" x14ac:dyDescent="0.3">
      <c r="A134" s="230"/>
      <c r="B134" s="231"/>
      <c r="C134" s="231"/>
      <c r="D134" s="231"/>
      <c r="E134" s="231"/>
      <c r="F134" s="231"/>
      <c r="G134" s="231"/>
      <c r="H134" s="232"/>
    </row>
    <row r="135" spans="1:8" customFormat="1" ht="15.75" customHeight="1" x14ac:dyDescent="0.3">
      <c r="A135" s="230"/>
      <c r="B135" s="231"/>
      <c r="C135" s="231"/>
      <c r="D135" s="231"/>
      <c r="E135" s="231"/>
      <c r="F135" s="231"/>
      <c r="G135" s="231"/>
      <c r="H135" s="232"/>
    </row>
    <row r="136" spans="1:8" customFormat="1" ht="15.75" customHeight="1" x14ac:dyDescent="0.3">
      <c r="A136" s="233"/>
      <c r="B136" s="234"/>
      <c r="C136" s="234"/>
      <c r="D136" s="234"/>
      <c r="E136" s="234"/>
      <c r="F136" s="234"/>
      <c r="G136" s="234"/>
      <c r="H136" s="235"/>
    </row>
    <row r="145" customFormat="1" ht="15" customHeight="1" x14ac:dyDescent="0.3"/>
    <row r="146" customFormat="1" ht="15" customHeight="1" x14ac:dyDescent="0.3"/>
    <row r="147" customFormat="1" ht="15" customHeight="1" x14ac:dyDescent="0.3"/>
    <row r="148" customFormat="1" ht="15" customHeight="1" x14ac:dyDescent="0.3"/>
    <row r="149" customFormat="1" ht="15" customHeight="1" x14ac:dyDescent="0.3"/>
    <row r="150" customFormat="1" ht="15" customHeight="1" x14ac:dyDescent="0.3"/>
    <row r="151" customFormat="1" ht="15" customHeight="1" x14ac:dyDescent="0.3"/>
    <row r="152" customFormat="1" ht="15" customHeight="1" x14ac:dyDescent="0.3"/>
    <row r="153" customFormat="1" ht="15" customHeight="1" x14ac:dyDescent="0.3"/>
    <row r="154" customFormat="1" ht="15" customHeight="1" x14ac:dyDescent="0.3"/>
    <row r="155" customFormat="1" ht="15" customHeight="1" x14ac:dyDescent="0.3"/>
    <row r="156" customFormat="1" ht="15" customHeight="1" x14ac:dyDescent="0.3"/>
    <row r="157" customFormat="1" ht="15" customHeight="1" x14ac:dyDescent="0.3"/>
    <row r="158" customFormat="1" ht="15" customHeight="1" x14ac:dyDescent="0.3"/>
    <row r="159" customFormat="1" ht="15" customHeight="1" x14ac:dyDescent="0.3"/>
    <row r="160" customFormat="1" ht="15" customHeight="1" x14ac:dyDescent="0.3"/>
    <row r="161" customFormat="1" ht="15" customHeight="1" x14ac:dyDescent="0.3"/>
    <row r="162" customFormat="1" ht="15" customHeight="1" x14ac:dyDescent="0.3"/>
    <row r="163" customFormat="1" ht="15" customHeight="1" x14ac:dyDescent="0.3"/>
    <row r="164" customFormat="1" ht="15" customHeight="1" x14ac:dyDescent="0.3"/>
    <row r="165" customFormat="1" ht="15" customHeight="1" x14ac:dyDescent="0.3"/>
    <row r="166" customFormat="1" ht="15" customHeight="1" x14ac:dyDescent="0.3"/>
    <row r="167" customFormat="1" ht="15" customHeight="1" x14ac:dyDescent="0.3"/>
    <row r="168" customFormat="1" ht="15" customHeight="1" x14ac:dyDescent="0.3"/>
    <row r="169" customFormat="1" ht="15" customHeight="1" x14ac:dyDescent="0.3"/>
    <row r="170" customFormat="1" ht="15" customHeight="1" x14ac:dyDescent="0.3"/>
  </sheetData>
  <mergeCells count="2071">
    <mergeCell ref="A72:G72"/>
    <mergeCell ref="A73:G73"/>
    <mergeCell ref="A75:G75"/>
    <mergeCell ref="A87:G87"/>
    <mergeCell ref="A92:H92"/>
    <mergeCell ref="A101:H101"/>
    <mergeCell ref="CC101:CJ101"/>
    <mergeCell ref="CK101:CR101"/>
    <mergeCell ref="CS101:CZ101"/>
    <mergeCell ref="DA101:DH101"/>
    <mergeCell ref="DI101:DP101"/>
    <mergeCell ref="DQ101:DX101"/>
    <mergeCell ref="DY101:EF101"/>
    <mergeCell ref="EG101:EN101"/>
    <mergeCell ref="EO101:EV101"/>
    <mergeCell ref="EW101:FD101"/>
    <mergeCell ref="D2:H2"/>
    <mergeCell ref="E3:H3"/>
    <mergeCell ref="A10:H10"/>
    <mergeCell ref="A12:H12"/>
    <mergeCell ref="A17:H17"/>
    <mergeCell ref="A25:H25"/>
    <mergeCell ref="A29:H29"/>
    <mergeCell ref="C30:D30"/>
    <mergeCell ref="C31:D31"/>
    <mergeCell ref="C32:D32"/>
    <mergeCell ref="A39:H39"/>
    <mergeCell ref="A45:H45"/>
    <mergeCell ref="A58:H58"/>
    <mergeCell ref="A63:H63"/>
    <mergeCell ref="A67:H67"/>
    <mergeCell ref="A71:H71"/>
    <mergeCell ref="FE101:FL101"/>
    <mergeCell ref="FM101:FT101"/>
    <mergeCell ref="FU101:GB101"/>
    <mergeCell ref="GC101:GJ101"/>
    <mergeCell ref="GK101:GR101"/>
    <mergeCell ref="GS101:GZ101"/>
    <mergeCell ref="HA101:HH101"/>
    <mergeCell ref="HI101:HP101"/>
    <mergeCell ref="A108:H108"/>
    <mergeCell ref="A117:H117"/>
    <mergeCell ref="C130:D130"/>
    <mergeCell ref="A133:H136"/>
    <mergeCell ref="A80:G80"/>
    <mergeCell ref="A81:G81"/>
    <mergeCell ref="A82:G82"/>
    <mergeCell ref="A83:G83"/>
    <mergeCell ref="A84:G84"/>
    <mergeCell ref="A85:G85"/>
    <mergeCell ref="A86:G86"/>
    <mergeCell ref="HQ101:HX101"/>
    <mergeCell ref="HY101:IF101"/>
    <mergeCell ref="IG101:IN101"/>
    <mergeCell ref="IO101:IV101"/>
    <mergeCell ref="IW101:JD101"/>
    <mergeCell ref="JE101:JL101"/>
    <mergeCell ref="JM101:JT101"/>
    <mergeCell ref="JU101:KB101"/>
    <mergeCell ref="KC101:KJ101"/>
    <mergeCell ref="KK101:KR101"/>
    <mergeCell ref="KS101:KZ101"/>
    <mergeCell ref="LA101:LH101"/>
    <mergeCell ref="LI101:LP101"/>
    <mergeCell ref="LQ101:LX101"/>
    <mergeCell ref="LY101:MF101"/>
    <mergeCell ref="MG101:MN101"/>
    <mergeCell ref="MO101:MV101"/>
    <mergeCell ref="MW101:ND101"/>
    <mergeCell ref="NE101:NL101"/>
    <mergeCell ref="NM101:NT101"/>
    <mergeCell ref="NU101:OB101"/>
    <mergeCell ref="OC101:OJ101"/>
    <mergeCell ref="OK101:OR101"/>
    <mergeCell ref="OS101:OZ101"/>
    <mergeCell ref="PA101:PH101"/>
    <mergeCell ref="PI101:PP101"/>
    <mergeCell ref="PQ101:PX101"/>
    <mergeCell ref="PY101:QF101"/>
    <mergeCell ref="QG101:QN101"/>
    <mergeCell ref="QO101:QV101"/>
    <mergeCell ref="QW101:RD101"/>
    <mergeCell ref="RE101:RL101"/>
    <mergeCell ref="RM101:RT101"/>
    <mergeCell ref="RU101:SB101"/>
    <mergeCell ref="SC101:SJ101"/>
    <mergeCell ref="SK101:SR101"/>
    <mergeCell ref="SS101:SZ101"/>
    <mergeCell ref="TA101:TH101"/>
    <mergeCell ref="TI101:TP101"/>
    <mergeCell ref="TQ101:TX101"/>
    <mergeCell ref="TY101:UF101"/>
    <mergeCell ref="UG101:UN101"/>
    <mergeCell ref="UO101:UV101"/>
    <mergeCell ref="UW101:VD101"/>
    <mergeCell ref="VE101:VL101"/>
    <mergeCell ref="VM101:VT101"/>
    <mergeCell ref="VU101:WB101"/>
    <mergeCell ref="WC101:WJ101"/>
    <mergeCell ref="WK101:WR101"/>
    <mergeCell ref="WS101:WZ101"/>
    <mergeCell ref="XA101:XH101"/>
    <mergeCell ref="XI101:XP101"/>
    <mergeCell ref="XQ101:XX101"/>
    <mergeCell ref="XY101:YF101"/>
    <mergeCell ref="YG101:YN101"/>
    <mergeCell ref="YO101:YV101"/>
    <mergeCell ref="YW101:ZD101"/>
    <mergeCell ref="ZE101:ZL101"/>
    <mergeCell ref="ZM101:ZT101"/>
    <mergeCell ref="ZU101:AAB101"/>
    <mergeCell ref="AAC101:AAJ101"/>
    <mergeCell ref="AAK101:AAR101"/>
    <mergeCell ref="AAS101:AAZ101"/>
    <mergeCell ref="ABA101:ABH101"/>
    <mergeCell ref="ABI101:ABP101"/>
    <mergeCell ref="ABQ101:ABX101"/>
    <mergeCell ref="ABY101:ACF101"/>
    <mergeCell ref="ACG101:ACN101"/>
    <mergeCell ref="ACO101:ACV101"/>
    <mergeCell ref="ACW101:ADD101"/>
    <mergeCell ref="ADE101:ADL101"/>
    <mergeCell ref="ADM101:ADT101"/>
    <mergeCell ref="ADU101:AEB101"/>
    <mergeCell ref="AEC101:AEJ101"/>
    <mergeCell ref="AEK101:AER101"/>
    <mergeCell ref="AES101:AEZ101"/>
    <mergeCell ref="AFA101:AFH101"/>
    <mergeCell ref="AFI101:AFP101"/>
    <mergeCell ref="AFQ101:AFX101"/>
    <mergeCell ref="AFY101:AGF101"/>
    <mergeCell ref="AGG101:AGN101"/>
    <mergeCell ref="AGO101:AGV101"/>
    <mergeCell ref="AGW101:AHD101"/>
    <mergeCell ref="AHE101:AHL101"/>
    <mergeCell ref="AHM101:AHT101"/>
    <mergeCell ref="AHU101:AIB101"/>
    <mergeCell ref="AIC101:AIJ101"/>
    <mergeCell ref="AIK101:AIR101"/>
    <mergeCell ref="AIS101:AIZ101"/>
    <mergeCell ref="AJA101:AJH101"/>
    <mergeCell ref="AJI101:AJP101"/>
    <mergeCell ref="AJQ101:AJX101"/>
    <mergeCell ref="AJY101:AKF101"/>
    <mergeCell ref="AKG101:AKN101"/>
    <mergeCell ref="AKO101:AKV101"/>
    <mergeCell ref="AKW101:ALD101"/>
    <mergeCell ref="ALE101:ALL101"/>
    <mergeCell ref="ALM101:ALT101"/>
    <mergeCell ref="ALU101:AMB101"/>
    <mergeCell ref="AMC101:AMJ101"/>
    <mergeCell ref="AMK101:AMR101"/>
    <mergeCell ref="AMS101:AMZ101"/>
    <mergeCell ref="ANA101:ANH101"/>
    <mergeCell ref="ANI101:ANP101"/>
    <mergeCell ref="ANQ101:ANX101"/>
    <mergeCell ref="ANY101:AOF101"/>
    <mergeCell ref="AOG101:AON101"/>
    <mergeCell ref="AOO101:AOV101"/>
    <mergeCell ref="AOW101:APD101"/>
    <mergeCell ref="APE101:APL101"/>
    <mergeCell ref="APM101:APT101"/>
    <mergeCell ref="APU101:AQB101"/>
    <mergeCell ref="AQC101:AQJ101"/>
    <mergeCell ref="AQK101:AQR101"/>
    <mergeCell ref="AQS101:AQZ101"/>
    <mergeCell ref="ARA101:ARH101"/>
    <mergeCell ref="ARI101:ARP101"/>
    <mergeCell ref="ARQ101:ARX101"/>
    <mergeCell ref="ARY101:ASF101"/>
    <mergeCell ref="ASG101:ASN101"/>
    <mergeCell ref="ASO101:ASV101"/>
    <mergeCell ref="ASW101:ATD101"/>
    <mergeCell ref="ATE101:ATL101"/>
    <mergeCell ref="ATM101:ATT101"/>
    <mergeCell ref="ATU101:AUB101"/>
    <mergeCell ref="AUC101:AUJ101"/>
    <mergeCell ref="AUK101:AUR101"/>
    <mergeCell ref="AUS101:AUZ101"/>
    <mergeCell ref="AVA101:AVH101"/>
    <mergeCell ref="AVI101:AVP101"/>
    <mergeCell ref="AVQ101:AVX101"/>
    <mergeCell ref="AVY101:AWF101"/>
    <mergeCell ref="AWG101:AWN101"/>
    <mergeCell ref="AWO101:AWV101"/>
    <mergeCell ref="AWW101:AXD101"/>
    <mergeCell ref="AXE101:AXL101"/>
    <mergeCell ref="AXM101:AXT101"/>
    <mergeCell ref="AXU101:AYB101"/>
    <mergeCell ref="AYC101:AYJ101"/>
    <mergeCell ref="AYK101:AYR101"/>
    <mergeCell ref="AYS101:AYZ101"/>
    <mergeCell ref="AZA101:AZH101"/>
    <mergeCell ref="AZI101:AZP101"/>
    <mergeCell ref="AZQ101:AZX101"/>
    <mergeCell ref="AZY101:BAF101"/>
    <mergeCell ref="BAG101:BAN101"/>
    <mergeCell ref="BAO101:BAV101"/>
    <mergeCell ref="BAW101:BBD101"/>
    <mergeCell ref="BBE101:BBL101"/>
    <mergeCell ref="BBM101:BBT101"/>
    <mergeCell ref="BBU101:BCB101"/>
    <mergeCell ref="BCC101:BCJ101"/>
    <mergeCell ref="BCK101:BCR101"/>
    <mergeCell ref="BCS101:BCZ101"/>
    <mergeCell ref="BDA101:BDH101"/>
    <mergeCell ref="BDI101:BDP101"/>
    <mergeCell ref="BDQ101:BDX101"/>
    <mergeCell ref="BDY101:BEF101"/>
    <mergeCell ref="BEG101:BEN101"/>
    <mergeCell ref="BEO101:BEV101"/>
    <mergeCell ref="BEW101:BFD101"/>
    <mergeCell ref="BFE101:BFL101"/>
    <mergeCell ref="BFM101:BFT101"/>
    <mergeCell ref="BFU101:BGB101"/>
    <mergeCell ref="BGC101:BGJ101"/>
    <mergeCell ref="BGK101:BGR101"/>
    <mergeCell ref="BGS101:BGZ101"/>
    <mergeCell ref="BHA101:BHH101"/>
    <mergeCell ref="BHI101:BHP101"/>
    <mergeCell ref="BHQ101:BHX101"/>
    <mergeCell ref="BHY101:BIF101"/>
    <mergeCell ref="BIG101:BIN101"/>
    <mergeCell ref="BIO101:BIV101"/>
    <mergeCell ref="BIW101:BJD101"/>
    <mergeCell ref="BJE101:BJL101"/>
    <mergeCell ref="BJM101:BJT101"/>
    <mergeCell ref="BJU101:BKB101"/>
    <mergeCell ref="BKC101:BKJ101"/>
    <mergeCell ref="BKK101:BKR101"/>
    <mergeCell ref="BKS101:BKZ101"/>
    <mergeCell ref="BLA101:BLH101"/>
    <mergeCell ref="BLI101:BLP101"/>
    <mergeCell ref="BLQ101:BLX101"/>
    <mergeCell ref="BLY101:BMF101"/>
    <mergeCell ref="BMG101:BMN101"/>
    <mergeCell ref="BMO101:BMV101"/>
    <mergeCell ref="BMW101:BND101"/>
    <mergeCell ref="BNE101:BNL101"/>
    <mergeCell ref="BNM101:BNT101"/>
    <mergeCell ref="BNU101:BOB101"/>
    <mergeCell ref="BOC101:BOJ101"/>
    <mergeCell ref="BOK101:BOR101"/>
    <mergeCell ref="BOS101:BOZ101"/>
    <mergeCell ref="BPA101:BPH101"/>
    <mergeCell ref="BPI101:BPP101"/>
    <mergeCell ref="BPQ101:BPX101"/>
    <mergeCell ref="BPY101:BQF101"/>
    <mergeCell ref="BQG101:BQN101"/>
    <mergeCell ref="BQO101:BQV101"/>
    <mergeCell ref="BQW101:BRD101"/>
    <mergeCell ref="BRE101:BRL101"/>
    <mergeCell ref="BRM101:BRT101"/>
    <mergeCell ref="BRU101:BSB101"/>
    <mergeCell ref="BSC101:BSJ101"/>
    <mergeCell ref="BSK101:BSR101"/>
    <mergeCell ref="BSS101:BSZ101"/>
    <mergeCell ref="BTA101:BTH101"/>
    <mergeCell ref="BTI101:BTP101"/>
    <mergeCell ref="BTQ101:BTX101"/>
    <mergeCell ref="BTY101:BUF101"/>
    <mergeCell ref="BUG101:BUN101"/>
    <mergeCell ref="BUO101:BUV101"/>
    <mergeCell ref="BUW101:BVD101"/>
    <mergeCell ref="BVE101:BVL101"/>
    <mergeCell ref="BVM101:BVT101"/>
    <mergeCell ref="BVU101:BWB101"/>
    <mergeCell ref="BWC101:BWJ101"/>
    <mergeCell ref="BWK101:BWR101"/>
    <mergeCell ref="BWS101:BWZ101"/>
    <mergeCell ref="BXA101:BXH101"/>
    <mergeCell ref="BXI101:BXP101"/>
    <mergeCell ref="BXQ101:BXX101"/>
    <mergeCell ref="BXY101:BYF101"/>
    <mergeCell ref="BYG101:BYN101"/>
    <mergeCell ref="BYO101:BYV101"/>
    <mergeCell ref="BYW101:BZD101"/>
    <mergeCell ref="BZE101:BZL101"/>
    <mergeCell ref="BZM101:BZT101"/>
    <mergeCell ref="BZU101:CAB101"/>
    <mergeCell ref="CAC101:CAJ101"/>
    <mergeCell ref="CAK101:CAR101"/>
    <mergeCell ref="CAS101:CAZ101"/>
    <mergeCell ref="CBA101:CBH101"/>
    <mergeCell ref="CBI101:CBP101"/>
    <mergeCell ref="CBQ101:CBX101"/>
    <mergeCell ref="CBY101:CCF101"/>
    <mergeCell ref="CCG101:CCN101"/>
    <mergeCell ref="CCO101:CCV101"/>
    <mergeCell ref="CCW101:CDD101"/>
    <mergeCell ref="CDE101:CDL101"/>
    <mergeCell ref="CDM101:CDT101"/>
    <mergeCell ref="CDU101:CEB101"/>
    <mergeCell ref="CEC101:CEJ101"/>
    <mergeCell ref="CEK101:CER101"/>
    <mergeCell ref="CES101:CEZ101"/>
    <mergeCell ref="CFA101:CFH101"/>
    <mergeCell ref="CFI101:CFP101"/>
    <mergeCell ref="CFQ101:CFX101"/>
    <mergeCell ref="CFY101:CGF101"/>
    <mergeCell ref="CGG101:CGN101"/>
    <mergeCell ref="CGO101:CGV101"/>
    <mergeCell ref="CGW101:CHD101"/>
    <mergeCell ref="CHE101:CHL101"/>
    <mergeCell ref="CHM101:CHT101"/>
    <mergeCell ref="CHU101:CIB101"/>
    <mergeCell ref="CIC101:CIJ101"/>
    <mergeCell ref="CIK101:CIR101"/>
    <mergeCell ref="CIS101:CIZ101"/>
    <mergeCell ref="CJA101:CJH101"/>
    <mergeCell ref="CJI101:CJP101"/>
    <mergeCell ref="CJQ101:CJX101"/>
    <mergeCell ref="CJY101:CKF101"/>
    <mergeCell ref="CKG101:CKN101"/>
    <mergeCell ref="CKO101:CKV101"/>
    <mergeCell ref="CKW101:CLD101"/>
    <mergeCell ref="CLE101:CLL101"/>
    <mergeCell ref="CLM101:CLT101"/>
    <mergeCell ref="CLU101:CMB101"/>
    <mergeCell ref="CMC101:CMJ101"/>
    <mergeCell ref="CMK101:CMR101"/>
    <mergeCell ref="CMS101:CMZ101"/>
    <mergeCell ref="CNA101:CNH101"/>
    <mergeCell ref="CNI101:CNP101"/>
    <mergeCell ref="CNQ101:CNX101"/>
    <mergeCell ref="CNY101:COF101"/>
    <mergeCell ref="COG101:CON101"/>
    <mergeCell ref="COO101:COV101"/>
    <mergeCell ref="COW101:CPD101"/>
    <mergeCell ref="CPE101:CPL101"/>
    <mergeCell ref="CPM101:CPT101"/>
    <mergeCell ref="CPU101:CQB101"/>
    <mergeCell ref="CQC101:CQJ101"/>
    <mergeCell ref="CQK101:CQR101"/>
    <mergeCell ref="CQS101:CQZ101"/>
    <mergeCell ref="CRA101:CRH101"/>
    <mergeCell ref="CRI101:CRP101"/>
    <mergeCell ref="CRQ101:CRX101"/>
    <mergeCell ref="CRY101:CSF101"/>
    <mergeCell ref="CSG101:CSN101"/>
    <mergeCell ref="CSO101:CSV101"/>
    <mergeCell ref="CSW101:CTD101"/>
    <mergeCell ref="CTE101:CTL101"/>
    <mergeCell ref="CTM101:CTT101"/>
    <mergeCell ref="CTU101:CUB101"/>
    <mergeCell ref="CUC101:CUJ101"/>
    <mergeCell ref="CUK101:CUR101"/>
    <mergeCell ref="CUS101:CUZ101"/>
    <mergeCell ref="CVA101:CVH101"/>
    <mergeCell ref="CVI101:CVP101"/>
    <mergeCell ref="CVQ101:CVX101"/>
    <mergeCell ref="CVY101:CWF101"/>
    <mergeCell ref="CWG101:CWN101"/>
    <mergeCell ref="CWO101:CWV101"/>
    <mergeCell ref="CWW101:CXD101"/>
    <mergeCell ref="CXE101:CXL101"/>
    <mergeCell ref="CXM101:CXT101"/>
    <mergeCell ref="CXU101:CYB101"/>
    <mergeCell ref="CYC101:CYJ101"/>
    <mergeCell ref="CYK101:CYR101"/>
    <mergeCell ref="CYS101:CYZ101"/>
    <mergeCell ref="CZA101:CZH101"/>
    <mergeCell ref="CZI101:CZP101"/>
    <mergeCell ref="CZQ101:CZX101"/>
    <mergeCell ref="CZY101:DAF101"/>
    <mergeCell ref="DAG101:DAN101"/>
    <mergeCell ref="DAO101:DAV101"/>
    <mergeCell ref="DAW101:DBD101"/>
    <mergeCell ref="DBE101:DBL101"/>
    <mergeCell ref="DBM101:DBT101"/>
    <mergeCell ref="DBU101:DCB101"/>
    <mergeCell ref="DCC101:DCJ101"/>
    <mergeCell ref="DCK101:DCR101"/>
    <mergeCell ref="DCS101:DCZ101"/>
    <mergeCell ref="DDA101:DDH101"/>
    <mergeCell ref="DDI101:DDP101"/>
    <mergeCell ref="DDQ101:DDX101"/>
    <mergeCell ref="DDY101:DEF101"/>
    <mergeCell ref="DEG101:DEN101"/>
    <mergeCell ref="DEO101:DEV101"/>
    <mergeCell ref="DEW101:DFD101"/>
    <mergeCell ref="DFE101:DFL101"/>
    <mergeCell ref="DFM101:DFT101"/>
    <mergeCell ref="DFU101:DGB101"/>
    <mergeCell ref="DGC101:DGJ101"/>
    <mergeCell ref="DGK101:DGR101"/>
    <mergeCell ref="DGS101:DGZ101"/>
    <mergeCell ref="DHA101:DHH101"/>
    <mergeCell ref="DHI101:DHP101"/>
    <mergeCell ref="DHQ101:DHX101"/>
    <mergeCell ref="DHY101:DIF101"/>
    <mergeCell ref="DIG101:DIN101"/>
    <mergeCell ref="DIO101:DIV101"/>
    <mergeCell ref="DIW101:DJD101"/>
    <mergeCell ref="DJE101:DJL101"/>
    <mergeCell ref="DJM101:DJT101"/>
    <mergeCell ref="DJU101:DKB101"/>
    <mergeCell ref="DKC101:DKJ101"/>
    <mergeCell ref="DKK101:DKR101"/>
    <mergeCell ref="DKS101:DKZ101"/>
    <mergeCell ref="DLA101:DLH101"/>
    <mergeCell ref="DLI101:DLP101"/>
    <mergeCell ref="DLQ101:DLX101"/>
    <mergeCell ref="DLY101:DMF101"/>
    <mergeCell ref="DMG101:DMN101"/>
    <mergeCell ref="DMO101:DMV101"/>
    <mergeCell ref="DMW101:DND101"/>
    <mergeCell ref="DNE101:DNL101"/>
    <mergeCell ref="DNM101:DNT101"/>
    <mergeCell ref="DNU101:DOB101"/>
    <mergeCell ref="DOC101:DOJ101"/>
    <mergeCell ref="DOK101:DOR101"/>
    <mergeCell ref="DOS101:DOZ101"/>
    <mergeCell ref="DPA101:DPH101"/>
    <mergeCell ref="DPI101:DPP101"/>
    <mergeCell ref="DPQ101:DPX101"/>
    <mergeCell ref="DPY101:DQF101"/>
    <mergeCell ref="DQG101:DQN101"/>
    <mergeCell ref="DQO101:DQV101"/>
    <mergeCell ref="DQW101:DRD101"/>
    <mergeCell ref="DRE101:DRL101"/>
    <mergeCell ref="DRM101:DRT101"/>
    <mergeCell ref="DRU101:DSB101"/>
    <mergeCell ref="DSC101:DSJ101"/>
    <mergeCell ref="DSK101:DSR101"/>
    <mergeCell ref="DSS101:DSZ101"/>
    <mergeCell ref="DTA101:DTH101"/>
    <mergeCell ref="DTI101:DTP101"/>
    <mergeCell ref="DTQ101:DTX101"/>
    <mergeCell ref="DTY101:DUF101"/>
    <mergeCell ref="DUG101:DUN101"/>
    <mergeCell ref="DUO101:DUV101"/>
    <mergeCell ref="DUW101:DVD101"/>
    <mergeCell ref="DVE101:DVL101"/>
    <mergeCell ref="DVM101:DVT101"/>
    <mergeCell ref="DVU101:DWB101"/>
    <mergeCell ref="DWC101:DWJ101"/>
    <mergeCell ref="DWK101:DWR101"/>
    <mergeCell ref="DWS101:DWZ101"/>
    <mergeCell ref="DXA101:DXH101"/>
    <mergeCell ref="DXI101:DXP101"/>
    <mergeCell ref="DXQ101:DXX101"/>
    <mergeCell ref="DXY101:DYF101"/>
    <mergeCell ref="DYG101:DYN101"/>
    <mergeCell ref="DYO101:DYV101"/>
    <mergeCell ref="DYW101:DZD101"/>
    <mergeCell ref="DZE101:DZL101"/>
    <mergeCell ref="DZM101:DZT101"/>
    <mergeCell ref="DZU101:EAB101"/>
    <mergeCell ref="EAC101:EAJ101"/>
    <mergeCell ref="EAK101:EAR101"/>
    <mergeCell ref="EAS101:EAZ101"/>
    <mergeCell ref="EBA101:EBH101"/>
    <mergeCell ref="EBI101:EBP101"/>
    <mergeCell ref="EBQ101:EBX101"/>
    <mergeCell ref="EBY101:ECF101"/>
    <mergeCell ref="ECG101:ECN101"/>
    <mergeCell ref="ECO101:ECV101"/>
    <mergeCell ref="ECW101:EDD101"/>
    <mergeCell ref="EDE101:EDL101"/>
    <mergeCell ref="EDM101:EDT101"/>
    <mergeCell ref="EDU101:EEB101"/>
    <mergeCell ref="EEC101:EEJ101"/>
    <mergeCell ref="EEK101:EER101"/>
    <mergeCell ref="EES101:EEZ101"/>
    <mergeCell ref="EFA101:EFH101"/>
    <mergeCell ref="EFI101:EFP101"/>
    <mergeCell ref="EFQ101:EFX101"/>
    <mergeCell ref="EFY101:EGF101"/>
    <mergeCell ref="EGG101:EGN101"/>
    <mergeCell ref="EGO101:EGV101"/>
    <mergeCell ref="EGW101:EHD101"/>
    <mergeCell ref="EHE101:EHL101"/>
    <mergeCell ref="EHM101:EHT101"/>
    <mergeCell ref="EHU101:EIB101"/>
    <mergeCell ref="EIC101:EIJ101"/>
    <mergeCell ref="EIK101:EIR101"/>
    <mergeCell ref="EIS101:EIZ101"/>
    <mergeCell ref="EJA101:EJH101"/>
    <mergeCell ref="EJI101:EJP101"/>
    <mergeCell ref="EJQ101:EJX101"/>
    <mergeCell ref="EJY101:EKF101"/>
    <mergeCell ref="EKG101:EKN101"/>
    <mergeCell ref="EKO101:EKV101"/>
    <mergeCell ref="EKW101:ELD101"/>
    <mergeCell ref="ELE101:ELL101"/>
    <mergeCell ref="ELM101:ELT101"/>
    <mergeCell ref="ELU101:EMB101"/>
    <mergeCell ref="EMC101:EMJ101"/>
    <mergeCell ref="EMK101:EMR101"/>
    <mergeCell ref="EMS101:EMZ101"/>
    <mergeCell ref="ENA101:ENH101"/>
    <mergeCell ref="ENI101:ENP101"/>
    <mergeCell ref="ENQ101:ENX101"/>
    <mergeCell ref="ENY101:EOF101"/>
    <mergeCell ref="EOG101:EON101"/>
    <mergeCell ref="EOO101:EOV101"/>
    <mergeCell ref="EOW101:EPD101"/>
    <mergeCell ref="EPE101:EPL101"/>
    <mergeCell ref="EPM101:EPT101"/>
    <mergeCell ref="EPU101:EQB101"/>
    <mergeCell ref="EQC101:EQJ101"/>
    <mergeCell ref="EQK101:EQR101"/>
    <mergeCell ref="EQS101:EQZ101"/>
    <mergeCell ref="ERA101:ERH101"/>
    <mergeCell ref="ERI101:ERP101"/>
    <mergeCell ref="ERQ101:ERX101"/>
    <mergeCell ref="ERY101:ESF101"/>
    <mergeCell ref="ESG101:ESN101"/>
    <mergeCell ref="ESO101:ESV101"/>
    <mergeCell ref="ESW101:ETD101"/>
    <mergeCell ref="ETE101:ETL101"/>
    <mergeCell ref="ETM101:ETT101"/>
    <mergeCell ref="ETU101:EUB101"/>
    <mergeCell ref="EUC101:EUJ101"/>
    <mergeCell ref="EUK101:EUR101"/>
    <mergeCell ref="EUS101:EUZ101"/>
    <mergeCell ref="EVA101:EVH101"/>
    <mergeCell ref="EVI101:EVP101"/>
    <mergeCell ref="EVQ101:EVX101"/>
    <mergeCell ref="EVY101:EWF101"/>
    <mergeCell ref="EWG101:EWN101"/>
    <mergeCell ref="EWO101:EWV101"/>
    <mergeCell ref="EWW101:EXD101"/>
    <mergeCell ref="EXE101:EXL101"/>
    <mergeCell ref="EXM101:EXT101"/>
    <mergeCell ref="EXU101:EYB101"/>
    <mergeCell ref="EYC101:EYJ101"/>
    <mergeCell ref="EYK101:EYR101"/>
    <mergeCell ref="EYS101:EYZ101"/>
    <mergeCell ref="EZA101:EZH101"/>
    <mergeCell ref="EZI101:EZP101"/>
    <mergeCell ref="EZQ101:EZX101"/>
    <mergeCell ref="EZY101:FAF101"/>
    <mergeCell ref="FAG101:FAN101"/>
    <mergeCell ref="FAO101:FAV101"/>
    <mergeCell ref="FAW101:FBD101"/>
    <mergeCell ref="FBE101:FBL101"/>
    <mergeCell ref="FBM101:FBT101"/>
    <mergeCell ref="FBU101:FCB101"/>
    <mergeCell ref="FCC101:FCJ101"/>
    <mergeCell ref="FCK101:FCR101"/>
    <mergeCell ref="FCS101:FCZ101"/>
    <mergeCell ref="FDA101:FDH101"/>
    <mergeCell ref="FDI101:FDP101"/>
    <mergeCell ref="FDQ101:FDX101"/>
    <mergeCell ref="FDY101:FEF101"/>
    <mergeCell ref="FEG101:FEN101"/>
    <mergeCell ref="FEO101:FEV101"/>
    <mergeCell ref="FEW101:FFD101"/>
    <mergeCell ref="FFE101:FFL101"/>
    <mergeCell ref="FFM101:FFT101"/>
    <mergeCell ref="FFU101:FGB101"/>
    <mergeCell ref="FGC101:FGJ101"/>
    <mergeCell ref="FGK101:FGR101"/>
    <mergeCell ref="FGS101:FGZ101"/>
    <mergeCell ref="FHA101:FHH101"/>
    <mergeCell ref="FHI101:FHP101"/>
    <mergeCell ref="FHQ101:FHX101"/>
    <mergeCell ref="FHY101:FIF101"/>
    <mergeCell ref="FIG101:FIN101"/>
    <mergeCell ref="FIO101:FIV101"/>
    <mergeCell ref="FIW101:FJD101"/>
    <mergeCell ref="FJE101:FJL101"/>
    <mergeCell ref="FJM101:FJT101"/>
    <mergeCell ref="FJU101:FKB101"/>
    <mergeCell ref="FKC101:FKJ101"/>
    <mergeCell ref="FKK101:FKR101"/>
    <mergeCell ref="FKS101:FKZ101"/>
    <mergeCell ref="FLA101:FLH101"/>
    <mergeCell ref="FLI101:FLP101"/>
    <mergeCell ref="FLQ101:FLX101"/>
    <mergeCell ref="FLY101:FMF101"/>
    <mergeCell ref="FMG101:FMN101"/>
    <mergeCell ref="FMO101:FMV101"/>
    <mergeCell ref="FMW101:FND101"/>
    <mergeCell ref="FNE101:FNL101"/>
    <mergeCell ref="FNM101:FNT101"/>
    <mergeCell ref="FNU101:FOB101"/>
    <mergeCell ref="FOC101:FOJ101"/>
    <mergeCell ref="FOK101:FOR101"/>
    <mergeCell ref="FOS101:FOZ101"/>
    <mergeCell ref="FPA101:FPH101"/>
    <mergeCell ref="FPI101:FPP101"/>
    <mergeCell ref="FPQ101:FPX101"/>
    <mergeCell ref="FPY101:FQF101"/>
    <mergeCell ref="FQG101:FQN101"/>
    <mergeCell ref="FQO101:FQV101"/>
    <mergeCell ref="FQW101:FRD101"/>
    <mergeCell ref="FRE101:FRL101"/>
    <mergeCell ref="FRM101:FRT101"/>
    <mergeCell ref="FRU101:FSB101"/>
    <mergeCell ref="FSC101:FSJ101"/>
    <mergeCell ref="FSK101:FSR101"/>
    <mergeCell ref="FSS101:FSZ101"/>
    <mergeCell ref="FTA101:FTH101"/>
    <mergeCell ref="FTI101:FTP101"/>
    <mergeCell ref="FTQ101:FTX101"/>
    <mergeCell ref="FTY101:FUF101"/>
    <mergeCell ref="FUG101:FUN101"/>
    <mergeCell ref="FUO101:FUV101"/>
    <mergeCell ref="FUW101:FVD101"/>
    <mergeCell ref="FVE101:FVL101"/>
    <mergeCell ref="FVM101:FVT101"/>
    <mergeCell ref="FVU101:FWB101"/>
    <mergeCell ref="FWC101:FWJ101"/>
    <mergeCell ref="FWK101:FWR101"/>
    <mergeCell ref="FWS101:FWZ101"/>
    <mergeCell ref="FXA101:FXH101"/>
    <mergeCell ref="FXI101:FXP101"/>
    <mergeCell ref="FXQ101:FXX101"/>
    <mergeCell ref="FXY101:FYF101"/>
    <mergeCell ref="FYG101:FYN101"/>
    <mergeCell ref="FYO101:FYV101"/>
    <mergeCell ref="FYW101:FZD101"/>
    <mergeCell ref="FZE101:FZL101"/>
    <mergeCell ref="FZM101:FZT101"/>
    <mergeCell ref="FZU101:GAB101"/>
    <mergeCell ref="GAC101:GAJ101"/>
    <mergeCell ref="GAK101:GAR101"/>
    <mergeCell ref="GAS101:GAZ101"/>
    <mergeCell ref="GBA101:GBH101"/>
    <mergeCell ref="GBI101:GBP101"/>
    <mergeCell ref="GBQ101:GBX101"/>
    <mergeCell ref="GBY101:GCF101"/>
    <mergeCell ref="GCG101:GCN101"/>
    <mergeCell ref="GCO101:GCV101"/>
    <mergeCell ref="GCW101:GDD101"/>
    <mergeCell ref="GDE101:GDL101"/>
    <mergeCell ref="GDM101:GDT101"/>
    <mergeCell ref="GDU101:GEB101"/>
    <mergeCell ref="GEC101:GEJ101"/>
    <mergeCell ref="GEK101:GER101"/>
    <mergeCell ref="GES101:GEZ101"/>
    <mergeCell ref="GFA101:GFH101"/>
    <mergeCell ref="GFI101:GFP101"/>
    <mergeCell ref="GFQ101:GFX101"/>
    <mergeCell ref="GFY101:GGF101"/>
    <mergeCell ref="GGG101:GGN101"/>
    <mergeCell ref="GGO101:GGV101"/>
    <mergeCell ref="GGW101:GHD101"/>
    <mergeCell ref="GHE101:GHL101"/>
    <mergeCell ref="GHM101:GHT101"/>
    <mergeCell ref="GHU101:GIB101"/>
    <mergeCell ref="GIC101:GIJ101"/>
    <mergeCell ref="GIK101:GIR101"/>
    <mergeCell ref="GIS101:GIZ101"/>
    <mergeCell ref="GJA101:GJH101"/>
    <mergeCell ref="GJI101:GJP101"/>
    <mergeCell ref="GJQ101:GJX101"/>
    <mergeCell ref="GJY101:GKF101"/>
    <mergeCell ref="GKG101:GKN101"/>
    <mergeCell ref="GKO101:GKV101"/>
    <mergeCell ref="GKW101:GLD101"/>
    <mergeCell ref="GLE101:GLL101"/>
    <mergeCell ref="GLM101:GLT101"/>
    <mergeCell ref="GLU101:GMB101"/>
    <mergeCell ref="GMC101:GMJ101"/>
    <mergeCell ref="GMK101:GMR101"/>
    <mergeCell ref="GMS101:GMZ101"/>
    <mergeCell ref="GNA101:GNH101"/>
    <mergeCell ref="GNI101:GNP101"/>
    <mergeCell ref="GNQ101:GNX101"/>
    <mergeCell ref="GNY101:GOF101"/>
    <mergeCell ref="GOG101:GON101"/>
    <mergeCell ref="GOO101:GOV101"/>
    <mergeCell ref="GOW101:GPD101"/>
    <mergeCell ref="GPE101:GPL101"/>
    <mergeCell ref="GPM101:GPT101"/>
    <mergeCell ref="GPU101:GQB101"/>
    <mergeCell ref="GQC101:GQJ101"/>
    <mergeCell ref="GQK101:GQR101"/>
    <mergeCell ref="GQS101:GQZ101"/>
    <mergeCell ref="GRA101:GRH101"/>
    <mergeCell ref="GRI101:GRP101"/>
    <mergeCell ref="GRQ101:GRX101"/>
    <mergeCell ref="GRY101:GSF101"/>
    <mergeCell ref="GSG101:GSN101"/>
    <mergeCell ref="GSO101:GSV101"/>
    <mergeCell ref="GSW101:GTD101"/>
    <mergeCell ref="GTE101:GTL101"/>
    <mergeCell ref="GTM101:GTT101"/>
    <mergeCell ref="GTU101:GUB101"/>
    <mergeCell ref="GUC101:GUJ101"/>
    <mergeCell ref="GUK101:GUR101"/>
    <mergeCell ref="GUS101:GUZ101"/>
    <mergeCell ref="GVA101:GVH101"/>
    <mergeCell ref="GVI101:GVP101"/>
    <mergeCell ref="GVQ101:GVX101"/>
    <mergeCell ref="GVY101:GWF101"/>
    <mergeCell ref="GWG101:GWN101"/>
    <mergeCell ref="GWO101:GWV101"/>
    <mergeCell ref="GWW101:GXD101"/>
    <mergeCell ref="GXE101:GXL101"/>
    <mergeCell ref="GXM101:GXT101"/>
    <mergeCell ref="GXU101:GYB101"/>
    <mergeCell ref="GYC101:GYJ101"/>
    <mergeCell ref="GYK101:GYR101"/>
    <mergeCell ref="GYS101:GYZ101"/>
    <mergeCell ref="GZA101:GZH101"/>
    <mergeCell ref="GZI101:GZP101"/>
    <mergeCell ref="GZQ101:GZX101"/>
    <mergeCell ref="GZY101:HAF101"/>
    <mergeCell ref="HAG101:HAN101"/>
    <mergeCell ref="HAO101:HAV101"/>
    <mergeCell ref="HAW101:HBD101"/>
    <mergeCell ref="HBE101:HBL101"/>
    <mergeCell ref="HBM101:HBT101"/>
    <mergeCell ref="HBU101:HCB101"/>
    <mergeCell ref="HCC101:HCJ101"/>
    <mergeCell ref="HCK101:HCR101"/>
    <mergeCell ref="HCS101:HCZ101"/>
    <mergeCell ref="HDA101:HDH101"/>
    <mergeCell ref="HDI101:HDP101"/>
    <mergeCell ref="HDQ101:HDX101"/>
    <mergeCell ref="HDY101:HEF101"/>
    <mergeCell ref="HEG101:HEN101"/>
    <mergeCell ref="HEO101:HEV101"/>
    <mergeCell ref="HEW101:HFD101"/>
    <mergeCell ref="HFE101:HFL101"/>
    <mergeCell ref="HFM101:HFT101"/>
    <mergeCell ref="HFU101:HGB101"/>
    <mergeCell ref="HGC101:HGJ101"/>
    <mergeCell ref="HGK101:HGR101"/>
    <mergeCell ref="HGS101:HGZ101"/>
    <mergeCell ref="HHA101:HHH101"/>
    <mergeCell ref="HHI101:HHP101"/>
    <mergeCell ref="HHQ101:HHX101"/>
    <mergeCell ref="HHY101:HIF101"/>
    <mergeCell ref="HIG101:HIN101"/>
    <mergeCell ref="HIO101:HIV101"/>
    <mergeCell ref="HIW101:HJD101"/>
    <mergeCell ref="HJE101:HJL101"/>
    <mergeCell ref="HJM101:HJT101"/>
    <mergeCell ref="HJU101:HKB101"/>
    <mergeCell ref="HKC101:HKJ101"/>
    <mergeCell ref="HKK101:HKR101"/>
    <mergeCell ref="HKS101:HKZ101"/>
    <mergeCell ref="HLA101:HLH101"/>
    <mergeCell ref="HLI101:HLP101"/>
    <mergeCell ref="HLQ101:HLX101"/>
    <mergeCell ref="HLY101:HMF101"/>
    <mergeCell ref="HMG101:HMN101"/>
    <mergeCell ref="HMO101:HMV101"/>
    <mergeCell ref="HMW101:HND101"/>
    <mergeCell ref="HNE101:HNL101"/>
    <mergeCell ref="HNM101:HNT101"/>
    <mergeCell ref="HNU101:HOB101"/>
    <mergeCell ref="HOC101:HOJ101"/>
    <mergeCell ref="HOK101:HOR101"/>
    <mergeCell ref="HOS101:HOZ101"/>
    <mergeCell ref="HPA101:HPH101"/>
    <mergeCell ref="HPI101:HPP101"/>
    <mergeCell ref="HPQ101:HPX101"/>
    <mergeCell ref="HPY101:HQF101"/>
    <mergeCell ref="HQG101:HQN101"/>
    <mergeCell ref="HQO101:HQV101"/>
    <mergeCell ref="HQW101:HRD101"/>
    <mergeCell ref="HRE101:HRL101"/>
    <mergeCell ref="HRM101:HRT101"/>
    <mergeCell ref="HRU101:HSB101"/>
    <mergeCell ref="HSC101:HSJ101"/>
    <mergeCell ref="HSK101:HSR101"/>
    <mergeCell ref="HSS101:HSZ101"/>
    <mergeCell ref="HTA101:HTH101"/>
    <mergeCell ref="HTI101:HTP101"/>
    <mergeCell ref="HTQ101:HTX101"/>
    <mergeCell ref="HTY101:HUF101"/>
    <mergeCell ref="HUG101:HUN101"/>
    <mergeCell ref="HUO101:HUV101"/>
    <mergeCell ref="HUW101:HVD101"/>
    <mergeCell ref="HVE101:HVL101"/>
    <mergeCell ref="HVM101:HVT101"/>
    <mergeCell ref="HVU101:HWB101"/>
    <mergeCell ref="HWC101:HWJ101"/>
    <mergeCell ref="HWK101:HWR101"/>
    <mergeCell ref="HWS101:HWZ101"/>
    <mergeCell ref="HXA101:HXH101"/>
    <mergeCell ref="HXI101:HXP101"/>
    <mergeCell ref="HXQ101:HXX101"/>
    <mergeCell ref="HXY101:HYF101"/>
    <mergeCell ref="HYG101:HYN101"/>
    <mergeCell ref="HYO101:HYV101"/>
    <mergeCell ref="HYW101:HZD101"/>
    <mergeCell ref="HZE101:HZL101"/>
    <mergeCell ref="HZM101:HZT101"/>
    <mergeCell ref="HZU101:IAB101"/>
    <mergeCell ref="IAC101:IAJ101"/>
    <mergeCell ref="IAK101:IAR101"/>
    <mergeCell ref="IAS101:IAZ101"/>
    <mergeCell ref="IBA101:IBH101"/>
    <mergeCell ref="IBI101:IBP101"/>
    <mergeCell ref="IBQ101:IBX101"/>
    <mergeCell ref="IBY101:ICF101"/>
    <mergeCell ref="ICG101:ICN101"/>
    <mergeCell ref="ICO101:ICV101"/>
    <mergeCell ref="ICW101:IDD101"/>
    <mergeCell ref="IDE101:IDL101"/>
    <mergeCell ref="IDM101:IDT101"/>
    <mergeCell ref="IDU101:IEB101"/>
    <mergeCell ref="IEC101:IEJ101"/>
    <mergeCell ref="IEK101:IER101"/>
    <mergeCell ref="IES101:IEZ101"/>
    <mergeCell ref="IFA101:IFH101"/>
    <mergeCell ref="IFI101:IFP101"/>
    <mergeCell ref="IFQ101:IFX101"/>
    <mergeCell ref="IFY101:IGF101"/>
    <mergeCell ref="IGG101:IGN101"/>
    <mergeCell ref="IGO101:IGV101"/>
    <mergeCell ref="IGW101:IHD101"/>
    <mergeCell ref="IHE101:IHL101"/>
    <mergeCell ref="IHM101:IHT101"/>
    <mergeCell ref="IHU101:IIB101"/>
    <mergeCell ref="IIC101:IIJ101"/>
    <mergeCell ref="IIK101:IIR101"/>
    <mergeCell ref="IIS101:IIZ101"/>
    <mergeCell ref="IJA101:IJH101"/>
    <mergeCell ref="IJI101:IJP101"/>
    <mergeCell ref="IJQ101:IJX101"/>
    <mergeCell ref="IJY101:IKF101"/>
    <mergeCell ref="IKG101:IKN101"/>
    <mergeCell ref="IKO101:IKV101"/>
    <mergeCell ref="IKW101:ILD101"/>
    <mergeCell ref="ILE101:ILL101"/>
    <mergeCell ref="ILM101:ILT101"/>
    <mergeCell ref="ILU101:IMB101"/>
    <mergeCell ref="IMC101:IMJ101"/>
    <mergeCell ref="IMK101:IMR101"/>
    <mergeCell ref="IMS101:IMZ101"/>
    <mergeCell ref="INA101:INH101"/>
    <mergeCell ref="INI101:INP101"/>
    <mergeCell ref="INQ101:INX101"/>
    <mergeCell ref="INY101:IOF101"/>
    <mergeCell ref="IOG101:ION101"/>
    <mergeCell ref="IOO101:IOV101"/>
    <mergeCell ref="IOW101:IPD101"/>
    <mergeCell ref="IPE101:IPL101"/>
    <mergeCell ref="IPM101:IPT101"/>
    <mergeCell ref="IPU101:IQB101"/>
    <mergeCell ref="IQC101:IQJ101"/>
    <mergeCell ref="IQK101:IQR101"/>
    <mergeCell ref="IQS101:IQZ101"/>
    <mergeCell ref="IRA101:IRH101"/>
    <mergeCell ref="IRI101:IRP101"/>
    <mergeCell ref="IRQ101:IRX101"/>
    <mergeCell ref="IRY101:ISF101"/>
    <mergeCell ref="ISG101:ISN101"/>
    <mergeCell ref="ISO101:ISV101"/>
    <mergeCell ref="ISW101:ITD101"/>
    <mergeCell ref="ITE101:ITL101"/>
    <mergeCell ref="ITM101:ITT101"/>
    <mergeCell ref="ITU101:IUB101"/>
    <mergeCell ref="IUC101:IUJ101"/>
    <mergeCell ref="IUK101:IUR101"/>
    <mergeCell ref="IUS101:IUZ101"/>
    <mergeCell ref="IVA101:IVH101"/>
    <mergeCell ref="IVI101:IVP101"/>
    <mergeCell ref="IVQ101:IVX101"/>
    <mergeCell ref="IVY101:IWF101"/>
    <mergeCell ref="IWG101:IWN101"/>
    <mergeCell ref="IWO101:IWV101"/>
    <mergeCell ref="IWW101:IXD101"/>
    <mergeCell ref="IXE101:IXL101"/>
    <mergeCell ref="IXM101:IXT101"/>
    <mergeCell ref="IXU101:IYB101"/>
    <mergeCell ref="IYC101:IYJ101"/>
    <mergeCell ref="IYK101:IYR101"/>
    <mergeCell ref="IYS101:IYZ101"/>
    <mergeCell ref="IZA101:IZH101"/>
    <mergeCell ref="IZI101:IZP101"/>
    <mergeCell ref="IZQ101:IZX101"/>
    <mergeCell ref="IZY101:JAF101"/>
    <mergeCell ref="JAG101:JAN101"/>
    <mergeCell ref="JAO101:JAV101"/>
    <mergeCell ref="JAW101:JBD101"/>
    <mergeCell ref="JBE101:JBL101"/>
    <mergeCell ref="JBM101:JBT101"/>
    <mergeCell ref="JBU101:JCB101"/>
    <mergeCell ref="JCC101:JCJ101"/>
    <mergeCell ref="JCK101:JCR101"/>
    <mergeCell ref="JCS101:JCZ101"/>
    <mergeCell ref="JDA101:JDH101"/>
    <mergeCell ref="JDI101:JDP101"/>
    <mergeCell ref="JDQ101:JDX101"/>
    <mergeCell ref="JDY101:JEF101"/>
    <mergeCell ref="JEG101:JEN101"/>
    <mergeCell ref="JEO101:JEV101"/>
    <mergeCell ref="JEW101:JFD101"/>
    <mergeCell ref="JFE101:JFL101"/>
    <mergeCell ref="JFM101:JFT101"/>
    <mergeCell ref="JFU101:JGB101"/>
    <mergeCell ref="JGC101:JGJ101"/>
    <mergeCell ref="JGK101:JGR101"/>
    <mergeCell ref="JGS101:JGZ101"/>
    <mergeCell ref="JHA101:JHH101"/>
    <mergeCell ref="JHI101:JHP101"/>
    <mergeCell ref="JHQ101:JHX101"/>
    <mergeCell ref="JHY101:JIF101"/>
    <mergeCell ref="JIG101:JIN101"/>
    <mergeCell ref="JIO101:JIV101"/>
    <mergeCell ref="JIW101:JJD101"/>
    <mergeCell ref="JJE101:JJL101"/>
    <mergeCell ref="JJM101:JJT101"/>
    <mergeCell ref="JJU101:JKB101"/>
    <mergeCell ref="JKC101:JKJ101"/>
    <mergeCell ref="JKK101:JKR101"/>
    <mergeCell ref="JKS101:JKZ101"/>
    <mergeCell ref="JLA101:JLH101"/>
    <mergeCell ref="JLI101:JLP101"/>
    <mergeCell ref="JLQ101:JLX101"/>
    <mergeCell ref="JLY101:JMF101"/>
    <mergeCell ref="JMG101:JMN101"/>
    <mergeCell ref="JMO101:JMV101"/>
    <mergeCell ref="JMW101:JND101"/>
    <mergeCell ref="JNE101:JNL101"/>
    <mergeCell ref="JNM101:JNT101"/>
    <mergeCell ref="JNU101:JOB101"/>
    <mergeCell ref="JOC101:JOJ101"/>
    <mergeCell ref="JOK101:JOR101"/>
    <mergeCell ref="JOS101:JOZ101"/>
    <mergeCell ref="JPA101:JPH101"/>
    <mergeCell ref="JPI101:JPP101"/>
    <mergeCell ref="JPQ101:JPX101"/>
    <mergeCell ref="JPY101:JQF101"/>
    <mergeCell ref="JQG101:JQN101"/>
    <mergeCell ref="JQO101:JQV101"/>
    <mergeCell ref="JQW101:JRD101"/>
    <mergeCell ref="JRE101:JRL101"/>
    <mergeCell ref="JRM101:JRT101"/>
    <mergeCell ref="JRU101:JSB101"/>
    <mergeCell ref="JSC101:JSJ101"/>
    <mergeCell ref="JSK101:JSR101"/>
    <mergeCell ref="JSS101:JSZ101"/>
    <mergeCell ref="JTA101:JTH101"/>
    <mergeCell ref="JTI101:JTP101"/>
    <mergeCell ref="JTQ101:JTX101"/>
    <mergeCell ref="JTY101:JUF101"/>
    <mergeCell ref="JUG101:JUN101"/>
    <mergeCell ref="JUO101:JUV101"/>
    <mergeCell ref="JUW101:JVD101"/>
    <mergeCell ref="JVE101:JVL101"/>
    <mergeCell ref="JVM101:JVT101"/>
    <mergeCell ref="JVU101:JWB101"/>
    <mergeCell ref="JWC101:JWJ101"/>
    <mergeCell ref="JWK101:JWR101"/>
    <mergeCell ref="JWS101:JWZ101"/>
    <mergeCell ref="JXA101:JXH101"/>
    <mergeCell ref="JXI101:JXP101"/>
    <mergeCell ref="JXQ101:JXX101"/>
    <mergeCell ref="JXY101:JYF101"/>
    <mergeCell ref="JYG101:JYN101"/>
    <mergeCell ref="JYO101:JYV101"/>
    <mergeCell ref="JYW101:JZD101"/>
    <mergeCell ref="JZE101:JZL101"/>
    <mergeCell ref="JZM101:JZT101"/>
    <mergeCell ref="JZU101:KAB101"/>
    <mergeCell ref="KAC101:KAJ101"/>
    <mergeCell ref="KAK101:KAR101"/>
    <mergeCell ref="KAS101:KAZ101"/>
    <mergeCell ref="KBA101:KBH101"/>
    <mergeCell ref="KBI101:KBP101"/>
    <mergeCell ref="KBQ101:KBX101"/>
    <mergeCell ref="KBY101:KCF101"/>
    <mergeCell ref="KCG101:KCN101"/>
    <mergeCell ref="KCO101:KCV101"/>
    <mergeCell ref="KCW101:KDD101"/>
    <mergeCell ref="KDE101:KDL101"/>
    <mergeCell ref="KDM101:KDT101"/>
    <mergeCell ref="KDU101:KEB101"/>
    <mergeCell ref="KEC101:KEJ101"/>
    <mergeCell ref="KEK101:KER101"/>
    <mergeCell ref="KES101:KEZ101"/>
    <mergeCell ref="KFA101:KFH101"/>
    <mergeCell ref="KFI101:KFP101"/>
    <mergeCell ref="KFQ101:KFX101"/>
    <mergeCell ref="KFY101:KGF101"/>
    <mergeCell ref="KGG101:KGN101"/>
    <mergeCell ref="KGO101:KGV101"/>
    <mergeCell ref="KGW101:KHD101"/>
    <mergeCell ref="KHE101:KHL101"/>
    <mergeCell ref="KHM101:KHT101"/>
    <mergeCell ref="KHU101:KIB101"/>
    <mergeCell ref="KIC101:KIJ101"/>
    <mergeCell ref="KIK101:KIR101"/>
    <mergeCell ref="KIS101:KIZ101"/>
    <mergeCell ref="KJA101:KJH101"/>
    <mergeCell ref="KJI101:KJP101"/>
    <mergeCell ref="KJQ101:KJX101"/>
    <mergeCell ref="KJY101:KKF101"/>
    <mergeCell ref="KKG101:KKN101"/>
    <mergeCell ref="KKO101:KKV101"/>
    <mergeCell ref="KKW101:KLD101"/>
    <mergeCell ref="KLE101:KLL101"/>
    <mergeCell ref="KLM101:KLT101"/>
    <mergeCell ref="KLU101:KMB101"/>
    <mergeCell ref="KMC101:KMJ101"/>
    <mergeCell ref="KMK101:KMR101"/>
    <mergeCell ref="KMS101:KMZ101"/>
    <mergeCell ref="KNA101:KNH101"/>
    <mergeCell ref="KNI101:KNP101"/>
    <mergeCell ref="KNQ101:KNX101"/>
    <mergeCell ref="KNY101:KOF101"/>
    <mergeCell ref="KOG101:KON101"/>
    <mergeCell ref="KOO101:KOV101"/>
    <mergeCell ref="KOW101:KPD101"/>
    <mergeCell ref="KPE101:KPL101"/>
    <mergeCell ref="KPM101:KPT101"/>
    <mergeCell ref="KPU101:KQB101"/>
    <mergeCell ref="KQC101:KQJ101"/>
    <mergeCell ref="KQK101:KQR101"/>
    <mergeCell ref="KQS101:KQZ101"/>
    <mergeCell ref="KRA101:KRH101"/>
    <mergeCell ref="KRI101:KRP101"/>
    <mergeCell ref="KRQ101:KRX101"/>
    <mergeCell ref="KRY101:KSF101"/>
    <mergeCell ref="KSG101:KSN101"/>
    <mergeCell ref="KSO101:KSV101"/>
    <mergeCell ref="KSW101:KTD101"/>
    <mergeCell ref="KTE101:KTL101"/>
    <mergeCell ref="KTM101:KTT101"/>
    <mergeCell ref="KTU101:KUB101"/>
    <mergeCell ref="KUC101:KUJ101"/>
    <mergeCell ref="KUK101:KUR101"/>
    <mergeCell ref="KUS101:KUZ101"/>
    <mergeCell ref="KVA101:KVH101"/>
    <mergeCell ref="KVI101:KVP101"/>
    <mergeCell ref="KVQ101:KVX101"/>
    <mergeCell ref="KVY101:KWF101"/>
    <mergeCell ref="KWG101:KWN101"/>
    <mergeCell ref="KWO101:KWV101"/>
    <mergeCell ref="KWW101:KXD101"/>
    <mergeCell ref="KXE101:KXL101"/>
    <mergeCell ref="KXM101:KXT101"/>
    <mergeCell ref="KXU101:KYB101"/>
    <mergeCell ref="KYC101:KYJ101"/>
    <mergeCell ref="KYK101:KYR101"/>
    <mergeCell ref="KYS101:KYZ101"/>
    <mergeCell ref="KZA101:KZH101"/>
    <mergeCell ref="KZI101:KZP101"/>
    <mergeCell ref="KZQ101:KZX101"/>
    <mergeCell ref="KZY101:LAF101"/>
    <mergeCell ref="LAG101:LAN101"/>
    <mergeCell ref="LAO101:LAV101"/>
    <mergeCell ref="LAW101:LBD101"/>
    <mergeCell ref="LBE101:LBL101"/>
    <mergeCell ref="LBM101:LBT101"/>
    <mergeCell ref="LBU101:LCB101"/>
    <mergeCell ref="LCC101:LCJ101"/>
    <mergeCell ref="LCK101:LCR101"/>
    <mergeCell ref="LCS101:LCZ101"/>
    <mergeCell ref="LDA101:LDH101"/>
    <mergeCell ref="LDI101:LDP101"/>
    <mergeCell ref="LDQ101:LDX101"/>
    <mergeCell ref="LDY101:LEF101"/>
    <mergeCell ref="LEG101:LEN101"/>
    <mergeCell ref="LEO101:LEV101"/>
    <mergeCell ref="LEW101:LFD101"/>
    <mergeCell ref="LFE101:LFL101"/>
    <mergeCell ref="LFM101:LFT101"/>
    <mergeCell ref="LFU101:LGB101"/>
    <mergeCell ref="LGC101:LGJ101"/>
    <mergeCell ref="LGK101:LGR101"/>
    <mergeCell ref="LGS101:LGZ101"/>
    <mergeCell ref="LHA101:LHH101"/>
    <mergeCell ref="LHI101:LHP101"/>
    <mergeCell ref="LHQ101:LHX101"/>
    <mergeCell ref="LHY101:LIF101"/>
    <mergeCell ref="LIG101:LIN101"/>
    <mergeCell ref="LIO101:LIV101"/>
    <mergeCell ref="LIW101:LJD101"/>
    <mergeCell ref="LJE101:LJL101"/>
    <mergeCell ref="LJM101:LJT101"/>
    <mergeCell ref="LJU101:LKB101"/>
    <mergeCell ref="LKC101:LKJ101"/>
    <mergeCell ref="LKK101:LKR101"/>
    <mergeCell ref="LKS101:LKZ101"/>
    <mergeCell ref="LLA101:LLH101"/>
    <mergeCell ref="LLI101:LLP101"/>
    <mergeCell ref="LLQ101:LLX101"/>
    <mergeCell ref="LLY101:LMF101"/>
    <mergeCell ref="LMG101:LMN101"/>
    <mergeCell ref="LMO101:LMV101"/>
    <mergeCell ref="LMW101:LND101"/>
    <mergeCell ref="LNE101:LNL101"/>
    <mergeCell ref="LNM101:LNT101"/>
    <mergeCell ref="LNU101:LOB101"/>
    <mergeCell ref="LOC101:LOJ101"/>
    <mergeCell ref="LOK101:LOR101"/>
    <mergeCell ref="LOS101:LOZ101"/>
    <mergeCell ref="LPA101:LPH101"/>
    <mergeCell ref="LPI101:LPP101"/>
    <mergeCell ref="LPQ101:LPX101"/>
    <mergeCell ref="LPY101:LQF101"/>
    <mergeCell ref="LQG101:LQN101"/>
    <mergeCell ref="LQO101:LQV101"/>
    <mergeCell ref="LQW101:LRD101"/>
    <mergeCell ref="LRE101:LRL101"/>
    <mergeCell ref="LRM101:LRT101"/>
    <mergeCell ref="LRU101:LSB101"/>
    <mergeCell ref="LSC101:LSJ101"/>
    <mergeCell ref="LSK101:LSR101"/>
    <mergeCell ref="LSS101:LSZ101"/>
    <mergeCell ref="LTA101:LTH101"/>
    <mergeCell ref="LTI101:LTP101"/>
    <mergeCell ref="LTQ101:LTX101"/>
    <mergeCell ref="LTY101:LUF101"/>
    <mergeCell ref="LUG101:LUN101"/>
    <mergeCell ref="LUO101:LUV101"/>
    <mergeCell ref="LUW101:LVD101"/>
    <mergeCell ref="LVE101:LVL101"/>
    <mergeCell ref="LVM101:LVT101"/>
    <mergeCell ref="LVU101:LWB101"/>
    <mergeCell ref="LWC101:LWJ101"/>
    <mergeCell ref="LWK101:LWR101"/>
    <mergeCell ref="LWS101:LWZ101"/>
    <mergeCell ref="LXA101:LXH101"/>
    <mergeCell ref="LXI101:LXP101"/>
    <mergeCell ref="LXQ101:LXX101"/>
    <mergeCell ref="LXY101:LYF101"/>
    <mergeCell ref="LYG101:LYN101"/>
    <mergeCell ref="LYO101:LYV101"/>
    <mergeCell ref="LYW101:LZD101"/>
    <mergeCell ref="LZE101:LZL101"/>
    <mergeCell ref="LZM101:LZT101"/>
    <mergeCell ref="LZU101:MAB101"/>
    <mergeCell ref="MAC101:MAJ101"/>
    <mergeCell ref="MAK101:MAR101"/>
    <mergeCell ref="MAS101:MAZ101"/>
    <mergeCell ref="MBA101:MBH101"/>
    <mergeCell ref="MBI101:MBP101"/>
    <mergeCell ref="MBQ101:MBX101"/>
    <mergeCell ref="MBY101:MCF101"/>
    <mergeCell ref="MCG101:MCN101"/>
    <mergeCell ref="MCO101:MCV101"/>
    <mergeCell ref="MCW101:MDD101"/>
    <mergeCell ref="MDE101:MDL101"/>
    <mergeCell ref="MDM101:MDT101"/>
    <mergeCell ref="MDU101:MEB101"/>
    <mergeCell ref="MEC101:MEJ101"/>
    <mergeCell ref="MEK101:MER101"/>
    <mergeCell ref="MES101:MEZ101"/>
    <mergeCell ref="MFA101:MFH101"/>
    <mergeCell ref="MFI101:MFP101"/>
    <mergeCell ref="MFQ101:MFX101"/>
    <mergeCell ref="MFY101:MGF101"/>
    <mergeCell ref="MGG101:MGN101"/>
    <mergeCell ref="MGO101:MGV101"/>
    <mergeCell ref="MGW101:MHD101"/>
    <mergeCell ref="MHE101:MHL101"/>
    <mergeCell ref="MHM101:MHT101"/>
    <mergeCell ref="MHU101:MIB101"/>
    <mergeCell ref="MIC101:MIJ101"/>
    <mergeCell ref="MIK101:MIR101"/>
    <mergeCell ref="MIS101:MIZ101"/>
    <mergeCell ref="MJA101:MJH101"/>
    <mergeCell ref="MJI101:MJP101"/>
    <mergeCell ref="MJQ101:MJX101"/>
    <mergeCell ref="MJY101:MKF101"/>
    <mergeCell ref="MKG101:MKN101"/>
    <mergeCell ref="MKO101:MKV101"/>
    <mergeCell ref="MKW101:MLD101"/>
    <mergeCell ref="MLE101:MLL101"/>
    <mergeCell ref="MLM101:MLT101"/>
    <mergeCell ref="MLU101:MMB101"/>
    <mergeCell ref="MMC101:MMJ101"/>
    <mergeCell ref="MMK101:MMR101"/>
    <mergeCell ref="MMS101:MMZ101"/>
    <mergeCell ref="MNA101:MNH101"/>
    <mergeCell ref="MNI101:MNP101"/>
    <mergeCell ref="MNQ101:MNX101"/>
    <mergeCell ref="MNY101:MOF101"/>
    <mergeCell ref="MOG101:MON101"/>
    <mergeCell ref="MOO101:MOV101"/>
    <mergeCell ref="MOW101:MPD101"/>
    <mergeCell ref="MPE101:MPL101"/>
    <mergeCell ref="MPM101:MPT101"/>
    <mergeCell ref="MPU101:MQB101"/>
    <mergeCell ref="MQC101:MQJ101"/>
    <mergeCell ref="MQK101:MQR101"/>
    <mergeCell ref="MQS101:MQZ101"/>
    <mergeCell ref="MRA101:MRH101"/>
    <mergeCell ref="MRI101:MRP101"/>
    <mergeCell ref="MRQ101:MRX101"/>
    <mergeCell ref="MRY101:MSF101"/>
    <mergeCell ref="MSG101:MSN101"/>
    <mergeCell ref="MSO101:MSV101"/>
    <mergeCell ref="MSW101:MTD101"/>
    <mergeCell ref="MTE101:MTL101"/>
    <mergeCell ref="MTM101:MTT101"/>
    <mergeCell ref="MTU101:MUB101"/>
    <mergeCell ref="MUC101:MUJ101"/>
    <mergeCell ref="MUK101:MUR101"/>
    <mergeCell ref="MUS101:MUZ101"/>
    <mergeCell ref="MVA101:MVH101"/>
    <mergeCell ref="MVI101:MVP101"/>
    <mergeCell ref="MVQ101:MVX101"/>
    <mergeCell ref="MVY101:MWF101"/>
    <mergeCell ref="MWG101:MWN101"/>
    <mergeCell ref="MWO101:MWV101"/>
    <mergeCell ref="MWW101:MXD101"/>
    <mergeCell ref="MXE101:MXL101"/>
    <mergeCell ref="MXM101:MXT101"/>
    <mergeCell ref="MXU101:MYB101"/>
    <mergeCell ref="MYC101:MYJ101"/>
    <mergeCell ref="MYK101:MYR101"/>
    <mergeCell ref="MYS101:MYZ101"/>
    <mergeCell ref="MZA101:MZH101"/>
    <mergeCell ref="MZI101:MZP101"/>
    <mergeCell ref="MZQ101:MZX101"/>
    <mergeCell ref="MZY101:NAF101"/>
    <mergeCell ref="NAG101:NAN101"/>
    <mergeCell ref="NAO101:NAV101"/>
    <mergeCell ref="NAW101:NBD101"/>
    <mergeCell ref="NBE101:NBL101"/>
    <mergeCell ref="NBM101:NBT101"/>
    <mergeCell ref="NBU101:NCB101"/>
    <mergeCell ref="NCC101:NCJ101"/>
    <mergeCell ref="NCK101:NCR101"/>
    <mergeCell ref="NCS101:NCZ101"/>
    <mergeCell ref="NDA101:NDH101"/>
    <mergeCell ref="NDI101:NDP101"/>
    <mergeCell ref="NDQ101:NDX101"/>
    <mergeCell ref="NDY101:NEF101"/>
    <mergeCell ref="NEG101:NEN101"/>
    <mergeCell ref="NEO101:NEV101"/>
    <mergeCell ref="NEW101:NFD101"/>
    <mergeCell ref="NFE101:NFL101"/>
    <mergeCell ref="NFM101:NFT101"/>
    <mergeCell ref="NFU101:NGB101"/>
    <mergeCell ref="NGC101:NGJ101"/>
    <mergeCell ref="NGK101:NGR101"/>
    <mergeCell ref="NGS101:NGZ101"/>
    <mergeCell ref="NHA101:NHH101"/>
    <mergeCell ref="NHI101:NHP101"/>
    <mergeCell ref="NHQ101:NHX101"/>
    <mergeCell ref="NHY101:NIF101"/>
    <mergeCell ref="NIG101:NIN101"/>
    <mergeCell ref="NIO101:NIV101"/>
    <mergeCell ref="NIW101:NJD101"/>
    <mergeCell ref="NJE101:NJL101"/>
    <mergeCell ref="NJM101:NJT101"/>
    <mergeCell ref="NJU101:NKB101"/>
    <mergeCell ref="NKC101:NKJ101"/>
    <mergeCell ref="NKK101:NKR101"/>
    <mergeCell ref="NKS101:NKZ101"/>
    <mergeCell ref="NLA101:NLH101"/>
    <mergeCell ref="NLI101:NLP101"/>
    <mergeCell ref="NLQ101:NLX101"/>
    <mergeCell ref="NLY101:NMF101"/>
    <mergeCell ref="NMG101:NMN101"/>
    <mergeCell ref="NMO101:NMV101"/>
    <mergeCell ref="NMW101:NND101"/>
    <mergeCell ref="NNE101:NNL101"/>
    <mergeCell ref="NNM101:NNT101"/>
    <mergeCell ref="NNU101:NOB101"/>
    <mergeCell ref="NOC101:NOJ101"/>
    <mergeCell ref="NOK101:NOR101"/>
    <mergeCell ref="NOS101:NOZ101"/>
    <mergeCell ref="NPA101:NPH101"/>
    <mergeCell ref="NPI101:NPP101"/>
    <mergeCell ref="NPQ101:NPX101"/>
    <mergeCell ref="NPY101:NQF101"/>
    <mergeCell ref="NQG101:NQN101"/>
    <mergeCell ref="NQO101:NQV101"/>
    <mergeCell ref="NQW101:NRD101"/>
    <mergeCell ref="NRE101:NRL101"/>
    <mergeCell ref="NRM101:NRT101"/>
    <mergeCell ref="NRU101:NSB101"/>
    <mergeCell ref="NSC101:NSJ101"/>
    <mergeCell ref="NSK101:NSR101"/>
    <mergeCell ref="NSS101:NSZ101"/>
    <mergeCell ref="NTA101:NTH101"/>
    <mergeCell ref="NTI101:NTP101"/>
    <mergeCell ref="NTQ101:NTX101"/>
    <mergeCell ref="NTY101:NUF101"/>
    <mergeCell ref="NUG101:NUN101"/>
    <mergeCell ref="NUO101:NUV101"/>
    <mergeCell ref="NUW101:NVD101"/>
    <mergeCell ref="NVE101:NVL101"/>
    <mergeCell ref="NVM101:NVT101"/>
    <mergeCell ref="NVU101:NWB101"/>
    <mergeCell ref="NWC101:NWJ101"/>
    <mergeCell ref="NWK101:NWR101"/>
    <mergeCell ref="NWS101:NWZ101"/>
    <mergeCell ref="NXA101:NXH101"/>
    <mergeCell ref="NXI101:NXP101"/>
    <mergeCell ref="NXQ101:NXX101"/>
    <mergeCell ref="NXY101:NYF101"/>
    <mergeCell ref="NYG101:NYN101"/>
    <mergeCell ref="NYO101:NYV101"/>
    <mergeCell ref="NYW101:NZD101"/>
    <mergeCell ref="NZE101:NZL101"/>
    <mergeCell ref="NZM101:NZT101"/>
    <mergeCell ref="NZU101:OAB101"/>
    <mergeCell ref="OAC101:OAJ101"/>
    <mergeCell ref="OAK101:OAR101"/>
    <mergeCell ref="OAS101:OAZ101"/>
    <mergeCell ref="OBA101:OBH101"/>
    <mergeCell ref="OBI101:OBP101"/>
    <mergeCell ref="OBQ101:OBX101"/>
    <mergeCell ref="OBY101:OCF101"/>
    <mergeCell ref="OCG101:OCN101"/>
    <mergeCell ref="OCO101:OCV101"/>
    <mergeCell ref="OCW101:ODD101"/>
    <mergeCell ref="ODE101:ODL101"/>
    <mergeCell ref="ODM101:ODT101"/>
    <mergeCell ref="ODU101:OEB101"/>
    <mergeCell ref="OEC101:OEJ101"/>
    <mergeCell ref="OEK101:OER101"/>
    <mergeCell ref="OES101:OEZ101"/>
    <mergeCell ref="OFA101:OFH101"/>
    <mergeCell ref="OFI101:OFP101"/>
    <mergeCell ref="OFQ101:OFX101"/>
    <mergeCell ref="OFY101:OGF101"/>
    <mergeCell ref="OGG101:OGN101"/>
    <mergeCell ref="OGO101:OGV101"/>
    <mergeCell ref="OGW101:OHD101"/>
    <mergeCell ref="OHE101:OHL101"/>
    <mergeCell ref="OHM101:OHT101"/>
    <mergeCell ref="OHU101:OIB101"/>
    <mergeCell ref="OIC101:OIJ101"/>
    <mergeCell ref="OIK101:OIR101"/>
    <mergeCell ref="OIS101:OIZ101"/>
    <mergeCell ref="OJA101:OJH101"/>
    <mergeCell ref="OJI101:OJP101"/>
    <mergeCell ref="OJQ101:OJX101"/>
    <mergeCell ref="OJY101:OKF101"/>
    <mergeCell ref="OKG101:OKN101"/>
    <mergeCell ref="OKO101:OKV101"/>
    <mergeCell ref="OKW101:OLD101"/>
    <mergeCell ref="OLE101:OLL101"/>
    <mergeCell ref="OLM101:OLT101"/>
    <mergeCell ref="OLU101:OMB101"/>
    <mergeCell ref="OMC101:OMJ101"/>
    <mergeCell ref="OMK101:OMR101"/>
    <mergeCell ref="OMS101:OMZ101"/>
    <mergeCell ref="ONA101:ONH101"/>
    <mergeCell ref="ONI101:ONP101"/>
    <mergeCell ref="ONQ101:ONX101"/>
    <mergeCell ref="ONY101:OOF101"/>
    <mergeCell ref="OOG101:OON101"/>
    <mergeCell ref="OOO101:OOV101"/>
    <mergeCell ref="OOW101:OPD101"/>
    <mergeCell ref="OPE101:OPL101"/>
    <mergeCell ref="OPM101:OPT101"/>
    <mergeCell ref="OPU101:OQB101"/>
    <mergeCell ref="OQC101:OQJ101"/>
    <mergeCell ref="OQK101:OQR101"/>
    <mergeCell ref="OQS101:OQZ101"/>
    <mergeCell ref="ORA101:ORH101"/>
    <mergeCell ref="ORI101:ORP101"/>
    <mergeCell ref="ORQ101:ORX101"/>
    <mergeCell ref="ORY101:OSF101"/>
    <mergeCell ref="OSG101:OSN101"/>
    <mergeCell ref="OSO101:OSV101"/>
    <mergeCell ref="OSW101:OTD101"/>
    <mergeCell ref="OTE101:OTL101"/>
    <mergeCell ref="OTM101:OTT101"/>
    <mergeCell ref="OTU101:OUB101"/>
    <mergeCell ref="OUC101:OUJ101"/>
    <mergeCell ref="OUK101:OUR101"/>
    <mergeCell ref="OUS101:OUZ101"/>
    <mergeCell ref="OVA101:OVH101"/>
    <mergeCell ref="OVI101:OVP101"/>
    <mergeCell ref="OVQ101:OVX101"/>
    <mergeCell ref="OVY101:OWF101"/>
    <mergeCell ref="OWG101:OWN101"/>
    <mergeCell ref="OWO101:OWV101"/>
    <mergeCell ref="OWW101:OXD101"/>
    <mergeCell ref="OXE101:OXL101"/>
    <mergeCell ref="OXM101:OXT101"/>
    <mergeCell ref="OXU101:OYB101"/>
    <mergeCell ref="OYC101:OYJ101"/>
    <mergeCell ref="OYK101:OYR101"/>
    <mergeCell ref="TAG101:TAN101"/>
    <mergeCell ref="TAO101:TAV101"/>
    <mergeCell ref="TAW101:TBD101"/>
    <mergeCell ref="PEO101:PEV101"/>
    <mergeCell ref="PEW101:PFD101"/>
    <mergeCell ref="PFE101:PFL101"/>
    <mergeCell ref="PFM101:PFT101"/>
    <mergeCell ref="PFU101:PGB101"/>
    <mergeCell ref="PGC101:PGJ101"/>
    <mergeCell ref="PGK101:PGR101"/>
    <mergeCell ref="PGS101:PGZ101"/>
    <mergeCell ref="PHA101:PHH101"/>
    <mergeCell ref="PHI101:PHP101"/>
    <mergeCell ref="PHQ101:PHX101"/>
    <mergeCell ref="PHY101:PIF101"/>
    <mergeCell ref="PIG101:PIN101"/>
    <mergeCell ref="PIO101:PIV101"/>
    <mergeCell ref="PIW101:PJD101"/>
    <mergeCell ref="TBE101:TBL101"/>
    <mergeCell ref="TBM101:TBT101"/>
    <mergeCell ref="TBU101:TCB101"/>
    <mergeCell ref="TCC101:TCJ101"/>
    <mergeCell ref="TCK101:TCR101"/>
    <mergeCell ref="TCS101:TCZ101"/>
    <mergeCell ref="TDA101:TDH101"/>
    <mergeCell ref="TDI101:TDP101"/>
    <mergeCell ref="TDQ101:TDX101"/>
    <mergeCell ref="TDY101:TEF101"/>
    <mergeCell ref="TEG101:TEN101"/>
    <mergeCell ref="TEO101:TEV101"/>
    <mergeCell ref="TEW101:TFD101"/>
    <mergeCell ref="TFE101:TFL101"/>
    <mergeCell ref="TFM101:TFT101"/>
    <mergeCell ref="TFU101:TGB101"/>
    <mergeCell ref="TGC101:TGJ101"/>
    <mergeCell ref="TGK101:TGR101"/>
    <mergeCell ref="TGS101:TGZ101"/>
    <mergeCell ref="THA101:THH101"/>
    <mergeCell ref="THI101:THP101"/>
    <mergeCell ref="THQ101:THX101"/>
    <mergeCell ref="THY101:TIF101"/>
    <mergeCell ref="TIG101:TIN101"/>
    <mergeCell ref="TIO101:TIV101"/>
    <mergeCell ref="TIW101:TJD101"/>
    <mergeCell ref="TJE101:TJL101"/>
    <mergeCell ref="TJM101:TJT101"/>
    <mergeCell ref="TJU101:TKB101"/>
    <mergeCell ref="TKC101:TKJ101"/>
    <mergeCell ref="TKK101:TKR101"/>
    <mergeCell ref="TKS101:TKZ101"/>
    <mergeCell ref="TLA101:TLH101"/>
    <mergeCell ref="TLI101:TLP101"/>
    <mergeCell ref="TLQ101:TLX101"/>
    <mergeCell ref="TLY101:TMF101"/>
    <mergeCell ref="TMG101:TMN101"/>
    <mergeCell ref="TMO101:TMV101"/>
    <mergeCell ref="TMW101:TND101"/>
    <mergeCell ref="TNE101:TNL101"/>
    <mergeCell ref="TNM101:TNT101"/>
    <mergeCell ref="TNU101:TOB101"/>
    <mergeCell ref="TOC101:TOJ101"/>
    <mergeCell ref="TOK101:TOR101"/>
    <mergeCell ref="TOS101:TOZ101"/>
    <mergeCell ref="TPA101:TPH101"/>
    <mergeCell ref="TPI101:TPP101"/>
    <mergeCell ref="TPQ101:TPX101"/>
    <mergeCell ref="TPY101:TQF101"/>
    <mergeCell ref="TQG101:TQN101"/>
    <mergeCell ref="TQO101:TQV101"/>
    <mergeCell ref="TQW101:TRD101"/>
    <mergeCell ref="TRE101:TRL101"/>
    <mergeCell ref="TRM101:TRT101"/>
    <mergeCell ref="TRU101:TSB101"/>
    <mergeCell ref="TSC101:TSJ101"/>
    <mergeCell ref="TSK101:TSR101"/>
    <mergeCell ref="TSS101:TSZ101"/>
    <mergeCell ref="TTA101:TTH101"/>
    <mergeCell ref="TTI101:TTP101"/>
    <mergeCell ref="TTQ101:TTX101"/>
    <mergeCell ref="TTY101:TUF101"/>
    <mergeCell ref="TUG101:TUN101"/>
    <mergeCell ref="TUO101:TUV101"/>
    <mergeCell ref="TUW101:TVD101"/>
    <mergeCell ref="TVE101:TVL101"/>
    <mergeCell ref="TVM101:TVT101"/>
    <mergeCell ref="TVU101:TWB101"/>
    <mergeCell ref="TWC101:TWJ101"/>
    <mergeCell ref="TWK101:TWR101"/>
    <mergeCell ref="TWS101:TWZ101"/>
    <mergeCell ref="TXA101:TXH101"/>
    <mergeCell ref="TXI101:TXP101"/>
    <mergeCell ref="TXQ101:TXX101"/>
    <mergeCell ref="TXY101:TYF101"/>
    <mergeCell ref="TYG101:TYN101"/>
    <mergeCell ref="TYO101:TYV101"/>
    <mergeCell ref="TYW101:TZD101"/>
    <mergeCell ref="TZE101:TZL101"/>
    <mergeCell ref="TZM101:TZT101"/>
    <mergeCell ref="TZU101:UAB101"/>
    <mergeCell ref="UAC101:UAJ101"/>
    <mergeCell ref="UAK101:UAR101"/>
    <mergeCell ref="UAS101:UAZ101"/>
    <mergeCell ref="UBA101:UBH101"/>
    <mergeCell ref="UBI101:UBP101"/>
    <mergeCell ref="UBQ101:UBX101"/>
    <mergeCell ref="UBY101:UCF101"/>
    <mergeCell ref="UCG101:UCN101"/>
    <mergeCell ref="UCO101:UCV101"/>
    <mergeCell ref="UCW101:UDD101"/>
    <mergeCell ref="UDE101:UDL101"/>
    <mergeCell ref="UDM101:UDT101"/>
    <mergeCell ref="UDU101:UEB101"/>
    <mergeCell ref="UEC101:UEJ101"/>
    <mergeCell ref="UEK101:UER101"/>
    <mergeCell ref="UES101:UEZ101"/>
    <mergeCell ref="UFA101:UFH101"/>
    <mergeCell ref="UFI101:UFP101"/>
    <mergeCell ref="UFQ101:UFX101"/>
    <mergeCell ref="UFY101:UGF101"/>
    <mergeCell ref="UGG101:UGN101"/>
    <mergeCell ref="UGO101:UGV101"/>
    <mergeCell ref="UGW101:UHD101"/>
    <mergeCell ref="UHE101:UHL101"/>
    <mergeCell ref="UHM101:UHT101"/>
    <mergeCell ref="UHU101:UIB101"/>
    <mergeCell ref="UIC101:UIJ101"/>
    <mergeCell ref="UIK101:UIR101"/>
    <mergeCell ref="UIS101:UIZ101"/>
    <mergeCell ref="UJA101:UJH101"/>
    <mergeCell ref="UJI101:UJP101"/>
    <mergeCell ref="UJQ101:UJX101"/>
    <mergeCell ref="UJY101:UKF101"/>
    <mergeCell ref="UKG101:UKN101"/>
    <mergeCell ref="UKO101:UKV101"/>
    <mergeCell ref="UKW101:ULD101"/>
    <mergeCell ref="ULE101:ULL101"/>
    <mergeCell ref="ULM101:ULT101"/>
    <mergeCell ref="ULU101:UMB101"/>
    <mergeCell ref="UMC101:UMJ101"/>
    <mergeCell ref="UMK101:UMR101"/>
    <mergeCell ref="UMS101:UMZ101"/>
    <mergeCell ref="UNA101:UNH101"/>
    <mergeCell ref="UNI101:UNP101"/>
    <mergeCell ref="UNQ101:UNX101"/>
    <mergeCell ref="UNY101:UOF101"/>
    <mergeCell ref="UOG101:UON101"/>
    <mergeCell ref="UOO101:UOV101"/>
    <mergeCell ref="UOW101:UPD101"/>
    <mergeCell ref="UPE101:UPL101"/>
    <mergeCell ref="UPM101:UPT101"/>
    <mergeCell ref="UPU101:UQB101"/>
    <mergeCell ref="UQC101:UQJ101"/>
    <mergeCell ref="UQK101:UQR101"/>
    <mergeCell ref="UQS101:UQZ101"/>
    <mergeCell ref="URA101:URH101"/>
    <mergeCell ref="URI101:URP101"/>
    <mergeCell ref="URQ101:URX101"/>
    <mergeCell ref="URY101:USF101"/>
    <mergeCell ref="USG101:USN101"/>
    <mergeCell ref="USO101:USV101"/>
    <mergeCell ref="USW101:UTD101"/>
    <mergeCell ref="UTE101:UTL101"/>
    <mergeCell ref="UTM101:UTT101"/>
    <mergeCell ref="UTU101:UUB101"/>
    <mergeCell ref="UUC101:UUJ101"/>
    <mergeCell ref="UUK101:UUR101"/>
    <mergeCell ref="UUS101:UUZ101"/>
    <mergeCell ref="UVA101:UVH101"/>
    <mergeCell ref="UVI101:UVP101"/>
    <mergeCell ref="UVQ101:UVX101"/>
    <mergeCell ref="UVY101:UWF101"/>
    <mergeCell ref="UWG101:UWN101"/>
    <mergeCell ref="UWO101:UWV101"/>
    <mergeCell ref="UWW101:UXD101"/>
    <mergeCell ref="UXE101:UXL101"/>
    <mergeCell ref="UXM101:UXT101"/>
    <mergeCell ref="UXU101:UYB101"/>
    <mergeCell ref="UYC101:UYJ101"/>
    <mergeCell ref="UYK101:UYR101"/>
    <mergeCell ref="UYS101:UYZ101"/>
    <mergeCell ref="UZA101:UZH101"/>
    <mergeCell ref="UZI101:UZP101"/>
    <mergeCell ref="UZQ101:UZX101"/>
    <mergeCell ref="UZY101:VAF101"/>
    <mergeCell ref="VAG101:VAN101"/>
    <mergeCell ref="VAO101:VAV101"/>
    <mergeCell ref="VAW101:VBD101"/>
    <mergeCell ref="VBE101:VBL101"/>
    <mergeCell ref="VBM101:VBT101"/>
    <mergeCell ref="VBU101:VCB101"/>
    <mergeCell ref="VCC101:VCJ101"/>
    <mergeCell ref="VCK101:VCR101"/>
    <mergeCell ref="VCS101:VCZ101"/>
    <mergeCell ref="VDA101:VDH101"/>
    <mergeCell ref="VDI101:VDP101"/>
    <mergeCell ref="VDQ101:VDX101"/>
    <mergeCell ref="VDY101:VEF101"/>
    <mergeCell ref="VEG101:VEN101"/>
    <mergeCell ref="VEO101:VEV101"/>
    <mergeCell ref="VEW101:VFD101"/>
    <mergeCell ref="VFE101:VFL101"/>
    <mergeCell ref="VFM101:VFT101"/>
    <mergeCell ref="VFU101:VGB101"/>
    <mergeCell ref="VGC101:VGJ101"/>
    <mergeCell ref="VGK101:VGR101"/>
    <mergeCell ref="VGS101:VGZ101"/>
    <mergeCell ref="VHA101:VHH101"/>
    <mergeCell ref="VHI101:VHP101"/>
    <mergeCell ref="VHQ101:VHX101"/>
    <mergeCell ref="VHY101:VIF101"/>
    <mergeCell ref="VIG101:VIN101"/>
    <mergeCell ref="VIO101:VIV101"/>
    <mergeCell ref="VIW101:VJD101"/>
    <mergeCell ref="VJE101:VJL101"/>
    <mergeCell ref="VJM101:VJT101"/>
    <mergeCell ref="VJU101:VKB101"/>
    <mergeCell ref="VKC101:VKJ101"/>
    <mergeCell ref="VKK101:VKR101"/>
    <mergeCell ref="VKS101:VKZ101"/>
    <mergeCell ref="VLA101:VLH101"/>
    <mergeCell ref="VLI101:VLP101"/>
    <mergeCell ref="VLQ101:VLX101"/>
    <mergeCell ref="VLY101:VMF101"/>
    <mergeCell ref="VMG101:VMN101"/>
    <mergeCell ref="VMO101:VMV101"/>
    <mergeCell ref="VMW101:VND101"/>
    <mergeCell ref="VNE101:VNL101"/>
    <mergeCell ref="VNM101:VNT101"/>
    <mergeCell ref="VNU101:VOB101"/>
    <mergeCell ref="VOC101:VOJ101"/>
    <mergeCell ref="VOK101:VOR101"/>
    <mergeCell ref="VOS101:VOZ101"/>
    <mergeCell ref="VPA101:VPH101"/>
    <mergeCell ref="VPI101:VPP101"/>
    <mergeCell ref="VPQ101:VPX101"/>
    <mergeCell ref="VPY101:VQF101"/>
    <mergeCell ref="VQG101:VQN101"/>
    <mergeCell ref="VQO101:VQV101"/>
    <mergeCell ref="VQW101:VRD101"/>
    <mergeCell ref="VRE101:VRL101"/>
    <mergeCell ref="VRM101:VRT101"/>
    <mergeCell ref="VRU101:VSB101"/>
    <mergeCell ref="VSC101:VSJ101"/>
    <mergeCell ref="VSK101:VSR101"/>
    <mergeCell ref="VSS101:VSZ101"/>
    <mergeCell ref="VTA101:VTH101"/>
    <mergeCell ref="VTI101:VTP101"/>
    <mergeCell ref="VTQ101:VTX101"/>
    <mergeCell ref="VTY101:VUF101"/>
    <mergeCell ref="VUG101:VUN101"/>
    <mergeCell ref="VUO101:VUV101"/>
    <mergeCell ref="VUW101:VVD101"/>
    <mergeCell ref="VVE101:VVL101"/>
    <mergeCell ref="VVM101:VVT101"/>
    <mergeCell ref="VVU101:VWB101"/>
    <mergeCell ref="VWC101:VWJ101"/>
    <mergeCell ref="VWK101:VWR101"/>
    <mergeCell ref="VWS101:VWZ101"/>
    <mergeCell ref="VXA101:VXH101"/>
    <mergeCell ref="VXI101:VXP101"/>
    <mergeCell ref="VXQ101:VXX101"/>
    <mergeCell ref="VXY101:VYF101"/>
    <mergeCell ref="VYG101:VYN101"/>
    <mergeCell ref="VYO101:VYV101"/>
    <mergeCell ref="VYW101:VZD101"/>
    <mergeCell ref="VZE101:VZL101"/>
    <mergeCell ref="VZM101:VZT101"/>
    <mergeCell ref="VZU101:WAB101"/>
    <mergeCell ref="WAC101:WAJ101"/>
    <mergeCell ref="WAK101:WAR101"/>
    <mergeCell ref="WAS101:WAZ101"/>
    <mergeCell ref="WBA101:WBH101"/>
    <mergeCell ref="WBI101:WBP101"/>
    <mergeCell ref="WBQ101:WBX101"/>
    <mergeCell ref="WBY101:WCF101"/>
    <mergeCell ref="WCG101:WCN101"/>
    <mergeCell ref="WCO101:WCV101"/>
    <mergeCell ref="WCW101:WDD101"/>
    <mergeCell ref="WDE101:WDL101"/>
    <mergeCell ref="WDM101:WDT101"/>
    <mergeCell ref="WDU101:WEB101"/>
    <mergeCell ref="WEC101:WEJ101"/>
    <mergeCell ref="WEK101:WER101"/>
    <mergeCell ref="WES101:WEZ101"/>
    <mergeCell ref="WFA101:WFH101"/>
    <mergeCell ref="WFI101:WFP101"/>
    <mergeCell ref="WFQ101:WFX101"/>
    <mergeCell ref="WFY101:WGF101"/>
    <mergeCell ref="WGG101:WGN101"/>
    <mergeCell ref="WGO101:WGV101"/>
    <mergeCell ref="WGW101:WHD101"/>
    <mergeCell ref="WHE101:WHL101"/>
    <mergeCell ref="WHM101:WHT101"/>
    <mergeCell ref="WHU101:WIB101"/>
    <mergeCell ref="WIC101:WIJ101"/>
    <mergeCell ref="WIK101:WIR101"/>
    <mergeCell ref="WIS101:WIZ101"/>
    <mergeCell ref="WJA101:WJH101"/>
    <mergeCell ref="WJI101:WJP101"/>
    <mergeCell ref="WJQ101:WJX101"/>
    <mergeCell ref="WJY101:WKF101"/>
    <mergeCell ref="WKG101:WKN101"/>
    <mergeCell ref="WKO101:WKV101"/>
    <mergeCell ref="WKW101:WLD101"/>
    <mergeCell ref="WLE101:WLL101"/>
    <mergeCell ref="WLM101:WLT101"/>
    <mergeCell ref="WLU101:WMB101"/>
    <mergeCell ref="WMC101:WMJ101"/>
    <mergeCell ref="WMK101:WMR101"/>
    <mergeCell ref="XDY101:XEF101"/>
    <mergeCell ref="XEG101:XEN101"/>
    <mergeCell ref="XEO101:XEV101"/>
    <mergeCell ref="XEW101:XFD101"/>
    <mergeCell ref="XBU101:XCB101"/>
    <mergeCell ref="XCC101:XCJ101"/>
    <mergeCell ref="XCK101:XCR101"/>
    <mergeCell ref="XCS101:XCZ101"/>
    <mergeCell ref="XDA101:XDH101"/>
    <mergeCell ref="XDI101:XDP101"/>
    <mergeCell ref="XDQ101:XDX101"/>
    <mergeCell ref="WMS101:WMZ101"/>
    <mergeCell ref="WNA101:WNH101"/>
    <mergeCell ref="WNI101:WNP101"/>
    <mergeCell ref="WNQ101:WNX101"/>
    <mergeCell ref="WNY101:WOF101"/>
    <mergeCell ref="WOG101:WON101"/>
    <mergeCell ref="WOO101:WOV101"/>
    <mergeCell ref="WOW101:WPD101"/>
    <mergeCell ref="WPE101:WPL101"/>
    <mergeCell ref="WPM101:WPT101"/>
    <mergeCell ref="WPU101:WQB101"/>
    <mergeCell ref="WQC101:WQJ101"/>
    <mergeCell ref="WQK101:WQR101"/>
    <mergeCell ref="WQS101:WQZ101"/>
    <mergeCell ref="WRA101:WRH101"/>
    <mergeCell ref="WRI101:WRP101"/>
    <mergeCell ref="WRQ101:WRX101"/>
    <mergeCell ref="WRY101:WSF101"/>
    <mergeCell ref="WSG101:WSN101"/>
    <mergeCell ref="WSO101:WSV101"/>
    <mergeCell ref="WSW101:WTD101"/>
    <mergeCell ref="WTE101:WTL101"/>
    <mergeCell ref="WTM101:WTT101"/>
    <mergeCell ref="WTU101:WUB101"/>
    <mergeCell ref="WUC101:WUJ101"/>
    <mergeCell ref="WUK101:WUR101"/>
    <mergeCell ref="WUS101:WUZ101"/>
    <mergeCell ref="WVA101:WVH101"/>
    <mergeCell ref="WVI101:WVP101"/>
    <mergeCell ref="WVQ101:WVX101"/>
    <mergeCell ref="WVY101:WWF101"/>
    <mergeCell ref="WWG101:WWN101"/>
    <mergeCell ref="WWO101:WWV101"/>
    <mergeCell ref="WWW101:WXD101"/>
    <mergeCell ref="WXE101:WXL101"/>
    <mergeCell ref="WXM101:WXT101"/>
    <mergeCell ref="WXU101:WYB101"/>
    <mergeCell ref="WYC101:WYJ101"/>
    <mergeCell ref="WYK101:WYR101"/>
    <mergeCell ref="WYS101:WYZ101"/>
    <mergeCell ref="WZA101:WZH101"/>
    <mergeCell ref="WZI101:WZP101"/>
    <mergeCell ref="WZQ101:WZX101"/>
    <mergeCell ref="WZY101:XAF101"/>
    <mergeCell ref="XAG101:XAN101"/>
    <mergeCell ref="XAO101:XAV101"/>
    <mergeCell ref="XAW101:XBD101"/>
    <mergeCell ref="XBE101:XBL101"/>
    <mergeCell ref="XBM101:XBT101"/>
    <mergeCell ref="OYS101:OYZ101"/>
    <mergeCell ref="OZA101:OZH101"/>
    <mergeCell ref="OZI101:OZP101"/>
    <mergeCell ref="OZQ101:OZX101"/>
    <mergeCell ref="OZY101:PAF101"/>
    <mergeCell ref="PAG101:PAN101"/>
    <mergeCell ref="PAO101:PAV101"/>
    <mergeCell ref="PAW101:PBD101"/>
    <mergeCell ref="PBE101:PBL101"/>
    <mergeCell ref="PBM101:PBT101"/>
    <mergeCell ref="PBU101:PCB101"/>
    <mergeCell ref="PCC101:PCJ101"/>
    <mergeCell ref="PCK101:PCR101"/>
    <mergeCell ref="PCS101:PCZ101"/>
    <mergeCell ref="PDA101:PDH101"/>
    <mergeCell ref="PDI101:PDP101"/>
    <mergeCell ref="PDQ101:PDX101"/>
    <mergeCell ref="PDY101:PEF101"/>
    <mergeCell ref="PEG101:PEN101"/>
    <mergeCell ref="PJE101:PJL101"/>
    <mergeCell ref="PJM101:PJT101"/>
    <mergeCell ref="PJU101:PKB101"/>
    <mergeCell ref="PKC101:PKJ101"/>
    <mergeCell ref="PKK101:PKR101"/>
    <mergeCell ref="PKS101:PKZ101"/>
    <mergeCell ref="PLA101:PLH101"/>
    <mergeCell ref="PLI101:PLP101"/>
    <mergeCell ref="PLQ101:PLX101"/>
    <mergeCell ref="PLY101:PMF101"/>
    <mergeCell ref="PMG101:PMN101"/>
    <mergeCell ref="PMO101:PMV101"/>
    <mergeCell ref="PMW101:PND101"/>
    <mergeCell ref="PNE101:PNL101"/>
    <mergeCell ref="PNM101:PNT101"/>
    <mergeCell ref="PNU101:POB101"/>
    <mergeCell ref="POC101:POJ101"/>
    <mergeCell ref="POK101:POR101"/>
    <mergeCell ref="POS101:POZ101"/>
    <mergeCell ref="PPA101:PPH101"/>
    <mergeCell ref="PPI101:PPP101"/>
    <mergeCell ref="PPQ101:PPX101"/>
    <mergeCell ref="PPY101:PQF101"/>
    <mergeCell ref="PQG101:PQN101"/>
    <mergeCell ref="PQO101:PQV101"/>
    <mergeCell ref="PQW101:PRD101"/>
    <mergeCell ref="PRE101:PRL101"/>
    <mergeCell ref="PRM101:PRT101"/>
    <mergeCell ref="PRU101:PSB101"/>
    <mergeCell ref="PSC101:PSJ101"/>
    <mergeCell ref="PSK101:PSR101"/>
    <mergeCell ref="PSS101:PSZ101"/>
    <mergeCell ref="PTA101:PTH101"/>
    <mergeCell ref="PTI101:PTP101"/>
    <mergeCell ref="PTQ101:PTX101"/>
    <mergeCell ref="PTY101:PUF101"/>
    <mergeCell ref="PUG101:PUN101"/>
    <mergeCell ref="PUO101:PUV101"/>
    <mergeCell ref="PUW101:PVD101"/>
    <mergeCell ref="PVE101:PVL101"/>
    <mergeCell ref="PVM101:PVT101"/>
    <mergeCell ref="PVU101:PWB101"/>
    <mergeCell ref="PWC101:PWJ101"/>
    <mergeCell ref="PWK101:PWR101"/>
    <mergeCell ref="PWS101:PWZ101"/>
    <mergeCell ref="PXA101:PXH101"/>
    <mergeCell ref="PXI101:PXP101"/>
    <mergeCell ref="PXQ101:PXX101"/>
    <mergeCell ref="PXY101:PYF101"/>
    <mergeCell ref="PYG101:PYN101"/>
    <mergeCell ref="PYO101:PYV101"/>
    <mergeCell ref="PYW101:PZD101"/>
    <mergeCell ref="PZE101:PZL101"/>
    <mergeCell ref="PZM101:PZT101"/>
    <mergeCell ref="PZU101:QAB101"/>
    <mergeCell ref="QAC101:QAJ101"/>
    <mergeCell ref="QAK101:QAR101"/>
    <mergeCell ref="QAS101:QAZ101"/>
    <mergeCell ref="QBA101:QBH101"/>
    <mergeCell ref="QBI101:QBP101"/>
    <mergeCell ref="QBQ101:QBX101"/>
    <mergeCell ref="QBY101:QCF101"/>
    <mergeCell ref="QCG101:QCN101"/>
    <mergeCell ref="QCO101:QCV101"/>
    <mergeCell ref="QCW101:QDD101"/>
    <mergeCell ref="QDE101:QDL101"/>
    <mergeCell ref="QDM101:QDT101"/>
    <mergeCell ref="QDU101:QEB101"/>
    <mergeCell ref="QEC101:QEJ101"/>
    <mergeCell ref="QEK101:QER101"/>
    <mergeCell ref="QES101:QEZ101"/>
    <mergeCell ref="QFA101:QFH101"/>
    <mergeCell ref="QFI101:QFP101"/>
    <mergeCell ref="QFQ101:QFX101"/>
    <mergeCell ref="QFY101:QGF101"/>
    <mergeCell ref="QGG101:QGN101"/>
    <mergeCell ref="QGO101:QGV101"/>
    <mergeCell ref="QGW101:QHD101"/>
    <mergeCell ref="QHE101:QHL101"/>
    <mergeCell ref="QHM101:QHT101"/>
    <mergeCell ref="QHU101:QIB101"/>
    <mergeCell ref="QIC101:QIJ101"/>
    <mergeCell ref="QIK101:QIR101"/>
    <mergeCell ref="QIS101:QIZ101"/>
    <mergeCell ref="QJA101:QJH101"/>
    <mergeCell ref="QJI101:QJP101"/>
    <mergeCell ref="QJQ101:QJX101"/>
    <mergeCell ref="QJY101:QKF101"/>
    <mergeCell ref="QKG101:QKN101"/>
    <mergeCell ref="QKO101:QKV101"/>
    <mergeCell ref="QKW101:QLD101"/>
    <mergeCell ref="QLE101:QLL101"/>
    <mergeCell ref="QLM101:QLT101"/>
    <mergeCell ref="QLU101:QMB101"/>
    <mergeCell ref="QMC101:QMJ101"/>
    <mergeCell ref="QMK101:QMR101"/>
    <mergeCell ref="QMS101:QMZ101"/>
    <mergeCell ref="QNA101:QNH101"/>
    <mergeCell ref="QNI101:QNP101"/>
    <mergeCell ref="QNQ101:QNX101"/>
    <mergeCell ref="QNY101:QOF101"/>
    <mergeCell ref="QOG101:QON101"/>
    <mergeCell ref="QOO101:QOV101"/>
    <mergeCell ref="QOW101:QPD101"/>
    <mergeCell ref="QPE101:QPL101"/>
    <mergeCell ref="QPM101:QPT101"/>
    <mergeCell ref="QPU101:QQB101"/>
    <mergeCell ref="QQC101:QQJ101"/>
    <mergeCell ref="QQK101:QQR101"/>
    <mergeCell ref="QQS101:QQZ101"/>
    <mergeCell ref="QRA101:QRH101"/>
    <mergeCell ref="QRI101:QRP101"/>
    <mergeCell ref="QRQ101:QRX101"/>
    <mergeCell ref="QRY101:QSF101"/>
    <mergeCell ref="QSG101:QSN101"/>
    <mergeCell ref="QSO101:QSV101"/>
    <mergeCell ref="QSW101:QTD101"/>
    <mergeCell ref="QTE101:QTL101"/>
    <mergeCell ref="QTM101:QTT101"/>
    <mergeCell ref="QTU101:QUB101"/>
    <mergeCell ref="QUC101:QUJ101"/>
    <mergeCell ref="QUK101:QUR101"/>
    <mergeCell ref="QUS101:QUZ101"/>
    <mergeCell ref="QVA101:QVH101"/>
    <mergeCell ref="QVI101:QVP101"/>
    <mergeCell ref="QVQ101:QVX101"/>
    <mergeCell ref="QVY101:QWF101"/>
    <mergeCell ref="QWG101:QWN101"/>
    <mergeCell ref="QWO101:QWV101"/>
    <mergeCell ref="QWW101:QXD101"/>
    <mergeCell ref="QXE101:QXL101"/>
    <mergeCell ref="QXM101:QXT101"/>
    <mergeCell ref="QXU101:QYB101"/>
    <mergeCell ref="QYC101:QYJ101"/>
    <mergeCell ref="QYK101:QYR101"/>
    <mergeCell ref="QYS101:QYZ101"/>
    <mergeCell ref="QZA101:QZH101"/>
    <mergeCell ref="QZI101:QZP101"/>
    <mergeCell ref="QZQ101:QZX101"/>
    <mergeCell ref="QZY101:RAF101"/>
    <mergeCell ref="RAG101:RAN101"/>
    <mergeCell ref="RAO101:RAV101"/>
    <mergeCell ref="RAW101:RBD101"/>
    <mergeCell ref="RBE101:RBL101"/>
    <mergeCell ref="RBM101:RBT101"/>
    <mergeCell ref="RBU101:RCB101"/>
    <mergeCell ref="RCC101:RCJ101"/>
    <mergeCell ref="RCK101:RCR101"/>
    <mergeCell ref="RCS101:RCZ101"/>
    <mergeCell ref="RDA101:RDH101"/>
    <mergeCell ref="RDI101:RDP101"/>
    <mergeCell ref="RDQ101:RDX101"/>
    <mergeCell ref="RDY101:REF101"/>
    <mergeCell ref="REG101:REN101"/>
    <mergeCell ref="REO101:REV101"/>
    <mergeCell ref="REW101:RFD101"/>
    <mergeCell ref="RFE101:RFL101"/>
    <mergeCell ref="RFM101:RFT101"/>
    <mergeCell ref="RFU101:RGB101"/>
    <mergeCell ref="RGC101:RGJ101"/>
    <mergeCell ref="RGK101:RGR101"/>
    <mergeCell ref="RGS101:RGZ101"/>
    <mergeCell ref="RHA101:RHH101"/>
    <mergeCell ref="RHI101:RHP101"/>
    <mergeCell ref="RHQ101:RHX101"/>
    <mergeCell ref="RHY101:RIF101"/>
    <mergeCell ref="RIG101:RIN101"/>
    <mergeCell ref="RIO101:RIV101"/>
    <mergeCell ref="RIW101:RJD101"/>
    <mergeCell ref="RJE101:RJL101"/>
    <mergeCell ref="RJM101:RJT101"/>
    <mergeCell ref="RJU101:RKB101"/>
    <mergeCell ref="RKC101:RKJ101"/>
    <mergeCell ref="RKK101:RKR101"/>
    <mergeCell ref="RKS101:RKZ101"/>
    <mergeCell ref="RLA101:RLH101"/>
    <mergeCell ref="RLI101:RLP101"/>
    <mergeCell ref="RLQ101:RLX101"/>
    <mergeCell ref="RLY101:RMF101"/>
    <mergeCell ref="RMG101:RMN101"/>
    <mergeCell ref="RMO101:RMV101"/>
    <mergeCell ref="RMW101:RND101"/>
    <mergeCell ref="RNE101:RNL101"/>
    <mergeCell ref="RNM101:RNT101"/>
    <mergeCell ref="RNU101:ROB101"/>
    <mergeCell ref="ROC101:ROJ101"/>
    <mergeCell ref="ROK101:ROR101"/>
    <mergeCell ref="ROS101:ROZ101"/>
    <mergeCell ref="RPA101:RPH101"/>
    <mergeCell ref="RPI101:RPP101"/>
    <mergeCell ref="RPQ101:RPX101"/>
    <mergeCell ref="RPY101:RQF101"/>
    <mergeCell ref="RQG101:RQN101"/>
    <mergeCell ref="RQO101:RQV101"/>
    <mergeCell ref="RQW101:RRD101"/>
    <mergeCell ref="RRE101:RRL101"/>
    <mergeCell ref="RRM101:RRT101"/>
    <mergeCell ref="RRU101:RSB101"/>
    <mergeCell ref="RSC101:RSJ101"/>
    <mergeCell ref="RSK101:RSR101"/>
    <mergeCell ref="RSS101:RSZ101"/>
    <mergeCell ref="RTA101:RTH101"/>
    <mergeCell ref="RTI101:RTP101"/>
    <mergeCell ref="RTQ101:RTX101"/>
    <mergeCell ref="RTY101:RUF101"/>
    <mergeCell ref="RUG101:RUN101"/>
    <mergeCell ref="RUO101:RUV101"/>
    <mergeCell ref="RUW101:RVD101"/>
    <mergeCell ref="RVE101:RVL101"/>
    <mergeCell ref="RVM101:RVT101"/>
    <mergeCell ref="RVU101:RWB101"/>
    <mergeCell ref="RWC101:RWJ101"/>
    <mergeCell ref="RWK101:RWR101"/>
    <mergeCell ref="RWS101:RWZ101"/>
    <mergeCell ref="RXA101:RXH101"/>
    <mergeCell ref="RXI101:RXP101"/>
    <mergeCell ref="RXQ101:RXX101"/>
    <mergeCell ref="RXY101:RYF101"/>
    <mergeCell ref="RYG101:RYN101"/>
    <mergeCell ref="RYO101:RYV101"/>
    <mergeCell ref="RYW101:RZD101"/>
    <mergeCell ref="RZE101:RZL101"/>
    <mergeCell ref="RZM101:RZT101"/>
    <mergeCell ref="RZU101:SAB101"/>
    <mergeCell ref="SAC101:SAJ101"/>
    <mergeCell ref="SAK101:SAR101"/>
    <mergeCell ref="SAS101:SAZ101"/>
    <mergeCell ref="SBA101:SBH101"/>
    <mergeCell ref="SBI101:SBP101"/>
    <mergeCell ref="SBQ101:SBX101"/>
    <mergeCell ref="SBY101:SCF101"/>
    <mergeCell ref="SCG101:SCN101"/>
    <mergeCell ref="SCO101:SCV101"/>
    <mergeCell ref="SCW101:SDD101"/>
    <mergeCell ref="SDE101:SDL101"/>
    <mergeCell ref="SDM101:SDT101"/>
    <mergeCell ref="SDU101:SEB101"/>
    <mergeCell ref="SEC101:SEJ101"/>
    <mergeCell ref="SEK101:SER101"/>
    <mergeCell ref="SES101:SEZ101"/>
    <mergeCell ref="SFA101:SFH101"/>
    <mergeCell ref="SFI101:SFP101"/>
    <mergeCell ref="SFQ101:SFX101"/>
    <mergeCell ref="SFY101:SGF101"/>
    <mergeCell ref="SGG101:SGN101"/>
    <mergeCell ref="SGO101:SGV101"/>
    <mergeCell ref="SGW101:SHD101"/>
    <mergeCell ref="SHE101:SHL101"/>
    <mergeCell ref="SHM101:SHT101"/>
    <mergeCell ref="SHU101:SIB101"/>
    <mergeCell ref="SIC101:SIJ101"/>
    <mergeCell ref="SIK101:SIR101"/>
    <mergeCell ref="SIS101:SIZ101"/>
    <mergeCell ref="SJA101:SJH101"/>
    <mergeCell ref="SJI101:SJP101"/>
    <mergeCell ref="SJQ101:SJX101"/>
    <mergeCell ref="SJY101:SKF101"/>
    <mergeCell ref="SKG101:SKN101"/>
    <mergeCell ref="SKO101:SKV101"/>
    <mergeCell ref="SKW101:SLD101"/>
    <mergeCell ref="SLE101:SLL101"/>
    <mergeCell ref="SLM101:SLT101"/>
    <mergeCell ref="SLU101:SMB101"/>
    <mergeCell ref="SMC101:SMJ101"/>
    <mergeCell ref="SMK101:SMR101"/>
    <mergeCell ref="SMS101:SMZ101"/>
    <mergeCell ref="SNA101:SNH101"/>
    <mergeCell ref="SNI101:SNP101"/>
    <mergeCell ref="SNQ101:SNX101"/>
    <mergeCell ref="SNY101:SOF101"/>
    <mergeCell ref="SOG101:SON101"/>
    <mergeCell ref="SOO101:SOV101"/>
    <mergeCell ref="SOW101:SPD101"/>
    <mergeCell ref="SPE101:SPL101"/>
    <mergeCell ref="SPM101:SPT101"/>
    <mergeCell ref="SPU101:SQB101"/>
    <mergeCell ref="SQC101:SQJ101"/>
    <mergeCell ref="SQK101:SQR101"/>
    <mergeCell ref="SQS101:SQZ101"/>
    <mergeCell ref="SRA101:SRH101"/>
    <mergeCell ref="SRI101:SRP101"/>
    <mergeCell ref="SRQ101:SRX101"/>
    <mergeCell ref="SRY101:SSF101"/>
    <mergeCell ref="SSG101:SSN101"/>
    <mergeCell ref="SSO101:SSV101"/>
    <mergeCell ref="SSW101:STD101"/>
    <mergeCell ref="STE101:STL101"/>
    <mergeCell ref="STM101:STT101"/>
    <mergeCell ref="STU101:SUB101"/>
    <mergeCell ref="SZI101:SZP101"/>
    <mergeCell ref="SZQ101:SZX101"/>
    <mergeCell ref="SZY101:TAF101"/>
    <mergeCell ref="SUC101:SUJ101"/>
    <mergeCell ref="SUK101:SUR101"/>
    <mergeCell ref="SUS101:SUZ101"/>
    <mergeCell ref="SVA101:SVH101"/>
    <mergeCell ref="SVI101:SVP101"/>
    <mergeCell ref="SVQ101:SVX101"/>
    <mergeCell ref="SVY101:SWF101"/>
    <mergeCell ref="SWG101:SWN101"/>
    <mergeCell ref="SWO101:SWV101"/>
    <mergeCell ref="SWW101:SXD101"/>
    <mergeCell ref="SXE101:SXL101"/>
    <mergeCell ref="SXM101:SXT101"/>
    <mergeCell ref="SXU101:SYB101"/>
    <mergeCell ref="SYC101:SYJ101"/>
    <mergeCell ref="SYK101:SYR101"/>
    <mergeCell ref="SYS101:SYZ101"/>
    <mergeCell ref="SZA101:SZH101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B10" zoomScaleNormal="100" workbookViewId="0">
      <selection activeCell="N26" sqref="N26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1.44140625" customWidth="1"/>
    <col min="4" max="4" width="10.33203125" customWidth="1"/>
    <col min="5" max="5" width="8.5546875" customWidth="1"/>
    <col min="6" max="6" width="14.33203125" customWidth="1"/>
    <col min="7" max="7" width="10.33203125" customWidth="1"/>
    <col min="8" max="8" width="11.5546875" customWidth="1"/>
    <col min="9" max="9" width="12.5546875" customWidth="1"/>
    <col min="10" max="10" width="10.88671875" customWidth="1"/>
    <col min="11" max="11" width="9.44140625" hidden="1" customWidth="1"/>
    <col min="12" max="12" width="14.33203125" customWidth="1"/>
    <col min="13" max="13" width="8.6640625" customWidth="1"/>
    <col min="14" max="14" width="8.33203125" customWidth="1"/>
    <col min="15" max="15" width="14.44140625" customWidth="1"/>
    <col min="16" max="16" width="16.109375" customWidth="1"/>
    <col min="17" max="17" width="16.33203125" hidden="1" customWidth="1"/>
    <col min="18" max="27" width="10.6640625" customWidth="1"/>
  </cols>
  <sheetData>
    <row r="1" spans="1:18" ht="26.25" customHeight="1" x14ac:dyDescent="0.3">
      <c r="A1" s="51"/>
      <c r="B1" s="273" t="str">
        <f>Gastos!C8</f>
        <v>PERIODO: MAYO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74"/>
      <c r="P1" s="275"/>
      <c r="Q1" s="52"/>
    </row>
    <row r="2" spans="1:18" ht="14.4" x14ac:dyDescent="0.3">
      <c r="A2" s="20"/>
      <c r="B2" s="53"/>
      <c r="C2" s="54"/>
      <c r="D2" s="20"/>
      <c r="E2" s="14"/>
      <c r="F2" s="55"/>
      <c r="G2" s="55"/>
      <c r="H2" s="55"/>
      <c r="I2" s="55"/>
      <c r="J2" s="55"/>
      <c r="K2" s="55"/>
      <c r="L2" s="14"/>
      <c r="M2" s="14"/>
      <c r="N2" s="14"/>
      <c r="O2" s="20"/>
      <c r="P2" s="56"/>
      <c r="Q2" s="57"/>
    </row>
    <row r="3" spans="1:18" ht="14.4" x14ac:dyDescent="0.3">
      <c r="A3" s="58"/>
      <c r="B3" s="59"/>
      <c r="C3" s="60">
        <v>2715751.3499999996</v>
      </c>
      <c r="D3" s="20"/>
      <c r="E3" s="14"/>
      <c r="F3" s="198"/>
      <c r="G3" s="61"/>
      <c r="H3" s="61"/>
      <c r="I3" s="61"/>
      <c r="J3" s="61"/>
      <c r="K3" s="62"/>
      <c r="L3" s="14"/>
      <c r="M3" s="14"/>
      <c r="N3" s="14"/>
      <c r="O3" s="20"/>
      <c r="P3" s="56"/>
      <c r="Q3" s="57"/>
    </row>
    <row r="4" spans="1:18" ht="18.75" customHeight="1" x14ac:dyDescent="0.3">
      <c r="A4" s="63"/>
      <c r="B4" s="64" t="s">
        <v>53</v>
      </c>
      <c r="C4" s="14"/>
      <c r="D4" s="20"/>
      <c r="E4" s="191" t="s">
        <v>147</v>
      </c>
      <c r="F4" s="61"/>
      <c r="G4" s="61"/>
      <c r="H4" s="61"/>
      <c r="I4" s="61"/>
      <c r="J4" s="61"/>
      <c r="K4" s="62"/>
      <c r="L4" s="14"/>
      <c r="M4" s="14"/>
      <c r="N4" s="14"/>
      <c r="O4" s="20"/>
      <c r="P4" s="56"/>
      <c r="Q4" s="57"/>
    </row>
    <row r="5" spans="1:18" ht="15.75" customHeight="1" x14ac:dyDescent="0.3">
      <c r="A5" s="65"/>
      <c r="B5" s="276">
        <v>2500000</v>
      </c>
      <c r="C5" s="226"/>
      <c r="D5" s="66"/>
      <c r="E5" s="277">
        <f>F3</f>
        <v>0</v>
      </c>
      <c r="F5" s="278"/>
      <c r="G5" s="279"/>
      <c r="H5" s="61"/>
      <c r="I5" s="61"/>
      <c r="J5" s="61"/>
      <c r="K5" s="55"/>
      <c r="L5" s="14"/>
      <c r="M5" s="14"/>
      <c r="N5" s="14"/>
      <c r="O5" s="20"/>
      <c r="P5" s="56"/>
      <c r="Q5" s="57"/>
    </row>
    <row r="6" spans="1:18" ht="15.75" customHeight="1" x14ac:dyDescent="0.3">
      <c r="A6" s="65"/>
      <c r="B6" s="67"/>
      <c r="C6" s="36"/>
      <c r="D6" s="66"/>
      <c r="E6" s="13"/>
      <c r="F6" s="61"/>
      <c r="G6" s="61"/>
      <c r="H6" s="61"/>
      <c r="I6" s="61"/>
      <c r="J6" s="61"/>
      <c r="K6" s="55"/>
      <c r="L6" s="14"/>
      <c r="M6" s="14"/>
      <c r="N6" s="14"/>
      <c r="O6" s="20"/>
      <c r="P6" s="56"/>
      <c r="Q6" s="57"/>
    </row>
    <row r="7" spans="1:18" ht="18.75" customHeight="1" x14ac:dyDescent="0.3">
      <c r="A7" s="65"/>
      <c r="B7" s="276"/>
      <c r="C7" s="226"/>
      <c r="D7" s="66"/>
      <c r="E7" s="36"/>
      <c r="F7" s="55"/>
      <c r="G7" s="55"/>
      <c r="H7" s="55"/>
      <c r="I7" s="55"/>
      <c r="J7" s="55"/>
      <c r="K7" s="55"/>
      <c r="L7" s="14"/>
      <c r="M7" s="14"/>
      <c r="N7" s="14"/>
      <c r="O7" s="20" t="str">
        <f>Gastos!G8</f>
        <v>1ER VTO: 16/06</v>
      </c>
      <c r="P7" s="56"/>
      <c r="Q7" s="57"/>
    </row>
    <row r="8" spans="1:18" ht="36.75" customHeight="1" x14ac:dyDescent="0.3">
      <c r="A8" s="68" t="s">
        <v>54</v>
      </c>
      <c r="B8" s="69" t="s">
        <v>55</v>
      </c>
      <c r="C8" s="70" t="s">
        <v>56</v>
      </c>
      <c r="D8" s="71" t="s">
        <v>57</v>
      </c>
      <c r="E8" s="72" t="s">
        <v>58</v>
      </c>
      <c r="F8" s="73" t="s">
        <v>59</v>
      </c>
      <c r="G8" s="73" t="s">
        <v>60</v>
      </c>
      <c r="H8" s="73" t="s">
        <v>61</v>
      </c>
      <c r="I8" s="73" t="s">
        <v>62</v>
      </c>
      <c r="J8" s="73" t="s">
        <v>63</v>
      </c>
      <c r="K8" s="73"/>
      <c r="L8" s="72" t="s">
        <v>64</v>
      </c>
      <c r="M8" s="72" t="s">
        <v>65</v>
      </c>
      <c r="N8" s="74" t="s">
        <v>66</v>
      </c>
      <c r="O8" s="75" t="s">
        <v>67</v>
      </c>
      <c r="P8" s="75" t="s">
        <v>68</v>
      </c>
      <c r="Q8" s="76" t="s">
        <v>68</v>
      </c>
    </row>
    <row r="9" spans="1:18" ht="15" customHeight="1" x14ac:dyDescent="0.3">
      <c r="A9" s="77">
        <v>1</v>
      </c>
      <c r="B9" s="78" t="s">
        <v>69</v>
      </c>
      <c r="C9" s="79" t="s">
        <v>70</v>
      </c>
      <c r="D9" s="80"/>
      <c r="E9" s="81">
        <v>4.4900000000000002E-2</v>
      </c>
      <c r="F9" s="184">
        <v>83139.524323999998</v>
      </c>
      <c r="G9" s="180">
        <f>F9</f>
        <v>83139.524323999998</v>
      </c>
      <c r="H9" s="83">
        <f t="shared" ref="H9:H30" si="0">IF(F9&gt;G9,F9-G9,0)</f>
        <v>0</v>
      </c>
      <c r="I9" s="83">
        <f t="shared" ref="I9:I30" si="1">H9*3%</f>
        <v>0</v>
      </c>
      <c r="J9" s="83">
        <f t="shared" ref="J9:J30" si="2">IF(G9&gt;F9,G9-F9,0)</f>
        <v>0</v>
      </c>
      <c r="K9" s="83"/>
      <c r="L9" s="39">
        <f t="shared" ref="L9:L30" si="3">B$5*E9</f>
        <v>112250</v>
      </c>
      <c r="M9" s="39">
        <f>E$5*E9</f>
        <v>0</v>
      </c>
      <c r="N9" s="212"/>
      <c r="O9" s="174">
        <f>H9+I9-J9+K9+L9+M9+N9</f>
        <v>112250</v>
      </c>
      <c r="P9" s="85">
        <f>O9+O9*4%</f>
        <v>116740</v>
      </c>
      <c r="Q9" s="86">
        <f t="shared" ref="Q9:Q30" si="4">P9*2% + P9</f>
        <v>119074.8</v>
      </c>
    </row>
    <row r="10" spans="1:18" ht="15" customHeight="1" x14ac:dyDescent="0.3">
      <c r="A10" s="87">
        <v>2</v>
      </c>
      <c r="B10" s="78" t="s">
        <v>71</v>
      </c>
      <c r="C10" s="79" t="s">
        <v>72</v>
      </c>
      <c r="D10" s="80"/>
      <c r="E10" s="81">
        <v>4.4900000000000002E-2</v>
      </c>
      <c r="F10" s="184">
        <v>83172.683220999999</v>
      </c>
      <c r="G10" s="180">
        <v>83200</v>
      </c>
      <c r="H10" s="83">
        <f t="shared" si="0"/>
        <v>0</v>
      </c>
      <c r="I10" s="83">
        <f t="shared" si="1"/>
        <v>0</v>
      </c>
      <c r="J10" s="83">
        <f t="shared" si="2"/>
        <v>27.316779000000679</v>
      </c>
      <c r="K10" s="83"/>
      <c r="L10" s="39">
        <f t="shared" si="3"/>
        <v>112250</v>
      </c>
      <c r="M10" s="39">
        <f t="shared" ref="M10:M40" si="5">E$5*E10</f>
        <v>0</v>
      </c>
      <c r="N10" s="212"/>
      <c r="O10" s="174">
        <f t="shared" ref="O10:O40" si="6">H10+I10-J10+K10+L10+M10+N10</f>
        <v>112222.683221</v>
      </c>
      <c r="P10" s="85">
        <f t="shared" ref="P10:P40" si="7">O10+O10*4%</f>
        <v>116711.59054984</v>
      </c>
      <c r="Q10" s="86">
        <f t="shared" si="4"/>
        <v>119045.8223608368</v>
      </c>
    </row>
    <row r="11" spans="1:18" ht="15" customHeight="1" x14ac:dyDescent="0.3">
      <c r="A11" s="87">
        <v>3</v>
      </c>
      <c r="B11" s="78" t="s">
        <v>73</v>
      </c>
      <c r="C11" s="79" t="s">
        <v>74</v>
      </c>
      <c r="D11" s="80"/>
      <c r="E11" s="81">
        <v>4.4900000000000002E-2</v>
      </c>
      <c r="F11" s="184">
        <v>83172.683220999999</v>
      </c>
      <c r="G11" s="180">
        <f>86500</f>
        <v>86500</v>
      </c>
      <c r="H11" s="83">
        <f t="shared" si="0"/>
        <v>0</v>
      </c>
      <c r="I11" s="83">
        <f t="shared" si="1"/>
        <v>0</v>
      </c>
      <c r="J11" s="83">
        <f t="shared" si="2"/>
        <v>3327.3167790000007</v>
      </c>
      <c r="K11" s="83"/>
      <c r="L11" s="39">
        <f t="shared" si="3"/>
        <v>112250</v>
      </c>
      <c r="M11" s="39">
        <f t="shared" si="5"/>
        <v>0</v>
      </c>
      <c r="N11" s="212"/>
      <c r="O11" s="174">
        <f t="shared" si="6"/>
        <v>108922.683221</v>
      </c>
      <c r="P11" s="85">
        <f t="shared" si="7"/>
        <v>113279.59054984</v>
      </c>
      <c r="Q11" s="86">
        <f t="shared" si="4"/>
        <v>115545.1823608368</v>
      </c>
    </row>
    <row r="12" spans="1:18" ht="15" customHeight="1" x14ac:dyDescent="0.3">
      <c r="A12" s="87">
        <v>4</v>
      </c>
      <c r="B12" s="88" t="s">
        <v>75</v>
      </c>
      <c r="C12" s="79" t="s">
        <v>76</v>
      </c>
      <c r="D12" s="80" t="s">
        <v>77</v>
      </c>
      <c r="E12" s="81">
        <v>4.4900000000000002E-2</v>
      </c>
      <c r="F12" s="184">
        <v>83172.683220999999</v>
      </c>
      <c r="G12" s="180">
        <f>77100</f>
        <v>77100</v>
      </c>
      <c r="H12" s="83">
        <f t="shared" si="0"/>
        <v>6072.6832209999993</v>
      </c>
      <c r="I12" s="83">
        <f t="shared" si="1"/>
        <v>182.18049662999996</v>
      </c>
      <c r="J12" s="83">
        <f t="shared" si="2"/>
        <v>0</v>
      </c>
      <c r="K12" s="83"/>
      <c r="L12" s="39">
        <f t="shared" si="3"/>
        <v>112250</v>
      </c>
      <c r="M12" s="39">
        <f t="shared" si="5"/>
        <v>0</v>
      </c>
      <c r="N12" s="212"/>
      <c r="O12" s="174">
        <f t="shared" si="6"/>
        <v>118504.86371763</v>
      </c>
      <c r="P12" s="85">
        <f t="shared" si="7"/>
        <v>123245.0582663352</v>
      </c>
      <c r="Q12" s="86">
        <f t="shared" si="4"/>
        <v>125709.9594316619</v>
      </c>
      <c r="R12" s="4"/>
    </row>
    <row r="13" spans="1:18" ht="15" customHeight="1" x14ac:dyDescent="0.3">
      <c r="A13" s="87">
        <v>5</v>
      </c>
      <c r="B13" s="78" t="s">
        <v>78</v>
      </c>
      <c r="C13" s="89" t="s">
        <v>79</v>
      </c>
      <c r="D13" s="80"/>
      <c r="E13" s="81">
        <v>4.4900000000000002E-2</v>
      </c>
      <c r="F13" s="184">
        <v>83172.683220999999</v>
      </c>
      <c r="G13" s="180">
        <f t="shared" ref="G13:G18" si="8">F13</f>
        <v>83172.683220999999</v>
      </c>
      <c r="H13" s="83">
        <f t="shared" si="0"/>
        <v>0</v>
      </c>
      <c r="I13" s="83">
        <f t="shared" si="1"/>
        <v>0</v>
      </c>
      <c r="J13" s="83">
        <f t="shared" si="2"/>
        <v>0</v>
      </c>
      <c r="K13" s="83"/>
      <c r="L13" s="39">
        <f t="shared" si="3"/>
        <v>112250</v>
      </c>
      <c r="M13" s="39">
        <f t="shared" si="5"/>
        <v>0</v>
      </c>
      <c r="N13" s="212"/>
      <c r="O13" s="174">
        <f t="shared" si="6"/>
        <v>112250</v>
      </c>
      <c r="P13" s="85">
        <f t="shared" si="7"/>
        <v>116740</v>
      </c>
      <c r="Q13" s="86">
        <f t="shared" si="4"/>
        <v>119074.8</v>
      </c>
    </row>
    <row r="14" spans="1:18" ht="15" customHeight="1" x14ac:dyDescent="0.3">
      <c r="A14" s="87">
        <v>6</v>
      </c>
      <c r="B14" s="90" t="s">
        <v>80</v>
      </c>
      <c r="C14" s="89" t="s">
        <v>81</v>
      </c>
      <c r="D14" s="80"/>
      <c r="E14" s="81">
        <v>4.4900000000000002E-2</v>
      </c>
      <c r="F14" s="184">
        <v>83172.66862775902</v>
      </c>
      <c r="G14" s="181"/>
      <c r="H14" s="83">
        <f t="shared" si="0"/>
        <v>83172.66862775902</v>
      </c>
      <c r="I14" s="83">
        <f t="shared" si="1"/>
        <v>2495.1800588327706</v>
      </c>
      <c r="J14" s="83">
        <f t="shared" si="2"/>
        <v>0</v>
      </c>
      <c r="K14" s="83"/>
      <c r="L14" s="39">
        <f t="shared" si="3"/>
        <v>112250</v>
      </c>
      <c r="M14" s="39">
        <f t="shared" si="5"/>
        <v>0</v>
      </c>
      <c r="N14" s="212"/>
      <c r="O14" s="174">
        <f t="shared" si="6"/>
        <v>197917.84868659178</v>
      </c>
      <c r="P14" s="85">
        <f t="shared" si="7"/>
        <v>205834.56263405544</v>
      </c>
      <c r="Q14" s="86">
        <f t="shared" si="4"/>
        <v>209951.25388673655</v>
      </c>
    </row>
    <row r="15" spans="1:18" ht="15" customHeight="1" x14ac:dyDescent="0.3">
      <c r="A15" s="87">
        <v>7</v>
      </c>
      <c r="B15" s="90" t="s">
        <v>82</v>
      </c>
      <c r="C15" s="89" t="s">
        <v>83</v>
      </c>
      <c r="D15" s="80"/>
      <c r="E15" s="81">
        <v>4.4900000000000002E-2</v>
      </c>
      <c r="F15" s="184">
        <v>82838.044981999992</v>
      </c>
      <c r="G15" s="180">
        <f>89000-G35</f>
        <v>86406.642393999995</v>
      </c>
      <c r="H15" s="83">
        <f t="shared" si="0"/>
        <v>0</v>
      </c>
      <c r="I15" s="83">
        <f t="shared" si="1"/>
        <v>0</v>
      </c>
      <c r="J15" s="83">
        <f t="shared" si="2"/>
        <v>3568.5974120000028</v>
      </c>
      <c r="K15" s="83"/>
      <c r="L15" s="39">
        <f t="shared" si="3"/>
        <v>112250</v>
      </c>
      <c r="M15" s="39">
        <f t="shared" si="5"/>
        <v>0</v>
      </c>
      <c r="N15" s="212"/>
      <c r="O15" s="174">
        <f t="shared" si="6"/>
        <v>108681.402588</v>
      </c>
      <c r="P15" s="85">
        <f t="shared" si="7"/>
        <v>113028.65869152</v>
      </c>
      <c r="Q15" s="86">
        <f t="shared" si="4"/>
        <v>115289.2318653504</v>
      </c>
    </row>
    <row r="16" spans="1:18" ht="15" customHeight="1" x14ac:dyDescent="0.3">
      <c r="A16" s="87">
        <v>8</v>
      </c>
      <c r="B16" s="90" t="s">
        <v>84</v>
      </c>
      <c r="C16" s="89" t="s">
        <v>85</v>
      </c>
      <c r="D16" s="80"/>
      <c r="E16" s="81">
        <v>4.4900000000000002E-2</v>
      </c>
      <c r="F16" s="184">
        <v>83172.683220999999</v>
      </c>
      <c r="G16" s="180">
        <f>89005-G38</f>
        <v>86596.882222999993</v>
      </c>
      <c r="H16" s="83">
        <f t="shared" si="0"/>
        <v>0</v>
      </c>
      <c r="I16" s="83">
        <f t="shared" si="1"/>
        <v>0</v>
      </c>
      <c r="J16" s="83">
        <f t="shared" si="2"/>
        <v>3424.1990019999939</v>
      </c>
      <c r="K16" s="83"/>
      <c r="L16" s="39">
        <f t="shared" si="3"/>
        <v>112250</v>
      </c>
      <c r="M16" s="39">
        <f t="shared" si="5"/>
        <v>0</v>
      </c>
      <c r="N16" s="212"/>
      <c r="O16" s="174">
        <f t="shared" si="6"/>
        <v>108825.80099800001</v>
      </c>
      <c r="P16" s="85">
        <f t="shared" si="7"/>
        <v>113178.83303792001</v>
      </c>
      <c r="Q16" s="86">
        <f t="shared" si="4"/>
        <v>115442.4096986784</v>
      </c>
    </row>
    <row r="17" spans="1:27" ht="15" customHeight="1" x14ac:dyDescent="0.3">
      <c r="A17" s="87">
        <v>9</v>
      </c>
      <c r="B17" s="90" t="s">
        <v>86</v>
      </c>
      <c r="C17" s="89" t="s">
        <v>87</v>
      </c>
      <c r="D17" s="214" t="s">
        <v>158</v>
      </c>
      <c r="E17" s="81">
        <v>4.4900000000000002E-2</v>
      </c>
      <c r="F17" s="184">
        <v>79339.524323999998</v>
      </c>
      <c r="G17" s="180">
        <f>82513.11</f>
        <v>82513.11</v>
      </c>
      <c r="H17" s="83">
        <f t="shared" si="0"/>
        <v>0</v>
      </c>
      <c r="I17" s="83">
        <f t="shared" si="1"/>
        <v>0</v>
      </c>
      <c r="J17" s="83">
        <f t="shared" si="2"/>
        <v>3173.5856760000024</v>
      </c>
      <c r="K17" s="83"/>
      <c r="L17" s="39">
        <f t="shared" si="3"/>
        <v>112250</v>
      </c>
      <c r="M17" s="39">
        <f t="shared" si="5"/>
        <v>0</v>
      </c>
      <c r="N17" s="212"/>
      <c r="O17" s="174">
        <f t="shared" si="6"/>
        <v>109076.414324</v>
      </c>
      <c r="P17" s="85">
        <f t="shared" si="7"/>
        <v>113439.47089696</v>
      </c>
      <c r="Q17" s="86">
        <f t="shared" si="4"/>
        <v>115708.26031489921</v>
      </c>
    </row>
    <row r="18" spans="1:27" ht="15" customHeight="1" x14ac:dyDescent="0.3">
      <c r="A18" s="87">
        <v>10</v>
      </c>
      <c r="B18" s="90" t="s">
        <v>88</v>
      </c>
      <c r="C18" s="89" t="s">
        <v>89</v>
      </c>
      <c r="D18" s="80" t="s">
        <v>90</v>
      </c>
      <c r="E18" s="81">
        <v>4.4900000000000002E-2</v>
      </c>
      <c r="F18" s="184">
        <v>83172.683220999999</v>
      </c>
      <c r="G18" s="180">
        <f t="shared" si="8"/>
        <v>83172.683220999999</v>
      </c>
      <c r="H18" s="83">
        <f t="shared" si="0"/>
        <v>0</v>
      </c>
      <c r="I18" s="83">
        <f t="shared" si="1"/>
        <v>0</v>
      </c>
      <c r="J18" s="83">
        <f t="shared" si="2"/>
        <v>0</v>
      </c>
      <c r="K18" s="83"/>
      <c r="L18" s="39">
        <f t="shared" si="3"/>
        <v>112250</v>
      </c>
      <c r="M18" s="39">
        <f t="shared" si="5"/>
        <v>0</v>
      </c>
      <c r="N18" s="212"/>
      <c r="O18" s="174">
        <f t="shared" si="6"/>
        <v>112250</v>
      </c>
      <c r="P18" s="85">
        <f t="shared" si="7"/>
        <v>116740</v>
      </c>
      <c r="Q18" s="86">
        <f t="shared" si="4"/>
        <v>119074.8</v>
      </c>
    </row>
    <row r="19" spans="1:27" ht="15" customHeight="1" x14ac:dyDescent="0.3">
      <c r="A19" s="87">
        <v>11</v>
      </c>
      <c r="B19" s="90" t="s">
        <v>91</v>
      </c>
      <c r="C19" s="89" t="s">
        <v>92</v>
      </c>
      <c r="D19" s="80"/>
      <c r="E19" s="81">
        <v>4.4900000000000002E-2</v>
      </c>
      <c r="F19" s="184">
        <v>83139.524323999998</v>
      </c>
      <c r="G19" s="180">
        <f>F19</f>
        <v>83139.524323999998</v>
      </c>
      <c r="H19" s="83">
        <f t="shared" si="0"/>
        <v>0</v>
      </c>
      <c r="I19" s="83">
        <f t="shared" si="1"/>
        <v>0</v>
      </c>
      <c r="J19" s="83">
        <f t="shared" si="2"/>
        <v>0</v>
      </c>
      <c r="K19" s="83"/>
      <c r="L19" s="39">
        <f t="shared" si="3"/>
        <v>112250</v>
      </c>
      <c r="M19" s="39">
        <f t="shared" si="5"/>
        <v>0</v>
      </c>
      <c r="N19" s="212"/>
      <c r="O19" s="174">
        <f t="shared" si="6"/>
        <v>112250</v>
      </c>
      <c r="P19" s="85">
        <f t="shared" si="7"/>
        <v>116740</v>
      </c>
      <c r="Q19" s="86">
        <f t="shared" si="4"/>
        <v>119074.8</v>
      </c>
    </row>
    <row r="20" spans="1:27" ht="15" customHeight="1" x14ac:dyDescent="0.3">
      <c r="A20" s="87">
        <v>12</v>
      </c>
      <c r="B20" s="91" t="s">
        <v>93</v>
      </c>
      <c r="C20" s="92" t="s">
        <v>94</v>
      </c>
      <c r="D20" s="215" t="s">
        <v>159</v>
      </c>
      <c r="E20" s="81">
        <v>4.4900000000000002E-2</v>
      </c>
      <c r="F20" s="184">
        <v>83172.683220999999</v>
      </c>
      <c r="G20" s="180">
        <f>85580.8-G39</f>
        <v>83172.682222999996</v>
      </c>
      <c r="H20" s="83">
        <f t="shared" si="0"/>
        <v>9.9800000316463411E-4</v>
      </c>
      <c r="I20" s="83">
        <f t="shared" si="1"/>
        <v>2.9940000094939022E-5</v>
      </c>
      <c r="J20" s="83">
        <f t="shared" si="2"/>
        <v>0</v>
      </c>
      <c r="K20" s="83"/>
      <c r="L20" s="39">
        <f t="shared" si="3"/>
        <v>112250</v>
      </c>
      <c r="M20" s="39">
        <f t="shared" si="5"/>
        <v>0</v>
      </c>
      <c r="N20" s="212">
        <v>4000</v>
      </c>
      <c r="O20" s="174">
        <f t="shared" si="6"/>
        <v>116250.00102794</v>
      </c>
      <c r="P20" s="85">
        <f t="shared" si="7"/>
        <v>120900.0010690576</v>
      </c>
      <c r="Q20" s="86">
        <f t="shared" si="4"/>
        <v>123318.00109043876</v>
      </c>
    </row>
    <row r="21" spans="1:27" ht="15" customHeight="1" x14ac:dyDescent="0.3">
      <c r="A21" s="87">
        <v>13</v>
      </c>
      <c r="B21" s="90" t="s">
        <v>96</v>
      </c>
      <c r="C21" s="89" t="s">
        <v>97</v>
      </c>
      <c r="D21" s="94"/>
      <c r="E21" s="81">
        <v>4.4900000000000002E-2</v>
      </c>
      <c r="F21" s="184">
        <v>83172.204981999996</v>
      </c>
      <c r="G21" s="180">
        <f>89196.18-G36</f>
        <v>86602.822393999988</v>
      </c>
      <c r="H21" s="83">
        <f t="shared" si="0"/>
        <v>0</v>
      </c>
      <c r="I21" s="83">
        <f t="shared" si="1"/>
        <v>0</v>
      </c>
      <c r="J21" s="83">
        <f t="shared" si="2"/>
        <v>3430.6174119999923</v>
      </c>
      <c r="K21" s="83"/>
      <c r="L21" s="39">
        <f t="shared" si="3"/>
        <v>112250</v>
      </c>
      <c r="M21" s="39">
        <f t="shared" si="5"/>
        <v>0</v>
      </c>
      <c r="N21" s="212"/>
      <c r="O21" s="174">
        <f t="shared" si="6"/>
        <v>108819.38258800001</v>
      </c>
      <c r="P21" s="85">
        <f t="shared" si="7"/>
        <v>113172.15789152001</v>
      </c>
      <c r="Q21" s="86">
        <f t="shared" si="4"/>
        <v>115435.60104935041</v>
      </c>
    </row>
    <row r="22" spans="1:27" ht="15" customHeight="1" x14ac:dyDescent="0.3">
      <c r="A22" s="87">
        <v>14</v>
      </c>
      <c r="B22" s="90" t="s">
        <v>98</v>
      </c>
      <c r="C22" s="89" t="s">
        <v>99</v>
      </c>
      <c r="D22" s="94"/>
      <c r="E22" s="81">
        <v>4.4900000000000002E-2</v>
      </c>
      <c r="F22" s="184">
        <v>83139.524323999998</v>
      </c>
      <c r="G22" s="180">
        <f>F22</f>
        <v>83139.524323999998</v>
      </c>
      <c r="H22" s="83">
        <f t="shared" si="0"/>
        <v>0</v>
      </c>
      <c r="I22" s="83">
        <f t="shared" si="1"/>
        <v>0</v>
      </c>
      <c r="J22" s="83">
        <f t="shared" si="2"/>
        <v>0</v>
      </c>
      <c r="K22" s="83"/>
      <c r="L22" s="39">
        <f t="shared" si="3"/>
        <v>112250</v>
      </c>
      <c r="M22" s="39">
        <f t="shared" si="5"/>
        <v>0</v>
      </c>
      <c r="N22" s="212"/>
      <c r="O22" s="174">
        <f t="shared" si="6"/>
        <v>112250</v>
      </c>
      <c r="P22" s="85">
        <f t="shared" si="7"/>
        <v>116740</v>
      </c>
      <c r="Q22" s="86">
        <f t="shared" si="4"/>
        <v>119074.8</v>
      </c>
    </row>
    <row r="23" spans="1:27" ht="15" customHeight="1" x14ac:dyDescent="0.3">
      <c r="A23" s="87">
        <v>15</v>
      </c>
      <c r="B23" s="95" t="s">
        <v>100</v>
      </c>
      <c r="C23" s="96" t="s">
        <v>101</v>
      </c>
      <c r="D23" s="97" t="s">
        <v>102</v>
      </c>
      <c r="E23" s="81">
        <v>4.4900000000000002E-2</v>
      </c>
      <c r="F23" s="184">
        <v>83172.683220999999</v>
      </c>
      <c r="G23" s="180">
        <f>F23</f>
        <v>83172.683220999999</v>
      </c>
      <c r="H23" s="83">
        <f t="shared" si="0"/>
        <v>0</v>
      </c>
      <c r="I23" s="83">
        <f t="shared" si="1"/>
        <v>0</v>
      </c>
      <c r="J23" s="83">
        <f t="shared" si="2"/>
        <v>0</v>
      </c>
      <c r="K23" s="83"/>
      <c r="L23" s="39">
        <f t="shared" si="3"/>
        <v>112250</v>
      </c>
      <c r="M23" s="39">
        <f t="shared" si="5"/>
        <v>0</v>
      </c>
      <c r="N23" s="212"/>
      <c r="O23" s="174">
        <f t="shared" si="6"/>
        <v>112250</v>
      </c>
      <c r="P23" s="85">
        <f t="shared" si="7"/>
        <v>116740</v>
      </c>
      <c r="Q23" s="86">
        <f t="shared" si="4"/>
        <v>119074.8</v>
      </c>
    </row>
    <row r="24" spans="1:27" ht="15" customHeight="1" x14ac:dyDescent="0.3">
      <c r="A24" s="87">
        <v>16</v>
      </c>
      <c r="B24" s="98" t="s">
        <v>103</v>
      </c>
      <c r="C24" s="99" t="s">
        <v>104</v>
      </c>
      <c r="D24" s="100"/>
      <c r="E24" s="81">
        <v>4.4900000000000002E-2</v>
      </c>
      <c r="F24" s="184">
        <v>86499</v>
      </c>
      <c r="G24" s="180">
        <v>86500</v>
      </c>
      <c r="H24" s="83">
        <f t="shared" si="0"/>
        <v>0</v>
      </c>
      <c r="I24" s="83">
        <f t="shared" si="1"/>
        <v>0</v>
      </c>
      <c r="J24" s="83">
        <f t="shared" si="2"/>
        <v>1</v>
      </c>
      <c r="K24" s="83"/>
      <c r="L24" s="39">
        <f t="shared" si="3"/>
        <v>112250</v>
      </c>
      <c r="M24" s="39">
        <f t="shared" si="5"/>
        <v>0</v>
      </c>
      <c r="N24" s="212"/>
      <c r="O24" s="174">
        <f t="shared" si="6"/>
        <v>112249</v>
      </c>
      <c r="P24" s="85">
        <f t="shared" si="7"/>
        <v>116738.96</v>
      </c>
      <c r="Q24" s="86">
        <f t="shared" si="4"/>
        <v>119073.73920000001</v>
      </c>
    </row>
    <row r="25" spans="1:27" ht="15.75" customHeight="1" x14ac:dyDescent="0.4">
      <c r="A25" s="87">
        <v>17</v>
      </c>
      <c r="B25" s="101" t="s">
        <v>105</v>
      </c>
      <c r="C25" s="99" t="s">
        <v>106</v>
      </c>
      <c r="D25" s="100"/>
      <c r="E25" s="81">
        <v>4.4900000000000002E-2</v>
      </c>
      <c r="F25" s="185">
        <v>83172.683220999999</v>
      </c>
      <c r="G25" s="180">
        <f>86500</f>
        <v>86500</v>
      </c>
      <c r="H25" s="83">
        <f t="shared" si="0"/>
        <v>0</v>
      </c>
      <c r="I25" s="83">
        <f t="shared" si="1"/>
        <v>0</v>
      </c>
      <c r="J25" s="83">
        <f t="shared" si="2"/>
        <v>3327.3167790000007</v>
      </c>
      <c r="K25" s="83"/>
      <c r="L25" s="39">
        <f t="shared" si="3"/>
        <v>112250</v>
      </c>
      <c r="M25" s="39">
        <f t="shared" si="5"/>
        <v>0</v>
      </c>
      <c r="N25" s="212">
        <v>4000</v>
      </c>
      <c r="O25" s="174">
        <f t="shared" si="6"/>
        <v>112922.683221</v>
      </c>
      <c r="P25" s="85">
        <f t="shared" si="7"/>
        <v>117439.59054984</v>
      </c>
      <c r="Q25" s="86">
        <f t="shared" si="4"/>
        <v>119788.3823608368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1:27" ht="15" customHeight="1" x14ac:dyDescent="0.3">
      <c r="A26" s="87">
        <v>18</v>
      </c>
      <c r="B26" s="103" t="s">
        <v>107</v>
      </c>
      <c r="C26" s="99" t="s">
        <v>108</v>
      </c>
      <c r="D26" s="100"/>
      <c r="E26" s="81">
        <v>4.4900000000000002E-2</v>
      </c>
      <c r="F26" s="184">
        <v>83172.683220999999</v>
      </c>
      <c r="G26" s="180"/>
      <c r="H26" s="83">
        <f t="shared" si="0"/>
        <v>83172.683220999999</v>
      </c>
      <c r="I26" s="83">
        <f t="shared" si="1"/>
        <v>2495.1804966300001</v>
      </c>
      <c r="J26" s="83">
        <f t="shared" si="2"/>
        <v>0</v>
      </c>
      <c r="K26" s="83"/>
      <c r="L26" s="39">
        <f t="shared" si="3"/>
        <v>112250</v>
      </c>
      <c r="M26" s="39">
        <f t="shared" si="5"/>
        <v>0</v>
      </c>
      <c r="N26" s="212"/>
      <c r="O26" s="174">
        <f t="shared" si="6"/>
        <v>197917.86371762998</v>
      </c>
      <c r="P26" s="85">
        <f t="shared" si="7"/>
        <v>205834.57826633519</v>
      </c>
      <c r="Q26" s="86">
        <f t="shared" si="4"/>
        <v>209951.26983166189</v>
      </c>
    </row>
    <row r="27" spans="1:27" ht="15" customHeight="1" x14ac:dyDescent="0.3">
      <c r="A27" s="87">
        <v>19</v>
      </c>
      <c r="B27" s="98" t="s">
        <v>109</v>
      </c>
      <c r="C27" s="99" t="s">
        <v>94</v>
      </c>
      <c r="D27" s="100" t="s">
        <v>110</v>
      </c>
      <c r="E27" s="81">
        <v>4.4900000000000002E-2</v>
      </c>
      <c r="F27" s="184">
        <v>83172.683220999999</v>
      </c>
      <c r="G27" s="180">
        <f>85385.8-G40</f>
        <v>83172.682222999996</v>
      </c>
      <c r="H27" s="83">
        <f t="shared" si="0"/>
        <v>9.9800000316463411E-4</v>
      </c>
      <c r="I27" s="83">
        <f t="shared" si="1"/>
        <v>2.9940000094939022E-5</v>
      </c>
      <c r="J27" s="83">
        <f t="shared" si="2"/>
        <v>0</v>
      </c>
      <c r="K27" s="83"/>
      <c r="L27" s="39">
        <f t="shared" si="3"/>
        <v>112250</v>
      </c>
      <c r="M27" s="39">
        <f t="shared" si="5"/>
        <v>0</v>
      </c>
      <c r="N27" s="212"/>
      <c r="O27" s="174">
        <f t="shared" si="6"/>
        <v>112250.00102794</v>
      </c>
      <c r="P27" s="85">
        <f t="shared" si="7"/>
        <v>116740.0010690576</v>
      </c>
      <c r="Q27" s="86">
        <f t="shared" si="4"/>
        <v>119074.80109043875</v>
      </c>
    </row>
    <row r="28" spans="1:27" ht="15" customHeight="1" x14ac:dyDescent="0.3">
      <c r="A28" s="87">
        <v>20</v>
      </c>
      <c r="B28" s="103" t="s">
        <v>111</v>
      </c>
      <c r="C28" s="99" t="s">
        <v>112</v>
      </c>
      <c r="D28" s="213" t="s">
        <v>157</v>
      </c>
      <c r="E28" s="81">
        <v>4.4900000000000002E-2</v>
      </c>
      <c r="F28" s="184">
        <v>186224.52955709002</v>
      </c>
      <c r="G28" s="180">
        <f>87172-G37</f>
        <v>81896.011393669993</v>
      </c>
      <c r="H28" s="82">
        <f t="shared" si="0"/>
        <v>104328.51816342003</v>
      </c>
      <c r="I28" s="83">
        <f t="shared" si="1"/>
        <v>3129.8555449026007</v>
      </c>
      <c r="J28" s="83">
        <f t="shared" si="2"/>
        <v>0</v>
      </c>
      <c r="K28" s="83"/>
      <c r="L28" s="39">
        <f t="shared" si="3"/>
        <v>112250</v>
      </c>
      <c r="M28" s="39">
        <f t="shared" si="5"/>
        <v>0</v>
      </c>
      <c r="N28" s="212"/>
      <c r="O28" s="174">
        <f t="shared" si="6"/>
        <v>219708.37370832264</v>
      </c>
      <c r="P28" s="85">
        <f t="shared" si="7"/>
        <v>228496.70865665554</v>
      </c>
      <c r="Q28" s="86">
        <f t="shared" si="4"/>
        <v>233066.64282978865</v>
      </c>
    </row>
    <row r="29" spans="1:27" ht="15" customHeight="1" x14ac:dyDescent="0.3">
      <c r="A29" s="87">
        <v>21</v>
      </c>
      <c r="B29" s="98" t="s">
        <v>113</v>
      </c>
      <c r="C29" s="99" t="s">
        <v>114</v>
      </c>
      <c r="D29" s="100"/>
      <c r="E29" s="81">
        <v>4.4900000000000002E-2</v>
      </c>
      <c r="F29" s="184">
        <v>83172.683220999999</v>
      </c>
      <c r="G29" s="180">
        <v>86500</v>
      </c>
      <c r="H29" s="83">
        <f t="shared" si="0"/>
        <v>0</v>
      </c>
      <c r="I29" s="83">
        <f t="shared" si="1"/>
        <v>0</v>
      </c>
      <c r="J29" s="83">
        <f t="shared" si="2"/>
        <v>3327.3167790000007</v>
      </c>
      <c r="K29" s="83"/>
      <c r="L29" s="39">
        <f t="shared" si="3"/>
        <v>112250</v>
      </c>
      <c r="M29" s="39">
        <f t="shared" si="5"/>
        <v>0</v>
      </c>
      <c r="N29" s="212"/>
      <c r="O29" s="174">
        <f t="shared" si="6"/>
        <v>108922.683221</v>
      </c>
      <c r="P29" s="85">
        <f t="shared" si="7"/>
        <v>113279.59054984</v>
      </c>
      <c r="Q29" s="86">
        <f t="shared" si="4"/>
        <v>115545.1823608368</v>
      </c>
    </row>
    <row r="30" spans="1:27" ht="15" customHeight="1" x14ac:dyDescent="0.3">
      <c r="A30" s="87">
        <v>22</v>
      </c>
      <c r="B30" s="98" t="s">
        <v>115</v>
      </c>
      <c r="C30" s="183" t="s">
        <v>144</v>
      </c>
      <c r="D30" s="100"/>
      <c r="E30" s="81">
        <v>4.4900000000000002E-2</v>
      </c>
      <c r="F30" s="184">
        <v>274202.31055836275</v>
      </c>
      <c r="G30" s="180"/>
      <c r="H30" s="83">
        <f t="shared" si="0"/>
        <v>274202.31055836275</v>
      </c>
      <c r="I30" s="83">
        <f t="shared" si="1"/>
        <v>8226.0693167508816</v>
      </c>
      <c r="J30" s="83">
        <f t="shared" si="2"/>
        <v>0</v>
      </c>
      <c r="K30" s="83"/>
      <c r="L30" s="39">
        <f t="shared" si="3"/>
        <v>112250</v>
      </c>
      <c r="M30" s="39">
        <f t="shared" si="5"/>
        <v>0</v>
      </c>
      <c r="N30" s="212"/>
      <c r="O30" s="174">
        <f t="shared" si="6"/>
        <v>394678.37987511361</v>
      </c>
      <c r="P30" s="85">
        <f t="shared" si="7"/>
        <v>410465.51507011813</v>
      </c>
      <c r="Q30" s="86">
        <f t="shared" si="4"/>
        <v>418674.82537152048</v>
      </c>
    </row>
    <row r="31" spans="1:27" ht="15" customHeight="1" x14ac:dyDescent="0.3">
      <c r="A31" s="87"/>
      <c r="B31" s="98"/>
      <c r="C31" s="99"/>
      <c r="D31" s="104"/>
      <c r="E31" s="81"/>
      <c r="F31" s="184">
        <v>0</v>
      </c>
      <c r="G31" s="181"/>
      <c r="H31" s="83"/>
      <c r="I31" s="83"/>
      <c r="J31" s="83"/>
      <c r="K31" s="83"/>
      <c r="L31" s="39"/>
      <c r="M31" s="39">
        <f t="shared" si="5"/>
        <v>0</v>
      </c>
      <c r="N31" s="212"/>
      <c r="O31" s="174">
        <f t="shared" si="6"/>
        <v>0</v>
      </c>
      <c r="P31" s="85">
        <f t="shared" si="7"/>
        <v>0</v>
      </c>
      <c r="Q31" s="86"/>
    </row>
    <row r="32" spans="1:27" ht="15" customHeight="1" x14ac:dyDescent="0.3">
      <c r="A32" s="87">
        <v>23</v>
      </c>
      <c r="B32" s="98" t="s">
        <v>117</v>
      </c>
      <c r="C32" s="99" t="str">
        <f>C30</f>
        <v>Italiano Gabriel Cristian</v>
      </c>
      <c r="D32" s="100"/>
      <c r="E32" s="81">
        <v>1.4E-3</v>
      </c>
      <c r="F32" s="184">
        <v>8549.7379684121988</v>
      </c>
      <c r="G32" s="180"/>
      <c r="H32" s="83">
        <f t="shared" ref="H32:H40" si="9">IF(F32&gt;G32,F32-G32,0)</f>
        <v>8549.7379684121988</v>
      </c>
      <c r="I32" s="83">
        <f t="shared" ref="I32:I40" si="10">H32*3%</f>
        <v>256.49213905236593</v>
      </c>
      <c r="J32" s="83">
        <f t="shared" ref="J32:J40" si="11">IF(G32&gt;F32,G32-F32,0)</f>
        <v>0</v>
      </c>
      <c r="K32" s="83"/>
      <c r="L32" s="39">
        <f t="shared" ref="L32:L40" si="12">B$5*E32</f>
        <v>3500</v>
      </c>
      <c r="M32" s="39">
        <f t="shared" si="5"/>
        <v>0</v>
      </c>
      <c r="N32" s="212"/>
      <c r="O32" s="174">
        <f t="shared" si="6"/>
        <v>12306.230107464566</v>
      </c>
      <c r="P32" s="85">
        <f t="shared" si="7"/>
        <v>12798.479311763149</v>
      </c>
      <c r="Q32" s="86">
        <f t="shared" ref="Q32:Q40" si="13">P32*2% + P32</f>
        <v>13054.448897998413</v>
      </c>
    </row>
    <row r="33" spans="1:18" ht="15.75" customHeight="1" x14ac:dyDescent="0.3">
      <c r="A33" s="87">
        <v>24</v>
      </c>
      <c r="B33" s="105" t="s">
        <v>118</v>
      </c>
      <c r="C33" s="99" t="s">
        <v>81</v>
      </c>
      <c r="D33" s="14"/>
      <c r="E33" s="81">
        <v>1.4E-3</v>
      </c>
      <c r="F33" s="186">
        <v>2593.357606</v>
      </c>
      <c r="G33" s="182"/>
      <c r="H33" s="83">
        <f t="shared" si="9"/>
        <v>2593.357606</v>
      </c>
      <c r="I33" s="83">
        <f t="shared" si="10"/>
        <v>77.800728179999993</v>
      </c>
      <c r="J33" s="83">
        <f t="shared" si="11"/>
        <v>0</v>
      </c>
      <c r="K33" s="14"/>
      <c r="L33" s="39">
        <f t="shared" si="12"/>
        <v>3500</v>
      </c>
      <c r="M33" s="39">
        <f t="shared" si="5"/>
        <v>0</v>
      </c>
      <c r="N33" s="212"/>
      <c r="O33" s="174">
        <f t="shared" si="6"/>
        <v>6171.1583341799997</v>
      </c>
      <c r="P33" s="85">
        <f t="shared" si="7"/>
        <v>6418.0046675471995</v>
      </c>
      <c r="Q33" s="86">
        <f t="shared" si="13"/>
        <v>6546.3647608981437</v>
      </c>
    </row>
    <row r="34" spans="1:18" ht="15.75" customHeight="1" x14ac:dyDescent="0.3">
      <c r="A34" s="20">
        <f t="shared" ref="A34:A43" si="14">A33+1</f>
        <v>25</v>
      </c>
      <c r="B34" s="105" t="s">
        <v>119</v>
      </c>
      <c r="C34" s="99" t="s">
        <v>108</v>
      </c>
      <c r="D34" s="14"/>
      <c r="E34" s="81">
        <v>1.4E-3</v>
      </c>
      <c r="F34" s="186">
        <v>2593.357606</v>
      </c>
      <c r="G34" s="182"/>
      <c r="H34" s="83">
        <f t="shared" si="9"/>
        <v>2593.357606</v>
      </c>
      <c r="I34" s="83">
        <f t="shared" si="10"/>
        <v>77.800728179999993</v>
      </c>
      <c r="J34" s="83">
        <f t="shared" si="11"/>
        <v>0</v>
      </c>
      <c r="K34" s="55"/>
      <c r="L34" s="39">
        <f t="shared" si="12"/>
        <v>3500</v>
      </c>
      <c r="M34" s="39">
        <f t="shared" si="5"/>
        <v>0</v>
      </c>
      <c r="N34" s="212"/>
      <c r="O34" s="174">
        <f t="shared" si="6"/>
        <v>6171.1583341799997</v>
      </c>
      <c r="P34" s="85">
        <f t="shared" si="7"/>
        <v>6418.0046675471995</v>
      </c>
      <c r="Q34" s="86">
        <f t="shared" si="13"/>
        <v>6546.3647608981437</v>
      </c>
    </row>
    <row r="35" spans="1:18" ht="15.75" customHeight="1" x14ac:dyDescent="0.3">
      <c r="A35" s="20">
        <f t="shared" si="14"/>
        <v>26</v>
      </c>
      <c r="B35" s="105" t="s">
        <v>120</v>
      </c>
      <c r="C35" s="99" t="s">
        <v>121</v>
      </c>
      <c r="D35" s="14"/>
      <c r="E35" s="81">
        <v>1.4E-3</v>
      </c>
      <c r="F35" s="186">
        <v>2593.357606</v>
      </c>
      <c r="G35" s="182">
        <f t="shared" ref="G35:G39" si="15">F35</f>
        <v>2593.357606</v>
      </c>
      <c r="H35" s="83">
        <f t="shared" si="9"/>
        <v>0</v>
      </c>
      <c r="I35" s="83">
        <f t="shared" si="10"/>
        <v>0</v>
      </c>
      <c r="J35" s="83">
        <f t="shared" si="11"/>
        <v>0</v>
      </c>
      <c r="K35" s="14"/>
      <c r="L35" s="39">
        <f t="shared" si="12"/>
        <v>3500</v>
      </c>
      <c r="M35" s="39">
        <f t="shared" si="5"/>
        <v>0</v>
      </c>
      <c r="N35" s="212"/>
      <c r="O35" s="174">
        <f t="shared" si="6"/>
        <v>3500</v>
      </c>
      <c r="P35" s="85">
        <f t="shared" si="7"/>
        <v>3640</v>
      </c>
      <c r="Q35" s="86">
        <f t="shared" si="13"/>
        <v>3712.8</v>
      </c>
    </row>
    <row r="36" spans="1:18" ht="15.75" customHeight="1" x14ac:dyDescent="0.3">
      <c r="A36" s="20">
        <f t="shared" si="14"/>
        <v>27</v>
      </c>
      <c r="B36" s="105" t="s">
        <v>122</v>
      </c>
      <c r="C36" s="99" t="s">
        <v>97</v>
      </c>
      <c r="D36" s="14"/>
      <c r="E36" s="81">
        <v>1.4E-3</v>
      </c>
      <c r="F36" s="186">
        <v>2593.357606</v>
      </c>
      <c r="G36" s="182">
        <f t="shared" si="15"/>
        <v>2593.357606</v>
      </c>
      <c r="H36" s="83">
        <f t="shared" si="9"/>
        <v>0</v>
      </c>
      <c r="I36" s="83">
        <f t="shared" si="10"/>
        <v>0</v>
      </c>
      <c r="J36" s="83">
        <f t="shared" si="11"/>
        <v>0</v>
      </c>
      <c r="K36" s="14"/>
      <c r="L36" s="39">
        <f t="shared" si="12"/>
        <v>3500</v>
      </c>
      <c r="M36" s="39">
        <f t="shared" si="5"/>
        <v>0</v>
      </c>
      <c r="N36" s="212"/>
      <c r="O36" s="174">
        <f t="shared" si="6"/>
        <v>3500</v>
      </c>
      <c r="P36" s="85">
        <f t="shared" si="7"/>
        <v>3640</v>
      </c>
      <c r="Q36" s="86">
        <f t="shared" si="13"/>
        <v>3712.8</v>
      </c>
    </row>
    <row r="37" spans="1:18" ht="15.75" customHeight="1" x14ac:dyDescent="0.3">
      <c r="A37" s="20">
        <f t="shared" si="14"/>
        <v>28</v>
      </c>
      <c r="B37" s="105" t="s">
        <v>123</v>
      </c>
      <c r="C37" s="99" t="s">
        <v>112</v>
      </c>
      <c r="D37" s="14"/>
      <c r="E37" s="81">
        <v>1.2999999999999999E-3</v>
      </c>
      <c r="F37" s="186">
        <v>5275.98860633</v>
      </c>
      <c r="G37" s="182">
        <f>F37</f>
        <v>5275.98860633</v>
      </c>
      <c r="H37" s="83">
        <f t="shared" si="9"/>
        <v>0</v>
      </c>
      <c r="I37" s="83">
        <f t="shared" si="10"/>
        <v>0</v>
      </c>
      <c r="J37" s="83">
        <f t="shared" si="11"/>
        <v>0</v>
      </c>
      <c r="K37" s="14"/>
      <c r="L37" s="39">
        <f t="shared" si="12"/>
        <v>3250</v>
      </c>
      <c r="M37" s="39">
        <f t="shared" si="5"/>
        <v>0</v>
      </c>
      <c r="N37" s="212"/>
      <c r="O37" s="174">
        <f t="shared" si="6"/>
        <v>3250</v>
      </c>
      <c r="P37" s="85">
        <f t="shared" si="7"/>
        <v>3380</v>
      </c>
      <c r="Q37" s="86">
        <f t="shared" si="13"/>
        <v>3447.6</v>
      </c>
    </row>
    <row r="38" spans="1:18" ht="15.75" customHeight="1" x14ac:dyDescent="0.3">
      <c r="A38" s="20">
        <f t="shared" si="14"/>
        <v>29</v>
      </c>
      <c r="B38" s="105" t="s">
        <v>124</v>
      </c>
      <c r="C38" s="99" t="s">
        <v>85</v>
      </c>
      <c r="D38" s="14"/>
      <c r="E38" s="81">
        <v>1.2999999999999999E-3</v>
      </c>
      <c r="F38" s="186">
        <v>2408.1177769999999</v>
      </c>
      <c r="G38" s="182">
        <f t="shared" si="15"/>
        <v>2408.1177769999999</v>
      </c>
      <c r="H38" s="83">
        <f t="shared" si="9"/>
        <v>0</v>
      </c>
      <c r="I38" s="83">
        <f t="shared" si="10"/>
        <v>0</v>
      </c>
      <c r="J38" s="83">
        <f t="shared" si="11"/>
        <v>0</v>
      </c>
      <c r="K38" s="14"/>
      <c r="L38" s="39">
        <f t="shared" si="12"/>
        <v>3250</v>
      </c>
      <c r="M38" s="39">
        <f t="shared" si="5"/>
        <v>0</v>
      </c>
      <c r="N38" s="212"/>
      <c r="O38" s="174">
        <f t="shared" si="6"/>
        <v>3250</v>
      </c>
      <c r="P38" s="85">
        <f t="shared" si="7"/>
        <v>3380</v>
      </c>
      <c r="Q38" s="86">
        <f t="shared" si="13"/>
        <v>3447.6</v>
      </c>
    </row>
    <row r="39" spans="1:18" ht="15.75" customHeight="1" x14ac:dyDescent="0.3">
      <c r="A39" s="20">
        <f t="shared" si="14"/>
        <v>30</v>
      </c>
      <c r="B39" s="105" t="s">
        <v>125</v>
      </c>
      <c r="C39" s="99" t="s">
        <v>94</v>
      </c>
      <c r="D39" s="215" t="s">
        <v>159</v>
      </c>
      <c r="E39" s="81">
        <v>1.2999999999999999E-3</v>
      </c>
      <c r="F39" s="186">
        <v>2408.1177769999999</v>
      </c>
      <c r="G39" s="181">
        <f t="shared" si="15"/>
        <v>2408.1177769999999</v>
      </c>
      <c r="H39" s="83">
        <f t="shared" si="9"/>
        <v>0</v>
      </c>
      <c r="I39" s="83">
        <f t="shared" si="10"/>
        <v>0</v>
      </c>
      <c r="J39" s="83">
        <f t="shared" si="11"/>
        <v>0</v>
      </c>
      <c r="K39" s="55"/>
      <c r="L39" s="39">
        <f t="shared" si="12"/>
        <v>3250</v>
      </c>
      <c r="M39" s="39">
        <f t="shared" si="5"/>
        <v>0</v>
      </c>
      <c r="N39" s="212"/>
      <c r="O39" s="174">
        <f t="shared" si="6"/>
        <v>3250</v>
      </c>
      <c r="P39" s="85">
        <f t="shared" si="7"/>
        <v>3380</v>
      </c>
      <c r="Q39" s="86">
        <f t="shared" si="13"/>
        <v>3447.6</v>
      </c>
    </row>
    <row r="40" spans="1:18" ht="15.75" customHeight="1" x14ac:dyDescent="0.3">
      <c r="A40" s="20">
        <f t="shared" si="14"/>
        <v>31</v>
      </c>
      <c r="B40" s="105" t="s">
        <v>126</v>
      </c>
      <c r="C40" s="99" t="s">
        <v>94</v>
      </c>
      <c r="D40" s="14" t="s">
        <v>110</v>
      </c>
      <c r="E40" s="81">
        <v>1.2999999999999999E-3</v>
      </c>
      <c r="F40" s="186">
        <v>2213.1177769999999</v>
      </c>
      <c r="G40" s="181">
        <f>F40-'Planilla Extraord'!G40</f>
        <v>2213.1177769999999</v>
      </c>
      <c r="H40" s="83">
        <f t="shared" si="9"/>
        <v>0</v>
      </c>
      <c r="I40" s="83">
        <f t="shared" si="10"/>
        <v>0</v>
      </c>
      <c r="J40" s="83">
        <f t="shared" si="11"/>
        <v>0</v>
      </c>
      <c r="K40" s="55"/>
      <c r="L40" s="39">
        <f t="shared" si="12"/>
        <v>3250</v>
      </c>
      <c r="M40" s="39">
        <f t="shared" si="5"/>
        <v>0</v>
      </c>
      <c r="N40" s="212"/>
      <c r="O40" s="174">
        <f t="shared" si="6"/>
        <v>3250</v>
      </c>
      <c r="P40" s="85">
        <f t="shared" si="7"/>
        <v>3380</v>
      </c>
      <c r="Q40" s="86">
        <f t="shared" si="13"/>
        <v>3447.6</v>
      </c>
    </row>
    <row r="41" spans="1:18" ht="15.75" customHeight="1" x14ac:dyDescent="0.3">
      <c r="A41" s="20">
        <f t="shared" si="14"/>
        <v>32</v>
      </c>
      <c r="B41" s="105"/>
      <c r="C41" s="106"/>
      <c r="D41" s="14"/>
      <c r="E41" s="81"/>
      <c r="F41" s="36"/>
      <c r="G41" s="182"/>
      <c r="H41" s="83"/>
      <c r="I41" s="83"/>
      <c r="J41" s="83"/>
      <c r="K41" s="55"/>
      <c r="L41" s="39"/>
      <c r="M41" s="39"/>
      <c r="N41" s="174"/>
      <c r="O41" s="174"/>
      <c r="P41" s="85">
        <f t="shared" ref="P41:P43" si="16">H41+I41-J41+K41+L41+M41+N41</f>
        <v>0</v>
      </c>
      <c r="Q41" s="86"/>
    </row>
    <row r="42" spans="1:18" ht="15.75" customHeight="1" x14ac:dyDescent="0.3">
      <c r="A42" s="20">
        <f t="shared" si="14"/>
        <v>33</v>
      </c>
      <c r="B42" s="105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174"/>
      <c r="O42" s="174"/>
      <c r="P42" s="85">
        <f t="shared" si="16"/>
        <v>0</v>
      </c>
      <c r="Q42" s="86"/>
    </row>
    <row r="43" spans="1:18" ht="15.75" customHeight="1" x14ac:dyDescent="0.3">
      <c r="A43" s="1">
        <f t="shared" si="14"/>
        <v>34</v>
      </c>
      <c r="B43" s="107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4"/>
      <c r="P43" s="85">
        <f t="shared" si="16"/>
        <v>0</v>
      </c>
      <c r="Q43" s="86"/>
    </row>
    <row r="44" spans="1:18" ht="15.75" customHeight="1" x14ac:dyDescent="0.3">
      <c r="A44" s="112"/>
      <c r="B44" s="113"/>
      <c r="C44" s="114"/>
      <c r="D44" s="114"/>
      <c r="E44" s="115">
        <f t="shared" ref="E44:M44" si="17">SUM(E9:E43)</f>
        <v>1.0000000000000002</v>
      </c>
      <c r="F44" s="116">
        <f t="shared" si="17"/>
        <v>2154167.564984954</v>
      </c>
      <c r="G44" s="117">
        <f t="shared" si="17"/>
        <v>1613089.5126350001</v>
      </c>
      <c r="H44" s="118">
        <f t="shared" si="17"/>
        <v>564685.31896795414</v>
      </c>
      <c r="I44" s="119">
        <f t="shared" si="17"/>
        <v>16940.559569038618</v>
      </c>
      <c r="J44" s="120">
        <f t="shared" si="17"/>
        <v>23607.266617999994</v>
      </c>
      <c r="K44" s="116">
        <f t="shared" si="17"/>
        <v>0</v>
      </c>
      <c r="L44" s="116">
        <f t="shared" si="17"/>
        <v>2500000</v>
      </c>
      <c r="M44" s="116">
        <f t="shared" si="17"/>
        <v>0</v>
      </c>
      <c r="N44" s="116"/>
      <c r="O44" s="116">
        <f t="shared" ref="O44:Q44" si="18">SUM(O9:O43)</f>
        <v>3066018.6119189919</v>
      </c>
      <c r="P44" s="116">
        <f t="shared" si="18"/>
        <v>3188659.3563957522</v>
      </c>
      <c r="Q44" s="121">
        <f t="shared" si="18"/>
        <v>3252432.5435236678</v>
      </c>
      <c r="R44" s="122"/>
    </row>
    <row r="45" spans="1:18" ht="15.75" customHeight="1" x14ac:dyDescent="0.3">
      <c r="A45" s="5"/>
      <c r="B45" s="123"/>
      <c r="C45" s="5"/>
      <c r="D45" s="5"/>
      <c r="E45" s="5"/>
      <c r="F45" s="124"/>
      <c r="G45" s="124"/>
      <c r="H45" s="124"/>
      <c r="I45" s="124"/>
      <c r="J45" s="124"/>
      <c r="K45" s="124"/>
      <c r="L45" s="5"/>
      <c r="M45" s="5"/>
      <c r="N45" s="5"/>
      <c r="O45" s="5"/>
      <c r="P45" s="125"/>
    </row>
    <row r="46" spans="1:18" ht="15.75" customHeight="1" x14ac:dyDescent="0.3">
      <c r="A46" s="5"/>
      <c r="B46" s="126"/>
      <c r="C46" s="127"/>
      <c r="D46" s="127"/>
      <c r="E46" s="127"/>
      <c r="F46" s="128"/>
      <c r="G46" s="128"/>
      <c r="H46" s="128"/>
      <c r="I46" s="128"/>
      <c r="J46" s="128"/>
      <c r="K46" s="128"/>
      <c r="L46" s="127"/>
      <c r="M46" s="127"/>
      <c r="N46" s="127"/>
      <c r="O46" s="127"/>
      <c r="P46" s="129"/>
    </row>
    <row r="47" spans="1:18" ht="15.75" customHeight="1" x14ac:dyDescent="0.3">
      <c r="A47" s="5"/>
      <c r="F47" s="124"/>
      <c r="G47" s="124"/>
      <c r="H47" s="124"/>
      <c r="I47" s="124"/>
      <c r="J47" s="124"/>
      <c r="K47" s="124"/>
    </row>
    <row r="48" spans="1:18" ht="15.75" customHeight="1" x14ac:dyDescent="0.3">
      <c r="A48" s="5"/>
      <c r="F48" s="124"/>
      <c r="G48" s="124"/>
      <c r="H48" s="124"/>
      <c r="I48" s="124"/>
      <c r="J48" s="124"/>
      <c r="K48" s="124"/>
    </row>
    <row r="49" spans="1:11" ht="15.75" customHeight="1" x14ac:dyDescent="0.3">
      <c r="A49" s="5"/>
      <c r="F49" s="124"/>
      <c r="G49" s="124"/>
      <c r="H49" s="124"/>
      <c r="I49" s="124"/>
      <c r="J49" s="124"/>
      <c r="K49" s="124"/>
    </row>
    <row r="50" spans="1:11" ht="15.75" customHeight="1" x14ac:dyDescent="0.3">
      <c r="A50" s="5"/>
      <c r="F50" s="124"/>
      <c r="G50" s="124"/>
      <c r="H50" s="124"/>
      <c r="I50" s="124"/>
      <c r="J50" s="124"/>
      <c r="K50" s="124"/>
    </row>
    <row r="51" spans="1:11" ht="15.75" customHeight="1" x14ac:dyDescent="0.3">
      <c r="A51" s="5"/>
      <c r="F51" s="124"/>
      <c r="G51" s="124"/>
      <c r="H51" s="124"/>
      <c r="I51" s="124"/>
      <c r="J51" s="124"/>
      <c r="K51" s="124"/>
    </row>
    <row r="52" spans="1:11" ht="15.75" customHeight="1" x14ac:dyDescent="0.3">
      <c r="A52" s="5"/>
      <c r="F52" s="124"/>
      <c r="G52" s="124"/>
      <c r="H52" s="124"/>
      <c r="I52" s="124"/>
      <c r="J52" s="124"/>
      <c r="K52" s="124"/>
    </row>
    <row r="53" spans="1:11" ht="15.75" customHeight="1" x14ac:dyDescent="0.3">
      <c r="A53" s="5"/>
      <c r="F53" s="124"/>
      <c r="G53" s="124"/>
      <c r="H53" s="124"/>
      <c r="I53" s="124"/>
      <c r="J53" s="124"/>
      <c r="K53" s="124"/>
    </row>
    <row r="54" spans="1:11" ht="15.75" customHeight="1" x14ac:dyDescent="0.3">
      <c r="A54" s="5"/>
      <c r="F54" s="124"/>
      <c r="G54" s="124"/>
      <c r="H54" s="124"/>
      <c r="I54" s="124"/>
      <c r="J54" s="124"/>
      <c r="K54" s="124"/>
    </row>
    <row r="55" spans="1:11" ht="15.75" customHeight="1" x14ac:dyDescent="0.3">
      <c r="A55" s="5"/>
      <c r="F55" s="124"/>
      <c r="G55" s="124"/>
      <c r="H55" s="124"/>
      <c r="I55" s="124"/>
      <c r="J55" s="124"/>
      <c r="K55" s="124"/>
    </row>
    <row r="56" spans="1:11" ht="15.75" customHeight="1" x14ac:dyDescent="0.3">
      <c r="A56" s="5"/>
      <c r="F56" s="124"/>
      <c r="G56" s="124"/>
      <c r="H56" s="124"/>
      <c r="I56" s="124"/>
      <c r="J56" s="124"/>
      <c r="K56" s="124"/>
    </row>
    <row r="57" spans="1:11" ht="15.75" customHeight="1" x14ac:dyDescent="0.3">
      <c r="F57" s="124"/>
      <c r="G57" s="124"/>
      <c r="H57" s="124"/>
      <c r="I57" s="124"/>
      <c r="J57" s="124"/>
      <c r="K57" s="124"/>
    </row>
    <row r="58" spans="1:11" ht="15.75" customHeight="1" x14ac:dyDescent="0.3">
      <c r="F58" s="124"/>
      <c r="G58" s="124"/>
      <c r="H58" s="124"/>
      <c r="I58" s="124"/>
      <c r="J58" s="124"/>
      <c r="K58" s="124"/>
    </row>
    <row r="59" spans="1:11" ht="15.75" customHeight="1" x14ac:dyDescent="0.3">
      <c r="F59" s="124"/>
      <c r="G59" s="124"/>
      <c r="H59" s="124"/>
      <c r="I59" s="124"/>
      <c r="J59" s="124"/>
      <c r="K59" s="124"/>
    </row>
    <row r="60" spans="1:11" ht="15.75" customHeight="1" x14ac:dyDescent="0.3">
      <c r="F60" s="124"/>
      <c r="G60" s="124"/>
      <c r="H60" s="124"/>
      <c r="I60" s="124"/>
      <c r="J60" s="124"/>
      <c r="K60" s="124"/>
    </row>
    <row r="61" spans="1:11" ht="15.75" customHeight="1" x14ac:dyDescent="0.3">
      <c r="F61" s="124"/>
      <c r="G61" s="124"/>
      <c r="H61" s="124"/>
      <c r="I61" s="124"/>
      <c r="J61" s="124"/>
      <c r="K61" s="124"/>
    </row>
    <row r="62" spans="1:11" ht="15.75" customHeight="1" x14ac:dyDescent="0.3">
      <c r="F62" s="124"/>
      <c r="G62" s="124"/>
      <c r="H62" s="124"/>
      <c r="I62" s="124"/>
      <c r="J62" s="124"/>
      <c r="K62" s="124"/>
    </row>
    <row r="63" spans="1:11" ht="15.75" customHeight="1" x14ac:dyDescent="0.3">
      <c r="F63" s="124"/>
      <c r="G63" s="124"/>
      <c r="H63" s="124"/>
      <c r="I63" s="124"/>
      <c r="J63" s="124"/>
      <c r="K63" s="124"/>
    </row>
    <row r="64" spans="1:11" ht="15.75" customHeight="1" x14ac:dyDescent="0.3">
      <c r="F64" s="124"/>
      <c r="G64" s="124"/>
      <c r="H64" s="124"/>
      <c r="I64" s="124"/>
      <c r="J64" s="124"/>
      <c r="K64" s="124"/>
    </row>
    <row r="65" spans="6:11" ht="15.75" customHeight="1" x14ac:dyDescent="0.3">
      <c r="F65" s="124"/>
      <c r="G65" s="124"/>
      <c r="H65" s="124"/>
      <c r="I65" s="124"/>
      <c r="J65" s="124"/>
      <c r="K65" s="124"/>
    </row>
    <row r="66" spans="6:11" ht="15.75" customHeight="1" x14ac:dyDescent="0.3">
      <c r="F66" s="124"/>
      <c r="G66" s="124"/>
      <c r="H66" s="124"/>
      <c r="I66" s="124"/>
      <c r="J66" s="124"/>
      <c r="K66" s="124"/>
    </row>
    <row r="67" spans="6:11" ht="15.75" customHeight="1" x14ac:dyDescent="0.3">
      <c r="F67" s="124"/>
      <c r="G67" s="124"/>
      <c r="H67" s="124"/>
      <c r="I67" s="124"/>
      <c r="J67" s="124"/>
      <c r="K67" s="124"/>
    </row>
    <row r="68" spans="6:11" ht="15.75" customHeight="1" x14ac:dyDescent="0.3">
      <c r="F68" s="124"/>
      <c r="G68" s="124"/>
      <c r="H68" s="124"/>
      <c r="I68" s="124"/>
      <c r="J68" s="124"/>
      <c r="K68" s="124"/>
    </row>
    <row r="69" spans="6:11" ht="15.75" customHeight="1" x14ac:dyDescent="0.3">
      <c r="F69" s="124"/>
      <c r="G69" s="124"/>
      <c r="H69" s="124"/>
      <c r="I69" s="124"/>
      <c r="J69" s="124"/>
      <c r="K69" s="124"/>
    </row>
    <row r="70" spans="6:11" ht="15.75" customHeight="1" x14ac:dyDescent="0.3">
      <c r="F70" s="124"/>
      <c r="G70" s="124"/>
      <c r="H70" s="124"/>
      <c r="I70" s="124"/>
      <c r="J70" s="124"/>
      <c r="K70" s="124"/>
    </row>
    <row r="71" spans="6:11" ht="15.75" customHeight="1" x14ac:dyDescent="0.3">
      <c r="F71" s="124"/>
      <c r="G71" s="124"/>
      <c r="H71" s="124"/>
      <c r="I71" s="124"/>
      <c r="J71" s="124"/>
      <c r="K71" s="124"/>
    </row>
    <row r="72" spans="6:11" ht="15.75" customHeight="1" x14ac:dyDescent="0.3">
      <c r="F72" s="124"/>
      <c r="G72" s="124"/>
      <c r="H72" s="124"/>
      <c r="I72" s="124"/>
      <c r="J72" s="124"/>
      <c r="K72" s="124"/>
    </row>
    <row r="73" spans="6:11" ht="15.75" customHeight="1" x14ac:dyDescent="0.3">
      <c r="F73" s="124"/>
      <c r="G73" s="124"/>
      <c r="H73" s="124"/>
      <c r="I73" s="124"/>
      <c r="J73" s="124"/>
      <c r="K73" s="124"/>
    </row>
    <row r="74" spans="6:11" ht="15.75" customHeight="1" x14ac:dyDescent="0.3">
      <c r="F74" s="124"/>
      <c r="G74" s="124"/>
      <c r="H74" s="124"/>
      <c r="I74" s="124"/>
      <c r="J74" s="124"/>
      <c r="K74" s="124"/>
    </row>
    <row r="75" spans="6:11" ht="15.75" customHeight="1" x14ac:dyDescent="0.3">
      <c r="F75" s="124"/>
      <c r="G75" s="124"/>
      <c r="H75" s="124"/>
      <c r="I75" s="124"/>
      <c r="J75" s="124"/>
      <c r="K75" s="124"/>
    </row>
    <row r="76" spans="6:11" ht="15.75" customHeight="1" x14ac:dyDescent="0.3">
      <c r="F76" s="124"/>
      <c r="G76" s="124"/>
      <c r="H76" s="124"/>
      <c r="I76" s="124"/>
      <c r="J76" s="124"/>
      <c r="K76" s="124"/>
    </row>
    <row r="77" spans="6:11" ht="15.75" customHeight="1" x14ac:dyDescent="0.3">
      <c r="F77" s="124"/>
      <c r="G77" s="124"/>
      <c r="H77" s="124"/>
      <c r="I77" s="124"/>
      <c r="J77" s="124"/>
      <c r="K77" s="124"/>
    </row>
    <row r="78" spans="6:11" ht="15.75" customHeight="1" x14ac:dyDescent="0.3">
      <c r="F78" s="124"/>
      <c r="G78" s="124"/>
      <c r="H78" s="124"/>
      <c r="I78" s="124"/>
      <c r="J78" s="124"/>
      <c r="K78" s="124"/>
    </row>
    <row r="79" spans="6:11" ht="15.75" customHeight="1" x14ac:dyDescent="0.3">
      <c r="F79" s="124"/>
      <c r="G79" s="124"/>
      <c r="H79" s="124"/>
      <c r="I79" s="124"/>
      <c r="J79" s="124"/>
      <c r="K79" s="124"/>
    </row>
    <row r="80" spans="6:11" ht="15.75" customHeight="1" x14ac:dyDescent="0.3">
      <c r="F80" s="124"/>
      <c r="G80" s="124"/>
      <c r="H80" s="124"/>
      <c r="I80" s="124"/>
      <c r="J80" s="124"/>
      <c r="K80" s="124"/>
    </row>
    <row r="81" spans="6:11" ht="15.75" customHeight="1" x14ac:dyDescent="0.3">
      <c r="F81" s="124"/>
      <c r="G81" s="124"/>
      <c r="H81" s="124"/>
      <c r="I81" s="124"/>
      <c r="J81" s="124"/>
      <c r="K81" s="124"/>
    </row>
    <row r="82" spans="6:11" ht="15.75" customHeight="1" x14ac:dyDescent="0.3">
      <c r="F82" s="124"/>
      <c r="G82" s="124"/>
      <c r="H82" s="124"/>
      <c r="I82" s="124"/>
      <c r="J82" s="124"/>
      <c r="K82" s="124"/>
    </row>
    <row r="83" spans="6:11" ht="15.75" customHeight="1" x14ac:dyDescent="0.3">
      <c r="F83" s="124"/>
      <c r="G83" s="124"/>
      <c r="H83" s="124"/>
      <c r="I83" s="124"/>
      <c r="J83" s="124"/>
      <c r="K83" s="124"/>
    </row>
    <row r="84" spans="6:11" ht="15.75" customHeight="1" x14ac:dyDescent="0.3">
      <c r="F84" s="124"/>
      <c r="G84" s="124"/>
      <c r="H84" s="124"/>
      <c r="I84" s="124"/>
      <c r="J84" s="124"/>
      <c r="K84" s="124"/>
    </row>
    <row r="85" spans="6:11" ht="15.75" customHeight="1" x14ac:dyDescent="0.3">
      <c r="F85" s="124"/>
      <c r="G85" s="124"/>
      <c r="H85" s="124"/>
      <c r="I85" s="124"/>
      <c r="J85" s="124"/>
      <c r="K85" s="124"/>
    </row>
    <row r="86" spans="6:11" ht="15.75" customHeight="1" x14ac:dyDescent="0.3">
      <c r="F86" s="124"/>
      <c r="G86" s="124"/>
      <c r="H86" s="124"/>
      <c r="I86" s="124"/>
      <c r="J86" s="124"/>
      <c r="K86" s="124"/>
    </row>
    <row r="87" spans="6:11" ht="15.75" customHeight="1" x14ac:dyDescent="0.3">
      <c r="F87" s="124"/>
      <c r="G87" s="124"/>
      <c r="H87" s="124"/>
      <c r="I87" s="124"/>
      <c r="J87" s="124"/>
      <c r="K87" s="124"/>
    </row>
    <row r="88" spans="6:11" ht="15.75" customHeight="1" x14ac:dyDescent="0.3">
      <c r="F88" s="124"/>
      <c r="G88" s="124"/>
      <c r="H88" s="124"/>
      <c r="I88" s="124"/>
      <c r="J88" s="124"/>
      <c r="K88" s="124"/>
    </row>
    <row r="89" spans="6:11" ht="15.75" customHeight="1" x14ac:dyDescent="0.3">
      <c r="F89" s="124"/>
      <c r="G89" s="124"/>
      <c r="H89" s="124"/>
      <c r="I89" s="124"/>
      <c r="J89" s="124"/>
      <c r="K89" s="124"/>
    </row>
    <row r="90" spans="6:11" ht="15.75" customHeight="1" x14ac:dyDescent="0.3">
      <c r="F90" s="124"/>
      <c r="G90" s="124"/>
      <c r="H90" s="124"/>
      <c r="I90" s="124"/>
      <c r="J90" s="124"/>
      <c r="K90" s="124"/>
    </row>
    <row r="91" spans="6:11" ht="15.75" customHeight="1" x14ac:dyDescent="0.3">
      <c r="F91" s="124"/>
      <c r="G91" s="124"/>
      <c r="H91" s="124"/>
      <c r="I91" s="124"/>
      <c r="J91" s="124"/>
      <c r="K91" s="124"/>
    </row>
    <row r="92" spans="6:11" ht="15.75" customHeight="1" x14ac:dyDescent="0.3">
      <c r="F92" s="124"/>
      <c r="G92" s="124"/>
      <c r="H92" s="124"/>
      <c r="I92" s="124"/>
      <c r="J92" s="124"/>
      <c r="K92" s="124"/>
    </row>
    <row r="93" spans="6:11" ht="15.75" customHeight="1" x14ac:dyDescent="0.3">
      <c r="F93" s="124"/>
      <c r="G93" s="124"/>
      <c r="H93" s="124"/>
      <c r="I93" s="124"/>
      <c r="J93" s="124"/>
      <c r="K93" s="124"/>
    </row>
    <row r="94" spans="6:11" ht="15.75" customHeight="1" x14ac:dyDescent="0.3">
      <c r="F94" s="124"/>
      <c r="G94" s="124"/>
      <c r="H94" s="124"/>
      <c r="I94" s="124"/>
      <c r="J94" s="124"/>
      <c r="K94" s="124"/>
    </row>
    <row r="95" spans="6:11" ht="15.75" customHeight="1" x14ac:dyDescent="0.3">
      <c r="F95" s="124"/>
      <c r="G95" s="124"/>
      <c r="H95" s="124"/>
      <c r="I95" s="124"/>
      <c r="J95" s="124"/>
      <c r="K95" s="124"/>
    </row>
    <row r="96" spans="6:11" ht="15.75" customHeight="1" x14ac:dyDescent="0.3">
      <c r="F96" s="124"/>
      <c r="G96" s="124"/>
      <c r="H96" s="124"/>
      <c r="I96" s="124"/>
      <c r="J96" s="124"/>
      <c r="K96" s="124"/>
    </row>
    <row r="97" spans="6:11" ht="15.75" customHeight="1" x14ac:dyDescent="0.3">
      <c r="F97" s="124"/>
      <c r="G97" s="124"/>
      <c r="H97" s="124"/>
      <c r="I97" s="124"/>
      <c r="J97" s="124"/>
      <c r="K97" s="124"/>
    </row>
    <row r="98" spans="6:11" ht="15.75" customHeight="1" x14ac:dyDescent="0.3">
      <c r="F98" s="124"/>
      <c r="G98" s="124"/>
      <c r="H98" s="124"/>
      <c r="I98" s="124"/>
      <c r="J98" s="124"/>
      <c r="K98" s="124"/>
    </row>
    <row r="99" spans="6:11" ht="15.75" customHeight="1" x14ac:dyDescent="0.3">
      <c r="F99" s="124"/>
      <c r="G99" s="124"/>
      <c r="H99" s="124"/>
      <c r="I99" s="124"/>
      <c r="J99" s="124"/>
      <c r="K99" s="124"/>
    </row>
    <row r="100" spans="6:11" ht="15.75" customHeight="1" x14ac:dyDescent="0.3">
      <c r="F100" s="124"/>
      <c r="G100" s="124"/>
      <c r="H100" s="124"/>
      <c r="I100" s="124"/>
      <c r="J100" s="124"/>
      <c r="K100" s="124"/>
    </row>
    <row r="101" spans="6:11" ht="15.75" customHeight="1" x14ac:dyDescent="0.3">
      <c r="F101" s="124"/>
      <c r="G101" s="124"/>
      <c r="H101" s="124"/>
      <c r="I101" s="124"/>
      <c r="J101" s="124"/>
      <c r="K101" s="124"/>
    </row>
    <row r="102" spans="6:11" ht="15.75" customHeight="1" x14ac:dyDescent="0.3">
      <c r="F102" s="124"/>
      <c r="G102" s="124"/>
      <c r="H102" s="124"/>
      <c r="I102" s="124"/>
      <c r="J102" s="124"/>
      <c r="K102" s="124"/>
    </row>
    <row r="103" spans="6:11" ht="15.75" customHeight="1" x14ac:dyDescent="0.3">
      <c r="F103" s="124"/>
      <c r="G103" s="124"/>
      <c r="H103" s="124"/>
      <c r="I103" s="124"/>
      <c r="J103" s="124"/>
      <c r="K103" s="124"/>
    </row>
    <row r="104" spans="6:11" ht="15.75" customHeight="1" x14ac:dyDescent="0.3">
      <c r="F104" s="124"/>
      <c r="G104" s="124"/>
      <c r="H104" s="124"/>
      <c r="I104" s="124"/>
      <c r="J104" s="124"/>
      <c r="K104" s="124"/>
    </row>
    <row r="105" spans="6:11" ht="15.75" customHeight="1" x14ac:dyDescent="0.3">
      <c r="F105" s="124"/>
      <c r="G105" s="124"/>
      <c r="H105" s="124"/>
      <c r="I105" s="124"/>
      <c r="J105" s="124"/>
      <c r="K105" s="124"/>
    </row>
    <row r="106" spans="6:11" ht="15.75" customHeight="1" x14ac:dyDescent="0.3">
      <c r="F106" s="124"/>
      <c r="G106" s="124"/>
      <c r="H106" s="124"/>
      <c r="I106" s="124"/>
      <c r="J106" s="124"/>
      <c r="K106" s="124"/>
    </row>
    <row r="107" spans="6:11" ht="15.75" customHeight="1" x14ac:dyDescent="0.3">
      <c r="F107" s="124"/>
      <c r="G107" s="124"/>
      <c r="H107" s="124"/>
      <c r="I107" s="124"/>
      <c r="J107" s="124"/>
      <c r="K107" s="124"/>
    </row>
    <row r="108" spans="6:11" ht="15.75" customHeight="1" x14ac:dyDescent="0.3">
      <c r="F108" s="124"/>
      <c r="G108" s="124"/>
      <c r="H108" s="124"/>
      <c r="I108" s="124"/>
      <c r="J108" s="124"/>
      <c r="K108" s="124"/>
    </row>
    <row r="109" spans="6:11" ht="15.75" customHeight="1" x14ac:dyDescent="0.3">
      <c r="F109" s="124"/>
      <c r="G109" s="124"/>
      <c r="H109" s="124"/>
      <c r="I109" s="124"/>
      <c r="J109" s="124"/>
      <c r="K109" s="124"/>
    </row>
    <row r="110" spans="6:11" ht="15.75" customHeight="1" x14ac:dyDescent="0.3">
      <c r="F110" s="124"/>
      <c r="G110" s="124"/>
      <c r="H110" s="124"/>
      <c r="I110" s="124"/>
      <c r="J110" s="124"/>
      <c r="K110" s="124"/>
    </row>
    <row r="111" spans="6:11" ht="15.75" customHeight="1" x14ac:dyDescent="0.3">
      <c r="F111" s="124"/>
      <c r="G111" s="124"/>
      <c r="H111" s="124"/>
      <c r="I111" s="124"/>
      <c r="J111" s="124"/>
      <c r="K111" s="124"/>
    </row>
    <row r="112" spans="6:11" ht="15.75" customHeight="1" x14ac:dyDescent="0.3">
      <c r="F112" s="124"/>
      <c r="G112" s="124"/>
      <c r="H112" s="124"/>
      <c r="I112" s="124"/>
      <c r="J112" s="124"/>
      <c r="K112" s="124"/>
    </row>
    <row r="113" spans="6:11" ht="15.75" customHeight="1" x14ac:dyDescent="0.3">
      <c r="F113" s="124"/>
      <c r="G113" s="124"/>
      <c r="H113" s="124"/>
      <c r="I113" s="124"/>
      <c r="J113" s="124"/>
      <c r="K113" s="124"/>
    </row>
    <row r="114" spans="6:11" ht="15.75" customHeight="1" x14ac:dyDescent="0.3">
      <c r="F114" s="124"/>
      <c r="G114" s="124"/>
      <c r="H114" s="124"/>
      <c r="I114" s="124"/>
      <c r="J114" s="124"/>
      <c r="K114" s="124"/>
    </row>
    <row r="115" spans="6:11" ht="15.75" customHeight="1" x14ac:dyDescent="0.3">
      <c r="F115" s="124"/>
      <c r="G115" s="124"/>
      <c r="H115" s="124"/>
      <c r="I115" s="124"/>
      <c r="J115" s="124"/>
      <c r="K115" s="124"/>
    </row>
    <row r="116" spans="6:11" ht="15.75" customHeight="1" x14ac:dyDescent="0.3">
      <c r="F116" s="124"/>
      <c r="G116" s="124"/>
      <c r="H116" s="124"/>
      <c r="I116" s="124"/>
      <c r="J116" s="124"/>
      <c r="K116" s="124"/>
    </row>
    <row r="117" spans="6:11" ht="15.75" customHeight="1" x14ac:dyDescent="0.3">
      <c r="F117" s="124"/>
      <c r="G117" s="124"/>
      <c r="H117" s="124"/>
      <c r="I117" s="124"/>
      <c r="J117" s="124"/>
      <c r="K117" s="124"/>
    </row>
    <row r="118" spans="6:11" ht="15.75" customHeight="1" x14ac:dyDescent="0.3">
      <c r="F118" s="124"/>
      <c r="G118" s="124"/>
      <c r="H118" s="124"/>
      <c r="I118" s="124"/>
      <c r="J118" s="124"/>
      <c r="K118" s="124"/>
    </row>
    <row r="119" spans="6:11" ht="15.75" customHeight="1" x14ac:dyDescent="0.3">
      <c r="F119" s="124"/>
      <c r="G119" s="124"/>
      <c r="H119" s="124"/>
      <c r="I119" s="124"/>
      <c r="J119" s="124"/>
      <c r="K119" s="124"/>
    </row>
    <row r="120" spans="6:11" ht="15.75" customHeight="1" x14ac:dyDescent="0.3">
      <c r="F120" s="124"/>
      <c r="G120" s="124"/>
      <c r="H120" s="124"/>
      <c r="I120" s="124"/>
      <c r="J120" s="124"/>
      <c r="K120" s="124"/>
    </row>
    <row r="121" spans="6:11" ht="15.75" customHeight="1" x14ac:dyDescent="0.3">
      <c r="F121" s="124"/>
      <c r="G121" s="124"/>
      <c r="H121" s="124"/>
      <c r="I121" s="124"/>
      <c r="J121" s="124"/>
      <c r="K121" s="124"/>
    </row>
    <row r="122" spans="6:11" ht="15.75" customHeight="1" x14ac:dyDescent="0.3">
      <c r="F122" s="124"/>
      <c r="G122" s="124"/>
      <c r="H122" s="124"/>
      <c r="I122" s="124"/>
      <c r="J122" s="124"/>
      <c r="K122" s="124"/>
    </row>
    <row r="123" spans="6:11" ht="15.75" customHeight="1" x14ac:dyDescent="0.3">
      <c r="F123" s="124"/>
      <c r="G123" s="124"/>
      <c r="H123" s="124"/>
      <c r="I123" s="124"/>
      <c r="J123" s="124"/>
      <c r="K123" s="124"/>
    </row>
    <row r="124" spans="6:11" ht="15.75" customHeight="1" x14ac:dyDescent="0.3">
      <c r="F124" s="124"/>
      <c r="G124" s="124"/>
      <c r="H124" s="124"/>
      <c r="I124" s="124"/>
      <c r="J124" s="124"/>
      <c r="K124" s="124"/>
    </row>
    <row r="125" spans="6:11" ht="15.75" customHeight="1" x14ac:dyDescent="0.3">
      <c r="F125" s="124"/>
      <c r="G125" s="124"/>
      <c r="H125" s="124"/>
      <c r="I125" s="124"/>
      <c r="J125" s="124"/>
      <c r="K125" s="124"/>
    </row>
    <row r="126" spans="6:11" ht="15.75" customHeight="1" x14ac:dyDescent="0.3">
      <c r="F126" s="124"/>
      <c r="G126" s="124"/>
      <c r="H126" s="124"/>
      <c r="I126" s="124"/>
      <c r="J126" s="124"/>
      <c r="K126" s="124"/>
    </row>
    <row r="127" spans="6:11" ht="15.75" customHeight="1" x14ac:dyDescent="0.3">
      <c r="F127" s="124"/>
      <c r="G127" s="124"/>
      <c r="H127" s="124"/>
      <c r="I127" s="124"/>
      <c r="J127" s="124"/>
      <c r="K127" s="124"/>
    </row>
    <row r="128" spans="6:11" ht="15.75" customHeight="1" x14ac:dyDescent="0.3">
      <c r="F128" s="124"/>
      <c r="G128" s="124"/>
      <c r="H128" s="124"/>
      <c r="I128" s="124"/>
      <c r="J128" s="124"/>
      <c r="K128" s="124"/>
    </row>
    <row r="129" spans="6:11" ht="15.75" customHeight="1" x14ac:dyDescent="0.3">
      <c r="F129" s="124"/>
      <c r="G129" s="124"/>
      <c r="H129" s="124"/>
      <c r="I129" s="124"/>
      <c r="J129" s="124"/>
      <c r="K129" s="124"/>
    </row>
    <row r="130" spans="6:11" ht="15.75" customHeight="1" x14ac:dyDescent="0.3">
      <c r="F130" s="124"/>
      <c r="G130" s="124"/>
      <c r="H130" s="124"/>
      <c r="I130" s="124"/>
      <c r="J130" s="124"/>
      <c r="K130" s="124"/>
    </row>
    <row r="131" spans="6:11" ht="15.75" customHeight="1" x14ac:dyDescent="0.3">
      <c r="F131" s="124"/>
      <c r="G131" s="124"/>
      <c r="H131" s="124"/>
      <c r="I131" s="124"/>
      <c r="J131" s="124"/>
      <c r="K131" s="124"/>
    </row>
    <row r="132" spans="6:11" ht="15.75" customHeight="1" x14ac:dyDescent="0.3">
      <c r="F132" s="124"/>
      <c r="G132" s="124"/>
      <c r="H132" s="124"/>
      <c r="I132" s="124"/>
      <c r="J132" s="124"/>
      <c r="K132" s="124"/>
    </row>
    <row r="133" spans="6:11" ht="15.75" customHeight="1" x14ac:dyDescent="0.3">
      <c r="F133" s="124"/>
      <c r="G133" s="124"/>
      <c r="H133" s="124"/>
      <c r="I133" s="124"/>
      <c r="J133" s="124"/>
      <c r="K133" s="124"/>
    </row>
    <row r="134" spans="6:11" ht="15.75" customHeight="1" x14ac:dyDescent="0.3">
      <c r="F134" s="124"/>
      <c r="G134" s="124"/>
      <c r="H134" s="124"/>
      <c r="I134" s="124"/>
      <c r="J134" s="124"/>
      <c r="K134" s="124"/>
    </row>
    <row r="135" spans="6:11" ht="15.75" customHeight="1" x14ac:dyDescent="0.3">
      <c r="F135" s="124"/>
      <c r="G135" s="124"/>
      <c r="H135" s="124"/>
      <c r="I135" s="124"/>
      <c r="J135" s="124"/>
      <c r="K135" s="124"/>
    </row>
    <row r="136" spans="6:11" ht="15.75" customHeight="1" x14ac:dyDescent="0.3">
      <c r="F136" s="124"/>
      <c r="G136" s="124"/>
      <c r="H136" s="124"/>
      <c r="I136" s="124"/>
      <c r="J136" s="124"/>
      <c r="K136" s="124"/>
    </row>
    <row r="137" spans="6:11" ht="15.75" customHeight="1" x14ac:dyDescent="0.3">
      <c r="F137" s="124"/>
      <c r="G137" s="124"/>
      <c r="H137" s="124"/>
      <c r="I137" s="124"/>
      <c r="J137" s="124"/>
      <c r="K137" s="124"/>
    </row>
    <row r="138" spans="6:11" ht="15.75" customHeight="1" x14ac:dyDescent="0.3">
      <c r="F138" s="124"/>
      <c r="G138" s="124"/>
      <c r="H138" s="124"/>
      <c r="I138" s="124"/>
      <c r="J138" s="124"/>
      <c r="K138" s="124"/>
    </row>
    <row r="139" spans="6:11" ht="15.75" customHeight="1" x14ac:dyDescent="0.3">
      <c r="F139" s="124"/>
      <c r="G139" s="124"/>
      <c r="H139" s="124"/>
      <c r="I139" s="124"/>
      <c r="J139" s="124"/>
      <c r="K139" s="124"/>
    </row>
    <row r="140" spans="6:11" ht="15.75" customHeight="1" x14ac:dyDescent="0.3">
      <c r="F140" s="124"/>
      <c r="G140" s="124"/>
      <c r="H140" s="124"/>
      <c r="I140" s="124"/>
      <c r="J140" s="124"/>
      <c r="K140" s="124"/>
    </row>
    <row r="141" spans="6:11" ht="15.75" customHeight="1" x14ac:dyDescent="0.3">
      <c r="F141" s="124"/>
      <c r="G141" s="124"/>
      <c r="H141" s="124"/>
      <c r="I141" s="124"/>
      <c r="J141" s="124"/>
      <c r="K141" s="124"/>
    </row>
    <row r="142" spans="6:11" ht="15.75" customHeight="1" x14ac:dyDescent="0.3">
      <c r="F142" s="124"/>
      <c r="G142" s="124"/>
      <c r="H142" s="124"/>
      <c r="I142" s="124"/>
      <c r="J142" s="124"/>
      <c r="K142" s="124"/>
    </row>
    <row r="143" spans="6:11" ht="15.75" customHeight="1" x14ac:dyDescent="0.3">
      <c r="F143" s="124"/>
      <c r="G143" s="124"/>
      <c r="H143" s="124"/>
      <c r="I143" s="124"/>
      <c r="J143" s="124"/>
      <c r="K143" s="124"/>
    </row>
    <row r="144" spans="6:11" ht="15.75" customHeight="1" x14ac:dyDescent="0.3">
      <c r="F144" s="124"/>
      <c r="G144" s="124"/>
      <c r="H144" s="124"/>
      <c r="I144" s="124"/>
      <c r="J144" s="124"/>
      <c r="K144" s="124"/>
    </row>
    <row r="145" spans="6:11" ht="15.75" customHeight="1" x14ac:dyDescent="0.3">
      <c r="F145" s="124"/>
      <c r="G145" s="124"/>
      <c r="H145" s="124"/>
      <c r="I145" s="124"/>
      <c r="J145" s="124"/>
      <c r="K145" s="124"/>
    </row>
    <row r="146" spans="6:11" ht="15.75" customHeight="1" x14ac:dyDescent="0.3">
      <c r="F146" s="124"/>
      <c r="G146" s="124"/>
      <c r="H146" s="124"/>
      <c r="I146" s="124"/>
      <c r="J146" s="124"/>
      <c r="K146" s="124"/>
    </row>
    <row r="147" spans="6:11" ht="15.75" customHeight="1" x14ac:dyDescent="0.3">
      <c r="F147" s="124"/>
      <c r="G147" s="124"/>
      <c r="H147" s="124"/>
      <c r="I147" s="124"/>
      <c r="J147" s="124"/>
      <c r="K147" s="124"/>
    </row>
    <row r="148" spans="6:11" ht="15.75" customHeight="1" x14ac:dyDescent="0.3">
      <c r="F148" s="124"/>
      <c r="G148" s="124"/>
      <c r="H148" s="124"/>
      <c r="I148" s="124"/>
      <c r="J148" s="124"/>
      <c r="K148" s="124"/>
    </row>
    <row r="149" spans="6:11" ht="15.75" customHeight="1" x14ac:dyDescent="0.3">
      <c r="F149" s="124"/>
      <c r="G149" s="124"/>
      <c r="H149" s="124"/>
      <c r="I149" s="124"/>
      <c r="J149" s="124"/>
      <c r="K149" s="124"/>
    </row>
    <row r="150" spans="6:11" ht="15.75" customHeight="1" x14ac:dyDescent="0.3">
      <c r="F150" s="124"/>
      <c r="G150" s="124"/>
      <c r="H150" s="124"/>
      <c r="I150" s="124"/>
      <c r="J150" s="124"/>
      <c r="K150" s="124"/>
    </row>
    <row r="151" spans="6:11" ht="15.75" customHeight="1" x14ac:dyDescent="0.3">
      <c r="F151" s="124"/>
      <c r="G151" s="124"/>
      <c r="H151" s="124"/>
      <c r="I151" s="124"/>
      <c r="J151" s="124"/>
      <c r="K151" s="124"/>
    </row>
    <row r="152" spans="6:11" ht="15.75" customHeight="1" x14ac:dyDescent="0.3">
      <c r="F152" s="124"/>
      <c r="G152" s="124"/>
      <c r="H152" s="124"/>
      <c r="I152" s="124"/>
      <c r="J152" s="124"/>
      <c r="K152" s="124"/>
    </row>
    <row r="153" spans="6:11" ht="15.75" customHeight="1" x14ac:dyDescent="0.3">
      <c r="F153" s="124"/>
      <c r="G153" s="124"/>
      <c r="H153" s="124"/>
      <c r="I153" s="124"/>
      <c r="J153" s="124"/>
      <c r="K153" s="124"/>
    </row>
    <row r="154" spans="6:11" ht="15.75" customHeight="1" x14ac:dyDescent="0.3">
      <c r="F154" s="124"/>
      <c r="G154" s="124"/>
      <c r="H154" s="124"/>
      <c r="I154" s="124"/>
      <c r="J154" s="124"/>
      <c r="K154" s="124"/>
    </row>
    <row r="155" spans="6:11" ht="15.75" customHeight="1" x14ac:dyDescent="0.3">
      <c r="F155" s="124"/>
      <c r="G155" s="124"/>
      <c r="H155" s="124"/>
      <c r="I155" s="124"/>
      <c r="J155" s="124"/>
      <c r="K155" s="124"/>
    </row>
    <row r="156" spans="6:11" ht="15.75" customHeight="1" x14ac:dyDescent="0.3">
      <c r="F156" s="124"/>
      <c r="G156" s="124"/>
      <c r="H156" s="124"/>
      <c r="I156" s="124"/>
      <c r="J156" s="124"/>
      <c r="K156" s="124"/>
    </row>
    <row r="157" spans="6:11" ht="15.75" customHeight="1" x14ac:dyDescent="0.3">
      <c r="F157" s="124"/>
      <c r="G157" s="124"/>
      <c r="H157" s="124"/>
      <c r="I157" s="124"/>
      <c r="J157" s="124"/>
      <c r="K157" s="124"/>
    </row>
    <row r="158" spans="6:11" ht="15.75" customHeight="1" x14ac:dyDescent="0.3">
      <c r="F158" s="124"/>
      <c r="G158" s="124"/>
      <c r="H158" s="124"/>
      <c r="I158" s="124"/>
      <c r="J158" s="124"/>
      <c r="K158" s="124"/>
    </row>
    <row r="159" spans="6:11" ht="15.75" customHeight="1" x14ac:dyDescent="0.3">
      <c r="F159" s="124"/>
      <c r="G159" s="124"/>
      <c r="H159" s="124"/>
      <c r="I159" s="124"/>
      <c r="J159" s="124"/>
      <c r="K159" s="124"/>
    </row>
    <row r="160" spans="6:11" ht="15.75" customHeight="1" x14ac:dyDescent="0.3">
      <c r="F160" s="124"/>
      <c r="G160" s="124"/>
      <c r="H160" s="124"/>
      <c r="I160" s="124"/>
      <c r="J160" s="124"/>
      <c r="K160" s="124"/>
    </row>
    <row r="161" spans="6:11" ht="15.75" customHeight="1" x14ac:dyDescent="0.3">
      <c r="F161" s="124"/>
      <c r="G161" s="124"/>
      <c r="H161" s="124"/>
      <c r="I161" s="124"/>
      <c r="J161" s="124"/>
      <c r="K161" s="124"/>
    </row>
    <row r="162" spans="6:11" ht="15.75" customHeight="1" x14ac:dyDescent="0.3">
      <c r="F162" s="124"/>
      <c r="G162" s="124"/>
      <c r="H162" s="124"/>
      <c r="I162" s="124"/>
      <c r="J162" s="124"/>
      <c r="K162" s="124"/>
    </row>
    <row r="163" spans="6:11" ht="15.75" customHeight="1" x14ac:dyDescent="0.3">
      <c r="F163" s="124"/>
      <c r="G163" s="124"/>
      <c r="H163" s="124"/>
      <c r="I163" s="124"/>
      <c r="J163" s="124"/>
      <c r="K163" s="124"/>
    </row>
    <row r="164" spans="6:11" ht="15.75" customHeight="1" x14ac:dyDescent="0.3">
      <c r="F164" s="124"/>
      <c r="G164" s="124"/>
      <c r="H164" s="124"/>
      <c r="I164" s="124"/>
      <c r="J164" s="124"/>
      <c r="K164" s="124"/>
    </row>
    <row r="165" spans="6:11" ht="15.75" customHeight="1" x14ac:dyDescent="0.3">
      <c r="F165" s="124"/>
      <c r="G165" s="124"/>
      <c r="H165" s="124"/>
      <c r="I165" s="124"/>
      <c r="J165" s="124"/>
      <c r="K165" s="124"/>
    </row>
    <row r="166" spans="6:11" ht="15.75" customHeight="1" x14ac:dyDescent="0.3">
      <c r="F166" s="124"/>
      <c r="G166" s="124"/>
      <c r="H166" s="124"/>
      <c r="I166" s="124"/>
      <c r="J166" s="124"/>
      <c r="K166" s="124"/>
    </row>
    <row r="167" spans="6:11" ht="15.75" customHeight="1" x14ac:dyDescent="0.3">
      <c r="F167" s="124"/>
      <c r="G167" s="124"/>
      <c r="H167" s="124"/>
      <c r="I167" s="124"/>
      <c r="J167" s="124"/>
      <c r="K167" s="124"/>
    </row>
    <row r="168" spans="6:11" ht="15.75" customHeight="1" x14ac:dyDescent="0.3">
      <c r="F168" s="124"/>
      <c r="G168" s="124"/>
      <c r="H168" s="124"/>
      <c r="I168" s="124"/>
      <c r="J168" s="124"/>
      <c r="K168" s="124"/>
    </row>
    <row r="169" spans="6:11" ht="15.75" customHeight="1" x14ac:dyDescent="0.3">
      <c r="F169" s="124"/>
      <c r="G169" s="124"/>
      <c r="H169" s="124"/>
      <c r="I169" s="124"/>
      <c r="J169" s="124"/>
      <c r="K169" s="124"/>
    </row>
    <row r="170" spans="6:11" ht="15.75" customHeight="1" x14ac:dyDescent="0.3">
      <c r="F170" s="124"/>
      <c r="G170" s="124"/>
      <c r="H170" s="124"/>
      <c r="I170" s="124"/>
      <c r="J170" s="124"/>
      <c r="K170" s="124"/>
    </row>
    <row r="171" spans="6:11" ht="15.75" customHeight="1" x14ac:dyDescent="0.3">
      <c r="F171" s="124"/>
      <c r="G171" s="124"/>
      <c r="H171" s="124"/>
      <c r="I171" s="124"/>
      <c r="J171" s="124"/>
      <c r="K171" s="124"/>
    </row>
    <row r="172" spans="6:11" ht="15.75" customHeight="1" x14ac:dyDescent="0.3">
      <c r="F172" s="124"/>
      <c r="G172" s="124"/>
      <c r="H172" s="124"/>
      <c r="I172" s="124"/>
      <c r="J172" s="124"/>
      <c r="K172" s="124"/>
    </row>
    <row r="173" spans="6:11" ht="15.75" customHeight="1" x14ac:dyDescent="0.3">
      <c r="F173" s="124"/>
      <c r="G173" s="124"/>
      <c r="H173" s="124"/>
      <c r="I173" s="124"/>
      <c r="J173" s="124"/>
      <c r="K173" s="124"/>
    </row>
    <row r="174" spans="6:11" ht="15.75" customHeight="1" x14ac:dyDescent="0.3">
      <c r="F174" s="124"/>
      <c r="G174" s="124"/>
      <c r="H174" s="124"/>
      <c r="I174" s="124"/>
      <c r="J174" s="124"/>
      <c r="K174" s="124"/>
    </row>
    <row r="175" spans="6:11" ht="15.75" customHeight="1" x14ac:dyDescent="0.3">
      <c r="F175" s="124"/>
      <c r="G175" s="124"/>
      <c r="H175" s="124"/>
      <c r="I175" s="124"/>
      <c r="J175" s="124"/>
      <c r="K175" s="124"/>
    </row>
    <row r="176" spans="6:11" ht="15.75" customHeight="1" x14ac:dyDescent="0.3">
      <c r="F176" s="124"/>
      <c r="G176" s="124"/>
      <c r="H176" s="124"/>
      <c r="I176" s="124"/>
      <c r="J176" s="124"/>
      <c r="K176" s="124"/>
    </row>
    <row r="177" spans="6:11" ht="15.75" customHeight="1" x14ac:dyDescent="0.3">
      <c r="F177" s="124"/>
      <c r="G177" s="124"/>
      <c r="H177" s="124"/>
      <c r="I177" s="124"/>
      <c r="J177" s="124"/>
      <c r="K177" s="124"/>
    </row>
    <row r="178" spans="6:11" ht="15.75" customHeight="1" x14ac:dyDescent="0.3">
      <c r="F178" s="124"/>
      <c r="G178" s="124"/>
      <c r="H178" s="124"/>
      <c r="I178" s="124"/>
      <c r="J178" s="124"/>
      <c r="K178" s="124"/>
    </row>
    <row r="179" spans="6:11" ht="15.75" customHeight="1" x14ac:dyDescent="0.3">
      <c r="F179" s="124"/>
      <c r="G179" s="124"/>
      <c r="H179" s="124"/>
      <c r="I179" s="124"/>
      <c r="J179" s="124"/>
      <c r="K179" s="124"/>
    </row>
    <row r="180" spans="6:11" ht="15.75" customHeight="1" x14ac:dyDescent="0.3">
      <c r="F180" s="124"/>
      <c r="G180" s="124"/>
      <c r="H180" s="124"/>
      <c r="I180" s="124"/>
      <c r="J180" s="124"/>
      <c r="K180" s="124"/>
    </row>
    <row r="181" spans="6:11" ht="15.75" customHeight="1" x14ac:dyDescent="0.3">
      <c r="F181" s="124"/>
      <c r="G181" s="124"/>
      <c r="H181" s="124"/>
      <c r="I181" s="124"/>
      <c r="J181" s="124"/>
      <c r="K181" s="124"/>
    </row>
    <row r="182" spans="6:11" ht="15.75" customHeight="1" x14ac:dyDescent="0.3">
      <c r="F182" s="124"/>
      <c r="G182" s="124"/>
      <c r="H182" s="124"/>
      <c r="I182" s="124"/>
      <c r="J182" s="124"/>
      <c r="K182" s="124"/>
    </row>
    <row r="183" spans="6:11" ht="15.75" customHeight="1" x14ac:dyDescent="0.3">
      <c r="F183" s="124"/>
      <c r="G183" s="124"/>
      <c r="H183" s="124"/>
      <c r="I183" s="124"/>
      <c r="J183" s="124"/>
      <c r="K183" s="124"/>
    </row>
    <row r="184" spans="6:11" ht="15.75" customHeight="1" x14ac:dyDescent="0.3">
      <c r="F184" s="124"/>
      <c r="G184" s="124"/>
      <c r="H184" s="124"/>
      <c r="I184" s="124"/>
      <c r="J184" s="124"/>
      <c r="K184" s="124"/>
    </row>
    <row r="185" spans="6:11" ht="15.75" customHeight="1" x14ac:dyDescent="0.3">
      <c r="F185" s="124"/>
      <c r="G185" s="124"/>
      <c r="H185" s="124"/>
      <c r="I185" s="124"/>
      <c r="J185" s="124"/>
      <c r="K185" s="124"/>
    </row>
    <row r="186" spans="6:11" ht="15.75" customHeight="1" x14ac:dyDescent="0.3">
      <c r="F186" s="124"/>
      <c r="G186" s="124"/>
      <c r="H186" s="124"/>
      <c r="I186" s="124"/>
      <c r="J186" s="124"/>
      <c r="K186" s="124"/>
    </row>
    <row r="187" spans="6:11" ht="15.75" customHeight="1" x14ac:dyDescent="0.3">
      <c r="F187" s="124"/>
      <c r="G187" s="124"/>
      <c r="H187" s="124"/>
      <c r="I187" s="124"/>
      <c r="J187" s="124"/>
      <c r="K187" s="124"/>
    </row>
    <row r="188" spans="6:11" ht="15.75" customHeight="1" x14ac:dyDescent="0.3">
      <c r="F188" s="124"/>
      <c r="G188" s="124"/>
      <c r="H188" s="124"/>
      <c r="I188" s="124"/>
      <c r="J188" s="124"/>
      <c r="K188" s="124"/>
    </row>
    <row r="189" spans="6:11" ht="15.75" customHeight="1" x14ac:dyDescent="0.3">
      <c r="F189" s="124"/>
      <c r="G189" s="124"/>
      <c r="H189" s="124"/>
      <c r="I189" s="124"/>
      <c r="J189" s="124"/>
      <c r="K189" s="124"/>
    </row>
    <row r="190" spans="6:11" ht="15.75" customHeight="1" x14ac:dyDescent="0.3">
      <c r="F190" s="124"/>
      <c r="G190" s="124"/>
      <c r="H190" s="124"/>
      <c r="I190" s="124"/>
      <c r="J190" s="124"/>
      <c r="K190" s="124"/>
    </row>
    <row r="191" spans="6:11" ht="15.75" customHeight="1" x14ac:dyDescent="0.3">
      <c r="F191" s="124"/>
      <c r="G191" s="124"/>
      <c r="H191" s="124"/>
      <c r="I191" s="124"/>
      <c r="J191" s="124"/>
      <c r="K191" s="124"/>
    </row>
    <row r="192" spans="6:11" ht="15.75" customHeight="1" x14ac:dyDescent="0.3">
      <c r="F192" s="124"/>
      <c r="G192" s="124"/>
      <c r="H192" s="124"/>
      <c r="I192" s="124"/>
      <c r="J192" s="124"/>
      <c r="K192" s="124"/>
    </row>
    <row r="193" spans="6:11" ht="15.75" customHeight="1" x14ac:dyDescent="0.3">
      <c r="F193" s="124"/>
      <c r="G193" s="124"/>
      <c r="H193" s="124"/>
      <c r="I193" s="124"/>
      <c r="J193" s="124"/>
      <c r="K193" s="124"/>
    </row>
    <row r="194" spans="6:11" ht="15.75" customHeight="1" x14ac:dyDescent="0.3">
      <c r="F194" s="124"/>
      <c r="G194" s="124"/>
      <c r="H194" s="124"/>
      <c r="I194" s="124"/>
      <c r="J194" s="124"/>
      <c r="K194" s="124"/>
    </row>
    <row r="195" spans="6:11" ht="15.75" customHeight="1" x14ac:dyDescent="0.3">
      <c r="F195" s="124"/>
      <c r="G195" s="124"/>
      <c r="H195" s="124"/>
      <c r="I195" s="124"/>
      <c r="J195" s="124"/>
      <c r="K195" s="124"/>
    </row>
    <row r="196" spans="6:11" ht="15.75" customHeight="1" x14ac:dyDescent="0.3">
      <c r="F196" s="124"/>
      <c r="G196" s="124"/>
      <c r="H196" s="124"/>
      <c r="I196" s="124"/>
      <c r="J196" s="124"/>
      <c r="K196" s="124"/>
    </row>
    <row r="197" spans="6:11" ht="15.75" customHeight="1" x14ac:dyDescent="0.3">
      <c r="F197" s="124"/>
      <c r="G197" s="124"/>
      <c r="H197" s="124"/>
      <c r="I197" s="124"/>
      <c r="J197" s="124"/>
      <c r="K197" s="124"/>
    </row>
    <row r="198" spans="6:11" ht="15.75" customHeight="1" x14ac:dyDescent="0.3">
      <c r="F198" s="124"/>
      <c r="G198" s="124"/>
      <c r="H198" s="124"/>
      <c r="I198" s="124"/>
      <c r="J198" s="124"/>
      <c r="K198" s="124"/>
    </row>
    <row r="199" spans="6:11" ht="15.75" customHeight="1" x14ac:dyDescent="0.3">
      <c r="F199" s="124"/>
      <c r="G199" s="124"/>
      <c r="H199" s="124"/>
      <c r="I199" s="124"/>
      <c r="J199" s="124"/>
      <c r="K199" s="124"/>
    </row>
    <row r="200" spans="6:11" ht="15.75" customHeight="1" x14ac:dyDescent="0.3">
      <c r="F200" s="124"/>
      <c r="G200" s="124"/>
      <c r="H200" s="124"/>
      <c r="I200" s="124"/>
      <c r="J200" s="124"/>
      <c r="K200" s="124"/>
    </row>
    <row r="201" spans="6:11" ht="15.75" customHeight="1" x14ac:dyDescent="0.3">
      <c r="F201" s="124"/>
      <c r="G201" s="124"/>
      <c r="H201" s="124"/>
      <c r="I201" s="124"/>
      <c r="J201" s="124"/>
      <c r="K201" s="124"/>
    </row>
    <row r="202" spans="6:11" ht="15.75" customHeight="1" x14ac:dyDescent="0.3">
      <c r="F202" s="124"/>
      <c r="G202" s="124"/>
      <c r="H202" s="124"/>
      <c r="I202" s="124"/>
      <c r="J202" s="124"/>
      <c r="K202" s="124"/>
    </row>
    <row r="203" spans="6:11" ht="15.75" customHeight="1" x14ac:dyDescent="0.3">
      <c r="F203" s="124"/>
      <c r="G203" s="124"/>
      <c r="H203" s="124"/>
      <c r="I203" s="124"/>
      <c r="J203" s="124"/>
      <c r="K203" s="124"/>
    </row>
    <row r="204" spans="6:11" ht="15.75" customHeight="1" x14ac:dyDescent="0.3">
      <c r="F204" s="124"/>
      <c r="G204" s="124"/>
      <c r="H204" s="124"/>
      <c r="I204" s="124"/>
      <c r="J204" s="124"/>
      <c r="K204" s="124"/>
    </row>
    <row r="205" spans="6:11" ht="15.75" customHeight="1" x14ac:dyDescent="0.3">
      <c r="F205" s="124"/>
      <c r="G205" s="124"/>
      <c r="H205" s="124"/>
      <c r="I205" s="124"/>
      <c r="J205" s="124"/>
      <c r="K205" s="124"/>
    </row>
    <row r="206" spans="6:11" ht="15.75" customHeight="1" x14ac:dyDescent="0.3">
      <c r="F206" s="124"/>
      <c r="G206" s="124"/>
      <c r="H206" s="124"/>
      <c r="I206" s="124"/>
      <c r="J206" s="124"/>
      <c r="K206" s="124"/>
    </row>
    <row r="207" spans="6:11" ht="15.75" customHeight="1" x14ac:dyDescent="0.3">
      <c r="F207" s="124"/>
      <c r="G207" s="124"/>
      <c r="H207" s="124"/>
      <c r="I207" s="124"/>
      <c r="J207" s="124"/>
      <c r="K207" s="124"/>
    </row>
    <row r="208" spans="6:11" ht="15.75" customHeight="1" x14ac:dyDescent="0.3">
      <c r="F208" s="124"/>
      <c r="G208" s="124"/>
      <c r="H208" s="124"/>
      <c r="I208" s="124"/>
      <c r="J208" s="124"/>
      <c r="K208" s="124"/>
    </row>
    <row r="209" spans="6:11" ht="15.75" customHeight="1" x14ac:dyDescent="0.3">
      <c r="F209" s="124"/>
      <c r="G209" s="124"/>
      <c r="H209" s="124"/>
      <c r="I209" s="124"/>
      <c r="J209" s="124"/>
      <c r="K209" s="124"/>
    </row>
    <row r="210" spans="6:11" ht="15.75" customHeight="1" x14ac:dyDescent="0.3">
      <c r="F210" s="124"/>
      <c r="G210" s="124"/>
      <c r="H210" s="124"/>
      <c r="I210" s="124"/>
      <c r="J210" s="124"/>
      <c r="K210" s="124"/>
    </row>
    <row r="211" spans="6:11" ht="15.75" customHeight="1" x14ac:dyDescent="0.3">
      <c r="F211" s="124"/>
      <c r="G211" s="124"/>
      <c r="H211" s="124"/>
      <c r="I211" s="124"/>
      <c r="J211" s="124"/>
      <c r="K211" s="124"/>
    </row>
    <row r="212" spans="6:11" ht="15.75" customHeight="1" x14ac:dyDescent="0.3">
      <c r="F212" s="124"/>
      <c r="G212" s="124"/>
      <c r="H212" s="124"/>
      <c r="I212" s="124"/>
      <c r="J212" s="124"/>
      <c r="K212" s="124"/>
    </row>
    <row r="213" spans="6:11" ht="15.75" customHeight="1" x14ac:dyDescent="0.3">
      <c r="F213" s="124"/>
      <c r="G213" s="124"/>
      <c r="H213" s="124"/>
      <c r="I213" s="124"/>
      <c r="J213" s="124"/>
      <c r="K213" s="124"/>
    </row>
    <row r="214" spans="6:11" ht="15.75" customHeight="1" x14ac:dyDescent="0.3">
      <c r="F214" s="124"/>
      <c r="G214" s="124"/>
      <c r="H214" s="124"/>
      <c r="I214" s="124"/>
      <c r="J214" s="124"/>
      <c r="K214" s="124"/>
    </row>
    <row r="215" spans="6:11" ht="15.75" customHeight="1" x14ac:dyDescent="0.3">
      <c r="F215" s="124"/>
      <c r="G215" s="124"/>
      <c r="H215" s="124"/>
      <c r="I215" s="124"/>
      <c r="J215" s="124"/>
      <c r="K215" s="124"/>
    </row>
    <row r="216" spans="6:11" ht="15.75" customHeight="1" x14ac:dyDescent="0.3">
      <c r="F216" s="124"/>
      <c r="G216" s="124"/>
      <c r="H216" s="124"/>
      <c r="I216" s="124"/>
      <c r="J216" s="124"/>
      <c r="K216" s="124"/>
    </row>
    <row r="217" spans="6:11" ht="15.75" customHeight="1" x14ac:dyDescent="0.3">
      <c r="F217" s="124"/>
      <c r="G217" s="124"/>
      <c r="H217" s="124"/>
      <c r="I217" s="124"/>
      <c r="J217" s="124"/>
      <c r="K217" s="124"/>
    </row>
    <row r="218" spans="6:11" ht="15.75" customHeight="1" x14ac:dyDescent="0.3">
      <c r="F218" s="124"/>
      <c r="G218" s="124"/>
      <c r="H218" s="124"/>
      <c r="I218" s="124"/>
      <c r="J218" s="124"/>
      <c r="K218" s="124"/>
    </row>
    <row r="219" spans="6:11" ht="15.75" customHeight="1" x14ac:dyDescent="0.3">
      <c r="F219" s="124"/>
      <c r="G219" s="124"/>
      <c r="H219" s="124"/>
      <c r="I219" s="124"/>
      <c r="J219" s="124"/>
      <c r="K219" s="124"/>
    </row>
    <row r="220" spans="6:11" ht="15.75" customHeight="1" x14ac:dyDescent="0.3">
      <c r="F220" s="124"/>
      <c r="G220" s="124"/>
      <c r="H220" s="124"/>
      <c r="I220" s="124"/>
      <c r="J220" s="124"/>
      <c r="K220" s="124"/>
    </row>
    <row r="221" spans="6:11" ht="15.75" customHeight="1" x14ac:dyDescent="0.3">
      <c r="F221" s="124"/>
      <c r="G221" s="124"/>
      <c r="H221" s="124"/>
      <c r="I221" s="124"/>
      <c r="J221" s="124"/>
      <c r="K221" s="124"/>
    </row>
    <row r="222" spans="6:11" ht="15.75" customHeight="1" x14ac:dyDescent="0.3">
      <c r="F222" s="124"/>
      <c r="G222" s="124"/>
      <c r="H222" s="124"/>
      <c r="I222" s="124"/>
      <c r="J222" s="124"/>
      <c r="K222" s="124"/>
    </row>
    <row r="223" spans="6:11" ht="15.75" customHeight="1" x14ac:dyDescent="0.3">
      <c r="F223" s="124"/>
      <c r="G223" s="124"/>
      <c r="H223" s="124"/>
      <c r="I223" s="124"/>
      <c r="J223" s="124"/>
      <c r="K223" s="124"/>
    </row>
    <row r="224" spans="6:11" ht="15.75" customHeight="1" x14ac:dyDescent="0.3">
      <c r="F224" s="124"/>
      <c r="G224" s="124"/>
      <c r="H224" s="124"/>
      <c r="I224" s="124"/>
      <c r="J224" s="124"/>
      <c r="K224" s="124"/>
    </row>
    <row r="225" spans="6:11" ht="15.75" customHeight="1" x14ac:dyDescent="0.3">
      <c r="F225" s="124"/>
      <c r="G225" s="124"/>
      <c r="H225" s="124"/>
      <c r="I225" s="124"/>
      <c r="J225" s="124"/>
      <c r="K225" s="124"/>
    </row>
    <row r="226" spans="6:11" ht="15.75" customHeight="1" x14ac:dyDescent="0.3">
      <c r="F226" s="124"/>
      <c r="G226" s="124"/>
      <c r="H226" s="124"/>
      <c r="I226" s="124"/>
      <c r="J226" s="124"/>
      <c r="K226" s="124"/>
    </row>
    <row r="227" spans="6:11" ht="15.75" customHeight="1" x14ac:dyDescent="0.3">
      <c r="F227" s="124"/>
      <c r="G227" s="124"/>
      <c r="H227" s="124"/>
      <c r="I227" s="124"/>
      <c r="J227" s="124"/>
      <c r="K227" s="124"/>
    </row>
    <row r="228" spans="6:11" ht="15.75" customHeight="1" x14ac:dyDescent="0.3">
      <c r="F228" s="124"/>
      <c r="G228" s="124"/>
      <c r="H228" s="124"/>
      <c r="I228" s="124"/>
      <c r="J228" s="124"/>
      <c r="K228" s="124"/>
    </row>
    <row r="229" spans="6:11" ht="15.75" customHeight="1" x14ac:dyDescent="0.3">
      <c r="F229" s="124"/>
      <c r="G229" s="124"/>
      <c r="H229" s="124"/>
      <c r="I229" s="124"/>
      <c r="J229" s="124"/>
      <c r="K229" s="124"/>
    </row>
    <row r="230" spans="6:11" ht="15.75" customHeight="1" x14ac:dyDescent="0.3">
      <c r="F230" s="124"/>
      <c r="G230" s="124"/>
      <c r="H230" s="124"/>
      <c r="I230" s="124"/>
      <c r="J230" s="124"/>
      <c r="K230" s="124"/>
    </row>
    <row r="231" spans="6:11" ht="15.75" customHeight="1" x14ac:dyDescent="0.3">
      <c r="F231" s="124"/>
      <c r="G231" s="124"/>
      <c r="H231" s="124"/>
      <c r="I231" s="124"/>
      <c r="J231" s="124"/>
      <c r="K231" s="124"/>
    </row>
    <row r="232" spans="6:11" ht="15.75" customHeight="1" x14ac:dyDescent="0.3">
      <c r="F232" s="124"/>
      <c r="G232" s="124"/>
      <c r="H232" s="124"/>
      <c r="I232" s="124"/>
      <c r="J232" s="124"/>
      <c r="K232" s="124"/>
    </row>
    <row r="233" spans="6:11" ht="15.75" customHeight="1" x14ac:dyDescent="0.3">
      <c r="F233" s="124"/>
      <c r="G233" s="124"/>
      <c r="H233" s="124"/>
      <c r="I233" s="124"/>
      <c r="J233" s="124"/>
      <c r="K233" s="124"/>
    </row>
    <row r="234" spans="6:11" ht="15.75" customHeight="1" x14ac:dyDescent="0.3">
      <c r="F234" s="124"/>
      <c r="G234" s="124"/>
      <c r="H234" s="124"/>
      <c r="I234" s="124"/>
      <c r="J234" s="124"/>
      <c r="K234" s="124"/>
    </row>
    <row r="235" spans="6:11" ht="15.75" customHeight="1" x14ac:dyDescent="0.3">
      <c r="F235" s="124"/>
      <c r="G235" s="124"/>
      <c r="H235" s="124"/>
      <c r="I235" s="124"/>
      <c r="J235" s="124"/>
      <c r="K235" s="124"/>
    </row>
    <row r="236" spans="6:11" ht="15.75" customHeight="1" x14ac:dyDescent="0.3">
      <c r="F236" s="124"/>
      <c r="G236" s="124"/>
      <c r="H236" s="124"/>
      <c r="I236" s="124"/>
      <c r="J236" s="124"/>
      <c r="K236" s="124"/>
    </row>
    <row r="237" spans="6:11" ht="15.75" customHeight="1" x14ac:dyDescent="0.3">
      <c r="F237" s="124"/>
      <c r="G237" s="124"/>
      <c r="H237" s="124"/>
      <c r="I237" s="124"/>
      <c r="J237" s="124"/>
      <c r="K237" s="124"/>
    </row>
    <row r="238" spans="6:11" ht="15.75" customHeight="1" x14ac:dyDescent="0.3">
      <c r="F238" s="124"/>
      <c r="G238" s="124"/>
      <c r="H238" s="124"/>
      <c r="I238" s="124"/>
      <c r="J238" s="124"/>
      <c r="K238" s="124"/>
    </row>
    <row r="239" spans="6:11" ht="15.75" customHeight="1" x14ac:dyDescent="0.3">
      <c r="F239" s="124"/>
      <c r="G239" s="124"/>
      <c r="H239" s="124"/>
      <c r="I239" s="124"/>
      <c r="J239" s="124"/>
      <c r="K239" s="124"/>
    </row>
    <row r="240" spans="6:11" ht="15.75" customHeight="1" x14ac:dyDescent="0.3">
      <c r="F240" s="124"/>
      <c r="G240" s="124"/>
      <c r="H240" s="124"/>
      <c r="I240" s="124"/>
      <c r="J240" s="124"/>
      <c r="K240" s="124"/>
    </row>
    <row r="241" spans="6:11" ht="15.75" customHeight="1" x14ac:dyDescent="0.3">
      <c r="F241" s="124"/>
      <c r="G241" s="124"/>
      <c r="H241" s="124"/>
      <c r="I241" s="124"/>
      <c r="J241" s="124"/>
      <c r="K241" s="124"/>
    </row>
    <row r="242" spans="6:11" ht="15.75" customHeight="1" x14ac:dyDescent="0.3">
      <c r="F242" s="124"/>
      <c r="G242" s="124"/>
      <c r="H242" s="124"/>
      <c r="I242" s="124"/>
      <c r="J242" s="124"/>
      <c r="K242" s="124"/>
    </row>
    <row r="243" spans="6:11" ht="15.75" customHeight="1" x14ac:dyDescent="0.3">
      <c r="F243" s="124"/>
      <c r="G243" s="124"/>
      <c r="H243" s="124"/>
      <c r="I243" s="124"/>
      <c r="J243" s="124"/>
      <c r="K243" s="124"/>
    </row>
    <row r="244" spans="6:11" ht="15.75" customHeight="1" x14ac:dyDescent="0.3">
      <c r="F244" s="124"/>
      <c r="G244" s="124"/>
      <c r="H244" s="124"/>
      <c r="I244" s="124"/>
      <c r="J244" s="124"/>
      <c r="K244" s="124"/>
    </row>
    <row r="245" spans="6:11" ht="15.75" customHeight="1" x14ac:dyDescent="0.3">
      <c r="F245" s="124"/>
      <c r="G245" s="124"/>
      <c r="H245" s="124"/>
      <c r="I245" s="124"/>
      <c r="J245" s="124"/>
      <c r="K245" s="124"/>
    </row>
    <row r="246" spans="6:11" ht="15.75" customHeight="1" x14ac:dyDescent="0.3">
      <c r="F246" s="124"/>
      <c r="G246" s="124"/>
      <c r="H246" s="124"/>
      <c r="I246" s="124"/>
      <c r="J246" s="124"/>
      <c r="K246" s="124"/>
    </row>
    <row r="247" spans="6:11" ht="15.75" customHeight="1" x14ac:dyDescent="0.3">
      <c r="F247" s="124"/>
      <c r="G247" s="124"/>
      <c r="H247" s="124"/>
      <c r="I247" s="124"/>
      <c r="J247" s="124"/>
      <c r="K247" s="124"/>
    </row>
    <row r="248" spans="6:11" ht="15.75" customHeight="1" x14ac:dyDescent="0.3">
      <c r="F248" s="124"/>
      <c r="G248" s="124"/>
      <c r="H248" s="124"/>
      <c r="I248" s="124"/>
      <c r="J248" s="124"/>
      <c r="K248" s="124"/>
    </row>
    <row r="249" spans="6:11" ht="15.75" customHeight="1" x14ac:dyDescent="0.3">
      <c r="F249" s="124"/>
      <c r="G249" s="124"/>
      <c r="H249" s="124"/>
      <c r="I249" s="124"/>
      <c r="J249" s="124"/>
      <c r="K249" s="124"/>
    </row>
    <row r="250" spans="6:11" ht="15.75" customHeight="1" x14ac:dyDescent="0.3">
      <c r="F250" s="124"/>
      <c r="G250" s="124"/>
      <c r="H250" s="124"/>
      <c r="I250" s="124"/>
      <c r="J250" s="124"/>
      <c r="K250" s="124"/>
    </row>
    <row r="251" spans="6:11" ht="15.75" customHeight="1" x14ac:dyDescent="0.3">
      <c r="F251" s="124"/>
      <c r="G251" s="124"/>
      <c r="H251" s="124"/>
      <c r="I251" s="124"/>
      <c r="J251" s="124"/>
      <c r="K251" s="124"/>
    </row>
    <row r="252" spans="6:11" ht="15.75" customHeight="1" x14ac:dyDescent="0.3">
      <c r="F252" s="124"/>
      <c r="G252" s="124"/>
      <c r="H252" s="124"/>
      <c r="I252" s="124"/>
      <c r="J252" s="124"/>
      <c r="K252" s="124"/>
    </row>
    <row r="253" spans="6:11" ht="15.75" customHeight="1" x14ac:dyDescent="0.3">
      <c r="F253" s="124"/>
      <c r="G253" s="124"/>
      <c r="H253" s="124"/>
      <c r="I253" s="124"/>
      <c r="J253" s="124"/>
      <c r="K253" s="124"/>
    </row>
    <row r="254" spans="6:11" ht="15.75" customHeight="1" x14ac:dyDescent="0.3">
      <c r="F254" s="124"/>
      <c r="G254" s="124"/>
      <c r="H254" s="124"/>
      <c r="I254" s="124"/>
      <c r="J254" s="124"/>
      <c r="K254" s="124"/>
    </row>
    <row r="255" spans="6:11" ht="15.75" customHeight="1" x14ac:dyDescent="0.3">
      <c r="F255" s="124"/>
      <c r="G255" s="124"/>
      <c r="H255" s="124"/>
      <c r="I255" s="124"/>
      <c r="J255" s="124"/>
      <c r="K255" s="124"/>
    </row>
    <row r="256" spans="6:11" ht="15.75" customHeight="1" x14ac:dyDescent="0.3">
      <c r="F256" s="124"/>
      <c r="G256" s="124"/>
      <c r="H256" s="124"/>
      <c r="I256" s="124"/>
      <c r="J256" s="124"/>
      <c r="K256" s="124"/>
    </row>
    <row r="257" spans="6:11" ht="15.75" customHeight="1" x14ac:dyDescent="0.3">
      <c r="F257" s="124"/>
      <c r="G257" s="124"/>
      <c r="H257" s="124"/>
      <c r="I257" s="124"/>
      <c r="J257" s="124"/>
      <c r="K257" s="124"/>
    </row>
    <row r="258" spans="6:11" ht="15.75" customHeight="1" x14ac:dyDescent="0.3">
      <c r="F258" s="124"/>
      <c r="G258" s="124"/>
      <c r="H258" s="124"/>
      <c r="I258" s="124"/>
      <c r="J258" s="124"/>
      <c r="K258" s="124"/>
    </row>
    <row r="259" spans="6:11" ht="15.75" customHeight="1" x14ac:dyDescent="0.3">
      <c r="F259" s="124"/>
      <c r="G259" s="124"/>
      <c r="H259" s="124"/>
      <c r="I259" s="124"/>
      <c r="J259" s="124"/>
      <c r="K259" s="124"/>
    </row>
    <row r="260" spans="6:11" ht="15.75" customHeight="1" x14ac:dyDescent="0.3">
      <c r="F260" s="124"/>
      <c r="G260" s="124"/>
      <c r="H260" s="124"/>
      <c r="I260" s="124"/>
      <c r="J260" s="124"/>
      <c r="K260" s="124"/>
    </row>
    <row r="261" spans="6:11" ht="15.75" customHeight="1" x14ac:dyDescent="0.3">
      <c r="F261" s="124"/>
      <c r="G261" s="124"/>
      <c r="H261" s="124"/>
      <c r="I261" s="124"/>
      <c r="J261" s="124"/>
      <c r="K261" s="124"/>
    </row>
    <row r="262" spans="6:11" ht="15.75" customHeight="1" x14ac:dyDescent="0.3">
      <c r="F262" s="124"/>
      <c r="G262" s="124"/>
      <c r="H262" s="124"/>
      <c r="I262" s="124"/>
      <c r="J262" s="124"/>
      <c r="K262" s="124"/>
    </row>
    <row r="263" spans="6:11" ht="15.75" customHeight="1" x14ac:dyDescent="0.3">
      <c r="F263" s="124"/>
      <c r="G263" s="124"/>
      <c r="H263" s="124"/>
      <c r="I263" s="124"/>
      <c r="J263" s="124"/>
      <c r="K263" s="124"/>
    </row>
    <row r="264" spans="6:11" ht="15.75" customHeight="1" x14ac:dyDescent="0.3">
      <c r="F264" s="124"/>
      <c r="G264" s="124"/>
      <c r="H264" s="124"/>
      <c r="I264" s="124"/>
      <c r="J264" s="124"/>
      <c r="K264" s="124"/>
    </row>
    <row r="265" spans="6:11" ht="15.75" customHeight="1" x14ac:dyDescent="0.3">
      <c r="F265" s="124"/>
      <c r="G265" s="124"/>
      <c r="H265" s="124"/>
      <c r="I265" s="124"/>
      <c r="J265" s="124"/>
      <c r="K265" s="124"/>
    </row>
    <row r="266" spans="6:11" ht="15.75" customHeight="1" x14ac:dyDescent="0.3">
      <c r="F266" s="124"/>
      <c r="G266" s="124"/>
      <c r="H266" s="124"/>
      <c r="I266" s="124"/>
      <c r="J266" s="124"/>
      <c r="K266" s="124"/>
    </row>
    <row r="267" spans="6:11" ht="15.75" customHeight="1" x14ac:dyDescent="0.3">
      <c r="F267" s="124"/>
      <c r="G267" s="124"/>
      <c r="H267" s="124"/>
      <c r="I267" s="124"/>
      <c r="J267" s="124"/>
      <c r="K267" s="124"/>
    </row>
    <row r="268" spans="6:11" ht="15.75" customHeight="1" x14ac:dyDescent="0.3">
      <c r="F268" s="124"/>
      <c r="G268" s="124"/>
      <c r="H268" s="124"/>
      <c r="I268" s="124"/>
      <c r="J268" s="124"/>
      <c r="K268" s="124"/>
    </row>
    <row r="269" spans="6:11" ht="15.75" customHeight="1" x14ac:dyDescent="0.3">
      <c r="F269" s="124"/>
      <c r="G269" s="124"/>
      <c r="H269" s="124"/>
      <c r="I269" s="124"/>
      <c r="J269" s="124"/>
      <c r="K269" s="124"/>
    </row>
    <row r="270" spans="6:11" ht="15.75" customHeight="1" x14ac:dyDescent="0.3">
      <c r="F270" s="124"/>
      <c r="G270" s="124"/>
      <c r="H270" s="124"/>
      <c r="I270" s="124"/>
      <c r="J270" s="124"/>
      <c r="K270" s="124"/>
    </row>
    <row r="271" spans="6:11" ht="15.75" customHeight="1" x14ac:dyDescent="0.3">
      <c r="F271" s="124"/>
      <c r="G271" s="124"/>
      <c r="H271" s="124"/>
      <c r="I271" s="124"/>
      <c r="J271" s="124"/>
      <c r="K271" s="124"/>
    </row>
    <row r="272" spans="6:11" ht="15.75" customHeight="1" x14ac:dyDescent="0.3">
      <c r="F272" s="124"/>
      <c r="G272" s="124"/>
      <c r="H272" s="124"/>
      <c r="I272" s="124"/>
      <c r="J272" s="124"/>
      <c r="K272" s="124"/>
    </row>
    <row r="273" spans="6:11" ht="15.75" customHeight="1" x14ac:dyDescent="0.3">
      <c r="F273" s="124"/>
      <c r="G273" s="124"/>
      <c r="H273" s="124"/>
      <c r="I273" s="124"/>
      <c r="J273" s="124"/>
      <c r="K273" s="124"/>
    </row>
    <row r="274" spans="6:11" ht="15.75" customHeight="1" x14ac:dyDescent="0.3">
      <c r="F274" s="124"/>
      <c r="G274" s="124"/>
      <c r="H274" s="124"/>
      <c r="I274" s="124"/>
      <c r="J274" s="124"/>
      <c r="K274" s="124"/>
    </row>
    <row r="275" spans="6:11" ht="15.75" customHeight="1" x14ac:dyDescent="0.3">
      <c r="F275" s="124"/>
      <c r="G275" s="124"/>
      <c r="H275" s="124"/>
      <c r="I275" s="124"/>
      <c r="J275" s="124"/>
      <c r="K275" s="124"/>
    </row>
    <row r="276" spans="6:11" ht="15.75" customHeight="1" x14ac:dyDescent="0.3">
      <c r="F276" s="124"/>
      <c r="G276" s="124"/>
      <c r="H276" s="124"/>
      <c r="I276" s="124"/>
      <c r="J276" s="124"/>
      <c r="K276" s="124"/>
    </row>
    <row r="277" spans="6:11" ht="15.75" customHeight="1" x14ac:dyDescent="0.3">
      <c r="F277" s="124"/>
      <c r="G277" s="124"/>
      <c r="H277" s="124"/>
      <c r="I277" s="124"/>
      <c r="J277" s="124"/>
      <c r="K277" s="124"/>
    </row>
    <row r="278" spans="6:11" ht="15.75" customHeight="1" x14ac:dyDescent="0.3">
      <c r="F278" s="124"/>
      <c r="G278" s="124"/>
      <c r="H278" s="124"/>
      <c r="I278" s="124"/>
      <c r="J278" s="124"/>
      <c r="K278" s="124"/>
    </row>
    <row r="279" spans="6:11" ht="15.75" customHeight="1" x14ac:dyDescent="0.3">
      <c r="F279" s="124"/>
      <c r="G279" s="124"/>
      <c r="H279" s="124"/>
      <c r="I279" s="124"/>
      <c r="J279" s="124"/>
      <c r="K279" s="124"/>
    </row>
    <row r="280" spans="6:11" ht="15.75" customHeight="1" x14ac:dyDescent="0.3">
      <c r="F280" s="124"/>
      <c r="G280" s="124"/>
      <c r="H280" s="124"/>
      <c r="I280" s="124"/>
      <c r="J280" s="124"/>
      <c r="K280" s="124"/>
    </row>
    <row r="281" spans="6:11" ht="15.75" customHeight="1" x14ac:dyDescent="0.3">
      <c r="F281" s="124"/>
      <c r="G281" s="124"/>
      <c r="H281" s="124"/>
      <c r="I281" s="124"/>
      <c r="J281" s="124"/>
      <c r="K281" s="124"/>
    </row>
    <row r="282" spans="6:11" ht="15.75" customHeight="1" x14ac:dyDescent="0.3">
      <c r="F282" s="124"/>
      <c r="G282" s="124"/>
      <c r="H282" s="124"/>
      <c r="I282" s="124"/>
      <c r="J282" s="124"/>
      <c r="K282" s="124"/>
    </row>
    <row r="283" spans="6:11" ht="15.75" customHeight="1" x14ac:dyDescent="0.3">
      <c r="F283" s="124"/>
      <c r="G283" s="124"/>
      <c r="H283" s="124"/>
      <c r="I283" s="124"/>
      <c r="J283" s="124"/>
      <c r="K283" s="124"/>
    </row>
    <row r="284" spans="6:11" ht="15.75" customHeight="1" x14ac:dyDescent="0.3">
      <c r="F284" s="124"/>
      <c r="G284" s="124"/>
      <c r="H284" s="124"/>
      <c r="I284" s="124"/>
      <c r="J284" s="124"/>
      <c r="K284" s="124"/>
    </row>
    <row r="285" spans="6:11" ht="15.75" customHeight="1" x14ac:dyDescent="0.3">
      <c r="F285" s="124"/>
      <c r="G285" s="124"/>
      <c r="H285" s="124"/>
      <c r="I285" s="124"/>
      <c r="J285" s="124"/>
      <c r="K285" s="124"/>
    </row>
    <row r="286" spans="6:11" ht="15.75" customHeight="1" x14ac:dyDescent="0.3">
      <c r="F286" s="124"/>
      <c r="G286" s="124"/>
      <c r="H286" s="124"/>
      <c r="I286" s="124"/>
      <c r="J286" s="124"/>
      <c r="K286" s="124"/>
    </row>
    <row r="287" spans="6:11" ht="15.75" customHeight="1" x14ac:dyDescent="0.3">
      <c r="F287" s="124"/>
      <c r="G287" s="124"/>
      <c r="H287" s="124"/>
      <c r="I287" s="124"/>
      <c r="J287" s="124"/>
      <c r="K287" s="124"/>
    </row>
    <row r="288" spans="6:11" ht="15.75" customHeight="1" x14ac:dyDescent="0.3">
      <c r="F288" s="124"/>
      <c r="G288" s="124"/>
      <c r="H288" s="124"/>
      <c r="I288" s="124"/>
      <c r="J288" s="124"/>
      <c r="K288" s="124"/>
    </row>
    <row r="289" spans="6:11" ht="15.75" customHeight="1" x14ac:dyDescent="0.3">
      <c r="F289" s="124"/>
      <c r="G289" s="124"/>
      <c r="H289" s="124"/>
      <c r="I289" s="124"/>
      <c r="J289" s="124"/>
      <c r="K289" s="124"/>
    </row>
    <row r="290" spans="6:11" ht="15.75" customHeight="1" x14ac:dyDescent="0.3">
      <c r="F290" s="124"/>
      <c r="G290" s="124"/>
      <c r="H290" s="124"/>
      <c r="I290" s="124"/>
      <c r="J290" s="124"/>
      <c r="K290" s="124"/>
    </row>
    <row r="291" spans="6:11" ht="15.75" customHeight="1" x14ac:dyDescent="0.3">
      <c r="F291" s="124"/>
      <c r="G291" s="124"/>
      <c r="H291" s="124"/>
      <c r="I291" s="124"/>
      <c r="J291" s="124"/>
      <c r="K291" s="124"/>
    </row>
    <row r="292" spans="6:11" ht="15.75" customHeight="1" x14ac:dyDescent="0.3">
      <c r="F292" s="124"/>
      <c r="G292" s="124"/>
      <c r="H292" s="124"/>
      <c r="I292" s="124"/>
      <c r="J292" s="124"/>
      <c r="K292" s="124"/>
    </row>
    <row r="293" spans="6:11" ht="15.75" customHeight="1" x14ac:dyDescent="0.3">
      <c r="F293" s="124"/>
      <c r="G293" s="124"/>
      <c r="H293" s="124"/>
      <c r="I293" s="124"/>
      <c r="J293" s="124"/>
      <c r="K293" s="124"/>
    </row>
    <row r="294" spans="6:11" ht="15.75" customHeight="1" x14ac:dyDescent="0.3">
      <c r="F294" s="124"/>
      <c r="G294" s="124"/>
      <c r="H294" s="124"/>
      <c r="I294" s="124"/>
      <c r="J294" s="124"/>
      <c r="K294" s="124"/>
    </row>
    <row r="295" spans="6:11" ht="15.75" customHeight="1" x14ac:dyDescent="0.3">
      <c r="F295" s="124"/>
      <c r="G295" s="124"/>
      <c r="H295" s="124"/>
      <c r="I295" s="124"/>
      <c r="J295" s="124"/>
      <c r="K295" s="124"/>
    </row>
    <row r="296" spans="6:11" ht="15.75" customHeight="1" x14ac:dyDescent="0.3">
      <c r="F296" s="124"/>
      <c r="G296" s="124"/>
      <c r="H296" s="124"/>
      <c r="I296" s="124"/>
      <c r="J296" s="124"/>
      <c r="K296" s="124"/>
    </row>
    <row r="297" spans="6:11" ht="15.75" customHeight="1" x14ac:dyDescent="0.3">
      <c r="F297" s="124"/>
      <c r="G297" s="124"/>
      <c r="H297" s="124"/>
      <c r="I297" s="124"/>
      <c r="J297" s="124"/>
      <c r="K297" s="124"/>
    </row>
    <row r="298" spans="6:11" ht="15.75" customHeight="1" x14ac:dyDescent="0.3">
      <c r="F298" s="124"/>
      <c r="G298" s="124"/>
      <c r="H298" s="124"/>
      <c r="I298" s="124"/>
      <c r="J298" s="124"/>
      <c r="K298" s="124"/>
    </row>
    <row r="299" spans="6:11" ht="15.75" customHeight="1" x14ac:dyDescent="0.3">
      <c r="F299" s="124"/>
      <c r="G299" s="124"/>
      <c r="H299" s="124"/>
      <c r="I299" s="124"/>
      <c r="J299" s="124"/>
      <c r="K299" s="124"/>
    </row>
    <row r="300" spans="6:11" ht="15.75" customHeight="1" x14ac:dyDescent="0.3">
      <c r="F300" s="124"/>
      <c r="G300" s="124"/>
      <c r="H300" s="124"/>
      <c r="I300" s="124"/>
      <c r="J300" s="124"/>
      <c r="K300" s="124"/>
    </row>
    <row r="301" spans="6:11" ht="15.75" customHeight="1" x14ac:dyDescent="0.3">
      <c r="F301" s="124"/>
      <c r="G301" s="124"/>
      <c r="H301" s="124"/>
      <c r="I301" s="124"/>
      <c r="J301" s="124"/>
      <c r="K301" s="124"/>
    </row>
    <row r="302" spans="6:11" ht="15.75" customHeight="1" x14ac:dyDescent="0.3">
      <c r="F302" s="124"/>
      <c r="G302" s="124"/>
      <c r="H302" s="124"/>
      <c r="I302" s="124"/>
      <c r="J302" s="124"/>
      <c r="K302" s="124"/>
    </row>
    <row r="303" spans="6:11" ht="15.75" customHeight="1" x14ac:dyDescent="0.3">
      <c r="F303" s="124"/>
      <c r="G303" s="124"/>
      <c r="H303" s="124"/>
      <c r="I303" s="124"/>
      <c r="J303" s="124"/>
      <c r="K303" s="124"/>
    </row>
    <row r="304" spans="6:11" ht="15.75" customHeight="1" x14ac:dyDescent="0.3">
      <c r="F304" s="124"/>
      <c r="G304" s="124"/>
      <c r="H304" s="124"/>
      <c r="I304" s="124"/>
      <c r="J304" s="124"/>
      <c r="K304" s="124"/>
    </row>
    <row r="305" spans="6:11" ht="15.75" customHeight="1" x14ac:dyDescent="0.3">
      <c r="F305" s="124"/>
      <c r="G305" s="124"/>
      <c r="H305" s="124"/>
      <c r="I305" s="124"/>
      <c r="J305" s="124"/>
      <c r="K305" s="124"/>
    </row>
    <row r="306" spans="6:11" ht="15.75" customHeight="1" x14ac:dyDescent="0.3">
      <c r="F306" s="124"/>
      <c r="G306" s="124"/>
      <c r="H306" s="124"/>
      <c r="I306" s="124"/>
      <c r="J306" s="124"/>
      <c r="K306" s="124"/>
    </row>
    <row r="307" spans="6:11" ht="15.75" customHeight="1" x14ac:dyDescent="0.3">
      <c r="F307" s="124"/>
      <c r="G307" s="124"/>
      <c r="H307" s="124"/>
      <c r="I307" s="124"/>
      <c r="J307" s="124"/>
      <c r="K307" s="124"/>
    </row>
    <row r="308" spans="6:11" ht="15.75" customHeight="1" x14ac:dyDescent="0.3">
      <c r="F308" s="124"/>
      <c r="G308" s="124"/>
      <c r="H308" s="124"/>
      <c r="I308" s="124"/>
      <c r="J308" s="124"/>
      <c r="K308" s="124"/>
    </row>
    <row r="309" spans="6:11" ht="15.75" customHeight="1" x14ac:dyDescent="0.3">
      <c r="F309" s="124"/>
      <c r="G309" s="124"/>
      <c r="H309" s="124"/>
      <c r="I309" s="124"/>
      <c r="J309" s="124"/>
      <c r="K309" s="124"/>
    </row>
    <row r="310" spans="6:11" ht="15.75" customHeight="1" x14ac:dyDescent="0.3">
      <c r="F310" s="124"/>
      <c r="G310" s="124"/>
      <c r="H310" s="124"/>
      <c r="I310" s="124"/>
      <c r="J310" s="124"/>
      <c r="K310" s="124"/>
    </row>
    <row r="311" spans="6:11" ht="15.75" customHeight="1" x14ac:dyDescent="0.3">
      <c r="F311" s="124"/>
      <c r="G311" s="124"/>
      <c r="H311" s="124"/>
      <c r="I311" s="124"/>
      <c r="J311" s="124"/>
      <c r="K311" s="124"/>
    </row>
    <row r="312" spans="6:11" ht="15.75" customHeight="1" x14ac:dyDescent="0.3">
      <c r="F312" s="124"/>
      <c r="G312" s="124"/>
      <c r="H312" s="124"/>
      <c r="I312" s="124"/>
      <c r="J312" s="124"/>
      <c r="K312" s="124"/>
    </row>
    <row r="313" spans="6:11" ht="15.75" customHeight="1" x14ac:dyDescent="0.3">
      <c r="F313" s="124"/>
      <c r="G313" s="124"/>
      <c r="H313" s="124"/>
      <c r="I313" s="124"/>
      <c r="J313" s="124"/>
      <c r="K313" s="124"/>
    </row>
    <row r="314" spans="6:11" ht="15.75" customHeight="1" x14ac:dyDescent="0.3">
      <c r="F314" s="124"/>
      <c r="G314" s="124"/>
      <c r="H314" s="124"/>
      <c r="I314" s="124"/>
      <c r="J314" s="124"/>
      <c r="K314" s="124"/>
    </row>
    <row r="315" spans="6:11" ht="15.75" customHeight="1" x14ac:dyDescent="0.3">
      <c r="F315" s="124"/>
      <c r="G315" s="124"/>
      <c r="H315" s="124"/>
      <c r="I315" s="124"/>
      <c r="J315" s="124"/>
      <c r="K315" s="124"/>
    </row>
    <row r="316" spans="6:11" ht="15.75" customHeight="1" x14ac:dyDescent="0.3">
      <c r="F316" s="124"/>
      <c r="G316" s="124"/>
      <c r="H316" s="124"/>
      <c r="I316" s="124"/>
      <c r="J316" s="124"/>
      <c r="K316" s="124"/>
    </row>
    <row r="317" spans="6:11" ht="15.75" customHeight="1" x14ac:dyDescent="0.3">
      <c r="F317" s="124"/>
      <c r="G317" s="124"/>
      <c r="H317" s="124"/>
      <c r="I317" s="124"/>
      <c r="J317" s="124"/>
      <c r="K317" s="124"/>
    </row>
    <row r="318" spans="6:11" ht="15.75" customHeight="1" x14ac:dyDescent="0.3">
      <c r="F318" s="124"/>
      <c r="G318" s="124"/>
      <c r="H318" s="124"/>
      <c r="I318" s="124"/>
      <c r="J318" s="124"/>
      <c r="K318" s="124"/>
    </row>
    <row r="319" spans="6:11" ht="15.75" customHeight="1" x14ac:dyDescent="0.3">
      <c r="F319" s="124"/>
      <c r="G319" s="124"/>
      <c r="H319" s="124"/>
      <c r="I319" s="124"/>
      <c r="J319" s="124"/>
      <c r="K319" s="124"/>
    </row>
    <row r="320" spans="6:11" ht="15.75" customHeight="1" x14ac:dyDescent="0.3">
      <c r="F320" s="124"/>
      <c r="G320" s="124"/>
      <c r="H320" s="124"/>
      <c r="I320" s="124"/>
      <c r="J320" s="124"/>
      <c r="K320" s="124"/>
    </row>
    <row r="321" spans="6:11" ht="15.75" customHeight="1" x14ac:dyDescent="0.3">
      <c r="F321" s="124"/>
      <c r="G321" s="124"/>
      <c r="H321" s="124"/>
      <c r="I321" s="124"/>
      <c r="J321" s="124"/>
      <c r="K321" s="124"/>
    </row>
    <row r="322" spans="6:11" ht="15.75" customHeight="1" x14ac:dyDescent="0.3">
      <c r="F322" s="124"/>
      <c r="G322" s="124"/>
      <c r="H322" s="124"/>
      <c r="I322" s="124"/>
      <c r="J322" s="124"/>
      <c r="K322" s="124"/>
    </row>
    <row r="323" spans="6:11" ht="15.75" customHeight="1" x14ac:dyDescent="0.3">
      <c r="F323" s="124"/>
      <c r="G323" s="124"/>
      <c r="H323" s="124"/>
      <c r="I323" s="124"/>
      <c r="J323" s="124"/>
      <c r="K323" s="124"/>
    </row>
    <row r="324" spans="6:11" ht="15.75" customHeight="1" x14ac:dyDescent="0.3">
      <c r="F324" s="124"/>
      <c r="G324" s="124"/>
      <c r="H324" s="124"/>
      <c r="I324" s="124"/>
      <c r="J324" s="124"/>
      <c r="K324" s="124"/>
    </row>
    <row r="325" spans="6:11" ht="15.75" customHeight="1" x14ac:dyDescent="0.3">
      <c r="F325" s="124"/>
      <c r="G325" s="124"/>
      <c r="H325" s="124"/>
      <c r="I325" s="124"/>
      <c r="J325" s="124"/>
      <c r="K325" s="124"/>
    </row>
    <row r="326" spans="6:11" ht="15.75" customHeight="1" x14ac:dyDescent="0.3">
      <c r="F326" s="124"/>
      <c r="G326" s="124"/>
      <c r="H326" s="124"/>
      <c r="I326" s="124"/>
      <c r="J326" s="124"/>
      <c r="K326" s="124"/>
    </row>
    <row r="327" spans="6:11" ht="15.75" customHeight="1" x14ac:dyDescent="0.3">
      <c r="F327" s="124"/>
      <c r="G327" s="124"/>
      <c r="H327" s="124"/>
      <c r="I327" s="124"/>
      <c r="J327" s="124"/>
      <c r="K327" s="124"/>
    </row>
    <row r="328" spans="6:11" ht="15.75" customHeight="1" x14ac:dyDescent="0.3">
      <c r="F328" s="124"/>
      <c r="G328" s="124"/>
      <c r="H328" s="124"/>
      <c r="I328" s="124"/>
      <c r="J328" s="124"/>
      <c r="K328" s="124"/>
    </row>
    <row r="329" spans="6:11" ht="15.75" customHeight="1" x14ac:dyDescent="0.3">
      <c r="F329" s="124"/>
      <c r="G329" s="124"/>
      <c r="H329" s="124"/>
      <c r="I329" s="124"/>
      <c r="J329" s="124"/>
      <c r="K329" s="124"/>
    </row>
    <row r="330" spans="6:11" ht="15.75" customHeight="1" x14ac:dyDescent="0.3">
      <c r="F330" s="124"/>
      <c r="G330" s="124"/>
      <c r="H330" s="124"/>
      <c r="I330" s="124"/>
      <c r="J330" s="124"/>
      <c r="K330" s="124"/>
    </row>
    <row r="331" spans="6:11" ht="15.75" customHeight="1" x14ac:dyDescent="0.3">
      <c r="F331" s="124"/>
      <c r="G331" s="124"/>
      <c r="H331" s="124"/>
      <c r="I331" s="124"/>
      <c r="J331" s="124"/>
      <c r="K331" s="124"/>
    </row>
    <row r="332" spans="6:11" ht="15.75" customHeight="1" x14ac:dyDescent="0.3">
      <c r="F332" s="124"/>
      <c r="G332" s="124"/>
      <c r="H332" s="124"/>
      <c r="I332" s="124"/>
      <c r="J332" s="124"/>
      <c r="K332" s="124"/>
    </row>
    <row r="333" spans="6:11" ht="15.75" customHeight="1" x14ac:dyDescent="0.3">
      <c r="F333" s="124"/>
      <c r="G333" s="124"/>
      <c r="H333" s="124"/>
      <c r="I333" s="124"/>
      <c r="J333" s="124"/>
      <c r="K333" s="124"/>
    </row>
    <row r="334" spans="6:11" ht="15.75" customHeight="1" x14ac:dyDescent="0.3">
      <c r="F334" s="124"/>
      <c r="G334" s="124"/>
      <c r="H334" s="124"/>
      <c r="I334" s="124"/>
      <c r="J334" s="124"/>
      <c r="K334" s="124"/>
    </row>
    <row r="335" spans="6:11" ht="15.75" customHeight="1" x14ac:dyDescent="0.3">
      <c r="F335" s="124"/>
      <c r="G335" s="124"/>
      <c r="H335" s="124"/>
      <c r="I335" s="124"/>
      <c r="J335" s="124"/>
      <c r="K335" s="124"/>
    </row>
    <row r="336" spans="6:11" ht="15.75" customHeight="1" x14ac:dyDescent="0.3">
      <c r="F336" s="124"/>
      <c r="G336" s="124"/>
      <c r="H336" s="124"/>
      <c r="I336" s="124"/>
      <c r="J336" s="124"/>
      <c r="K336" s="124"/>
    </row>
    <row r="337" spans="6:11" ht="15.75" customHeight="1" x14ac:dyDescent="0.3">
      <c r="F337" s="124"/>
      <c r="G337" s="124"/>
      <c r="H337" s="124"/>
      <c r="I337" s="124"/>
      <c r="J337" s="124"/>
      <c r="K337" s="124"/>
    </row>
    <row r="338" spans="6:11" ht="15.75" customHeight="1" x14ac:dyDescent="0.3">
      <c r="F338" s="124"/>
      <c r="G338" s="124"/>
      <c r="H338" s="124"/>
      <c r="I338" s="124"/>
      <c r="J338" s="124"/>
      <c r="K338" s="124"/>
    </row>
    <row r="339" spans="6:11" ht="15.75" customHeight="1" x14ac:dyDescent="0.3">
      <c r="F339" s="124"/>
      <c r="G339" s="124"/>
      <c r="H339" s="124"/>
      <c r="I339" s="124"/>
      <c r="J339" s="124"/>
      <c r="K339" s="124"/>
    </row>
    <row r="340" spans="6:11" ht="15.75" customHeight="1" x14ac:dyDescent="0.3">
      <c r="F340" s="124"/>
      <c r="G340" s="124"/>
      <c r="H340" s="124"/>
      <c r="I340" s="124"/>
      <c r="J340" s="124"/>
      <c r="K340" s="124"/>
    </row>
    <row r="341" spans="6:11" ht="15.75" customHeight="1" x14ac:dyDescent="0.3">
      <c r="F341" s="124"/>
      <c r="G341" s="124"/>
      <c r="H341" s="124"/>
      <c r="I341" s="124"/>
      <c r="J341" s="124"/>
      <c r="K341" s="124"/>
    </row>
    <row r="342" spans="6:11" ht="15.75" customHeight="1" x14ac:dyDescent="0.3">
      <c r="F342" s="124"/>
      <c r="G342" s="124"/>
      <c r="H342" s="124"/>
      <c r="I342" s="124"/>
      <c r="J342" s="124"/>
      <c r="K342" s="124"/>
    </row>
    <row r="343" spans="6:11" ht="15.75" customHeight="1" x14ac:dyDescent="0.3">
      <c r="F343" s="124"/>
      <c r="G343" s="124"/>
      <c r="H343" s="124"/>
      <c r="I343" s="124"/>
      <c r="J343" s="124"/>
      <c r="K343" s="124"/>
    </row>
    <row r="344" spans="6:11" ht="15.75" customHeight="1" x14ac:dyDescent="0.3">
      <c r="F344" s="124"/>
      <c r="G344" s="124"/>
      <c r="H344" s="124"/>
      <c r="I344" s="124"/>
      <c r="J344" s="124"/>
      <c r="K344" s="124"/>
    </row>
    <row r="345" spans="6:11" ht="15.75" customHeight="1" x14ac:dyDescent="0.3">
      <c r="F345" s="124"/>
      <c r="G345" s="124"/>
      <c r="H345" s="124"/>
      <c r="I345" s="124"/>
      <c r="J345" s="124"/>
      <c r="K345" s="124"/>
    </row>
    <row r="346" spans="6:11" ht="15.75" customHeight="1" x14ac:dyDescent="0.3">
      <c r="F346" s="124"/>
      <c r="G346" s="124"/>
      <c r="H346" s="124"/>
      <c r="I346" s="124"/>
      <c r="J346" s="124"/>
      <c r="K346" s="124"/>
    </row>
    <row r="347" spans="6:11" ht="15.75" customHeight="1" x14ac:dyDescent="0.3">
      <c r="F347" s="124"/>
      <c r="G347" s="124"/>
      <c r="H347" s="124"/>
      <c r="I347" s="124"/>
      <c r="J347" s="124"/>
      <c r="K347" s="124"/>
    </row>
    <row r="348" spans="6:11" ht="15.75" customHeight="1" x14ac:dyDescent="0.3">
      <c r="F348" s="124"/>
      <c r="G348" s="124"/>
      <c r="H348" s="124"/>
      <c r="I348" s="124"/>
      <c r="J348" s="124"/>
      <c r="K348" s="124"/>
    </row>
    <row r="349" spans="6:11" ht="15.75" customHeight="1" x14ac:dyDescent="0.3">
      <c r="F349" s="124"/>
      <c r="G349" s="124"/>
      <c r="H349" s="124"/>
      <c r="I349" s="124"/>
      <c r="J349" s="124"/>
      <c r="K349" s="124"/>
    </row>
    <row r="350" spans="6:11" ht="15.75" customHeight="1" x14ac:dyDescent="0.3">
      <c r="F350" s="124"/>
      <c r="G350" s="124"/>
      <c r="H350" s="124"/>
      <c r="I350" s="124"/>
      <c r="J350" s="124"/>
      <c r="K350" s="124"/>
    </row>
    <row r="351" spans="6:11" ht="15.75" customHeight="1" x14ac:dyDescent="0.3">
      <c r="F351" s="124"/>
      <c r="G351" s="124"/>
      <c r="H351" s="124"/>
      <c r="I351" s="124"/>
      <c r="J351" s="124"/>
      <c r="K351" s="124"/>
    </row>
    <row r="352" spans="6:11" ht="15.75" customHeight="1" x14ac:dyDescent="0.3">
      <c r="F352" s="124"/>
      <c r="G352" s="124"/>
      <c r="H352" s="124"/>
      <c r="I352" s="124"/>
      <c r="J352" s="124"/>
      <c r="K352" s="124"/>
    </row>
    <row r="353" spans="6:11" ht="15.75" customHeight="1" x14ac:dyDescent="0.3">
      <c r="F353" s="124"/>
      <c r="G353" s="124"/>
      <c r="H353" s="124"/>
      <c r="I353" s="124"/>
      <c r="J353" s="124"/>
      <c r="K353" s="124"/>
    </row>
    <row r="354" spans="6:11" ht="15.75" customHeight="1" x14ac:dyDescent="0.3">
      <c r="F354" s="124"/>
      <c r="G354" s="124"/>
      <c r="H354" s="124"/>
      <c r="I354" s="124"/>
      <c r="J354" s="124"/>
      <c r="K354" s="124"/>
    </row>
    <row r="355" spans="6:11" ht="15.75" customHeight="1" x14ac:dyDescent="0.3">
      <c r="F355" s="124"/>
      <c r="G355" s="124"/>
      <c r="H355" s="124"/>
      <c r="I355" s="124"/>
      <c r="J355" s="124"/>
      <c r="K355" s="124"/>
    </row>
    <row r="356" spans="6:11" ht="15.75" customHeight="1" x14ac:dyDescent="0.3">
      <c r="F356" s="124"/>
      <c r="G356" s="124"/>
      <c r="H356" s="124"/>
      <c r="I356" s="124"/>
      <c r="J356" s="124"/>
      <c r="K356" s="124"/>
    </row>
    <row r="357" spans="6:11" ht="15.75" customHeight="1" x14ac:dyDescent="0.3">
      <c r="F357" s="124"/>
      <c r="G357" s="124"/>
      <c r="H357" s="124"/>
      <c r="I357" s="124"/>
      <c r="J357" s="124"/>
      <c r="K357" s="124"/>
    </row>
    <row r="358" spans="6:11" ht="15.75" customHeight="1" x14ac:dyDescent="0.3">
      <c r="F358" s="124"/>
      <c r="G358" s="124"/>
      <c r="H358" s="124"/>
      <c r="I358" s="124"/>
      <c r="J358" s="124"/>
      <c r="K358" s="124"/>
    </row>
    <row r="359" spans="6:11" ht="15.75" customHeight="1" x14ac:dyDescent="0.3">
      <c r="F359" s="124"/>
      <c r="G359" s="124"/>
      <c r="H359" s="124"/>
      <c r="I359" s="124"/>
      <c r="J359" s="124"/>
      <c r="K359" s="124"/>
    </row>
    <row r="360" spans="6:11" ht="15.75" customHeight="1" x14ac:dyDescent="0.3">
      <c r="F360" s="124"/>
      <c r="G360" s="124"/>
      <c r="H360" s="124"/>
      <c r="I360" s="124"/>
      <c r="J360" s="124"/>
      <c r="K360" s="124"/>
    </row>
    <row r="361" spans="6:11" ht="15.75" customHeight="1" x14ac:dyDescent="0.3">
      <c r="F361" s="124"/>
      <c r="G361" s="124"/>
      <c r="H361" s="124"/>
      <c r="I361" s="124"/>
      <c r="J361" s="124"/>
      <c r="K361" s="124"/>
    </row>
    <row r="362" spans="6:11" ht="15.75" customHeight="1" x14ac:dyDescent="0.3">
      <c r="F362" s="124"/>
      <c r="G362" s="124"/>
      <c r="H362" s="124"/>
      <c r="I362" s="124"/>
      <c r="J362" s="124"/>
      <c r="K362" s="124"/>
    </row>
    <row r="363" spans="6:11" ht="15.75" customHeight="1" x14ac:dyDescent="0.3">
      <c r="F363" s="124"/>
      <c r="G363" s="124"/>
      <c r="H363" s="124"/>
      <c r="I363" s="124"/>
      <c r="J363" s="124"/>
      <c r="K363" s="124"/>
    </row>
    <row r="364" spans="6:11" ht="15.75" customHeight="1" x14ac:dyDescent="0.3">
      <c r="F364" s="124"/>
      <c r="G364" s="124"/>
      <c r="H364" s="124"/>
      <c r="I364" s="124"/>
      <c r="J364" s="124"/>
      <c r="K364" s="124"/>
    </row>
    <row r="365" spans="6:11" ht="15.75" customHeight="1" x14ac:dyDescent="0.3">
      <c r="F365" s="124"/>
      <c r="G365" s="124"/>
      <c r="H365" s="124"/>
      <c r="I365" s="124"/>
      <c r="J365" s="124"/>
      <c r="K365" s="124"/>
    </row>
    <row r="366" spans="6:11" ht="15.75" customHeight="1" x14ac:dyDescent="0.3">
      <c r="F366" s="124"/>
      <c r="G366" s="124"/>
      <c r="H366" s="124"/>
      <c r="I366" s="124"/>
      <c r="J366" s="124"/>
      <c r="K366" s="124"/>
    </row>
    <row r="367" spans="6:11" ht="15.75" customHeight="1" x14ac:dyDescent="0.3">
      <c r="F367" s="124"/>
      <c r="G367" s="124"/>
      <c r="H367" s="124"/>
      <c r="I367" s="124"/>
      <c r="J367" s="124"/>
      <c r="K367" s="124"/>
    </row>
    <row r="368" spans="6:11" ht="15.75" customHeight="1" x14ac:dyDescent="0.3">
      <c r="F368" s="124"/>
      <c r="G368" s="124"/>
      <c r="H368" s="124"/>
      <c r="I368" s="124"/>
      <c r="J368" s="124"/>
      <c r="K368" s="124"/>
    </row>
    <row r="369" spans="6:11" ht="15.75" customHeight="1" x14ac:dyDescent="0.3">
      <c r="F369" s="124"/>
      <c r="G369" s="124"/>
      <c r="H369" s="124"/>
      <c r="I369" s="124"/>
      <c r="J369" s="124"/>
      <c r="K369" s="124"/>
    </row>
    <row r="370" spans="6:11" ht="15.75" customHeight="1" x14ac:dyDescent="0.3">
      <c r="F370" s="124"/>
      <c r="G370" s="124"/>
      <c r="H370" s="124"/>
      <c r="I370" s="124"/>
      <c r="J370" s="124"/>
      <c r="K370" s="124"/>
    </row>
    <row r="371" spans="6:11" ht="15.75" customHeight="1" x14ac:dyDescent="0.3">
      <c r="F371" s="124"/>
      <c r="G371" s="124"/>
      <c r="H371" s="124"/>
      <c r="I371" s="124"/>
      <c r="J371" s="124"/>
      <c r="K371" s="124"/>
    </row>
    <row r="372" spans="6:11" ht="15.75" customHeight="1" x14ac:dyDescent="0.3">
      <c r="F372" s="124"/>
      <c r="G372" s="124"/>
      <c r="H372" s="124"/>
      <c r="I372" s="124"/>
      <c r="J372" s="124"/>
      <c r="K372" s="124"/>
    </row>
    <row r="373" spans="6:11" ht="15.75" customHeight="1" x14ac:dyDescent="0.3">
      <c r="F373" s="124"/>
      <c r="G373" s="124"/>
      <c r="H373" s="124"/>
      <c r="I373" s="124"/>
      <c r="J373" s="124"/>
      <c r="K373" s="124"/>
    </row>
    <row r="374" spans="6:11" ht="15.75" customHeight="1" x14ac:dyDescent="0.3">
      <c r="F374" s="124"/>
      <c r="G374" s="124"/>
      <c r="H374" s="124"/>
      <c r="I374" s="124"/>
      <c r="J374" s="124"/>
      <c r="K374" s="124"/>
    </row>
    <row r="375" spans="6:11" ht="15.75" customHeight="1" x14ac:dyDescent="0.3">
      <c r="F375" s="124"/>
      <c r="G375" s="124"/>
      <c r="H375" s="124"/>
      <c r="I375" s="124"/>
      <c r="J375" s="124"/>
      <c r="K375" s="124"/>
    </row>
    <row r="376" spans="6:11" ht="15.75" customHeight="1" x14ac:dyDescent="0.3">
      <c r="F376" s="124"/>
      <c r="G376" s="124"/>
      <c r="H376" s="124"/>
      <c r="I376" s="124"/>
      <c r="J376" s="124"/>
      <c r="K376" s="124"/>
    </row>
    <row r="377" spans="6:11" ht="15.75" customHeight="1" x14ac:dyDescent="0.3">
      <c r="F377" s="124"/>
      <c r="G377" s="124"/>
      <c r="H377" s="124"/>
      <c r="I377" s="124"/>
      <c r="J377" s="124"/>
      <c r="K377" s="124"/>
    </row>
    <row r="378" spans="6:11" ht="15.75" customHeight="1" x14ac:dyDescent="0.3">
      <c r="F378" s="124"/>
      <c r="G378" s="124"/>
      <c r="H378" s="124"/>
      <c r="I378" s="124"/>
      <c r="J378" s="124"/>
      <c r="K378" s="124"/>
    </row>
    <row r="379" spans="6:11" ht="15.75" customHeight="1" x14ac:dyDescent="0.3">
      <c r="F379" s="124"/>
      <c r="G379" s="124"/>
      <c r="H379" s="124"/>
      <c r="I379" s="124"/>
      <c r="J379" s="124"/>
      <c r="K379" s="124"/>
    </row>
    <row r="380" spans="6:11" ht="15.75" customHeight="1" x14ac:dyDescent="0.3">
      <c r="F380" s="124"/>
      <c r="G380" s="124"/>
      <c r="H380" s="124"/>
      <c r="I380" s="124"/>
      <c r="J380" s="124"/>
      <c r="K380" s="124"/>
    </row>
    <row r="381" spans="6:11" ht="15.75" customHeight="1" x14ac:dyDescent="0.3">
      <c r="F381" s="124"/>
      <c r="G381" s="124"/>
      <c r="H381" s="124"/>
      <c r="I381" s="124"/>
      <c r="J381" s="124"/>
      <c r="K381" s="124"/>
    </row>
    <row r="382" spans="6:11" ht="15.75" customHeight="1" x14ac:dyDescent="0.3">
      <c r="F382" s="124"/>
      <c r="G382" s="124"/>
      <c r="H382" s="124"/>
      <c r="I382" s="124"/>
      <c r="J382" s="124"/>
      <c r="K382" s="124"/>
    </row>
    <row r="383" spans="6:11" ht="15.75" customHeight="1" x14ac:dyDescent="0.3">
      <c r="F383" s="124"/>
      <c r="G383" s="124"/>
      <c r="H383" s="124"/>
      <c r="I383" s="124"/>
      <c r="J383" s="124"/>
      <c r="K383" s="124"/>
    </row>
    <row r="384" spans="6:11" ht="15.75" customHeight="1" x14ac:dyDescent="0.3">
      <c r="F384" s="124"/>
      <c r="G384" s="124"/>
      <c r="H384" s="124"/>
      <c r="I384" s="124"/>
      <c r="J384" s="124"/>
      <c r="K384" s="124"/>
    </row>
    <row r="385" spans="6:11" ht="15.75" customHeight="1" x14ac:dyDescent="0.3">
      <c r="F385" s="124"/>
      <c r="G385" s="124"/>
      <c r="H385" s="124"/>
      <c r="I385" s="124"/>
      <c r="J385" s="124"/>
      <c r="K385" s="124"/>
    </row>
    <row r="386" spans="6:11" ht="15.75" customHeight="1" x14ac:dyDescent="0.3">
      <c r="F386" s="124"/>
      <c r="G386" s="124"/>
      <c r="H386" s="124"/>
      <c r="I386" s="124"/>
      <c r="J386" s="124"/>
      <c r="K386" s="124"/>
    </row>
    <row r="387" spans="6:11" ht="15.75" customHeight="1" x14ac:dyDescent="0.3">
      <c r="F387" s="124"/>
      <c r="G387" s="124"/>
      <c r="H387" s="124"/>
      <c r="I387" s="124"/>
      <c r="J387" s="124"/>
      <c r="K387" s="124"/>
    </row>
    <row r="388" spans="6:11" ht="15.75" customHeight="1" x14ac:dyDescent="0.3">
      <c r="F388" s="124"/>
      <c r="G388" s="124"/>
      <c r="H388" s="124"/>
      <c r="I388" s="124"/>
      <c r="J388" s="124"/>
      <c r="K388" s="124"/>
    </row>
    <row r="389" spans="6:11" ht="15.75" customHeight="1" x14ac:dyDescent="0.3">
      <c r="F389" s="124"/>
      <c r="G389" s="124"/>
      <c r="H389" s="124"/>
      <c r="I389" s="124"/>
      <c r="J389" s="124"/>
      <c r="K389" s="124"/>
    </row>
    <row r="390" spans="6:11" ht="15.75" customHeight="1" x14ac:dyDescent="0.3">
      <c r="F390" s="124"/>
      <c r="G390" s="124"/>
      <c r="H390" s="124"/>
      <c r="I390" s="124"/>
      <c r="J390" s="124"/>
      <c r="K390" s="124"/>
    </row>
    <row r="391" spans="6:11" ht="15.75" customHeight="1" x14ac:dyDescent="0.3">
      <c r="F391" s="124"/>
      <c r="G391" s="124"/>
      <c r="H391" s="124"/>
      <c r="I391" s="124"/>
      <c r="J391" s="124"/>
      <c r="K391" s="124"/>
    </row>
    <row r="392" spans="6:11" ht="15.75" customHeight="1" x14ac:dyDescent="0.3">
      <c r="F392" s="124"/>
      <c r="G392" s="124"/>
      <c r="H392" s="124"/>
      <c r="I392" s="124"/>
      <c r="J392" s="124"/>
      <c r="K392" s="124"/>
    </row>
    <row r="393" spans="6:11" ht="15.75" customHeight="1" x14ac:dyDescent="0.3">
      <c r="F393" s="124"/>
      <c r="G393" s="124"/>
      <c r="H393" s="124"/>
      <c r="I393" s="124"/>
      <c r="J393" s="124"/>
      <c r="K393" s="124"/>
    </row>
    <row r="394" spans="6:11" ht="15.75" customHeight="1" x14ac:dyDescent="0.3">
      <c r="F394" s="124"/>
      <c r="G394" s="124"/>
      <c r="H394" s="124"/>
      <c r="I394" s="124"/>
      <c r="J394" s="124"/>
      <c r="K394" s="124"/>
    </row>
    <row r="395" spans="6:11" ht="15.75" customHeight="1" x14ac:dyDescent="0.3">
      <c r="F395" s="124"/>
      <c r="G395" s="124"/>
      <c r="H395" s="124"/>
      <c r="I395" s="124"/>
      <c r="J395" s="124"/>
      <c r="K395" s="124"/>
    </row>
    <row r="396" spans="6:11" ht="15.75" customHeight="1" x14ac:dyDescent="0.3">
      <c r="F396" s="124"/>
      <c r="G396" s="124"/>
      <c r="H396" s="124"/>
      <c r="I396" s="124"/>
      <c r="J396" s="124"/>
      <c r="K396" s="124"/>
    </row>
    <row r="397" spans="6:11" ht="15.75" customHeight="1" x14ac:dyDescent="0.3">
      <c r="F397" s="124"/>
      <c r="G397" s="124"/>
      <c r="H397" s="124"/>
      <c r="I397" s="124"/>
      <c r="J397" s="124"/>
      <c r="K397" s="124"/>
    </row>
    <row r="398" spans="6:11" ht="15.75" customHeight="1" x14ac:dyDescent="0.3">
      <c r="F398" s="124"/>
      <c r="G398" s="124"/>
      <c r="H398" s="124"/>
      <c r="I398" s="124"/>
      <c r="J398" s="124"/>
      <c r="K398" s="124"/>
    </row>
    <row r="399" spans="6:11" ht="15.75" customHeight="1" x14ac:dyDescent="0.3">
      <c r="F399" s="124"/>
      <c r="G399" s="124"/>
      <c r="H399" s="124"/>
      <c r="I399" s="124"/>
      <c r="J399" s="124"/>
      <c r="K399" s="124"/>
    </row>
    <row r="400" spans="6:11" ht="15.75" customHeight="1" x14ac:dyDescent="0.3">
      <c r="F400" s="124"/>
      <c r="G400" s="124"/>
      <c r="H400" s="124"/>
      <c r="I400" s="124"/>
      <c r="J400" s="124"/>
      <c r="K400" s="124"/>
    </row>
    <row r="401" spans="6:11" ht="15.75" customHeight="1" x14ac:dyDescent="0.3">
      <c r="F401" s="124"/>
      <c r="G401" s="124"/>
      <c r="H401" s="124"/>
      <c r="I401" s="124"/>
      <c r="J401" s="124"/>
      <c r="K401" s="124"/>
    </row>
    <row r="402" spans="6:11" ht="15.75" customHeight="1" x14ac:dyDescent="0.3">
      <c r="F402" s="124"/>
      <c r="G402" s="124"/>
      <c r="H402" s="124"/>
      <c r="I402" s="124"/>
      <c r="J402" s="124"/>
      <c r="K402" s="124"/>
    </row>
    <row r="403" spans="6:11" ht="15.75" customHeight="1" x14ac:dyDescent="0.3">
      <c r="F403" s="124"/>
      <c r="G403" s="124"/>
      <c r="H403" s="124"/>
      <c r="I403" s="124"/>
      <c r="J403" s="124"/>
      <c r="K403" s="124"/>
    </row>
    <row r="404" spans="6:11" ht="15.75" customHeight="1" x14ac:dyDescent="0.3">
      <c r="F404" s="124"/>
      <c r="G404" s="124"/>
      <c r="H404" s="124"/>
      <c r="I404" s="124"/>
      <c r="J404" s="124"/>
      <c r="K404" s="124"/>
    </row>
    <row r="405" spans="6:11" ht="15.75" customHeight="1" x14ac:dyDescent="0.3">
      <c r="F405" s="124"/>
      <c r="G405" s="124"/>
      <c r="H405" s="124"/>
      <c r="I405" s="124"/>
      <c r="J405" s="124"/>
      <c r="K405" s="124"/>
    </row>
    <row r="406" spans="6:11" ht="15.75" customHeight="1" x14ac:dyDescent="0.3">
      <c r="F406" s="124"/>
      <c r="G406" s="124"/>
      <c r="H406" s="124"/>
      <c r="I406" s="124"/>
      <c r="J406" s="124"/>
      <c r="K406" s="124"/>
    </row>
    <row r="407" spans="6:11" ht="15.75" customHeight="1" x14ac:dyDescent="0.3">
      <c r="F407" s="124"/>
      <c r="G407" s="124"/>
      <c r="H407" s="124"/>
      <c r="I407" s="124"/>
      <c r="J407" s="124"/>
      <c r="K407" s="124"/>
    </row>
    <row r="408" spans="6:11" ht="15.75" customHeight="1" x14ac:dyDescent="0.3">
      <c r="F408" s="124"/>
      <c r="G408" s="124"/>
      <c r="H408" s="124"/>
      <c r="I408" s="124"/>
      <c r="J408" s="124"/>
      <c r="K408" s="124"/>
    </row>
    <row r="409" spans="6:11" ht="15.75" customHeight="1" x14ac:dyDescent="0.3">
      <c r="F409" s="124"/>
      <c r="G409" s="124"/>
      <c r="H409" s="124"/>
      <c r="I409" s="124"/>
      <c r="J409" s="124"/>
      <c r="K409" s="124"/>
    </row>
    <row r="410" spans="6:11" ht="15.75" customHeight="1" x14ac:dyDescent="0.3">
      <c r="F410" s="124"/>
      <c r="G410" s="124"/>
      <c r="H410" s="124"/>
      <c r="I410" s="124"/>
      <c r="J410" s="124"/>
      <c r="K410" s="124"/>
    </row>
    <row r="411" spans="6:11" ht="15.75" customHeight="1" x14ac:dyDescent="0.3">
      <c r="F411" s="124"/>
      <c r="G411" s="124"/>
      <c r="H411" s="124"/>
      <c r="I411" s="124"/>
      <c r="J411" s="124"/>
      <c r="K411" s="124"/>
    </row>
    <row r="412" spans="6:11" ht="15.75" customHeight="1" x14ac:dyDescent="0.3">
      <c r="F412" s="124"/>
      <c r="G412" s="124"/>
      <c r="H412" s="124"/>
      <c r="I412" s="124"/>
      <c r="J412" s="124"/>
      <c r="K412" s="124"/>
    </row>
    <row r="413" spans="6:11" ht="15.75" customHeight="1" x14ac:dyDescent="0.3">
      <c r="F413" s="124"/>
      <c r="G413" s="124"/>
      <c r="H413" s="124"/>
      <c r="I413" s="124"/>
      <c r="J413" s="124"/>
      <c r="K413" s="124"/>
    </row>
    <row r="414" spans="6:11" ht="15.75" customHeight="1" x14ac:dyDescent="0.3">
      <c r="F414" s="124"/>
      <c r="G414" s="124"/>
      <c r="H414" s="124"/>
      <c r="I414" s="124"/>
      <c r="J414" s="124"/>
      <c r="K414" s="124"/>
    </row>
    <row r="415" spans="6:11" ht="15.75" customHeight="1" x14ac:dyDescent="0.3">
      <c r="F415" s="124"/>
      <c r="G415" s="124"/>
      <c r="H415" s="124"/>
      <c r="I415" s="124"/>
      <c r="J415" s="124"/>
      <c r="K415" s="124"/>
    </row>
    <row r="416" spans="6:11" ht="15.75" customHeight="1" x14ac:dyDescent="0.3">
      <c r="F416" s="124"/>
      <c r="G416" s="124"/>
      <c r="H416" s="124"/>
      <c r="I416" s="124"/>
      <c r="J416" s="124"/>
      <c r="K416" s="124"/>
    </row>
    <row r="417" spans="6:11" ht="15.75" customHeight="1" x14ac:dyDescent="0.3">
      <c r="F417" s="124"/>
      <c r="G417" s="124"/>
      <c r="H417" s="124"/>
      <c r="I417" s="124"/>
      <c r="J417" s="124"/>
      <c r="K417" s="124"/>
    </row>
    <row r="418" spans="6:11" ht="15.75" customHeight="1" x14ac:dyDescent="0.3">
      <c r="F418" s="124"/>
      <c r="G418" s="124"/>
      <c r="H418" s="124"/>
      <c r="I418" s="124"/>
      <c r="J418" s="124"/>
      <c r="K418" s="124"/>
    </row>
    <row r="419" spans="6:11" ht="15.75" customHeight="1" x14ac:dyDescent="0.3">
      <c r="F419" s="124"/>
      <c r="G419" s="124"/>
      <c r="H419" s="124"/>
      <c r="I419" s="124"/>
      <c r="J419" s="124"/>
      <c r="K419" s="124"/>
    </row>
    <row r="420" spans="6:11" ht="15.75" customHeight="1" x14ac:dyDescent="0.3">
      <c r="F420" s="124"/>
      <c r="G420" s="124"/>
      <c r="H420" s="124"/>
      <c r="I420" s="124"/>
      <c r="J420" s="124"/>
      <c r="K420" s="124"/>
    </row>
    <row r="421" spans="6:11" ht="15.75" customHeight="1" x14ac:dyDescent="0.3">
      <c r="F421" s="124"/>
      <c r="G421" s="124"/>
      <c r="H421" s="124"/>
      <c r="I421" s="124"/>
      <c r="J421" s="124"/>
      <c r="K421" s="124"/>
    </row>
    <row r="422" spans="6:11" ht="15.75" customHeight="1" x14ac:dyDescent="0.3">
      <c r="F422" s="124"/>
      <c r="G422" s="124"/>
      <c r="H422" s="124"/>
      <c r="I422" s="124"/>
      <c r="J422" s="124"/>
      <c r="K422" s="124"/>
    </row>
    <row r="423" spans="6:11" ht="15.75" customHeight="1" x14ac:dyDescent="0.3">
      <c r="F423" s="124"/>
      <c r="G423" s="124"/>
      <c r="H423" s="124"/>
      <c r="I423" s="124"/>
      <c r="J423" s="124"/>
      <c r="K423" s="124"/>
    </row>
    <row r="424" spans="6:11" ht="15.75" customHeight="1" x14ac:dyDescent="0.3">
      <c r="F424" s="124"/>
      <c r="G424" s="124"/>
      <c r="H424" s="124"/>
      <c r="I424" s="124"/>
      <c r="J424" s="124"/>
      <c r="K424" s="124"/>
    </row>
    <row r="425" spans="6:11" ht="15.75" customHeight="1" x14ac:dyDescent="0.3">
      <c r="F425" s="124"/>
      <c r="G425" s="124"/>
      <c r="H425" s="124"/>
      <c r="I425" s="124"/>
      <c r="J425" s="124"/>
      <c r="K425" s="124"/>
    </row>
    <row r="426" spans="6:11" ht="15.75" customHeight="1" x14ac:dyDescent="0.3">
      <c r="F426" s="124"/>
      <c r="G426" s="124"/>
      <c r="H426" s="124"/>
      <c r="I426" s="124"/>
      <c r="J426" s="124"/>
      <c r="K426" s="124"/>
    </row>
    <row r="427" spans="6:11" ht="15.75" customHeight="1" x14ac:dyDescent="0.3">
      <c r="F427" s="124"/>
      <c r="G427" s="124"/>
      <c r="H427" s="124"/>
      <c r="I427" s="124"/>
      <c r="J427" s="124"/>
      <c r="K427" s="124"/>
    </row>
    <row r="428" spans="6:11" ht="15.75" customHeight="1" x14ac:dyDescent="0.3">
      <c r="F428" s="124"/>
      <c r="G428" s="124"/>
      <c r="H428" s="124"/>
      <c r="I428" s="124"/>
      <c r="J428" s="124"/>
      <c r="K428" s="124"/>
    </row>
    <row r="429" spans="6:11" ht="15.75" customHeight="1" x14ac:dyDescent="0.3">
      <c r="F429" s="124"/>
      <c r="G429" s="124"/>
      <c r="H429" s="124"/>
      <c r="I429" s="124"/>
      <c r="J429" s="124"/>
      <c r="K429" s="124"/>
    </row>
    <row r="430" spans="6:11" ht="15.75" customHeight="1" x14ac:dyDescent="0.3">
      <c r="F430" s="124"/>
      <c r="G430" s="124"/>
      <c r="H430" s="124"/>
      <c r="I430" s="124"/>
      <c r="J430" s="124"/>
      <c r="K430" s="124"/>
    </row>
    <row r="431" spans="6:11" ht="15.75" customHeight="1" x14ac:dyDescent="0.3">
      <c r="F431" s="124"/>
      <c r="G431" s="124"/>
      <c r="H431" s="124"/>
      <c r="I431" s="124"/>
      <c r="J431" s="124"/>
      <c r="K431" s="124"/>
    </row>
    <row r="432" spans="6:11" ht="15.75" customHeight="1" x14ac:dyDescent="0.3">
      <c r="F432" s="124"/>
      <c r="G432" s="124"/>
      <c r="H432" s="124"/>
      <c r="I432" s="124"/>
      <c r="J432" s="124"/>
      <c r="K432" s="124"/>
    </row>
    <row r="433" spans="6:11" ht="15.75" customHeight="1" x14ac:dyDescent="0.3">
      <c r="F433" s="124"/>
      <c r="G433" s="124"/>
      <c r="H433" s="124"/>
      <c r="I433" s="124"/>
      <c r="J433" s="124"/>
      <c r="K433" s="124"/>
    </row>
    <row r="434" spans="6:11" ht="15.75" customHeight="1" x14ac:dyDescent="0.3">
      <c r="F434" s="124"/>
      <c r="G434" s="124"/>
      <c r="H434" s="124"/>
      <c r="I434" s="124"/>
      <c r="J434" s="124"/>
      <c r="K434" s="124"/>
    </row>
    <row r="435" spans="6:11" ht="15.75" customHeight="1" x14ac:dyDescent="0.3">
      <c r="F435" s="124"/>
      <c r="G435" s="124"/>
      <c r="H435" s="124"/>
      <c r="I435" s="124"/>
      <c r="J435" s="124"/>
      <c r="K435" s="124"/>
    </row>
    <row r="436" spans="6:11" ht="15.75" customHeight="1" x14ac:dyDescent="0.3">
      <c r="F436" s="124"/>
      <c r="G436" s="124"/>
      <c r="H436" s="124"/>
      <c r="I436" s="124"/>
      <c r="J436" s="124"/>
      <c r="K436" s="124"/>
    </row>
    <row r="437" spans="6:11" ht="15.75" customHeight="1" x14ac:dyDescent="0.3">
      <c r="F437" s="124"/>
      <c r="G437" s="124"/>
      <c r="H437" s="124"/>
      <c r="I437" s="124"/>
      <c r="J437" s="124"/>
      <c r="K437" s="124"/>
    </row>
    <row r="438" spans="6:11" ht="15.75" customHeight="1" x14ac:dyDescent="0.3">
      <c r="F438" s="124"/>
      <c r="G438" s="124"/>
      <c r="H438" s="124"/>
      <c r="I438" s="124"/>
      <c r="J438" s="124"/>
      <c r="K438" s="124"/>
    </row>
    <row r="439" spans="6:11" ht="15.75" customHeight="1" x14ac:dyDescent="0.3">
      <c r="F439" s="124"/>
      <c r="G439" s="124"/>
      <c r="H439" s="124"/>
      <c r="I439" s="124"/>
      <c r="J439" s="124"/>
      <c r="K439" s="124"/>
    </row>
    <row r="440" spans="6:11" ht="15.75" customHeight="1" x14ac:dyDescent="0.3">
      <c r="F440" s="124"/>
      <c r="G440" s="124"/>
      <c r="H440" s="124"/>
      <c r="I440" s="124"/>
      <c r="J440" s="124"/>
      <c r="K440" s="124"/>
    </row>
    <row r="441" spans="6:11" ht="15.75" customHeight="1" x14ac:dyDescent="0.3">
      <c r="F441" s="124"/>
      <c r="G441" s="124"/>
      <c r="H441" s="124"/>
      <c r="I441" s="124"/>
      <c r="J441" s="124"/>
      <c r="K441" s="124"/>
    </row>
    <row r="442" spans="6:11" ht="15.75" customHeight="1" x14ac:dyDescent="0.3">
      <c r="F442" s="124"/>
      <c r="G442" s="124"/>
      <c r="H442" s="124"/>
      <c r="I442" s="124"/>
      <c r="J442" s="124"/>
      <c r="K442" s="124"/>
    </row>
    <row r="443" spans="6:11" ht="15.75" customHeight="1" x14ac:dyDescent="0.3">
      <c r="F443" s="124"/>
      <c r="G443" s="124"/>
      <c r="H443" s="124"/>
      <c r="I443" s="124"/>
      <c r="J443" s="124"/>
      <c r="K443" s="124"/>
    </row>
    <row r="444" spans="6:11" ht="15.75" customHeight="1" x14ac:dyDescent="0.3">
      <c r="F444" s="124"/>
      <c r="G444" s="124"/>
      <c r="H444" s="124"/>
      <c r="I444" s="124"/>
      <c r="J444" s="124"/>
      <c r="K444" s="124"/>
    </row>
    <row r="445" spans="6:11" ht="15.75" customHeight="1" x14ac:dyDescent="0.3">
      <c r="F445" s="124"/>
      <c r="G445" s="124"/>
      <c r="H445" s="124"/>
      <c r="I445" s="124"/>
      <c r="J445" s="124"/>
      <c r="K445" s="124"/>
    </row>
    <row r="446" spans="6:11" ht="15.75" customHeight="1" x14ac:dyDescent="0.3">
      <c r="F446" s="124"/>
      <c r="G446" s="124"/>
      <c r="H446" s="124"/>
      <c r="I446" s="124"/>
      <c r="J446" s="124"/>
      <c r="K446" s="124"/>
    </row>
    <row r="447" spans="6:11" ht="15.75" customHeight="1" x14ac:dyDescent="0.3">
      <c r="F447" s="124"/>
      <c r="G447" s="124"/>
      <c r="H447" s="124"/>
      <c r="I447" s="124"/>
      <c r="J447" s="124"/>
      <c r="K447" s="124"/>
    </row>
    <row r="448" spans="6:11" ht="15.75" customHeight="1" x14ac:dyDescent="0.3">
      <c r="F448" s="124"/>
      <c r="G448" s="124"/>
      <c r="H448" s="124"/>
      <c r="I448" s="124"/>
      <c r="J448" s="124"/>
      <c r="K448" s="124"/>
    </row>
    <row r="449" spans="6:11" ht="15.75" customHeight="1" x14ac:dyDescent="0.3">
      <c r="F449" s="124"/>
      <c r="G449" s="124"/>
      <c r="H449" s="124"/>
      <c r="I449" s="124"/>
      <c r="J449" s="124"/>
      <c r="K449" s="124"/>
    </row>
    <row r="450" spans="6:11" ht="15.75" customHeight="1" x14ac:dyDescent="0.3">
      <c r="F450" s="124"/>
      <c r="G450" s="124"/>
      <c r="H450" s="124"/>
      <c r="I450" s="124"/>
      <c r="J450" s="124"/>
      <c r="K450" s="124"/>
    </row>
    <row r="451" spans="6:11" ht="15.75" customHeight="1" x14ac:dyDescent="0.3">
      <c r="F451" s="124"/>
      <c r="G451" s="124"/>
      <c r="H451" s="124"/>
      <c r="I451" s="124"/>
      <c r="J451" s="124"/>
      <c r="K451" s="124"/>
    </row>
    <row r="452" spans="6:11" ht="15.75" customHeight="1" x14ac:dyDescent="0.3">
      <c r="F452" s="124"/>
      <c r="G452" s="124"/>
      <c r="H452" s="124"/>
      <c r="I452" s="124"/>
      <c r="J452" s="124"/>
      <c r="K452" s="124"/>
    </row>
    <row r="453" spans="6:11" ht="15.75" customHeight="1" x14ac:dyDescent="0.3">
      <c r="F453" s="124"/>
      <c r="G453" s="124"/>
      <c r="H453" s="124"/>
      <c r="I453" s="124"/>
      <c r="J453" s="124"/>
      <c r="K453" s="124"/>
    </row>
    <row r="454" spans="6:11" ht="15.75" customHeight="1" x14ac:dyDescent="0.3">
      <c r="F454" s="124"/>
      <c r="G454" s="124"/>
      <c r="H454" s="124"/>
      <c r="I454" s="124"/>
      <c r="J454" s="124"/>
      <c r="K454" s="124"/>
    </row>
    <row r="455" spans="6:11" ht="15.75" customHeight="1" x14ac:dyDescent="0.3">
      <c r="F455" s="124"/>
      <c r="G455" s="124"/>
      <c r="H455" s="124"/>
      <c r="I455" s="124"/>
      <c r="J455" s="124"/>
      <c r="K455" s="124"/>
    </row>
    <row r="456" spans="6:11" ht="15.75" customHeight="1" x14ac:dyDescent="0.3">
      <c r="F456" s="124"/>
      <c r="G456" s="124"/>
      <c r="H456" s="124"/>
      <c r="I456" s="124"/>
      <c r="J456" s="124"/>
      <c r="K456" s="124"/>
    </row>
    <row r="457" spans="6:11" ht="15.75" customHeight="1" x14ac:dyDescent="0.3">
      <c r="F457" s="124"/>
      <c r="G457" s="124"/>
      <c r="H457" s="124"/>
      <c r="I457" s="124"/>
      <c r="J457" s="124"/>
      <c r="K457" s="124"/>
    </row>
    <row r="458" spans="6:11" ht="15.75" customHeight="1" x14ac:dyDescent="0.3">
      <c r="F458" s="124"/>
      <c r="G458" s="124"/>
      <c r="H458" s="124"/>
      <c r="I458" s="124"/>
      <c r="J458" s="124"/>
      <c r="K458" s="124"/>
    </row>
    <row r="459" spans="6:11" ht="15.75" customHeight="1" x14ac:dyDescent="0.3">
      <c r="F459" s="124"/>
      <c r="G459" s="124"/>
      <c r="H459" s="124"/>
      <c r="I459" s="124"/>
      <c r="J459" s="124"/>
      <c r="K459" s="124"/>
    </row>
    <row r="460" spans="6:11" ht="15.75" customHeight="1" x14ac:dyDescent="0.3">
      <c r="F460" s="124"/>
      <c r="G460" s="124"/>
      <c r="H460" s="124"/>
      <c r="I460" s="124"/>
      <c r="J460" s="124"/>
      <c r="K460" s="124"/>
    </row>
    <row r="461" spans="6:11" ht="15.75" customHeight="1" x14ac:dyDescent="0.3">
      <c r="F461" s="124"/>
      <c r="G461" s="124"/>
      <c r="H461" s="124"/>
      <c r="I461" s="124"/>
      <c r="J461" s="124"/>
      <c r="K461" s="124"/>
    </row>
    <row r="462" spans="6:11" ht="15.75" customHeight="1" x14ac:dyDescent="0.3">
      <c r="F462" s="124"/>
      <c r="G462" s="124"/>
      <c r="H462" s="124"/>
      <c r="I462" s="124"/>
      <c r="J462" s="124"/>
      <c r="K462" s="124"/>
    </row>
    <row r="463" spans="6:11" ht="15.75" customHeight="1" x14ac:dyDescent="0.3">
      <c r="F463" s="124"/>
      <c r="G463" s="124"/>
      <c r="H463" s="124"/>
      <c r="I463" s="124"/>
      <c r="J463" s="124"/>
      <c r="K463" s="124"/>
    </row>
    <row r="464" spans="6:11" ht="15.75" customHeight="1" x14ac:dyDescent="0.3">
      <c r="F464" s="124"/>
      <c r="G464" s="124"/>
      <c r="H464" s="124"/>
      <c r="I464" s="124"/>
      <c r="J464" s="124"/>
      <c r="K464" s="124"/>
    </row>
    <row r="465" spans="6:11" ht="15.75" customHeight="1" x14ac:dyDescent="0.3">
      <c r="F465" s="124"/>
      <c r="G465" s="124"/>
      <c r="H465" s="124"/>
      <c r="I465" s="124"/>
      <c r="J465" s="124"/>
      <c r="K465" s="124"/>
    </row>
    <row r="466" spans="6:11" ht="15.75" customHeight="1" x14ac:dyDescent="0.3">
      <c r="F466" s="124"/>
      <c r="G466" s="124"/>
      <c r="H466" s="124"/>
      <c r="I466" s="124"/>
      <c r="J466" s="124"/>
      <c r="K466" s="124"/>
    </row>
    <row r="467" spans="6:11" ht="15.75" customHeight="1" x14ac:dyDescent="0.3">
      <c r="F467" s="124"/>
      <c r="G467" s="124"/>
      <c r="H467" s="124"/>
      <c r="I467" s="124"/>
      <c r="J467" s="124"/>
      <c r="K467" s="124"/>
    </row>
    <row r="468" spans="6:11" ht="15.75" customHeight="1" x14ac:dyDescent="0.3">
      <c r="F468" s="124"/>
      <c r="G468" s="124"/>
      <c r="H468" s="124"/>
      <c r="I468" s="124"/>
      <c r="J468" s="124"/>
      <c r="K468" s="124"/>
    </row>
    <row r="469" spans="6:11" ht="15.75" customHeight="1" x14ac:dyDescent="0.3">
      <c r="F469" s="124"/>
      <c r="G469" s="124"/>
      <c r="H469" s="124"/>
      <c r="I469" s="124"/>
      <c r="J469" s="124"/>
      <c r="K469" s="124"/>
    </row>
    <row r="470" spans="6:11" ht="15.75" customHeight="1" x14ac:dyDescent="0.3">
      <c r="F470" s="124"/>
      <c r="G470" s="124"/>
      <c r="H470" s="124"/>
      <c r="I470" s="124"/>
      <c r="J470" s="124"/>
      <c r="K470" s="124"/>
    </row>
    <row r="471" spans="6:11" ht="15.75" customHeight="1" x14ac:dyDescent="0.3">
      <c r="F471" s="124"/>
      <c r="G471" s="124"/>
      <c r="H471" s="124"/>
      <c r="I471" s="124"/>
      <c r="J471" s="124"/>
      <c r="K471" s="124"/>
    </row>
    <row r="472" spans="6:11" ht="15.75" customHeight="1" x14ac:dyDescent="0.3">
      <c r="F472" s="124"/>
      <c r="G472" s="124"/>
      <c r="H472" s="124"/>
      <c r="I472" s="124"/>
      <c r="J472" s="124"/>
      <c r="K472" s="124"/>
    </row>
    <row r="473" spans="6:11" ht="15.75" customHeight="1" x14ac:dyDescent="0.3">
      <c r="F473" s="124"/>
      <c r="G473" s="124"/>
      <c r="H473" s="124"/>
      <c r="I473" s="124"/>
      <c r="J473" s="124"/>
      <c r="K473" s="124"/>
    </row>
    <row r="474" spans="6:11" ht="15.75" customHeight="1" x14ac:dyDescent="0.3">
      <c r="F474" s="124"/>
      <c r="G474" s="124"/>
      <c r="H474" s="124"/>
      <c r="I474" s="124"/>
      <c r="J474" s="124"/>
      <c r="K474" s="124"/>
    </row>
    <row r="475" spans="6:11" ht="15.75" customHeight="1" x14ac:dyDescent="0.3">
      <c r="F475" s="124"/>
      <c r="G475" s="124"/>
      <c r="H475" s="124"/>
      <c r="I475" s="124"/>
      <c r="J475" s="124"/>
      <c r="K475" s="124"/>
    </row>
    <row r="476" spans="6:11" ht="15.75" customHeight="1" x14ac:dyDescent="0.3">
      <c r="F476" s="124"/>
      <c r="G476" s="124"/>
      <c r="H476" s="124"/>
      <c r="I476" s="124"/>
      <c r="J476" s="124"/>
      <c r="K476" s="124"/>
    </row>
    <row r="477" spans="6:11" ht="15.75" customHeight="1" x14ac:dyDescent="0.3">
      <c r="F477" s="124"/>
      <c r="G477" s="124"/>
      <c r="H477" s="124"/>
      <c r="I477" s="124"/>
      <c r="J477" s="124"/>
      <c r="K477" s="124"/>
    </row>
    <row r="478" spans="6:11" ht="15.75" customHeight="1" x14ac:dyDescent="0.3">
      <c r="F478" s="124"/>
      <c r="G478" s="124"/>
      <c r="H478" s="124"/>
      <c r="I478" s="124"/>
      <c r="J478" s="124"/>
      <c r="K478" s="124"/>
    </row>
    <row r="479" spans="6:11" ht="15.75" customHeight="1" x14ac:dyDescent="0.3">
      <c r="F479" s="124"/>
      <c r="G479" s="124"/>
      <c r="H479" s="124"/>
      <c r="I479" s="124"/>
      <c r="J479" s="124"/>
      <c r="K479" s="124"/>
    </row>
    <row r="480" spans="6:11" ht="15.75" customHeight="1" x14ac:dyDescent="0.3">
      <c r="F480" s="124"/>
      <c r="G480" s="124"/>
      <c r="H480" s="124"/>
      <c r="I480" s="124"/>
      <c r="J480" s="124"/>
      <c r="K480" s="124"/>
    </row>
    <row r="481" spans="6:11" ht="15.75" customHeight="1" x14ac:dyDescent="0.3">
      <c r="F481" s="124"/>
      <c r="G481" s="124"/>
      <c r="H481" s="124"/>
      <c r="I481" s="124"/>
      <c r="J481" s="124"/>
      <c r="K481" s="124"/>
    </row>
    <row r="482" spans="6:11" ht="15.75" customHeight="1" x14ac:dyDescent="0.3">
      <c r="F482" s="124"/>
      <c r="G482" s="124"/>
      <c r="H482" s="124"/>
      <c r="I482" s="124"/>
      <c r="J482" s="124"/>
      <c r="K482" s="124"/>
    </row>
    <row r="483" spans="6:11" ht="15.75" customHeight="1" x14ac:dyDescent="0.3">
      <c r="F483" s="124"/>
      <c r="G483" s="124"/>
      <c r="H483" s="124"/>
      <c r="I483" s="124"/>
      <c r="J483" s="124"/>
      <c r="K483" s="124"/>
    </row>
    <row r="484" spans="6:11" ht="15.75" customHeight="1" x14ac:dyDescent="0.3">
      <c r="F484" s="124"/>
      <c r="G484" s="124"/>
      <c r="H484" s="124"/>
      <c r="I484" s="124"/>
      <c r="J484" s="124"/>
      <c r="K484" s="124"/>
    </row>
    <row r="485" spans="6:11" ht="15.75" customHeight="1" x14ac:dyDescent="0.3">
      <c r="F485" s="124"/>
      <c r="G485" s="124"/>
      <c r="H485" s="124"/>
      <c r="I485" s="124"/>
      <c r="J485" s="124"/>
      <c r="K485" s="124"/>
    </row>
    <row r="486" spans="6:11" ht="15.75" customHeight="1" x14ac:dyDescent="0.3">
      <c r="F486" s="124"/>
      <c r="G486" s="124"/>
      <c r="H486" s="124"/>
      <c r="I486" s="124"/>
      <c r="J486" s="124"/>
      <c r="K486" s="124"/>
    </row>
    <row r="487" spans="6:11" ht="15.75" customHeight="1" x14ac:dyDescent="0.3">
      <c r="F487" s="124"/>
      <c r="G487" s="124"/>
      <c r="H487" s="124"/>
      <c r="I487" s="124"/>
      <c r="J487" s="124"/>
      <c r="K487" s="124"/>
    </row>
    <row r="488" spans="6:11" ht="15.75" customHeight="1" x14ac:dyDescent="0.3">
      <c r="F488" s="124"/>
      <c r="G488" s="124"/>
      <c r="H488" s="124"/>
      <c r="I488" s="124"/>
      <c r="J488" s="124"/>
      <c r="K488" s="124"/>
    </row>
    <row r="489" spans="6:11" ht="15.75" customHeight="1" x14ac:dyDescent="0.3">
      <c r="F489" s="124"/>
      <c r="G489" s="124"/>
      <c r="H489" s="124"/>
      <c r="I489" s="124"/>
      <c r="J489" s="124"/>
      <c r="K489" s="124"/>
    </row>
    <row r="490" spans="6:11" ht="15.75" customHeight="1" x14ac:dyDescent="0.3">
      <c r="F490" s="124"/>
      <c r="G490" s="124"/>
      <c r="H490" s="124"/>
      <c r="I490" s="124"/>
      <c r="J490" s="124"/>
      <c r="K490" s="124"/>
    </row>
    <row r="491" spans="6:11" ht="15.75" customHeight="1" x14ac:dyDescent="0.3">
      <c r="F491" s="124"/>
      <c r="G491" s="124"/>
      <c r="H491" s="124"/>
      <c r="I491" s="124"/>
      <c r="J491" s="124"/>
      <c r="K491" s="124"/>
    </row>
    <row r="492" spans="6:11" ht="15.75" customHeight="1" x14ac:dyDescent="0.3">
      <c r="F492" s="124"/>
      <c r="G492" s="124"/>
      <c r="H492" s="124"/>
      <c r="I492" s="124"/>
      <c r="J492" s="124"/>
      <c r="K492" s="124"/>
    </row>
    <row r="493" spans="6:11" ht="15.75" customHeight="1" x14ac:dyDescent="0.3">
      <c r="F493" s="124"/>
      <c r="G493" s="124"/>
      <c r="H493" s="124"/>
      <c r="I493" s="124"/>
      <c r="J493" s="124"/>
      <c r="K493" s="124"/>
    </row>
    <row r="494" spans="6:11" ht="15.75" customHeight="1" x14ac:dyDescent="0.3">
      <c r="F494" s="124"/>
      <c r="G494" s="124"/>
      <c r="H494" s="124"/>
      <c r="I494" s="124"/>
      <c r="J494" s="124"/>
      <c r="K494" s="124"/>
    </row>
    <row r="495" spans="6:11" ht="15.75" customHeight="1" x14ac:dyDescent="0.3">
      <c r="F495" s="124"/>
      <c r="G495" s="124"/>
      <c r="H495" s="124"/>
      <c r="I495" s="124"/>
      <c r="J495" s="124"/>
      <c r="K495" s="124"/>
    </row>
    <row r="496" spans="6:11" ht="15.75" customHeight="1" x14ac:dyDescent="0.3">
      <c r="F496" s="124"/>
      <c r="G496" s="124"/>
      <c r="H496" s="124"/>
      <c r="I496" s="124"/>
      <c r="J496" s="124"/>
      <c r="K496" s="124"/>
    </row>
    <row r="497" spans="6:11" ht="15.75" customHeight="1" x14ac:dyDescent="0.3">
      <c r="F497" s="124"/>
      <c r="G497" s="124"/>
      <c r="H497" s="124"/>
      <c r="I497" s="124"/>
      <c r="J497" s="124"/>
      <c r="K497" s="124"/>
    </row>
    <row r="498" spans="6:11" ht="15.75" customHeight="1" x14ac:dyDescent="0.3">
      <c r="F498" s="124"/>
      <c r="G498" s="124"/>
      <c r="H498" s="124"/>
      <c r="I498" s="124"/>
      <c r="J498" s="124"/>
      <c r="K498" s="124"/>
    </row>
    <row r="499" spans="6:11" ht="15.75" customHeight="1" x14ac:dyDescent="0.3">
      <c r="F499" s="124"/>
      <c r="G499" s="124"/>
      <c r="H499" s="124"/>
      <c r="I499" s="124"/>
      <c r="J499" s="124"/>
      <c r="K499" s="124"/>
    </row>
    <row r="500" spans="6:11" ht="15.75" customHeight="1" x14ac:dyDescent="0.3">
      <c r="F500" s="124"/>
      <c r="G500" s="124"/>
      <c r="H500" s="124"/>
      <c r="I500" s="124"/>
      <c r="J500" s="124"/>
      <c r="K500" s="124"/>
    </row>
    <row r="501" spans="6:11" ht="15.75" customHeight="1" x14ac:dyDescent="0.3">
      <c r="F501" s="124"/>
      <c r="G501" s="124"/>
      <c r="H501" s="124"/>
      <c r="I501" s="124"/>
      <c r="J501" s="124"/>
      <c r="K501" s="124"/>
    </row>
    <row r="502" spans="6:11" ht="15.75" customHeight="1" x14ac:dyDescent="0.3">
      <c r="F502" s="124"/>
      <c r="G502" s="124"/>
      <c r="H502" s="124"/>
      <c r="I502" s="124"/>
      <c r="J502" s="124"/>
      <c r="K502" s="124"/>
    </row>
    <row r="503" spans="6:11" ht="15.75" customHeight="1" x14ac:dyDescent="0.3">
      <c r="F503" s="124"/>
      <c r="G503" s="124"/>
      <c r="H503" s="124"/>
      <c r="I503" s="124"/>
      <c r="J503" s="124"/>
      <c r="K503" s="124"/>
    </row>
    <row r="504" spans="6:11" ht="15.75" customHeight="1" x14ac:dyDescent="0.3">
      <c r="F504" s="124"/>
      <c r="G504" s="124"/>
      <c r="H504" s="124"/>
      <c r="I504" s="124"/>
      <c r="J504" s="124"/>
      <c r="K504" s="124"/>
    </row>
    <row r="505" spans="6:11" ht="15.75" customHeight="1" x14ac:dyDescent="0.3">
      <c r="F505" s="124"/>
      <c r="G505" s="124"/>
      <c r="H505" s="124"/>
      <c r="I505" s="124"/>
      <c r="J505" s="124"/>
      <c r="K505" s="124"/>
    </row>
    <row r="506" spans="6:11" ht="15.75" customHeight="1" x14ac:dyDescent="0.3">
      <c r="F506" s="124"/>
      <c r="G506" s="124"/>
      <c r="H506" s="124"/>
      <c r="I506" s="124"/>
      <c r="J506" s="124"/>
      <c r="K506" s="124"/>
    </row>
    <row r="507" spans="6:11" ht="15.75" customHeight="1" x14ac:dyDescent="0.3">
      <c r="F507" s="124"/>
      <c r="G507" s="124"/>
      <c r="H507" s="124"/>
      <c r="I507" s="124"/>
      <c r="J507" s="124"/>
      <c r="K507" s="124"/>
    </row>
    <row r="508" spans="6:11" ht="15.75" customHeight="1" x14ac:dyDescent="0.3">
      <c r="F508" s="124"/>
      <c r="G508" s="124"/>
      <c r="H508" s="124"/>
      <c r="I508" s="124"/>
      <c r="J508" s="124"/>
      <c r="K508" s="124"/>
    </row>
    <row r="509" spans="6:11" ht="15.75" customHeight="1" x14ac:dyDescent="0.3">
      <c r="F509" s="124"/>
      <c r="G509" s="124"/>
      <c r="H509" s="124"/>
      <c r="I509" s="124"/>
      <c r="J509" s="124"/>
      <c r="K509" s="124"/>
    </row>
    <row r="510" spans="6:11" ht="15.75" customHeight="1" x14ac:dyDescent="0.3">
      <c r="F510" s="124"/>
      <c r="G510" s="124"/>
      <c r="H510" s="124"/>
      <c r="I510" s="124"/>
      <c r="J510" s="124"/>
      <c r="K510" s="124"/>
    </row>
    <row r="511" spans="6:11" ht="15.75" customHeight="1" x14ac:dyDescent="0.3">
      <c r="F511" s="124"/>
      <c r="G511" s="124"/>
      <c r="H511" s="124"/>
      <c r="I511" s="124"/>
      <c r="J511" s="124"/>
      <c r="K511" s="124"/>
    </row>
    <row r="512" spans="6:11" ht="15.75" customHeight="1" x14ac:dyDescent="0.3">
      <c r="F512" s="124"/>
      <c r="G512" s="124"/>
      <c r="H512" s="124"/>
      <c r="I512" s="124"/>
      <c r="J512" s="124"/>
      <c r="K512" s="124"/>
    </row>
    <row r="513" spans="6:11" ht="15.75" customHeight="1" x14ac:dyDescent="0.3">
      <c r="F513" s="124"/>
      <c r="G513" s="124"/>
      <c r="H513" s="124"/>
      <c r="I513" s="124"/>
      <c r="J513" s="124"/>
      <c r="K513" s="124"/>
    </row>
    <row r="514" spans="6:11" ht="15.75" customHeight="1" x14ac:dyDescent="0.3">
      <c r="F514" s="124"/>
      <c r="G514" s="124"/>
      <c r="H514" s="124"/>
      <c r="I514" s="124"/>
      <c r="J514" s="124"/>
      <c r="K514" s="124"/>
    </row>
    <row r="515" spans="6:11" ht="15.75" customHeight="1" x14ac:dyDescent="0.3">
      <c r="F515" s="124"/>
      <c r="G515" s="124"/>
      <c r="H515" s="124"/>
      <c r="I515" s="124"/>
      <c r="J515" s="124"/>
      <c r="K515" s="124"/>
    </row>
    <row r="516" spans="6:11" ht="15.75" customHeight="1" x14ac:dyDescent="0.3">
      <c r="F516" s="124"/>
      <c r="G516" s="124"/>
      <c r="H516" s="124"/>
      <c r="I516" s="124"/>
      <c r="J516" s="124"/>
      <c r="K516" s="124"/>
    </row>
    <row r="517" spans="6:11" ht="15.75" customHeight="1" x14ac:dyDescent="0.3">
      <c r="F517" s="124"/>
      <c r="G517" s="124"/>
      <c r="H517" s="124"/>
      <c r="I517" s="124"/>
      <c r="J517" s="124"/>
      <c r="K517" s="124"/>
    </row>
    <row r="518" spans="6:11" ht="15.75" customHeight="1" x14ac:dyDescent="0.3">
      <c r="F518" s="124"/>
      <c r="G518" s="124"/>
      <c r="H518" s="124"/>
      <c r="I518" s="124"/>
      <c r="J518" s="124"/>
      <c r="K518" s="124"/>
    </row>
    <row r="519" spans="6:11" ht="15.75" customHeight="1" x14ac:dyDescent="0.3">
      <c r="F519" s="124"/>
      <c r="G519" s="124"/>
      <c r="H519" s="124"/>
      <c r="I519" s="124"/>
      <c r="J519" s="124"/>
      <c r="K519" s="124"/>
    </row>
    <row r="520" spans="6:11" ht="15.75" customHeight="1" x14ac:dyDescent="0.3">
      <c r="F520" s="124"/>
      <c r="G520" s="124"/>
      <c r="H520" s="124"/>
      <c r="I520" s="124"/>
      <c r="J520" s="124"/>
      <c r="K520" s="124"/>
    </row>
    <row r="521" spans="6:11" ht="15.75" customHeight="1" x14ac:dyDescent="0.3">
      <c r="F521" s="124"/>
      <c r="G521" s="124"/>
      <c r="H521" s="124"/>
      <c r="I521" s="124"/>
      <c r="J521" s="124"/>
      <c r="K521" s="124"/>
    </row>
    <row r="522" spans="6:11" ht="15.75" customHeight="1" x14ac:dyDescent="0.3">
      <c r="F522" s="124"/>
      <c r="G522" s="124"/>
      <c r="H522" s="124"/>
      <c r="I522" s="124"/>
      <c r="J522" s="124"/>
      <c r="K522" s="124"/>
    </row>
    <row r="523" spans="6:11" ht="15.75" customHeight="1" x14ac:dyDescent="0.3">
      <c r="F523" s="124"/>
      <c r="G523" s="124"/>
      <c r="H523" s="124"/>
      <c r="I523" s="124"/>
      <c r="J523" s="124"/>
      <c r="K523" s="124"/>
    </row>
    <row r="524" spans="6:11" ht="15.75" customHeight="1" x14ac:dyDescent="0.3">
      <c r="F524" s="124"/>
      <c r="G524" s="124"/>
      <c r="H524" s="124"/>
      <c r="I524" s="124"/>
      <c r="J524" s="124"/>
      <c r="K524" s="124"/>
    </row>
    <row r="525" spans="6:11" ht="15.75" customHeight="1" x14ac:dyDescent="0.3">
      <c r="F525" s="124"/>
      <c r="G525" s="124"/>
      <c r="H525" s="124"/>
      <c r="I525" s="124"/>
      <c r="J525" s="124"/>
      <c r="K525" s="124"/>
    </row>
    <row r="526" spans="6:11" ht="15.75" customHeight="1" x14ac:dyDescent="0.3">
      <c r="F526" s="124"/>
      <c r="G526" s="124"/>
      <c r="H526" s="124"/>
      <c r="I526" s="124"/>
      <c r="J526" s="124"/>
      <c r="K526" s="124"/>
    </row>
    <row r="527" spans="6:11" ht="15.75" customHeight="1" x14ac:dyDescent="0.3">
      <c r="F527" s="124"/>
      <c r="G527" s="124"/>
      <c r="H527" s="124"/>
      <c r="I527" s="124"/>
      <c r="J527" s="124"/>
      <c r="K527" s="124"/>
    </row>
    <row r="528" spans="6:11" ht="15.75" customHeight="1" x14ac:dyDescent="0.3">
      <c r="F528" s="124"/>
      <c r="G528" s="124"/>
      <c r="H528" s="124"/>
      <c r="I528" s="124"/>
      <c r="J528" s="124"/>
      <c r="K528" s="124"/>
    </row>
    <row r="529" spans="6:11" ht="15.75" customHeight="1" x14ac:dyDescent="0.3">
      <c r="F529" s="124"/>
      <c r="G529" s="124"/>
      <c r="H529" s="124"/>
      <c r="I529" s="124"/>
      <c r="J529" s="124"/>
      <c r="K529" s="124"/>
    </row>
    <row r="530" spans="6:11" ht="15.75" customHeight="1" x14ac:dyDescent="0.3">
      <c r="F530" s="124"/>
      <c r="G530" s="124"/>
      <c r="H530" s="124"/>
      <c r="I530" s="124"/>
      <c r="J530" s="124"/>
      <c r="K530" s="124"/>
    </row>
    <row r="531" spans="6:11" ht="15.75" customHeight="1" x14ac:dyDescent="0.3">
      <c r="F531" s="124"/>
      <c r="G531" s="124"/>
      <c r="H531" s="124"/>
      <c r="I531" s="124"/>
      <c r="J531" s="124"/>
      <c r="K531" s="124"/>
    </row>
    <row r="532" spans="6:11" ht="15.75" customHeight="1" x14ac:dyDescent="0.3">
      <c r="F532" s="124"/>
      <c r="G532" s="124"/>
      <c r="H532" s="124"/>
      <c r="I532" s="124"/>
      <c r="J532" s="124"/>
      <c r="K532" s="124"/>
    </row>
    <row r="533" spans="6:11" ht="15.75" customHeight="1" x14ac:dyDescent="0.3">
      <c r="F533" s="124"/>
      <c r="G533" s="124"/>
      <c r="H533" s="124"/>
      <c r="I533" s="124"/>
      <c r="J533" s="124"/>
      <c r="K533" s="124"/>
    </row>
    <row r="534" spans="6:11" ht="15.75" customHeight="1" x14ac:dyDescent="0.3">
      <c r="F534" s="124"/>
      <c r="G534" s="124"/>
      <c r="H534" s="124"/>
      <c r="I534" s="124"/>
      <c r="J534" s="124"/>
      <c r="K534" s="124"/>
    </row>
    <row r="535" spans="6:11" ht="15.75" customHeight="1" x14ac:dyDescent="0.3">
      <c r="F535" s="124"/>
      <c r="G535" s="124"/>
      <c r="H535" s="124"/>
      <c r="I535" s="124"/>
      <c r="J535" s="124"/>
      <c r="K535" s="124"/>
    </row>
    <row r="536" spans="6:11" ht="15.75" customHeight="1" x14ac:dyDescent="0.3">
      <c r="F536" s="124"/>
      <c r="G536" s="124"/>
      <c r="H536" s="124"/>
      <c r="I536" s="124"/>
      <c r="J536" s="124"/>
      <c r="K536" s="124"/>
    </row>
    <row r="537" spans="6:11" ht="15.75" customHeight="1" x14ac:dyDescent="0.3">
      <c r="F537" s="124"/>
      <c r="G537" s="124"/>
      <c r="H537" s="124"/>
      <c r="I537" s="124"/>
      <c r="J537" s="124"/>
      <c r="K537" s="124"/>
    </row>
    <row r="538" spans="6:11" ht="15.75" customHeight="1" x14ac:dyDescent="0.3">
      <c r="F538" s="124"/>
      <c r="G538" s="124"/>
      <c r="H538" s="124"/>
      <c r="I538" s="124"/>
      <c r="J538" s="124"/>
      <c r="K538" s="124"/>
    </row>
    <row r="539" spans="6:11" ht="15.75" customHeight="1" x14ac:dyDescent="0.3">
      <c r="F539" s="124"/>
      <c r="G539" s="124"/>
      <c r="H539" s="124"/>
      <c r="I539" s="124"/>
      <c r="J539" s="124"/>
      <c r="K539" s="124"/>
    </row>
    <row r="540" spans="6:11" ht="15.75" customHeight="1" x14ac:dyDescent="0.3">
      <c r="F540" s="124"/>
      <c r="G540" s="124"/>
      <c r="H540" s="124"/>
      <c r="I540" s="124"/>
      <c r="J540" s="124"/>
      <c r="K540" s="124"/>
    </row>
    <row r="541" spans="6:11" ht="15.75" customHeight="1" x14ac:dyDescent="0.3">
      <c r="F541" s="124"/>
      <c r="G541" s="124"/>
      <c r="H541" s="124"/>
      <c r="I541" s="124"/>
      <c r="J541" s="124"/>
      <c r="K541" s="124"/>
    </row>
    <row r="542" spans="6:11" ht="15.75" customHeight="1" x14ac:dyDescent="0.3">
      <c r="F542" s="124"/>
      <c r="G542" s="124"/>
      <c r="H542" s="124"/>
      <c r="I542" s="124"/>
      <c r="J542" s="124"/>
      <c r="K542" s="124"/>
    </row>
    <row r="543" spans="6:11" ht="15.75" customHeight="1" x14ac:dyDescent="0.3">
      <c r="F543" s="124"/>
      <c r="G543" s="124"/>
      <c r="H543" s="124"/>
      <c r="I543" s="124"/>
      <c r="J543" s="124"/>
      <c r="K543" s="124"/>
    </row>
    <row r="544" spans="6:11" ht="15.75" customHeight="1" x14ac:dyDescent="0.3">
      <c r="F544" s="124"/>
      <c r="G544" s="124"/>
      <c r="H544" s="124"/>
      <c r="I544" s="124"/>
      <c r="J544" s="124"/>
      <c r="K544" s="124"/>
    </row>
    <row r="545" spans="6:11" ht="15.75" customHeight="1" x14ac:dyDescent="0.3">
      <c r="F545" s="124"/>
      <c r="G545" s="124"/>
      <c r="H545" s="124"/>
      <c r="I545" s="124"/>
      <c r="J545" s="124"/>
      <c r="K545" s="124"/>
    </row>
    <row r="546" spans="6:11" ht="15.75" customHeight="1" x14ac:dyDescent="0.3">
      <c r="F546" s="124"/>
      <c r="G546" s="124"/>
      <c r="H546" s="124"/>
      <c r="I546" s="124"/>
      <c r="J546" s="124"/>
      <c r="K546" s="124"/>
    </row>
    <row r="547" spans="6:11" ht="15.75" customHeight="1" x14ac:dyDescent="0.3">
      <c r="F547" s="124"/>
      <c r="G547" s="124"/>
      <c r="H547" s="124"/>
      <c r="I547" s="124"/>
      <c r="J547" s="124"/>
      <c r="K547" s="124"/>
    </row>
    <row r="548" spans="6:11" ht="15.75" customHeight="1" x14ac:dyDescent="0.3">
      <c r="F548" s="124"/>
      <c r="G548" s="124"/>
      <c r="H548" s="124"/>
      <c r="I548" s="124"/>
      <c r="J548" s="124"/>
      <c r="K548" s="124"/>
    </row>
    <row r="549" spans="6:11" ht="15.75" customHeight="1" x14ac:dyDescent="0.3">
      <c r="F549" s="124"/>
      <c r="G549" s="124"/>
      <c r="H549" s="124"/>
      <c r="I549" s="124"/>
      <c r="J549" s="124"/>
      <c r="K549" s="124"/>
    </row>
    <row r="550" spans="6:11" ht="15.75" customHeight="1" x14ac:dyDescent="0.3">
      <c r="F550" s="124"/>
      <c r="G550" s="124"/>
      <c r="H550" s="124"/>
      <c r="I550" s="124"/>
      <c r="J550" s="124"/>
      <c r="K550" s="124"/>
    </row>
    <row r="551" spans="6:11" ht="15.75" customHeight="1" x14ac:dyDescent="0.3">
      <c r="F551" s="124"/>
      <c r="G551" s="124"/>
      <c r="H551" s="124"/>
      <c r="I551" s="124"/>
      <c r="J551" s="124"/>
      <c r="K551" s="124"/>
    </row>
    <row r="552" spans="6:11" ht="15.75" customHeight="1" x14ac:dyDescent="0.3">
      <c r="F552" s="124"/>
      <c r="G552" s="124"/>
      <c r="H552" s="124"/>
      <c r="I552" s="124"/>
      <c r="J552" s="124"/>
      <c r="K552" s="124"/>
    </row>
    <row r="553" spans="6:11" ht="15.75" customHeight="1" x14ac:dyDescent="0.3">
      <c r="F553" s="124"/>
      <c r="G553" s="124"/>
      <c r="H553" s="124"/>
      <c r="I553" s="124"/>
      <c r="J553" s="124"/>
      <c r="K553" s="124"/>
    </row>
    <row r="554" spans="6:11" ht="15.75" customHeight="1" x14ac:dyDescent="0.3">
      <c r="F554" s="124"/>
      <c r="G554" s="124"/>
      <c r="H554" s="124"/>
      <c r="I554" s="124"/>
      <c r="J554" s="124"/>
      <c r="K554" s="124"/>
    </row>
    <row r="555" spans="6:11" ht="15.75" customHeight="1" x14ac:dyDescent="0.3">
      <c r="F555" s="124"/>
      <c r="G555" s="124"/>
      <c r="H555" s="124"/>
      <c r="I555" s="124"/>
      <c r="J555" s="124"/>
      <c r="K555" s="124"/>
    </row>
    <row r="556" spans="6:11" ht="15.75" customHeight="1" x14ac:dyDescent="0.3">
      <c r="F556" s="124"/>
      <c r="G556" s="124"/>
      <c r="H556" s="124"/>
      <c r="I556" s="124"/>
      <c r="J556" s="124"/>
      <c r="K556" s="124"/>
    </row>
    <row r="557" spans="6:11" ht="15.75" customHeight="1" x14ac:dyDescent="0.3">
      <c r="F557" s="124"/>
      <c r="G557" s="124"/>
      <c r="H557" s="124"/>
      <c r="I557" s="124"/>
      <c r="J557" s="124"/>
      <c r="K557" s="124"/>
    </row>
    <row r="558" spans="6:11" ht="15.75" customHeight="1" x14ac:dyDescent="0.3">
      <c r="F558" s="124"/>
      <c r="G558" s="124"/>
      <c r="H558" s="124"/>
      <c r="I558" s="124"/>
      <c r="J558" s="124"/>
      <c r="K558" s="124"/>
    </row>
    <row r="559" spans="6:11" ht="15.75" customHeight="1" x14ac:dyDescent="0.3">
      <c r="F559" s="124"/>
      <c r="G559" s="124"/>
      <c r="H559" s="124"/>
      <c r="I559" s="124"/>
      <c r="J559" s="124"/>
      <c r="K559" s="124"/>
    </row>
    <row r="560" spans="6:11" ht="15.75" customHeight="1" x14ac:dyDescent="0.3">
      <c r="F560" s="124"/>
      <c r="G560" s="124"/>
      <c r="H560" s="124"/>
      <c r="I560" s="124"/>
      <c r="J560" s="124"/>
      <c r="K560" s="124"/>
    </row>
    <row r="561" spans="6:11" ht="15.75" customHeight="1" x14ac:dyDescent="0.3">
      <c r="F561" s="124"/>
      <c r="G561" s="124"/>
      <c r="H561" s="124"/>
      <c r="I561" s="124"/>
      <c r="J561" s="124"/>
      <c r="K561" s="124"/>
    </row>
    <row r="562" spans="6:11" ht="15.75" customHeight="1" x14ac:dyDescent="0.3">
      <c r="F562" s="124"/>
      <c r="G562" s="124"/>
      <c r="H562" s="124"/>
      <c r="I562" s="124"/>
      <c r="J562" s="124"/>
      <c r="K562" s="124"/>
    </row>
    <row r="563" spans="6:11" ht="15.75" customHeight="1" x14ac:dyDescent="0.3">
      <c r="F563" s="124"/>
      <c r="G563" s="124"/>
      <c r="H563" s="124"/>
      <c r="I563" s="124"/>
      <c r="J563" s="124"/>
      <c r="K563" s="124"/>
    </row>
    <row r="564" spans="6:11" ht="15.75" customHeight="1" x14ac:dyDescent="0.3">
      <c r="F564" s="124"/>
      <c r="G564" s="124"/>
      <c r="H564" s="124"/>
      <c r="I564" s="124"/>
      <c r="J564" s="124"/>
      <c r="K564" s="124"/>
    </row>
    <row r="565" spans="6:11" ht="15.75" customHeight="1" x14ac:dyDescent="0.3">
      <c r="F565" s="124"/>
      <c r="G565" s="124"/>
      <c r="H565" s="124"/>
      <c r="I565" s="124"/>
      <c r="J565" s="124"/>
      <c r="K565" s="124"/>
    </row>
    <row r="566" spans="6:11" ht="15.75" customHeight="1" x14ac:dyDescent="0.3">
      <c r="F566" s="124"/>
      <c r="G566" s="124"/>
      <c r="H566" s="124"/>
      <c r="I566" s="124"/>
      <c r="J566" s="124"/>
      <c r="K566" s="124"/>
    </row>
    <row r="567" spans="6:11" ht="15.75" customHeight="1" x14ac:dyDescent="0.3">
      <c r="F567" s="124"/>
      <c r="G567" s="124"/>
      <c r="H567" s="124"/>
      <c r="I567" s="124"/>
      <c r="J567" s="124"/>
      <c r="K567" s="124"/>
    </row>
    <row r="568" spans="6:11" ht="15.75" customHeight="1" x14ac:dyDescent="0.3">
      <c r="F568" s="124"/>
      <c r="G568" s="124"/>
      <c r="H568" s="124"/>
      <c r="I568" s="124"/>
      <c r="J568" s="124"/>
      <c r="K568" s="124"/>
    </row>
    <row r="569" spans="6:11" ht="15.75" customHeight="1" x14ac:dyDescent="0.3">
      <c r="F569" s="124"/>
      <c r="G569" s="124"/>
      <c r="H569" s="124"/>
      <c r="I569" s="124"/>
      <c r="J569" s="124"/>
      <c r="K569" s="124"/>
    </row>
    <row r="570" spans="6:11" ht="15.75" customHeight="1" x14ac:dyDescent="0.3">
      <c r="F570" s="124"/>
      <c r="G570" s="124"/>
      <c r="H570" s="124"/>
      <c r="I570" s="124"/>
      <c r="J570" s="124"/>
      <c r="K570" s="124"/>
    </row>
    <row r="571" spans="6:11" ht="15.75" customHeight="1" x14ac:dyDescent="0.3">
      <c r="F571" s="124"/>
      <c r="G571" s="124"/>
      <c r="H571" s="124"/>
      <c r="I571" s="124"/>
      <c r="J571" s="124"/>
      <c r="K571" s="124"/>
    </row>
    <row r="572" spans="6:11" ht="15.75" customHeight="1" x14ac:dyDescent="0.3">
      <c r="F572" s="124"/>
      <c r="G572" s="124"/>
      <c r="H572" s="124"/>
      <c r="I572" s="124"/>
      <c r="J572" s="124"/>
      <c r="K572" s="124"/>
    </row>
    <row r="573" spans="6:11" ht="15.75" customHeight="1" x14ac:dyDescent="0.3">
      <c r="F573" s="124"/>
      <c r="G573" s="124"/>
      <c r="H573" s="124"/>
      <c r="I573" s="124"/>
      <c r="J573" s="124"/>
      <c r="K573" s="124"/>
    </row>
    <row r="574" spans="6:11" ht="15.75" customHeight="1" x14ac:dyDescent="0.3">
      <c r="F574" s="124"/>
      <c r="G574" s="124"/>
      <c r="H574" s="124"/>
      <c r="I574" s="124"/>
      <c r="J574" s="124"/>
      <c r="K574" s="124"/>
    </row>
    <row r="575" spans="6:11" ht="15.75" customHeight="1" x14ac:dyDescent="0.3">
      <c r="F575" s="124"/>
      <c r="G575" s="124"/>
      <c r="H575" s="124"/>
      <c r="I575" s="124"/>
      <c r="J575" s="124"/>
      <c r="K575" s="124"/>
    </row>
    <row r="576" spans="6:11" ht="15.75" customHeight="1" x14ac:dyDescent="0.3">
      <c r="F576" s="124"/>
      <c r="G576" s="124"/>
      <c r="H576" s="124"/>
      <c r="I576" s="124"/>
      <c r="J576" s="124"/>
      <c r="K576" s="124"/>
    </row>
    <row r="577" spans="6:11" ht="15.75" customHeight="1" x14ac:dyDescent="0.3">
      <c r="F577" s="124"/>
      <c r="G577" s="124"/>
      <c r="H577" s="124"/>
      <c r="I577" s="124"/>
      <c r="J577" s="124"/>
      <c r="K577" s="124"/>
    </row>
    <row r="578" spans="6:11" ht="15.75" customHeight="1" x14ac:dyDescent="0.3">
      <c r="F578" s="124"/>
      <c r="G578" s="124"/>
      <c r="H578" s="124"/>
      <c r="I578" s="124"/>
      <c r="J578" s="124"/>
      <c r="K578" s="124"/>
    </row>
    <row r="579" spans="6:11" ht="15.75" customHeight="1" x14ac:dyDescent="0.3">
      <c r="F579" s="124"/>
      <c r="G579" s="124"/>
      <c r="H579" s="124"/>
      <c r="I579" s="124"/>
      <c r="J579" s="124"/>
      <c r="K579" s="124"/>
    </row>
    <row r="580" spans="6:11" ht="15.75" customHeight="1" x14ac:dyDescent="0.3">
      <c r="F580" s="124"/>
      <c r="G580" s="124"/>
      <c r="H580" s="124"/>
      <c r="I580" s="124"/>
      <c r="J580" s="124"/>
      <c r="K580" s="124"/>
    </row>
    <row r="581" spans="6:11" ht="15.75" customHeight="1" x14ac:dyDescent="0.3">
      <c r="F581" s="124"/>
      <c r="G581" s="124"/>
      <c r="H581" s="124"/>
      <c r="I581" s="124"/>
      <c r="J581" s="124"/>
      <c r="K581" s="124"/>
    </row>
    <row r="582" spans="6:11" ht="15.75" customHeight="1" x14ac:dyDescent="0.3">
      <c r="F582" s="124"/>
      <c r="G582" s="124"/>
      <c r="H582" s="124"/>
      <c r="I582" s="124"/>
      <c r="J582" s="124"/>
      <c r="K582" s="124"/>
    </row>
    <row r="583" spans="6:11" ht="15.75" customHeight="1" x14ac:dyDescent="0.3">
      <c r="F583" s="124"/>
      <c r="G583" s="124"/>
      <c r="H583" s="124"/>
      <c r="I583" s="124"/>
      <c r="J583" s="124"/>
      <c r="K583" s="124"/>
    </row>
    <row r="584" spans="6:11" ht="15.75" customHeight="1" x14ac:dyDescent="0.3">
      <c r="F584" s="124"/>
      <c r="G584" s="124"/>
      <c r="H584" s="124"/>
      <c r="I584" s="124"/>
      <c r="J584" s="124"/>
      <c r="K584" s="124"/>
    </row>
    <row r="585" spans="6:11" ht="15.75" customHeight="1" x14ac:dyDescent="0.3">
      <c r="F585" s="124"/>
      <c r="G585" s="124"/>
      <c r="H585" s="124"/>
      <c r="I585" s="124"/>
      <c r="J585" s="124"/>
      <c r="K585" s="124"/>
    </row>
    <row r="586" spans="6:11" ht="15.75" customHeight="1" x14ac:dyDescent="0.3">
      <c r="F586" s="124"/>
      <c r="G586" s="124"/>
      <c r="H586" s="124"/>
      <c r="I586" s="124"/>
      <c r="J586" s="124"/>
      <c r="K586" s="124"/>
    </row>
    <row r="587" spans="6:11" ht="15.75" customHeight="1" x14ac:dyDescent="0.3">
      <c r="F587" s="124"/>
      <c r="G587" s="124"/>
      <c r="H587" s="124"/>
      <c r="I587" s="124"/>
      <c r="J587" s="124"/>
      <c r="K587" s="124"/>
    </row>
    <row r="588" spans="6:11" ht="15.75" customHeight="1" x14ac:dyDescent="0.3">
      <c r="F588" s="124"/>
      <c r="G588" s="124"/>
      <c r="H588" s="124"/>
      <c r="I588" s="124"/>
      <c r="J588" s="124"/>
      <c r="K588" s="124"/>
    </row>
    <row r="589" spans="6:11" ht="15.75" customHeight="1" x14ac:dyDescent="0.3">
      <c r="F589" s="124"/>
      <c r="G589" s="124"/>
      <c r="H589" s="124"/>
      <c r="I589" s="124"/>
      <c r="J589" s="124"/>
      <c r="K589" s="124"/>
    </row>
    <row r="590" spans="6:11" ht="15.75" customHeight="1" x14ac:dyDescent="0.3">
      <c r="F590" s="124"/>
      <c r="G590" s="124"/>
      <c r="H590" s="124"/>
      <c r="I590" s="124"/>
      <c r="J590" s="124"/>
      <c r="K590" s="124"/>
    </row>
    <row r="591" spans="6:11" ht="15.75" customHeight="1" x14ac:dyDescent="0.3">
      <c r="F591" s="124"/>
      <c r="G591" s="124"/>
      <c r="H591" s="124"/>
      <c r="I591" s="124"/>
      <c r="J591" s="124"/>
      <c r="K591" s="124"/>
    </row>
    <row r="592" spans="6:11" ht="15.75" customHeight="1" x14ac:dyDescent="0.3">
      <c r="F592" s="124"/>
      <c r="G592" s="124"/>
      <c r="H592" s="124"/>
      <c r="I592" s="124"/>
      <c r="J592" s="124"/>
      <c r="K592" s="124"/>
    </row>
    <row r="593" spans="6:11" ht="15.75" customHeight="1" x14ac:dyDescent="0.3">
      <c r="F593" s="124"/>
      <c r="G593" s="124"/>
      <c r="H593" s="124"/>
      <c r="I593" s="124"/>
      <c r="J593" s="124"/>
      <c r="K593" s="124"/>
    </row>
    <row r="594" spans="6:11" ht="15.75" customHeight="1" x14ac:dyDescent="0.3">
      <c r="F594" s="124"/>
      <c r="G594" s="124"/>
      <c r="H594" s="124"/>
      <c r="I594" s="124"/>
      <c r="J594" s="124"/>
      <c r="K594" s="124"/>
    </row>
    <row r="595" spans="6:11" ht="15.75" customHeight="1" x14ac:dyDescent="0.3">
      <c r="F595" s="124"/>
      <c r="G595" s="124"/>
      <c r="H595" s="124"/>
      <c r="I595" s="124"/>
      <c r="J595" s="124"/>
      <c r="K595" s="124"/>
    </row>
    <row r="596" spans="6:11" ht="15.75" customHeight="1" x14ac:dyDescent="0.3">
      <c r="F596" s="124"/>
      <c r="G596" s="124"/>
      <c r="H596" s="124"/>
      <c r="I596" s="124"/>
      <c r="J596" s="124"/>
      <c r="K596" s="124"/>
    </row>
    <row r="597" spans="6:11" ht="15.75" customHeight="1" x14ac:dyDescent="0.3">
      <c r="F597" s="124"/>
      <c r="G597" s="124"/>
      <c r="H597" s="124"/>
      <c r="I597" s="124"/>
      <c r="J597" s="124"/>
      <c r="K597" s="124"/>
    </row>
    <row r="598" spans="6:11" ht="15.75" customHeight="1" x14ac:dyDescent="0.3">
      <c r="F598" s="124"/>
      <c r="G598" s="124"/>
      <c r="H598" s="124"/>
      <c r="I598" s="124"/>
      <c r="J598" s="124"/>
      <c r="K598" s="124"/>
    </row>
    <row r="599" spans="6:11" ht="15.75" customHeight="1" x14ac:dyDescent="0.3">
      <c r="F599" s="124"/>
      <c r="G599" s="124"/>
      <c r="H599" s="124"/>
      <c r="I599" s="124"/>
      <c r="J599" s="124"/>
      <c r="K599" s="124"/>
    </row>
    <row r="600" spans="6:11" ht="15.75" customHeight="1" x14ac:dyDescent="0.3">
      <c r="F600" s="124"/>
      <c r="G600" s="124"/>
      <c r="H600" s="124"/>
      <c r="I600" s="124"/>
      <c r="J600" s="124"/>
      <c r="K600" s="124"/>
    </row>
    <row r="601" spans="6:11" ht="15.75" customHeight="1" x14ac:dyDescent="0.3">
      <c r="F601" s="124"/>
      <c r="G601" s="124"/>
      <c r="H601" s="124"/>
      <c r="I601" s="124"/>
      <c r="J601" s="124"/>
      <c r="K601" s="124"/>
    </row>
    <row r="602" spans="6:11" ht="15.75" customHeight="1" x14ac:dyDescent="0.3">
      <c r="F602" s="124"/>
      <c r="G602" s="124"/>
      <c r="H602" s="124"/>
      <c r="I602" s="124"/>
      <c r="J602" s="124"/>
      <c r="K602" s="124"/>
    </row>
    <row r="603" spans="6:11" ht="15.75" customHeight="1" x14ac:dyDescent="0.3">
      <c r="F603" s="124"/>
      <c r="G603" s="124"/>
      <c r="H603" s="124"/>
      <c r="I603" s="124"/>
      <c r="J603" s="124"/>
      <c r="K603" s="124"/>
    </row>
    <row r="604" spans="6:11" ht="15.75" customHeight="1" x14ac:dyDescent="0.3">
      <c r="F604" s="124"/>
      <c r="G604" s="124"/>
      <c r="H604" s="124"/>
      <c r="I604" s="124"/>
      <c r="J604" s="124"/>
      <c r="K604" s="124"/>
    </row>
    <row r="605" spans="6:11" ht="15.75" customHeight="1" x14ac:dyDescent="0.3">
      <c r="F605" s="124"/>
      <c r="G605" s="124"/>
      <c r="H605" s="124"/>
      <c r="I605" s="124"/>
      <c r="J605" s="124"/>
      <c r="K605" s="124"/>
    </row>
    <row r="606" spans="6:11" ht="15.75" customHeight="1" x14ac:dyDescent="0.3">
      <c r="F606" s="124"/>
      <c r="G606" s="124"/>
      <c r="H606" s="124"/>
      <c r="I606" s="124"/>
      <c r="J606" s="124"/>
      <c r="K606" s="124"/>
    </row>
    <row r="607" spans="6:11" ht="15.75" customHeight="1" x14ac:dyDescent="0.3">
      <c r="F607" s="124"/>
      <c r="G607" s="124"/>
      <c r="H607" s="124"/>
      <c r="I607" s="124"/>
      <c r="J607" s="124"/>
      <c r="K607" s="124"/>
    </row>
    <row r="608" spans="6:11" ht="15.75" customHeight="1" x14ac:dyDescent="0.3">
      <c r="F608" s="124"/>
      <c r="G608" s="124"/>
      <c r="H608" s="124"/>
      <c r="I608" s="124"/>
      <c r="J608" s="124"/>
      <c r="K608" s="124"/>
    </row>
    <row r="609" spans="6:11" ht="15.75" customHeight="1" x14ac:dyDescent="0.3">
      <c r="F609" s="124"/>
      <c r="G609" s="124"/>
      <c r="H609" s="124"/>
      <c r="I609" s="124"/>
      <c r="J609" s="124"/>
      <c r="K609" s="124"/>
    </row>
    <row r="610" spans="6:11" ht="15.75" customHeight="1" x14ac:dyDescent="0.3">
      <c r="F610" s="124"/>
      <c r="G610" s="124"/>
      <c r="H610" s="124"/>
      <c r="I610" s="124"/>
      <c r="J610" s="124"/>
      <c r="K610" s="124"/>
    </row>
    <row r="611" spans="6:11" ht="15.75" customHeight="1" x14ac:dyDescent="0.3">
      <c r="F611" s="124"/>
      <c r="G611" s="124"/>
      <c r="H611" s="124"/>
      <c r="I611" s="124"/>
      <c r="J611" s="124"/>
      <c r="K611" s="124"/>
    </row>
    <row r="612" spans="6:11" ht="15.75" customHeight="1" x14ac:dyDescent="0.3">
      <c r="F612" s="124"/>
      <c r="G612" s="124"/>
      <c r="H612" s="124"/>
      <c r="I612" s="124"/>
      <c r="J612" s="124"/>
      <c r="K612" s="124"/>
    </row>
    <row r="613" spans="6:11" ht="15.75" customHeight="1" x14ac:dyDescent="0.3">
      <c r="F613" s="124"/>
      <c r="G613" s="124"/>
      <c r="H613" s="124"/>
      <c r="I613" s="124"/>
      <c r="J613" s="124"/>
      <c r="K613" s="124"/>
    </row>
    <row r="614" spans="6:11" ht="15.75" customHeight="1" x14ac:dyDescent="0.3">
      <c r="F614" s="124"/>
      <c r="G614" s="124"/>
      <c r="H614" s="124"/>
      <c r="I614" s="124"/>
      <c r="J614" s="124"/>
      <c r="K614" s="124"/>
    </row>
    <row r="615" spans="6:11" ht="15.75" customHeight="1" x14ac:dyDescent="0.3">
      <c r="F615" s="124"/>
      <c r="G615" s="124"/>
      <c r="H615" s="124"/>
      <c r="I615" s="124"/>
      <c r="J615" s="124"/>
      <c r="K615" s="124"/>
    </row>
    <row r="616" spans="6:11" ht="15.75" customHeight="1" x14ac:dyDescent="0.3">
      <c r="F616" s="124"/>
      <c r="G616" s="124"/>
      <c r="H616" s="124"/>
      <c r="I616" s="124"/>
      <c r="J616" s="124"/>
      <c r="K616" s="124"/>
    </row>
    <row r="617" spans="6:11" ht="15.75" customHeight="1" x14ac:dyDescent="0.3">
      <c r="F617" s="124"/>
      <c r="G617" s="124"/>
      <c r="H617" s="124"/>
      <c r="I617" s="124"/>
      <c r="J617" s="124"/>
      <c r="K617" s="124"/>
    </row>
    <row r="618" spans="6:11" ht="15.75" customHeight="1" x14ac:dyDescent="0.3">
      <c r="F618" s="124"/>
      <c r="G618" s="124"/>
      <c r="H618" s="124"/>
      <c r="I618" s="124"/>
      <c r="J618" s="124"/>
      <c r="K618" s="124"/>
    </row>
    <row r="619" spans="6:11" ht="15.75" customHeight="1" x14ac:dyDescent="0.3">
      <c r="F619" s="124"/>
      <c r="G619" s="124"/>
      <c r="H619" s="124"/>
      <c r="I619" s="124"/>
      <c r="J619" s="124"/>
      <c r="K619" s="124"/>
    </row>
    <row r="620" spans="6:11" ht="15.75" customHeight="1" x14ac:dyDescent="0.3">
      <c r="F620" s="124"/>
      <c r="G620" s="124"/>
      <c r="H620" s="124"/>
      <c r="I620" s="124"/>
      <c r="J620" s="124"/>
      <c r="K620" s="124"/>
    </row>
    <row r="621" spans="6:11" ht="15.75" customHeight="1" x14ac:dyDescent="0.3">
      <c r="F621" s="124"/>
      <c r="G621" s="124"/>
      <c r="H621" s="124"/>
      <c r="I621" s="124"/>
      <c r="J621" s="124"/>
      <c r="K621" s="124"/>
    </row>
    <row r="622" spans="6:11" ht="15.75" customHeight="1" x14ac:dyDescent="0.3">
      <c r="F622" s="124"/>
      <c r="G622" s="124"/>
      <c r="H622" s="124"/>
      <c r="I622" s="124"/>
      <c r="J622" s="124"/>
      <c r="K622" s="124"/>
    </row>
    <row r="623" spans="6:11" ht="15.75" customHeight="1" x14ac:dyDescent="0.3">
      <c r="F623" s="124"/>
      <c r="G623" s="124"/>
      <c r="H623" s="124"/>
      <c r="I623" s="124"/>
      <c r="J623" s="124"/>
      <c r="K623" s="124"/>
    </row>
    <row r="624" spans="6:11" ht="15.75" customHeight="1" x14ac:dyDescent="0.3">
      <c r="F624" s="124"/>
      <c r="G624" s="124"/>
      <c r="H624" s="124"/>
      <c r="I624" s="124"/>
      <c r="J624" s="124"/>
      <c r="K624" s="124"/>
    </row>
    <row r="625" spans="6:11" ht="15.75" customHeight="1" x14ac:dyDescent="0.3">
      <c r="F625" s="124"/>
      <c r="G625" s="124"/>
      <c r="H625" s="124"/>
      <c r="I625" s="124"/>
      <c r="J625" s="124"/>
      <c r="K625" s="124"/>
    </row>
    <row r="626" spans="6:11" ht="15.75" customHeight="1" x14ac:dyDescent="0.3">
      <c r="F626" s="124"/>
      <c r="G626" s="124"/>
      <c r="H626" s="124"/>
      <c r="I626" s="124"/>
      <c r="J626" s="124"/>
      <c r="K626" s="124"/>
    </row>
    <row r="627" spans="6:11" ht="15.75" customHeight="1" x14ac:dyDescent="0.3">
      <c r="F627" s="124"/>
      <c r="G627" s="124"/>
      <c r="H627" s="124"/>
      <c r="I627" s="124"/>
      <c r="J627" s="124"/>
      <c r="K627" s="124"/>
    </row>
    <row r="628" spans="6:11" ht="15.75" customHeight="1" x14ac:dyDescent="0.3">
      <c r="F628" s="124"/>
      <c r="G628" s="124"/>
      <c r="H628" s="124"/>
      <c r="I628" s="124"/>
      <c r="J628" s="124"/>
      <c r="K628" s="124"/>
    </row>
    <row r="629" spans="6:11" ht="15.75" customHeight="1" x14ac:dyDescent="0.3">
      <c r="F629" s="124"/>
      <c r="G629" s="124"/>
      <c r="H629" s="124"/>
      <c r="I629" s="124"/>
      <c r="J629" s="124"/>
      <c r="K629" s="124"/>
    </row>
    <row r="630" spans="6:11" ht="15.75" customHeight="1" x14ac:dyDescent="0.3">
      <c r="F630" s="124"/>
      <c r="G630" s="124"/>
      <c r="H630" s="124"/>
      <c r="I630" s="124"/>
      <c r="J630" s="124"/>
      <c r="K630" s="124"/>
    </row>
    <row r="631" spans="6:11" ht="15.75" customHeight="1" x14ac:dyDescent="0.3">
      <c r="F631" s="124"/>
      <c r="G631" s="124"/>
      <c r="H631" s="124"/>
      <c r="I631" s="124"/>
      <c r="J631" s="124"/>
      <c r="K631" s="124"/>
    </row>
    <row r="632" spans="6:11" ht="15.75" customHeight="1" x14ac:dyDescent="0.3">
      <c r="F632" s="124"/>
      <c r="G632" s="124"/>
      <c r="H632" s="124"/>
      <c r="I632" s="124"/>
      <c r="J632" s="124"/>
      <c r="K632" s="124"/>
    </row>
    <row r="633" spans="6:11" ht="15.75" customHeight="1" x14ac:dyDescent="0.3">
      <c r="F633" s="124"/>
      <c r="G633" s="124"/>
      <c r="H633" s="124"/>
      <c r="I633" s="124"/>
      <c r="J633" s="124"/>
      <c r="K633" s="124"/>
    </row>
    <row r="634" spans="6:11" ht="15.75" customHeight="1" x14ac:dyDescent="0.3">
      <c r="F634" s="124"/>
      <c r="G634" s="124"/>
      <c r="H634" s="124"/>
      <c r="I634" s="124"/>
      <c r="J634" s="124"/>
      <c r="K634" s="124"/>
    </row>
    <row r="635" spans="6:11" ht="15.75" customHeight="1" x14ac:dyDescent="0.3">
      <c r="F635" s="124"/>
      <c r="G635" s="124"/>
      <c r="H635" s="124"/>
      <c r="I635" s="124"/>
      <c r="J635" s="124"/>
      <c r="K635" s="124"/>
    </row>
    <row r="636" spans="6:11" ht="15.75" customHeight="1" x14ac:dyDescent="0.3">
      <c r="F636" s="124"/>
      <c r="G636" s="124"/>
      <c r="H636" s="124"/>
      <c r="I636" s="124"/>
      <c r="J636" s="124"/>
      <c r="K636" s="124"/>
    </row>
    <row r="637" spans="6:11" ht="15.75" customHeight="1" x14ac:dyDescent="0.3">
      <c r="F637" s="124"/>
      <c r="G637" s="124"/>
      <c r="H637" s="124"/>
      <c r="I637" s="124"/>
      <c r="J637" s="124"/>
      <c r="K637" s="124"/>
    </row>
    <row r="638" spans="6:11" ht="15.75" customHeight="1" x14ac:dyDescent="0.3">
      <c r="F638" s="124"/>
      <c r="G638" s="124"/>
      <c r="H638" s="124"/>
      <c r="I638" s="124"/>
      <c r="J638" s="124"/>
      <c r="K638" s="124"/>
    </row>
    <row r="639" spans="6:11" ht="15.75" customHeight="1" x14ac:dyDescent="0.3">
      <c r="F639" s="124"/>
      <c r="G639" s="124"/>
      <c r="H639" s="124"/>
      <c r="I639" s="124"/>
      <c r="J639" s="124"/>
      <c r="K639" s="124"/>
    </row>
    <row r="640" spans="6:11" ht="15.75" customHeight="1" x14ac:dyDescent="0.3">
      <c r="F640" s="124"/>
      <c r="G640" s="124"/>
      <c r="H640" s="124"/>
      <c r="I640" s="124"/>
      <c r="J640" s="124"/>
      <c r="K640" s="124"/>
    </row>
    <row r="641" spans="6:11" ht="15.75" customHeight="1" x14ac:dyDescent="0.3">
      <c r="F641" s="124"/>
      <c r="G641" s="124"/>
      <c r="H641" s="124"/>
      <c r="I641" s="124"/>
      <c r="J641" s="124"/>
      <c r="K641" s="124"/>
    </row>
    <row r="642" spans="6:11" ht="15.75" customHeight="1" x14ac:dyDescent="0.3">
      <c r="F642" s="124"/>
      <c r="G642" s="124"/>
      <c r="H642" s="124"/>
      <c r="I642" s="124"/>
      <c r="J642" s="124"/>
      <c r="K642" s="124"/>
    </row>
    <row r="643" spans="6:11" ht="15.75" customHeight="1" x14ac:dyDescent="0.3">
      <c r="F643" s="124"/>
      <c r="G643" s="124"/>
      <c r="H643" s="124"/>
      <c r="I643" s="124"/>
      <c r="J643" s="124"/>
      <c r="K643" s="124"/>
    </row>
    <row r="644" spans="6:11" ht="15.75" customHeight="1" x14ac:dyDescent="0.3">
      <c r="F644" s="124"/>
      <c r="G644" s="124"/>
      <c r="H644" s="124"/>
      <c r="I644" s="124"/>
      <c r="J644" s="124"/>
      <c r="K644" s="124"/>
    </row>
    <row r="645" spans="6:11" ht="15.75" customHeight="1" x14ac:dyDescent="0.3">
      <c r="F645" s="124"/>
      <c r="G645" s="124"/>
      <c r="H645" s="124"/>
      <c r="I645" s="124"/>
      <c r="J645" s="124"/>
      <c r="K645" s="124"/>
    </row>
    <row r="646" spans="6:11" ht="15.75" customHeight="1" x14ac:dyDescent="0.3">
      <c r="F646" s="124"/>
      <c r="G646" s="124"/>
      <c r="H646" s="124"/>
      <c r="I646" s="124"/>
      <c r="J646" s="124"/>
      <c r="K646" s="124"/>
    </row>
    <row r="647" spans="6:11" ht="15.75" customHeight="1" x14ac:dyDescent="0.3">
      <c r="F647" s="124"/>
      <c r="G647" s="124"/>
      <c r="H647" s="124"/>
      <c r="I647" s="124"/>
      <c r="J647" s="124"/>
      <c r="K647" s="124"/>
    </row>
    <row r="648" spans="6:11" ht="15.75" customHeight="1" x14ac:dyDescent="0.3">
      <c r="F648" s="124"/>
      <c r="G648" s="124"/>
      <c r="H648" s="124"/>
      <c r="I648" s="124"/>
      <c r="J648" s="124"/>
      <c r="K648" s="124"/>
    </row>
    <row r="649" spans="6:11" ht="15.75" customHeight="1" x14ac:dyDescent="0.3">
      <c r="F649" s="124"/>
      <c r="G649" s="124"/>
      <c r="H649" s="124"/>
      <c r="I649" s="124"/>
      <c r="J649" s="124"/>
      <c r="K649" s="124"/>
    </row>
    <row r="650" spans="6:11" ht="15.75" customHeight="1" x14ac:dyDescent="0.3">
      <c r="F650" s="124"/>
      <c r="G650" s="124"/>
      <c r="H650" s="124"/>
      <c r="I650" s="124"/>
      <c r="J650" s="124"/>
      <c r="K650" s="124"/>
    </row>
    <row r="651" spans="6:11" ht="15.75" customHeight="1" x14ac:dyDescent="0.3">
      <c r="F651" s="124"/>
      <c r="G651" s="124"/>
      <c r="H651" s="124"/>
      <c r="I651" s="124"/>
      <c r="J651" s="124"/>
      <c r="K651" s="124"/>
    </row>
    <row r="652" spans="6:11" ht="15.75" customHeight="1" x14ac:dyDescent="0.3">
      <c r="F652" s="124"/>
      <c r="G652" s="124"/>
      <c r="H652" s="124"/>
      <c r="I652" s="124"/>
      <c r="J652" s="124"/>
      <c r="K652" s="124"/>
    </row>
    <row r="653" spans="6:11" ht="15.75" customHeight="1" x14ac:dyDescent="0.3">
      <c r="F653" s="124"/>
      <c r="G653" s="124"/>
      <c r="H653" s="124"/>
      <c r="I653" s="124"/>
      <c r="J653" s="124"/>
      <c r="K653" s="124"/>
    </row>
    <row r="654" spans="6:11" ht="15.75" customHeight="1" x14ac:dyDescent="0.3">
      <c r="F654" s="124"/>
      <c r="G654" s="124"/>
      <c r="H654" s="124"/>
      <c r="I654" s="124"/>
      <c r="J654" s="124"/>
      <c r="K654" s="124"/>
    </row>
    <row r="655" spans="6:11" ht="15.75" customHeight="1" x14ac:dyDescent="0.3">
      <c r="F655" s="124"/>
      <c r="G655" s="124"/>
      <c r="H655" s="124"/>
      <c r="I655" s="124"/>
      <c r="J655" s="124"/>
      <c r="K655" s="124"/>
    </row>
    <row r="656" spans="6:11" ht="15.75" customHeight="1" x14ac:dyDescent="0.3">
      <c r="F656" s="124"/>
      <c r="G656" s="124"/>
      <c r="H656" s="124"/>
      <c r="I656" s="124"/>
      <c r="J656" s="124"/>
      <c r="K656" s="124"/>
    </row>
    <row r="657" spans="6:11" ht="15.75" customHeight="1" x14ac:dyDescent="0.3">
      <c r="F657" s="124"/>
      <c r="G657" s="124"/>
      <c r="H657" s="124"/>
      <c r="I657" s="124"/>
      <c r="J657" s="124"/>
      <c r="K657" s="124"/>
    </row>
    <row r="658" spans="6:11" ht="15.75" customHeight="1" x14ac:dyDescent="0.3">
      <c r="F658" s="124"/>
      <c r="G658" s="124"/>
      <c r="H658" s="124"/>
      <c r="I658" s="124"/>
      <c r="J658" s="124"/>
      <c r="K658" s="124"/>
    </row>
    <row r="659" spans="6:11" ht="15.75" customHeight="1" x14ac:dyDescent="0.3">
      <c r="F659" s="124"/>
      <c r="G659" s="124"/>
      <c r="H659" s="124"/>
      <c r="I659" s="124"/>
      <c r="J659" s="124"/>
      <c r="K659" s="124"/>
    </row>
    <row r="660" spans="6:11" ht="15.75" customHeight="1" x14ac:dyDescent="0.3">
      <c r="F660" s="124"/>
      <c r="G660" s="124"/>
      <c r="H660" s="124"/>
      <c r="I660" s="124"/>
      <c r="J660" s="124"/>
      <c r="K660" s="124"/>
    </row>
    <row r="661" spans="6:11" ht="15.75" customHeight="1" x14ac:dyDescent="0.3">
      <c r="F661" s="124"/>
      <c r="G661" s="124"/>
      <c r="H661" s="124"/>
      <c r="I661" s="124"/>
      <c r="J661" s="124"/>
      <c r="K661" s="124"/>
    </row>
    <row r="662" spans="6:11" ht="15.75" customHeight="1" x14ac:dyDescent="0.3">
      <c r="F662" s="124"/>
      <c r="G662" s="124"/>
      <c r="H662" s="124"/>
      <c r="I662" s="124"/>
      <c r="J662" s="124"/>
      <c r="K662" s="124"/>
    </row>
    <row r="663" spans="6:11" ht="15.75" customHeight="1" x14ac:dyDescent="0.3">
      <c r="F663" s="124"/>
      <c r="G663" s="124"/>
      <c r="H663" s="124"/>
      <c r="I663" s="124"/>
      <c r="J663" s="124"/>
      <c r="K663" s="124"/>
    </row>
    <row r="664" spans="6:11" ht="15.75" customHeight="1" x14ac:dyDescent="0.3">
      <c r="F664" s="124"/>
      <c r="G664" s="124"/>
      <c r="H664" s="124"/>
      <c r="I664" s="124"/>
      <c r="J664" s="124"/>
      <c r="K664" s="124"/>
    </row>
    <row r="665" spans="6:11" ht="15.75" customHeight="1" x14ac:dyDescent="0.3">
      <c r="F665" s="124"/>
      <c r="G665" s="124"/>
      <c r="H665" s="124"/>
      <c r="I665" s="124"/>
      <c r="J665" s="124"/>
      <c r="K665" s="124"/>
    </row>
    <row r="666" spans="6:11" ht="15.75" customHeight="1" x14ac:dyDescent="0.3">
      <c r="F666" s="124"/>
      <c r="G666" s="124"/>
      <c r="H666" s="124"/>
      <c r="I666" s="124"/>
      <c r="J666" s="124"/>
      <c r="K666" s="124"/>
    </row>
    <row r="667" spans="6:11" ht="15.75" customHeight="1" x14ac:dyDescent="0.3">
      <c r="F667" s="124"/>
      <c r="G667" s="124"/>
      <c r="H667" s="124"/>
      <c r="I667" s="124"/>
      <c r="J667" s="124"/>
      <c r="K667" s="124"/>
    </row>
    <row r="668" spans="6:11" ht="15.75" customHeight="1" x14ac:dyDescent="0.3">
      <c r="F668" s="124"/>
      <c r="G668" s="124"/>
      <c r="H668" s="124"/>
      <c r="I668" s="124"/>
      <c r="J668" s="124"/>
      <c r="K668" s="124"/>
    </row>
    <row r="669" spans="6:11" ht="15.75" customHeight="1" x14ac:dyDescent="0.3">
      <c r="F669" s="124"/>
      <c r="G669" s="124"/>
      <c r="H669" s="124"/>
      <c r="I669" s="124"/>
      <c r="J669" s="124"/>
      <c r="K669" s="124"/>
    </row>
    <row r="670" spans="6:11" ht="15.75" customHeight="1" x14ac:dyDescent="0.3">
      <c r="F670" s="124"/>
      <c r="G670" s="124"/>
      <c r="H670" s="124"/>
      <c r="I670" s="124"/>
      <c r="J670" s="124"/>
      <c r="K670" s="124"/>
    </row>
    <row r="671" spans="6:11" ht="15.75" customHeight="1" x14ac:dyDescent="0.3">
      <c r="F671" s="124"/>
      <c r="G671" s="124"/>
      <c r="H671" s="124"/>
      <c r="I671" s="124"/>
      <c r="J671" s="124"/>
      <c r="K671" s="124"/>
    </row>
    <row r="672" spans="6:11" ht="15.75" customHeight="1" x14ac:dyDescent="0.3">
      <c r="F672" s="124"/>
      <c r="G672" s="124"/>
      <c r="H672" s="124"/>
      <c r="I672" s="124"/>
      <c r="J672" s="124"/>
      <c r="K672" s="124"/>
    </row>
    <row r="673" spans="6:11" ht="15.75" customHeight="1" x14ac:dyDescent="0.3">
      <c r="F673" s="124"/>
      <c r="G673" s="124"/>
      <c r="H673" s="124"/>
      <c r="I673" s="124"/>
      <c r="J673" s="124"/>
      <c r="K673" s="124"/>
    </row>
    <row r="674" spans="6:11" ht="15.75" customHeight="1" x14ac:dyDescent="0.3">
      <c r="F674" s="124"/>
      <c r="G674" s="124"/>
      <c r="H674" s="124"/>
      <c r="I674" s="124"/>
      <c r="J674" s="124"/>
      <c r="K674" s="124"/>
    </row>
    <row r="675" spans="6:11" ht="15.75" customHeight="1" x14ac:dyDescent="0.3">
      <c r="F675" s="124"/>
      <c r="G675" s="124"/>
      <c r="H675" s="124"/>
      <c r="I675" s="124"/>
      <c r="J675" s="124"/>
      <c r="K675" s="124"/>
    </row>
    <row r="676" spans="6:11" ht="15.75" customHeight="1" x14ac:dyDescent="0.3">
      <c r="F676" s="124"/>
      <c r="G676" s="124"/>
      <c r="H676" s="124"/>
      <c r="I676" s="124"/>
      <c r="J676" s="124"/>
      <c r="K676" s="124"/>
    </row>
    <row r="677" spans="6:11" ht="15.75" customHeight="1" x14ac:dyDescent="0.3">
      <c r="F677" s="124"/>
      <c r="G677" s="124"/>
      <c r="H677" s="124"/>
      <c r="I677" s="124"/>
      <c r="J677" s="124"/>
      <c r="K677" s="124"/>
    </row>
    <row r="678" spans="6:11" ht="15.75" customHeight="1" x14ac:dyDescent="0.3">
      <c r="F678" s="124"/>
      <c r="G678" s="124"/>
      <c r="H678" s="124"/>
      <c r="I678" s="124"/>
      <c r="J678" s="124"/>
      <c r="K678" s="124"/>
    </row>
    <row r="679" spans="6:11" ht="15.75" customHeight="1" x14ac:dyDescent="0.3">
      <c r="F679" s="124"/>
      <c r="G679" s="124"/>
      <c r="H679" s="124"/>
      <c r="I679" s="124"/>
      <c r="J679" s="124"/>
      <c r="K679" s="124"/>
    </row>
    <row r="680" spans="6:11" ht="15.75" customHeight="1" x14ac:dyDescent="0.3">
      <c r="F680" s="124"/>
      <c r="G680" s="124"/>
      <c r="H680" s="124"/>
      <c r="I680" s="124"/>
      <c r="J680" s="124"/>
      <c r="K680" s="124"/>
    </row>
    <row r="681" spans="6:11" ht="15.75" customHeight="1" x14ac:dyDescent="0.3">
      <c r="F681" s="124"/>
      <c r="G681" s="124"/>
      <c r="H681" s="124"/>
      <c r="I681" s="124"/>
      <c r="J681" s="124"/>
      <c r="K681" s="124"/>
    </row>
    <row r="682" spans="6:11" ht="15.75" customHeight="1" x14ac:dyDescent="0.3">
      <c r="F682" s="124"/>
      <c r="G682" s="124"/>
      <c r="H682" s="124"/>
      <c r="I682" s="124"/>
      <c r="J682" s="124"/>
      <c r="K682" s="124"/>
    </row>
    <row r="683" spans="6:11" ht="15.75" customHeight="1" x14ac:dyDescent="0.3">
      <c r="F683" s="124"/>
      <c r="G683" s="124"/>
      <c r="H683" s="124"/>
      <c r="I683" s="124"/>
      <c r="J683" s="124"/>
      <c r="K683" s="124"/>
    </row>
    <row r="684" spans="6:11" ht="15.75" customHeight="1" x14ac:dyDescent="0.3">
      <c r="F684" s="124"/>
      <c r="G684" s="124"/>
      <c r="H684" s="124"/>
      <c r="I684" s="124"/>
      <c r="J684" s="124"/>
      <c r="K684" s="124"/>
    </row>
    <row r="685" spans="6:11" ht="15.75" customHeight="1" x14ac:dyDescent="0.3">
      <c r="F685" s="124"/>
      <c r="G685" s="124"/>
      <c r="H685" s="124"/>
      <c r="I685" s="124"/>
      <c r="J685" s="124"/>
      <c r="K685" s="124"/>
    </row>
    <row r="686" spans="6:11" ht="15.75" customHeight="1" x14ac:dyDescent="0.3">
      <c r="F686" s="124"/>
      <c r="G686" s="124"/>
      <c r="H686" s="124"/>
      <c r="I686" s="124"/>
      <c r="J686" s="124"/>
      <c r="K686" s="124"/>
    </row>
    <row r="687" spans="6:11" ht="15.75" customHeight="1" x14ac:dyDescent="0.3">
      <c r="F687" s="124"/>
      <c r="G687" s="124"/>
      <c r="H687" s="124"/>
      <c r="I687" s="124"/>
      <c r="J687" s="124"/>
      <c r="K687" s="124"/>
    </row>
    <row r="688" spans="6:11" ht="15.75" customHeight="1" x14ac:dyDescent="0.3">
      <c r="F688" s="124"/>
      <c r="G688" s="124"/>
      <c r="H688" s="124"/>
      <c r="I688" s="124"/>
      <c r="J688" s="124"/>
      <c r="K688" s="124"/>
    </row>
    <row r="689" spans="6:11" ht="15.75" customHeight="1" x14ac:dyDescent="0.3">
      <c r="F689" s="124"/>
      <c r="G689" s="124"/>
      <c r="H689" s="124"/>
      <c r="I689" s="124"/>
      <c r="J689" s="124"/>
      <c r="K689" s="124"/>
    </row>
    <row r="690" spans="6:11" ht="15.75" customHeight="1" x14ac:dyDescent="0.3">
      <c r="F690" s="124"/>
      <c r="G690" s="124"/>
      <c r="H690" s="124"/>
      <c r="I690" s="124"/>
      <c r="J690" s="124"/>
      <c r="K690" s="124"/>
    </row>
    <row r="691" spans="6:11" ht="15.75" customHeight="1" x14ac:dyDescent="0.3">
      <c r="F691" s="124"/>
      <c r="G691" s="124"/>
      <c r="H691" s="124"/>
      <c r="I691" s="124"/>
      <c r="J691" s="124"/>
      <c r="K691" s="124"/>
    </row>
    <row r="692" spans="6:11" ht="15.75" customHeight="1" x14ac:dyDescent="0.3">
      <c r="F692" s="124"/>
      <c r="G692" s="124"/>
      <c r="H692" s="124"/>
      <c r="I692" s="124"/>
      <c r="J692" s="124"/>
      <c r="K692" s="124"/>
    </row>
    <row r="693" spans="6:11" ht="15.75" customHeight="1" x14ac:dyDescent="0.3">
      <c r="F693" s="124"/>
      <c r="G693" s="124"/>
      <c r="H693" s="124"/>
      <c r="I693" s="124"/>
      <c r="J693" s="124"/>
      <c r="K693" s="124"/>
    </row>
    <row r="694" spans="6:11" ht="15.75" customHeight="1" x14ac:dyDescent="0.3">
      <c r="F694" s="124"/>
      <c r="G694" s="124"/>
      <c r="H694" s="124"/>
      <c r="I694" s="124"/>
      <c r="J694" s="124"/>
      <c r="K694" s="124"/>
    </row>
    <row r="695" spans="6:11" ht="15.75" customHeight="1" x14ac:dyDescent="0.3">
      <c r="F695" s="124"/>
      <c r="G695" s="124"/>
      <c r="H695" s="124"/>
      <c r="I695" s="124"/>
      <c r="J695" s="124"/>
      <c r="K695" s="124"/>
    </row>
    <row r="696" spans="6:11" ht="15.75" customHeight="1" x14ac:dyDescent="0.3">
      <c r="F696" s="124"/>
      <c r="G696" s="124"/>
      <c r="H696" s="124"/>
      <c r="I696" s="124"/>
      <c r="J696" s="124"/>
      <c r="K696" s="124"/>
    </row>
    <row r="697" spans="6:11" ht="15.75" customHeight="1" x14ac:dyDescent="0.3">
      <c r="F697" s="124"/>
      <c r="G697" s="124"/>
      <c r="H697" s="124"/>
      <c r="I697" s="124"/>
      <c r="J697" s="124"/>
      <c r="K697" s="124"/>
    </row>
    <row r="698" spans="6:11" ht="15.75" customHeight="1" x14ac:dyDescent="0.3">
      <c r="F698" s="124"/>
      <c r="G698" s="124"/>
      <c r="H698" s="124"/>
      <c r="I698" s="124"/>
      <c r="J698" s="124"/>
      <c r="K698" s="124"/>
    </row>
    <row r="699" spans="6:11" ht="15.75" customHeight="1" x14ac:dyDescent="0.3">
      <c r="F699" s="124"/>
      <c r="G699" s="124"/>
      <c r="H699" s="124"/>
      <c r="I699" s="124"/>
      <c r="J699" s="124"/>
      <c r="K699" s="124"/>
    </row>
    <row r="700" spans="6:11" ht="15.75" customHeight="1" x14ac:dyDescent="0.3">
      <c r="F700" s="124"/>
      <c r="G700" s="124"/>
      <c r="H700" s="124"/>
      <c r="I700" s="124"/>
      <c r="J700" s="124"/>
      <c r="K700" s="124"/>
    </row>
    <row r="701" spans="6:11" ht="15.75" customHeight="1" x14ac:dyDescent="0.3">
      <c r="F701" s="124"/>
      <c r="G701" s="124"/>
      <c r="H701" s="124"/>
      <c r="I701" s="124"/>
      <c r="J701" s="124"/>
      <c r="K701" s="124"/>
    </row>
    <row r="702" spans="6:11" ht="15.75" customHeight="1" x14ac:dyDescent="0.3">
      <c r="F702" s="124"/>
      <c r="G702" s="124"/>
      <c r="H702" s="124"/>
      <c r="I702" s="124"/>
      <c r="J702" s="124"/>
      <c r="K702" s="124"/>
    </row>
    <row r="703" spans="6:11" ht="15.75" customHeight="1" x14ac:dyDescent="0.3">
      <c r="F703" s="124"/>
      <c r="G703" s="124"/>
      <c r="H703" s="124"/>
      <c r="I703" s="124"/>
      <c r="J703" s="124"/>
      <c r="K703" s="124"/>
    </row>
    <row r="704" spans="6:11" ht="15.75" customHeight="1" x14ac:dyDescent="0.3">
      <c r="F704" s="124"/>
      <c r="G704" s="124"/>
      <c r="H704" s="124"/>
      <c r="I704" s="124"/>
      <c r="J704" s="124"/>
      <c r="K704" s="124"/>
    </row>
    <row r="705" spans="6:11" ht="15.75" customHeight="1" x14ac:dyDescent="0.3">
      <c r="F705" s="124"/>
      <c r="G705" s="124"/>
      <c r="H705" s="124"/>
      <c r="I705" s="124"/>
      <c r="J705" s="124"/>
      <c r="K705" s="124"/>
    </row>
    <row r="706" spans="6:11" ht="15.75" customHeight="1" x14ac:dyDescent="0.3">
      <c r="F706" s="124"/>
      <c r="G706" s="124"/>
      <c r="H706" s="124"/>
      <c r="I706" s="124"/>
      <c r="J706" s="124"/>
      <c r="K706" s="124"/>
    </row>
    <row r="707" spans="6:11" ht="15.75" customHeight="1" x14ac:dyDescent="0.3">
      <c r="F707" s="124"/>
      <c r="G707" s="124"/>
      <c r="H707" s="124"/>
      <c r="I707" s="124"/>
      <c r="J707" s="124"/>
      <c r="K707" s="124"/>
    </row>
    <row r="708" spans="6:11" ht="15.75" customHeight="1" x14ac:dyDescent="0.3">
      <c r="F708" s="124"/>
      <c r="G708" s="124"/>
      <c r="H708" s="124"/>
      <c r="I708" s="124"/>
      <c r="J708" s="124"/>
      <c r="K708" s="124"/>
    </row>
    <row r="709" spans="6:11" ht="15.75" customHeight="1" x14ac:dyDescent="0.3">
      <c r="F709" s="124"/>
      <c r="G709" s="124"/>
      <c r="H709" s="124"/>
      <c r="I709" s="124"/>
      <c r="J709" s="124"/>
      <c r="K709" s="124"/>
    </row>
    <row r="710" spans="6:11" ht="15.75" customHeight="1" x14ac:dyDescent="0.3">
      <c r="F710" s="124"/>
      <c r="G710" s="124"/>
      <c r="H710" s="124"/>
      <c r="I710" s="124"/>
      <c r="J710" s="124"/>
      <c r="K710" s="124"/>
    </row>
    <row r="711" spans="6:11" ht="15.75" customHeight="1" x14ac:dyDescent="0.3">
      <c r="F711" s="124"/>
      <c r="G711" s="124"/>
      <c r="H711" s="124"/>
      <c r="I711" s="124"/>
      <c r="J711" s="124"/>
      <c r="K711" s="124"/>
    </row>
    <row r="712" spans="6:11" ht="15.75" customHeight="1" x14ac:dyDescent="0.3">
      <c r="F712" s="124"/>
      <c r="G712" s="124"/>
      <c r="H712" s="124"/>
      <c r="I712" s="124"/>
      <c r="J712" s="124"/>
      <c r="K712" s="124"/>
    </row>
    <row r="713" spans="6:11" ht="15.75" customHeight="1" x14ac:dyDescent="0.3">
      <c r="F713" s="124"/>
      <c r="G713" s="124"/>
      <c r="H713" s="124"/>
      <c r="I713" s="124"/>
      <c r="J713" s="124"/>
      <c r="K713" s="124"/>
    </row>
    <row r="714" spans="6:11" ht="15.75" customHeight="1" x14ac:dyDescent="0.3">
      <c r="F714" s="124"/>
      <c r="G714" s="124"/>
      <c r="H714" s="124"/>
      <c r="I714" s="124"/>
      <c r="J714" s="124"/>
      <c r="K714" s="124"/>
    </row>
    <row r="715" spans="6:11" ht="15.75" customHeight="1" x14ac:dyDescent="0.3">
      <c r="F715" s="124"/>
      <c r="G715" s="124"/>
      <c r="H715" s="124"/>
      <c r="I715" s="124"/>
      <c r="J715" s="124"/>
      <c r="K715" s="124"/>
    </row>
    <row r="716" spans="6:11" ht="15.75" customHeight="1" x14ac:dyDescent="0.3">
      <c r="F716" s="124"/>
      <c r="G716" s="124"/>
      <c r="H716" s="124"/>
      <c r="I716" s="124"/>
      <c r="J716" s="124"/>
      <c r="K716" s="124"/>
    </row>
    <row r="717" spans="6:11" ht="15.75" customHeight="1" x14ac:dyDescent="0.3">
      <c r="F717" s="124"/>
      <c r="G717" s="124"/>
      <c r="H717" s="124"/>
      <c r="I717" s="124"/>
      <c r="J717" s="124"/>
      <c r="K717" s="124"/>
    </row>
    <row r="718" spans="6:11" ht="15.75" customHeight="1" x14ac:dyDescent="0.3">
      <c r="F718" s="124"/>
      <c r="G718" s="124"/>
      <c r="H718" s="124"/>
      <c r="I718" s="124"/>
      <c r="J718" s="124"/>
      <c r="K718" s="124"/>
    </row>
    <row r="719" spans="6:11" ht="15.75" customHeight="1" x14ac:dyDescent="0.3">
      <c r="F719" s="124"/>
      <c r="G719" s="124"/>
      <c r="H719" s="124"/>
      <c r="I719" s="124"/>
      <c r="J719" s="124"/>
      <c r="K719" s="124"/>
    </row>
    <row r="720" spans="6:11" ht="15.75" customHeight="1" x14ac:dyDescent="0.3">
      <c r="F720" s="124"/>
      <c r="G720" s="124"/>
      <c r="H720" s="124"/>
      <c r="I720" s="124"/>
      <c r="J720" s="124"/>
      <c r="K720" s="124"/>
    </row>
    <row r="721" spans="6:11" ht="15.75" customHeight="1" x14ac:dyDescent="0.3">
      <c r="F721" s="124"/>
      <c r="G721" s="124"/>
      <c r="H721" s="124"/>
      <c r="I721" s="124"/>
      <c r="J721" s="124"/>
      <c r="K721" s="124"/>
    </row>
    <row r="722" spans="6:11" ht="15.75" customHeight="1" x14ac:dyDescent="0.3">
      <c r="F722" s="124"/>
      <c r="G722" s="124"/>
      <c r="H722" s="124"/>
      <c r="I722" s="124"/>
      <c r="J722" s="124"/>
      <c r="K722" s="124"/>
    </row>
    <row r="723" spans="6:11" ht="15.75" customHeight="1" x14ac:dyDescent="0.3">
      <c r="F723" s="124"/>
      <c r="G723" s="124"/>
      <c r="H723" s="124"/>
      <c r="I723" s="124"/>
      <c r="J723" s="124"/>
      <c r="K723" s="124"/>
    </row>
    <row r="724" spans="6:11" ht="15.75" customHeight="1" x14ac:dyDescent="0.3">
      <c r="F724" s="124"/>
      <c r="G724" s="124"/>
      <c r="H724" s="124"/>
      <c r="I724" s="124"/>
      <c r="J724" s="124"/>
      <c r="K724" s="124"/>
    </row>
    <row r="725" spans="6:11" ht="15.75" customHeight="1" x14ac:dyDescent="0.3">
      <c r="F725" s="124"/>
      <c r="G725" s="124"/>
      <c r="H725" s="124"/>
      <c r="I725" s="124"/>
      <c r="J725" s="124"/>
      <c r="K725" s="124"/>
    </row>
    <row r="726" spans="6:11" ht="15.75" customHeight="1" x14ac:dyDescent="0.3">
      <c r="F726" s="124"/>
      <c r="G726" s="124"/>
      <c r="H726" s="124"/>
      <c r="I726" s="124"/>
      <c r="J726" s="124"/>
      <c r="K726" s="124"/>
    </row>
    <row r="727" spans="6:11" ht="15.75" customHeight="1" x14ac:dyDescent="0.3">
      <c r="F727" s="124"/>
      <c r="G727" s="124"/>
      <c r="H727" s="124"/>
      <c r="I727" s="124"/>
      <c r="J727" s="124"/>
      <c r="K727" s="124"/>
    </row>
    <row r="728" spans="6:11" ht="15.75" customHeight="1" x14ac:dyDescent="0.3">
      <c r="F728" s="124"/>
      <c r="G728" s="124"/>
      <c r="H728" s="124"/>
      <c r="I728" s="124"/>
      <c r="J728" s="124"/>
      <c r="K728" s="124"/>
    </row>
    <row r="729" spans="6:11" ht="15.75" customHeight="1" x14ac:dyDescent="0.3">
      <c r="F729" s="124"/>
      <c r="G729" s="124"/>
      <c r="H729" s="124"/>
      <c r="I729" s="124"/>
      <c r="J729" s="124"/>
      <c r="K729" s="124"/>
    </row>
    <row r="730" spans="6:11" ht="15.75" customHeight="1" x14ac:dyDescent="0.3">
      <c r="F730" s="124"/>
      <c r="G730" s="124"/>
      <c r="H730" s="124"/>
      <c r="I730" s="124"/>
      <c r="J730" s="124"/>
      <c r="K730" s="124"/>
    </row>
    <row r="731" spans="6:11" ht="15.75" customHeight="1" x14ac:dyDescent="0.3">
      <c r="F731" s="124"/>
      <c r="G731" s="124"/>
      <c r="H731" s="124"/>
      <c r="I731" s="124"/>
      <c r="J731" s="124"/>
      <c r="K731" s="124"/>
    </row>
    <row r="732" spans="6:11" ht="15.75" customHeight="1" x14ac:dyDescent="0.3">
      <c r="F732" s="124"/>
      <c r="G732" s="124"/>
      <c r="H732" s="124"/>
      <c r="I732" s="124"/>
      <c r="J732" s="124"/>
      <c r="K732" s="124"/>
    </row>
    <row r="733" spans="6:11" ht="15.75" customHeight="1" x14ac:dyDescent="0.3">
      <c r="F733" s="124"/>
      <c r="G733" s="124"/>
      <c r="H733" s="124"/>
      <c r="I733" s="124"/>
      <c r="J733" s="124"/>
      <c r="K733" s="124"/>
    </row>
    <row r="734" spans="6:11" ht="15.75" customHeight="1" x14ac:dyDescent="0.3">
      <c r="F734" s="124"/>
      <c r="G734" s="124"/>
      <c r="H734" s="124"/>
      <c r="I734" s="124"/>
      <c r="J734" s="124"/>
      <c r="K734" s="124"/>
    </row>
    <row r="735" spans="6:11" ht="15.75" customHeight="1" x14ac:dyDescent="0.3">
      <c r="F735" s="124"/>
      <c r="G735" s="124"/>
      <c r="H735" s="124"/>
      <c r="I735" s="124"/>
      <c r="J735" s="124"/>
      <c r="K735" s="124"/>
    </row>
    <row r="736" spans="6:11" ht="15.75" customHeight="1" x14ac:dyDescent="0.3">
      <c r="F736" s="124"/>
      <c r="G736" s="124"/>
      <c r="H736" s="124"/>
      <c r="I736" s="124"/>
      <c r="J736" s="124"/>
      <c r="K736" s="124"/>
    </row>
    <row r="737" spans="6:11" ht="15.75" customHeight="1" x14ac:dyDescent="0.3">
      <c r="F737" s="124"/>
      <c r="G737" s="124"/>
      <c r="H737" s="124"/>
      <c r="I737" s="124"/>
      <c r="J737" s="124"/>
      <c r="K737" s="124"/>
    </row>
    <row r="738" spans="6:11" ht="15.75" customHeight="1" x14ac:dyDescent="0.3">
      <c r="F738" s="124"/>
      <c r="G738" s="124"/>
      <c r="H738" s="124"/>
      <c r="I738" s="124"/>
      <c r="J738" s="124"/>
      <c r="K738" s="124"/>
    </row>
    <row r="739" spans="6:11" ht="15.75" customHeight="1" x14ac:dyDescent="0.3">
      <c r="F739" s="124"/>
      <c r="G739" s="124"/>
      <c r="H739" s="124"/>
      <c r="I739" s="124"/>
      <c r="J739" s="124"/>
      <c r="K739" s="124"/>
    </row>
    <row r="740" spans="6:11" ht="15.75" customHeight="1" x14ac:dyDescent="0.3">
      <c r="F740" s="124"/>
      <c r="G740" s="124"/>
      <c r="H740" s="124"/>
      <c r="I740" s="124"/>
      <c r="J740" s="124"/>
      <c r="K740" s="124"/>
    </row>
    <row r="741" spans="6:11" ht="15.75" customHeight="1" x14ac:dyDescent="0.3">
      <c r="F741" s="124"/>
      <c r="G741" s="124"/>
      <c r="H741" s="124"/>
      <c r="I741" s="124"/>
      <c r="J741" s="124"/>
      <c r="K741" s="124"/>
    </row>
    <row r="742" spans="6:11" ht="15.75" customHeight="1" x14ac:dyDescent="0.3">
      <c r="F742" s="124"/>
      <c r="G742" s="124"/>
      <c r="H742" s="124"/>
      <c r="I742" s="124"/>
      <c r="J742" s="124"/>
      <c r="K742" s="124"/>
    </row>
    <row r="743" spans="6:11" ht="15.75" customHeight="1" x14ac:dyDescent="0.3">
      <c r="F743" s="124"/>
      <c r="G743" s="124"/>
      <c r="H743" s="124"/>
      <c r="I743" s="124"/>
      <c r="J743" s="124"/>
      <c r="K743" s="124"/>
    </row>
    <row r="744" spans="6:11" ht="15.75" customHeight="1" x14ac:dyDescent="0.3">
      <c r="F744" s="124"/>
      <c r="G744" s="124"/>
      <c r="H744" s="124"/>
      <c r="I744" s="124"/>
      <c r="J744" s="124"/>
      <c r="K744" s="124"/>
    </row>
    <row r="745" spans="6:11" ht="15.75" customHeight="1" x14ac:dyDescent="0.3">
      <c r="F745" s="124"/>
      <c r="G745" s="124"/>
      <c r="H745" s="124"/>
      <c r="I745" s="124"/>
      <c r="J745" s="124"/>
      <c r="K745" s="124"/>
    </row>
    <row r="746" spans="6:11" ht="15.75" customHeight="1" x14ac:dyDescent="0.3">
      <c r="F746" s="124"/>
      <c r="G746" s="124"/>
      <c r="H746" s="124"/>
      <c r="I746" s="124"/>
      <c r="J746" s="124"/>
      <c r="K746" s="124"/>
    </row>
    <row r="747" spans="6:11" ht="15.75" customHeight="1" x14ac:dyDescent="0.3">
      <c r="F747" s="124"/>
      <c r="G747" s="124"/>
      <c r="H747" s="124"/>
      <c r="I747" s="124"/>
      <c r="J747" s="124"/>
      <c r="K747" s="124"/>
    </row>
    <row r="748" spans="6:11" ht="15.75" customHeight="1" x14ac:dyDescent="0.3">
      <c r="F748" s="124"/>
      <c r="G748" s="124"/>
      <c r="H748" s="124"/>
      <c r="I748" s="124"/>
      <c r="J748" s="124"/>
      <c r="K748" s="124"/>
    </row>
    <row r="749" spans="6:11" ht="15.75" customHeight="1" x14ac:dyDescent="0.3">
      <c r="F749" s="124"/>
      <c r="G749" s="124"/>
      <c r="H749" s="124"/>
      <c r="I749" s="124"/>
      <c r="J749" s="124"/>
      <c r="K749" s="124"/>
    </row>
    <row r="750" spans="6:11" ht="15.75" customHeight="1" x14ac:dyDescent="0.3">
      <c r="F750" s="124"/>
      <c r="G750" s="124"/>
      <c r="H750" s="124"/>
      <c r="I750" s="124"/>
      <c r="J750" s="124"/>
      <c r="K750" s="124"/>
    </row>
    <row r="751" spans="6:11" ht="15.75" customHeight="1" x14ac:dyDescent="0.3">
      <c r="F751" s="124"/>
      <c r="G751" s="124"/>
      <c r="H751" s="124"/>
      <c r="I751" s="124"/>
      <c r="J751" s="124"/>
      <c r="K751" s="124"/>
    </row>
    <row r="752" spans="6:11" ht="15.75" customHeight="1" x14ac:dyDescent="0.3">
      <c r="F752" s="124"/>
      <c r="G752" s="124"/>
      <c r="H752" s="124"/>
      <c r="I752" s="124"/>
      <c r="J752" s="124"/>
      <c r="K752" s="124"/>
    </row>
    <row r="753" spans="6:11" ht="15.75" customHeight="1" x14ac:dyDescent="0.3">
      <c r="F753" s="124"/>
      <c r="G753" s="124"/>
      <c r="H753" s="124"/>
      <c r="I753" s="124"/>
      <c r="J753" s="124"/>
      <c r="K753" s="124"/>
    </row>
    <row r="754" spans="6:11" ht="15.75" customHeight="1" x14ac:dyDescent="0.3">
      <c r="F754" s="124"/>
      <c r="G754" s="124"/>
      <c r="H754" s="124"/>
      <c r="I754" s="124"/>
      <c r="J754" s="124"/>
      <c r="K754" s="124"/>
    </row>
    <row r="755" spans="6:11" ht="15.75" customHeight="1" x14ac:dyDescent="0.3">
      <c r="F755" s="124"/>
      <c r="G755" s="124"/>
      <c r="H755" s="124"/>
      <c r="I755" s="124"/>
      <c r="J755" s="124"/>
      <c r="K755" s="124"/>
    </row>
    <row r="756" spans="6:11" ht="15.75" customHeight="1" x14ac:dyDescent="0.3">
      <c r="F756" s="124"/>
      <c r="G756" s="124"/>
      <c r="H756" s="124"/>
      <c r="I756" s="124"/>
      <c r="J756" s="124"/>
      <c r="K756" s="124"/>
    </row>
    <row r="757" spans="6:11" ht="15.75" customHeight="1" x14ac:dyDescent="0.3">
      <c r="F757" s="124"/>
      <c r="G757" s="124"/>
      <c r="H757" s="124"/>
      <c r="I757" s="124"/>
      <c r="J757" s="124"/>
      <c r="K757" s="124"/>
    </row>
    <row r="758" spans="6:11" ht="15.75" customHeight="1" x14ac:dyDescent="0.3">
      <c r="F758" s="124"/>
      <c r="G758" s="124"/>
      <c r="H758" s="124"/>
      <c r="I758" s="124"/>
      <c r="J758" s="124"/>
      <c r="K758" s="124"/>
    </row>
    <row r="759" spans="6:11" ht="15.75" customHeight="1" x14ac:dyDescent="0.3">
      <c r="F759" s="124"/>
      <c r="G759" s="124"/>
      <c r="H759" s="124"/>
      <c r="I759" s="124"/>
      <c r="J759" s="124"/>
      <c r="K759" s="124"/>
    </row>
    <row r="760" spans="6:11" ht="15.75" customHeight="1" x14ac:dyDescent="0.3">
      <c r="F760" s="124"/>
      <c r="G760" s="124"/>
      <c r="H760" s="124"/>
      <c r="I760" s="124"/>
      <c r="J760" s="124"/>
      <c r="K760" s="124"/>
    </row>
    <row r="761" spans="6:11" ht="15.75" customHeight="1" x14ac:dyDescent="0.3">
      <c r="F761" s="124"/>
      <c r="G761" s="124"/>
      <c r="H761" s="124"/>
      <c r="I761" s="124"/>
      <c r="J761" s="124"/>
      <c r="K761" s="124"/>
    </row>
    <row r="762" spans="6:11" ht="15.75" customHeight="1" x14ac:dyDescent="0.3">
      <c r="F762" s="124"/>
      <c r="G762" s="124"/>
      <c r="H762" s="124"/>
      <c r="I762" s="124"/>
      <c r="J762" s="124"/>
      <c r="K762" s="124"/>
    </row>
    <row r="763" spans="6:11" ht="15.75" customHeight="1" x14ac:dyDescent="0.3">
      <c r="F763" s="124"/>
      <c r="G763" s="124"/>
      <c r="H763" s="124"/>
      <c r="I763" s="124"/>
      <c r="J763" s="124"/>
      <c r="K763" s="124"/>
    </row>
    <row r="764" spans="6:11" ht="15.75" customHeight="1" x14ac:dyDescent="0.3">
      <c r="F764" s="124"/>
      <c r="G764" s="124"/>
      <c r="H764" s="124"/>
      <c r="I764" s="124"/>
      <c r="J764" s="124"/>
      <c r="K764" s="124"/>
    </row>
    <row r="765" spans="6:11" ht="15.75" customHeight="1" x14ac:dyDescent="0.3">
      <c r="F765" s="124"/>
      <c r="G765" s="124"/>
      <c r="H765" s="124"/>
      <c r="I765" s="124"/>
      <c r="J765" s="124"/>
      <c r="K765" s="124"/>
    </row>
    <row r="766" spans="6:11" ht="15.75" customHeight="1" x14ac:dyDescent="0.3">
      <c r="F766" s="124"/>
      <c r="G766" s="124"/>
      <c r="H766" s="124"/>
      <c r="I766" s="124"/>
      <c r="J766" s="124"/>
      <c r="K766" s="124"/>
    </row>
    <row r="767" spans="6:11" ht="15.75" customHeight="1" x14ac:dyDescent="0.3">
      <c r="F767" s="124"/>
      <c r="G767" s="124"/>
      <c r="H767" s="124"/>
      <c r="I767" s="124"/>
      <c r="J767" s="124"/>
      <c r="K767" s="124"/>
    </row>
    <row r="768" spans="6:11" ht="15.75" customHeight="1" x14ac:dyDescent="0.3">
      <c r="F768" s="124"/>
      <c r="G768" s="124"/>
      <c r="H768" s="124"/>
      <c r="I768" s="124"/>
      <c r="J768" s="124"/>
      <c r="K768" s="124"/>
    </row>
    <row r="769" spans="6:11" ht="15.75" customHeight="1" x14ac:dyDescent="0.3">
      <c r="F769" s="124"/>
      <c r="G769" s="124"/>
      <c r="H769" s="124"/>
      <c r="I769" s="124"/>
      <c r="J769" s="124"/>
      <c r="K769" s="124"/>
    </row>
    <row r="770" spans="6:11" ht="15.75" customHeight="1" x14ac:dyDescent="0.3">
      <c r="F770" s="124"/>
      <c r="G770" s="124"/>
      <c r="H770" s="124"/>
      <c r="I770" s="124"/>
      <c r="J770" s="124"/>
      <c r="K770" s="124"/>
    </row>
    <row r="771" spans="6:11" ht="15.75" customHeight="1" x14ac:dyDescent="0.3">
      <c r="F771" s="124"/>
      <c r="G771" s="124"/>
      <c r="H771" s="124"/>
      <c r="I771" s="124"/>
      <c r="J771" s="124"/>
      <c r="K771" s="124"/>
    </row>
    <row r="772" spans="6:11" ht="15.75" customHeight="1" x14ac:dyDescent="0.3">
      <c r="F772" s="124"/>
      <c r="G772" s="124"/>
      <c r="H772" s="124"/>
      <c r="I772" s="124"/>
      <c r="J772" s="124"/>
      <c r="K772" s="124"/>
    </row>
    <row r="773" spans="6:11" ht="15.75" customHeight="1" x14ac:dyDescent="0.3">
      <c r="F773" s="124"/>
      <c r="G773" s="124"/>
      <c r="H773" s="124"/>
      <c r="I773" s="124"/>
      <c r="J773" s="124"/>
      <c r="K773" s="124"/>
    </row>
    <row r="774" spans="6:11" ht="15.75" customHeight="1" x14ac:dyDescent="0.3">
      <c r="F774" s="124"/>
      <c r="G774" s="124"/>
      <c r="H774" s="124"/>
      <c r="I774" s="124"/>
      <c r="J774" s="124"/>
      <c r="K774" s="124"/>
    </row>
    <row r="775" spans="6:11" ht="15.75" customHeight="1" x14ac:dyDescent="0.3">
      <c r="F775" s="124"/>
      <c r="G775" s="124"/>
      <c r="H775" s="124"/>
      <c r="I775" s="124"/>
      <c r="J775" s="124"/>
      <c r="K775" s="124"/>
    </row>
    <row r="776" spans="6:11" ht="15.75" customHeight="1" x14ac:dyDescent="0.3">
      <c r="F776" s="124"/>
      <c r="G776" s="124"/>
      <c r="H776" s="124"/>
      <c r="I776" s="124"/>
      <c r="J776" s="124"/>
      <c r="K776" s="124"/>
    </row>
    <row r="777" spans="6:11" ht="15.75" customHeight="1" x14ac:dyDescent="0.3">
      <c r="F777" s="124"/>
      <c r="G777" s="124"/>
      <c r="H777" s="124"/>
      <c r="I777" s="124"/>
      <c r="J777" s="124"/>
      <c r="K777" s="124"/>
    </row>
    <row r="778" spans="6:11" ht="15.75" customHeight="1" x14ac:dyDescent="0.3">
      <c r="F778" s="124"/>
      <c r="G778" s="124"/>
      <c r="H778" s="124"/>
      <c r="I778" s="124"/>
      <c r="J778" s="124"/>
      <c r="K778" s="124"/>
    </row>
    <row r="779" spans="6:11" ht="15.75" customHeight="1" x14ac:dyDescent="0.3">
      <c r="F779" s="124"/>
      <c r="G779" s="124"/>
      <c r="H779" s="124"/>
      <c r="I779" s="124"/>
      <c r="J779" s="124"/>
      <c r="K779" s="124"/>
    </row>
    <row r="780" spans="6:11" ht="15.75" customHeight="1" x14ac:dyDescent="0.3">
      <c r="F780" s="124"/>
      <c r="G780" s="124"/>
      <c r="H780" s="124"/>
      <c r="I780" s="124"/>
      <c r="J780" s="124"/>
      <c r="K780" s="124"/>
    </row>
    <row r="781" spans="6:11" ht="15.75" customHeight="1" x14ac:dyDescent="0.3">
      <c r="F781" s="124"/>
      <c r="G781" s="124"/>
      <c r="H781" s="124"/>
      <c r="I781" s="124"/>
      <c r="J781" s="124"/>
      <c r="K781" s="124"/>
    </row>
    <row r="782" spans="6:11" ht="15.75" customHeight="1" x14ac:dyDescent="0.3">
      <c r="F782" s="124"/>
      <c r="G782" s="124"/>
      <c r="H782" s="124"/>
      <c r="I782" s="124"/>
      <c r="J782" s="124"/>
      <c r="K782" s="124"/>
    </row>
    <row r="783" spans="6:11" ht="15.75" customHeight="1" x14ac:dyDescent="0.3">
      <c r="F783" s="124"/>
      <c r="G783" s="124"/>
      <c r="H783" s="124"/>
      <c r="I783" s="124"/>
      <c r="J783" s="124"/>
      <c r="K783" s="124"/>
    </row>
    <row r="784" spans="6:11" ht="15.75" customHeight="1" x14ac:dyDescent="0.3">
      <c r="F784" s="124"/>
      <c r="G784" s="124"/>
      <c r="H784" s="124"/>
      <c r="I784" s="124"/>
      <c r="J784" s="124"/>
      <c r="K784" s="124"/>
    </row>
    <row r="785" spans="6:11" ht="15.75" customHeight="1" x14ac:dyDescent="0.3">
      <c r="F785" s="124"/>
      <c r="G785" s="124"/>
      <c r="H785" s="124"/>
      <c r="I785" s="124"/>
      <c r="J785" s="124"/>
      <c r="K785" s="124"/>
    </row>
    <row r="786" spans="6:11" ht="15.75" customHeight="1" x14ac:dyDescent="0.3">
      <c r="F786" s="124"/>
      <c r="G786" s="124"/>
      <c r="H786" s="124"/>
      <c r="I786" s="124"/>
      <c r="J786" s="124"/>
      <c r="K786" s="124"/>
    </row>
    <row r="787" spans="6:11" ht="15.75" customHeight="1" x14ac:dyDescent="0.3">
      <c r="F787" s="124"/>
      <c r="G787" s="124"/>
      <c r="H787" s="124"/>
      <c r="I787" s="124"/>
      <c r="J787" s="124"/>
      <c r="K787" s="124"/>
    </row>
    <row r="788" spans="6:11" ht="15.75" customHeight="1" x14ac:dyDescent="0.3">
      <c r="F788" s="124"/>
      <c r="G788" s="124"/>
      <c r="H788" s="124"/>
      <c r="I788" s="124"/>
      <c r="J788" s="124"/>
      <c r="K788" s="124"/>
    </row>
    <row r="789" spans="6:11" ht="15.75" customHeight="1" x14ac:dyDescent="0.3">
      <c r="F789" s="124"/>
      <c r="G789" s="124"/>
      <c r="H789" s="124"/>
      <c r="I789" s="124"/>
      <c r="J789" s="124"/>
      <c r="K789" s="124"/>
    </row>
    <row r="790" spans="6:11" ht="15.75" customHeight="1" x14ac:dyDescent="0.3">
      <c r="F790" s="124"/>
      <c r="G790" s="124"/>
      <c r="H790" s="124"/>
      <c r="I790" s="124"/>
      <c r="J790" s="124"/>
      <c r="K790" s="124"/>
    </row>
    <row r="791" spans="6:11" ht="15.75" customHeight="1" x14ac:dyDescent="0.3">
      <c r="F791" s="124"/>
      <c r="G791" s="124"/>
      <c r="H791" s="124"/>
      <c r="I791" s="124"/>
      <c r="J791" s="124"/>
      <c r="K791" s="124"/>
    </row>
    <row r="792" spans="6:11" ht="15.75" customHeight="1" x14ac:dyDescent="0.3">
      <c r="F792" s="124"/>
      <c r="G792" s="124"/>
      <c r="H792" s="124"/>
      <c r="I792" s="124"/>
      <c r="J792" s="124"/>
      <c r="K792" s="124"/>
    </row>
    <row r="793" spans="6:11" ht="15.75" customHeight="1" x14ac:dyDescent="0.3">
      <c r="F793" s="124"/>
      <c r="G793" s="124"/>
      <c r="H793" s="124"/>
      <c r="I793" s="124"/>
      <c r="J793" s="124"/>
      <c r="K793" s="124"/>
    </row>
    <row r="794" spans="6:11" ht="15.75" customHeight="1" x14ac:dyDescent="0.3">
      <c r="F794" s="124"/>
      <c r="G794" s="124"/>
      <c r="H794" s="124"/>
      <c r="I794" s="124"/>
      <c r="J794" s="124"/>
      <c r="K794" s="124"/>
    </row>
    <row r="795" spans="6:11" ht="15.75" customHeight="1" x14ac:dyDescent="0.3">
      <c r="F795" s="124"/>
      <c r="G795" s="124"/>
      <c r="H795" s="124"/>
      <c r="I795" s="124"/>
      <c r="J795" s="124"/>
      <c r="K795" s="124"/>
    </row>
    <row r="796" spans="6:11" ht="15.75" customHeight="1" x14ac:dyDescent="0.3">
      <c r="F796" s="124"/>
      <c r="G796" s="124"/>
      <c r="H796" s="124"/>
      <c r="I796" s="124"/>
      <c r="J796" s="124"/>
      <c r="K796" s="124"/>
    </row>
    <row r="797" spans="6:11" ht="15.75" customHeight="1" x14ac:dyDescent="0.3">
      <c r="F797" s="124"/>
      <c r="G797" s="124"/>
      <c r="H797" s="124"/>
      <c r="I797" s="124"/>
      <c r="J797" s="124"/>
      <c r="K797" s="124"/>
    </row>
    <row r="798" spans="6:11" ht="15.75" customHeight="1" x14ac:dyDescent="0.3">
      <c r="F798" s="124"/>
      <c r="G798" s="124"/>
      <c r="H798" s="124"/>
      <c r="I798" s="124"/>
      <c r="J798" s="124"/>
      <c r="K798" s="124"/>
    </row>
    <row r="799" spans="6:11" ht="15.75" customHeight="1" x14ac:dyDescent="0.3">
      <c r="F799" s="124"/>
      <c r="G799" s="124"/>
      <c r="H799" s="124"/>
      <c r="I799" s="124"/>
      <c r="J799" s="124"/>
      <c r="K799" s="124"/>
    </row>
    <row r="800" spans="6:11" ht="15.75" customHeight="1" x14ac:dyDescent="0.3">
      <c r="F800" s="124"/>
      <c r="G800" s="124"/>
      <c r="H800" s="124"/>
      <c r="I800" s="124"/>
      <c r="J800" s="124"/>
      <c r="K800" s="124"/>
    </row>
    <row r="801" spans="6:11" ht="15.75" customHeight="1" x14ac:dyDescent="0.3">
      <c r="F801" s="124"/>
      <c r="G801" s="124"/>
      <c r="H801" s="124"/>
      <c r="I801" s="124"/>
      <c r="J801" s="124"/>
      <c r="K801" s="124"/>
    </row>
    <row r="802" spans="6:11" ht="15.75" customHeight="1" x14ac:dyDescent="0.3">
      <c r="F802" s="124"/>
      <c r="G802" s="124"/>
      <c r="H802" s="124"/>
      <c r="I802" s="124"/>
      <c r="J802" s="124"/>
      <c r="K802" s="124"/>
    </row>
    <row r="803" spans="6:11" ht="15.75" customHeight="1" x14ac:dyDescent="0.3">
      <c r="F803" s="124"/>
      <c r="G803" s="124"/>
      <c r="H803" s="124"/>
      <c r="I803" s="124"/>
      <c r="J803" s="124"/>
      <c r="K803" s="124"/>
    </row>
    <row r="804" spans="6:11" ht="15.75" customHeight="1" x14ac:dyDescent="0.3">
      <c r="F804" s="124"/>
      <c r="G804" s="124"/>
      <c r="H804" s="124"/>
      <c r="I804" s="124"/>
      <c r="J804" s="124"/>
      <c r="K804" s="124"/>
    </row>
    <row r="805" spans="6:11" ht="15.75" customHeight="1" x14ac:dyDescent="0.3">
      <c r="F805" s="124"/>
      <c r="G805" s="124"/>
      <c r="H805" s="124"/>
      <c r="I805" s="124"/>
      <c r="J805" s="124"/>
      <c r="K805" s="124"/>
    </row>
    <row r="806" spans="6:11" ht="15.75" customHeight="1" x14ac:dyDescent="0.3">
      <c r="F806" s="124"/>
      <c r="G806" s="124"/>
      <c r="H806" s="124"/>
      <c r="I806" s="124"/>
      <c r="J806" s="124"/>
      <c r="K806" s="124"/>
    </row>
    <row r="807" spans="6:11" ht="15.75" customHeight="1" x14ac:dyDescent="0.3">
      <c r="F807" s="124"/>
      <c r="G807" s="124"/>
      <c r="H807" s="124"/>
      <c r="I807" s="124"/>
      <c r="J807" s="124"/>
      <c r="K807" s="124"/>
    </row>
    <row r="808" spans="6:11" ht="15.75" customHeight="1" x14ac:dyDescent="0.3">
      <c r="F808" s="124"/>
      <c r="G808" s="124"/>
      <c r="H808" s="124"/>
      <c r="I808" s="124"/>
      <c r="J808" s="124"/>
      <c r="K808" s="124"/>
    </row>
    <row r="809" spans="6:11" ht="15.75" customHeight="1" x14ac:dyDescent="0.3">
      <c r="F809" s="124"/>
      <c r="G809" s="124"/>
      <c r="H809" s="124"/>
      <c r="I809" s="124"/>
      <c r="J809" s="124"/>
      <c r="K809" s="124"/>
    </row>
    <row r="810" spans="6:11" ht="15.75" customHeight="1" x14ac:dyDescent="0.3">
      <c r="F810" s="124"/>
      <c r="G810" s="124"/>
      <c r="H810" s="124"/>
      <c r="I810" s="124"/>
      <c r="J810" s="124"/>
      <c r="K810" s="124"/>
    </row>
    <row r="811" spans="6:11" ht="15.75" customHeight="1" x14ac:dyDescent="0.3">
      <c r="F811" s="124"/>
      <c r="G811" s="124"/>
      <c r="H811" s="124"/>
      <c r="I811" s="124"/>
      <c r="J811" s="124"/>
      <c r="K811" s="124"/>
    </row>
    <row r="812" spans="6:11" ht="15.75" customHeight="1" x14ac:dyDescent="0.3">
      <c r="F812" s="124"/>
      <c r="G812" s="124"/>
      <c r="H812" s="124"/>
      <c r="I812" s="124"/>
      <c r="J812" s="124"/>
      <c r="K812" s="124"/>
    </row>
    <row r="813" spans="6:11" ht="15.75" customHeight="1" x14ac:dyDescent="0.3">
      <c r="F813" s="124"/>
      <c r="G813" s="124"/>
      <c r="H813" s="124"/>
      <c r="I813" s="124"/>
      <c r="J813" s="124"/>
      <c r="K813" s="124"/>
    </row>
    <row r="814" spans="6:11" ht="15.75" customHeight="1" x14ac:dyDescent="0.3">
      <c r="F814" s="124"/>
      <c r="G814" s="124"/>
      <c r="H814" s="124"/>
      <c r="I814" s="124"/>
      <c r="J814" s="124"/>
      <c r="K814" s="124"/>
    </row>
    <row r="815" spans="6:11" ht="15.75" customHeight="1" x14ac:dyDescent="0.3">
      <c r="F815" s="124"/>
      <c r="G815" s="124"/>
      <c r="H815" s="124"/>
      <c r="I815" s="124"/>
      <c r="J815" s="124"/>
      <c r="K815" s="124"/>
    </row>
    <row r="816" spans="6:11" ht="15.75" customHeight="1" x14ac:dyDescent="0.3">
      <c r="F816" s="124"/>
      <c r="G816" s="124"/>
      <c r="H816" s="124"/>
      <c r="I816" s="124"/>
      <c r="J816" s="124"/>
      <c r="K816" s="124"/>
    </row>
    <row r="817" spans="6:11" ht="15.75" customHeight="1" x14ac:dyDescent="0.3">
      <c r="F817" s="124"/>
      <c r="G817" s="124"/>
      <c r="H817" s="124"/>
      <c r="I817" s="124"/>
      <c r="J817" s="124"/>
      <c r="K817" s="124"/>
    </row>
    <row r="818" spans="6:11" ht="15.75" customHeight="1" x14ac:dyDescent="0.3">
      <c r="F818" s="124"/>
      <c r="G818" s="124"/>
      <c r="H818" s="124"/>
      <c r="I818" s="124"/>
      <c r="J818" s="124"/>
      <c r="K818" s="124"/>
    </row>
    <row r="819" spans="6:11" ht="15.75" customHeight="1" x14ac:dyDescent="0.3">
      <c r="F819" s="124"/>
      <c r="G819" s="124"/>
      <c r="H819" s="124"/>
      <c r="I819" s="124"/>
      <c r="J819" s="124"/>
      <c r="K819" s="124"/>
    </row>
    <row r="820" spans="6:11" ht="15.75" customHeight="1" x14ac:dyDescent="0.3">
      <c r="F820" s="124"/>
      <c r="G820" s="124"/>
      <c r="H820" s="124"/>
      <c r="I820" s="124"/>
      <c r="J820" s="124"/>
      <c r="K820" s="124"/>
    </row>
    <row r="821" spans="6:11" ht="15.75" customHeight="1" x14ac:dyDescent="0.3">
      <c r="F821" s="124"/>
      <c r="G821" s="124"/>
      <c r="H821" s="124"/>
      <c r="I821" s="124"/>
      <c r="J821" s="124"/>
      <c r="K821" s="124"/>
    </row>
    <row r="822" spans="6:11" ht="15.75" customHeight="1" x14ac:dyDescent="0.3">
      <c r="F822" s="124"/>
      <c r="G822" s="124"/>
      <c r="H822" s="124"/>
      <c r="I822" s="124"/>
      <c r="J822" s="124"/>
      <c r="K822" s="124"/>
    </row>
    <row r="823" spans="6:11" ht="15.75" customHeight="1" x14ac:dyDescent="0.3">
      <c r="F823" s="124"/>
      <c r="G823" s="124"/>
      <c r="H823" s="124"/>
      <c r="I823" s="124"/>
      <c r="J823" s="124"/>
      <c r="K823" s="124"/>
    </row>
    <row r="824" spans="6:11" ht="15.75" customHeight="1" x14ac:dyDescent="0.3">
      <c r="F824" s="124"/>
      <c r="G824" s="124"/>
      <c r="H824" s="124"/>
      <c r="I824" s="124"/>
      <c r="J824" s="124"/>
      <c r="K824" s="124"/>
    </row>
    <row r="825" spans="6:11" ht="15.75" customHeight="1" x14ac:dyDescent="0.3">
      <c r="F825" s="124"/>
      <c r="G825" s="124"/>
      <c r="H825" s="124"/>
      <c r="I825" s="124"/>
      <c r="J825" s="124"/>
      <c r="K825" s="124"/>
    </row>
    <row r="826" spans="6:11" ht="15.75" customHeight="1" x14ac:dyDescent="0.3">
      <c r="F826" s="124"/>
      <c r="G826" s="124"/>
      <c r="H826" s="124"/>
      <c r="I826" s="124"/>
      <c r="J826" s="124"/>
      <c r="K826" s="124"/>
    </row>
    <row r="827" spans="6:11" ht="15.75" customHeight="1" x14ac:dyDescent="0.3">
      <c r="F827" s="124"/>
      <c r="G827" s="124"/>
      <c r="H827" s="124"/>
      <c r="I827" s="124"/>
      <c r="J827" s="124"/>
      <c r="K827" s="124"/>
    </row>
    <row r="828" spans="6:11" ht="15.75" customHeight="1" x14ac:dyDescent="0.3">
      <c r="F828" s="124"/>
      <c r="G828" s="124"/>
      <c r="H828" s="124"/>
      <c r="I828" s="124"/>
      <c r="J828" s="124"/>
      <c r="K828" s="124"/>
    </row>
    <row r="829" spans="6:11" ht="15.75" customHeight="1" x14ac:dyDescent="0.3">
      <c r="F829" s="124"/>
      <c r="G829" s="124"/>
      <c r="H829" s="124"/>
      <c r="I829" s="124"/>
      <c r="J829" s="124"/>
      <c r="K829" s="124"/>
    </row>
    <row r="830" spans="6:11" ht="15.75" customHeight="1" x14ac:dyDescent="0.3">
      <c r="F830" s="124"/>
      <c r="G830" s="124"/>
      <c r="H830" s="124"/>
      <c r="I830" s="124"/>
      <c r="J830" s="124"/>
      <c r="K830" s="124"/>
    </row>
    <row r="831" spans="6:11" ht="15.75" customHeight="1" x14ac:dyDescent="0.3">
      <c r="F831" s="124"/>
      <c r="G831" s="124"/>
      <c r="H831" s="124"/>
      <c r="I831" s="124"/>
      <c r="J831" s="124"/>
      <c r="K831" s="124"/>
    </row>
    <row r="832" spans="6:11" ht="15.75" customHeight="1" x14ac:dyDescent="0.3">
      <c r="F832" s="124"/>
      <c r="G832" s="124"/>
      <c r="H832" s="124"/>
      <c r="I832" s="124"/>
      <c r="J832" s="124"/>
      <c r="K832" s="124"/>
    </row>
    <row r="833" spans="6:11" ht="15.75" customHeight="1" x14ac:dyDescent="0.3">
      <c r="F833" s="124"/>
      <c r="G833" s="124"/>
      <c r="H833" s="124"/>
      <c r="I833" s="124"/>
      <c r="J833" s="124"/>
      <c r="K833" s="124"/>
    </row>
    <row r="834" spans="6:11" ht="15.75" customHeight="1" x14ac:dyDescent="0.3">
      <c r="F834" s="124"/>
      <c r="G834" s="124"/>
      <c r="H834" s="124"/>
      <c r="I834" s="124"/>
      <c r="J834" s="124"/>
      <c r="K834" s="124"/>
    </row>
    <row r="835" spans="6:11" ht="15.75" customHeight="1" x14ac:dyDescent="0.3">
      <c r="F835" s="124"/>
      <c r="G835" s="124"/>
      <c r="H835" s="124"/>
      <c r="I835" s="124"/>
      <c r="J835" s="124"/>
      <c r="K835" s="124"/>
    </row>
    <row r="836" spans="6:11" ht="15.75" customHeight="1" x14ac:dyDescent="0.3">
      <c r="F836" s="124"/>
      <c r="G836" s="124"/>
      <c r="H836" s="124"/>
      <c r="I836" s="124"/>
      <c r="J836" s="124"/>
      <c r="K836" s="124"/>
    </row>
    <row r="837" spans="6:11" ht="15.75" customHeight="1" x14ac:dyDescent="0.3">
      <c r="F837" s="124"/>
      <c r="G837" s="124"/>
      <c r="H837" s="124"/>
      <c r="I837" s="124"/>
      <c r="J837" s="124"/>
      <c r="K837" s="124"/>
    </row>
    <row r="838" spans="6:11" ht="15.75" customHeight="1" x14ac:dyDescent="0.3">
      <c r="F838" s="124"/>
      <c r="G838" s="124"/>
      <c r="H838" s="124"/>
      <c r="I838" s="124"/>
      <c r="J838" s="124"/>
      <c r="K838" s="124"/>
    </row>
    <row r="839" spans="6:11" ht="15.75" customHeight="1" x14ac:dyDescent="0.3">
      <c r="F839" s="124"/>
      <c r="G839" s="124"/>
      <c r="H839" s="124"/>
      <c r="I839" s="124"/>
      <c r="J839" s="124"/>
      <c r="K839" s="124"/>
    </row>
    <row r="840" spans="6:11" ht="15.75" customHeight="1" x14ac:dyDescent="0.3">
      <c r="F840" s="124"/>
      <c r="G840" s="124"/>
      <c r="H840" s="124"/>
      <c r="I840" s="124"/>
      <c r="J840" s="124"/>
      <c r="K840" s="124"/>
    </row>
    <row r="841" spans="6:11" ht="15.75" customHeight="1" x14ac:dyDescent="0.3">
      <c r="F841" s="124"/>
      <c r="G841" s="124"/>
      <c r="H841" s="124"/>
      <c r="I841" s="124"/>
      <c r="J841" s="124"/>
      <c r="K841" s="124"/>
    </row>
    <row r="842" spans="6:11" ht="15.75" customHeight="1" x14ac:dyDescent="0.3">
      <c r="F842" s="124"/>
      <c r="G842" s="124"/>
      <c r="H842" s="124"/>
      <c r="I842" s="124"/>
      <c r="J842" s="124"/>
      <c r="K842" s="124"/>
    </row>
    <row r="843" spans="6:11" ht="15.75" customHeight="1" x14ac:dyDescent="0.3">
      <c r="F843" s="124"/>
      <c r="G843" s="124"/>
      <c r="H843" s="124"/>
      <c r="I843" s="124"/>
      <c r="J843" s="124"/>
      <c r="K843" s="124"/>
    </row>
    <row r="844" spans="6:11" ht="15.75" customHeight="1" x14ac:dyDescent="0.3">
      <c r="F844" s="124"/>
      <c r="G844" s="124"/>
      <c r="H844" s="124"/>
      <c r="I844" s="124"/>
      <c r="J844" s="124"/>
      <c r="K844" s="124"/>
    </row>
    <row r="845" spans="6:11" ht="15.75" customHeight="1" x14ac:dyDescent="0.3">
      <c r="F845" s="124"/>
      <c r="G845" s="124"/>
      <c r="H845" s="124"/>
      <c r="I845" s="124"/>
      <c r="J845" s="124"/>
      <c r="K845" s="124"/>
    </row>
    <row r="846" spans="6:11" ht="15.75" customHeight="1" x14ac:dyDescent="0.3">
      <c r="F846" s="124"/>
      <c r="G846" s="124"/>
      <c r="H846" s="124"/>
      <c r="I846" s="124"/>
      <c r="J846" s="124"/>
      <c r="K846" s="124"/>
    </row>
    <row r="847" spans="6:11" ht="15.75" customHeight="1" x14ac:dyDescent="0.3">
      <c r="F847" s="124"/>
      <c r="G847" s="124"/>
      <c r="H847" s="124"/>
      <c r="I847" s="124"/>
      <c r="J847" s="124"/>
      <c r="K847" s="124"/>
    </row>
    <row r="848" spans="6:11" ht="15.75" customHeight="1" x14ac:dyDescent="0.3">
      <c r="F848" s="124"/>
      <c r="G848" s="124"/>
      <c r="H848" s="124"/>
      <c r="I848" s="124"/>
      <c r="J848" s="124"/>
      <c r="K848" s="124"/>
    </row>
    <row r="849" spans="6:11" ht="15.75" customHeight="1" x14ac:dyDescent="0.3">
      <c r="F849" s="124"/>
      <c r="G849" s="124"/>
      <c r="H849" s="124"/>
      <c r="I849" s="124"/>
      <c r="J849" s="124"/>
      <c r="K849" s="124"/>
    </row>
    <row r="850" spans="6:11" ht="15.75" customHeight="1" x14ac:dyDescent="0.3">
      <c r="F850" s="124"/>
      <c r="G850" s="124"/>
      <c r="H850" s="124"/>
      <c r="I850" s="124"/>
      <c r="J850" s="124"/>
      <c r="K850" s="124"/>
    </row>
    <row r="851" spans="6:11" ht="15.75" customHeight="1" x14ac:dyDescent="0.3">
      <c r="F851" s="124"/>
      <c r="G851" s="124"/>
      <c r="H851" s="124"/>
      <c r="I851" s="124"/>
      <c r="J851" s="124"/>
      <c r="K851" s="124"/>
    </row>
    <row r="852" spans="6:11" ht="15.75" customHeight="1" x14ac:dyDescent="0.3">
      <c r="F852" s="124"/>
      <c r="G852" s="124"/>
      <c r="H852" s="124"/>
      <c r="I852" s="124"/>
      <c r="J852" s="124"/>
      <c r="K852" s="124"/>
    </row>
    <row r="853" spans="6:11" ht="15.75" customHeight="1" x14ac:dyDescent="0.3">
      <c r="F853" s="124"/>
      <c r="G853" s="124"/>
      <c r="H853" s="124"/>
      <c r="I853" s="124"/>
      <c r="J853" s="124"/>
      <c r="K853" s="124"/>
    </row>
    <row r="854" spans="6:11" ht="15.75" customHeight="1" x14ac:dyDescent="0.3">
      <c r="F854" s="124"/>
      <c r="G854" s="124"/>
      <c r="H854" s="124"/>
      <c r="I854" s="124"/>
      <c r="J854" s="124"/>
      <c r="K854" s="124"/>
    </row>
    <row r="855" spans="6:11" ht="15.75" customHeight="1" x14ac:dyDescent="0.3">
      <c r="F855" s="124"/>
      <c r="G855" s="124"/>
      <c r="H855" s="124"/>
      <c r="I855" s="124"/>
      <c r="J855" s="124"/>
      <c r="K855" s="124"/>
    </row>
    <row r="856" spans="6:11" ht="15.75" customHeight="1" x14ac:dyDescent="0.3">
      <c r="F856" s="124"/>
      <c r="G856" s="124"/>
      <c r="H856" s="124"/>
      <c r="I856" s="124"/>
      <c r="J856" s="124"/>
      <c r="K856" s="124"/>
    </row>
    <row r="857" spans="6:11" ht="15.75" customHeight="1" x14ac:dyDescent="0.3">
      <c r="F857" s="124"/>
      <c r="G857" s="124"/>
      <c r="H857" s="124"/>
      <c r="I857" s="124"/>
      <c r="J857" s="124"/>
      <c r="K857" s="124"/>
    </row>
    <row r="858" spans="6:11" ht="15.75" customHeight="1" x14ac:dyDescent="0.3">
      <c r="F858" s="124"/>
      <c r="G858" s="124"/>
      <c r="H858" s="124"/>
      <c r="I858" s="124"/>
      <c r="J858" s="124"/>
      <c r="K858" s="124"/>
    </row>
    <row r="859" spans="6:11" ht="15.75" customHeight="1" x14ac:dyDescent="0.3">
      <c r="F859" s="124"/>
      <c r="G859" s="124"/>
      <c r="H859" s="124"/>
      <c r="I859" s="124"/>
      <c r="J859" s="124"/>
      <c r="K859" s="124"/>
    </row>
    <row r="860" spans="6:11" ht="15.75" customHeight="1" x14ac:dyDescent="0.3">
      <c r="F860" s="124"/>
      <c r="G860" s="124"/>
      <c r="H860" s="124"/>
      <c r="I860" s="124"/>
      <c r="J860" s="124"/>
      <c r="K860" s="124"/>
    </row>
    <row r="861" spans="6:11" ht="15.75" customHeight="1" x14ac:dyDescent="0.3">
      <c r="F861" s="124"/>
      <c r="G861" s="124"/>
      <c r="H861" s="124"/>
      <c r="I861" s="124"/>
      <c r="J861" s="124"/>
      <c r="K861" s="124"/>
    </row>
    <row r="862" spans="6:11" ht="15.75" customHeight="1" x14ac:dyDescent="0.3">
      <c r="F862" s="124"/>
      <c r="G862" s="124"/>
      <c r="H862" s="124"/>
      <c r="I862" s="124"/>
      <c r="J862" s="124"/>
      <c r="K862" s="124"/>
    </row>
    <row r="863" spans="6:11" ht="15.75" customHeight="1" x14ac:dyDescent="0.3">
      <c r="F863" s="124"/>
      <c r="G863" s="124"/>
      <c r="H863" s="124"/>
      <c r="I863" s="124"/>
      <c r="J863" s="124"/>
      <c r="K863" s="124"/>
    </row>
    <row r="864" spans="6:11" ht="15.75" customHeight="1" x14ac:dyDescent="0.3">
      <c r="F864" s="124"/>
      <c r="G864" s="124"/>
      <c r="H864" s="124"/>
      <c r="I864" s="124"/>
      <c r="J864" s="124"/>
      <c r="K864" s="124"/>
    </row>
    <row r="865" spans="6:11" ht="15.75" customHeight="1" x14ac:dyDescent="0.3">
      <c r="F865" s="124"/>
      <c r="G865" s="124"/>
      <c r="H865" s="124"/>
      <c r="I865" s="124"/>
      <c r="J865" s="124"/>
      <c r="K865" s="124"/>
    </row>
    <row r="866" spans="6:11" ht="15.75" customHeight="1" x14ac:dyDescent="0.3">
      <c r="F866" s="124"/>
      <c r="G866" s="124"/>
      <c r="H866" s="124"/>
      <c r="I866" s="124"/>
      <c r="J866" s="124"/>
      <c r="K866" s="124"/>
    </row>
    <row r="867" spans="6:11" ht="15.75" customHeight="1" x14ac:dyDescent="0.3">
      <c r="F867" s="124"/>
      <c r="G867" s="124"/>
      <c r="H867" s="124"/>
      <c r="I867" s="124"/>
      <c r="J867" s="124"/>
      <c r="K867" s="124"/>
    </row>
    <row r="868" spans="6:11" ht="15.75" customHeight="1" x14ac:dyDescent="0.3">
      <c r="F868" s="124"/>
      <c r="G868" s="124"/>
      <c r="H868" s="124"/>
      <c r="I868" s="124"/>
      <c r="J868" s="124"/>
      <c r="K868" s="124"/>
    </row>
    <row r="869" spans="6:11" ht="15.75" customHeight="1" x14ac:dyDescent="0.3">
      <c r="F869" s="124"/>
      <c r="G869" s="124"/>
      <c r="H869" s="124"/>
      <c r="I869" s="124"/>
      <c r="J869" s="124"/>
      <c r="K869" s="124"/>
    </row>
    <row r="870" spans="6:11" ht="15.75" customHeight="1" x14ac:dyDescent="0.3">
      <c r="F870" s="124"/>
      <c r="G870" s="124"/>
      <c r="H870" s="124"/>
      <c r="I870" s="124"/>
      <c r="J870" s="124"/>
      <c r="K870" s="124"/>
    </row>
    <row r="871" spans="6:11" ht="15.75" customHeight="1" x14ac:dyDescent="0.3">
      <c r="F871" s="124"/>
      <c r="G871" s="124"/>
      <c r="H871" s="124"/>
      <c r="I871" s="124"/>
      <c r="J871" s="124"/>
      <c r="K871" s="124"/>
    </row>
    <row r="872" spans="6:11" ht="15.75" customHeight="1" x14ac:dyDescent="0.3">
      <c r="F872" s="124"/>
      <c r="G872" s="124"/>
      <c r="H872" s="124"/>
      <c r="I872" s="124"/>
      <c r="J872" s="124"/>
      <c r="K872" s="124"/>
    </row>
    <row r="873" spans="6:11" ht="15.75" customHeight="1" x14ac:dyDescent="0.3">
      <c r="F873" s="124"/>
      <c r="G873" s="124"/>
      <c r="H873" s="124"/>
      <c r="I873" s="124"/>
      <c r="J873" s="124"/>
      <c r="K873" s="124"/>
    </row>
    <row r="874" spans="6:11" ht="15.75" customHeight="1" x14ac:dyDescent="0.3">
      <c r="F874" s="124"/>
      <c r="G874" s="124"/>
      <c r="H874" s="124"/>
      <c r="I874" s="124"/>
      <c r="J874" s="124"/>
      <c r="K874" s="124"/>
    </row>
    <row r="875" spans="6:11" ht="15.75" customHeight="1" x14ac:dyDescent="0.3">
      <c r="F875" s="124"/>
      <c r="G875" s="124"/>
      <c r="H875" s="124"/>
      <c r="I875" s="124"/>
      <c r="J875" s="124"/>
      <c r="K875" s="124"/>
    </row>
    <row r="876" spans="6:11" ht="15.75" customHeight="1" x14ac:dyDescent="0.3">
      <c r="F876" s="124"/>
      <c r="G876" s="124"/>
      <c r="H876" s="124"/>
      <c r="I876" s="124"/>
      <c r="J876" s="124"/>
      <c r="K876" s="124"/>
    </row>
    <row r="877" spans="6:11" ht="15.75" customHeight="1" x14ac:dyDescent="0.3">
      <c r="F877" s="124"/>
      <c r="G877" s="124"/>
      <c r="H877" s="124"/>
      <c r="I877" s="124"/>
      <c r="J877" s="124"/>
      <c r="K877" s="124"/>
    </row>
    <row r="878" spans="6:11" ht="15.75" customHeight="1" x14ac:dyDescent="0.3">
      <c r="F878" s="124"/>
      <c r="G878" s="124"/>
      <c r="H878" s="124"/>
      <c r="I878" s="124"/>
      <c r="J878" s="124"/>
      <c r="K878" s="124"/>
    </row>
    <row r="879" spans="6:11" ht="15.75" customHeight="1" x14ac:dyDescent="0.3">
      <c r="F879" s="124"/>
      <c r="G879" s="124"/>
      <c r="H879" s="124"/>
      <c r="I879" s="124"/>
      <c r="J879" s="124"/>
      <c r="K879" s="124"/>
    </row>
    <row r="880" spans="6:11" ht="15.75" customHeight="1" x14ac:dyDescent="0.3">
      <c r="F880" s="124"/>
      <c r="G880" s="124"/>
      <c r="H880" s="124"/>
      <c r="I880" s="124"/>
      <c r="J880" s="124"/>
      <c r="K880" s="124"/>
    </row>
    <row r="881" spans="6:11" ht="15.75" customHeight="1" x14ac:dyDescent="0.3">
      <c r="F881" s="124"/>
      <c r="G881" s="124"/>
      <c r="H881" s="124"/>
      <c r="I881" s="124"/>
      <c r="J881" s="124"/>
      <c r="K881" s="124"/>
    </row>
    <row r="882" spans="6:11" ht="15.75" customHeight="1" x14ac:dyDescent="0.3">
      <c r="F882" s="124"/>
      <c r="G882" s="124"/>
      <c r="H882" s="124"/>
      <c r="I882" s="124"/>
      <c r="J882" s="124"/>
      <c r="K882" s="124"/>
    </row>
    <row r="883" spans="6:11" ht="15.75" customHeight="1" x14ac:dyDescent="0.3">
      <c r="F883" s="124"/>
      <c r="G883" s="124"/>
      <c r="H883" s="124"/>
      <c r="I883" s="124"/>
      <c r="J883" s="124"/>
      <c r="K883" s="124"/>
    </row>
    <row r="884" spans="6:11" ht="15.75" customHeight="1" x14ac:dyDescent="0.3">
      <c r="F884" s="124"/>
      <c r="G884" s="124"/>
      <c r="H884" s="124"/>
      <c r="I884" s="124"/>
      <c r="J884" s="124"/>
      <c r="K884" s="124"/>
    </row>
    <row r="885" spans="6:11" ht="15.75" customHeight="1" x14ac:dyDescent="0.3">
      <c r="F885" s="124"/>
      <c r="G885" s="124"/>
      <c r="H885" s="124"/>
      <c r="I885" s="124"/>
      <c r="J885" s="124"/>
      <c r="K885" s="124"/>
    </row>
    <row r="886" spans="6:11" ht="15.75" customHeight="1" x14ac:dyDescent="0.3">
      <c r="F886" s="124"/>
      <c r="G886" s="124"/>
      <c r="H886" s="124"/>
      <c r="I886" s="124"/>
      <c r="J886" s="124"/>
      <c r="K886" s="124"/>
    </row>
    <row r="887" spans="6:11" ht="15.75" customHeight="1" x14ac:dyDescent="0.3">
      <c r="F887" s="124"/>
      <c r="G887" s="124"/>
      <c r="H887" s="124"/>
      <c r="I887" s="124"/>
      <c r="J887" s="124"/>
      <c r="K887" s="124"/>
    </row>
    <row r="888" spans="6:11" ht="15.75" customHeight="1" x14ac:dyDescent="0.3">
      <c r="F888" s="124"/>
      <c r="G888" s="124"/>
      <c r="H888" s="124"/>
      <c r="I888" s="124"/>
      <c r="J888" s="124"/>
      <c r="K888" s="124"/>
    </row>
    <row r="889" spans="6:11" ht="15.75" customHeight="1" x14ac:dyDescent="0.3">
      <c r="F889" s="124"/>
      <c r="G889" s="124"/>
      <c r="H889" s="124"/>
      <c r="I889" s="124"/>
      <c r="J889" s="124"/>
      <c r="K889" s="124"/>
    </row>
    <row r="890" spans="6:11" ht="15.75" customHeight="1" x14ac:dyDescent="0.3">
      <c r="F890" s="124"/>
      <c r="G890" s="124"/>
      <c r="H890" s="124"/>
      <c r="I890" s="124"/>
      <c r="J890" s="124"/>
      <c r="K890" s="124"/>
    </row>
    <row r="891" spans="6:11" ht="15.75" customHeight="1" x14ac:dyDescent="0.3">
      <c r="F891" s="124"/>
      <c r="G891" s="124"/>
      <c r="H891" s="124"/>
      <c r="I891" s="124"/>
      <c r="J891" s="124"/>
      <c r="K891" s="124"/>
    </row>
    <row r="892" spans="6:11" ht="15.75" customHeight="1" x14ac:dyDescent="0.3">
      <c r="F892" s="124"/>
      <c r="G892" s="124"/>
      <c r="H892" s="124"/>
      <c r="I892" s="124"/>
      <c r="J892" s="124"/>
      <c r="K892" s="124"/>
    </row>
    <row r="893" spans="6:11" ht="15.75" customHeight="1" x14ac:dyDescent="0.3">
      <c r="F893" s="124"/>
      <c r="G893" s="124"/>
      <c r="H893" s="124"/>
      <c r="I893" s="124"/>
      <c r="J893" s="124"/>
      <c r="K893" s="124"/>
    </row>
    <row r="894" spans="6:11" ht="15.75" customHeight="1" x14ac:dyDescent="0.3">
      <c r="F894" s="124"/>
      <c r="G894" s="124"/>
      <c r="H894" s="124"/>
      <c r="I894" s="124"/>
      <c r="J894" s="124"/>
      <c r="K894" s="124"/>
    </row>
    <row r="895" spans="6:11" ht="15.75" customHeight="1" x14ac:dyDescent="0.3">
      <c r="F895" s="124"/>
      <c r="G895" s="124"/>
      <c r="H895" s="124"/>
      <c r="I895" s="124"/>
      <c r="J895" s="124"/>
      <c r="K895" s="124"/>
    </row>
    <row r="896" spans="6:11" ht="15.75" customHeight="1" x14ac:dyDescent="0.3">
      <c r="F896" s="124"/>
      <c r="G896" s="124"/>
      <c r="H896" s="124"/>
      <c r="I896" s="124"/>
      <c r="J896" s="124"/>
      <c r="K896" s="124"/>
    </row>
    <row r="897" spans="6:11" ht="15.75" customHeight="1" x14ac:dyDescent="0.3">
      <c r="F897" s="124"/>
      <c r="G897" s="124"/>
      <c r="H897" s="124"/>
      <c r="I897" s="124"/>
      <c r="J897" s="124"/>
      <c r="K897" s="124"/>
    </row>
    <row r="898" spans="6:11" ht="15.75" customHeight="1" x14ac:dyDescent="0.3">
      <c r="F898" s="124"/>
      <c r="G898" s="124"/>
      <c r="H898" s="124"/>
      <c r="I898" s="124"/>
      <c r="J898" s="124"/>
      <c r="K898" s="124"/>
    </row>
    <row r="899" spans="6:11" ht="15.75" customHeight="1" x14ac:dyDescent="0.3">
      <c r="F899" s="124"/>
      <c r="G899" s="124"/>
      <c r="H899" s="124"/>
      <c r="I899" s="124"/>
      <c r="J899" s="124"/>
      <c r="K899" s="124"/>
    </row>
    <row r="900" spans="6:11" ht="15.75" customHeight="1" x14ac:dyDescent="0.3">
      <c r="F900" s="124"/>
      <c r="G900" s="124"/>
      <c r="H900" s="124"/>
      <c r="I900" s="124"/>
      <c r="J900" s="124"/>
      <c r="K900" s="124"/>
    </row>
    <row r="901" spans="6:11" ht="15.75" customHeight="1" x14ac:dyDescent="0.3">
      <c r="F901" s="124"/>
      <c r="G901" s="124"/>
      <c r="H901" s="124"/>
      <c r="I901" s="124"/>
      <c r="J901" s="124"/>
      <c r="K901" s="124"/>
    </row>
    <row r="902" spans="6:11" ht="15.75" customHeight="1" x14ac:dyDescent="0.3">
      <c r="F902" s="124"/>
      <c r="G902" s="124"/>
      <c r="H902" s="124"/>
      <c r="I902" s="124"/>
      <c r="J902" s="124"/>
      <c r="K902" s="124"/>
    </row>
    <row r="903" spans="6:11" ht="15.75" customHeight="1" x14ac:dyDescent="0.3">
      <c r="F903" s="124"/>
      <c r="G903" s="124"/>
      <c r="H903" s="124"/>
      <c r="I903" s="124"/>
      <c r="J903" s="124"/>
      <c r="K903" s="124"/>
    </row>
    <row r="904" spans="6:11" ht="15.75" customHeight="1" x14ac:dyDescent="0.3">
      <c r="F904" s="124"/>
      <c r="G904" s="124"/>
      <c r="H904" s="124"/>
      <c r="I904" s="124"/>
      <c r="J904" s="124"/>
      <c r="K904" s="124"/>
    </row>
    <row r="905" spans="6:11" ht="15.75" customHeight="1" x14ac:dyDescent="0.3">
      <c r="F905" s="124"/>
      <c r="G905" s="124"/>
      <c r="H905" s="124"/>
      <c r="I905" s="124"/>
      <c r="J905" s="124"/>
      <c r="K905" s="124"/>
    </row>
    <row r="906" spans="6:11" ht="15.75" customHeight="1" x14ac:dyDescent="0.3">
      <c r="F906" s="124"/>
      <c r="G906" s="124"/>
      <c r="H906" s="124"/>
      <c r="I906" s="124"/>
      <c r="J906" s="124"/>
      <c r="K906" s="124"/>
    </row>
    <row r="907" spans="6:11" ht="15.75" customHeight="1" x14ac:dyDescent="0.3">
      <c r="F907" s="124"/>
      <c r="G907" s="124"/>
      <c r="H907" s="124"/>
      <c r="I907" s="124"/>
      <c r="J907" s="124"/>
      <c r="K907" s="124"/>
    </row>
    <row r="908" spans="6:11" ht="15.75" customHeight="1" x14ac:dyDescent="0.3">
      <c r="F908" s="124"/>
      <c r="G908" s="124"/>
      <c r="H908" s="124"/>
      <c r="I908" s="124"/>
      <c r="J908" s="124"/>
      <c r="K908" s="124"/>
    </row>
    <row r="909" spans="6:11" ht="15.75" customHeight="1" x14ac:dyDescent="0.3">
      <c r="F909" s="124"/>
      <c r="G909" s="124"/>
      <c r="H909" s="124"/>
      <c r="I909" s="124"/>
      <c r="J909" s="124"/>
      <c r="K909" s="124"/>
    </row>
    <row r="910" spans="6:11" ht="15.75" customHeight="1" x14ac:dyDescent="0.3">
      <c r="F910" s="124"/>
      <c r="G910" s="124"/>
      <c r="H910" s="124"/>
      <c r="I910" s="124"/>
      <c r="J910" s="124"/>
      <c r="K910" s="124"/>
    </row>
    <row r="911" spans="6:11" ht="15.75" customHeight="1" x14ac:dyDescent="0.3">
      <c r="F911" s="124"/>
      <c r="G911" s="124"/>
      <c r="H911" s="124"/>
      <c r="I911" s="124"/>
      <c r="J911" s="124"/>
      <c r="K911" s="124"/>
    </row>
    <row r="912" spans="6:11" ht="15.75" customHeight="1" x14ac:dyDescent="0.3">
      <c r="F912" s="124"/>
      <c r="G912" s="124"/>
      <c r="H912" s="124"/>
      <c r="I912" s="124"/>
      <c r="J912" s="124"/>
      <c r="K912" s="124"/>
    </row>
    <row r="913" spans="6:11" ht="15.75" customHeight="1" x14ac:dyDescent="0.3">
      <c r="F913" s="124"/>
      <c r="G913" s="124"/>
      <c r="H913" s="124"/>
      <c r="I913" s="124"/>
      <c r="J913" s="124"/>
      <c r="K913" s="124"/>
    </row>
    <row r="914" spans="6:11" ht="15.75" customHeight="1" x14ac:dyDescent="0.3">
      <c r="F914" s="124"/>
      <c r="G914" s="124"/>
      <c r="H914" s="124"/>
      <c r="I914" s="124"/>
      <c r="J914" s="124"/>
      <c r="K914" s="124"/>
    </row>
    <row r="915" spans="6:11" ht="15.75" customHeight="1" x14ac:dyDescent="0.3">
      <c r="F915" s="124"/>
      <c r="G915" s="124"/>
      <c r="H915" s="124"/>
      <c r="I915" s="124"/>
      <c r="J915" s="124"/>
      <c r="K915" s="124"/>
    </row>
    <row r="916" spans="6:11" ht="15.75" customHeight="1" x14ac:dyDescent="0.3">
      <c r="F916" s="124"/>
      <c r="G916" s="124"/>
      <c r="H916" s="124"/>
      <c r="I916" s="124"/>
      <c r="J916" s="124"/>
      <c r="K916" s="124"/>
    </row>
    <row r="917" spans="6:11" ht="15.75" customHeight="1" x14ac:dyDescent="0.3">
      <c r="F917" s="124"/>
      <c r="G917" s="124"/>
      <c r="H917" s="124"/>
      <c r="I917" s="124"/>
      <c r="J917" s="124"/>
      <c r="K917" s="124"/>
    </row>
    <row r="918" spans="6:11" ht="15.75" customHeight="1" x14ac:dyDescent="0.3">
      <c r="F918" s="124"/>
      <c r="G918" s="124"/>
      <c r="H918" s="124"/>
      <c r="I918" s="124"/>
      <c r="J918" s="124"/>
      <c r="K918" s="124"/>
    </row>
    <row r="919" spans="6:11" ht="15.75" customHeight="1" x14ac:dyDescent="0.3">
      <c r="F919" s="124"/>
      <c r="G919" s="124"/>
      <c r="H919" s="124"/>
      <c r="I919" s="124"/>
      <c r="J919" s="124"/>
      <c r="K919" s="124"/>
    </row>
    <row r="920" spans="6:11" ht="15.75" customHeight="1" x14ac:dyDescent="0.3">
      <c r="F920" s="124"/>
      <c r="G920" s="124"/>
      <c r="H920" s="124"/>
      <c r="I920" s="124"/>
      <c r="J920" s="124"/>
      <c r="K920" s="124"/>
    </row>
    <row r="921" spans="6:11" ht="15.75" customHeight="1" x14ac:dyDescent="0.3">
      <c r="F921" s="124"/>
      <c r="G921" s="124"/>
      <c r="H921" s="124"/>
      <c r="I921" s="124"/>
      <c r="J921" s="124"/>
      <c r="K921" s="124"/>
    </row>
    <row r="922" spans="6:11" ht="15.75" customHeight="1" x14ac:dyDescent="0.3">
      <c r="F922" s="124"/>
      <c r="G922" s="124"/>
      <c r="H922" s="124"/>
      <c r="I922" s="124"/>
      <c r="J922" s="124"/>
      <c r="K922" s="124"/>
    </row>
    <row r="923" spans="6:11" ht="15.75" customHeight="1" x14ac:dyDescent="0.3">
      <c r="F923" s="124"/>
      <c r="G923" s="124"/>
      <c r="H923" s="124"/>
      <c r="I923" s="124"/>
      <c r="J923" s="124"/>
      <c r="K923" s="124"/>
    </row>
    <row r="924" spans="6:11" ht="15.75" customHeight="1" x14ac:dyDescent="0.3">
      <c r="F924" s="124"/>
      <c r="G924" s="124"/>
      <c r="H924" s="124"/>
      <c r="I924" s="124"/>
      <c r="J924" s="124"/>
      <c r="K924" s="124"/>
    </row>
    <row r="925" spans="6:11" ht="15.75" customHeight="1" x14ac:dyDescent="0.3">
      <c r="F925" s="124"/>
      <c r="G925" s="124"/>
      <c r="H925" s="124"/>
      <c r="I925" s="124"/>
      <c r="J925" s="124"/>
      <c r="K925" s="124"/>
    </row>
    <row r="926" spans="6:11" ht="15.75" customHeight="1" x14ac:dyDescent="0.3">
      <c r="F926" s="124"/>
      <c r="G926" s="124"/>
      <c r="H926" s="124"/>
      <c r="I926" s="124"/>
      <c r="J926" s="124"/>
      <c r="K926" s="124"/>
    </row>
    <row r="927" spans="6:11" ht="15.75" customHeight="1" x14ac:dyDescent="0.3">
      <c r="F927" s="124"/>
      <c r="G927" s="124"/>
      <c r="H927" s="124"/>
      <c r="I927" s="124"/>
      <c r="J927" s="124"/>
      <c r="K927" s="124"/>
    </row>
    <row r="928" spans="6:11" ht="15.75" customHeight="1" x14ac:dyDescent="0.3">
      <c r="F928" s="124"/>
      <c r="G928" s="124"/>
      <c r="H928" s="124"/>
      <c r="I928" s="124"/>
      <c r="J928" s="124"/>
      <c r="K928" s="124"/>
    </row>
    <row r="929" spans="6:11" ht="15.75" customHeight="1" x14ac:dyDescent="0.3">
      <c r="F929" s="124"/>
      <c r="G929" s="124"/>
      <c r="H929" s="124"/>
      <c r="I929" s="124"/>
      <c r="J929" s="124"/>
      <c r="K929" s="124"/>
    </row>
    <row r="930" spans="6:11" ht="15.75" customHeight="1" x14ac:dyDescent="0.3">
      <c r="F930" s="124"/>
      <c r="G930" s="124"/>
      <c r="H930" s="124"/>
      <c r="I930" s="124"/>
      <c r="J930" s="124"/>
      <c r="K930" s="124"/>
    </row>
    <row r="931" spans="6:11" ht="15.75" customHeight="1" x14ac:dyDescent="0.3">
      <c r="F931" s="124"/>
      <c r="G931" s="124"/>
      <c r="H931" s="124"/>
      <c r="I931" s="124"/>
      <c r="J931" s="124"/>
      <c r="K931" s="124"/>
    </row>
    <row r="932" spans="6:11" ht="15.75" customHeight="1" x14ac:dyDescent="0.3">
      <c r="F932" s="124"/>
      <c r="G932" s="124"/>
      <c r="H932" s="124"/>
      <c r="I932" s="124"/>
      <c r="J932" s="124"/>
      <c r="K932" s="124"/>
    </row>
    <row r="933" spans="6:11" ht="15.75" customHeight="1" x14ac:dyDescent="0.3">
      <c r="F933" s="124"/>
      <c r="G933" s="124"/>
      <c r="H933" s="124"/>
      <c r="I933" s="124"/>
      <c r="J933" s="124"/>
      <c r="K933" s="124"/>
    </row>
    <row r="934" spans="6:11" ht="15.75" customHeight="1" x14ac:dyDescent="0.3">
      <c r="F934" s="124"/>
      <c r="G934" s="124"/>
      <c r="H934" s="124"/>
      <c r="I934" s="124"/>
      <c r="J934" s="124"/>
      <c r="K934" s="124"/>
    </row>
    <row r="935" spans="6:11" ht="15.75" customHeight="1" x14ac:dyDescent="0.3">
      <c r="F935" s="124"/>
      <c r="G935" s="124"/>
      <c r="H935" s="124"/>
      <c r="I935" s="124"/>
      <c r="J935" s="124"/>
      <c r="K935" s="124"/>
    </row>
    <row r="936" spans="6:11" ht="15.75" customHeight="1" x14ac:dyDescent="0.3">
      <c r="F936" s="124"/>
      <c r="G936" s="124"/>
      <c r="H936" s="124"/>
      <c r="I936" s="124"/>
      <c r="J936" s="124"/>
      <c r="K936" s="124"/>
    </row>
    <row r="937" spans="6:11" ht="15.75" customHeight="1" x14ac:dyDescent="0.3">
      <c r="F937" s="124"/>
      <c r="G937" s="124"/>
      <c r="H937" s="124"/>
      <c r="I937" s="124"/>
      <c r="J937" s="124"/>
      <c r="K937" s="124"/>
    </row>
    <row r="938" spans="6:11" ht="15.75" customHeight="1" x14ac:dyDescent="0.3">
      <c r="F938" s="124"/>
      <c r="G938" s="124"/>
      <c r="H938" s="124"/>
      <c r="I938" s="124"/>
      <c r="J938" s="124"/>
      <c r="K938" s="124"/>
    </row>
    <row r="939" spans="6:11" ht="15.75" customHeight="1" x14ac:dyDescent="0.3">
      <c r="F939" s="124"/>
      <c r="G939" s="124"/>
      <c r="H939" s="124"/>
      <c r="I939" s="124"/>
      <c r="J939" s="124"/>
      <c r="K939" s="124"/>
    </row>
    <row r="940" spans="6:11" ht="15.75" customHeight="1" x14ac:dyDescent="0.3">
      <c r="F940" s="124"/>
      <c r="G940" s="124"/>
      <c r="H940" s="124"/>
      <c r="I940" s="124"/>
      <c r="J940" s="124"/>
      <c r="K940" s="124"/>
    </row>
    <row r="941" spans="6:11" ht="15.75" customHeight="1" x14ac:dyDescent="0.3">
      <c r="F941" s="124"/>
      <c r="G941" s="124"/>
      <c r="H941" s="124"/>
      <c r="I941" s="124"/>
      <c r="J941" s="124"/>
      <c r="K941" s="124"/>
    </row>
    <row r="942" spans="6:11" ht="15.75" customHeight="1" x14ac:dyDescent="0.3">
      <c r="F942" s="124"/>
      <c r="G942" s="124"/>
      <c r="H942" s="124"/>
      <c r="I942" s="124"/>
      <c r="J942" s="124"/>
      <c r="K942" s="124"/>
    </row>
    <row r="943" spans="6:11" ht="15.75" customHeight="1" x14ac:dyDescent="0.3">
      <c r="F943" s="124"/>
      <c r="G943" s="124"/>
      <c r="H943" s="124"/>
      <c r="I943" s="124"/>
      <c r="J943" s="124"/>
      <c r="K943" s="124"/>
    </row>
    <row r="944" spans="6:11" ht="15.75" customHeight="1" x14ac:dyDescent="0.3">
      <c r="F944" s="124"/>
      <c r="G944" s="124"/>
      <c r="H944" s="124"/>
      <c r="I944" s="124"/>
      <c r="J944" s="124"/>
      <c r="K944" s="124"/>
    </row>
    <row r="945" spans="6:11" ht="15.75" customHeight="1" x14ac:dyDescent="0.3">
      <c r="F945" s="124"/>
      <c r="G945" s="124"/>
      <c r="H945" s="124"/>
      <c r="I945" s="124"/>
      <c r="J945" s="124"/>
      <c r="K945" s="124"/>
    </row>
    <row r="946" spans="6:11" ht="15.75" customHeight="1" x14ac:dyDescent="0.3">
      <c r="F946" s="124"/>
      <c r="G946" s="124"/>
      <c r="H946" s="124"/>
      <c r="I946" s="124"/>
      <c r="J946" s="124"/>
      <c r="K946" s="124"/>
    </row>
    <row r="947" spans="6:11" ht="15.75" customHeight="1" x14ac:dyDescent="0.3">
      <c r="F947" s="124"/>
      <c r="G947" s="124"/>
      <c r="H947" s="124"/>
      <c r="I947" s="124"/>
      <c r="J947" s="124"/>
      <c r="K947" s="124"/>
    </row>
    <row r="948" spans="6:11" ht="15.75" customHeight="1" x14ac:dyDescent="0.3">
      <c r="F948" s="124"/>
      <c r="G948" s="124"/>
      <c r="H948" s="124"/>
      <c r="I948" s="124"/>
      <c r="J948" s="124"/>
      <c r="K948" s="124"/>
    </row>
    <row r="949" spans="6:11" ht="15.75" customHeight="1" x14ac:dyDescent="0.3">
      <c r="F949" s="124"/>
      <c r="G949" s="124"/>
      <c r="H949" s="124"/>
      <c r="I949" s="124"/>
      <c r="J949" s="124"/>
      <c r="K949" s="124"/>
    </row>
    <row r="950" spans="6:11" ht="15.75" customHeight="1" x14ac:dyDescent="0.3">
      <c r="F950" s="124"/>
      <c r="G950" s="124"/>
      <c r="H950" s="124"/>
      <c r="I950" s="124"/>
      <c r="J950" s="124"/>
      <c r="K950" s="124"/>
    </row>
    <row r="951" spans="6:11" ht="15.75" customHeight="1" x14ac:dyDescent="0.3">
      <c r="F951" s="124"/>
      <c r="G951" s="124"/>
      <c r="H951" s="124"/>
      <c r="I951" s="124"/>
      <c r="J951" s="124"/>
      <c r="K951" s="124"/>
    </row>
    <row r="952" spans="6:11" ht="15.75" customHeight="1" x14ac:dyDescent="0.3">
      <c r="F952" s="124"/>
      <c r="G952" s="124"/>
      <c r="H952" s="124"/>
      <c r="I952" s="124"/>
      <c r="J952" s="124"/>
      <c r="K952" s="124"/>
    </row>
    <row r="953" spans="6:11" ht="15.75" customHeight="1" x14ac:dyDescent="0.3">
      <c r="F953" s="124"/>
      <c r="G953" s="124"/>
      <c r="H953" s="124"/>
      <c r="I953" s="124"/>
      <c r="J953" s="124"/>
      <c r="K953" s="124"/>
    </row>
    <row r="954" spans="6:11" ht="15.75" customHeight="1" x14ac:dyDescent="0.3">
      <c r="F954" s="124"/>
      <c r="G954" s="124"/>
      <c r="H954" s="124"/>
      <c r="I954" s="124"/>
      <c r="J954" s="124"/>
      <c r="K954" s="124"/>
    </row>
    <row r="955" spans="6:11" ht="15.75" customHeight="1" x14ac:dyDescent="0.3">
      <c r="F955" s="124"/>
      <c r="G955" s="124"/>
      <c r="H955" s="124"/>
      <c r="I955" s="124"/>
      <c r="J955" s="124"/>
      <c r="K955" s="124"/>
    </row>
    <row r="956" spans="6:11" ht="15.75" customHeight="1" x14ac:dyDescent="0.3">
      <c r="F956" s="124"/>
      <c r="G956" s="124"/>
      <c r="H956" s="124"/>
      <c r="I956" s="124"/>
      <c r="J956" s="124"/>
      <c r="K956" s="124"/>
    </row>
    <row r="957" spans="6:11" ht="15.75" customHeight="1" x14ac:dyDescent="0.3">
      <c r="F957" s="124"/>
      <c r="G957" s="124"/>
      <c r="H957" s="124"/>
      <c r="I957" s="124"/>
      <c r="J957" s="124"/>
      <c r="K957" s="124"/>
    </row>
    <row r="958" spans="6:11" ht="15.75" customHeight="1" x14ac:dyDescent="0.3">
      <c r="F958" s="124"/>
      <c r="G958" s="124"/>
      <c r="H958" s="124"/>
      <c r="I958" s="124"/>
      <c r="J958" s="124"/>
      <c r="K958" s="124"/>
    </row>
    <row r="959" spans="6:11" ht="15.75" customHeight="1" x14ac:dyDescent="0.3">
      <c r="F959" s="124"/>
      <c r="G959" s="124"/>
      <c r="H959" s="124"/>
      <c r="I959" s="124"/>
      <c r="J959" s="124"/>
      <c r="K959" s="124"/>
    </row>
    <row r="960" spans="6:11" ht="15.75" customHeight="1" x14ac:dyDescent="0.3">
      <c r="F960" s="124"/>
      <c r="G960" s="124"/>
      <c r="H960" s="124"/>
      <c r="I960" s="124"/>
      <c r="J960" s="124"/>
      <c r="K960" s="124"/>
    </row>
    <row r="961" spans="6:11" ht="15.75" customHeight="1" x14ac:dyDescent="0.3">
      <c r="F961" s="124"/>
      <c r="G961" s="124"/>
      <c r="H961" s="124"/>
      <c r="I961" s="124"/>
      <c r="J961" s="124"/>
      <c r="K961" s="124"/>
    </row>
    <row r="962" spans="6:11" ht="15.75" customHeight="1" x14ac:dyDescent="0.3">
      <c r="F962" s="124"/>
      <c r="G962" s="124"/>
      <c r="H962" s="124"/>
      <c r="I962" s="124"/>
      <c r="J962" s="124"/>
      <c r="K962" s="124"/>
    </row>
    <row r="963" spans="6:11" ht="15.75" customHeight="1" x14ac:dyDescent="0.3">
      <c r="F963" s="124"/>
      <c r="G963" s="124"/>
      <c r="H963" s="124"/>
      <c r="I963" s="124"/>
      <c r="J963" s="124"/>
      <c r="K963" s="124"/>
    </row>
    <row r="964" spans="6:11" ht="15.75" customHeight="1" x14ac:dyDescent="0.3">
      <c r="F964" s="124"/>
      <c r="G964" s="124"/>
      <c r="H964" s="124"/>
      <c r="I964" s="124"/>
      <c r="J964" s="124"/>
      <c r="K964" s="124"/>
    </row>
    <row r="965" spans="6:11" ht="15.75" customHeight="1" x14ac:dyDescent="0.3">
      <c r="F965" s="124"/>
      <c r="G965" s="124"/>
      <c r="H965" s="124"/>
      <c r="I965" s="124"/>
      <c r="J965" s="124"/>
      <c r="K965" s="124"/>
    </row>
    <row r="966" spans="6:11" ht="15.75" customHeight="1" x14ac:dyDescent="0.3">
      <c r="F966" s="124"/>
      <c r="G966" s="124"/>
      <c r="H966" s="124"/>
      <c r="I966" s="124"/>
      <c r="J966" s="124"/>
      <c r="K966" s="124"/>
    </row>
    <row r="967" spans="6:11" ht="15.75" customHeight="1" x14ac:dyDescent="0.3">
      <c r="F967" s="124"/>
      <c r="G967" s="124"/>
      <c r="H967" s="124"/>
      <c r="I967" s="124"/>
      <c r="J967" s="124"/>
      <c r="K967" s="124"/>
    </row>
    <row r="968" spans="6:11" ht="15.75" customHeight="1" x14ac:dyDescent="0.3">
      <c r="F968" s="124"/>
      <c r="G968" s="124"/>
      <c r="H968" s="124"/>
      <c r="I968" s="124"/>
      <c r="J968" s="124"/>
      <c r="K968" s="124"/>
    </row>
    <row r="969" spans="6:11" ht="15.75" customHeight="1" x14ac:dyDescent="0.3">
      <c r="F969" s="124"/>
      <c r="G969" s="124"/>
      <c r="H969" s="124"/>
      <c r="I969" s="124"/>
      <c r="J969" s="124"/>
      <c r="K969" s="124"/>
    </row>
    <row r="970" spans="6:11" ht="15.75" customHeight="1" x14ac:dyDescent="0.3">
      <c r="F970" s="124"/>
      <c r="G970" s="124"/>
      <c r="H970" s="124"/>
      <c r="I970" s="124"/>
      <c r="J970" s="124"/>
      <c r="K970" s="124"/>
    </row>
    <row r="971" spans="6:11" ht="15.75" customHeight="1" x14ac:dyDescent="0.3">
      <c r="F971" s="124"/>
      <c r="G971" s="124"/>
      <c r="H971" s="124"/>
      <c r="I971" s="124"/>
      <c r="J971" s="124"/>
      <c r="K971" s="124"/>
    </row>
    <row r="972" spans="6:11" ht="15.75" customHeight="1" x14ac:dyDescent="0.3">
      <c r="F972" s="124"/>
      <c r="G972" s="124"/>
      <c r="H972" s="124"/>
      <c r="I972" s="124"/>
      <c r="J972" s="124"/>
      <c r="K972" s="124"/>
    </row>
    <row r="973" spans="6:11" ht="15.75" customHeight="1" x14ac:dyDescent="0.3">
      <c r="F973" s="124"/>
      <c r="G973" s="124"/>
      <c r="H973" s="124"/>
      <c r="I973" s="124"/>
      <c r="J973" s="124"/>
      <c r="K973" s="124"/>
    </row>
    <row r="974" spans="6:11" ht="15.75" customHeight="1" x14ac:dyDescent="0.3">
      <c r="F974" s="124"/>
      <c r="G974" s="124"/>
      <c r="H974" s="124"/>
      <c r="I974" s="124"/>
      <c r="J974" s="124"/>
      <c r="K974" s="124"/>
    </row>
    <row r="975" spans="6:11" ht="15.75" customHeight="1" x14ac:dyDescent="0.3">
      <c r="F975" s="124"/>
      <c r="G975" s="124"/>
      <c r="H975" s="124"/>
      <c r="I975" s="124"/>
      <c r="J975" s="124"/>
      <c r="K975" s="124"/>
    </row>
    <row r="976" spans="6:11" ht="15.75" customHeight="1" x14ac:dyDescent="0.3">
      <c r="F976" s="124"/>
      <c r="G976" s="124"/>
      <c r="H976" s="124"/>
      <c r="I976" s="124"/>
      <c r="J976" s="124"/>
      <c r="K976" s="124"/>
    </row>
    <row r="977" spans="6:11" ht="15.75" customHeight="1" x14ac:dyDescent="0.3">
      <c r="F977" s="124"/>
      <c r="G977" s="124"/>
      <c r="H977" s="124"/>
      <c r="I977" s="124"/>
      <c r="J977" s="124"/>
      <c r="K977" s="124"/>
    </row>
    <row r="978" spans="6:11" ht="15.75" customHeight="1" x14ac:dyDescent="0.3">
      <c r="F978" s="124"/>
      <c r="G978" s="124"/>
      <c r="H978" s="124"/>
      <c r="I978" s="124"/>
      <c r="J978" s="124"/>
      <c r="K978" s="124"/>
    </row>
    <row r="979" spans="6:11" ht="15.75" customHeight="1" x14ac:dyDescent="0.3">
      <c r="F979" s="124"/>
      <c r="G979" s="124"/>
      <c r="H979" s="124"/>
      <c r="I979" s="124"/>
      <c r="J979" s="124"/>
      <c r="K979" s="124"/>
    </row>
    <row r="980" spans="6:11" ht="15.75" customHeight="1" x14ac:dyDescent="0.3">
      <c r="F980" s="124"/>
      <c r="G980" s="124"/>
      <c r="H980" s="124"/>
      <c r="I980" s="124"/>
      <c r="J980" s="124"/>
      <c r="K980" s="124"/>
    </row>
    <row r="981" spans="6:11" ht="15.75" customHeight="1" x14ac:dyDescent="0.3">
      <c r="F981" s="124"/>
      <c r="G981" s="124"/>
      <c r="H981" s="124"/>
      <c r="I981" s="124"/>
      <c r="J981" s="124"/>
      <c r="K981" s="124"/>
    </row>
    <row r="982" spans="6:11" ht="15.75" customHeight="1" x14ac:dyDescent="0.3">
      <c r="F982" s="124"/>
      <c r="G982" s="124"/>
      <c r="H982" s="124"/>
      <c r="I982" s="124"/>
      <c r="J982" s="124"/>
      <c r="K982" s="124"/>
    </row>
    <row r="983" spans="6:11" ht="15.75" customHeight="1" x14ac:dyDescent="0.3">
      <c r="F983" s="124"/>
      <c r="G983" s="124"/>
      <c r="H983" s="124"/>
      <c r="I983" s="124"/>
      <c r="J983" s="124"/>
      <c r="K983" s="124"/>
    </row>
    <row r="984" spans="6:11" ht="15.75" customHeight="1" x14ac:dyDescent="0.3">
      <c r="F984" s="124"/>
      <c r="G984" s="124"/>
      <c r="H984" s="124"/>
      <c r="I984" s="124"/>
      <c r="J984" s="124"/>
      <c r="K984" s="124"/>
    </row>
    <row r="985" spans="6:11" ht="15.75" customHeight="1" x14ac:dyDescent="0.3">
      <c r="F985" s="124"/>
      <c r="G985" s="124"/>
      <c r="H985" s="124"/>
      <c r="I985" s="124"/>
      <c r="J985" s="124"/>
      <c r="K985" s="124"/>
    </row>
    <row r="986" spans="6:11" ht="15.75" customHeight="1" x14ac:dyDescent="0.3">
      <c r="F986" s="124"/>
      <c r="G986" s="124"/>
      <c r="H986" s="124"/>
      <c r="I986" s="124"/>
      <c r="J986" s="124"/>
      <c r="K986" s="124"/>
    </row>
    <row r="987" spans="6:11" ht="15.75" customHeight="1" x14ac:dyDescent="0.3">
      <c r="F987" s="124"/>
      <c r="G987" s="124"/>
      <c r="H987" s="124"/>
      <c r="I987" s="124"/>
      <c r="J987" s="124"/>
      <c r="K987" s="124"/>
    </row>
    <row r="988" spans="6:11" ht="15.75" customHeight="1" x14ac:dyDescent="0.3">
      <c r="F988" s="124"/>
      <c r="G988" s="124"/>
      <c r="H988" s="124"/>
      <c r="I988" s="124"/>
      <c r="J988" s="124"/>
      <c r="K988" s="124"/>
    </row>
    <row r="989" spans="6:11" ht="15.75" customHeight="1" x14ac:dyDescent="0.3">
      <c r="F989" s="124"/>
      <c r="G989" s="124"/>
      <c r="H989" s="124"/>
      <c r="I989" s="124"/>
      <c r="J989" s="124"/>
      <c r="K989" s="124"/>
    </row>
    <row r="990" spans="6:11" ht="15.75" customHeight="1" x14ac:dyDescent="0.3">
      <c r="F990" s="124"/>
      <c r="G990" s="124"/>
      <c r="H990" s="124"/>
      <c r="I990" s="124"/>
      <c r="J990" s="124"/>
      <c r="K990" s="124"/>
    </row>
    <row r="991" spans="6:11" ht="15.75" customHeight="1" x14ac:dyDescent="0.3">
      <c r="F991" s="124"/>
      <c r="G991" s="124"/>
      <c r="H991" s="124"/>
      <c r="I991" s="124"/>
      <c r="J991" s="124"/>
      <c r="K991" s="124"/>
    </row>
    <row r="992" spans="6:11" ht="15.75" customHeight="1" x14ac:dyDescent="0.3">
      <c r="F992" s="124"/>
      <c r="G992" s="124"/>
      <c r="H992" s="124"/>
      <c r="I992" s="124"/>
      <c r="J992" s="124"/>
      <c r="K992" s="124"/>
    </row>
    <row r="993" spans="6:11" ht="15.75" customHeight="1" x14ac:dyDescent="0.3">
      <c r="F993" s="124"/>
      <c r="G993" s="124"/>
      <c r="H993" s="124"/>
      <c r="I993" s="124"/>
      <c r="J993" s="124"/>
      <c r="K993" s="124"/>
    </row>
    <row r="994" spans="6:11" ht="15.75" customHeight="1" x14ac:dyDescent="0.3">
      <c r="F994" s="124"/>
      <c r="G994" s="124"/>
      <c r="H994" s="124"/>
      <c r="I994" s="124"/>
      <c r="J994" s="124"/>
      <c r="K994" s="124"/>
    </row>
    <row r="995" spans="6:11" ht="15.75" customHeight="1" x14ac:dyDescent="0.3">
      <c r="F995" s="124"/>
      <c r="G995" s="124"/>
      <c r="H995" s="124"/>
      <c r="I995" s="124"/>
      <c r="J995" s="124"/>
      <c r="K995" s="124"/>
    </row>
    <row r="996" spans="6:11" ht="15.75" customHeight="1" x14ac:dyDescent="0.3">
      <c r="F996" s="124"/>
      <c r="G996" s="124"/>
      <c r="H996" s="124"/>
      <c r="I996" s="124"/>
      <c r="J996" s="124"/>
      <c r="K996" s="124"/>
    </row>
    <row r="997" spans="6:11" ht="15.75" customHeight="1" x14ac:dyDescent="0.3">
      <c r="F997" s="124"/>
      <c r="G997" s="124"/>
      <c r="H997" s="124"/>
      <c r="I997" s="124"/>
      <c r="J997" s="124"/>
      <c r="K997" s="124"/>
    </row>
    <row r="998" spans="6:11" ht="15.75" customHeight="1" x14ac:dyDescent="0.3">
      <c r="F998" s="124"/>
      <c r="G998" s="124"/>
      <c r="H998" s="124"/>
      <c r="I998" s="124"/>
      <c r="J998" s="124"/>
      <c r="K998" s="124"/>
    </row>
    <row r="999" spans="6:11" ht="15.75" customHeight="1" x14ac:dyDescent="0.3">
      <c r="F999" s="124"/>
      <c r="G999" s="124"/>
      <c r="H999" s="124"/>
      <c r="I999" s="124"/>
      <c r="J999" s="124"/>
      <c r="K999" s="124"/>
    </row>
    <row r="1000" spans="6:11" ht="15.75" customHeight="1" x14ac:dyDescent="0.3">
      <c r="F1000" s="124"/>
      <c r="G1000" s="124"/>
      <c r="H1000" s="124"/>
      <c r="I1000" s="124"/>
      <c r="J1000" s="124"/>
      <c r="K1000" s="124"/>
    </row>
  </sheetData>
  <mergeCells count="4">
    <mergeCell ref="B1:P1"/>
    <mergeCell ref="B5:C5"/>
    <mergeCell ref="B7:C7"/>
    <mergeCell ref="E5:G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1.44140625" customWidth="1"/>
    <col min="4" max="4" width="10.33203125" customWidth="1"/>
    <col min="5" max="5" width="8.5546875" customWidth="1"/>
    <col min="6" max="6" width="14.33203125" customWidth="1"/>
    <col min="7" max="7" width="10.33203125" customWidth="1"/>
    <col min="8" max="8" width="11.5546875" customWidth="1"/>
    <col min="9" max="9" width="12.5546875" customWidth="1"/>
    <col min="10" max="10" width="10.88671875" customWidth="1"/>
    <col min="11" max="11" width="9.44140625" hidden="1" customWidth="1"/>
    <col min="12" max="12" width="14.5546875" hidden="1" customWidth="1"/>
    <col min="13" max="13" width="14.44140625" customWidth="1"/>
    <col min="14" max="14" width="0.109375" customWidth="1"/>
    <col min="15" max="15" width="16.109375" customWidth="1"/>
    <col min="16" max="16" width="16.33203125" hidden="1" customWidth="1"/>
    <col min="17" max="26" width="10.6640625" customWidth="1"/>
  </cols>
  <sheetData>
    <row r="1" spans="1:17" ht="26.25" customHeight="1" x14ac:dyDescent="0.3">
      <c r="A1" s="51"/>
      <c r="B1" s="280" t="str">
        <f>Gastos!C8</f>
        <v>PERIODO: MAYO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75"/>
      <c r="P1" s="52"/>
    </row>
    <row r="2" spans="1:17" ht="14.4" x14ac:dyDescent="0.3">
      <c r="A2" s="53"/>
      <c r="B2" s="14"/>
      <c r="C2" s="54">
        <v>1142000</v>
      </c>
      <c r="D2" s="20"/>
      <c r="E2" s="14"/>
      <c r="F2" s="111"/>
      <c r="G2" s="111"/>
      <c r="H2" s="111"/>
      <c r="I2" s="111"/>
      <c r="J2" s="111"/>
      <c r="K2" s="111"/>
      <c r="L2" s="109"/>
      <c r="M2" s="109"/>
      <c r="N2" s="109"/>
      <c r="O2" s="130"/>
      <c r="P2" s="57"/>
    </row>
    <row r="3" spans="1:17" ht="15" customHeight="1" x14ac:dyDescent="0.3">
      <c r="A3" s="131"/>
      <c r="B3" s="132"/>
      <c r="C3" s="60">
        <v>1430994.63</v>
      </c>
      <c r="D3" s="20"/>
      <c r="E3" s="20"/>
      <c r="F3" s="281" t="s">
        <v>127</v>
      </c>
      <c r="G3" s="282"/>
      <c r="H3" s="282"/>
      <c r="I3" s="283"/>
      <c r="J3" s="133"/>
      <c r="K3" s="134"/>
      <c r="L3" s="5"/>
      <c r="M3" s="5"/>
      <c r="N3" s="5"/>
      <c r="O3" s="125"/>
      <c r="P3" s="57"/>
    </row>
    <row r="4" spans="1:17" ht="18.75" customHeight="1" x14ac:dyDescent="0.3">
      <c r="A4" s="135"/>
      <c r="B4" s="13"/>
      <c r="C4" s="14"/>
      <c r="D4" s="20"/>
      <c r="E4" s="136"/>
      <c r="F4" s="284"/>
      <c r="G4" s="231"/>
      <c r="H4" s="231"/>
      <c r="I4" s="285"/>
      <c r="J4" s="133"/>
      <c r="K4" s="134"/>
      <c r="L4" s="5"/>
      <c r="M4" s="5"/>
      <c r="N4" s="5"/>
      <c r="O4" s="125"/>
      <c r="P4" s="57"/>
    </row>
    <row r="5" spans="1:17" ht="15.75" customHeight="1" x14ac:dyDescent="0.3">
      <c r="A5" s="137"/>
      <c r="B5" s="289"/>
      <c r="C5" s="226"/>
      <c r="D5" s="66"/>
      <c r="E5" s="138">
        <v>0</v>
      </c>
      <c r="F5" s="284"/>
      <c r="G5" s="231"/>
      <c r="H5" s="231"/>
      <c r="I5" s="285"/>
      <c r="J5" s="133"/>
      <c r="K5" s="124"/>
      <c r="L5" s="5"/>
      <c r="M5" s="5"/>
      <c r="N5" s="5"/>
      <c r="O5" s="125"/>
      <c r="P5" s="57"/>
    </row>
    <row r="6" spans="1:17" ht="15.75" customHeight="1" x14ac:dyDescent="0.3">
      <c r="A6" s="137"/>
      <c r="B6" s="139" t="s">
        <v>128</v>
      </c>
      <c r="C6" s="36"/>
      <c r="D6" s="66"/>
      <c r="E6" s="136"/>
      <c r="F6" s="286"/>
      <c r="G6" s="287"/>
      <c r="H6" s="287"/>
      <c r="I6" s="288"/>
      <c r="J6" s="133"/>
      <c r="K6" s="124"/>
      <c r="L6" s="5"/>
      <c r="M6" s="5"/>
      <c r="N6" s="5"/>
      <c r="O6" s="125"/>
      <c r="P6" s="57"/>
    </row>
    <row r="7" spans="1:17" ht="18.75" customHeight="1" x14ac:dyDescent="0.3">
      <c r="A7" s="137"/>
      <c r="B7" s="289"/>
      <c r="C7" s="226"/>
      <c r="D7" s="66"/>
      <c r="E7" s="36"/>
      <c r="F7" s="83"/>
      <c r="G7" s="83"/>
      <c r="H7" s="83"/>
      <c r="I7" s="83"/>
      <c r="J7" s="83"/>
      <c r="K7" s="83"/>
      <c r="L7" s="140"/>
      <c r="M7" s="140"/>
      <c r="N7" s="140"/>
      <c r="O7" s="141"/>
      <c r="P7" s="57"/>
    </row>
    <row r="8" spans="1:17" ht="36.75" customHeight="1" x14ac:dyDescent="0.3">
      <c r="A8" s="142" t="s">
        <v>54</v>
      </c>
      <c r="B8" s="72" t="s">
        <v>55</v>
      </c>
      <c r="C8" s="70" t="s">
        <v>56</v>
      </c>
      <c r="D8" s="71" t="s">
        <v>57</v>
      </c>
      <c r="E8" s="72" t="s">
        <v>58</v>
      </c>
      <c r="F8" s="73" t="s">
        <v>59</v>
      </c>
      <c r="G8" s="73" t="s">
        <v>60</v>
      </c>
      <c r="H8" s="73" t="s">
        <v>61</v>
      </c>
      <c r="I8" s="73" t="s">
        <v>62</v>
      </c>
      <c r="J8" s="73" t="s">
        <v>63</v>
      </c>
      <c r="K8" s="73"/>
      <c r="L8" s="72" t="s">
        <v>64</v>
      </c>
      <c r="M8" s="72" t="s">
        <v>65</v>
      </c>
      <c r="N8" s="74" t="s">
        <v>66</v>
      </c>
      <c r="O8" s="75" t="s">
        <v>67</v>
      </c>
      <c r="P8" s="76" t="s">
        <v>68</v>
      </c>
    </row>
    <row r="9" spans="1:17" ht="15" customHeight="1" x14ac:dyDescent="0.3">
      <c r="A9" s="143">
        <v>1</v>
      </c>
      <c r="B9" s="144" t="s">
        <v>69</v>
      </c>
      <c r="C9" s="79" t="s">
        <v>70</v>
      </c>
      <c r="D9" s="80"/>
      <c r="E9" s="81">
        <v>4.4900000000000002E-2</v>
      </c>
      <c r="F9" s="39">
        <v>0</v>
      </c>
      <c r="G9" s="180">
        <f t="shared" ref="G9:G25" si="0">F9</f>
        <v>0</v>
      </c>
      <c r="H9" s="83">
        <f t="shared" ref="H9:H30" si="1">IF(F9&gt;G9,F9-G9,0)</f>
        <v>0</v>
      </c>
      <c r="I9" s="83">
        <f t="shared" ref="I9:I30" si="2">H9*3%</f>
        <v>0</v>
      </c>
      <c r="J9" s="83">
        <f t="shared" ref="J9:J30" si="3">IF(G9&gt;F9,G9-F9,0)</f>
        <v>0</v>
      </c>
      <c r="K9" s="83"/>
      <c r="L9" s="39">
        <f t="shared" ref="L9:L30" si="4">B$5*E9</f>
        <v>0</v>
      </c>
      <c r="M9" s="39">
        <f t="shared" ref="M9:M30" si="5">B$7*E9</f>
        <v>0</v>
      </c>
      <c r="N9" s="84"/>
      <c r="O9" s="85">
        <f t="shared" ref="O9:O43" si="6">H9+I9-J9+K9+L9+M9+N9</f>
        <v>0</v>
      </c>
      <c r="P9" s="86">
        <f t="shared" ref="P9:P30" si="7">O9*2% + O9</f>
        <v>0</v>
      </c>
    </row>
    <row r="10" spans="1:17" ht="15" customHeight="1" x14ac:dyDescent="0.3">
      <c r="A10" s="145">
        <v>2</v>
      </c>
      <c r="B10" s="144" t="s">
        <v>71</v>
      </c>
      <c r="C10" s="79" t="s">
        <v>72</v>
      </c>
      <c r="D10" s="80"/>
      <c r="E10" s="81">
        <v>4.4900000000000002E-2</v>
      </c>
      <c r="F10" s="39">
        <v>0</v>
      </c>
      <c r="G10" s="180">
        <f t="shared" si="0"/>
        <v>0</v>
      </c>
      <c r="H10" s="83">
        <f t="shared" si="1"/>
        <v>0</v>
      </c>
      <c r="I10" s="83">
        <f t="shared" si="2"/>
        <v>0</v>
      </c>
      <c r="J10" s="83">
        <f t="shared" si="3"/>
        <v>0</v>
      </c>
      <c r="K10" s="83"/>
      <c r="L10" s="39">
        <f t="shared" si="4"/>
        <v>0</v>
      </c>
      <c r="M10" s="39">
        <f t="shared" si="5"/>
        <v>0</v>
      </c>
      <c r="N10" s="84"/>
      <c r="O10" s="85">
        <f t="shared" si="6"/>
        <v>0</v>
      </c>
      <c r="P10" s="86">
        <f t="shared" si="7"/>
        <v>0</v>
      </c>
    </row>
    <row r="11" spans="1:17" ht="15" customHeight="1" x14ac:dyDescent="0.3">
      <c r="A11" s="145">
        <v>3</v>
      </c>
      <c r="B11" s="144" t="s">
        <v>73</v>
      </c>
      <c r="C11" s="79" t="s">
        <v>74</v>
      </c>
      <c r="D11" s="80"/>
      <c r="E11" s="81">
        <v>4.4900000000000002E-2</v>
      </c>
      <c r="F11" s="39">
        <v>0</v>
      </c>
      <c r="G11" s="180">
        <f t="shared" si="0"/>
        <v>0</v>
      </c>
      <c r="H11" s="83">
        <f t="shared" si="1"/>
        <v>0</v>
      </c>
      <c r="I11" s="83">
        <f t="shared" si="2"/>
        <v>0</v>
      </c>
      <c r="J11" s="83">
        <f t="shared" si="3"/>
        <v>0</v>
      </c>
      <c r="K11" s="83"/>
      <c r="L11" s="39">
        <f t="shared" si="4"/>
        <v>0</v>
      </c>
      <c r="M11" s="39">
        <f t="shared" si="5"/>
        <v>0</v>
      </c>
      <c r="N11" s="84"/>
      <c r="O11" s="85">
        <f t="shared" si="6"/>
        <v>0</v>
      </c>
      <c r="P11" s="86">
        <f t="shared" si="7"/>
        <v>0</v>
      </c>
    </row>
    <row r="12" spans="1:17" ht="15" customHeight="1" x14ac:dyDescent="0.3">
      <c r="A12" s="145">
        <v>4</v>
      </c>
      <c r="B12" s="146" t="s">
        <v>75</v>
      </c>
      <c r="C12" s="79" t="s">
        <v>76</v>
      </c>
      <c r="D12" s="80" t="s">
        <v>77</v>
      </c>
      <c r="E12" s="81">
        <v>4.4900000000000002E-2</v>
      </c>
      <c r="F12" s="39">
        <v>0</v>
      </c>
      <c r="G12" s="180">
        <f t="shared" si="0"/>
        <v>0</v>
      </c>
      <c r="H12" s="83">
        <f t="shared" si="1"/>
        <v>0</v>
      </c>
      <c r="I12" s="83">
        <f t="shared" si="2"/>
        <v>0</v>
      </c>
      <c r="J12" s="83">
        <f t="shared" si="3"/>
        <v>0</v>
      </c>
      <c r="K12" s="83"/>
      <c r="L12" s="39">
        <f t="shared" si="4"/>
        <v>0</v>
      </c>
      <c r="M12" s="39">
        <f t="shared" si="5"/>
        <v>0</v>
      </c>
      <c r="N12" s="84"/>
      <c r="O12" s="85">
        <f t="shared" si="6"/>
        <v>0</v>
      </c>
      <c r="P12" s="86">
        <f t="shared" si="7"/>
        <v>0</v>
      </c>
      <c r="Q12" s="4"/>
    </row>
    <row r="13" spans="1:17" ht="15" customHeight="1" x14ac:dyDescent="0.3">
      <c r="A13" s="145">
        <v>5</v>
      </c>
      <c r="B13" s="144" t="s">
        <v>78</v>
      </c>
      <c r="C13" s="89" t="s">
        <v>79</v>
      </c>
      <c r="D13" s="80"/>
      <c r="E13" s="81">
        <v>4.4900000000000002E-2</v>
      </c>
      <c r="F13" s="39">
        <v>0</v>
      </c>
      <c r="G13" s="180">
        <f t="shared" si="0"/>
        <v>0</v>
      </c>
      <c r="H13" s="83">
        <f t="shared" si="1"/>
        <v>0</v>
      </c>
      <c r="I13" s="83">
        <f t="shared" si="2"/>
        <v>0</v>
      </c>
      <c r="J13" s="83">
        <f t="shared" si="3"/>
        <v>0</v>
      </c>
      <c r="K13" s="83"/>
      <c r="L13" s="39">
        <f t="shared" si="4"/>
        <v>0</v>
      </c>
      <c r="M13" s="39">
        <f t="shared" si="5"/>
        <v>0</v>
      </c>
      <c r="N13" s="84"/>
      <c r="O13" s="85">
        <f t="shared" si="6"/>
        <v>0</v>
      </c>
      <c r="P13" s="86">
        <f t="shared" si="7"/>
        <v>0</v>
      </c>
    </row>
    <row r="14" spans="1:17" ht="15" customHeight="1" x14ac:dyDescent="0.3">
      <c r="A14" s="145">
        <v>6</v>
      </c>
      <c r="B14" s="147" t="s">
        <v>80</v>
      </c>
      <c r="C14" s="89" t="s">
        <v>81</v>
      </c>
      <c r="D14" s="80"/>
      <c r="E14" s="81">
        <v>4.4900000000000002E-2</v>
      </c>
      <c r="F14" s="39"/>
      <c r="G14" s="181"/>
      <c r="H14" s="83">
        <f t="shared" si="1"/>
        <v>0</v>
      </c>
      <c r="I14" s="83">
        <f t="shared" si="2"/>
        <v>0</v>
      </c>
      <c r="J14" s="83">
        <f t="shared" si="3"/>
        <v>0</v>
      </c>
      <c r="K14" s="83"/>
      <c r="L14" s="39">
        <f t="shared" si="4"/>
        <v>0</v>
      </c>
      <c r="M14" s="39">
        <f t="shared" si="5"/>
        <v>0</v>
      </c>
      <c r="N14" s="84"/>
      <c r="O14" s="85">
        <f t="shared" si="6"/>
        <v>0</v>
      </c>
      <c r="P14" s="86">
        <f t="shared" si="7"/>
        <v>0</v>
      </c>
    </row>
    <row r="15" spans="1:17" ht="15" customHeight="1" x14ac:dyDescent="0.3">
      <c r="A15" s="145">
        <v>7</v>
      </c>
      <c r="B15" s="147" t="s">
        <v>82</v>
      </c>
      <c r="C15" s="89" t="s">
        <v>83</v>
      </c>
      <c r="D15" s="80"/>
      <c r="E15" s="81">
        <v>4.4900000000000002E-2</v>
      </c>
      <c r="F15" s="39">
        <v>0</v>
      </c>
      <c r="G15" s="180">
        <f t="shared" si="0"/>
        <v>0</v>
      </c>
      <c r="H15" s="83">
        <f t="shared" si="1"/>
        <v>0</v>
      </c>
      <c r="I15" s="83">
        <f t="shared" si="2"/>
        <v>0</v>
      </c>
      <c r="J15" s="83">
        <f t="shared" si="3"/>
        <v>0</v>
      </c>
      <c r="K15" s="83"/>
      <c r="L15" s="39">
        <f t="shared" si="4"/>
        <v>0</v>
      </c>
      <c r="M15" s="39">
        <f t="shared" si="5"/>
        <v>0</v>
      </c>
      <c r="N15" s="84"/>
      <c r="O15" s="85">
        <f t="shared" si="6"/>
        <v>0</v>
      </c>
      <c r="P15" s="86">
        <f t="shared" si="7"/>
        <v>0</v>
      </c>
    </row>
    <row r="16" spans="1:17" ht="15" customHeight="1" x14ac:dyDescent="0.3">
      <c r="A16" s="145">
        <v>8</v>
      </c>
      <c r="B16" s="147" t="s">
        <v>84</v>
      </c>
      <c r="C16" s="89" t="s">
        <v>85</v>
      </c>
      <c r="D16" s="80"/>
      <c r="E16" s="81">
        <v>4.4900000000000002E-2</v>
      </c>
      <c r="F16" s="39">
        <v>0</v>
      </c>
      <c r="G16" s="180">
        <f t="shared" si="0"/>
        <v>0</v>
      </c>
      <c r="H16" s="83">
        <f t="shared" si="1"/>
        <v>0</v>
      </c>
      <c r="I16" s="83">
        <f t="shared" si="2"/>
        <v>0</v>
      </c>
      <c r="J16" s="83">
        <f t="shared" si="3"/>
        <v>0</v>
      </c>
      <c r="K16" s="83"/>
      <c r="L16" s="39">
        <f t="shared" si="4"/>
        <v>0</v>
      </c>
      <c r="M16" s="39">
        <f t="shared" si="5"/>
        <v>0</v>
      </c>
      <c r="N16" s="84"/>
      <c r="O16" s="85">
        <f t="shared" si="6"/>
        <v>0</v>
      </c>
      <c r="P16" s="86">
        <f t="shared" si="7"/>
        <v>0</v>
      </c>
    </row>
    <row r="17" spans="1:26" ht="15" customHeight="1" x14ac:dyDescent="0.3">
      <c r="A17" s="145">
        <v>9</v>
      </c>
      <c r="B17" s="147" t="s">
        <v>86</v>
      </c>
      <c r="C17" s="89" t="s">
        <v>87</v>
      </c>
      <c r="D17" s="80"/>
      <c r="E17" s="81">
        <v>4.4900000000000002E-2</v>
      </c>
      <c r="F17" s="39">
        <v>0</v>
      </c>
      <c r="G17" s="180">
        <f t="shared" si="0"/>
        <v>0</v>
      </c>
      <c r="H17" s="83">
        <f t="shared" si="1"/>
        <v>0</v>
      </c>
      <c r="I17" s="83">
        <f t="shared" si="2"/>
        <v>0</v>
      </c>
      <c r="J17" s="83">
        <f t="shared" si="3"/>
        <v>0</v>
      </c>
      <c r="K17" s="83"/>
      <c r="L17" s="39">
        <f t="shared" si="4"/>
        <v>0</v>
      </c>
      <c r="M17" s="39">
        <f t="shared" si="5"/>
        <v>0</v>
      </c>
      <c r="N17" s="84"/>
      <c r="O17" s="85">
        <f t="shared" si="6"/>
        <v>0</v>
      </c>
      <c r="P17" s="86">
        <f t="shared" si="7"/>
        <v>0</v>
      </c>
    </row>
    <row r="18" spans="1:26" ht="15" customHeight="1" x14ac:dyDescent="0.3">
      <c r="A18" s="145">
        <v>10</v>
      </c>
      <c r="B18" s="147" t="s">
        <v>88</v>
      </c>
      <c r="C18" s="89" t="str">
        <f>Planilla!C18</f>
        <v>Palacios, Lia</v>
      </c>
      <c r="D18" s="80" t="s">
        <v>90</v>
      </c>
      <c r="E18" s="81">
        <v>4.4900000000000002E-2</v>
      </c>
      <c r="F18" s="39">
        <v>0</v>
      </c>
      <c r="G18" s="180">
        <f t="shared" si="0"/>
        <v>0</v>
      </c>
      <c r="H18" s="83">
        <f t="shared" si="1"/>
        <v>0</v>
      </c>
      <c r="I18" s="83">
        <f t="shared" si="2"/>
        <v>0</v>
      </c>
      <c r="J18" s="83">
        <f t="shared" si="3"/>
        <v>0</v>
      </c>
      <c r="K18" s="83"/>
      <c r="L18" s="39">
        <f t="shared" si="4"/>
        <v>0</v>
      </c>
      <c r="M18" s="39">
        <f t="shared" si="5"/>
        <v>0</v>
      </c>
      <c r="N18" s="84"/>
      <c r="O18" s="85">
        <f t="shared" si="6"/>
        <v>0</v>
      </c>
      <c r="P18" s="86">
        <f t="shared" si="7"/>
        <v>0</v>
      </c>
    </row>
    <row r="19" spans="1:26" ht="15" customHeight="1" x14ac:dyDescent="0.3">
      <c r="A19" s="145">
        <v>11</v>
      </c>
      <c r="B19" s="147" t="s">
        <v>91</v>
      </c>
      <c r="C19" s="89" t="s">
        <v>92</v>
      </c>
      <c r="D19" s="80"/>
      <c r="E19" s="81">
        <v>4.4900000000000002E-2</v>
      </c>
      <c r="F19" s="39">
        <v>0</v>
      </c>
      <c r="G19" s="180">
        <f t="shared" si="0"/>
        <v>0</v>
      </c>
      <c r="H19" s="83">
        <f t="shared" si="1"/>
        <v>0</v>
      </c>
      <c r="I19" s="83">
        <f t="shared" si="2"/>
        <v>0</v>
      </c>
      <c r="J19" s="83">
        <f t="shared" si="3"/>
        <v>0</v>
      </c>
      <c r="K19" s="83"/>
      <c r="L19" s="39">
        <f t="shared" si="4"/>
        <v>0</v>
      </c>
      <c r="M19" s="39">
        <f t="shared" si="5"/>
        <v>0</v>
      </c>
      <c r="N19" s="84"/>
      <c r="O19" s="85">
        <f t="shared" si="6"/>
        <v>0</v>
      </c>
      <c r="P19" s="86">
        <f t="shared" si="7"/>
        <v>0</v>
      </c>
    </row>
    <row r="20" spans="1:26" ht="15" customHeight="1" x14ac:dyDescent="0.3">
      <c r="A20" s="145">
        <v>12</v>
      </c>
      <c r="B20" s="148" t="s">
        <v>93</v>
      </c>
      <c r="C20" s="92" t="s">
        <v>94</v>
      </c>
      <c r="D20" s="93" t="s">
        <v>95</v>
      </c>
      <c r="E20" s="81">
        <v>4.4900000000000002E-2</v>
      </c>
      <c r="F20" s="39">
        <v>0</v>
      </c>
      <c r="G20" s="180">
        <f t="shared" si="0"/>
        <v>0</v>
      </c>
      <c r="H20" s="83">
        <f t="shared" si="1"/>
        <v>0</v>
      </c>
      <c r="I20" s="83">
        <f t="shared" si="2"/>
        <v>0</v>
      </c>
      <c r="J20" s="83">
        <f t="shared" si="3"/>
        <v>0</v>
      </c>
      <c r="K20" s="83"/>
      <c r="L20" s="39">
        <f t="shared" si="4"/>
        <v>0</v>
      </c>
      <c r="M20" s="39">
        <f t="shared" si="5"/>
        <v>0</v>
      </c>
      <c r="N20" s="84"/>
      <c r="O20" s="85">
        <f t="shared" si="6"/>
        <v>0</v>
      </c>
      <c r="P20" s="86">
        <f t="shared" si="7"/>
        <v>0</v>
      </c>
    </row>
    <row r="21" spans="1:26" ht="15" customHeight="1" x14ac:dyDescent="0.3">
      <c r="A21" s="145">
        <v>13</v>
      </c>
      <c r="B21" s="147" t="s">
        <v>96</v>
      </c>
      <c r="C21" s="89" t="s">
        <v>97</v>
      </c>
      <c r="D21" s="94"/>
      <c r="E21" s="81">
        <v>4.4900000000000002E-2</v>
      </c>
      <c r="F21" s="39">
        <v>0</v>
      </c>
      <c r="G21" s="180">
        <f t="shared" si="0"/>
        <v>0</v>
      </c>
      <c r="H21" s="83">
        <f t="shared" si="1"/>
        <v>0</v>
      </c>
      <c r="I21" s="83">
        <f t="shared" si="2"/>
        <v>0</v>
      </c>
      <c r="J21" s="83">
        <f t="shared" si="3"/>
        <v>0</v>
      </c>
      <c r="K21" s="83"/>
      <c r="L21" s="39">
        <f t="shared" si="4"/>
        <v>0</v>
      </c>
      <c r="M21" s="39">
        <f t="shared" si="5"/>
        <v>0</v>
      </c>
      <c r="N21" s="84"/>
      <c r="O21" s="85">
        <f t="shared" si="6"/>
        <v>0</v>
      </c>
      <c r="P21" s="86">
        <f t="shared" si="7"/>
        <v>0</v>
      </c>
    </row>
    <row r="22" spans="1:26" ht="15" customHeight="1" x14ac:dyDescent="0.3">
      <c r="A22" s="145">
        <v>14</v>
      </c>
      <c r="B22" s="147" t="s">
        <v>98</v>
      </c>
      <c r="C22" s="89" t="s">
        <v>99</v>
      </c>
      <c r="D22" s="94"/>
      <c r="E22" s="81">
        <v>4.4900000000000002E-2</v>
      </c>
      <c r="F22" s="39">
        <v>0</v>
      </c>
      <c r="G22" s="180">
        <f t="shared" si="0"/>
        <v>0</v>
      </c>
      <c r="H22" s="83">
        <f t="shared" si="1"/>
        <v>0</v>
      </c>
      <c r="I22" s="83">
        <f t="shared" si="2"/>
        <v>0</v>
      </c>
      <c r="J22" s="83">
        <f t="shared" si="3"/>
        <v>0</v>
      </c>
      <c r="K22" s="83"/>
      <c r="L22" s="39">
        <f t="shared" si="4"/>
        <v>0</v>
      </c>
      <c r="M22" s="39">
        <f t="shared" si="5"/>
        <v>0</v>
      </c>
      <c r="N22" s="84"/>
      <c r="O22" s="85">
        <f t="shared" si="6"/>
        <v>0</v>
      </c>
      <c r="P22" s="86">
        <f t="shared" si="7"/>
        <v>0</v>
      </c>
    </row>
    <row r="23" spans="1:26" ht="15" customHeight="1" x14ac:dyDescent="0.3">
      <c r="A23" s="145">
        <v>15</v>
      </c>
      <c r="B23" s="149" t="s">
        <v>100</v>
      </c>
      <c r="C23" s="96" t="s">
        <v>101</v>
      </c>
      <c r="D23" s="97" t="s">
        <v>102</v>
      </c>
      <c r="E23" s="81">
        <v>4.4900000000000002E-2</v>
      </c>
      <c r="F23" s="39">
        <v>0</v>
      </c>
      <c r="G23" s="180">
        <f t="shared" si="0"/>
        <v>0</v>
      </c>
      <c r="H23" s="83">
        <f t="shared" si="1"/>
        <v>0</v>
      </c>
      <c r="I23" s="83">
        <f t="shared" si="2"/>
        <v>0</v>
      </c>
      <c r="J23" s="83">
        <f t="shared" si="3"/>
        <v>0</v>
      </c>
      <c r="K23" s="83"/>
      <c r="L23" s="39">
        <f t="shared" si="4"/>
        <v>0</v>
      </c>
      <c r="M23" s="39">
        <f t="shared" si="5"/>
        <v>0</v>
      </c>
      <c r="N23" s="84"/>
      <c r="O23" s="85">
        <f t="shared" si="6"/>
        <v>0</v>
      </c>
      <c r="P23" s="86">
        <f t="shared" si="7"/>
        <v>0</v>
      </c>
    </row>
    <row r="24" spans="1:26" ht="15" customHeight="1" x14ac:dyDescent="0.3">
      <c r="A24" s="145">
        <v>16</v>
      </c>
      <c r="B24" s="150" t="s">
        <v>103</v>
      </c>
      <c r="C24" s="99" t="s">
        <v>104</v>
      </c>
      <c r="D24" s="100"/>
      <c r="E24" s="81">
        <v>4.4900000000000002E-2</v>
      </c>
      <c r="F24" s="39">
        <v>0</v>
      </c>
      <c r="G24" s="180">
        <f t="shared" si="0"/>
        <v>0</v>
      </c>
      <c r="H24" s="83">
        <f t="shared" si="1"/>
        <v>0</v>
      </c>
      <c r="I24" s="83">
        <f t="shared" si="2"/>
        <v>0</v>
      </c>
      <c r="J24" s="83">
        <f t="shared" si="3"/>
        <v>0</v>
      </c>
      <c r="K24" s="83"/>
      <c r="L24" s="39">
        <f t="shared" si="4"/>
        <v>0</v>
      </c>
      <c r="M24" s="39">
        <f t="shared" si="5"/>
        <v>0</v>
      </c>
      <c r="N24" s="84"/>
      <c r="O24" s="85">
        <f t="shared" si="6"/>
        <v>0</v>
      </c>
      <c r="P24" s="86">
        <f t="shared" si="7"/>
        <v>0</v>
      </c>
    </row>
    <row r="25" spans="1:26" ht="15.75" customHeight="1" x14ac:dyDescent="0.4">
      <c r="A25" s="145">
        <v>17</v>
      </c>
      <c r="B25" s="151" t="s">
        <v>105</v>
      </c>
      <c r="C25" s="99" t="s">
        <v>106</v>
      </c>
      <c r="D25" s="100"/>
      <c r="E25" s="81">
        <v>4.4900000000000002E-2</v>
      </c>
      <c r="F25" s="39">
        <v>0</v>
      </c>
      <c r="G25" s="180">
        <f t="shared" si="0"/>
        <v>0</v>
      </c>
      <c r="H25" s="83">
        <f t="shared" si="1"/>
        <v>0</v>
      </c>
      <c r="I25" s="83">
        <f t="shared" si="2"/>
        <v>0</v>
      </c>
      <c r="J25" s="83">
        <f t="shared" si="3"/>
        <v>0</v>
      </c>
      <c r="K25" s="83"/>
      <c r="L25" s="39">
        <f t="shared" si="4"/>
        <v>0</v>
      </c>
      <c r="M25" s="39">
        <f t="shared" si="5"/>
        <v>0</v>
      </c>
      <c r="N25" s="84"/>
      <c r="O25" s="85">
        <f t="shared" si="6"/>
        <v>0</v>
      </c>
      <c r="P25" s="86">
        <f t="shared" si="7"/>
        <v>0</v>
      </c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5" customHeight="1" x14ac:dyDescent="0.3">
      <c r="A26" s="145">
        <v>18</v>
      </c>
      <c r="B26" s="152" t="s">
        <v>107</v>
      </c>
      <c r="C26" s="99" t="s">
        <v>108</v>
      </c>
      <c r="D26" s="100"/>
      <c r="E26" s="81">
        <v>4.4900000000000002E-2</v>
      </c>
      <c r="F26" s="39">
        <v>0</v>
      </c>
      <c r="G26" s="181">
        <f>F26</f>
        <v>0</v>
      </c>
      <c r="H26" s="83">
        <f t="shared" si="1"/>
        <v>0</v>
      </c>
      <c r="I26" s="83">
        <f t="shared" si="2"/>
        <v>0</v>
      </c>
      <c r="J26" s="83">
        <f t="shared" si="3"/>
        <v>0</v>
      </c>
      <c r="K26" s="83"/>
      <c r="L26" s="39">
        <f t="shared" si="4"/>
        <v>0</v>
      </c>
      <c r="M26" s="39">
        <f t="shared" si="5"/>
        <v>0</v>
      </c>
      <c r="N26" s="84"/>
      <c r="O26" s="85">
        <f t="shared" si="6"/>
        <v>0</v>
      </c>
      <c r="P26" s="86">
        <f t="shared" si="7"/>
        <v>0</v>
      </c>
    </row>
    <row r="27" spans="1:26" ht="15" customHeight="1" x14ac:dyDescent="0.3">
      <c r="A27" s="145">
        <v>19</v>
      </c>
      <c r="B27" s="150" t="s">
        <v>109</v>
      </c>
      <c r="C27" s="99" t="s">
        <v>94</v>
      </c>
      <c r="D27" s="100" t="s">
        <v>110</v>
      </c>
      <c r="E27" s="81">
        <v>4.4900000000000002E-2</v>
      </c>
      <c r="F27" s="39">
        <v>0</v>
      </c>
      <c r="G27" s="181">
        <f>F27</f>
        <v>0</v>
      </c>
      <c r="H27" s="83">
        <f t="shared" si="1"/>
        <v>0</v>
      </c>
      <c r="I27" s="83">
        <f t="shared" si="2"/>
        <v>0</v>
      </c>
      <c r="J27" s="83">
        <f t="shared" si="3"/>
        <v>0</v>
      </c>
      <c r="K27" s="83"/>
      <c r="L27" s="39">
        <f t="shared" si="4"/>
        <v>0</v>
      </c>
      <c r="M27" s="39">
        <f t="shared" si="5"/>
        <v>0</v>
      </c>
      <c r="N27" s="84"/>
      <c r="O27" s="85">
        <f t="shared" si="6"/>
        <v>0</v>
      </c>
      <c r="P27" s="86">
        <f t="shared" si="7"/>
        <v>0</v>
      </c>
    </row>
    <row r="28" spans="1:26" ht="15" customHeight="1" x14ac:dyDescent="0.3">
      <c r="A28" s="145">
        <v>20</v>
      </c>
      <c r="B28" s="152" t="s">
        <v>111</v>
      </c>
      <c r="C28" s="99" t="s">
        <v>112</v>
      </c>
      <c r="D28" s="100"/>
      <c r="E28" s="81">
        <v>4.4900000000000002E-2</v>
      </c>
      <c r="F28" s="39">
        <v>0</v>
      </c>
      <c r="G28" s="181">
        <f t="shared" ref="G28:G30" si="8">F28</f>
        <v>0</v>
      </c>
      <c r="H28" s="82">
        <f t="shared" si="1"/>
        <v>0</v>
      </c>
      <c r="I28" s="83">
        <f t="shared" si="2"/>
        <v>0</v>
      </c>
      <c r="J28" s="83">
        <f t="shared" si="3"/>
        <v>0</v>
      </c>
      <c r="K28" s="83"/>
      <c r="L28" s="39">
        <f t="shared" si="4"/>
        <v>0</v>
      </c>
      <c r="M28" s="39">
        <f t="shared" si="5"/>
        <v>0</v>
      </c>
      <c r="N28" s="84"/>
      <c r="O28" s="85">
        <f t="shared" si="6"/>
        <v>0</v>
      </c>
      <c r="P28" s="86">
        <f t="shared" si="7"/>
        <v>0</v>
      </c>
    </row>
    <row r="29" spans="1:26" ht="15" customHeight="1" x14ac:dyDescent="0.3">
      <c r="A29" s="145">
        <v>21</v>
      </c>
      <c r="B29" s="150" t="s">
        <v>113</v>
      </c>
      <c r="C29" s="99" t="s">
        <v>114</v>
      </c>
      <c r="D29" s="100"/>
      <c r="E29" s="81">
        <v>4.4900000000000002E-2</v>
      </c>
      <c r="F29" s="39">
        <v>0</v>
      </c>
      <c r="G29" s="181">
        <f t="shared" si="8"/>
        <v>0</v>
      </c>
      <c r="H29" s="83">
        <f t="shared" si="1"/>
        <v>0</v>
      </c>
      <c r="I29" s="83">
        <f t="shared" si="2"/>
        <v>0</v>
      </c>
      <c r="J29" s="83">
        <f t="shared" si="3"/>
        <v>0</v>
      </c>
      <c r="K29" s="83"/>
      <c r="L29" s="39">
        <f t="shared" si="4"/>
        <v>0</v>
      </c>
      <c r="M29" s="39">
        <f t="shared" si="5"/>
        <v>0</v>
      </c>
      <c r="N29" s="84"/>
      <c r="O29" s="85">
        <f t="shared" si="6"/>
        <v>0</v>
      </c>
      <c r="P29" s="86">
        <f t="shared" si="7"/>
        <v>0</v>
      </c>
    </row>
    <row r="30" spans="1:26" ht="15" customHeight="1" x14ac:dyDescent="0.3">
      <c r="A30" s="145">
        <v>22</v>
      </c>
      <c r="B30" s="150" t="s">
        <v>115</v>
      </c>
      <c r="C30" s="99" t="s">
        <v>116</v>
      </c>
      <c r="D30" s="100"/>
      <c r="E30" s="81">
        <v>4.4900000000000002E-2</v>
      </c>
      <c r="F30" s="39">
        <v>0</v>
      </c>
      <c r="G30" s="181">
        <f t="shared" si="8"/>
        <v>0</v>
      </c>
      <c r="H30" s="83">
        <f t="shared" si="1"/>
        <v>0</v>
      </c>
      <c r="I30" s="83">
        <f t="shared" si="2"/>
        <v>0</v>
      </c>
      <c r="J30" s="83">
        <f t="shared" si="3"/>
        <v>0</v>
      </c>
      <c r="K30" s="83"/>
      <c r="L30" s="39">
        <f t="shared" si="4"/>
        <v>0</v>
      </c>
      <c r="M30" s="39">
        <f t="shared" si="5"/>
        <v>0</v>
      </c>
      <c r="N30" s="84"/>
      <c r="O30" s="85">
        <f t="shared" si="6"/>
        <v>0</v>
      </c>
      <c r="P30" s="86">
        <f t="shared" si="7"/>
        <v>0</v>
      </c>
    </row>
    <row r="31" spans="1:26" ht="15" customHeight="1" x14ac:dyDescent="0.3">
      <c r="A31" s="145"/>
      <c r="B31" s="150"/>
      <c r="C31" s="99"/>
      <c r="D31" s="104"/>
      <c r="E31" s="81"/>
      <c r="F31" s="39">
        <v>0</v>
      </c>
      <c r="G31" s="181"/>
      <c r="H31" s="83"/>
      <c r="I31" s="83"/>
      <c r="J31" s="83"/>
      <c r="K31" s="83"/>
      <c r="L31" s="39"/>
      <c r="M31" s="39"/>
      <c r="N31" s="84"/>
      <c r="O31" s="85">
        <f t="shared" si="6"/>
        <v>0</v>
      </c>
      <c r="P31" s="86"/>
    </row>
    <row r="32" spans="1:26" ht="15" customHeight="1" x14ac:dyDescent="0.3">
      <c r="A32" s="145">
        <v>23</v>
      </c>
      <c r="B32" s="150" t="s">
        <v>117</v>
      </c>
      <c r="C32" s="99" t="s">
        <v>116</v>
      </c>
      <c r="D32" s="100"/>
      <c r="E32" s="81">
        <v>1.4E-3</v>
      </c>
      <c r="F32" s="39">
        <v>0</v>
      </c>
      <c r="G32" s="181">
        <f t="shared" ref="G32" si="9">F32</f>
        <v>0</v>
      </c>
      <c r="H32" s="83">
        <f t="shared" ref="H32:H40" si="10">IF(F32&gt;G32,F32-G32,0)</f>
        <v>0</v>
      </c>
      <c r="I32" s="83">
        <f t="shared" ref="I32:I40" si="11">H32*3%</f>
        <v>0</v>
      </c>
      <c r="J32" s="83">
        <f t="shared" ref="J32:J40" si="12">IF(G32&gt;F32,G32-F32,0)</f>
        <v>0</v>
      </c>
      <c r="K32" s="83"/>
      <c r="L32" s="39">
        <f t="shared" ref="L32:L40" si="13">B$5*E32</f>
        <v>0</v>
      </c>
      <c r="M32" s="39">
        <f t="shared" ref="M32:M40" si="14">B$7*E32</f>
        <v>0</v>
      </c>
      <c r="N32" s="84"/>
      <c r="O32" s="85">
        <f t="shared" si="6"/>
        <v>0</v>
      </c>
      <c r="P32" s="86">
        <f t="shared" ref="P32:P40" si="15">O32*2% + O32</f>
        <v>0</v>
      </c>
    </row>
    <row r="33" spans="1:17" ht="15.75" customHeight="1" x14ac:dyDescent="0.3">
      <c r="A33" s="145">
        <v>24</v>
      </c>
      <c r="B33" s="153" t="s">
        <v>118</v>
      </c>
      <c r="C33" s="99" t="s">
        <v>81</v>
      </c>
      <c r="D33" s="14"/>
      <c r="E33" s="81">
        <v>1.4E-3</v>
      </c>
      <c r="F33" s="36"/>
      <c r="G33" s="181"/>
      <c r="H33" s="83">
        <f t="shared" si="10"/>
        <v>0</v>
      </c>
      <c r="I33" s="83">
        <f t="shared" si="11"/>
        <v>0</v>
      </c>
      <c r="J33" s="83">
        <f t="shared" si="12"/>
        <v>0</v>
      </c>
      <c r="K33" s="14"/>
      <c r="L33" s="39">
        <f t="shared" si="13"/>
        <v>0</v>
      </c>
      <c r="M33" s="39">
        <f t="shared" si="14"/>
        <v>0</v>
      </c>
      <c r="N33" s="84"/>
      <c r="O33" s="85">
        <f t="shared" si="6"/>
        <v>0</v>
      </c>
      <c r="P33" s="86">
        <f t="shared" si="15"/>
        <v>0</v>
      </c>
    </row>
    <row r="34" spans="1:17" ht="15.75" customHeight="1" x14ac:dyDescent="0.3">
      <c r="A34" s="53">
        <f t="shared" ref="A34:A43" si="16">A33+1</f>
        <v>25</v>
      </c>
      <c r="B34" s="153" t="s">
        <v>119</v>
      </c>
      <c r="C34" s="99" t="s">
        <v>108</v>
      </c>
      <c r="D34" s="14"/>
      <c r="E34" s="81">
        <v>1.4E-3</v>
      </c>
      <c r="F34" s="36">
        <v>0</v>
      </c>
      <c r="G34" s="181">
        <f>F34</f>
        <v>0</v>
      </c>
      <c r="H34" s="83">
        <f t="shared" si="10"/>
        <v>0</v>
      </c>
      <c r="I34" s="83">
        <f t="shared" si="11"/>
        <v>0</v>
      </c>
      <c r="J34" s="83">
        <f t="shared" si="12"/>
        <v>0</v>
      </c>
      <c r="K34" s="55"/>
      <c r="L34" s="39">
        <f t="shared" si="13"/>
        <v>0</v>
      </c>
      <c r="M34" s="39">
        <f t="shared" si="14"/>
        <v>0</v>
      </c>
      <c r="N34" s="84"/>
      <c r="O34" s="85">
        <f t="shared" si="6"/>
        <v>0</v>
      </c>
      <c r="P34" s="86">
        <f t="shared" si="15"/>
        <v>0</v>
      </c>
    </row>
    <row r="35" spans="1:17" ht="15.75" customHeight="1" x14ac:dyDescent="0.3">
      <c r="A35" s="53">
        <f t="shared" si="16"/>
        <v>26</v>
      </c>
      <c r="B35" s="153" t="s">
        <v>120</v>
      </c>
      <c r="C35" s="99" t="s">
        <v>121</v>
      </c>
      <c r="D35" s="14"/>
      <c r="E35" s="81">
        <v>1.4E-3</v>
      </c>
      <c r="F35" s="36">
        <v>0</v>
      </c>
      <c r="G35" s="182">
        <f t="shared" ref="G35:G39" si="17">F35</f>
        <v>0</v>
      </c>
      <c r="H35" s="83">
        <f t="shared" si="10"/>
        <v>0</v>
      </c>
      <c r="I35" s="83">
        <f t="shared" si="11"/>
        <v>0</v>
      </c>
      <c r="J35" s="83">
        <f t="shared" si="12"/>
        <v>0</v>
      </c>
      <c r="K35" s="14"/>
      <c r="L35" s="39">
        <f t="shared" si="13"/>
        <v>0</v>
      </c>
      <c r="M35" s="39">
        <f t="shared" si="14"/>
        <v>0</v>
      </c>
      <c r="N35" s="84"/>
      <c r="O35" s="85">
        <f t="shared" si="6"/>
        <v>0</v>
      </c>
      <c r="P35" s="86">
        <f t="shared" si="15"/>
        <v>0</v>
      </c>
    </row>
    <row r="36" spans="1:17" ht="15.75" customHeight="1" x14ac:dyDescent="0.3">
      <c r="A36" s="53">
        <f t="shared" si="16"/>
        <v>27</v>
      </c>
      <c r="B36" s="153" t="s">
        <v>122</v>
      </c>
      <c r="C36" s="99" t="s">
        <v>97</v>
      </c>
      <c r="D36" s="14"/>
      <c r="E36" s="81">
        <v>1.4E-3</v>
      </c>
      <c r="F36" s="36">
        <v>0</v>
      </c>
      <c r="G36" s="182">
        <f t="shared" si="17"/>
        <v>0</v>
      </c>
      <c r="H36" s="83">
        <f t="shared" si="10"/>
        <v>0</v>
      </c>
      <c r="I36" s="83">
        <f t="shared" si="11"/>
        <v>0</v>
      </c>
      <c r="J36" s="83">
        <f t="shared" si="12"/>
        <v>0</v>
      </c>
      <c r="K36" s="14"/>
      <c r="L36" s="39">
        <f t="shared" si="13"/>
        <v>0</v>
      </c>
      <c r="M36" s="39">
        <f t="shared" si="14"/>
        <v>0</v>
      </c>
      <c r="N36" s="84"/>
      <c r="O36" s="85">
        <f t="shared" si="6"/>
        <v>0</v>
      </c>
      <c r="P36" s="86">
        <f t="shared" si="15"/>
        <v>0</v>
      </c>
    </row>
    <row r="37" spans="1:17" ht="15.75" customHeight="1" x14ac:dyDescent="0.3">
      <c r="A37" s="53">
        <f t="shared" si="16"/>
        <v>28</v>
      </c>
      <c r="B37" s="153" t="s">
        <v>123</v>
      </c>
      <c r="C37" s="99" t="s">
        <v>112</v>
      </c>
      <c r="D37" s="14"/>
      <c r="E37" s="81">
        <v>1.2999999999999999E-3</v>
      </c>
      <c r="F37" s="36">
        <v>0</v>
      </c>
      <c r="G37" s="182">
        <f t="shared" si="17"/>
        <v>0</v>
      </c>
      <c r="H37" s="83">
        <f t="shared" si="10"/>
        <v>0</v>
      </c>
      <c r="I37" s="83">
        <f t="shared" si="11"/>
        <v>0</v>
      </c>
      <c r="J37" s="83">
        <f t="shared" si="12"/>
        <v>0</v>
      </c>
      <c r="K37" s="14"/>
      <c r="L37" s="39">
        <f t="shared" si="13"/>
        <v>0</v>
      </c>
      <c r="M37" s="39">
        <f t="shared" si="14"/>
        <v>0</v>
      </c>
      <c r="N37" s="84"/>
      <c r="O37" s="85">
        <f t="shared" si="6"/>
        <v>0</v>
      </c>
      <c r="P37" s="86">
        <f t="shared" si="15"/>
        <v>0</v>
      </c>
    </row>
    <row r="38" spans="1:17" ht="15.75" customHeight="1" x14ac:dyDescent="0.3">
      <c r="A38" s="53">
        <f t="shared" si="16"/>
        <v>29</v>
      </c>
      <c r="B38" s="153" t="s">
        <v>124</v>
      </c>
      <c r="C38" s="99" t="s">
        <v>85</v>
      </c>
      <c r="D38" s="14"/>
      <c r="E38" s="81">
        <v>1.2999999999999999E-3</v>
      </c>
      <c r="F38" s="36">
        <v>0</v>
      </c>
      <c r="G38" s="182">
        <f t="shared" si="17"/>
        <v>0</v>
      </c>
      <c r="H38" s="83">
        <f t="shared" si="10"/>
        <v>0</v>
      </c>
      <c r="I38" s="83">
        <f t="shared" si="11"/>
        <v>0</v>
      </c>
      <c r="J38" s="83">
        <f t="shared" si="12"/>
        <v>0</v>
      </c>
      <c r="K38" s="14"/>
      <c r="L38" s="39">
        <f t="shared" si="13"/>
        <v>0</v>
      </c>
      <c r="M38" s="39">
        <f t="shared" si="14"/>
        <v>0</v>
      </c>
      <c r="N38" s="84"/>
      <c r="O38" s="85">
        <f t="shared" si="6"/>
        <v>0</v>
      </c>
      <c r="P38" s="86">
        <f t="shared" si="15"/>
        <v>0</v>
      </c>
    </row>
    <row r="39" spans="1:17" ht="15.75" customHeight="1" x14ac:dyDescent="0.3">
      <c r="A39" s="53">
        <f t="shared" si="16"/>
        <v>30</v>
      </c>
      <c r="B39" s="153" t="s">
        <v>125</v>
      </c>
      <c r="C39" s="99" t="s">
        <v>94</v>
      </c>
      <c r="D39" s="14" t="s">
        <v>95</v>
      </c>
      <c r="E39" s="81">
        <v>1.2999999999999999E-3</v>
      </c>
      <c r="F39" s="36">
        <v>0</v>
      </c>
      <c r="G39" s="181">
        <f t="shared" si="17"/>
        <v>0</v>
      </c>
      <c r="H39" s="83">
        <f t="shared" si="10"/>
        <v>0</v>
      </c>
      <c r="I39" s="83">
        <f t="shared" si="11"/>
        <v>0</v>
      </c>
      <c r="J39" s="83">
        <f t="shared" si="12"/>
        <v>0</v>
      </c>
      <c r="K39" s="55"/>
      <c r="L39" s="39">
        <f t="shared" si="13"/>
        <v>0</v>
      </c>
      <c r="M39" s="39">
        <f t="shared" si="14"/>
        <v>0</v>
      </c>
      <c r="N39" s="84"/>
      <c r="O39" s="85">
        <f t="shared" si="6"/>
        <v>0</v>
      </c>
      <c r="P39" s="86">
        <f t="shared" si="15"/>
        <v>0</v>
      </c>
    </row>
    <row r="40" spans="1:17" ht="15.75" customHeight="1" x14ac:dyDescent="0.3">
      <c r="A40" s="53">
        <f t="shared" si="16"/>
        <v>31</v>
      </c>
      <c r="B40" s="153" t="s">
        <v>126</v>
      </c>
      <c r="C40" s="99" t="s">
        <v>94</v>
      </c>
      <c r="D40" s="14" t="s">
        <v>110</v>
      </c>
      <c r="E40" s="81">
        <v>1.2999999999999999E-3</v>
      </c>
      <c r="F40" s="36">
        <v>0</v>
      </c>
      <c r="G40" s="181">
        <f>F40</f>
        <v>0</v>
      </c>
      <c r="H40" s="83">
        <f t="shared" si="10"/>
        <v>0</v>
      </c>
      <c r="I40" s="83">
        <f t="shared" si="11"/>
        <v>0</v>
      </c>
      <c r="J40" s="83">
        <f t="shared" si="12"/>
        <v>0</v>
      </c>
      <c r="K40" s="55"/>
      <c r="L40" s="39">
        <f t="shared" si="13"/>
        <v>0</v>
      </c>
      <c r="M40" s="39">
        <f t="shared" si="14"/>
        <v>0</v>
      </c>
      <c r="N40" s="84"/>
      <c r="O40" s="85">
        <f t="shared" si="6"/>
        <v>0</v>
      </c>
      <c r="P40" s="86">
        <f t="shared" si="15"/>
        <v>0</v>
      </c>
    </row>
    <row r="41" spans="1:17" ht="15.75" customHeight="1" x14ac:dyDescent="0.3">
      <c r="A41" s="53">
        <f t="shared" si="16"/>
        <v>32</v>
      </c>
      <c r="B41" s="153"/>
      <c r="C41" s="106"/>
      <c r="D41" s="14"/>
      <c r="E41" s="81"/>
      <c r="F41" s="36">
        <v>0</v>
      </c>
      <c r="G41" s="55"/>
      <c r="H41" s="83"/>
      <c r="I41" s="83"/>
      <c r="J41" s="83"/>
      <c r="K41" s="55"/>
      <c r="L41" s="39"/>
      <c r="M41" s="39"/>
      <c r="N41" s="84"/>
      <c r="O41" s="85">
        <f t="shared" si="6"/>
        <v>0</v>
      </c>
      <c r="P41" s="86"/>
    </row>
    <row r="42" spans="1:17" ht="15.75" customHeight="1" x14ac:dyDescent="0.3">
      <c r="A42" s="53">
        <f t="shared" si="16"/>
        <v>33</v>
      </c>
      <c r="B42" s="153"/>
      <c r="C42" s="106"/>
      <c r="D42" s="14"/>
      <c r="E42" s="81"/>
      <c r="F42" s="36"/>
      <c r="G42" s="55"/>
      <c r="H42" s="83"/>
      <c r="I42" s="83"/>
      <c r="J42" s="83"/>
      <c r="K42" s="55"/>
      <c r="L42" s="39"/>
      <c r="M42" s="39"/>
      <c r="N42" s="84"/>
      <c r="O42" s="85">
        <f t="shared" si="6"/>
        <v>0</v>
      </c>
      <c r="P42" s="86"/>
    </row>
    <row r="43" spans="1:17" ht="15.75" customHeight="1" x14ac:dyDescent="0.3">
      <c r="A43" s="154">
        <f t="shared" si="16"/>
        <v>34</v>
      </c>
      <c r="B43" s="155"/>
      <c r="C43" s="108"/>
      <c r="D43" s="109"/>
      <c r="E43" s="81"/>
      <c r="F43" s="110"/>
      <c r="G43" s="111"/>
      <c r="H43" s="83"/>
      <c r="I43" s="83"/>
      <c r="J43" s="83"/>
      <c r="K43" s="111"/>
      <c r="L43" s="39"/>
      <c r="M43" s="39"/>
      <c r="N43" s="84"/>
      <c r="O43" s="85">
        <f t="shared" si="6"/>
        <v>0</v>
      </c>
      <c r="P43" s="86"/>
    </row>
    <row r="44" spans="1:17" ht="15.75" customHeight="1" x14ac:dyDescent="0.3">
      <c r="A44" s="113"/>
      <c r="B44" s="113"/>
      <c r="C44" s="114"/>
      <c r="D44" s="114"/>
      <c r="E44" s="115">
        <f t="shared" ref="E44:M44" si="18">SUM(E9:E43)</f>
        <v>1.0000000000000002</v>
      </c>
      <c r="F44" s="116">
        <f t="shared" si="18"/>
        <v>0</v>
      </c>
      <c r="G44" s="117">
        <f t="shared" si="18"/>
        <v>0</v>
      </c>
      <c r="H44" s="118">
        <f t="shared" si="18"/>
        <v>0</v>
      </c>
      <c r="I44" s="119">
        <f t="shared" si="18"/>
        <v>0</v>
      </c>
      <c r="J44" s="120">
        <f t="shared" si="18"/>
        <v>0</v>
      </c>
      <c r="K44" s="116">
        <f t="shared" si="18"/>
        <v>0</v>
      </c>
      <c r="L44" s="116">
        <f t="shared" si="18"/>
        <v>0</v>
      </c>
      <c r="M44" s="116">
        <f t="shared" si="18"/>
        <v>0</v>
      </c>
      <c r="N44" s="116"/>
      <c r="O44" s="116">
        <f t="shared" ref="O44:P44" si="19">SUM(O9:O43)</f>
        <v>0</v>
      </c>
      <c r="P44" s="121">
        <f t="shared" si="19"/>
        <v>0</v>
      </c>
      <c r="Q44" s="122"/>
    </row>
    <row r="45" spans="1:17" ht="15.75" customHeight="1" x14ac:dyDescent="0.3">
      <c r="A45" s="5"/>
      <c r="F45" s="124"/>
      <c r="G45" s="124"/>
      <c r="H45" s="124"/>
      <c r="I45" s="124"/>
      <c r="J45" s="124"/>
      <c r="K45" s="124"/>
    </row>
    <row r="46" spans="1:17" ht="15.75" customHeight="1" x14ac:dyDescent="0.3">
      <c r="A46" s="5"/>
      <c r="F46" s="124"/>
      <c r="G46" s="124"/>
      <c r="H46" s="124"/>
      <c r="I46" s="124"/>
      <c r="J46" s="124"/>
      <c r="K46" s="124"/>
    </row>
    <row r="47" spans="1:17" ht="15.75" customHeight="1" x14ac:dyDescent="0.3">
      <c r="A47" s="5"/>
      <c r="F47" s="124"/>
      <c r="G47" s="124"/>
      <c r="H47" s="124"/>
      <c r="I47" s="124"/>
      <c r="J47" s="124"/>
      <c r="K47" s="124"/>
    </row>
    <row r="48" spans="1:17" ht="15.75" customHeight="1" x14ac:dyDescent="0.3">
      <c r="A48" s="5"/>
      <c r="F48" s="124"/>
      <c r="G48" s="124"/>
      <c r="H48" s="124"/>
      <c r="I48" s="124"/>
      <c r="J48" s="124"/>
      <c r="K48" s="124"/>
    </row>
    <row r="49" spans="1:11" ht="15.75" customHeight="1" x14ac:dyDescent="0.3">
      <c r="A49" s="5"/>
      <c r="F49" s="124"/>
      <c r="G49" s="124"/>
      <c r="H49" s="124"/>
      <c r="I49" s="124"/>
      <c r="J49" s="124"/>
      <c r="K49" s="124"/>
    </row>
    <row r="50" spans="1:11" ht="15.75" customHeight="1" x14ac:dyDescent="0.3">
      <c r="A50" s="5"/>
      <c r="F50" s="124"/>
      <c r="G50" s="124"/>
      <c r="H50" s="124"/>
      <c r="I50" s="124"/>
      <c r="J50" s="124"/>
      <c r="K50" s="124"/>
    </row>
    <row r="51" spans="1:11" ht="15.75" customHeight="1" x14ac:dyDescent="0.3">
      <c r="A51" s="5"/>
      <c r="F51" s="124"/>
      <c r="G51" s="124"/>
      <c r="H51" s="124"/>
      <c r="I51" s="124"/>
      <c r="J51" s="124"/>
      <c r="K51" s="124"/>
    </row>
    <row r="52" spans="1:11" ht="15.75" customHeight="1" x14ac:dyDescent="0.3">
      <c r="A52" s="5"/>
      <c r="F52" s="124"/>
      <c r="G52" s="124"/>
      <c r="H52" s="124"/>
      <c r="I52" s="124"/>
      <c r="J52" s="124"/>
      <c r="K52" s="124"/>
    </row>
    <row r="53" spans="1:11" ht="15.75" customHeight="1" x14ac:dyDescent="0.3">
      <c r="A53" s="5"/>
      <c r="F53" s="124"/>
      <c r="G53" s="124"/>
      <c r="H53" s="124"/>
      <c r="I53" s="124"/>
      <c r="J53" s="124"/>
      <c r="K53" s="124"/>
    </row>
    <row r="54" spans="1:11" ht="15.75" customHeight="1" x14ac:dyDescent="0.3">
      <c r="A54" s="5"/>
      <c r="F54" s="124"/>
      <c r="G54" s="124"/>
      <c r="H54" s="124"/>
      <c r="I54" s="124"/>
      <c r="J54" s="124"/>
      <c r="K54" s="124"/>
    </row>
    <row r="55" spans="1:11" ht="15.75" customHeight="1" x14ac:dyDescent="0.3">
      <c r="A55" s="5"/>
      <c r="F55" s="124"/>
      <c r="G55" s="124"/>
      <c r="H55" s="124"/>
      <c r="I55" s="124"/>
      <c r="J55" s="124"/>
      <c r="K55" s="124"/>
    </row>
    <row r="56" spans="1:11" ht="15.75" customHeight="1" x14ac:dyDescent="0.3">
      <c r="A56" s="5"/>
      <c r="F56" s="124"/>
      <c r="G56" s="124"/>
      <c r="H56" s="124"/>
      <c r="I56" s="124"/>
      <c r="J56" s="124"/>
      <c r="K56" s="124"/>
    </row>
    <row r="57" spans="1:11" ht="15.75" customHeight="1" x14ac:dyDescent="0.3">
      <c r="F57" s="124"/>
      <c r="G57" s="124"/>
      <c r="H57" s="124"/>
      <c r="I57" s="124"/>
      <c r="J57" s="124"/>
      <c r="K57" s="124"/>
    </row>
    <row r="58" spans="1:11" ht="15.75" customHeight="1" x14ac:dyDescent="0.3">
      <c r="F58" s="124"/>
      <c r="G58" s="124"/>
      <c r="H58" s="124"/>
      <c r="I58" s="124"/>
      <c r="J58" s="124"/>
      <c r="K58" s="124"/>
    </row>
    <row r="59" spans="1:11" ht="15.75" customHeight="1" x14ac:dyDescent="0.3">
      <c r="F59" s="124"/>
      <c r="G59" s="124"/>
      <c r="H59" s="124"/>
      <c r="I59" s="124"/>
      <c r="J59" s="124"/>
      <c r="K59" s="124"/>
    </row>
    <row r="60" spans="1:11" ht="15.75" customHeight="1" x14ac:dyDescent="0.3">
      <c r="F60" s="124"/>
      <c r="G60" s="124"/>
      <c r="H60" s="124"/>
      <c r="I60" s="124"/>
      <c r="J60" s="124"/>
      <c r="K60" s="124"/>
    </row>
    <row r="61" spans="1:11" ht="15.75" customHeight="1" x14ac:dyDescent="0.3">
      <c r="F61" s="124"/>
      <c r="G61" s="124"/>
      <c r="H61" s="124"/>
      <c r="I61" s="124"/>
      <c r="J61" s="124"/>
      <c r="K61" s="124"/>
    </row>
    <row r="62" spans="1:11" ht="15.75" customHeight="1" x14ac:dyDescent="0.3">
      <c r="F62" s="124"/>
      <c r="G62" s="124"/>
      <c r="H62" s="124"/>
      <c r="I62" s="124"/>
      <c r="J62" s="124"/>
      <c r="K62" s="124"/>
    </row>
    <row r="63" spans="1:11" ht="15.75" customHeight="1" x14ac:dyDescent="0.3">
      <c r="F63" s="124"/>
      <c r="G63" s="124"/>
      <c r="H63" s="124"/>
      <c r="I63" s="124"/>
      <c r="J63" s="124"/>
      <c r="K63" s="124"/>
    </row>
    <row r="64" spans="1:11" ht="15.75" customHeight="1" x14ac:dyDescent="0.3">
      <c r="F64" s="124"/>
      <c r="G64" s="124"/>
      <c r="H64" s="124"/>
      <c r="I64" s="124"/>
      <c r="J64" s="124"/>
      <c r="K64" s="124"/>
    </row>
    <row r="65" spans="6:11" ht="15.75" customHeight="1" x14ac:dyDescent="0.3">
      <c r="F65" s="124"/>
      <c r="G65" s="124"/>
      <c r="H65" s="124"/>
      <c r="I65" s="124"/>
      <c r="J65" s="124"/>
      <c r="K65" s="124"/>
    </row>
    <row r="66" spans="6:11" ht="15.75" customHeight="1" x14ac:dyDescent="0.3">
      <c r="F66" s="124"/>
      <c r="G66" s="124"/>
      <c r="H66" s="124"/>
      <c r="I66" s="124"/>
      <c r="J66" s="124"/>
      <c r="K66" s="124"/>
    </row>
    <row r="67" spans="6:11" ht="15.75" customHeight="1" x14ac:dyDescent="0.3">
      <c r="F67" s="124"/>
      <c r="G67" s="124"/>
      <c r="H67" s="124"/>
      <c r="I67" s="124"/>
      <c r="J67" s="124"/>
      <c r="K67" s="124"/>
    </row>
    <row r="68" spans="6:11" ht="15.75" customHeight="1" x14ac:dyDescent="0.3">
      <c r="F68" s="124"/>
      <c r="G68" s="124"/>
      <c r="H68" s="124"/>
      <c r="I68" s="124"/>
      <c r="J68" s="124"/>
      <c r="K68" s="124"/>
    </row>
    <row r="69" spans="6:11" ht="15.75" customHeight="1" x14ac:dyDescent="0.3">
      <c r="F69" s="124"/>
      <c r="G69" s="124"/>
      <c r="H69" s="124"/>
      <c r="I69" s="124"/>
      <c r="J69" s="124"/>
      <c r="K69" s="124"/>
    </row>
    <row r="70" spans="6:11" ht="15.75" customHeight="1" x14ac:dyDescent="0.3">
      <c r="F70" s="124"/>
      <c r="G70" s="124"/>
      <c r="H70" s="124"/>
      <c r="I70" s="124"/>
      <c r="J70" s="124"/>
      <c r="K70" s="124"/>
    </row>
    <row r="71" spans="6:11" ht="15.75" customHeight="1" x14ac:dyDescent="0.3">
      <c r="F71" s="124"/>
      <c r="G71" s="124"/>
      <c r="H71" s="124"/>
      <c r="I71" s="124"/>
      <c r="J71" s="124"/>
      <c r="K71" s="124"/>
    </row>
    <row r="72" spans="6:11" ht="15.75" customHeight="1" x14ac:dyDescent="0.3">
      <c r="F72" s="124"/>
      <c r="G72" s="124"/>
      <c r="H72" s="124"/>
      <c r="I72" s="124"/>
      <c r="J72" s="124"/>
      <c r="K72" s="124"/>
    </row>
    <row r="73" spans="6:11" ht="15.75" customHeight="1" x14ac:dyDescent="0.3">
      <c r="F73" s="124"/>
      <c r="G73" s="124"/>
      <c r="H73" s="124"/>
      <c r="I73" s="124"/>
      <c r="J73" s="124"/>
      <c r="K73" s="124"/>
    </row>
    <row r="74" spans="6:11" ht="15.75" customHeight="1" x14ac:dyDescent="0.3">
      <c r="F74" s="124"/>
      <c r="G74" s="124"/>
      <c r="H74" s="124"/>
      <c r="I74" s="124"/>
      <c r="J74" s="124"/>
      <c r="K74" s="124"/>
    </row>
    <row r="75" spans="6:11" ht="15.75" customHeight="1" x14ac:dyDescent="0.3">
      <c r="F75" s="124"/>
      <c r="G75" s="124"/>
      <c r="H75" s="124"/>
      <c r="I75" s="124"/>
      <c r="J75" s="124"/>
      <c r="K75" s="124"/>
    </row>
    <row r="76" spans="6:11" ht="15.75" customHeight="1" x14ac:dyDescent="0.3">
      <c r="F76" s="124"/>
      <c r="G76" s="124"/>
      <c r="H76" s="124"/>
      <c r="I76" s="124"/>
      <c r="J76" s="124"/>
      <c r="K76" s="124"/>
    </row>
    <row r="77" spans="6:11" ht="15.75" customHeight="1" x14ac:dyDescent="0.3">
      <c r="F77" s="124"/>
      <c r="G77" s="124"/>
      <c r="H77" s="124"/>
      <c r="I77" s="124"/>
      <c r="J77" s="124"/>
      <c r="K77" s="124"/>
    </row>
    <row r="78" spans="6:11" ht="15.75" customHeight="1" x14ac:dyDescent="0.3">
      <c r="F78" s="124"/>
      <c r="G78" s="124"/>
      <c r="H78" s="124"/>
      <c r="I78" s="124"/>
      <c r="J78" s="124"/>
      <c r="K78" s="124"/>
    </row>
    <row r="79" spans="6:11" ht="15.75" customHeight="1" x14ac:dyDescent="0.3">
      <c r="F79" s="124"/>
      <c r="G79" s="124"/>
      <c r="H79" s="124"/>
      <c r="I79" s="124"/>
      <c r="J79" s="124"/>
      <c r="K79" s="124"/>
    </row>
    <row r="80" spans="6:11" ht="15.75" customHeight="1" x14ac:dyDescent="0.3">
      <c r="F80" s="124"/>
      <c r="G80" s="124"/>
      <c r="H80" s="124"/>
      <c r="I80" s="124"/>
      <c r="J80" s="124"/>
      <c r="K80" s="124"/>
    </row>
    <row r="81" spans="6:11" ht="15.75" customHeight="1" x14ac:dyDescent="0.3">
      <c r="F81" s="124"/>
      <c r="G81" s="124"/>
      <c r="H81" s="124"/>
      <c r="I81" s="124"/>
      <c r="J81" s="124"/>
      <c r="K81" s="124"/>
    </row>
    <row r="82" spans="6:11" ht="15.75" customHeight="1" x14ac:dyDescent="0.3">
      <c r="F82" s="124"/>
      <c r="G82" s="124"/>
      <c r="H82" s="124"/>
      <c r="I82" s="124"/>
      <c r="J82" s="124"/>
      <c r="K82" s="124"/>
    </row>
    <row r="83" spans="6:11" ht="15.75" customHeight="1" x14ac:dyDescent="0.3">
      <c r="F83" s="124"/>
      <c r="G83" s="124"/>
      <c r="H83" s="124"/>
      <c r="I83" s="124"/>
      <c r="J83" s="124"/>
      <c r="K83" s="124"/>
    </row>
    <row r="84" spans="6:11" ht="15.75" customHeight="1" x14ac:dyDescent="0.3">
      <c r="F84" s="124"/>
      <c r="G84" s="124"/>
      <c r="H84" s="124"/>
      <c r="I84" s="124"/>
      <c r="J84" s="124"/>
      <c r="K84" s="124"/>
    </row>
    <row r="85" spans="6:11" ht="15.75" customHeight="1" x14ac:dyDescent="0.3">
      <c r="F85" s="124"/>
      <c r="G85" s="124"/>
      <c r="H85" s="124"/>
      <c r="I85" s="124"/>
      <c r="J85" s="124"/>
      <c r="K85" s="124"/>
    </row>
    <row r="86" spans="6:11" ht="15.75" customHeight="1" x14ac:dyDescent="0.3">
      <c r="F86" s="124"/>
      <c r="G86" s="124"/>
      <c r="H86" s="124"/>
      <c r="I86" s="124"/>
      <c r="J86" s="124"/>
      <c r="K86" s="124"/>
    </row>
    <row r="87" spans="6:11" ht="15.75" customHeight="1" x14ac:dyDescent="0.3">
      <c r="F87" s="124"/>
      <c r="G87" s="124"/>
      <c r="H87" s="124"/>
      <c r="I87" s="124"/>
      <c r="J87" s="124"/>
      <c r="K87" s="124"/>
    </row>
    <row r="88" spans="6:11" ht="15.75" customHeight="1" x14ac:dyDescent="0.3">
      <c r="F88" s="124"/>
      <c r="G88" s="124"/>
      <c r="H88" s="124"/>
      <c r="I88" s="124"/>
      <c r="J88" s="124"/>
      <c r="K88" s="124"/>
    </row>
    <row r="89" spans="6:11" ht="15.75" customHeight="1" x14ac:dyDescent="0.3">
      <c r="F89" s="124"/>
      <c r="G89" s="124"/>
      <c r="H89" s="124"/>
      <c r="I89" s="124"/>
      <c r="J89" s="124"/>
      <c r="K89" s="124"/>
    </row>
    <row r="90" spans="6:11" ht="15.75" customHeight="1" x14ac:dyDescent="0.3">
      <c r="F90" s="124"/>
      <c r="G90" s="124"/>
      <c r="H90" s="124"/>
      <c r="I90" s="124"/>
      <c r="J90" s="124"/>
      <c r="K90" s="124"/>
    </row>
    <row r="91" spans="6:11" ht="15.75" customHeight="1" x14ac:dyDescent="0.3">
      <c r="F91" s="124"/>
      <c r="G91" s="124"/>
      <c r="H91" s="124"/>
      <c r="I91" s="124"/>
      <c r="J91" s="124"/>
      <c r="K91" s="124"/>
    </row>
    <row r="92" spans="6:11" ht="15.75" customHeight="1" x14ac:dyDescent="0.3">
      <c r="F92" s="124"/>
      <c r="G92" s="124"/>
      <c r="H92" s="124"/>
      <c r="I92" s="124"/>
      <c r="J92" s="124"/>
      <c r="K92" s="124"/>
    </row>
    <row r="93" spans="6:11" ht="15.75" customHeight="1" x14ac:dyDescent="0.3">
      <c r="F93" s="124"/>
      <c r="G93" s="124"/>
      <c r="H93" s="124"/>
      <c r="I93" s="124"/>
      <c r="J93" s="124"/>
      <c r="K93" s="124"/>
    </row>
    <row r="94" spans="6:11" ht="15.75" customHeight="1" x14ac:dyDescent="0.3">
      <c r="F94" s="124"/>
      <c r="G94" s="124"/>
      <c r="H94" s="124"/>
      <c r="I94" s="124"/>
      <c r="J94" s="124"/>
      <c r="K94" s="124"/>
    </row>
    <row r="95" spans="6:11" ht="15.75" customHeight="1" x14ac:dyDescent="0.3">
      <c r="F95" s="124"/>
      <c r="G95" s="124"/>
      <c r="H95" s="124"/>
      <c r="I95" s="124"/>
      <c r="J95" s="124"/>
      <c r="K95" s="124"/>
    </row>
    <row r="96" spans="6:11" ht="15.75" customHeight="1" x14ac:dyDescent="0.3">
      <c r="F96" s="124"/>
      <c r="G96" s="124"/>
      <c r="H96" s="124"/>
      <c r="I96" s="124"/>
      <c r="J96" s="124"/>
      <c r="K96" s="124"/>
    </row>
    <row r="97" spans="6:11" ht="15.75" customHeight="1" x14ac:dyDescent="0.3">
      <c r="F97" s="124"/>
      <c r="G97" s="124"/>
      <c r="H97" s="124"/>
      <c r="I97" s="124"/>
      <c r="J97" s="124"/>
      <c r="K97" s="124"/>
    </row>
    <row r="98" spans="6:11" ht="15.75" customHeight="1" x14ac:dyDescent="0.3">
      <c r="F98" s="124"/>
      <c r="G98" s="124"/>
      <c r="H98" s="124"/>
      <c r="I98" s="124"/>
      <c r="J98" s="124"/>
      <c r="K98" s="124"/>
    </row>
    <row r="99" spans="6:11" ht="15.75" customHeight="1" x14ac:dyDescent="0.3">
      <c r="F99" s="124"/>
      <c r="G99" s="124"/>
      <c r="H99" s="124"/>
      <c r="I99" s="124"/>
      <c r="J99" s="124"/>
      <c r="K99" s="124"/>
    </row>
    <row r="100" spans="6:11" ht="15.75" customHeight="1" x14ac:dyDescent="0.3">
      <c r="F100" s="124"/>
      <c r="G100" s="124"/>
      <c r="H100" s="124"/>
      <c r="I100" s="124"/>
      <c r="J100" s="124"/>
      <c r="K100" s="124"/>
    </row>
    <row r="101" spans="6:11" ht="15.75" customHeight="1" x14ac:dyDescent="0.3">
      <c r="F101" s="124"/>
      <c r="G101" s="124"/>
      <c r="H101" s="124"/>
      <c r="I101" s="124"/>
      <c r="J101" s="124"/>
      <c r="K101" s="124"/>
    </row>
    <row r="102" spans="6:11" ht="15.75" customHeight="1" x14ac:dyDescent="0.3">
      <c r="F102" s="124"/>
      <c r="G102" s="124"/>
      <c r="H102" s="124"/>
      <c r="I102" s="124"/>
      <c r="J102" s="124"/>
      <c r="K102" s="124"/>
    </row>
    <row r="103" spans="6:11" ht="15.75" customHeight="1" x14ac:dyDescent="0.3">
      <c r="F103" s="124"/>
      <c r="G103" s="124"/>
      <c r="H103" s="124"/>
      <c r="I103" s="124"/>
      <c r="J103" s="124"/>
      <c r="K103" s="124"/>
    </row>
    <row r="104" spans="6:11" ht="15.75" customHeight="1" x14ac:dyDescent="0.3">
      <c r="F104" s="124"/>
      <c r="G104" s="124"/>
      <c r="H104" s="124"/>
      <c r="I104" s="124"/>
      <c r="J104" s="124"/>
      <c r="K104" s="124"/>
    </row>
    <row r="105" spans="6:11" ht="15.75" customHeight="1" x14ac:dyDescent="0.3">
      <c r="F105" s="124"/>
      <c r="G105" s="124"/>
      <c r="H105" s="124"/>
      <c r="I105" s="124"/>
      <c r="J105" s="124"/>
      <c r="K105" s="124"/>
    </row>
    <row r="106" spans="6:11" ht="15.75" customHeight="1" x14ac:dyDescent="0.3">
      <c r="F106" s="124"/>
      <c r="G106" s="124"/>
      <c r="H106" s="124"/>
      <c r="I106" s="124"/>
      <c r="J106" s="124"/>
      <c r="K106" s="124"/>
    </row>
    <row r="107" spans="6:11" ht="15.75" customHeight="1" x14ac:dyDescent="0.3">
      <c r="F107" s="124"/>
      <c r="G107" s="124"/>
      <c r="H107" s="124"/>
      <c r="I107" s="124"/>
      <c r="J107" s="124"/>
      <c r="K107" s="124"/>
    </row>
    <row r="108" spans="6:11" ht="15.75" customHeight="1" x14ac:dyDescent="0.3">
      <c r="F108" s="124"/>
      <c r="G108" s="124"/>
      <c r="H108" s="124"/>
      <c r="I108" s="124"/>
      <c r="J108" s="124"/>
      <c r="K108" s="124"/>
    </row>
    <row r="109" spans="6:11" ht="15.75" customHeight="1" x14ac:dyDescent="0.3">
      <c r="F109" s="124"/>
      <c r="G109" s="124"/>
      <c r="H109" s="124"/>
      <c r="I109" s="124"/>
      <c r="J109" s="124"/>
      <c r="K109" s="124"/>
    </row>
    <row r="110" spans="6:11" ht="15.75" customHeight="1" x14ac:dyDescent="0.3">
      <c r="F110" s="124"/>
      <c r="G110" s="124"/>
      <c r="H110" s="124"/>
      <c r="I110" s="124"/>
      <c r="J110" s="124"/>
      <c r="K110" s="124"/>
    </row>
    <row r="111" spans="6:11" ht="15.75" customHeight="1" x14ac:dyDescent="0.3">
      <c r="F111" s="124"/>
      <c r="G111" s="124"/>
      <c r="H111" s="124"/>
      <c r="I111" s="124"/>
      <c r="J111" s="124"/>
      <c r="K111" s="124"/>
    </row>
    <row r="112" spans="6:11" ht="15.75" customHeight="1" x14ac:dyDescent="0.3">
      <c r="F112" s="124"/>
      <c r="G112" s="124"/>
      <c r="H112" s="124"/>
      <c r="I112" s="124"/>
      <c r="J112" s="124"/>
      <c r="K112" s="124"/>
    </row>
    <row r="113" spans="6:11" ht="15.75" customHeight="1" x14ac:dyDescent="0.3">
      <c r="F113" s="124"/>
      <c r="G113" s="124"/>
      <c r="H113" s="124"/>
      <c r="I113" s="124"/>
      <c r="J113" s="124"/>
      <c r="K113" s="124"/>
    </row>
    <row r="114" spans="6:11" ht="15.75" customHeight="1" x14ac:dyDescent="0.3">
      <c r="F114" s="124"/>
      <c r="G114" s="124"/>
      <c r="H114" s="124"/>
      <c r="I114" s="124"/>
      <c r="J114" s="124"/>
      <c r="K114" s="124"/>
    </row>
    <row r="115" spans="6:11" ht="15.75" customHeight="1" x14ac:dyDescent="0.3">
      <c r="F115" s="124"/>
      <c r="G115" s="124"/>
      <c r="H115" s="124"/>
      <c r="I115" s="124"/>
      <c r="J115" s="124"/>
      <c r="K115" s="124"/>
    </row>
    <row r="116" spans="6:11" ht="15.75" customHeight="1" x14ac:dyDescent="0.3">
      <c r="F116" s="124"/>
      <c r="G116" s="124"/>
      <c r="H116" s="124"/>
      <c r="I116" s="124"/>
      <c r="J116" s="124"/>
      <c r="K116" s="124"/>
    </row>
    <row r="117" spans="6:11" ht="15.75" customHeight="1" x14ac:dyDescent="0.3">
      <c r="F117" s="124"/>
      <c r="G117" s="124"/>
      <c r="H117" s="124"/>
      <c r="I117" s="124"/>
      <c r="J117" s="124"/>
      <c r="K117" s="124"/>
    </row>
    <row r="118" spans="6:11" ht="15.75" customHeight="1" x14ac:dyDescent="0.3">
      <c r="F118" s="124"/>
      <c r="G118" s="124"/>
      <c r="H118" s="124"/>
      <c r="I118" s="124"/>
      <c r="J118" s="124"/>
      <c r="K118" s="124"/>
    </row>
    <row r="119" spans="6:11" ht="15.75" customHeight="1" x14ac:dyDescent="0.3">
      <c r="F119" s="124"/>
      <c r="G119" s="124"/>
      <c r="H119" s="124"/>
      <c r="I119" s="124"/>
      <c r="J119" s="124"/>
      <c r="K119" s="124"/>
    </row>
    <row r="120" spans="6:11" ht="15.75" customHeight="1" x14ac:dyDescent="0.3">
      <c r="F120" s="124"/>
      <c r="G120" s="124"/>
      <c r="H120" s="124"/>
      <c r="I120" s="124"/>
      <c r="J120" s="124"/>
      <c r="K120" s="124"/>
    </row>
    <row r="121" spans="6:11" ht="15.75" customHeight="1" x14ac:dyDescent="0.3">
      <c r="F121" s="124"/>
      <c r="G121" s="124"/>
      <c r="H121" s="124"/>
      <c r="I121" s="124"/>
      <c r="J121" s="124"/>
      <c r="K121" s="124"/>
    </row>
    <row r="122" spans="6:11" ht="15.75" customHeight="1" x14ac:dyDescent="0.3">
      <c r="F122" s="124"/>
      <c r="G122" s="124"/>
      <c r="H122" s="124"/>
      <c r="I122" s="124"/>
      <c r="J122" s="124"/>
      <c r="K122" s="124"/>
    </row>
    <row r="123" spans="6:11" ht="15.75" customHeight="1" x14ac:dyDescent="0.3">
      <c r="F123" s="124"/>
      <c r="G123" s="124"/>
      <c r="H123" s="124"/>
      <c r="I123" s="124"/>
      <c r="J123" s="124"/>
      <c r="K123" s="124"/>
    </row>
    <row r="124" spans="6:11" ht="15.75" customHeight="1" x14ac:dyDescent="0.3">
      <c r="F124" s="124"/>
      <c r="G124" s="124"/>
      <c r="H124" s="124"/>
      <c r="I124" s="124"/>
      <c r="J124" s="124"/>
      <c r="K124" s="124"/>
    </row>
    <row r="125" spans="6:11" ht="15.75" customHeight="1" x14ac:dyDescent="0.3">
      <c r="F125" s="124"/>
      <c r="G125" s="124"/>
      <c r="H125" s="124"/>
      <c r="I125" s="124"/>
      <c r="J125" s="124"/>
      <c r="K125" s="124"/>
    </row>
    <row r="126" spans="6:11" ht="15.75" customHeight="1" x14ac:dyDescent="0.3">
      <c r="F126" s="124"/>
      <c r="G126" s="124"/>
      <c r="H126" s="124"/>
      <c r="I126" s="124"/>
      <c r="J126" s="124"/>
      <c r="K126" s="124"/>
    </row>
    <row r="127" spans="6:11" ht="15.75" customHeight="1" x14ac:dyDescent="0.3">
      <c r="F127" s="124"/>
      <c r="G127" s="124"/>
      <c r="H127" s="124"/>
      <c r="I127" s="124"/>
      <c r="J127" s="124"/>
      <c r="K127" s="124"/>
    </row>
    <row r="128" spans="6:11" ht="15.75" customHeight="1" x14ac:dyDescent="0.3">
      <c r="F128" s="124"/>
      <c r="G128" s="124"/>
      <c r="H128" s="124"/>
      <c r="I128" s="124"/>
      <c r="J128" s="124"/>
      <c r="K128" s="124"/>
    </row>
    <row r="129" spans="6:11" ht="15.75" customHeight="1" x14ac:dyDescent="0.3">
      <c r="F129" s="124"/>
      <c r="G129" s="124"/>
      <c r="H129" s="124"/>
      <c r="I129" s="124"/>
      <c r="J129" s="124"/>
      <c r="K129" s="124"/>
    </row>
    <row r="130" spans="6:11" ht="15.75" customHeight="1" x14ac:dyDescent="0.3">
      <c r="F130" s="124"/>
      <c r="G130" s="124"/>
      <c r="H130" s="124"/>
      <c r="I130" s="124"/>
      <c r="J130" s="124"/>
      <c r="K130" s="124"/>
    </row>
    <row r="131" spans="6:11" ht="15.75" customHeight="1" x14ac:dyDescent="0.3">
      <c r="F131" s="124"/>
      <c r="G131" s="124"/>
      <c r="H131" s="124"/>
      <c r="I131" s="124"/>
      <c r="J131" s="124"/>
      <c r="K131" s="124"/>
    </row>
    <row r="132" spans="6:11" ht="15.75" customHeight="1" x14ac:dyDescent="0.3">
      <c r="F132" s="124"/>
      <c r="G132" s="124"/>
      <c r="H132" s="124"/>
      <c r="I132" s="124"/>
      <c r="J132" s="124"/>
      <c r="K132" s="124"/>
    </row>
    <row r="133" spans="6:11" ht="15.75" customHeight="1" x14ac:dyDescent="0.3">
      <c r="F133" s="124"/>
      <c r="G133" s="124"/>
      <c r="H133" s="124"/>
      <c r="I133" s="124"/>
      <c r="J133" s="124"/>
      <c r="K133" s="124"/>
    </row>
    <row r="134" spans="6:11" ht="15.75" customHeight="1" x14ac:dyDescent="0.3">
      <c r="F134" s="124"/>
      <c r="G134" s="124"/>
      <c r="H134" s="124"/>
      <c r="I134" s="124"/>
      <c r="J134" s="124"/>
      <c r="K134" s="124"/>
    </row>
    <row r="135" spans="6:11" ht="15.75" customHeight="1" x14ac:dyDescent="0.3">
      <c r="F135" s="124"/>
      <c r="G135" s="124"/>
      <c r="H135" s="124"/>
      <c r="I135" s="124"/>
      <c r="J135" s="124"/>
      <c r="K135" s="124"/>
    </row>
    <row r="136" spans="6:11" ht="15.75" customHeight="1" x14ac:dyDescent="0.3">
      <c r="F136" s="124"/>
      <c r="G136" s="124"/>
      <c r="H136" s="124"/>
      <c r="I136" s="124"/>
      <c r="J136" s="124"/>
      <c r="K136" s="124"/>
    </row>
    <row r="137" spans="6:11" ht="15.75" customHeight="1" x14ac:dyDescent="0.3">
      <c r="F137" s="124"/>
      <c r="G137" s="124"/>
      <c r="H137" s="124"/>
      <c r="I137" s="124"/>
      <c r="J137" s="124"/>
      <c r="K137" s="124"/>
    </row>
    <row r="138" spans="6:11" ht="15.75" customHeight="1" x14ac:dyDescent="0.3">
      <c r="F138" s="124"/>
      <c r="G138" s="124"/>
      <c r="H138" s="124"/>
      <c r="I138" s="124"/>
      <c r="J138" s="124"/>
      <c r="K138" s="124"/>
    </row>
    <row r="139" spans="6:11" ht="15.75" customHeight="1" x14ac:dyDescent="0.3">
      <c r="F139" s="124"/>
      <c r="G139" s="124"/>
      <c r="H139" s="124"/>
      <c r="I139" s="124"/>
      <c r="J139" s="124"/>
      <c r="K139" s="124"/>
    </row>
    <row r="140" spans="6:11" ht="15.75" customHeight="1" x14ac:dyDescent="0.3">
      <c r="F140" s="124"/>
      <c r="G140" s="124"/>
      <c r="H140" s="124"/>
      <c r="I140" s="124"/>
      <c r="J140" s="124"/>
      <c r="K140" s="124"/>
    </row>
    <row r="141" spans="6:11" ht="15.75" customHeight="1" x14ac:dyDescent="0.3">
      <c r="F141" s="124"/>
      <c r="G141" s="124"/>
      <c r="H141" s="124"/>
      <c r="I141" s="124"/>
      <c r="J141" s="124"/>
      <c r="K141" s="124"/>
    </row>
    <row r="142" spans="6:11" ht="15.75" customHeight="1" x14ac:dyDescent="0.3">
      <c r="F142" s="124"/>
      <c r="G142" s="124"/>
      <c r="H142" s="124"/>
      <c r="I142" s="124"/>
      <c r="J142" s="124"/>
      <c r="K142" s="124"/>
    </row>
    <row r="143" spans="6:11" ht="15.75" customHeight="1" x14ac:dyDescent="0.3">
      <c r="F143" s="124"/>
      <c r="G143" s="124"/>
      <c r="H143" s="124"/>
      <c r="I143" s="124"/>
      <c r="J143" s="124"/>
      <c r="K143" s="124"/>
    </row>
    <row r="144" spans="6:11" ht="15.75" customHeight="1" x14ac:dyDescent="0.3">
      <c r="F144" s="124"/>
      <c r="G144" s="124"/>
      <c r="H144" s="124"/>
      <c r="I144" s="124"/>
      <c r="J144" s="124"/>
      <c r="K144" s="124"/>
    </row>
    <row r="145" spans="6:11" ht="15.75" customHeight="1" x14ac:dyDescent="0.3">
      <c r="F145" s="124"/>
      <c r="G145" s="124"/>
      <c r="H145" s="124"/>
      <c r="I145" s="124"/>
      <c r="J145" s="124"/>
      <c r="K145" s="124"/>
    </row>
    <row r="146" spans="6:11" ht="15.75" customHeight="1" x14ac:dyDescent="0.3">
      <c r="F146" s="124"/>
      <c r="G146" s="124"/>
      <c r="H146" s="124"/>
      <c r="I146" s="124"/>
      <c r="J146" s="124"/>
      <c r="K146" s="124"/>
    </row>
    <row r="147" spans="6:11" ht="15.75" customHeight="1" x14ac:dyDescent="0.3">
      <c r="F147" s="124"/>
      <c r="G147" s="124"/>
      <c r="H147" s="124"/>
      <c r="I147" s="124"/>
      <c r="J147" s="124"/>
      <c r="K147" s="124"/>
    </row>
    <row r="148" spans="6:11" ht="15.75" customHeight="1" x14ac:dyDescent="0.3">
      <c r="F148" s="124"/>
      <c r="G148" s="124"/>
      <c r="H148" s="124"/>
      <c r="I148" s="124"/>
      <c r="J148" s="124"/>
      <c r="K148" s="124"/>
    </row>
    <row r="149" spans="6:11" ht="15.75" customHeight="1" x14ac:dyDescent="0.3">
      <c r="F149" s="124"/>
      <c r="G149" s="124"/>
      <c r="H149" s="124"/>
      <c r="I149" s="124"/>
      <c r="J149" s="124"/>
      <c r="K149" s="124"/>
    </row>
    <row r="150" spans="6:11" ht="15.75" customHeight="1" x14ac:dyDescent="0.3">
      <c r="F150" s="124"/>
      <c r="G150" s="124"/>
      <c r="H150" s="124"/>
      <c r="I150" s="124"/>
      <c r="J150" s="124"/>
      <c r="K150" s="124"/>
    </row>
    <row r="151" spans="6:11" ht="15.75" customHeight="1" x14ac:dyDescent="0.3">
      <c r="F151" s="124"/>
      <c r="G151" s="124"/>
      <c r="H151" s="124"/>
      <c r="I151" s="124"/>
      <c r="J151" s="124"/>
      <c r="K151" s="124"/>
    </row>
    <row r="152" spans="6:11" ht="15.75" customHeight="1" x14ac:dyDescent="0.3">
      <c r="F152" s="124"/>
      <c r="G152" s="124"/>
      <c r="H152" s="124"/>
      <c r="I152" s="124"/>
      <c r="J152" s="124"/>
      <c r="K152" s="124"/>
    </row>
    <row r="153" spans="6:11" ht="15.75" customHeight="1" x14ac:dyDescent="0.3">
      <c r="F153" s="124"/>
      <c r="G153" s="124"/>
      <c r="H153" s="124"/>
      <c r="I153" s="124"/>
      <c r="J153" s="124"/>
      <c r="K153" s="124"/>
    </row>
    <row r="154" spans="6:11" ht="15.75" customHeight="1" x14ac:dyDescent="0.3">
      <c r="F154" s="124"/>
      <c r="G154" s="124"/>
      <c r="H154" s="124"/>
      <c r="I154" s="124"/>
      <c r="J154" s="124"/>
      <c r="K154" s="124"/>
    </row>
    <row r="155" spans="6:11" ht="15.75" customHeight="1" x14ac:dyDescent="0.3">
      <c r="F155" s="124"/>
      <c r="G155" s="124"/>
      <c r="H155" s="124"/>
      <c r="I155" s="124"/>
      <c r="J155" s="124"/>
      <c r="K155" s="124"/>
    </row>
    <row r="156" spans="6:11" ht="15.75" customHeight="1" x14ac:dyDescent="0.3">
      <c r="F156" s="124"/>
      <c r="G156" s="124"/>
      <c r="H156" s="124"/>
      <c r="I156" s="124"/>
      <c r="J156" s="124"/>
      <c r="K156" s="124"/>
    </row>
    <row r="157" spans="6:11" ht="15.75" customHeight="1" x14ac:dyDescent="0.3">
      <c r="F157" s="124"/>
      <c r="G157" s="124"/>
      <c r="H157" s="124"/>
      <c r="I157" s="124"/>
      <c r="J157" s="124"/>
      <c r="K157" s="124"/>
    </row>
    <row r="158" spans="6:11" ht="15.75" customHeight="1" x14ac:dyDescent="0.3">
      <c r="F158" s="124"/>
      <c r="G158" s="124"/>
      <c r="H158" s="124"/>
      <c r="I158" s="124"/>
      <c r="J158" s="124"/>
      <c r="K158" s="124"/>
    </row>
    <row r="159" spans="6:11" ht="15.75" customHeight="1" x14ac:dyDescent="0.3">
      <c r="F159" s="124"/>
      <c r="G159" s="124"/>
      <c r="H159" s="124"/>
      <c r="I159" s="124"/>
      <c r="J159" s="124"/>
      <c r="K159" s="124"/>
    </row>
    <row r="160" spans="6:11" ht="15.75" customHeight="1" x14ac:dyDescent="0.3">
      <c r="F160" s="124"/>
      <c r="G160" s="124"/>
      <c r="H160" s="124"/>
      <c r="I160" s="124"/>
      <c r="J160" s="124"/>
      <c r="K160" s="124"/>
    </row>
    <row r="161" spans="6:11" ht="15.75" customHeight="1" x14ac:dyDescent="0.3">
      <c r="F161" s="124"/>
      <c r="G161" s="124"/>
      <c r="H161" s="124"/>
      <c r="I161" s="124"/>
      <c r="J161" s="124"/>
      <c r="K161" s="124"/>
    </row>
    <row r="162" spans="6:11" ht="15.75" customHeight="1" x14ac:dyDescent="0.3">
      <c r="F162" s="124"/>
      <c r="G162" s="124"/>
      <c r="H162" s="124"/>
      <c r="I162" s="124"/>
      <c r="J162" s="124"/>
      <c r="K162" s="124"/>
    </row>
    <row r="163" spans="6:11" ht="15.75" customHeight="1" x14ac:dyDescent="0.3">
      <c r="F163" s="124"/>
      <c r="G163" s="124"/>
      <c r="H163" s="124"/>
      <c r="I163" s="124"/>
      <c r="J163" s="124"/>
      <c r="K163" s="124"/>
    </row>
    <row r="164" spans="6:11" ht="15.75" customHeight="1" x14ac:dyDescent="0.3">
      <c r="F164" s="124"/>
      <c r="G164" s="124"/>
      <c r="H164" s="124"/>
      <c r="I164" s="124"/>
      <c r="J164" s="124"/>
      <c r="K164" s="124"/>
    </row>
    <row r="165" spans="6:11" ht="15.75" customHeight="1" x14ac:dyDescent="0.3">
      <c r="F165" s="124"/>
      <c r="G165" s="124"/>
      <c r="H165" s="124"/>
      <c r="I165" s="124"/>
      <c r="J165" s="124"/>
      <c r="K165" s="124"/>
    </row>
    <row r="166" spans="6:11" ht="15.75" customHeight="1" x14ac:dyDescent="0.3">
      <c r="F166" s="124"/>
      <c r="G166" s="124"/>
      <c r="H166" s="124"/>
      <c r="I166" s="124"/>
      <c r="J166" s="124"/>
      <c r="K166" s="124"/>
    </row>
    <row r="167" spans="6:11" ht="15.75" customHeight="1" x14ac:dyDescent="0.3">
      <c r="F167" s="124"/>
      <c r="G167" s="124"/>
      <c r="H167" s="124"/>
      <c r="I167" s="124"/>
      <c r="J167" s="124"/>
      <c r="K167" s="124"/>
    </row>
    <row r="168" spans="6:11" ht="15.75" customHeight="1" x14ac:dyDescent="0.3">
      <c r="F168" s="124"/>
      <c r="G168" s="124"/>
      <c r="H168" s="124"/>
      <c r="I168" s="124"/>
      <c r="J168" s="124"/>
      <c r="K168" s="124"/>
    </row>
    <row r="169" spans="6:11" ht="15.75" customHeight="1" x14ac:dyDescent="0.3">
      <c r="F169" s="124"/>
      <c r="G169" s="124"/>
      <c r="H169" s="124"/>
      <c r="I169" s="124"/>
      <c r="J169" s="124"/>
      <c r="K169" s="124"/>
    </row>
    <row r="170" spans="6:11" ht="15.75" customHeight="1" x14ac:dyDescent="0.3">
      <c r="F170" s="124"/>
      <c r="G170" s="124"/>
      <c r="H170" s="124"/>
      <c r="I170" s="124"/>
      <c r="J170" s="124"/>
      <c r="K170" s="124"/>
    </row>
    <row r="171" spans="6:11" ht="15.75" customHeight="1" x14ac:dyDescent="0.3">
      <c r="F171" s="124"/>
      <c r="G171" s="124"/>
      <c r="H171" s="124"/>
      <c r="I171" s="124"/>
      <c r="J171" s="124"/>
      <c r="K171" s="124"/>
    </row>
    <row r="172" spans="6:11" ht="15.75" customHeight="1" x14ac:dyDescent="0.3">
      <c r="F172" s="124"/>
      <c r="G172" s="124"/>
      <c r="H172" s="124"/>
      <c r="I172" s="124"/>
      <c r="J172" s="124"/>
      <c r="K172" s="124"/>
    </row>
    <row r="173" spans="6:11" ht="15.75" customHeight="1" x14ac:dyDescent="0.3">
      <c r="F173" s="124"/>
      <c r="G173" s="124"/>
      <c r="H173" s="124"/>
      <c r="I173" s="124"/>
      <c r="J173" s="124"/>
      <c r="K173" s="124"/>
    </row>
    <row r="174" spans="6:11" ht="15.75" customHeight="1" x14ac:dyDescent="0.3">
      <c r="F174" s="124"/>
      <c r="G174" s="124"/>
      <c r="H174" s="124"/>
      <c r="I174" s="124"/>
      <c r="J174" s="124"/>
      <c r="K174" s="124"/>
    </row>
    <row r="175" spans="6:11" ht="15.75" customHeight="1" x14ac:dyDescent="0.3">
      <c r="F175" s="124"/>
      <c r="G175" s="124"/>
      <c r="H175" s="124"/>
      <c r="I175" s="124"/>
      <c r="J175" s="124"/>
      <c r="K175" s="124"/>
    </row>
    <row r="176" spans="6:11" ht="15.75" customHeight="1" x14ac:dyDescent="0.3">
      <c r="F176" s="124"/>
      <c r="G176" s="124"/>
      <c r="H176" s="124"/>
      <c r="I176" s="124"/>
      <c r="J176" s="124"/>
      <c r="K176" s="124"/>
    </row>
    <row r="177" spans="6:11" ht="15.75" customHeight="1" x14ac:dyDescent="0.3">
      <c r="F177" s="124"/>
      <c r="G177" s="124"/>
      <c r="H177" s="124"/>
      <c r="I177" s="124"/>
      <c r="J177" s="124"/>
      <c r="K177" s="124"/>
    </row>
    <row r="178" spans="6:11" ht="15.75" customHeight="1" x14ac:dyDescent="0.3">
      <c r="F178" s="124"/>
      <c r="G178" s="124"/>
      <c r="H178" s="124"/>
      <c r="I178" s="124"/>
      <c r="J178" s="124"/>
      <c r="K178" s="124"/>
    </row>
    <row r="179" spans="6:11" ht="15.75" customHeight="1" x14ac:dyDescent="0.3">
      <c r="F179" s="124"/>
      <c r="G179" s="124"/>
      <c r="H179" s="124"/>
      <c r="I179" s="124"/>
      <c r="J179" s="124"/>
      <c r="K179" s="124"/>
    </row>
    <row r="180" spans="6:11" ht="15.75" customHeight="1" x14ac:dyDescent="0.3">
      <c r="F180" s="124"/>
      <c r="G180" s="124"/>
      <c r="H180" s="124"/>
      <c r="I180" s="124"/>
      <c r="J180" s="124"/>
      <c r="K180" s="124"/>
    </row>
    <row r="181" spans="6:11" ht="15.75" customHeight="1" x14ac:dyDescent="0.3">
      <c r="F181" s="124"/>
      <c r="G181" s="124"/>
      <c r="H181" s="124"/>
      <c r="I181" s="124"/>
      <c r="J181" s="124"/>
      <c r="K181" s="124"/>
    </row>
    <row r="182" spans="6:11" ht="15.75" customHeight="1" x14ac:dyDescent="0.3">
      <c r="F182" s="124"/>
      <c r="G182" s="124"/>
      <c r="H182" s="124"/>
      <c r="I182" s="124"/>
      <c r="J182" s="124"/>
      <c r="K182" s="124"/>
    </row>
    <row r="183" spans="6:11" ht="15.75" customHeight="1" x14ac:dyDescent="0.3">
      <c r="F183" s="124"/>
      <c r="G183" s="124"/>
      <c r="H183" s="124"/>
      <c r="I183" s="124"/>
      <c r="J183" s="124"/>
      <c r="K183" s="124"/>
    </row>
    <row r="184" spans="6:11" ht="15.75" customHeight="1" x14ac:dyDescent="0.3">
      <c r="F184" s="124"/>
      <c r="G184" s="124"/>
      <c r="H184" s="124"/>
      <c r="I184" s="124"/>
      <c r="J184" s="124"/>
      <c r="K184" s="124"/>
    </row>
    <row r="185" spans="6:11" ht="15.75" customHeight="1" x14ac:dyDescent="0.3">
      <c r="F185" s="124"/>
      <c r="G185" s="124"/>
      <c r="H185" s="124"/>
      <c r="I185" s="124"/>
      <c r="J185" s="124"/>
      <c r="K185" s="124"/>
    </row>
    <row r="186" spans="6:11" ht="15.75" customHeight="1" x14ac:dyDescent="0.3">
      <c r="F186" s="124"/>
      <c r="G186" s="124"/>
      <c r="H186" s="124"/>
      <c r="I186" s="124"/>
      <c r="J186" s="124"/>
      <c r="K186" s="124"/>
    </row>
    <row r="187" spans="6:11" ht="15.75" customHeight="1" x14ac:dyDescent="0.3">
      <c r="F187" s="124"/>
      <c r="G187" s="124"/>
      <c r="H187" s="124"/>
      <c r="I187" s="124"/>
      <c r="J187" s="124"/>
      <c r="K187" s="124"/>
    </row>
    <row r="188" spans="6:11" ht="15.75" customHeight="1" x14ac:dyDescent="0.3">
      <c r="F188" s="124"/>
      <c r="G188" s="124"/>
      <c r="H188" s="124"/>
      <c r="I188" s="124"/>
      <c r="J188" s="124"/>
      <c r="K188" s="124"/>
    </row>
    <row r="189" spans="6:11" ht="15.75" customHeight="1" x14ac:dyDescent="0.3">
      <c r="F189" s="124"/>
      <c r="G189" s="124"/>
      <c r="H189" s="124"/>
      <c r="I189" s="124"/>
      <c r="J189" s="124"/>
      <c r="K189" s="124"/>
    </row>
    <row r="190" spans="6:11" ht="15.75" customHeight="1" x14ac:dyDescent="0.3">
      <c r="F190" s="124"/>
      <c r="G190" s="124"/>
      <c r="H190" s="124"/>
      <c r="I190" s="124"/>
      <c r="J190" s="124"/>
      <c r="K190" s="124"/>
    </row>
    <row r="191" spans="6:11" ht="15.75" customHeight="1" x14ac:dyDescent="0.3">
      <c r="F191" s="124"/>
      <c r="G191" s="124"/>
      <c r="H191" s="124"/>
      <c r="I191" s="124"/>
      <c r="J191" s="124"/>
      <c r="K191" s="124"/>
    </row>
    <row r="192" spans="6:11" ht="15.75" customHeight="1" x14ac:dyDescent="0.3">
      <c r="F192" s="124"/>
      <c r="G192" s="124"/>
      <c r="H192" s="124"/>
      <c r="I192" s="124"/>
      <c r="J192" s="124"/>
      <c r="K192" s="124"/>
    </row>
    <row r="193" spans="6:11" ht="15.75" customHeight="1" x14ac:dyDescent="0.3">
      <c r="F193" s="124"/>
      <c r="G193" s="124"/>
      <c r="H193" s="124"/>
      <c r="I193" s="124"/>
      <c r="J193" s="124"/>
      <c r="K193" s="124"/>
    </row>
    <row r="194" spans="6:11" ht="15.75" customHeight="1" x14ac:dyDescent="0.3">
      <c r="F194" s="124"/>
      <c r="G194" s="124"/>
      <c r="H194" s="124"/>
      <c r="I194" s="124"/>
      <c r="J194" s="124"/>
      <c r="K194" s="124"/>
    </row>
    <row r="195" spans="6:11" ht="15.75" customHeight="1" x14ac:dyDescent="0.3">
      <c r="F195" s="124"/>
      <c r="G195" s="124"/>
      <c r="H195" s="124"/>
      <c r="I195" s="124"/>
      <c r="J195" s="124"/>
      <c r="K195" s="124"/>
    </row>
    <row r="196" spans="6:11" ht="15.75" customHeight="1" x14ac:dyDescent="0.3">
      <c r="F196" s="124"/>
      <c r="G196" s="124"/>
      <c r="H196" s="124"/>
      <c r="I196" s="124"/>
      <c r="J196" s="124"/>
      <c r="K196" s="124"/>
    </row>
    <row r="197" spans="6:11" ht="15.75" customHeight="1" x14ac:dyDescent="0.3">
      <c r="F197" s="124"/>
      <c r="G197" s="124"/>
      <c r="H197" s="124"/>
      <c r="I197" s="124"/>
      <c r="J197" s="124"/>
      <c r="K197" s="124"/>
    </row>
    <row r="198" spans="6:11" ht="15.75" customHeight="1" x14ac:dyDescent="0.3">
      <c r="F198" s="124"/>
      <c r="G198" s="124"/>
      <c r="H198" s="124"/>
      <c r="I198" s="124"/>
      <c r="J198" s="124"/>
      <c r="K198" s="124"/>
    </row>
    <row r="199" spans="6:11" ht="15.75" customHeight="1" x14ac:dyDescent="0.3">
      <c r="F199" s="124"/>
      <c r="G199" s="124"/>
      <c r="H199" s="124"/>
      <c r="I199" s="124"/>
      <c r="J199" s="124"/>
      <c r="K199" s="124"/>
    </row>
    <row r="200" spans="6:11" ht="15.75" customHeight="1" x14ac:dyDescent="0.3">
      <c r="F200" s="124"/>
      <c r="G200" s="124"/>
      <c r="H200" s="124"/>
      <c r="I200" s="124"/>
      <c r="J200" s="124"/>
      <c r="K200" s="124"/>
    </row>
    <row r="201" spans="6:11" ht="15.75" customHeight="1" x14ac:dyDescent="0.3">
      <c r="F201" s="124"/>
      <c r="G201" s="124"/>
      <c r="H201" s="124"/>
      <c r="I201" s="124"/>
      <c r="J201" s="124"/>
      <c r="K201" s="124"/>
    </row>
    <row r="202" spans="6:11" ht="15.75" customHeight="1" x14ac:dyDescent="0.3">
      <c r="F202" s="124"/>
      <c r="G202" s="124"/>
      <c r="H202" s="124"/>
      <c r="I202" s="124"/>
      <c r="J202" s="124"/>
      <c r="K202" s="124"/>
    </row>
    <row r="203" spans="6:11" ht="15.75" customHeight="1" x14ac:dyDescent="0.3">
      <c r="F203" s="124"/>
      <c r="G203" s="124"/>
      <c r="H203" s="124"/>
      <c r="I203" s="124"/>
      <c r="J203" s="124"/>
      <c r="K203" s="124"/>
    </row>
    <row r="204" spans="6:11" ht="15.75" customHeight="1" x14ac:dyDescent="0.3">
      <c r="F204" s="124"/>
      <c r="G204" s="124"/>
      <c r="H204" s="124"/>
      <c r="I204" s="124"/>
      <c r="J204" s="124"/>
      <c r="K204" s="124"/>
    </row>
    <row r="205" spans="6:11" ht="15.75" customHeight="1" x14ac:dyDescent="0.3">
      <c r="F205" s="124"/>
      <c r="G205" s="124"/>
      <c r="H205" s="124"/>
      <c r="I205" s="124"/>
      <c r="J205" s="124"/>
      <c r="K205" s="124"/>
    </row>
    <row r="206" spans="6:11" ht="15.75" customHeight="1" x14ac:dyDescent="0.3">
      <c r="F206" s="124"/>
      <c r="G206" s="124"/>
      <c r="H206" s="124"/>
      <c r="I206" s="124"/>
      <c r="J206" s="124"/>
      <c r="K206" s="124"/>
    </row>
    <row r="207" spans="6:11" ht="15.75" customHeight="1" x14ac:dyDescent="0.3">
      <c r="F207" s="124"/>
      <c r="G207" s="124"/>
      <c r="H207" s="124"/>
      <c r="I207" s="124"/>
      <c r="J207" s="124"/>
      <c r="K207" s="124"/>
    </row>
    <row r="208" spans="6:11" ht="15.75" customHeight="1" x14ac:dyDescent="0.3">
      <c r="F208" s="124"/>
      <c r="G208" s="124"/>
      <c r="H208" s="124"/>
      <c r="I208" s="124"/>
      <c r="J208" s="124"/>
      <c r="K208" s="124"/>
    </row>
    <row r="209" spans="6:11" ht="15.75" customHeight="1" x14ac:dyDescent="0.3">
      <c r="F209" s="124"/>
      <c r="G209" s="124"/>
      <c r="H209" s="124"/>
      <c r="I209" s="124"/>
      <c r="J209" s="124"/>
      <c r="K209" s="124"/>
    </row>
    <row r="210" spans="6:11" ht="15.75" customHeight="1" x14ac:dyDescent="0.3">
      <c r="F210" s="124"/>
      <c r="G210" s="124"/>
      <c r="H210" s="124"/>
      <c r="I210" s="124"/>
      <c r="J210" s="124"/>
      <c r="K210" s="124"/>
    </row>
    <row r="211" spans="6:11" ht="15.75" customHeight="1" x14ac:dyDescent="0.3">
      <c r="F211" s="124"/>
      <c r="G211" s="124"/>
      <c r="H211" s="124"/>
      <c r="I211" s="124"/>
      <c r="J211" s="124"/>
      <c r="K211" s="124"/>
    </row>
    <row r="212" spans="6:11" ht="15.75" customHeight="1" x14ac:dyDescent="0.3">
      <c r="F212" s="124"/>
      <c r="G212" s="124"/>
      <c r="H212" s="124"/>
      <c r="I212" s="124"/>
      <c r="J212" s="124"/>
      <c r="K212" s="124"/>
    </row>
    <row r="213" spans="6:11" ht="15.75" customHeight="1" x14ac:dyDescent="0.3">
      <c r="F213" s="124"/>
      <c r="G213" s="124"/>
      <c r="H213" s="124"/>
      <c r="I213" s="124"/>
      <c r="J213" s="124"/>
      <c r="K213" s="124"/>
    </row>
    <row r="214" spans="6:11" ht="15.75" customHeight="1" x14ac:dyDescent="0.3">
      <c r="F214" s="124"/>
      <c r="G214" s="124"/>
      <c r="H214" s="124"/>
      <c r="I214" s="124"/>
      <c r="J214" s="124"/>
      <c r="K214" s="124"/>
    </row>
    <row r="215" spans="6:11" ht="15.75" customHeight="1" x14ac:dyDescent="0.3">
      <c r="F215" s="124"/>
      <c r="G215" s="124"/>
      <c r="H215" s="124"/>
      <c r="I215" s="124"/>
      <c r="J215" s="124"/>
      <c r="K215" s="124"/>
    </row>
    <row r="216" spans="6:11" ht="15.75" customHeight="1" x14ac:dyDescent="0.3">
      <c r="F216" s="124"/>
      <c r="G216" s="124"/>
      <c r="H216" s="124"/>
      <c r="I216" s="124"/>
      <c r="J216" s="124"/>
      <c r="K216" s="124"/>
    </row>
    <row r="217" spans="6:11" ht="15.75" customHeight="1" x14ac:dyDescent="0.3">
      <c r="F217" s="124"/>
      <c r="G217" s="124"/>
      <c r="H217" s="124"/>
      <c r="I217" s="124"/>
      <c r="J217" s="124"/>
      <c r="K217" s="124"/>
    </row>
    <row r="218" spans="6:11" ht="15.75" customHeight="1" x14ac:dyDescent="0.3">
      <c r="F218" s="124"/>
      <c r="G218" s="124"/>
      <c r="H218" s="124"/>
      <c r="I218" s="124"/>
      <c r="J218" s="124"/>
      <c r="K218" s="124"/>
    </row>
    <row r="219" spans="6:11" ht="15.75" customHeight="1" x14ac:dyDescent="0.3">
      <c r="F219" s="124"/>
      <c r="G219" s="124"/>
      <c r="H219" s="124"/>
      <c r="I219" s="124"/>
      <c r="J219" s="124"/>
      <c r="K219" s="124"/>
    </row>
    <row r="220" spans="6:11" ht="15.75" customHeight="1" x14ac:dyDescent="0.3">
      <c r="F220" s="124"/>
      <c r="G220" s="124"/>
      <c r="H220" s="124"/>
      <c r="I220" s="124"/>
      <c r="J220" s="124"/>
      <c r="K220" s="124"/>
    </row>
    <row r="221" spans="6:11" ht="15.75" customHeight="1" x14ac:dyDescent="0.3">
      <c r="F221" s="124"/>
      <c r="G221" s="124"/>
      <c r="H221" s="124"/>
      <c r="I221" s="124"/>
      <c r="J221" s="124"/>
      <c r="K221" s="124"/>
    </row>
    <row r="222" spans="6:11" ht="15.75" customHeight="1" x14ac:dyDescent="0.3">
      <c r="F222" s="124"/>
      <c r="G222" s="124"/>
      <c r="H222" s="124"/>
      <c r="I222" s="124"/>
      <c r="J222" s="124"/>
      <c r="K222" s="124"/>
    </row>
    <row r="223" spans="6:11" ht="15.75" customHeight="1" x14ac:dyDescent="0.3">
      <c r="F223" s="124"/>
      <c r="G223" s="124"/>
      <c r="H223" s="124"/>
      <c r="I223" s="124"/>
      <c r="J223" s="124"/>
      <c r="K223" s="124"/>
    </row>
    <row r="224" spans="6:11" ht="15.75" customHeight="1" x14ac:dyDescent="0.3">
      <c r="F224" s="124"/>
      <c r="G224" s="124"/>
      <c r="H224" s="124"/>
      <c r="I224" s="124"/>
      <c r="J224" s="124"/>
      <c r="K224" s="124"/>
    </row>
    <row r="225" spans="6:11" ht="15.75" customHeight="1" x14ac:dyDescent="0.3">
      <c r="F225" s="124"/>
      <c r="G225" s="124"/>
      <c r="H225" s="124"/>
      <c r="I225" s="124"/>
      <c r="J225" s="124"/>
      <c r="K225" s="124"/>
    </row>
    <row r="226" spans="6:11" ht="15.75" customHeight="1" x14ac:dyDescent="0.3">
      <c r="F226" s="124"/>
      <c r="G226" s="124"/>
      <c r="H226" s="124"/>
      <c r="I226" s="124"/>
      <c r="J226" s="124"/>
      <c r="K226" s="124"/>
    </row>
    <row r="227" spans="6:11" ht="15.75" customHeight="1" x14ac:dyDescent="0.3">
      <c r="F227" s="124"/>
      <c r="G227" s="124"/>
      <c r="H227" s="124"/>
      <c r="I227" s="124"/>
      <c r="J227" s="124"/>
      <c r="K227" s="124"/>
    </row>
    <row r="228" spans="6:11" ht="15.75" customHeight="1" x14ac:dyDescent="0.3">
      <c r="F228" s="124"/>
      <c r="G228" s="124"/>
      <c r="H228" s="124"/>
      <c r="I228" s="124"/>
      <c r="J228" s="124"/>
      <c r="K228" s="124"/>
    </row>
    <row r="229" spans="6:11" ht="15.75" customHeight="1" x14ac:dyDescent="0.3">
      <c r="F229" s="124"/>
      <c r="G229" s="124"/>
      <c r="H229" s="124"/>
      <c r="I229" s="124"/>
      <c r="J229" s="124"/>
      <c r="K229" s="124"/>
    </row>
    <row r="230" spans="6:11" ht="15.75" customHeight="1" x14ac:dyDescent="0.3">
      <c r="F230" s="124"/>
      <c r="G230" s="124"/>
      <c r="H230" s="124"/>
      <c r="I230" s="124"/>
      <c r="J230" s="124"/>
      <c r="K230" s="124"/>
    </row>
    <row r="231" spans="6:11" ht="15.75" customHeight="1" x14ac:dyDescent="0.3">
      <c r="F231" s="124"/>
      <c r="G231" s="124"/>
      <c r="H231" s="124"/>
      <c r="I231" s="124"/>
      <c r="J231" s="124"/>
      <c r="K231" s="124"/>
    </row>
    <row r="232" spans="6:11" ht="15.75" customHeight="1" x14ac:dyDescent="0.3">
      <c r="F232" s="124"/>
      <c r="G232" s="124"/>
      <c r="H232" s="124"/>
      <c r="I232" s="124"/>
      <c r="J232" s="124"/>
      <c r="K232" s="124"/>
    </row>
    <row r="233" spans="6:11" ht="15.75" customHeight="1" x14ac:dyDescent="0.3">
      <c r="F233" s="124"/>
      <c r="G233" s="124"/>
      <c r="H233" s="124"/>
      <c r="I233" s="124"/>
      <c r="J233" s="124"/>
      <c r="K233" s="124"/>
    </row>
    <row r="234" spans="6:11" ht="15.75" customHeight="1" x14ac:dyDescent="0.3">
      <c r="F234" s="124"/>
      <c r="G234" s="124"/>
      <c r="H234" s="124"/>
      <c r="I234" s="124"/>
      <c r="J234" s="124"/>
      <c r="K234" s="124"/>
    </row>
    <row r="235" spans="6:11" ht="15.75" customHeight="1" x14ac:dyDescent="0.3">
      <c r="F235" s="124"/>
      <c r="G235" s="124"/>
      <c r="H235" s="124"/>
      <c r="I235" s="124"/>
      <c r="J235" s="124"/>
      <c r="K235" s="124"/>
    </row>
    <row r="236" spans="6:11" ht="15.75" customHeight="1" x14ac:dyDescent="0.3">
      <c r="F236" s="124"/>
      <c r="G236" s="124"/>
      <c r="H236" s="124"/>
      <c r="I236" s="124"/>
      <c r="J236" s="124"/>
      <c r="K236" s="124"/>
    </row>
    <row r="237" spans="6:11" ht="15.75" customHeight="1" x14ac:dyDescent="0.3">
      <c r="F237" s="124"/>
      <c r="G237" s="124"/>
      <c r="H237" s="124"/>
      <c r="I237" s="124"/>
      <c r="J237" s="124"/>
      <c r="K237" s="124"/>
    </row>
    <row r="238" spans="6:11" ht="15.75" customHeight="1" x14ac:dyDescent="0.3">
      <c r="F238" s="124"/>
      <c r="G238" s="124"/>
      <c r="H238" s="124"/>
      <c r="I238" s="124"/>
      <c r="J238" s="124"/>
      <c r="K238" s="124"/>
    </row>
    <row r="239" spans="6:11" ht="15.75" customHeight="1" x14ac:dyDescent="0.3">
      <c r="F239" s="124"/>
      <c r="G239" s="124"/>
      <c r="H239" s="124"/>
      <c r="I239" s="124"/>
      <c r="J239" s="124"/>
      <c r="K239" s="124"/>
    </row>
    <row r="240" spans="6:11" ht="15.75" customHeight="1" x14ac:dyDescent="0.3">
      <c r="F240" s="124"/>
      <c r="G240" s="124"/>
      <c r="H240" s="124"/>
      <c r="I240" s="124"/>
      <c r="J240" s="124"/>
      <c r="K240" s="124"/>
    </row>
    <row r="241" spans="6:11" ht="15.75" customHeight="1" x14ac:dyDescent="0.3">
      <c r="F241" s="124"/>
      <c r="G241" s="124"/>
      <c r="H241" s="124"/>
      <c r="I241" s="124"/>
      <c r="J241" s="124"/>
      <c r="K241" s="124"/>
    </row>
    <row r="242" spans="6:11" ht="15.75" customHeight="1" x14ac:dyDescent="0.3">
      <c r="F242" s="124"/>
      <c r="G242" s="124"/>
      <c r="H242" s="124"/>
      <c r="I242" s="124"/>
      <c r="J242" s="124"/>
      <c r="K242" s="124"/>
    </row>
    <row r="243" spans="6:11" ht="15.75" customHeight="1" x14ac:dyDescent="0.3">
      <c r="F243" s="124"/>
      <c r="G243" s="124"/>
      <c r="H243" s="124"/>
      <c r="I243" s="124"/>
      <c r="J243" s="124"/>
      <c r="K243" s="124"/>
    </row>
    <row r="244" spans="6:11" ht="15.75" customHeight="1" x14ac:dyDescent="0.3">
      <c r="F244" s="124"/>
      <c r="G244" s="124"/>
      <c r="H244" s="124"/>
      <c r="I244" s="124"/>
      <c r="J244" s="124"/>
      <c r="K244" s="124"/>
    </row>
    <row r="245" spans="6:11" ht="15.75" customHeight="1" x14ac:dyDescent="0.3">
      <c r="F245" s="124"/>
      <c r="G245" s="124"/>
      <c r="H245" s="124"/>
      <c r="I245" s="124"/>
      <c r="J245" s="124"/>
      <c r="K245" s="124"/>
    </row>
    <row r="246" spans="6:11" ht="15.75" customHeight="1" x14ac:dyDescent="0.3">
      <c r="F246" s="124"/>
      <c r="G246" s="124"/>
      <c r="H246" s="124"/>
      <c r="I246" s="124"/>
      <c r="J246" s="124"/>
      <c r="K246" s="124"/>
    </row>
    <row r="247" spans="6:11" ht="15.75" customHeight="1" x14ac:dyDescent="0.3">
      <c r="F247" s="124"/>
      <c r="G247" s="124"/>
      <c r="H247" s="124"/>
      <c r="I247" s="124"/>
      <c r="J247" s="124"/>
      <c r="K247" s="124"/>
    </row>
    <row r="248" spans="6:11" ht="15.75" customHeight="1" x14ac:dyDescent="0.3">
      <c r="F248" s="124"/>
      <c r="G248" s="124"/>
      <c r="H248" s="124"/>
      <c r="I248" s="124"/>
      <c r="J248" s="124"/>
      <c r="K248" s="124"/>
    </row>
    <row r="249" spans="6:11" ht="15.75" customHeight="1" x14ac:dyDescent="0.3">
      <c r="F249" s="124"/>
      <c r="G249" s="124"/>
      <c r="H249" s="124"/>
      <c r="I249" s="124"/>
      <c r="J249" s="124"/>
      <c r="K249" s="124"/>
    </row>
    <row r="250" spans="6:11" ht="15.75" customHeight="1" x14ac:dyDescent="0.3">
      <c r="F250" s="124"/>
      <c r="G250" s="124"/>
      <c r="H250" s="124"/>
      <c r="I250" s="124"/>
      <c r="J250" s="124"/>
      <c r="K250" s="124"/>
    </row>
    <row r="251" spans="6:11" ht="15.75" customHeight="1" x14ac:dyDescent="0.3">
      <c r="F251" s="124"/>
      <c r="G251" s="124"/>
      <c r="H251" s="124"/>
      <c r="I251" s="124"/>
      <c r="J251" s="124"/>
      <c r="K251" s="124"/>
    </row>
    <row r="252" spans="6:11" ht="15.75" customHeight="1" x14ac:dyDescent="0.3">
      <c r="F252" s="124"/>
      <c r="G252" s="124"/>
      <c r="H252" s="124"/>
      <c r="I252" s="124"/>
      <c r="J252" s="124"/>
      <c r="K252" s="124"/>
    </row>
    <row r="253" spans="6:11" ht="15.75" customHeight="1" x14ac:dyDescent="0.3">
      <c r="F253" s="124"/>
      <c r="G253" s="124"/>
      <c r="H253" s="124"/>
      <c r="I253" s="124"/>
      <c r="J253" s="124"/>
      <c r="K253" s="124"/>
    </row>
    <row r="254" spans="6:11" ht="15.75" customHeight="1" x14ac:dyDescent="0.3">
      <c r="F254" s="124"/>
      <c r="G254" s="124"/>
      <c r="H254" s="124"/>
      <c r="I254" s="124"/>
      <c r="J254" s="124"/>
      <c r="K254" s="124"/>
    </row>
    <row r="255" spans="6:11" ht="15.75" customHeight="1" x14ac:dyDescent="0.3">
      <c r="F255" s="124"/>
      <c r="G255" s="124"/>
      <c r="H255" s="124"/>
      <c r="I255" s="124"/>
      <c r="J255" s="124"/>
      <c r="K255" s="124"/>
    </row>
    <row r="256" spans="6:11" ht="15.75" customHeight="1" x14ac:dyDescent="0.3">
      <c r="F256" s="124"/>
      <c r="G256" s="124"/>
      <c r="H256" s="124"/>
      <c r="I256" s="124"/>
      <c r="J256" s="124"/>
      <c r="K256" s="124"/>
    </row>
    <row r="257" spans="6:11" ht="15.75" customHeight="1" x14ac:dyDescent="0.3">
      <c r="F257" s="124"/>
      <c r="G257" s="124"/>
      <c r="H257" s="124"/>
      <c r="I257" s="124"/>
      <c r="J257" s="124"/>
      <c r="K257" s="124"/>
    </row>
    <row r="258" spans="6:11" ht="15.75" customHeight="1" x14ac:dyDescent="0.3">
      <c r="F258" s="124"/>
      <c r="G258" s="124"/>
      <c r="H258" s="124"/>
      <c r="I258" s="124"/>
      <c r="J258" s="124"/>
      <c r="K258" s="124"/>
    </row>
    <row r="259" spans="6:11" ht="15.75" customHeight="1" x14ac:dyDescent="0.3">
      <c r="F259" s="124"/>
      <c r="G259" s="124"/>
      <c r="H259" s="124"/>
      <c r="I259" s="124"/>
      <c r="J259" s="124"/>
      <c r="K259" s="124"/>
    </row>
    <row r="260" spans="6:11" ht="15.75" customHeight="1" x14ac:dyDescent="0.3">
      <c r="F260" s="124"/>
      <c r="G260" s="124"/>
      <c r="H260" s="124"/>
      <c r="I260" s="124"/>
      <c r="J260" s="124"/>
      <c r="K260" s="124"/>
    </row>
    <row r="261" spans="6:11" ht="15.75" customHeight="1" x14ac:dyDescent="0.3">
      <c r="F261" s="124"/>
      <c r="G261" s="124"/>
      <c r="H261" s="124"/>
      <c r="I261" s="124"/>
      <c r="J261" s="124"/>
      <c r="K261" s="124"/>
    </row>
    <row r="262" spans="6:11" ht="15.75" customHeight="1" x14ac:dyDescent="0.3">
      <c r="F262" s="124"/>
      <c r="G262" s="124"/>
      <c r="H262" s="124"/>
      <c r="I262" s="124"/>
      <c r="J262" s="124"/>
      <c r="K262" s="124"/>
    </row>
    <row r="263" spans="6:11" ht="15.75" customHeight="1" x14ac:dyDescent="0.3">
      <c r="F263" s="124"/>
      <c r="G263" s="124"/>
      <c r="H263" s="124"/>
      <c r="I263" s="124"/>
      <c r="J263" s="124"/>
      <c r="K263" s="124"/>
    </row>
    <row r="264" spans="6:11" ht="15.75" customHeight="1" x14ac:dyDescent="0.3">
      <c r="F264" s="124"/>
      <c r="G264" s="124"/>
      <c r="H264" s="124"/>
      <c r="I264" s="124"/>
      <c r="J264" s="124"/>
      <c r="K264" s="124"/>
    </row>
    <row r="265" spans="6:11" ht="15.75" customHeight="1" x14ac:dyDescent="0.3">
      <c r="F265" s="124"/>
      <c r="G265" s="124"/>
      <c r="H265" s="124"/>
      <c r="I265" s="124"/>
      <c r="J265" s="124"/>
      <c r="K265" s="124"/>
    </row>
    <row r="266" spans="6:11" ht="15.75" customHeight="1" x14ac:dyDescent="0.3">
      <c r="F266" s="124"/>
      <c r="G266" s="124"/>
      <c r="H266" s="124"/>
      <c r="I266" s="124"/>
      <c r="J266" s="124"/>
      <c r="K266" s="124"/>
    </row>
    <row r="267" spans="6:11" ht="15.75" customHeight="1" x14ac:dyDescent="0.3">
      <c r="F267" s="124"/>
      <c r="G267" s="124"/>
      <c r="H267" s="124"/>
      <c r="I267" s="124"/>
      <c r="J267" s="124"/>
      <c r="K267" s="124"/>
    </row>
    <row r="268" spans="6:11" ht="15.75" customHeight="1" x14ac:dyDescent="0.3">
      <c r="F268" s="124"/>
      <c r="G268" s="124"/>
      <c r="H268" s="124"/>
      <c r="I268" s="124"/>
      <c r="J268" s="124"/>
      <c r="K268" s="124"/>
    </row>
    <row r="269" spans="6:11" ht="15.75" customHeight="1" x14ac:dyDescent="0.3">
      <c r="F269" s="124"/>
      <c r="G269" s="124"/>
      <c r="H269" s="124"/>
      <c r="I269" s="124"/>
      <c r="J269" s="124"/>
      <c r="K269" s="124"/>
    </row>
    <row r="270" spans="6:11" ht="15.75" customHeight="1" x14ac:dyDescent="0.3">
      <c r="F270" s="124"/>
      <c r="G270" s="124"/>
      <c r="H270" s="124"/>
      <c r="I270" s="124"/>
      <c r="J270" s="124"/>
      <c r="K270" s="124"/>
    </row>
    <row r="271" spans="6:11" ht="15.75" customHeight="1" x14ac:dyDescent="0.3">
      <c r="F271" s="124"/>
      <c r="G271" s="124"/>
      <c r="H271" s="124"/>
      <c r="I271" s="124"/>
      <c r="J271" s="124"/>
      <c r="K271" s="124"/>
    </row>
    <row r="272" spans="6:11" ht="15.75" customHeight="1" x14ac:dyDescent="0.3">
      <c r="F272" s="124"/>
      <c r="G272" s="124"/>
      <c r="H272" s="124"/>
      <c r="I272" s="124"/>
      <c r="J272" s="124"/>
      <c r="K272" s="124"/>
    </row>
    <row r="273" spans="6:11" ht="15.75" customHeight="1" x14ac:dyDescent="0.3">
      <c r="F273" s="124"/>
      <c r="G273" s="124"/>
      <c r="H273" s="124"/>
      <c r="I273" s="124"/>
      <c r="J273" s="124"/>
      <c r="K273" s="124"/>
    </row>
    <row r="274" spans="6:11" ht="15.75" customHeight="1" x14ac:dyDescent="0.3">
      <c r="F274" s="124"/>
      <c r="G274" s="124"/>
      <c r="H274" s="124"/>
      <c r="I274" s="124"/>
      <c r="J274" s="124"/>
      <c r="K274" s="124"/>
    </row>
    <row r="275" spans="6:11" ht="15.75" customHeight="1" x14ac:dyDescent="0.3">
      <c r="F275" s="124"/>
      <c r="G275" s="124"/>
      <c r="H275" s="124"/>
      <c r="I275" s="124"/>
      <c r="J275" s="124"/>
      <c r="K275" s="124"/>
    </row>
    <row r="276" spans="6:11" ht="15.75" customHeight="1" x14ac:dyDescent="0.3">
      <c r="F276" s="124"/>
      <c r="G276" s="124"/>
      <c r="H276" s="124"/>
      <c r="I276" s="124"/>
      <c r="J276" s="124"/>
      <c r="K276" s="124"/>
    </row>
    <row r="277" spans="6:11" ht="15.75" customHeight="1" x14ac:dyDescent="0.3">
      <c r="F277" s="124"/>
      <c r="G277" s="124"/>
      <c r="H277" s="124"/>
      <c r="I277" s="124"/>
      <c r="J277" s="124"/>
      <c r="K277" s="124"/>
    </row>
    <row r="278" spans="6:11" ht="15.75" customHeight="1" x14ac:dyDescent="0.3">
      <c r="F278" s="124"/>
      <c r="G278" s="124"/>
      <c r="H278" s="124"/>
      <c r="I278" s="124"/>
      <c r="J278" s="124"/>
      <c r="K278" s="124"/>
    </row>
    <row r="279" spans="6:11" ht="15.75" customHeight="1" x14ac:dyDescent="0.3">
      <c r="F279" s="124"/>
      <c r="G279" s="124"/>
      <c r="H279" s="124"/>
      <c r="I279" s="124"/>
      <c r="J279" s="124"/>
      <c r="K279" s="124"/>
    </row>
    <row r="280" spans="6:11" ht="15.75" customHeight="1" x14ac:dyDescent="0.3">
      <c r="F280" s="124"/>
      <c r="G280" s="124"/>
      <c r="H280" s="124"/>
      <c r="I280" s="124"/>
      <c r="J280" s="124"/>
      <c r="K280" s="124"/>
    </row>
    <row r="281" spans="6:11" ht="15.75" customHeight="1" x14ac:dyDescent="0.3">
      <c r="F281" s="124"/>
      <c r="G281" s="124"/>
      <c r="H281" s="124"/>
      <c r="I281" s="124"/>
      <c r="J281" s="124"/>
      <c r="K281" s="124"/>
    </row>
    <row r="282" spans="6:11" ht="15.75" customHeight="1" x14ac:dyDescent="0.3">
      <c r="F282" s="124"/>
      <c r="G282" s="124"/>
      <c r="H282" s="124"/>
      <c r="I282" s="124"/>
      <c r="J282" s="124"/>
      <c r="K282" s="124"/>
    </row>
    <row r="283" spans="6:11" ht="15.75" customHeight="1" x14ac:dyDescent="0.3">
      <c r="F283" s="124"/>
      <c r="G283" s="124"/>
      <c r="H283" s="124"/>
      <c r="I283" s="124"/>
      <c r="J283" s="124"/>
      <c r="K283" s="124"/>
    </row>
    <row r="284" spans="6:11" ht="15.75" customHeight="1" x14ac:dyDescent="0.3">
      <c r="F284" s="124"/>
      <c r="G284" s="124"/>
      <c r="H284" s="124"/>
      <c r="I284" s="124"/>
      <c r="J284" s="124"/>
      <c r="K284" s="124"/>
    </row>
    <row r="285" spans="6:11" ht="15.75" customHeight="1" x14ac:dyDescent="0.3">
      <c r="F285" s="124"/>
      <c r="G285" s="124"/>
      <c r="H285" s="124"/>
      <c r="I285" s="124"/>
      <c r="J285" s="124"/>
      <c r="K285" s="124"/>
    </row>
    <row r="286" spans="6:11" ht="15.75" customHeight="1" x14ac:dyDescent="0.3">
      <c r="F286" s="124"/>
      <c r="G286" s="124"/>
      <c r="H286" s="124"/>
      <c r="I286" s="124"/>
      <c r="J286" s="124"/>
      <c r="K286" s="124"/>
    </row>
    <row r="287" spans="6:11" ht="15.75" customHeight="1" x14ac:dyDescent="0.3">
      <c r="F287" s="124"/>
      <c r="G287" s="124"/>
      <c r="H287" s="124"/>
      <c r="I287" s="124"/>
      <c r="J287" s="124"/>
      <c r="K287" s="124"/>
    </row>
    <row r="288" spans="6:11" ht="15.75" customHeight="1" x14ac:dyDescent="0.3">
      <c r="F288" s="124"/>
      <c r="G288" s="124"/>
      <c r="H288" s="124"/>
      <c r="I288" s="124"/>
      <c r="J288" s="124"/>
      <c r="K288" s="124"/>
    </row>
    <row r="289" spans="6:11" ht="15.75" customHeight="1" x14ac:dyDescent="0.3">
      <c r="F289" s="124"/>
      <c r="G289" s="124"/>
      <c r="H289" s="124"/>
      <c r="I289" s="124"/>
      <c r="J289" s="124"/>
      <c r="K289" s="124"/>
    </row>
    <row r="290" spans="6:11" ht="15.75" customHeight="1" x14ac:dyDescent="0.3">
      <c r="F290" s="124"/>
      <c r="G290" s="124"/>
      <c r="H290" s="124"/>
      <c r="I290" s="124"/>
      <c r="J290" s="124"/>
      <c r="K290" s="124"/>
    </row>
    <row r="291" spans="6:11" ht="15.75" customHeight="1" x14ac:dyDescent="0.3">
      <c r="F291" s="124"/>
      <c r="G291" s="124"/>
      <c r="H291" s="124"/>
      <c r="I291" s="124"/>
      <c r="J291" s="124"/>
      <c r="K291" s="124"/>
    </row>
    <row r="292" spans="6:11" ht="15.75" customHeight="1" x14ac:dyDescent="0.3">
      <c r="F292" s="124"/>
      <c r="G292" s="124"/>
      <c r="H292" s="124"/>
      <c r="I292" s="124"/>
      <c r="J292" s="124"/>
      <c r="K292" s="124"/>
    </row>
    <row r="293" spans="6:11" ht="15.75" customHeight="1" x14ac:dyDescent="0.3">
      <c r="F293" s="124"/>
      <c r="G293" s="124"/>
      <c r="H293" s="124"/>
      <c r="I293" s="124"/>
      <c r="J293" s="124"/>
      <c r="K293" s="124"/>
    </row>
    <row r="294" spans="6:11" ht="15.75" customHeight="1" x14ac:dyDescent="0.3">
      <c r="F294" s="124"/>
      <c r="G294" s="124"/>
      <c r="H294" s="124"/>
      <c r="I294" s="124"/>
      <c r="J294" s="124"/>
      <c r="K294" s="124"/>
    </row>
    <row r="295" spans="6:11" ht="15.75" customHeight="1" x14ac:dyDescent="0.3">
      <c r="F295" s="124"/>
      <c r="G295" s="124"/>
      <c r="H295" s="124"/>
      <c r="I295" s="124"/>
      <c r="J295" s="124"/>
      <c r="K295" s="124"/>
    </row>
    <row r="296" spans="6:11" ht="15.75" customHeight="1" x14ac:dyDescent="0.3">
      <c r="F296" s="124"/>
      <c r="G296" s="124"/>
      <c r="H296" s="124"/>
      <c r="I296" s="124"/>
      <c r="J296" s="124"/>
      <c r="K296" s="124"/>
    </row>
    <row r="297" spans="6:11" ht="15.75" customHeight="1" x14ac:dyDescent="0.3">
      <c r="F297" s="124"/>
      <c r="G297" s="124"/>
      <c r="H297" s="124"/>
      <c r="I297" s="124"/>
      <c r="J297" s="124"/>
      <c r="K297" s="124"/>
    </row>
    <row r="298" spans="6:11" ht="15.75" customHeight="1" x14ac:dyDescent="0.3">
      <c r="F298" s="124"/>
      <c r="G298" s="124"/>
      <c r="H298" s="124"/>
      <c r="I298" s="124"/>
      <c r="J298" s="124"/>
      <c r="K298" s="124"/>
    </row>
    <row r="299" spans="6:11" ht="15.75" customHeight="1" x14ac:dyDescent="0.3">
      <c r="F299" s="124"/>
      <c r="G299" s="124"/>
      <c r="H299" s="124"/>
      <c r="I299" s="124"/>
      <c r="J299" s="124"/>
      <c r="K299" s="124"/>
    </row>
    <row r="300" spans="6:11" ht="15.75" customHeight="1" x14ac:dyDescent="0.3">
      <c r="F300" s="124"/>
      <c r="G300" s="124"/>
      <c r="H300" s="124"/>
      <c r="I300" s="124"/>
      <c r="J300" s="124"/>
      <c r="K300" s="124"/>
    </row>
    <row r="301" spans="6:11" ht="15.75" customHeight="1" x14ac:dyDescent="0.3">
      <c r="F301" s="124"/>
      <c r="G301" s="124"/>
      <c r="H301" s="124"/>
      <c r="I301" s="124"/>
      <c r="J301" s="124"/>
      <c r="K301" s="124"/>
    </row>
    <row r="302" spans="6:11" ht="15.75" customHeight="1" x14ac:dyDescent="0.3">
      <c r="F302" s="124"/>
      <c r="G302" s="124"/>
      <c r="H302" s="124"/>
      <c r="I302" s="124"/>
      <c r="J302" s="124"/>
      <c r="K302" s="124"/>
    </row>
    <row r="303" spans="6:11" ht="15.75" customHeight="1" x14ac:dyDescent="0.3">
      <c r="F303" s="124"/>
      <c r="G303" s="124"/>
      <c r="H303" s="124"/>
      <c r="I303" s="124"/>
      <c r="J303" s="124"/>
      <c r="K303" s="124"/>
    </row>
    <row r="304" spans="6:11" ht="15.75" customHeight="1" x14ac:dyDescent="0.3">
      <c r="F304" s="124"/>
      <c r="G304" s="124"/>
      <c r="H304" s="124"/>
      <c r="I304" s="124"/>
      <c r="J304" s="124"/>
      <c r="K304" s="124"/>
    </row>
    <row r="305" spans="6:11" ht="15.75" customHeight="1" x14ac:dyDescent="0.3">
      <c r="F305" s="124"/>
      <c r="G305" s="124"/>
      <c r="H305" s="124"/>
      <c r="I305" s="124"/>
      <c r="J305" s="124"/>
      <c r="K305" s="124"/>
    </row>
    <row r="306" spans="6:11" ht="15.75" customHeight="1" x14ac:dyDescent="0.3">
      <c r="F306" s="124"/>
      <c r="G306" s="124"/>
      <c r="H306" s="124"/>
      <c r="I306" s="124"/>
      <c r="J306" s="124"/>
      <c r="K306" s="124"/>
    </row>
    <row r="307" spans="6:11" ht="15.75" customHeight="1" x14ac:dyDescent="0.3">
      <c r="F307" s="124"/>
      <c r="G307" s="124"/>
      <c r="H307" s="124"/>
      <c r="I307" s="124"/>
      <c r="J307" s="124"/>
      <c r="K307" s="124"/>
    </row>
    <row r="308" spans="6:11" ht="15.75" customHeight="1" x14ac:dyDescent="0.3">
      <c r="F308" s="124"/>
      <c r="G308" s="124"/>
      <c r="H308" s="124"/>
      <c r="I308" s="124"/>
      <c r="J308" s="124"/>
      <c r="K308" s="124"/>
    </row>
    <row r="309" spans="6:11" ht="15.75" customHeight="1" x14ac:dyDescent="0.3">
      <c r="F309" s="124"/>
      <c r="G309" s="124"/>
      <c r="H309" s="124"/>
      <c r="I309" s="124"/>
      <c r="J309" s="124"/>
      <c r="K309" s="124"/>
    </row>
    <row r="310" spans="6:11" ht="15.75" customHeight="1" x14ac:dyDescent="0.3">
      <c r="F310" s="124"/>
      <c r="G310" s="124"/>
      <c r="H310" s="124"/>
      <c r="I310" s="124"/>
      <c r="J310" s="124"/>
      <c r="K310" s="124"/>
    </row>
    <row r="311" spans="6:11" ht="15.75" customHeight="1" x14ac:dyDescent="0.3">
      <c r="F311" s="124"/>
      <c r="G311" s="124"/>
      <c r="H311" s="124"/>
      <c r="I311" s="124"/>
      <c r="J311" s="124"/>
      <c r="K311" s="124"/>
    </row>
    <row r="312" spans="6:11" ht="15.75" customHeight="1" x14ac:dyDescent="0.3">
      <c r="F312" s="124"/>
      <c r="G312" s="124"/>
      <c r="H312" s="124"/>
      <c r="I312" s="124"/>
      <c r="J312" s="124"/>
      <c r="K312" s="124"/>
    </row>
    <row r="313" spans="6:11" ht="15.75" customHeight="1" x14ac:dyDescent="0.3">
      <c r="F313" s="124"/>
      <c r="G313" s="124"/>
      <c r="H313" s="124"/>
      <c r="I313" s="124"/>
      <c r="J313" s="124"/>
      <c r="K313" s="124"/>
    </row>
    <row r="314" spans="6:11" ht="15.75" customHeight="1" x14ac:dyDescent="0.3">
      <c r="F314" s="124"/>
      <c r="G314" s="124"/>
      <c r="H314" s="124"/>
      <c r="I314" s="124"/>
      <c r="J314" s="124"/>
      <c r="K314" s="124"/>
    </row>
    <row r="315" spans="6:11" ht="15.75" customHeight="1" x14ac:dyDescent="0.3">
      <c r="F315" s="124"/>
      <c r="G315" s="124"/>
      <c r="H315" s="124"/>
      <c r="I315" s="124"/>
      <c r="J315" s="124"/>
      <c r="K315" s="124"/>
    </row>
    <row r="316" spans="6:11" ht="15.75" customHeight="1" x14ac:dyDescent="0.3">
      <c r="F316" s="124"/>
      <c r="G316" s="124"/>
      <c r="H316" s="124"/>
      <c r="I316" s="124"/>
      <c r="J316" s="124"/>
      <c r="K316" s="124"/>
    </row>
    <row r="317" spans="6:11" ht="15.75" customHeight="1" x14ac:dyDescent="0.3">
      <c r="F317" s="124"/>
      <c r="G317" s="124"/>
      <c r="H317" s="124"/>
      <c r="I317" s="124"/>
      <c r="J317" s="124"/>
      <c r="K317" s="124"/>
    </row>
    <row r="318" spans="6:11" ht="15.75" customHeight="1" x14ac:dyDescent="0.3">
      <c r="F318" s="124"/>
      <c r="G318" s="124"/>
      <c r="H318" s="124"/>
      <c r="I318" s="124"/>
      <c r="J318" s="124"/>
      <c r="K318" s="124"/>
    </row>
    <row r="319" spans="6:11" ht="15.75" customHeight="1" x14ac:dyDescent="0.3">
      <c r="F319" s="124"/>
      <c r="G319" s="124"/>
      <c r="H319" s="124"/>
      <c r="I319" s="124"/>
      <c r="J319" s="124"/>
      <c r="K319" s="124"/>
    </row>
    <row r="320" spans="6:11" ht="15.75" customHeight="1" x14ac:dyDescent="0.3">
      <c r="F320" s="124"/>
      <c r="G320" s="124"/>
      <c r="H320" s="124"/>
      <c r="I320" s="124"/>
      <c r="J320" s="124"/>
      <c r="K320" s="124"/>
    </row>
    <row r="321" spans="6:11" ht="15.75" customHeight="1" x14ac:dyDescent="0.3">
      <c r="F321" s="124"/>
      <c r="G321" s="124"/>
      <c r="H321" s="124"/>
      <c r="I321" s="124"/>
      <c r="J321" s="124"/>
      <c r="K321" s="124"/>
    </row>
    <row r="322" spans="6:11" ht="15.75" customHeight="1" x14ac:dyDescent="0.3">
      <c r="F322" s="124"/>
      <c r="G322" s="124"/>
      <c r="H322" s="124"/>
      <c r="I322" s="124"/>
      <c r="J322" s="124"/>
      <c r="K322" s="124"/>
    </row>
    <row r="323" spans="6:11" ht="15.75" customHeight="1" x14ac:dyDescent="0.3">
      <c r="F323" s="124"/>
      <c r="G323" s="124"/>
      <c r="H323" s="124"/>
      <c r="I323" s="124"/>
      <c r="J323" s="124"/>
      <c r="K323" s="124"/>
    </row>
    <row r="324" spans="6:11" ht="15.75" customHeight="1" x14ac:dyDescent="0.3">
      <c r="F324" s="124"/>
      <c r="G324" s="124"/>
      <c r="H324" s="124"/>
      <c r="I324" s="124"/>
      <c r="J324" s="124"/>
      <c r="K324" s="124"/>
    </row>
    <row r="325" spans="6:11" ht="15.75" customHeight="1" x14ac:dyDescent="0.3">
      <c r="F325" s="124"/>
      <c r="G325" s="124"/>
      <c r="H325" s="124"/>
      <c r="I325" s="124"/>
      <c r="J325" s="124"/>
      <c r="K325" s="124"/>
    </row>
    <row r="326" spans="6:11" ht="15.75" customHeight="1" x14ac:dyDescent="0.3">
      <c r="F326" s="124"/>
      <c r="G326" s="124"/>
      <c r="H326" s="124"/>
      <c r="I326" s="124"/>
      <c r="J326" s="124"/>
      <c r="K326" s="124"/>
    </row>
    <row r="327" spans="6:11" ht="15.75" customHeight="1" x14ac:dyDescent="0.3">
      <c r="F327" s="124"/>
      <c r="G327" s="124"/>
      <c r="H327" s="124"/>
      <c r="I327" s="124"/>
      <c r="J327" s="124"/>
      <c r="K327" s="124"/>
    </row>
    <row r="328" spans="6:11" ht="15.75" customHeight="1" x14ac:dyDescent="0.3">
      <c r="F328" s="124"/>
      <c r="G328" s="124"/>
      <c r="H328" s="124"/>
      <c r="I328" s="124"/>
      <c r="J328" s="124"/>
      <c r="K328" s="124"/>
    </row>
    <row r="329" spans="6:11" ht="15.75" customHeight="1" x14ac:dyDescent="0.3">
      <c r="F329" s="124"/>
      <c r="G329" s="124"/>
      <c r="H329" s="124"/>
      <c r="I329" s="124"/>
      <c r="J329" s="124"/>
      <c r="K329" s="124"/>
    </row>
    <row r="330" spans="6:11" ht="15.75" customHeight="1" x14ac:dyDescent="0.3">
      <c r="F330" s="124"/>
      <c r="G330" s="124"/>
      <c r="H330" s="124"/>
      <c r="I330" s="124"/>
      <c r="J330" s="124"/>
      <c r="K330" s="124"/>
    </row>
    <row r="331" spans="6:11" ht="15.75" customHeight="1" x14ac:dyDescent="0.3">
      <c r="F331" s="124"/>
      <c r="G331" s="124"/>
      <c r="H331" s="124"/>
      <c r="I331" s="124"/>
      <c r="J331" s="124"/>
      <c r="K331" s="124"/>
    </row>
    <row r="332" spans="6:11" ht="15.75" customHeight="1" x14ac:dyDescent="0.3">
      <c r="F332" s="124"/>
      <c r="G332" s="124"/>
      <c r="H332" s="124"/>
      <c r="I332" s="124"/>
      <c r="J332" s="124"/>
      <c r="K332" s="124"/>
    </row>
    <row r="333" spans="6:11" ht="15.75" customHeight="1" x14ac:dyDescent="0.3">
      <c r="F333" s="124"/>
      <c r="G333" s="124"/>
      <c r="H333" s="124"/>
      <c r="I333" s="124"/>
      <c r="J333" s="124"/>
      <c r="K333" s="124"/>
    </row>
    <row r="334" spans="6:11" ht="15.75" customHeight="1" x14ac:dyDescent="0.3">
      <c r="F334" s="124"/>
      <c r="G334" s="124"/>
      <c r="H334" s="124"/>
      <c r="I334" s="124"/>
      <c r="J334" s="124"/>
      <c r="K334" s="124"/>
    </row>
    <row r="335" spans="6:11" ht="15.75" customHeight="1" x14ac:dyDescent="0.3">
      <c r="F335" s="124"/>
      <c r="G335" s="124"/>
      <c r="H335" s="124"/>
      <c r="I335" s="124"/>
      <c r="J335" s="124"/>
      <c r="K335" s="124"/>
    </row>
    <row r="336" spans="6:11" ht="15.75" customHeight="1" x14ac:dyDescent="0.3">
      <c r="F336" s="124"/>
      <c r="G336" s="124"/>
      <c r="H336" s="124"/>
      <c r="I336" s="124"/>
      <c r="J336" s="124"/>
      <c r="K336" s="124"/>
    </row>
    <row r="337" spans="6:11" ht="15.75" customHeight="1" x14ac:dyDescent="0.3">
      <c r="F337" s="124"/>
      <c r="G337" s="124"/>
      <c r="H337" s="124"/>
      <c r="I337" s="124"/>
      <c r="J337" s="124"/>
      <c r="K337" s="124"/>
    </row>
    <row r="338" spans="6:11" ht="15.75" customHeight="1" x14ac:dyDescent="0.3">
      <c r="F338" s="124"/>
      <c r="G338" s="124"/>
      <c r="H338" s="124"/>
      <c r="I338" s="124"/>
      <c r="J338" s="124"/>
      <c r="K338" s="124"/>
    </row>
    <row r="339" spans="6:11" ht="15.75" customHeight="1" x14ac:dyDescent="0.3">
      <c r="F339" s="124"/>
      <c r="G339" s="124"/>
      <c r="H339" s="124"/>
      <c r="I339" s="124"/>
      <c r="J339" s="124"/>
      <c r="K339" s="124"/>
    </row>
    <row r="340" spans="6:11" ht="15.75" customHeight="1" x14ac:dyDescent="0.3">
      <c r="F340" s="124"/>
      <c r="G340" s="124"/>
      <c r="H340" s="124"/>
      <c r="I340" s="124"/>
      <c r="J340" s="124"/>
      <c r="K340" s="124"/>
    </row>
    <row r="341" spans="6:11" ht="15.75" customHeight="1" x14ac:dyDescent="0.3">
      <c r="F341" s="124"/>
      <c r="G341" s="124"/>
      <c r="H341" s="124"/>
      <c r="I341" s="124"/>
      <c r="J341" s="124"/>
      <c r="K341" s="124"/>
    </row>
    <row r="342" spans="6:11" ht="15.75" customHeight="1" x14ac:dyDescent="0.3">
      <c r="F342" s="124"/>
      <c r="G342" s="124"/>
      <c r="H342" s="124"/>
      <c r="I342" s="124"/>
      <c r="J342" s="124"/>
      <c r="K342" s="124"/>
    </row>
    <row r="343" spans="6:11" ht="15.75" customHeight="1" x14ac:dyDescent="0.3">
      <c r="F343" s="124"/>
      <c r="G343" s="124"/>
      <c r="H343" s="124"/>
      <c r="I343" s="124"/>
      <c r="J343" s="124"/>
      <c r="K343" s="124"/>
    </row>
    <row r="344" spans="6:11" ht="15.75" customHeight="1" x14ac:dyDescent="0.3">
      <c r="F344" s="124"/>
      <c r="G344" s="124"/>
      <c r="H344" s="124"/>
      <c r="I344" s="124"/>
      <c r="J344" s="124"/>
      <c r="K344" s="124"/>
    </row>
    <row r="345" spans="6:11" ht="15.75" customHeight="1" x14ac:dyDescent="0.3">
      <c r="F345" s="124"/>
      <c r="G345" s="124"/>
      <c r="H345" s="124"/>
      <c r="I345" s="124"/>
      <c r="J345" s="124"/>
      <c r="K345" s="124"/>
    </row>
    <row r="346" spans="6:11" ht="15.75" customHeight="1" x14ac:dyDescent="0.3">
      <c r="F346" s="124"/>
      <c r="G346" s="124"/>
      <c r="H346" s="124"/>
      <c r="I346" s="124"/>
      <c r="J346" s="124"/>
      <c r="K346" s="124"/>
    </row>
    <row r="347" spans="6:11" ht="15.75" customHeight="1" x14ac:dyDescent="0.3">
      <c r="F347" s="124"/>
      <c r="G347" s="124"/>
      <c r="H347" s="124"/>
      <c r="I347" s="124"/>
      <c r="J347" s="124"/>
      <c r="K347" s="124"/>
    </row>
    <row r="348" spans="6:11" ht="15.75" customHeight="1" x14ac:dyDescent="0.3">
      <c r="F348" s="124"/>
      <c r="G348" s="124"/>
      <c r="H348" s="124"/>
      <c r="I348" s="124"/>
      <c r="J348" s="124"/>
      <c r="K348" s="124"/>
    </row>
    <row r="349" spans="6:11" ht="15.75" customHeight="1" x14ac:dyDescent="0.3">
      <c r="F349" s="124"/>
      <c r="G349" s="124"/>
      <c r="H349" s="124"/>
      <c r="I349" s="124"/>
      <c r="J349" s="124"/>
      <c r="K349" s="124"/>
    </row>
    <row r="350" spans="6:11" ht="15.75" customHeight="1" x14ac:dyDescent="0.3">
      <c r="F350" s="124"/>
      <c r="G350" s="124"/>
      <c r="H350" s="124"/>
      <c r="I350" s="124"/>
      <c r="J350" s="124"/>
      <c r="K350" s="124"/>
    </row>
    <row r="351" spans="6:11" ht="15.75" customHeight="1" x14ac:dyDescent="0.3">
      <c r="F351" s="124"/>
      <c r="G351" s="124"/>
      <c r="H351" s="124"/>
      <c r="I351" s="124"/>
      <c r="J351" s="124"/>
      <c r="K351" s="124"/>
    </row>
    <row r="352" spans="6:11" ht="15.75" customHeight="1" x14ac:dyDescent="0.3">
      <c r="F352" s="124"/>
      <c r="G352" s="124"/>
      <c r="H352" s="124"/>
      <c r="I352" s="124"/>
      <c r="J352" s="124"/>
      <c r="K352" s="124"/>
    </row>
    <row r="353" spans="6:11" ht="15.75" customHeight="1" x14ac:dyDescent="0.3">
      <c r="F353" s="124"/>
      <c r="G353" s="124"/>
      <c r="H353" s="124"/>
      <c r="I353" s="124"/>
      <c r="J353" s="124"/>
      <c r="K353" s="124"/>
    </row>
    <row r="354" spans="6:11" ht="15.75" customHeight="1" x14ac:dyDescent="0.3">
      <c r="F354" s="124"/>
      <c r="G354" s="124"/>
      <c r="H354" s="124"/>
      <c r="I354" s="124"/>
      <c r="J354" s="124"/>
      <c r="K354" s="124"/>
    </row>
    <row r="355" spans="6:11" ht="15.75" customHeight="1" x14ac:dyDescent="0.3">
      <c r="F355" s="124"/>
      <c r="G355" s="124"/>
      <c r="H355" s="124"/>
      <c r="I355" s="124"/>
      <c r="J355" s="124"/>
      <c r="K355" s="124"/>
    </row>
    <row r="356" spans="6:11" ht="15.75" customHeight="1" x14ac:dyDescent="0.3">
      <c r="F356" s="124"/>
      <c r="G356" s="124"/>
      <c r="H356" s="124"/>
      <c r="I356" s="124"/>
      <c r="J356" s="124"/>
      <c r="K356" s="124"/>
    </row>
    <row r="357" spans="6:11" ht="15.75" customHeight="1" x14ac:dyDescent="0.3">
      <c r="F357" s="124"/>
      <c r="G357" s="124"/>
      <c r="H357" s="124"/>
      <c r="I357" s="124"/>
      <c r="J357" s="124"/>
      <c r="K357" s="124"/>
    </row>
    <row r="358" spans="6:11" ht="15.75" customHeight="1" x14ac:dyDescent="0.3">
      <c r="F358" s="124"/>
      <c r="G358" s="124"/>
      <c r="H358" s="124"/>
      <c r="I358" s="124"/>
      <c r="J358" s="124"/>
      <c r="K358" s="124"/>
    </row>
    <row r="359" spans="6:11" ht="15.75" customHeight="1" x14ac:dyDescent="0.3">
      <c r="F359" s="124"/>
      <c r="G359" s="124"/>
      <c r="H359" s="124"/>
      <c r="I359" s="124"/>
      <c r="J359" s="124"/>
      <c r="K359" s="124"/>
    </row>
    <row r="360" spans="6:11" ht="15.75" customHeight="1" x14ac:dyDescent="0.3">
      <c r="F360" s="124"/>
      <c r="G360" s="124"/>
      <c r="H360" s="124"/>
      <c r="I360" s="124"/>
      <c r="J360" s="124"/>
      <c r="K360" s="124"/>
    </row>
    <row r="361" spans="6:11" ht="15.75" customHeight="1" x14ac:dyDescent="0.3">
      <c r="F361" s="124"/>
      <c r="G361" s="124"/>
      <c r="H361" s="124"/>
      <c r="I361" s="124"/>
      <c r="J361" s="124"/>
      <c r="K361" s="124"/>
    </row>
    <row r="362" spans="6:11" ht="15.75" customHeight="1" x14ac:dyDescent="0.3">
      <c r="F362" s="124"/>
      <c r="G362" s="124"/>
      <c r="H362" s="124"/>
      <c r="I362" s="124"/>
      <c r="J362" s="124"/>
      <c r="K362" s="124"/>
    </row>
    <row r="363" spans="6:11" ht="15.75" customHeight="1" x14ac:dyDescent="0.3">
      <c r="F363" s="124"/>
      <c r="G363" s="124"/>
      <c r="H363" s="124"/>
      <c r="I363" s="124"/>
      <c r="J363" s="124"/>
      <c r="K363" s="124"/>
    </row>
    <row r="364" spans="6:11" ht="15.75" customHeight="1" x14ac:dyDescent="0.3">
      <c r="F364" s="124"/>
      <c r="G364" s="124"/>
      <c r="H364" s="124"/>
      <c r="I364" s="124"/>
      <c r="J364" s="124"/>
      <c r="K364" s="124"/>
    </row>
    <row r="365" spans="6:11" ht="15.75" customHeight="1" x14ac:dyDescent="0.3">
      <c r="F365" s="124"/>
      <c r="G365" s="124"/>
      <c r="H365" s="124"/>
      <c r="I365" s="124"/>
      <c r="J365" s="124"/>
      <c r="K365" s="124"/>
    </row>
    <row r="366" spans="6:11" ht="15.75" customHeight="1" x14ac:dyDescent="0.3">
      <c r="F366" s="124"/>
      <c r="G366" s="124"/>
      <c r="H366" s="124"/>
      <c r="I366" s="124"/>
      <c r="J366" s="124"/>
      <c r="K366" s="124"/>
    </row>
    <row r="367" spans="6:11" ht="15.75" customHeight="1" x14ac:dyDescent="0.3">
      <c r="F367" s="124"/>
      <c r="G367" s="124"/>
      <c r="H367" s="124"/>
      <c r="I367" s="124"/>
      <c r="J367" s="124"/>
      <c r="K367" s="124"/>
    </row>
    <row r="368" spans="6:11" ht="15.75" customHeight="1" x14ac:dyDescent="0.3">
      <c r="F368" s="124"/>
      <c r="G368" s="124"/>
      <c r="H368" s="124"/>
      <c r="I368" s="124"/>
      <c r="J368" s="124"/>
      <c r="K368" s="124"/>
    </row>
    <row r="369" spans="6:11" ht="15.75" customHeight="1" x14ac:dyDescent="0.3">
      <c r="F369" s="124"/>
      <c r="G369" s="124"/>
      <c r="H369" s="124"/>
      <c r="I369" s="124"/>
      <c r="J369" s="124"/>
      <c r="K369" s="124"/>
    </row>
    <row r="370" spans="6:11" ht="15.75" customHeight="1" x14ac:dyDescent="0.3">
      <c r="F370" s="124"/>
      <c r="G370" s="124"/>
      <c r="H370" s="124"/>
      <c r="I370" s="124"/>
      <c r="J370" s="124"/>
      <c r="K370" s="124"/>
    </row>
    <row r="371" spans="6:11" ht="15.75" customHeight="1" x14ac:dyDescent="0.3">
      <c r="F371" s="124"/>
      <c r="G371" s="124"/>
      <c r="H371" s="124"/>
      <c r="I371" s="124"/>
      <c r="J371" s="124"/>
      <c r="K371" s="124"/>
    </row>
    <row r="372" spans="6:11" ht="15.75" customHeight="1" x14ac:dyDescent="0.3">
      <c r="F372" s="124"/>
      <c r="G372" s="124"/>
      <c r="H372" s="124"/>
      <c r="I372" s="124"/>
      <c r="J372" s="124"/>
      <c r="K372" s="124"/>
    </row>
    <row r="373" spans="6:11" ht="15.75" customHeight="1" x14ac:dyDescent="0.3">
      <c r="F373" s="124"/>
      <c r="G373" s="124"/>
      <c r="H373" s="124"/>
      <c r="I373" s="124"/>
      <c r="J373" s="124"/>
      <c r="K373" s="124"/>
    </row>
    <row r="374" spans="6:11" ht="15.75" customHeight="1" x14ac:dyDescent="0.3">
      <c r="F374" s="124"/>
      <c r="G374" s="124"/>
      <c r="H374" s="124"/>
      <c r="I374" s="124"/>
      <c r="J374" s="124"/>
      <c r="K374" s="124"/>
    </row>
    <row r="375" spans="6:11" ht="15.75" customHeight="1" x14ac:dyDescent="0.3">
      <c r="F375" s="124"/>
      <c r="G375" s="124"/>
      <c r="H375" s="124"/>
      <c r="I375" s="124"/>
      <c r="J375" s="124"/>
      <c r="K375" s="124"/>
    </row>
    <row r="376" spans="6:11" ht="15.75" customHeight="1" x14ac:dyDescent="0.3">
      <c r="F376" s="124"/>
      <c r="G376" s="124"/>
      <c r="H376" s="124"/>
      <c r="I376" s="124"/>
      <c r="J376" s="124"/>
      <c r="K376" s="124"/>
    </row>
    <row r="377" spans="6:11" ht="15.75" customHeight="1" x14ac:dyDescent="0.3">
      <c r="F377" s="124"/>
      <c r="G377" s="124"/>
      <c r="H377" s="124"/>
      <c r="I377" s="124"/>
      <c r="J377" s="124"/>
      <c r="K377" s="124"/>
    </row>
    <row r="378" spans="6:11" ht="15.75" customHeight="1" x14ac:dyDescent="0.3">
      <c r="F378" s="124"/>
      <c r="G378" s="124"/>
      <c r="H378" s="124"/>
      <c r="I378" s="124"/>
      <c r="J378" s="124"/>
      <c r="K378" s="124"/>
    </row>
    <row r="379" spans="6:11" ht="15.75" customHeight="1" x14ac:dyDescent="0.3">
      <c r="F379" s="124"/>
      <c r="G379" s="124"/>
      <c r="H379" s="124"/>
      <c r="I379" s="124"/>
      <c r="J379" s="124"/>
      <c r="K379" s="124"/>
    </row>
    <row r="380" spans="6:11" ht="15.75" customHeight="1" x14ac:dyDescent="0.3">
      <c r="F380" s="124"/>
      <c r="G380" s="124"/>
      <c r="H380" s="124"/>
      <c r="I380" s="124"/>
      <c r="J380" s="124"/>
      <c r="K380" s="124"/>
    </row>
    <row r="381" spans="6:11" ht="15.75" customHeight="1" x14ac:dyDescent="0.3">
      <c r="F381" s="124"/>
      <c r="G381" s="124"/>
      <c r="H381" s="124"/>
      <c r="I381" s="124"/>
      <c r="J381" s="124"/>
      <c r="K381" s="124"/>
    </row>
    <row r="382" spans="6:11" ht="15.75" customHeight="1" x14ac:dyDescent="0.3">
      <c r="F382" s="124"/>
      <c r="G382" s="124"/>
      <c r="H382" s="124"/>
      <c r="I382" s="124"/>
      <c r="J382" s="124"/>
      <c r="K382" s="124"/>
    </row>
    <row r="383" spans="6:11" ht="15.75" customHeight="1" x14ac:dyDescent="0.3">
      <c r="F383" s="124"/>
      <c r="G383" s="124"/>
      <c r="H383" s="124"/>
      <c r="I383" s="124"/>
      <c r="J383" s="124"/>
      <c r="K383" s="124"/>
    </row>
    <row r="384" spans="6:11" ht="15.75" customHeight="1" x14ac:dyDescent="0.3">
      <c r="F384" s="124"/>
      <c r="G384" s="124"/>
      <c r="H384" s="124"/>
      <c r="I384" s="124"/>
      <c r="J384" s="124"/>
      <c r="K384" s="124"/>
    </row>
    <row r="385" spans="6:11" ht="15.75" customHeight="1" x14ac:dyDescent="0.3">
      <c r="F385" s="124"/>
      <c r="G385" s="124"/>
      <c r="H385" s="124"/>
      <c r="I385" s="124"/>
      <c r="J385" s="124"/>
      <c r="K385" s="124"/>
    </row>
    <row r="386" spans="6:11" ht="15.75" customHeight="1" x14ac:dyDescent="0.3">
      <c r="F386" s="124"/>
      <c r="G386" s="124"/>
      <c r="H386" s="124"/>
      <c r="I386" s="124"/>
      <c r="J386" s="124"/>
      <c r="K386" s="124"/>
    </row>
    <row r="387" spans="6:11" ht="15.75" customHeight="1" x14ac:dyDescent="0.3">
      <c r="F387" s="124"/>
      <c r="G387" s="124"/>
      <c r="H387" s="124"/>
      <c r="I387" s="124"/>
      <c r="J387" s="124"/>
      <c r="K387" s="124"/>
    </row>
    <row r="388" spans="6:11" ht="15.75" customHeight="1" x14ac:dyDescent="0.3">
      <c r="F388" s="124"/>
      <c r="G388" s="124"/>
      <c r="H388" s="124"/>
      <c r="I388" s="124"/>
      <c r="J388" s="124"/>
      <c r="K388" s="124"/>
    </row>
    <row r="389" spans="6:11" ht="15.75" customHeight="1" x14ac:dyDescent="0.3">
      <c r="F389" s="124"/>
      <c r="G389" s="124"/>
      <c r="H389" s="124"/>
      <c r="I389" s="124"/>
      <c r="J389" s="124"/>
      <c r="K389" s="124"/>
    </row>
    <row r="390" spans="6:11" ht="15.75" customHeight="1" x14ac:dyDescent="0.3">
      <c r="F390" s="124"/>
      <c r="G390" s="124"/>
      <c r="H390" s="124"/>
      <c r="I390" s="124"/>
      <c r="J390" s="124"/>
      <c r="K390" s="124"/>
    </row>
    <row r="391" spans="6:11" ht="15.75" customHeight="1" x14ac:dyDescent="0.3">
      <c r="F391" s="124"/>
      <c r="G391" s="124"/>
      <c r="H391" s="124"/>
      <c r="I391" s="124"/>
      <c r="J391" s="124"/>
      <c r="K391" s="124"/>
    </row>
    <row r="392" spans="6:11" ht="15.75" customHeight="1" x14ac:dyDescent="0.3">
      <c r="F392" s="124"/>
      <c r="G392" s="124"/>
      <c r="H392" s="124"/>
      <c r="I392" s="124"/>
      <c r="J392" s="124"/>
      <c r="K392" s="124"/>
    </row>
    <row r="393" spans="6:11" ht="15.75" customHeight="1" x14ac:dyDescent="0.3">
      <c r="F393" s="124"/>
      <c r="G393" s="124"/>
      <c r="H393" s="124"/>
      <c r="I393" s="124"/>
      <c r="J393" s="124"/>
      <c r="K393" s="124"/>
    </row>
    <row r="394" spans="6:11" ht="15.75" customHeight="1" x14ac:dyDescent="0.3">
      <c r="F394" s="124"/>
      <c r="G394" s="124"/>
      <c r="H394" s="124"/>
      <c r="I394" s="124"/>
      <c r="J394" s="124"/>
      <c r="K394" s="124"/>
    </row>
    <row r="395" spans="6:11" ht="15.75" customHeight="1" x14ac:dyDescent="0.3">
      <c r="F395" s="124"/>
      <c r="G395" s="124"/>
      <c r="H395" s="124"/>
      <c r="I395" s="124"/>
      <c r="J395" s="124"/>
      <c r="K395" s="124"/>
    </row>
    <row r="396" spans="6:11" ht="15.75" customHeight="1" x14ac:dyDescent="0.3">
      <c r="F396" s="124"/>
      <c r="G396" s="124"/>
      <c r="H396" s="124"/>
      <c r="I396" s="124"/>
      <c r="J396" s="124"/>
      <c r="K396" s="124"/>
    </row>
    <row r="397" spans="6:11" ht="15.75" customHeight="1" x14ac:dyDescent="0.3">
      <c r="F397" s="124"/>
      <c r="G397" s="124"/>
      <c r="H397" s="124"/>
      <c r="I397" s="124"/>
      <c r="J397" s="124"/>
      <c r="K397" s="124"/>
    </row>
    <row r="398" spans="6:11" ht="15.75" customHeight="1" x14ac:dyDescent="0.3">
      <c r="F398" s="124"/>
      <c r="G398" s="124"/>
      <c r="H398" s="124"/>
      <c r="I398" s="124"/>
      <c r="J398" s="124"/>
      <c r="K398" s="124"/>
    </row>
    <row r="399" spans="6:11" ht="15.75" customHeight="1" x14ac:dyDescent="0.3">
      <c r="F399" s="124"/>
      <c r="G399" s="124"/>
      <c r="H399" s="124"/>
      <c r="I399" s="124"/>
      <c r="J399" s="124"/>
      <c r="K399" s="124"/>
    </row>
    <row r="400" spans="6:11" ht="15.75" customHeight="1" x14ac:dyDescent="0.3">
      <c r="F400" s="124"/>
      <c r="G400" s="124"/>
      <c r="H400" s="124"/>
      <c r="I400" s="124"/>
      <c r="J400" s="124"/>
      <c r="K400" s="124"/>
    </row>
    <row r="401" spans="6:11" ht="15.75" customHeight="1" x14ac:dyDescent="0.3">
      <c r="F401" s="124"/>
      <c r="G401" s="124"/>
      <c r="H401" s="124"/>
      <c r="I401" s="124"/>
      <c r="J401" s="124"/>
      <c r="K401" s="124"/>
    </row>
    <row r="402" spans="6:11" ht="15.75" customHeight="1" x14ac:dyDescent="0.3">
      <c r="F402" s="124"/>
      <c r="G402" s="124"/>
      <c r="H402" s="124"/>
      <c r="I402" s="124"/>
      <c r="J402" s="124"/>
      <c r="K402" s="124"/>
    </row>
    <row r="403" spans="6:11" ht="15.75" customHeight="1" x14ac:dyDescent="0.3">
      <c r="F403" s="124"/>
      <c r="G403" s="124"/>
      <c r="H403" s="124"/>
      <c r="I403" s="124"/>
      <c r="J403" s="124"/>
      <c r="K403" s="124"/>
    </row>
    <row r="404" spans="6:11" ht="15.75" customHeight="1" x14ac:dyDescent="0.3">
      <c r="F404" s="124"/>
      <c r="G404" s="124"/>
      <c r="H404" s="124"/>
      <c r="I404" s="124"/>
      <c r="J404" s="124"/>
      <c r="K404" s="124"/>
    </row>
    <row r="405" spans="6:11" ht="15.75" customHeight="1" x14ac:dyDescent="0.3">
      <c r="F405" s="124"/>
      <c r="G405" s="124"/>
      <c r="H405" s="124"/>
      <c r="I405" s="124"/>
      <c r="J405" s="124"/>
      <c r="K405" s="124"/>
    </row>
    <row r="406" spans="6:11" ht="15.75" customHeight="1" x14ac:dyDescent="0.3">
      <c r="F406" s="124"/>
      <c r="G406" s="124"/>
      <c r="H406" s="124"/>
      <c r="I406" s="124"/>
      <c r="J406" s="124"/>
      <c r="K406" s="124"/>
    </row>
    <row r="407" spans="6:11" ht="15.75" customHeight="1" x14ac:dyDescent="0.3">
      <c r="F407" s="124"/>
      <c r="G407" s="124"/>
      <c r="H407" s="124"/>
      <c r="I407" s="124"/>
      <c r="J407" s="124"/>
      <c r="K407" s="124"/>
    </row>
    <row r="408" spans="6:11" ht="15.75" customHeight="1" x14ac:dyDescent="0.3">
      <c r="F408" s="124"/>
      <c r="G408" s="124"/>
      <c r="H408" s="124"/>
      <c r="I408" s="124"/>
      <c r="J408" s="124"/>
      <c r="K408" s="124"/>
    </row>
    <row r="409" spans="6:11" ht="15.75" customHeight="1" x14ac:dyDescent="0.3">
      <c r="F409" s="124"/>
      <c r="G409" s="124"/>
      <c r="H409" s="124"/>
      <c r="I409" s="124"/>
      <c r="J409" s="124"/>
      <c r="K409" s="124"/>
    </row>
    <row r="410" spans="6:11" ht="15.75" customHeight="1" x14ac:dyDescent="0.3">
      <c r="F410" s="124"/>
      <c r="G410" s="124"/>
      <c r="H410" s="124"/>
      <c r="I410" s="124"/>
      <c r="J410" s="124"/>
      <c r="K410" s="124"/>
    </row>
    <row r="411" spans="6:11" ht="15.75" customHeight="1" x14ac:dyDescent="0.3">
      <c r="F411" s="124"/>
      <c r="G411" s="124"/>
      <c r="H411" s="124"/>
      <c r="I411" s="124"/>
      <c r="J411" s="124"/>
      <c r="K411" s="124"/>
    </row>
    <row r="412" spans="6:11" ht="15.75" customHeight="1" x14ac:dyDescent="0.3">
      <c r="F412" s="124"/>
      <c r="G412" s="124"/>
      <c r="H412" s="124"/>
      <c r="I412" s="124"/>
      <c r="J412" s="124"/>
      <c r="K412" s="124"/>
    </row>
    <row r="413" spans="6:11" ht="15.75" customHeight="1" x14ac:dyDescent="0.3">
      <c r="F413" s="124"/>
      <c r="G413" s="124"/>
      <c r="H413" s="124"/>
      <c r="I413" s="124"/>
      <c r="J413" s="124"/>
      <c r="K413" s="124"/>
    </row>
    <row r="414" spans="6:11" ht="15.75" customHeight="1" x14ac:dyDescent="0.3">
      <c r="F414" s="124"/>
      <c r="G414" s="124"/>
      <c r="H414" s="124"/>
      <c r="I414" s="124"/>
      <c r="J414" s="124"/>
      <c r="K414" s="124"/>
    </row>
    <row r="415" spans="6:11" ht="15.75" customHeight="1" x14ac:dyDescent="0.3">
      <c r="F415" s="124"/>
      <c r="G415" s="124"/>
      <c r="H415" s="124"/>
      <c r="I415" s="124"/>
      <c r="J415" s="124"/>
      <c r="K415" s="124"/>
    </row>
    <row r="416" spans="6:11" ht="15.75" customHeight="1" x14ac:dyDescent="0.3">
      <c r="F416" s="124"/>
      <c r="G416" s="124"/>
      <c r="H416" s="124"/>
      <c r="I416" s="124"/>
      <c r="J416" s="124"/>
      <c r="K416" s="124"/>
    </row>
    <row r="417" spans="6:11" ht="15.75" customHeight="1" x14ac:dyDescent="0.3">
      <c r="F417" s="124"/>
      <c r="G417" s="124"/>
      <c r="H417" s="124"/>
      <c r="I417" s="124"/>
      <c r="J417" s="124"/>
      <c r="K417" s="124"/>
    </row>
    <row r="418" spans="6:11" ht="15.75" customHeight="1" x14ac:dyDescent="0.3">
      <c r="F418" s="124"/>
      <c r="G418" s="124"/>
      <c r="H418" s="124"/>
      <c r="I418" s="124"/>
      <c r="J418" s="124"/>
      <c r="K418" s="124"/>
    </row>
    <row r="419" spans="6:11" ht="15.75" customHeight="1" x14ac:dyDescent="0.3">
      <c r="F419" s="124"/>
      <c r="G419" s="124"/>
      <c r="H419" s="124"/>
      <c r="I419" s="124"/>
      <c r="J419" s="124"/>
      <c r="K419" s="124"/>
    </row>
    <row r="420" spans="6:11" ht="15.75" customHeight="1" x14ac:dyDescent="0.3">
      <c r="F420" s="124"/>
      <c r="G420" s="124"/>
      <c r="H420" s="124"/>
      <c r="I420" s="124"/>
      <c r="J420" s="124"/>
      <c r="K420" s="124"/>
    </row>
    <row r="421" spans="6:11" ht="15.75" customHeight="1" x14ac:dyDescent="0.3">
      <c r="F421" s="124"/>
      <c r="G421" s="124"/>
      <c r="H421" s="124"/>
      <c r="I421" s="124"/>
      <c r="J421" s="124"/>
      <c r="K421" s="124"/>
    </row>
    <row r="422" spans="6:11" ht="15.75" customHeight="1" x14ac:dyDescent="0.3">
      <c r="F422" s="124"/>
      <c r="G422" s="124"/>
      <c r="H422" s="124"/>
      <c r="I422" s="124"/>
      <c r="J422" s="124"/>
      <c r="K422" s="124"/>
    </row>
    <row r="423" spans="6:11" ht="15.75" customHeight="1" x14ac:dyDescent="0.3">
      <c r="F423" s="124"/>
      <c r="G423" s="124"/>
      <c r="H423" s="124"/>
      <c r="I423" s="124"/>
      <c r="J423" s="124"/>
      <c r="K423" s="124"/>
    </row>
    <row r="424" spans="6:11" ht="15.75" customHeight="1" x14ac:dyDescent="0.3">
      <c r="F424" s="124"/>
      <c r="G424" s="124"/>
      <c r="H424" s="124"/>
      <c r="I424" s="124"/>
      <c r="J424" s="124"/>
      <c r="K424" s="124"/>
    </row>
    <row r="425" spans="6:11" ht="15.75" customHeight="1" x14ac:dyDescent="0.3">
      <c r="F425" s="124"/>
      <c r="G425" s="124"/>
      <c r="H425" s="124"/>
      <c r="I425" s="124"/>
      <c r="J425" s="124"/>
      <c r="K425" s="124"/>
    </row>
    <row r="426" spans="6:11" ht="15.75" customHeight="1" x14ac:dyDescent="0.3">
      <c r="F426" s="124"/>
      <c r="G426" s="124"/>
      <c r="H426" s="124"/>
      <c r="I426" s="124"/>
      <c r="J426" s="124"/>
      <c r="K426" s="124"/>
    </row>
    <row r="427" spans="6:11" ht="15.75" customHeight="1" x14ac:dyDescent="0.3">
      <c r="F427" s="124"/>
      <c r="G427" s="124"/>
      <c r="H427" s="124"/>
      <c r="I427" s="124"/>
      <c r="J427" s="124"/>
      <c r="K427" s="124"/>
    </row>
    <row r="428" spans="6:11" ht="15.75" customHeight="1" x14ac:dyDescent="0.3">
      <c r="F428" s="124"/>
      <c r="G428" s="124"/>
      <c r="H428" s="124"/>
      <c r="I428" s="124"/>
      <c r="J428" s="124"/>
      <c r="K428" s="124"/>
    </row>
    <row r="429" spans="6:11" ht="15.75" customHeight="1" x14ac:dyDescent="0.3">
      <c r="F429" s="124"/>
      <c r="G429" s="124"/>
      <c r="H429" s="124"/>
      <c r="I429" s="124"/>
      <c r="J429" s="124"/>
      <c r="K429" s="124"/>
    </row>
    <row r="430" spans="6:11" ht="15.75" customHeight="1" x14ac:dyDescent="0.3">
      <c r="F430" s="124"/>
      <c r="G430" s="124"/>
      <c r="H430" s="124"/>
      <c r="I430" s="124"/>
      <c r="J430" s="124"/>
      <c r="K430" s="124"/>
    </row>
    <row r="431" spans="6:11" ht="15.75" customHeight="1" x14ac:dyDescent="0.3">
      <c r="F431" s="124"/>
      <c r="G431" s="124"/>
      <c r="H431" s="124"/>
      <c r="I431" s="124"/>
      <c r="J431" s="124"/>
      <c r="K431" s="124"/>
    </row>
    <row r="432" spans="6:11" ht="15.75" customHeight="1" x14ac:dyDescent="0.3">
      <c r="F432" s="124"/>
      <c r="G432" s="124"/>
      <c r="H432" s="124"/>
      <c r="I432" s="124"/>
      <c r="J432" s="124"/>
      <c r="K432" s="124"/>
    </row>
    <row r="433" spans="6:11" ht="15.75" customHeight="1" x14ac:dyDescent="0.3">
      <c r="F433" s="124"/>
      <c r="G433" s="124"/>
      <c r="H433" s="124"/>
      <c r="I433" s="124"/>
      <c r="J433" s="124"/>
      <c r="K433" s="124"/>
    </row>
    <row r="434" spans="6:11" ht="15.75" customHeight="1" x14ac:dyDescent="0.3">
      <c r="F434" s="124"/>
      <c r="G434" s="124"/>
      <c r="H434" s="124"/>
      <c r="I434" s="124"/>
      <c r="J434" s="124"/>
      <c r="K434" s="124"/>
    </row>
    <row r="435" spans="6:11" ht="15.75" customHeight="1" x14ac:dyDescent="0.3">
      <c r="F435" s="124"/>
      <c r="G435" s="124"/>
      <c r="H435" s="124"/>
      <c r="I435" s="124"/>
      <c r="J435" s="124"/>
      <c r="K435" s="124"/>
    </row>
    <row r="436" spans="6:11" ht="15.75" customHeight="1" x14ac:dyDescent="0.3">
      <c r="F436" s="124"/>
      <c r="G436" s="124"/>
      <c r="H436" s="124"/>
      <c r="I436" s="124"/>
      <c r="J436" s="124"/>
      <c r="K436" s="124"/>
    </row>
    <row r="437" spans="6:11" ht="15.75" customHeight="1" x14ac:dyDescent="0.3">
      <c r="F437" s="124"/>
      <c r="G437" s="124"/>
      <c r="H437" s="124"/>
      <c r="I437" s="124"/>
      <c r="J437" s="124"/>
      <c r="K437" s="124"/>
    </row>
    <row r="438" spans="6:11" ht="15.75" customHeight="1" x14ac:dyDescent="0.3">
      <c r="F438" s="124"/>
      <c r="G438" s="124"/>
      <c r="H438" s="124"/>
      <c r="I438" s="124"/>
      <c r="J438" s="124"/>
      <c r="K438" s="124"/>
    </row>
    <row r="439" spans="6:11" ht="15.75" customHeight="1" x14ac:dyDescent="0.3">
      <c r="F439" s="124"/>
      <c r="G439" s="124"/>
      <c r="H439" s="124"/>
      <c r="I439" s="124"/>
      <c r="J439" s="124"/>
      <c r="K439" s="124"/>
    </row>
    <row r="440" spans="6:11" ht="15.75" customHeight="1" x14ac:dyDescent="0.3">
      <c r="F440" s="124"/>
      <c r="G440" s="124"/>
      <c r="H440" s="124"/>
      <c r="I440" s="124"/>
      <c r="J440" s="124"/>
      <c r="K440" s="124"/>
    </row>
    <row r="441" spans="6:11" ht="15.75" customHeight="1" x14ac:dyDescent="0.3">
      <c r="F441" s="124"/>
      <c r="G441" s="124"/>
      <c r="H441" s="124"/>
      <c r="I441" s="124"/>
      <c r="J441" s="124"/>
      <c r="K441" s="124"/>
    </row>
    <row r="442" spans="6:11" ht="15.75" customHeight="1" x14ac:dyDescent="0.3">
      <c r="F442" s="124"/>
      <c r="G442" s="124"/>
      <c r="H442" s="124"/>
      <c r="I442" s="124"/>
      <c r="J442" s="124"/>
      <c r="K442" s="124"/>
    </row>
    <row r="443" spans="6:11" ht="15.75" customHeight="1" x14ac:dyDescent="0.3">
      <c r="F443" s="124"/>
      <c r="G443" s="124"/>
      <c r="H443" s="124"/>
      <c r="I443" s="124"/>
      <c r="J443" s="124"/>
      <c r="K443" s="124"/>
    </row>
    <row r="444" spans="6:11" ht="15.75" customHeight="1" x14ac:dyDescent="0.3">
      <c r="F444" s="124"/>
      <c r="G444" s="124"/>
      <c r="H444" s="124"/>
      <c r="I444" s="124"/>
      <c r="J444" s="124"/>
      <c r="K444" s="124"/>
    </row>
    <row r="445" spans="6:11" ht="15.75" customHeight="1" x14ac:dyDescent="0.3">
      <c r="F445" s="124"/>
      <c r="G445" s="124"/>
      <c r="H445" s="124"/>
      <c r="I445" s="124"/>
      <c r="J445" s="124"/>
      <c r="K445" s="124"/>
    </row>
    <row r="446" spans="6:11" ht="15.75" customHeight="1" x14ac:dyDescent="0.3">
      <c r="F446" s="124"/>
      <c r="G446" s="124"/>
      <c r="H446" s="124"/>
      <c r="I446" s="124"/>
      <c r="J446" s="124"/>
      <c r="K446" s="124"/>
    </row>
    <row r="447" spans="6:11" ht="15.75" customHeight="1" x14ac:dyDescent="0.3">
      <c r="F447" s="124"/>
      <c r="G447" s="124"/>
      <c r="H447" s="124"/>
      <c r="I447" s="124"/>
      <c r="J447" s="124"/>
      <c r="K447" s="124"/>
    </row>
    <row r="448" spans="6:11" ht="15.75" customHeight="1" x14ac:dyDescent="0.3">
      <c r="F448" s="124"/>
      <c r="G448" s="124"/>
      <c r="H448" s="124"/>
      <c r="I448" s="124"/>
      <c r="J448" s="124"/>
      <c r="K448" s="124"/>
    </row>
    <row r="449" spans="6:11" ht="15.75" customHeight="1" x14ac:dyDescent="0.3">
      <c r="F449" s="124"/>
      <c r="G449" s="124"/>
      <c r="H449" s="124"/>
      <c r="I449" s="124"/>
      <c r="J449" s="124"/>
      <c r="K449" s="124"/>
    </row>
    <row r="450" spans="6:11" ht="15.75" customHeight="1" x14ac:dyDescent="0.3">
      <c r="F450" s="124"/>
      <c r="G450" s="124"/>
      <c r="H450" s="124"/>
      <c r="I450" s="124"/>
      <c r="J450" s="124"/>
      <c r="K450" s="124"/>
    </row>
    <row r="451" spans="6:11" ht="15.75" customHeight="1" x14ac:dyDescent="0.3">
      <c r="F451" s="124"/>
      <c r="G451" s="124"/>
      <c r="H451" s="124"/>
      <c r="I451" s="124"/>
      <c r="J451" s="124"/>
      <c r="K451" s="124"/>
    </row>
    <row r="452" spans="6:11" ht="15.75" customHeight="1" x14ac:dyDescent="0.3">
      <c r="F452" s="124"/>
      <c r="G452" s="124"/>
      <c r="H452" s="124"/>
      <c r="I452" s="124"/>
      <c r="J452" s="124"/>
      <c r="K452" s="124"/>
    </row>
    <row r="453" spans="6:11" ht="15.75" customHeight="1" x14ac:dyDescent="0.3">
      <c r="F453" s="124"/>
      <c r="G453" s="124"/>
      <c r="H453" s="124"/>
      <c r="I453" s="124"/>
      <c r="J453" s="124"/>
      <c r="K453" s="124"/>
    </row>
    <row r="454" spans="6:11" ht="15.75" customHeight="1" x14ac:dyDescent="0.3">
      <c r="F454" s="124"/>
      <c r="G454" s="124"/>
      <c r="H454" s="124"/>
      <c r="I454" s="124"/>
      <c r="J454" s="124"/>
      <c r="K454" s="124"/>
    </row>
    <row r="455" spans="6:11" ht="15.75" customHeight="1" x14ac:dyDescent="0.3">
      <c r="F455" s="124"/>
      <c r="G455" s="124"/>
      <c r="H455" s="124"/>
      <c r="I455" s="124"/>
      <c r="J455" s="124"/>
      <c r="K455" s="124"/>
    </row>
    <row r="456" spans="6:11" ht="15.75" customHeight="1" x14ac:dyDescent="0.3">
      <c r="F456" s="124"/>
      <c r="G456" s="124"/>
      <c r="H456" s="124"/>
      <c r="I456" s="124"/>
      <c r="J456" s="124"/>
      <c r="K456" s="124"/>
    </row>
    <row r="457" spans="6:11" ht="15.75" customHeight="1" x14ac:dyDescent="0.3">
      <c r="F457" s="124"/>
      <c r="G457" s="124"/>
      <c r="H457" s="124"/>
      <c r="I457" s="124"/>
      <c r="J457" s="124"/>
      <c r="K457" s="124"/>
    </row>
    <row r="458" spans="6:11" ht="15.75" customHeight="1" x14ac:dyDescent="0.3">
      <c r="F458" s="124"/>
      <c r="G458" s="124"/>
      <c r="H458" s="124"/>
      <c r="I458" s="124"/>
      <c r="J458" s="124"/>
      <c r="K458" s="124"/>
    </row>
    <row r="459" spans="6:11" ht="15.75" customHeight="1" x14ac:dyDescent="0.3">
      <c r="F459" s="124"/>
      <c r="G459" s="124"/>
      <c r="H459" s="124"/>
      <c r="I459" s="124"/>
      <c r="J459" s="124"/>
      <c r="K459" s="124"/>
    </row>
    <row r="460" spans="6:11" ht="15.75" customHeight="1" x14ac:dyDescent="0.3">
      <c r="F460" s="124"/>
      <c r="G460" s="124"/>
      <c r="H460" s="124"/>
      <c r="I460" s="124"/>
      <c r="J460" s="124"/>
      <c r="K460" s="124"/>
    </row>
    <row r="461" spans="6:11" ht="15.75" customHeight="1" x14ac:dyDescent="0.3">
      <c r="F461" s="124"/>
      <c r="G461" s="124"/>
      <c r="H461" s="124"/>
      <c r="I461" s="124"/>
      <c r="J461" s="124"/>
      <c r="K461" s="124"/>
    </row>
    <row r="462" spans="6:11" ht="15.75" customHeight="1" x14ac:dyDescent="0.3">
      <c r="F462" s="124"/>
      <c r="G462" s="124"/>
      <c r="H462" s="124"/>
      <c r="I462" s="124"/>
      <c r="J462" s="124"/>
      <c r="K462" s="124"/>
    </row>
    <row r="463" spans="6:11" ht="15.75" customHeight="1" x14ac:dyDescent="0.3">
      <c r="F463" s="124"/>
      <c r="G463" s="124"/>
      <c r="H463" s="124"/>
      <c r="I463" s="124"/>
      <c r="J463" s="124"/>
      <c r="K463" s="124"/>
    </row>
    <row r="464" spans="6:11" ht="15.75" customHeight="1" x14ac:dyDescent="0.3">
      <c r="F464" s="124"/>
      <c r="G464" s="124"/>
      <c r="H464" s="124"/>
      <c r="I464" s="124"/>
      <c r="J464" s="124"/>
      <c r="K464" s="124"/>
    </row>
    <row r="465" spans="6:11" ht="15.75" customHeight="1" x14ac:dyDescent="0.3">
      <c r="F465" s="124"/>
      <c r="G465" s="124"/>
      <c r="H465" s="124"/>
      <c r="I465" s="124"/>
      <c r="J465" s="124"/>
      <c r="K465" s="124"/>
    </row>
    <row r="466" spans="6:11" ht="15.75" customHeight="1" x14ac:dyDescent="0.3">
      <c r="F466" s="124"/>
      <c r="G466" s="124"/>
      <c r="H466" s="124"/>
      <c r="I466" s="124"/>
      <c r="J466" s="124"/>
      <c r="K466" s="124"/>
    </row>
    <row r="467" spans="6:11" ht="15.75" customHeight="1" x14ac:dyDescent="0.3">
      <c r="F467" s="124"/>
      <c r="G467" s="124"/>
      <c r="H467" s="124"/>
      <c r="I467" s="124"/>
      <c r="J467" s="124"/>
      <c r="K467" s="124"/>
    </row>
    <row r="468" spans="6:11" ht="15.75" customHeight="1" x14ac:dyDescent="0.3">
      <c r="F468" s="124"/>
      <c r="G468" s="124"/>
      <c r="H468" s="124"/>
      <c r="I468" s="124"/>
      <c r="J468" s="124"/>
      <c r="K468" s="124"/>
    </row>
    <row r="469" spans="6:11" ht="15.75" customHeight="1" x14ac:dyDescent="0.3">
      <c r="F469" s="124"/>
      <c r="G469" s="124"/>
      <c r="H469" s="124"/>
      <c r="I469" s="124"/>
      <c r="J469" s="124"/>
      <c r="K469" s="124"/>
    </row>
    <row r="470" spans="6:11" ht="15.75" customHeight="1" x14ac:dyDescent="0.3">
      <c r="F470" s="124"/>
      <c r="G470" s="124"/>
      <c r="H470" s="124"/>
      <c r="I470" s="124"/>
      <c r="J470" s="124"/>
      <c r="K470" s="124"/>
    </row>
    <row r="471" spans="6:11" ht="15.75" customHeight="1" x14ac:dyDescent="0.3">
      <c r="F471" s="124"/>
      <c r="G471" s="124"/>
      <c r="H471" s="124"/>
      <c r="I471" s="124"/>
      <c r="J471" s="124"/>
      <c r="K471" s="124"/>
    </row>
    <row r="472" spans="6:11" ht="15.75" customHeight="1" x14ac:dyDescent="0.3">
      <c r="F472" s="124"/>
      <c r="G472" s="124"/>
      <c r="H472" s="124"/>
      <c r="I472" s="124"/>
      <c r="J472" s="124"/>
      <c r="K472" s="124"/>
    </row>
    <row r="473" spans="6:11" ht="15.75" customHeight="1" x14ac:dyDescent="0.3">
      <c r="F473" s="124"/>
      <c r="G473" s="124"/>
      <c r="H473" s="124"/>
      <c r="I473" s="124"/>
      <c r="J473" s="124"/>
      <c r="K473" s="124"/>
    </row>
    <row r="474" spans="6:11" ht="15.75" customHeight="1" x14ac:dyDescent="0.3">
      <c r="F474" s="124"/>
      <c r="G474" s="124"/>
      <c r="H474" s="124"/>
      <c r="I474" s="124"/>
      <c r="J474" s="124"/>
      <c r="K474" s="124"/>
    </row>
    <row r="475" spans="6:11" ht="15.75" customHeight="1" x14ac:dyDescent="0.3">
      <c r="F475" s="124"/>
      <c r="G475" s="124"/>
      <c r="H475" s="124"/>
      <c r="I475" s="124"/>
      <c r="J475" s="124"/>
      <c r="K475" s="124"/>
    </row>
    <row r="476" spans="6:11" ht="15.75" customHeight="1" x14ac:dyDescent="0.3">
      <c r="F476" s="124"/>
      <c r="G476" s="124"/>
      <c r="H476" s="124"/>
      <c r="I476" s="124"/>
      <c r="J476" s="124"/>
      <c r="K476" s="124"/>
    </row>
    <row r="477" spans="6:11" ht="15.75" customHeight="1" x14ac:dyDescent="0.3">
      <c r="F477" s="124"/>
      <c r="G477" s="124"/>
      <c r="H477" s="124"/>
      <c r="I477" s="124"/>
      <c r="J477" s="124"/>
      <c r="K477" s="124"/>
    </row>
    <row r="478" spans="6:11" ht="15.75" customHeight="1" x14ac:dyDescent="0.3">
      <c r="F478" s="124"/>
      <c r="G478" s="124"/>
      <c r="H478" s="124"/>
      <c r="I478" s="124"/>
      <c r="J478" s="124"/>
      <c r="K478" s="124"/>
    </row>
    <row r="479" spans="6:11" ht="15.75" customHeight="1" x14ac:dyDescent="0.3">
      <c r="F479" s="124"/>
      <c r="G479" s="124"/>
      <c r="H479" s="124"/>
      <c r="I479" s="124"/>
      <c r="J479" s="124"/>
      <c r="K479" s="124"/>
    </row>
    <row r="480" spans="6:11" ht="15.75" customHeight="1" x14ac:dyDescent="0.3">
      <c r="F480" s="124"/>
      <c r="G480" s="124"/>
      <c r="H480" s="124"/>
      <c r="I480" s="124"/>
      <c r="J480" s="124"/>
      <c r="K480" s="124"/>
    </row>
    <row r="481" spans="6:11" ht="15.75" customHeight="1" x14ac:dyDescent="0.3">
      <c r="F481" s="124"/>
      <c r="G481" s="124"/>
      <c r="H481" s="124"/>
      <c r="I481" s="124"/>
      <c r="J481" s="124"/>
      <c r="K481" s="124"/>
    </row>
    <row r="482" spans="6:11" ht="15.75" customHeight="1" x14ac:dyDescent="0.3">
      <c r="F482" s="124"/>
      <c r="G482" s="124"/>
      <c r="H482" s="124"/>
      <c r="I482" s="124"/>
      <c r="J482" s="124"/>
      <c r="K482" s="124"/>
    </row>
    <row r="483" spans="6:11" ht="15.75" customHeight="1" x14ac:dyDescent="0.3">
      <c r="F483" s="124"/>
      <c r="G483" s="124"/>
      <c r="H483" s="124"/>
      <c r="I483" s="124"/>
      <c r="J483" s="124"/>
      <c r="K483" s="124"/>
    </row>
    <row r="484" spans="6:11" ht="15.75" customHeight="1" x14ac:dyDescent="0.3">
      <c r="F484" s="124"/>
      <c r="G484" s="124"/>
      <c r="H484" s="124"/>
      <c r="I484" s="124"/>
      <c r="J484" s="124"/>
      <c r="K484" s="124"/>
    </row>
    <row r="485" spans="6:11" ht="15.75" customHeight="1" x14ac:dyDescent="0.3">
      <c r="F485" s="124"/>
      <c r="G485" s="124"/>
      <c r="H485" s="124"/>
      <c r="I485" s="124"/>
      <c r="J485" s="124"/>
      <c r="K485" s="124"/>
    </row>
    <row r="486" spans="6:11" ht="15.75" customHeight="1" x14ac:dyDescent="0.3">
      <c r="F486" s="124"/>
      <c r="G486" s="124"/>
      <c r="H486" s="124"/>
      <c r="I486" s="124"/>
      <c r="J486" s="124"/>
      <c r="K486" s="124"/>
    </row>
    <row r="487" spans="6:11" ht="15.75" customHeight="1" x14ac:dyDescent="0.3">
      <c r="F487" s="124"/>
      <c r="G487" s="124"/>
      <c r="H487" s="124"/>
      <c r="I487" s="124"/>
      <c r="J487" s="124"/>
      <c r="K487" s="124"/>
    </row>
    <row r="488" spans="6:11" ht="15.75" customHeight="1" x14ac:dyDescent="0.3">
      <c r="F488" s="124"/>
      <c r="G488" s="124"/>
      <c r="H488" s="124"/>
      <c r="I488" s="124"/>
      <c r="J488" s="124"/>
      <c r="K488" s="124"/>
    </row>
    <row r="489" spans="6:11" ht="15.75" customHeight="1" x14ac:dyDescent="0.3">
      <c r="F489" s="124"/>
      <c r="G489" s="124"/>
      <c r="H489" s="124"/>
      <c r="I489" s="124"/>
      <c r="J489" s="124"/>
      <c r="K489" s="124"/>
    </row>
    <row r="490" spans="6:11" ht="15.75" customHeight="1" x14ac:dyDescent="0.3">
      <c r="F490" s="124"/>
      <c r="G490" s="124"/>
      <c r="H490" s="124"/>
      <c r="I490" s="124"/>
      <c r="J490" s="124"/>
      <c r="K490" s="124"/>
    </row>
    <row r="491" spans="6:11" ht="15.75" customHeight="1" x14ac:dyDescent="0.3">
      <c r="F491" s="124"/>
      <c r="G491" s="124"/>
      <c r="H491" s="124"/>
      <c r="I491" s="124"/>
      <c r="J491" s="124"/>
      <c r="K491" s="124"/>
    </row>
    <row r="492" spans="6:11" ht="15.75" customHeight="1" x14ac:dyDescent="0.3">
      <c r="F492" s="124"/>
      <c r="G492" s="124"/>
      <c r="H492" s="124"/>
      <c r="I492" s="124"/>
      <c r="J492" s="124"/>
      <c r="K492" s="124"/>
    </row>
    <row r="493" spans="6:11" ht="15.75" customHeight="1" x14ac:dyDescent="0.3">
      <c r="F493" s="124"/>
      <c r="G493" s="124"/>
      <c r="H493" s="124"/>
      <c r="I493" s="124"/>
      <c r="J493" s="124"/>
      <c r="K493" s="124"/>
    </row>
    <row r="494" spans="6:11" ht="15.75" customHeight="1" x14ac:dyDescent="0.3">
      <c r="F494" s="124"/>
      <c r="G494" s="124"/>
      <c r="H494" s="124"/>
      <c r="I494" s="124"/>
      <c r="J494" s="124"/>
      <c r="K494" s="124"/>
    </row>
    <row r="495" spans="6:11" ht="15.75" customHeight="1" x14ac:dyDescent="0.3">
      <c r="F495" s="124"/>
      <c r="G495" s="124"/>
      <c r="H495" s="124"/>
      <c r="I495" s="124"/>
      <c r="J495" s="124"/>
      <c r="K495" s="124"/>
    </row>
    <row r="496" spans="6:11" ht="15.75" customHeight="1" x14ac:dyDescent="0.3">
      <c r="F496" s="124"/>
      <c r="G496" s="124"/>
      <c r="H496" s="124"/>
      <c r="I496" s="124"/>
      <c r="J496" s="124"/>
      <c r="K496" s="124"/>
    </row>
    <row r="497" spans="6:11" ht="15.75" customHeight="1" x14ac:dyDescent="0.3">
      <c r="F497" s="124"/>
      <c r="G497" s="124"/>
      <c r="H497" s="124"/>
      <c r="I497" s="124"/>
      <c r="J497" s="124"/>
      <c r="K497" s="124"/>
    </row>
    <row r="498" spans="6:11" ht="15.75" customHeight="1" x14ac:dyDescent="0.3">
      <c r="F498" s="124"/>
      <c r="G498" s="124"/>
      <c r="H498" s="124"/>
      <c r="I498" s="124"/>
      <c r="J498" s="124"/>
      <c r="K498" s="124"/>
    </row>
    <row r="499" spans="6:11" ht="15.75" customHeight="1" x14ac:dyDescent="0.3">
      <c r="F499" s="124"/>
      <c r="G499" s="124"/>
      <c r="H499" s="124"/>
      <c r="I499" s="124"/>
      <c r="J499" s="124"/>
      <c r="K499" s="124"/>
    </row>
    <row r="500" spans="6:11" ht="15.75" customHeight="1" x14ac:dyDescent="0.3">
      <c r="F500" s="124"/>
      <c r="G500" s="124"/>
      <c r="H500" s="124"/>
      <c r="I500" s="124"/>
      <c r="J500" s="124"/>
      <c r="K500" s="124"/>
    </row>
    <row r="501" spans="6:11" ht="15.75" customHeight="1" x14ac:dyDescent="0.3">
      <c r="F501" s="124"/>
      <c r="G501" s="124"/>
      <c r="H501" s="124"/>
      <c r="I501" s="124"/>
      <c r="J501" s="124"/>
      <c r="K501" s="124"/>
    </row>
    <row r="502" spans="6:11" ht="15.75" customHeight="1" x14ac:dyDescent="0.3">
      <c r="F502" s="124"/>
      <c r="G502" s="124"/>
      <c r="H502" s="124"/>
      <c r="I502" s="124"/>
      <c r="J502" s="124"/>
      <c r="K502" s="124"/>
    </row>
    <row r="503" spans="6:11" ht="15.75" customHeight="1" x14ac:dyDescent="0.3">
      <c r="F503" s="124"/>
      <c r="G503" s="124"/>
      <c r="H503" s="124"/>
      <c r="I503" s="124"/>
      <c r="J503" s="124"/>
      <c r="K503" s="124"/>
    </row>
    <row r="504" spans="6:11" ht="15.75" customHeight="1" x14ac:dyDescent="0.3">
      <c r="F504" s="124"/>
      <c r="G504" s="124"/>
      <c r="H504" s="124"/>
      <c r="I504" s="124"/>
      <c r="J504" s="124"/>
      <c r="K504" s="124"/>
    </row>
    <row r="505" spans="6:11" ht="15.75" customHeight="1" x14ac:dyDescent="0.3">
      <c r="F505" s="124"/>
      <c r="G505" s="124"/>
      <c r="H505" s="124"/>
      <c r="I505" s="124"/>
      <c r="J505" s="124"/>
      <c r="K505" s="124"/>
    </row>
    <row r="506" spans="6:11" ht="15.75" customHeight="1" x14ac:dyDescent="0.3">
      <c r="F506" s="124"/>
      <c r="G506" s="124"/>
      <c r="H506" s="124"/>
      <c r="I506" s="124"/>
      <c r="J506" s="124"/>
      <c r="K506" s="124"/>
    </row>
    <row r="507" spans="6:11" ht="15.75" customHeight="1" x14ac:dyDescent="0.3">
      <c r="F507" s="124"/>
      <c r="G507" s="124"/>
      <c r="H507" s="124"/>
      <c r="I507" s="124"/>
      <c r="J507" s="124"/>
      <c r="K507" s="124"/>
    </row>
    <row r="508" spans="6:11" ht="15.75" customHeight="1" x14ac:dyDescent="0.3">
      <c r="F508" s="124"/>
      <c r="G508" s="124"/>
      <c r="H508" s="124"/>
      <c r="I508" s="124"/>
      <c r="J508" s="124"/>
      <c r="K508" s="124"/>
    </row>
    <row r="509" spans="6:11" ht="15.75" customHeight="1" x14ac:dyDescent="0.3">
      <c r="F509" s="124"/>
      <c r="G509" s="124"/>
      <c r="H509" s="124"/>
      <c r="I509" s="124"/>
      <c r="J509" s="124"/>
      <c r="K509" s="124"/>
    </row>
    <row r="510" spans="6:11" ht="15.75" customHeight="1" x14ac:dyDescent="0.3">
      <c r="F510" s="124"/>
      <c r="G510" s="124"/>
      <c r="H510" s="124"/>
      <c r="I510" s="124"/>
      <c r="J510" s="124"/>
      <c r="K510" s="124"/>
    </row>
    <row r="511" spans="6:11" ht="15.75" customHeight="1" x14ac:dyDescent="0.3">
      <c r="F511" s="124"/>
      <c r="G511" s="124"/>
      <c r="H511" s="124"/>
      <c r="I511" s="124"/>
      <c r="J511" s="124"/>
      <c r="K511" s="124"/>
    </row>
    <row r="512" spans="6:11" ht="15.75" customHeight="1" x14ac:dyDescent="0.3">
      <c r="F512" s="124"/>
      <c r="G512" s="124"/>
      <c r="H512" s="124"/>
      <c r="I512" s="124"/>
      <c r="J512" s="124"/>
      <c r="K512" s="124"/>
    </row>
    <row r="513" spans="6:11" ht="15.75" customHeight="1" x14ac:dyDescent="0.3">
      <c r="F513" s="124"/>
      <c r="G513" s="124"/>
      <c r="H513" s="124"/>
      <c r="I513" s="124"/>
      <c r="J513" s="124"/>
      <c r="K513" s="124"/>
    </row>
    <row r="514" spans="6:11" ht="15.75" customHeight="1" x14ac:dyDescent="0.3">
      <c r="F514" s="124"/>
      <c r="G514" s="124"/>
      <c r="H514" s="124"/>
      <c r="I514" s="124"/>
      <c r="J514" s="124"/>
      <c r="K514" s="124"/>
    </row>
    <row r="515" spans="6:11" ht="15.75" customHeight="1" x14ac:dyDescent="0.3">
      <c r="F515" s="124"/>
      <c r="G515" s="124"/>
      <c r="H515" s="124"/>
      <c r="I515" s="124"/>
      <c r="J515" s="124"/>
      <c r="K515" s="124"/>
    </row>
    <row r="516" spans="6:11" ht="15.75" customHeight="1" x14ac:dyDescent="0.3">
      <c r="F516" s="124"/>
      <c r="G516" s="124"/>
      <c r="H516" s="124"/>
      <c r="I516" s="124"/>
      <c r="J516" s="124"/>
      <c r="K516" s="124"/>
    </row>
    <row r="517" spans="6:11" ht="15.75" customHeight="1" x14ac:dyDescent="0.3">
      <c r="F517" s="124"/>
      <c r="G517" s="124"/>
      <c r="H517" s="124"/>
      <c r="I517" s="124"/>
      <c r="J517" s="124"/>
      <c r="K517" s="124"/>
    </row>
    <row r="518" spans="6:11" ht="15.75" customHeight="1" x14ac:dyDescent="0.3">
      <c r="F518" s="124"/>
      <c r="G518" s="124"/>
      <c r="H518" s="124"/>
      <c r="I518" s="124"/>
      <c r="J518" s="124"/>
      <c r="K518" s="124"/>
    </row>
    <row r="519" spans="6:11" ht="15.75" customHeight="1" x14ac:dyDescent="0.3">
      <c r="F519" s="124"/>
      <c r="G519" s="124"/>
      <c r="H519" s="124"/>
      <c r="I519" s="124"/>
      <c r="J519" s="124"/>
      <c r="K519" s="124"/>
    </row>
    <row r="520" spans="6:11" ht="15.75" customHeight="1" x14ac:dyDescent="0.3">
      <c r="F520" s="124"/>
      <c r="G520" s="124"/>
      <c r="H520" s="124"/>
      <c r="I520" s="124"/>
      <c r="J520" s="124"/>
      <c r="K520" s="124"/>
    </row>
    <row r="521" spans="6:11" ht="15.75" customHeight="1" x14ac:dyDescent="0.3">
      <c r="F521" s="124"/>
      <c r="G521" s="124"/>
      <c r="H521" s="124"/>
      <c r="I521" s="124"/>
      <c r="J521" s="124"/>
      <c r="K521" s="124"/>
    </row>
    <row r="522" spans="6:11" ht="15.75" customHeight="1" x14ac:dyDescent="0.3">
      <c r="F522" s="124"/>
      <c r="G522" s="124"/>
      <c r="H522" s="124"/>
      <c r="I522" s="124"/>
      <c r="J522" s="124"/>
      <c r="K522" s="124"/>
    </row>
    <row r="523" spans="6:11" ht="15.75" customHeight="1" x14ac:dyDescent="0.3">
      <c r="F523" s="124"/>
      <c r="G523" s="124"/>
      <c r="H523" s="124"/>
      <c r="I523" s="124"/>
      <c r="J523" s="124"/>
      <c r="K523" s="124"/>
    </row>
    <row r="524" spans="6:11" ht="15.75" customHeight="1" x14ac:dyDescent="0.3">
      <c r="F524" s="124"/>
      <c r="G524" s="124"/>
      <c r="H524" s="124"/>
      <c r="I524" s="124"/>
      <c r="J524" s="124"/>
      <c r="K524" s="124"/>
    </row>
    <row r="525" spans="6:11" ht="15.75" customHeight="1" x14ac:dyDescent="0.3">
      <c r="F525" s="124"/>
      <c r="G525" s="124"/>
      <c r="H525" s="124"/>
      <c r="I525" s="124"/>
      <c r="J525" s="124"/>
      <c r="K525" s="124"/>
    </row>
    <row r="526" spans="6:11" ht="15.75" customHeight="1" x14ac:dyDescent="0.3">
      <c r="F526" s="124"/>
      <c r="G526" s="124"/>
      <c r="H526" s="124"/>
      <c r="I526" s="124"/>
      <c r="J526" s="124"/>
      <c r="K526" s="124"/>
    </row>
    <row r="527" spans="6:11" ht="15.75" customHeight="1" x14ac:dyDescent="0.3">
      <c r="F527" s="124"/>
      <c r="G527" s="124"/>
      <c r="H527" s="124"/>
      <c r="I527" s="124"/>
      <c r="J527" s="124"/>
      <c r="K527" s="124"/>
    </row>
    <row r="528" spans="6:11" ht="15.75" customHeight="1" x14ac:dyDescent="0.3">
      <c r="F528" s="124"/>
      <c r="G528" s="124"/>
      <c r="H528" s="124"/>
      <c r="I528" s="124"/>
      <c r="J528" s="124"/>
      <c r="K528" s="124"/>
    </row>
    <row r="529" spans="6:11" ht="15.75" customHeight="1" x14ac:dyDescent="0.3">
      <c r="F529" s="124"/>
      <c r="G529" s="124"/>
      <c r="H529" s="124"/>
      <c r="I529" s="124"/>
      <c r="J529" s="124"/>
      <c r="K529" s="124"/>
    </row>
    <row r="530" spans="6:11" ht="15.75" customHeight="1" x14ac:dyDescent="0.3">
      <c r="F530" s="124"/>
      <c r="G530" s="124"/>
      <c r="H530" s="124"/>
      <c r="I530" s="124"/>
      <c r="J530" s="124"/>
      <c r="K530" s="124"/>
    </row>
    <row r="531" spans="6:11" ht="15.75" customHeight="1" x14ac:dyDescent="0.3">
      <c r="F531" s="124"/>
      <c r="G531" s="124"/>
      <c r="H531" s="124"/>
      <c r="I531" s="124"/>
      <c r="J531" s="124"/>
      <c r="K531" s="124"/>
    </row>
    <row r="532" spans="6:11" ht="15.75" customHeight="1" x14ac:dyDescent="0.3">
      <c r="F532" s="124"/>
      <c r="G532" s="124"/>
      <c r="H532" s="124"/>
      <c r="I532" s="124"/>
      <c r="J532" s="124"/>
      <c r="K532" s="124"/>
    </row>
    <row r="533" spans="6:11" ht="15.75" customHeight="1" x14ac:dyDescent="0.3">
      <c r="F533" s="124"/>
      <c r="G533" s="124"/>
      <c r="H533" s="124"/>
      <c r="I533" s="124"/>
      <c r="J533" s="124"/>
      <c r="K533" s="124"/>
    </row>
    <row r="534" spans="6:11" ht="15.75" customHeight="1" x14ac:dyDescent="0.3">
      <c r="F534" s="124"/>
      <c r="G534" s="124"/>
      <c r="H534" s="124"/>
      <c r="I534" s="124"/>
      <c r="J534" s="124"/>
      <c r="K534" s="124"/>
    </row>
    <row r="535" spans="6:11" ht="15.75" customHeight="1" x14ac:dyDescent="0.3">
      <c r="F535" s="124"/>
      <c r="G535" s="124"/>
      <c r="H535" s="124"/>
      <c r="I535" s="124"/>
      <c r="J535" s="124"/>
      <c r="K535" s="124"/>
    </row>
    <row r="536" spans="6:11" ht="15.75" customHeight="1" x14ac:dyDescent="0.3">
      <c r="F536" s="124"/>
      <c r="G536" s="124"/>
      <c r="H536" s="124"/>
      <c r="I536" s="124"/>
      <c r="J536" s="124"/>
      <c r="K536" s="124"/>
    </row>
    <row r="537" spans="6:11" ht="15.75" customHeight="1" x14ac:dyDescent="0.3">
      <c r="F537" s="124"/>
      <c r="G537" s="124"/>
      <c r="H537" s="124"/>
      <c r="I537" s="124"/>
      <c r="J537" s="124"/>
      <c r="K537" s="124"/>
    </row>
    <row r="538" spans="6:11" ht="15.75" customHeight="1" x14ac:dyDescent="0.3">
      <c r="F538" s="124"/>
      <c r="G538" s="124"/>
      <c r="H538" s="124"/>
      <c r="I538" s="124"/>
      <c r="J538" s="124"/>
      <c r="K538" s="124"/>
    </row>
    <row r="539" spans="6:11" ht="15.75" customHeight="1" x14ac:dyDescent="0.3">
      <c r="F539" s="124"/>
      <c r="G539" s="124"/>
      <c r="H539" s="124"/>
      <c r="I539" s="124"/>
      <c r="J539" s="124"/>
      <c r="K539" s="124"/>
    </row>
    <row r="540" spans="6:11" ht="15.75" customHeight="1" x14ac:dyDescent="0.3">
      <c r="F540" s="124"/>
      <c r="G540" s="124"/>
      <c r="H540" s="124"/>
      <c r="I540" s="124"/>
      <c r="J540" s="124"/>
      <c r="K540" s="124"/>
    </row>
    <row r="541" spans="6:11" ht="15.75" customHeight="1" x14ac:dyDescent="0.3">
      <c r="F541" s="124"/>
      <c r="G541" s="124"/>
      <c r="H541" s="124"/>
      <c r="I541" s="124"/>
      <c r="J541" s="124"/>
      <c r="K541" s="124"/>
    </row>
    <row r="542" spans="6:11" ht="15.75" customHeight="1" x14ac:dyDescent="0.3">
      <c r="F542" s="124"/>
      <c r="G542" s="124"/>
      <c r="H542" s="124"/>
      <c r="I542" s="124"/>
      <c r="J542" s="124"/>
      <c r="K542" s="124"/>
    </row>
    <row r="543" spans="6:11" ht="15.75" customHeight="1" x14ac:dyDescent="0.3">
      <c r="F543" s="124"/>
      <c r="G543" s="124"/>
      <c r="H543" s="124"/>
      <c r="I543" s="124"/>
      <c r="J543" s="124"/>
      <c r="K543" s="124"/>
    </row>
    <row r="544" spans="6:11" ht="15.75" customHeight="1" x14ac:dyDescent="0.3">
      <c r="F544" s="124"/>
      <c r="G544" s="124"/>
      <c r="H544" s="124"/>
      <c r="I544" s="124"/>
      <c r="J544" s="124"/>
      <c r="K544" s="124"/>
    </row>
    <row r="545" spans="6:11" ht="15.75" customHeight="1" x14ac:dyDescent="0.3">
      <c r="F545" s="124"/>
      <c r="G545" s="124"/>
      <c r="H545" s="124"/>
      <c r="I545" s="124"/>
      <c r="J545" s="124"/>
      <c r="K545" s="124"/>
    </row>
    <row r="546" spans="6:11" ht="15.75" customHeight="1" x14ac:dyDescent="0.3">
      <c r="F546" s="124"/>
      <c r="G546" s="124"/>
      <c r="H546" s="124"/>
      <c r="I546" s="124"/>
      <c r="J546" s="124"/>
      <c r="K546" s="124"/>
    </row>
    <row r="547" spans="6:11" ht="15.75" customHeight="1" x14ac:dyDescent="0.3">
      <c r="F547" s="124"/>
      <c r="G547" s="124"/>
      <c r="H547" s="124"/>
      <c r="I547" s="124"/>
      <c r="J547" s="124"/>
      <c r="K547" s="124"/>
    </row>
    <row r="548" spans="6:11" ht="15.75" customHeight="1" x14ac:dyDescent="0.3">
      <c r="F548" s="124"/>
      <c r="G548" s="124"/>
      <c r="H548" s="124"/>
      <c r="I548" s="124"/>
      <c r="J548" s="124"/>
      <c r="K548" s="124"/>
    </row>
    <row r="549" spans="6:11" ht="15.75" customHeight="1" x14ac:dyDescent="0.3">
      <c r="F549" s="124"/>
      <c r="G549" s="124"/>
      <c r="H549" s="124"/>
      <c r="I549" s="124"/>
      <c r="J549" s="124"/>
      <c r="K549" s="124"/>
    </row>
    <row r="550" spans="6:11" ht="15.75" customHeight="1" x14ac:dyDescent="0.3">
      <c r="F550" s="124"/>
      <c r="G550" s="124"/>
      <c r="H550" s="124"/>
      <c r="I550" s="124"/>
      <c r="J550" s="124"/>
      <c r="K550" s="124"/>
    </row>
    <row r="551" spans="6:11" ht="15.75" customHeight="1" x14ac:dyDescent="0.3">
      <c r="F551" s="124"/>
      <c r="G551" s="124"/>
      <c r="H551" s="124"/>
      <c r="I551" s="124"/>
      <c r="J551" s="124"/>
      <c r="K551" s="124"/>
    </row>
    <row r="552" spans="6:11" ht="15.75" customHeight="1" x14ac:dyDescent="0.3">
      <c r="F552" s="124"/>
      <c r="G552" s="124"/>
      <c r="H552" s="124"/>
      <c r="I552" s="124"/>
      <c r="J552" s="124"/>
      <c r="K552" s="124"/>
    </row>
    <row r="553" spans="6:11" ht="15.75" customHeight="1" x14ac:dyDescent="0.3">
      <c r="F553" s="124"/>
      <c r="G553" s="124"/>
      <c r="H553" s="124"/>
      <c r="I553" s="124"/>
      <c r="J553" s="124"/>
      <c r="K553" s="124"/>
    </row>
    <row r="554" spans="6:11" ht="15.75" customHeight="1" x14ac:dyDescent="0.3">
      <c r="F554" s="124"/>
      <c r="G554" s="124"/>
      <c r="H554" s="124"/>
      <c r="I554" s="124"/>
      <c r="J554" s="124"/>
      <c r="K554" s="124"/>
    </row>
    <row r="555" spans="6:11" ht="15.75" customHeight="1" x14ac:dyDescent="0.3">
      <c r="F555" s="124"/>
      <c r="G555" s="124"/>
      <c r="H555" s="124"/>
      <c r="I555" s="124"/>
      <c r="J555" s="124"/>
      <c r="K555" s="124"/>
    </row>
    <row r="556" spans="6:11" ht="15.75" customHeight="1" x14ac:dyDescent="0.3">
      <c r="F556" s="124"/>
      <c r="G556" s="124"/>
      <c r="H556" s="124"/>
      <c r="I556" s="124"/>
      <c r="J556" s="124"/>
      <c r="K556" s="124"/>
    </row>
    <row r="557" spans="6:11" ht="15.75" customHeight="1" x14ac:dyDescent="0.3">
      <c r="F557" s="124"/>
      <c r="G557" s="124"/>
      <c r="H557" s="124"/>
      <c r="I557" s="124"/>
      <c r="J557" s="124"/>
      <c r="K557" s="124"/>
    </row>
    <row r="558" spans="6:11" ht="15.75" customHeight="1" x14ac:dyDescent="0.3">
      <c r="F558" s="124"/>
      <c r="G558" s="124"/>
      <c r="H558" s="124"/>
      <c r="I558" s="124"/>
      <c r="J558" s="124"/>
      <c r="K558" s="124"/>
    </row>
    <row r="559" spans="6:11" ht="15.75" customHeight="1" x14ac:dyDescent="0.3">
      <c r="F559" s="124"/>
      <c r="G559" s="124"/>
      <c r="H559" s="124"/>
      <c r="I559" s="124"/>
      <c r="J559" s="124"/>
      <c r="K559" s="124"/>
    </row>
    <row r="560" spans="6:11" ht="15.75" customHeight="1" x14ac:dyDescent="0.3">
      <c r="F560" s="124"/>
      <c r="G560" s="124"/>
      <c r="H560" s="124"/>
      <c r="I560" s="124"/>
      <c r="J560" s="124"/>
      <c r="K560" s="124"/>
    </row>
    <row r="561" spans="6:11" ht="15.75" customHeight="1" x14ac:dyDescent="0.3">
      <c r="F561" s="124"/>
      <c r="G561" s="124"/>
      <c r="H561" s="124"/>
      <c r="I561" s="124"/>
      <c r="J561" s="124"/>
      <c r="K561" s="124"/>
    </row>
    <row r="562" spans="6:11" ht="15.75" customHeight="1" x14ac:dyDescent="0.3">
      <c r="F562" s="124"/>
      <c r="G562" s="124"/>
      <c r="H562" s="124"/>
      <c r="I562" s="124"/>
      <c r="J562" s="124"/>
      <c r="K562" s="124"/>
    </row>
    <row r="563" spans="6:11" ht="15.75" customHeight="1" x14ac:dyDescent="0.3">
      <c r="F563" s="124"/>
      <c r="G563" s="124"/>
      <c r="H563" s="124"/>
      <c r="I563" s="124"/>
      <c r="J563" s="124"/>
      <c r="K563" s="124"/>
    </row>
    <row r="564" spans="6:11" ht="15.75" customHeight="1" x14ac:dyDescent="0.3">
      <c r="F564" s="124"/>
      <c r="G564" s="124"/>
      <c r="H564" s="124"/>
      <c r="I564" s="124"/>
      <c r="J564" s="124"/>
      <c r="K564" s="124"/>
    </row>
    <row r="565" spans="6:11" ht="15.75" customHeight="1" x14ac:dyDescent="0.3">
      <c r="F565" s="124"/>
      <c r="G565" s="124"/>
      <c r="H565" s="124"/>
      <c r="I565" s="124"/>
      <c r="J565" s="124"/>
      <c r="K565" s="124"/>
    </row>
    <row r="566" spans="6:11" ht="15.75" customHeight="1" x14ac:dyDescent="0.3">
      <c r="F566" s="124"/>
      <c r="G566" s="124"/>
      <c r="H566" s="124"/>
      <c r="I566" s="124"/>
      <c r="J566" s="124"/>
      <c r="K566" s="124"/>
    </row>
    <row r="567" spans="6:11" ht="15.75" customHeight="1" x14ac:dyDescent="0.3">
      <c r="F567" s="124"/>
      <c r="G567" s="124"/>
      <c r="H567" s="124"/>
      <c r="I567" s="124"/>
      <c r="J567" s="124"/>
      <c r="K567" s="124"/>
    </row>
    <row r="568" spans="6:11" ht="15.75" customHeight="1" x14ac:dyDescent="0.3">
      <c r="F568" s="124"/>
      <c r="G568" s="124"/>
      <c r="H568" s="124"/>
      <c r="I568" s="124"/>
      <c r="J568" s="124"/>
      <c r="K568" s="124"/>
    </row>
    <row r="569" spans="6:11" ht="15.75" customHeight="1" x14ac:dyDescent="0.3">
      <c r="F569" s="124"/>
      <c r="G569" s="124"/>
      <c r="H569" s="124"/>
      <c r="I569" s="124"/>
      <c r="J569" s="124"/>
      <c r="K569" s="124"/>
    </row>
    <row r="570" spans="6:11" ht="15.75" customHeight="1" x14ac:dyDescent="0.3">
      <c r="F570" s="124"/>
      <c r="G570" s="124"/>
      <c r="H570" s="124"/>
      <c r="I570" s="124"/>
      <c r="J570" s="124"/>
      <c r="K570" s="124"/>
    </row>
    <row r="571" spans="6:11" ht="15.75" customHeight="1" x14ac:dyDescent="0.3">
      <c r="F571" s="124"/>
      <c r="G571" s="124"/>
      <c r="H571" s="124"/>
      <c r="I571" s="124"/>
      <c r="J571" s="124"/>
      <c r="K571" s="124"/>
    </row>
    <row r="572" spans="6:11" ht="15.75" customHeight="1" x14ac:dyDescent="0.3">
      <c r="F572" s="124"/>
      <c r="G572" s="124"/>
      <c r="H572" s="124"/>
      <c r="I572" s="124"/>
      <c r="J572" s="124"/>
      <c r="K572" s="124"/>
    </row>
    <row r="573" spans="6:11" ht="15.75" customHeight="1" x14ac:dyDescent="0.3">
      <c r="F573" s="124"/>
      <c r="G573" s="124"/>
      <c r="H573" s="124"/>
      <c r="I573" s="124"/>
      <c r="J573" s="124"/>
      <c r="K573" s="124"/>
    </row>
    <row r="574" spans="6:11" ht="15.75" customHeight="1" x14ac:dyDescent="0.3">
      <c r="F574" s="124"/>
      <c r="G574" s="124"/>
      <c r="H574" s="124"/>
      <c r="I574" s="124"/>
      <c r="J574" s="124"/>
      <c r="K574" s="124"/>
    </row>
    <row r="575" spans="6:11" ht="15.75" customHeight="1" x14ac:dyDescent="0.3">
      <c r="F575" s="124"/>
      <c r="G575" s="124"/>
      <c r="H575" s="124"/>
      <c r="I575" s="124"/>
      <c r="J575" s="124"/>
      <c r="K575" s="124"/>
    </row>
    <row r="576" spans="6:11" ht="15.75" customHeight="1" x14ac:dyDescent="0.3">
      <c r="F576" s="124"/>
      <c r="G576" s="124"/>
      <c r="H576" s="124"/>
      <c r="I576" s="124"/>
      <c r="J576" s="124"/>
      <c r="K576" s="124"/>
    </row>
    <row r="577" spans="6:11" ht="15.75" customHeight="1" x14ac:dyDescent="0.3">
      <c r="F577" s="124"/>
      <c r="G577" s="124"/>
      <c r="H577" s="124"/>
      <c r="I577" s="124"/>
      <c r="J577" s="124"/>
      <c r="K577" s="124"/>
    </row>
    <row r="578" spans="6:11" ht="15.75" customHeight="1" x14ac:dyDescent="0.3">
      <c r="F578" s="124"/>
      <c r="G578" s="124"/>
      <c r="H578" s="124"/>
      <c r="I578" s="124"/>
      <c r="J578" s="124"/>
      <c r="K578" s="124"/>
    </row>
    <row r="579" spans="6:11" ht="15.75" customHeight="1" x14ac:dyDescent="0.3">
      <c r="F579" s="124"/>
      <c r="G579" s="124"/>
      <c r="H579" s="124"/>
      <c r="I579" s="124"/>
      <c r="J579" s="124"/>
      <c r="K579" s="124"/>
    </row>
    <row r="580" spans="6:11" ht="15.75" customHeight="1" x14ac:dyDescent="0.3">
      <c r="F580" s="124"/>
      <c r="G580" s="124"/>
      <c r="H580" s="124"/>
      <c r="I580" s="124"/>
      <c r="J580" s="124"/>
      <c r="K580" s="124"/>
    </row>
    <row r="581" spans="6:11" ht="15.75" customHeight="1" x14ac:dyDescent="0.3">
      <c r="F581" s="124"/>
      <c r="G581" s="124"/>
      <c r="H581" s="124"/>
      <c r="I581" s="124"/>
      <c r="J581" s="124"/>
      <c r="K581" s="124"/>
    </row>
    <row r="582" spans="6:11" ht="15.75" customHeight="1" x14ac:dyDescent="0.3">
      <c r="F582" s="124"/>
      <c r="G582" s="124"/>
      <c r="H582" s="124"/>
      <c r="I582" s="124"/>
      <c r="J582" s="124"/>
      <c r="K582" s="124"/>
    </row>
    <row r="583" spans="6:11" ht="15.75" customHeight="1" x14ac:dyDescent="0.3">
      <c r="F583" s="124"/>
      <c r="G583" s="124"/>
      <c r="H583" s="124"/>
      <c r="I583" s="124"/>
      <c r="J583" s="124"/>
      <c r="K583" s="124"/>
    </row>
    <row r="584" spans="6:11" ht="15.75" customHeight="1" x14ac:dyDescent="0.3">
      <c r="F584" s="124"/>
      <c r="G584" s="124"/>
      <c r="H584" s="124"/>
      <c r="I584" s="124"/>
      <c r="J584" s="124"/>
      <c r="K584" s="124"/>
    </row>
    <row r="585" spans="6:11" ht="15.75" customHeight="1" x14ac:dyDescent="0.3">
      <c r="F585" s="124"/>
      <c r="G585" s="124"/>
      <c r="H585" s="124"/>
      <c r="I585" s="124"/>
      <c r="J585" s="124"/>
      <c r="K585" s="124"/>
    </row>
    <row r="586" spans="6:11" ht="15.75" customHeight="1" x14ac:dyDescent="0.3">
      <c r="F586" s="124"/>
      <c r="G586" s="124"/>
      <c r="H586" s="124"/>
      <c r="I586" s="124"/>
      <c r="J586" s="124"/>
      <c r="K586" s="124"/>
    </row>
    <row r="587" spans="6:11" ht="15.75" customHeight="1" x14ac:dyDescent="0.3">
      <c r="F587" s="124"/>
      <c r="G587" s="124"/>
      <c r="H587" s="124"/>
      <c r="I587" s="124"/>
      <c r="J587" s="124"/>
      <c r="K587" s="124"/>
    </row>
    <row r="588" spans="6:11" ht="15.75" customHeight="1" x14ac:dyDescent="0.3">
      <c r="F588" s="124"/>
      <c r="G588" s="124"/>
      <c r="H588" s="124"/>
      <c r="I588" s="124"/>
      <c r="J588" s="124"/>
      <c r="K588" s="124"/>
    </row>
    <row r="589" spans="6:11" ht="15.75" customHeight="1" x14ac:dyDescent="0.3">
      <c r="F589" s="124"/>
      <c r="G589" s="124"/>
      <c r="H589" s="124"/>
      <c r="I589" s="124"/>
      <c r="J589" s="124"/>
      <c r="K589" s="124"/>
    </row>
    <row r="590" spans="6:11" ht="15.75" customHeight="1" x14ac:dyDescent="0.3">
      <c r="F590" s="124"/>
      <c r="G590" s="124"/>
      <c r="H590" s="124"/>
      <c r="I590" s="124"/>
      <c r="J590" s="124"/>
      <c r="K590" s="124"/>
    </row>
    <row r="591" spans="6:11" ht="15.75" customHeight="1" x14ac:dyDescent="0.3">
      <c r="F591" s="124"/>
      <c r="G591" s="124"/>
      <c r="H591" s="124"/>
      <c r="I591" s="124"/>
      <c r="J591" s="124"/>
      <c r="K591" s="124"/>
    </row>
    <row r="592" spans="6:11" ht="15.75" customHeight="1" x14ac:dyDescent="0.3">
      <c r="F592" s="124"/>
      <c r="G592" s="124"/>
      <c r="H592" s="124"/>
      <c r="I592" s="124"/>
      <c r="J592" s="124"/>
      <c r="K592" s="124"/>
    </row>
    <row r="593" spans="6:11" ht="15.75" customHeight="1" x14ac:dyDescent="0.3">
      <c r="F593" s="124"/>
      <c r="G593" s="124"/>
      <c r="H593" s="124"/>
      <c r="I593" s="124"/>
      <c r="J593" s="124"/>
      <c r="K593" s="124"/>
    </row>
    <row r="594" spans="6:11" ht="15.75" customHeight="1" x14ac:dyDescent="0.3">
      <c r="F594" s="124"/>
      <c r="G594" s="124"/>
      <c r="H594" s="124"/>
      <c r="I594" s="124"/>
      <c r="J594" s="124"/>
      <c r="K594" s="124"/>
    </row>
    <row r="595" spans="6:11" ht="15.75" customHeight="1" x14ac:dyDescent="0.3">
      <c r="F595" s="124"/>
      <c r="G595" s="124"/>
      <c r="H595" s="124"/>
      <c r="I595" s="124"/>
      <c r="J595" s="124"/>
      <c r="K595" s="124"/>
    </row>
    <row r="596" spans="6:11" ht="15.75" customHeight="1" x14ac:dyDescent="0.3">
      <c r="F596" s="124"/>
      <c r="G596" s="124"/>
      <c r="H596" s="124"/>
      <c r="I596" s="124"/>
      <c r="J596" s="124"/>
      <c r="K596" s="124"/>
    </row>
    <row r="597" spans="6:11" ht="15.75" customHeight="1" x14ac:dyDescent="0.3">
      <c r="F597" s="124"/>
      <c r="G597" s="124"/>
      <c r="H597" s="124"/>
      <c r="I597" s="124"/>
      <c r="J597" s="124"/>
      <c r="K597" s="124"/>
    </row>
    <row r="598" spans="6:11" ht="15.75" customHeight="1" x14ac:dyDescent="0.3">
      <c r="F598" s="124"/>
      <c r="G598" s="124"/>
      <c r="H598" s="124"/>
      <c r="I598" s="124"/>
      <c r="J598" s="124"/>
      <c r="K598" s="124"/>
    </row>
    <row r="599" spans="6:11" ht="15.75" customHeight="1" x14ac:dyDescent="0.3">
      <c r="F599" s="124"/>
      <c r="G599" s="124"/>
      <c r="H599" s="124"/>
      <c r="I599" s="124"/>
      <c r="J599" s="124"/>
      <c r="K599" s="124"/>
    </row>
    <row r="600" spans="6:11" ht="15.75" customHeight="1" x14ac:dyDescent="0.3">
      <c r="F600" s="124"/>
      <c r="G600" s="124"/>
      <c r="H600" s="124"/>
      <c r="I600" s="124"/>
      <c r="J600" s="124"/>
      <c r="K600" s="124"/>
    </row>
    <row r="601" spans="6:11" ht="15.75" customHeight="1" x14ac:dyDescent="0.3">
      <c r="F601" s="124"/>
      <c r="G601" s="124"/>
      <c r="H601" s="124"/>
      <c r="I601" s="124"/>
      <c r="J601" s="124"/>
      <c r="K601" s="124"/>
    </row>
    <row r="602" spans="6:11" ht="15.75" customHeight="1" x14ac:dyDescent="0.3">
      <c r="F602" s="124"/>
      <c r="G602" s="124"/>
      <c r="H602" s="124"/>
      <c r="I602" s="124"/>
      <c r="J602" s="124"/>
      <c r="K602" s="124"/>
    </row>
    <row r="603" spans="6:11" ht="15.75" customHeight="1" x14ac:dyDescent="0.3">
      <c r="F603" s="124"/>
      <c r="G603" s="124"/>
      <c r="H603" s="124"/>
      <c r="I603" s="124"/>
      <c r="J603" s="124"/>
      <c r="K603" s="124"/>
    </row>
    <row r="604" spans="6:11" ht="15.75" customHeight="1" x14ac:dyDescent="0.3">
      <c r="F604" s="124"/>
      <c r="G604" s="124"/>
      <c r="H604" s="124"/>
      <c r="I604" s="124"/>
      <c r="J604" s="124"/>
      <c r="K604" s="124"/>
    </row>
    <row r="605" spans="6:11" ht="15.75" customHeight="1" x14ac:dyDescent="0.3">
      <c r="F605" s="124"/>
      <c r="G605" s="124"/>
      <c r="H605" s="124"/>
      <c r="I605" s="124"/>
      <c r="J605" s="124"/>
      <c r="K605" s="124"/>
    </row>
    <row r="606" spans="6:11" ht="15.75" customHeight="1" x14ac:dyDescent="0.3">
      <c r="F606" s="124"/>
      <c r="G606" s="124"/>
      <c r="H606" s="124"/>
      <c r="I606" s="124"/>
      <c r="J606" s="124"/>
      <c r="K606" s="124"/>
    </row>
    <row r="607" spans="6:11" ht="15.75" customHeight="1" x14ac:dyDescent="0.3">
      <c r="F607" s="124"/>
      <c r="G607" s="124"/>
      <c r="H607" s="124"/>
      <c r="I607" s="124"/>
      <c r="J607" s="124"/>
      <c r="K607" s="124"/>
    </row>
    <row r="608" spans="6:11" ht="15.75" customHeight="1" x14ac:dyDescent="0.3">
      <c r="F608" s="124"/>
      <c r="G608" s="124"/>
      <c r="H608" s="124"/>
      <c r="I608" s="124"/>
      <c r="J608" s="124"/>
      <c r="K608" s="124"/>
    </row>
    <row r="609" spans="6:11" ht="15.75" customHeight="1" x14ac:dyDescent="0.3">
      <c r="F609" s="124"/>
      <c r="G609" s="124"/>
      <c r="H609" s="124"/>
      <c r="I609" s="124"/>
      <c r="J609" s="124"/>
      <c r="K609" s="124"/>
    </row>
    <row r="610" spans="6:11" ht="15.75" customHeight="1" x14ac:dyDescent="0.3">
      <c r="F610" s="124"/>
      <c r="G610" s="124"/>
      <c r="H610" s="124"/>
      <c r="I610" s="124"/>
      <c r="J610" s="124"/>
      <c r="K610" s="124"/>
    </row>
    <row r="611" spans="6:11" ht="15.75" customHeight="1" x14ac:dyDescent="0.3">
      <c r="F611" s="124"/>
      <c r="G611" s="124"/>
      <c r="H611" s="124"/>
      <c r="I611" s="124"/>
      <c r="J611" s="124"/>
      <c r="K611" s="124"/>
    </row>
    <row r="612" spans="6:11" ht="15.75" customHeight="1" x14ac:dyDescent="0.3">
      <c r="F612" s="124"/>
      <c r="G612" s="124"/>
      <c r="H612" s="124"/>
      <c r="I612" s="124"/>
      <c r="J612" s="124"/>
      <c r="K612" s="124"/>
    </row>
    <row r="613" spans="6:11" ht="15.75" customHeight="1" x14ac:dyDescent="0.3">
      <c r="F613" s="124"/>
      <c r="G613" s="124"/>
      <c r="H613" s="124"/>
      <c r="I613" s="124"/>
      <c r="J613" s="124"/>
      <c r="K613" s="124"/>
    </row>
    <row r="614" spans="6:11" ht="15.75" customHeight="1" x14ac:dyDescent="0.3">
      <c r="F614" s="124"/>
      <c r="G614" s="124"/>
      <c r="H614" s="124"/>
      <c r="I614" s="124"/>
      <c r="J614" s="124"/>
      <c r="K614" s="124"/>
    </row>
    <row r="615" spans="6:11" ht="15.75" customHeight="1" x14ac:dyDescent="0.3">
      <c r="F615" s="124"/>
      <c r="G615" s="124"/>
      <c r="H615" s="124"/>
      <c r="I615" s="124"/>
      <c r="J615" s="124"/>
      <c r="K615" s="124"/>
    </row>
    <row r="616" spans="6:11" ht="15.75" customHeight="1" x14ac:dyDescent="0.3">
      <c r="F616" s="124"/>
      <c r="G616" s="124"/>
      <c r="H616" s="124"/>
      <c r="I616" s="124"/>
      <c r="J616" s="124"/>
      <c r="K616" s="124"/>
    </row>
    <row r="617" spans="6:11" ht="15.75" customHeight="1" x14ac:dyDescent="0.3">
      <c r="F617" s="124"/>
      <c r="G617" s="124"/>
      <c r="H617" s="124"/>
      <c r="I617" s="124"/>
      <c r="J617" s="124"/>
      <c r="K617" s="124"/>
    </row>
    <row r="618" spans="6:11" ht="15.75" customHeight="1" x14ac:dyDescent="0.3">
      <c r="F618" s="124"/>
      <c r="G618" s="124"/>
      <c r="H618" s="124"/>
      <c r="I618" s="124"/>
      <c r="J618" s="124"/>
      <c r="K618" s="124"/>
    </row>
    <row r="619" spans="6:11" ht="15.75" customHeight="1" x14ac:dyDescent="0.3">
      <c r="F619" s="124"/>
      <c r="G619" s="124"/>
      <c r="H619" s="124"/>
      <c r="I619" s="124"/>
      <c r="J619" s="124"/>
      <c r="K619" s="124"/>
    </row>
    <row r="620" spans="6:11" ht="15.75" customHeight="1" x14ac:dyDescent="0.3">
      <c r="F620" s="124"/>
      <c r="G620" s="124"/>
      <c r="H620" s="124"/>
      <c r="I620" s="124"/>
      <c r="J620" s="124"/>
      <c r="K620" s="124"/>
    </row>
    <row r="621" spans="6:11" ht="15.75" customHeight="1" x14ac:dyDescent="0.3">
      <c r="F621" s="124"/>
      <c r="G621" s="124"/>
      <c r="H621" s="124"/>
      <c r="I621" s="124"/>
      <c r="J621" s="124"/>
      <c r="K621" s="124"/>
    </row>
    <row r="622" spans="6:11" ht="15.75" customHeight="1" x14ac:dyDescent="0.3">
      <c r="F622" s="124"/>
      <c r="G622" s="124"/>
      <c r="H622" s="124"/>
      <c r="I622" s="124"/>
      <c r="J622" s="124"/>
      <c r="K622" s="124"/>
    </row>
    <row r="623" spans="6:11" ht="15.75" customHeight="1" x14ac:dyDescent="0.3">
      <c r="F623" s="124"/>
      <c r="G623" s="124"/>
      <c r="H623" s="124"/>
      <c r="I623" s="124"/>
      <c r="J623" s="124"/>
      <c r="K623" s="124"/>
    </row>
    <row r="624" spans="6:11" ht="15.75" customHeight="1" x14ac:dyDescent="0.3">
      <c r="F624" s="124"/>
      <c r="G624" s="124"/>
      <c r="H624" s="124"/>
      <c r="I624" s="124"/>
      <c r="J624" s="124"/>
      <c r="K624" s="124"/>
    </row>
    <row r="625" spans="6:11" ht="15.75" customHeight="1" x14ac:dyDescent="0.3">
      <c r="F625" s="124"/>
      <c r="G625" s="124"/>
      <c r="H625" s="124"/>
      <c r="I625" s="124"/>
      <c r="J625" s="124"/>
      <c r="K625" s="124"/>
    </row>
    <row r="626" spans="6:11" ht="15.75" customHeight="1" x14ac:dyDescent="0.3">
      <c r="F626" s="124"/>
      <c r="G626" s="124"/>
      <c r="H626" s="124"/>
      <c r="I626" s="124"/>
      <c r="J626" s="124"/>
      <c r="K626" s="124"/>
    </row>
    <row r="627" spans="6:11" ht="15.75" customHeight="1" x14ac:dyDescent="0.3">
      <c r="F627" s="124"/>
      <c r="G627" s="124"/>
      <c r="H627" s="124"/>
      <c r="I627" s="124"/>
      <c r="J627" s="124"/>
      <c r="K627" s="124"/>
    </row>
    <row r="628" spans="6:11" ht="15.75" customHeight="1" x14ac:dyDescent="0.3">
      <c r="F628" s="124"/>
      <c r="G628" s="124"/>
      <c r="H628" s="124"/>
      <c r="I628" s="124"/>
      <c r="J628" s="124"/>
      <c r="K628" s="124"/>
    </row>
    <row r="629" spans="6:11" ht="15.75" customHeight="1" x14ac:dyDescent="0.3">
      <c r="F629" s="124"/>
      <c r="G629" s="124"/>
      <c r="H629" s="124"/>
      <c r="I629" s="124"/>
      <c r="J629" s="124"/>
      <c r="K629" s="124"/>
    </row>
    <row r="630" spans="6:11" ht="15.75" customHeight="1" x14ac:dyDescent="0.3">
      <c r="F630" s="124"/>
      <c r="G630" s="124"/>
      <c r="H630" s="124"/>
      <c r="I630" s="124"/>
      <c r="J630" s="124"/>
      <c r="K630" s="124"/>
    </row>
    <row r="631" spans="6:11" ht="15.75" customHeight="1" x14ac:dyDescent="0.3">
      <c r="F631" s="124"/>
      <c r="G631" s="124"/>
      <c r="H631" s="124"/>
      <c r="I631" s="124"/>
      <c r="J631" s="124"/>
      <c r="K631" s="124"/>
    </row>
    <row r="632" spans="6:11" ht="15.75" customHeight="1" x14ac:dyDescent="0.3">
      <c r="F632" s="124"/>
      <c r="G632" s="124"/>
      <c r="H632" s="124"/>
      <c r="I632" s="124"/>
      <c r="J632" s="124"/>
      <c r="K632" s="124"/>
    </row>
    <row r="633" spans="6:11" ht="15.75" customHeight="1" x14ac:dyDescent="0.3">
      <c r="F633" s="124"/>
      <c r="G633" s="124"/>
      <c r="H633" s="124"/>
      <c r="I633" s="124"/>
      <c r="J633" s="124"/>
      <c r="K633" s="124"/>
    </row>
    <row r="634" spans="6:11" ht="15.75" customHeight="1" x14ac:dyDescent="0.3">
      <c r="F634" s="124"/>
      <c r="G634" s="124"/>
      <c r="H634" s="124"/>
      <c r="I634" s="124"/>
      <c r="J634" s="124"/>
      <c r="K634" s="124"/>
    </row>
    <row r="635" spans="6:11" ht="15.75" customHeight="1" x14ac:dyDescent="0.3">
      <c r="F635" s="124"/>
      <c r="G635" s="124"/>
      <c r="H635" s="124"/>
      <c r="I635" s="124"/>
      <c r="J635" s="124"/>
      <c r="K635" s="124"/>
    </row>
    <row r="636" spans="6:11" ht="15.75" customHeight="1" x14ac:dyDescent="0.3">
      <c r="F636" s="124"/>
      <c r="G636" s="124"/>
      <c r="H636" s="124"/>
      <c r="I636" s="124"/>
      <c r="J636" s="124"/>
      <c r="K636" s="124"/>
    </row>
    <row r="637" spans="6:11" ht="15.75" customHeight="1" x14ac:dyDescent="0.3">
      <c r="F637" s="124"/>
      <c r="G637" s="124"/>
      <c r="H637" s="124"/>
      <c r="I637" s="124"/>
      <c r="J637" s="124"/>
      <c r="K637" s="124"/>
    </row>
    <row r="638" spans="6:11" ht="15.75" customHeight="1" x14ac:dyDescent="0.3">
      <c r="F638" s="124"/>
      <c r="G638" s="124"/>
      <c r="H638" s="124"/>
      <c r="I638" s="124"/>
      <c r="J638" s="124"/>
      <c r="K638" s="124"/>
    </row>
    <row r="639" spans="6:11" ht="15.75" customHeight="1" x14ac:dyDescent="0.3">
      <c r="F639" s="124"/>
      <c r="G639" s="124"/>
      <c r="H639" s="124"/>
      <c r="I639" s="124"/>
      <c r="J639" s="124"/>
      <c r="K639" s="124"/>
    </row>
    <row r="640" spans="6:11" ht="15.75" customHeight="1" x14ac:dyDescent="0.3">
      <c r="F640" s="124"/>
      <c r="G640" s="124"/>
      <c r="H640" s="124"/>
      <c r="I640" s="124"/>
      <c r="J640" s="124"/>
      <c r="K640" s="124"/>
    </row>
    <row r="641" spans="6:11" ht="15.75" customHeight="1" x14ac:dyDescent="0.3">
      <c r="F641" s="124"/>
      <c r="G641" s="124"/>
      <c r="H641" s="124"/>
      <c r="I641" s="124"/>
      <c r="J641" s="124"/>
      <c r="K641" s="124"/>
    </row>
    <row r="642" spans="6:11" ht="15.75" customHeight="1" x14ac:dyDescent="0.3">
      <c r="F642" s="124"/>
      <c r="G642" s="124"/>
      <c r="H642" s="124"/>
      <c r="I642" s="124"/>
      <c r="J642" s="124"/>
      <c r="K642" s="124"/>
    </row>
    <row r="643" spans="6:11" ht="15.75" customHeight="1" x14ac:dyDescent="0.3">
      <c r="F643" s="124"/>
      <c r="G643" s="124"/>
      <c r="H643" s="124"/>
      <c r="I643" s="124"/>
      <c r="J643" s="124"/>
      <c r="K643" s="124"/>
    </row>
    <row r="644" spans="6:11" ht="15.75" customHeight="1" x14ac:dyDescent="0.3">
      <c r="F644" s="124"/>
      <c r="G644" s="124"/>
      <c r="H644" s="124"/>
      <c r="I644" s="124"/>
      <c r="J644" s="124"/>
      <c r="K644" s="124"/>
    </row>
    <row r="645" spans="6:11" ht="15.75" customHeight="1" x14ac:dyDescent="0.3">
      <c r="F645" s="124"/>
      <c r="G645" s="124"/>
      <c r="H645" s="124"/>
      <c r="I645" s="124"/>
      <c r="J645" s="124"/>
      <c r="K645" s="124"/>
    </row>
    <row r="646" spans="6:11" ht="15.75" customHeight="1" x14ac:dyDescent="0.3">
      <c r="F646" s="124"/>
      <c r="G646" s="124"/>
      <c r="H646" s="124"/>
      <c r="I646" s="124"/>
      <c r="J646" s="124"/>
      <c r="K646" s="124"/>
    </row>
    <row r="647" spans="6:11" ht="15.75" customHeight="1" x14ac:dyDescent="0.3">
      <c r="F647" s="124"/>
      <c r="G647" s="124"/>
      <c r="H647" s="124"/>
      <c r="I647" s="124"/>
      <c r="J647" s="124"/>
      <c r="K647" s="124"/>
    </row>
    <row r="648" spans="6:11" ht="15.75" customHeight="1" x14ac:dyDescent="0.3">
      <c r="F648" s="124"/>
      <c r="G648" s="124"/>
      <c r="H648" s="124"/>
      <c r="I648" s="124"/>
      <c r="J648" s="124"/>
      <c r="K648" s="124"/>
    </row>
    <row r="649" spans="6:11" ht="15.75" customHeight="1" x14ac:dyDescent="0.3">
      <c r="F649" s="124"/>
      <c r="G649" s="124"/>
      <c r="H649" s="124"/>
      <c r="I649" s="124"/>
      <c r="J649" s="124"/>
      <c r="K649" s="124"/>
    </row>
    <row r="650" spans="6:11" ht="15.75" customHeight="1" x14ac:dyDescent="0.3">
      <c r="F650" s="124"/>
      <c r="G650" s="124"/>
      <c r="H650" s="124"/>
      <c r="I650" s="124"/>
      <c r="J650" s="124"/>
      <c r="K650" s="124"/>
    </row>
    <row r="651" spans="6:11" ht="15.75" customHeight="1" x14ac:dyDescent="0.3">
      <c r="F651" s="124"/>
      <c r="G651" s="124"/>
      <c r="H651" s="124"/>
      <c r="I651" s="124"/>
      <c r="J651" s="124"/>
      <c r="K651" s="124"/>
    </row>
    <row r="652" spans="6:11" ht="15.75" customHeight="1" x14ac:dyDescent="0.3">
      <c r="F652" s="124"/>
      <c r="G652" s="124"/>
      <c r="H652" s="124"/>
      <c r="I652" s="124"/>
      <c r="J652" s="124"/>
      <c r="K652" s="124"/>
    </row>
    <row r="653" spans="6:11" ht="15.75" customHeight="1" x14ac:dyDescent="0.3">
      <c r="F653" s="124"/>
      <c r="G653" s="124"/>
      <c r="H653" s="124"/>
      <c r="I653" s="124"/>
      <c r="J653" s="124"/>
      <c r="K653" s="124"/>
    </row>
    <row r="654" spans="6:11" ht="15.75" customHeight="1" x14ac:dyDescent="0.3">
      <c r="F654" s="124"/>
      <c r="G654" s="124"/>
      <c r="H654" s="124"/>
      <c r="I654" s="124"/>
      <c r="J654" s="124"/>
      <c r="K654" s="124"/>
    </row>
    <row r="655" spans="6:11" ht="15.75" customHeight="1" x14ac:dyDescent="0.3">
      <c r="F655" s="124"/>
      <c r="G655" s="124"/>
      <c r="H655" s="124"/>
      <c r="I655" s="124"/>
      <c r="J655" s="124"/>
      <c r="K655" s="124"/>
    </row>
    <row r="656" spans="6:11" ht="15.75" customHeight="1" x14ac:dyDescent="0.3">
      <c r="F656" s="124"/>
      <c r="G656" s="124"/>
      <c r="H656" s="124"/>
      <c r="I656" s="124"/>
      <c r="J656" s="124"/>
      <c r="K656" s="124"/>
    </row>
    <row r="657" spans="6:11" ht="15.75" customHeight="1" x14ac:dyDescent="0.3">
      <c r="F657" s="124"/>
      <c r="G657" s="124"/>
      <c r="H657" s="124"/>
      <c r="I657" s="124"/>
      <c r="J657" s="124"/>
      <c r="K657" s="124"/>
    </row>
    <row r="658" spans="6:11" ht="15.75" customHeight="1" x14ac:dyDescent="0.3">
      <c r="F658" s="124"/>
      <c r="G658" s="124"/>
      <c r="H658" s="124"/>
      <c r="I658" s="124"/>
      <c r="J658" s="124"/>
      <c r="K658" s="124"/>
    </row>
    <row r="659" spans="6:11" ht="15.75" customHeight="1" x14ac:dyDescent="0.3">
      <c r="F659" s="124"/>
      <c r="G659" s="124"/>
      <c r="H659" s="124"/>
      <c r="I659" s="124"/>
      <c r="J659" s="124"/>
      <c r="K659" s="124"/>
    </row>
    <row r="660" spans="6:11" ht="15.75" customHeight="1" x14ac:dyDescent="0.3">
      <c r="F660" s="124"/>
      <c r="G660" s="124"/>
      <c r="H660" s="124"/>
      <c r="I660" s="124"/>
      <c r="J660" s="124"/>
      <c r="K660" s="124"/>
    </row>
    <row r="661" spans="6:11" ht="15.75" customHeight="1" x14ac:dyDescent="0.3">
      <c r="F661" s="124"/>
      <c r="G661" s="124"/>
      <c r="H661" s="124"/>
      <c r="I661" s="124"/>
      <c r="J661" s="124"/>
      <c r="K661" s="124"/>
    </row>
    <row r="662" spans="6:11" ht="15.75" customHeight="1" x14ac:dyDescent="0.3">
      <c r="F662" s="124"/>
      <c r="G662" s="124"/>
      <c r="H662" s="124"/>
      <c r="I662" s="124"/>
      <c r="J662" s="124"/>
      <c r="K662" s="124"/>
    </row>
    <row r="663" spans="6:11" ht="15.75" customHeight="1" x14ac:dyDescent="0.3">
      <c r="F663" s="124"/>
      <c r="G663" s="124"/>
      <c r="H663" s="124"/>
      <c r="I663" s="124"/>
      <c r="J663" s="124"/>
      <c r="K663" s="124"/>
    </row>
    <row r="664" spans="6:11" ht="15.75" customHeight="1" x14ac:dyDescent="0.3">
      <c r="F664" s="124"/>
      <c r="G664" s="124"/>
      <c r="H664" s="124"/>
      <c r="I664" s="124"/>
      <c r="J664" s="124"/>
      <c r="K664" s="124"/>
    </row>
    <row r="665" spans="6:11" ht="15.75" customHeight="1" x14ac:dyDescent="0.3">
      <c r="F665" s="124"/>
      <c r="G665" s="124"/>
      <c r="H665" s="124"/>
      <c r="I665" s="124"/>
      <c r="J665" s="124"/>
      <c r="K665" s="124"/>
    </row>
    <row r="666" spans="6:11" ht="15.75" customHeight="1" x14ac:dyDescent="0.3">
      <c r="F666" s="124"/>
      <c r="G666" s="124"/>
      <c r="H666" s="124"/>
      <c r="I666" s="124"/>
      <c r="J666" s="124"/>
      <c r="K666" s="124"/>
    </row>
    <row r="667" spans="6:11" ht="15.75" customHeight="1" x14ac:dyDescent="0.3">
      <c r="F667" s="124"/>
      <c r="G667" s="124"/>
      <c r="H667" s="124"/>
      <c r="I667" s="124"/>
      <c r="J667" s="124"/>
      <c r="K667" s="124"/>
    </row>
    <row r="668" spans="6:11" ht="15.75" customHeight="1" x14ac:dyDescent="0.3">
      <c r="F668" s="124"/>
      <c r="G668" s="124"/>
      <c r="H668" s="124"/>
      <c r="I668" s="124"/>
      <c r="J668" s="124"/>
      <c r="K668" s="124"/>
    </row>
    <row r="669" spans="6:11" ht="15.75" customHeight="1" x14ac:dyDescent="0.3">
      <c r="F669" s="124"/>
      <c r="G669" s="124"/>
      <c r="H669" s="124"/>
      <c r="I669" s="124"/>
      <c r="J669" s="124"/>
      <c r="K669" s="124"/>
    </row>
    <row r="670" spans="6:11" ht="15.75" customHeight="1" x14ac:dyDescent="0.3">
      <c r="F670" s="124"/>
      <c r="G670" s="124"/>
      <c r="H670" s="124"/>
      <c r="I670" s="124"/>
      <c r="J670" s="124"/>
      <c r="K670" s="124"/>
    </row>
    <row r="671" spans="6:11" ht="15.75" customHeight="1" x14ac:dyDescent="0.3">
      <c r="F671" s="124"/>
      <c r="G671" s="124"/>
      <c r="H671" s="124"/>
      <c r="I671" s="124"/>
      <c r="J671" s="124"/>
      <c r="K671" s="124"/>
    </row>
    <row r="672" spans="6:11" ht="15.75" customHeight="1" x14ac:dyDescent="0.3">
      <c r="F672" s="124"/>
      <c r="G672" s="124"/>
      <c r="H672" s="124"/>
      <c r="I672" s="124"/>
      <c r="J672" s="124"/>
      <c r="K672" s="124"/>
    </row>
    <row r="673" spans="6:11" ht="15.75" customHeight="1" x14ac:dyDescent="0.3">
      <c r="F673" s="124"/>
      <c r="G673" s="124"/>
      <c r="H673" s="124"/>
      <c r="I673" s="124"/>
      <c r="J673" s="124"/>
      <c r="K673" s="124"/>
    </row>
    <row r="674" spans="6:11" ht="15.75" customHeight="1" x14ac:dyDescent="0.3">
      <c r="F674" s="124"/>
      <c r="G674" s="124"/>
      <c r="H674" s="124"/>
      <c r="I674" s="124"/>
      <c r="J674" s="124"/>
      <c r="K674" s="124"/>
    </row>
    <row r="675" spans="6:11" ht="15.75" customHeight="1" x14ac:dyDescent="0.3">
      <c r="F675" s="124"/>
      <c r="G675" s="124"/>
      <c r="H675" s="124"/>
      <c r="I675" s="124"/>
      <c r="J675" s="124"/>
      <c r="K675" s="124"/>
    </row>
    <row r="676" spans="6:11" ht="15.75" customHeight="1" x14ac:dyDescent="0.3">
      <c r="F676" s="124"/>
      <c r="G676" s="124"/>
      <c r="H676" s="124"/>
      <c r="I676" s="124"/>
      <c r="J676" s="124"/>
      <c r="K676" s="124"/>
    </row>
    <row r="677" spans="6:11" ht="15.75" customHeight="1" x14ac:dyDescent="0.3">
      <c r="F677" s="124"/>
      <c r="G677" s="124"/>
      <c r="H677" s="124"/>
      <c r="I677" s="124"/>
      <c r="J677" s="124"/>
      <c r="K677" s="124"/>
    </row>
    <row r="678" spans="6:11" ht="15.75" customHeight="1" x14ac:dyDescent="0.3">
      <c r="F678" s="124"/>
      <c r="G678" s="124"/>
      <c r="H678" s="124"/>
      <c r="I678" s="124"/>
      <c r="J678" s="124"/>
      <c r="K678" s="124"/>
    </row>
    <row r="679" spans="6:11" ht="15.75" customHeight="1" x14ac:dyDescent="0.3">
      <c r="F679" s="124"/>
      <c r="G679" s="124"/>
      <c r="H679" s="124"/>
      <c r="I679" s="124"/>
      <c r="J679" s="124"/>
      <c r="K679" s="124"/>
    </row>
    <row r="680" spans="6:11" ht="15.75" customHeight="1" x14ac:dyDescent="0.3">
      <c r="F680" s="124"/>
      <c r="G680" s="124"/>
      <c r="H680" s="124"/>
      <c r="I680" s="124"/>
      <c r="J680" s="124"/>
      <c r="K680" s="124"/>
    </row>
    <row r="681" spans="6:11" ht="15.75" customHeight="1" x14ac:dyDescent="0.3">
      <c r="F681" s="124"/>
      <c r="G681" s="124"/>
      <c r="H681" s="124"/>
      <c r="I681" s="124"/>
      <c r="J681" s="124"/>
      <c r="K681" s="124"/>
    </row>
    <row r="682" spans="6:11" ht="15.75" customHeight="1" x14ac:dyDescent="0.3">
      <c r="F682" s="124"/>
      <c r="G682" s="124"/>
      <c r="H682" s="124"/>
      <c r="I682" s="124"/>
      <c r="J682" s="124"/>
      <c r="K682" s="124"/>
    </row>
    <row r="683" spans="6:11" ht="15.75" customHeight="1" x14ac:dyDescent="0.3">
      <c r="F683" s="124"/>
      <c r="G683" s="124"/>
      <c r="H683" s="124"/>
      <c r="I683" s="124"/>
      <c r="J683" s="124"/>
      <c r="K683" s="124"/>
    </row>
    <row r="684" spans="6:11" ht="15.75" customHeight="1" x14ac:dyDescent="0.3">
      <c r="F684" s="124"/>
      <c r="G684" s="124"/>
      <c r="H684" s="124"/>
      <c r="I684" s="124"/>
      <c r="J684" s="124"/>
      <c r="K684" s="124"/>
    </row>
    <row r="685" spans="6:11" ht="15.75" customHeight="1" x14ac:dyDescent="0.3">
      <c r="F685" s="124"/>
      <c r="G685" s="124"/>
      <c r="H685" s="124"/>
      <c r="I685" s="124"/>
      <c r="J685" s="124"/>
      <c r="K685" s="124"/>
    </row>
    <row r="686" spans="6:11" ht="15.75" customHeight="1" x14ac:dyDescent="0.3">
      <c r="F686" s="124"/>
      <c r="G686" s="124"/>
      <c r="H686" s="124"/>
      <c r="I686" s="124"/>
      <c r="J686" s="124"/>
      <c r="K686" s="124"/>
    </row>
    <row r="687" spans="6:11" ht="15.75" customHeight="1" x14ac:dyDescent="0.3">
      <c r="F687" s="124"/>
      <c r="G687" s="124"/>
      <c r="H687" s="124"/>
      <c r="I687" s="124"/>
      <c r="J687" s="124"/>
      <c r="K687" s="124"/>
    </row>
    <row r="688" spans="6:11" ht="15.75" customHeight="1" x14ac:dyDescent="0.3">
      <c r="F688" s="124"/>
      <c r="G688" s="124"/>
      <c r="H688" s="124"/>
      <c r="I688" s="124"/>
      <c r="J688" s="124"/>
      <c r="K688" s="124"/>
    </row>
    <row r="689" spans="6:11" ht="15.75" customHeight="1" x14ac:dyDescent="0.3">
      <c r="F689" s="124"/>
      <c r="G689" s="124"/>
      <c r="H689" s="124"/>
      <c r="I689" s="124"/>
      <c r="J689" s="124"/>
      <c r="K689" s="124"/>
    </row>
    <row r="690" spans="6:11" ht="15.75" customHeight="1" x14ac:dyDescent="0.3">
      <c r="F690" s="124"/>
      <c r="G690" s="124"/>
      <c r="H690" s="124"/>
      <c r="I690" s="124"/>
      <c r="J690" s="124"/>
      <c r="K690" s="124"/>
    </row>
    <row r="691" spans="6:11" ht="15.75" customHeight="1" x14ac:dyDescent="0.3">
      <c r="F691" s="124"/>
      <c r="G691" s="124"/>
      <c r="H691" s="124"/>
      <c r="I691" s="124"/>
      <c r="J691" s="124"/>
      <c r="K691" s="124"/>
    </row>
    <row r="692" spans="6:11" ht="15.75" customHeight="1" x14ac:dyDescent="0.3">
      <c r="F692" s="124"/>
      <c r="G692" s="124"/>
      <c r="H692" s="124"/>
      <c r="I692" s="124"/>
      <c r="J692" s="124"/>
      <c r="K692" s="124"/>
    </row>
    <row r="693" spans="6:11" ht="15.75" customHeight="1" x14ac:dyDescent="0.3">
      <c r="F693" s="124"/>
      <c r="G693" s="124"/>
      <c r="H693" s="124"/>
      <c r="I693" s="124"/>
      <c r="J693" s="124"/>
      <c r="K693" s="124"/>
    </row>
    <row r="694" spans="6:11" ht="15.75" customHeight="1" x14ac:dyDescent="0.3">
      <c r="F694" s="124"/>
      <c r="G694" s="124"/>
      <c r="H694" s="124"/>
      <c r="I694" s="124"/>
      <c r="J694" s="124"/>
      <c r="K694" s="124"/>
    </row>
    <row r="695" spans="6:11" ht="15.75" customHeight="1" x14ac:dyDescent="0.3">
      <c r="F695" s="124"/>
      <c r="G695" s="124"/>
      <c r="H695" s="124"/>
      <c r="I695" s="124"/>
      <c r="J695" s="124"/>
      <c r="K695" s="124"/>
    </row>
    <row r="696" spans="6:11" ht="15.75" customHeight="1" x14ac:dyDescent="0.3">
      <c r="F696" s="124"/>
      <c r="G696" s="124"/>
      <c r="H696" s="124"/>
      <c r="I696" s="124"/>
      <c r="J696" s="124"/>
      <c r="K696" s="124"/>
    </row>
    <row r="697" spans="6:11" ht="15.75" customHeight="1" x14ac:dyDescent="0.3">
      <c r="F697" s="124"/>
      <c r="G697" s="124"/>
      <c r="H697" s="124"/>
      <c r="I697" s="124"/>
      <c r="J697" s="124"/>
      <c r="K697" s="124"/>
    </row>
    <row r="698" spans="6:11" ht="15.75" customHeight="1" x14ac:dyDescent="0.3">
      <c r="F698" s="124"/>
      <c r="G698" s="124"/>
      <c r="H698" s="124"/>
      <c r="I698" s="124"/>
      <c r="J698" s="124"/>
      <c r="K698" s="124"/>
    </row>
    <row r="699" spans="6:11" ht="15.75" customHeight="1" x14ac:dyDescent="0.3">
      <c r="F699" s="124"/>
      <c r="G699" s="124"/>
      <c r="H699" s="124"/>
      <c r="I699" s="124"/>
      <c r="J699" s="124"/>
      <c r="K699" s="124"/>
    </row>
    <row r="700" spans="6:11" ht="15.75" customHeight="1" x14ac:dyDescent="0.3">
      <c r="F700" s="124"/>
      <c r="G700" s="124"/>
      <c r="H700" s="124"/>
      <c r="I700" s="124"/>
      <c r="J700" s="124"/>
      <c r="K700" s="124"/>
    </row>
    <row r="701" spans="6:11" ht="15.75" customHeight="1" x14ac:dyDescent="0.3">
      <c r="F701" s="124"/>
      <c r="G701" s="124"/>
      <c r="H701" s="124"/>
      <c r="I701" s="124"/>
      <c r="J701" s="124"/>
      <c r="K701" s="124"/>
    </row>
    <row r="702" spans="6:11" ht="15.75" customHeight="1" x14ac:dyDescent="0.3">
      <c r="F702" s="124"/>
      <c r="G702" s="124"/>
      <c r="H702" s="124"/>
      <c r="I702" s="124"/>
      <c r="J702" s="124"/>
      <c r="K702" s="124"/>
    </row>
    <row r="703" spans="6:11" ht="15.75" customHeight="1" x14ac:dyDescent="0.3">
      <c r="F703" s="124"/>
      <c r="G703" s="124"/>
      <c r="H703" s="124"/>
      <c r="I703" s="124"/>
      <c r="J703" s="124"/>
      <c r="K703" s="124"/>
    </row>
    <row r="704" spans="6:11" ht="15.75" customHeight="1" x14ac:dyDescent="0.3">
      <c r="F704" s="124"/>
      <c r="G704" s="124"/>
      <c r="H704" s="124"/>
      <c r="I704" s="124"/>
      <c r="J704" s="124"/>
      <c r="K704" s="124"/>
    </row>
    <row r="705" spans="6:11" ht="15.75" customHeight="1" x14ac:dyDescent="0.3">
      <c r="F705" s="124"/>
      <c r="G705" s="124"/>
      <c r="H705" s="124"/>
      <c r="I705" s="124"/>
      <c r="J705" s="124"/>
      <c r="K705" s="124"/>
    </row>
    <row r="706" spans="6:11" ht="15.75" customHeight="1" x14ac:dyDescent="0.3">
      <c r="F706" s="124"/>
      <c r="G706" s="124"/>
      <c r="H706" s="124"/>
      <c r="I706" s="124"/>
      <c r="J706" s="124"/>
      <c r="K706" s="124"/>
    </row>
    <row r="707" spans="6:11" ht="15.75" customHeight="1" x14ac:dyDescent="0.3">
      <c r="F707" s="124"/>
      <c r="G707" s="124"/>
      <c r="H707" s="124"/>
      <c r="I707" s="124"/>
      <c r="J707" s="124"/>
      <c r="K707" s="124"/>
    </row>
    <row r="708" spans="6:11" ht="15.75" customHeight="1" x14ac:dyDescent="0.3">
      <c r="F708" s="124"/>
      <c r="G708" s="124"/>
      <c r="H708" s="124"/>
      <c r="I708" s="124"/>
      <c r="J708" s="124"/>
      <c r="K708" s="124"/>
    </row>
    <row r="709" spans="6:11" ht="15.75" customHeight="1" x14ac:dyDescent="0.3">
      <c r="F709" s="124"/>
      <c r="G709" s="124"/>
      <c r="H709" s="124"/>
      <c r="I709" s="124"/>
      <c r="J709" s="124"/>
      <c r="K709" s="124"/>
    </row>
    <row r="710" spans="6:11" ht="15.75" customHeight="1" x14ac:dyDescent="0.3">
      <c r="F710" s="124"/>
      <c r="G710" s="124"/>
      <c r="H710" s="124"/>
      <c r="I710" s="124"/>
      <c r="J710" s="124"/>
      <c r="K710" s="124"/>
    </row>
    <row r="711" spans="6:11" ht="15.75" customHeight="1" x14ac:dyDescent="0.3">
      <c r="F711" s="124"/>
      <c r="G711" s="124"/>
      <c r="H711" s="124"/>
      <c r="I711" s="124"/>
      <c r="J711" s="124"/>
      <c r="K711" s="124"/>
    </row>
    <row r="712" spans="6:11" ht="15.75" customHeight="1" x14ac:dyDescent="0.3">
      <c r="F712" s="124"/>
      <c r="G712" s="124"/>
      <c r="H712" s="124"/>
      <c r="I712" s="124"/>
      <c r="J712" s="124"/>
      <c r="K712" s="124"/>
    </row>
    <row r="713" spans="6:11" ht="15.75" customHeight="1" x14ac:dyDescent="0.3">
      <c r="F713" s="124"/>
      <c r="G713" s="124"/>
      <c r="H713" s="124"/>
      <c r="I713" s="124"/>
      <c r="J713" s="124"/>
      <c r="K713" s="124"/>
    </row>
    <row r="714" spans="6:11" ht="15.75" customHeight="1" x14ac:dyDescent="0.3">
      <c r="F714" s="124"/>
      <c r="G714" s="124"/>
      <c r="H714" s="124"/>
      <c r="I714" s="124"/>
      <c r="J714" s="124"/>
      <c r="K714" s="124"/>
    </row>
    <row r="715" spans="6:11" ht="15.75" customHeight="1" x14ac:dyDescent="0.3">
      <c r="F715" s="124"/>
      <c r="G715" s="124"/>
      <c r="H715" s="124"/>
      <c r="I715" s="124"/>
      <c r="J715" s="124"/>
      <c r="K715" s="124"/>
    </row>
    <row r="716" spans="6:11" ht="15.75" customHeight="1" x14ac:dyDescent="0.3">
      <c r="F716" s="124"/>
      <c r="G716" s="124"/>
      <c r="H716" s="124"/>
      <c r="I716" s="124"/>
      <c r="J716" s="124"/>
      <c r="K716" s="124"/>
    </row>
    <row r="717" spans="6:11" ht="15.75" customHeight="1" x14ac:dyDescent="0.3">
      <c r="F717" s="124"/>
      <c r="G717" s="124"/>
      <c r="H717" s="124"/>
      <c r="I717" s="124"/>
      <c r="J717" s="124"/>
      <c r="K717" s="124"/>
    </row>
    <row r="718" spans="6:11" ht="15.75" customHeight="1" x14ac:dyDescent="0.3">
      <c r="F718" s="124"/>
      <c r="G718" s="124"/>
      <c r="H718" s="124"/>
      <c r="I718" s="124"/>
      <c r="J718" s="124"/>
      <c r="K718" s="124"/>
    </row>
    <row r="719" spans="6:11" ht="15.75" customHeight="1" x14ac:dyDescent="0.3">
      <c r="F719" s="124"/>
      <c r="G719" s="124"/>
      <c r="H719" s="124"/>
      <c r="I719" s="124"/>
      <c r="J719" s="124"/>
      <c r="K719" s="124"/>
    </row>
    <row r="720" spans="6:11" ht="15.75" customHeight="1" x14ac:dyDescent="0.3">
      <c r="F720" s="124"/>
      <c r="G720" s="124"/>
      <c r="H720" s="124"/>
      <c r="I720" s="124"/>
      <c r="J720" s="124"/>
      <c r="K720" s="124"/>
    </row>
    <row r="721" spans="6:11" ht="15.75" customHeight="1" x14ac:dyDescent="0.3">
      <c r="F721" s="124"/>
      <c r="G721" s="124"/>
      <c r="H721" s="124"/>
      <c r="I721" s="124"/>
      <c r="J721" s="124"/>
      <c r="K721" s="124"/>
    </row>
    <row r="722" spans="6:11" ht="15.75" customHeight="1" x14ac:dyDescent="0.3">
      <c r="F722" s="124"/>
      <c r="G722" s="124"/>
      <c r="H722" s="124"/>
      <c r="I722" s="124"/>
      <c r="J722" s="124"/>
      <c r="K722" s="124"/>
    </row>
    <row r="723" spans="6:11" ht="15.75" customHeight="1" x14ac:dyDescent="0.3">
      <c r="F723" s="124"/>
      <c r="G723" s="124"/>
      <c r="H723" s="124"/>
      <c r="I723" s="124"/>
      <c r="J723" s="124"/>
      <c r="K723" s="124"/>
    </row>
    <row r="724" spans="6:11" ht="15.75" customHeight="1" x14ac:dyDescent="0.3">
      <c r="F724" s="124"/>
      <c r="G724" s="124"/>
      <c r="H724" s="124"/>
      <c r="I724" s="124"/>
      <c r="J724" s="124"/>
      <c r="K724" s="124"/>
    </row>
    <row r="725" spans="6:11" ht="15.75" customHeight="1" x14ac:dyDescent="0.3">
      <c r="F725" s="124"/>
      <c r="G725" s="124"/>
      <c r="H725" s="124"/>
      <c r="I725" s="124"/>
      <c r="J725" s="124"/>
      <c r="K725" s="124"/>
    </row>
    <row r="726" spans="6:11" ht="15.75" customHeight="1" x14ac:dyDescent="0.3">
      <c r="F726" s="124"/>
      <c r="G726" s="124"/>
      <c r="H726" s="124"/>
      <c r="I726" s="124"/>
      <c r="J726" s="124"/>
      <c r="K726" s="124"/>
    </row>
    <row r="727" spans="6:11" ht="15.75" customHeight="1" x14ac:dyDescent="0.3">
      <c r="F727" s="124"/>
      <c r="G727" s="124"/>
      <c r="H727" s="124"/>
      <c r="I727" s="124"/>
      <c r="J727" s="124"/>
      <c r="K727" s="124"/>
    </row>
    <row r="728" spans="6:11" ht="15.75" customHeight="1" x14ac:dyDescent="0.3">
      <c r="F728" s="124"/>
      <c r="G728" s="124"/>
      <c r="H728" s="124"/>
      <c r="I728" s="124"/>
      <c r="J728" s="124"/>
      <c r="K728" s="124"/>
    </row>
    <row r="729" spans="6:11" ht="15.75" customHeight="1" x14ac:dyDescent="0.3">
      <c r="F729" s="124"/>
      <c r="G729" s="124"/>
      <c r="H729" s="124"/>
      <c r="I729" s="124"/>
      <c r="J729" s="124"/>
      <c r="K729" s="124"/>
    </row>
    <row r="730" spans="6:11" ht="15.75" customHeight="1" x14ac:dyDescent="0.3">
      <c r="F730" s="124"/>
      <c r="G730" s="124"/>
      <c r="H730" s="124"/>
      <c r="I730" s="124"/>
      <c r="J730" s="124"/>
      <c r="K730" s="124"/>
    </row>
    <row r="731" spans="6:11" ht="15.75" customHeight="1" x14ac:dyDescent="0.3">
      <c r="F731" s="124"/>
      <c r="G731" s="124"/>
      <c r="H731" s="124"/>
      <c r="I731" s="124"/>
      <c r="J731" s="124"/>
      <c r="K731" s="124"/>
    </row>
    <row r="732" spans="6:11" ht="15.75" customHeight="1" x14ac:dyDescent="0.3">
      <c r="F732" s="124"/>
      <c r="G732" s="124"/>
      <c r="H732" s="124"/>
      <c r="I732" s="124"/>
      <c r="J732" s="124"/>
      <c r="K732" s="124"/>
    </row>
    <row r="733" spans="6:11" ht="15.75" customHeight="1" x14ac:dyDescent="0.3">
      <c r="F733" s="124"/>
      <c r="G733" s="124"/>
      <c r="H733" s="124"/>
      <c r="I733" s="124"/>
      <c r="J733" s="124"/>
      <c r="K733" s="124"/>
    </row>
    <row r="734" spans="6:11" ht="15.75" customHeight="1" x14ac:dyDescent="0.3">
      <c r="F734" s="124"/>
      <c r="G734" s="124"/>
      <c r="H734" s="124"/>
      <c r="I734" s="124"/>
      <c r="J734" s="124"/>
      <c r="K734" s="124"/>
    </row>
    <row r="735" spans="6:11" ht="15.75" customHeight="1" x14ac:dyDescent="0.3">
      <c r="F735" s="124"/>
      <c r="G735" s="124"/>
      <c r="H735" s="124"/>
      <c r="I735" s="124"/>
      <c r="J735" s="124"/>
      <c r="K735" s="124"/>
    </row>
    <row r="736" spans="6:11" ht="15.75" customHeight="1" x14ac:dyDescent="0.3">
      <c r="F736" s="124"/>
      <c r="G736" s="124"/>
      <c r="H736" s="124"/>
      <c r="I736" s="124"/>
      <c r="J736" s="124"/>
      <c r="K736" s="124"/>
    </row>
    <row r="737" spans="6:11" ht="15.75" customHeight="1" x14ac:dyDescent="0.3">
      <c r="F737" s="124"/>
      <c r="G737" s="124"/>
      <c r="H737" s="124"/>
      <c r="I737" s="124"/>
      <c r="J737" s="124"/>
      <c r="K737" s="124"/>
    </row>
    <row r="738" spans="6:11" ht="15.75" customHeight="1" x14ac:dyDescent="0.3">
      <c r="F738" s="124"/>
      <c r="G738" s="124"/>
      <c r="H738" s="124"/>
      <c r="I738" s="124"/>
      <c r="J738" s="124"/>
      <c r="K738" s="124"/>
    </row>
    <row r="739" spans="6:11" ht="15.75" customHeight="1" x14ac:dyDescent="0.3">
      <c r="F739" s="124"/>
      <c r="G739" s="124"/>
      <c r="H739" s="124"/>
      <c r="I739" s="124"/>
      <c r="J739" s="124"/>
      <c r="K739" s="124"/>
    </row>
    <row r="740" spans="6:11" ht="15.75" customHeight="1" x14ac:dyDescent="0.3">
      <c r="F740" s="124"/>
      <c r="G740" s="124"/>
      <c r="H740" s="124"/>
      <c r="I740" s="124"/>
      <c r="J740" s="124"/>
      <c r="K740" s="124"/>
    </row>
    <row r="741" spans="6:11" ht="15.75" customHeight="1" x14ac:dyDescent="0.3">
      <c r="F741" s="124"/>
      <c r="G741" s="124"/>
      <c r="H741" s="124"/>
      <c r="I741" s="124"/>
      <c r="J741" s="124"/>
      <c r="K741" s="124"/>
    </row>
    <row r="742" spans="6:11" ht="15.75" customHeight="1" x14ac:dyDescent="0.3">
      <c r="F742" s="124"/>
      <c r="G742" s="124"/>
      <c r="H742" s="124"/>
      <c r="I742" s="124"/>
      <c r="J742" s="124"/>
      <c r="K742" s="124"/>
    </row>
    <row r="743" spans="6:11" ht="15.75" customHeight="1" x14ac:dyDescent="0.3">
      <c r="F743" s="124"/>
      <c r="G743" s="124"/>
      <c r="H743" s="124"/>
      <c r="I743" s="124"/>
      <c r="J743" s="124"/>
      <c r="K743" s="124"/>
    </row>
    <row r="744" spans="6:11" ht="15.75" customHeight="1" x14ac:dyDescent="0.3">
      <c r="F744" s="124"/>
      <c r="G744" s="124"/>
      <c r="H744" s="124"/>
      <c r="I744" s="124"/>
      <c r="J744" s="124"/>
      <c r="K744" s="124"/>
    </row>
    <row r="745" spans="6:11" ht="15.75" customHeight="1" x14ac:dyDescent="0.3">
      <c r="F745" s="124"/>
      <c r="G745" s="124"/>
      <c r="H745" s="124"/>
      <c r="I745" s="124"/>
      <c r="J745" s="124"/>
      <c r="K745" s="124"/>
    </row>
    <row r="746" spans="6:11" ht="15.75" customHeight="1" x14ac:dyDescent="0.3">
      <c r="F746" s="124"/>
      <c r="G746" s="124"/>
      <c r="H746" s="124"/>
      <c r="I746" s="124"/>
      <c r="J746" s="124"/>
      <c r="K746" s="124"/>
    </row>
    <row r="747" spans="6:11" ht="15.75" customHeight="1" x14ac:dyDescent="0.3">
      <c r="F747" s="124"/>
      <c r="G747" s="124"/>
      <c r="H747" s="124"/>
      <c r="I747" s="124"/>
      <c r="J747" s="124"/>
      <c r="K747" s="124"/>
    </row>
    <row r="748" spans="6:11" ht="15.75" customHeight="1" x14ac:dyDescent="0.3">
      <c r="F748" s="124"/>
      <c r="G748" s="124"/>
      <c r="H748" s="124"/>
      <c r="I748" s="124"/>
      <c r="J748" s="124"/>
      <c r="K748" s="124"/>
    </row>
    <row r="749" spans="6:11" ht="15.75" customHeight="1" x14ac:dyDescent="0.3">
      <c r="F749" s="124"/>
      <c r="G749" s="124"/>
      <c r="H749" s="124"/>
      <c r="I749" s="124"/>
      <c r="J749" s="124"/>
      <c r="K749" s="124"/>
    </row>
    <row r="750" spans="6:11" ht="15.75" customHeight="1" x14ac:dyDescent="0.3">
      <c r="F750" s="124"/>
      <c r="G750" s="124"/>
      <c r="H750" s="124"/>
      <c r="I750" s="124"/>
      <c r="J750" s="124"/>
      <c r="K750" s="124"/>
    </row>
    <row r="751" spans="6:11" ht="15.75" customHeight="1" x14ac:dyDescent="0.3">
      <c r="F751" s="124"/>
      <c r="G751" s="124"/>
      <c r="H751" s="124"/>
      <c r="I751" s="124"/>
      <c r="J751" s="124"/>
      <c r="K751" s="124"/>
    </row>
    <row r="752" spans="6:11" ht="15.75" customHeight="1" x14ac:dyDescent="0.3">
      <c r="F752" s="124"/>
      <c r="G752" s="124"/>
      <c r="H752" s="124"/>
      <c r="I752" s="124"/>
      <c r="J752" s="124"/>
      <c r="K752" s="124"/>
    </row>
    <row r="753" spans="6:11" ht="15.75" customHeight="1" x14ac:dyDescent="0.3">
      <c r="F753" s="124"/>
      <c r="G753" s="124"/>
      <c r="H753" s="124"/>
      <c r="I753" s="124"/>
      <c r="J753" s="124"/>
      <c r="K753" s="124"/>
    </row>
    <row r="754" spans="6:11" ht="15.75" customHeight="1" x14ac:dyDescent="0.3">
      <c r="F754" s="124"/>
      <c r="G754" s="124"/>
      <c r="H754" s="124"/>
      <c r="I754" s="124"/>
      <c r="J754" s="124"/>
      <c r="K754" s="124"/>
    </row>
    <row r="755" spans="6:11" ht="15.75" customHeight="1" x14ac:dyDescent="0.3">
      <c r="F755" s="124"/>
      <c r="G755" s="124"/>
      <c r="H755" s="124"/>
      <c r="I755" s="124"/>
      <c r="J755" s="124"/>
      <c r="K755" s="124"/>
    </row>
    <row r="756" spans="6:11" ht="15.75" customHeight="1" x14ac:dyDescent="0.3">
      <c r="F756" s="124"/>
      <c r="G756" s="124"/>
      <c r="H756" s="124"/>
      <c r="I756" s="124"/>
      <c r="J756" s="124"/>
      <c r="K756" s="124"/>
    </row>
    <row r="757" spans="6:11" ht="15.75" customHeight="1" x14ac:dyDescent="0.3">
      <c r="F757" s="124"/>
      <c r="G757" s="124"/>
      <c r="H757" s="124"/>
      <c r="I757" s="124"/>
      <c r="J757" s="124"/>
      <c r="K757" s="124"/>
    </row>
    <row r="758" spans="6:11" ht="15.75" customHeight="1" x14ac:dyDescent="0.3">
      <c r="F758" s="124"/>
      <c r="G758" s="124"/>
      <c r="H758" s="124"/>
      <c r="I758" s="124"/>
      <c r="J758" s="124"/>
      <c r="K758" s="124"/>
    </row>
    <row r="759" spans="6:11" ht="15.75" customHeight="1" x14ac:dyDescent="0.3">
      <c r="F759" s="124"/>
      <c r="G759" s="124"/>
      <c r="H759" s="124"/>
      <c r="I759" s="124"/>
      <c r="J759" s="124"/>
      <c r="K759" s="124"/>
    </row>
    <row r="760" spans="6:11" ht="15.75" customHeight="1" x14ac:dyDescent="0.3">
      <c r="F760" s="124"/>
      <c r="G760" s="124"/>
      <c r="H760" s="124"/>
      <c r="I760" s="124"/>
      <c r="J760" s="124"/>
      <c r="K760" s="124"/>
    </row>
    <row r="761" spans="6:11" ht="15.75" customHeight="1" x14ac:dyDescent="0.3">
      <c r="F761" s="124"/>
      <c r="G761" s="124"/>
      <c r="H761" s="124"/>
      <c r="I761" s="124"/>
      <c r="J761" s="124"/>
      <c r="K761" s="124"/>
    </row>
    <row r="762" spans="6:11" ht="15.75" customHeight="1" x14ac:dyDescent="0.3">
      <c r="F762" s="124"/>
      <c r="G762" s="124"/>
      <c r="H762" s="124"/>
      <c r="I762" s="124"/>
      <c r="J762" s="124"/>
      <c r="K762" s="124"/>
    </row>
    <row r="763" spans="6:11" ht="15.75" customHeight="1" x14ac:dyDescent="0.3">
      <c r="F763" s="124"/>
      <c r="G763" s="124"/>
      <c r="H763" s="124"/>
      <c r="I763" s="124"/>
      <c r="J763" s="124"/>
      <c r="K763" s="124"/>
    </row>
    <row r="764" spans="6:11" ht="15.75" customHeight="1" x14ac:dyDescent="0.3">
      <c r="F764" s="124"/>
      <c r="G764" s="124"/>
      <c r="H764" s="124"/>
      <c r="I764" s="124"/>
      <c r="J764" s="124"/>
      <c r="K764" s="124"/>
    </row>
    <row r="765" spans="6:11" ht="15.75" customHeight="1" x14ac:dyDescent="0.3">
      <c r="F765" s="124"/>
      <c r="G765" s="124"/>
      <c r="H765" s="124"/>
      <c r="I765" s="124"/>
      <c r="J765" s="124"/>
      <c r="K765" s="124"/>
    </row>
    <row r="766" spans="6:11" ht="15.75" customHeight="1" x14ac:dyDescent="0.3">
      <c r="F766" s="124"/>
      <c r="G766" s="124"/>
      <c r="H766" s="124"/>
      <c r="I766" s="124"/>
      <c r="J766" s="124"/>
      <c r="K766" s="124"/>
    </row>
    <row r="767" spans="6:11" ht="15.75" customHeight="1" x14ac:dyDescent="0.3">
      <c r="F767" s="124"/>
      <c r="G767" s="124"/>
      <c r="H767" s="124"/>
      <c r="I767" s="124"/>
      <c r="J767" s="124"/>
      <c r="K767" s="124"/>
    </row>
    <row r="768" spans="6:11" ht="15.75" customHeight="1" x14ac:dyDescent="0.3">
      <c r="F768" s="124"/>
      <c r="G768" s="124"/>
      <c r="H768" s="124"/>
      <c r="I768" s="124"/>
      <c r="J768" s="124"/>
      <c r="K768" s="124"/>
    </row>
    <row r="769" spans="6:11" ht="15.75" customHeight="1" x14ac:dyDescent="0.3">
      <c r="F769" s="124"/>
      <c r="G769" s="124"/>
      <c r="H769" s="124"/>
      <c r="I769" s="124"/>
      <c r="J769" s="124"/>
      <c r="K769" s="124"/>
    </row>
    <row r="770" spans="6:11" ht="15.75" customHeight="1" x14ac:dyDescent="0.3">
      <c r="F770" s="124"/>
      <c r="G770" s="124"/>
      <c r="H770" s="124"/>
      <c r="I770" s="124"/>
      <c r="J770" s="124"/>
      <c r="K770" s="124"/>
    </row>
    <row r="771" spans="6:11" ht="15.75" customHeight="1" x14ac:dyDescent="0.3">
      <c r="F771" s="124"/>
      <c r="G771" s="124"/>
      <c r="H771" s="124"/>
      <c r="I771" s="124"/>
      <c r="J771" s="124"/>
      <c r="K771" s="124"/>
    </row>
    <row r="772" spans="6:11" ht="15.75" customHeight="1" x14ac:dyDescent="0.3">
      <c r="F772" s="124"/>
      <c r="G772" s="124"/>
      <c r="H772" s="124"/>
      <c r="I772" s="124"/>
      <c r="J772" s="124"/>
      <c r="K772" s="124"/>
    </row>
    <row r="773" spans="6:11" ht="15.75" customHeight="1" x14ac:dyDescent="0.3">
      <c r="F773" s="124"/>
      <c r="G773" s="124"/>
      <c r="H773" s="124"/>
      <c r="I773" s="124"/>
      <c r="J773" s="124"/>
      <c r="K773" s="124"/>
    </row>
    <row r="774" spans="6:11" ht="15.75" customHeight="1" x14ac:dyDescent="0.3">
      <c r="F774" s="124"/>
      <c r="G774" s="124"/>
      <c r="H774" s="124"/>
      <c r="I774" s="124"/>
      <c r="J774" s="124"/>
      <c r="K774" s="124"/>
    </row>
    <row r="775" spans="6:11" ht="15.75" customHeight="1" x14ac:dyDescent="0.3">
      <c r="F775" s="124"/>
      <c r="G775" s="124"/>
      <c r="H775" s="124"/>
      <c r="I775" s="124"/>
      <c r="J775" s="124"/>
      <c r="K775" s="124"/>
    </row>
    <row r="776" spans="6:11" ht="15.75" customHeight="1" x14ac:dyDescent="0.3">
      <c r="F776" s="124"/>
      <c r="G776" s="124"/>
      <c r="H776" s="124"/>
      <c r="I776" s="124"/>
      <c r="J776" s="124"/>
      <c r="K776" s="124"/>
    </row>
    <row r="777" spans="6:11" ht="15.75" customHeight="1" x14ac:dyDescent="0.3">
      <c r="F777" s="124"/>
      <c r="G777" s="124"/>
      <c r="H777" s="124"/>
      <c r="I777" s="124"/>
      <c r="J777" s="124"/>
      <c r="K777" s="124"/>
    </row>
    <row r="778" spans="6:11" ht="15.75" customHeight="1" x14ac:dyDescent="0.3">
      <c r="F778" s="124"/>
      <c r="G778" s="124"/>
      <c r="H778" s="124"/>
      <c r="I778" s="124"/>
      <c r="J778" s="124"/>
      <c r="K778" s="124"/>
    </row>
    <row r="779" spans="6:11" ht="15.75" customHeight="1" x14ac:dyDescent="0.3">
      <c r="F779" s="124"/>
      <c r="G779" s="124"/>
      <c r="H779" s="124"/>
      <c r="I779" s="124"/>
      <c r="J779" s="124"/>
      <c r="K779" s="124"/>
    </row>
    <row r="780" spans="6:11" ht="15.75" customHeight="1" x14ac:dyDescent="0.3">
      <c r="F780" s="124"/>
      <c r="G780" s="124"/>
      <c r="H780" s="124"/>
      <c r="I780" s="124"/>
      <c r="J780" s="124"/>
      <c r="K780" s="124"/>
    </row>
    <row r="781" spans="6:11" ht="15.75" customHeight="1" x14ac:dyDescent="0.3">
      <c r="F781" s="124"/>
      <c r="G781" s="124"/>
      <c r="H781" s="124"/>
      <c r="I781" s="124"/>
      <c r="J781" s="124"/>
      <c r="K781" s="124"/>
    </row>
    <row r="782" spans="6:11" ht="15.75" customHeight="1" x14ac:dyDescent="0.3">
      <c r="F782" s="124"/>
      <c r="G782" s="124"/>
      <c r="H782" s="124"/>
      <c r="I782" s="124"/>
      <c r="J782" s="124"/>
      <c r="K782" s="124"/>
    </row>
    <row r="783" spans="6:11" ht="15.75" customHeight="1" x14ac:dyDescent="0.3">
      <c r="F783" s="124"/>
      <c r="G783" s="124"/>
      <c r="H783" s="124"/>
      <c r="I783" s="124"/>
      <c r="J783" s="124"/>
      <c r="K783" s="124"/>
    </row>
    <row r="784" spans="6:11" ht="15.75" customHeight="1" x14ac:dyDescent="0.3">
      <c r="F784" s="124"/>
      <c r="G784" s="124"/>
      <c r="H784" s="124"/>
      <c r="I784" s="124"/>
      <c r="J784" s="124"/>
      <c r="K784" s="124"/>
    </row>
    <row r="785" spans="6:11" ht="15.75" customHeight="1" x14ac:dyDescent="0.3">
      <c r="F785" s="124"/>
      <c r="G785" s="124"/>
      <c r="H785" s="124"/>
      <c r="I785" s="124"/>
      <c r="J785" s="124"/>
      <c r="K785" s="124"/>
    </row>
    <row r="786" spans="6:11" ht="15.75" customHeight="1" x14ac:dyDescent="0.3">
      <c r="F786" s="124"/>
      <c r="G786" s="124"/>
      <c r="H786" s="124"/>
      <c r="I786" s="124"/>
      <c r="J786" s="124"/>
      <c r="K786" s="124"/>
    </row>
    <row r="787" spans="6:11" ht="15.75" customHeight="1" x14ac:dyDescent="0.3">
      <c r="F787" s="124"/>
      <c r="G787" s="124"/>
      <c r="H787" s="124"/>
      <c r="I787" s="124"/>
      <c r="J787" s="124"/>
      <c r="K787" s="124"/>
    </row>
    <row r="788" spans="6:11" ht="15.75" customHeight="1" x14ac:dyDescent="0.3">
      <c r="F788" s="124"/>
      <c r="G788" s="124"/>
      <c r="H788" s="124"/>
      <c r="I788" s="124"/>
      <c r="J788" s="124"/>
      <c r="K788" s="124"/>
    </row>
    <row r="789" spans="6:11" ht="15.75" customHeight="1" x14ac:dyDescent="0.3">
      <c r="F789" s="124"/>
      <c r="G789" s="124"/>
      <c r="H789" s="124"/>
      <c r="I789" s="124"/>
      <c r="J789" s="124"/>
      <c r="K789" s="124"/>
    </row>
    <row r="790" spans="6:11" ht="15.75" customHeight="1" x14ac:dyDescent="0.3">
      <c r="F790" s="124"/>
      <c r="G790" s="124"/>
      <c r="H790" s="124"/>
      <c r="I790" s="124"/>
      <c r="J790" s="124"/>
      <c r="K790" s="124"/>
    </row>
    <row r="791" spans="6:11" ht="15.75" customHeight="1" x14ac:dyDescent="0.3">
      <c r="F791" s="124"/>
      <c r="G791" s="124"/>
      <c r="H791" s="124"/>
      <c r="I791" s="124"/>
      <c r="J791" s="124"/>
      <c r="K791" s="124"/>
    </row>
    <row r="792" spans="6:11" ht="15.75" customHeight="1" x14ac:dyDescent="0.3">
      <c r="F792" s="124"/>
      <c r="G792" s="124"/>
      <c r="H792" s="124"/>
      <c r="I792" s="124"/>
      <c r="J792" s="124"/>
      <c r="K792" s="124"/>
    </row>
    <row r="793" spans="6:11" ht="15.75" customHeight="1" x14ac:dyDescent="0.3">
      <c r="F793" s="124"/>
      <c r="G793" s="124"/>
      <c r="H793" s="124"/>
      <c r="I793" s="124"/>
      <c r="J793" s="124"/>
      <c r="K793" s="124"/>
    </row>
    <row r="794" spans="6:11" ht="15.75" customHeight="1" x14ac:dyDescent="0.3">
      <c r="F794" s="124"/>
      <c r="G794" s="124"/>
      <c r="H794" s="124"/>
      <c r="I794" s="124"/>
      <c r="J794" s="124"/>
      <c r="K794" s="124"/>
    </row>
    <row r="795" spans="6:11" ht="15.75" customHeight="1" x14ac:dyDescent="0.3">
      <c r="F795" s="124"/>
      <c r="G795" s="124"/>
      <c r="H795" s="124"/>
      <c r="I795" s="124"/>
      <c r="J795" s="124"/>
      <c r="K795" s="124"/>
    </row>
    <row r="796" spans="6:11" ht="15.75" customHeight="1" x14ac:dyDescent="0.3">
      <c r="F796" s="124"/>
      <c r="G796" s="124"/>
      <c r="H796" s="124"/>
      <c r="I796" s="124"/>
      <c r="J796" s="124"/>
      <c r="K796" s="124"/>
    </row>
    <row r="797" spans="6:11" ht="15.75" customHeight="1" x14ac:dyDescent="0.3">
      <c r="F797" s="124"/>
      <c r="G797" s="124"/>
      <c r="H797" s="124"/>
      <c r="I797" s="124"/>
      <c r="J797" s="124"/>
      <c r="K797" s="124"/>
    </row>
    <row r="798" spans="6:11" ht="15.75" customHeight="1" x14ac:dyDescent="0.3">
      <c r="F798" s="124"/>
      <c r="G798" s="124"/>
      <c r="H798" s="124"/>
      <c r="I798" s="124"/>
      <c r="J798" s="124"/>
      <c r="K798" s="124"/>
    </row>
    <row r="799" spans="6:11" ht="15.75" customHeight="1" x14ac:dyDescent="0.3">
      <c r="F799" s="124"/>
      <c r="G799" s="124"/>
      <c r="H799" s="124"/>
      <c r="I799" s="124"/>
      <c r="J799" s="124"/>
      <c r="K799" s="124"/>
    </row>
    <row r="800" spans="6:11" ht="15.75" customHeight="1" x14ac:dyDescent="0.3">
      <c r="F800" s="124"/>
      <c r="G800" s="124"/>
      <c r="H800" s="124"/>
      <c r="I800" s="124"/>
      <c r="J800" s="124"/>
      <c r="K800" s="124"/>
    </row>
    <row r="801" spans="6:11" ht="15.75" customHeight="1" x14ac:dyDescent="0.3">
      <c r="F801" s="124"/>
      <c r="G801" s="124"/>
      <c r="H801" s="124"/>
      <c r="I801" s="124"/>
      <c r="J801" s="124"/>
      <c r="K801" s="124"/>
    </row>
    <row r="802" spans="6:11" ht="15.75" customHeight="1" x14ac:dyDescent="0.3">
      <c r="F802" s="124"/>
      <c r="G802" s="124"/>
      <c r="H802" s="124"/>
      <c r="I802" s="124"/>
      <c r="J802" s="124"/>
      <c r="K802" s="124"/>
    </row>
    <row r="803" spans="6:11" ht="15.75" customHeight="1" x14ac:dyDescent="0.3">
      <c r="F803" s="124"/>
      <c r="G803" s="124"/>
      <c r="H803" s="124"/>
      <c r="I803" s="124"/>
      <c r="J803" s="124"/>
      <c r="K803" s="124"/>
    </row>
    <row r="804" spans="6:11" ht="15.75" customHeight="1" x14ac:dyDescent="0.3">
      <c r="F804" s="124"/>
      <c r="G804" s="124"/>
      <c r="H804" s="124"/>
      <c r="I804" s="124"/>
      <c r="J804" s="124"/>
      <c r="K804" s="124"/>
    </row>
    <row r="805" spans="6:11" ht="15.75" customHeight="1" x14ac:dyDescent="0.3">
      <c r="F805" s="124"/>
      <c r="G805" s="124"/>
      <c r="H805" s="124"/>
      <c r="I805" s="124"/>
      <c r="J805" s="124"/>
      <c r="K805" s="124"/>
    </row>
    <row r="806" spans="6:11" ht="15.75" customHeight="1" x14ac:dyDescent="0.3">
      <c r="F806" s="124"/>
      <c r="G806" s="124"/>
      <c r="H806" s="124"/>
      <c r="I806" s="124"/>
      <c r="J806" s="124"/>
      <c r="K806" s="124"/>
    </row>
    <row r="807" spans="6:11" ht="15.75" customHeight="1" x14ac:dyDescent="0.3">
      <c r="F807" s="124"/>
      <c r="G807" s="124"/>
      <c r="H807" s="124"/>
      <c r="I807" s="124"/>
      <c r="J807" s="124"/>
      <c r="K807" s="124"/>
    </row>
    <row r="808" spans="6:11" ht="15.75" customHeight="1" x14ac:dyDescent="0.3">
      <c r="F808" s="124"/>
      <c r="G808" s="124"/>
      <c r="H808" s="124"/>
      <c r="I808" s="124"/>
      <c r="J808" s="124"/>
      <c r="K808" s="124"/>
    </row>
    <row r="809" spans="6:11" ht="15.75" customHeight="1" x14ac:dyDescent="0.3">
      <c r="F809" s="124"/>
      <c r="G809" s="124"/>
      <c r="H809" s="124"/>
      <c r="I809" s="124"/>
      <c r="J809" s="124"/>
      <c r="K809" s="124"/>
    </row>
    <row r="810" spans="6:11" ht="15.75" customHeight="1" x14ac:dyDescent="0.3">
      <c r="F810" s="124"/>
      <c r="G810" s="124"/>
      <c r="H810" s="124"/>
      <c r="I810" s="124"/>
      <c r="J810" s="124"/>
      <c r="K810" s="124"/>
    </row>
    <row r="811" spans="6:11" ht="15.75" customHeight="1" x14ac:dyDescent="0.3">
      <c r="F811" s="124"/>
      <c r="G811" s="124"/>
      <c r="H811" s="124"/>
      <c r="I811" s="124"/>
      <c r="J811" s="124"/>
      <c r="K811" s="124"/>
    </row>
    <row r="812" spans="6:11" ht="15.75" customHeight="1" x14ac:dyDescent="0.3">
      <c r="F812" s="124"/>
      <c r="G812" s="124"/>
      <c r="H812" s="124"/>
      <c r="I812" s="124"/>
      <c r="J812" s="124"/>
      <c r="K812" s="124"/>
    </row>
    <row r="813" spans="6:11" ht="15.75" customHeight="1" x14ac:dyDescent="0.3">
      <c r="F813" s="124"/>
      <c r="G813" s="124"/>
      <c r="H813" s="124"/>
      <c r="I813" s="124"/>
      <c r="J813" s="124"/>
      <c r="K813" s="124"/>
    </row>
    <row r="814" spans="6:11" ht="15.75" customHeight="1" x14ac:dyDescent="0.3">
      <c r="F814" s="124"/>
      <c r="G814" s="124"/>
      <c r="H814" s="124"/>
      <c r="I814" s="124"/>
      <c r="J814" s="124"/>
      <c r="K814" s="124"/>
    </row>
    <row r="815" spans="6:11" ht="15.75" customHeight="1" x14ac:dyDescent="0.3">
      <c r="F815" s="124"/>
      <c r="G815" s="124"/>
      <c r="H815" s="124"/>
      <c r="I815" s="124"/>
      <c r="J815" s="124"/>
      <c r="K815" s="124"/>
    </row>
    <row r="816" spans="6:11" ht="15.75" customHeight="1" x14ac:dyDescent="0.3">
      <c r="F816" s="124"/>
      <c r="G816" s="124"/>
      <c r="H816" s="124"/>
      <c r="I816" s="124"/>
      <c r="J816" s="124"/>
      <c r="K816" s="124"/>
    </row>
    <row r="817" spans="6:11" ht="15.75" customHeight="1" x14ac:dyDescent="0.3">
      <c r="F817" s="124"/>
      <c r="G817" s="124"/>
      <c r="H817" s="124"/>
      <c r="I817" s="124"/>
      <c r="J817" s="124"/>
      <c r="K817" s="124"/>
    </row>
    <row r="818" spans="6:11" ht="15.75" customHeight="1" x14ac:dyDescent="0.3">
      <c r="F818" s="124"/>
      <c r="G818" s="124"/>
      <c r="H818" s="124"/>
      <c r="I818" s="124"/>
      <c r="J818" s="124"/>
      <c r="K818" s="124"/>
    </row>
    <row r="819" spans="6:11" ht="15.75" customHeight="1" x14ac:dyDescent="0.3">
      <c r="F819" s="124"/>
      <c r="G819" s="124"/>
      <c r="H819" s="124"/>
      <c r="I819" s="124"/>
      <c r="J819" s="124"/>
      <c r="K819" s="124"/>
    </row>
    <row r="820" spans="6:11" ht="15.75" customHeight="1" x14ac:dyDescent="0.3">
      <c r="F820" s="124"/>
      <c r="G820" s="124"/>
      <c r="H820" s="124"/>
      <c r="I820" s="124"/>
      <c r="J820" s="124"/>
      <c r="K820" s="124"/>
    </row>
    <row r="821" spans="6:11" ht="15.75" customHeight="1" x14ac:dyDescent="0.3">
      <c r="F821" s="124"/>
      <c r="G821" s="124"/>
      <c r="H821" s="124"/>
      <c r="I821" s="124"/>
      <c r="J821" s="124"/>
      <c r="K821" s="124"/>
    </row>
    <row r="822" spans="6:11" ht="15.75" customHeight="1" x14ac:dyDescent="0.3">
      <c r="F822" s="124"/>
      <c r="G822" s="124"/>
      <c r="H822" s="124"/>
      <c r="I822" s="124"/>
      <c r="J822" s="124"/>
      <c r="K822" s="124"/>
    </row>
    <row r="823" spans="6:11" ht="15.75" customHeight="1" x14ac:dyDescent="0.3">
      <c r="F823" s="124"/>
      <c r="G823" s="124"/>
      <c r="H823" s="124"/>
      <c r="I823" s="124"/>
      <c r="J823" s="124"/>
      <c r="K823" s="124"/>
    </row>
    <row r="824" spans="6:11" ht="15.75" customHeight="1" x14ac:dyDescent="0.3">
      <c r="F824" s="124"/>
      <c r="G824" s="124"/>
      <c r="H824" s="124"/>
      <c r="I824" s="124"/>
      <c r="J824" s="124"/>
      <c r="K824" s="124"/>
    </row>
    <row r="825" spans="6:11" ht="15.75" customHeight="1" x14ac:dyDescent="0.3">
      <c r="F825" s="124"/>
      <c r="G825" s="124"/>
      <c r="H825" s="124"/>
      <c r="I825" s="124"/>
      <c r="J825" s="124"/>
      <c r="K825" s="124"/>
    </row>
    <row r="826" spans="6:11" ht="15.75" customHeight="1" x14ac:dyDescent="0.3">
      <c r="F826" s="124"/>
      <c r="G826" s="124"/>
      <c r="H826" s="124"/>
      <c r="I826" s="124"/>
      <c r="J826" s="124"/>
      <c r="K826" s="124"/>
    </row>
    <row r="827" spans="6:11" ht="15.75" customHeight="1" x14ac:dyDescent="0.3">
      <c r="F827" s="124"/>
      <c r="G827" s="124"/>
      <c r="H827" s="124"/>
      <c r="I827" s="124"/>
      <c r="J827" s="124"/>
      <c r="K827" s="124"/>
    </row>
    <row r="828" spans="6:11" ht="15.75" customHeight="1" x14ac:dyDescent="0.3">
      <c r="F828" s="124"/>
      <c r="G828" s="124"/>
      <c r="H828" s="124"/>
      <c r="I828" s="124"/>
      <c r="J828" s="124"/>
      <c r="K828" s="124"/>
    </row>
    <row r="829" spans="6:11" ht="15.75" customHeight="1" x14ac:dyDescent="0.3">
      <c r="F829" s="124"/>
      <c r="G829" s="124"/>
      <c r="H829" s="124"/>
      <c r="I829" s="124"/>
      <c r="J829" s="124"/>
      <c r="K829" s="124"/>
    </row>
    <row r="830" spans="6:11" ht="15.75" customHeight="1" x14ac:dyDescent="0.3">
      <c r="F830" s="124"/>
      <c r="G830" s="124"/>
      <c r="H830" s="124"/>
      <c r="I830" s="124"/>
      <c r="J830" s="124"/>
      <c r="K830" s="124"/>
    </row>
    <row r="831" spans="6:11" ht="15.75" customHeight="1" x14ac:dyDescent="0.3">
      <c r="F831" s="124"/>
      <c r="G831" s="124"/>
      <c r="H831" s="124"/>
      <c r="I831" s="124"/>
      <c r="J831" s="124"/>
      <c r="K831" s="124"/>
    </row>
    <row r="832" spans="6:11" ht="15.75" customHeight="1" x14ac:dyDescent="0.3">
      <c r="F832" s="124"/>
      <c r="G832" s="124"/>
      <c r="H832" s="124"/>
      <c r="I832" s="124"/>
      <c r="J832" s="124"/>
      <c r="K832" s="124"/>
    </row>
    <row r="833" spans="6:11" ht="15.75" customHeight="1" x14ac:dyDescent="0.3">
      <c r="F833" s="124"/>
      <c r="G833" s="124"/>
      <c r="H833" s="124"/>
      <c r="I833" s="124"/>
      <c r="J833" s="124"/>
      <c r="K833" s="124"/>
    </row>
    <row r="834" spans="6:11" ht="15.75" customHeight="1" x14ac:dyDescent="0.3">
      <c r="F834" s="124"/>
      <c r="G834" s="124"/>
      <c r="H834" s="124"/>
      <c r="I834" s="124"/>
      <c r="J834" s="124"/>
      <c r="K834" s="124"/>
    </row>
    <row r="835" spans="6:11" ht="15.75" customHeight="1" x14ac:dyDescent="0.3">
      <c r="F835" s="124"/>
      <c r="G835" s="124"/>
      <c r="H835" s="124"/>
      <c r="I835" s="124"/>
      <c r="J835" s="124"/>
      <c r="K835" s="124"/>
    </row>
    <row r="836" spans="6:11" ht="15.75" customHeight="1" x14ac:dyDescent="0.3">
      <c r="F836" s="124"/>
      <c r="G836" s="124"/>
      <c r="H836" s="124"/>
      <c r="I836" s="124"/>
      <c r="J836" s="124"/>
      <c r="K836" s="124"/>
    </row>
    <row r="837" spans="6:11" ht="15.75" customHeight="1" x14ac:dyDescent="0.3">
      <c r="F837" s="124"/>
      <c r="G837" s="124"/>
      <c r="H837" s="124"/>
      <c r="I837" s="124"/>
      <c r="J837" s="124"/>
      <c r="K837" s="124"/>
    </row>
    <row r="838" spans="6:11" ht="15.75" customHeight="1" x14ac:dyDescent="0.3">
      <c r="F838" s="124"/>
      <c r="G838" s="124"/>
      <c r="H838" s="124"/>
      <c r="I838" s="124"/>
      <c r="J838" s="124"/>
      <c r="K838" s="124"/>
    </row>
    <row r="839" spans="6:11" ht="15.75" customHeight="1" x14ac:dyDescent="0.3">
      <c r="F839" s="124"/>
      <c r="G839" s="124"/>
      <c r="H839" s="124"/>
      <c r="I839" s="124"/>
      <c r="J839" s="124"/>
      <c r="K839" s="124"/>
    </row>
    <row r="840" spans="6:11" ht="15.75" customHeight="1" x14ac:dyDescent="0.3">
      <c r="F840" s="124"/>
      <c r="G840" s="124"/>
      <c r="H840" s="124"/>
      <c r="I840" s="124"/>
      <c r="J840" s="124"/>
      <c r="K840" s="124"/>
    </row>
    <row r="841" spans="6:11" ht="15.75" customHeight="1" x14ac:dyDescent="0.3">
      <c r="F841" s="124"/>
      <c r="G841" s="124"/>
      <c r="H841" s="124"/>
      <c r="I841" s="124"/>
      <c r="J841" s="124"/>
      <c r="K841" s="124"/>
    </row>
    <row r="842" spans="6:11" ht="15.75" customHeight="1" x14ac:dyDescent="0.3">
      <c r="F842" s="124"/>
      <c r="G842" s="124"/>
      <c r="H842" s="124"/>
      <c r="I842" s="124"/>
      <c r="J842" s="124"/>
      <c r="K842" s="124"/>
    </row>
    <row r="843" spans="6:11" ht="15.75" customHeight="1" x14ac:dyDescent="0.3">
      <c r="F843" s="124"/>
      <c r="G843" s="124"/>
      <c r="H843" s="124"/>
      <c r="I843" s="124"/>
      <c r="J843" s="124"/>
      <c r="K843" s="124"/>
    </row>
    <row r="844" spans="6:11" ht="15.75" customHeight="1" x14ac:dyDescent="0.3">
      <c r="F844" s="124"/>
      <c r="G844" s="124"/>
      <c r="H844" s="124"/>
      <c r="I844" s="124"/>
      <c r="J844" s="124"/>
      <c r="K844" s="124"/>
    </row>
    <row r="845" spans="6:11" ht="15.75" customHeight="1" x14ac:dyDescent="0.3">
      <c r="F845" s="124"/>
      <c r="G845" s="124"/>
      <c r="H845" s="124"/>
      <c r="I845" s="124"/>
      <c r="J845" s="124"/>
      <c r="K845" s="124"/>
    </row>
    <row r="846" spans="6:11" ht="15.75" customHeight="1" x14ac:dyDescent="0.3">
      <c r="F846" s="124"/>
      <c r="G846" s="124"/>
      <c r="H846" s="124"/>
      <c r="I846" s="124"/>
      <c r="J846" s="124"/>
      <c r="K846" s="124"/>
    </row>
    <row r="847" spans="6:11" ht="15.75" customHeight="1" x14ac:dyDescent="0.3">
      <c r="F847" s="124"/>
      <c r="G847" s="124"/>
      <c r="H847" s="124"/>
      <c r="I847" s="124"/>
      <c r="J847" s="124"/>
      <c r="K847" s="124"/>
    </row>
    <row r="848" spans="6:11" ht="15.75" customHeight="1" x14ac:dyDescent="0.3">
      <c r="F848" s="124"/>
      <c r="G848" s="124"/>
      <c r="H848" s="124"/>
      <c r="I848" s="124"/>
      <c r="J848" s="124"/>
      <c r="K848" s="124"/>
    </row>
    <row r="849" spans="6:11" ht="15.75" customHeight="1" x14ac:dyDescent="0.3">
      <c r="F849" s="124"/>
      <c r="G849" s="124"/>
      <c r="H849" s="124"/>
      <c r="I849" s="124"/>
      <c r="J849" s="124"/>
      <c r="K849" s="124"/>
    </row>
    <row r="850" spans="6:11" ht="15.75" customHeight="1" x14ac:dyDescent="0.3">
      <c r="F850" s="124"/>
      <c r="G850" s="124"/>
      <c r="H850" s="124"/>
      <c r="I850" s="124"/>
      <c r="J850" s="124"/>
      <c r="K850" s="124"/>
    </row>
    <row r="851" spans="6:11" ht="15.75" customHeight="1" x14ac:dyDescent="0.3">
      <c r="F851" s="124"/>
      <c r="G851" s="124"/>
      <c r="H851" s="124"/>
      <c r="I851" s="124"/>
      <c r="J851" s="124"/>
      <c r="K851" s="124"/>
    </row>
    <row r="852" spans="6:11" ht="15.75" customHeight="1" x14ac:dyDescent="0.3">
      <c r="F852" s="124"/>
      <c r="G852" s="124"/>
      <c r="H852" s="124"/>
      <c r="I852" s="124"/>
      <c r="J852" s="124"/>
      <c r="K852" s="124"/>
    </row>
    <row r="853" spans="6:11" ht="15.75" customHeight="1" x14ac:dyDescent="0.3">
      <c r="F853" s="124"/>
      <c r="G853" s="124"/>
      <c r="H853" s="124"/>
      <c r="I853" s="124"/>
      <c r="J853" s="124"/>
      <c r="K853" s="124"/>
    </row>
    <row r="854" spans="6:11" ht="15.75" customHeight="1" x14ac:dyDescent="0.3">
      <c r="F854" s="124"/>
      <c r="G854" s="124"/>
      <c r="H854" s="124"/>
      <c r="I854" s="124"/>
      <c r="J854" s="124"/>
      <c r="K854" s="124"/>
    </row>
    <row r="855" spans="6:11" ht="15.75" customHeight="1" x14ac:dyDescent="0.3">
      <c r="F855" s="124"/>
      <c r="G855" s="124"/>
      <c r="H855" s="124"/>
      <c r="I855" s="124"/>
      <c r="J855" s="124"/>
      <c r="K855" s="124"/>
    </row>
    <row r="856" spans="6:11" ht="15.75" customHeight="1" x14ac:dyDescent="0.3">
      <c r="F856" s="124"/>
      <c r="G856" s="124"/>
      <c r="H856" s="124"/>
      <c r="I856" s="124"/>
      <c r="J856" s="124"/>
      <c r="K856" s="124"/>
    </row>
    <row r="857" spans="6:11" ht="15.75" customHeight="1" x14ac:dyDescent="0.3">
      <c r="F857" s="124"/>
      <c r="G857" s="124"/>
      <c r="H857" s="124"/>
      <c r="I857" s="124"/>
      <c r="J857" s="124"/>
      <c r="K857" s="124"/>
    </row>
    <row r="858" spans="6:11" ht="15.75" customHeight="1" x14ac:dyDescent="0.3">
      <c r="F858" s="124"/>
      <c r="G858" s="124"/>
      <c r="H858" s="124"/>
      <c r="I858" s="124"/>
      <c r="J858" s="124"/>
      <c r="K858" s="124"/>
    </row>
    <row r="859" spans="6:11" ht="15.75" customHeight="1" x14ac:dyDescent="0.3">
      <c r="F859" s="124"/>
      <c r="G859" s="124"/>
      <c r="H859" s="124"/>
      <c r="I859" s="124"/>
      <c r="J859" s="124"/>
      <c r="K859" s="124"/>
    </row>
    <row r="860" spans="6:11" ht="15.75" customHeight="1" x14ac:dyDescent="0.3">
      <c r="F860" s="124"/>
      <c r="G860" s="124"/>
      <c r="H860" s="124"/>
      <c r="I860" s="124"/>
      <c r="J860" s="124"/>
      <c r="K860" s="124"/>
    </row>
    <row r="861" spans="6:11" ht="15.75" customHeight="1" x14ac:dyDescent="0.3">
      <c r="F861" s="124"/>
      <c r="G861" s="124"/>
      <c r="H861" s="124"/>
      <c r="I861" s="124"/>
      <c r="J861" s="124"/>
      <c r="K861" s="124"/>
    </row>
    <row r="862" spans="6:11" ht="15.75" customHeight="1" x14ac:dyDescent="0.3">
      <c r="F862" s="124"/>
      <c r="G862" s="124"/>
      <c r="H862" s="124"/>
      <c r="I862" s="124"/>
      <c r="J862" s="124"/>
      <c r="K862" s="124"/>
    </row>
    <row r="863" spans="6:11" ht="15.75" customHeight="1" x14ac:dyDescent="0.3">
      <c r="F863" s="124"/>
      <c r="G863" s="124"/>
      <c r="H863" s="124"/>
      <c r="I863" s="124"/>
      <c r="J863" s="124"/>
      <c r="K863" s="124"/>
    </row>
    <row r="864" spans="6:11" ht="15.75" customHeight="1" x14ac:dyDescent="0.3">
      <c r="F864" s="124"/>
      <c r="G864" s="124"/>
      <c r="H864" s="124"/>
      <c r="I864" s="124"/>
      <c r="J864" s="124"/>
      <c r="K864" s="124"/>
    </row>
    <row r="865" spans="6:11" ht="15.75" customHeight="1" x14ac:dyDescent="0.3">
      <c r="F865" s="124"/>
      <c r="G865" s="124"/>
      <c r="H865" s="124"/>
      <c r="I865" s="124"/>
      <c r="J865" s="124"/>
      <c r="K865" s="124"/>
    </row>
    <row r="866" spans="6:11" ht="15.75" customHeight="1" x14ac:dyDescent="0.3">
      <c r="F866" s="124"/>
      <c r="G866" s="124"/>
      <c r="H866" s="124"/>
      <c r="I866" s="124"/>
      <c r="J866" s="124"/>
      <c r="K866" s="124"/>
    </row>
    <row r="867" spans="6:11" ht="15.75" customHeight="1" x14ac:dyDescent="0.3">
      <c r="F867" s="124"/>
      <c r="G867" s="124"/>
      <c r="H867" s="124"/>
      <c r="I867" s="124"/>
      <c r="J867" s="124"/>
      <c r="K867" s="124"/>
    </row>
    <row r="868" spans="6:11" ht="15.75" customHeight="1" x14ac:dyDescent="0.3">
      <c r="F868" s="124"/>
      <c r="G868" s="124"/>
      <c r="H868" s="124"/>
      <c r="I868" s="124"/>
      <c r="J868" s="124"/>
      <c r="K868" s="124"/>
    </row>
    <row r="869" spans="6:11" ht="15.75" customHeight="1" x14ac:dyDescent="0.3">
      <c r="F869" s="124"/>
      <c r="G869" s="124"/>
      <c r="H869" s="124"/>
      <c r="I869" s="124"/>
      <c r="J869" s="124"/>
      <c r="K869" s="124"/>
    </row>
    <row r="870" spans="6:11" ht="15.75" customHeight="1" x14ac:dyDescent="0.3">
      <c r="F870" s="124"/>
      <c r="G870" s="124"/>
      <c r="H870" s="124"/>
      <c r="I870" s="124"/>
      <c r="J870" s="124"/>
      <c r="K870" s="124"/>
    </row>
    <row r="871" spans="6:11" ht="15.75" customHeight="1" x14ac:dyDescent="0.3">
      <c r="F871" s="124"/>
      <c r="G871" s="124"/>
      <c r="H871" s="124"/>
      <c r="I871" s="124"/>
      <c r="J871" s="124"/>
      <c r="K871" s="124"/>
    </row>
    <row r="872" spans="6:11" ht="15.75" customHeight="1" x14ac:dyDescent="0.3">
      <c r="F872" s="124"/>
      <c r="G872" s="124"/>
      <c r="H872" s="124"/>
      <c r="I872" s="124"/>
      <c r="J872" s="124"/>
      <c r="K872" s="124"/>
    </row>
    <row r="873" spans="6:11" ht="15.75" customHeight="1" x14ac:dyDescent="0.3">
      <c r="F873" s="124"/>
      <c r="G873" s="124"/>
      <c r="H873" s="124"/>
      <c r="I873" s="124"/>
      <c r="J873" s="124"/>
      <c r="K873" s="124"/>
    </row>
    <row r="874" spans="6:11" ht="15.75" customHeight="1" x14ac:dyDescent="0.3">
      <c r="F874" s="124"/>
      <c r="G874" s="124"/>
      <c r="H874" s="124"/>
      <c r="I874" s="124"/>
      <c r="J874" s="124"/>
      <c r="K874" s="124"/>
    </row>
    <row r="875" spans="6:11" ht="15.75" customHeight="1" x14ac:dyDescent="0.3">
      <c r="F875" s="124"/>
      <c r="G875" s="124"/>
      <c r="H875" s="124"/>
      <c r="I875" s="124"/>
      <c r="J875" s="124"/>
      <c r="K875" s="124"/>
    </row>
    <row r="876" spans="6:11" ht="15.75" customHeight="1" x14ac:dyDescent="0.3">
      <c r="F876" s="124"/>
      <c r="G876" s="124"/>
      <c r="H876" s="124"/>
      <c r="I876" s="124"/>
      <c r="J876" s="124"/>
      <c r="K876" s="124"/>
    </row>
    <row r="877" spans="6:11" ht="15.75" customHeight="1" x14ac:dyDescent="0.3">
      <c r="F877" s="124"/>
      <c r="G877" s="124"/>
      <c r="H877" s="124"/>
      <c r="I877" s="124"/>
      <c r="J877" s="124"/>
      <c r="K877" s="124"/>
    </row>
    <row r="878" spans="6:11" ht="15.75" customHeight="1" x14ac:dyDescent="0.3">
      <c r="F878" s="124"/>
      <c r="G878" s="124"/>
      <c r="H878" s="124"/>
      <c r="I878" s="124"/>
      <c r="J878" s="124"/>
      <c r="K878" s="124"/>
    </row>
    <row r="879" spans="6:11" ht="15.75" customHeight="1" x14ac:dyDescent="0.3">
      <c r="F879" s="124"/>
      <c r="G879" s="124"/>
      <c r="H879" s="124"/>
      <c r="I879" s="124"/>
      <c r="J879" s="124"/>
      <c r="K879" s="124"/>
    </row>
    <row r="880" spans="6:11" ht="15.75" customHeight="1" x14ac:dyDescent="0.3">
      <c r="F880" s="124"/>
      <c r="G880" s="124"/>
      <c r="H880" s="124"/>
      <c r="I880" s="124"/>
      <c r="J880" s="124"/>
      <c r="K880" s="124"/>
    </row>
    <row r="881" spans="6:11" ht="15.75" customHeight="1" x14ac:dyDescent="0.3">
      <c r="F881" s="124"/>
      <c r="G881" s="124"/>
      <c r="H881" s="124"/>
      <c r="I881" s="124"/>
      <c r="J881" s="124"/>
      <c r="K881" s="124"/>
    </row>
    <row r="882" spans="6:11" ht="15.75" customHeight="1" x14ac:dyDescent="0.3">
      <c r="F882" s="124"/>
      <c r="G882" s="124"/>
      <c r="H882" s="124"/>
      <c r="I882" s="124"/>
      <c r="J882" s="124"/>
      <c r="K882" s="124"/>
    </row>
    <row r="883" spans="6:11" ht="15.75" customHeight="1" x14ac:dyDescent="0.3">
      <c r="F883" s="124"/>
      <c r="G883" s="124"/>
      <c r="H883" s="124"/>
      <c r="I883" s="124"/>
      <c r="J883" s="124"/>
      <c r="K883" s="124"/>
    </row>
    <row r="884" spans="6:11" ht="15.75" customHeight="1" x14ac:dyDescent="0.3">
      <c r="F884" s="124"/>
      <c r="G884" s="124"/>
      <c r="H884" s="124"/>
      <c r="I884" s="124"/>
      <c r="J884" s="124"/>
      <c r="K884" s="124"/>
    </row>
    <row r="885" spans="6:11" ht="15.75" customHeight="1" x14ac:dyDescent="0.3">
      <c r="F885" s="124"/>
      <c r="G885" s="124"/>
      <c r="H885" s="124"/>
      <c r="I885" s="124"/>
      <c r="J885" s="124"/>
      <c r="K885" s="124"/>
    </row>
    <row r="886" spans="6:11" ht="15.75" customHeight="1" x14ac:dyDescent="0.3">
      <c r="F886" s="124"/>
      <c r="G886" s="124"/>
      <c r="H886" s="124"/>
      <c r="I886" s="124"/>
      <c r="J886" s="124"/>
      <c r="K886" s="124"/>
    </row>
    <row r="887" spans="6:11" ht="15.75" customHeight="1" x14ac:dyDescent="0.3">
      <c r="F887" s="124"/>
      <c r="G887" s="124"/>
      <c r="H887" s="124"/>
      <c r="I887" s="124"/>
      <c r="J887" s="124"/>
      <c r="K887" s="124"/>
    </row>
    <row r="888" spans="6:11" ht="15.75" customHeight="1" x14ac:dyDescent="0.3">
      <c r="F888" s="124"/>
      <c r="G888" s="124"/>
      <c r="H888" s="124"/>
      <c r="I888" s="124"/>
      <c r="J888" s="124"/>
      <c r="K888" s="124"/>
    </row>
    <row r="889" spans="6:11" ht="15.75" customHeight="1" x14ac:dyDescent="0.3">
      <c r="F889" s="124"/>
      <c r="G889" s="124"/>
      <c r="H889" s="124"/>
      <c r="I889" s="124"/>
      <c r="J889" s="124"/>
      <c r="K889" s="124"/>
    </row>
    <row r="890" spans="6:11" ht="15.75" customHeight="1" x14ac:dyDescent="0.3">
      <c r="F890" s="124"/>
      <c r="G890" s="124"/>
      <c r="H890" s="124"/>
      <c r="I890" s="124"/>
      <c r="J890" s="124"/>
      <c r="K890" s="124"/>
    </row>
    <row r="891" spans="6:11" ht="15.75" customHeight="1" x14ac:dyDescent="0.3">
      <c r="F891" s="124"/>
      <c r="G891" s="124"/>
      <c r="H891" s="124"/>
      <c r="I891" s="124"/>
      <c r="J891" s="124"/>
      <c r="K891" s="124"/>
    </row>
    <row r="892" spans="6:11" ht="15.75" customHeight="1" x14ac:dyDescent="0.3">
      <c r="F892" s="124"/>
      <c r="G892" s="124"/>
      <c r="H892" s="124"/>
      <c r="I892" s="124"/>
      <c r="J892" s="124"/>
      <c r="K892" s="124"/>
    </row>
    <row r="893" spans="6:11" ht="15.75" customHeight="1" x14ac:dyDescent="0.3">
      <c r="F893" s="124"/>
      <c r="G893" s="124"/>
      <c r="H893" s="124"/>
      <c r="I893" s="124"/>
      <c r="J893" s="124"/>
      <c r="K893" s="124"/>
    </row>
    <row r="894" spans="6:11" ht="15.75" customHeight="1" x14ac:dyDescent="0.3">
      <c r="F894" s="124"/>
      <c r="G894" s="124"/>
      <c r="H894" s="124"/>
      <c r="I894" s="124"/>
      <c r="J894" s="124"/>
      <c r="K894" s="124"/>
    </row>
    <row r="895" spans="6:11" ht="15.75" customHeight="1" x14ac:dyDescent="0.3">
      <c r="F895" s="124"/>
      <c r="G895" s="124"/>
      <c r="H895" s="124"/>
      <c r="I895" s="124"/>
      <c r="J895" s="124"/>
      <c r="K895" s="124"/>
    </row>
    <row r="896" spans="6:11" ht="15.75" customHeight="1" x14ac:dyDescent="0.3">
      <c r="F896" s="124"/>
      <c r="G896" s="124"/>
      <c r="H896" s="124"/>
      <c r="I896" s="124"/>
      <c r="J896" s="124"/>
      <c r="K896" s="124"/>
    </row>
    <row r="897" spans="6:11" ht="15.75" customHeight="1" x14ac:dyDescent="0.3">
      <c r="F897" s="124"/>
      <c r="G897" s="124"/>
      <c r="H897" s="124"/>
      <c r="I897" s="124"/>
      <c r="J897" s="124"/>
      <c r="K897" s="124"/>
    </row>
    <row r="898" spans="6:11" ht="15.75" customHeight="1" x14ac:dyDescent="0.3">
      <c r="F898" s="124"/>
      <c r="G898" s="124"/>
      <c r="H898" s="124"/>
      <c r="I898" s="124"/>
      <c r="J898" s="124"/>
      <c r="K898" s="124"/>
    </row>
    <row r="899" spans="6:11" ht="15.75" customHeight="1" x14ac:dyDescent="0.3">
      <c r="F899" s="124"/>
      <c r="G899" s="124"/>
      <c r="H899" s="124"/>
      <c r="I899" s="124"/>
      <c r="J899" s="124"/>
      <c r="K899" s="124"/>
    </row>
    <row r="900" spans="6:11" ht="15.75" customHeight="1" x14ac:dyDescent="0.3">
      <c r="F900" s="124"/>
      <c r="G900" s="124"/>
      <c r="H900" s="124"/>
      <c r="I900" s="124"/>
      <c r="J900" s="124"/>
      <c r="K900" s="124"/>
    </row>
    <row r="901" spans="6:11" ht="15.75" customHeight="1" x14ac:dyDescent="0.3">
      <c r="F901" s="124"/>
      <c r="G901" s="124"/>
      <c r="H901" s="124"/>
      <c r="I901" s="124"/>
      <c r="J901" s="124"/>
      <c r="K901" s="124"/>
    </row>
    <row r="902" spans="6:11" ht="15.75" customHeight="1" x14ac:dyDescent="0.3">
      <c r="F902" s="124"/>
      <c r="G902" s="124"/>
      <c r="H902" s="124"/>
      <c r="I902" s="124"/>
      <c r="J902" s="124"/>
      <c r="K902" s="124"/>
    </row>
    <row r="903" spans="6:11" ht="15.75" customHeight="1" x14ac:dyDescent="0.3">
      <c r="F903" s="124"/>
      <c r="G903" s="124"/>
      <c r="H903" s="124"/>
      <c r="I903" s="124"/>
      <c r="J903" s="124"/>
      <c r="K903" s="124"/>
    </row>
    <row r="904" spans="6:11" ht="15.75" customHeight="1" x14ac:dyDescent="0.3">
      <c r="F904" s="124"/>
      <c r="G904" s="124"/>
      <c r="H904" s="124"/>
      <c r="I904" s="124"/>
      <c r="J904" s="124"/>
      <c r="K904" s="124"/>
    </row>
    <row r="905" spans="6:11" ht="15.75" customHeight="1" x14ac:dyDescent="0.3">
      <c r="F905" s="124"/>
      <c r="G905" s="124"/>
      <c r="H905" s="124"/>
      <c r="I905" s="124"/>
      <c r="J905" s="124"/>
      <c r="K905" s="124"/>
    </row>
    <row r="906" spans="6:11" ht="15.75" customHeight="1" x14ac:dyDescent="0.3">
      <c r="F906" s="124"/>
      <c r="G906" s="124"/>
      <c r="H906" s="124"/>
      <c r="I906" s="124"/>
      <c r="J906" s="124"/>
      <c r="K906" s="124"/>
    </row>
    <row r="907" spans="6:11" ht="15.75" customHeight="1" x14ac:dyDescent="0.3">
      <c r="F907" s="124"/>
      <c r="G907" s="124"/>
      <c r="H907" s="124"/>
      <c r="I907" s="124"/>
      <c r="J907" s="124"/>
      <c r="K907" s="124"/>
    </row>
    <row r="908" spans="6:11" ht="15.75" customHeight="1" x14ac:dyDescent="0.3">
      <c r="F908" s="124"/>
      <c r="G908" s="124"/>
      <c r="H908" s="124"/>
      <c r="I908" s="124"/>
      <c r="J908" s="124"/>
      <c r="K908" s="124"/>
    </row>
    <row r="909" spans="6:11" ht="15.75" customHeight="1" x14ac:dyDescent="0.3">
      <c r="F909" s="124"/>
      <c r="G909" s="124"/>
      <c r="H909" s="124"/>
      <c r="I909" s="124"/>
      <c r="J909" s="124"/>
      <c r="K909" s="124"/>
    </row>
    <row r="910" spans="6:11" ht="15.75" customHeight="1" x14ac:dyDescent="0.3">
      <c r="F910" s="124"/>
      <c r="G910" s="124"/>
      <c r="H910" s="124"/>
      <c r="I910" s="124"/>
      <c r="J910" s="124"/>
      <c r="K910" s="124"/>
    </row>
    <row r="911" spans="6:11" ht="15.75" customHeight="1" x14ac:dyDescent="0.3">
      <c r="F911" s="124"/>
      <c r="G911" s="124"/>
      <c r="H911" s="124"/>
      <c r="I911" s="124"/>
      <c r="J911" s="124"/>
      <c r="K911" s="124"/>
    </row>
    <row r="912" spans="6:11" ht="15.75" customHeight="1" x14ac:dyDescent="0.3">
      <c r="F912" s="124"/>
      <c r="G912" s="124"/>
      <c r="H912" s="124"/>
      <c r="I912" s="124"/>
      <c r="J912" s="124"/>
      <c r="K912" s="124"/>
    </row>
    <row r="913" spans="6:11" ht="15.75" customHeight="1" x14ac:dyDescent="0.3">
      <c r="F913" s="124"/>
      <c r="G913" s="124"/>
      <c r="H913" s="124"/>
      <c r="I913" s="124"/>
      <c r="J913" s="124"/>
      <c r="K913" s="124"/>
    </row>
    <row r="914" spans="6:11" ht="15.75" customHeight="1" x14ac:dyDescent="0.3">
      <c r="F914" s="124"/>
      <c r="G914" s="124"/>
      <c r="H914" s="124"/>
      <c r="I914" s="124"/>
      <c r="J914" s="124"/>
      <c r="K914" s="124"/>
    </row>
    <row r="915" spans="6:11" ht="15.75" customHeight="1" x14ac:dyDescent="0.3">
      <c r="F915" s="124"/>
      <c r="G915" s="124"/>
      <c r="H915" s="124"/>
      <c r="I915" s="124"/>
      <c r="J915" s="124"/>
      <c r="K915" s="124"/>
    </row>
    <row r="916" spans="6:11" ht="15.75" customHeight="1" x14ac:dyDescent="0.3">
      <c r="F916" s="124"/>
      <c r="G916" s="124"/>
      <c r="H916" s="124"/>
      <c r="I916" s="124"/>
      <c r="J916" s="124"/>
      <c r="K916" s="124"/>
    </row>
    <row r="917" spans="6:11" ht="15.75" customHeight="1" x14ac:dyDescent="0.3">
      <c r="F917" s="124"/>
      <c r="G917" s="124"/>
      <c r="H917" s="124"/>
      <c r="I917" s="124"/>
      <c r="J917" s="124"/>
      <c r="K917" s="124"/>
    </row>
    <row r="918" spans="6:11" ht="15.75" customHeight="1" x14ac:dyDescent="0.3">
      <c r="F918" s="124"/>
      <c r="G918" s="124"/>
      <c r="H918" s="124"/>
      <c r="I918" s="124"/>
      <c r="J918" s="124"/>
      <c r="K918" s="124"/>
    </row>
    <row r="919" spans="6:11" ht="15.75" customHeight="1" x14ac:dyDescent="0.3">
      <c r="F919" s="124"/>
      <c r="G919" s="124"/>
      <c r="H919" s="124"/>
      <c r="I919" s="124"/>
      <c r="J919" s="124"/>
      <c r="K919" s="124"/>
    </row>
    <row r="920" spans="6:11" ht="15.75" customHeight="1" x14ac:dyDescent="0.3">
      <c r="F920" s="124"/>
      <c r="G920" s="124"/>
      <c r="H920" s="124"/>
      <c r="I920" s="124"/>
      <c r="J920" s="124"/>
      <c r="K920" s="124"/>
    </row>
    <row r="921" spans="6:11" ht="15.75" customHeight="1" x14ac:dyDescent="0.3">
      <c r="F921" s="124"/>
      <c r="G921" s="124"/>
      <c r="H921" s="124"/>
      <c r="I921" s="124"/>
      <c r="J921" s="124"/>
      <c r="K921" s="124"/>
    </row>
    <row r="922" spans="6:11" ht="15.75" customHeight="1" x14ac:dyDescent="0.3">
      <c r="F922" s="124"/>
      <c r="G922" s="124"/>
      <c r="H922" s="124"/>
      <c r="I922" s="124"/>
      <c r="J922" s="124"/>
      <c r="K922" s="124"/>
    </row>
    <row r="923" spans="6:11" ht="15.75" customHeight="1" x14ac:dyDescent="0.3">
      <c r="F923" s="124"/>
      <c r="G923" s="124"/>
      <c r="H923" s="124"/>
      <c r="I923" s="124"/>
      <c r="J923" s="124"/>
      <c r="K923" s="124"/>
    </row>
    <row r="924" spans="6:11" ht="15.75" customHeight="1" x14ac:dyDescent="0.3">
      <c r="F924" s="124"/>
      <c r="G924" s="124"/>
      <c r="H924" s="124"/>
      <c r="I924" s="124"/>
      <c r="J924" s="124"/>
      <c r="K924" s="124"/>
    </row>
    <row r="925" spans="6:11" ht="15.75" customHeight="1" x14ac:dyDescent="0.3">
      <c r="F925" s="124"/>
      <c r="G925" s="124"/>
      <c r="H925" s="124"/>
      <c r="I925" s="124"/>
      <c r="J925" s="124"/>
      <c r="K925" s="124"/>
    </row>
    <row r="926" spans="6:11" ht="15.75" customHeight="1" x14ac:dyDescent="0.3">
      <c r="F926" s="124"/>
      <c r="G926" s="124"/>
      <c r="H926" s="124"/>
      <c r="I926" s="124"/>
      <c r="J926" s="124"/>
      <c r="K926" s="124"/>
    </row>
    <row r="927" spans="6:11" ht="15.75" customHeight="1" x14ac:dyDescent="0.3">
      <c r="F927" s="124"/>
      <c r="G927" s="124"/>
      <c r="H927" s="124"/>
      <c r="I927" s="124"/>
      <c r="J927" s="124"/>
      <c r="K927" s="124"/>
    </row>
    <row r="928" spans="6:11" ht="15.75" customHeight="1" x14ac:dyDescent="0.3">
      <c r="F928" s="124"/>
      <c r="G928" s="124"/>
      <c r="H928" s="124"/>
      <c r="I928" s="124"/>
      <c r="J928" s="124"/>
      <c r="K928" s="124"/>
    </row>
    <row r="929" spans="6:11" ht="15.75" customHeight="1" x14ac:dyDescent="0.3">
      <c r="F929" s="124"/>
      <c r="G929" s="124"/>
      <c r="H929" s="124"/>
      <c r="I929" s="124"/>
      <c r="J929" s="124"/>
      <c r="K929" s="124"/>
    </row>
    <row r="930" spans="6:11" ht="15.75" customHeight="1" x14ac:dyDescent="0.3">
      <c r="F930" s="124"/>
      <c r="G930" s="124"/>
      <c r="H930" s="124"/>
      <c r="I930" s="124"/>
      <c r="J930" s="124"/>
      <c r="K930" s="124"/>
    </row>
    <row r="931" spans="6:11" ht="15.75" customHeight="1" x14ac:dyDescent="0.3">
      <c r="F931" s="124"/>
      <c r="G931" s="124"/>
      <c r="H931" s="124"/>
      <c r="I931" s="124"/>
      <c r="J931" s="124"/>
      <c r="K931" s="124"/>
    </row>
    <row r="932" spans="6:11" ht="15.75" customHeight="1" x14ac:dyDescent="0.3">
      <c r="F932" s="124"/>
      <c r="G932" s="124"/>
      <c r="H932" s="124"/>
      <c r="I932" s="124"/>
      <c r="J932" s="124"/>
      <c r="K932" s="124"/>
    </row>
    <row r="933" spans="6:11" ht="15.75" customHeight="1" x14ac:dyDescent="0.3">
      <c r="F933" s="124"/>
      <c r="G933" s="124"/>
      <c r="H933" s="124"/>
      <c r="I933" s="124"/>
      <c r="J933" s="124"/>
      <c r="K933" s="124"/>
    </row>
    <row r="934" spans="6:11" ht="15.75" customHeight="1" x14ac:dyDescent="0.3">
      <c r="F934" s="124"/>
      <c r="G934" s="124"/>
      <c r="H934" s="124"/>
      <c r="I934" s="124"/>
      <c r="J934" s="124"/>
      <c r="K934" s="124"/>
    </row>
    <row r="935" spans="6:11" ht="15.75" customHeight="1" x14ac:dyDescent="0.3">
      <c r="F935" s="124"/>
      <c r="G935" s="124"/>
      <c r="H935" s="124"/>
      <c r="I935" s="124"/>
      <c r="J935" s="124"/>
      <c r="K935" s="124"/>
    </row>
    <row r="936" spans="6:11" ht="15.75" customHeight="1" x14ac:dyDescent="0.3">
      <c r="F936" s="124"/>
      <c r="G936" s="124"/>
      <c r="H936" s="124"/>
      <c r="I936" s="124"/>
      <c r="J936" s="124"/>
      <c r="K936" s="124"/>
    </row>
    <row r="937" spans="6:11" ht="15.75" customHeight="1" x14ac:dyDescent="0.3">
      <c r="F937" s="124"/>
      <c r="G937" s="124"/>
      <c r="H937" s="124"/>
      <c r="I937" s="124"/>
      <c r="J937" s="124"/>
      <c r="K937" s="124"/>
    </row>
    <row r="938" spans="6:11" ht="15.75" customHeight="1" x14ac:dyDescent="0.3">
      <c r="F938" s="124"/>
      <c r="G938" s="124"/>
      <c r="H938" s="124"/>
      <c r="I938" s="124"/>
      <c r="J938" s="124"/>
      <c r="K938" s="124"/>
    </row>
    <row r="939" spans="6:11" ht="15.75" customHeight="1" x14ac:dyDescent="0.3">
      <c r="F939" s="124"/>
      <c r="G939" s="124"/>
      <c r="H939" s="124"/>
      <c r="I939" s="124"/>
      <c r="J939" s="124"/>
      <c r="K939" s="124"/>
    </row>
    <row r="940" spans="6:11" ht="15.75" customHeight="1" x14ac:dyDescent="0.3">
      <c r="F940" s="124"/>
      <c r="G940" s="124"/>
      <c r="H940" s="124"/>
      <c r="I940" s="124"/>
      <c r="J940" s="124"/>
      <c r="K940" s="124"/>
    </row>
    <row r="941" spans="6:11" ht="15.75" customHeight="1" x14ac:dyDescent="0.3">
      <c r="F941" s="124"/>
      <c r="G941" s="124"/>
      <c r="H941" s="124"/>
      <c r="I941" s="124"/>
      <c r="J941" s="124"/>
      <c r="K941" s="124"/>
    </row>
    <row r="942" spans="6:11" ht="15.75" customHeight="1" x14ac:dyDescent="0.3">
      <c r="F942" s="124"/>
      <c r="G942" s="124"/>
      <c r="H942" s="124"/>
      <c r="I942" s="124"/>
      <c r="J942" s="124"/>
      <c r="K942" s="124"/>
    </row>
    <row r="943" spans="6:11" ht="15.75" customHeight="1" x14ac:dyDescent="0.3">
      <c r="F943" s="124"/>
      <c r="G943" s="124"/>
      <c r="H943" s="124"/>
      <c r="I943" s="124"/>
      <c r="J943" s="124"/>
      <c r="K943" s="124"/>
    </row>
    <row r="944" spans="6:11" ht="15.75" customHeight="1" x14ac:dyDescent="0.3">
      <c r="F944" s="124"/>
      <c r="G944" s="124"/>
      <c r="H944" s="124"/>
      <c r="I944" s="124"/>
      <c r="J944" s="124"/>
      <c r="K944" s="124"/>
    </row>
    <row r="945" spans="6:11" ht="15.75" customHeight="1" x14ac:dyDescent="0.3">
      <c r="F945" s="124"/>
      <c r="G945" s="124"/>
      <c r="H945" s="124"/>
      <c r="I945" s="124"/>
      <c r="J945" s="124"/>
      <c r="K945" s="124"/>
    </row>
    <row r="946" spans="6:11" ht="15.75" customHeight="1" x14ac:dyDescent="0.3">
      <c r="F946" s="124"/>
      <c r="G946" s="124"/>
      <c r="H946" s="124"/>
      <c r="I946" s="124"/>
      <c r="J946" s="124"/>
      <c r="K946" s="124"/>
    </row>
    <row r="947" spans="6:11" ht="15.75" customHeight="1" x14ac:dyDescent="0.3">
      <c r="F947" s="124"/>
      <c r="G947" s="124"/>
      <c r="H947" s="124"/>
      <c r="I947" s="124"/>
      <c r="J947" s="124"/>
      <c r="K947" s="124"/>
    </row>
    <row r="948" spans="6:11" ht="15.75" customHeight="1" x14ac:dyDescent="0.3">
      <c r="F948" s="124"/>
      <c r="G948" s="124"/>
      <c r="H948" s="124"/>
      <c r="I948" s="124"/>
      <c r="J948" s="124"/>
      <c r="K948" s="124"/>
    </row>
    <row r="949" spans="6:11" ht="15.75" customHeight="1" x14ac:dyDescent="0.3">
      <c r="F949" s="124"/>
      <c r="G949" s="124"/>
      <c r="H949" s="124"/>
      <c r="I949" s="124"/>
      <c r="J949" s="124"/>
      <c r="K949" s="124"/>
    </row>
    <row r="950" spans="6:11" ht="15.75" customHeight="1" x14ac:dyDescent="0.3">
      <c r="F950" s="124"/>
      <c r="G950" s="124"/>
      <c r="H950" s="124"/>
      <c r="I950" s="124"/>
      <c r="J950" s="124"/>
      <c r="K950" s="124"/>
    </row>
    <row r="951" spans="6:11" ht="15.75" customHeight="1" x14ac:dyDescent="0.3">
      <c r="F951" s="124"/>
      <c r="G951" s="124"/>
      <c r="H951" s="124"/>
      <c r="I951" s="124"/>
      <c r="J951" s="124"/>
      <c r="K951" s="124"/>
    </row>
    <row r="952" spans="6:11" ht="15.75" customHeight="1" x14ac:dyDescent="0.3">
      <c r="F952" s="124"/>
      <c r="G952" s="124"/>
      <c r="H952" s="124"/>
      <c r="I952" s="124"/>
      <c r="J952" s="124"/>
      <c r="K952" s="124"/>
    </row>
    <row r="953" spans="6:11" ht="15.75" customHeight="1" x14ac:dyDescent="0.3">
      <c r="F953" s="124"/>
      <c r="G953" s="124"/>
      <c r="H953" s="124"/>
      <c r="I953" s="124"/>
      <c r="J953" s="124"/>
      <c r="K953" s="124"/>
    </row>
    <row r="954" spans="6:11" ht="15.75" customHeight="1" x14ac:dyDescent="0.3">
      <c r="F954" s="124"/>
      <c r="G954" s="124"/>
      <c r="H954" s="124"/>
      <c r="I954" s="124"/>
      <c r="J954" s="124"/>
      <c r="K954" s="124"/>
    </row>
    <row r="955" spans="6:11" ht="15.75" customHeight="1" x14ac:dyDescent="0.3">
      <c r="F955" s="124"/>
      <c r="G955" s="124"/>
      <c r="H955" s="124"/>
      <c r="I955" s="124"/>
      <c r="J955" s="124"/>
      <c r="K955" s="124"/>
    </row>
    <row r="956" spans="6:11" ht="15.75" customHeight="1" x14ac:dyDescent="0.3">
      <c r="F956" s="124"/>
      <c r="G956" s="124"/>
      <c r="H956" s="124"/>
      <c r="I956" s="124"/>
      <c r="J956" s="124"/>
      <c r="K956" s="124"/>
    </row>
    <row r="957" spans="6:11" ht="15.75" customHeight="1" x14ac:dyDescent="0.3">
      <c r="F957" s="124"/>
      <c r="G957" s="124"/>
      <c r="H957" s="124"/>
      <c r="I957" s="124"/>
      <c r="J957" s="124"/>
      <c r="K957" s="124"/>
    </row>
    <row r="958" spans="6:11" ht="15.75" customHeight="1" x14ac:dyDescent="0.3">
      <c r="F958" s="124"/>
      <c r="G958" s="124"/>
      <c r="H958" s="124"/>
      <c r="I958" s="124"/>
      <c r="J958" s="124"/>
      <c r="K958" s="124"/>
    </row>
    <row r="959" spans="6:11" ht="15.75" customHeight="1" x14ac:dyDescent="0.3">
      <c r="F959" s="124"/>
      <c r="G959" s="124"/>
      <c r="H959" s="124"/>
      <c r="I959" s="124"/>
      <c r="J959" s="124"/>
      <c r="K959" s="124"/>
    </row>
    <row r="960" spans="6:11" ht="15.75" customHeight="1" x14ac:dyDescent="0.3">
      <c r="F960" s="124"/>
      <c r="G960" s="124"/>
      <c r="H960" s="124"/>
      <c r="I960" s="124"/>
      <c r="J960" s="124"/>
      <c r="K960" s="124"/>
    </row>
    <row r="961" spans="6:11" ht="15.75" customHeight="1" x14ac:dyDescent="0.3">
      <c r="F961" s="124"/>
      <c r="G961" s="124"/>
      <c r="H961" s="124"/>
      <c r="I961" s="124"/>
      <c r="J961" s="124"/>
      <c r="K961" s="124"/>
    </row>
    <row r="962" spans="6:11" ht="15.75" customHeight="1" x14ac:dyDescent="0.3">
      <c r="F962" s="124"/>
      <c r="G962" s="124"/>
      <c r="H962" s="124"/>
      <c r="I962" s="124"/>
      <c r="J962" s="124"/>
      <c r="K962" s="124"/>
    </row>
    <row r="963" spans="6:11" ht="15.75" customHeight="1" x14ac:dyDescent="0.3">
      <c r="F963" s="124"/>
      <c r="G963" s="124"/>
      <c r="H963" s="124"/>
      <c r="I963" s="124"/>
      <c r="J963" s="124"/>
      <c r="K963" s="124"/>
    </row>
    <row r="964" spans="6:11" ht="15.75" customHeight="1" x14ac:dyDescent="0.3">
      <c r="F964" s="124"/>
      <c r="G964" s="124"/>
      <c r="H964" s="124"/>
      <c r="I964" s="124"/>
      <c r="J964" s="124"/>
      <c r="K964" s="124"/>
    </row>
    <row r="965" spans="6:11" ht="15.75" customHeight="1" x14ac:dyDescent="0.3">
      <c r="F965" s="124"/>
      <c r="G965" s="124"/>
      <c r="H965" s="124"/>
      <c r="I965" s="124"/>
      <c r="J965" s="124"/>
      <c r="K965" s="124"/>
    </row>
    <row r="966" spans="6:11" ht="15.75" customHeight="1" x14ac:dyDescent="0.3">
      <c r="F966" s="124"/>
      <c r="G966" s="124"/>
      <c r="H966" s="124"/>
      <c r="I966" s="124"/>
      <c r="J966" s="124"/>
      <c r="K966" s="124"/>
    </row>
    <row r="967" spans="6:11" ht="15.75" customHeight="1" x14ac:dyDescent="0.3">
      <c r="F967" s="124"/>
      <c r="G967" s="124"/>
      <c r="H967" s="124"/>
      <c r="I967" s="124"/>
      <c r="J967" s="124"/>
      <c r="K967" s="124"/>
    </row>
    <row r="968" spans="6:11" ht="15.75" customHeight="1" x14ac:dyDescent="0.3">
      <c r="F968" s="124"/>
      <c r="G968" s="124"/>
      <c r="H968" s="124"/>
      <c r="I968" s="124"/>
      <c r="J968" s="124"/>
      <c r="K968" s="124"/>
    </row>
    <row r="969" spans="6:11" ht="15.75" customHeight="1" x14ac:dyDescent="0.3">
      <c r="F969" s="124"/>
      <c r="G969" s="124"/>
      <c r="H969" s="124"/>
      <c r="I969" s="124"/>
      <c r="J969" s="124"/>
      <c r="K969" s="124"/>
    </row>
    <row r="970" spans="6:11" ht="15.75" customHeight="1" x14ac:dyDescent="0.3">
      <c r="F970" s="124"/>
      <c r="G970" s="124"/>
      <c r="H970" s="124"/>
      <c r="I970" s="124"/>
      <c r="J970" s="124"/>
      <c r="K970" s="124"/>
    </row>
    <row r="971" spans="6:11" ht="15.75" customHeight="1" x14ac:dyDescent="0.3">
      <c r="F971" s="124"/>
      <c r="G971" s="124"/>
      <c r="H971" s="124"/>
      <c r="I971" s="124"/>
      <c r="J971" s="124"/>
      <c r="K971" s="124"/>
    </row>
    <row r="972" spans="6:11" ht="15.75" customHeight="1" x14ac:dyDescent="0.3">
      <c r="F972" s="124"/>
      <c r="G972" s="124"/>
      <c r="H972" s="124"/>
      <c r="I972" s="124"/>
      <c r="J972" s="124"/>
      <c r="K972" s="124"/>
    </row>
    <row r="973" spans="6:11" ht="15.75" customHeight="1" x14ac:dyDescent="0.3">
      <c r="F973" s="124"/>
      <c r="G973" s="124"/>
      <c r="H973" s="124"/>
      <c r="I973" s="124"/>
      <c r="J973" s="124"/>
      <c r="K973" s="124"/>
    </row>
    <row r="974" spans="6:11" ht="15.75" customHeight="1" x14ac:dyDescent="0.3">
      <c r="F974" s="124"/>
      <c r="G974" s="124"/>
      <c r="H974" s="124"/>
      <c r="I974" s="124"/>
      <c r="J974" s="124"/>
      <c r="K974" s="124"/>
    </row>
    <row r="975" spans="6:11" ht="15.75" customHeight="1" x14ac:dyDescent="0.3">
      <c r="F975" s="124"/>
      <c r="G975" s="124"/>
      <c r="H975" s="124"/>
      <c r="I975" s="124"/>
      <c r="J975" s="124"/>
      <c r="K975" s="124"/>
    </row>
    <row r="976" spans="6:11" ht="15.75" customHeight="1" x14ac:dyDescent="0.3">
      <c r="F976" s="124"/>
      <c r="G976" s="124"/>
      <c r="H976" s="124"/>
      <c r="I976" s="124"/>
      <c r="J976" s="124"/>
      <c r="K976" s="124"/>
    </row>
    <row r="977" spans="6:11" ht="15.75" customHeight="1" x14ac:dyDescent="0.3">
      <c r="F977" s="124"/>
      <c r="G977" s="124"/>
      <c r="H977" s="124"/>
      <c r="I977" s="124"/>
      <c r="J977" s="124"/>
      <c r="K977" s="124"/>
    </row>
    <row r="978" spans="6:11" ht="15.75" customHeight="1" x14ac:dyDescent="0.3">
      <c r="F978" s="124"/>
      <c r="G978" s="124"/>
      <c r="H978" s="124"/>
      <c r="I978" s="124"/>
      <c r="J978" s="124"/>
      <c r="K978" s="124"/>
    </row>
    <row r="979" spans="6:11" ht="15.75" customHeight="1" x14ac:dyDescent="0.3">
      <c r="F979" s="124"/>
      <c r="G979" s="124"/>
      <c r="H979" s="124"/>
      <c r="I979" s="124"/>
      <c r="J979" s="124"/>
      <c r="K979" s="124"/>
    </row>
    <row r="980" spans="6:11" ht="15.75" customHeight="1" x14ac:dyDescent="0.3">
      <c r="F980" s="124"/>
      <c r="G980" s="124"/>
      <c r="H980" s="124"/>
      <c r="I980" s="124"/>
      <c r="J980" s="124"/>
      <c r="K980" s="124"/>
    </row>
    <row r="981" spans="6:11" ht="15.75" customHeight="1" x14ac:dyDescent="0.3">
      <c r="F981" s="124"/>
      <c r="G981" s="124"/>
      <c r="H981" s="124"/>
      <c r="I981" s="124"/>
      <c r="J981" s="124"/>
      <c r="K981" s="124"/>
    </row>
    <row r="982" spans="6:11" ht="15.75" customHeight="1" x14ac:dyDescent="0.3">
      <c r="F982" s="124"/>
      <c r="G982" s="124"/>
      <c r="H982" s="124"/>
      <c r="I982" s="124"/>
      <c r="J982" s="124"/>
      <c r="K982" s="124"/>
    </row>
    <row r="983" spans="6:11" ht="15.75" customHeight="1" x14ac:dyDescent="0.3">
      <c r="F983" s="124"/>
      <c r="G983" s="124"/>
      <c r="H983" s="124"/>
      <c r="I983" s="124"/>
      <c r="J983" s="124"/>
      <c r="K983" s="124"/>
    </row>
    <row r="984" spans="6:11" ht="15.75" customHeight="1" x14ac:dyDescent="0.3">
      <c r="F984" s="124"/>
      <c r="G984" s="124"/>
      <c r="H984" s="124"/>
      <c r="I984" s="124"/>
      <c r="J984" s="124"/>
      <c r="K984" s="124"/>
    </row>
    <row r="985" spans="6:11" ht="15.75" customHeight="1" x14ac:dyDescent="0.3">
      <c r="F985" s="124"/>
      <c r="G985" s="124"/>
      <c r="H985" s="124"/>
      <c r="I985" s="124"/>
      <c r="J985" s="124"/>
      <c r="K985" s="124"/>
    </row>
    <row r="986" spans="6:11" ht="15.75" customHeight="1" x14ac:dyDescent="0.3">
      <c r="F986" s="124"/>
      <c r="G986" s="124"/>
      <c r="H986" s="124"/>
      <c r="I986" s="124"/>
      <c r="J986" s="124"/>
      <c r="K986" s="124"/>
    </row>
    <row r="987" spans="6:11" ht="15.75" customHeight="1" x14ac:dyDescent="0.3">
      <c r="F987" s="124"/>
      <c r="G987" s="124"/>
      <c r="H987" s="124"/>
      <c r="I987" s="124"/>
      <c r="J987" s="124"/>
      <c r="K987" s="124"/>
    </row>
    <row r="988" spans="6:11" ht="15.75" customHeight="1" x14ac:dyDescent="0.3">
      <c r="F988" s="124"/>
      <c r="G988" s="124"/>
      <c r="H988" s="124"/>
      <c r="I988" s="124"/>
      <c r="J988" s="124"/>
      <c r="K988" s="124"/>
    </row>
    <row r="989" spans="6:11" ht="15.75" customHeight="1" x14ac:dyDescent="0.3">
      <c r="F989" s="124"/>
      <c r="G989" s="124"/>
      <c r="H989" s="124"/>
      <c r="I989" s="124"/>
      <c r="J989" s="124"/>
      <c r="K989" s="124"/>
    </row>
    <row r="990" spans="6:11" ht="15.75" customHeight="1" x14ac:dyDescent="0.3">
      <c r="F990" s="124"/>
      <c r="G990" s="124"/>
      <c r="H990" s="124"/>
      <c r="I990" s="124"/>
      <c r="J990" s="124"/>
      <c r="K990" s="124"/>
    </row>
    <row r="991" spans="6:11" ht="15.75" customHeight="1" x14ac:dyDescent="0.3">
      <c r="F991" s="124"/>
      <c r="G991" s="124"/>
      <c r="H991" s="124"/>
      <c r="I991" s="124"/>
      <c r="J991" s="124"/>
      <c r="K991" s="124"/>
    </row>
    <row r="992" spans="6:11" ht="15.75" customHeight="1" x14ac:dyDescent="0.3">
      <c r="F992" s="124"/>
      <c r="G992" s="124"/>
      <c r="H992" s="124"/>
      <c r="I992" s="124"/>
      <c r="J992" s="124"/>
      <c r="K992" s="124"/>
    </row>
    <row r="993" spans="6:11" ht="15.75" customHeight="1" x14ac:dyDescent="0.3">
      <c r="F993" s="124"/>
      <c r="G993" s="124"/>
      <c r="H993" s="124"/>
      <c r="I993" s="124"/>
      <c r="J993" s="124"/>
      <c r="K993" s="124"/>
    </row>
    <row r="994" spans="6:11" ht="15.75" customHeight="1" x14ac:dyDescent="0.3">
      <c r="F994" s="124"/>
      <c r="G994" s="124"/>
      <c r="H994" s="124"/>
      <c r="I994" s="124"/>
      <c r="J994" s="124"/>
      <c r="K994" s="124"/>
    </row>
    <row r="995" spans="6:11" ht="15.75" customHeight="1" x14ac:dyDescent="0.3">
      <c r="F995" s="124"/>
      <c r="G995" s="124"/>
      <c r="H995" s="124"/>
      <c r="I995" s="124"/>
      <c r="J995" s="124"/>
      <c r="K995" s="124"/>
    </row>
    <row r="996" spans="6:11" ht="15.75" customHeight="1" x14ac:dyDescent="0.3">
      <c r="F996" s="124"/>
      <c r="G996" s="124"/>
      <c r="H996" s="124"/>
      <c r="I996" s="124"/>
      <c r="J996" s="124"/>
      <c r="K996" s="124"/>
    </row>
    <row r="997" spans="6:11" ht="15.75" customHeight="1" x14ac:dyDescent="0.3">
      <c r="F997" s="124"/>
      <c r="G997" s="124"/>
      <c r="H997" s="124"/>
      <c r="I997" s="124"/>
      <c r="J997" s="124"/>
      <c r="K997" s="124"/>
    </row>
    <row r="998" spans="6:11" ht="15.75" customHeight="1" x14ac:dyDescent="0.3">
      <c r="F998" s="124"/>
      <c r="G998" s="124"/>
      <c r="H998" s="124"/>
      <c r="I998" s="124"/>
      <c r="J998" s="124"/>
      <c r="K998" s="124"/>
    </row>
    <row r="999" spans="6:11" ht="15.75" customHeight="1" x14ac:dyDescent="0.3">
      <c r="F999" s="124"/>
      <c r="G999" s="124"/>
      <c r="H999" s="124"/>
      <c r="I999" s="124"/>
      <c r="J999" s="124"/>
      <c r="K999" s="124"/>
    </row>
    <row r="1000" spans="6:11" ht="15.75" customHeight="1" x14ac:dyDescent="0.3">
      <c r="F1000" s="124"/>
      <c r="G1000" s="124"/>
      <c r="H1000" s="124"/>
      <c r="I1000" s="124"/>
      <c r="J1000" s="124"/>
      <c r="K1000" s="12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4140625" defaultRowHeight="15" customHeight="1" x14ac:dyDescent="0.3"/>
  <cols>
    <col min="1" max="26" width="10.6640625" customWidth="1"/>
  </cols>
  <sheetData>
    <row r="5" spans="3:11" ht="14.4" x14ac:dyDescent="0.3">
      <c r="C5" s="300" t="s">
        <v>129</v>
      </c>
      <c r="D5" s="223"/>
      <c r="E5" s="223"/>
      <c r="F5" s="223"/>
      <c r="G5" s="223"/>
      <c r="H5" s="223"/>
      <c r="I5" s="224"/>
      <c r="J5" s="156"/>
      <c r="K5" s="157"/>
    </row>
    <row r="6" spans="3:11" ht="14.4" x14ac:dyDescent="0.3">
      <c r="C6" s="290" t="str">
        <f>Gastos!A9</f>
        <v>CONSORCIO: ADMINISTRACION DE CONSORCIOS RC</v>
      </c>
      <c r="D6" s="223"/>
      <c r="E6" s="223"/>
      <c r="F6" s="223"/>
      <c r="G6" s="223"/>
      <c r="H6" s="223"/>
      <c r="I6" s="224"/>
      <c r="J6" s="123"/>
      <c r="K6" s="125"/>
    </row>
    <row r="7" spans="3:11" ht="14.4" x14ac:dyDescent="0.3">
      <c r="C7" s="156"/>
      <c r="D7" s="158"/>
      <c r="E7" s="158"/>
      <c r="F7" s="158"/>
      <c r="G7" s="5"/>
      <c r="H7" s="5" t="s">
        <v>9</v>
      </c>
      <c r="I7" s="125"/>
      <c r="J7" s="123"/>
      <c r="K7" s="125"/>
    </row>
    <row r="8" spans="3:11" ht="14.4" x14ac:dyDescent="0.3">
      <c r="C8" s="159" t="s">
        <v>130</v>
      </c>
      <c r="D8" s="160"/>
      <c r="E8" s="160"/>
      <c r="F8" s="5"/>
      <c r="G8" s="5"/>
      <c r="H8" s="5" t="s">
        <v>131</v>
      </c>
      <c r="I8" s="125"/>
      <c r="J8" s="123"/>
      <c r="K8" s="125"/>
    </row>
    <row r="9" spans="3:11" ht="14.4" x14ac:dyDescent="0.3">
      <c r="C9" s="161"/>
      <c r="D9" s="162"/>
      <c r="E9" s="162"/>
      <c r="F9" s="38"/>
      <c r="G9" s="38"/>
      <c r="H9" s="38"/>
      <c r="I9" s="163"/>
      <c r="J9" s="123"/>
      <c r="K9" s="125"/>
    </row>
    <row r="10" spans="3:11" ht="14.4" x14ac:dyDescent="0.3">
      <c r="C10" s="301" t="s">
        <v>132</v>
      </c>
      <c r="D10" s="258"/>
      <c r="E10" s="258"/>
      <c r="F10" s="258"/>
      <c r="G10" s="258"/>
      <c r="H10" s="258"/>
      <c r="I10" s="292"/>
      <c r="J10" s="123"/>
      <c r="K10" s="125"/>
    </row>
    <row r="11" spans="3:11" ht="14.4" x14ac:dyDescent="0.3">
      <c r="C11" s="159"/>
      <c r="D11" s="160"/>
      <c r="E11" s="160"/>
      <c r="F11" s="5"/>
      <c r="G11" s="5"/>
      <c r="H11" s="5"/>
      <c r="I11" s="125"/>
      <c r="J11" s="123"/>
      <c r="K11" s="125"/>
    </row>
    <row r="12" spans="3:11" ht="14.4" x14ac:dyDescent="0.3">
      <c r="C12" s="123" t="s">
        <v>133</v>
      </c>
      <c r="D12" s="5"/>
      <c r="E12" s="5" t="str">
        <f>Planilla!C29</f>
        <v>Alarcon Ester</v>
      </c>
      <c r="F12" s="5"/>
      <c r="G12" s="5" t="s">
        <v>134</v>
      </c>
      <c r="H12" s="164">
        <v>45616</v>
      </c>
      <c r="I12" s="125"/>
      <c r="J12" s="293" t="s">
        <v>135</v>
      </c>
      <c r="K12" s="285"/>
    </row>
    <row r="13" spans="3:11" ht="14.4" x14ac:dyDescent="0.3">
      <c r="C13" s="123" t="s">
        <v>136</v>
      </c>
      <c r="D13" s="165" t="str">
        <f>Planilla!B29</f>
        <v>11A</v>
      </c>
      <c r="E13" s="166"/>
      <c r="F13" s="160"/>
      <c r="G13" s="5"/>
      <c r="H13" s="5"/>
      <c r="I13" s="125"/>
      <c r="J13" s="123"/>
      <c r="K13" s="125"/>
    </row>
    <row r="14" spans="3:11" ht="14.4" x14ac:dyDescent="0.3">
      <c r="C14" s="123"/>
      <c r="D14" s="5"/>
      <c r="E14" s="5"/>
      <c r="F14" s="5"/>
      <c r="G14" s="5"/>
      <c r="H14" s="5"/>
      <c r="I14" s="125"/>
      <c r="J14" s="293"/>
      <c r="K14" s="285"/>
    </row>
    <row r="15" spans="3:11" ht="14.4" x14ac:dyDescent="0.3">
      <c r="C15" s="123"/>
      <c r="D15" s="5"/>
      <c r="E15" s="5"/>
      <c r="F15" s="5"/>
      <c r="G15" s="5"/>
      <c r="H15" s="5"/>
      <c r="I15" s="125"/>
      <c r="J15" s="123"/>
      <c r="K15" s="125"/>
    </row>
    <row r="16" spans="3:11" ht="14.4" x14ac:dyDescent="0.3">
      <c r="C16" s="123"/>
      <c r="D16" s="5"/>
      <c r="E16" s="5"/>
      <c r="F16" s="5"/>
      <c r="G16" s="5"/>
      <c r="H16" s="5"/>
      <c r="I16" s="125"/>
      <c r="J16" s="123"/>
      <c r="K16" s="125"/>
    </row>
    <row r="17" spans="3:11" ht="14.4" x14ac:dyDescent="0.3">
      <c r="C17" s="123"/>
      <c r="D17" s="5"/>
      <c r="E17" s="5"/>
      <c r="F17" s="5"/>
      <c r="G17" s="5"/>
      <c r="H17" s="5"/>
      <c r="I17" s="125"/>
      <c r="J17" s="167"/>
      <c r="K17" s="168"/>
    </row>
    <row r="18" spans="3:11" ht="14.4" x14ac:dyDescent="0.3">
      <c r="C18" s="298" t="s">
        <v>137</v>
      </c>
      <c r="D18" s="287"/>
      <c r="E18" s="287"/>
      <c r="F18" s="287"/>
      <c r="G18" s="287"/>
      <c r="H18" s="299">
        <v>78000</v>
      </c>
      <c r="I18" s="224"/>
      <c r="J18" s="126"/>
      <c r="K18" s="169"/>
    </row>
    <row r="20" spans="3:11" ht="14.4" x14ac:dyDescent="0.3">
      <c r="C20" s="297" t="s">
        <v>129</v>
      </c>
      <c r="D20" s="223"/>
      <c r="E20" s="223"/>
      <c r="F20" s="223"/>
      <c r="G20" s="223"/>
      <c r="H20" s="223"/>
      <c r="I20" s="224"/>
      <c r="J20" s="156"/>
      <c r="K20" s="157"/>
    </row>
    <row r="21" spans="3:11" ht="15.75" customHeight="1" x14ac:dyDescent="0.3">
      <c r="C21" s="290" t="s">
        <v>10</v>
      </c>
      <c r="D21" s="223"/>
      <c r="E21" s="223"/>
      <c r="F21" s="223"/>
      <c r="G21" s="223"/>
      <c r="H21" s="223"/>
      <c r="I21" s="224"/>
      <c r="J21" s="123"/>
      <c r="K21" s="125"/>
    </row>
    <row r="22" spans="3:11" ht="15.75" customHeight="1" x14ac:dyDescent="0.3">
      <c r="C22" s="156"/>
      <c r="D22" s="158"/>
      <c r="E22" s="158"/>
      <c r="F22" s="158"/>
      <c r="G22" s="5"/>
      <c r="H22" s="5" t="s">
        <v>9</v>
      </c>
      <c r="I22" s="125"/>
      <c r="J22" s="123"/>
      <c r="K22" s="125"/>
    </row>
    <row r="23" spans="3:11" ht="15.75" customHeight="1" x14ac:dyDescent="0.3">
      <c r="C23" s="123" t="s">
        <v>130</v>
      </c>
      <c r="D23" s="5"/>
      <c r="E23" s="5"/>
      <c r="F23" s="5"/>
      <c r="G23" s="5"/>
      <c r="H23" s="5" t="s">
        <v>131</v>
      </c>
      <c r="I23" s="125"/>
      <c r="J23" s="123"/>
      <c r="K23" s="125"/>
    </row>
    <row r="24" spans="3:11" ht="15.75" customHeight="1" x14ac:dyDescent="0.3">
      <c r="C24" s="170"/>
      <c r="D24" s="38"/>
      <c r="E24" s="38"/>
      <c r="F24" s="38"/>
      <c r="G24" s="38"/>
      <c r="H24" s="38"/>
      <c r="I24" s="163"/>
      <c r="J24" s="123"/>
      <c r="K24" s="125"/>
    </row>
    <row r="25" spans="3:11" ht="15.75" customHeight="1" x14ac:dyDescent="0.3">
      <c r="C25" s="291" t="s">
        <v>132</v>
      </c>
      <c r="D25" s="258"/>
      <c r="E25" s="258"/>
      <c r="F25" s="258"/>
      <c r="G25" s="258"/>
      <c r="H25" s="258"/>
      <c r="I25" s="292"/>
      <c r="J25" s="123"/>
      <c r="K25" s="125"/>
    </row>
    <row r="26" spans="3:11" ht="15.75" customHeight="1" x14ac:dyDescent="0.3">
      <c r="C26" s="123"/>
      <c r="D26" s="5"/>
      <c r="E26" s="5"/>
      <c r="F26" s="5"/>
      <c r="G26" s="5"/>
      <c r="H26" s="5"/>
      <c r="I26" s="125"/>
      <c r="J26" s="123"/>
      <c r="K26" s="125"/>
    </row>
    <row r="27" spans="3:11" ht="15.75" customHeight="1" x14ac:dyDescent="0.3">
      <c r="C27" s="123" t="s">
        <v>133</v>
      </c>
      <c r="D27" s="5"/>
      <c r="E27" s="5" t="str">
        <f>Planilla!C21</f>
        <v>Gandulfo, Patricia</v>
      </c>
      <c r="F27" s="5"/>
      <c r="G27" s="5" t="s">
        <v>134</v>
      </c>
      <c r="H27" s="164">
        <v>45616</v>
      </c>
      <c r="I27" s="125"/>
      <c r="J27" s="293" t="s">
        <v>135</v>
      </c>
      <c r="K27" s="285"/>
    </row>
    <row r="28" spans="3:11" ht="15.75" customHeight="1" x14ac:dyDescent="0.3">
      <c r="C28" s="123" t="s">
        <v>136</v>
      </c>
      <c r="D28" s="171" t="str">
        <f>Planilla!B21</f>
        <v>7A</v>
      </c>
      <c r="E28" s="5"/>
      <c r="F28" s="5"/>
      <c r="G28" s="5"/>
      <c r="H28" s="5"/>
      <c r="I28" s="125"/>
      <c r="J28" s="123"/>
      <c r="K28" s="125"/>
    </row>
    <row r="29" spans="3:11" ht="15.75" customHeight="1" x14ac:dyDescent="0.3">
      <c r="C29" s="123"/>
      <c r="D29" s="5"/>
      <c r="E29" s="5"/>
      <c r="F29" s="5"/>
      <c r="G29" s="5"/>
      <c r="H29" s="5"/>
      <c r="I29" s="125"/>
      <c r="J29" s="294"/>
      <c r="K29" s="285"/>
    </row>
    <row r="30" spans="3:11" ht="15.75" customHeight="1" x14ac:dyDescent="0.3">
      <c r="C30" s="123"/>
      <c r="D30" s="5"/>
      <c r="E30" s="5"/>
      <c r="F30" s="5"/>
      <c r="G30" s="5"/>
      <c r="H30" s="5"/>
      <c r="I30" s="125"/>
      <c r="J30" s="123"/>
      <c r="K30" s="125"/>
    </row>
    <row r="31" spans="3:11" ht="15.75" customHeight="1" x14ac:dyDescent="0.3">
      <c r="C31" s="123"/>
      <c r="D31" s="5"/>
      <c r="E31" s="5"/>
      <c r="F31" s="5"/>
      <c r="G31" s="5"/>
      <c r="H31" s="5"/>
      <c r="I31" s="125"/>
      <c r="J31" s="123"/>
      <c r="K31" s="125"/>
    </row>
    <row r="32" spans="3:11" ht="15.75" customHeight="1" x14ac:dyDescent="0.3">
      <c r="C32" s="123"/>
      <c r="D32" s="5"/>
      <c r="E32" s="5"/>
      <c r="F32" s="5"/>
      <c r="G32" s="5"/>
      <c r="H32" s="5"/>
      <c r="I32" s="125"/>
      <c r="J32" s="167"/>
      <c r="K32" s="168"/>
    </row>
    <row r="33" spans="3:11" ht="15.75" customHeight="1" x14ac:dyDescent="0.3">
      <c r="C33" s="295" t="s">
        <v>137</v>
      </c>
      <c r="D33" s="287"/>
      <c r="E33" s="287"/>
      <c r="F33" s="287"/>
      <c r="G33" s="287"/>
      <c r="H33" s="296">
        <v>73210</v>
      </c>
      <c r="I33" s="224"/>
      <c r="J33" s="126"/>
      <c r="K33" s="169"/>
    </row>
    <row r="34" spans="3:11" ht="15.75" customHeight="1" x14ac:dyDescent="0.3"/>
    <row r="35" spans="3:11" ht="15.75" customHeight="1" x14ac:dyDescent="0.3">
      <c r="C35" s="297" t="s">
        <v>129</v>
      </c>
      <c r="D35" s="223"/>
      <c r="E35" s="223"/>
      <c r="F35" s="223"/>
      <c r="G35" s="223"/>
      <c r="H35" s="223"/>
      <c r="I35" s="224"/>
      <c r="J35" s="156"/>
      <c r="K35" s="157"/>
    </row>
    <row r="36" spans="3:11" ht="15.75" customHeight="1" x14ac:dyDescent="0.3">
      <c r="C36" s="290" t="s">
        <v>10</v>
      </c>
      <c r="D36" s="223"/>
      <c r="E36" s="223"/>
      <c r="F36" s="223"/>
      <c r="G36" s="223"/>
      <c r="H36" s="223"/>
      <c r="I36" s="224"/>
      <c r="J36" s="123"/>
      <c r="K36" s="125"/>
    </row>
    <row r="37" spans="3:11" ht="15.75" customHeight="1" x14ac:dyDescent="0.3">
      <c r="C37" s="156"/>
      <c r="D37" s="158"/>
      <c r="E37" s="158"/>
      <c r="F37" s="158"/>
      <c r="G37" s="5"/>
      <c r="H37" s="5" t="s">
        <v>9</v>
      </c>
      <c r="I37" s="125"/>
      <c r="J37" s="123"/>
      <c r="K37" s="125"/>
    </row>
    <row r="38" spans="3:11" ht="15.75" customHeight="1" x14ac:dyDescent="0.3">
      <c r="C38" s="123" t="s">
        <v>130</v>
      </c>
      <c r="D38" s="5"/>
      <c r="E38" s="5"/>
      <c r="F38" s="5"/>
      <c r="G38" s="5"/>
      <c r="H38" s="5" t="s">
        <v>131</v>
      </c>
      <c r="I38" s="125"/>
      <c r="J38" s="123"/>
      <c r="K38" s="125"/>
    </row>
    <row r="39" spans="3:11" ht="15.75" customHeight="1" x14ac:dyDescent="0.3">
      <c r="C39" s="170"/>
      <c r="D39" s="38"/>
      <c r="E39" s="38"/>
      <c r="F39" s="38"/>
      <c r="G39" s="38"/>
      <c r="H39" s="38"/>
      <c r="I39" s="163"/>
      <c r="J39" s="123"/>
      <c r="K39" s="125"/>
    </row>
    <row r="40" spans="3:11" ht="15.75" customHeight="1" x14ac:dyDescent="0.3">
      <c r="C40" s="291" t="s">
        <v>132</v>
      </c>
      <c r="D40" s="258"/>
      <c r="E40" s="258"/>
      <c r="F40" s="258"/>
      <c r="G40" s="258"/>
      <c r="H40" s="258"/>
      <c r="I40" s="292"/>
      <c r="J40" s="123"/>
      <c r="K40" s="125"/>
    </row>
    <row r="41" spans="3:11" ht="15.75" customHeight="1" x14ac:dyDescent="0.3">
      <c r="C41" s="123"/>
      <c r="D41" s="5"/>
      <c r="E41" s="5"/>
      <c r="F41" s="5"/>
      <c r="G41" s="5"/>
      <c r="H41" s="5"/>
      <c r="I41" s="125"/>
      <c r="J41" s="123"/>
      <c r="K41" s="125"/>
    </row>
    <row r="42" spans="3:11" ht="15.75" customHeight="1" x14ac:dyDescent="0.3">
      <c r="C42" s="123" t="s">
        <v>133</v>
      </c>
      <c r="D42" s="5"/>
      <c r="E42" s="5" t="str">
        <f>Planilla!C13</f>
        <v>Vicente, Flavia E</v>
      </c>
      <c r="F42" s="5"/>
      <c r="G42" s="5" t="s">
        <v>134</v>
      </c>
      <c r="H42" s="164">
        <v>45616</v>
      </c>
      <c r="I42" s="125"/>
      <c r="J42" s="293" t="s">
        <v>135</v>
      </c>
      <c r="K42" s="285"/>
    </row>
    <row r="43" spans="3:11" ht="15.75" customHeight="1" x14ac:dyDescent="0.3">
      <c r="C43" s="123" t="s">
        <v>136</v>
      </c>
      <c r="D43" s="171" t="str">
        <f>Planilla!B13</f>
        <v>3A</v>
      </c>
      <c r="E43" s="5"/>
      <c r="F43" s="5"/>
      <c r="G43" s="5"/>
      <c r="H43" s="5"/>
      <c r="I43" s="125"/>
      <c r="J43" s="123"/>
      <c r="K43" s="125"/>
    </row>
    <row r="44" spans="3:11" ht="15.75" customHeight="1" x14ac:dyDescent="0.3">
      <c r="C44" s="123"/>
      <c r="D44" s="5"/>
      <c r="E44" s="5"/>
      <c r="F44" s="5"/>
      <c r="G44" s="5"/>
      <c r="H44" s="5"/>
      <c r="I44" s="125"/>
      <c r="J44" s="294"/>
      <c r="K44" s="285"/>
    </row>
    <row r="45" spans="3:11" ht="15.75" customHeight="1" x14ac:dyDescent="0.3">
      <c r="C45" s="123"/>
      <c r="D45" s="5"/>
      <c r="E45" s="5"/>
      <c r="F45" s="5"/>
      <c r="G45" s="5"/>
      <c r="H45" s="5"/>
      <c r="I45" s="125"/>
      <c r="J45" s="123"/>
      <c r="K45" s="125"/>
    </row>
    <row r="46" spans="3:11" ht="15.75" customHeight="1" x14ac:dyDescent="0.3">
      <c r="C46" s="123"/>
      <c r="D46" s="5"/>
      <c r="E46" s="5"/>
      <c r="F46" s="5"/>
      <c r="G46" s="5"/>
      <c r="H46" s="5"/>
      <c r="I46" s="125"/>
      <c r="J46" s="123"/>
      <c r="K46" s="125"/>
    </row>
    <row r="47" spans="3:11" ht="15.75" customHeight="1" x14ac:dyDescent="0.3">
      <c r="C47" s="123"/>
      <c r="D47" s="5"/>
      <c r="E47" s="5"/>
      <c r="F47" s="5"/>
      <c r="G47" s="5"/>
      <c r="H47" s="5"/>
      <c r="I47" s="125"/>
      <c r="J47" s="167"/>
      <c r="K47" s="168"/>
    </row>
    <row r="48" spans="3:11" ht="15.75" customHeight="1" x14ac:dyDescent="0.3">
      <c r="C48" s="295" t="s">
        <v>137</v>
      </c>
      <c r="D48" s="287"/>
      <c r="E48" s="287"/>
      <c r="F48" s="287"/>
      <c r="G48" s="287"/>
      <c r="H48" s="296">
        <v>66370</v>
      </c>
      <c r="I48" s="224"/>
      <c r="J48" s="126"/>
      <c r="K48" s="169"/>
    </row>
    <row r="49" spans="3:11" ht="15.75" customHeight="1" x14ac:dyDescent="0.3"/>
    <row r="50" spans="3:11" ht="15.75" customHeight="1" x14ac:dyDescent="0.3"/>
    <row r="51" spans="3:11" ht="15.75" customHeight="1" x14ac:dyDescent="0.3"/>
    <row r="52" spans="3:11" ht="15.75" customHeight="1" x14ac:dyDescent="0.3">
      <c r="C52" s="297" t="s">
        <v>129</v>
      </c>
      <c r="D52" s="223"/>
      <c r="E52" s="223"/>
      <c r="F52" s="223"/>
      <c r="G52" s="223"/>
      <c r="H52" s="223"/>
      <c r="I52" s="224"/>
      <c r="J52" s="156"/>
      <c r="K52" s="157"/>
    </row>
    <row r="53" spans="3:11" ht="15.75" customHeight="1" x14ac:dyDescent="0.3">
      <c r="C53" s="290" t="s">
        <v>10</v>
      </c>
      <c r="D53" s="223"/>
      <c r="E53" s="223"/>
      <c r="F53" s="223"/>
      <c r="G53" s="223"/>
      <c r="H53" s="223"/>
      <c r="I53" s="224"/>
      <c r="J53" s="123"/>
      <c r="K53" s="125"/>
    </row>
    <row r="54" spans="3:11" ht="15.75" customHeight="1" x14ac:dyDescent="0.3">
      <c r="C54" s="156"/>
      <c r="D54" s="158"/>
      <c r="E54" s="158"/>
      <c r="F54" s="158"/>
      <c r="G54" s="5"/>
      <c r="H54" s="5" t="s">
        <v>9</v>
      </c>
      <c r="I54" s="125"/>
      <c r="J54" s="123"/>
      <c r="K54" s="125"/>
    </row>
    <row r="55" spans="3:11" ht="15.75" customHeight="1" x14ac:dyDescent="0.3">
      <c r="C55" s="123" t="s">
        <v>130</v>
      </c>
      <c r="D55" s="5"/>
      <c r="E55" s="5"/>
      <c r="F55" s="5"/>
      <c r="G55" s="5"/>
      <c r="H55" s="5" t="s">
        <v>131</v>
      </c>
      <c r="I55" s="125"/>
      <c r="J55" s="123"/>
      <c r="K55" s="125"/>
    </row>
    <row r="56" spans="3:11" ht="15.75" customHeight="1" x14ac:dyDescent="0.3">
      <c r="C56" s="170"/>
      <c r="D56" s="38"/>
      <c r="E56" s="38"/>
      <c r="F56" s="38"/>
      <c r="G56" s="38"/>
      <c r="H56" s="38"/>
      <c r="I56" s="163"/>
      <c r="J56" s="123"/>
      <c r="K56" s="125"/>
    </row>
    <row r="57" spans="3:11" ht="15.75" customHeight="1" x14ac:dyDescent="0.3">
      <c r="C57" s="291" t="s">
        <v>132</v>
      </c>
      <c r="D57" s="258"/>
      <c r="E57" s="258"/>
      <c r="F57" s="258"/>
      <c r="G57" s="258"/>
      <c r="H57" s="258"/>
      <c r="I57" s="292"/>
      <c r="J57" s="123"/>
      <c r="K57" s="125"/>
    </row>
    <row r="58" spans="3:11" ht="15.75" customHeight="1" x14ac:dyDescent="0.3">
      <c r="C58" s="123"/>
      <c r="D58" s="5"/>
      <c r="E58" s="5"/>
      <c r="F58" s="5"/>
      <c r="G58" s="5"/>
      <c r="H58" s="5"/>
      <c r="I58" s="125"/>
      <c r="J58" s="123"/>
      <c r="K58" s="125"/>
    </row>
    <row r="59" spans="3:11" ht="15.75" customHeight="1" x14ac:dyDescent="0.3">
      <c r="C59" s="123" t="s">
        <v>133</v>
      </c>
      <c r="D59" s="5"/>
      <c r="E59" s="5" t="str">
        <f>Planilla!D20</f>
        <v>Gaston Alvarez</v>
      </c>
      <c r="F59" s="5"/>
      <c r="G59" s="5" t="s">
        <v>134</v>
      </c>
      <c r="H59" s="164">
        <v>45616</v>
      </c>
      <c r="I59" s="125"/>
      <c r="J59" s="293" t="s">
        <v>135</v>
      </c>
      <c r="K59" s="285"/>
    </row>
    <row r="60" spans="3:11" ht="15.75" customHeight="1" x14ac:dyDescent="0.3">
      <c r="C60" s="123" t="s">
        <v>136</v>
      </c>
      <c r="D60" s="171" t="str">
        <f>Planilla!B20</f>
        <v>6B</v>
      </c>
      <c r="E60" s="5"/>
      <c r="F60" s="5"/>
      <c r="G60" s="5"/>
      <c r="H60" s="5"/>
      <c r="I60" s="125"/>
      <c r="J60" s="123"/>
      <c r="K60" s="125"/>
    </row>
    <row r="61" spans="3:11" ht="15.75" customHeight="1" x14ac:dyDescent="0.3">
      <c r="C61" s="123"/>
      <c r="D61" s="5"/>
      <c r="E61" s="5"/>
      <c r="F61" s="5"/>
      <c r="G61" s="5"/>
      <c r="H61" s="5"/>
      <c r="I61" s="125"/>
      <c r="J61" s="294"/>
      <c r="K61" s="285"/>
    </row>
    <row r="62" spans="3:11" ht="15.75" customHeight="1" x14ac:dyDescent="0.3">
      <c r="C62" s="123"/>
      <c r="D62" s="5"/>
      <c r="E62" s="5"/>
      <c r="F62" s="5"/>
      <c r="G62" s="5"/>
      <c r="H62" s="5"/>
      <c r="I62" s="125"/>
      <c r="J62" s="123"/>
      <c r="K62" s="125"/>
    </row>
    <row r="63" spans="3:11" ht="15.75" customHeight="1" x14ac:dyDescent="0.3">
      <c r="C63" s="123"/>
      <c r="D63" s="5"/>
      <c r="E63" s="5"/>
      <c r="F63" s="5"/>
      <c r="G63" s="5"/>
      <c r="H63" s="5"/>
      <c r="I63" s="125"/>
      <c r="J63" s="123"/>
      <c r="K63" s="125"/>
    </row>
    <row r="64" spans="3:11" ht="15.75" customHeight="1" x14ac:dyDescent="0.3">
      <c r="C64" s="123"/>
      <c r="D64" s="5"/>
      <c r="E64" s="5"/>
      <c r="F64" s="5"/>
      <c r="G64" s="5"/>
      <c r="H64" s="5"/>
      <c r="I64" s="125"/>
      <c r="J64" s="167"/>
      <c r="K64" s="168"/>
    </row>
    <row r="65" spans="3:11" ht="15.75" customHeight="1" x14ac:dyDescent="0.3">
      <c r="C65" s="295" t="s">
        <v>137</v>
      </c>
      <c r="D65" s="287"/>
      <c r="E65" s="287"/>
      <c r="F65" s="287"/>
      <c r="G65" s="287"/>
      <c r="H65" s="296">
        <v>76000</v>
      </c>
      <c r="I65" s="224"/>
      <c r="J65" s="126"/>
      <c r="K65" s="169"/>
    </row>
    <row r="66" spans="3:11" ht="15.75" customHeight="1" x14ac:dyDescent="0.3"/>
    <row r="67" spans="3:11" ht="15.75" customHeight="1" x14ac:dyDescent="0.3"/>
    <row r="68" spans="3:11" ht="15.75" customHeight="1" x14ac:dyDescent="0.3">
      <c r="E68" s="172" t="s">
        <v>140</v>
      </c>
      <c r="F68" s="172"/>
      <c r="G68" s="172"/>
      <c r="H68" s="172"/>
      <c r="I68" s="172"/>
    </row>
    <row r="69" spans="3:11" ht="15.75" customHeight="1" thickBot="1" x14ac:dyDescent="0.35"/>
    <row r="70" spans="3:11" ht="15.75" customHeight="1" thickBot="1" x14ac:dyDescent="0.35">
      <c r="C70" s="297" t="s">
        <v>129</v>
      </c>
      <c r="D70" s="223"/>
      <c r="E70" s="223"/>
      <c r="F70" s="223"/>
      <c r="G70" s="223"/>
      <c r="H70" s="223"/>
      <c r="I70" s="224"/>
      <c r="J70" s="156"/>
      <c r="K70" s="157"/>
    </row>
    <row r="71" spans="3:11" ht="15.75" customHeight="1" thickBot="1" x14ac:dyDescent="0.35">
      <c r="C71" s="290" t="s">
        <v>10</v>
      </c>
      <c r="D71" s="223"/>
      <c r="E71" s="223"/>
      <c r="F71" s="223"/>
      <c r="G71" s="223"/>
      <c r="H71" s="223"/>
      <c r="I71" s="224"/>
      <c r="J71" s="123"/>
      <c r="K71" s="125"/>
    </row>
    <row r="72" spans="3:11" ht="15.75" customHeight="1" x14ac:dyDescent="0.3">
      <c r="C72" s="156"/>
      <c r="D72" s="158"/>
      <c r="E72" s="158"/>
      <c r="F72" s="158"/>
      <c r="G72" s="5"/>
      <c r="H72" s="5" t="s">
        <v>9</v>
      </c>
      <c r="I72" s="125"/>
      <c r="J72" s="123"/>
      <c r="K72" s="125"/>
    </row>
    <row r="73" spans="3:11" ht="15.75" customHeight="1" x14ac:dyDescent="0.3">
      <c r="C73" s="123" t="s">
        <v>130</v>
      </c>
      <c r="D73" s="5"/>
      <c r="E73" s="5"/>
      <c r="F73" s="5"/>
      <c r="G73" s="5"/>
      <c r="H73" s="5" t="s">
        <v>131</v>
      </c>
      <c r="I73" s="125"/>
      <c r="J73" s="123"/>
      <c r="K73" s="125"/>
    </row>
    <row r="74" spans="3:11" ht="15.75" customHeight="1" x14ac:dyDescent="0.3">
      <c r="C74" s="170"/>
      <c r="D74" s="38"/>
      <c r="E74" s="38"/>
      <c r="F74" s="38"/>
      <c r="G74" s="38"/>
      <c r="H74" s="38"/>
      <c r="I74" s="163"/>
      <c r="J74" s="123"/>
      <c r="K74" s="125"/>
    </row>
    <row r="75" spans="3:11" ht="15.75" customHeight="1" x14ac:dyDescent="0.3">
      <c r="C75" s="291" t="s">
        <v>139</v>
      </c>
      <c r="D75" s="258"/>
      <c r="E75" s="258"/>
      <c r="F75" s="258"/>
      <c r="G75" s="258"/>
      <c r="H75" s="258"/>
      <c r="I75" s="292"/>
      <c r="J75" s="123"/>
      <c r="K75" s="125"/>
    </row>
    <row r="76" spans="3:11" ht="15.75" customHeight="1" x14ac:dyDescent="0.3">
      <c r="C76" s="123"/>
      <c r="D76" s="5"/>
      <c r="E76" s="5"/>
      <c r="F76" s="5"/>
      <c r="G76" s="5"/>
      <c r="H76" s="5"/>
      <c r="I76" s="125"/>
      <c r="J76" s="123"/>
      <c r="K76" s="125"/>
    </row>
    <row r="77" spans="3:11" ht="15.75" customHeight="1" x14ac:dyDescent="0.3">
      <c r="C77" s="123" t="s">
        <v>133</v>
      </c>
      <c r="D77" s="5"/>
      <c r="E77" s="5" t="str">
        <f>Planilla!C23</f>
        <v>Veiga Pablo</v>
      </c>
      <c r="F77" s="5"/>
      <c r="G77" s="5" t="s">
        <v>134</v>
      </c>
      <c r="H77" s="173">
        <v>45624</v>
      </c>
      <c r="I77" s="125"/>
      <c r="J77" s="293" t="s">
        <v>135</v>
      </c>
      <c r="K77" s="285"/>
    </row>
    <row r="78" spans="3:11" ht="15.75" customHeight="1" x14ac:dyDescent="0.3">
      <c r="C78" s="123" t="s">
        <v>136</v>
      </c>
      <c r="D78" s="171" t="str">
        <f>Planilla!B23</f>
        <v>8A</v>
      </c>
      <c r="E78" s="5"/>
      <c r="F78" s="5"/>
      <c r="G78" s="5"/>
      <c r="H78" s="5"/>
      <c r="I78" s="125"/>
      <c r="J78" s="123"/>
      <c r="K78" s="125"/>
    </row>
    <row r="79" spans="3:11" ht="15.75" customHeight="1" x14ac:dyDescent="0.3">
      <c r="C79" s="123"/>
      <c r="D79" s="5"/>
      <c r="E79" s="5"/>
      <c r="F79" s="5"/>
      <c r="G79" s="5"/>
      <c r="H79" s="5"/>
      <c r="I79" s="125"/>
      <c r="J79" s="294"/>
      <c r="K79" s="285"/>
    </row>
    <row r="80" spans="3:11" ht="15.75" customHeight="1" x14ac:dyDescent="0.3">
      <c r="C80" s="123"/>
      <c r="D80" s="5"/>
      <c r="E80" s="5"/>
      <c r="F80" s="5"/>
      <c r="G80" s="5"/>
      <c r="H80" s="5"/>
      <c r="I80" s="125"/>
      <c r="J80" s="123"/>
      <c r="K80" s="125"/>
    </row>
    <row r="81" spans="3:11" ht="15.75" customHeight="1" x14ac:dyDescent="0.3">
      <c r="C81" s="123"/>
      <c r="D81" s="5"/>
      <c r="E81" s="5"/>
      <c r="F81" s="5"/>
      <c r="G81" s="5"/>
      <c r="H81" s="5"/>
      <c r="I81" s="125"/>
      <c r="J81" s="123"/>
      <c r="K81" s="125"/>
    </row>
    <row r="82" spans="3:11" ht="15.75" customHeight="1" thickBot="1" x14ac:dyDescent="0.35">
      <c r="C82" s="123"/>
      <c r="D82" s="5"/>
      <c r="E82" s="5"/>
      <c r="F82" s="5"/>
      <c r="G82" s="5"/>
      <c r="H82" s="5"/>
      <c r="I82" s="125"/>
      <c r="J82" s="167"/>
      <c r="K82" s="168"/>
    </row>
    <row r="83" spans="3:11" ht="15.75" customHeight="1" thickBot="1" x14ac:dyDescent="0.35">
      <c r="C83" s="295" t="s">
        <v>137</v>
      </c>
      <c r="D83" s="287"/>
      <c r="E83" s="287"/>
      <c r="F83" s="287"/>
      <c r="G83" s="287"/>
      <c r="H83" s="296">
        <f>Planilla!P23</f>
        <v>116740</v>
      </c>
      <c r="I83" s="224"/>
      <c r="J83" s="126"/>
      <c r="K83" s="169"/>
    </row>
    <row r="84" spans="3:11" ht="15.75" customHeight="1" x14ac:dyDescent="0.3"/>
    <row r="85" spans="3:11" ht="1.5" customHeight="1" x14ac:dyDescent="0.3"/>
    <row r="86" spans="3:11" ht="15.75" hidden="1" customHeight="1" x14ac:dyDescent="0.3"/>
    <row r="87" spans="3:11" ht="15.75" customHeight="1" thickBot="1" x14ac:dyDescent="0.35"/>
    <row r="88" spans="3:11" ht="15.75" customHeight="1" thickBot="1" x14ac:dyDescent="0.35">
      <c r="C88" s="297" t="s">
        <v>129</v>
      </c>
      <c r="D88" s="223"/>
      <c r="E88" s="223"/>
      <c r="F88" s="223"/>
      <c r="G88" s="223"/>
      <c r="H88" s="223"/>
      <c r="I88" s="224"/>
      <c r="J88" s="156"/>
      <c r="K88" s="157"/>
    </row>
    <row r="89" spans="3:11" ht="15.75" customHeight="1" thickBot="1" x14ac:dyDescent="0.35">
      <c r="C89" s="290" t="s">
        <v>10</v>
      </c>
      <c r="D89" s="223"/>
      <c r="E89" s="223"/>
      <c r="F89" s="223"/>
      <c r="G89" s="223"/>
      <c r="H89" s="223"/>
      <c r="I89" s="224"/>
      <c r="J89" s="123"/>
      <c r="K89" s="125"/>
    </row>
    <row r="90" spans="3:11" ht="15.75" customHeight="1" x14ac:dyDescent="0.3">
      <c r="C90" s="156"/>
      <c r="D90" s="158"/>
      <c r="E90" s="158"/>
      <c r="F90" s="158"/>
      <c r="G90" s="5"/>
      <c r="H90" s="5" t="s">
        <v>9</v>
      </c>
      <c r="I90" s="125"/>
      <c r="J90" s="123"/>
      <c r="K90" s="125"/>
    </row>
    <row r="91" spans="3:11" ht="15.75" customHeight="1" x14ac:dyDescent="0.3">
      <c r="C91" s="123" t="s">
        <v>130</v>
      </c>
      <c r="D91" s="5"/>
      <c r="E91" s="5"/>
      <c r="F91" s="5"/>
      <c r="G91" s="5"/>
      <c r="H91" s="5" t="s">
        <v>131</v>
      </c>
      <c r="I91" s="125"/>
      <c r="J91" s="123"/>
      <c r="K91" s="125"/>
    </row>
    <row r="92" spans="3:11" ht="15.75" customHeight="1" x14ac:dyDescent="0.3">
      <c r="C92" s="170"/>
      <c r="D92" s="38"/>
      <c r="E92" s="38"/>
      <c r="F92" s="38"/>
      <c r="G92" s="38"/>
      <c r="H92" s="38"/>
      <c r="I92" s="163"/>
      <c r="J92" s="123"/>
      <c r="K92" s="125"/>
    </row>
    <row r="93" spans="3:11" ht="15.75" customHeight="1" x14ac:dyDescent="0.3">
      <c r="C93" s="291" t="s">
        <v>141</v>
      </c>
      <c r="D93" s="258"/>
      <c r="E93" s="258"/>
      <c r="F93" s="258"/>
      <c r="G93" s="258"/>
      <c r="H93" s="258"/>
      <c r="I93" s="292"/>
      <c r="J93" s="123"/>
      <c r="K93" s="125"/>
    </row>
    <row r="94" spans="3:11" ht="15.75" customHeight="1" x14ac:dyDescent="0.3">
      <c r="C94" s="123"/>
      <c r="D94" s="5"/>
      <c r="E94" s="5"/>
      <c r="F94" s="5"/>
      <c r="G94" s="5"/>
      <c r="H94" s="5"/>
      <c r="I94" s="125"/>
      <c r="J94" s="123"/>
      <c r="K94" s="125"/>
    </row>
    <row r="95" spans="3:11" ht="15.75" customHeight="1" x14ac:dyDescent="0.3">
      <c r="C95" s="123" t="s">
        <v>133</v>
      </c>
      <c r="D95" s="5"/>
      <c r="E95" s="5" t="s">
        <v>101</v>
      </c>
      <c r="F95" s="5"/>
      <c r="G95" s="5" t="s">
        <v>134</v>
      </c>
      <c r="H95" s="173">
        <v>45624</v>
      </c>
      <c r="I95" s="125"/>
      <c r="J95" s="293" t="s">
        <v>135</v>
      </c>
      <c r="K95" s="285"/>
    </row>
    <row r="96" spans="3:11" ht="15.75" customHeight="1" x14ac:dyDescent="0.3">
      <c r="C96" s="123" t="s">
        <v>136</v>
      </c>
      <c r="D96" s="171" t="s">
        <v>100</v>
      </c>
      <c r="E96" s="5"/>
      <c r="F96" s="5"/>
      <c r="G96" s="5"/>
      <c r="H96" s="5"/>
      <c r="I96" s="125"/>
      <c r="J96" s="123"/>
      <c r="K96" s="125"/>
    </row>
    <row r="97" spans="3:11" ht="15.75" customHeight="1" x14ac:dyDescent="0.3">
      <c r="C97" s="123"/>
      <c r="D97" s="5"/>
      <c r="E97" s="5"/>
      <c r="F97" s="5"/>
      <c r="G97" s="5"/>
      <c r="H97" s="5"/>
      <c r="I97" s="125"/>
      <c r="J97" s="294"/>
      <c r="K97" s="285"/>
    </row>
    <row r="98" spans="3:11" ht="15.75" customHeight="1" x14ac:dyDescent="0.3">
      <c r="C98" s="123"/>
      <c r="D98" s="5"/>
      <c r="E98" s="5"/>
      <c r="F98" s="5"/>
      <c r="G98" s="5"/>
      <c r="H98" s="5"/>
      <c r="I98" s="125"/>
      <c r="J98" s="123"/>
      <c r="K98" s="125"/>
    </row>
    <row r="99" spans="3:11" ht="15.75" customHeight="1" x14ac:dyDescent="0.3">
      <c r="C99" s="123"/>
      <c r="D99" s="5"/>
      <c r="E99" s="5"/>
      <c r="F99" s="5"/>
      <c r="G99" s="5"/>
      <c r="H99" s="5"/>
      <c r="I99" s="125"/>
      <c r="J99" s="123"/>
      <c r="K99" s="125"/>
    </row>
    <row r="100" spans="3:11" ht="15.75" customHeight="1" thickBot="1" x14ac:dyDescent="0.35">
      <c r="C100" s="123"/>
      <c r="D100" s="5"/>
      <c r="E100" s="5"/>
      <c r="F100" s="5"/>
      <c r="G100" s="5"/>
      <c r="H100" s="5"/>
      <c r="I100" s="125"/>
      <c r="J100" s="167"/>
      <c r="K100" s="168"/>
    </row>
    <row r="101" spans="3:11" ht="15.75" customHeight="1" thickBot="1" x14ac:dyDescent="0.35">
      <c r="C101" s="295" t="s">
        <v>137</v>
      </c>
      <c r="D101" s="287"/>
      <c r="E101" s="287"/>
      <c r="F101" s="287"/>
      <c r="G101" s="287"/>
      <c r="H101" s="296">
        <f>'Planilla Extraord'!O23</f>
        <v>0</v>
      </c>
      <c r="I101" s="224"/>
      <c r="J101" s="126"/>
      <c r="K101" s="169"/>
    </row>
    <row r="102" spans="3:11" ht="15.75" customHeight="1" x14ac:dyDescent="0.3"/>
    <row r="103" spans="3:11" ht="15.75" customHeight="1" x14ac:dyDescent="0.3"/>
    <row r="104" spans="3:11" ht="15.75" customHeight="1" x14ac:dyDescent="0.3"/>
    <row r="105" spans="3:11" ht="15.75" customHeight="1" x14ac:dyDescent="0.3"/>
    <row r="106" spans="3:11" ht="15.75" customHeight="1" x14ac:dyDescent="0.3"/>
    <row r="107" spans="3:11" ht="15.75" customHeight="1" x14ac:dyDescent="0.3"/>
    <row r="108" spans="3:11" ht="15.75" customHeight="1" x14ac:dyDescent="0.3"/>
    <row r="109" spans="3:11" ht="15.75" customHeight="1" x14ac:dyDescent="0.3"/>
    <row r="110" spans="3:11" ht="15.75" customHeight="1" x14ac:dyDescent="0.3"/>
    <row r="111" spans="3:11" ht="15.75" customHeight="1" x14ac:dyDescent="0.3"/>
    <row r="112" spans="3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2025-05-02T15:18:55Z</cp:lastPrinted>
  <dcterms:created xsi:type="dcterms:W3CDTF">2024-08-02T14:44:36Z</dcterms:created>
  <dcterms:modified xsi:type="dcterms:W3CDTF">2025-05-26T00:26:50Z</dcterms:modified>
</cp:coreProperties>
</file>