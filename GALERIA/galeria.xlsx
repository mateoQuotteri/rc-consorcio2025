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C:\Users\Sistema\Desktop\rc-consorcio2025\GALERIA\"/>
    </mc:Choice>
  </mc:AlternateContent>
  <xr:revisionPtr revIDLastSave="0" documentId="13_ncr:1_{33628011-B993-4F54-B489-0EEEAD866EB7}"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PRORRATEO!$A$1:$O$43</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RESUMEN!$A$1:$E$92</definedName>
  </definedNames>
  <calcPr calcId="181029"/>
</workbook>
</file>

<file path=xl/calcChain.xml><?xml version="1.0" encoding="utf-8"?>
<calcChain xmlns="http://schemas.openxmlformats.org/spreadsheetml/2006/main">
  <c r="B75" i="1" l="1"/>
  <c r="L3" i="2"/>
  <c r="J8" i="2" l="1"/>
  <c r="J9" i="2"/>
  <c r="J10" i="2"/>
  <c r="J11" i="2"/>
  <c r="J12" i="2"/>
  <c r="J13" i="2"/>
  <c r="J14" i="2"/>
  <c r="J15" i="2"/>
  <c r="J16" i="2"/>
  <c r="J17" i="2"/>
  <c r="J18" i="2"/>
  <c r="J19" i="2"/>
  <c r="J20" i="2"/>
  <c r="J21" i="2"/>
  <c r="J22" i="2"/>
  <c r="J23" i="2"/>
  <c r="J24" i="2"/>
  <c r="J25" i="2"/>
  <c r="J26" i="2"/>
  <c r="J27" i="2"/>
  <c r="J28" i="2"/>
  <c r="J29" i="2"/>
  <c r="J30" i="2"/>
  <c r="J31" i="2"/>
  <c r="J32" i="2"/>
  <c r="J7" i="2"/>
  <c r="K7" i="2"/>
  <c r="K8" i="2"/>
  <c r="K9" i="2"/>
  <c r="K10" i="2"/>
  <c r="K11" i="2"/>
  <c r="K12" i="2"/>
  <c r="K13" i="2"/>
  <c r="K14" i="2"/>
  <c r="K15" i="2"/>
  <c r="K16" i="2"/>
  <c r="K17" i="2"/>
  <c r="K18" i="2"/>
  <c r="K19" i="2"/>
  <c r="K20" i="2"/>
  <c r="K21" i="2"/>
  <c r="K22" i="2"/>
  <c r="K23" i="2"/>
  <c r="K24" i="2"/>
  <c r="K25" i="2"/>
  <c r="K26" i="2"/>
  <c r="K27" i="2"/>
  <c r="K28" i="2"/>
  <c r="K29" i="2"/>
  <c r="K30" i="2"/>
  <c r="K31" i="2"/>
  <c r="K32" i="2"/>
  <c r="D29" i="1"/>
  <c r="D38" i="1"/>
  <c r="D25" i="1"/>
  <c r="M31" i="2" l="1"/>
  <c r="E30" i="1"/>
  <c r="E23" i="1" l="1"/>
  <c r="E26" i="1"/>
  <c r="B91" i="1"/>
  <c r="H56" i="14" l="1"/>
  <c r="H26" i="14" l="1"/>
  <c r="H40" i="14"/>
  <c r="H71" i="14"/>
  <c r="E52" i="1" l="1"/>
  <c r="E57" i="1" s="1"/>
  <c r="B61" i="1" s="1"/>
  <c r="B74" i="1" s="1"/>
  <c r="H46" i="14"/>
  <c r="H29" i="14"/>
  <c r="H6" i="14" l="1"/>
  <c r="E35" i="1"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2"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1" i="2"/>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6"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8" i="2"/>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Q51" i="14" l="1"/>
  <c r="P51" i="14"/>
  <c r="R23" i="14"/>
  <c r="O22" i="14"/>
  <c r="P21" i="14"/>
  <c r="Q21" i="14"/>
  <c r="O52" i="14"/>
  <c r="R53" i="14"/>
  <c r="O53" i="14" l="1"/>
  <c r="R54" i="14"/>
  <c r="P22" i="14"/>
  <c r="Q22" i="14"/>
  <c r="Q52" i="14"/>
  <c r="P52" i="14"/>
  <c r="R24" i="14"/>
  <c r="O23" i="14"/>
  <c r="G34" i="2"/>
  <c r="B71" i="1" s="1"/>
  <c r="E34" i="2"/>
  <c r="F34" i="2"/>
  <c r="C10" i="8"/>
  <c r="B8" i="2"/>
  <c r="C28" i="3" s="1"/>
  <c r="B9" i="2" l="1"/>
  <c r="B10" i="2" s="1"/>
  <c r="Q53" i="14"/>
  <c r="P53" i="14"/>
  <c r="Q23" i="14"/>
  <c r="P23" i="14"/>
  <c r="R25" i="14"/>
  <c r="O24" i="14"/>
  <c r="R55" i="14"/>
  <c r="O54" i="14"/>
  <c r="H8" i="2"/>
  <c r="H10" i="2"/>
  <c r="H11" i="2"/>
  <c r="H12" i="2"/>
  <c r="H13" i="2"/>
  <c r="H14" i="2"/>
  <c r="H15" i="2"/>
  <c r="H18" i="2"/>
  <c r="H19" i="2"/>
  <c r="H20" i="2"/>
  <c r="H22" i="2"/>
  <c r="H23" i="2"/>
  <c r="H24" i="2"/>
  <c r="H25" i="2"/>
  <c r="H26" i="2"/>
  <c r="H27" i="2"/>
  <c r="H28" i="2"/>
  <c r="H29" i="2"/>
  <c r="H30" i="2"/>
  <c r="H32" i="2"/>
  <c r="H7" i="2"/>
  <c r="H34" i="2" l="1"/>
  <c r="C46" i="3"/>
  <c r="B11" i="2"/>
  <c r="C63" i="3"/>
  <c r="C26" i="8"/>
  <c r="F47" i="15"/>
  <c r="F41" i="15"/>
  <c r="F43" i="15"/>
  <c r="F46" i="15"/>
  <c r="F44" i="15"/>
  <c r="F40" i="15"/>
  <c r="F49" i="15"/>
  <c r="F51" i="15"/>
  <c r="F52" i="15"/>
  <c r="F42" i="15"/>
  <c r="F48" i="15"/>
  <c r="F45" i="15"/>
  <c r="F50" i="15"/>
  <c r="R26" i="14"/>
  <c r="O25" i="14"/>
  <c r="Q54" i="14"/>
  <c r="P54" i="14"/>
  <c r="R56" i="14"/>
  <c r="O55" i="14"/>
  <c r="F53" i="15" s="1"/>
  <c r="Q24" i="14"/>
  <c r="P24" i="14"/>
  <c r="B62"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2" i="2"/>
  <c r="J34" i="2"/>
  <c r="I34" i="2" l="1"/>
  <c r="B12" i="2"/>
  <c r="C81" i="3"/>
  <c r="C44" i="8"/>
  <c r="O56" i="14"/>
  <c r="F54" i="15" s="1"/>
  <c r="R57" i="14"/>
  <c r="R27" i="14"/>
  <c r="O26" i="14"/>
  <c r="Q55" i="14"/>
  <c r="P55" i="14"/>
  <c r="P25" i="14"/>
  <c r="Q25" i="14"/>
  <c r="C61" i="8" l="1"/>
  <c r="B13" i="2"/>
  <c r="C99" i="3"/>
  <c r="Q56" i="14"/>
  <c r="P56" i="14"/>
  <c r="P26" i="14"/>
  <c r="Q26" i="14"/>
  <c r="R28" i="14"/>
  <c r="O27" i="14"/>
  <c r="O57" i="14"/>
  <c r="F55" i="15" s="1"/>
  <c r="R58" i="14"/>
  <c r="E39" i="1"/>
  <c r="E43" i="1" s="1"/>
  <c r="B60" i="1" s="1"/>
  <c r="B73" i="1" s="1"/>
  <c r="B14" i="2" l="1"/>
  <c r="C11" i="4"/>
  <c r="C79" i="8"/>
  <c r="R29" i="14"/>
  <c r="O28" i="14"/>
  <c r="R59" i="14"/>
  <c r="O58" i="14"/>
  <c r="F56" i="15" s="1"/>
  <c r="Q57" i="14"/>
  <c r="P57" i="14"/>
  <c r="Q27" i="14"/>
  <c r="P27" i="14"/>
  <c r="M8" i="2"/>
  <c r="M9" i="2"/>
  <c r="M10" i="2"/>
  <c r="M11" i="2"/>
  <c r="M13" i="2"/>
  <c r="M14" i="2"/>
  <c r="M15" i="2"/>
  <c r="M16" i="2"/>
  <c r="M17" i="2"/>
  <c r="M18" i="2"/>
  <c r="M19" i="2"/>
  <c r="M20" i="2"/>
  <c r="M21" i="2"/>
  <c r="M22" i="2"/>
  <c r="M23" i="2"/>
  <c r="M24" i="2"/>
  <c r="M25" i="2"/>
  <c r="M26" i="2"/>
  <c r="M27" i="2"/>
  <c r="M28" i="2"/>
  <c r="M29" i="2"/>
  <c r="M30" i="2"/>
  <c r="F34" i="15"/>
  <c r="M7" i="2"/>
  <c r="M32" i="2" l="1"/>
  <c r="O32" i="2" s="1"/>
  <c r="C97" i="8"/>
  <c r="B15" i="2"/>
  <c r="C28" i="4"/>
  <c r="F39" i="15"/>
  <c r="F37" i="15"/>
  <c r="O28" i="2"/>
  <c r="F25" i="15"/>
  <c r="O24" i="2"/>
  <c r="F21" i="15"/>
  <c r="O20" i="2"/>
  <c r="F17" i="15"/>
  <c r="O16" i="2"/>
  <c r="F13" i="15"/>
  <c r="O12" i="2"/>
  <c r="F9" i="15"/>
  <c r="O8" i="2"/>
  <c r="F5" i="15"/>
  <c r="O7" i="2"/>
  <c r="F4" i="15"/>
  <c r="F36" i="15"/>
  <c r="O31" i="2"/>
  <c r="O27" i="2"/>
  <c r="F24" i="15"/>
  <c r="O23" i="2"/>
  <c r="F20" i="15"/>
  <c r="O19" i="2"/>
  <c r="F16" i="15"/>
  <c r="O15" i="2"/>
  <c r="F12" i="15"/>
  <c r="O11" i="2"/>
  <c r="F8" i="15"/>
  <c r="F35" i="15"/>
  <c r="O30" i="2"/>
  <c r="O26" i="2"/>
  <c r="F23" i="15"/>
  <c r="O22" i="2"/>
  <c r="F19" i="15"/>
  <c r="O18" i="2"/>
  <c r="F15" i="15"/>
  <c r="O14" i="2"/>
  <c r="F11" i="15"/>
  <c r="O10" i="2"/>
  <c r="F7" i="15"/>
  <c r="F38" i="15"/>
  <c r="O29" i="2"/>
  <c r="F26" i="15"/>
  <c r="O25" i="2"/>
  <c r="F22" i="15"/>
  <c r="O21" i="2"/>
  <c r="F18" i="15"/>
  <c r="O17" i="2"/>
  <c r="F14" i="15"/>
  <c r="O13" i="2"/>
  <c r="F10" i="15"/>
  <c r="O9" i="2"/>
  <c r="F6" i="15"/>
  <c r="R30" i="14"/>
  <c r="O29" i="14"/>
  <c r="F27" i="15" s="1"/>
  <c r="Q58" i="14"/>
  <c r="P58" i="14"/>
  <c r="R60" i="14"/>
  <c r="O59" i="14"/>
  <c r="F57" i="15" s="1"/>
  <c r="P28" i="14"/>
  <c r="Q28" i="14"/>
  <c r="G15" i="8"/>
  <c r="G51" i="6"/>
  <c r="N27" i="2"/>
  <c r="N15" i="2"/>
  <c r="G50" i="4"/>
  <c r="G121" i="7"/>
  <c r="G104" i="6"/>
  <c r="N30" i="2"/>
  <c r="N26" i="2"/>
  <c r="G34" i="6"/>
  <c r="N22" i="2"/>
  <c r="G70" i="5"/>
  <c r="N18" i="2"/>
  <c r="G103" i="4"/>
  <c r="N14" i="2"/>
  <c r="G33" i="4"/>
  <c r="G68" i="3"/>
  <c r="N10" i="2"/>
  <c r="G16" i="3"/>
  <c r="N7" i="2"/>
  <c r="N31" i="2"/>
  <c r="G17" i="7"/>
  <c r="G16" i="5"/>
  <c r="N19" i="2"/>
  <c r="G66" i="8"/>
  <c r="G53" i="7"/>
  <c r="G87" i="6"/>
  <c r="N29" i="2"/>
  <c r="G16" i="6"/>
  <c r="N25" i="2"/>
  <c r="N21" i="2"/>
  <c r="G52" i="5"/>
  <c r="N17" i="2"/>
  <c r="G85" i="4"/>
  <c r="N13" i="2"/>
  <c r="G16" i="4"/>
  <c r="N9" i="2"/>
  <c r="G51" i="3"/>
  <c r="G87" i="7"/>
  <c r="G88" i="5"/>
  <c r="N23" i="2"/>
  <c r="N11" i="2"/>
  <c r="G86" i="3"/>
  <c r="G49" i="8"/>
  <c r="G31" i="8"/>
  <c r="G104" i="7"/>
  <c r="N28" i="2"/>
  <c r="G70" i="6"/>
  <c r="N24" i="2"/>
  <c r="G106" i="5"/>
  <c r="N20" i="2"/>
  <c r="G34" i="5"/>
  <c r="G67" i="4"/>
  <c r="N16" i="2"/>
  <c r="N12" i="2"/>
  <c r="G104" i="3"/>
  <c r="G33" i="3"/>
  <c r="N8" i="2"/>
  <c r="K34" i="2"/>
  <c r="N32" i="2" l="1"/>
  <c r="G35" i="7"/>
  <c r="B16" i="2"/>
  <c r="C45" i="4"/>
  <c r="C114" i="8"/>
  <c r="O60" i="14"/>
  <c r="F58" i="15" s="1"/>
  <c r="R61" i="14"/>
  <c r="R31" i="14"/>
  <c r="O30" i="14"/>
  <c r="F28" i="15" s="1"/>
  <c r="P59" i="14"/>
  <c r="Q59" i="14"/>
  <c r="Q29" i="14"/>
  <c r="P29" i="14"/>
  <c r="B84" i="1"/>
  <c r="C131" i="8" l="1"/>
  <c r="B17" i="2"/>
  <c r="C62" i="4"/>
  <c r="Q60" i="14"/>
  <c r="P60" i="14"/>
  <c r="P30" i="14"/>
  <c r="Q30" i="14"/>
  <c r="O31" i="14"/>
  <c r="F29" i="15" s="1"/>
  <c r="R32" i="14"/>
  <c r="O61" i="14"/>
  <c r="F59" i="15" s="1"/>
  <c r="R62" i="14"/>
  <c r="B59" i="1"/>
  <c r="B18" i="2" l="1"/>
  <c r="C80" i="4"/>
  <c r="C149" i="8"/>
  <c r="P31" i="14"/>
  <c r="Q31" i="14"/>
  <c r="R63" i="14"/>
  <c r="O62" i="14"/>
  <c r="F60" i="15" s="1"/>
  <c r="Q61" i="14"/>
  <c r="P61" i="14"/>
  <c r="R33" i="14"/>
  <c r="O32" i="14"/>
  <c r="F30" i="15" s="1"/>
  <c r="C166" i="8" l="1"/>
  <c r="B19" i="2"/>
  <c r="C98" i="4"/>
  <c r="P32" i="14"/>
  <c r="Q32" i="14"/>
  <c r="Q62" i="14"/>
  <c r="P62" i="14"/>
  <c r="O33" i="14"/>
  <c r="R34" i="14"/>
  <c r="R64" i="14"/>
  <c r="O63" i="14"/>
  <c r="F61" i="15" s="1"/>
  <c r="B20" i="2" l="1"/>
  <c r="C11" i="5"/>
  <c r="C12" i="9"/>
  <c r="Q33" i="14"/>
  <c r="P33" i="14"/>
  <c r="Q63" i="14"/>
  <c r="P63" i="14"/>
  <c r="R65" i="14"/>
  <c r="O64" i="14"/>
  <c r="F62" i="15" s="1"/>
  <c r="R35" i="14"/>
  <c r="O35" i="14" s="1"/>
  <c r="F33" i="15" s="1"/>
  <c r="O34" i="14"/>
  <c r="F32" i="15" s="1"/>
  <c r="C28" i="9" l="1"/>
  <c r="B21" i="2"/>
  <c r="C29" i="5"/>
  <c r="R66" i="14"/>
  <c r="O65" i="14"/>
  <c r="F63" i="15" s="1"/>
  <c r="Q34" i="14"/>
  <c r="P34" i="14"/>
  <c r="Q35" i="14"/>
  <c r="P35" i="14"/>
  <c r="Q64" i="14"/>
  <c r="P64" i="14"/>
  <c r="B22" i="2" l="1"/>
  <c r="C47" i="5"/>
  <c r="C45" i="9"/>
  <c r="O66" i="14"/>
  <c r="F64" i="15" s="1"/>
  <c r="R67" i="14"/>
  <c r="Q65" i="14"/>
  <c r="P65" i="14"/>
  <c r="C62" i="9" l="1"/>
  <c r="B23" i="2"/>
  <c r="C65" i="5"/>
  <c r="Q66" i="14"/>
  <c r="P66" i="14"/>
  <c r="O67" i="14"/>
  <c r="F65" i="15" s="1"/>
  <c r="R68" i="14"/>
  <c r="B24" i="2" l="1"/>
  <c r="C83" i="5"/>
  <c r="C79" i="9"/>
  <c r="O68" i="14"/>
  <c r="F66" i="15" s="1"/>
  <c r="R69" i="14"/>
  <c r="Q67" i="14"/>
  <c r="P67" i="14"/>
  <c r="C97" i="9" l="1"/>
  <c r="B25" i="2"/>
  <c r="C101" i="5"/>
  <c r="Q68" i="14"/>
  <c r="P68" i="14"/>
  <c r="R70" i="14"/>
  <c r="O69" i="14"/>
  <c r="F67" i="15" s="1"/>
  <c r="B26" i="2" l="1"/>
  <c r="C11" i="6"/>
  <c r="C115" i="9"/>
  <c r="Q69" i="14"/>
  <c r="P69" i="14"/>
  <c r="O70" i="14"/>
  <c r="F68" i="15" s="1"/>
  <c r="R71" i="14"/>
  <c r="C133" i="9" l="1"/>
  <c r="B27" i="2"/>
  <c r="C29" i="6"/>
  <c r="O71" i="14"/>
  <c r="F69" i="15" s="1"/>
  <c r="R72" i="14"/>
  <c r="P70" i="14"/>
  <c r="Q70" i="14"/>
  <c r="B28" i="2" l="1"/>
  <c r="C46" i="6"/>
  <c r="C150" i="9"/>
  <c r="P71" i="14"/>
  <c r="Q71" i="14"/>
  <c r="O72" i="14"/>
  <c r="F70" i="15" s="1"/>
  <c r="R73" i="14"/>
  <c r="C168" i="9" l="1"/>
  <c r="B29" i="2"/>
  <c r="C65" i="6"/>
  <c r="O73" i="14"/>
  <c r="F71" i="15" s="1"/>
  <c r="R74" i="14"/>
  <c r="P72" i="14"/>
  <c r="Q72" i="14"/>
  <c r="B30" i="2" l="1"/>
  <c r="C82" i="6"/>
  <c r="C11" i="10"/>
  <c r="P73" i="14"/>
  <c r="Q73" i="14"/>
  <c r="O74" i="14"/>
  <c r="F72" i="15" s="1"/>
  <c r="R75" i="14"/>
  <c r="C28" i="10" l="1"/>
  <c r="B31" i="2"/>
  <c r="C99" i="6"/>
  <c r="O75" i="14"/>
  <c r="F73" i="15" s="1"/>
  <c r="R76" i="14"/>
  <c r="P74" i="14"/>
  <c r="Q74" i="14"/>
  <c r="B32"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4" i="2"/>
  <c r="M34" i="2"/>
  <c r="C11" i="11" l="1"/>
  <c r="N34" i="2"/>
  <c r="F31" i="15"/>
  <c r="O34"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<sst xmlns="http://schemas.openxmlformats.org/spreadsheetml/2006/main" count="1303" uniqueCount="267">
  <si>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</si>
  <si>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</si>
  <si>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</si>
  <si>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</si>
  <si>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</si>
  <si>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</si>
  <si>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</si>
  <si>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</si>
  <si>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</si>
  <si>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</si>
  <si>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</si>
  <si>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</si>
  <si>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</si>
  <si>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</si>
  <si>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</si>
  <si>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</si>
  <si>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</si>
  <si>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</si>
  <si>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</si>
  <si>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</si>
  <si>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</si>
  <si>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</si>
  <si>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</si>
  <si>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</si>
  <si>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</si>
  <si>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</si>
  <si>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</si>
  <si>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</si>
  <si>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</si>
  <si>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</si>
  <si>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</si>
  <si>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</si>
  <si>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</si>
  <si>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</si>
  <si>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</si>
  <si>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</si>
  <si>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</si>
  <si>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</si>
  <si>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</si>
  <si>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</si>
  <si>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</si>
  <si>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ORDINARIA</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</si>
  <si>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</si>
  <si>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</si>
  <si>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</si>
  <si>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</si>
  <si>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</si>
  <si>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</si>
  <si>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</si>
  <si>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</si>
  <si>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</si>
  <si>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</si>
  <si>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</si>
  <si>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</si>
  <si>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</si>
  <si>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</si>
  <si>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</si>
  <si>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</si>
  <si>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</si>
  <si>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</si>
  <si>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</si>
  <si>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</si>
  <si>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</si>
  <si>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</si>
  <si>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</si>
  <si>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</si>
  <si>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</si>
  <si>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</si>
  <si>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</si>
  <si>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</si>
  <si>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</si>
  <si>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</si>
  <si>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</si>
  <si>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</si>
  <si>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</si>
  <si>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</si>
  <si>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</si>
  <si>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</si>
  <si>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</si>
  <si>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</si>
  <si>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</si>
  <si>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</si>
  <si>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</si>
  <si>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</si>
  <si>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</si>
  <si>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</si>
  <si>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</si>
  <si>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</si>
  <si>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</si>
  <si>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</si>
  <si>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</si>
  <si>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</si>
  <si>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</si>
  <si>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</si>
  <si>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</si>
  <si>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</si>
  <si>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</si>
  <si>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</si>
  <si>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</si>
  <si>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</si>
  <si>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</si>
  <si>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</si>
  <si>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</si>
  <si>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</si>
  <si>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</si>
  <si>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</si>
  <si>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</si>
  <si>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</si>
  <si>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</si>
  <si>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</si>
  <si>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</si>
  <si>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</si>
  <si>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</si>
  <si>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</si>
  <si>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</si>
  <si>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</si>
  <si>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</si>
  <si>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</si>
  <si>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</si>
  <si>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</si>
  <si>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</si>
  <si>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</si>
  <si>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</si>
  <si>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</si>
  <si>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</si>
  <si>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</si>
  <si>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</si>
  <si>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</si>
  <si>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</si>
  <si>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</si>
  <si>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</si>
  <si>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</si>
  <si>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</si>
  <si>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</si>
  <si>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</si>
  <si>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</si>
  <si>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</si>
  <si>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</si>
  <si>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</si>
  <si>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</si>
  <si>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</si>
  <si>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</si>
  <si>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</si>
  <si>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</si>
  <si>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</si>
  <si>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</si>
  <si>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</si>
  <si>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</si>
  <si>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</si>
  <si>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</si>
  <si>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</si>
  <si>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</si>
  <si>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</si>
  <si>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</si>
  <si>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</si>
  <si>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</si>
  <si>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</si>
  <si>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</si>
  <si>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</si>
  <si>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</si>
  <si>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</si>
  <si>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</si>
  <si>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</si>
  <si>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</si>
  <si>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</si>
  <si>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</si>
  <si>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</si>
  <si>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</si>
  <si>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</si>
  <si>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</si>
  <si>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</si>
  <si>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</si>
  <si>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</si>
  <si>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</si>
  <si>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</si>
  <si>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</si>
  <si>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</si>
  <si>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</si>
  <si>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</si>
  <si>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</si>
  <si>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</si>
  <si>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</si>
  <si>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</si>
  <si>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</si>
  <si>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</si>
  <si>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</si>
  <si>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</si>
  <si>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</si>
  <si>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</si>
  <si>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</si>
  <si>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</si>
  <si>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</si>
  <si>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</si>
  <si>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</si>
  <si>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</si>
  <si>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</si>
  <si>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</si>
  <si>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</si>
  <si>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</si>
  <si>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</si>
  <si>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</si>
  <si>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</si>
  <si>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HONORARIOS administracion RC</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</si>
  <si>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</si>
  <si>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</si>
  <si>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</si>
  <si>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</si>
  <si>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</si>
  <si>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</si>
  <si>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</si>
  <si>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</si>
  <si>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</si>
  <si>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</si>
  <si>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</si>
  <si>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</si>
  <si>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</si>
  <si>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</si>
  <si>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</si>
  <si>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</si>
  <si>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</si>
  <si>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</si>
  <si>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</si>
  <si>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</si>
  <si>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</si>
  <si>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</si>
  <si>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</si>
  <si>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</si>
  <si>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</si>
  <si>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</si>
  <si>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</si>
  <si>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</si>
  <si>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</si>
  <si>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</si>
  <si>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</si>
  <si>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</si>
  <si>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</si>
  <si>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</si>
  <si>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</si>
  <si>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</si>
  <si>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</si>
  <si>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</si>
  <si>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</si>
  <si>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</si>
  <si>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</si>
  <si>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</si>
  <si>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LASSALLE, Mirta</t>
  </si>
  <si>
    <t>LUCERO, Olga</t>
  </si>
  <si>
    <t>VERA, Ricardo</t>
  </si>
  <si>
    <t>SALAZAR, Javier</t>
  </si>
  <si>
    <t>QUINTANA, Hector</t>
  </si>
  <si>
    <t>EN JUICIO</t>
  </si>
  <si>
    <t>EDESUR - Cliente Nro. 80084190</t>
  </si>
  <si>
    <t>AYSA - Cuenta nro. 3480025</t>
  </si>
  <si>
    <t>EN JUICIO - NO SE ABONA</t>
  </si>
  <si>
    <t xml:space="preserve">Mercantil andina seguro integral de consorcio - Poliza nro. 001166139 - Abril Mayo y Junio </t>
  </si>
  <si>
    <t>COMISION POR CUENTA - Abril mayo y junio</t>
  </si>
  <si>
    <t>GASTOS BANCARIOS - Cuando accedamos a la cuenta se imputaran</t>
  </si>
  <si>
    <t>Titularidad: CONS DE PROP BOEDO 266
Banco: Santander
Cuenta: CC$ 029-030888/3
CBU: 0720029820000003088836
Alias: ALA.CATRE.FUERTE</t>
  </si>
  <si>
    <t>10/04 - 13/05 - 05/06</t>
  </si>
  <si>
    <t>Gastos ordinarios a prorratear:</t>
  </si>
  <si>
    <t>VTO 21/07</t>
  </si>
  <si>
    <t>ADMINISTRADORA: CAROLINA CANCIANI  MP:1148</t>
  </si>
  <si>
    <t>CONSORCIO DE COPROPIETARIOS GALERIA BOEDO 266/270 LOMAS DE ZAMORA</t>
  </si>
  <si>
    <t>CUIT DEL EDIFICIO: 30-66055743-8 - PERÍODO: JUNIO - HORARIOS DE ATENCION: LUNES A VIERNES 10 A 16HS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</si>
  <si>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</si>
  <si>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HASTA NO TENER ACCESO AL BANCO - NO PODREMOS SABER QUIEN ABONO LAS ULTIMAS EXPENSAS EMITIDAS EN EL MES DE MARZO CON VENCIMIENTO ABRIL, PERO ANTE LA NECESIDAD DE PODER CUBRIR LOS GATOS VENIDEROS (EDESUR, SEGUROS Y DEMAS) ES QUE SE EMITEN LAS EXPENSAS EN CARACTER DE URGENCIA HASTA REALIZAR EL TRASPASO DE LA ADMINISTRACION. QUIENES POSEEN CONVENIOS DE CANCELACION POR DEUDAS DE EXPENSAS SE SOLICITA POR FAVOR DEPOSITAR LAS CUOTAS CORRESPONDIENTES, YA QUE UNA VEZ QUE SE REVISE EL BANCO SERAN RECLAMADAS DE FORMA FEHACIENTE.</t>
  </si>
  <si>
    <t xml:space="preserve">MAIL: centerlongaleria@gmail.com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</si>
</sst>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 #,##0.00;[Red]\-&quot;$&quot;\ #,##0.00"/>
    <numFmt numFmtId="44" formatCode="_-&quot;$&quot;\ * #,##0.00_-;\-&quot;$&quot;\ * #,##0.00_-;_-&quot;$&quot;\ *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50">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0" fontId="0" fillId="0" borderId="1" xfId="0" applyBorder="1" applyAlignment="1">
      <alignment vertical="center" wrapText="1"/>
    </xf>
    <xf numFmtId="0" fontId="3" fillId="0" borderId="1" xfId="0" applyFont="1" applyBorder="1"/>
    <xf numFmtId="16" fontId="3" fillId="0" borderId="1" xfId="0" applyNumberFormat="1" applyFont="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10" fillId="4" borderId="1" xfId="1" applyFont="1" applyFill="1" applyBorder="1"/>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44" fontId="22" fillId="0" borderId="3" xfId="1" applyFont="1" applyBorder="1"/>
    <xf numFmtId="8" fontId="10" fillId="4" borderId="13" xfId="1" applyNumberFormat="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22" fillId="0" borderId="1" xfId="1" applyFont="1" applyBorder="1"/>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3" fillId="0" borderId="1" xfId="1" applyFont="1" applyBorder="1" applyAlignment="1">
      <alignment vertical="center" wrapText="1"/>
    </xf>
    <xf numFmtId="44" fontId="22" fillId="2" borderId="1" xfId="1" applyFont="1" applyFill="1" applyBorder="1" applyAlignment="1">
      <alignment wrapText="1"/>
    </xf>
    <xf numFmtId="0" fontId="16" fillId="0" borderId="1" xfId="1" applyNumberFormat="1" applyFont="1" applyBorder="1"/>
    <xf numFmtId="0" fontId="16" fillId="2" borderId="1" xfId="1" applyNumberFormat="1" applyFont="1" applyFill="1" applyBorder="1"/>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8" fontId="4" fillId="2" borderId="1" xfId="0" applyNumberFormat="1" applyFont="1" applyFill="1" applyBorder="1"/>
    <xf numFmtId="44" fontId="4" fillId="2" borderId="1" xfId="1" applyFont="1" applyFill="1" applyBorder="1" applyAlignment="1">
      <alignment wrapText="1"/>
    </xf>
    <xf numFmtId="44" fontId="23" fillId="8" borderId="1" xfId="1" applyFont="1" applyFill="1" applyBorder="1" applyAlignment="1">
      <alignment vertical="center"/>
    </xf>
    <xf numFmtId="44" fontId="19" fillId="9" borderId="6" xfId="1" applyFont="1" applyFill="1" applyBorder="1"/>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166" fontId="19" fillId="0" borderId="40" xfId="1" applyNumberFormat="1" applyFont="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9" borderId="0" xfId="0" applyFill="1" applyAlignment="1">
      <alignment horizontal="center"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2" fillId="3" borderId="0" xfId="0" applyFont="1" applyFill="1" applyAlignment="1">
      <alignment horizontal="left" vertical="center" wrapText="1"/>
    </xf>
    <xf numFmtId="0" fontId="2" fillId="3" borderId="0" xfId="0" applyFont="1" applyFill="1" applyAlignment="1">
      <alignment horizontal="left" vertical="center"/>
    </xf>
    <xf numFmtId="0" fontId="2" fillId="3" borderId="8" xfId="0" applyFont="1" applyFill="1" applyBorder="1" applyAlignment="1">
      <alignment horizontal="left" vertical="center"/>
    </xf>
    <xf numFmtId="166" fontId="0" fillId="3" borderId="0" xfId="0" applyNumberFormat="1" applyFill="1" applyAlignment="1">
      <alignment horizontal="center"/>
    </xf>
    <xf numFmtId="166" fontId="0" fillId="3" borderId="8" xfId="0" applyNumberFormat="1" applyFill="1" applyBorder="1" applyAlignment="1">
      <alignment horizontal="center" vertical="top"/>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9"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0" fillId="0" borderId="24" xfId="0" applyBorder="1" applyAlignment="1">
      <alignment horizontal="left"/>
    </xf>
    <xf numFmtId="0" fontId="0" fillId="0" borderId="8" xfId="0" applyBorder="1" applyAlignment="1">
      <alignment horizontal="left"/>
    </xf>
    <xf numFmtId="44" fontId="0" fillId="0" borderId="9" xfId="0" applyNumberFormat="1" applyBorder="1" applyAlignment="1">
      <alignment horizontal="center"/>
    </xf>
    <xf numFmtId="44" fontId="0" fillId="0" borderId="11" xfId="0" applyNumberFormat="1" applyBorder="1" applyAlignment="1">
      <alignment horizontal="center"/>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6"/>
  <sheetViews>
    <sheetView workbookViewId="0">
      <selection activeCell="B3" sqref="B3"/>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5.6640625" customWidth="1"/>
    <col min="6" max="6" width="14.5546875" bestFit="1" customWidth="1"/>
    <col min="7" max="8" width="13.109375" bestFit="1" customWidth="1"/>
    <col min="11" max="11" width="18" customWidth="1"/>
    <col min="12" max="12" width="18.33203125" customWidth="1"/>
  </cols>
  <sheetData>
    <row r="1" spans="1:5" x14ac:dyDescent="0.3">
      <c r="A1" s="16"/>
      <c r="B1" s="100" t="s">
        <v>266</v>
      </c>
      <c r="C1" s="100"/>
      <c r="D1" s="100"/>
      <c r="E1" s="101"/>
    </row>
    <row r="2" spans="1:5" ht="22.5" customHeight="1" x14ac:dyDescent="0.3">
      <c r="A2" s="17"/>
      <c r="B2" s="102" t="s">
        <v>126</v>
      </c>
      <c r="C2" s="102"/>
      <c r="D2" s="102"/>
      <c r="E2" s="103"/>
    </row>
    <row r="3" spans="1:5" ht="32.25" customHeight="1" thickBot="1" x14ac:dyDescent="0.35">
      <c r="A3" s="17"/>
      <c r="B3" s="143" t="s">
        <v>122</v>
      </c>
      <c r="C3" s="102"/>
      <c r="D3" s="143"/>
      <c r="E3" s="103"/>
    </row>
    <row r="4" spans="1:5" ht="15" thickBot="1" x14ac:dyDescent="0.35">
      <c r="A4" s="20" t="s">
        <v>0</v>
      </c>
      <c r="B4" s="142" t="s">
        <v>261</v>
      </c>
      <c r="C4" s="21"/>
      <c r="D4" s="21"/>
      <c r="E4" s="22"/>
    </row>
    <row r="5" spans="1:5" ht="15" thickBot="1" x14ac:dyDescent="0.35">
      <c r="A5" s="17" t="s">
        <v>263</v>
      </c>
      <c r="B5" s="21"/>
      <c r="C5" s="18"/>
      <c r="D5" s="102"/>
      <c r="E5" s="19"/>
    </row>
    <row r="6" spans="1:5" ht="15" thickBot="1" x14ac:dyDescent="0.35">
      <c r="A6" s="20" t="s">
        <v>262</v>
      </c>
      <c r="B6" s="21"/>
      <c r="C6" s="21"/>
      <c r="D6" s="21"/>
      <c r="E6" s="22"/>
    </row>
    <row r="8" spans="1:5" x14ac:dyDescent="0.3">
      <c r="B8" s="200" t="s">
        <v>260</v>
      </c>
      <c r="C8" s="200"/>
    </row>
    <row r="9" spans="1:5" x14ac:dyDescent="0.3">
      <c r="B9" s="200"/>
      <c r="C9" s="200"/>
    </row>
    <row r="10" spans="1:5" x14ac:dyDescent="0.3">
      <c r="B10" s="200"/>
      <c r="C10" s="200"/>
    </row>
    <row r="12" spans="1:5" hidden="1" x14ac:dyDescent="0.3"/>
    <row r="13" spans="1:5" ht="15" customHeight="1" x14ac:dyDescent="0.3">
      <c r="A13" s="208" t="s">
        <v>264</v>
      </c>
      <c r="B13" s="208"/>
      <c r="C13" s="208"/>
      <c r="D13" s="208"/>
      <c r="E13" s="208"/>
    </row>
    <row r="14" spans="1:5" ht="15" customHeight="1" x14ac:dyDescent="0.3">
      <c r="A14" s="208"/>
      <c r="B14" s="208"/>
      <c r="C14" s="208"/>
      <c r="D14" s="208"/>
      <c r="E14" s="208"/>
    </row>
    <row r="15" spans="1:5" ht="15" customHeight="1" x14ac:dyDescent="0.3">
      <c r="A15" s="208"/>
      <c r="B15" s="208"/>
      <c r="C15" s="208"/>
      <c r="D15" s="208"/>
      <c r="E15" s="208"/>
    </row>
    <row r="16" spans="1:5" ht="53.25" customHeight="1" x14ac:dyDescent="0.3">
      <c r="A16" s="208"/>
      <c r="B16" s="208"/>
      <c r="C16" s="208"/>
      <c r="D16" s="208"/>
      <c r="E16" s="208"/>
    </row>
    <row r="17" spans="1:8" ht="14.25" customHeight="1" thickBot="1" x14ac:dyDescent="0.35"/>
    <row r="18" spans="1:8" hidden="1" x14ac:dyDescent="0.3">
      <c r="A18" s="3"/>
    </row>
    <row r="19" spans="1:8" ht="15" hidden="1" thickBot="1" x14ac:dyDescent="0.35"/>
    <row r="20" spans="1:8" x14ac:dyDescent="0.3">
      <c r="A20" s="12" t="s">
        <v>24</v>
      </c>
      <c r="B20" s="13"/>
      <c r="C20" s="14"/>
      <c r="D20" s="10"/>
      <c r="E20" s="15"/>
    </row>
    <row r="21" spans="1:8" x14ac:dyDescent="0.3">
      <c r="A21" s="42" t="s">
        <v>38</v>
      </c>
      <c r="B21" s="42"/>
      <c r="C21" s="42"/>
      <c r="D21" s="43"/>
      <c r="E21" s="148"/>
      <c r="G21" s="23"/>
    </row>
    <row r="22" spans="1:8" ht="28.5" customHeight="1" thickBot="1" x14ac:dyDescent="0.35">
      <c r="A22" s="201" t="s">
        <v>202</v>
      </c>
      <c r="B22" s="209"/>
      <c r="C22" s="6"/>
      <c r="D22" s="188"/>
      <c r="E22" s="149"/>
      <c r="H22" s="23"/>
    </row>
    <row r="23" spans="1:8" ht="15" thickBot="1" x14ac:dyDescent="0.35">
      <c r="A23" s="32" t="s">
        <v>35</v>
      </c>
      <c r="B23" s="32"/>
      <c r="C23" s="32"/>
      <c r="D23" s="47"/>
      <c r="E23" s="150">
        <f>SUM(D22:D22)</f>
        <v>0</v>
      </c>
    </row>
    <row r="24" spans="1:8" x14ac:dyDescent="0.3">
      <c r="A24" s="40" t="s">
        <v>203</v>
      </c>
      <c r="B24" s="41"/>
      <c r="C24" s="41"/>
      <c r="D24" s="44"/>
      <c r="E24" s="98"/>
    </row>
    <row r="25" spans="1:8" s="50" customFormat="1" ht="29.25" customHeight="1" x14ac:dyDescent="0.3">
      <c r="A25" s="201" t="s">
        <v>254</v>
      </c>
      <c r="B25" s="202"/>
      <c r="C25" s="68"/>
      <c r="D25" s="189">
        <f>3*60142</f>
        <v>180426</v>
      </c>
      <c r="E25" s="182"/>
    </row>
    <row r="26" spans="1:8" ht="15" thickBot="1" x14ac:dyDescent="0.35">
      <c r="A26" s="32" t="s">
        <v>1</v>
      </c>
      <c r="B26" s="32"/>
      <c r="C26" s="32"/>
      <c r="D26" s="47"/>
      <c r="E26" s="151">
        <f>SUM(D25:D25)</f>
        <v>180426</v>
      </c>
    </row>
    <row r="27" spans="1:8" x14ac:dyDescent="0.3">
      <c r="A27" s="42" t="s">
        <v>37</v>
      </c>
      <c r="B27" s="33"/>
      <c r="C27" s="33"/>
      <c r="D27" s="48"/>
      <c r="E27" s="152"/>
    </row>
    <row r="28" spans="1:8" ht="14.25" customHeight="1" x14ac:dyDescent="0.3">
      <c r="A28" s="6" t="s">
        <v>252</v>
      </c>
      <c r="B28" s="6" t="s">
        <v>253</v>
      </c>
      <c r="C28" s="6"/>
      <c r="D28" s="180"/>
      <c r="E28" s="163"/>
    </row>
    <row r="29" spans="1:8" ht="14.25" customHeight="1" x14ac:dyDescent="0.3">
      <c r="A29" s="6" t="s">
        <v>251</v>
      </c>
      <c r="B29" s="6" t="s">
        <v>258</v>
      </c>
      <c r="C29" s="6"/>
      <c r="D29" s="180">
        <f>722462.15+757830.79+902769.73</f>
        <v>2383062.67</v>
      </c>
      <c r="E29" s="163"/>
    </row>
    <row r="30" spans="1:8" ht="15" thickBot="1" x14ac:dyDescent="0.35">
      <c r="A30" s="32" t="s">
        <v>2</v>
      </c>
      <c r="B30" s="32"/>
      <c r="C30" s="32"/>
      <c r="D30" s="47"/>
      <c r="E30" s="151">
        <f>SUM(D28:D29)</f>
        <v>2383062.67</v>
      </c>
    </row>
    <row r="31" spans="1:8" ht="15" thickBot="1" x14ac:dyDescent="0.35">
      <c r="A31" s="42" t="s">
        <v>36</v>
      </c>
      <c r="B31" s="32"/>
      <c r="C31" s="32"/>
      <c r="D31" s="47"/>
      <c r="E31" s="155"/>
    </row>
    <row r="32" spans="1:8" x14ac:dyDescent="0.3">
      <c r="A32" s="69"/>
      <c r="B32" s="69"/>
      <c r="C32" s="70"/>
      <c r="D32" s="180"/>
      <c r="E32" s="184"/>
    </row>
    <row r="33" spans="1:6" x14ac:dyDescent="0.3">
      <c r="A33" s="6"/>
      <c r="B33" s="6"/>
      <c r="C33" s="6"/>
      <c r="D33" s="180"/>
      <c r="E33" s="183"/>
    </row>
    <row r="34" spans="1:6" x14ac:dyDescent="0.3">
      <c r="A34" s="66"/>
      <c r="B34" s="6"/>
      <c r="C34" s="6"/>
      <c r="D34" s="46"/>
      <c r="E34" s="154"/>
    </row>
    <row r="35" spans="1:6" ht="15" thickBot="1" x14ac:dyDescent="0.35">
      <c r="A35" s="32" t="s">
        <v>9</v>
      </c>
      <c r="B35" s="42"/>
      <c r="C35" s="42"/>
      <c r="D35" s="40"/>
      <c r="E35" s="165">
        <f>SUM(D32:D34)</f>
        <v>0</v>
      </c>
    </row>
    <row r="36" spans="1:6" ht="15" thickBot="1" x14ac:dyDescent="0.35">
      <c r="A36" s="42" t="s">
        <v>28</v>
      </c>
      <c r="B36" s="97"/>
      <c r="C36" s="32"/>
      <c r="D36" s="34"/>
      <c r="E36" s="155"/>
    </row>
    <row r="37" spans="1:6" x14ac:dyDescent="0.3">
      <c r="A37" s="6" t="s">
        <v>256</v>
      </c>
      <c r="B37" s="6"/>
      <c r="C37" s="6"/>
      <c r="D37" s="180"/>
      <c r="E37" s="166"/>
    </row>
    <row r="38" spans="1:6" x14ac:dyDescent="0.3">
      <c r="A38" s="6" t="s">
        <v>255</v>
      </c>
      <c r="B38" s="6"/>
      <c r="C38" s="6"/>
      <c r="D38" s="180">
        <f>3*44400</f>
        <v>133200</v>
      </c>
      <c r="E38" s="164"/>
    </row>
    <row r="39" spans="1:6" ht="15" thickBot="1" x14ac:dyDescent="0.35">
      <c r="A39" s="65" t="s">
        <v>35</v>
      </c>
      <c r="B39" s="65"/>
      <c r="C39" s="65"/>
      <c r="D39" s="167"/>
      <c r="E39" s="151">
        <f>SUM(D37:D38)</f>
        <v>133200</v>
      </c>
    </row>
    <row r="40" spans="1:6" ht="15" thickBot="1" x14ac:dyDescent="0.35">
      <c r="A40" s="6"/>
      <c r="B40" s="6"/>
      <c r="C40" s="6"/>
      <c r="D40" s="147"/>
      <c r="E40" s="168"/>
    </row>
    <row r="41" spans="1:6" ht="15" thickBot="1" x14ac:dyDescent="0.35">
      <c r="A41" s="35" t="s">
        <v>41</v>
      </c>
      <c r="B41" s="35"/>
      <c r="C41" s="35"/>
      <c r="D41" s="169"/>
      <c r="E41" s="170"/>
    </row>
    <row r="42" spans="1:6" ht="15" thickBot="1" x14ac:dyDescent="0.35">
      <c r="A42" s="1"/>
      <c r="D42" s="171"/>
      <c r="E42" s="172"/>
      <c r="F42" s="57"/>
    </row>
    <row r="43" spans="1:6" ht="15" thickBot="1" x14ac:dyDescent="0.35">
      <c r="A43" s="4" t="s">
        <v>29</v>
      </c>
      <c r="B43" s="11"/>
      <c r="C43" s="5"/>
      <c r="D43" s="173"/>
      <c r="E43" s="174">
        <f>(SUM(E21:E41))</f>
        <v>2696688.67</v>
      </c>
      <c r="F43" s="57"/>
    </row>
    <row r="44" spans="1:6" x14ac:dyDescent="0.3">
      <c r="D44" s="171"/>
      <c r="E44" s="171"/>
    </row>
    <row r="45" spans="1:6" ht="15" thickBot="1" x14ac:dyDescent="0.35">
      <c r="D45" s="171"/>
      <c r="E45" s="171"/>
    </row>
    <row r="46" spans="1:6" x14ac:dyDescent="0.3">
      <c r="A46" s="12" t="s">
        <v>40</v>
      </c>
      <c r="B46" s="13"/>
      <c r="C46" s="14"/>
      <c r="D46" s="175"/>
      <c r="E46" s="176"/>
    </row>
    <row r="47" spans="1:6" ht="30" hidden="1" customHeight="1" x14ac:dyDescent="0.3">
      <c r="A47" s="201"/>
      <c r="B47" s="202"/>
      <c r="C47" s="6"/>
      <c r="D47" s="162"/>
      <c r="E47" s="153"/>
    </row>
    <row r="48" spans="1:6" ht="34.5" hidden="1" customHeight="1" x14ac:dyDescent="0.3">
      <c r="A48" s="201"/>
      <c r="B48" s="202"/>
      <c r="C48" s="6"/>
      <c r="D48" s="162"/>
      <c r="E48" s="153"/>
    </row>
    <row r="49" spans="1:5" ht="0.75" customHeight="1" x14ac:dyDescent="0.3">
      <c r="A49" s="206"/>
      <c r="B49" s="207"/>
      <c r="C49" s="6"/>
      <c r="D49" s="162"/>
      <c r="E49" s="153"/>
    </row>
    <row r="50" spans="1:5" ht="30" customHeight="1" x14ac:dyDescent="0.3">
      <c r="A50" s="206"/>
      <c r="B50" s="207"/>
      <c r="C50" s="66"/>
      <c r="D50" s="162"/>
      <c r="E50" s="153"/>
    </row>
    <row r="51" spans="1:5" x14ac:dyDescent="0.3">
      <c r="A51" s="185"/>
      <c r="B51" s="186"/>
      <c r="C51" s="66"/>
      <c r="D51" s="162"/>
      <c r="E51" s="153"/>
    </row>
    <row r="52" spans="1:5" x14ac:dyDescent="0.3">
      <c r="A52" s="63"/>
      <c r="B52" s="62"/>
      <c r="C52" s="62"/>
      <c r="D52" s="88"/>
      <c r="E52" s="88">
        <f>SUM(D47:D51)</f>
        <v>0</v>
      </c>
    </row>
    <row r="53" spans="1:5" ht="15" customHeight="1" x14ac:dyDescent="0.3"/>
    <row r="54" spans="1:5" ht="15" hidden="1" thickBot="1" x14ac:dyDescent="0.35"/>
    <row r="55" spans="1:5" x14ac:dyDescent="0.3">
      <c r="A55" s="35" t="s">
        <v>42</v>
      </c>
      <c r="B55" s="35"/>
      <c r="C55" s="35"/>
      <c r="D55" s="36"/>
      <c r="E55" s="190"/>
    </row>
    <row r="56" spans="1:5" ht="15" thickBot="1" x14ac:dyDescent="0.35"/>
    <row r="57" spans="1:5" ht="15" thickBot="1" x14ac:dyDescent="0.35">
      <c r="A57" s="4" t="s">
        <v>43</v>
      </c>
      <c r="B57" s="11"/>
      <c r="C57" s="5"/>
      <c r="D57" s="5"/>
      <c r="E57" s="99">
        <f>E52+E55</f>
        <v>0</v>
      </c>
    </row>
    <row r="58" spans="1:5" ht="15" thickBot="1" x14ac:dyDescent="0.35"/>
    <row r="59" spans="1:5" ht="15" thickBot="1" x14ac:dyDescent="0.35">
      <c r="A59" s="144" t="s">
        <v>30</v>
      </c>
      <c r="B59" s="145">
        <f>E43</f>
        <v>2696688.67</v>
      </c>
      <c r="D59" s="57"/>
    </row>
    <row r="60" spans="1:5" ht="15" thickBot="1" x14ac:dyDescent="0.35">
      <c r="A60" s="144" t="s">
        <v>31</v>
      </c>
      <c r="B60" s="145">
        <f>E43-E41</f>
        <v>2696688.67</v>
      </c>
    </row>
    <row r="61" spans="1:5" ht="15" thickBot="1" x14ac:dyDescent="0.35">
      <c r="A61" s="144" t="s">
        <v>44</v>
      </c>
      <c r="B61" s="145">
        <f>E57-E55</f>
        <v>0</v>
      </c>
    </row>
    <row r="62" spans="1:5" ht="15" thickBot="1" x14ac:dyDescent="0.35">
      <c r="A62" s="144" t="s">
        <v>223</v>
      </c>
      <c r="B62" s="145">
        <f>E57</f>
        <v>0</v>
      </c>
    </row>
    <row r="63" spans="1:5" ht="14.25" customHeight="1" x14ac:dyDescent="0.3"/>
    <row r="64" spans="1:5" hidden="1" x14ac:dyDescent="0.3"/>
    <row r="65" spans="1:5" hidden="1" x14ac:dyDescent="0.3">
      <c r="A65" s="205"/>
      <c r="B65" s="205"/>
      <c r="C65" s="205"/>
      <c r="D65" s="205"/>
      <c r="E65" s="205"/>
    </row>
    <row r="66" spans="1:5" hidden="1" x14ac:dyDescent="0.3">
      <c r="A66" s="205"/>
      <c r="B66" s="205"/>
      <c r="C66" s="205"/>
      <c r="D66" s="205"/>
      <c r="E66" s="205"/>
    </row>
    <row r="67" spans="1:5" ht="38.25" hidden="1" customHeight="1" x14ac:dyDescent="0.3">
      <c r="A67" s="205"/>
      <c r="B67" s="205"/>
      <c r="C67" s="205"/>
      <c r="D67" s="205"/>
      <c r="E67" s="205"/>
    </row>
    <row r="69" spans="1:5" x14ac:dyDescent="0.3">
      <c r="A69" s="24" t="s">
        <v>208</v>
      </c>
      <c r="B69" s="52"/>
      <c r="C69" s="25"/>
    </row>
    <row r="70" spans="1:5" ht="25.5" customHeight="1" x14ac:dyDescent="0.3">
      <c r="A70" s="38" t="s">
        <v>32</v>
      </c>
      <c r="B70" s="187">
        <v>1328276.78</v>
      </c>
      <c r="C70" s="27"/>
    </row>
    <row r="71" spans="1:5" ht="14.25" customHeight="1" x14ac:dyDescent="0.3">
      <c r="A71" s="26" t="s">
        <v>230</v>
      </c>
      <c r="B71" s="53">
        <f>PRORRATEO!G34</f>
        <v>0</v>
      </c>
      <c r="C71" s="25"/>
    </row>
    <row r="72" spans="1:5" x14ac:dyDescent="0.3">
      <c r="A72" s="26" t="s">
        <v>231</v>
      </c>
      <c r="B72" s="53">
        <f>'PRORRATEO (2)'!H81</f>
        <v>0</v>
      </c>
      <c r="C72" s="25"/>
    </row>
    <row r="73" spans="1:5" x14ac:dyDescent="0.3">
      <c r="A73" s="51" t="s">
        <v>45</v>
      </c>
      <c r="B73" s="164">
        <f>-B60</f>
        <v>-2696688.67</v>
      </c>
      <c r="C73" s="25"/>
    </row>
    <row r="74" spans="1:5" x14ac:dyDescent="0.3">
      <c r="A74" s="29" t="s">
        <v>46</v>
      </c>
      <c r="B74" s="164">
        <f>-(B61)</f>
        <v>0</v>
      </c>
      <c r="C74" s="25"/>
    </row>
    <row r="75" spans="1:5" x14ac:dyDescent="0.3">
      <c r="A75" s="37" t="s">
        <v>9</v>
      </c>
      <c r="B75" s="187">
        <f>SUM(B70:B74)</f>
        <v>-1368411.89</v>
      </c>
      <c r="C75" s="28"/>
    </row>
    <row r="76" spans="1:5" ht="34.5" customHeight="1" x14ac:dyDescent="0.3">
      <c r="B76" s="54"/>
      <c r="C76" s="28"/>
      <c r="D76" s="57"/>
    </row>
    <row r="77" spans="1:5" ht="14.25" hidden="1" customHeight="1" x14ac:dyDescent="0.3">
      <c r="B77" s="55"/>
      <c r="C77" s="28"/>
    </row>
    <row r="78" spans="1:5" s="50" customFormat="1" ht="27" hidden="1" customHeight="1" x14ac:dyDescent="0.3">
      <c r="A78"/>
      <c r="B78" s="54"/>
      <c r="C78" s="49"/>
    </row>
    <row r="79" spans="1:5" s="50" customFormat="1" ht="27" hidden="1" customHeight="1" x14ac:dyDescent="0.3">
      <c r="A79" s="39" t="s">
        <v>33</v>
      </c>
      <c r="B79" s="45"/>
      <c r="C79" s="49"/>
      <c r="D79" s="60"/>
    </row>
    <row r="80" spans="1:5" s="50" customFormat="1" ht="27" hidden="1" customHeight="1" x14ac:dyDescent="0.3">
      <c r="A80" s="6" t="s">
        <v>32</v>
      </c>
      <c r="B80" s="46">
        <v>0</v>
      </c>
      <c r="C80" s="49"/>
    </row>
    <row r="81" spans="1:13" ht="14.25" hidden="1" customHeight="1" x14ac:dyDescent="0.3">
      <c r="A81" s="6" t="s">
        <v>25</v>
      </c>
      <c r="B81" s="45">
        <v>0</v>
      </c>
      <c r="C81" s="28"/>
      <c r="D81" s="57"/>
    </row>
    <row r="82" spans="1:13" hidden="1" x14ac:dyDescent="0.3">
      <c r="A82" s="6" t="s">
        <v>45</v>
      </c>
      <c r="B82" s="45">
        <v>0</v>
      </c>
      <c r="C82" s="28"/>
    </row>
    <row r="83" spans="1:13" hidden="1" x14ac:dyDescent="0.3">
      <c r="A83" s="6" t="s">
        <v>46</v>
      </c>
      <c r="B83" s="45">
        <v>0</v>
      </c>
      <c r="C83" s="30"/>
    </row>
    <row r="84" spans="1:13" hidden="1" x14ac:dyDescent="0.3">
      <c r="A84" s="39" t="s">
        <v>34</v>
      </c>
      <c r="B84" s="61">
        <f>SUM(B80:B83)</f>
        <v>0</v>
      </c>
      <c r="C84" s="25"/>
    </row>
    <row r="85" spans="1:13" hidden="1" x14ac:dyDescent="0.3"/>
    <row r="86" spans="1:13" ht="60.75" hidden="1" customHeight="1" x14ac:dyDescent="0.3"/>
    <row r="87" spans="1:13" x14ac:dyDescent="0.3">
      <c r="A87" s="204" t="s">
        <v>207</v>
      </c>
      <c r="B87" s="204"/>
      <c r="C87" s="204"/>
    </row>
    <row r="88" spans="1:13" ht="27.75" customHeight="1" x14ac:dyDescent="0.3">
      <c r="A88" s="204"/>
      <c r="B88" s="204"/>
      <c r="C88" s="204"/>
    </row>
    <row r="89" spans="1:13" ht="32.25" customHeight="1" x14ac:dyDescent="0.3">
      <c r="A89" s="178"/>
      <c r="B89" s="45"/>
      <c r="C89" s="45">
        <v>40000</v>
      </c>
    </row>
    <row r="90" spans="1:13" ht="24.75" customHeight="1" x14ac:dyDescent="0.3">
      <c r="A90" s="178"/>
      <c r="B90" s="181"/>
      <c r="C90" s="177"/>
    </row>
    <row r="91" spans="1:13" x14ac:dyDescent="0.3">
      <c r="A91" s="58" t="s">
        <v>9</v>
      </c>
      <c r="B91" s="179">
        <f>SUM(B89:B90)</f>
        <v>0</v>
      </c>
      <c r="C91" s="59"/>
    </row>
    <row r="92" spans="1:13" x14ac:dyDescent="0.3">
      <c r="M92" s="9"/>
    </row>
    <row r="93" spans="1:13" ht="15" customHeight="1" x14ac:dyDescent="0.3">
      <c r="A93" s="203"/>
      <c r="B93" s="203"/>
      <c r="C93" s="203"/>
      <c r="D93" s="203"/>
      <c r="E93" s="203"/>
    </row>
    <row r="94" spans="1:13" x14ac:dyDescent="0.3">
      <c r="A94" s="203"/>
      <c r="B94" s="203"/>
      <c r="C94" s="203"/>
      <c r="D94" s="203"/>
      <c r="E94" s="203"/>
    </row>
    <row r="95" spans="1:13" x14ac:dyDescent="0.3">
      <c r="A95" s="203"/>
      <c r="B95" s="203"/>
      <c r="C95" s="203"/>
      <c r="D95" s="203"/>
      <c r="E95" s="203"/>
    </row>
    <row r="96" spans="1:13" x14ac:dyDescent="0.3">
      <c r="A96" s="203"/>
      <c r="B96" s="203"/>
      <c r="C96" s="203"/>
      <c r="D96" s="203"/>
      <c r="E96" s="203"/>
    </row>
  </sheetData>
  <mergeCells count="11">
    <mergeCell ref="B8:C10"/>
    <mergeCell ref="A25:B25"/>
    <mergeCell ref="A93:E96"/>
    <mergeCell ref="A87:C88"/>
    <mergeCell ref="A65:E67"/>
    <mergeCell ref="A48:B48"/>
    <mergeCell ref="A47:B47"/>
    <mergeCell ref="A49:B49"/>
    <mergeCell ref="A50:B50"/>
    <mergeCell ref="A13:E16"/>
    <mergeCell ref="A22:B22"/>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2"/>
  <sheetViews>
    <sheetView tabSelected="1" topLeftCell="B1" zoomScaleNormal="100" workbookViewId="0">
      <selection activeCell="H23" sqref="H23"/>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1.5546875" customWidth="1"/>
    <col min="8" max="8" width="10.5546875" customWidth="1"/>
    <col min="9" max="9" width="11.109375" hidden="1" customWidth="1"/>
    <col min="10" max="10" width="14.44140625" customWidth="1"/>
    <col min="11" max="11" width="12.4414062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7"/>
      <c r="B1" s="7"/>
      <c r="C1" s="210" t="s">
        <v>257</v>
      </c>
      <c r="D1" s="211"/>
      <c r="E1" s="211"/>
      <c r="F1" s="211"/>
      <c r="G1" s="7"/>
      <c r="H1" s="7"/>
      <c r="I1" s="7"/>
      <c r="J1" s="8"/>
      <c r="K1" s="7"/>
      <c r="L1" s="7"/>
      <c r="M1" s="71"/>
      <c r="N1" s="71"/>
      <c r="O1" s="71"/>
      <c r="P1" s="23"/>
    </row>
    <row r="2" spans="1:18" ht="12.9" customHeight="1" x14ac:dyDescent="0.3">
      <c r="A2" s="7"/>
      <c r="B2" s="7"/>
      <c r="C2" s="211"/>
      <c r="D2" s="211"/>
      <c r="E2" s="211"/>
      <c r="F2" s="211"/>
      <c r="G2" s="7"/>
      <c r="H2" s="7"/>
      <c r="I2" s="7"/>
      <c r="J2" s="8"/>
      <c r="K2" s="7"/>
      <c r="L2" s="7"/>
      <c r="M2" s="71"/>
      <c r="N2" s="71"/>
      <c r="O2" s="71"/>
      <c r="P2" s="23"/>
    </row>
    <row r="3" spans="1:18" ht="12.9" customHeight="1" x14ac:dyDescent="0.3">
      <c r="A3" s="7"/>
      <c r="B3" s="7"/>
      <c r="C3" s="211"/>
      <c r="D3" s="211"/>
      <c r="E3" s="211"/>
      <c r="F3" s="211"/>
      <c r="G3" s="7"/>
      <c r="H3" s="7"/>
      <c r="I3" s="7"/>
      <c r="J3" s="8" t="s">
        <v>259</v>
      </c>
      <c r="K3" s="7"/>
      <c r="L3" s="213">
        <f>1500000*3</f>
        <v>4500000</v>
      </c>
      <c r="M3" s="213"/>
      <c r="N3" s="71"/>
      <c r="O3" s="71"/>
      <c r="P3" s="23"/>
    </row>
    <row r="4" spans="1:18" ht="41.25" customHeight="1" thickBot="1" x14ac:dyDescent="0.35">
      <c r="A4" s="7"/>
      <c r="B4" s="7"/>
      <c r="C4" s="212"/>
      <c r="D4" s="212"/>
      <c r="E4" s="212"/>
      <c r="F4" s="212"/>
      <c r="G4" s="7"/>
      <c r="H4" s="7"/>
      <c r="I4" s="7"/>
      <c r="J4" s="192" t="s">
        <v>259</v>
      </c>
      <c r="K4" s="7"/>
      <c r="L4" s="214"/>
      <c r="M4" s="214"/>
      <c r="N4" s="72"/>
      <c r="O4" s="89"/>
    </row>
    <row r="5" spans="1:18" x14ac:dyDescent="0.3">
      <c r="A5" s="219" t="s">
        <v>3</v>
      </c>
      <c r="B5" s="217" t="s">
        <v>5</v>
      </c>
      <c r="C5" s="217" t="s">
        <v>6</v>
      </c>
      <c r="D5" s="217" t="s">
        <v>123</v>
      </c>
      <c r="E5" s="217" t="s">
        <v>27</v>
      </c>
      <c r="F5" s="217" t="s">
        <v>227</v>
      </c>
      <c r="G5" s="217" t="s">
        <v>7</v>
      </c>
      <c r="H5" s="226" t="s">
        <v>127</v>
      </c>
      <c r="I5" s="222" t="s">
        <v>49</v>
      </c>
      <c r="J5" s="222" t="s">
        <v>8</v>
      </c>
      <c r="K5" s="222" t="s">
        <v>48</v>
      </c>
      <c r="L5" s="229" t="s">
        <v>222</v>
      </c>
      <c r="M5" s="92" t="s">
        <v>221</v>
      </c>
      <c r="N5" s="224" t="s">
        <v>47</v>
      </c>
      <c r="O5" s="215" t="s">
        <v>220</v>
      </c>
      <c r="R5" s="57"/>
    </row>
    <row r="6" spans="1:18" ht="15.75" customHeight="1" x14ac:dyDescent="0.3">
      <c r="A6" s="220"/>
      <c r="B6" s="221"/>
      <c r="C6" s="221"/>
      <c r="D6" s="218"/>
      <c r="E6" s="221"/>
      <c r="F6" s="221"/>
      <c r="G6" s="221"/>
      <c r="H6" s="227"/>
      <c r="I6" s="223"/>
      <c r="J6" s="228"/>
      <c r="K6" s="223"/>
      <c r="L6" s="230"/>
      <c r="M6" s="90" t="str">
        <f>RESUMEN!B8</f>
        <v>VTO 21/07</v>
      </c>
      <c r="N6" s="225"/>
      <c r="O6" s="216"/>
    </row>
    <row r="7" spans="1:18" ht="17.100000000000001" customHeight="1" x14ac:dyDescent="0.3">
      <c r="A7" s="6" t="s">
        <v>10</v>
      </c>
      <c r="B7" s="94">
        <v>1</v>
      </c>
      <c r="C7" s="94" t="s">
        <v>232</v>
      </c>
      <c r="D7" s="94"/>
      <c r="E7" s="104">
        <v>6.8</v>
      </c>
      <c r="F7" s="105">
        <v>219300.01</v>
      </c>
      <c r="G7" s="106">
        <v>0</v>
      </c>
      <c r="H7" s="108">
        <f>F7-G7</f>
        <v>219300.01</v>
      </c>
      <c r="I7" s="108">
        <v>0</v>
      </c>
      <c r="J7" s="193">
        <f>L$4*E7/100</f>
        <v>0</v>
      </c>
      <c r="K7" s="193">
        <f>L$3*E7/100</f>
        <v>306000</v>
      </c>
      <c r="L7" s="111">
        <v>0</v>
      </c>
      <c r="M7" s="112">
        <f>ROUND(SUM(H7:L7),0) + P7</f>
        <v>525300.01</v>
      </c>
      <c r="N7" s="113">
        <f>ROUND(M7*6% + M7,0) + P7</f>
        <v>556818.01</v>
      </c>
      <c r="O7" s="114">
        <f>ROUND(M7*3%,0) + M7</f>
        <v>541059.01</v>
      </c>
      <c r="P7" s="57">
        <v>0.01</v>
      </c>
    </row>
    <row r="8" spans="1:18" ht="17.100000000000001" customHeight="1" x14ac:dyDescent="0.3">
      <c r="A8" s="6" t="s">
        <v>11</v>
      </c>
      <c r="B8" s="94">
        <f>B7+1</f>
        <v>2</v>
      </c>
      <c r="C8" s="94" t="s">
        <v>233</v>
      </c>
      <c r="D8" s="95"/>
      <c r="E8" s="194">
        <v>5.0999999999999996</v>
      </c>
      <c r="F8" s="105">
        <v>253674.02</v>
      </c>
      <c r="G8" s="106">
        <v>0</v>
      </c>
      <c r="H8" s="108">
        <f>F8-G8</f>
        <v>253674.02</v>
      </c>
      <c r="I8" s="108">
        <v>0</v>
      </c>
      <c r="J8" s="193">
        <f t="shared" ref="J8:J32" si="0">L$4*E8/100</f>
        <v>0</v>
      </c>
      <c r="K8" s="193">
        <f t="shared" ref="K8:K32" si="1">L$3*E8/100</f>
        <v>229500</v>
      </c>
      <c r="L8" s="111">
        <v>0</v>
      </c>
      <c r="M8" s="112">
        <f>ROUND(SUM(H8:L8),0) + P8</f>
        <v>483174.02</v>
      </c>
      <c r="N8" s="113">
        <f t="shared" ref="N8:N32" si="2">ROUND(M8*6% + M8,0) + P8</f>
        <v>512164.02</v>
      </c>
      <c r="O8" s="114">
        <f t="shared" ref="O8:O32" si="3">ROUND(M8*3%,0) + M8</f>
        <v>497669.02</v>
      </c>
      <c r="P8" s="57">
        <f>P7+0.01</f>
        <v>0.02</v>
      </c>
      <c r="Q8" s="57"/>
    </row>
    <row r="9" spans="1:18" ht="17.100000000000001" customHeight="1" x14ac:dyDescent="0.3">
      <c r="A9" s="6" t="s">
        <v>11</v>
      </c>
      <c r="B9" s="94">
        <f t="shared" ref="B9:B32" si="4">B8+1</f>
        <v>3</v>
      </c>
      <c r="C9" s="94" t="s">
        <v>234</v>
      </c>
      <c r="D9" s="95"/>
      <c r="E9" s="194">
        <v>5.6</v>
      </c>
      <c r="F9" s="105" t="s">
        <v>250</v>
      </c>
      <c r="G9" s="106" t="s">
        <v>250</v>
      </c>
      <c r="H9" s="108"/>
      <c r="I9" s="108">
        <v>0</v>
      </c>
      <c r="J9" s="193">
        <f t="shared" si="0"/>
        <v>0</v>
      </c>
      <c r="K9" s="193">
        <f t="shared" si="1"/>
        <v>252000</v>
      </c>
      <c r="L9" s="111">
        <v>0</v>
      </c>
      <c r="M9" s="112">
        <f t="shared" ref="M9:M32" si="5">ROUND(SUM(H9:L9),0) + P9</f>
        <v>252000.03</v>
      </c>
      <c r="N9" s="113">
        <f t="shared" si="2"/>
        <v>267120.03000000003</v>
      </c>
      <c r="O9" s="114">
        <f t="shared" si="3"/>
        <v>259560.03</v>
      </c>
      <c r="P9" s="57">
        <f t="shared" ref="P9:P32" si="6">P8+0.01</f>
        <v>0.03</v>
      </c>
    </row>
    <row r="10" spans="1:18" ht="17.100000000000001" customHeight="1" x14ac:dyDescent="0.3">
      <c r="A10" s="6" t="s">
        <v>12</v>
      </c>
      <c r="B10" s="94">
        <f t="shared" si="4"/>
        <v>4</v>
      </c>
      <c r="C10" s="94" t="s">
        <v>235</v>
      </c>
      <c r="D10" s="95"/>
      <c r="E10" s="194">
        <v>2.8</v>
      </c>
      <c r="F10" s="105">
        <v>90300.04</v>
      </c>
      <c r="G10" s="106">
        <v>0</v>
      </c>
      <c r="H10" s="108">
        <f t="shared" ref="H10:H15" si="7">F10-G10</f>
        <v>90300.04</v>
      </c>
      <c r="I10" s="108">
        <v>0</v>
      </c>
      <c r="J10" s="193">
        <f t="shared" si="0"/>
        <v>0</v>
      </c>
      <c r="K10" s="193">
        <f t="shared" si="1"/>
        <v>126000</v>
      </c>
      <c r="L10" s="111">
        <v>0</v>
      </c>
      <c r="M10" s="112">
        <f t="shared" si="5"/>
        <v>216300.04</v>
      </c>
      <c r="N10" s="113">
        <f t="shared" si="2"/>
        <v>229278.04</v>
      </c>
      <c r="O10" s="114">
        <f t="shared" si="3"/>
        <v>222789.04</v>
      </c>
      <c r="P10" s="57">
        <f t="shared" si="6"/>
        <v>0.04</v>
      </c>
      <c r="R10" s="57"/>
    </row>
    <row r="11" spans="1:18" ht="17.100000000000001" customHeight="1" x14ac:dyDescent="0.3">
      <c r="A11" s="6" t="s">
        <v>12</v>
      </c>
      <c r="B11" s="94">
        <f t="shared" si="4"/>
        <v>5</v>
      </c>
      <c r="C11" s="94" t="s">
        <v>236</v>
      </c>
      <c r="D11" s="95"/>
      <c r="E11" s="194">
        <v>2.8</v>
      </c>
      <c r="F11" s="105">
        <v>127330.05</v>
      </c>
      <c r="G11" s="106">
        <v>0</v>
      </c>
      <c r="H11" s="108">
        <f t="shared" si="7"/>
        <v>127330.05</v>
      </c>
      <c r="I11" s="108">
        <v>0</v>
      </c>
      <c r="J11" s="193">
        <f t="shared" si="0"/>
        <v>0</v>
      </c>
      <c r="K11" s="193">
        <f t="shared" si="1"/>
        <v>126000</v>
      </c>
      <c r="L11" s="111">
        <v>0</v>
      </c>
      <c r="M11" s="112">
        <f t="shared" si="5"/>
        <v>253330.05</v>
      </c>
      <c r="N11" s="113">
        <f t="shared" si="2"/>
        <v>268530.05</v>
      </c>
      <c r="O11" s="114">
        <f t="shared" si="3"/>
        <v>260930.05</v>
      </c>
      <c r="P11" s="57">
        <f t="shared" si="6"/>
        <v>0.05</v>
      </c>
      <c r="R11" s="57"/>
    </row>
    <row r="12" spans="1:18" ht="17.100000000000001" customHeight="1" x14ac:dyDescent="0.3">
      <c r="A12" s="6" t="s">
        <v>13</v>
      </c>
      <c r="B12" s="94">
        <f t="shared" si="4"/>
        <v>6</v>
      </c>
      <c r="C12" s="94" t="s">
        <v>237</v>
      </c>
      <c r="D12" s="94"/>
      <c r="E12" s="194">
        <v>2.8</v>
      </c>
      <c r="F12" s="105">
        <v>42000.06</v>
      </c>
      <c r="G12" s="106">
        <v>0</v>
      </c>
      <c r="H12" s="108">
        <f t="shared" si="7"/>
        <v>42000.06</v>
      </c>
      <c r="I12" s="108">
        <v>0</v>
      </c>
      <c r="J12" s="193">
        <f t="shared" si="0"/>
        <v>0</v>
      </c>
      <c r="K12" s="193">
        <f t="shared" si="1"/>
        <v>126000</v>
      </c>
      <c r="L12" s="111">
        <v>0</v>
      </c>
      <c r="M12" s="112">
        <f>ROUND(SUM(H12:L12),0) + P12</f>
        <v>168000.06</v>
      </c>
      <c r="N12" s="113">
        <f t="shared" si="2"/>
        <v>178080.06</v>
      </c>
      <c r="O12" s="114">
        <f t="shared" si="3"/>
        <v>173040.06</v>
      </c>
      <c r="P12" s="57">
        <f t="shared" si="6"/>
        <v>6.0000000000000005E-2</v>
      </c>
    </row>
    <row r="13" spans="1:18" ht="17.100000000000001" customHeight="1" x14ac:dyDescent="0.3">
      <c r="A13" s="6" t="s">
        <v>13</v>
      </c>
      <c r="B13" s="94">
        <f t="shared" si="4"/>
        <v>7</v>
      </c>
      <c r="C13" s="94" t="s">
        <v>238</v>
      </c>
      <c r="D13" s="94"/>
      <c r="E13" s="194">
        <v>4</v>
      </c>
      <c r="F13" s="105">
        <v>60000.07</v>
      </c>
      <c r="G13" s="106">
        <v>0</v>
      </c>
      <c r="H13" s="108">
        <f t="shared" si="7"/>
        <v>60000.07</v>
      </c>
      <c r="I13" s="108">
        <v>0</v>
      </c>
      <c r="J13" s="193">
        <f t="shared" si="0"/>
        <v>0</v>
      </c>
      <c r="K13" s="193">
        <f t="shared" si="1"/>
        <v>180000</v>
      </c>
      <c r="L13" s="111">
        <v>0</v>
      </c>
      <c r="M13" s="112">
        <f t="shared" si="5"/>
        <v>240000.07</v>
      </c>
      <c r="N13" s="113">
        <f t="shared" si="2"/>
        <v>254400.07</v>
      </c>
      <c r="O13" s="114">
        <f t="shared" si="3"/>
        <v>247200.07</v>
      </c>
      <c r="P13" s="57">
        <f t="shared" si="6"/>
        <v>7.0000000000000007E-2</v>
      </c>
    </row>
    <row r="14" spans="1:18" ht="17.100000000000001" customHeight="1" x14ac:dyDescent="0.3">
      <c r="A14" s="6" t="s">
        <v>14</v>
      </c>
      <c r="B14" s="94">
        <f t="shared" si="4"/>
        <v>8</v>
      </c>
      <c r="C14" s="94" t="s">
        <v>239</v>
      </c>
      <c r="D14" s="95"/>
      <c r="E14" s="194">
        <v>3.2</v>
      </c>
      <c r="F14" s="105">
        <v>194389.08</v>
      </c>
      <c r="G14" s="106">
        <v>0</v>
      </c>
      <c r="H14" s="108">
        <f t="shared" si="7"/>
        <v>194389.08</v>
      </c>
      <c r="I14" s="108">
        <v>0</v>
      </c>
      <c r="J14" s="193">
        <f t="shared" si="0"/>
        <v>0</v>
      </c>
      <c r="K14" s="193">
        <f t="shared" si="1"/>
        <v>144000</v>
      </c>
      <c r="L14" s="111">
        <v>0</v>
      </c>
      <c r="M14" s="112">
        <f t="shared" si="5"/>
        <v>338389.08</v>
      </c>
      <c r="N14" s="113">
        <f t="shared" si="2"/>
        <v>358692.08</v>
      </c>
      <c r="O14" s="114">
        <f t="shared" si="3"/>
        <v>348541.08</v>
      </c>
      <c r="P14" s="57">
        <f t="shared" si="6"/>
        <v>0.08</v>
      </c>
    </row>
    <row r="15" spans="1:18" ht="17.100000000000001" customHeight="1" x14ac:dyDescent="0.3">
      <c r="A15" s="6" t="s">
        <v>14</v>
      </c>
      <c r="B15" s="94">
        <f t="shared" si="4"/>
        <v>9</v>
      </c>
      <c r="C15" s="94" t="s">
        <v>240</v>
      </c>
      <c r="D15" s="95"/>
      <c r="E15" s="194">
        <v>2.8</v>
      </c>
      <c r="F15" s="105">
        <v>187994.09</v>
      </c>
      <c r="G15" s="106">
        <v>0</v>
      </c>
      <c r="H15" s="108">
        <f t="shared" si="7"/>
        <v>187994.09</v>
      </c>
      <c r="I15" s="108">
        <v>0</v>
      </c>
      <c r="J15" s="193">
        <f t="shared" si="0"/>
        <v>0</v>
      </c>
      <c r="K15" s="193">
        <f t="shared" si="1"/>
        <v>126000</v>
      </c>
      <c r="L15" s="111">
        <v>0</v>
      </c>
      <c r="M15" s="112">
        <f t="shared" si="5"/>
        <v>313994.09000000003</v>
      </c>
      <c r="N15" s="113">
        <f t="shared" si="2"/>
        <v>332834.09000000003</v>
      </c>
      <c r="O15" s="114">
        <f t="shared" si="3"/>
        <v>323414.09000000003</v>
      </c>
      <c r="P15" s="57">
        <f t="shared" si="6"/>
        <v>0.09</v>
      </c>
    </row>
    <row r="16" spans="1:18" ht="17.100000000000001" customHeight="1" x14ac:dyDescent="0.3">
      <c r="A16" s="6" t="s">
        <v>15</v>
      </c>
      <c r="B16" s="94">
        <f t="shared" si="4"/>
        <v>10</v>
      </c>
      <c r="C16" s="94" t="s">
        <v>241</v>
      </c>
      <c r="D16" s="95"/>
      <c r="E16" s="194">
        <v>2.8</v>
      </c>
      <c r="F16" s="105" t="s">
        <v>250</v>
      </c>
      <c r="G16" s="106" t="s">
        <v>250</v>
      </c>
      <c r="H16" s="94"/>
      <c r="I16" s="108">
        <v>0</v>
      </c>
      <c r="J16" s="193">
        <f t="shared" si="0"/>
        <v>0</v>
      </c>
      <c r="K16" s="193">
        <f t="shared" si="1"/>
        <v>126000</v>
      </c>
      <c r="L16" s="111">
        <v>0</v>
      </c>
      <c r="M16" s="112">
        <f t="shared" si="5"/>
        <v>126000.1</v>
      </c>
      <c r="N16" s="113">
        <f t="shared" si="2"/>
        <v>133560.1</v>
      </c>
      <c r="O16" s="114">
        <f t="shared" si="3"/>
        <v>129780.1</v>
      </c>
      <c r="P16" s="57">
        <f t="shared" si="6"/>
        <v>9.9999999999999992E-2</v>
      </c>
    </row>
    <row r="17" spans="1:18" ht="17.100000000000001" customHeight="1" x14ac:dyDescent="0.3">
      <c r="A17" s="6" t="s">
        <v>15</v>
      </c>
      <c r="B17" s="94">
        <f t="shared" si="4"/>
        <v>11</v>
      </c>
      <c r="C17" s="94" t="s">
        <v>242</v>
      </c>
      <c r="D17" s="95"/>
      <c r="E17" s="194">
        <v>2.8</v>
      </c>
      <c r="F17" s="105" t="s">
        <v>250</v>
      </c>
      <c r="G17" s="106" t="s">
        <v>250</v>
      </c>
      <c r="H17" s="108"/>
      <c r="I17" s="108">
        <v>0</v>
      </c>
      <c r="J17" s="193">
        <f t="shared" si="0"/>
        <v>0</v>
      </c>
      <c r="K17" s="193">
        <f t="shared" si="1"/>
        <v>126000</v>
      </c>
      <c r="L17" s="111">
        <v>0</v>
      </c>
      <c r="M17" s="112">
        <f t="shared" si="5"/>
        <v>126000.11</v>
      </c>
      <c r="N17" s="113">
        <f t="shared" si="2"/>
        <v>133560.10999999999</v>
      </c>
      <c r="O17" s="114">
        <f t="shared" si="3"/>
        <v>129780.11</v>
      </c>
      <c r="P17" s="57">
        <f t="shared" si="6"/>
        <v>0.10999999999999999</v>
      </c>
    </row>
    <row r="18" spans="1:18" ht="17.100000000000001" customHeight="1" x14ac:dyDescent="0.3">
      <c r="A18" s="6" t="s">
        <v>16</v>
      </c>
      <c r="B18" s="94">
        <f t="shared" si="4"/>
        <v>12</v>
      </c>
      <c r="C18" s="94" t="s">
        <v>235</v>
      </c>
      <c r="D18" s="95"/>
      <c r="E18" s="194">
        <v>2.8</v>
      </c>
      <c r="F18" s="105">
        <v>42000.12</v>
      </c>
      <c r="G18" s="106">
        <v>0</v>
      </c>
      <c r="H18" s="108">
        <f t="shared" ref="H18:H30" si="8">F18-G18</f>
        <v>42000.12</v>
      </c>
      <c r="I18" s="108">
        <v>0</v>
      </c>
      <c r="J18" s="193">
        <f t="shared" si="0"/>
        <v>0</v>
      </c>
      <c r="K18" s="193">
        <f t="shared" si="1"/>
        <v>126000</v>
      </c>
      <c r="L18" s="111">
        <v>0</v>
      </c>
      <c r="M18" s="112">
        <f t="shared" si="5"/>
        <v>168000.12</v>
      </c>
      <c r="N18" s="113">
        <f t="shared" si="2"/>
        <v>178080.12</v>
      </c>
      <c r="O18" s="114">
        <f t="shared" si="3"/>
        <v>173040.12</v>
      </c>
      <c r="P18" s="57">
        <f t="shared" si="6"/>
        <v>0.11999999999999998</v>
      </c>
    </row>
    <row r="19" spans="1:18" ht="17.100000000000001" customHeight="1" x14ac:dyDescent="0.3">
      <c r="A19" s="6" t="s">
        <v>16</v>
      </c>
      <c r="B19" s="94">
        <f t="shared" si="4"/>
        <v>13</v>
      </c>
      <c r="C19" s="94" t="s">
        <v>243</v>
      </c>
      <c r="D19" s="95"/>
      <c r="E19" s="194">
        <v>5.0999999999999996</v>
      </c>
      <c r="F19" s="105">
        <v>231922.13</v>
      </c>
      <c r="G19" s="106">
        <v>0</v>
      </c>
      <c r="H19" s="108">
        <f t="shared" si="8"/>
        <v>231922.13</v>
      </c>
      <c r="I19" s="108">
        <v>0</v>
      </c>
      <c r="J19" s="193">
        <f t="shared" si="0"/>
        <v>0</v>
      </c>
      <c r="K19" s="193">
        <f t="shared" si="1"/>
        <v>229500</v>
      </c>
      <c r="L19" s="111">
        <v>0</v>
      </c>
      <c r="M19" s="112">
        <f t="shared" si="5"/>
        <v>461422.13</v>
      </c>
      <c r="N19" s="113">
        <f t="shared" si="2"/>
        <v>489107.13</v>
      </c>
      <c r="O19" s="114">
        <f t="shared" si="3"/>
        <v>475265.13</v>
      </c>
      <c r="P19" s="57">
        <f t="shared" si="6"/>
        <v>0.12999999999999998</v>
      </c>
    </row>
    <row r="20" spans="1:18" ht="17.100000000000001" customHeight="1" x14ac:dyDescent="0.3">
      <c r="A20" s="6" t="s">
        <v>17</v>
      </c>
      <c r="B20" s="94">
        <f t="shared" si="4"/>
        <v>14</v>
      </c>
      <c r="C20" s="94" t="s">
        <v>239</v>
      </c>
      <c r="D20" s="95"/>
      <c r="E20" s="194">
        <v>2.6</v>
      </c>
      <c r="F20" s="105">
        <v>82700.14</v>
      </c>
      <c r="G20" s="106">
        <v>0</v>
      </c>
      <c r="H20" s="108">
        <f t="shared" si="8"/>
        <v>82700.14</v>
      </c>
      <c r="I20" s="108">
        <v>0</v>
      </c>
      <c r="J20" s="193">
        <f t="shared" si="0"/>
        <v>0</v>
      </c>
      <c r="K20" s="193">
        <f t="shared" si="1"/>
        <v>117000</v>
      </c>
      <c r="L20" s="111">
        <v>0</v>
      </c>
      <c r="M20" s="112">
        <f t="shared" si="5"/>
        <v>199700.14</v>
      </c>
      <c r="N20" s="113">
        <f t="shared" si="2"/>
        <v>211682.14</v>
      </c>
      <c r="O20" s="114">
        <f t="shared" si="3"/>
        <v>205691.14</v>
      </c>
      <c r="P20" s="57">
        <f t="shared" si="6"/>
        <v>0.13999999999999999</v>
      </c>
    </row>
    <row r="21" spans="1:18" ht="17.100000000000001" customHeight="1" x14ac:dyDescent="0.3">
      <c r="A21" s="6" t="s">
        <v>17</v>
      </c>
      <c r="B21" s="94">
        <f t="shared" si="4"/>
        <v>15</v>
      </c>
      <c r="C21" s="94" t="s">
        <v>244</v>
      </c>
      <c r="D21" s="95"/>
      <c r="E21" s="194">
        <v>2.8</v>
      </c>
      <c r="F21" s="105">
        <v>42000.15</v>
      </c>
      <c r="G21" s="106">
        <v>0</v>
      </c>
      <c r="H21" s="108">
        <f t="shared" si="8"/>
        <v>42000.15</v>
      </c>
      <c r="I21" s="108">
        <v>0</v>
      </c>
      <c r="J21" s="193">
        <f t="shared" si="0"/>
        <v>0</v>
      </c>
      <c r="K21" s="193">
        <f t="shared" si="1"/>
        <v>126000</v>
      </c>
      <c r="L21" s="111">
        <v>0</v>
      </c>
      <c r="M21" s="112">
        <f t="shared" si="5"/>
        <v>168000.15</v>
      </c>
      <c r="N21" s="113">
        <f t="shared" si="2"/>
        <v>178080.15</v>
      </c>
      <c r="O21" s="114">
        <f t="shared" si="3"/>
        <v>173040.15</v>
      </c>
      <c r="P21" s="57">
        <f t="shared" si="6"/>
        <v>0.15</v>
      </c>
    </row>
    <row r="22" spans="1:18" ht="17.100000000000001" customHeight="1" x14ac:dyDescent="0.3">
      <c r="A22" s="6" t="s">
        <v>18</v>
      </c>
      <c r="B22" s="94">
        <f t="shared" si="4"/>
        <v>16</v>
      </c>
      <c r="C22" s="94" t="s">
        <v>245</v>
      </c>
      <c r="D22" s="94"/>
      <c r="E22" s="194">
        <v>2.6</v>
      </c>
      <c r="F22" s="105">
        <v>39000.160000000003</v>
      </c>
      <c r="G22" s="106">
        <v>0</v>
      </c>
      <c r="H22" s="108">
        <f t="shared" si="8"/>
        <v>39000.160000000003</v>
      </c>
      <c r="I22" s="108">
        <v>0</v>
      </c>
      <c r="J22" s="193">
        <f t="shared" si="0"/>
        <v>0</v>
      </c>
      <c r="K22" s="193">
        <f t="shared" si="1"/>
        <v>117000</v>
      </c>
      <c r="L22" s="111">
        <v>0</v>
      </c>
      <c r="M22" s="112">
        <f t="shared" si="5"/>
        <v>156000.16</v>
      </c>
      <c r="N22" s="113">
        <f t="shared" si="2"/>
        <v>165360.16</v>
      </c>
      <c r="O22" s="114">
        <f t="shared" si="3"/>
        <v>160680.16</v>
      </c>
      <c r="P22" s="57">
        <f t="shared" si="6"/>
        <v>0.16</v>
      </c>
      <c r="R22" s="56"/>
    </row>
    <row r="23" spans="1:18" ht="17.100000000000001" customHeight="1" x14ac:dyDescent="0.3">
      <c r="A23" s="6" t="s">
        <v>18</v>
      </c>
      <c r="B23" s="94">
        <f t="shared" si="4"/>
        <v>17</v>
      </c>
      <c r="C23" s="94" t="s">
        <v>246</v>
      </c>
      <c r="D23" s="95"/>
      <c r="E23" s="194">
        <v>4.5</v>
      </c>
      <c r="F23" s="106">
        <v>67500.17</v>
      </c>
      <c r="G23" s="106">
        <v>0</v>
      </c>
      <c r="H23" s="108">
        <f t="shared" si="8"/>
        <v>67500.17</v>
      </c>
      <c r="I23" s="108">
        <v>0</v>
      </c>
      <c r="J23" s="193">
        <f t="shared" si="0"/>
        <v>0</v>
      </c>
      <c r="K23" s="193">
        <f t="shared" si="1"/>
        <v>202500</v>
      </c>
      <c r="L23" s="111">
        <v>0</v>
      </c>
      <c r="M23" s="112">
        <f t="shared" si="5"/>
        <v>270000.17</v>
      </c>
      <c r="N23" s="113">
        <f t="shared" si="2"/>
        <v>286200.17</v>
      </c>
      <c r="O23" s="114">
        <f t="shared" si="3"/>
        <v>278100.17</v>
      </c>
      <c r="P23" s="57">
        <f t="shared" si="6"/>
        <v>0.17</v>
      </c>
    </row>
    <row r="24" spans="1:18" ht="17.100000000000001" customHeight="1" x14ac:dyDescent="0.3">
      <c r="A24" s="6" t="s">
        <v>19</v>
      </c>
      <c r="B24" s="94">
        <f t="shared" si="4"/>
        <v>18</v>
      </c>
      <c r="C24" s="94" t="s">
        <v>237</v>
      </c>
      <c r="D24" s="94"/>
      <c r="E24" s="194">
        <v>2.8</v>
      </c>
      <c r="F24" s="105">
        <v>42000.18</v>
      </c>
      <c r="G24" s="106">
        <v>0</v>
      </c>
      <c r="H24" s="108">
        <f t="shared" si="8"/>
        <v>42000.18</v>
      </c>
      <c r="I24" s="108">
        <v>0</v>
      </c>
      <c r="J24" s="193">
        <f t="shared" si="0"/>
        <v>0</v>
      </c>
      <c r="K24" s="193">
        <f t="shared" si="1"/>
        <v>126000</v>
      </c>
      <c r="L24" s="111">
        <v>0</v>
      </c>
      <c r="M24" s="112">
        <f t="shared" si="5"/>
        <v>168000.18</v>
      </c>
      <c r="N24" s="113">
        <f t="shared" si="2"/>
        <v>178080.18</v>
      </c>
      <c r="O24" s="114">
        <f t="shared" si="3"/>
        <v>173040.18</v>
      </c>
      <c r="P24" s="57">
        <f t="shared" si="6"/>
        <v>0.18000000000000002</v>
      </c>
    </row>
    <row r="25" spans="1:18" ht="17.100000000000001" customHeight="1" x14ac:dyDescent="0.3">
      <c r="A25" s="6" t="s">
        <v>19</v>
      </c>
      <c r="B25" s="94">
        <f t="shared" si="4"/>
        <v>19</v>
      </c>
      <c r="C25" s="94" t="s">
        <v>247</v>
      </c>
      <c r="D25" s="95"/>
      <c r="E25" s="194">
        <v>2.8</v>
      </c>
      <c r="F25" s="105">
        <v>42000.19</v>
      </c>
      <c r="G25" s="106">
        <v>0</v>
      </c>
      <c r="H25" s="108">
        <f t="shared" si="8"/>
        <v>42000.19</v>
      </c>
      <c r="I25" s="108">
        <v>0</v>
      </c>
      <c r="J25" s="193">
        <f t="shared" si="0"/>
        <v>0</v>
      </c>
      <c r="K25" s="193">
        <f t="shared" si="1"/>
        <v>126000</v>
      </c>
      <c r="L25" s="111">
        <v>0</v>
      </c>
      <c r="M25" s="112">
        <f t="shared" si="5"/>
        <v>168000.19</v>
      </c>
      <c r="N25" s="113">
        <f t="shared" si="2"/>
        <v>178080.19</v>
      </c>
      <c r="O25" s="114">
        <f t="shared" si="3"/>
        <v>173040.19</v>
      </c>
      <c r="P25" s="57">
        <f t="shared" si="6"/>
        <v>0.19000000000000003</v>
      </c>
    </row>
    <row r="26" spans="1:18" ht="17.100000000000001" customHeight="1" x14ac:dyDescent="0.3">
      <c r="A26" s="6" t="s">
        <v>20</v>
      </c>
      <c r="B26" s="94">
        <f t="shared" si="4"/>
        <v>20</v>
      </c>
      <c r="C26" s="94" t="s">
        <v>235</v>
      </c>
      <c r="D26" s="94"/>
      <c r="E26" s="194">
        <v>2.8</v>
      </c>
      <c r="F26" s="106">
        <v>90300.2</v>
      </c>
      <c r="G26" s="106">
        <v>0</v>
      </c>
      <c r="H26" s="146">
        <f t="shared" si="8"/>
        <v>90300.2</v>
      </c>
      <c r="I26" s="108">
        <v>0</v>
      </c>
      <c r="J26" s="193">
        <f t="shared" si="0"/>
        <v>0</v>
      </c>
      <c r="K26" s="193">
        <f t="shared" si="1"/>
        <v>126000</v>
      </c>
      <c r="L26" s="111">
        <v>0</v>
      </c>
      <c r="M26" s="112">
        <f t="shared" si="5"/>
        <v>216300.2</v>
      </c>
      <c r="N26" s="113">
        <f t="shared" si="2"/>
        <v>229278.2</v>
      </c>
      <c r="O26" s="114">
        <f t="shared" si="3"/>
        <v>222789.2</v>
      </c>
      <c r="P26" s="57">
        <f t="shared" si="6"/>
        <v>0.20000000000000004</v>
      </c>
    </row>
    <row r="27" spans="1:18" ht="17.100000000000001" customHeight="1" x14ac:dyDescent="0.3">
      <c r="A27" s="6" t="s">
        <v>21</v>
      </c>
      <c r="B27" s="94">
        <f t="shared" si="4"/>
        <v>21</v>
      </c>
      <c r="C27" s="94" t="s">
        <v>238</v>
      </c>
      <c r="D27" s="95"/>
      <c r="E27" s="194">
        <v>3</v>
      </c>
      <c r="F27" s="105">
        <v>45000.21</v>
      </c>
      <c r="G27" s="106">
        <v>0</v>
      </c>
      <c r="H27" s="108">
        <f t="shared" si="8"/>
        <v>45000.21</v>
      </c>
      <c r="I27" s="108">
        <v>0</v>
      </c>
      <c r="J27" s="193">
        <f t="shared" si="0"/>
        <v>0</v>
      </c>
      <c r="K27" s="193">
        <f t="shared" si="1"/>
        <v>135000</v>
      </c>
      <c r="L27" s="111">
        <v>0</v>
      </c>
      <c r="M27" s="112">
        <f t="shared" si="5"/>
        <v>180000.21</v>
      </c>
      <c r="N27" s="113">
        <f t="shared" si="2"/>
        <v>190800.21</v>
      </c>
      <c r="O27" s="114">
        <f t="shared" si="3"/>
        <v>185400.21</v>
      </c>
      <c r="P27" s="57">
        <f t="shared" si="6"/>
        <v>0.21000000000000005</v>
      </c>
    </row>
    <row r="28" spans="1:18" ht="17.100000000000001" customHeight="1" x14ac:dyDescent="0.3">
      <c r="A28" s="6" t="s">
        <v>22</v>
      </c>
      <c r="B28" s="94">
        <f t="shared" si="4"/>
        <v>22</v>
      </c>
      <c r="C28" s="94" t="s">
        <v>238</v>
      </c>
      <c r="D28" s="95"/>
      <c r="E28" s="194">
        <v>4.0999999999999996</v>
      </c>
      <c r="F28" s="105">
        <v>61500.22</v>
      </c>
      <c r="G28" s="106">
        <v>0</v>
      </c>
      <c r="H28" s="108">
        <f t="shared" si="8"/>
        <v>61500.22</v>
      </c>
      <c r="I28" s="108">
        <v>0</v>
      </c>
      <c r="J28" s="193">
        <f t="shared" si="0"/>
        <v>0</v>
      </c>
      <c r="K28" s="193">
        <f t="shared" si="1"/>
        <v>184500</v>
      </c>
      <c r="L28" s="111">
        <v>0</v>
      </c>
      <c r="M28" s="112">
        <f t="shared" si="5"/>
        <v>246000.22</v>
      </c>
      <c r="N28" s="113">
        <f t="shared" si="2"/>
        <v>260760.22</v>
      </c>
      <c r="O28" s="114">
        <f t="shared" si="3"/>
        <v>253380.22</v>
      </c>
      <c r="P28" s="57">
        <f t="shared" si="6"/>
        <v>0.22000000000000006</v>
      </c>
    </row>
    <row r="29" spans="1:18" ht="17.100000000000001" customHeight="1" x14ac:dyDescent="0.3">
      <c r="A29" s="6" t="s">
        <v>23</v>
      </c>
      <c r="B29" s="94">
        <f t="shared" si="4"/>
        <v>23</v>
      </c>
      <c r="C29" s="94" t="s">
        <v>248</v>
      </c>
      <c r="D29" s="95"/>
      <c r="E29" s="194">
        <v>5.0999999999999996</v>
      </c>
      <c r="F29" s="105">
        <v>164417.23000000001</v>
      </c>
      <c r="G29" s="106">
        <v>0</v>
      </c>
      <c r="H29" s="108">
        <f t="shared" si="8"/>
        <v>164417.23000000001</v>
      </c>
      <c r="I29" s="108">
        <v>0</v>
      </c>
      <c r="J29" s="193">
        <f t="shared" si="0"/>
        <v>0</v>
      </c>
      <c r="K29" s="193">
        <f t="shared" si="1"/>
        <v>229500</v>
      </c>
      <c r="L29" s="111">
        <v>0</v>
      </c>
      <c r="M29" s="112">
        <f t="shared" si="5"/>
        <v>393917.23</v>
      </c>
      <c r="N29" s="113">
        <f t="shared" si="2"/>
        <v>417552.23</v>
      </c>
      <c r="O29" s="114">
        <f t="shared" si="3"/>
        <v>405735.23</v>
      </c>
      <c r="P29" s="57">
        <f t="shared" si="6"/>
        <v>0.23000000000000007</v>
      </c>
    </row>
    <row r="30" spans="1:18" ht="17.100000000000001" customHeight="1" x14ac:dyDescent="0.3">
      <c r="A30" s="6" t="s">
        <v>26</v>
      </c>
      <c r="B30" s="94">
        <f t="shared" si="4"/>
        <v>24</v>
      </c>
      <c r="C30" s="94" t="s">
        <v>238</v>
      </c>
      <c r="D30" s="95"/>
      <c r="E30" s="194">
        <v>5.9</v>
      </c>
      <c r="F30" s="105">
        <v>88500.24</v>
      </c>
      <c r="G30" s="106">
        <v>0</v>
      </c>
      <c r="H30" s="108">
        <f t="shared" si="8"/>
        <v>88500.24</v>
      </c>
      <c r="I30" s="108">
        <v>0</v>
      </c>
      <c r="J30" s="193">
        <f t="shared" si="0"/>
        <v>0</v>
      </c>
      <c r="K30" s="193">
        <f t="shared" si="1"/>
        <v>265500</v>
      </c>
      <c r="L30" s="111">
        <v>0</v>
      </c>
      <c r="M30" s="112">
        <f t="shared" si="5"/>
        <v>354000.24</v>
      </c>
      <c r="N30" s="113">
        <f t="shared" si="2"/>
        <v>375240.24</v>
      </c>
      <c r="O30" s="114">
        <f t="shared" si="3"/>
        <v>364620.24</v>
      </c>
      <c r="P30" s="57">
        <f t="shared" si="6"/>
        <v>0.24000000000000007</v>
      </c>
    </row>
    <row r="31" spans="1:18" ht="17.100000000000001" customHeight="1" x14ac:dyDescent="0.3">
      <c r="A31" s="6" t="s">
        <v>26</v>
      </c>
      <c r="B31" s="94">
        <f t="shared" si="4"/>
        <v>25</v>
      </c>
      <c r="C31" s="94" t="s">
        <v>249</v>
      </c>
      <c r="D31" s="94"/>
      <c r="E31" s="194">
        <v>5.5</v>
      </c>
      <c r="F31" s="105" t="s">
        <v>250</v>
      </c>
      <c r="G31" s="106" t="s">
        <v>250</v>
      </c>
      <c r="H31" s="108"/>
      <c r="I31" s="108">
        <v>0</v>
      </c>
      <c r="J31" s="193">
        <f t="shared" si="0"/>
        <v>0</v>
      </c>
      <c r="K31" s="193">
        <f t="shared" si="1"/>
        <v>247500</v>
      </c>
      <c r="L31" s="111">
        <v>0</v>
      </c>
      <c r="M31" s="197">
        <f>ROUND(SUM(H31:L31),0) + P31</f>
        <v>247500.25</v>
      </c>
      <c r="N31" s="198">
        <f t="shared" si="2"/>
        <v>262350.25</v>
      </c>
      <c r="O31" s="199">
        <f t="shared" si="3"/>
        <v>254925.25</v>
      </c>
      <c r="P31" s="57">
        <f t="shared" si="6"/>
        <v>0.25000000000000006</v>
      </c>
    </row>
    <row r="32" spans="1:18" ht="17.100000000000001" customHeight="1" x14ac:dyDescent="0.3">
      <c r="A32" s="6" t="s">
        <v>26</v>
      </c>
      <c r="B32" s="94">
        <f t="shared" si="4"/>
        <v>26</v>
      </c>
      <c r="C32" s="94" t="s">
        <v>240</v>
      </c>
      <c r="D32" s="94"/>
      <c r="E32" s="194">
        <v>6.1</v>
      </c>
      <c r="F32" s="105">
        <v>196725.26</v>
      </c>
      <c r="G32" s="106">
        <v>0</v>
      </c>
      <c r="H32" s="108">
        <f>F32-G32</f>
        <v>196725.26</v>
      </c>
      <c r="I32" s="108">
        <v>0</v>
      </c>
      <c r="J32" s="193">
        <f t="shared" si="0"/>
        <v>0</v>
      </c>
      <c r="K32" s="193">
        <f t="shared" si="1"/>
        <v>274500</v>
      </c>
      <c r="L32" s="111">
        <v>0</v>
      </c>
      <c r="M32" s="112">
        <f t="shared" si="5"/>
        <v>471225.26</v>
      </c>
      <c r="N32" s="191">
        <f t="shared" si="2"/>
        <v>499499.26</v>
      </c>
      <c r="O32" s="114">
        <f t="shared" si="3"/>
        <v>485362.26</v>
      </c>
      <c r="P32" s="195">
        <f t="shared" si="6"/>
        <v>0.26000000000000006</v>
      </c>
      <c r="Q32" s="196"/>
    </row>
    <row r="33" spans="1:16" ht="17.100000000000001" customHeight="1" thickBot="1" x14ac:dyDescent="0.35">
      <c r="A33" s="6" t="s">
        <v>26</v>
      </c>
      <c r="B33" s="94"/>
      <c r="C33" s="94"/>
      <c r="D33" s="95"/>
      <c r="E33" s="104"/>
      <c r="F33" s="105"/>
      <c r="G33" s="106"/>
      <c r="H33" s="108"/>
      <c r="I33" s="108"/>
      <c r="J33" s="110"/>
      <c r="K33" s="110"/>
      <c r="L33" s="111"/>
      <c r="M33" s="112"/>
      <c r="N33" s="113"/>
      <c r="O33" s="114"/>
      <c r="P33" s="57"/>
    </row>
    <row r="34" spans="1:16" ht="17.100000000000001" customHeight="1" thickBot="1" x14ac:dyDescent="0.35">
      <c r="B34" s="138"/>
      <c r="C34" s="139"/>
      <c r="D34" s="139"/>
      <c r="E34" s="140">
        <f>SUM(E7:E33)</f>
        <v>99.999999999999972</v>
      </c>
      <c r="F34" s="67">
        <f>SUM(F7:F33)</f>
        <v>2410554.0200000005</v>
      </c>
      <c r="G34" s="91">
        <f>SUM(G7:G33)</f>
        <v>0</v>
      </c>
      <c r="H34" s="91">
        <f>SUM(H7:H32)</f>
        <v>2410554.0200000005</v>
      </c>
      <c r="I34" s="91">
        <f>SUM(I7:I32)</f>
        <v>0</v>
      </c>
      <c r="J34" s="91">
        <f t="shared" ref="J34:O34" si="9">SUM(J7:J33)</f>
        <v>0</v>
      </c>
      <c r="K34" s="67">
        <f t="shared" si="9"/>
        <v>4500000</v>
      </c>
      <c r="L34" s="91">
        <f t="shared" si="9"/>
        <v>0</v>
      </c>
      <c r="M34" s="141">
        <f t="shared" si="9"/>
        <v>6910554.5099999998</v>
      </c>
      <c r="N34" s="141">
        <f t="shared" si="9"/>
        <v>7325187.5099999998</v>
      </c>
      <c r="O34" s="141">
        <f t="shared" si="9"/>
        <v>7117872.5099999998</v>
      </c>
    </row>
    <row r="35" spans="1:16" ht="12.75" customHeight="1" x14ac:dyDescent="0.3">
      <c r="C35" s="64"/>
      <c r="D35" s="64"/>
    </row>
    <row r="36" spans="1:16" hidden="1" x14ac:dyDescent="0.3"/>
    <row r="37" spans="1:16" ht="9" customHeight="1" x14ac:dyDescent="0.3">
      <c r="C37" s="203" t="s">
        <v>265</v>
      </c>
      <c r="D37" s="203"/>
      <c r="E37" s="203"/>
      <c r="F37" s="203"/>
      <c r="G37" s="203"/>
      <c r="H37" s="203"/>
      <c r="I37" s="203"/>
      <c r="J37" s="203"/>
      <c r="K37" s="203"/>
      <c r="L37" s="203"/>
      <c r="M37" s="203"/>
    </row>
    <row r="38" spans="1:16" ht="12" hidden="1" customHeight="1" x14ac:dyDescent="0.3">
      <c r="C38" s="203"/>
      <c r="D38" s="203"/>
      <c r="E38" s="203"/>
      <c r="F38" s="203"/>
      <c r="G38" s="203"/>
      <c r="H38" s="203"/>
      <c r="I38" s="203"/>
      <c r="J38" s="203"/>
      <c r="K38" s="203"/>
      <c r="L38" s="203"/>
      <c r="M38" s="203"/>
    </row>
    <row r="39" spans="1:16" ht="12" hidden="1" customHeight="1" x14ac:dyDescent="0.3">
      <c r="C39" s="203"/>
      <c r="D39" s="203"/>
      <c r="E39" s="203"/>
      <c r="F39" s="203"/>
      <c r="G39" s="203"/>
      <c r="H39" s="203"/>
      <c r="I39" s="203"/>
      <c r="J39" s="203"/>
      <c r="K39" s="203"/>
      <c r="L39" s="203"/>
      <c r="M39" s="203"/>
    </row>
    <row r="40" spans="1:16" ht="12" hidden="1" customHeight="1" x14ac:dyDescent="0.3">
      <c r="C40" s="203"/>
      <c r="D40" s="203"/>
      <c r="E40" s="203"/>
      <c r="F40" s="203"/>
      <c r="G40" s="203"/>
      <c r="H40" s="203"/>
      <c r="I40" s="203"/>
      <c r="J40" s="203"/>
      <c r="K40" s="203"/>
      <c r="L40" s="203"/>
      <c r="M40" s="203"/>
    </row>
    <row r="41" spans="1:16" ht="12" hidden="1" customHeight="1" x14ac:dyDescent="0.3">
      <c r="C41" s="203"/>
      <c r="D41" s="203"/>
      <c r="E41" s="203"/>
      <c r="F41" s="203"/>
      <c r="G41" s="203"/>
      <c r="H41" s="203"/>
      <c r="I41" s="203"/>
      <c r="J41" s="203"/>
      <c r="K41" s="203"/>
      <c r="L41" s="203"/>
      <c r="M41" s="203"/>
    </row>
    <row r="42" spans="1:16" ht="70.5" customHeight="1" x14ac:dyDescent="0.3">
      <c r="C42" s="203"/>
      <c r="D42" s="203"/>
      <c r="E42" s="203"/>
      <c r="F42" s="203"/>
      <c r="G42" s="203"/>
      <c r="H42" s="203"/>
      <c r="I42" s="203"/>
      <c r="J42" s="203"/>
      <c r="K42" s="203"/>
      <c r="L42" s="203"/>
      <c r="M42" s="203"/>
    </row>
  </sheetData>
  <mergeCells count="18">
    <mergeCell ref="A5:A6"/>
    <mergeCell ref="B5:B6"/>
    <mergeCell ref="C5:C6"/>
    <mergeCell ref="E5:E6"/>
    <mergeCell ref="I5:I6"/>
    <mergeCell ref="F5:F6"/>
    <mergeCell ref="G5:G6"/>
    <mergeCell ref="H5:H6"/>
    <mergeCell ref="C1:F4"/>
    <mergeCell ref="L3:M3"/>
    <mergeCell ref="L4:M4"/>
    <mergeCell ref="O5:O6"/>
    <mergeCell ref="C37:M42"/>
    <mergeCell ref="D5:D6"/>
    <mergeCell ref="N5:N6"/>
    <mergeCell ref="J5:J6"/>
    <mergeCell ref="K5:K6"/>
    <mergeCell ref="L5:L6"/>
  </mergeCells>
  <pageMargins left="0.25" right="0.25"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4.4" x14ac:dyDescent="0.3"/>
  <cols>
    <col min="1" max="1" width="5" hidden="1" customWidth="1"/>
    <col min="2" max="2" width="5.5546875" customWidth="1"/>
    <col min="3" max="3" width="4.33203125" customWidth="1"/>
    <col min="4" max="4" width="18.5546875" customWidth="1"/>
    <col min="5" max="5" width="0.109375" customWidth="1"/>
    <col min="6" max="6" width="5.109375" customWidth="1"/>
    <col min="7" max="7" width="14.109375" customWidth="1"/>
    <col min="8" max="8" width="11.6640625" customWidth="1"/>
    <col min="9" max="9" width="11.6640625" hidden="1" customWidth="1"/>
    <col min="10" max="10" width="10.5546875" customWidth="1"/>
    <col min="11" max="11" width="0.109375" customWidth="1"/>
    <col min="12" max="12" width="0.109375" hidden="1" customWidth="1"/>
    <col min="13" max="13" width="12.44140625" hidden="1" customWidth="1"/>
    <col min="14" max="14" width="8.109375" hidden="1" customWidth="1"/>
    <col min="15" max="15" width="14.6640625" hidden="1" customWidth="1"/>
    <col min="16" max="16" width="1.88671875" hidden="1" customWidth="1"/>
    <col min="17" max="17" width="1.44140625" hidden="1" customWidth="1"/>
    <col min="18" max="18" width="1.33203125" hidden="1" customWidth="1"/>
    <col min="19" max="19" width="12" bestFit="1" customWidth="1"/>
  </cols>
  <sheetData>
    <row r="1" spans="1:19" ht="12.9" customHeight="1" x14ac:dyDescent="0.3">
      <c r="A1" s="7"/>
      <c r="B1" s="7"/>
      <c r="C1" s="7"/>
      <c r="D1" s="7" t="s">
        <v>229</v>
      </c>
      <c r="E1" s="7"/>
      <c r="F1" s="7"/>
      <c r="G1" s="7"/>
      <c r="H1" s="7"/>
      <c r="I1" s="7"/>
      <c r="J1" s="7"/>
      <c r="K1" s="7"/>
      <c r="L1" s="7"/>
      <c r="M1" s="7"/>
      <c r="N1" s="7"/>
      <c r="O1" s="7"/>
      <c r="P1" s="7"/>
      <c r="Q1" s="7"/>
    </row>
    <row r="2" spans="1:19" ht="12.9" customHeight="1" x14ac:dyDescent="0.3">
      <c r="A2" s="7"/>
      <c r="B2" s="7"/>
      <c r="C2" s="7"/>
      <c r="D2" s="7" t="str">
        <f>RESUMEN!B3</f>
        <v>TELEFONO: 11 5320-2676</v>
      </c>
      <c r="E2" s="7"/>
      <c r="F2" s="7"/>
      <c r="G2" s="7"/>
      <c r="H2" s="7"/>
      <c r="I2" s="7"/>
      <c r="J2" s="7"/>
      <c r="K2" s="7"/>
      <c r="L2" s="8" t="s">
        <v>226</v>
      </c>
      <c r="M2" s="7"/>
      <c r="N2" s="7"/>
      <c r="O2" s="71">
        <v>0</v>
      </c>
      <c r="P2" s="71"/>
      <c r="Q2" s="71"/>
      <c r="R2" s="23"/>
    </row>
    <row r="3" spans="1:19" ht="12.9" customHeight="1" thickBot="1" x14ac:dyDescent="0.35">
      <c r="A3" s="7"/>
      <c r="B3" s="7"/>
      <c r="C3" s="7"/>
      <c r="D3" s="7" t="s">
        <v>125</v>
      </c>
      <c r="E3" s="7"/>
      <c r="F3" s="7"/>
      <c r="G3" s="7"/>
      <c r="H3" s="7"/>
      <c r="I3" s="7"/>
      <c r="J3" s="7"/>
      <c r="K3" s="7"/>
      <c r="L3" s="7"/>
      <c r="M3" s="7"/>
      <c r="N3" s="7"/>
      <c r="O3" s="72"/>
      <c r="P3" s="72"/>
      <c r="Q3" s="89"/>
    </row>
    <row r="4" spans="1:19" x14ac:dyDescent="0.3">
      <c r="A4" s="219" t="s">
        <v>3</v>
      </c>
      <c r="B4" s="231" t="s">
        <v>4</v>
      </c>
      <c r="C4" s="217" t="s">
        <v>5</v>
      </c>
      <c r="D4" s="217" t="s">
        <v>6</v>
      </c>
      <c r="E4" s="217" t="s">
        <v>123</v>
      </c>
      <c r="F4" s="217" t="s">
        <v>27</v>
      </c>
      <c r="G4" s="217" t="s">
        <v>228</v>
      </c>
      <c r="H4" s="217" t="s">
        <v>7</v>
      </c>
      <c r="I4" s="217" t="s">
        <v>124</v>
      </c>
      <c r="J4" s="226" t="s">
        <v>127</v>
      </c>
      <c r="K4" s="222" t="s">
        <v>49</v>
      </c>
      <c r="L4" s="222" t="s">
        <v>8</v>
      </c>
      <c r="M4" s="222" t="s">
        <v>224</v>
      </c>
      <c r="N4" s="229" t="s">
        <v>222</v>
      </c>
      <c r="O4" s="92" t="s">
        <v>221</v>
      </c>
      <c r="P4" s="224" t="s">
        <v>47</v>
      </c>
      <c r="Q4" s="215" t="s">
        <v>220</v>
      </c>
    </row>
    <row r="5" spans="1:19" ht="15.75" customHeight="1" x14ac:dyDescent="0.3">
      <c r="A5" s="220"/>
      <c r="B5" s="232"/>
      <c r="C5" s="221"/>
      <c r="D5" s="221"/>
      <c r="E5" s="218"/>
      <c r="F5" s="221"/>
      <c r="G5" s="221"/>
      <c r="H5" s="221"/>
      <c r="I5" s="218"/>
      <c r="J5" s="227"/>
      <c r="K5" s="223"/>
      <c r="L5" s="228"/>
      <c r="M5" s="223"/>
      <c r="N5" s="230"/>
      <c r="O5" s="90" t="str">
        <f>RESUMEN!B8</f>
        <v>VTO 21/07</v>
      </c>
      <c r="P5" s="225"/>
      <c r="Q5" s="216"/>
    </row>
    <row r="6" spans="1:19" ht="17.100000000000001" customHeight="1" x14ac:dyDescent="0.3">
      <c r="A6" s="6" t="s">
        <v>10</v>
      </c>
      <c r="B6" s="94" t="s">
        <v>128</v>
      </c>
      <c r="C6" s="94">
        <v>1</v>
      </c>
      <c r="D6" s="94" t="s">
        <v>50</v>
      </c>
      <c r="E6" s="94"/>
      <c r="F6" s="104">
        <v>1.65</v>
      </c>
      <c r="G6" s="105">
        <v>0</v>
      </c>
      <c r="H6" s="106">
        <f>G6</f>
        <v>0</v>
      </c>
      <c r="I6" s="107"/>
      <c r="J6" s="108">
        <f>G6-H6</f>
        <v>0</v>
      </c>
      <c r="K6" s="108">
        <f>IF(J6&gt;0,J6*3%,0)</f>
        <v>0</v>
      </c>
      <c r="L6" s="109">
        <v>0</v>
      </c>
      <c r="M6" s="110">
        <f t="shared" ref="M6:M69" si="0">O$2*F6%</f>
        <v>0</v>
      </c>
      <c r="N6" s="111">
        <v>0</v>
      </c>
      <c r="O6" s="112">
        <f>ROUND(SUM(J6:N6),0) + R6</f>
        <v>0.01</v>
      </c>
      <c r="P6" s="113">
        <f>ROUND(O6*6% + O6,0) + R6</f>
        <v>0.01</v>
      </c>
      <c r="Q6" s="114">
        <f>ROUND(O6*3%,0) + O6</f>
        <v>0.01</v>
      </c>
      <c r="R6" s="57">
        <v>0.01</v>
      </c>
    </row>
    <row r="7" spans="1:19" ht="17.100000000000001" customHeight="1" x14ac:dyDescent="0.3">
      <c r="A7" s="6" t="s">
        <v>11</v>
      </c>
      <c r="B7" s="94" t="s">
        <v>129</v>
      </c>
      <c r="C7" s="94">
        <f>C6+1</f>
        <v>2</v>
      </c>
      <c r="D7" s="94" t="s">
        <v>59</v>
      </c>
      <c r="E7" s="95"/>
      <c r="F7" s="104">
        <v>1.1599999999999999</v>
      </c>
      <c r="G7" s="105">
        <v>0</v>
      </c>
      <c r="H7" s="106">
        <f t="shared" ref="H7:H18" si="1">G7</f>
        <v>0</v>
      </c>
      <c r="I7" s="107"/>
      <c r="J7" s="108">
        <f t="shared" ref="J7:J70" si="2">G7-H7</f>
        <v>0</v>
      </c>
      <c r="K7" s="108">
        <f t="shared" ref="K7:K70" si="3">IF(J7&gt;0,J7*3%,0)</f>
        <v>0</v>
      </c>
      <c r="L7" s="109">
        <v>0</v>
      </c>
      <c r="M7" s="110">
        <f t="shared" si="0"/>
        <v>0</v>
      </c>
      <c r="N7" s="111">
        <v>0</v>
      </c>
      <c r="O7" s="112">
        <f t="shared" ref="O7:O70" si="4">ROUND(SUM(J7:N7),0) + R7</f>
        <v>0.02</v>
      </c>
      <c r="P7" s="113">
        <f t="shared" ref="P7:P70" si="5">ROUND(O7*6% + O7,0) + R7</f>
        <v>0.02</v>
      </c>
      <c r="Q7" s="114">
        <f t="shared" ref="Q7:Q70" si="6">ROUND(O7*3%,0) + O7</f>
        <v>0.02</v>
      </c>
      <c r="R7" s="57">
        <f>R6+0.01</f>
        <v>0.02</v>
      </c>
      <c r="S7" s="57"/>
    </row>
    <row r="8" spans="1:19" ht="17.100000000000001" customHeight="1" x14ac:dyDescent="0.3">
      <c r="A8" s="6" t="s">
        <v>11</v>
      </c>
      <c r="B8" s="94" t="s">
        <v>130</v>
      </c>
      <c r="C8" s="94">
        <f t="shared" ref="C8:C35" si="7">C7+1</f>
        <v>3</v>
      </c>
      <c r="D8" s="94" t="s">
        <v>60</v>
      </c>
      <c r="E8" s="95"/>
      <c r="F8" s="104">
        <v>1.19</v>
      </c>
      <c r="G8" s="105">
        <v>0</v>
      </c>
      <c r="H8" s="106">
        <f t="shared" si="1"/>
        <v>0</v>
      </c>
      <c r="I8" s="107"/>
      <c r="J8" s="108">
        <f t="shared" si="2"/>
        <v>0</v>
      </c>
      <c r="K8" s="108">
        <f t="shared" si="3"/>
        <v>0</v>
      </c>
      <c r="L8" s="109">
        <v>0</v>
      </c>
      <c r="M8" s="110">
        <f t="shared" si="0"/>
        <v>0</v>
      </c>
      <c r="N8" s="111">
        <v>0</v>
      </c>
      <c r="O8" s="112">
        <f t="shared" si="4"/>
        <v>0.03</v>
      </c>
      <c r="P8" s="113">
        <f t="shared" si="5"/>
        <v>0.03</v>
      </c>
      <c r="Q8" s="114">
        <f t="shared" si="6"/>
        <v>0.03</v>
      </c>
      <c r="R8" s="57">
        <f t="shared" ref="R8:R71" si="8">R7+0.01</f>
        <v>0.03</v>
      </c>
    </row>
    <row r="9" spans="1:19" ht="17.100000000000001" customHeight="1" x14ac:dyDescent="0.3">
      <c r="A9" s="6" t="s">
        <v>12</v>
      </c>
      <c r="B9" s="94" t="s">
        <v>131</v>
      </c>
      <c r="C9" s="94">
        <f t="shared" si="7"/>
        <v>4</v>
      </c>
      <c r="D9" s="94" t="s">
        <v>61</v>
      </c>
      <c r="E9" s="95"/>
      <c r="F9" s="104">
        <v>1.22</v>
      </c>
      <c r="G9" s="105">
        <v>0</v>
      </c>
      <c r="H9" s="106">
        <f t="shared" si="1"/>
        <v>0</v>
      </c>
      <c r="I9" s="107"/>
      <c r="J9" s="108">
        <f t="shared" si="2"/>
        <v>0</v>
      </c>
      <c r="K9" s="108">
        <f t="shared" si="3"/>
        <v>0</v>
      </c>
      <c r="L9" s="109">
        <v>0</v>
      </c>
      <c r="M9" s="110">
        <f t="shared" si="0"/>
        <v>0</v>
      </c>
      <c r="N9" s="111">
        <v>0</v>
      </c>
      <c r="O9" s="112">
        <f t="shared" si="4"/>
        <v>0.04</v>
      </c>
      <c r="P9" s="113">
        <f t="shared" si="5"/>
        <v>0.04</v>
      </c>
      <c r="Q9" s="114">
        <f t="shared" si="6"/>
        <v>0.04</v>
      </c>
      <c r="R9" s="57">
        <f t="shared" si="8"/>
        <v>0.04</v>
      </c>
    </row>
    <row r="10" spans="1:19" ht="17.100000000000001" customHeight="1" x14ac:dyDescent="0.3">
      <c r="A10" s="6" t="s">
        <v>12</v>
      </c>
      <c r="B10" s="94" t="s">
        <v>132</v>
      </c>
      <c r="C10" s="94">
        <f t="shared" si="7"/>
        <v>5</v>
      </c>
      <c r="D10" s="94" t="s">
        <v>62</v>
      </c>
      <c r="E10" s="95"/>
      <c r="F10" s="104">
        <v>1.67</v>
      </c>
      <c r="G10" s="105"/>
      <c r="H10" s="106"/>
      <c r="I10" s="107"/>
      <c r="J10" s="108">
        <f t="shared" si="2"/>
        <v>0</v>
      </c>
      <c r="K10" s="108">
        <f t="shared" si="3"/>
        <v>0</v>
      </c>
      <c r="L10" s="109">
        <v>0</v>
      </c>
      <c r="M10" s="110">
        <f t="shared" si="0"/>
        <v>0</v>
      </c>
      <c r="N10" s="111">
        <v>0</v>
      </c>
      <c r="O10" s="112">
        <f t="shared" si="4"/>
        <v>0.05</v>
      </c>
      <c r="P10" s="113">
        <f t="shared" si="5"/>
        <v>0.05</v>
      </c>
      <c r="Q10" s="114">
        <f t="shared" si="6"/>
        <v>0.05</v>
      </c>
      <c r="R10" s="57">
        <f t="shared" si="8"/>
        <v>0.05</v>
      </c>
    </row>
    <row r="11" spans="1:19" ht="17.100000000000001" customHeight="1" x14ac:dyDescent="0.3">
      <c r="A11" s="6" t="s">
        <v>13</v>
      </c>
      <c r="B11" s="94" t="s">
        <v>133</v>
      </c>
      <c r="C11" s="94">
        <f t="shared" si="7"/>
        <v>6</v>
      </c>
      <c r="D11" s="94" t="s">
        <v>51</v>
      </c>
      <c r="E11" s="94"/>
      <c r="F11" s="104">
        <v>1.71</v>
      </c>
      <c r="G11" s="105">
        <v>0</v>
      </c>
      <c r="H11" s="106">
        <f t="shared" si="1"/>
        <v>0</v>
      </c>
      <c r="I11" s="107"/>
      <c r="J11" s="108">
        <f t="shared" si="2"/>
        <v>0</v>
      </c>
      <c r="K11" s="108">
        <f t="shared" si="3"/>
        <v>0</v>
      </c>
      <c r="L11" s="109">
        <v>0</v>
      </c>
      <c r="M11" s="110">
        <f t="shared" si="0"/>
        <v>0</v>
      </c>
      <c r="N11" s="111">
        <v>0</v>
      </c>
      <c r="O11" s="112">
        <f t="shared" si="4"/>
        <v>6.0000000000000005E-2</v>
      </c>
      <c r="P11" s="113">
        <f t="shared" si="5"/>
        <v>6.0000000000000005E-2</v>
      </c>
      <c r="Q11" s="114">
        <f t="shared" si="6"/>
        <v>6.0000000000000005E-2</v>
      </c>
      <c r="R11" s="57">
        <f t="shared" si="8"/>
        <v>6.0000000000000005E-2</v>
      </c>
    </row>
    <row r="12" spans="1:19" ht="17.100000000000001" customHeight="1" x14ac:dyDescent="0.3">
      <c r="A12" s="6" t="s">
        <v>13</v>
      </c>
      <c r="B12" s="94" t="s">
        <v>134</v>
      </c>
      <c r="C12" s="94">
        <f t="shared" si="7"/>
        <v>7</v>
      </c>
      <c r="D12" s="94" t="s">
        <v>52</v>
      </c>
      <c r="E12" s="94"/>
      <c r="F12" s="104">
        <v>1.1299999999999999</v>
      </c>
      <c r="G12" s="105">
        <v>0</v>
      </c>
      <c r="H12" s="106">
        <f t="shared" si="1"/>
        <v>0</v>
      </c>
      <c r="I12" s="107"/>
      <c r="J12" s="108">
        <f t="shared" si="2"/>
        <v>0</v>
      </c>
      <c r="K12" s="108">
        <f t="shared" si="3"/>
        <v>0</v>
      </c>
      <c r="L12" s="109">
        <v>0</v>
      </c>
      <c r="M12" s="110">
        <f t="shared" si="0"/>
        <v>0</v>
      </c>
      <c r="N12" s="111">
        <v>0</v>
      </c>
      <c r="O12" s="112">
        <f t="shared" si="4"/>
        <v>7.0000000000000007E-2</v>
      </c>
      <c r="P12" s="113">
        <f t="shared" si="5"/>
        <v>7.0000000000000007E-2</v>
      </c>
      <c r="Q12" s="114">
        <f t="shared" si="6"/>
        <v>7.0000000000000007E-2</v>
      </c>
      <c r="R12" s="57">
        <f t="shared" si="8"/>
        <v>7.0000000000000007E-2</v>
      </c>
    </row>
    <row r="13" spans="1:19" ht="17.100000000000001" customHeight="1" x14ac:dyDescent="0.3">
      <c r="A13" s="6" t="s">
        <v>14</v>
      </c>
      <c r="B13" s="94" t="s">
        <v>135</v>
      </c>
      <c r="C13" s="94">
        <f t="shared" si="7"/>
        <v>8</v>
      </c>
      <c r="D13" s="94" t="s">
        <v>63</v>
      </c>
      <c r="E13" s="95"/>
      <c r="F13" s="104">
        <v>1.1299999999999999</v>
      </c>
      <c r="G13" s="105">
        <v>0</v>
      </c>
      <c r="H13" s="106">
        <f t="shared" si="1"/>
        <v>0</v>
      </c>
      <c r="I13" s="107"/>
      <c r="J13" s="108">
        <f t="shared" si="2"/>
        <v>0</v>
      </c>
      <c r="K13" s="108">
        <f t="shared" si="3"/>
        <v>0</v>
      </c>
      <c r="L13" s="109">
        <v>0</v>
      </c>
      <c r="M13" s="110">
        <f t="shared" si="0"/>
        <v>0</v>
      </c>
      <c r="N13" s="111">
        <v>0</v>
      </c>
      <c r="O13" s="112">
        <f t="shared" si="4"/>
        <v>0.08</v>
      </c>
      <c r="P13" s="113">
        <f t="shared" si="5"/>
        <v>0.08</v>
      </c>
      <c r="Q13" s="114">
        <f t="shared" si="6"/>
        <v>0.08</v>
      </c>
      <c r="R13" s="57">
        <f t="shared" si="8"/>
        <v>0.08</v>
      </c>
    </row>
    <row r="14" spans="1:19" ht="17.100000000000001" customHeight="1" x14ac:dyDescent="0.3">
      <c r="A14" s="6" t="s">
        <v>14</v>
      </c>
      <c r="B14" s="94" t="s">
        <v>136</v>
      </c>
      <c r="C14" s="94">
        <f t="shared" si="7"/>
        <v>9</v>
      </c>
      <c r="D14" s="94" t="s">
        <v>57</v>
      </c>
      <c r="E14" s="95"/>
      <c r="F14" s="104">
        <v>1.1299999999999999</v>
      </c>
      <c r="G14" s="105">
        <v>0</v>
      </c>
      <c r="H14" s="106">
        <f t="shared" si="1"/>
        <v>0</v>
      </c>
      <c r="I14" s="107"/>
      <c r="J14" s="108">
        <f t="shared" si="2"/>
        <v>0</v>
      </c>
      <c r="K14" s="108">
        <f t="shared" si="3"/>
        <v>0</v>
      </c>
      <c r="L14" s="109">
        <v>0</v>
      </c>
      <c r="M14" s="110">
        <f t="shared" si="0"/>
        <v>0</v>
      </c>
      <c r="N14" s="111">
        <v>0</v>
      </c>
      <c r="O14" s="112">
        <f t="shared" si="4"/>
        <v>0.09</v>
      </c>
      <c r="P14" s="113">
        <f t="shared" si="5"/>
        <v>0.09</v>
      </c>
      <c r="Q14" s="114">
        <f t="shared" si="6"/>
        <v>0.09</v>
      </c>
      <c r="R14" s="57">
        <f t="shared" si="8"/>
        <v>0.09</v>
      </c>
    </row>
    <row r="15" spans="1:19" ht="17.100000000000001" customHeight="1" x14ac:dyDescent="0.3">
      <c r="A15" s="6" t="s">
        <v>15</v>
      </c>
      <c r="B15" s="94" t="s">
        <v>137</v>
      </c>
      <c r="C15" s="94">
        <f t="shared" si="7"/>
        <v>10</v>
      </c>
      <c r="D15" s="94" t="s">
        <v>58</v>
      </c>
      <c r="E15" s="95"/>
      <c r="F15" s="104">
        <v>1.67</v>
      </c>
      <c r="G15" s="105">
        <v>0</v>
      </c>
      <c r="H15" s="106">
        <f t="shared" si="1"/>
        <v>0</v>
      </c>
      <c r="I15" s="107"/>
      <c r="J15" s="108">
        <f t="shared" si="2"/>
        <v>0</v>
      </c>
      <c r="K15" s="108">
        <f t="shared" si="3"/>
        <v>0</v>
      </c>
      <c r="L15" s="109">
        <v>0</v>
      </c>
      <c r="M15" s="110">
        <f t="shared" si="0"/>
        <v>0</v>
      </c>
      <c r="N15" s="111">
        <v>0</v>
      </c>
      <c r="O15" s="112">
        <f t="shared" si="4"/>
        <v>9.9999999999999992E-2</v>
      </c>
      <c r="P15" s="113">
        <f t="shared" si="5"/>
        <v>9.9999999999999992E-2</v>
      </c>
      <c r="Q15" s="114">
        <f t="shared" si="6"/>
        <v>9.9999999999999992E-2</v>
      </c>
      <c r="R15" s="57">
        <f t="shared" si="8"/>
        <v>9.9999999999999992E-2</v>
      </c>
    </row>
    <row r="16" spans="1:19" ht="17.100000000000001" customHeight="1" x14ac:dyDescent="0.3">
      <c r="A16" s="6" t="s">
        <v>15</v>
      </c>
      <c r="B16" s="94" t="s">
        <v>138</v>
      </c>
      <c r="C16" s="94">
        <f t="shared" si="7"/>
        <v>11</v>
      </c>
      <c r="D16" s="94" t="s">
        <v>64</v>
      </c>
      <c r="E16" s="95"/>
      <c r="F16" s="104">
        <v>1.71</v>
      </c>
      <c r="G16" s="105">
        <v>0</v>
      </c>
      <c r="H16" s="106">
        <f t="shared" si="1"/>
        <v>0</v>
      </c>
      <c r="I16" s="107"/>
      <c r="J16" s="108">
        <f t="shared" si="2"/>
        <v>0</v>
      </c>
      <c r="K16" s="108">
        <f t="shared" si="3"/>
        <v>0</v>
      </c>
      <c r="L16" s="109">
        <v>0</v>
      </c>
      <c r="M16" s="110">
        <f t="shared" si="0"/>
        <v>0</v>
      </c>
      <c r="N16" s="111">
        <v>0</v>
      </c>
      <c r="O16" s="112">
        <f t="shared" si="4"/>
        <v>0.10999999999999999</v>
      </c>
      <c r="P16" s="113">
        <f t="shared" si="5"/>
        <v>0.10999999999999999</v>
      </c>
      <c r="Q16" s="114">
        <f t="shared" si="6"/>
        <v>0.10999999999999999</v>
      </c>
      <c r="R16" s="57">
        <f t="shared" si="8"/>
        <v>0.10999999999999999</v>
      </c>
    </row>
    <row r="17" spans="1:20" ht="17.100000000000001" customHeight="1" x14ac:dyDescent="0.3">
      <c r="A17" s="6" t="s">
        <v>16</v>
      </c>
      <c r="B17" s="94" t="s">
        <v>139</v>
      </c>
      <c r="C17" s="94">
        <f t="shared" si="7"/>
        <v>12</v>
      </c>
      <c r="D17" s="94" t="s">
        <v>65</v>
      </c>
      <c r="E17" s="95"/>
      <c r="F17" s="104">
        <v>1.1299999999999999</v>
      </c>
      <c r="G17" s="105">
        <v>0</v>
      </c>
      <c r="H17" s="106">
        <f t="shared" si="1"/>
        <v>0</v>
      </c>
      <c r="I17" s="107"/>
      <c r="J17" s="108">
        <f t="shared" si="2"/>
        <v>0</v>
      </c>
      <c r="K17" s="108">
        <f t="shared" si="3"/>
        <v>0</v>
      </c>
      <c r="L17" s="109">
        <v>0</v>
      </c>
      <c r="M17" s="110">
        <f t="shared" si="0"/>
        <v>0</v>
      </c>
      <c r="N17" s="111">
        <v>0</v>
      </c>
      <c r="O17" s="112">
        <f t="shared" si="4"/>
        <v>0.11999999999999998</v>
      </c>
      <c r="P17" s="113">
        <f t="shared" si="5"/>
        <v>0.11999999999999998</v>
      </c>
      <c r="Q17" s="114">
        <f t="shared" si="6"/>
        <v>0.11999999999999998</v>
      </c>
      <c r="R17" s="57">
        <f t="shared" si="8"/>
        <v>0.11999999999999998</v>
      </c>
    </row>
    <row r="18" spans="1:20" ht="17.100000000000001" customHeight="1" x14ac:dyDescent="0.3">
      <c r="A18" s="6" t="s">
        <v>16</v>
      </c>
      <c r="B18" s="94" t="s">
        <v>140</v>
      </c>
      <c r="C18" s="94">
        <f t="shared" si="7"/>
        <v>13</v>
      </c>
      <c r="D18" s="94" t="s">
        <v>66</v>
      </c>
      <c r="E18" s="95"/>
      <c r="F18" s="104">
        <v>1.1299999999999999</v>
      </c>
      <c r="G18" s="105">
        <v>0</v>
      </c>
      <c r="H18" s="106">
        <f t="shared" si="1"/>
        <v>0</v>
      </c>
      <c r="I18" s="107"/>
      <c r="J18" s="108">
        <f t="shared" si="2"/>
        <v>0</v>
      </c>
      <c r="K18" s="108">
        <f t="shared" si="3"/>
        <v>0</v>
      </c>
      <c r="L18" s="109">
        <v>0</v>
      </c>
      <c r="M18" s="110">
        <f t="shared" si="0"/>
        <v>0</v>
      </c>
      <c r="N18" s="111">
        <v>0</v>
      </c>
      <c r="O18" s="112">
        <f t="shared" si="4"/>
        <v>0.12999999999999998</v>
      </c>
      <c r="P18" s="113">
        <f t="shared" si="5"/>
        <v>0.12999999999999998</v>
      </c>
      <c r="Q18" s="114">
        <f t="shared" si="6"/>
        <v>0.12999999999999998</v>
      </c>
      <c r="R18" s="57">
        <f t="shared" si="8"/>
        <v>0.12999999999999998</v>
      </c>
    </row>
    <row r="19" spans="1:20" ht="17.100000000000001" customHeight="1" x14ac:dyDescent="0.3">
      <c r="A19" s="6" t="s">
        <v>17</v>
      </c>
      <c r="B19" s="94" t="s">
        <v>141</v>
      </c>
      <c r="C19" s="94">
        <f t="shared" si="7"/>
        <v>14</v>
      </c>
      <c r="D19" s="94" t="s">
        <v>67</v>
      </c>
      <c r="E19" s="95"/>
      <c r="F19" s="104">
        <v>1.1299999999999999</v>
      </c>
      <c r="G19" s="105"/>
      <c r="H19" s="106"/>
      <c r="I19" s="107"/>
      <c r="J19" s="108">
        <f t="shared" si="2"/>
        <v>0</v>
      </c>
      <c r="K19" s="108">
        <f t="shared" si="3"/>
        <v>0</v>
      </c>
      <c r="L19" s="109">
        <v>0</v>
      </c>
      <c r="M19" s="110">
        <f t="shared" si="0"/>
        <v>0</v>
      </c>
      <c r="N19" s="111">
        <v>0</v>
      </c>
      <c r="O19" s="112">
        <f t="shared" si="4"/>
        <v>0.13999999999999999</v>
      </c>
      <c r="P19" s="113">
        <f t="shared" si="5"/>
        <v>0.13999999999999999</v>
      </c>
      <c r="Q19" s="114">
        <f t="shared" si="6"/>
        <v>0.13999999999999999</v>
      </c>
      <c r="R19" s="57">
        <f t="shared" si="8"/>
        <v>0.13999999999999999</v>
      </c>
    </row>
    <row r="20" spans="1:20" ht="17.100000000000001" customHeight="1" x14ac:dyDescent="0.3">
      <c r="A20" s="6" t="s">
        <v>17</v>
      </c>
      <c r="B20" s="94" t="s">
        <v>142</v>
      </c>
      <c r="C20" s="94">
        <f t="shared" si="7"/>
        <v>15</v>
      </c>
      <c r="D20" s="94" t="s">
        <v>68</v>
      </c>
      <c r="E20" s="95"/>
      <c r="F20" s="104">
        <v>1.67</v>
      </c>
      <c r="G20" s="105">
        <v>0</v>
      </c>
      <c r="H20" s="106">
        <f t="shared" ref="H20:H25" si="9">G20</f>
        <v>0</v>
      </c>
      <c r="I20" s="107"/>
      <c r="J20" s="108">
        <f>G20-H20</f>
        <v>0</v>
      </c>
      <c r="K20" s="108">
        <f t="shared" si="3"/>
        <v>0</v>
      </c>
      <c r="L20" s="109">
        <v>0</v>
      </c>
      <c r="M20" s="110">
        <f t="shared" si="0"/>
        <v>0</v>
      </c>
      <c r="N20" s="111">
        <v>0</v>
      </c>
      <c r="O20" s="112">
        <f t="shared" si="4"/>
        <v>0.15</v>
      </c>
      <c r="P20" s="113">
        <f t="shared" si="5"/>
        <v>0.15</v>
      </c>
      <c r="Q20" s="114">
        <f t="shared" si="6"/>
        <v>0.15</v>
      </c>
      <c r="R20" s="57">
        <f t="shared" si="8"/>
        <v>0.15</v>
      </c>
    </row>
    <row r="21" spans="1:20" ht="17.100000000000001" customHeight="1" x14ac:dyDescent="0.3">
      <c r="A21" s="6" t="s">
        <v>18</v>
      </c>
      <c r="B21" s="94" t="s">
        <v>143</v>
      </c>
      <c r="C21" s="94">
        <f t="shared" si="7"/>
        <v>16</v>
      </c>
      <c r="D21" s="94" t="s">
        <v>53</v>
      </c>
      <c r="E21" s="94"/>
      <c r="F21" s="104">
        <v>1.71</v>
      </c>
      <c r="G21" s="105">
        <v>0</v>
      </c>
      <c r="H21" s="106">
        <f t="shared" si="9"/>
        <v>0</v>
      </c>
      <c r="I21" s="107"/>
      <c r="J21" s="108">
        <f t="shared" si="2"/>
        <v>0</v>
      </c>
      <c r="K21" s="108">
        <f t="shared" si="3"/>
        <v>0</v>
      </c>
      <c r="L21" s="109">
        <v>0</v>
      </c>
      <c r="M21" s="110">
        <f t="shared" si="0"/>
        <v>0</v>
      </c>
      <c r="N21" s="111">
        <v>0</v>
      </c>
      <c r="O21" s="112">
        <f t="shared" si="4"/>
        <v>0.16</v>
      </c>
      <c r="P21" s="113">
        <f t="shared" si="5"/>
        <v>0.16</v>
      </c>
      <c r="Q21" s="114">
        <f t="shared" si="6"/>
        <v>0.16</v>
      </c>
      <c r="R21" s="57">
        <f t="shared" si="8"/>
        <v>0.16</v>
      </c>
      <c r="T21" s="56"/>
    </row>
    <row r="22" spans="1:20" ht="17.100000000000001" customHeight="1" x14ac:dyDescent="0.3">
      <c r="A22" s="6" t="s">
        <v>18</v>
      </c>
      <c r="B22" s="94" t="s">
        <v>144</v>
      </c>
      <c r="C22" s="94">
        <f t="shared" si="7"/>
        <v>17</v>
      </c>
      <c r="D22" s="94" t="s">
        <v>69</v>
      </c>
      <c r="E22" s="95"/>
      <c r="F22" s="104">
        <v>1.1299999999999999</v>
      </c>
      <c r="G22" s="105">
        <v>0</v>
      </c>
      <c r="H22" s="106">
        <f t="shared" si="9"/>
        <v>0</v>
      </c>
      <c r="I22" s="107"/>
      <c r="J22" s="108">
        <f t="shared" si="2"/>
        <v>0</v>
      </c>
      <c r="K22" s="108">
        <f t="shared" si="3"/>
        <v>0</v>
      </c>
      <c r="L22" s="109">
        <v>0</v>
      </c>
      <c r="M22" s="110">
        <f t="shared" si="0"/>
        <v>0</v>
      </c>
      <c r="N22" s="111">
        <v>0</v>
      </c>
      <c r="O22" s="112">
        <f t="shared" si="4"/>
        <v>0.17</v>
      </c>
      <c r="P22" s="113">
        <f t="shared" si="5"/>
        <v>0.17</v>
      </c>
      <c r="Q22" s="114">
        <f t="shared" si="6"/>
        <v>0.17</v>
      </c>
      <c r="R22" s="57">
        <f t="shared" si="8"/>
        <v>0.17</v>
      </c>
    </row>
    <row r="23" spans="1:20" ht="17.100000000000001" customHeight="1" x14ac:dyDescent="0.3">
      <c r="A23" s="6" t="s">
        <v>19</v>
      </c>
      <c r="B23" s="94" t="s">
        <v>145</v>
      </c>
      <c r="C23" s="94">
        <f t="shared" si="7"/>
        <v>18</v>
      </c>
      <c r="D23" s="94" t="s">
        <v>70</v>
      </c>
      <c r="E23" s="94"/>
      <c r="F23" s="104">
        <v>1.1299999999999999</v>
      </c>
      <c r="G23" s="105">
        <v>0</v>
      </c>
      <c r="H23" s="106">
        <f t="shared" si="9"/>
        <v>0</v>
      </c>
      <c r="I23" s="107"/>
      <c r="J23" s="108">
        <f t="shared" si="2"/>
        <v>0</v>
      </c>
      <c r="K23" s="108">
        <f t="shared" si="3"/>
        <v>0</v>
      </c>
      <c r="L23" s="109">
        <v>0</v>
      </c>
      <c r="M23" s="110">
        <f t="shared" si="0"/>
        <v>0</v>
      </c>
      <c r="N23" s="111">
        <v>0</v>
      </c>
      <c r="O23" s="112">
        <f t="shared" si="4"/>
        <v>0.18000000000000002</v>
      </c>
      <c r="P23" s="113">
        <f t="shared" si="5"/>
        <v>0.18000000000000002</v>
      </c>
      <c r="Q23" s="114">
        <f t="shared" si="6"/>
        <v>0.18000000000000002</v>
      </c>
      <c r="R23" s="57">
        <f t="shared" si="8"/>
        <v>0.18000000000000002</v>
      </c>
    </row>
    <row r="24" spans="1:20" ht="17.100000000000001" customHeight="1" x14ac:dyDescent="0.3">
      <c r="A24" s="6" t="s">
        <v>19</v>
      </c>
      <c r="B24" s="94" t="s">
        <v>146</v>
      </c>
      <c r="C24" s="94">
        <f t="shared" si="7"/>
        <v>19</v>
      </c>
      <c r="D24" s="94" t="s">
        <v>71</v>
      </c>
      <c r="E24" s="95"/>
      <c r="F24" s="104">
        <v>1.1299999999999999</v>
      </c>
      <c r="G24" s="105">
        <v>0</v>
      </c>
      <c r="H24" s="106">
        <f t="shared" si="9"/>
        <v>0</v>
      </c>
      <c r="I24" s="107"/>
      <c r="J24" s="108">
        <f t="shared" si="2"/>
        <v>0</v>
      </c>
      <c r="K24" s="108">
        <f t="shared" si="3"/>
        <v>0</v>
      </c>
      <c r="L24" s="109">
        <v>0</v>
      </c>
      <c r="M24" s="110">
        <f t="shared" si="0"/>
        <v>0</v>
      </c>
      <c r="N24" s="111">
        <v>0</v>
      </c>
      <c r="O24" s="112">
        <f t="shared" si="4"/>
        <v>0.19000000000000003</v>
      </c>
      <c r="P24" s="113">
        <f t="shared" si="5"/>
        <v>0.19000000000000003</v>
      </c>
      <c r="Q24" s="114">
        <f t="shared" si="6"/>
        <v>0.19000000000000003</v>
      </c>
      <c r="R24" s="57">
        <f t="shared" si="8"/>
        <v>0.19000000000000003</v>
      </c>
    </row>
    <row r="25" spans="1:20" ht="17.100000000000001" customHeight="1" x14ac:dyDescent="0.3">
      <c r="A25" s="6" t="s">
        <v>20</v>
      </c>
      <c r="B25" s="94" t="s">
        <v>147</v>
      </c>
      <c r="C25" s="94">
        <f t="shared" si="7"/>
        <v>20</v>
      </c>
      <c r="D25" s="94" t="s">
        <v>54</v>
      </c>
      <c r="E25" s="94"/>
      <c r="F25" s="104">
        <v>1.67</v>
      </c>
      <c r="G25" s="105">
        <v>0</v>
      </c>
      <c r="H25" s="106">
        <f t="shared" si="9"/>
        <v>0</v>
      </c>
      <c r="I25" s="107"/>
      <c r="J25" s="146">
        <f t="shared" si="2"/>
        <v>0</v>
      </c>
      <c r="K25" s="108">
        <f t="shared" si="3"/>
        <v>0</v>
      </c>
      <c r="L25" s="109">
        <v>0</v>
      </c>
      <c r="M25" s="110">
        <f t="shared" si="0"/>
        <v>0</v>
      </c>
      <c r="N25" s="111">
        <v>0</v>
      </c>
      <c r="O25" s="112">
        <f t="shared" si="4"/>
        <v>0.20000000000000004</v>
      </c>
      <c r="P25" s="113">
        <f t="shared" si="5"/>
        <v>0.20000000000000004</v>
      </c>
      <c r="Q25" s="114">
        <f t="shared" si="6"/>
        <v>0.20000000000000004</v>
      </c>
      <c r="R25" s="57">
        <f t="shared" si="8"/>
        <v>0.20000000000000004</v>
      </c>
    </row>
    <row r="26" spans="1:20" ht="17.100000000000001" customHeight="1" x14ac:dyDescent="0.3">
      <c r="A26" s="6" t="s">
        <v>21</v>
      </c>
      <c r="B26" s="94" t="s">
        <v>148</v>
      </c>
      <c r="C26" s="94">
        <f t="shared" si="7"/>
        <v>21</v>
      </c>
      <c r="D26" s="94" t="s">
        <v>72</v>
      </c>
      <c r="E26" s="95"/>
      <c r="F26" s="104">
        <v>1.71</v>
      </c>
      <c r="G26" s="105">
        <v>0</v>
      </c>
      <c r="H26" s="106">
        <f>G26</f>
        <v>0</v>
      </c>
      <c r="I26" s="107"/>
      <c r="J26" s="108">
        <f t="shared" si="2"/>
        <v>0</v>
      </c>
      <c r="K26" s="108">
        <f t="shared" si="3"/>
        <v>0</v>
      </c>
      <c r="L26" s="109">
        <v>0</v>
      </c>
      <c r="M26" s="110">
        <f t="shared" si="0"/>
        <v>0</v>
      </c>
      <c r="N26" s="111">
        <v>0</v>
      </c>
      <c r="O26" s="112">
        <f t="shared" si="4"/>
        <v>0.21000000000000005</v>
      </c>
      <c r="P26" s="113">
        <f t="shared" si="5"/>
        <v>0.21000000000000005</v>
      </c>
      <c r="Q26" s="114">
        <f t="shared" si="6"/>
        <v>0.21000000000000005</v>
      </c>
      <c r="R26" s="57">
        <f t="shared" si="8"/>
        <v>0.21000000000000005</v>
      </c>
    </row>
    <row r="27" spans="1:20" ht="17.100000000000001" customHeight="1" x14ac:dyDescent="0.3">
      <c r="A27" s="6" t="s">
        <v>22</v>
      </c>
      <c r="B27" s="94" t="s">
        <v>149</v>
      </c>
      <c r="C27" s="94">
        <f t="shared" si="7"/>
        <v>22</v>
      </c>
      <c r="D27" s="94" t="s">
        <v>73</v>
      </c>
      <c r="E27" s="95"/>
      <c r="F27" s="104">
        <v>1.1299999999999999</v>
      </c>
      <c r="G27" s="105">
        <v>0</v>
      </c>
      <c r="H27" s="106">
        <f>G27</f>
        <v>0</v>
      </c>
      <c r="I27" s="107"/>
      <c r="J27" s="108">
        <f t="shared" si="2"/>
        <v>0</v>
      </c>
      <c r="K27" s="108">
        <f t="shared" si="3"/>
        <v>0</v>
      </c>
      <c r="L27" s="109">
        <v>0</v>
      </c>
      <c r="M27" s="110">
        <f t="shared" si="0"/>
        <v>0</v>
      </c>
      <c r="N27" s="111">
        <v>0</v>
      </c>
      <c r="O27" s="112">
        <f t="shared" si="4"/>
        <v>0.22000000000000006</v>
      </c>
      <c r="P27" s="113">
        <f t="shared" si="5"/>
        <v>0.22000000000000006</v>
      </c>
      <c r="Q27" s="114">
        <f t="shared" si="6"/>
        <v>0.22000000000000006</v>
      </c>
      <c r="R27" s="57">
        <f t="shared" si="8"/>
        <v>0.22000000000000006</v>
      </c>
    </row>
    <row r="28" spans="1:20" ht="17.100000000000001" customHeight="1" x14ac:dyDescent="0.3">
      <c r="A28" s="6" t="s">
        <v>23</v>
      </c>
      <c r="B28" s="94" t="s">
        <v>150</v>
      </c>
      <c r="C28" s="94">
        <f t="shared" si="7"/>
        <v>23</v>
      </c>
      <c r="D28" s="94" t="s">
        <v>74</v>
      </c>
      <c r="E28" s="95"/>
      <c r="F28" s="104">
        <v>1.1299999999999999</v>
      </c>
      <c r="G28" s="105">
        <v>0</v>
      </c>
      <c r="H28" s="106">
        <f>G28</f>
        <v>0</v>
      </c>
      <c r="I28" s="107"/>
      <c r="J28" s="108">
        <f t="shared" si="2"/>
        <v>0</v>
      </c>
      <c r="K28" s="108">
        <f t="shared" si="3"/>
        <v>0</v>
      </c>
      <c r="L28" s="109">
        <v>0</v>
      </c>
      <c r="M28" s="110">
        <f t="shared" si="0"/>
        <v>0</v>
      </c>
      <c r="N28" s="111">
        <v>0</v>
      </c>
      <c r="O28" s="112">
        <f t="shared" si="4"/>
        <v>0.23000000000000007</v>
      </c>
      <c r="P28" s="113">
        <f t="shared" si="5"/>
        <v>0.23000000000000007</v>
      </c>
      <c r="Q28" s="114">
        <f t="shared" si="6"/>
        <v>0.23000000000000007</v>
      </c>
      <c r="R28" s="57">
        <f t="shared" si="8"/>
        <v>0.23000000000000007</v>
      </c>
    </row>
    <row r="29" spans="1:20" ht="17.100000000000001" customHeight="1" x14ac:dyDescent="0.3">
      <c r="A29" s="6" t="s">
        <v>26</v>
      </c>
      <c r="B29" s="94" t="s">
        <v>151</v>
      </c>
      <c r="C29" s="94">
        <f t="shared" si="7"/>
        <v>24</v>
      </c>
      <c r="D29" s="94" t="s">
        <v>75</v>
      </c>
      <c r="E29" s="95"/>
      <c r="F29" s="104">
        <v>1.1299999999999999</v>
      </c>
      <c r="G29" s="105"/>
      <c r="H29" s="106">
        <f>G29</f>
        <v>0</v>
      </c>
      <c r="I29" s="107"/>
      <c r="J29" s="108">
        <f t="shared" si="2"/>
        <v>0</v>
      </c>
      <c r="K29" s="108">
        <f t="shared" si="3"/>
        <v>0</v>
      </c>
      <c r="L29" s="109">
        <v>0</v>
      </c>
      <c r="M29" s="110">
        <f t="shared" si="0"/>
        <v>0</v>
      </c>
      <c r="N29" s="111">
        <v>0</v>
      </c>
      <c r="O29" s="112">
        <f t="shared" si="4"/>
        <v>0.24000000000000007</v>
      </c>
      <c r="P29" s="113">
        <f t="shared" si="5"/>
        <v>0.24000000000000007</v>
      </c>
      <c r="Q29" s="114">
        <f t="shared" si="6"/>
        <v>0.24000000000000007</v>
      </c>
      <c r="R29" s="57">
        <f t="shared" si="8"/>
        <v>0.24000000000000007</v>
      </c>
    </row>
    <row r="30" spans="1:20" ht="17.100000000000001" customHeight="1" x14ac:dyDescent="0.3">
      <c r="A30" s="6" t="s">
        <v>26</v>
      </c>
      <c r="B30" s="94" t="s">
        <v>152</v>
      </c>
      <c r="C30" s="94">
        <f t="shared" si="7"/>
        <v>25</v>
      </c>
      <c r="D30" s="94" t="s">
        <v>76</v>
      </c>
      <c r="E30" s="94"/>
      <c r="F30" s="104">
        <v>1.67</v>
      </c>
      <c r="G30" s="105">
        <v>0</v>
      </c>
      <c r="H30" s="106">
        <f t="shared" ref="H30:H35" si="10">G30</f>
        <v>0</v>
      </c>
      <c r="I30" s="107"/>
      <c r="J30" s="108">
        <f t="shared" si="2"/>
        <v>0</v>
      </c>
      <c r="K30" s="108">
        <f t="shared" si="3"/>
        <v>0</v>
      </c>
      <c r="L30" s="109">
        <v>0</v>
      </c>
      <c r="M30" s="110">
        <f t="shared" si="0"/>
        <v>0</v>
      </c>
      <c r="N30" s="111">
        <v>0</v>
      </c>
      <c r="O30" s="112">
        <f t="shared" si="4"/>
        <v>0.25000000000000006</v>
      </c>
      <c r="P30" s="113">
        <f t="shared" si="5"/>
        <v>0.25000000000000006</v>
      </c>
      <c r="Q30" s="114">
        <f t="shared" si="6"/>
        <v>0.25000000000000006</v>
      </c>
      <c r="R30" s="57">
        <f t="shared" si="8"/>
        <v>0.25000000000000006</v>
      </c>
    </row>
    <row r="31" spans="1:20" ht="17.100000000000001" customHeight="1" x14ac:dyDescent="0.3">
      <c r="A31" s="6" t="s">
        <v>26</v>
      </c>
      <c r="B31" s="94" t="s">
        <v>153</v>
      </c>
      <c r="C31" s="94">
        <f t="shared" si="7"/>
        <v>26</v>
      </c>
      <c r="D31" s="94" t="s">
        <v>204</v>
      </c>
      <c r="E31" s="94"/>
      <c r="F31" s="104">
        <v>1.71</v>
      </c>
      <c r="G31" s="105">
        <v>0</v>
      </c>
      <c r="H31" s="106">
        <f t="shared" si="10"/>
        <v>0</v>
      </c>
      <c r="I31" s="107"/>
      <c r="J31" s="108">
        <f t="shared" si="2"/>
        <v>0</v>
      </c>
      <c r="K31" s="108">
        <f t="shared" si="3"/>
        <v>0</v>
      </c>
      <c r="L31" s="109">
        <v>0</v>
      </c>
      <c r="M31" s="110">
        <f t="shared" si="0"/>
        <v>0</v>
      </c>
      <c r="N31" s="111">
        <v>0</v>
      </c>
      <c r="O31" s="112">
        <f t="shared" si="4"/>
        <v>0.26000000000000006</v>
      </c>
      <c r="P31" s="113">
        <f t="shared" si="5"/>
        <v>0.26000000000000006</v>
      </c>
      <c r="Q31" s="114">
        <f t="shared" si="6"/>
        <v>0.26000000000000006</v>
      </c>
      <c r="R31" s="57">
        <f t="shared" si="8"/>
        <v>0.26000000000000006</v>
      </c>
    </row>
    <row r="32" spans="1:20" ht="17.100000000000001" customHeight="1" x14ac:dyDescent="0.3">
      <c r="A32" s="6" t="s">
        <v>26</v>
      </c>
      <c r="B32" s="94" t="s">
        <v>154</v>
      </c>
      <c r="C32" s="94">
        <f t="shared" si="7"/>
        <v>27</v>
      </c>
      <c r="D32" s="94" t="s">
        <v>77</v>
      </c>
      <c r="E32" s="95"/>
      <c r="F32" s="104">
        <v>1.1299999999999999</v>
      </c>
      <c r="G32" s="105">
        <v>0</v>
      </c>
      <c r="H32" s="106">
        <f t="shared" si="10"/>
        <v>0</v>
      </c>
      <c r="I32" s="107"/>
      <c r="J32" s="108">
        <f t="shared" si="2"/>
        <v>0</v>
      </c>
      <c r="K32" s="108">
        <f t="shared" si="3"/>
        <v>0</v>
      </c>
      <c r="L32" s="109">
        <v>0</v>
      </c>
      <c r="M32" s="110">
        <f t="shared" si="0"/>
        <v>0</v>
      </c>
      <c r="N32" s="111">
        <v>0</v>
      </c>
      <c r="O32" s="112">
        <f t="shared" si="4"/>
        <v>0.27000000000000007</v>
      </c>
      <c r="P32" s="113">
        <f t="shared" si="5"/>
        <v>0.27000000000000007</v>
      </c>
      <c r="Q32" s="114">
        <f t="shared" si="6"/>
        <v>0.27000000000000007</v>
      </c>
      <c r="R32" s="57">
        <f t="shared" si="8"/>
        <v>0.27000000000000007</v>
      </c>
    </row>
    <row r="33" spans="1:18" ht="17.100000000000001" customHeight="1" x14ac:dyDescent="0.3">
      <c r="A33" s="6" t="s">
        <v>26</v>
      </c>
      <c r="B33" s="94" t="s">
        <v>155</v>
      </c>
      <c r="C33" s="94">
        <f t="shared" si="7"/>
        <v>28</v>
      </c>
      <c r="D33" s="94" t="s">
        <v>55</v>
      </c>
      <c r="E33" s="94"/>
      <c r="F33" s="104">
        <v>1.1299999999999999</v>
      </c>
      <c r="G33" s="105">
        <v>0</v>
      </c>
      <c r="H33" s="106">
        <f t="shared" si="10"/>
        <v>0</v>
      </c>
      <c r="I33" s="107"/>
      <c r="J33" s="108">
        <f t="shared" si="2"/>
        <v>0</v>
      </c>
      <c r="K33" s="108">
        <f t="shared" si="3"/>
        <v>0</v>
      </c>
      <c r="L33" s="109">
        <v>0</v>
      </c>
      <c r="M33" s="110">
        <f t="shared" si="0"/>
        <v>0</v>
      </c>
      <c r="N33" s="156">
        <v>42488</v>
      </c>
      <c r="O33" s="112">
        <f t="shared" si="4"/>
        <v>42488.28</v>
      </c>
      <c r="P33" s="113">
        <f t="shared" si="5"/>
        <v>45038.28</v>
      </c>
      <c r="Q33" s="114">
        <f t="shared" si="6"/>
        <v>43763.28</v>
      </c>
      <c r="R33" s="57">
        <f t="shared" si="8"/>
        <v>0.28000000000000008</v>
      </c>
    </row>
    <row r="34" spans="1:18" ht="17.100000000000001" customHeight="1" x14ac:dyDescent="0.3">
      <c r="A34" s="6" t="s">
        <v>26</v>
      </c>
      <c r="B34" s="94" t="s">
        <v>156</v>
      </c>
      <c r="C34" s="94">
        <f t="shared" si="7"/>
        <v>29</v>
      </c>
      <c r="D34" s="94" t="s">
        <v>56</v>
      </c>
      <c r="E34" s="94"/>
      <c r="F34" s="104">
        <v>1.1299999999999999</v>
      </c>
      <c r="G34" s="105">
        <v>0</v>
      </c>
      <c r="H34" s="106">
        <f t="shared" si="10"/>
        <v>0</v>
      </c>
      <c r="I34" s="107"/>
      <c r="J34" s="108">
        <f t="shared" si="2"/>
        <v>0</v>
      </c>
      <c r="K34" s="108">
        <f t="shared" si="3"/>
        <v>0</v>
      </c>
      <c r="L34" s="109">
        <v>0</v>
      </c>
      <c r="M34" s="110">
        <f t="shared" si="0"/>
        <v>0</v>
      </c>
      <c r="N34" s="111">
        <v>0</v>
      </c>
      <c r="O34" s="112">
        <f t="shared" si="4"/>
        <v>0.29000000000000009</v>
      </c>
      <c r="P34" s="113">
        <f t="shared" si="5"/>
        <v>0.29000000000000009</v>
      </c>
      <c r="Q34" s="114">
        <f t="shared" si="6"/>
        <v>0.29000000000000009</v>
      </c>
      <c r="R34" s="57">
        <f t="shared" si="8"/>
        <v>0.29000000000000009</v>
      </c>
    </row>
    <row r="35" spans="1:18" ht="17.100000000000001" customHeight="1" x14ac:dyDescent="0.3">
      <c r="A35" s="6" t="s">
        <v>26</v>
      </c>
      <c r="B35" s="94" t="s">
        <v>157</v>
      </c>
      <c r="C35" s="94">
        <f t="shared" si="7"/>
        <v>30</v>
      </c>
      <c r="D35" s="94" t="s">
        <v>78</v>
      </c>
      <c r="E35" s="95"/>
      <c r="F35" s="104">
        <v>1.67</v>
      </c>
      <c r="G35" s="105">
        <v>0</v>
      </c>
      <c r="H35" s="106">
        <f t="shared" si="10"/>
        <v>0</v>
      </c>
      <c r="I35" s="107"/>
      <c r="J35" s="108">
        <f t="shared" si="2"/>
        <v>0</v>
      </c>
      <c r="K35" s="108">
        <f t="shared" si="3"/>
        <v>0</v>
      </c>
      <c r="L35" s="109">
        <v>0</v>
      </c>
      <c r="M35" s="110">
        <f t="shared" si="0"/>
        <v>0</v>
      </c>
      <c r="N35" s="111">
        <v>0</v>
      </c>
      <c r="O35" s="112">
        <f t="shared" si="4"/>
        <v>0.3000000000000001</v>
      </c>
      <c r="P35" s="113">
        <f t="shared" si="5"/>
        <v>0.3000000000000001</v>
      </c>
      <c r="Q35" s="114">
        <f t="shared" si="6"/>
        <v>0.3000000000000001</v>
      </c>
      <c r="R35" s="57">
        <f t="shared" si="8"/>
        <v>0.3000000000000001</v>
      </c>
    </row>
    <row r="36" spans="1:18" ht="0.75" customHeight="1" x14ac:dyDescent="0.3">
      <c r="A36" s="6" t="s">
        <v>26</v>
      </c>
      <c r="B36" s="94"/>
      <c r="C36" s="94"/>
      <c r="D36" s="94"/>
      <c r="E36" s="94"/>
      <c r="F36" s="104"/>
      <c r="G36" s="105">
        <v>0</v>
      </c>
      <c r="H36" s="106"/>
      <c r="I36" s="115"/>
      <c r="J36" s="116">
        <f t="shared" si="2"/>
        <v>0</v>
      </c>
      <c r="K36" s="108">
        <f t="shared" si="3"/>
        <v>0</v>
      </c>
      <c r="L36" s="109">
        <v>0</v>
      </c>
      <c r="M36" s="117">
        <f t="shared" si="0"/>
        <v>0</v>
      </c>
      <c r="N36" s="118">
        <v>0</v>
      </c>
      <c r="O36" s="112">
        <f t="shared" si="4"/>
        <v>0</v>
      </c>
      <c r="P36" s="113">
        <f t="shared" si="5"/>
        <v>0</v>
      </c>
      <c r="Q36" s="114">
        <f t="shared" si="6"/>
        <v>0</v>
      </c>
      <c r="R36" s="57"/>
    </row>
    <row r="37" spans="1:18" ht="17.100000000000001" customHeight="1" x14ac:dyDescent="0.3">
      <c r="A37" s="6" t="s">
        <v>26</v>
      </c>
      <c r="B37" s="94" t="s">
        <v>158</v>
      </c>
      <c r="C37" s="94">
        <v>31</v>
      </c>
      <c r="D37" s="94" t="s">
        <v>95</v>
      </c>
      <c r="E37" s="95"/>
      <c r="F37" s="104">
        <v>1.71</v>
      </c>
      <c r="G37" s="105">
        <v>0</v>
      </c>
      <c r="H37" s="106">
        <f>G37</f>
        <v>0</v>
      </c>
      <c r="I37" s="107"/>
      <c r="J37" s="108">
        <f t="shared" si="2"/>
        <v>0</v>
      </c>
      <c r="K37" s="108">
        <f t="shared" si="3"/>
        <v>0</v>
      </c>
      <c r="L37" s="109">
        <v>0</v>
      </c>
      <c r="M37" s="110">
        <f t="shared" si="0"/>
        <v>0</v>
      </c>
      <c r="N37" s="111">
        <v>0</v>
      </c>
      <c r="O37" s="112">
        <f t="shared" si="4"/>
        <v>0.31</v>
      </c>
      <c r="P37" s="113">
        <f t="shared" si="5"/>
        <v>0.31</v>
      </c>
      <c r="Q37" s="114">
        <f t="shared" si="6"/>
        <v>0.31</v>
      </c>
      <c r="R37" s="57">
        <v>0.31</v>
      </c>
    </row>
    <row r="38" spans="1:18" ht="17.100000000000001" customHeight="1" x14ac:dyDescent="0.3">
      <c r="A38" s="6" t="s">
        <v>26</v>
      </c>
      <c r="B38" s="94" t="s">
        <v>159</v>
      </c>
      <c r="C38" s="94">
        <f>C37+1</f>
        <v>32</v>
      </c>
      <c r="D38" s="94" t="s">
        <v>96</v>
      </c>
      <c r="E38" s="95"/>
      <c r="F38" s="104">
        <v>1.1299999999999999</v>
      </c>
      <c r="G38" s="105">
        <v>0</v>
      </c>
      <c r="H38" s="106">
        <f>G38</f>
        <v>0</v>
      </c>
      <c r="I38" s="107"/>
      <c r="J38" s="108">
        <f t="shared" si="2"/>
        <v>0</v>
      </c>
      <c r="K38" s="108">
        <f t="shared" si="3"/>
        <v>0</v>
      </c>
      <c r="L38" s="109">
        <v>0</v>
      </c>
      <c r="M38" s="110">
        <f t="shared" si="0"/>
        <v>0</v>
      </c>
      <c r="N38" s="111">
        <v>0</v>
      </c>
      <c r="O38" s="112">
        <f t="shared" si="4"/>
        <v>0.32</v>
      </c>
      <c r="P38" s="113">
        <f t="shared" si="5"/>
        <v>0.32</v>
      </c>
      <c r="Q38" s="114">
        <f t="shared" si="6"/>
        <v>0.32</v>
      </c>
      <c r="R38" s="57">
        <f t="shared" si="8"/>
        <v>0.32</v>
      </c>
    </row>
    <row r="39" spans="1:18" ht="17.100000000000001" customHeight="1" x14ac:dyDescent="0.3">
      <c r="A39" s="6" t="s">
        <v>26</v>
      </c>
      <c r="B39" s="94" t="s">
        <v>160</v>
      </c>
      <c r="C39" s="94">
        <f t="shared" ref="C39:C80" si="11">C38+1</f>
        <v>33</v>
      </c>
      <c r="D39" s="94" t="s">
        <v>79</v>
      </c>
      <c r="E39" s="94"/>
      <c r="F39" s="104">
        <v>1.1299999999999999</v>
      </c>
      <c r="G39" s="105">
        <v>0</v>
      </c>
      <c r="H39" s="106">
        <f>G39</f>
        <v>0</v>
      </c>
      <c r="I39" s="107"/>
      <c r="J39" s="108">
        <f t="shared" si="2"/>
        <v>0</v>
      </c>
      <c r="K39" s="108">
        <f t="shared" si="3"/>
        <v>0</v>
      </c>
      <c r="L39" s="109">
        <v>0</v>
      </c>
      <c r="M39" s="110">
        <f t="shared" si="0"/>
        <v>0</v>
      </c>
      <c r="N39" s="111">
        <v>0</v>
      </c>
      <c r="O39" s="112">
        <f t="shared" si="4"/>
        <v>0.33</v>
      </c>
      <c r="P39" s="113">
        <f t="shared" si="5"/>
        <v>0.33</v>
      </c>
      <c r="Q39" s="114">
        <f t="shared" si="6"/>
        <v>0.33</v>
      </c>
      <c r="R39" s="57">
        <f t="shared" si="8"/>
        <v>0.33</v>
      </c>
    </row>
    <row r="40" spans="1:18" ht="17.100000000000001" customHeight="1" x14ac:dyDescent="0.3">
      <c r="A40" s="6" t="s">
        <v>26</v>
      </c>
      <c r="B40" s="94" t="s">
        <v>161</v>
      </c>
      <c r="C40" s="94">
        <f t="shared" si="11"/>
        <v>34</v>
      </c>
      <c r="D40" s="94" t="s">
        <v>97</v>
      </c>
      <c r="E40" s="95"/>
      <c r="F40" s="104">
        <v>1.1299999999999999</v>
      </c>
      <c r="G40" s="105">
        <v>0</v>
      </c>
      <c r="H40" s="106">
        <f>G40</f>
        <v>0</v>
      </c>
      <c r="I40" s="107"/>
      <c r="J40" s="108">
        <f t="shared" si="2"/>
        <v>0</v>
      </c>
      <c r="K40" s="108">
        <f t="shared" si="3"/>
        <v>0</v>
      </c>
      <c r="L40" s="109">
        <v>0</v>
      </c>
      <c r="M40" s="110">
        <f t="shared" si="0"/>
        <v>0</v>
      </c>
      <c r="N40" s="111">
        <v>0</v>
      </c>
      <c r="O40" s="112">
        <f t="shared" si="4"/>
        <v>0.34</v>
      </c>
      <c r="P40" s="113">
        <f t="shared" si="5"/>
        <v>0.34</v>
      </c>
      <c r="Q40" s="114">
        <f t="shared" si="6"/>
        <v>0.34</v>
      </c>
      <c r="R40" s="57">
        <f t="shared" si="8"/>
        <v>0.34</v>
      </c>
    </row>
    <row r="41" spans="1:18" ht="17.100000000000001" customHeight="1" x14ac:dyDescent="0.3">
      <c r="A41" s="6" t="s">
        <v>26</v>
      </c>
      <c r="B41" s="94" t="s">
        <v>162</v>
      </c>
      <c r="C41" s="94">
        <f t="shared" si="11"/>
        <v>35</v>
      </c>
      <c r="D41" s="94" t="s">
        <v>98</v>
      </c>
      <c r="E41" s="95"/>
      <c r="F41" s="104">
        <v>1.67</v>
      </c>
      <c r="G41" s="105">
        <v>0</v>
      </c>
      <c r="H41" s="106">
        <f t="shared" ref="H41:H46" si="12">G41</f>
        <v>0</v>
      </c>
      <c r="I41" s="107"/>
      <c r="J41" s="108">
        <f t="shared" si="2"/>
        <v>0</v>
      </c>
      <c r="K41" s="108">
        <f t="shared" si="3"/>
        <v>0</v>
      </c>
      <c r="L41" s="109">
        <v>0</v>
      </c>
      <c r="M41" s="110">
        <f t="shared" si="0"/>
        <v>0</v>
      </c>
      <c r="N41" s="111">
        <v>0</v>
      </c>
      <c r="O41" s="112">
        <f t="shared" si="4"/>
        <v>0.35000000000000003</v>
      </c>
      <c r="P41" s="113">
        <f t="shared" si="5"/>
        <v>0.35000000000000003</v>
      </c>
      <c r="Q41" s="114">
        <f t="shared" si="6"/>
        <v>0.35000000000000003</v>
      </c>
      <c r="R41" s="57">
        <f t="shared" si="8"/>
        <v>0.35000000000000003</v>
      </c>
    </row>
    <row r="42" spans="1:18" ht="17.100000000000001" customHeight="1" x14ac:dyDescent="0.3">
      <c r="A42" s="31"/>
      <c r="B42" s="93" t="s">
        <v>163</v>
      </c>
      <c r="C42" s="94">
        <f t="shared" si="11"/>
        <v>36</v>
      </c>
      <c r="D42" s="93" t="s">
        <v>99</v>
      </c>
      <c r="E42" s="119"/>
      <c r="F42" s="120">
        <v>1.71</v>
      </c>
      <c r="G42" s="105">
        <v>0</v>
      </c>
      <c r="H42" s="106">
        <f t="shared" si="12"/>
        <v>0</v>
      </c>
      <c r="I42" s="107"/>
      <c r="J42" s="108">
        <f t="shared" si="2"/>
        <v>0</v>
      </c>
      <c r="K42" s="108">
        <f t="shared" si="3"/>
        <v>0</v>
      </c>
      <c r="L42" s="109">
        <v>0</v>
      </c>
      <c r="M42" s="110">
        <f t="shared" si="0"/>
        <v>0</v>
      </c>
      <c r="N42" s="111">
        <v>0</v>
      </c>
      <c r="O42" s="112">
        <f t="shared" si="4"/>
        <v>0.36000000000000004</v>
      </c>
      <c r="P42" s="113">
        <f t="shared" si="5"/>
        <v>0.36000000000000004</v>
      </c>
      <c r="Q42" s="114">
        <f t="shared" si="6"/>
        <v>0.36000000000000004</v>
      </c>
      <c r="R42" s="57">
        <f t="shared" si="8"/>
        <v>0.36000000000000004</v>
      </c>
    </row>
    <row r="43" spans="1:18" ht="17.100000000000001" customHeight="1" x14ac:dyDescent="0.3">
      <c r="B43" s="94" t="s">
        <v>164</v>
      </c>
      <c r="C43" s="121">
        <f t="shared" si="11"/>
        <v>37</v>
      </c>
      <c r="D43" s="93" t="s">
        <v>80</v>
      </c>
      <c r="E43" s="93"/>
      <c r="F43" s="120">
        <v>1.1299999999999999</v>
      </c>
      <c r="G43" s="105">
        <v>0</v>
      </c>
      <c r="H43" s="106">
        <f t="shared" si="12"/>
        <v>0</v>
      </c>
      <c r="I43" s="107"/>
      <c r="J43" s="108">
        <f t="shared" si="2"/>
        <v>0</v>
      </c>
      <c r="K43" s="108">
        <f t="shared" si="3"/>
        <v>0</v>
      </c>
      <c r="L43" s="109">
        <v>0</v>
      </c>
      <c r="M43" s="110">
        <f t="shared" si="0"/>
        <v>0</v>
      </c>
      <c r="N43" s="111">
        <v>0</v>
      </c>
      <c r="O43" s="112">
        <f t="shared" si="4"/>
        <v>0.37000000000000005</v>
      </c>
      <c r="P43" s="113">
        <f t="shared" si="5"/>
        <v>0.37000000000000005</v>
      </c>
      <c r="Q43" s="114">
        <f t="shared" si="6"/>
        <v>0.37000000000000005</v>
      </c>
      <c r="R43" s="57">
        <f t="shared" si="8"/>
        <v>0.37000000000000005</v>
      </c>
    </row>
    <row r="44" spans="1:18" ht="17.100000000000001" customHeight="1" x14ac:dyDescent="0.3">
      <c r="B44" s="94" t="s">
        <v>165</v>
      </c>
      <c r="C44" s="121">
        <f t="shared" si="11"/>
        <v>38</v>
      </c>
      <c r="D44" s="93" t="s">
        <v>100</v>
      </c>
      <c r="E44" s="119"/>
      <c r="F44" s="120">
        <v>1.1299999999999999</v>
      </c>
      <c r="G44" s="105">
        <v>0</v>
      </c>
      <c r="H44" s="106">
        <f t="shared" si="12"/>
        <v>0</v>
      </c>
      <c r="I44" s="107"/>
      <c r="J44" s="108">
        <f t="shared" si="2"/>
        <v>0</v>
      </c>
      <c r="K44" s="108">
        <f t="shared" si="3"/>
        <v>0</v>
      </c>
      <c r="L44" s="109">
        <v>0</v>
      </c>
      <c r="M44" s="110">
        <f t="shared" si="0"/>
        <v>0</v>
      </c>
      <c r="N44" s="111">
        <v>0</v>
      </c>
      <c r="O44" s="112">
        <f t="shared" si="4"/>
        <v>0.38000000000000006</v>
      </c>
      <c r="P44" s="113">
        <f t="shared" si="5"/>
        <v>0.38000000000000006</v>
      </c>
      <c r="Q44" s="114">
        <f t="shared" si="6"/>
        <v>0.38000000000000006</v>
      </c>
      <c r="R44" s="57">
        <f t="shared" si="8"/>
        <v>0.38000000000000006</v>
      </c>
    </row>
    <row r="45" spans="1:18" ht="17.100000000000001" customHeight="1" x14ac:dyDescent="0.3">
      <c r="B45" s="94" t="s">
        <v>166</v>
      </c>
      <c r="C45" s="121">
        <f t="shared" si="11"/>
        <v>39</v>
      </c>
      <c r="D45" s="93" t="s">
        <v>81</v>
      </c>
      <c r="E45" s="93"/>
      <c r="F45" s="120">
        <v>1.1299999999999999</v>
      </c>
      <c r="G45" s="105">
        <v>0</v>
      </c>
      <c r="H45" s="106">
        <f t="shared" si="12"/>
        <v>0</v>
      </c>
      <c r="I45" s="107"/>
      <c r="J45" s="108">
        <f t="shared" si="2"/>
        <v>0</v>
      </c>
      <c r="K45" s="108">
        <f t="shared" si="3"/>
        <v>0</v>
      </c>
      <c r="L45" s="109">
        <v>0</v>
      </c>
      <c r="M45" s="110">
        <f t="shared" si="0"/>
        <v>0</v>
      </c>
      <c r="N45" s="111">
        <v>0</v>
      </c>
      <c r="O45" s="112">
        <f t="shared" si="4"/>
        <v>0.39000000000000007</v>
      </c>
      <c r="P45" s="113">
        <f t="shared" si="5"/>
        <v>0.39000000000000007</v>
      </c>
      <c r="Q45" s="114">
        <f t="shared" si="6"/>
        <v>0.39000000000000007</v>
      </c>
      <c r="R45" s="57">
        <f t="shared" si="8"/>
        <v>0.39000000000000007</v>
      </c>
    </row>
    <row r="46" spans="1:18" ht="17.100000000000001" customHeight="1" x14ac:dyDescent="0.3">
      <c r="B46" s="94" t="s">
        <v>167</v>
      </c>
      <c r="C46" s="121">
        <f t="shared" si="11"/>
        <v>40</v>
      </c>
      <c r="D46" s="93" t="s">
        <v>82</v>
      </c>
      <c r="E46" s="93"/>
      <c r="F46" s="120">
        <v>1.67</v>
      </c>
      <c r="G46" s="105"/>
      <c r="H46" s="106">
        <f t="shared" si="12"/>
        <v>0</v>
      </c>
      <c r="I46" s="107"/>
      <c r="J46" s="108">
        <f t="shared" si="2"/>
        <v>0</v>
      </c>
      <c r="K46" s="108">
        <f t="shared" si="3"/>
        <v>0</v>
      </c>
      <c r="L46" s="109">
        <v>0</v>
      </c>
      <c r="M46" s="110">
        <f t="shared" si="0"/>
        <v>0</v>
      </c>
      <c r="N46" s="111">
        <v>0</v>
      </c>
      <c r="O46" s="112">
        <f t="shared" si="4"/>
        <v>0.40000000000000008</v>
      </c>
      <c r="P46" s="113">
        <f t="shared" si="5"/>
        <v>0.40000000000000008</v>
      </c>
      <c r="Q46" s="114">
        <f t="shared" si="6"/>
        <v>0.40000000000000008</v>
      </c>
      <c r="R46" s="57">
        <f t="shared" si="8"/>
        <v>0.40000000000000008</v>
      </c>
    </row>
    <row r="47" spans="1:18" ht="17.100000000000001" customHeight="1" x14ac:dyDescent="0.3">
      <c r="B47" s="94" t="s">
        <v>168</v>
      </c>
      <c r="C47" s="121">
        <f t="shared" si="11"/>
        <v>41</v>
      </c>
      <c r="D47" s="93" t="s">
        <v>101</v>
      </c>
      <c r="E47" s="119"/>
      <c r="F47" s="120">
        <v>1.71</v>
      </c>
      <c r="G47" s="105">
        <v>0</v>
      </c>
      <c r="H47" s="106">
        <f t="shared" ref="H47:H55" si="13">G47</f>
        <v>0</v>
      </c>
      <c r="I47" s="107"/>
      <c r="J47" s="108">
        <f t="shared" si="2"/>
        <v>0</v>
      </c>
      <c r="K47" s="108">
        <f t="shared" si="3"/>
        <v>0</v>
      </c>
      <c r="L47" s="109">
        <v>0</v>
      </c>
      <c r="M47" s="110">
        <f t="shared" si="0"/>
        <v>0</v>
      </c>
      <c r="N47" s="111">
        <v>0</v>
      </c>
      <c r="O47" s="112">
        <f t="shared" si="4"/>
        <v>0.41000000000000009</v>
      </c>
      <c r="P47" s="113">
        <f t="shared" si="5"/>
        <v>0.41000000000000009</v>
      </c>
      <c r="Q47" s="114">
        <f t="shared" si="6"/>
        <v>0.41000000000000009</v>
      </c>
      <c r="R47" s="57">
        <f t="shared" si="8"/>
        <v>0.41000000000000009</v>
      </c>
    </row>
    <row r="48" spans="1:18" ht="17.100000000000001" customHeight="1" x14ac:dyDescent="0.3">
      <c r="B48" s="94" t="s">
        <v>169</v>
      </c>
      <c r="C48" s="121">
        <f t="shared" si="11"/>
        <v>42</v>
      </c>
      <c r="D48" s="93" t="s">
        <v>102</v>
      </c>
      <c r="E48" s="119"/>
      <c r="F48" s="120">
        <v>1.1299999999999999</v>
      </c>
      <c r="G48" s="105">
        <v>0</v>
      </c>
      <c r="H48" s="106">
        <f t="shared" si="13"/>
        <v>0</v>
      </c>
      <c r="I48" s="107"/>
      <c r="J48" s="108">
        <f t="shared" si="2"/>
        <v>0</v>
      </c>
      <c r="K48" s="108">
        <f t="shared" si="3"/>
        <v>0</v>
      </c>
      <c r="L48" s="109">
        <v>0</v>
      </c>
      <c r="M48" s="110">
        <f t="shared" si="0"/>
        <v>0</v>
      </c>
      <c r="N48" s="111">
        <v>0</v>
      </c>
      <c r="O48" s="112">
        <f t="shared" si="4"/>
        <v>0.4200000000000001</v>
      </c>
      <c r="P48" s="113">
        <f t="shared" si="5"/>
        <v>0.4200000000000001</v>
      </c>
      <c r="Q48" s="114">
        <f t="shared" si="6"/>
        <v>0.4200000000000001</v>
      </c>
      <c r="R48" s="57">
        <f t="shared" si="8"/>
        <v>0.4200000000000001</v>
      </c>
    </row>
    <row r="49" spans="2:18" ht="17.100000000000001" customHeight="1" x14ac:dyDescent="0.3">
      <c r="B49" s="94" t="s">
        <v>170</v>
      </c>
      <c r="C49" s="121">
        <f t="shared" si="11"/>
        <v>43</v>
      </c>
      <c r="D49" s="93" t="s">
        <v>103</v>
      </c>
      <c r="E49" s="119"/>
      <c r="F49" s="120">
        <v>1.1299999999999999</v>
      </c>
      <c r="G49" s="105">
        <v>0</v>
      </c>
      <c r="H49" s="106">
        <f t="shared" si="13"/>
        <v>0</v>
      </c>
      <c r="I49" s="107"/>
      <c r="J49" s="108">
        <f t="shared" si="2"/>
        <v>0</v>
      </c>
      <c r="K49" s="108">
        <f t="shared" si="3"/>
        <v>0</v>
      </c>
      <c r="L49" s="109">
        <v>0</v>
      </c>
      <c r="M49" s="110">
        <f t="shared" si="0"/>
        <v>0</v>
      </c>
      <c r="N49" s="111">
        <v>0</v>
      </c>
      <c r="O49" s="112">
        <f t="shared" si="4"/>
        <v>0.4300000000000001</v>
      </c>
      <c r="P49" s="113">
        <f t="shared" si="5"/>
        <v>0.4300000000000001</v>
      </c>
      <c r="Q49" s="114">
        <f t="shared" si="6"/>
        <v>0.4300000000000001</v>
      </c>
      <c r="R49" s="57">
        <f t="shared" si="8"/>
        <v>0.4300000000000001</v>
      </c>
    </row>
    <row r="50" spans="2:18" ht="17.100000000000001" customHeight="1" x14ac:dyDescent="0.3">
      <c r="B50" s="94" t="s">
        <v>171</v>
      </c>
      <c r="C50" s="121">
        <f t="shared" si="11"/>
        <v>44</v>
      </c>
      <c r="D50" s="93" t="s">
        <v>83</v>
      </c>
      <c r="E50" s="93"/>
      <c r="F50" s="120">
        <v>1.1299999999999999</v>
      </c>
      <c r="G50" s="105">
        <v>0</v>
      </c>
      <c r="H50" s="106">
        <f t="shared" si="13"/>
        <v>0</v>
      </c>
      <c r="I50" s="107"/>
      <c r="J50" s="108">
        <f t="shared" si="2"/>
        <v>0</v>
      </c>
      <c r="K50" s="108">
        <f t="shared" si="3"/>
        <v>0</v>
      </c>
      <c r="L50" s="109">
        <v>0</v>
      </c>
      <c r="M50" s="110">
        <f t="shared" si="0"/>
        <v>0</v>
      </c>
      <c r="N50" s="111">
        <v>0</v>
      </c>
      <c r="O50" s="112">
        <f t="shared" si="4"/>
        <v>0.44000000000000011</v>
      </c>
      <c r="P50" s="113">
        <f t="shared" si="5"/>
        <v>0.44000000000000011</v>
      </c>
      <c r="Q50" s="114">
        <f t="shared" si="6"/>
        <v>0.44000000000000011</v>
      </c>
      <c r="R50" s="57">
        <f t="shared" si="8"/>
        <v>0.44000000000000011</v>
      </c>
    </row>
    <row r="51" spans="2:18" ht="17.100000000000001" customHeight="1" x14ac:dyDescent="0.3">
      <c r="B51" s="94" t="s">
        <v>172</v>
      </c>
      <c r="C51" s="121">
        <f t="shared" si="11"/>
        <v>45</v>
      </c>
      <c r="D51" s="93" t="s">
        <v>84</v>
      </c>
      <c r="E51" s="93"/>
      <c r="F51" s="120">
        <v>1.67</v>
      </c>
      <c r="G51" s="105">
        <v>0</v>
      </c>
      <c r="H51" s="106">
        <f t="shared" si="13"/>
        <v>0</v>
      </c>
      <c r="I51" s="107"/>
      <c r="J51" s="108">
        <f t="shared" si="2"/>
        <v>0</v>
      </c>
      <c r="K51" s="108">
        <f t="shared" si="3"/>
        <v>0</v>
      </c>
      <c r="L51" s="109">
        <v>0</v>
      </c>
      <c r="M51" s="110">
        <f t="shared" si="0"/>
        <v>0</v>
      </c>
      <c r="N51" s="111">
        <v>0</v>
      </c>
      <c r="O51" s="112">
        <f t="shared" si="4"/>
        <v>0.45000000000000012</v>
      </c>
      <c r="P51" s="113">
        <f t="shared" si="5"/>
        <v>0.45000000000000012</v>
      </c>
      <c r="Q51" s="114">
        <f t="shared" si="6"/>
        <v>0.45000000000000012</v>
      </c>
      <c r="R51" s="57">
        <f t="shared" si="8"/>
        <v>0.45000000000000012</v>
      </c>
    </row>
    <row r="52" spans="2:18" ht="17.100000000000001" customHeight="1" x14ac:dyDescent="0.3">
      <c r="B52" s="94" t="s">
        <v>173</v>
      </c>
      <c r="C52" s="121">
        <f t="shared" si="11"/>
        <v>46</v>
      </c>
      <c r="D52" s="93" t="s">
        <v>104</v>
      </c>
      <c r="E52" s="119"/>
      <c r="F52" s="120">
        <v>1.71</v>
      </c>
      <c r="G52" s="105">
        <v>0</v>
      </c>
      <c r="H52" s="106">
        <f t="shared" si="13"/>
        <v>0</v>
      </c>
      <c r="I52" s="107"/>
      <c r="J52" s="108">
        <f t="shared" si="2"/>
        <v>0</v>
      </c>
      <c r="K52" s="108">
        <f t="shared" si="3"/>
        <v>0</v>
      </c>
      <c r="L52" s="109">
        <v>0</v>
      </c>
      <c r="M52" s="110">
        <f t="shared" si="0"/>
        <v>0</v>
      </c>
      <c r="N52" s="111">
        <v>0</v>
      </c>
      <c r="O52" s="112">
        <f t="shared" si="4"/>
        <v>0.46000000000000013</v>
      </c>
      <c r="P52" s="113">
        <f t="shared" si="5"/>
        <v>0.46000000000000013</v>
      </c>
      <c r="Q52" s="114">
        <f t="shared" si="6"/>
        <v>0.46000000000000013</v>
      </c>
      <c r="R52" s="57">
        <f t="shared" si="8"/>
        <v>0.46000000000000013</v>
      </c>
    </row>
    <row r="53" spans="2:18" ht="17.100000000000001" customHeight="1" x14ac:dyDescent="0.3">
      <c r="B53" s="94" t="s">
        <v>174</v>
      </c>
      <c r="C53" s="121">
        <f t="shared" si="11"/>
        <v>47</v>
      </c>
      <c r="D53" s="93" t="s">
        <v>85</v>
      </c>
      <c r="E53" s="93"/>
      <c r="F53" s="120">
        <v>1.1299999999999999</v>
      </c>
      <c r="G53" s="105">
        <v>0</v>
      </c>
      <c r="H53" s="106">
        <f t="shared" si="13"/>
        <v>0</v>
      </c>
      <c r="I53" s="107"/>
      <c r="J53" s="108">
        <f t="shared" si="2"/>
        <v>0</v>
      </c>
      <c r="K53" s="108">
        <f t="shared" si="3"/>
        <v>0</v>
      </c>
      <c r="L53" s="109">
        <v>0</v>
      </c>
      <c r="M53" s="110">
        <f t="shared" si="0"/>
        <v>0</v>
      </c>
      <c r="N53" s="111">
        <v>0</v>
      </c>
      <c r="O53" s="112">
        <f t="shared" si="4"/>
        <v>0.47000000000000014</v>
      </c>
      <c r="P53" s="113">
        <f t="shared" si="5"/>
        <v>0.47000000000000014</v>
      </c>
      <c r="Q53" s="114">
        <f t="shared" si="6"/>
        <v>0.47000000000000014</v>
      </c>
      <c r="R53" s="57">
        <f t="shared" si="8"/>
        <v>0.47000000000000014</v>
      </c>
    </row>
    <row r="54" spans="2:18" ht="17.100000000000001" customHeight="1" x14ac:dyDescent="0.3">
      <c r="B54" s="94" t="s">
        <v>175</v>
      </c>
      <c r="C54" s="121">
        <f t="shared" si="11"/>
        <v>48</v>
      </c>
      <c r="D54" s="93" t="s">
        <v>86</v>
      </c>
      <c r="E54" s="93"/>
      <c r="F54" s="120">
        <v>1.1299999999999999</v>
      </c>
      <c r="G54" s="105">
        <v>0</v>
      </c>
      <c r="H54" s="106">
        <f t="shared" si="13"/>
        <v>0</v>
      </c>
      <c r="I54" s="107"/>
      <c r="J54" s="108">
        <f t="shared" si="2"/>
        <v>0</v>
      </c>
      <c r="K54" s="108">
        <f t="shared" si="3"/>
        <v>0</v>
      </c>
      <c r="L54" s="109">
        <v>0</v>
      </c>
      <c r="M54" s="110">
        <f t="shared" si="0"/>
        <v>0</v>
      </c>
      <c r="N54" s="111">
        <v>0</v>
      </c>
      <c r="O54" s="112">
        <f t="shared" si="4"/>
        <v>0.48000000000000015</v>
      </c>
      <c r="P54" s="113">
        <f t="shared" si="5"/>
        <v>1.4800000000000002</v>
      </c>
      <c r="Q54" s="114">
        <f t="shared" si="6"/>
        <v>0.48000000000000015</v>
      </c>
      <c r="R54" s="57">
        <f t="shared" si="8"/>
        <v>0.48000000000000015</v>
      </c>
    </row>
    <row r="55" spans="2:18" ht="17.100000000000001" customHeight="1" x14ac:dyDescent="0.3">
      <c r="B55" s="94" t="s">
        <v>176</v>
      </c>
      <c r="C55" s="121">
        <f t="shared" si="11"/>
        <v>49</v>
      </c>
      <c r="D55" s="93" t="s">
        <v>205</v>
      </c>
      <c r="E55" s="93"/>
      <c r="F55" s="120">
        <v>1.1299999999999999</v>
      </c>
      <c r="G55" s="105">
        <v>0</v>
      </c>
      <c r="H55" s="106">
        <f t="shared" si="13"/>
        <v>0</v>
      </c>
      <c r="I55" s="107"/>
      <c r="J55" s="108">
        <f t="shared" si="2"/>
        <v>0</v>
      </c>
      <c r="K55" s="108">
        <f t="shared" si="3"/>
        <v>0</v>
      </c>
      <c r="L55" s="109">
        <v>0</v>
      </c>
      <c r="M55" s="110">
        <f t="shared" si="0"/>
        <v>0</v>
      </c>
      <c r="N55" s="111">
        <v>0</v>
      </c>
      <c r="O55" s="112">
        <f t="shared" si="4"/>
        <v>0.49000000000000016</v>
      </c>
      <c r="P55" s="113">
        <f t="shared" si="5"/>
        <v>1.4900000000000002</v>
      </c>
      <c r="Q55" s="114">
        <f t="shared" si="6"/>
        <v>0.49000000000000016</v>
      </c>
      <c r="R55" s="57">
        <f t="shared" si="8"/>
        <v>0.49000000000000016</v>
      </c>
    </row>
    <row r="56" spans="2:18" ht="17.100000000000001" customHeight="1" x14ac:dyDescent="0.3">
      <c r="B56" s="94" t="s">
        <v>177</v>
      </c>
      <c r="C56" s="121">
        <f t="shared" si="11"/>
        <v>50</v>
      </c>
      <c r="D56" s="93" t="s">
        <v>87</v>
      </c>
      <c r="E56" s="93"/>
      <c r="F56" s="120">
        <v>1.67</v>
      </c>
      <c r="G56" s="105">
        <v>0</v>
      </c>
      <c r="H56" s="106">
        <f>G56</f>
        <v>0</v>
      </c>
      <c r="I56" s="107"/>
      <c r="J56" s="108">
        <f t="shared" si="2"/>
        <v>0</v>
      </c>
      <c r="K56" s="108">
        <f t="shared" si="3"/>
        <v>0</v>
      </c>
      <c r="L56" s="109">
        <v>0</v>
      </c>
      <c r="M56" s="110">
        <f t="shared" si="0"/>
        <v>0</v>
      </c>
      <c r="N56" s="111">
        <v>0</v>
      </c>
      <c r="O56" s="112">
        <f t="shared" si="4"/>
        <v>0.50000000000000011</v>
      </c>
      <c r="P56" s="113">
        <f t="shared" si="5"/>
        <v>1.5</v>
      </c>
      <c r="Q56" s="114">
        <f t="shared" si="6"/>
        <v>0.50000000000000011</v>
      </c>
      <c r="R56" s="57">
        <f t="shared" si="8"/>
        <v>0.50000000000000011</v>
      </c>
    </row>
    <row r="57" spans="2:18" ht="17.100000000000001" customHeight="1" x14ac:dyDescent="0.3">
      <c r="B57" s="94" t="s">
        <v>178</v>
      </c>
      <c r="C57" s="121">
        <f t="shared" si="11"/>
        <v>51</v>
      </c>
      <c r="D57" s="93" t="s">
        <v>106</v>
      </c>
      <c r="E57" s="119"/>
      <c r="F57" s="120">
        <v>1.71</v>
      </c>
      <c r="G57" s="105">
        <v>0</v>
      </c>
      <c r="H57" s="106">
        <f t="shared" ref="H57:H61" si="14">G57</f>
        <v>0</v>
      </c>
      <c r="I57" s="107"/>
      <c r="J57" s="108">
        <f t="shared" si="2"/>
        <v>0</v>
      </c>
      <c r="K57" s="108">
        <f t="shared" si="3"/>
        <v>0</v>
      </c>
      <c r="L57" s="109">
        <v>0</v>
      </c>
      <c r="M57" s="110">
        <f t="shared" si="0"/>
        <v>0</v>
      </c>
      <c r="N57" s="111">
        <v>0</v>
      </c>
      <c r="O57" s="112">
        <f t="shared" si="4"/>
        <v>0.51000000000000012</v>
      </c>
      <c r="P57" s="113">
        <f t="shared" si="5"/>
        <v>1.5100000000000002</v>
      </c>
      <c r="Q57" s="114">
        <f t="shared" si="6"/>
        <v>0.51000000000000012</v>
      </c>
      <c r="R57" s="57">
        <f t="shared" si="8"/>
        <v>0.51000000000000012</v>
      </c>
    </row>
    <row r="58" spans="2:18" ht="17.100000000000001" customHeight="1" x14ac:dyDescent="0.3">
      <c r="B58" s="94" t="s">
        <v>179</v>
      </c>
      <c r="C58" s="121">
        <f t="shared" si="11"/>
        <v>52</v>
      </c>
      <c r="D58" s="93" t="s">
        <v>105</v>
      </c>
      <c r="E58" s="119"/>
      <c r="F58" s="120">
        <v>1.1299999999999999</v>
      </c>
      <c r="G58" s="105">
        <v>0</v>
      </c>
      <c r="H58" s="106">
        <f t="shared" si="14"/>
        <v>0</v>
      </c>
      <c r="I58" s="107"/>
      <c r="J58" s="108">
        <f t="shared" si="2"/>
        <v>0</v>
      </c>
      <c r="K58" s="108">
        <f t="shared" si="3"/>
        <v>0</v>
      </c>
      <c r="L58" s="109">
        <v>0</v>
      </c>
      <c r="M58" s="110">
        <f t="shared" si="0"/>
        <v>0</v>
      </c>
      <c r="N58" s="111">
        <v>0</v>
      </c>
      <c r="O58" s="112">
        <f t="shared" si="4"/>
        <v>0.52000000000000013</v>
      </c>
      <c r="P58" s="113">
        <f t="shared" si="5"/>
        <v>1.52</v>
      </c>
      <c r="Q58" s="114">
        <f t="shared" si="6"/>
        <v>0.52000000000000013</v>
      </c>
      <c r="R58" s="57">
        <f t="shared" si="8"/>
        <v>0.52000000000000013</v>
      </c>
    </row>
    <row r="59" spans="2:18" ht="17.100000000000001" customHeight="1" x14ac:dyDescent="0.3">
      <c r="B59" s="94" t="s">
        <v>180</v>
      </c>
      <c r="C59" s="121">
        <f t="shared" si="11"/>
        <v>53</v>
      </c>
      <c r="D59" s="93" t="s">
        <v>88</v>
      </c>
      <c r="E59" s="93"/>
      <c r="F59" s="120">
        <v>1.1299999999999999</v>
      </c>
      <c r="G59" s="105">
        <v>0</v>
      </c>
      <c r="H59" s="106">
        <f t="shared" si="14"/>
        <v>0</v>
      </c>
      <c r="I59" s="107"/>
      <c r="J59" s="108">
        <f t="shared" si="2"/>
        <v>0</v>
      </c>
      <c r="K59" s="108">
        <f t="shared" si="3"/>
        <v>0</v>
      </c>
      <c r="L59" s="109">
        <v>0</v>
      </c>
      <c r="M59" s="110">
        <f t="shared" si="0"/>
        <v>0</v>
      </c>
      <c r="N59" s="111">
        <v>0</v>
      </c>
      <c r="O59" s="112">
        <f t="shared" si="4"/>
        <v>0.53000000000000014</v>
      </c>
      <c r="P59" s="113">
        <f t="shared" si="5"/>
        <v>1.5300000000000002</v>
      </c>
      <c r="Q59" s="114">
        <f t="shared" si="6"/>
        <v>0.53000000000000014</v>
      </c>
      <c r="R59" s="57">
        <f t="shared" si="8"/>
        <v>0.53000000000000014</v>
      </c>
    </row>
    <row r="60" spans="2:18" ht="17.100000000000001" customHeight="1" x14ac:dyDescent="0.3">
      <c r="B60" s="94" t="s">
        <v>181</v>
      </c>
      <c r="C60" s="121">
        <f t="shared" si="11"/>
        <v>54</v>
      </c>
      <c r="D60" s="93" t="s">
        <v>108</v>
      </c>
      <c r="E60" s="119"/>
      <c r="F60" s="120">
        <v>1.1299999999999999</v>
      </c>
      <c r="G60" s="105">
        <v>0</v>
      </c>
      <c r="H60" s="106">
        <f t="shared" si="14"/>
        <v>0</v>
      </c>
      <c r="I60" s="107"/>
      <c r="J60" s="108">
        <f t="shared" si="2"/>
        <v>0</v>
      </c>
      <c r="K60" s="108">
        <f t="shared" si="3"/>
        <v>0</v>
      </c>
      <c r="L60" s="109">
        <v>0</v>
      </c>
      <c r="M60" s="110">
        <f t="shared" si="0"/>
        <v>0</v>
      </c>
      <c r="N60" s="111">
        <v>0</v>
      </c>
      <c r="O60" s="112">
        <f t="shared" si="4"/>
        <v>0.54000000000000015</v>
      </c>
      <c r="P60" s="113">
        <f t="shared" si="5"/>
        <v>1.54</v>
      </c>
      <c r="Q60" s="114">
        <f t="shared" si="6"/>
        <v>0.54000000000000015</v>
      </c>
      <c r="R60" s="57">
        <f t="shared" si="8"/>
        <v>0.54000000000000015</v>
      </c>
    </row>
    <row r="61" spans="2:18" ht="17.100000000000001" customHeight="1" x14ac:dyDescent="0.3">
      <c r="B61" s="94" t="s">
        <v>182</v>
      </c>
      <c r="C61" s="121">
        <f t="shared" si="11"/>
        <v>55</v>
      </c>
      <c r="D61" s="93" t="s">
        <v>107</v>
      </c>
      <c r="E61" s="119"/>
      <c r="F61" s="120">
        <v>1.67</v>
      </c>
      <c r="G61" s="105"/>
      <c r="H61" s="106">
        <f t="shared" si="14"/>
        <v>0</v>
      </c>
      <c r="I61" s="107"/>
      <c r="J61" s="108">
        <f t="shared" si="2"/>
        <v>0</v>
      </c>
      <c r="K61" s="108">
        <f t="shared" si="3"/>
        <v>0</v>
      </c>
      <c r="L61" s="109">
        <v>0</v>
      </c>
      <c r="M61" s="110">
        <f t="shared" si="0"/>
        <v>0</v>
      </c>
      <c r="N61" s="111"/>
      <c r="O61" s="112">
        <f t="shared" si="4"/>
        <v>0.55000000000000016</v>
      </c>
      <c r="P61" s="113">
        <f t="shared" si="5"/>
        <v>1.5500000000000003</v>
      </c>
      <c r="Q61" s="114">
        <f t="shared" si="6"/>
        <v>0.55000000000000016</v>
      </c>
      <c r="R61" s="57">
        <f t="shared" si="8"/>
        <v>0.55000000000000016</v>
      </c>
    </row>
    <row r="62" spans="2:18" ht="17.100000000000001" customHeight="1" x14ac:dyDescent="0.3">
      <c r="B62" s="94" t="s">
        <v>183</v>
      </c>
      <c r="C62" s="121">
        <f t="shared" si="11"/>
        <v>56</v>
      </c>
      <c r="D62" s="93" t="s">
        <v>109</v>
      </c>
      <c r="E62" s="119"/>
      <c r="F62" s="120">
        <v>1.71</v>
      </c>
      <c r="G62" s="105">
        <v>0</v>
      </c>
      <c r="H62" s="106">
        <f t="shared" ref="H62:H70" si="15">G62</f>
        <v>0</v>
      </c>
      <c r="I62" s="107"/>
      <c r="J62" s="108">
        <f t="shared" si="2"/>
        <v>0</v>
      </c>
      <c r="K62" s="108">
        <f t="shared" si="3"/>
        <v>0</v>
      </c>
      <c r="L62" s="109">
        <v>0</v>
      </c>
      <c r="M62" s="110">
        <f t="shared" si="0"/>
        <v>0</v>
      </c>
      <c r="N62" s="111">
        <v>0</v>
      </c>
      <c r="O62" s="112">
        <f t="shared" si="4"/>
        <v>0.56000000000000016</v>
      </c>
      <c r="P62" s="113">
        <f t="shared" si="5"/>
        <v>1.56</v>
      </c>
      <c r="Q62" s="114">
        <f t="shared" si="6"/>
        <v>0.56000000000000016</v>
      </c>
      <c r="R62" s="57">
        <f t="shared" si="8"/>
        <v>0.56000000000000016</v>
      </c>
    </row>
    <row r="63" spans="2:18" ht="17.100000000000001" customHeight="1" x14ac:dyDescent="0.3">
      <c r="B63" s="94" t="s">
        <v>184</v>
      </c>
      <c r="C63" s="121">
        <f t="shared" si="11"/>
        <v>57</v>
      </c>
      <c r="D63" s="93" t="s">
        <v>206</v>
      </c>
      <c r="E63" s="119"/>
      <c r="F63" s="120">
        <v>1.1299999999999999</v>
      </c>
      <c r="G63" s="105">
        <v>0</v>
      </c>
      <c r="H63" s="106">
        <f t="shared" si="15"/>
        <v>0</v>
      </c>
      <c r="I63" s="107"/>
      <c r="J63" s="108">
        <f t="shared" si="2"/>
        <v>0</v>
      </c>
      <c r="K63" s="108">
        <f t="shared" si="3"/>
        <v>0</v>
      </c>
      <c r="L63" s="109">
        <v>0</v>
      </c>
      <c r="M63" s="110">
        <f t="shared" si="0"/>
        <v>0</v>
      </c>
      <c r="N63" s="111">
        <v>0</v>
      </c>
      <c r="O63" s="112">
        <f t="shared" si="4"/>
        <v>0.57000000000000017</v>
      </c>
      <c r="P63" s="113">
        <f t="shared" si="5"/>
        <v>1.5700000000000003</v>
      </c>
      <c r="Q63" s="114">
        <f t="shared" si="6"/>
        <v>0.57000000000000017</v>
      </c>
      <c r="R63" s="57">
        <f t="shared" si="8"/>
        <v>0.57000000000000017</v>
      </c>
    </row>
    <row r="64" spans="2:18" ht="17.100000000000001" customHeight="1" x14ac:dyDescent="0.3">
      <c r="B64" s="94" t="s">
        <v>185</v>
      </c>
      <c r="C64" s="121">
        <f t="shared" si="11"/>
        <v>58</v>
      </c>
      <c r="D64" s="93" t="s">
        <v>89</v>
      </c>
      <c r="E64" s="93"/>
      <c r="F64" s="120">
        <v>1.1299999999999999</v>
      </c>
      <c r="G64" s="105">
        <v>0</v>
      </c>
      <c r="H64" s="106">
        <f t="shared" si="15"/>
        <v>0</v>
      </c>
      <c r="I64" s="107"/>
      <c r="J64" s="108">
        <f t="shared" si="2"/>
        <v>0</v>
      </c>
      <c r="K64" s="108">
        <f t="shared" si="3"/>
        <v>0</v>
      </c>
      <c r="L64" s="109">
        <v>0</v>
      </c>
      <c r="M64" s="110">
        <f t="shared" si="0"/>
        <v>0</v>
      </c>
      <c r="N64" s="111">
        <v>0</v>
      </c>
      <c r="O64" s="112">
        <f t="shared" si="4"/>
        <v>0.58000000000000018</v>
      </c>
      <c r="P64" s="113">
        <f t="shared" si="5"/>
        <v>1.58</v>
      </c>
      <c r="Q64" s="114">
        <f t="shared" si="6"/>
        <v>0.58000000000000018</v>
      </c>
      <c r="R64" s="57">
        <f t="shared" si="8"/>
        <v>0.58000000000000018</v>
      </c>
    </row>
    <row r="65" spans="2:18" ht="17.100000000000001" customHeight="1" x14ac:dyDescent="0.3">
      <c r="B65" s="94" t="s">
        <v>186</v>
      </c>
      <c r="C65" s="121">
        <f t="shared" si="11"/>
        <v>59</v>
      </c>
      <c r="D65" s="93" t="s">
        <v>110</v>
      </c>
      <c r="E65" s="119"/>
      <c r="F65" s="120">
        <v>1.1299999999999999</v>
      </c>
      <c r="G65" s="105">
        <v>0</v>
      </c>
      <c r="H65" s="106">
        <f t="shared" si="15"/>
        <v>0</v>
      </c>
      <c r="I65" s="107"/>
      <c r="J65" s="108">
        <f t="shared" si="2"/>
        <v>0</v>
      </c>
      <c r="K65" s="108">
        <f t="shared" si="3"/>
        <v>0</v>
      </c>
      <c r="L65" s="109">
        <v>0</v>
      </c>
      <c r="M65" s="110">
        <f t="shared" si="0"/>
        <v>0</v>
      </c>
      <c r="N65" s="111">
        <v>0</v>
      </c>
      <c r="O65" s="112">
        <f t="shared" si="4"/>
        <v>0.59000000000000019</v>
      </c>
      <c r="P65" s="113">
        <f t="shared" si="5"/>
        <v>1.5900000000000003</v>
      </c>
      <c r="Q65" s="114">
        <f t="shared" si="6"/>
        <v>0.59000000000000019</v>
      </c>
      <c r="R65" s="57">
        <f t="shared" si="8"/>
        <v>0.59000000000000019</v>
      </c>
    </row>
    <row r="66" spans="2:18" ht="17.100000000000001" customHeight="1" x14ac:dyDescent="0.3">
      <c r="B66" s="94" t="s">
        <v>187</v>
      </c>
      <c r="C66" s="121">
        <f t="shared" si="11"/>
        <v>60</v>
      </c>
      <c r="D66" s="93" t="s">
        <v>90</v>
      </c>
      <c r="E66" s="93"/>
      <c r="F66" s="120">
        <v>1.67</v>
      </c>
      <c r="G66" s="105">
        <v>0</v>
      </c>
      <c r="H66" s="106">
        <f t="shared" si="15"/>
        <v>0</v>
      </c>
      <c r="I66" s="107"/>
      <c r="J66" s="108">
        <f t="shared" si="2"/>
        <v>0</v>
      </c>
      <c r="K66" s="108">
        <f t="shared" si="3"/>
        <v>0</v>
      </c>
      <c r="L66" s="109">
        <v>0</v>
      </c>
      <c r="M66" s="110">
        <f t="shared" si="0"/>
        <v>0</v>
      </c>
      <c r="N66" s="111">
        <v>0</v>
      </c>
      <c r="O66" s="112">
        <f t="shared" si="4"/>
        <v>0.6000000000000002</v>
      </c>
      <c r="P66" s="113">
        <f t="shared" si="5"/>
        <v>1.6</v>
      </c>
      <c r="Q66" s="114">
        <f t="shared" si="6"/>
        <v>0.6000000000000002</v>
      </c>
      <c r="R66" s="57">
        <f t="shared" si="8"/>
        <v>0.6000000000000002</v>
      </c>
    </row>
    <row r="67" spans="2:18" ht="17.100000000000001" customHeight="1" x14ac:dyDescent="0.3">
      <c r="B67" s="94" t="s">
        <v>188</v>
      </c>
      <c r="C67" s="121">
        <f t="shared" si="11"/>
        <v>61</v>
      </c>
      <c r="D67" s="93" t="s">
        <v>111</v>
      </c>
      <c r="E67" s="119"/>
      <c r="F67" s="120">
        <v>1.71</v>
      </c>
      <c r="G67" s="105">
        <v>0</v>
      </c>
      <c r="H67" s="106">
        <f t="shared" si="15"/>
        <v>0</v>
      </c>
      <c r="I67" s="107"/>
      <c r="J67" s="108">
        <f t="shared" si="2"/>
        <v>0</v>
      </c>
      <c r="K67" s="108">
        <f t="shared" si="3"/>
        <v>0</v>
      </c>
      <c r="L67" s="109">
        <v>0</v>
      </c>
      <c r="M67" s="110">
        <f t="shared" si="0"/>
        <v>0</v>
      </c>
      <c r="N67" s="111">
        <v>0</v>
      </c>
      <c r="O67" s="112">
        <f t="shared" si="4"/>
        <v>0.61000000000000021</v>
      </c>
      <c r="P67" s="113">
        <f t="shared" si="5"/>
        <v>1.6100000000000003</v>
      </c>
      <c r="Q67" s="114">
        <f t="shared" si="6"/>
        <v>0.61000000000000021</v>
      </c>
      <c r="R67" s="57">
        <f t="shared" si="8"/>
        <v>0.61000000000000021</v>
      </c>
    </row>
    <row r="68" spans="2:18" ht="17.100000000000001" customHeight="1" x14ac:dyDescent="0.3">
      <c r="B68" s="94" t="s">
        <v>189</v>
      </c>
      <c r="C68" s="121">
        <f t="shared" si="11"/>
        <v>62</v>
      </c>
      <c r="D68" s="93" t="s">
        <v>91</v>
      </c>
      <c r="E68" s="93"/>
      <c r="F68" s="120">
        <v>1.1299999999999999</v>
      </c>
      <c r="G68" s="105">
        <v>0</v>
      </c>
      <c r="H68" s="106">
        <f t="shared" si="15"/>
        <v>0</v>
      </c>
      <c r="I68" s="107"/>
      <c r="J68" s="108">
        <f t="shared" si="2"/>
        <v>0</v>
      </c>
      <c r="K68" s="108">
        <f t="shared" si="3"/>
        <v>0</v>
      </c>
      <c r="L68" s="109">
        <v>0</v>
      </c>
      <c r="M68" s="110">
        <f t="shared" si="0"/>
        <v>0</v>
      </c>
      <c r="N68" s="111">
        <v>0</v>
      </c>
      <c r="O68" s="112">
        <f t="shared" si="4"/>
        <v>0.62000000000000022</v>
      </c>
      <c r="P68" s="113">
        <f t="shared" si="5"/>
        <v>1.62</v>
      </c>
      <c r="Q68" s="114">
        <f t="shared" si="6"/>
        <v>0.62000000000000022</v>
      </c>
      <c r="R68" s="57">
        <f t="shared" si="8"/>
        <v>0.62000000000000022</v>
      </c>
    </row>
    <row r="69" spans="2:18" ht="17.100000000000001" customHeight="1" x14ac:dyDescent="0.3">
      <c r="B69" s="94" t="s">
        <v>190</v>
      </c>
      <c r="C69" s="121">
        <f t="shared" si="11"/>
        <v>63</v>
      </c>
      <c r="D69" s="93" t="s">
        <v>92</v>
      </c>
      <c r="E69" s="93"/>
      <c r="F69" s="120">
        <v>1.1299999999999999</v>
      </c>
      <c r="G69" s="105">
        <v>0</v>
      </c>
      <c r="H69" s="106">
        <f t="shared" si="15"/>
        <v>0</v>
      </c>
      <c r="I69" s="107"/>
      <c r="J69" s="108">
        <f t="shared" si="2"/>
        <v>0</v>
      </c>
      <c r="K69" s="108">
        <f t="shared" si="3"/>
        <v>0</v>
      </c>
      <c r="L69" s="109">
        <v>0</v>
      </c>
      <c r="M69" s="110">
        <f t="shared" si="0"/>
        <v>0</v>
      </c>
      <c r="N69" s="111">
        <v>0</v>
      </c>
      <c r="O69" s="112">
        <f t="shared" si="4"/>
        <v>0.63000000000000023</v>
      </c>
      <c r="P69" s="113">
        <f t="shared" si="5"/>
        <v>1.6300000000000003</v>
      </c>
      <c r="Q69" s="114">
        <f t="shared" si="6"/>
        <v>0.63000000000000023</v>
      </c>
      <c r="R69" s="57">
        <f t="shared" si="8"/>
        <v>0.63000000000000023</v>
      </c>
    </row>
    <row r="70" spans="2:18" ht="17.100000000000001" customHeight="1" x14ac:dyDescent="0.3">
      <c r="B70" s="94" t="s">
        <v>191</v>
      </c>
      <c r="C70" s="121">
        <f t="shared" si="11"/>
        <v>64</v>
      </c>
      <c r="D70" s="93" t="s">
        <v>113</v>
      </c>
      <c r="E70" s="119"/>
      <c r="F70" s="120">
        <v>1.1299999999999999</v>
      </c>
      <c r="G70" s="105">
        <v>0</v>
      </c>
      <c r="H70" s="106">
        <f t="shared" si="15"/>
        <v>0</v>
      </c>
      <c r="I70" s="107"/>
      <c r="J70" s="108">
        <f t="shared" si="2"/>
        <v>0</v>
      </c>
      <c r="K70" s="108">
        <f t="shared" si="3"/>
        <v>0</v>
      </c>
      <c r="L70" s="109">
        <v>0</v>
      </c>
      <c r="M70" s="110">
        <f t="shared" ref="M70:M80" si="16">O$2*F70%</f>
        <v>0</v>
      </c>
      <c r="N70" s="111">
        <v>0</v>
      </c>
      <c r="O70" s="112">
        <f t="shared" si="4"/>
        <v>0.64000000000000024</v>
      </c>
      <c r="P70" s="113">
        <f t="shared" si="5"/>
        <v>1.6400000000000001</v>
      </c>
      <c r="Q70" s="114">
        <f t="shared" si="6"/>
        <v>0.64000000000000024</v>
      </c>
      <c r="R70" s="57">
        <f t="shared" si="8"/>
        <v>0.64000000000000024</v>
      </c>
    </row>
    <row r="71" spans="2:18" ht="17.100000000000001" customHeight="1" x14ac:dyDescent="0.3">
      <c r="B71" s="94" t="s">
        <v>192</v>
      </c>
      <c r="C71" s="121">
        <f t="shared" si="11"/>
        <v>65</v>
      </c>
      <c r="D71" s="93" t="s">
        <v>112</v>
      </c>
      <c r="E71" s="119"/>
      <c r="F71" s="120">
        <v>1.67</v>
      </c>
      <c r="G71" s="105">
        <v>0</v>
      </c>
      <c r="H71" s="106">
        <f>G71</f>
        <v>0</v>
      </c>
      <c r="I71" s="107"/>
      <c r="J71" s="108">
        <f t="shared" ref="J71:J80" si="17">G71-H71</f>
        <v>0</v>
      </c>
      <c r="K71" s="108">
        <f t="shared" ref="K71:K80" si="18">IF(J71&gt;0,J71*3%,0)</f>
        <v>0</v>
      </c>
      <c r="L71" s="109">
        <v>0</v>
      </c>
      <c r="M71" s="110">
        <f t="shared" si="16"/>
        <v>0</v>
      </c>
      <c r="N71" s="111">
        <v>0</v>
      </c>
      <c r="O71" s="112">
        <f t="shared" ref="O71:O80" si="19">ROUND(SUM(J71:N71),0) + R71</f>
        <v>0.65000000000000024</v>
      </c>
      <c r="P71" s="113">
        <f t="shared" ref="P71:P80" si="20">ROUND(O71*6% + O71,0) + R71</f>
        <v>1.6500000000000004</v>
      </c>
      <c r="Q71" s="114">
        <f t="shared" ref="Q71:Q80" si="21">ROUND(O71*3%,0) + O71</f>
        <v>0.65000000000000024</v>
      </c>
      <c r="R71" s="57">
        <f t="shared" si="8"/>
        <v>0.65000000000000024</v>
      </c>
    </row>
    <row r="72" spans="2:18" ht="17.100000000000001" customHeight="1" x14ac:dyDescent="0.3">
      <c r="B72" s="94" t="s">
        <v>193</v>
      </c>
      <c r="C72" s="121">
        <f t="shared" si="11"/>
        <v>66</v>
      </c>
      <c r="D72" s="93" t="s">
        <v>93</v>
      </c>
      <c r="E72" s="93"/>
      <c r="F72" s="120">
        <v>1.71</v>
      </c>
      <c r="G72" s="105">
        <v>0</v>
      </c>
      <c r="H72" s="106">
        <f t="shared" ref="H72:H77" si="22">G72</f>
        <v>0</v>
      </c>
      <c r="I72" s="107"/>
      <c r="J72" s="108">
        <f t="shared" si="17"/>
        <v>0</v>
      </c>
      <c r="K72" s="108">
        <f t="shared" si="18"/>
        <v>0</v>
      </c>
      <c r="L72" s="109">
        <v>0</v>
      </c>
      <c r="M72" s="110">
        <f t="shared" si="16"/>
        <v>0</v>
      </c>
      <c r="N72" s="111">
        <v>0</v>
      </c>
      <c r="O72" s="112">
        <f t="shared" si="19"/>
        <v>0.66000000000000025</v>
      </c>
      <c r="P72" s="113">
        <f t="shared" si="20"/>
        <v>1.6600000000000001</v>
      </c>
      <c r="Q72" s="114">
        <f t="shared" si="21"/>
        <v>0.66000000000000025</v>
      </c>
      <c r="R72" s="57">
        <f t="shared" ref="R72:R80" si="23">R71+0.01</f>
        <v>0.66000000000000025</v>
      </c>
    </row>
    <row r="73" spans="2:18" ht="17.100000000000001" customHeight="1" x14ac:dyDescent="0.3">
      <c r="B73" s="94" t="s">
        <v>194</v>
      </c>
      <c r="C73" s="122">
        <f t="shared" si="11"/>
        <v>67</v>
      </c>
      <c r="D73" s="123" t="s">
        <v>94</v>
      </c>
      <c r="E73" s="123"/>
      <c r="F73" s="124">
        <v>1.1299999999999999</v>
      </c>
      <c r="G73" s="105">
        <v>0</v>
      </c>
      <c r="H73" s="126">
        <f t="shared" si="22"/>
        <v>0</v>
      </c>
      <c r="I73" s="127"/>
      <c r="J73" s="128">
        <f t="shared" si="17"/>
        <v>0</v>
      </c>
      <c r="K73" s="108">
        <f t="shared" si="18"/>
        <v>0</v>
      </c>
      <c r="L73" s="109">
        <v>0</v>
      </c>
      <c r="M73" s="129">
        <f t="shared" si="16"/>
        <v>0</v>
      </c>
      <c r="N73" s="130">
        <v>0</v>
      </c>
      <c r="O73" s="112">
        <f t="shared" si="19"/>
        <v>0.67000000000000026</v>
      </c>
      <c r="P73" s="113">
        <f t="shared" si="20"/>
        <v>1.6700000000000004</v>
      </c>
      <c r="Q73" s="114">
        <f t="shared" si="21"/>
        <v>0.67000000000000026</v>
      </c>
      <c r="R73" s="57">
        <f t="shared" si="23"/>
        <v>0.67000000000000026</v>
      </c>
    </row>
    <row r="74" spans="2:18" ht="17.100000000000001" customHeight="1" x14ac:dyDescent="0.3">
      <c r="B74" s="94" t="s">
        <v>195</v>
      </c>
      <c r="C74" s="121">
        <f t="shared" si="11"/>
        <v>68</v>
      </c>
      <c r="D74" s="94" t="s">
        <v>115</v>
      </c>
      <c r="E74" s="131"/>
      <c r="F74" s="124">
        <v>1.1299999999999999</v>
      </c>
      <c r="G74" s="105">
        <v>0</v>
      </c>
      <c r="H74" s="126">
        <f t="shared" si="22"/>
        <v>0</v>
      </c>
      <c r="I74" s="127"/>
      <c r="J74" s="128">
        <f t="shared" si="17"/>
        <v>0</v>
      </c>
      <c r="K74" s="108">
        <f t="shared" si="18"/>
        <v>0</v>
      </c>
      <c r="L74" s="109">
        <v>0</v>
      </c>
      <c r="M74" s="129">
        <f t="shared" si="16"/>
        <v>0</v>
      </c>
      <c r="N74" s="130">
        <v>0</v>
      </c>
      <c r="O74" s="112">
        <f t="shared" si="19"/>
        <v>0.68000000000000027</v>
      </c>
      <c r="P74" s="113">
        <f t="shared" si="20"/>
        <v>1.6800000000000002</v>
      </c>
      <c r="Q74" s="114">
        <f t="shared" si="21"/>
        <v>0.68000000000000027</v>
      </c>
      <c r="R74" s="57">
        <f t="shared" si="23"/>
        <v>0.68000000000000027</v>
      </c>
    </row>
    <row r="75" spans="2:18" ht="17.100000000000001" customHeight="1" x14ac:dyDescent="0.3">
      <c r="B75" s="94" t="s">
        <v>196</v>
      </c>
      <c r="C75" s="121">
        <f t="shared" si="11"/>
        <v>69</v>
      </c>
      <c r="D75" s="94" t="s">
        <v>116</v>
      </c>
      <c r="E75" s="131"/>
      <c r="F75" s="124">
        <v>1.1299999999999999</v>
      </c>
      <c r="G75" s="105">
        <v>0</v>
      </c>
      <c r="H75" s="126">
        <f t="shared" si="22"/>
        <v>0</v>
      </c>
      <c r="I75" s="127"/>
      <c r="J75" s="128">
        <f t="shared" si="17"/>
        <v>0</v>
      </c>
      <c r="K75" s="108">
        <f t="shared" si="18"/>
        <v>0</v>
      </c>
      <c r="L75" s="109">
        <v>0</v>
      </c>
      <c r="M75" s="129">
        <f t="shared" si="16"/>
        <v>0</v>
      </c>
      <c r="N75" s="130">
        <v>0</v>
      </c>
      <c r="O75" s="112">
        <f t="shared" si="19"/>
        <v>0.69000000000000028</v>
      </c>
      <c r="P75" s="113">
        <f t="shared" si="20"/>
        <v>1.6900000000000004</v>
      </c>
      <c r="Q75" s="114">
        <f t="shared" si="21"/>
        <v>0.69000000000000028</v>
      </c>
      <c r="R75" s="57">
        <f t="shared" si="23"/>
        <v>0.69000000000000028</v>
      </c>
    </row>
    <row r="76" spans="2:18" ht="17.100000000000001" customHeight="1" x14ac:dyDescent="0.3">
      <c r="B76" s="94" t="s">
        <v>197</v>
      </c>
      <c r="C76" s="121">
        <f t="shared" si="11"/>
        <v>70</v>
      </c>
      <c r="D76" s="94" t="s">
        <v>117</v>
      </c>
      <c r="E76" s="95"/>
      <c r="F76" s="104">
        <v>1.67</v>
      </c>
      <c r="G76" s="105">
        <v>0</v>
      </c>
      <c r="H76" s="126">
        <f t="shared" si="22"/>
        <v>0</v>
      </c>
      <c r="I76" s="127"/>
      <c r="J76" s="128">
        <f t="shared" si="17"/>
        <v>0</v>
      </c>
      <c r="K76" s="108">
        <f t="shared" si="18"/>
        <v>0</v>
      </c>
      <c r="L76" s="109">
        <v>0</v>
      </c>
      <c r="M76" s="129">
        <f t="shared" si="16"/>
        <v>0</v>
      </c>
      <c r="N76" s="130">
        <v>0</v>
      </c>
      <c r="O76" s="112">
        <f t="shared" si="19"/>
        <v>0.70000000000000029</v>
      </c>
      <c r="P76" s="113">
        <f t="shared" si="20"/>
        <v>1.7000000000000002</v>
      </c>
      <c r="Q76" s="114">
        <f t="shared" si="21"/>
        <v>0.70000000000000029</v>
      </c>
      <c r="R76" s="57">
        <f t="shared" si="23"/>
        <v>0.70000000000000029</v>
      </c>
    </row>
    <row r="77" spans="2:18" ht="17.100000000000001" customHeight="1" x14ac:dyDescent="0.3">
      <c r="B77" s="94" t="s">
        <v>198</v>
      </c>
      <c r="C77" s="121">
        <f t="shared" si="11"/>
        <v>71</v>
      </c>
      <c r="D77" s="94" t="s">
        <v>118</v>
      </c>
      <c r="E77" s="95"/>
      <c r="F77" s="104">
        <v>1.71</v>
      </c>
      <c r="G77" s="105">
        <v>0</v>
      </c>
      <c r="H77" s="126">
        <f t="shared" si="22"/>
        <v>0</v>
      </c>
      <c r="I77" s="127"/>
      <c r="J77" s="128">
        <f t="shared" si="17"/>
        <v>0</v>
      </c>
      <c r="K77" s="108">
        <f t="shared" si="18"/>
        <v>0</v>
      </c>
      <c r="L77" s="109">
        <v>0</v>
      </c>
      <c r="M77" s="129">
        <f t="shared" si="16"/>
        <v>0</v>
      </c>
      <c r="N77" s="130">
        <v>0</v>
      </c>
      <c r="O77" s="112">
        <f t="shared" si="19"/>
        <v>0.7100000000000003</v>
      </c>
      <c r="P77" s="113">
        <f t="shared" si="20"/>
        <v>1.7100000000000004</v>
      </c>
      <c r="Q77" s="114">
        <f t="shared" si="21"/>
        <v>0.7100000000000003</v>
      </c>
      <c r="R77" s="57">
        <f t="shared" si="23"/>
        <v>0.7100000000000003</v>
      </c>
    </row>
    <row r="78" spans="2:18" ht="22.5" customHeight="1" thickBot="1" x14ac:dyDescent="0.35">
      <c r="B78" s="94" t="s">
        <v>199</v>
      </c>
      <c r="C78" s="121">
        <f t="shared" si="11"/>
        <v>72</v>
      </c>
      <c r="D78" s="96" t="s">
        <v>119</v>
      </c>
      <c r="E78" s="95"/>
      <c r="F78" s="104">
        <v>1.1299999999999999</v>
      </c>
      <c r="G78" s="125"/>
      <c r="H78" s="126"/>
      <c r="I78" s="127"/>
      <c r="J78" s="128">
        <f t="shared" si="17"/>
        <v>0</v>
      </c>
      <c r="K78" s="108">
        <f t="shared" si="18"/>
        <v>0</v>
      </c>
      <c r="L78" s="109">
        <v>0</v>
      </c>
      <c r="M78" s="129">
        <f t="shared" si="16"/>
        <v>0</v>
      </c>
      <c r="N78" s="130">
        <v>0</v>
      </c>
      <c r="O78" s="112">
        <f t="shared" si="19"/>
        <v>0.72000000000000031</v>
      </c>
      <c r="P78" s="113">
        <f t="shared" si="20"/>
        <v>1.7200000000000002</v>
      </c>
      <c r="Q78" s="114">
        <f t="shared" si="21"/>
        <v>0.72000000000000031</v>
      </c>
      <c r="R78" s="57">
        <f t="shared" si="23"/>
        <v>0.72000000000000031</v>
      </c>
    </row>
    <row r="79" spans="2:18" ht="17.100000000000001" customHeight="1" x14ac:dyDescent="0.3">
      <c r="B79" s="132" t="s">
        <v>200</v>
      </c>
      <c r="C79" s="122">
        <f t="shared" si="11"/>
        <v>73</v>
      </c>
      <c r="D79" s="94" t="s">
        <v>120</v>
      </c>
      <c r="E79" s="95"/>
      <c r="F79" s="104">
        <v>1.1299999999999999</v>
      </c>
      <c r="G79" s="105">
        <v>0</v>
      </c>
      <c r="H79" s="126">
        <f>G79</f>
        <v>0</v>
      </c>
      <c r="I79" s="127"/>
      <c r="J79" s="128">
        <f t="shared" si="17"/>
        <v>0</v>
      </c>
      <c r="K79" s="108">
        <f t="shared" si="18"/>
        <v>0</v>
      </c>
      <c r="L79" s="109">
        <v>0</v>
      </c>
      <c r="M79" s="129">
        <f t="shared" si="16"/>
        <v>0</v>
      </c>
      <c r="N79" s="130">
        <v>0</v>
      </c>
      <c r="O79" s="112">
        <f t="shared" si="19"/>
        <v>0.73000000000000032</v>
      </c>
      <c r="P79" s="113">
        <f t="shared" si="20"/>
        <v>1.7300000000000004</v>
      </c>
      <c r="Q79" s="114">
        <f t="shared" si="21"/>
        <v>0.73000000000000032</v>
      </c>
      <c r="R79" s="57">
        <f t="shared" si="23"/>
        <v>0.73000000000000032</v>
      </c>
    </row>
    <row r="80" spans="2:18" ht="17.100000000000001" customHeight="1" thickBot="1" x14ac:dyDescent="0.35">
      <c r="B80" s="94" t="s">
        <v>201</v>
      </c>
      <c r="C80" s="94">
        <f t="shared" si="11"/>
        <v>74</v>
      </c>
      <c r="D80" s="133" t="s">
        <v>114</v>
      </c>
      <c r="E80" s="133"/>
      <c r="F80" s="104">
        <v>1.1299999999999999</v>
      </c>
      <c r="G80" s="105">
        <v>0</v>
      </c>
      <c r="H80" s="126">
        <f>G80</f>
        <v>0</v>
      </c>
      <c r="I80" s="127"/>
      <c r="J80" s="128">
        <f t="shared" si="17"/>
        <v>0</v>
      </c>
      <c r="K80" s="108">
        <f t="shared" si="18"/>
        <v>0</v>
      </c>
      <c r="L80" s="109">
        <v>0</v>
      </c>
      <c r="M80" s="129">
        <f t="shared" si="16"/>
        <v>0</v>
      </c>
      <c r="N80" s="130">
        <v>0</v>
      </c>
      <c r="O80" s="134">
        <f t="shared" si="19"/>
        <v>0.74000000000000032</v>
      </c>
      <c r="P80" s="135">
        <f t="shared" si="20"/>
        <v>1.7400000000000002</v>
      </c>
      <c r="Q80" s="136">
        <f t="shared" si="21"/>
        <v>0.74000000000000032</v>
      </c>
      <c r="R80" s="57">
        <f t="shared" si="23"/>
        <v>0.74000000000000032</v>
      </c>
    </row>
    <row r="81" spans="2:17" ht="17.100000000000001" customHeight="1" thickBot="1" x14ac:dyDescent="0.35">
      <c r="B81" s="137"/>
      <c r="C81" s="138"/>
      <c r="D81" s="139"/>
      <c r="E81" s="139"/>
      <c r="F81" s="140">
        <f>SUM(F6:F80)</f>
        <v>99.999999999999943</v>
      </c>
      <c r="G81" s="67">
        <f>SUM(G6:G80)</f>
        <v>0</v>
      </c>
      <c r="H81" s="91">
        <f>SUM(H6:H80)</f>
        <v>0</v>
      </c>
      <c r="I81" s="67">
        <f t="shared" ref="I81:P81" si="24">SUM(I6:I80)</f>
        <v>0</v>
      </c>
      <c r="J81" s="91">
        <f>SUM(J6:J80)</f>
        <v>0</v>
      </c>
      <c r="K81" s="67">
        <f t="shared" si="24"/>
        <v>0</v>
      </c>
      <c r="L81" s="91">
        <f t="shared" si="24"/>
        <v>0</v>
      </c>
      <c r="M81" s="67">
        <f t="shared" si="24"/>
        <v>0</v>
      </c>
      <c r="N81" s="91">
        <f t="shared" si="24"/>
        <v>42488</v>
      </c>
      <c r="O81" s="141">
        <f t="shared" si="24"/>
        <v>42515.75</v>
      </c>
      <c r="P81" s="141">
        <f t="shared" si="24"/>
        <v>45092.75</v>
      </c>
      <c r="Q81" s="141">
        <f>SUM(Q6:Q80)</f>
        <v>43790.75</v>
      </c>
    </row>
    <row r="82" spans="2:17" ht="12.75" customHeight="1" x14ac:dyDescent="0.3">
      <c r="D82" s="64"/>
      <c r="E82" s="64"/>
    </row>
    <row r="83" spans="2:17" hidden="1" x14ac:dyDescent="0.3"/>
    <row r="84" spans="2:17" ht="9" customHeight="1" x14ac:dyDescent="0.3">
      <c r="D84" s="203"/>
      <c r="E84" s="203"/>
      <c r="F84" s="203"/>
      <c r="G84" s="203"/>
      <c r="H84" s="203"/>
      <c r="I84" s="203"/>
      <c r="J84" s="203"/>
      <c r="K84" s="203"/>
      <c r="L84" s="203"/>
      <c r="M84" s="203"/>
      <c r="N84" s="203"/>
      <c r="O84" s="203"/>
    </row>
    <row r="85" spans="2:17" ht="12" hidden="1" customHeight="1" x14ac:dyDescent="0.3">
      <c r="D85" s="203"/>
      <c r="E85" s="203"/>
      <c r="F85" s="203"/>
      <c r="G85" s="203"/>
      <c r="H85" s="203"/>
      <c r="I85" s="203"/>
      <c r="J85" s="203"/>
      <c r="K85" s="203"/>
      <c r="L85" s="203"/>
      <c r="M85" s="203"/>
      <c r="N85" s="203"/>
      <c r="O85" s="203"/>
    </row>
    <row r="86" spans="2:17" ht="12" hidden="1" customHeight="1" x14ac:dyDescent="0.3">
      <c r="D86" s="203"/>
      <c r="E86" s="203"/>
      <c r="F86" s="203"/>
      <c r="G86" s="203"/>
      <c r="H86" s="203"/>
      <c r="I86" s="203"/>
      <c r="J86" s="203"/>
      <c r="K86" s="203"/>
      <c r="L86" s="203"/>
      <c r="M86" s="203"/>
      <c r="N86" s="203"/>
      <c r="O86" s="203"/>
    </row>
    <row r="87" spans="2:17" ht="12" hidden="1" customHeight="1" x14ac:dyDescent="0.3">
      <c r="D87" s="203"/>
      <c r="E87" s="203"/>
      <c r="F87" s="203"/>
      <c r="G87" s="203"/>
      <c r="H87" s="203"/>
      <c r="I87" s="203"/>
      <c r="J87" s="203"/>
      <c r="K87" s="203"/>
      <c r="L87" s="203"/>
      <c r="M87" s="203"/>
      <c r="N87" s="203"/>
      <c r="O87" s="203"/>
    </row>
    <row r="88" spans="2:17" ht="12" hidden="1" customHeight="1" x14ac:dyDescent="0.3">
      <c r="D88" s="203"/>
      <c r="E88" s="203"/>
      <c r="F88" s="203"/>
      <c r="G88" s="203"/>
      <c r="H88" s="203"/>
      <c r="I88" s="203"/>
      <c r="J88" s="203"/>
      <c r="K88" s="203"/>
      <c r="L88" s="203"/>
      <c r="M88" s="203"/>
      <c r="N88" s="203"/>
      <c r="O88" s="203"/>
    </row>
    <row r="89" spans="2:17" ht="39.75" customHeight="1" x14ac:dyDescent="0.3">
      <c r="D89" s="203"/>
      <c r="E89" s="203"/>
      <c r="F89" s="203"/>
      <c r="G89" s="203"/>
      <c r="H89" s="203"/>
      <c r="I89" s="203"/>
      <c r="J89" s="203"/>
      <c r="K89" s="203"/>
      <c r="L89" s="203"/>
      <c r="M89" s="203"/>
      <c r="N89" s="203"/>
      <c r="O89" s="203"/>
    </row>
  </sheetData>
  <mergeCells count="17">
    <mergeCell ref="Q4:Q5"/>
    <mergeCell ref="P4:P5"/>
    <mergeCell ref="A4:A5"/>
    <mergeCell ref="B4:B5"/>
    <mergeCell ref="C4:C5"/>
    <mergeCell ref="D4:D5"/>
    <mergeCell ref="E4:E5"/>
    <mergeCell ref="D84:O89"/>
    <mergeCell ref="J4:J5"/>
    <mergeCell ref="K4:K5"/>
    <mergeCell ref="L4:L5"/>
    <mergeCell ref="M4:M5"/>
    <mergeCell ref="N4:N5"/>
    <mergeCell ref="F4:F5"/>
    <mergeCell ref="G4:G5"/>
    <mergeCell ref="H4:H5"/>
    <mergeCell ref="I4:I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4.4" x14ac:dyDescent="0.3"/>
  <cols>
    <col min="1" max="1" width="6" customWidth="1"/>
    <col min="6" max="6" width="25.6640625" customWidth="1"/>
  </cols>
  <sheetData>
    <row r="1" spans="1:6" ht="15" thickBot="1" x14ac:dyDescent="0.35"/>
    <row r="2" spans="1:6" x14ac:dyDescent="0.3">
      <c r="A2" s="231" t="s">
        <v>4</v>
      </c>
      <c r="B2" s="217" t="s">
        <v>5</v>
      </c>
      <c r="C2" s="217" t="s">
        <v>6</v>
      </c>
      <c r="D2" s="217" t="s">
        <v>123</v>
      </c>
      <c r="E2" s="231" t="s">
        <v>27</v>
      </c>
      <c r="F2" s="233" t="s">
        <v>225</v>
      </c>
    </row>
    <row r="3" spans="1:6" ht="28.5" customHeight="1" thickBot="1" x14ac:dyDescent="0.35">
      <c r="A3" s="232"/>
      <c r="B3" s="221"/>
      <c r="C3" s="221"/>
      <c r="D3" s="218"/>
      <c r="E3" s="232"/>
      <c r="F3" s="234"/>
    </row>
    <row r="4" spans="1:6" x14ac:dyDescent="0.3">
      <c r="A4" s="94" t="s">
        <v>128</v>
      </c>
      <c r="B4" s="94">
        <v>1</v>
      </c>
      <c r="C4" s="94" t="s">
        <v>50</v>
      </c>
      <c r="D4" s="94"/>
      <c r="E4" s="157">
        <v>1.65</v>
      </c>
      <c r="F4" s="161">
        <f>PRORRATEO!M7+'PRORRATEO (2)'!O6</f>
        <v>525300.02</v>
      </c>
    </row>
    <row r="5" spans="1:6" x14ac:dyDescent="0.3">
      <c r="A5" s="94" t="s">
        <v>129</v>
      </c>
      <c r="B5" s="94">
        <f>B4+1</f>
        <v>2</v>
      </c>
      <c r="C5" s="94" t="s">
        <v>59</v>
      </c>
      <c r="D5" s="95"/>
      <c r="E5" s="157">
        <v>1.1599999999999999</v>
      </c>
      <c r="F5" s="161">
        <f>PRORRATEO!M8+'PRORRATEO (2)'!O7</f>
        <v>483174.04000000004</v>
      </c>
    </row>
    <row r="6" spans="1:6" x14ac:dyDescent="0.3">
      <c r="A6" s="94" t="s">
        <v>130</v>
      </c>
      <c r="B6" s="94">
        <f t="shared" ref="B6:B33" si="0">B5+1</f>
        <v>3</v>
      </c>
      <c r="C6" s="94" t="s">
        <v>60</v>
      </c>
      <c r="D6" s="95"/>
      <c r="E6" s="157">
        <v>1.19</v>
      </c>
      <c r="F6" s="161">
        <f>PRORRATEO!M9+'PRORRATEO (2)'!O8</f>
        <v>252000.06</v>
      </c>
    </row>
    <row r="7" spans="1:6" x14ac:dyDescent="0.3">
      <c r="A7" s="94" t="s">
        <v>131</v>
      </c>
      <c r="B7" s="94">
        <f t="shared" si="0"/>
        <v>4</v>
      </c>
      <c r="C7" s="94" t="s">
        <v>61</v>
      </c>
      <c r="D7" s="95"/>
      <c r="E7" s="157">
        <v>1.22</v>
      </c>
      <c r="F7" s="161">
        <f>PRORRATEO!M10+'PRORRATEO (2)'!O9</f>
        <v>216300.08000000002</v>
      </c>
    </row>
    <row r="8" spans="1:6" x14ac:dyDescent="0.3">
      <c r="A8" s="94" t="s">
        <v>132</v>
      </c>
      <c r="B8" s="94">
        <f t="shared" si="0"/>
        <v>5</v>
      </c>
      <c r="C8" s="94" t="s">
        <v>62</v>
      </c>
      <c r="D8" s="95"/>
      <c r="E8" s="157">
        <v>1.67</v>
      </c>
      <c r="F8" s="161">
        <f>PRORRATEO!M11+'PRORRATEO (2)'!O10</f>
        <v>253330.09999999998</v>
      </c>
    </row>
    <row r="9" spans="1:6" x14ac:dyDescent="0.3">
      <c r="A9" s="94" t="s">
        <v>133</v>
      </c>
      <c r="B9" s="94">
        <f t="shared" si="0"/>
        <v>6</v>
      </c>
      <c r="C9" s="94" t="s">
        <v>51</v>
      </c>
      <c r="D9" s="94"/>
      <c r="E9" s="157">
        <v>1.71</v>
      </c>
      <c r="F9" s="161">
        <f>PRORRATEO!M12+'PRORRATEO (2)'!O11</f>
        <v>168000.12</v>
      </c>
    </row>
    <row r="10" spans="1:6" x14ac:dyDescent="0.3">
      <c r="A10" s="94" t="s">
        <v>134</v>
      </c>
      <c r="B10" s="94">
        <f t="shared" si="0"/>
        <v>7</v>
      </c>
      <c r="C10" s="94" t="s">
        <v>52</v>
      </c>
      <c r="D10" s="94"/>
      <c r="E10" s="157">
        <v>1.1299999999999999</v>
      </c>
      <c r="F10" s="161">
        <f>PRORRATEO!M13+'PRORRATEO (2)'!O12</f>
        <v>240000.14</v>
      </c>
    </row>
    <row r="11" spans="1:6" x14ac:dyDescent="0.3">
      <c r="A11" s="94" t="s">
        <v>135</v>
      </c>
      <c r="B11" s="94">
        <f t="shared" si="0"/>
        <v>8</v>
      </c>
      <c r="C11" s="94" t="s">
        <v>63</v>
      </c>
      <c r="D11" s="95"/>
      <c r="E11" s="157">
        <v>1.1299999999999999</v>
      </c>
      <c r="F11" s="161">
        <f>PRORRATEO!M14+'PRORRATEO (2)'!O13</f>
        <v>338389.16000000003</v>
      </c>
    </row>
    <row r="12" spans="1:6" x14ac:dyDescent="0.3">
      <c r="A12" s="94" t="s">
        <v>136</v>
      </c>
      <c r="B12" s="94">
        <f t="shared" si="0"/>
        <v>9</v>
      </c>
      <c r="C12" s="94" t="s">
        <v>57</v>
      </c>
      <c r="D12" s="95"/>
      <c r="E12" s="157">
        <v>1.1299999999999999</v>
      </c>
      <c r="F12" s="161">
        <f>PRORRATEO!M15+'PRORRATEO (2)'!O14</f>
        <v>313994.18000000005</v>
      </c>
    </row>
    <row r="13" spans="1:6" x14ac:dyDescent="0.3">
      <c r="A13" s="94" t="s">
        <v>137</v>
      </c>
      <c r="B13" s="94">
        <f t="shared" si="0"/>
        <v>10</v>
      </c>
      <c r="C13" s="94" t="s">
        <v>58</v>
      </c>
      <c r="D13" s="95"/>
      <c r="E13" s="157">
        <v>1.67</v>
      </c>
      <c r="F13" s="161">
        <f>PRORRATEO!M16+'PRORRATEO (2)'!O15</f>
        <v>126000.20000000001</v>
      </c>
    </row>
    <row r="14" spans="1:6" x14ac:dyDescent="0.3">
      <c r="A14" s="94" t="s">
        <v>138</v>
      </c>
      <c r="B14" s="94">
        <f t="shared" si="0"/>
        <v>11</v>
      </c>
      <c r="C14" s="94" t="s">
        <v>64</v>
      </c>
      <c r="D14" s="95"/>
      <c r="E14" s="157">
        <v>1.71</v>
      </c>
      <c r="F14" s="161">
        <f>PRORRATEO!M17+'PRORRATEO (2)'!O16</f>
        <v>126000.22</v>
      </c>
    </row>
    <row r="15" spans="1:6" x14ac:dyDescent="0.3">
      <c r="A15" s="94" t="s">
        <v>139</v>
      </c>
      <c r="B15" s="94">
        <f t="shared" si="0"/>
        <v>12</v>
      </c>
      <c r="C15" s="94" t="s">
        <v>65</v>
      </c>
      <c r="D15" s="95"/>
      <c r="E15" s="157">
        <v>1.1299999999999999</v>
      </c>
      <c r="F15" s="161">
        <f>PRORRATEO!M18+'PRORRATEO (2)'!O17</f>
        <v>168000.24</v>
      </c>
    </row>
    <row r="16" spans="1:6" x14ac:dyDescent="0.3">
      <c r="A16" s="94" t="s">
        <v>140</v>
      </c>
      <c r="B16" s="94">
        <f t="shared" si="0"/>
        <v>13</v>
      </c>
      <c r="C16" s="94" t="s">
        <v>66</v>
      </c>
      <c r="D16" s="95"/>
      <c r="E16" s="157">
        <v>1.1299999999999999</v>
      </c>
      <c r="F16" s="161">
        <f>PRORRATEO!M19+'PRORRATEO (2)'!O18</f>
        <v>461422.26</v>
      </c>
    </row>
    <row r="17" spans="1:6" x14ac:dyDescent="0.3">
      <c r="A17" s="94" t="s">
        <v>141</v>
      </c>
      <c r="B17" s="94">
        <f t="shared" si="0"/>
        <v>14</v>
      </c>
      <c r="C17" s="94" t="s">
        <v>67</v>
      </c>
      <c r="D17" s="95"/>
      <c r="E17" s="157">
        <v>1.1299999999999999</v>
      </c>
      <c r="F17" s="161">
        <f>PRORRATEO!M20+'PRORRATEO (2)'!O19</f>
        <v>199700.28000000003</v>
      </c>
    </row>
    <row r="18" spans="1:6" x14ac:dyDescent="0.3">
      <c r="A18" s="94" t="s">
        <v>142</v>
      </c>
      <c r="B18" s="94">
        <f t="shared" si="0"/>
        <v>15</v>
      </c>
      <c r="C18" s="94" t="s">
        <v>68</v>
      </c>
      <c r="D18" s="95"/>
      <c r="E18" s="157">
        <v>1.67</v>
      </c>
      <c r="F18" s="161">
        <f>PRORRATEO!M21+'PRORRATEO (2)'!O20</f>
        <v>168000.3</v>
      </c>
    </row>
    <row r="19" spans="1:6" x14ac:dyDescent="0.3">
      <c r="A19" s="94" t="s">
        <v>143</v>
      </c>
      <c r="B19" s="94">
        <f t="shared" si="0"/>
        <v>16</v>
      </c>
      <c r="C19" s="94" t="s">
        <v>53</v>
      </c>
      <c r="D19" s="94"/>
      <c r="E19" s="157">
        <v>1.71</v>
      </c>
      <c r="F19" s="161">
        <f>PRORRATEO!M22+'PRORRATEO (2)'!O21</f>
        <v>156000.32000000001</v>
      </c>
    </row>
    <row r="20" spans="1:6" x14ac:dyDescent="0.3">
      <c r="A20" s="94" t="s">
        <v>144</v>
      </c>
      <c r="B20" s="94">
        <f t="shared" si="0"/>
        <v>17</v>
      </c>
      <c r="C20" s="94" t="s">
        <v>69</v>
      </c>
      <c r="D20" s="95"/>
      <c r="E20" s="157">
        <v>1.1299999999999999</v>
      </c>
      <c r="F20" s="161">
        <f>PRORRATEO!M23+'PRORRATEO (2)'!O22</f>
        <v>270000.33999999997</v>
      </c>
    </row>
    <row r="21" spans="1:6" x14ac:dyDescent="0.3">
      <c r="A21" s="94" t="s">
        <v>145</v>
      </c>
      <c r="B21" s="94">
        <f t="shared" si="0"/>
        <v>18</v>
      </c>
      <c r="C21" s="94" t="s">
        <v>70</v>
      </c>
      <c r="D21" s="94"/>
      <c r="E21" s="157">
        <v>1.1299999999999999</v>
      </c>
      <c r="F21" s="161">
        <f>PRORRATEO!M24+'PRORRATEO (2)'!O23</f>
        <v>168000.36</v>
      </c>
    </row>
    <row r="22" spans="1:6" x14ac:dyDescent="0.3">
      <c r="A22" s="94" t="s">
        <v>146</v>
      </c>
      <c r="B22" s="94">
        <f t="shared" si="0"/>
        <v>19</v>
      </c>
      <c r="C22" s="94" t="s">
        <v>71</v>
      </c>
      <c r="D22" s="95"/>
      <c r="E22" s="157">
        <v>1.1299999999999999</v>
      </c>
      <c r="F22" s="161">
        <f>PRORRATEO!M25+'PRORRATEO (2)'!O24</f>
        <v>168000.38</v>
      </c>
    </row>
    <row r="23" spans="1:6" x14ac:dyDescent="0.3">
      <c r="A23" s="94" t="s">
        <v>147</v>
      </c>
      <c r="B23" s="94">
        <f t="shared" si="0"/>
        <v>20</v>
      </c>
      <c r="C23" s="94" t="s">
        <v>54</v>
      </c>
      <c r="D23" s="94"/>
      <c r="E23" s="157">
        <v>1.67</v>
      </c>
      <c r="F23" s="161">
        <f>PRORRATEO!M26+'PRORRATEO (2)'!O25</f>
        <v>216300.40000000002</v>
      </c>
    </row>
    <row r="24" spans="1:6" x14ac:dyDescent="0.3">
      <c r="A24" s="94" t="s">
        <v>148</v>
      </c>
      <c r="B24" s="94">
        <f t="shared" si="0"/>
        <v>21</v>
      </c>
      <c r="C24" s="94" t="s">
        <v>72</v>
      </c>
      <c r="D24" s="95"/>
      <c r="E24" s="157">
        <v>1.71</v>
      </c>
      <c r="F24" s="161">
        <f>PRORRATEO!M27+'PRORRATEO (2)'!O26</f>
        <v>180000.41999999998</v>
      </c>
    </row>
    <row r="25" spans="1:6" x14ac:dyDescent="0.3">
      <c r="A25" s="94" t="s">
        <v>149</v>
      </c>
      <c r="B25" s="94">
        <f t="shared" si="0"/>
        <v>22</v>
      </c>
      <c r="C25" s="94" t="s">
        <v>73</v>
      </c>
      <c r="D25" s="95"/>
      <c r="E25" s="157">
        <v>1.1299999999999999</v>
      </c>
      <c r="F25" s="161">
        <f>PRORRATEO!M28+'PRORRATEO (2)'!O27</f>
        <v>246000.44</v>
      </c>
    </row>
    <row r="26" spans="1:6" x14ac:dyDescent="0.3">
      <c r="A26" s="94" t="s">
        <v>150</v>
      </c>
      <c r="B26" s="94">
        <f t="shared" si="0"/>
        <v>23</v>
      </c>
      <c r="C26" s="94" t="s">
        <v>74</v>
      </c>
      <c r="D26" s="95"/>
      <c r="E26" s="157">
        <v>1.1299999999999999</v>
      </c>
      <c r="F26" s="161">
        <f>PRORRATEO!M29+'PRORRATEO (2)'!O28</f>
        <v>393917.45999999996</v>
      </c>
    </row>
    <row r="27" spans="1:6" x14ac:dyDescent="0.3">
      <c r="A27" s="94" t="s">
        <v>151</v>
      </c>
      <c r="B27" s="94">
        <f t="shared" si="0"/>
        <v>24</v>
      </c>
      <c r="C27" s="94" t="s">
        <v>75</v>
      </c>
      <c r="D27" s="95"/>
      <c r="E27" s="157">
        <v>1.1299999999999999</v>
      </c>
      <c r="F27" s="161">
        <f>PRORRATEO!M30+'PRORRATEO (2)'!O29</f>
        <v>354000.48</v>
      </c>
    </row>
    <row r="28" spans="1:6" x14ac:dyDescent="0.3">
      <c r="A28" s="94" t="s">
        <v>152</v>
      </c>
      <c r="B28" s="94">
        <f t="shared" si="0"/>
        <v>25</v>
      </c>
      <c r="C28" s="94" t="s">
        <v>76</v>
      </c>
      <c r="D28" s="94"/>
      <c r="E28" s="157">
        <v>1.67</v>
      </c>
      <c r="F28" s="161">
        <f>PRORRATEO!M31+'PRORRATEO (2)'!O30</f>
        <v>247500.5</v>
      </c>
    </row>
    <row r="29" spans="1:6" x14ac:dyDescent="0.3">
      <c r="A29" s="94" t="s">
        <v>153</v>
      </c>
      <c r="B29" s="94">
        <f t="shared" si="0"/>
        <v>26</v>
      </c>
      <c r="C29" s="94" t="s">
        <v>204</v>
      </c>
      <c r="D29" s="94"/>
      <c r="E29" s="157">
        <v>1.71</v>
      </c>
      <c r="F29" s="161">
        <f>PRORRATEO!M32+'PRORRATEO (2)'!O31</f>
        <v>471225.52</v>
      </c>
    </row>
    <row r="30" spans="1:6" x14ac:dyDescent="0.3">
      <c r="A30" s="94" t="s">
        <v>154</v>
      </c>
      <c r="B30" s="94">
        <f t="shared" si="0"/>
        <v>27</v>
      </c>
      <c r="C30" s="94" t="s">
        <v>77</v>
      </c>
      <c r="D30" s="95"/>
      <c r="E30" s="157">
        <v>1.1299999999999999</v>
      </c>
      <c r="F30" s="161">
        <f>PRORRATEO!M33+'PRORRATEO (2)'!O32</f>
        <v>0.27000000000000007</v>
      </c>
    </row>
    <row r="31" spans="1:6" x14ac:dyDescent="0.3">
      <c r="A31" s="94" t="s">
        <v>155</v>
      </c>
      <c r="B31" s="94">
        <f t="shared" si="0"/>
        <v>28</v>
      </c>
      <c r="C31" s="94" t="s">
        <v>55</v>
      </c>
      <c r="D31" s="94"/>
      <c r="E31" s="157">
        <v>1.1299999999999999</v>
      </c>
      <c r="F31" s="161" t="e">
        <f>PRORRATEO!#REF!+'PRORRATEO (2)'!O33</f>
        <v>#REF!</v>
      </c>
    </row>
    <row r="32" spans="1:6" x14ac:dyDescent="0.3">
      <c r="A32" s="94" t="s">
        <v>156</v>
      </c>
      <c r="B32" s="94">
        <f t="shared" si="0"/>
        <v>29</v>
      </c>
      <c r="C32" s="94" t="s">
        <v>56</v>
      </c>
      <c r="D32" s="94"/>
      <c r="E32" s="157">
        <v>1.1299999999999999</v>
      </c>
      <c r="F32" s="161" t="e">
        <f>PRORRATEO!#REF!+'PRORRATEO (2)'!O34</f>
        <v>#REF!</v>
      </c>
    </row>
    <row r="33" spans="1:6" x14ac:dyDescent="0.3">
      <c r="A33" s="94" t="s">
        <v>157</v>
      </c>
      <c r="B33" s="94">
        <f t="shared" si="0"/>
        <v>30</v>
      </c>
      <c r="C33" s="94" t="s">
        <v>78</v>
      </c>
      <c r="D33" s="95"/>
      <c r="E33" s="157">
        <v>1.67</v>
      </c>
      <c r="F33" s="161" t="e">
        <f>PRORRATEO!#REF!+'PRORRATEO (2)'!O35</f>
        <v>#REF!</v>
      </c>
    </row>
    <row r="34" spans="1:6" x14ac:dyDescent="0.3">
      <c r="A34" s="94"/>
      <c r="B34" s="94"/>
      <c r="C34" s="94"/>
      <c r="D34" s="94"/>
      <c r="E34" s="157"/>
      <c r="F34" s="161" t="e">
        <f>PRORRATEO!#REF!+'PRORRATEO (2)'!O36</f>
        <v>#REF!</v>
      </c>
    </row>
    <row r="35" spans="1:6" x14ac:dyDescent="0.3">
      <c r="A35" s="94" t="s">
        <v>158</v>
      </c>
      <c r="B35" s="94">
        <v>31</v>
      </c>
      <c r="C35" s="94" t="s">
        <v>95</v>
      </c>
      <c r="D35" s="95"/>
      <c r="E35" s="157">
        <v>1.71</v>
      </c>
      <c r="F35" s="161" t="e">
        <f>PRORRATEO!#REF!+'PRORRATEO (2)'!O37</f>
        <v>#REF!</v>
      </c>
    </row>
    <row r="36" spans="1:6" x14ac:dyDescent="0.3">
      <c r="A36" s="94" t="s">
        <v>159</v>
      </c>
      <c r="B36" s="94">
        <f>B35+1</f>
        <v>32</v>
      </c>
      <c r="C36" s="94" t="s">
        <v>96</v>
      </c>
      <c r="D36" s="95"/>
      <c r="E36" s="157">
        <v>1.1299999999999999</v>
      </c>
      <c r="F36" s="161" t="e">
        <f>PRORRATEO!#REF!+'PRORRATEO (2)'!O38</f>
        <v>#REF!</v>
      </c>
    </row>
    <row r="37" spans="1:6" x14ac:dyDescent="0.3">
      <c r="A37" s="94" t="s">
        <v>160</v>
      </c>
      <c r="B37" s="94">
        <f t="shared" ref="B37:B78" si="1">B36+1</f>
        <v>33</v>
      </c>
      <c r="C37" s="94" t="s">
        <v>79</v>
      </c>
      <c r="D37" s="94"/>
      <c r="E37" s="157">
        <v>1.1299999999999999</v>
      </c>
      <c r="F37" s="161" t="e">
        <f>PRORRATEO!#REF!+'PRORRATEO (2)'!O39</f>
        <v>#REF!</v>
      </c>
    </row>
    <row r="38" spans="1:6" x14ac:dyDescent="0.3">
      <c r="A38" s="94" t="s">
        <v>161</v>
      </c>
      <c r="B38" s="94">
        <f t="shared" si="1"/>
        <v>34</v>
      </c>
      <c r="C38" s="94" t="s">
        <v>97</v>
      </c>
      <c r="D38" s="95"/>
      <c r="E38" s="157">
        <v>1.1299999999999999</v>
      </c>
      <c r="F38" s="161" t="e">
        <f>PRORRATEO!#REF!+'PRORRATEO (2)'!O40</f>
        <v>#REF!</v>
      </c>
    </row>
    <row r="39" spans="1:6" x14ac:dyDescent="0.3">
      <c r="A39" s="94" t="s">
        <v>162</v>
      </c>
      <c r="B39" s="94">
        <f t="shared" si="1"/>
        <v>35</v>
      </c>
      <c r="C39" s="94" t="s">
        <v>98</v>
      </c>
      <c r="D39" s="95"/>
      <c r="E39" s="157">
        <v>1.67</v>
      </c>
      <c r="F39" s="161" t="e">
        <f>PRORRATEO!#REF!+'PRORRATEO (2)'!O41</f>
        <v>#REF!</v>
      </c>
    </row>
    <row r="40" spans="1:6" x14ac:dyDescent="0.3">
      <c r="A40" s="93" t="s">
        <v>163</v>
      </c>
      <c r="B40" s="94">
        <f t="shared" si="1"/>
        <v>36</v>
      </c>
      <c r="C40" s="93" t="s">
        <v>99</v>
      </c>
      <c r="D40" s="119"/>
      <c r="E40" s="158">
        <v>1.71</v>
      </c>
      <c r="F40" s="161" t="e">
        <f>PRORRATEO!#REF!+'PRORRATEO (2)'!O42</f>
        <v>#REF!</v>
      </c>
    </row>
    <row r="41" spans="1:6" x14ac:dyDescent="0.3">
      <c r="A41" s="94" t="s">
        <v>164</v>
      </c>
      <c r="B41" s="121">
        <f t="shared" si="1"/>
        <v>37</v>
      </c>
      <c r="C41" s="93" t="s">
        <v>80</v>
      </c>
      <c r="D41" s="93"/>
      <c r="E41" s="158">
        <v>1.1299999999999999</v>
      </c>
      <c r="F41" s="161" t="e">
        <f>PRORRATEO!#REF!+'PRORRATEO (2)'!O43</f>
        <v>#REF!</v>
      </c>
    </row>
    <row r="42" spans="1:6" x14ac:dyDescent="0.3">
      <c r="A42" s="94" t="s">
        <v>165</v>
      </c>
      <c r="B42" s="121">
        <f t="shared" si="1"/>
        <v>38</v>
      </c>
      <c r="C42" s="93" t="s">
        <v>100</v>
      </c>
      <c r="D42" s="119"/>
      <c r="E42" s="158">
        <v>1.1299999999999999</v>
      </c>
      <c r="F42" s="161" t="e">
        <f>PRORRATEO!#REF!+'PRORRATEO (2)'!O44</f>
        <v>#REF!</v>
      </c>
    </row>
    <row r="43" spans="1:6" x14ac:dyDescent="0.3">
      <c r="A43" s="94" t="s">
        <v>166</v>
      </c>
      <c r="B43" s="121">
        <f t="shared" si="1"/>
        <v>39</v>
      </c>
      <c r="C43" s="93" t="s">
        <v>81</v>
      </c>
      <c r="D43" s="93"/>
      <c r="E43" s="158">
        <v>1.1299999999999999</v>
      </c>
      <c r="F43" s="161" t="e">
        <f>PRORRATEO!#REF!+'PRORRATEO (2)'!O45</f>
        <v>#REF!</v>
      </c>
    </row>
    <row r="44" spans="1:6" x14ac:dyDescent="0.3">
      <c r="A44" s="94" t="s">
        <v>167</v>
      </c>
      <c r="B44" s="121">
        <f t="shared" si="1"/>
        <v>40</v>
      </c>
      <c r="C44" s="93" t="s">
        <v>82</v>
      </c>
      <c r="D44" s="93"/>
      <c r="E44" s="158">
        <v>1.67</v>
      </c>
      <c r="F44" s="161" t="e">
        <f>PRORRATEO!#REF!+'PRORRATEO (2)'!O46</f>
        <v>#REF!</v>
      </c>
    </row>
    <row r="45" spans="1:6" x14ac:dyDescent="0.3">
      <c r="A45" s="94" t="s">
        <v>168</v>
      </c>
      <c r="B45" s="121">
        <f t="shared" si="1"/>
        <v>41</v>
      </c>
      <c r="C45" s="93" t="s">
        <v>101</v>
      </c>
      <c r="D45" s="119"/>
      <c r="E45" s="158">
        <v>1.71</v>
      </c>
      <c r="F45" s="161" t="e">
        <f>PRORRATEO!#REF!+'PRORRATEO (2)'!O47</f>
        <v>#REF!</v>
      </c>
    </row>
    <row r="46" spans="1:6" x14ac:dyDescent="0.3">
      <c r="A46" s="94" t="s">
        <v>169</v>
      </c>
      <c r="B46" s="121">
        <f t="shared" si="1"/>
        <v>42</v>
      </c>
      <c r="C46" s="93" t="s">
        <v>102</v>
      </c>
      <c r="D46" s="119"/>
      <c r="E46" s="158">
        <v>1.1299999999999999</v>
      </c>
      <c r="F46" s="161" t="e">
        <f>PRORRATEO!#REF!+'PRORRATEO (2)'!O48</f>
        <v>#REF!</v>
      </c>
    </row>
    <row r="47" spans="1:6" x14ac:dyDescent="0.3">
      <c r="A47" s="94" t="s">
        <v>170</v>
      </c>
      <c r="B47" s="121">
        <f t="shared" si="1"/>
        <v>43</v>
      </c>
      <c r="C47" s="93" t="s">
        <v>103</v>
      </c>
      <c r="D47" s="119"/>
      <c r="E47" s="158">
        <v>1.1299999999999999</v>
      </c>
      <c r="F47" s="161" t="e">
        <f>PRORRATEO!#REF!+'PRORRATEO (2)'!O49</f>
        <v>#REF!</v>
      </c>
    </row>
    <row r="48" spans="1:6" x14ac:dyDescent="0.3">
      <c r="A48" s="94" t="s">
        <v>171</v>
      </c>
      <c r="B48" s="121">
        <f t="shared" si="1"/>
        <v>44</v>
      </c>
      <c r="C48" s="93" t="s">
        <v>83</v>
      </c>
      <c r="D48" s="93"/>
      <c r="E48" s="158">
        <v>1.1299999999999999</v>
      </c>
      <c r="F48" s="161" t="e">
        <f>PRORRATEO!#REF!+'PRORRATEO (2)'!O50</f>
        <v>#REF!</v>
      </c>
    </row>
    <row r="49" spans="1:6" x14ac:dyDescent="0.3">
      <c r="A49" s="94" t="s">
        <v>172</v>
      </c>
      <c r="B49" s="121">
        <f t="shared" si="1"/>
        <v>45</v>
      </c>
      <c r="C49" s="93" t="s">
        <v>84</v>
      </c>
      <c r="D49" s="93"/>
      <c r="E49" s="158">
        <v>1.67</v>
      </c>
      <c r="F49" s="161" t="e">
        <f>PRORRATEO!#REF!+'PRORRATEO (2)'!O51</f>
        <v>#REF!</v>
      </c>
    </row>
    <row r="50" spans="1:6" x14ac:dyDescent="0.3">
      <c r="A50" s="94" t="s">
        <v>173</v>
      </c>
      <c r="B50" s="121">
        <f t="shared" si="1"/>
        <v>46</v>
      </c>
      <c r="C50" s="93" t="s">
        <v>104</v>
      </c>
      <c r="D50" s="119"/>
      <c r="E50" s="158">
        <v>1.71</v>
      </c>
      <c r="F50" s="161" t="e">
        <f>PRORRATEO!#REF!+'PRORRATEO (2)'!O52</f>
        <v>#REF!</v>
      </c>
    </row>
    <row r="51" spans="1:6" x14ac:dyDescent="0.3">
      <c r="A51" s="94" t="s">
        <v>174</v>
      </c>
      <c r="B51" s="121">
        <f t="shared" si="1"/>
        <v>47</v>
      </c>
      <c r="C51" s="93" t="s">
        <v>85</v>
      </c>
      <c r="D51" s="93"/>
      <c r="E51" s="158">
        <v>1.1299999999999999</v>
      </c>
      <c r="F51" s="161" t="e">
        <f>PRORRATEO!#REF!+'PRORRATEO (2)'!O53</f>
        <v>#REF!</v>
      </c>
    </row>
    <row r="52" spans="1:6" x14ac:dyDescent="0.3">
      <c r="A52" s="94" t="s">
        <v>175</v>
      </c>
      <c r="B52" s="121">
        <f t="shared" si="1"/>
        <v>48</v>
      </c>
      <c r="C52" s="93" t="s">
        <v>86</v>
      </c>
      <c r="D52" s="93"/>
      <c r="E52" s="158">
        <v>1.1299999999999999</v>
      </c>
      <c r="F52" s="161" t="e">
        <f>PRORRATEO!#REF!+'PRORRATEO (2)'!O54</f>
        <v>#REF!</v>
      </c>
    </row>
    <row r="53" spans="1:6" x14ac:dyDescent="0.3">
      <c r="A53" s="94" t="s">
        <v>176</v>
      </c>
      <c r="B53" s="121">
        <f t="shared" si="1"/>
        <v>49</v>
      </c>
      <c r="C53" s="93" t="s">
        <v>205</v>
      </c>
      <c r="D53" s="93"/>
      <c r="E53" s="158">
        <v>1.1299999999999999</v>
      </c>
      <c r="F53" s="161" t="e">
        <f>PRORRATEO!#REF!+'PRORRATEO (2)'!O55</f>
        <v>#REF!</v>
      </c>
    </row>
    <row r="54" spans="1:6" x14ac:dyDescent="0.3">
      <c r="A54" s="94" t="s">
        <v>177</v>
      </c>
      <c r="B54" s="121">
        <f t="shared" si="1"/>
        <v>50</v>
      </c>
      <c r="C54" s="93" t="s">
        <v>87</v>
      </c>
      <c r="D54" s="93"/>
      <c r="E54" s="158">
        <v>1.67</v>
      </c>
      <c r="F54" s="161" t="e">
        <f>PRORRATEO!#REF!+'PRORRATEO (2)'!O56</f>
        <v>#REF!</v>
      </c>
    </row>
    <row r="55" spans="1:6" x14ac:dyDescent="0.3">
      <c r="A55" s="94" t="s">
        <v>178</v>
      </c>
      <c r="B55" s="121">
        <f t="shared" si="1"/>
        <v>51</v>
      </c>
      <c r="C55" s="93" t="s">
        <v>106</v>
      </c>
      <c r="D55" s="119"/>
      <c r="E55" s="158">
        <v>1.71</v>
      </c>
      <c r="F55" s="161" t="e">
        <f>PRORRATEO!#REF!+'PRORRATEO (2)'!O57</f>
        <v>#REF!</v>
      </c>
    </row>
    <row r="56" spans="1:6" x14ac:dyDescent="0.3">
      <c r="A56" s="94" t="s">
        <v>179</v>
      </c>
      <c r="B56" s="121">
        <f t="shared" si="1"/>
        <v>52</v>
      </c>
      <c r="C56" s="93" t="s">
        <v>105</v>
      </c>
      <c r="D56" s="119"/>
      <c r="E56" s="158">
        <v>1.1299999999999999</v>
      </c>
      <c r="F56" s="161" t="e">
        <f>PRORRATEO!#REF!+'PRORRATEO (2)'!O58</f>
        <v>#REF!</v>
      </c>
    </row>
    <row r="57" spans="1:6" x14ac:dyDescent="0.3">
      <c r="A57" s="94" t="s">
        <v>180</v>
      </c>
      <c r="B57" s="121">
        <f t="shared" si="1"/>
        <v>53</v>
      </c>
      <c r="C57" s="93" t="s">
        <v>88</v>
      </c>
      <c r="D57" s="93"/>
      <c r="E57" s="158">
        <v>1.1299999999999999</v>
      </c>
      <c r="F57" s="161" t="e">
        <f>PRORRATEO!#REF!+'PRORRATEO (2)'!O59</f>
        <v>#REF!</v>
      </c>
    </row>
    <row r="58" spans="1:6" x14ac:dyDescent="0.3">
      <c r="A58" s="94" t="s">
        <v>181</v>
      </c>
      <c r="B58" s="121">
        <f t="shared" si="1"/>
        <v>54</v>
      </c>
      <c r="C58" s="93" t="s">
        <v>108</v>
      </c>
      <c r="D58" s="119"/>
      <c r="E58" s="158">
        <v>1.1299999999999999</v>
      </c>
      <c r="F58" s="161" t="e">
        <f>PRORRATEO!#REF!+'PRORRATEO (2)'!O60</f>
        <v>#REF!</v>
      </c>
    </row>
    <row r="59" spans="1:6" x14ac:dyDescent="0.3">
      <c r="A59" s="94" t="s">
        <v>182</v>
      </c>
      <c r="B59" s="121">
        <f t="shared" si="1"/>
        <v>55</v>
      </c>
      <c r="C59" s="93" t="s">
        <v>107</v>
      </c>
      <c r="D59" s="119"/>
      <c r="E59" s="158">
        <v>1.67</v>
      </c>
      <c r="F59" s="161" t="e">
        <f>PRORRATEO!#REF!+'PRORRATEO (2)'!O61</f>
        <v>#REF!</v>
      </c>
    </row>
    <row r="60" spans="1:6" x14ac:dyDescent="0.3">
      <c r="A60" s="94" t="s">
        <v>183</v>
      </c>
      <c r="B60" s="121">
        <f t="shared" si="1"/>
        <v>56</v>
      </c>
      <c r="C60" s="93" t="s">
        <v>109</v>
      </c>
      <c r="D60" s="119"/>
      <c r="E60" s="158">
        <v>1.71</v>
      </c>
      <c r="F60" s="161" t="e">
        <f>PRORRATEO!#REF!+'PRORRATEO (2)'!O62</f>
        <v>#REF!</v>
      </c>
    </row>
    <row r="61" spans="1:6" x14ac:dyDescent="0.3">
      <c r="A61" s="94" t="s">
        <v>184</v>
      </c>
      <c r="B61" s="121">
        <f t="shared" si="1"/>
        <v>57</v>
      </c>
      <c r="C61" s="93" t="s">
        <v>206</v>
      </c>
      <c r="D61" s="119"/>
      <c r="E61" s="158">
        <v>1.1299999999999999</v>
      </c>
      <c r="F61" s="161" t="e">
        <f>PRORRATEO!#REF!+'PRORRATEO (2)'!O63</f>
        <v>#REF!</v>
      </c>
    </row>
    <row r="62" spans="1:6" x14ac:dyDescent="0.3">
      <c r="A62" s="94" t="s">
        <v>185</v>
      </c>
      <c r="B62" s="121">
        <f t="shared" si="1"/>
        <v>58</v>
      </c>
      <c r="C62" s="93" t="s">
        <v>89</v>
      </c>
      <c r="D62" s="93"/>
      <c r="E62" s="158">
        <v>1.1299999999999999</v>
      </c>
      <c r="F62" s="161" t="e">
        <f>PRORRATEO!#REF!+'PRORRATEO (2)'!O64</f>
        <v>#REF!</v>
      </c>
    </row>
    <row r="63" spans="1:6" x14ac:dyDescent="0.3">
      <c r="A63" s="94" t="s">
        <v>186</v>
      </c>
      <c r="B63" s="121">
        <f t="shared" si="1"/>
        <v>59</v>
      </c>
      <c r="C63" s="93" t="s">
        <v>110</v>
      </c>
      <c r="D63" s="119"/>
      <c r="E63" s="158">
        <v>1.1299999999999999</v>
      </c>
      <c r="F63" s="161" t="e">
        <f>PRORRATEO!#REF!+'PRORRATEO (2)'!O65</f>
        <v>#REF!</v>
      </c>
    </row>
    <row r="64" spans="1:6" x14ac:dyDescent="0.3">
      <c r="A64" s="94" t="s">
        <v>187</v>
      </c>
      <c r="B64" s="121">
        <f t="shared" si="1"/>
        <v>60</v>
      </c>
      <c r="C64" s="93" t="s">
        <v>90</v>
      </c>
      <c r="D64" s="93"/>
      <c r="E64" s="158">
        <v>1.67</v>
      </c>
      <c r="F64" s="161" t="e">
        <f>PRORRATEO!#REF!+'PRORRATEO (2)'!O66</f>
        <v>#REF!</v>
      </c>
    </row>
    <row r="65" spans="1:6" x14ac:dyDescent="0.3">
      <c r="A65" s="94" t="s">
        <v>188</v>
      </c>
      <c r="B65" s="121">
        <f t="shared" si="1"/>
        <v>61</v>
      </c>
      <c r="C65" s="93" t="s">
        <v>111</v>
      </c>
      <c r="D65" s="119"/>
      <c r="E65" s="158">
        <v>1.71</v>
      </c>
      <c r="F65" s="161" t="e">
        <f>PRORRATEO!#REF!+'PRORRATEO (2)'!O67</f>
        <v>#REF!</v>
      </c>
    </row>
    <row r="66" spans="1:6" x14ac:dyDescent="0.3">
      <c r="A66" s="94" t="s">
        <v>189</v>
      </c>
      <c r="B66" s="121">
        <f t="shared" si="1"/>
        <v>62</v>
      </c>
      <c r="C66" s="93" t="s">
        <v>91</v>
      </c>
      <c r="D66" s="93"/>
      <c r="E66" s="158">
        <v>1.1299999999999999</v>
      </c>
      <c r="F66" s="161" t="e">
        <f>PRORRATEO!#REF!+'PRORRATEO (2)'!O68</f>
        <v>#REF!</v>
      </c>
    </row>
    <row r="67" spans="1:6" x14ac:dyDescent="0.3">
      <c r="A67" s="94" t="s">
        <v>190</v>
      </c>
      <c r="B67" s="121">
        <f t="shared" si="1"/>
        <v>63</v>
      </c>
      <c r="C67" s="93" t="s">
        <v>92</v>
      </c>
      <c r="D67" s="93"/>
      <c r="E67" s="158">
        <v>1.1299999999999999</v>
      </c>
      <c r="F67" s="161" t="e">
        <f>PRORRATEO!#REF!+'PRORRATEO (2)'!O69</f>
        <v>#REF!</v>
      </c>
    </row>
    <row r="68" spans="1:6" x14ac:dyDescent="0.3">
      <c r="A68" s="94" t="s">
        <v>191</v>
      </c>
      <c r="B68" s="121">
        <f t="shared" si="1"/>
        <v>64</v>
      </c>
      <c r="C68" s="93" t="s">
        <v>113</v>
      </c>
      <c r="D68" s="119"/>
      <c r="E68" s="158">
        <v>1.1299999999999999</v>
      </c>
      <c r="F68" s="161" t="e">
        <f>PRORRATEO!#REF!+'PRORRATEO (2)'!O70</f>
        <v>#REF!</v>
      </c>
    </row>
    <row r="69" spans="1:6" x14ac:dyDescent="0.3">
      <c r="A69" s="94" t="s">
        <v>192</v>
      </c>
      <c r="B69" s="121">
        <f t="shared" si="1"/>
        <v>65</v>
      </c>
      <c r="C69" s="93" t="s">
        <v>112</v>
      </c>
      <c r="D69" s="119"/>
      <c r="E69" s="158">
        <v>1.67</v>
      </c>
      <c r="F69" s="161" t="e">
        <f>PRORRATEO!#REF!+'PRORRATEO (2)'!O71</f>
        <v>#REF!</v>
      </c>
    </row>
    <row r="70" spans="1:6" x14ac:dyDescent="0.3">
      <c r="A70" s="94" t="s">
        <v>193</v>
      </c>
      <c r="B70" s="121">
        <f t="shared" si="1"/>
        <v>66</v>
      </c>
      <c r="C70" s="93" t="s">
        <v>93</v>
      </c>
      <c r="D70" s="93"/>
      <c r="E70" s="158">
        <v>1.71</v>
      </c>
      <c r="F70" s="161" t="e">
        <f>PRORRATEO!#REF!+'PRORRATEO (2)'!O72</f>
        <v>#REF!</v>
      </c>
    </row>
    <row r="71" spans="1:6" x14ac:dyDescent="0.3">
      <c r="A71" s="94" t="s">
        <v>194</v>
      </c>
      <c r="B71" s="122">
        <f t="shared" si="1"/>
        <v>67</v>
      </c>
      <c r="C71" s="123" t="s">
        <v>94</v>
      </c>
      <c r="D71" s="123"/>
      <c r="E71" s="159">
        <v>1.1299999999999999</v>
      </c>
      <c r="F71" s="161" t="e">
        <f>PRORRATEO!#REF!+'PRORRATEO (2)'!O73</f>
        <v>#REF!</v>
      </c>
    </row>
    <row r="72" spans="1:6" x14ac:dyDescent="0.3">
      <c r="A72" s="94" t="s">
        <v>195</v>
      </c>
      <c r="B72" s="121">
        <f t="shared" si="1"/>
        <v>68</v>
      </c>
      <c r="C72" s="94" t="s">
        <v>115</v>
      </c>
      <c r="D72" s="131"/>
      <c r="E72" s="159">
        <v>1.1299999999999999</v>
      </c>
      <c r="F72" s="161" t="e">
        <f>PRORRATEO!#REF!+'PRORRATEO (2)'!O74</f>
        <v>#REF!</v>
      </c>
    </row>
    <row r="73" spans="1:6" x14ac:dyDescent="0.3">
      <c r="A73" s="94" t="s">
        <v>196</v>
      </c>
      <c r="B73" s="121">
        <f t="shared" si="1"/>
        <v>69</v>
      </c>
      <c r="C73" s="94" t="s">
        <v>116</v>
      </c>
      <c r="D73" s="131"/>
      <c r="E73" s="159">
        <v>1.1299999999999999</v>
      </c>
      <c r="F73" s="161" t="e">
        <f>PRORRATEO!#REF!+'PRORRATEO (2)'!O75</f>
        <v>#REF!</v>
      </c>
    </row>
    <row r="74" spans="1:6" x14ac:dyDescent="0.3">
      <c r="A74" s="94" t="s">
        <v>197</v>
      </c>
      <c r="B74" s="121">
        <f t="shared" si="1"/>
        <v>70</v>
      </c>
      <c r="C74" s="94" t="s">
        <v>117</v>
      </c>
      <c r="D74" s="95"/>
      <c r="E74" s="157">
        <v>1.67</v>
      </c>
      <c r="F74" s="161" t="e">
        <f>PRORRATEO!#REF!+'PRORRATEO (2)'!O76</f>
        <v>#REF!</v>
      </c>
    </row>
    <row r="75" spans="1:6" x14ac:dyDescent="0.3">
      <c r="A75" s="94" t="s">
        <v>198</v>
      </c>
      <c r="B75" s="121">
        <f t="shared" si="1"/>
        <v>71</v>
      </c>
      <c r="C75" s="94" t="s">
        <v>118</v>
      </c>
      <c r="D75" s="95"/>
      <c r="E75" s="157">
        <v>1.71</v>
      </c>
      <c r="F75" s="161" t="e">
        <f>PRORRATEO!#REF!+'PRORRATEO (2)'!O77</f>
        <v>#REF!</v>
      </c>
    </row>
    <row r="76" spans="1:6" ht="31.2" thickBot="1" x14ac:dyDescent="0.35">
      <c r="A76" s="94" t="s">
        <v>199</v>
      </c>
      <c r="B76" s="121">
        <f t="shared" si="1"/>
        <v>72</v>
      </c>
      <c r="C76" s="96" t="s">
        <v>119</v>
      </c>
      <c r="D76" s="95"/>
      <c r="E76" s="157">
        <v>1.1299999999999999</v>
      </c>
      <c r="F76" s="161" t="e">
        <f>PRORRATEO!#REF!+'PRORRATEO (2)'!O78</f>
        <v>#REF!</v>
      </c>
    </row>
    <row r="77" spans="1:6" x14ac:dyDescent="0.3">
      <c r="A77" s="132" t="s">
        <v>200</v>
      </c>
      <c r="B77" s="122">
        <f t="shared" si="1"/>
        <v>73</v>
      </c>
      <c r="C77" s="94" t="s">
        <v>120</v>
      </c>
      <c r="D77" s="95"/>
      <c r="E77" s="157">
        <v>1.1299999999999999</v>
      </c>
      <c r="F77" s="161" t="e">
        <f>PRORRATEO!#REF!+'PRORRATEO (2)'!O79</f>
        <v>#REF!</v>
      </c>
    </row>
    <row r="78" spans="1:6" ht="15" thickBot="1" x14ac:dyDescent="0.35">
      <c r="A78" s="94" t="s">
        <v>201</v>
      </c>
      <c r="B78" s="94">
        <f t="shared" si="1"/>
        <v>74</v>
      </c>
      <c r="C78" s="133" t="s">
        <v>114</v>
      </c>
      <c r="D78" s="133"/>
      <c r="E78" s="157">
        <v>1.1299999999999999</v>
      </c>
      <c r="F78" s="161" t="e">
        <f>PRORRATEO!#REF!+'PRORRATEO (2)'!O80</f>
        <v>#REF!</v>
      </c>
    </row>
    <row r="79" spans="1:6" ht="15" thickBot="1" x14ac:dyDescent="0.35">
      <c r="A79" s="137"/>
      <c r="B79" s="138"/>
      <c r="C79" s="139"/>
      <c r="D79" s="139"/>
      <c r="E79" s="160">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4.4" x14ac:dyDescent="0.3"/>
  <cols>
    <col min="1" max="1" width="4.88671875" customWidth="1"/>
    <col min="2" max="3" width="4" customWidth="1"/>
    <col min="6" max="6" width="6.44140625" customWidth="1"/>
    <col min="7" max="7" width="9.44140625" customWidth="1"/>
    <col min="8" max="8" width="8" customWidth="1"/>
    <col min="9" max="9" width="13.6640625" customWidth="1"/>
  </cols>
  <sheetData>
    <row r="2" spans="2:12" ht="15" thickBot="1" x14ac:dyDescent="0.35"/>
    <row r="3" spans="2:12" ht="15" thickBot="1" x14ac:dyDescent="0.35">
      <c r="B3" s="247" t="s">
        <v>211</v>
      </c>
      <c r="C3" s="248"/>
      <c r="D3" s="248"/>
      <c r="E3" s="248"/>
      <c r="F3" s="248"/>
      <c r="G3" s="248"/>
      <c r="H3" s="249"/>
      <c r="I3" s="73"/>
      <c r="J3" s="74"/>
    </row>
    <row r="4" spans="2:12" ht="15" thickBot="1" x14ac:dyDescent="0.35">
      <c r="B4" s="239" t="s">
        <v>121</v>
      </c>
      <c r="C4" s="240"/>
      <c r="D4" s="240"/>
      <c r="E4" s="240"/>
      <c r="F4" s="240"/>
      <c r="G4" s="240"/>
      <c r="H4" s="241"/>
      <c r="I4" s="1"/>
      <c r="J4" s="2"/>
      <c r="L4" s="87"/>
    </row>
    <row r="5" spans="2:12" x14ac:dyDescent="0.3">
      <c r="B5" s="73" t="s">
        <v>217</v>
      </c>
      <c r="C5" s="84"/>
      <c r="D5" s="84"/>
      <c r="E5" s="84"/>
      <c r="G5" t="str">
        <f>RESUMEN!B4</f>
        <v>ADMINISTRADORA: CAROLINA CANCIANI  MP:1148</v>
      </c>
      <c r="H5" s="2"/>
      <c r="I5" s="1"/>
      <c r="J5" s="2"/>
    </row>
    <row r="6" spans="2:12" x14ac:dyDescent="0.3">
      <c r="B6" s="78" t="s">
        <v>216</v>
      </c>
      <c r="C6" s="76"/>
      <c r="D6" s="76"/>
      <c r="H6" s="2"/>
      <c r="I6" s="1"/>
      <c r="J6" s="2"/>
    </row>
    <row r="7" spans="2:12" x14ac:dyDescent="0.3">
      <c r="B7" s="79"/>
      <c r="C7" s="80"/>
      <c r="D7" s="80"/>
      <c r="E7" s="81"/>
      <c r="F7" s="81"/>
      <c r="G7" s="81"/>
      <c r="H7" s="82"/>
      <c r="I7" s="1"/>
      <c r="J7" s="2"/>
    </row>
    <row r="8" spans="2:12" x14ac:dyDescent="0.3">
      <c r="B8" s="242" t="s">
        <v>214</v>
      </c>
      <c r="C8" s="243"/>
      <c r="D8" s="243"/>
      <c r="E8" s="243"/>
      <c r="F8" s="243"/>
      <c r="G8" s="243"/>
      <c r="H8" s="244"/>
      <c r="I8" s="1"/>
      <c r="J8" s="2"/>
    </row>
    <row r="9" spans="2:12" x14ac:dyDescent="0.3">
      <c r="B9" s="78"/>
      <c r="C9" s="76"/>
      <c r="D9" s="76"/>
      <c r="H9" s="2"/>
      <c r="I9" s="1"/>
      <c r="J9" s="2"/>
    </row>
    <row r="10" spans="2:12" x14ac:dyDescent="0.3">
      <c r="B10" s="1" t="s">
        <v>210</v>
      </c>
      <c r="E10" t="str">
        <f>PRORRATEO!C7</f>
        <v>ZAFFINO, Fernando</v>
      </c>
      <c r="H10" s="2"/>
      <c r="I10" s="245" t="s">
        <v>215</v>
      </c>
      <c r="J10" s="246"/>
    </row>
    <row r="11" spans="2:12" x14ac:dyDescent="0.3">
      <c r="B11" s="1" t="s">
        <v>209</v>
      </c>
      <c r="C11" s="76">
        <f>PRORRATEO!B7</f>
        <v>1</v>
      </c>
      <c r="D11" s="77" t="s">
        <v>213</v>
      </c>
      <c r="E11" s="76" t="e">
        <f>PRORRATEO!#REF!</f>
        <v>#REF!</v>
      </c>
      <c r="H11" s="2"/>
      <c r="I11" s="1"/>
      <c r="J11" s="2"/>
    </row>
    <row r="12" spans="2:12" x14ac:dyDescent="0.3">
      <c r="B12" s="1"/>
      <c r="H12" s="2"/>
      <c r="I12" s="245"/>
      <c r="J12" s="246"/>
    </row>
    <row r="13" spans="2:12" ht="12.75" customHeight="1" x14ac:dyDescent="0.3">
      <c r="B13" s="1"/>
      <c r="H13" s="2"/>
      <c r="I13" s="1"/>
      <c r="J13" s="2"/>
    </row>
    <row r="14" spans="2:12" hidden="1" x14ac:dyDescent="0.3">
      <c r="B14" s="1"/>
      <c r="H14" s="2"/>
      <c r="I14" s="1"/>
      <c r="J14" s="2"/>
    </row>
    <row r="15" spans="2:12" ht="15" thickBot="1" x14ac:dyDescent="0.35">
      <c r="B15" s="1"/>
      <c r="H15" s="2"/>
      <c r="I15" s="83"/>
      <c r="J15" s="86"/>
    </row>
    <row r="16" spans="2:12" ht="15" thickBot="1" x14ac:dyDescent="0.35">
      <c r="B16" s="235" t="s">
        <v>212</v>
      </c>
      <c r="C16" s="236"/>
      <c r="D16" s="236"/>
      <c r="E16" s="236"/>
      <c r="F16" s="236"/>
      <c r="G16" s="237">
        <f>PRORRATEO!M7</f>
        <v>525300.01</v>
      </c>
      <c r="H16" s="238"/>
      <c r="I16" s="75"/>
      <c r="J16" s="85"/>
    </row>
    <row r="19" spans="2:10" ht="15" thickBot="1" x14ac:dyDescent="0.35"/>
    <row r="20" spans="2:10" ht="15" thickBot="1" x14ac:dyDescent="0.35">
      <c r="B20" s="247" t="s">
        <v>211</v>
      </c>
      <c r="C20" s="248"/>
      <c r="D20" s="248"/>
      <c r="E20" s="248"/>
      <c r="F20" s="248"/>
      <c r="G20" s="248"/>
      <c r="H20" s="249"/>
      <c r="I20" s="73"/>
      <c r="J20" s="74"/>
    </row>
    <row r="21" spans="2:10" ht="15" thickBot="1" x14ac:dyDescent="0.35">
      <c r="B21" s="239" t="s">
        <v>121</v>
      </c>
      <c r="C21" s="240"/>
      <c r="D21" s="240"/>
      <c r="E21" s="240"/>
      <c r="F21" s="240"/>
      <c r="G21" s="240"/>
      <c r="H21" s="241"/>
      <c r="I21" s="1"/>
      <c r="J21" s="2"/>
    </row>
    <row r="22" spans="2:10" x14ac:dyDescent="0.3">
      <c r="B22" s="73" t="s">
        <v>217</v>
      </c>
      <c r="C22" s="84"/>
      <c r="D22" s="84"/>
      <c r="E22" s="84"/>
      <c r="G22" t="s">
        <v>39</v>
      </c>
      <c r="H22" s="2"/>
      <c r="I22" s="1"/>
      <c r="J22" s="2"/>
    </row>
    <row r="23" spans="2:10" x14ac:dyDescent="0.3">
      <c r="B23" s="78" t="s">
        <v>216</v>
      </c>
      <c r="C23" s="76"/>
      <c r="D23" s="76"/>
      <c r="H23" s="2"/>
      <c r="I23" s="1"/>
      <c r="J23" s="2"/>
    </row>
    <row r="24" spans="2:10" x14ac:dyDescent="0.3">
      <c r="B24" s="79"/>
      <c r="C24" s="80"/>
      <c r="D24" s="80"/>
      <c r="E24" s="81"/>
      <c r="F24" s="81"/>
      <c r="G24" s="81"/>
      <c r="H24" s="82"/>
      <c r="I24" s="1"/>
      <c r="J24" s="2"/>
    </row>
    <row r="25" spans="2:10" x14ac:dyDescent="0.3">
      <c r="B25" s="242" t="s">
        <v>214</v>
      </c>
      <c r="C25" s="243"/>
      <c r="D25" s="243"/>
      <c r="E25" s="243"/>
      <c r="F25" s="243"/>
      <c r="G25" s="243"/>
      <c r="H25" s="244"/>
      <c r="I25" s="1"/>
      <c r="J25" s="2"/>
    </row>
    <row r="26" spans="2:10" x14ac:dyDescent="0.3">
      <c r="B26" s="78"/>
      <c r="C26" s="76"/>
      <c r="D26" s="76"/>
      <c r="H26" s="2"/>
      <c r="I26" s="1"/>
      <c r="J26" s="2"/>
    </row>
    <row r="27" spans="2:10" x14ac:dyDescent="0.3">
      <c r="B27" s="1" t="s">
        <v>210</v>
      </c>
      <c r="E27" t="str">
        <f>PRORRATEO!C8</f>
        <v>BERESTEIN, Javier</v>
      </c>
      <c r="H27" s="2"/>
      <c r="I27" s="245" t="s">
        <v>215</v>
      </c>
      <c r="J27" s="246"/>
    </row>
    <row r="28" spans="2:10" x14ac:dyDescent="0.3">
      <c r="B28" s="1" t="s">
        <v>209</v>
      </c>
      <c r="C28" s="76">
        <f>PRORRATEO!B8</f>
        <v>2</v>
      </c>
      <c r="D28" s="77" t="s">
        <v>213</v>
      </c>
      <c r="E28" s="76" t="e">
        <f>PRORRATEO!#REF!</f>
        <v>#REF!</v>
      </c>
      <c r="H28" s="2"/>
      <c r="I28" s="1"/>
      <c r="J28" s="2"/>
    </row>
    <row r="29" spans="2:10" x14ac:dyDescent="0.3">
      <c r="B29" s="1"/>
      <c r="H29" s="2"/>
      <c r="I29" s="245"/>
      <c r="J29" s="246"/>
    </row>
    <row r="30" spans="2:10" x14ac:dyDescent="0.3">
      <c r="B30" s="1"/>
      <c r="H30" s="2"/>
      <c r="I30" s="1"/>
      <c r="J30" s="2"/>
    </row>
    <row r="31" spans="2:10" x14ac:dyDescent="0.3">
      <c r="B31" s="1"/>
      <c r="H31" s="2"/>
      <c r="I31" s="1"/>
      <c r="J31" s="2"/>
    </row>
    <row r="32" spans="2:10" ht="15" thickBot="1" x14ac:dyDescent="0.35">
      <c r="B32" s="1"/>
      <c r="H32" s="2"/>
      <c r="I32" s="83"/>
      <c r="J32" s="86"/>
    </row>
    <row r="33" spans="2:10" ht="15" thickBot="1" x14ac:dyDescent="0.35">
      <c r="B33" s="235" t="s">
        <v>212</v>
      </c>
      <c r="C33" s="236"/>
      <c r="D33" s="236"/>
      <c r="E33" s="236"/>
      <c r="F33" s="236"/>
      <c r="G33" s="237">
        <f>PRORRATEO!M8</f>
        <v>483174.02</v>
      </c>
      <c r="H33" s="238"/>
      <c r="I33" s="75"/>
      <c r="J33" s="85"/>
    </row>
    <row r="36" spans="2:10" ht="3.75" customHeight="1" thickBot="1" x14ac:dyDescent="0.35"/>
    <row r="37" spans="2:10" ht="15" hidden="1" thickBot="1" x14ac:dyDescent="0.35"/>
    <row r="38" spans="2:10" ht="15" thickBot="1" x14ac:dyDescent="0.35">
      <c r="B38" s="247" t="s">
        <v>211</v>
      </c>
      <c r="C38" s="248"/>
      <c r="D38" s="248"/>
      <c r="E38" s="248"/>
      <c r="F38" s="248"/>
      <c r="G38" s="248"/>
      <c r="H38" s="249"/>
      <c r="I38" s="73"/>
      <c r="J38" s="74"/>
    </row>
    <row r="39" spans="2:10" ht="15" thickBot="1" x14ac:dyDescent="0.35">
      <c r="B39" s="239" t="s">
        <v>121</v>
      </c>
      <c r="C39" s="240"/>
      <c r="D39" s="240"/>
      <c r="E39" s="240"/>
      <c r="F39" s="240"/>
      <c r="G39" s="240"/>
      <c r="H39" s="241"/>
      <c r="I39" s="1"/>
      <c r="J39" s="2"/>
    </row>
    <row r="40" spans="2:10" x14ac:dyDescent="0.3">
      <c r="B40" s="73" t="s">
        <v>217</v>
      </c>
      <c r="C40" s="84"/>
      <c r="D40" s="84"/>
      <c r="E40" s="84"/>
      <c r="G40" t="s">
        <v>39</v>
      </c>
      <c r="H40" s="2"/>
      <c r="I40" s="1"/>
      <c r="J40" s="2"/>
    </row>
    <row r="41" spans="2:10" x14ac:dyDescent="0.3">
      <c r="B41" s="78" t="s">
        <v>216</v>
      </c>
      <c r="C41" s="76"/>
      <c r="D41" s="76"/>
      <c r="H41" s="2"/>
      <c r="I41" s="1"/>
      <c r="J41" s="2"/>
    </row>
    <row r="42" spans="2:10" x14ac:dyDescent="0.3">
      <c r="B42" s="79"/>
      <c r="C42" s="80"/>
      <c r="D42" s="80"/>
      <c r="E42" s="81"/>
      <c r="F42" s="81"/>
      <c r="G42" s="81"/>
      <c r="H42" s="82"/>
      <c r="I42" s="1"/>
      <c r="J42" s="2"/>
    </row>
    <row r="43" spans="2:10" x14ac:dyDescent="0.3">
      <c r="B43" s="242" t="s">
        <v>214</v>
      </c>
      <c r="C43" s="243"/>
      <c r="D43" s="243"/>
      <c r="E43" s="243"/>
      <c r="F43" s="243"/>
      <c r="G43" s="243"/>
      <c r="H43" s="244"/>
      <c r="I43" s="1"/>
      <c r="J43" s="2"/>
    </row>
    <row r="44" spans="2:10" x14ac:dyDescent="0.3">
      <c r="B44" s="78"/>
      <c r="C44" s="76"/>
      <c r="D44" s="76"/>
      <c r="H44" s="2"/>
      <c r="I44" s="1"/>
      <c r="J44" s="2"/>
    </row>
    <row r="45" spans="2:10" x14ac:dyDescent="0.3">
      <c r="B45" s="1" t="s">
        <v>210</v>
      </c>
      <c r="E45" t="str">
        <f>PRORRATEO!C9</f>
        <v>VAZQUEZ PALLARES, Juan</v>
      </c>
      <c r="H45" s="2"/>
      <c r="I45" s="245" t="s">
        <v>215</v>
      </c>
      <c r="J45" s="246"/>
    </row>
    <row r="46" spans="2:10" x14ac:dyDescent="0.3">
      <c r="B46" s="1" t="s">
        <v>209</v>
      </c>
      <c r="C46" s="76">
        <f>PRORRATEO!B9</f>
        <v>3</v>
      </c>
      <c r="D46" s="77" t="s">
        <v>213</v>
      </c>
      <c r="E46" s="76" t="e">
        <f>PRORRATEO!#REF!</f>
        <v>#REF!</v>
      </c>
      <c r="H46" s="2"/>
      <c r="I46" s="1"/>
      <c r="J46" s="2"/>
    </row>
    <row r="47" spans="2:10" x14ac:dyDescent="0.3">
      <c r="B47" s="1"/>
      <c r="H47" s="2"/>
      <c r="I47" s="245"/>
      <c r="J47" s="246"/>
    </row>
    <row r="48" spans="2:10" x14ac:dyDescent="0.3">
      <c r="B48" s="1"/>
      <c r="H48" s="2"/>
      <c r="I48" s="1"/>
      <c r="J48" s="2"/>
    </row>
    <row r="49" spans="2:10" x14ac:dyDescent="0.3">
      <c r="B49" s="1"/>
      <c r="H49" s="2"/>
      <c r="I49" s="1"/>
      <c r="J49" s="2"/>
    </row>
    <row r="50" spans="2:10" ht="15" thickBot="1" x14ac:dyDescent="0.35">
      <c r="B50" s="1"/>
      <c r="H50" s="2"/>
      <c r="I50" s="83"/>
      <c r="J50" s="86"/>
    </row>
    <row r="51" spans="2:10" ht="15" thickBot="1" x14ac:dyDescent="0.35">
      <c r="B51" s="235" t="s">
        <v>212</v>
      </c>
      <c r="C51" s="236"/>
      <c r="D51" s="236"/>
      <c r="E51" s="236"/>
      <c r="F51" s="236"/>
      <c r="G51" s="237">
        <f>PRORRATEO!M9</f>
        <v>252000.03</v>
      </c>
      <c r="H51" s="238"/>
      <c r="I51" s="75"/>
      <c r="J51" s="85"/>
    </row>
    <row r="54" spans="2:10" ht="15" thickBot="1" x14ac:dyDescent="0.35"/>
    <row r="55" spans="2:10" ht="15" thickBot="1" x14ac:dyDescent="0.35">
      <c r="B55" s="247" t="s">
        <v>211</v>
      </c>
      <c r="C55" s="248"/>
      <c r="D55" s="248"/>
      <c r="E55" s="248"/>
      <c r="F55" s="248"/>
      <c r="G55" s="248"/>
      <c r="H55" s="249"/>
      <c r="I55" s="73"/>
      <c r="J55" s="74"/>
    </row>
    <row r="56" spans="2:10" ht="15" thickBot="1" x14ac:dyDescent="0.35">
      <c r="B56" s="239" t="s">
        <v>121</v>
      </c>
      <c r="C56" s="240"/>
      <c r="D56" s="240"/>
      <c r="E56" s="240"/>
      <c r="F56" s="240"/>
      <c r="G56" s="240"/>
      <c r="H56" s="241"/>
      <c r="I56" s="1"/>
      <c r="J56" s="2"/>
    </row>
    <row r="57" spans="2:10" x14ac:dyDescent="0.3">
      <c r="B57" s="73" t="s">
        <v>217</v>
      </c>
      <c r="C57" s="84"/>
      <c r="D57" s="84"/>
      <c r="E57" s="84"/>
      <c r="G57" t="s">
        <v>39</v>
      </c>
      <c r="H57" s="2"/>
      <c r="I57" s="1"/>
      <c r="J57" s="2"/>
    </row>
    <row r="58" spans="2:10" x14ac:dyDescent="0.3">
      <c r="B58" s="78" t="s">
        <v>216</v>
      </c>
      <c r="C58" s="76"/>
      <c r="D58" s="76"/>
      <c r="H58" s="2"/>
      <c r="I58" s="1"/>
      <c r="J58" s="2"/>
    </row>
    <row r="59" spans="2:10" x14ac:dyDescent="0.3">
      <c r="B59" s="79"/>
      <c r="C59" s="80"/>
      <c r="D59" s="80"/>
      <c r="E59" s="81"/>
      <c r="F59" s="81"/>
      <c r="G59" s="81"/>
      <c r="H59" s="82"/>
      <c r="I59" s="1"/>
      <c r="J59" s="2"/>
    </row>
    <row r="60" spans="2:10" x14ac:dyDescent="0.3">
      <c r="B60" s="242" t="s">
        <v>214</v>
      </c>
      <c r="C60" s="243"/>
      <c r="D60" s="243"/>
      <c r="E60" s="243"/>
      <c r="F60" s="243"/>
      <c r="G60" s="243"/>
      <c r="H60" s="244"/>
      <c r="I60" s="1"/>
      <c r="J60" s="2"/>
    </row>
    <row r="61" spans="2:10" x14ac:dyDescent="0.3">
      <c r="B61" s="78"/>
      <c r="C61" s="76"/>
      <c r="D61" s="76"/>
      <c r="H61" s="2"/>
      <c r="I61" s="1"/>
      <c r="J61" s="2"/>
    </row>
    <row r="62" spans="2:10" x14ac:dyDescent="0.3">
      <c r="B62" s="1" t="s">
        <v>210</v>
      </c>
      <c r="E62" t="str">
        <f>PRORRATEO!C10</f>
        <v>HUINCA HUEMUL S.A.</v>
      </c>
      <c r="H62" s="2"/>
      <c r="I62" s="245" t="s">
        <v>215</v>
      </c>
      <c r="J62" s="246"/>
    </row>
    <row r="63" spans="2:10" x14ac:dyDescent="0.3">
      <c r="B63" s="1" t="s">
        <v>209</v>
      </c>
      <c r="C63" s="76">
        <f>PRORRATEO!B10</f>
        <v>4</v>
      </c>
      <c r="D63" s="77" t="s">
        <v>213</v>
      </c>
      <c r="E63" s="76" t="e">
        <f>PRORRATEO!#REF!</f>
        <v>#REF!</v>
      </c>
      <c r="H63" s="2"/>
      <c r="I63" s="1"/>
      <c r="J63" s="2"/>
    </row>
    <row r="64" spans="2:10" x14ac:dyDescent="0.3">
      <c r="B64" s="1"/>
      <c r="H64" s="2"/>
      <c r="I64" s="245"/>
      <c r="J64" s="246"/>
    </row>
    <row r="65" spans="2:10" x14ac:dyDescent="0.3">
      <c r="B65" s="1"/>
      <c r="H65" s="2"/>
      <c r="I65" s="1"/>
      <c r="J65" s="2"/>
    </row>
    <row r="66" spans="2:10" x14ac:dyDescent="0.3">
      <c r="B66" s="1"/>
      <c r="H66" s="2"/>
      <c r="I66" s="1"/>
      <c r="J66" s="2"/>
    </row>
    <row r="67" spans="2:10" ht="15" thickBot="1" x14ac:dyDescent="0.35">
      <c r="B67" s="1"/>
      <c r="H67" s="2"/>
      <c r="I67" s="83"/>
      <c r="J67" s="86"/>
    </row>
    <row r="68" spans="2:10" ht="15" thickBot="1" x14ac:dyDescent="0.35">
      <c r="B68" s="235" t="s">
        <v>212</v>
      </c>
      <c r="C68" s="236"/>
      <c r="D68" s="236"/>
      <c r="E68" s="236"/>
      <c r="F68" s="236"/>
      <c r="G68" s="237">
        <f>PRORRATEO!M10</f>
        <v>216300.04</v>
      </c>
      <c r="H68" s="238"/>
      <c r="I68" s="75"/>
      <c r="J68" s="85"/>
    </row>
    <row r="70" spans="2:10" ht="0.75" customHeight="1" x14ac:dyDescent="0.3"/>
    <row r="71" spans="2:10" hidden="1" x14ac:dyDescent="0.3"/>
    <row r="72" spans="2:10" ht="15" thickBot="1" x14ac:dyDescent="0.35"/>
    <row r="73" spans="2:10" ht="15" thickBot="1" x14ac:dyDescent="0.35">
      <c r="B73" s="247" t="s">
        <v>211</v>
      </c>
      <c r="C73" s="248"/>
      <c r="D73" s="248"/>
      <c r="E73" s="248"/>
      <c r="F73" s="248"/>
      <c r="G73" s="248"/>
      <c r="H73" s="249"/>
      <c r="I73" s="73"/>
      <c r="J73" s="74"/>
    </row>
    <row r="74" spans="2:10" ht="15" thickBot="1" x14ac:dyDescent="0.35">
      <c r="B74" s="239" t="s">
        <v>121</v>
      </c>
      <c r="C74" s="240"/>
      <c r="D74" s="240"/>
      <c r="E74" s="240"/>
      <c r="F74" s="240"/>
      <c r="G74" s="240"/>
      <c r="H74" s="241"/>
      <c r="I74" s="1"/>
      <c r="J74" s="2"/>
    </row>
    <row r="75" spans="2:10" x14ac:dyDescent="0.3">
      <c r="B75" s="73" t="s">
        <v>217</v>
      </c>
      <c r="C75" s="84"/>
      <c r="D75" s="84"/>
      <c r="E75" s="84"/>
      <c r="G75" t="s">
        <v>39</v>
      </c>
      <c r="H75" s="2"/>
      <c r="I75" s="1"/>
      <c r="J75" s="2"/>
    </row>
    <row r="76" spans="2:10" x14ac:dyDescent="0.3">
      <c r="B76" s="78" t="s">
        <v>216</v>
      </c>
      <c r="C76" s="76"/>
      <c r="D76" s="76"/>
      <c r="H76" s="2"/>
      <c r="I76" s="1"/>
      <c r="J76" s="2"/>
    </row>
    <row r="77" spans="2:10" x14ac:dyDescent="0.3">
      <c r="B77" s="79"/>
      <c r="C77" s="80"/>
      <c r="D77" s="80"/>
      <c r="E77" s="81"/>
      <c r="F77" s="81"/>
      <c r="G77" s="81"/>
      <c r="H77" s="82"/>
      <c r="I77" s="1"/>
      <c r="J77" s="2"/>
    </row>
    <row r="78" spans="2:10" x14ac:dyDescent="0.3">
      <c r="B78" s="242" t="s">
        <v>214</v>
      </c>
      <c r="C78" s="243"/>
      <c r="D78" s="243"/>
      <c r="E78" s="243"/>
      <c r="F78" s="243"/>
      <c r="G78" s="243"/>
      <c r="H78" s="244"/>
      <c r="I78" s="1"/>
      <c r="J78" s="2"/>
    </row>
    <row r="79" spans="2:10" x14ac:dyDescent="0.3">
      <c r="B79" s="78"/>
      <c r="C79" s="76"/>
      <c r="D79" s="76"/>
      <c r="H79" s="2"/>
      <c r="I79" s="1"/>
      <c r="J79" s="2"/>
    </row>
    <row r="80" spans="2:10" x14ac:dyDescent="0.3">
      <c r="B80" s="1" t="s">
        <v>210</v>
      </c>
      <c r="E80" t="str">
        <f>PRORRATEO!C11</f>
        <v>LAZARTE, Irma</v>
      </c>
      <c r="H80" s="2"/>
      <c r="I80" s="245" t="s">
        <v>215</v>
      </c>
      <c r="J80" s="246"/>
    </row>
    <row r="81" spans="2:10" x14ac:dyDescent="0.3">
      <c r="B81" s="1" t="s">
        <v>209</v>
      </c>
      <c r="C81" s="76">
        <f>PRORRATEO!B11</f>
        <v>5</v>
      </c>
      <c r="D81" s="77" t="s">
        <v>213</v>
      </c>
      <c r="E81" s="76" t="e">
        <f>PRORRATEO!#REF!</f>
        <v>#REF!</v>
      </c>
      <c r="H81" s="2"/>
      <c r="I81" s="1"/>
      <c r="J81" s="2"/>
    </row>
    <row r="82" spans="2:10" x14ac:dyDescent="0.3">
      <c r="B82" s="1"/>
      <c r="H82" s="2"/>
      <c r="I82" s="245"/>
      <c r="J82" s="246"/>
    </row>
    <row r="83" spans="2:10" x14ac:dyDescent="0.3">
      <c r="B83" s="1"/>
      <c r="H83" s="2"/>
      <c r="I83" s="1"/>
      <c r="J83" s="2"/>
    </row>
    <row r="84" spans="2:10" x14ac:dyDescent="0.3">
      <c r="B84" s="1"/>
      <c r="H84" s="2"/>
      <c r="I84" s="1"/>
      <c r="J84" s="2"/>
    </row>
    <row r="85" spans="2:10" ht="15" thickBot="1" x14ac:dyDescent="0.35">
      <c r="B85" s="1"/>
      <c r="H85" s="2"/>
      <c r="I85" s="83"/>
      <c r="J85" s="86"/>
    </row>
    <row r="86" spans="2:10" ht="15" thickBot="1" x14ac:dyDescent="0.35">
      <c r="B86" s="235" t="s">
        <v>212</v>
      </c>
      <c r="C86" s="236"/>
      <c r="D86" s="236"/>
      <c r="E86" s="236"/>
      <c r="F86" s="236"/>
      <c r="G86" s="237">
        <f>PRORRATEO!M11</f>
        <v>253330.05</v>
      </c>
      <c r="H86" s="238"/>
      <c r="I86" s="75"/>
      <c r="J86" s="85"/>
    </row>
    <row r="87" spans="2:10" ht="14.25" customHeight="1" x14ac:dyDescent="0.3"/>
    <row r="88" spans="2:10" hidden="1" x14ac:dyDescent="0.3"/>
    <row r="89" spans="2:10" hidden="1" x14ac:dyDescent="0.3"/>
    <row r="90" spans="2:10" ht="15" thickBot="1" x14ac:dyDescent="0.35"/>
    <row r="91" spans="2:10" ht="15" thickBot="1" x14ac:dyDescent="0.35">
      <c r="B91" s="247" t="s">
        <v>211</v>
      </c>
      <c r="C91" s="248"/>
      <c r="D91" s="248"/>
      <c r="E91" s="248"/>
      <c r="F91" s="248"/>
      <c r="G91" s="248"/>
      <c r="H91" s="249"/>
      <c r="I91" s="73"/>
      <c r="J91" s="74"/>
    </row>
    <row r="92" spans="2:10" ht="15" thickBot="1" x14ac:dyDescent="0.35">
      <c r="B92" s="239" t="s">
        <v>121</v>
      </c>
      <c r="C92" s="240"/>
      <c r="D92" s="240"/>
      <c r="E92" s="240"/>
      <c r="F92" s="240"/>
      <c r="G92" s="240"/>
      <c r="H92" s="241"/>
      <c r="I92" s="1"/>
      <c r="J92" s="2"/>
    </row>
    <row r="93" spans="2:10" x14ac:dyDescent="0.3">
      <c r="B93" s="73" t="s">
        <v>217</v>
      </c>
      <c r="C93" s="84"/>
      <c r="D93" s="84"/>
      <c r="E93" s="84"/>
      <c r="G93" t="s">
        <v>39</v>
      </c>
      <c r="H93" s="2"/>
      <c r="I93" s="1"/>
      <c r="J93" s="2"/>
    </row>
    <row r="94" spans="2:10" x14ac:dyDescent="0.3">
      <c r="B94" s="78" t="s">
        <v>216</v>
      </c>
      <c r="C94" s="76"/>
      <c r="D94" s="76"/>
      <c r="H94" s="2"/>
      <c r="I94" s="1"/>
      <c r="J94" s="2"/>
    </row>
    <row r="95" spans="2:10" x14ac:dyDescent="0.3">
      <c r="B95" s="79"/>
      <c r="C95" s="80"/>
      <c r="D95" s="80"/>
      <c r="E95" s="81"/>
      <c r="F95" s="81"/>
      <c r="G95" s="81"/>
      <c r="H95" s="82"/>
      <c r="I95" s="1"/>
      <c r="J95" s="2"/>
    </row>
    <row r="96" spans="2:10" x14ac:dyDescent="0.3">
      <c r="B96" s="242" t="s">
        <v>214</v>
      </c>
      <c r="C96" s="243"/>
      <c r="D96" s="243"/>
      <c r="E96" s="243"/>
      <c r="F96" s="243"/>
      <c r="G96" s="243"/>
      <c r="H96" s="244"/>
      <c r="I96" s="1"/>
      <c r="J96" s="2"/>
    </row>
    <row r="97" spans="2:10" x14ac:dyDescent="0.3">
      <c r="B97" s="78"/>
      <c r="C97" s="76"/>
      <c r="D97" s="76"/>
      <c r="H97" s="2"/>
      <c r="I97" s="1"/>
      <c r="J97" s="2"/>
    </row>
    <row r="98" spans="2:10" x14ac:dyDescent="0.3">
      <c r="B98" s="1" t="s">
        <v>210</v>
      </c>
      <c r="E98" t="str">
        <f>PRORRATEO!C12</f>
        <v>MINOCHIO, Gustavo</v>
      </c>
      <c r="H98" s="2"/>
      <c r="I98" s="245" t="s">
        <v>215</v>
      </c>
      <c r="J98" s="246"/>
    </row>
    <row r="99" spans="2:10" x14ac:dyDescent="0.3">
      <c r="B99" s="1" t="s">
        <v>209</v>
      </c>
      <c r="C99" s="76">
        <f>PRORRATEO!B12</f>
        <v>6</v>
      </c>
      <c r="D99" s="77" t="s">
        <v>213</v>
      </c>
      <c r="E99" s="76" t="e">
        <f>PRORRATEO!#REF!</f>
        <v>#REF!</v>
      </c>
      <c r="H99" s="2"/>
      <c r="I99" s="1"/>
      <c r="J99" s="2"/>
    </row>
    <row r="100" spans="2:10" x14ac:dyDescent="0.3">
      <c r="B100" s="1"/>
      <c r="H100" s="2"/>
      <c r="I100" s="245"/>
      <c r="J100" s="246"/>
    </row>
    <row r="101" spans="2:10" x14ac:dyDescent="0.3">
      <c r="B101" s="1"/>
      <c r="H101" s="2"/>
      <c r="I101" s="1"/>
      <c r="J101" s="2"/>
    </row>
    <row r="102" spans="2:10" x14ac:dyDescent="0.3">
      <c r="B102" s="1"/>
      <c r="H102" s="2"/>
      <c r="I102" s="1"/>
      <c r="J102" s="2"/>
    </row>
    <row r="103" spans="2:10" ht="15" thickBot="1" x14ac:dyDescent="0.35">
      <c r="B103" s="1"/>
      <c r="H103" s="2"/>
      <c r="I103" s="83"/>
      <c r="J103" s="86"/>
    </row>
    <row r="104" spans="2:10" ht="15" thickBot="1" x14ac:dyDescent="0.35">
      <c r="B104" s="235" t="s">
        <v>212</v>
      </c>
      <c r="C104" s="236"/>
      <c r="D104" s="236"/>
      <c r="E104" s="236"/>
      <c r="F104" s="236"/>
      <c r="G104" s="237">
        <f>PRORRATEO!M12</f>
        <v>168000.06</v>
      </c>
      <c r="H104" s="238"/>
      <c r="I104" s="75"/>
      <c r="J104" s="85"/>
    </row>
  </sheetData>
  <mergeCells count="42">
    <mergeCell ref="B4:H4"/>
    <mergeCell ref="B3:H3"/>
    <mergeCell ref="G16:H16"/>
    <mergeCell ref="B16:F16"/>
    <mergeCell ref="B8:H8"/>
    <mergeCell ref="B39:H39"/>
    <mergeCell ref="I12:J12"/>
    <mergeCell ref="I10:J10"/>
    <mergeCell ref="B20:H20"/>
    <mergeCell ref="B21:H21"/>
    <mergeCell ref="B25:H25"/>
    <mergeCell ref="I27:J27"/>
    <mergeCell ref="I29:J29"/>
    <mergeCell ref="B33:F33"/>
    <mergeCell ref="G33:H33"/>
    <mergeCell ref="B38:H38"/>
    <mergeCell ref="B73:H73"/>
    <mergeCell ref="B55:H55"/>
    <mergeCell ref="B56:H56"/>
    <mergeCell ref="B43:H43"/>
    <mergeCell ref="I45:J45"/>
    <mergeCell ref="I47:J47"/>
    <mergeCell ref="B51:F51"/>
    <mergeCell ref="G51:H51"/>
    <mergeCell ref="B60:H60"/>
    <mergeCell ref="I62:J62"/>
    <mergeCell ref="I64:J64"/>
    <mergeCell ref="B68:F68"/>
    <mergeCell ref="G68:H68"/>
    <mergeCell ref="B104:F104"/>
    <mergeCell ref="G104:H104"/>
    <mergeCell ref="B74:H74"/>
    <mergeCell ref="B78:H78"/>
    <mergeCell ref="I80:J80"/>
    <mergeCell ref="I82:J82"/>
    <mergeCell ref="B86:F86"/>
    <mergeCell ref="G86:H86"/>
    <mergeCell ref="B91:H91"/>
    <mergeCell ref="B92:H92"/>
    <mergeCell ref="B96:H96"/>
    <mergeCell ref="I98:J98"/>
    <mergeCell ref="I100:J100"/>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4.4" x14ac:dyDescent="0.3"/>
  <cols>
    <col min="1" max="1" width="3.6640625" customWidth="1"/>
    <col min="4" max="4" width="8.88671875" customWidth="1"/>
    <col min="5" max="5" width="4.109375" customWidth="1"/>
    <col min="6" max="6" width="4.33203125" customWidth="1"/>
    <col min="8" max="8" width="4.6640625" customWidth="1"/>
  </cols>
  <sheetData>
    <row r="2" spans="2:10" ht="15" thickBot="1" x14ac:dyDescent="0.35"/>
    <row r="3" spans="2:10" ht="15" thickBot="1" x14ac:dyDescent="0.35">
      <c r="B3" s="247" t="s">
        <v>211</v>
      </c>
      <c r="C3" s="248"/>
      <c r="D3" s="248"/>
      <c r="E3" s="248"/>
      <c r="F3" s="248"/>
      <c r="G3" s="248"/>
      <c r="H3" s="249"/>
      <c r="I3" s="73"/>
      <c r="J3" s="74"/>
    </row>
    <row r="4" spans="2:10" ht="15" thickBot="1" x14ac:dyDescent="0.35">
      <c r="B4" s="239" t="s">
        <v>121</v>
      </c>
      <c r="C4" s="240"/>
      <c r="D4" s="240"/>
      <c r="E4" s="240"/>
      <c r="F4" s="240"/>
      <c r="G4" s="240"/>
      <c r="H4" s="241"/>
      <c r="I4" s="1"/>
      <c r="J4" s="2"/>
    </row>
    <row r="5" spans="2:10" x14ac:dyDescent="0.3">
      <c r="B5" s="73" t="s">
        <v>218</v>
      </c>
      <c r="C5" s="84"/>
      <c r="D5" s="84"/>
      <c r="E5" s="84"/>
      <c r="G5" t="s">
        <v>39</v>
      </c>
      <c r="H5" s="2"/>
      <c r="I5" s="1"/>
      <c r="J5" s="2"/>
    </row>
    <row r="6" spans="2:10" x14ac:dyDescent="0.3">
      <c r="B6" s="78" t="s">
        <v>216</v>
      </c>
      <c r="C6" s="76"/>
      <c r="D6" s="76"/>
      <c r="H6" s="2"/>
      <c r="I6" s="1"/>
      <c r="J6" s="2"/>
    </row>
    <row r="7" spans="2:10" x14ac:dyDescent="0.3">
      <c r="B7" s="79"/>
      <c r="C7" s="80"/>
      <c r="D7" s="80"/>
      <c r="E7" s="81"/>
      <c r="F7" s="81"/>
      <c r="G7" s="81"/>
      <c r="H7" s="82"/>
      <c r="I7" s="1"/>
      <c r="J7" s="2"/>
    </row>
    <row r="8" spans="2:10" x14ac:dyDescent="0.3">
      <c r="B8" s="242" t="s">
        <v>214</v>
      </c>
      <c r="C8" s="243"/>
      <c r="D8" s="243"/>
      <c r="E8" s="243"/>
      <c r="F8" s="243"/>
      <c r="G8" s="243"/>
      <c r="H8" s="244"/>
      <c r="I8" s="1"/>
      <c r="J8" s="2"/>
    </row>
    <row r="9" spans="2:10" x14ac:dyDescent="0.3">
      <c r="B9" s="78"/>
      <c r="C9" s="76"/>
      <c r="D9" s="76"/>
      <c r="H9" s="2"/>
      <c r="I9" s="1"/>
      <c r="J9" s="2"/>
    </row>
    <row r="10" spans="2:10" x14ac:dyDescent="0.3">
      <c r="B10" s="1" t="s">
        <v>210</v>
      </c>
      <c r="E10" t="str">
        <f>PRORRATEO!C13</f>
        <v>QUIROGA, Karina</v>
      </c>
      <c r="H10" s="2"/>
      <c r="I10" s="245" t="s">
        <v>215</v>
      </c>
      <c r="J10" s="246"/>
    </row>
    <row r="11" spans="2:10" x14ac:dyDescent="0.3">
      <c r="B11" s="1" t="s">
        <v>209</v>
      </c>
      <c r="C11" s="76">
        <f>PRORRATEO!B13</f>
        <v>7</v>
      </c>
      <c r="D11" s="77" t="s">
        <v>213</v>
      </c>
      <c r="E11" s="76" t="e">
        <f>PRORRATEO!#REF!</f>
        <v>#REF!</v>
      </c>
      <c r="H11" s="2"/>
      <c r="I11" s="1"/>
      <c r="J11" s="2"/>
    </row>
    <row r="12" spans="2:10" x14ac:dyDescent="0.3">
      <c r="B12" s="1"/>
      <c r="H12" s="2"/>
      <c r="I12" s="245"/>
      <c r="J12" s="246"/>
    </row>
    <row r="13" spans="2:10" x14ac:dyDescent="0.3">
      <c r="B13" s="1"/>
      <c r="H13" s="2"/>
      <c r="I13" s="1"/>
      <c r="J13" s="2"/>
    </row>
    <row r="14" spans="2:10" x14ac:dyDescent="0.3">
      <c r="B14" s="1"/>
      <c r="H14" s="2"/>
      <c r="I14" s="1"/>
      <c r="J14" s="2"/>
    </row>
    <row r="15" spans="2:10" ht="15" thickBot="1" x14ac:dyDescent="0.35">
      <c r="B15" s="1"/>
      <c r="H15" s="2"/>
      <c r="I15" s="83"/>
      <c r="J15" s="86"/>
    </row>
    <row r="16" spans="2:10" ht="15" thickBot="1" x14ac:dyDescent="0.35">
      <c r="B16" s="235" t="s">
        <v>212</v>
      </c>
      <c r="C16" s="236"/>
      <c r="D16" s="236"/>
      <c r="E16" s="236"/>
      <c r="F16" s="236"/>
      <c r="G16" s="237">
        <f>PRORRATEO!M13</f>
        <v>240000.07</v>
      </c>
      <c r="H16" s="238"/>
      <c r="I16" s="75"/>
      <c r="J16" s="85"/>
    </row>
    <row r="19" spans="2:10" ht="15" thickBot="1" x14ac:dyDescent="0.35"/>
    <row r="20" spans="2:10" ht="15" thickBot="1" x14ac:dyDescent="0.35">
      <c r="B20" s="247" t="s">
        <v>211</v>
      </c>
      <c r="C20" s="248"/>
      <c r="D20" s="248"/>
      <c r="E20" s="248"/>
      <c r="F20" s="248"/>
      <c r="G20" s="248"/>
      <c r="H20" s="249"/>
      <c r="I20" s="73"/>
      <c r="J20" s="74"/>
    </row>
    <row r="21" spans="2:10" ht="15" thickBot="1" x14ac:dyDescent="0.35">
      <c r="B21" s="239" t="s">
        <v>121</v>
      </c>
      <c r="C21" s="240"/>
      <c r="D21" s="240"/>
      <c r="E21" s="240"/>
      <c r="F21" s="240"/>
      <c r="G21" s="240"/>
      <c r="H21" s="241"/>
      <c r="I21" s="1"/>
      <c r="J21" s="2"/>
    </row>
    <row r="22" spans="2:10" x14ac:dyDescent="0.3">
      <c r="B22" s="73" t="s">
        <v>218</v>
      </c>
      <c r="C22" s="84"/>
      <c r="D22" s="84"/>
      <c r="E22" s="84"/>
      <c r="G22" t="s">
        <v>39</v>
      </c>
      <c r="H22" s="2"/>
      <c r="I22" s="1"/>
      <c r="J22" s="2"/>
    </row>
    <row r="23" spans="2:10" x14ac:dyDescent="0.3">
      <c r="B23" s="78" t="s">
        <v>216</v>
      </c>
      <c r="C23" s="76"/>
      <c r="D23" s="76"/>
      <c r="H23" s="2"/>
      <c r="I23" s="1"/>
      <c r="J23" s="2"/>
    </row>
    <row r="24" spans="2:10" x14ac:dyDescent="0.3">
      <c r="B24" s="79"/>
      <c r="C24" s="80"/>
      <c r="D24" s="80"/>
      <c r="E24" s="81"/>
      <c r="F24" s="81"/>
      <c r="G24" s="81"/>
      <c r="H24" s="82"/>
      <c r="I24" s="1"/>
      <c r="J24" s="2"/>
    </row>
    <row r="25" spans="2:10" x14ac:dyDescent="0.3">
      <c r="B25" s="242" t="s">
        <v>214</v>
      </c>
      <c r="C25" s="243"/>
      <c r="D25" s="243"/>
      <c r="E25" s="243"/>
      <c r="F25" s="243"/>
      <c r="G25" s="243"/>
      <c r="H25" s="244"/>
      <c r="I25" s="1"/>
      <c r="J25" s="2"/>
    </row>
    <row r="26" spans="2:10" x14ac:dyDescent="0.3">
      <c r="B26" s="78"/>
      <c r="C26" s="76"/>
      <c r="D26" s="76"/>
      <c r="H26" s="2"/>
      <c r="I26" s="1"/>
      <c r="J26" s="2"/>
    </row>
    <row r="27" spans="2:10" x14ac:dyDescent="0.3">
      <c r="B27" s="1" t="s">
        <v>210</v>
      </c>
      <c r="E27" t="str">
        <f>PRORRATEO!C14</f>
        <v>PENAS, Roberto</v>
      </c>
      <c r="H27" s="2"/>
      <c r="I27" s="245" t="s">
        <v>215</v>
      </c>
      <c r="J27" s="246"/>
    </row>
    <row r="28" spans="2:10" x14ac:dyDescent="0.3">
      <c r="B28" s="1" t="s">
        <v>209</v>
      </c>
      <c r="C28" s="76">
        <f>PRORRATEO!B14</f>
        <v>8</v>
      </c>
      <c r="D28" s="77" t="s">
        <v>213</v>
      </c>
      <c r="E28" s="76" t="e">
        <f>PRORRATEO!#REF!</f>
        <v>#REF!</v>
      </c>
      <c r="H28" s="2"/>
      <c r="I28" s="1"/>
      <c r="J28" s="2"/>
    </row>
    <row r="29" spans="2:10" x14ac:dyDescent="0.3">
      <c r="B29" s="1"/>
      <c r="H29" s="2"/>
      <c r="I29" s="245"/>
      <c r="J29" s="246"/>
    </row>
    <row r="30" spans="2:10" x14ac:dyDescent="0.3">
      <c r="B30" s="1"/>
      <c r="H30" s="2"/>
      <c r="I30" s="1"/>
      <c r="J30" s="2"/>
    </row>
    <row r="31" spans="2:10" x14ac:dyDescent="0.3">
      <c r="B31" s="1"/>
      <c r="H31" s="2"/>
      <c r="I31" s="1"/>
      <c r="J31" s="2"/>
    </row>
    <row r="32" spans="2:10" ht="15" thickBot="1" x14ac:dyDescent="0.35">
      <c r="B32" s="1"/>
      <c r="H32" s="2"/>
      <c r="I32" s="83"/>
      <c r="J32" s="86"/>
    </row>
    <row r="33" spans="2:10" ht="15" thickBot="1" x14ac:dyDescent="0.35">
      <c r="B33" s="235" t="s">
        <v>212</v>
      </c>
      <c r="C33" s="236"/>
      <c r="D33" s="236"/>
      <c r="E33" s="236"/>
      <c r="F33" s="236"/>
      <c r="G33" s="237">
        <f>PRORRATEO!M14</f>
        <v>338389.08</v>
      </c>
      <c r="H33" s="238"/>
      <c r="I33" s="75"/>
      <c r="J33" s="85"/>
    </row>
    <row r="35" spans="2:10" hidden="1" x14ac:dyDescent="0.3"/>
    <row r="36" spans="2:10" ht="15" thickBot="1" x14ac:dyDescent="0.35"/>
    <row r="37" spans="2:10" ht="15" thickBot="1" x14ac:dyDescent="0.35">
      <c r="B37" s="247" t="s">
        <v>211</v>
      </c>
      <c r="C37" s="248"/>
      <c r="D37" s="248"/>
      <c r="E37" s="248"/>
      <c r="F37" s="248"/>
      <c r="G37" s="248"/>
      <c r="H37" s="249"/>
      <c r="I37" s="73"/>
      <c r="J37" s="74"/>
    </row>
    <row r="38" spans="2:10" ht="15" thickBot="1" x14ac:dyDescent="0.35">
      <c r="B38" s="239" t="s">
        <v>121</v>
      </c>
      <c r="C38" s="240"/>
      <c r="D38" s="240"/>
      <c r="E38" s="240"/>
      <c r="F38" s="240"/>
      <c r="G38" s="240"/>
      <c r="H38" s="241"/>
      <c r="I38" s="1"/>
      <c r="J38" s="2"/>
    </row>
    <row r="39" spans="2:10" x14ac:dyDescent="0.3">
      <c r="B39" s="73" t="s">
        <v>218</v>
      </c>
      <c r="C39" s="84"/>
      <c r="D39" s="84"/>
      <c r="E39" s="84"/>
      <c r="G39" t="s">
        <v>39</v>
      </c>
      <c r="H39" s="2"/>
      <c r="I39" s="1"/>
      <c r="J39" s="2"/>
    </row>
    <row r="40" spans="2:10" x14ac:dyDescent="0.3">
      <c r="B40" s="78" t="s">
        <v>216</v>
      </c>
      <c r="C40" s="76"/>
      <c r="D40" s="76"/>
      <c r="H40" s="2"/>
      <c r="I40" s="1"/>
      <c r="J40" s="2"/>
    </row>
    <row r="41" spans="2:10" x14ac:dyDescent="0.3">
      <c r="B41" s="79"/>
      <c r="C41" s="80"/>
      <c r="D41" s="80"/>
      <c r="E41" s="81"/>
      <c r="F41" s="81"/>
      <c r="G41" s="81"/>
      <c r="H41" s="82"/>
      <c r="I41" s="1"/>
      <c r="J41" s="2"/>
    </row>
    <row r="42" spans="2:10" x14ac:dyDescent="0.3">
      <c r="B42" s="242" t="s">
        <v>214</v>
      </c>
      <c r="C42" s="243"/>
      <c r="D42" s="243"/>
      <c r="E42" s="243"/>
      <c r="F42" s="243"/>
      <c r="G42" s="243"/>
      <c r="H42" s="244"/>
      <c r="I42" s="1"/>
      <c r="J42" s="2"/>
    </row>
    <row r="43" spans="2:10" x14ac:dyDescent="0.3">
      <c r="B43" s="78"/>
      <c r="C43" s="76"/>
      <c r="D43" s="76"/>
      <c r="H43" s="2"/>
      <c r="I43" s="1"/>
      <c r="J43" s="2"/>
    </row>
    <row r="44" spans="2:10" x14ac:dyDescent="0.3">
      <c r="B44" s="1" t="s">
        <v>210</v>
      </c>
      <c r="E44" t="str">
        <f>PRORRATEO!C15</f>
        <v>MURPHY, Gabriel</v>
      </c>
      <c r="H44" s="2"/>
      <c r="I44" s="245" t="s">
        <v>215</v>
      </c>
      <c r="J44" s="246"/>
    </row>
    <row r="45" spans="2:10" x14ac:dyDescent="0.3">
      <c r="B45" s="1" t="s">
        <v>209</v>
      </c>
      <c r="C45" s="76">
        <f>PRORRATEO!B15</f>
        <v>9</v>
      </c>
      <c r="D45" s="77" t="s">
        <v>213</v>
      </c>
      <c r="E45" s="76" t="e">
        <f>PRORRATEO!#REF!</f>
        <v>#REF!</v>
      </c>
      <c r="H45" s="2"/>
      <c r="I45" s="1"/>
      <c r="J45" s="2"/>
    </row>
    <row r="46" spans="2:10" x14ac:dyDescent="0.3">
      <c r="B46" s="1"/>
      <c r="H46" s="2"/>
      <c r="I46" s="245"/>
      <c r="J46" s="246"/>
    </row>
    <row r="47" spans="2:10" x14ac:dyDescent="0.3">
      <c r="B47" s="1"/>
      <c r="H47" s="2"/>
      <c r="I47" s="1"/>
      <c r="J47" s="2"/>
    </row>
    <row r="48" spans="2:10" x14ac:dyDescent="0.3">
      <c r="B48" s="1"/>
      <c r="H48" s="2"/>
      <c r="I48" s="1"/>
      <c r="J48" s="2"/>
    </row>
    <row r="49" spans="2:10" ht="15" thickBot="1" x14ac:dyDescent="0.35">
      <c r="B49" s="1"/>
      <c r="H49" s="2"/>
      <c r="I49" s="83"/>
      <c r="J49" s="86"/>
    </row>
    <row r="50" spans="2:10" ht="15" thickBot="1" x14ac:dyDescent="0.35">
      <c r="B50" s="235" t="s">
        <v>212</v>
      </c>
      <c r="C50" s="236"/>
      <c r="D50" s="236"/>
      <c r="E50" s="236"/>
      <c r="F50" s="236"/>
      <c r="G50" s="237">
        <f>PRORRATEO!M15</f>
        <v>313994.09000000003</v>
      </c>
      <c r="H50" s="238"/>
      <c r="I50" s="75"/>
      <c r="J50" s="85"/>
    </row>
    <row r="53" spans="2:10" ht="15" thickBot="1" x14ac:dyDescent="0.35"/>
    <row r="54" spans="2:10" ht="15" thickBot="1" x14ac:dyDescent="0.35">
      <c r="B54" s="247" t="s">
        <v>211</v>
      </c>
      <c r="C54" s="248"/>
      <c r="D54" s="248"/>
      <c r="E54" s="248"/>
      <c r="F54" s="248"/>
      <c r="G54" s="248"/>
      <c r="H54" s="249"/>
      <c r="I54" s="73"/>
      <c r="J54" s="74"/>
    </row>
    <row r="55" spans="2:10" ht="15" thickBot="1" x14ac:dyDescent="0.35">
      <c r="B55" s="239" t="s">
        <v>121</v>
      </c>
      <c r="C55" s="240"/>
      <c r="D55" s="240"/>
      <c r="E55" s="240"/>
      <c r="F55" s="240"/>
      <c r="G55" s="240"/>
      <c r="H55" s="241"/>
      <c r="I55" s="1"/>
      <c r="J55" s="2"/>
    </row>
    <row r="56" spans="2:10" x14ac:dyDescent="0.3">
      <c r="B56" s="73" t="s">
        <v>218</v>
      </c>
      <c r="C56" s="84"/>
      <c r="D56" s="84"/>
      <c r="E56" s="84"/>
      <c r="G56" t="s">
        <v>39</v>
      </c>
      <c r="H56" s="2"/>
      <c r="I56" s="1"/>
      <c r="J56" s="2"/>
    </row>
    <row r="57" spans="2:10" x14ac:dyDescent="0.3">
      <c r="B57" s="78" t="s">
        <v>216</v>
      </c>
      <c r="C57" s="76"/>
      <c r="D57" s="76"/>
      <c r="H57" s="2"/>
      <c r="I57" s="1"/>
      <c r="J57" s="2"/>
    </row>
    <row r="58" spans="2:10" x14ac:dyDescent="0.3">
      <c r="B58" s="79"/>
      <c r="C58" s="80"/>
      <c r="D58" s="80"/>
      <c r="E58" s="81"/>
      <c r="F58" s="81"/>
      <c r="G58" s="81"/>
      <c r="H58" s="82"/>
      <c r="I58" s="1"/>
      <c r="J58" s="2"/>
    </row>
    <row r="59" spans="2:10" x14ac:dyDescent="0.3">
      <c r="B59" s="242" t="s">
        <v>214</v>
      </c>
      <c r="C59" s="243"/>
      <c r="D59" s="243"/>
      <c r="E59" s="243"/>
      <c r="F59" s="243"/>
      <c r="G59" s="243"/>
      <c r="H59" s="244"/>
      <c r="I59" s="1"/>
      <c r="J59" s="2"/>
    </row>
    <row r="60" spans="2:10" x14ac:dyDescent="0.3">
      <c r="B60" s="78"/>
      <c r="C60" s="76"/>
      <c r="D60" s="76"/>
      <c r="H60" s="2"/>
      <c r="I60" s="1"/>
      <c r="J60" s="2"/>
    </row>
    <row r="61" spans="2:10" x14ac:dyDescent="0.3">
      <c r="B61" s="1" t="s">
        <v>210</v>
      </c>
      <c r="E61" t="str">
        <f>PRORRATEO!C16</f>
        <v>JAURETCHE, Claudio</v>
      </c>
      <c r="H61" s="2"/>
      <c r="I61" s="245" t="s">
        <v>215</v>
      </c>
      <c r="J61" s="246"/>
    </row>
    <row r="62" spans="2:10" x14ac:dyDescent="0.3">
      <c r="B62" s="1" t="s">
        <v>209</v>
      </c>
      <c r="C62" s="76">
        <f>PRORRATEO!B16</f>
        <v>10</v>
      </c>
      <c r="D62" s="77" t="s">
        <v>213</v>
      </c>
      <c r="E62" s="76" t="e">
        <f>PRORRATEO!#REF!</f>
        <v>#REF!</v>
      </c>
      <c r="H62" s="2"/>
      <c r="I62" s="1"/>
      <c r="J62" s="2"/>
    </row>
    <row r="63" spans="2:10" x14ac:dyDescent="0.3">
      <c r="B63" s="1"/>
      <c r="H63" s="2"/>
      <c r="I63" s="245"/>
      <c r="J63" s="246"/>
    </row>
    <row r="64" spans="2:10" x14ac:dyDescent="0.3">
      <c r="B64" s="1"/>
      <c r="H64" s="2"/>
      <c r="I64" s="1"/>
      <c r="J64" s="2"/>
    </row>
    <row r="65" spans="2:10" x14ac:dyDescent="0.3">
      <c r="B65" s="1"/>
      <c r="H65" s="2"/>
      <c r="I65" s="1"/>
      <c r="J65" s="2"/>
    </row>
    <row r="66" spans="2:10" ht="15" thickBot="1" x14ac:dyDescent="0.35">
      <c r="B66" s="1"/>
      <c r="H66" s="2"/>
      <c r="I66" s="83"/>
      <c r="J66" s="86"/>
    </row>
    <row r="67" spans="2:10" ht="15" thickBot="1" x14ac:dyDescent="0.35">
      <c r="B67" s="235" t="s">
        <v>212</v>
      </c>
      <c r="C67" s="236"/>
      <c r="D67" s="236"/>
      <c r="E67" s="236"/>
      <c r="F67" s="236"/>
      <c r="G67" s="237">
        <f>PRORRATEO!M16</f>
        <v>126000.1</v>
      </c>
      <c r="H67" s="238"/>
      <c r="I67" s="75"/>
      <c r="J67" s="85"/>
    </row>
    <row r="71" spans="2:10" ht="15" thickBot="1" x14ac:dyDescent="0.35"/>
    <row r="72" spans="2:10" ht="15" thickBot="1" x14ac:dyDescent="0.35">
      <c r="B72" s="247" t="s">
        <v>211</v>
      </c>
      <c r="C72" s="248"/>
      <c r="D72" s="248"/>
      <c r="E72" s="248"/>
      <c r="F72" s="248"/>
      <c r="G72" s="248"/>
      <c r="H72" s="249"/>
      <c r="I72" s="73"/>
      <c r="J72" s="74"/>
    </row>
    <row r="73" spans="2:10" ht="15" thickBot="1" x14ac:dyDescent="0.35">
      <c r="B73" s="239" t="s">
        <v>121</v>
      </c>
      <c r="C73" s="240"/>
      <c r="D73" s="240"/>
      <c r="E73" s="240"/>
      <c r="F73" s="240"/>
      <c r="G73" s="240"/>
      <c r="H73" s="241"/>
      <c r="I73" s="1"/>
      <c r="J73" s="2"/>
    </row>
    <row r="74" spans="2:10" x14ac:dyDescent="0.3">
      <c r="B74" s="73" t="s">
        <v>218</v>
      </c>
      <c r="C74" s="84"/>
      <c r="D74" s="84"/>
      <c r="E74" s="84"/>
      <c r="G74" t="s">
        <v>39</v>
      </c>
      <c r="H74" s="2"/>
      <c r="I74" s="1"/>
      <c r="J74" s="2"/>
    </row>
    <row r="75" spans="2:10" x14ac:dyDescent="0.3">
      <c r="B75" s="78" t="s">
        <v>216</v>
      </c>
      <c r="C75" s="76"/>
      <c r="D75" s="76"/>
      <c r="H75" s="2"/>
      <c r="I75" s="1"/>
      <c r="J75" s="2"/>
    </row>
    <row r="76" spans="2:10" x14ac:dyDescent="0.3">
      <c r="B76" s="79"/>
      <c r="C76" s="80"/>
      <c r="D76" s="80"/>
      <c r="E76" s="81"/>
      <c r="F76" s="81"/>
      <c r="G76" s="81"/>
      <c r="H76" s="82"/>
      <c r="I76" s="1"/>
      <c r="J76" s="2"/>
    </row>
    <row r="77" spans="2:10" x14ac:dyDescent="0.3">
      <c r="B77" s="242" t="s">
        <v>214</v>
      </c>
      <c r="C77" s="243"/>
      <c r="D77" s="243"/>
      <c r="E77" s="243"/>
      <c r="F77" s="243"/>
      <c r="G77" s="243"/>
      <c r="H77" s="244"/>
      <c r="I77" s="1"/>
      <c r="J77" s="2"/>
    </row>
    <row r="78" spans="2:10" x14ac:dyDescent="0.3">
      <c r="B78" s="78"/>
      <c r="C78" s="76"/>
      <c r="D78" s="76"/>
      <c r="H78" s="2"/>
      <c r="I78" s="1"/>
      <c r="J78" s="2"/>
    </row>
    <row r="79" spans="2:10" x14ac:dyDescent="0.3">
      <c r="B79" s="1" t="s">
        <v>210</v>
      </c>
      <c r="E79" t="str">
        <f>PRORRATEO!C17</f>
        <v>BRUZZONE, Héctor</v>
      </c>
      <c r="H79" s="2"/>
      <c r="I79" s="245" t="s">
        <v>215</v>
      </c>
      <c r="J79" s="246"/>
    </row>
    <row r="80" spans="2:10" x14ac:dyDescent="0.3">
      <c r="B80" s="1" t="s">
        <v>209</v>
      </c>
      <c r="C80" s="76">
        <f>PRORRATEO!B17</f>
        <v>11</v>
      </c>
      <c r="D80" s="77" t="s">
        <v>213</v>
      </c>
      <c r="E80" s="76" t="e">
        <f>PRORRATEO!#REF!</f>
        <v>#REF!</v>
      </c>
      <c r="H80" s="2"/>
      <c r="I80" s="1"/>
      <c r="J80" s="2"/>
    </row>
    <row r="81" spans="2:10" x14ac:dyDescent="0.3">
      <c r="B81" s="1"/>
      <c r="H81" s="2"/>
      <c r="I81" s="245"/>
      <c r="J81" s="246"/>
    </row>
    <row r="82" spans="2:10" x14ac:dyDescent="0.3">
      <c r="B82" s="1"/>
      <c r="H82" s="2"/>
      <c r="I82" s="1"/>
      <c r="J82" s="2"/>
    </row>
    <row r="83" spans="2:10" x14ac:dyDescent="0.3">
      <c r="B83" s="1"/>
      <c r="H83" s="2"/>
      <c r="I83" s="1"/>
      <c r="J83" s="2"/>
    </row>
    <row r="84" spans="2:10" ht="15" thickBot="1" x14ac:dyDescent="0.35">
      <c r="B84" s="1"/>
      <c r="H84" s="2"/>
      <c r="I84" s="83"/>
      <c r="J84" s="86"/>
    </row>
    <row r="85" spans="2:10" ht="15" thickBot="1" x14ac:dyDescent="0.35">
      <c r="B85" s="235" t="s">
        <v>212</v>
      </c>
      <c r="C85" s="236"/>
      <c r="D85" s="236"/>
      <c r="E85" s="236"/>
      <c r="F85" s="236"/>
      <c r="G85" s="237">
        <f>PRORRATEO!M17</f>
        <v>126000.11</v>
      </c>
      <c r="H85" s="238"/>
      <c r="I85" s="75"/>
      <c r="J85" s="85"/>
    </row>
    <row r="89" spans="2:10" ht="183" customHeight="1" thickBot="1" x14ac:dyDescent="0.35"/>
    <row r="90" spans="2:10" ht="15" thickBot="1" x14ac:dyDescent="0.35">
      <c r="B90" s="247" t="s">
        <v>211</v>
      </c>
      <c r="C90" s="248"/>
      <c r="D90" s="248"/>
      <c r="E90" s="248"/>
      <c r="F90" s="248"/>
      <c r="G90" s="248"/>
      <c r="H90" s="249"/>
      <c r="I90" s="73"/>
      <c r="J90" s="74"/>
    </row>
    <row r="91" spans="2:10" ht="15" thickBot="1" x14ac:dyDescent="0.35">
      <c r="B91" s="239" t="s">
        <v>121</v>
      </c>
      <c r="C91" s="240"/>
      <c r="D91" s="240"/>
      <c r="E91" s="240"/>
      <c r="F91" s="240"/>
      <c r="G91" s="240"/>
      <c r="H91" s="241"/>
      <c r="I91" s="1"/>
      <c r="J91" s="2"/>
    </row>
    <row r="92" spans="2:10" x14ac:dyDescent="0.3">
      <c r="B92" s="73" t="s">
        <v>218</v>
      </c>
      <c r="C92" s="84"/>
      <c r="D92" s="84"/>
      <c r="E92" s="84"/>
      <c r="G92" t="s">
        <v>39</v>
      </c>
      <c r="H92" s="2"/>
      <c r="I92" s="1"/>
      <c r="J92" s="2"/>
    </row>
    <row r="93" spans="2:10" x14ac:dyDescent="0.3">
      <c r="B93" s="78" t="s">
        <v>216</v>
      </c>
      <c r="C93" s="76"/>
      <c r="D93" s="76"/>
      <c r="H93" s="2"/>
      <c r="I93" s="1"/>
      <c r="J93" s="2"/>
    </row>
    <row r="94" spans="2:10" x14ac:dyDescent="0.3">
      <c r="B94" s="79"/>
      <c r="C94" s="80"/>
      <c r="D94" s="80"/>
      <c r="E94" s="81"/>
      <c r="F94" s="81"/>
      <c r="G94" s="81"/>
      <c r="H94" s="82"/>
      <c r="I94" s="1"/>
      <c r="J94" s="2"/>
    </row>
    <row r="95" spans="2:10" x14ac:dyDescent="0.3">
      <c r="B95" s="242" t="s">
        <v>214</v>
      </c>
      <c r="C95" s="243"/>
      <c r="D95" s="243"/>
      <c r="E95" s="243"/>
      <c r="F95" s="243"/>
      <c r="G95" s="243"/>
      <c r="H95" s="244"/>
      <c r="I95" s="1"/>
      <c r="J95" s="2"/>
    </row>
    <row r="96" spans="2:10" x14ac:dyDescent="0.3">
      <c r="B96" s="78"/>
      <c r="C96" s="76"/>
      <c r="D96" s="76"/>
      <c r="H96" s="2"/>
      <c r="I96" s="1"/>
      <c r="J96" s="2"/>
    </row>
    <row r="97" spans="2:10" x14ac:dyDescent="0.3">
      <c r="B97" s="1" t="s">
        <v>210</v>
      </c>
      <c r="E97" t="str">
        <f>PRORRATEO!C18</f>
        <v>HUINCA HUEMUL S.A.</v>
      </c>
      <c r="H97" s="2"/>
      <c r="I97" s="245" t="s">
        <v>215</v>
      </c>
      <c r="J97" s="246"/>
    </row>
    <row r="98" spans="2:10" x14ac:dyDescent="0.3">
      <c r="B98" s="1" t="s">
        <v>209</v>
      </c>
      <c r="C98" s="76">
        <f>PRORRATEO!B18</f>
        <v>12</v>
      </c>
      <c r="D98" s="77" t="s">
        <v>213</v>
      </c>
      <c r="E98" s="76" t="e">
        <f>PRORRATEO!#REF!</f>
        <v>#REF!</v>
      </c>
      <c r="H98" s="2"/>
      <c r="I98" s="1"/>
      <c r="J98" s="2"/>
    </row>
    <row r="99" spans="2:10" x14ac:dyDescent="0.3">
      <c r="B99" s="1"/>
      <c r="H99" s="2"/>
      <c r="I99" s="245"/>
      <c r="J99" s="246"/>
    </row>
    <row r="100" spans="2:10" x14ac:dyDescent="0.3">
      <c r="B100" s="1"/>
      <c r="H100" s="2"/>
      <c r="I100" s="1"/>
      <c r="J100" s="2"/>
    </row>
    <row r="101" spans="2:10" x14ac:dyDescent="0.3">
      <c r="B101" s="1"/>
      <c r="H101" s="2"/>
      <c r="I101" s="1"/>
      <c r="J101" s="2"/>
    </row>
    <row r="102" spans="2:10" ht="15" thickBot="1" x14ac:dyDescent="0.35">
      <c r="B102" s="1"/>
      <c r="H102" s="2"/>
      <c r="I102" s="83"/>
      <c r="J102" s="86"/>
    </row>
    <row r="103" spans="2:10" ht="15" thickBot="1" x14ac:dyDescent="0.35">
      <c r="B103" s="235" t="s">
        <v>212</v>
      </c>
      <c r="C103" s="236"/>
      <c r="D103" s="236"/>
      <c r="E103" s="236"/>
      <c r="F103" s="236"/>
      <c r="G103" s="237">
        <f>PRORRATEO!M18</f>
        <v>168000.12</v>
      </c>
      <c r="H103" s="238"/>
      <c r="I103" s="75"/>
      <c r="J103" s="85"/>
    </row>
  </sheetData>
  <mergeCells count="42">
    <mergeCell ref="I10:J10"/>
    <mergeCell ref="I12:J12"/>
    <mergeCell ref="B33:F33"/>
    <mergeCell ref="G33:H33"/>
    <mergeCell ref="B3:H3"/>
    <mergeCell ref="B4:H4"/>
    <mergeCell ref="B8:H8"/>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B54:H54"/>
    <mergeCell ref="B55:H55"/>
    <mergeCell ref="B59:H59"/>
    <mergeCell ref="I61:J61"/>
    <mergeCell ref="I63:J63"/>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4.4" x14ac:dyDescent="0.3"/>
  <cols>
    <col min="1" max="1" width="6.6640625" customWidth="1"/>
    <col min="4" max="4" width="7.109375" customWidth="1"/>
    <col min="5" max="5" width="5.109375" customWidth="1"/>
    <col min="6" max="6" width="6.5546875" customWidth="1"/>
    <col min="7" max="7" width="7.109375" customWidth="1"/>
    <col min="8" max="8" width="8.6640625" customWidth="1"/>
  </cols>
  <sheetData>
    <row r="2" spans="2:10" ht="15" thickBot="1" x14ac:dyDescent="0.35"/>
    <row r="3" spans="2:10" ht="15" thickBot="1" x14ac:dyDescent="0.35">
      <c r="B3" s="247" t="s">
        <v>211</v>
      </c>
      <c r="C3" s="248"/>
      <c r="D3" s="248"/>
      <c r="E3" s="248"/>
      <c r="F3" s="248"/>
      <c r="G3" s="248"/>
      <c r="H3" s="249"/>
      <c r="I3" s="73"/>
      <c r="J3" s="74"/>
    </row>
    <row r="4" spans="2:10" ht="15" thickBot="1" x14ac:dyDescent="0.35">
      <c r="B4" s="239" t="s">
        <v>121</v>
      </c>
      <c r="C4" s="240"/>
      <c r="D4" s="240"/>
      <c r="E4" s="240"/>
      <c r="F4" s="240"/>
      <c r="G4" s="240"/>
      <c r="H4" s="241"/>
      <c r="I4" s="1"/>
      <c r="J4" s="2"/>
    </row>
    <row r="5" spans="2:10" x14ac:dyDescent="0.3">
      <c r="B5" s="73" t="s">
        <v>218</v>
      </c>
      <c r="C5" s="84"/>
      <c r="D5" s="84"/>
      <c r="E5" s="84"/>
      <c r="G5" t="s">
        <v>39</v>
      </c>
      <c r="H5" s="2"/>
      <c r="I5" s="1"/>
      <c r="J5" s="2"/>
    </row>
    <row r="6" spans="2:10" x14ac:dyDescent="0.3">
      <c r="B6" s="78" t="s">
        <v>216</v>
      </c>
      <c r="C6" s="76"/>
      <c r="D6" s="76"/>
      <c r="H6" s="2"/>
      <c r="I6" s="1"/>
      <c r="J6" s="2"/>
    </row>
    <row r="7" spans="2:10" x14ac:dyDescent="0.3">
      <c r="B7" s="79"/>
      <c r="C7" s="80"/>
      <c r="D7" s="80"/>
      <c r="E7" s="81"/>
      <c r="F7" s="81"/>
      <c r="G7" s="81"/>
      <c r="H7" s="82"/>
      <c r="I7" s="1"/>
      <c r="J7" s="2"/>
    </row>
    <row r="8" spans="2:10" x14ac:dyDescent="0.3">
      <c r="B8" s="242" t="s">
        <v>214</v>
      </c>
      <c r="C8" s="243"/>
      <c r="D8" s="243"/>
      <c r="E8" s="243"/>
      <c r="F8" s="243"/>
      <c r="G8" s="243"/>
      <c r="H8" s="244"/>
      <c r="I8" s="1"/>
      <c r="J8" s="2"/>
    </row>
    <row r="9" spans="2:10" x14ac:dyDescent="0.3">
      <c r="B9" s="78"/>
      <c r="C9" s="76"/>
      <c r="D9" s="76"/>
      <c r="H9" s="2"/>
      <c r="I9" s="1"/>
      <c r="J9" s="2"/>
    </row>
    <row r="10" spans="2:10" x14ac:dyDescent="0.3">
      <c r="B10" s="1" t="s">
        <v>210</v>
      </c>
      <c r="E10" t="str">
        <f>PRORRATEO!C19</f>
        <v>CALVI, José</v>
      </c>
      <c r="H10" s="2"/>
      <c r="I10" s="245" t="s">
        <v>215</v>
      </c>
      <c r="J10" s="246"/>
    </row>
    <row r="11" spans="2:10" x14ac:dyDescent="0.3">
      <c r="B11" s="1" t="s">
        <v>209</v>
      </c>
      <c r="C11" s="76">
        <f>PRORRATEO!B19</f>
        <v>13</v>
      </c>
      <c r="D11" s="77" t="s">
        <v>213</v>
      </c>
      <c r="E11" s="76" t="e">
        <f>PRORRATEO!#REF!</f>
        <v>#REF!</v>
      </c>
      <c r="H11" s="2"/>
      <c r="I11" s="1"/>
      <c r="J11" s="2"/>
    </row>
    <row r="12" spans="2:10" x14ac:dyDescent="0.3">
      <c r="B12" s="1"/>
      <c r="H12" s="2"/>
      <c r="I12" s="245"/>
      <c r="J12" s="246"/>
    </row>
    <row r="13" spans="2:10" x14ac:dyDescent="0.3">
      <c r="B13" s="1"/>
      <c r="H13" s="2"/>
      <c r="I13" s="1"/>
      <c r="J13" s="2"/>
    </row>
    <row r="14" spans="2:10" x14ac:dyDescent="0.3">
      <c r="B14" s="1"/>
      <c r="H14" s="2"/>
      <c r="I14" s="1"/>
      <c r="J14" s="2"/>
    </row>
    <row r="15" spans="2:10" ht="15" thickBot="1" x14ac:dyDescent="0.35">
      <c r="B15" s="1"/>
      <c r="H15" s="2"/>
      <c r="I15" s="83"/>
      <c r="J15" s="86"/>
    </row>
    <row r="16" spans="2:10" ht="15" thickBot="1" x14ac:dyDescent="0.35">
      <c r="B16" s="235" t="s">
        <v>212</v>
      </c>
      <c r="C16" s="236"/>
      <c r="D16" s="236"/>
      <c r="E16" s="236"/>
      <c r="F16" s="236"/>
      <c r="G16" s="237">
        <f>PRORRATEO!M19</f>
        <v>461422.13</v>
      </c>
      <c r="H16" s="238"/>
      <c r="I16" s="75"/>
      <c r="J16" s="85"/>
    </row>
    <row r="20" spans="2:10" ht="15" thickBot="1" x14ac:dyDescent="0.35"/>
    <row r="21" spans="2:10" ht="15" thickBot="1" x14ac:dyDescent="0.35">
      <c r="B21" s="247" t="s">
        <v>211</v>
      </c>
      <c r="C21" s="248"/>
      <c r="D21" s="248"/>
      <c r="E21" s="248"/>
      <c r="F21" s="248"/>
      <c r="G21" s="248"/>
      <c r="H21" s="249"/>
      <c r="I21" s="73"/>
      <c r="J21" s="74"/>
    </row>
    <row r="22" spans="2:10" ht="15" thickBot="1" x14ac:dyDescent="0.35">
      <c r="B22" s="239" t="s">
        <v>121</v>
      </c>
      <c r="C22" s="240"/>
      <c r="D22" s="240"/>
      <c r="E22" s="240"/>
      <c r="F22" s="240"/>
      <c r="G22" s="240"/>
      <c r="H22" s="241"/>
      <c r="I22" s="1"/>
      <c r="J22" s="2"/>
    </row>
    <row r="23" spans="2:10" x14ac:dyDescent="0.3">
      <c r="B23" s="73" t="s">
        <v>218</v>
      </c>
      <c r="C23" s="84"/>
      <c r="D23" s="84"/>
      <c r="E23" s="84"/>
      <c r="G23" t="s">
        <v>39</v>
      </c>
      <c r="H23" s="2"/>
      <c r="I23" s="1"/>
      <c r="J23" s="2"/>
    </row>
    <row r="24" spans="2:10" x14ac:dyDescent="0.3">
      <c r="B24" s="78" t="s">
        <v>216</v>
      </c>
      <c r="C24" s="76"/>
      <c r="D24" s="76"/>
      <c r="H24" s="2"/>
      <c r="I24" s="1"/>
      <c r="J24" s="2"/>
    </row>
    <row r="25" spans="2:10" x14ac:dyDescent="0.3">
      <c r="B25" s="79"/>
      <c r="C25" s="80"/>
      <c r="D25" s="80"/>
      <c r="E25" s="81"/>
      <c r="F25" s="81"/>
      <c r="G25" s="81"/>
      <c r="H25" s="82"/>
      <c r="I25" s="1"/>
      <c r="J25" s="2"/>
    </row>
    <row r="26" spans="2:10" x14ac:dyDescent="0.3">
      <c r="B26" s="242" t="s">
        <v>214</v>
      </c>
      <c r="C26" s="243"/>
      <c r="D26" s="243"/>
      <c r="E26" s="243"/>
      <c r="F26" s="243"/>
      <c r="G26" s="243"/>
      <c r="H26" s="244"/>
      <c r="I26" s="1"/>
      <c r="J26" s="2"/>
    </row>
    <row r="27" spans="2:10" x14ac:dyDescent="0.3">
      <c r="B27" s="78"/>
      <c r="C27" s="76"/>
      <c r="D27" s="76"/>
      <c r="H27" s="2"/>
      <c r="I27" s="1"/>
      <c r="J27" s="2"/>
    </row>
    <row r="28" spans="2:10" x14ac:dyDescent="0.3">
      <c r="B28" s="1" t="s">
        <v>210</v>
      </c>
      <c r="E28" t="str">
        <f>PRORRATEO!C20</f>
        <v>PENAS, Roberto</v>
      </c>
      <c r="H28" s="2"/>
      <c r="I28" s="245" t="s">
        <v>215</v>
      </c>
      <c r="J28" s="246"/>
    </row>
    <row r="29" spans="2:10" x14ac:dyDescent="0.3">
      <c r="B29" s="1" t="s">
        <v>209</v>
      </c>
      <c r="C29" s="76">
        <f>PRORRATEO!B20</f>
        <v>14</v>
      </c>
      <c r="D29" s="77" t="s">
        <v>213</v>
      </c>
      <c r="E29" s="76" t="e">
        <f>PRORRATEO!#REF!</f>
        <v>#REF!</v>
      </c>
      <c r="H29" s="2"/>
      <c r="I29" s="1"/>
      <c r="J29" s="2"/>
    </row>
    <row r="30" spans="2:10" x14ac:dyDescent="0.3">
      <c r="B30" s="1"/>
      <c r="H30" s="2"/>
      <c r="I30" s="245"/>
      <c r="J30" s="246"/>
    </row>
    <row r="31" spans="2:10" x14ac:dyDescent="0.3">
      <c r="B31" s="1"/>
      <c r="H31" s="2"/>
      <c r="I31" s="1"/>
      <c r="J31" s="2"/>
    </row>
    <row r="32" spans="2:10" x14ac:dyDescent="0.3">
      <c r="B32" s="1"/>
      <c r="H32" s="2"/>
      <c r="I32" s="1"/>
      <c r="J32" s="2"/>
    </row>
    <row r="33" spans="2:10" ht="15" thickBot="1" x14ac:dyDescent="0.35">
      <c r="B33" s="1"/>
      <c r="H33" s="2"/>
      <c r="I33" s="83"/>
      <c r="J33" s="86"/>
    </row>
    <row r="34" spans="2:10" ht="15" thickBot="1" x14ac:dyDescent="0.35">
      <c r="B34" s="235" t="s">
        <v>212</v>
      </c>
      <c r="C34" s="236"/>
      <c r="D34" s="236"/>
      <c r="E34" s="236"/>
      <c r="F34" s="236"/>
      <c r="G34" s="237">
        <f>PRORRATEO!M20</f>
        <v>199700.14</v>
      </c>
      <c r="H34" s="238"/>
      <c r="I34" s="75"/>
      <c r="J34" s="85"/>
    </row>
    <row r="35" spans="2:10" ht="6" customHeight="1" x14ac:dyDescent="0.3"/>
    <row r="36" spans="2:10" hidden="1" x14ac:dyDescent="0.3"/>
    <row r="37" spans="2:10" hidden="1" x14ac:dyDescent="0.3"/>
    <row r="38" spans="2:10" ht="15" thickBot="1" x14ac:dyDescent="0.35"/>
    <row r="39" spans="2:10" ht="15" thickBot="1" x14ac:dyDescent="0.35">
      <c r="B39" s="247" t="s">
        <v>211</v>
      </c>
      <c r="C39" s="248"/>
      <c r="D39" s="248"/>
      <c r="E39" s="248"/>
      <c r="F39" s="248"/>
      <c r="G39" s="248"/>
      <c r="H39" s="249"/>
      <c r="I39" s="73"/>
      <c r="J39" s="74"/>
    </row>
    <row r="40" spans="2:10" ht="15" thickBot="1" x14ac:dyDescent="0.35">
      <c r="B40" s="239" t="s">
        <v>121</v>
      </c>
      <c r="C40" s="240"/>
      <c r="D40" s="240"/>
      <c r="E40" s="240"/>
      <c r="F40" s="240"/>
      <c r="G40" s="240"/>
      <c r="H40" s="241"/>
      <c r="I40" s="1"/>
      <c r="J40" s="2"/>
    </row>
    <row r="41" spans="2:10" x14ac:dyDescent="0.3">
      <c r="B41" s="73" t="s">
        <v>218</v>
      </c>
      <c r="C41" s="84"/>
      <c r="D41" s="84"/>
      <c r="E41" s="84"/>
      <c r="G41" t="s">
        <v>39</v>
      </c>
      <c r="H41" s="2"/>
      <c r="I41" s="1"/>
      <c r="J41" s="2"/>
    </row>
    <row r="42" spans="2:10" x14ac:dyDescent="0.3">
      <c r="B42" s="78" t="s">
        <v>216</v>
      </c>
      <c r="C42" s="76"/>
      <c r="D42" s="76"/>
      <c r="H42" s="2"/>
      <c r="I42" s="1"/>
      <c r="J42" s="2"/>
    </row>
    <row r="43" spans="2:10" x14ac:dyDescent="0.3">
      <c r="B43" s="79"/>
      <c r="C43" s="80"/>
      <c r="D43" s="80"/>
      <c r="E43" s="81"/>
      <c r="F43" s="81"/>
      <c r="G43" s="81"/>
      <c r="H43" s="82"/>
      <c r="I43" s="1"/>
      <c r="J43" s="2"/>
    </row>
    <row r="44" spans="2:10" x14ac:dyDescent="0.3">
      <c r="B44" s="242" t="s">
        <v>214</v>
      </c>
      <c r="C44" s="243"/>
      <c r="D44" s="243"/>
      <c r="E44" s="243"/>
      <c r="F44" s="243"/>
      <c r="G44" s="243"/>
      <c r="H44" s="244"/>
      <c r="I44" s="1"/>
      <c r="J44" s="2"/>
    </row>
    <row r="45" spans="2:10" x14ac:dyDescent="0.3">
      <c r="B45" s="78"/>
      <c r="C45" s="76"/>
      <c r="D45" s="76"/>
      <c r="H45" s="2"/>
      <c r="I45" s="1"/>
      <c r="J45" s="2"/>
    </row>
    <row r="46" spans="2:10" x14ac:dyDescent="0.3">
      <c r="B46" s="1" t="s">
        <v>210</v>
      </c>
      <c r="E46" t="str">
        <f>PRORRATEO!C21</f>
        <v>KOCKA, José</v>
      </c>
      <c r="H46" s="2"/>
      <c r="I46" s="245" t="s">
        <v>215</v>
      </c>
      <c r="J46" s="246"/>
    </row>
    <row r="47" spans="2:10" x14ac:dyDescent="0.3">
      <c r="B47" s="1" t="s">
        <v>209</v>
      </c>
      <c r="C47" s="76">
        <f>PRORRATEO!B21</f>
        <v>15</v>
      </c>
      <c r="D47" s="77" t="s">
        <v>213</v>
      </c>
      <c r="E47" s="76" t="e">
        <f>PRORRATEO!#REF!</f>
        <v>#REF!</v>
      </c>
      <c r="H47" s="2"/>
      <c r="I47" s="1"/>
      <c r="J47" s="2"/>
    </row>
    <row r="48" spans="2:10" x14ac:dyDescent="0.3">
      <c r="B48" s="1"/>
      <c r="H48" s="2"/>
      <c r="I48" s="245"/>
      <c r="J48" s="246"/>
    </row>
    <row r="49" spans="2:10" x14ac:dyDescent="0.3">
      <c r="B49" s="1"/>
      <c r="H49" s="2"/>
      <c r="I49" s="1"/>
      <c r="J49" s="2"/>
    </row>
    <row r="50" spans="2:10" x14ac:dyDescent="0.3">
      <c r="B50" s="1"/>
      <c r="H50" s="2"/>
      <c r="I50" s="1"/>
      <c r="J50" s="2"/>
    </row>
    <row r="51" spans="2:10" ht="15" thickBot="1" x14ac:dyDescent="0.35">
      <c r="B51" s="1"/>
      <c r="H51" s="2"/>
      <c r="I51" s="83"/>
      <c r="J51" s="86"/>
    </row>
    <row r="52" spans="2:10" ht="15" thickBot="1" x14ac:dyDescent="0.35">
      <c r="B52" s="235" t="s">
        <v>212</v>
      </c>
      <c r="C52" s="236"/>
      <c r="D52" s="236"/>
      <c r="E52" s="236"/>
      <c r="F52" s="236"/>
      <c r="G52" s="237">
        <f>PRORRATEO!M21</f>
        <v>168000.15</v>
      </c>
      <c r="H52" s="238"/>
      <c r="I52" s="75"/>
      <c r="J52" s="85"/>
    </row>
    <row r="56" spans="2:10" ht="15" thickBot="1" x14ac:dyDescent="0.35"/>
    <row r="57" spans="2:10" ht="15" thickBot="1" x14ac:dyDescent="0.35">
      <c r="B57" s="247" t="s">
        <v>211</v>
      </c>
      <c r="C57" s="248"/>
      <c r="D57" s="248"/>
      <c r="E57" s="248"/>
      <c r="F57" s="248"/>
      <c r="G57" s="248"/>
      <c r="H57" s="249"/>
      <c r="I57" s="73"/>
      <c r="J57" s="74"/>
    </row>
    <row r="58" spans="2:10" ht="15" thickBot="1" x14ac:dyDescent="0.35">
      <c r="B58" s="239" t="s">
        <v>121</v>
      </c>
      <c r="C58" s="240"/>
      <c r="D58" s="240"/>
      <c r="E58" s="240"/>
      <c r="F58" s="240"/>
      <c r="G58" s="240"/>
      <c r="H58" s="241"/>
      <c r="I58" s="1"/>
      <c r="J58" s="2"/>
    </row>
    <row r="59" spans="2:10" x14ac:dyDescent="0.3">
      <c r="B59" s="73" t="s">
        <v>218</v>
      </c>
      <c r="C59" s="84"/>
      <c r="D59" s="84"/>
      <c r="E59" s="84"/>
      <c r="G59" t="s">
        <v>39</v>
      </c>
      <c r="H59" s="2"/>
      <c r="I59" s="1"/>
      <c r="J59" s="2"/>
    </row>
    <row r="60" spans="2:10" x14ac:dyDescent="0.3">
      <c r="B60" s="78" t="s">
        <v>216</v>
      </c>
      <c r="C60" s="76"/>
      <c r="D60" s="76"/>
      <c r="H60" s="2"/>
      <c r="I60" s="1"/>
      <c r="J60" s="2"/>
    </row>
    <row r="61" spans="2:10" x14ac:dyDescent="0.3">
      <c r="B61" s="79"/>
      <c r="C61" s="80"/>
      <c r="D61" s="80"/>
      <c r="E61" s="81"/>
      <c r="F61" s="81"/>
      <c r="G61" s="81"/>
      <c r="H61" s="82"/>
      <c r="I61" s="1"/>
      <c r="J61" s="2"/>
    </row>
    <row r="62" spans="2:10" x14ac:dyDescent="0.3">
      <c r="B62" s="242" t="s">
        <v>214</v>
      </c>
      <c r="C62" s="243"/>
      <c r="D62" s="243"/>
      <c r="E62" s="243"/>
      <c r="F62" s="243"/>
      <c r="G62" s="243"/>
      <c r="H62" s="244"/>
      <c r="I62" s="1"/>
      <c r="J62" s="2"/>
    </row>
    <row r="63" spans="2:10" x14ac:dyDescent="0.3">
      <c r="B63" s="78"/>
      <c r="C63" s="76"/>
      <c r="D63" s="76"/>
      <c r="H63" s="2"/>
      <c r="I63" s="1"/>
      <c r="J63" s="2"/>
    </row>
    <row r="64" spans="2:10" x14ac:dyDescent="0.3">
      <c r="B64" s="1" t="s">
        <v>210</v>
      </c>
      <c r="E64" t="str">
        <f>PRORRATEO!C22</f>
        <v>LASSALLE, Mirta</v>
      </c>
      <c r="H64" s="2"/>
      <c r="I64" s="245" t="s">
        <v>215</v>
      </c>
      <c r="J64" s="246"/>
    </row>
    <row r="65" spans="2:10" x14ac:dyDescent="0.3">
      <c r="B65" s="1" t="s">
        <v>209</v>
      </c>
      <c r="C65" s="76">
        <f>PRORRATEO!B22</f>
        <v>16</v>
      </c>
      <c r="D65" s="77" t="s">
        <v>213</v>
      </c>
      <c r="E65" s="76" t="e">
        <f>PRORRATEO!#REF!</f>
        <v>#REF!</v>
      </c>
      <c r="H65" s="2"/>
      <c r="I65" s="1"/>
      <c r="J65" s="2"/>
    </row>
    <row r="66" spans="2:10" x14ac:dyDescent="0.3">
      <c r="B66" s="1"/>
      <c r="H66" s="2"/>
      <c r="I66" s="245"/>
      <c r="J66" s="246"/>
    </row>
    <row r="67" spans="2:10" x14ac:dyDescent="0.3">
      <c r="B67" s="1"/>
      <c r="H67" s="2"/>
      <c r="I67" s="1"/>
      <c r="J67" s="2"/>
    </row>
    <row r="68" spans="2:10" x14ac:dyDescent="0.3">
      <c r="B68" s="1"/>
      <c r="H68" s="2"/>
      <c r="I68" s="1"/>
      <c r="J68" s="2"/>
    </row>
    <row r="69" spans="2:10" ht="15" thickBot="1" x14ac:dyDescent="0.35">
      <c r="B69" s="1"/>
      <c r="H69" s="2"/>
      <c r="I69" s="83"/>
      <c r="J69" s="86"/>
    </row>
    <row r="70" spans="2:10" ht="15" thickBot="1" x14ac:dyDescent="0.35">
      <c r="B70" s="235" t="s">
        <v>212</v>
      </c>
      <c r="C70" s="236"/>
      <c r="D70" s="236"/>
      <c r="E70" s="236"/>
      <c r="F70" s="236"/>
      <c r="G70" s="237">
        <f>PRORRATEO!M22</f>
        <v>156000.16</v>
      </c>
      <c r="H70" s="238"/>
      <c r="I70" s="75"/>
      <c r="J70" s="85"/>
    </row>
    <row r="74" spans="2:10" ht="15" thickBot="1" x14ac:dyDescent="0.35"/>
    <row r="75" spans="2:10" ht="15" thickBot="1" x14ac:dyDescent="0.35">
      <c r="B75" s="247" t="s">
        <v>211</v>
      </c>
      <c r="C75" s="248"/>
      <c r="D75" s="248"/>
      <c r="E75" s="248"/>
      <c r="F75" s="248"/>
      <c r="G75" s="248"/>
      <c r="H75" s="249"/>
      <c r="I75" s="73"/>
      <c r="J75" s="74"/>
    </row>
    <row r="76" spans="2:10" ht="15" thickBot="1" x14ac:dyDescent="0.35">
      <c r="B76" s="239" t="s">
        <v>121</v>
      </c>
      <c r="C76" s="240"/>
      <c r="D76" s="240"/>
      <c r="E76" s="240"/>
      <c r="F76" s="240"/>
      <c r="G76" s="240"/>
      <c r="H76" s="241"/>
      <c r="I76" s="1"/>
      <c r="J76" s="2"/>
    </row>
    <row r="77" spans="2:10" x14ac:dyDescent="0.3">
      <c r="B77" s="73" t="s">
        <v>218</v>
      </c>
      <c r="C77" s="84"/>
      <c r="D77" s="84"/>
      <c r="E77" s="84"/>
      <c r="G77" t="s">
        <v>39</v>
      </c>
      <c r="H77" s="2"/>
      <c r="I77" s="1"/>
      <c r="J77" s="2"/>
    </row>
    <row r="78" spans="2:10" x14ac:dyDescent="0.3">
      <c r="B78" s="78" t="s">
        <v>216</v>
      </c>
      <c r="C78" s="76"/>
      <c r="D78" s="76"/>
      <c r="H78" s="2"/>
      <c r="I78" s="1"/>
      <c r="J78" s="2"/>
    </row>
    <row r="79" spans="2:10" x14ac:dyDescent="0.3">
      <c r="B79" s="79"/>
      <c r="C79" s="80"/>
      <c r="D79" s="80"/>
      <c r="E79" s="81"/>
      <c r="F79" s="81"/>
      <c r="G79" s="81"/>
      <c r="H79" s="82"/>
      <c r="I79" s="1"/>
      <c r="J79" s="2"/>
    </row>
    <row r="80" spans="2:10" x14ac:dyDescent="0.3">
      <c r="B80" s="242" t="s">
        <v>214</v>
      </c>
      <c r="C80" s="243"/>
      <c r="D80" s="243"/>
      <c r="E80" s="243"/>
      <c r="F80" s="243"/>
      <c r="G80" s="243"/>
      <c r="H80" s="244"/>
      <c r="I80" s="1"/>
      <c r="J80" s="2"/>
    </row>
    <row r="81" spans="2:10" x14ac:dyDescent="0.3">
      <c r="B81" s="78"/>
      <c r="C81" s="76"/>
      <c r="D81" s="76"/>
      <c r="H81" s="2"/>
      <c r="I81" s="1"/>
      <c r="J81" s="2"/>
    </row>
    <row r="82" spans="2:10" x14ac:dyDescent="0.3">
      <c r="B82" s="1" t="s">
        <v>210</v>
      </c>
      <c r="E82" t="str">
        <f>PRORRATEO!C23</f>
        <v>LUCERO, Olga</v>
      </c>
      <c r="H82" s="2"/>
      <c r="I82" s="245" t="s">
        <v>215</v>
      </c>
      <c r="J82" s="246"/>
    </row>
    <row r="83" spans="2:10" x14ac:dyDescent="0.3">
      <c r="B83" s="1" t="s">
        <v>209</v>
      </c>
      <c r="C83" s="76">
        <f>PRORRATEO!B23</f>
        <v>17</v>
      </c>
      <c r="D83" s="77" t="s">
        <v>213</v>
      </c>
      <c r="E83" s="76" t="e">
        <f>PRORRATEO!#REF!</f>
        <v>#REF!</v>
      </c>
      <c r="H83" s="2"/>
      <c r="I83" s="1"/>
      <c r="J83" s="2"/>
    </row>
    <row r="84" spans="2:10" x14ac:dyDescent="0.3">
      <c r="B84" s="1"/>
      <c r="H84" s="2"/>
      <c r="I84" s="245"/>
      <c r="J84" s="246"/>
    </row>
    <row r="85" spans="2:10" x14ac:dyDescent="0.3">
      <c r="B85" s="1"/>
      <c r="H85" s="2"/>
      <c r="I85" s="1"/>
      <c r="J85" s="2"/>
    </row>
    <row r="86" spans="2:10" x14ac:dyDescent="0.3">
      <c r="B86" s="1"/>
      <c r="H86" s="2"/>
      <c r="I86" s="1"/>
      <c r="J86" s="2"/>
    </row>
    <row r="87" spans="2:10" ht="15" thickBot="1" x14ac:dyDescent="0.35">
      <c r="B87" s="1"/>
      <c r="H87" s="2"/>
      <c r="I87" s="83"/>
      <c r="J87" s="86"/>
    </row>
    <row r="88" spans="2:10" ht="15" thickBot="1" x14ac:dyDescent="0.35">
      <c r="B88" s="235" t="s">
        <v>212</v>
      </c>
      <c r="C88" s="236"/>
      <c r="D88" s="236"/>
      <c r="E88" s="236"/>
      <c r="F88" s="236"/>
      <c r="G88" s="237">
        <f>PRORRATEO!M23</f>
        <v>270000.17</v>
      </c>
      <c r="H88" s="238"/>
      <c r="I88" s="75"/>
      <c r="J88" s="85"/>
    </row>
    <row r="92" spans="2:10" ht="169.5" customHeight="1" thickBot="1" x14ac:dyDescent="0.35"/>
    <row r="93" spans="2:10" ht="15" thickBot="1" x14ac:dyDescent="0.35">
      <c r="B93" s="247" t="s">
        <v>211</v>
      </c>
      <c r="C93" s="248"/>
      <c r="D93" s="248"/>
      <c r="E93" s="248"/>
      <c r="F93" s="248"/>
      <c r="G93" s="248"/>
      <c r="H93" s="249"/>
      <c r="I93" s="73"/>
      <c r="J93" s="74"/>
    </row>
    <row r="94" spans="2:10" ht="15" thickBot="1" x14ac:dyDescent="0.35">
      <c r="B94" s="239" t="s">
        <v>121</v>
      </c>
      <c r="C94" s="240"/>
      <c r="D94" s="240"/>
      <c r="E94" s="240"/>
      <c r="F94" s="240"/>
      <c r="G94" s="240"/>
      <c r="H94" s="241"/>
      <c r="I94" s="1"/>
      <c r="J94" s="2"/>
    </row>
    <row r="95" spans="2:10" x14ac:dyDescent="0.3">
      <c r="B95" s="73" t="s">
        <v>218</v>
      </c>
      <c r="C95" s="84"/>
      <c r="D95" s="84"/>
      <c r="E95" s="84"/>
      <c r="G95" t="s">
        <v>39</v>
      </c>
      <c r="H95" s="2"/>
      <c r="I95" s="1"/>
      <c r="J95" s="2"/>
    </row>
    <row r="96" spans="2:10" x14ac:dyDescent="0.3">
      <c r="B96" s="78" t="s">
        <v>216</v>
      </c>
      <c r="C96" s="76"/>
      <c r="D96" s="76"/>
      <c r="H96" s="2"/>
      <c r="I96" s="1"/>
      <c r="J96" s="2"/>
    </row>
    <row r="97" spans="2:10" x14ac:dyDescent="0.3">
      <c r="B97" s="79"/>
      <c r="C97" s="80"/>
      <c r="D97" s="80"/>
      <c r="E97" s="81"/>
      <c r="F97" s="81"/>
      <c r="G97" s="81"/>
      <c r="H97" s="82"/>
      <c r="I97" s="1"/>
      <c r="J97" s="2"/>
    </row>
    <row r="98" spans="2:10" x14ac:dyDescent="0.3">
      <c r="B98" s="242" t="s">
        <v>214</v>
      </c>
      <c r="C98" s="243"/>
      <c r="D98" s="243"/>
      <c r="E98" s="243"/>
      <c r="F98" s="243"/>
      <c r="G98" s="243"/>
      <c r="H98" s="244"/>
      <c r="I98" s="1"/>
      <c r="J98" s="2"/>
    </row>
    <row r="99" spans="2:10" x14ac:dyDescent="0.3">
      <c r="B99" s="78"/>
      <c r="C99" s="76"/>
      <c r="D99" s="76"/>
      <c r="H99" s="2"/>
      <c r="I99" s="1"/>
      <c r="J99" s="2"/>
    </row>
    <row r="100" spans="2:10" x14ac:dyDescent="0.3">
      <c r="B100" s="1" t="s">
        <v>210</v>
      </c>
      <c r="E100" t="str">
        <f>PRORRATEO!C24</f>
        <v>MINOCHIO, Gustavo</v>
      </c>
      <c r="H100" s="2"/>
      <c r="I100" s="245" t="s">
        <v>215</v>
      </c>
      <c r="J100" s="246"/>
    </row>
    <row r="101" spans="2:10" x14ac:dyDescent="0.3">
      <c r="B101" s="1" t="s">
        <v>209</v>
      </c>
      <c r="C101" s="76">
        <f>PRORRATEO!B24</f>
        <v>18</v>
      </c>
      <c r="D101" s="77" t="s">
        <v>213</v>
      </c>
      <c r="E101" s="76" t="e">
        <f>PRORRATEO!#REF!</f>
        <v>#REF!</v>
      </c>
      <c r="H101" s="2"/>
      <c r="I101" s="1"/>
      <c r="J101" s="2"/>
    </row>
    <row r="102" spans="2:10" x14ac:dyDescent="0.3">
      <c r="B102" s="1"/>
      <c r="H102" s="2"/>
      <c r="I102" s="245"/>
      <c r="J102" s="246"/>
    </row>
    <row r="103" spans="2:10" x14ac:dyDescent="0.3">
      <c r="B103" s="1"/>
      <c r="H103" s="2"/>
      <c r="I103" s="1"/>
      <c r="J103" s="2"/>
    </row>
    <row r="104" spans="2:10" x14ac:dyDescent="0.3">
      <c r="B104" s="1"/>
      <c r="H104" s="2"/>
      <c r="I104" s="1"/>
      <c r="J104" s="2"/>
    </row>
    <row r="105" spans="2:10" ht="15" thickBot="1" x14ac:dyDescent="0.35">
      <c r="B105" s="1"/>
      <c r="H105" s="2"/>
      <c r="I105" s="83"/>
      <c r="J105" s="86"/>
    </row>
    <row r="106" spans="2:10" ht="15" thickBot="1" x14ac:dyDescent="0.35">
      <c r="B106" s="235" t="s">
        <v>212</v>
      </c>
      <c r="C106" s="236"/>
      <c r="D106" s="236"/>
      <c r="E106" s="236"/>
      <c r="F106" s="236"/>
      <c r="G106" s="237">
        <f>PRORRATEO!M24</f>
        <v>168000.18</v>
      </c>
      <c r="H106" s="238"/>
      <c r="I106" s="75"/>
      <c r="J106" s="85"/>
    </row>
  </sheetData>
  <mergeCells count="42">
    <mergeCell ref="I10:J10"/>
    <mergeCell ref="I12:J12"/>
    <mergeCell ref="B34:F34"/>
    <mergeCell ref="G34:H34"/>
    <mergeCell ref="B3:H3"/>
    <mergeCell ref="B4:H4"/>
    <mergeCell ref="B8:H8"/>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B57:H57"/>
    <mergeCell ref="B58:H58"/>
    <mergeCell ref="B62:H62"/>
    <mergeCell ref="I64:J64"/>
    <mergeCell ref="I66:J66"/>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4.4" x14ac:dyDescent="0.3"/>
  <cols>
    <col min="1" max="1" width="6.109375" customWidth="1"/>
    <col min="4" max="4" width="8.109375" customWidth="1"/>
    <col min="5" max="5" width="5.109375" customWidth="1"/>
    <col min="6" max="6" width="5.5546875" customWidth="1"/>
    <col min="7" max="7" width="7.5546875" customWidth="1"/>
    <col min="8" max="8" width="8.44140625" customWidth="1"/>
  </cols>
  <sheetData>
    <row r="2" spans="2:10" ht="15" thickBot="1" x14ac:dyDescent="0.35"/>
    <row r="3" spans="2:10" ht="15" thickBot="1" x14ac:dyDescent="0.35">
      <c r="B3" s="247" t="s">
        <v>211</v>
      </c>
      <c r="C3" s="248"/>
      <c r="D3" s="248"/>
      <c r="E3" s="248"/>
      <c r="F3" s="248"/>
      <c r="G3" s="248"/>
      <c r="H3" s="249"/>
      <c r="I3" s="73"/>
      <c r="J3" s="74"/>
    </row>
    <row r="4" spans="2:10" ht="15" thickBot="1" x14ac:dyDescent="0.35">
      <c r="B4" s="239" t="s">
        <v>121</v>
      </c>
      <c r="C4" s="240"/>
      <c r="D4" s="240"/>
      <c r="E4" s="240"/>
      <c r="F4" s="240"/>
      <c r="G4" s="240"/>
      <c r="H4" s="241"/>
      <c r="I4" s="1"/>
      <c r="J4" s="2"/>
    </row>
    <row r="5" spans="2:10" x14ac:dyDescent="0.3">
      <c r="B5" s="73" t="s">
        <v>218</v>
      </c>
      <c r="C5" s="84"/>
      <c r="D5" s="84"/>
      <c r="E5" s="84"/>
      <c r="G5" t="s">
        <v>39</v>
      </c>
      <c r="H5" s="2"/>
      <c r="I5" s="1"/>
      <c r="J5" s="2"/>
    </row>
    <row r="6" spans="2:10" x14ac:dyDescent="0.3">
      <c r="B6" s="78" t="s">
        <v>216</v>
      </c>
      <c r="C6" s="76"/>
      <c r="D6" s="76"/>
      <c r="H6" s="2"/>
      <c r="I6" s="1"/>
      <c r="J6" s="2"/>
    </row>
    <row r="7" spans="2:10" x14ac:dyDescent="0.3">
      <c r="B7" s="79"/>
      <c r="C7" s="80"/>
      <c r="D7" s="80"/>
      <c r="E7" s="81"/>
      <c r="F7" s="81"/>
      <c r="G7" s="81"/>
      <c r="H7" s="82"/>
      <c r="I7" s="1"/>
      <c r="J7" s="2"/>
    </row>
    <row r="8" spans="2:10" x14ac:dyDescent="0.3">
      <c r="B8" s="242" t="s">
        <v>214</v>
      </c>
      <c r="C8" s="243"/>
      <c r="D8" s="243"/>
      <c r="E8" s="243"/>
      <c r="F8" s="243"/>
      <c r="G8" s="243"/>
      <c r="H8" s="244"/>
      <c r="I8" s="1"/>
      <c r="J8" s="2"/>
    </row>
    <row r="9" spans="2:10" x14ac:dyDescent="0.3">
      <c r="B9" s="78"/>
      <c r="C9" s="76"/>
      <c r="D9" s="76"/>
      <c r="H9" s="2"/>
      <c r="I9" s="1"/>
      <c r="J9" s="2"/>
    </row>
    <row r="10" spans="2:10" x14ac:dyDescent="0.3">
      <c r="B10" s="1" t="s">
        <v>210</v>
      </c>
      <c r="E10" t="str">
        <f>PRORRATEO!C25</f>
        <v>VERA, Ricardo</v>
      </c>
      <c r="H10" s="2"/>
      <c r="I10" s="245" t="s">
        <v>215</v>
      </c>
      <c r="J10" s="246"/>
    </row>
    <row r="11" spans="2:10" x14ac:dyDescent="0.3">
      <c r="B11" s="1" t="s">
        <v>209</v>
      </c>
      <c r="C11" s="76">
        <f>PRORRATEO!B25</f>
        <v>19</v>
      </c>
      <c r="D11" s="77" t="s">
        <v>213</v>
      </c>
      <c r="E11" s="76" t="e">
        <f>PRORRATEO!#REF!</f>
        <v>#REF!</v>
      </c>
      <c r="H11" s="2"/>
      <c r="I11" s="1"/>
      <c r="J11" s="2"/>
    </row>
    <row r="12" spans="2:10" x14ac:dyDescent="0.3">
      <c r="B12" s="1"/>
      <c r="H12" s="2"/>
      <c r="I12" s="245"/>
      <c r="J12" s="246"/>
    </row>
    <row r="13" spans="2:10" x14ac:dyDescent="0.3">
      <c r="B13" s="1"/>
      <c r="H13" s="2"/>
      <c r="I13" s="1"/>
      <c r="J13" s="2"/>
    </row>
    <row r="14" spans="2:10" x14ac:dyDescent="0.3">
      <c r="B14" s="1"/>
      <c r="H14" s="2"/>
      <c r="I14" s="1"/>
      <c r="J14" s="2"/>
    </row>
    <row r="15" spans="2:10" ht="15" thickBot="1" x14ac:dyDescent="0.35">
      <c r="B15" s="1"/>
      <c r="H15" s="2"/>
      <c r="I15" s="83"/>
      <c r="J15" s="86"/>
    </row>
    <row r="16" spans="2:10" ht="15" thickBot="1" x14ac:dyDescent="0.35">
      <c r="B16" s="235" t="s">
        <v>212</v>
      </c>
      <c r="C16" s="236"/>
      <c r="D16" s="236"/>
      <c r="E16" s="236"/>
      <c r="F16" s="236"/>
      <c r="G16" s="237">
        <f>PRORRATEO!M25</f>
        <v>168000.19</v>
      </c>
      <c r="H16" s="238"/>
      <c r="I16" s="75"/>
      <c r="J16" s="85"/>
    </row>
    <row r="20" spans="2:10" ht="15" thickBot="1" x14ac:dyDescent="0.35"/>
    <row r="21" spans="2:10" ht="15" thickBot="1" x14ac:dyDescent="0.35">
      <c r="B21" s="247" t="s">
        <v>211</v>
      </c>
      <c r="C21" s="248"/>
      <c r="D21" s="248"/>
      <c r="E21" s="248"/>
      <c r="F21" s="248"/>
      <c r="G21" s="248"/>
      <c r="H21" s="249"/>
      <c r="I21" s="73"/>
      <c r="J21" s="74"/>
    </row>
    <row r="22" spans="2:10" ht="15" thickBot="1" x14ac:dyDescent="0.35">
      <c r="B22" s="239" t="s">
        <v>121</v>
      </c>
      <c r="C22" s="240"/>
      <c r="D22" s="240"/>
      <c r="E22" s="240"/>
      <c r="F22" s="240"/>
      <c r="G22" s="240"/>
      <c r="H22" s="241"/>
      <c r="I22" s="1"/>
      <c r="J22" s="2"/>
    </row>
    <row r="23" spans="2:10" x14ac:dyDescent="0.3">
      <c r="B23" s="73" t="s">
        <v>218</v>
      </c>
      <c r="C23" s="84"/>
      <c r="D23" s="84"/>
      <c r="E23" s="84"/>
      <c r="G23" t="s">
        <v>39</v>
      </c>
      <c r="H23" s="2"/>
      <c r="I23" s="1"/>
      <c r="J23" s="2"/>
    </row>
    <row r="24" spans="2:10" x14ac:dyDescent="0.3">
      <c r="B24" s="78" t="s">
        <v>216</v>
      </c>
      <c r="C24" s="76"/>
      <c r="D24" s="76"/>
      <c r="H24" s="2"/>
      <c r="I24" s="1"/>
      <c r="J24" s="2"/>
    </row>
    <row r="25" spans="2:10" x14ac:dyDescent="0.3">
      <c r="B25" s="79"/>
      <c r="C25" s="80"/>
      <c r="D25" s="80"/>
      <c r="E25" s="81"/>
      <c r="F25" s="81"/>
      <c r="G25" s="81"/>
      <c r="H25" s="82"/>
      <c r="I25" s="1"/>
      <c r="J25" s="2"/>
    </row>
    <row r="26" spans="2:10" x14ac:dyDescent="0.3">
      <c r="B26" s="242" t="s">
        <v>214</v>
      </c>
      <c r="C26" s="243"/>
      <c r="D26" s="243"/>
      <c r="E26" s="243"/>
      <c r="F26" s="243"/>
      <c r="G26" s="243"/>
      <c r="H26" s="244"/>
      <c r="I26" s="1"/>
      <c r="J26" s="2"/>
    </row>
    <row r="27" spans="2:10" x14ac:dyDescent="0.3">
      <c r="B27" s="78"/>
      <c r="C27" s="76"/>
      <c r="D27" s="76"/>
      <c r="H27" s="2"/>
      <c r="I27" s="1"/>
      <c r="J27" s="2"/>
    </row>
    <row r="28" spans="2:10" x14ac:dyDescent="0.3">
      <c r="B28" s="1" t="s">
        <v>210</v>
      </c>
      <c r="E28" t="str">
        <f>PRORRATEO!C26</f>
        <v>HUINCA HUEMUL S.A.</v>
      </c>
      <c r="H28" s="2"/>
      <c r="I28" s="245" t="s">
        <v>215</v>
      </c>
      <c r="J28" s="246"/>
    </row>
    <row r="29" spans="2:10" x14ac:dyDescent="0.3">
      <c r="B29" s="1" t="s">
        <v>209</v>
      </c>
      <c r="C29" s="76">
        <f>PRORRATEO!B26</f>
        <v>20</v>
      </c>
      <c r="D29" s="77" t="s">
        <v>213</v>
      </c>
      <c r="E29" s="76" t="e">
        <f>PRORRATEO!#REF!</f>
        <v>#REF!</v>
      </c>
      <c r="H29" s="2"/>
      <c r="I29" s="1"/>
      <c r="J29" s="2"/>
    </row>
    <row r="30" spans="2:10" x14ac:dyDescent="0.3">
      <c r="B30" s="1"/>
      <c r="H30" s="2"/>
      <c r="I30" s="245"/>
      <c r="J30" s="246"/>
    </row>
    <row r="31" spans="2:10" x14ac:dyDescent="0.3">
      <c r="B31" s="1"/>
      <c r="H31" s="2"/>
      <c r="I31" s="1"/>
      <c r="J31" s="2"/>
    </row>
    <row r="32" spans="2:10" x14ac:dyDescent="0.3">
      <c r="B32" s="1"/>
      <c r="H32" s="2"/>
      <c r="I32" s="1"/>
      <c r="J32" s="2"/>
    </row>
    <row r="33" spans="2:10" ht="15" thickBot="1" x14ac:dyDescent="0.35">
      <c r="B33" s="1"/>
      <c r="H33" s="2"/>
      <c r="I33" s="83"/>
      <c r="J33" s="86"/>
    </row>
    <row r="34" spans="2:10" ht="15" thickBot="1" x14ac:dyDescent="0.35">
      <c r="B34" s="235" t="s">
        <v>212</v>
      </c>
      <c r="C34" s="236"/>
      <c r="D34" s="236"/>
      <c r="E34" s="236"/>
      <c r="F34" s="236"/>
      <c r="G34" s="237">
        <f>PRORRATEO!M26</f>
        <v>216300.2</v>
      </c>
      <c r="H34" s="238"/>
      <c r="I34" s="75"/>
      <c r="J34" s="85"/>
    </row>
    <row r="35" spans="2:10" ht="15" thickBot="1" x14ac:dyDescent="0.35"/>
    <row r="36" spans="2:10" ht="15" hidden="1" thickBot="1" x14ac:dyDescent="0.35"/>
    <row r="37" spans="2:10" ht="15" hidden="1" thickBot="1" x14ac:dyDescent="0.35"/>
    <row r="38" spans="2:10" ht="15" thickBot="1" x14ac:dyDescent="0.35">
      <c r="B38" s="247" t="s">
        <v>211</v>
      </c>
      <c r="C38" s="248"/>
      <c r="D38" s="248"/>
      <c r="E38" s="248"/>
      <c r="F38" s="248"/>
      <c r="G38" s="248"/>
      <c r="H38" s="249"/>
      <c r="I38" s="73"/>
      <c r="J38" s="74"/>
    </row>
    <row r="39" spans="2:10" ht="15" thickBot="1" x14ac:dyDescent="0.35">
      <c r="B39" s="239" t="s">
        <v>121</v>
      </c>
      <c r="C39" s="240"/>
      <c r="D39" s="240"/>
      <c r="E39" s="240"/>
      <c r="F39" s="240"/>
      <c r="G39" s="240"/>
      <c r="H39" s="241"/>
      <c r="I39" s="1"/>
      <c r="J39" s="2"/>
    </row>
    <row r="40" spans="2:10" x14ac:dyDescent="0.3">
      <c r="B40" s="73" t="s">
        <v>218</v>
      </c>
      <c r="C40" s="84"/>
      <c r="D40" s="84"/>
      <c r="E40" s="84"/>
      <c r="G40" t="s">
        <v>39</v>
      </c>
      <c r="H40" s="2"/>
      <c r="I40" s="1"/>
      <c r="J40" s="2"/>
    </row>
    <row r="41" spans="2:10" x14ac:dyDescent="0.3">
      <c r="B41" s="78" t="s">
        <v>216</v>
      </c>
      <c r="C41" s="76"/>
      <c r="D41" s="76"/>
      <c r="H41" s="2"/>
      <c r="I41" s="1"/>
      <c r="J41" s="2"/>
    </row>
    <row r="42" spans="2:10" x14ac:dyDescent="0.3">
      <c r="B42" s="79"/>
      <c r="C42" s="80"/>
      <c r="D42" s="80"/>
      <c r="E42" s="81"/>
      <c r="F42" s="81"/>
      <c r="G42" s="81"/>
      <c r="H42" s="82"/>
      <c r="I42" s="1"/>
      <c r="J42" s="2"/>
    </row>
    <row r="43" spans="2:10" x14ac:dyDescent="0.3">
      <c r="B43" s="242" t="s">
        <v>214</v>
      </c>
      <c r="C43" s="243"/>
      <c r="D43" s="243"/>
      <c r="E43" s="243"/>
      <c r="F43" s="243"/>
      <c r="G43" s="243"/>
      <c r="H43" s="244"/>
      <c r="I43" s="1"/>
      <c r="J43" s="2"/>
    </row>
    <row r="44" spans="2:10" x14ac:dyDescent="0.3">
      <c r="B44" s="78"/>
      <c r="C44" s="76"/>
      <c r="D44" s="76"/>
      <c r="H44" s="2"/>
      <c r="I44" s="1"/>
      <c r="J44" s="2"/>
    </row>
    <row r="45" spans="2:10" x14ac:dyDescent="0.3">
      <c r="B45" s="1" t="s">
        <v>210</v>
      </c>
      <c r="E45" t="str">
        <f>PRORRATEO!C27</f>
        <v>QUIROGA, Karina</v>
      </c>
      <c r="H45" s="2"/>
      <c r="I45" s="245" t="s">
        <v>215</v>
      </c>
      <c r="J45" s="246"/>
    </row>
    <row r="46" spans="2:10" x14ac:dyDescent="0.3">
      <c r="B46" s="1" t="s">
        <v>209</v>
      </c>
      <c r="C46" s="76">
        <f>PRORRATEO!B27</f>
        <v>21</v>
      </c>
      <c r="D46" s="77" t="s">
        <v>213</v>
      </c>
      <c r="E46" s="76" t="e">
        <f>PRORRATEO!#REF!</f>
        <v>#REF!</v>
      </c>
      <c r="H46" s="2"/>
      <c r="I46" s="1"/>
      <c r="J46" s="2"/>
    </row>
    <row r="47" spans="2:10" x14ac:dyDescent="0.3">
      <c r="B47" s="1"/>
      <c r="H47" s="2"/>
      <c r="I47" s="245"/>
      <c r="J47" s="246"/>
    </row>
    <row r="48" spans="2:10" x14ac:dyDescent="0.3">
      <c r="B48" s="1"/>
      <c r="H48" s="2"/>
      <c r="I48" s="1"/>
      <c r="J48" s="2"/>
    </row>
    <row r="49" spans="2:10" x14ac:dyDescent="0.3">
      <c r="B49" s="1"/>
      <c r="H49" s="2"/>
      <c r="I49" s="1"/>
      <c r="J49" s="2"/>
    </row>
    <row r="50" spans="2:10" ht="15" thickBot="1" x14ac:dyDescent="0.35">
      <c r="B50" s="1"/>
      <c r="H50" s="2"/>
      <c r="I50" s="83"/>
      <c r="J50" s="86"/>
    </row>
    <row r="51" spans="2:10" ht="15" thickBot="1" x14ac:dyDescent="0.35">
      <c r="B51" s="235" t="s">
        <v>212</v>
      </c>
      <c r="C51" s="236"/>
      <c r="D51" s="236"/>
      <c r="E51" s="236"/>
      <c r="F51" s="236"/>
      <c r="G51" s="237">
        <f>PRORRATEO!M27</f>
        <v>180000.21</v>
      </c>
      <c r="H51" s="238"/>
      <c r="I51" s="75"/>
      <c r="J51" s="85"/>
    </row>
    <row r="56" spans="2:10" ht="15" thickBot="1" x14ac:dyDescent="0.35"/>
    <row r="57" spans="2:10" ht="15" thickBot="1" x14ac:dyDescent="0.35">
      <c r="B57" s="247" t="s">
        <v>211</v>
      </c>
      <c r="C57" s="248"/>
      <c r="D57" s="248"/>
      <c r="E57" s="248"/>
      <c r="F57" s="248"/>
      <c r="G57" s="248"/>
      <c r="H57" s="249"/>
      <c r="I57" s="73"/>
      <c r="J57" s="74"/>
    </row>
    <row r="58" spans="2:10" ht="15" thickBot="1" x14ac:dyDescent="0.35">
      <c r="B58" s="239" t="s">
        <v>121</v>
      </c>
      <c r="C58" s="240"/>
      <c r="D58" s="240"/>
      <c r="E58" s="240"/>
      <c r="F58" s="240"/>
      <c r="G58" s="240"/>
      <c r="H58" s="241"/>
      <c r="I58" s="1"/>
      <c r="J58" s="2"/>
    </row>
    <row r="59" spans="2:10" x14ac:dyDescent="0.3">
      <c r="B59" s="73" t="s">
        <v>218</v>
      </c>
      <c r="C59" s="84"/>
      <c r="D59" s="84"/>
      <c r="E59" s="84"/>
      <c r="G59" t="s">
        <v>39</v>
      </c>
      <c r="H59" s="2"/>
      <c r="I59" s="1"/>
      <c r="J59" s="2"/>
    </row>
    <row r="60" spans="2:10" x14ac:dyDescent="0.3">
      <c r="B60" s="78" t="s">
        <v>216</v>
      </c>
      <c r="C60" s="76"/>
      <c r="D60" s="76"/>
      <c r="H60" s="2"/>
      <c r="I60" s="1"/>
      <c r="J60" s="2"/>
    </row>
    <row r="61" spans="2:10" x14ac:dyDescent="0.3">
      <c r="B61" s="79"/>
      <c r="C61" s="80"/>
      <c r="D61" s="80"/>
      <c r="E61" s="81"/>
      <c r="F61" s="81"/>
      <c r="G61" s="81"/>
      <c r="H61" s="82"/>
      <c r="I61" s="1"/>
      <c r="J61" s="2"/>
    </row>
    <row r="62" spans="2:10" x14ac:dyDescent="0.3">
      <c r="B62" s="242" t="s">
        <v>214</v>
      </c>
      <c r="C62" s="243"/>
      <c r="D62" s="243"/>
      <c r="E62" s="243"/>
      <c r="F62" s="243"/>
      <c r="G62" s="243"/>
      <c r="H62" s="244"/>
      <c r="I62" s="1"/>
      <c r="J62" s="2"/>
    </row>
    <row r="63" spans="2:10" x14ac:dyDescent="0.3">
      <c r="B63" s="78"/>
      <c r="C63" s="76"/>
      <c r="D63" s="76"/>
      <c r="H63" s="2"/>
      <c r="I63" s="1"/>
      <c r="J63" s="2"/>
    </row>
    <row r="64" spans="2:10" x14ac:dyDescent="0.3">
      <c r="B64" s="1" t="s">
        <v>210</v>
      </c>
      <c r="E64" t="str">
        <f>PRORRATEO!C28</f>
        <v>QUIROGA, Karina</v>
      </c>
      <c r="H64" s="2"/>
      <c r="I64" s="245" t="s">
        <v>215</v>
      </c>
      <c r="J64" s="246"/>
    </row>
    <row r="65" spans="2:10" x14ac:dyDescent="0.3">
      <c r="B65" s="1" t="s">
        <v>209</v>
      </c>
      <c r="C65" s="76">
        <f>PRORRATEO!B28</f>
        <v>22</v>
      </c>
      <c r="D65" s="77" t="s">
        <v>213</v>
      </c>
      <c r="E65" s="76" t="e">
        <f>PRORRATEO!#REF!</f>
        <v>#REF!</v>
      </c>
      <c r="H65" s="2"/>
      <c r="I65" s="1"/>
      <c r="J65" s="2"/>
    </row>
    <row r="66" spans="2:10" x14ac:dyDescent="0.3">
      <c r="B66" s="1"/>
      <c r="H66" s="2"/>
      <c r="I66" s="245"/>
      <c r="J66" s="246"/>
    </row>
    <row r="67" spans="2:10" x14ac:dyDescent="0.3">
      <c r="B67" s="1"/>
      <c r="H67" s="2"/>
      <c r="I67" s="1"/>
      <c r="J67" s="2"/>
    </row>
    <row r="68" spans="2:10" x14ac:dyDescent="0.3">
      <c r="B68" s="1"/>
      <c r="H68" s="2"/>
      <c r="I68" s="1"/>
      <c r="J68" s="2"/>
    </row>
    <row r="69" spans="2:10" ht="15" thickBot="1" x14ac:dyDescent="0.35">
      <c r="B69" s="1"/>
      <c r="H69" s="2"/>
      <c r="I69" s="83"/>
      <c r="J69" s="86"/>
    </row>
    <row r="70" spans="2:10" ht="15" thickBot="1" x14ac:dyDescent="0.35">
      <c r="B70" s="235" t="s">
        <v>212</v>
      </c>
      <c r="C70" s="236"/>
      <c r="D70" s="236"/>
      <c r="E70" s="236"/>
      <c r="F70" s="236"/>
      <c r="G70" s="237">
        <f>PRORRATEO!M28</f>
        <v>246000.22</v>
      </c>
      <c r="H70" s="238"/>
      <c r="I70" s="75"/>
      <c r="J70" s="85"/>
    </row>
    <row r="73" spans="2:10" ht="15" thickBot="1" x14ac:dyDescent="0.35"/>
    <row r="74" spans="2:10" ht="15" thickBot="1" x14ac:dyDescent="0.35">
      <c r="B74" s="247" t="s">
        <v>211</v>
      </c>
      <c r="C74" s="248"/>
      <c r="D74" s="248"/>
      <c r="E74" s="248"/>
      <c r="F74" s="248"/>
      <c r="G74" s="248"/>
      <c r="H74" s="249"/>
      <c r="I74" s="73"/>
      <c r="J74" s="74"/>
    </row>
    <row r="75" spans="2:10" ht="15" thickBot="1" x14ac:dyDescent="0.35">
      <c r="B75" s="239" t="s">
        <v>121</v>
      </c>
      <c r="C75" s="240"/>
      <c r="D75" s="240"/>
      <c r="E75" s="240"/>
      <c r="F75" s="240"/>
      <c r="G75" s="240"/>
      <c r="H75" s="241"/>
      <c r="I75" s="1"/>
      <c r="J75" s="2"/>
    </row>
    <row r="76" spans="2:10" x14ac:dyDescent="0.3">
      <c r="B76" s="73" t="s">
        <v>218</v>
      </c>
      <c r="C76" s="84"/>
      <c r="D76" s="84"/>
      <c r="E76" s="84"/>
      <c r="G76" t="s">
        <v>39</v>
      </c>
      <c r="H76" s="2"/>
      <c r="I76" s="1"/>
      <c r="J76" s="2"/>
    </row>
    <row r="77" spans="2:10" x14ac:dyDescent="0.3">
      <c r="B77" s="78" t="s">
        <v>216</v>
      </c>
      <c r="C77" s="76"/>
      <c r="D77" s="76"/>
      <c r="H77" s="2"/>
      <c r="I77" s="1"/>
      <c r="J77" s="2"/>
    </row>
    <row r="78" spans="2:10" x14ac:dyDescent="0.3">
      <c r="B78" s="79"/>
      <c r="C78" s="80"/>
      <c r="D78" s="80"/>
      <c r="E78" s="81"/>
      <c r="F78" s="81"/>
      <c r="G78" s="81"/>
      <c r="H78" s="82"/>
      <c r="I78" s="1"/>
      <c r="J78" s="2"/>
    </row>
    <row r="79" spans="2:10" x14ac:dyDescent="0.3">
      <c r="B79" s="242" t="s">
        <v>214</v>
      </c>
      <c r="C79" s="243"/>
      <c r="D79" s="243"/>
      <c r="E79" s="243"/>
      <c r="F79" s="243"/>
      <c r="G79" s="243"/>
      <c r="H79" s="244"/>
      <c r="I79" s="1"/>
      <c r="J79" s="2"/>
    </row>
    <row r="80" spans="2:10" x14ac:dyDescent="0.3">
      <c r="B80" s="78"/>
      <c r="C80" s="76"/>
      <c r="D80" s="76"/>
      <c r="H80" s="2"/>
      <c r="I80" s="1"/>
      <c r="J80" s="2"/>
    </row>
    <row r="81" spans="2:10" x14ac:dyDescent="0.3">
      <c r="B81" s="1" t="s">
        <v>210</v>
      </c>
      <c r="E81" t="str">
        <f>PRORRATEO!C29</f>
        <v>SALAZAR, Javier</v>
      </c>
      <c r="H81" s="2"/>
      <c r="I81" s="245" t="s">
        <v>215</v>
      </c>
      <c r="J81" s="246"/>
    </row>
    <row r="82" spans="2:10" x14ac:dyDescent="0.3">
      <c r="B82" s="1" t="s">
        <v>209</v>
      </c>
      <c r="C82" s="76">
        <f>PRORRATEO!B29</f>
        <v>23</v>
      </c>
      <c r="D82" s="77" t="s">
        <v>213</v>
      </c>
      <c r="E82" s="76" t="e">
        <f>PRORRATEO!#REF!</f>
        <v>#REF!</v>
      </c>
      <c r="H82" s="2"/>
      <c r="I82" s="1"/>
      <c r="J82" s="2"/>
    </row>
    <row r="83" spans="2:10" x14ac:dyDescent="0.3">
      <c r="B83" s="1"/>
      <c r="H83" s="2"/>
      <c r="I83" s="245"/>
      <c r="J83" s="246"/>
    </row>
    <row r="84" spans="2:10" x14ac:dyDescent="0.3">
      <c r="B84" s="1"/>
      <c r="H84" s="2"/>
      <c r="I84" s="1"/>
      <c r="J84" s="2"/>
    </row>
    <row r="85" spans="2:10" x14ac:dyDescent="0.3">
      <c r="B85" s="1"/>
      <c r="H85" s="2"/>
      <c r="I85" s="1"/>
      <c r="J85" s="2"/>
    </row>
    <row r="86" spans="2:10" ht="15" thickBot="1" x14ac:dyDescent="0.35">
      <c r="B86" s="1"/>
      <c r="H86" s="2"/>
      <c r="I86" s="83"/>
      <c r="J86" s="86"/>
    </row>
    <row r="87" spans="2:10" ht="15" thickBot="1" x14ac:dyDescent="0.35">
      <c r="B87" s="235" t="s">
        <v>212</v>
      </c>
      <c r="C87" s="236"/>
      <c r="D87" s="236"/>
      <c r="E87" s="236"/>
      <c r="F87" s="236"/>
      <c r="G87" s="237">
        <f>PRORRATEO!M29</f>
        <v>393917.23</v>
      </c>
      <c r="H87" s="238"/>
      <c r="I87" s="75"/>
      <c r="J87" s="85"/>
    </row>
    <row r="90" spans="2:10" ht="213.75" customHeight="1" thickBot="1" x14ac:dyDescent="0.35"/>
    <row r="91" spans="2:10" ht="15" thickBot="1" x14ac:dyDescent="0.35">
      <c r="B91" s="247" t="s">
        <v>211</v>
      </c>
      <c r="C91" s="248"/>
      <c r="D91" s="248"/>
      <c r="E91" s="248"/>
      <c r="F91" s="248"/>
      <c r="G91" s="248"/>
      <c r="H91" s="249"/>
      <c r="I91" s="73"/>
      <c r="J91" s="74"/>
    </row>
    <row r="92" spans="2:10" ht="15" thickBot="1" x14ac:dyDescent="0.35">
      <c r="B92" s="239" t="s">
        <v>121</v>
      </c>
      <c r="C92" s="240"/>
      <c r="D92" s="240"/>
      <c r="E92" s="240"/>
      <c r="F92" s="240"/>
      <c r="G92" s="240"/>
      <c r="H92" s="241"/>
      <c r="I92" s="1"/>
      <c r="J92" s="2"/>
    </row>
    <row r="93" spans="2:10" x14ac:dyDescent="0.3">
      <c r="B93" s="73" t="s">
        <v>218</v>
      </c>
      <c r="C93" s="84"/>
      <c r="D93" s="84"/>
      <c r="E93" s="84"/>
      <c r="G93" t="s">
        <v>39</v>
      </c>
      <c r="H93" s="2"/>
      <c r="I93" s="1"/>
      <c r="J93" s="2"/>
    </row>
    <row r="94" spans="2:10" x14ac:dyDescent="0.3">
      <c r="B94" s="78" t="s">
        <v>216</v>
      </c>
      <c r="C94" s="76"/>
      <c r="D94" s="76"/>
      <c r="H94" s="2"/>
      <c r="I94" s="1"/>
      <c r="J94" s="2"/>
    </row>
    <row r="95" spans="2:10" x14ac:dyDescent="0.3">
      <c r="B95" s="79"/>
      <c r="C95" s="80"/>
      <c r="D95" s="80"/>
      <c r="E95" s="81"/>
      <c r="F95" s="81"/>
      <c r="G95" s="81"/>
      <c r="H95" s="82"/>
      <c r="I95" s="1"/>
      <c r="J95" s="2"/>
    </row>
    <row r="96" spans="2:10" x14ac:dyDescent="0.3">
      <c r="B96" s="242" t="s">
        <v>214</v>
      </c>
      <c r="C96" s="243"/>
      <c r="D96" s="243"/>
      <c r="E96" s="243"/>
      <c r="F96" s="243"/>
      <c r="G96" s="243"/>
      <c r="H96" s="244"/>
      <c r="I96" s="1"/>
      <c r="J96" s="2"/>
    </row>
    <row r="97" spans="2:10" x14ac:dyDescent="0.3">
      <c r="B97" s="78"/>
      <c r="C97" s="76"/>
      <c r="D97" s="76"/>
      <c r="H97" s="2"/>
      <c r="I97" s="1"/>
      <c r="J97" s="2"/>
    </row>
    <row r="98" spans="2:10" x14ac:dyDescent="0.3">
      <c r="B98" s="1" t="s">
        <v>210</v>
      </c>
      <c r="E98" t="str">
        <f>PRORRATEO!C30</f>
        <v>QUIROGA, Karina</v>
      </c>
      <c r="H98" s="2"/>
      <c r="I98" s="245" t="s">
        <v>215</v>
      </c>
      <c r="J98" s="246"/>
    </row>
    <row r="99" spans="2:10" x14ac:dyDescent="0.3">
      <c r="B99" s="1" t="s">
        <v>209</v>
      </c>
      <c r="C99" s="76">
        <f>PRORRATEO!B30</f>
        <v>24</v>
      </c>
      <c r="D99" s="77" t="s">
        <v>213</v>
      </c>
      <c r="E99" s="76" t="e">
        <f>PRORRATEO!#REF!</f>
        <v>#REF!</v>
      </c>
      <c r="H99" s="2"/>
      <c r="I99" s="1"/>
      <c r="J99" s="2"/>
    </row>
    <row r="100" spans="2:10" x14ac:dyDescent="0.3">
      <c r="B100" s="1"/>
      <c r="H100" s="2"/>
      <c r="I100" s="245"/>
      <c r="J100" s="246"/>
    </row>
    <row r="101" spans="2:10" x14ac:dyDescent="0.3">
      <c r="B101" s="1"/>
      <c r="H101" s="2"/>
      <c r="I101" s="1"/>
      <c r="J101" s="2"/>
    </row>
    <row r="102" spans="2:10" x14ac:dyDescent="0.3">
      <c r="B102" s="1"/>
      <c r="H102" s="2"/>
      <c r="I102" s="1"/>
      <c r="J102" s="2"/>
    </row>
    <row r="103" spans="2:10" ht="15" thickBot="1" x14ac:dyDescent="0.35">
      <c r="B103" s="1"/>
      <c r="H103" s="2"/>
      <c r="I103" s="83"/>
      <c r="J103" s="86"/>
    </row>
    <row r="104" spans="2:10" ht="15" thickBot="1" x14ac:dyDescent="0.35">
      <c r="B104" s="235" t="s">
        <v>212</v>
      </c>
      <c r="C104" s="236"/>
      <c r="D104" s="236"/>
      <c r="E104" s="236"/>
      <c r="F104" s="236"/>
      <c r="G104" s="237">
        <f>PRORRATEO!M30</f>
        <v>354000.24</v>
      </c>
      <c r="H104" s="238"/>
      <c r="I104" s="75"/>
      <c r="J104" s="85"/>
    </row>
  </sheetData>
  <mergeCells count="42">
    <mergeCell ref="I10:J10"/>
    <mergeCell ref="I12:J12"/>
    <mergeCell ref="B34:F34"/>
    <mergeCell ref="G34:H34"/>
    <mergeCell ref="B3:H3"/>
    <mergeCell ref="B4:H4"/>
    <mergeCell ref="B8:H8"/>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7:H57"/>
    <mergeCell ref="B58:H58"/>
    <mergeCell ref="B62:H62"/>
    <mergeCell ref="I64:J64"/>
    <mergeCell ref="I66:J66"/>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4.4" x14ac:dyDescent="0.3"/>
  <cols>
    <col min="1" max="1" width="5" customWidth="1"/>
    <col min="3" max="3" width="7.33203125" customWidth="1"/>
    <col min="5" max="5" width="6.109375" customWidth="1"/>
    <col min="6" max="6" width="5.33203125" customWidth="1"/>
    <col min="7" max="7" width="8.6640625" customWidth="1"/>
    <col min="8" max="8" width="7.6640625" customWidth="1"/>
  </cols>
  <sheetData>
    <row r="3" spans="2:10" ht="15" thickBot="1" x14ac:dyDescent="0.35"/>
    <row r="4" spans="2:10" ht="15" thickBot="1" x14ac:dyDescent="0.35">
      <c r="B4" s="247" t="s">
        <v>211</v>
      </c>
      <c r="C4" s="248"/>
      <c r="D4" s="248"/>
      <c r="E4" s="248"/>
      <c r="F4" s="248"/>
      <c r="G4" s="248"/>
      <c r="H4" s="249"/>
      <c r="I4" s="73"/>
      <c r="J4" s="74"/>
    </row>
    <row r="5" spans="2:10" ht="15" thickBot="1" x14ac:dyDescent="0.35">
      <c r="B5" s="239" t="s">
        <v>121</v>
      </c>
      <c r="C5" s="240"/>
      <c r="D5" s="240"/>
      <c r="E5" s="240"/>
      <c r="F5" s="240"/>
      <c r="G5" s="240"/>
      <c r="H5" s="241"/>
      <c r="I5" s="1"/>
      <c r="J5" s="2"/>
    </row>
    <row r="6" spans="2:10" x14ac:dyDescent="0.3">
      <c r="B6" s="73" t="s">
        <v>218</v>
      </c>
      <c r="C6" s="84"/>
      <c r="D6" s="84"/>
      <c r="E6" s="84"/>
      <c r="G6" t="s">
        <v>39</v>
      </c>
      <c r="H6" s="2"/>
      <c r="I6" s="1"/>
      <c r="J6" s="2"/>
    </row>
    <row r="7" spans="2:10" x14ac:dyDescent="0.3">
      <c r="B7" s="78" t="s">
        <v>216</v>
      </c>
      <c r="C7" s="76"/>
      <c r="D7" s="76"/>
      <c r="H7" s="2"/>
      <c r="I7" s="1"/>
      <c r="J7" s="2"/>
    </row>
    <row r="8" spans="2:10" x14ac:dyDescent="0.3">
      <c r="B8" s="79"/>
      <c r="C8" s="80"/>
      <c r="D8" s="80"/>
      <c r="E8" s="81"/>
      <c r="F8" s="81"/>
      <c r="G8" s="81"/>
      <c r="H8" s="82"/>
      <c r="I8" s="1"/>
      <c r="J8" s="2"/>
    </row>
    <row r="9" spans="2:10" x14ac:dyDescent="0.3">
      <c r="B9" s="242" t="s">
        <v>214</v>
      </c>
      <c r="C9" s="243"/>
      <c r="D9" s="243"/>
      <c r="E9" s="243"/>
      <c r="F9" s="243"/>
      <c r="G9" s="243"/>
      <c r="H9" s="244"/>
      <c r="I9" s="1"/>
      <c r="J9" s="2"/>
    </row>
    <row r="10" spans="2:10" x14ac:dyDescent="0.3">
      <c r="B10" s="78"/>
      <c r="C10" s="76"/>
      <c r="D10" s="76"/>
      <c r="H10" s="2"/>
      <c r="I10" s="1"/>
      <c r="J10" s="2"/>
    </row>
    <row r="11" spans="2:10" x14ac:dyDescent="0.3">
      <c r="B11" s="1" t="s">
        <v>210</v>
      </c>
      <c r="E11" t="str">
        <f>PRORRATEO!C31</f>
        <v>QUINTANA, Hector</v>
      </c>
      <c r="H11" s="2"/>
      <c r="I11" s="245" t="s">
        <v>215</v>
      </c>
      <c r="J11" s="246"/>
    </row>
    <row r="12" spans="2:10" x14ac:dyDescent="0.3">
      <c r="B12" s="1" t="s">
        <v>209</v>
      </c>
      <c r="C12" s="76">
        <f>PRORRATEO!B31</f>
        <v>25</v>
      </c>
      <c r="D12" s="77" t="s">
        <v>213</v>
      </c>
      <c r="E12" s="76" t="e">
        <f>PRORRATEO!#REF!</f>
        <v>#REF!</v>
      </c>
      <c r="H12" s="2"/>
      <c r="I12" s="1"/>
      <c r="J12" s="2"/>
    </row>
    <row r="13" spans="2:10" x14ac:dyDescent="0.3">
      <c r="B13" s="1"/>
      <c r="H13" s="2"/>
      <c r="I13" s="245"/>
      <c r="J13" s="246"/>
    </row>
    <row r="14" spans="2:10" x14ac:dyDescent="0.3">
      <c r="B14" s="1"/>
      <c r="H14" s="2"/>
      <c r="I14" s="1"/>
      <c r="J14" s="2"/>
    </row>
    <row r="15" spans="2:10" x14ac:dyDescent="0.3">
      <c r="B15" s="1"/>
      <c r="H15" s="2"/>
      <c r="I15" s="1"/>
      <c r="J15" s="2"/>
    </row>
    <row r="16" spans="2:10" ht="15" thickBot="1" x14ac:dyDescent="0.35">
      <c r="B16" s="1"/>
      <c r="H16" s="2"/>
      <c r="I16" s="83"/>
      <c r="J16" s="86"/>
    </row>
    <row r="17" spans="2:10" ht="15" thickBot="1" x14ac:dyDescent="0.35">
      <c r="B17" s="235" t="s">
        <v>212</v>
      </c>
      <c r="C17" s="236"/>
      <c r="D17" s="236"/>
      <c r="E17" s="236"/>
      <c r="F17" s="236"/>
      <c r="G17" s="237">
        <f>PRORRATEO!M31</f>
        <v>247500.25</v>
      </c>
      <c r="H17" s="238"/>
      <c r="I17" s="75"/>
      <c r="J17" s="85"/>
    </row>
    <row r="21" spans="2:10" ht="15" thickBot="1" x14ac:dyDescent="0.35"/>
    <row r="22" spans="2:10" ht="15" thickBot="1" x14ac:dyDescent="0.35">
      <c r="B22" s="247" t="s">
        <v>211</v>
      </c>
      <c r="C22" s="248"/>
      <c r="D22" s="248"/>
      <c r="E22" s="248"/>
      <c r="F22" s="248"/>
      <c r="G22" s="248"/>
      <c r="H22" s="249"/>
      <c r="I22" s="73"/>
      <c r="J22" s="74"/>
    </row>
    <row r="23" spans="2:10" ht="15" thickBot="1" x14ac:dyDescent="0.35">
      <c r="B23" s="239" t="s">
        <v>121</v>
      </c>
      <c r="C23" s="240"/>
      <c r="D23" s="240"/>
      <c r="E23" s="240"/>
      <c r="F23" s="240"/>
      <c r="G23" s="240"/>
      <c r="H23" s="241"/>
      <c r="I23" s="1"/>
      <c r="J23" s="2"/>
    </row>
    <row r="24" spans="2:10" x14ac:dyDescent="0.3">
      <c r="B24" s="73" t="s">
        <v>218</v>
      </c>
      <c r="C24" s="84"/>
      <c r="D24" s="84"/>
      <c r="E24" s="84"/>
      <c r="G24" t="s">
        <v>39</v>
      </c>
      <c r="H24" s="2"/>
      <c r="I24" s="1"/>
      <c r="J24" s="2"/>
    </row>
    <row r="25" spans="2:10" x14ac:dyDescent="0.3">
      <c r="B25" s="78" t="s">
        <v>216</v>
      </c>
      <c r="C25" s="76"/>
      <c r="D25" s="76"/>
      <c r="H25" s="2"/>
      <c r="I25" s="1"/>
      <c r="J25" s="2"/>
    </row>
    <row r="26" spans="2:10" x14ac:dyDescent="0.3">
      <c r="B26" s="79"/>
      <c r="C26" s="80"/>
      <c r="D26" s="80"/>
      <c r="E26" s="81"/>
      <c r="F26" s="81"/>
      <c r="G26" s="81"/>
      <c r="H26" s="82"/>
      <c r="I26" s="1"/>
      <c r="J26" s="2"/>
    </row>
    <row r="27" spans="2:10" x14ac:dyDescent="0.3">
      <c r="B27" s="242" t="s">
        <v>214</v>
      </c>
      <c r="C27" s="243"/>
      <c r="D27" s="243"/>
      <c r="E27" s="243"/>
      <c r="F27" s="243"/>
      <c r="G27" s="243"/>
      <c r="H27" s="244"/>
      <c r="I27" s="1"/>
      <c r="J27" s="2"/>
    </row>
    <row r="28" spans="2:10" x14ac:dyDescent="0.3">
      <c r="B28" s="78"/>
      <c r="C28" s="76"/>
      <c r="D28" s="76"/>
      <c r="H28" s="2"/>
      <c r="I28" s="1"/>
      <c r="J28" s="2"/>
    </row>
    <row r="29" spans="2:10" x14ac:dyDescent="0.3">
      <c r="B29" s="1" t="s">
        <v>210</v>
      </c>
      <c r="E29" t="str">
        <f>PRORRATEO!C32</f>
        <v>MURPHY, Gabriel</v>
      </c>
      <c r="H29" s="2"/>
      <c r="I29" s="245" t="s">
        <v>215</v>
      </c>
      <c r="J29" s="246"/>
    </row>
    <row r="30" spans="2:10" x14ac:dyDescent="0.3">
      <c r="B30" s="1" t="s">
        <v>209</v>
      </c>
      <c r="C30" s="76">
        <f>PRORRATEO!B32</f>
        <v>26</v>
      </c>
      <c r="D30" s="77" t="s">
        <v>213</v>
      </c>
      <c r="E30" s="76" t="e">
        <f>PRORRATEO!#REF!</f>
        <v>#REF!</v>
      </c>
      <c r="H30" s="2"/>
      <c r="I30" s="1"/>
      <c r="J30" s="2"/>
    </row>
    <row r="31" spans="2:10" x14ac:dyDescent="0.3">
      <c r="B31" s="1"/>
      <c r="H31" s="2"/>
      <c r="I31" s="245"/>
      <c r="J31" s="246"/>
    </row>
    <row r="32" spans="2:10" x14ac:dyDescent="0.3">
      <c r="B32" s="1"/>
      <c r="H32" s="2"/>
      <c r="I32" s="1"/>
      <c r="J32" s="2"/>
    </row>
    <row r="33" spans="2:10" x14ac:dyDescent="0.3">
      <c r="B33" s="1"/>
      <c r="H33" s="2"/>
      <c r="I33" s="1"/>
      <c r="J33" s="2"/>
    </row>
    <row r="34" spans="2:10" ht="15" thickBot="1" x14ac:dyDescent="0.35">
      <c r="B34" s="1"/>
      <c r="H34" s="2"/>
      <c r="I34" s="83"/>
      <c r="J34" s="86"/>
    </row>
    <row r="35" spans="2:10" ht="15" thickBot="1" x14ac:dyDescent="0.35">
      <c r="B35" s="235" t="s">
        <v>212</v>
      </c>
      <c r="C35" s="236"/>
      <c r="D35" s="236"/>
      <c r="E35" s="236"/>
      <c r="F35" s="236"/>
      <c r="G35" s="237">
        <f>PRORRATEO!M32</f>
        <v>471225.26</v>
      </c>
      <c r="H35" s="238"/>
      <c r="I35" s="75"/>
      <c r="J35" s="85"/>
    </row>
    <row r="38" spans="2:10" ht="163.5" customHeight="1" x14ac:dyDescent="0.3"/>
    <row r="39" spans="2:10" ht="36" customHeight="1" thickBot="1" x14ac:dyDescent="0.35"/>
    <row r="40" spans="2:10" ht="15" thickBot="1" x14ac:dyDescent="0.35">
      <c r="B40" s="247" t="s">
        <v>211</v>
      </c>
      <c r="C40" s="248"/>
      <c r="D40" s="248"/>
      <c r="E40" s="248"/>
      <c r="F40" s="248"/>
      <c r="G40" s="248"/>
      <c r="H40" s="249"/>
      <c r="I40" s="73"/>
      <c r="J40" s="74"/>
    </row>
    <row r="41" spans="2:10" ht="15" thickBot="1" x14ac:dyDescent="0.35">
      <c r="B41" s="239" t="s">
        <v>121</v>
      </c>
      <c r="C41" s="240"/>
      <c r="D41" s="240"/>
      <c r="E41" s="240"/>
      <c r="F41" s="240"/>
      <c r="G41" s="240"/>
      <c r="H41" s="241"/>
      <c r="I41" s="1"/>
      <c r="J41" s="2"/>
    </row>
    <row r="42" spans="2:10" x14ac:dyDescent="0.3">
      <c r="B42" s="73" t="s">
        <v>218</v>
      </c>
      <c r="C42" s="84"/>
      <c r="D42" s="84"/>
      <c r="E42" s="84"/>
      <c r="G42" t="s">
        <v>39</v>
      </c>
      <c r="H42" s="2"/>
      <c r="I42" s="1"/>
      <c r="J42" s="2"/>
    </row>
    <row r="43" spans="2:10" x14ac:dyDescent="0.3">
      <c r="B43" s="78" t="s">
        <v>216</v>
      </c>
      <c r="C43" s="76"/>
      <c r="D43" s="76"/>
      <c r="H43" s="2"/>
      <c r="I43" s="1"/>
      <c r="J43" s="2"/>
    </row>
    <row r="44" spans="2:10" x14ac:dyDescent="0.3">
      <c r="B44" s="79"/>
      <c r="C44" s="80"/>
      <c r="D44" s="80"/>
      <c r="E44" s="81"/>
      <c r="F44" s="81"/>
      <c r="G44" s="81"/>
      <c r="H44" s="82"/>
      <c r="I44" s="1"/>
      <c r="J44" s="2"/>
    </row>
    <row r="45" spans="2:10" x14ac:dyDescent="0.3">
      <c r="B45" s="242" t="s">
        <v>214</v>
      </c>
      <c r="C45" s="243"/>
      <c r="D45" s="243"/>
      <c r="E45" s="243"/>
      <c r="F45" s="243"/>
      <c r="G45" s="243"/>
      <c r="H45" s="244"/>
      <c r="I45" s="1"/>
      <c r="J45" s="2"/>
    </row>
    <row r="46" spans="2:10" x14ac:dyDescent="0.3">
      <c r="B46" s="78"/>
      <c r="C46" s="76"/>
      <c r="D46" s="76"/>
      <c r="H46" s="2"/>
      <c r="I46" s="1"/>
      <c r="J46" s="2"/>
    </row>
    <row r="47" spans="2:10" x14ac:dyDescent="0.3">
      <c r="B47" s="1" t="s">
        <v>210</v>
      </c>
      <c r="E47">
        <f>PRORRATEO!C33</f>
        <v>0</v>
      </c>
      <c r="H47" s="2"/>
      <c r="I47" s="245" t="s">
        <v>215</v>
      </c>
      <c r="J47" s="246"/>
    </row>
    <row r="48" spans="2:10" x14ac:dyDescent="0.3">
      <c r="B48" s="1" t="s">
        <v>209</v>
      </c>
      <c r="C48" s="76">
        <f>PRORRATEO!B33</f>
        <v>0</v>
      </c>
      <c r="D48" s="77" t="s">
        <v>213</v>
      </c>
      <c r="E48" s="76" t="e">
        <f>PRORRATEO!#REF!</f>
        <v>#REF!</v>
      </c>
      <c r="H48" s="2"/>
      <c r="I48" s="1"/>
      <c r="J48" s="2"/>
    </row>
    <row r="49" spans="2:10" x14ac:dyDescent="0.3">
      <c r="B49" s="1"/>
      <c r="H49" s="2"/>
      <c r="I49" s="245"/>
      <c r="J49" s="246"/>
    </row>
    <row r="50" spans="2:10" x14ac:dyDescent="0.3">
      <c r="B50" s="1"/>
      <c r="H50" s="2"/>
      <c r="I50" s="1"/>
      <c r="J50" s="2"/>
    </row>
    <row r="51" spans="2:10" x14ac:dyDescent="0.3">
      <c r="B51" s="1"/>
      <c r="H51" s="2"/>
      <c r="I51" s="1"/>
      <c r="J51" s="2"/>
    </row>
    <row r="52" spans="2:10" ht="15" thickBot="1" x14ac:dyDescent="0.35">
      <c r="B52" s="1"/>
      <c r="H52" s="2"/>
      <c r="I52" s="83"/>
      <c r="J52" s="86"/>
    </row>
    <row r="53" spans="2:10" ht="15" thickBot="1" x14ac:dyDescent="0.35">
      <c r="B53" s="235" t="s">
        <v>212</v>
      </c>
      <c r="C53" s="236"/>
      <c r="D53" s="236"/>
      <c r="E53" s="236"/>
      <c r="F53" s="236"/>
      <c r="G53" s="237">
        <f>PRORRATEO!M33</f>
        <v>0</v>
      </c>
      <c r="H53" s="238"/>
      <c r="I53" s="75"/>
      <c r="J53" s="85"/>
    </row>
    <row r="56" spans="2:10" ht="15" thickBot="1" x14ac:dyDescent="0.35"/>
    <row r="57" spans="2:10" ht="15" thickBot="1" x14ac:dyDescent="0.35">
      <c r="B57" s="247" t="s">
        <v>211</v>
      </c>
      <c r="C57" s="248"/>
      <c r="D57" s="248"/>
      <c r="E57" s="248"/>
      <c r="F57" s="248"/>
      <c r="G57" s="248"/>
      <c r="H57" s="249"/>
      <c r="I57" s="73"/>
      <c r="J57" s="74"/>
    </row>
    <row r="58" spans="2:10" ht="15" thickBot="1" x14ac:dyDescent="0.35">
      <c r="B58" s="239" t="s">
        <v>121</v>
      </c>
      <c r="C58" s="240"/>
      <c r="D58" s="240"/>
      <c r="E58" s="240"/>
      <c r="F58" s="240"/>
      <c r="G58" s="240"/>
      <c r="H58" s="241"/>
      <c r="I58" s="1"/>
      <c r="J58" s="2"/>
    </row>
    <row r="59" spans="2:10" x14ac:dyDescent="0.3">
      <c r="B59" s="73" t="s">
        <v>218</v>
      </c>
      <c r="C59" s="84"/>
      <c r="D59" s="84"/>
      <c r="E59" s="84"/>
      <c r="G59" t="s">
        <v>39</v>
      </c>
      <c r="H59" s="2"/>
      <c r="I59" s="1"/>
      <c r="J59" s="2"/>
    </row>
    <row r="60" spans="2:10" x14ac:dyDescent="0.3">
      <c r="B60" s="78" t="s">
        <v>216</v>
      </c>
      <c r="C60" s="76"/>
      <c r="D60" s="76"/>
      <c r="H60" s="2"/>
      <c r="I60" s="1"/>
      <c r="J60" s="2"/>
    </row>
    <row r="61" spans="2:10" x14ac:dyDescent="0.3">
      <c r="B61" s="79"/>
      <c r="C61" s="80"/>
      <c r="D61" s="80"/>
      <c r="E61" s="81"/>
      <c r="F61" s="81"/>
      <c r="G61" s="81"/>
      <c r="H61" s="82"/>
      <c r="I61" s="1"/>
      <c r="J61" s="2"/>
    </row>
    <row r="62" spans="2:10" x14ac:dyDescent="0.3">
      <c r="B62" s="242" t="s">
        <v>214</v>
      </c>
      <c r="C62" s="243"/>
      <c r="D62" s="243"/>
      <c r="E62" s="243"/>
      <c r="F62" s="243"/>
      <c r="G62" s="243"/>
      <c r="H62" s="244"/>
      <c r="I62" s="1"/>
      <c r="J62" s="2"/>
    </row>
    <row r="63" spans="2:10" x14ac:dyDescent="0.3">
      <c r="B63" s="78"/>
      <c r="C63" s="76"/>
      <c r="D63" s="76"/>
      <c r="H63" s="2"/>
      <c r="I63" s="1"/>
      <c r="J63" s="2"/>
    </row>
    <row r="64" spans="2:10" x14ac:dyDescent="0.3">
      <c r="B64" s="1" t="s">
        <v>210</v>
      </c>
      <c r="E64" t="e">
        <f>PRORRATEO!#REF!</f>
        <v>#REF!</v>
      </c>
      <c r="H64" s="2"/>
      <c r="I64" s="245" t="s">
        <v>215</v>
      </c>
      <c r="J64" s="246"/>
    </row>
    <row r="65" spans="2:10" x14ac:dyDescent="0.3">
      <c r="B65" s="1" t="s">
        <v>209</v>
      </c>
      <c r="C65" s="76" t="e">
        <f>PRORRATEO!#REF!</f>
        <v>#REF!</v>
      </c>
      <c r="D65" s="77" t="s">
        <v>213</v>
      </c>
      <c r="E65" s="76" t="e">
        <f>PRORRATEO!#REF!</f>
        <v>#REF!</v>
      </c>
      <c r="H65" s="2"/>
      <c r="I65" s="1"/>
      <c r="J65" s="2"/>
    </row>
    <row r="66" spans="2:10" x14ac:dyDescent="0.3">
      <c r="B66" s="1"/>
      <c r="H66" s="2"/>
      <c r="I66" s="245"/>
      <c r="J66" s="246"/>
    </row>
    <row r="67" spans="2:10" x14ac:dyDescent="0.3">
      <c r="B67" s="1"/>
      <c r="H67" s="2"/>
      <c r="I67" s="1"/>
      <c r="J67" s="2"/>
    </row>
    <row r="68" spans="2:10" x14ac:dyDescent="0.3">
      <c r="B68" s="1"/>
      <c r="H68" s="2"/>
      <c r="I68" s="1"/>
      <c r="J68" s="2"/>
    </row>
    <row r="69" spans="2:10" ht="15" thickBot="1" x14ac:dyDescent="0.35">
      <c r="B69" s="1"/>
      <c r="H69" s="2"/>
      <c r="I69" s="83"/>
      <c r="J69" s="86"/>
    </row>
    <row r="70" spans="2:10" ht="15" thickBot="1" x14ac:dyDescent="0.35">
      <c r="B70" s="235" t="s">
        <v>212</v>
      </c>
      <c r="C70" s="236"/>
      <c r="D70" s="236"/>
      <c r="E70" s="236"/>
      <c r="F70" s="236"/>
      <c r="G70" s="237" t="e">
        <f>PRORRATEO!#REF!</f>
        <v>#REF!</v>
      </c>
      <c r="H70" s="238"/>
      <c r="I70" s="75"/>
      <c r="J70" s="85"/>
    </row>
    <row r="71" spans="2:10" ht="9" customHeight="1" x14ac:dyDescent="0.3"/>
    <row r="72" spans="2:10" hidden="1" x14ac:dyDescent="0.3"/>
    <row r="73" spans="2:10" ht="15" thickBot="1" x14ac:dyDescent="0.35"/>
    <row r="74" spans="2:10" ht="15" thickBot="1" x14ac:dyDescent="0.35">
      <c r="B74" s="247" t="s">
        <v>211</v>
      </c>
      <c r="C74" s="248"/>
      <c r="D74" s="248"/>
      <c r="E74" s="248"/>
      <c r="F74" s="248"/>
      <c r="G74" s="248"/>
      <c r="H74" s="249"/>
      <c r="I74" s="73"/>
      <c r="J74" s="74"/>
    </row>
    <row r="75" spans="2:10" ht="15" thickBot="1" x14ac:dyDescent="0.35">
      <c r="B75" s="239" t="s">
        <v>121</v>
      </c>
      <c r="C75" s="240"/>
      <c r="D75" s="240"/>
      <c r="E75" s="240"/>
      <c r="F75" s="240"/>
      <c r="G75" s="240"/>
      <c r="H75" s="241"/>
      <c r="I75" s="1"/>
      <c r="J75" s="2"/>
    </row>
    <row r="76" spans="2:10" x14ac:dyDescent="0.3">
      <c r="B76" s="73" t="s">
        <v>218</v>
      </c>
      <c r="C76" s="84"/>
      <c r="D76" s="84"/>
      <c r="E76" s="84"/>
      <c r="G76" t="s">
        <v>39</v>
      </c>
      <c r="H76" s="2"/>
      <c r="I76" s="1"/>
      <c r="J76" s="2"/>
    </row>
    <row r="77" spans="2:10" x14ac:dyDescent="0.3">
      <c r="B77" s="78" t="s">
        <v>216</v>
      </c>
      <c r="C77" s="76"/>
      <c r="D77" s="76"/>
      <c r="H77" s="2"/>
      <c r="I77" s="1"/>
      <c r="J77" s="2"/>
    </row>
    <row r="78" spans="2:10" x14ac:dyDescent="0.3">
      <c r="B78" s="79"/>
      <c r="C78" s="80"/>
      <c r="D78" s="80"/>
      <c r="E78" s="81"/>
      <c r="F78" s="81"/>
      <c r="G78" s="81"/>
      <c r="H78" s="82"/>
      <c r="I78" s="1"/>
      <c r="J78" s="2"/>
    </row>
    <row r="79" spans="2:10" x14ac:dyDescent="0.3">
      <c r="B79" s="242" t="s">
        <v>214</v>
      </c>
      <c r="C79" s="243"/>
      <c r="D79" s="243"/>
      <c r="E79" s="243"/>
      <c r="F79" s="243"/>
      <c r="G79" s="243"/>
      <c r="H79" s="244"/>
      <c r="I79" s="1"/>
      <c r="J79" s="2"/>
    </row>
    <row r="80" spans="2:10" x14ac:dyDescent="0.3">
      <c r="B80" s="78"/>
      <c r="C80" s="76"/>
      <c r="D80" s="76"/>
      <c r="H80" s="2"/>
      <c r="I80" s="1"/>
      <c r="J80" s="2"/>
    </row>
    <row r="81" spans="2:10" x14ac:dyDescent="0.3">
      <c r="B81" s="1" t="s">
        <v>210</v>
      </c>
      <c r="E81" t="e">
        <f>PRORRATEO!#REF!</f>
        <v>#REF!</v>
      </c>
      <c r="H81" s="2"/>
      <c r="I81" s="245" t="s">
        <v>215</v>
      </c>
      <c r="J81" s="246"/>
    </row>
    <row r="82" spans="2:10" x14ac:dyDescent="0.3">
      <c r="B82" s="1" t="s">
        <v>209</v>
      </c>
      <c r="C82" s="76" t="e">
        <f>PRORRATEO!#REF!</f>
        <v>#REF!</v>
      </c>
      <c r="D82" s="77" t="s">
        <v>213</v>
      </c>
      <c r="E82" s="76" t="e">
        <f>PRORRATEO!#REF!</f>
        <v>#REF!</v>
      </c>
      <c r="H82" s="2"/>
      <c r="I82" s="1"/>
      <c r="J82" s="2"/>
    </row>
    <row r="83" spans="2:10" x14ac:dyDescent="0.3">
      <c r="B83" s="1"/>
      <c r="H83" s="2"/>
      <c r="I83" s="245"/>
      <c r="J83" s="246"/>
    </row>
    <row r="84" spans="2:10" x14ac:dyDescent="0.3">
      <c r="B84" s="1"/>
      <c r="H84" s="2"/>
      <c r="I84" s="1"/>
      <c r="J84" s="2"/>
    </row>
    <row r="85" spans="2:10" x14ac:dyDescent="0.3">
      <c r="B85" s="1"/>
      <c r="H85" s="2"/>
      <c r="I85" s="1"/>
      <c r="J85" s="2"/>
    </row>
    <row r="86" spans="2:10" ht="15" thickBot="1" x14ac:dyDescent="0.35">
      <c r="B86" s="1"/>
      <c r="H86" s="2"/>
      <c r="I86" s="83"/>
      <c r="J86" s="86"/>
    </row>
    <row r="87" spans="2:10" ht="15" thickBot="1" x14ac:dyDescent="0.35">
      <c r="B87" s="235" t="s">
        <v>212</v>
      </c>
      <c r="C87" s="236"/>
      <c r="D87" s="236"/>
      <c r="E87" s="236"/>
      <c r="F87" s="236"/>
      <c r="G87" s="237" t="e">
        <f>PRORRATEO!#REF!</f>
        <v>#REF!</v>
      </c>
      <c r="H87" s="238"/>
      <c r="I87" s="75"/>
      <c r="J87" s="85"/>
    </row>
    <row r="90" spans="2:10" ht="15" thickBot="1" x14ac:dyDescent="0.35"/>
    <row r="91" spans="2:10" ht="15" thickBot="1" x14ac:dyDescent="0.35">
      <c r="B91" s="247" t="s">
        <v>211</v>
      </c>
      <c r="C91" s="248"/>
      <c r="D91" s="248"/>
      <c r="E91" s="248"/>
      <c r="F91" s="248"/>
      <c r="G91" s="248"/>
      <c r="H91" s="249"/>
      <c r="I91" s="73"/>
      <c r="J91" s="74"/>
    </row>
    <row r="92" spans="2:10" ht="15" thickBot="1" x14ac:dyDescent="0.35">
      <c r="B92" s="239" t="s">
        <v>121</v>
      </c>
      <c r="C92" s="240"/>
      <c r="D92" s="240"/>
      <c r="E92" s="240"/>
      <c r="F92" s="240"/>
      <c r="G92" s="240"/>
      <c r="H92" s="241"/>
      <c r="I92" s="1"/>
      <c r="J92" s="2"/>
    </row>
    <row r="93" spans="2:10" x14ac:dyDescent="0.3">
      <c r="B93" s="73" t="s">
        <v>218</v>
      </c>
      <c r="C93" s="84"/>
      <c r="D93" s="84"/>
      <c r="E93" s="84"/>
      <c r="G93" t="s">
        <v>39</v>
      </c>
      <c r="H93" s="2"/>
      <c r="I93" s="1"/>
      <c r="J93" s="2"/>
    </row>
    <row r="94" spans="2:10" x14ac:dyDescent="0.3">
      <c r="B94" s="78" t="s">
        <v>216</v>
      </c>
      <c r="C94" s="76"/>
      <c r="D94" s="76"/>
      <c r="H94" s="2"/>
      <c r="I94" s="1"/>
      <c r="J94" s="2"/>
    </row>
    <row r="95" spans="2:10" x14ac:dyDescent="0.3">
      <c r="B95" s="79"/>
      <c r="C95" s="80"/>
      <c r="D95" s="80"/>
      <c r="E95" s="81"/>
      <c r="F95" s="81"/>
      <c r="G95" s="81"/>
      <c r="H95" s="82"/>
      <c r="I95" s="1"/>
      <c r="J95" s="2"/>
    </row>
    <row r="96" spans="2:10" x14ac:dyDescent="0.3">
      <c r="B96" s="242" t="s">
        <v>214</v>
      </c>
      <c r="C96" s="243"/>
      <c r="D96" s="243"/>
      <c r="E96" s="243"/>
      <c r="F96" s="243"/>
      <c r="G96" s="243"/>
      <c r="H96" s="244"/>
      <c r="I96" s="1"/>
      <c r="J96" s="2"/>
    </row>
    <row r="97" spans="2:10" x14ac:dyDescent="0.3">
      <c r="B97" s="78"/>
      <c r="C97" s="76"/>
      <c r="D97" s="76"/>
      <c r="H97" s="2"/>
      <c r="I97" s="1"/>
      <c r="J97" s="2"/>
    </row>
    <row r="98" spans="2:10" x14ac:dyDescent="0.3">
      <c r="B98" s="1" t="s">
        <v>210</v>
      </c>
      <c r="E98" t="e">
        <f>PRORRATEO!#REF!</f>
        <v>#REF!</v>
      </c>
      <c r="H98" s="2"/>
      <c r="I98" s="245" t="s">
        <v>215</v>
      </c>
      <c r="J98" s="246"/>
    </row>
    <row r="99" spans="2:10" x14ac:dyDescent="0.3">
      <c r="B99" s="1" t="s">
        <v>209</v>
      </c>
      <c r="C99" s="76" t="e">
        <f>PRORRATEO!#REF!</f>
        <v>#REF!</v>
      </c>
      <c r="D99" s="77" t="s">
        <v>213</v>
      </c>
      <c r="E99" s="76" t="e">
        <f>PRORRATEO!#REF!</f>
        <v>#REF!</v>
      </c>
      <c r="H99" s="2"/>
      <c r="I99" s="1"/>
      <c r="J99" s="2"/>
    </row>
    <row r="100" spans="2:10" x14ac:dyDescent="0.3">
      <c r="B100" s="1"/>
      <c r="H100" s="2"/>
      <c r="I100" s="245"/>
      <c r="J100" s="246"/>
    </row>
    <row r="101" spans="2:10" x14ac:dyDescent="0.3">
      <c r="B101" s="1"/>
      <c r="H101" s="2"/>
      <c r="I101" s="1"/>
      <c r="J101" s="2"/>
    </row>
    <row r="102" spans="2:10" x14ac:dyDescent="0.3">
      <c r="B102" s="1"/>
      <c r="H102" s="2"/>
      <c r="I102" s="1"/>
      <c r="J102" s="2"/>
    </row>
    <row r="103" spans="2:10" ht="15" thickBot="1" x14ac:dyDescent="0.35">
      <c r="B103" s="1"/>
      <c r="H103" s="2"/>
      <c r="I103" s="83"/>
      <c r="J103" s="86"/>
    </row>
    <row r="104" spans="2:10" ht="15" thickBot="1" x14ac:dyDescent="0.35">
      <c r="B104" s="235" t="s">
        <v>212</v>
      </c>
      <c r="C104" s="236"/>
      <c r="D104" s="236"/>
      <c r="E104" s="236"/>
      <c r="F104" s="236"/>
      <c r="G104" s="237" t="e">
        <f>PRORRATEO!#REF!</f>
        <v>#REF!</v>
      </c>
      <c r="H104" s="238"/>
      <c r="I104" s="75"/>
      <c r="J104" s="85"/>
    </row>
    <row r="107" spans="2:10" ht="15" thickBot="1" x14ac:dyDescent="0.35"/>
    <row r="108" spans="2:10" ht="15" thickBot="1" x14ac:dyDescent="0.35">
      <c r="B108" s="247" t="s">
        <v>211</v>
      </c>
      <c r="C108" s="248"/>
      <c r="D108" s="248"/>
      <c r="E108" s="248"/>
      <c r="F108" s="248"/>
      <c r="G108" s="248"/>
      <c r="H108" s="249"/>
      <c r="I108" s="73"/>
      <c r="J108" s="74"/>
    </row>
    <row r="109" spans="2:10" ht="15" thickBot="1" x14ac:dyDescent="0.35">
      <c r="B109" s="239" t="s">
        <v>121</v>
      </c>
      <c r="C109" s="240"/>
      <c r="D109" s="240"/>
      <c r="E109" s="240"/>
      <c r="F109" s="240"/>
      <c r="G109" s="240"/>
      <c r="H109" s="241"/>
      <c r="I109" s="1"/>
      <c r="J109" s="2"/>
    </row>
    <row r="110" spans="2:10" x14ac:dyDescent="0.3">
      <c r="B110" s="73" t="s">
        <v>218</v>
      </c>
      <c r="C110" s="84"/>
      <c r="D110" s="84"/>
      <c r="E110" s="84"/>
      <c r="G110" t="s">
        <v>39</v>
      </c>
      <c r="H110" s="2"/>
      <c r="I110" s="1"/>
      <c r="J110" s="2"/>
    </row>
    <row r="111" spans="2:10" x14ac:dyDescent="0.3">
      <c r="B111" s="78" t="s">
        <v>216</v>
      </c>
      <c r="C111" s="76"/>
      <c r="D111" s="76"/>
      <c r="H111" s="2"/>
      <c r="I111" s="1"/>
      <c r="J111" s="2"/>
    </row>
    <row r="112" spans="2:10" x14ac:dyDescent="0.3">
      <c r="B112" s="79"/>
      <c r="C112" s="80"/>
      <c r="D112" s="80"/>
      <c r="E112" s="81"/>
      <c r="F112" s="81"/>
      <c r="G112" s="81"/>
      <c r="H112" s="82"/>
      <c r="I112" s="1"/>
      <c r="J112" s="2"/>
    </row>
    <row r="113" spans="2:10" x14ac:dyDescent="0.3">
      <c r="B113" s="242" t="s">
        <v>214</v>
      </c>
      <c r="C113" s="243"/>
      <c r="D113" s="243"/>
      <c r="E113" s="243"/>
      <c r="F113" s="243"/>
      <c r="G113" s="243"/>
      <c r="H113" s="244"/>
      <c r="I113" s="1"/>
      <c r="J113" s="2"/>
    </row>
    <row r="114" spans="2:10" x14ac:dyDescent="0.3">
      <c r="B114" s="78"/>
      <c r="C114" s="76"/>
      <c r="D114" s="76"/>
      <c r="H114" s="2"/>
      <c r="I114" s="1"/>
      <c r="J114" s="2"/>
    </row>
    <row r="115" spans="2:10" x14ac:dyDescent="0.3">
      <c r="B115" s="1" t="s">
        <v>210</v>
      </c>
      <c r="E115" t="e">
        <f>PRORRATEO!#REF!</f>
        <v>#REF!</v>
      </c>
      <c r="H115" s="2"/>
      <c r="I115" s="245" t="s">
        <v>215</v>
      </c>
      <c r="J115" s="246"/>
    </row>
    <row r="116" spans="2:10" x14ac:dyDescent="0.3">
      <c r="B116" s="1" t="s">
        <v>209</v>
      </c>
      <c r="C116" s="76" t="e">
        <f>PRORRATEO!#REF!</f>
        <v>#REF!</v>
      </c>
      <c r="D116" s="77" t="s">
        <v>213</v>
      </c>
      <c r="E116" s="76" t="e">
        <f>PRORRATEO!#REF!</f>
        <v>#REF!</v>
      </c>
      <c r="H116" s="2"/>
      <c r="I116" s="1"/>
      <c r="J116" s="2"/>
    </row>
    <row r="117" spans="2:10" x14ac:dyDescent="0.3">
      <c r="B117" s="1"/>
      <c r="H117" s="2"/>
      <c r="I117" s="245"/>
      <c r="J117" s="246"/>
    </row>
    <row r="118" spans="2:10" x14ac:dyDescent="0.3">
      <c r="B118" s="1"/>
      <c r="H118" s="2"/>
      <c r="I118" s="1"/>
      <c r="J118" s="2"/>
    </row>
    <row r="119" spans="2:10" x14ac:dyDescent="0.3">
      <c r="B119" s="1"/>
      <c r="H119" s="2"/>
      <c r="I119" s="1"/>
      <c r="J119" s="2"/>
    </row>
    <row r="120" spans="2:10" ht="15" thickBot="1" x14ac:dyDescent="0.35">
      <c r="B120" s="1"/>
      <c r="H120" s="2"/>
      <c r="I120" s="83"/>
      <c r="J120" s="86"/>
    </row>
    <row r="121" spans="2:10" ht="15" thickBot="1" x14ac:dyDescent="0.35">
      <c r="B121" s="235" t="s">
        <v>212</v>
      </c>
      <c r="C121" s="236"/>
      <c r="D121" s="236"/>
      <c r="E121" s="236"/>
      <c r="F121" s="236"/>
      <c r="G121" s="237" t="e">
        <f>PRORRATEO!#REF!</f>
        <v>#REF!</v>
      </c>
      <c r="H121" s="238"/>
      <c r="I121" s="75"/>
      <c r="J121" s="85"/>
    </row>
  </sheetData>
  <mergeCells count="49">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 ref="I64:J64"/>
    <mergeCell ref="I66:J66"/>
    <mergeCell ref="G35:H35"/>
    <mergeCell ref="B17:F17"/>
    <mergeCell ref="G17:H17"/>
    <mergeCell ref="B40:H40"/>
    <mergeCell ref="B41:H41"/>
    <mergeCell ref="B45:H45"/>
    <mergeCell ref="B57:H57"/>
    <mergeCell ref="B58:H58"/>
    <mergeCell ref="B74:H74"/>
    <mergeCell ref="B75:H75"/>
    <mergeCell ref="I81:J81"/>
    <mergeCell ref="I83:J83"/>
    <mergeCell ref="B70:F70"/>
    <mergeCell ref="G70:H70"/>
    <mergeCell ref="I115:J115"/>
    <mergeCell ref="B87:F87"/>
    <mergeCell ref="G87:H87"/>
    <mergeCell ref="B79:H79"/>
    <mergeCell ref="I117:J117"/>
    <mergeCell ref="I98:J98"/>
    <mergeCell ref="I100:J100"/>
    <mergeCell ref="B121:F121"/>
    <mergeCell ref="G121:H121"/>
    <mergeCell ref="B91:H91"/>
    <mergeCell ref="B92:H92"/>
    <mergeCell ref="B96:H96"/>
    <mergeCell ref="B108:H108"/>
    <mergeCell ref="B109:H109"/>
    <mergeCell ref="B113:H113"/>
    <mergeCell ref="B104:F104"/>
    <mergeCell ref="G104:H104"/>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4.4" x14ac:dyDescent="0.3"/>
  <cols>
    <col min="1" max="1" width="4" customWidth="1"/>
    <col min="4" max="4" width="7.88671875" customWidth="1"/>
    <col min="5" max="5" width="4.5546875" customWidth="1"/>
    <col min="6" max="6" width="6.88671875" customWidth="1"/>
    <col min="8" max="8" width="6.44140625" customWidth="1"/>
  </cols>
  <sheetData>
    <row r="1" spans="2:10" ht="15" thickBot="1" x14ac:dyDescent="0.35"/>
    <row r="2" spans="2:10" ht="15" thickBot="1" x14ac:dyDescent="0.35">
      <c r="B2" s="247" t="s">
        <v>211</v>
      </c>
      <c r="C2" s="248"/>
      <c r="D2" s="248"/>
      <c r="E2" s="248"/>
      <c r="F2" s="248"/>
      <c r="G2" s="248"/>
      <c r="H2" s="249"/>
      <c r="I2" s="73"/>
      <c r="J2" s="74"/>
    </row>
    <row r="3" spans="2:10" ht="15" thickBot="1" x14ac:dyDescent="0.35">
      <c r="B3" s="239" t="s">
        <v>121</v>
      </c>
      <c r="C3" s="240"/>
      <c r="D3" s="240"/>
      <c r="E3" s="240"/>
      <c r="F3" s="240"/>
      <c r="G3" s="240"/>
      <c r="H3" s="241"/>
      <c r="I3" s="1"/>
      <c r="J3" s="2"/>
    </row>
    <row r="4" spans="2:10" x14ac:dyDescent="0.3">
      <c r="B4" s="73" t="s">
        <v>218</v>
      </c>
      <c r="C4" s="84"/>
      <c r="D4" s="84"/>
      <c r="E4" s="84"/>
      <c r="G4" t="s">
        <v>39</v>
      </c>
      <c r="H4" s="2"/>
      <c r="I4" s="1"/>
      <c r="J4" s="2"/>
    </row>
    <row r="5" spans="2:10" x14ac:dyDescent="0.3">
      <c r="B5" s="78" t="s">
        <v>216</v>
      </c>
      <c r="C5" s="76"/>
      <c r="D5" s="76"/>
      <c r="H5" s="2"/>
      <c r="I5" s="1"/>
      <c r="J5" s="2"/>
    </row>
    <row r="6" spans="2:10" x14ac:dyDescent="0.3">
      <c r="B6" s="79"/>
      <c r="C6" s="80"/>
      <c r="D6" s="80"/>
      <c r="E6" s="81"/>
      <c r="F6" s="81"/>
      <c r="G6" s="81"/>
      <c r="H6" s="82"/>
      <c r="I6" s="1"/>
      <c r="J6" s="2"/>
    </row>
    <row r="7" spans="2:10" x14ac:dyDescent="0.3">
      <c r="B7" s="242" t="s">
        <v>214</v>
      </c>
      <c r="C7" s="243"/>
      <c r="D7" s="243"/>
      <c r="E7" s="243"/>
      <c r="F7" s="243"/>
      <c r="G7" s="243"/>
      <c r="H7" s="244"/>
      <c r="I7" s="1"/>
      <c r="J7" s="2"/>
    </row>
    <row r="8" spans="2:10" x14ac:dyDescent="0.3">
      <c r="B8" s="78"/>
      <c r="C8" s="76"/>
      <c r="D8" s="76"/>
      <c r="H8" s="2"/>
      <c r="I8" s="1"/>
      <c r="J8" s="2"/>
    </row>
    <row r="9" spans="2:10" x14ac:dyDescent="0.3">
      <c r="B9" s="1" t="s">
        <v>210</v>
      </c>
      <c r="E9" t="e">
        <f>PRORRATEO!#REF!</f>
        <v>#REF!</v>
      </c>
      <c r="H9" s="2"/>
      <c r="I9" s="245" t="s">
        <v>215</v>
      </c>
      <c r="J9" s="246"/>
    </row>
    <row r="10" spans="2:10" x14ac:dyDescent="0.3">
      <c r="B10" s="1" t="s">
        <v>209</v>
      </c>
      <c r="C10" s="76" t="e">
        <f>PRORRATEO!#REF!</f>
        <v>#REF!</v>
      </c>
      <c r="D10" s="77" t="s">
        <v>213</v>
      </c>
      <c r="E10" s="76" t="e">
        <f>PRORRATEO!#REF!</f>
        <v>#REF!</v>
      </c>
      <c r="H10" s="2"/>
      <c r="I10" s="1"/>
      <c r="J10" s="2"/>
    </row>
    <row r="11" spans="2:10" x14ac:dyDescent="0.3">
      <c r="B11" s="1"/>
      <c r="H11" s="2"/>
      <c r="I11" s="245"/>
      <c r="J11" s="246"/>
    </row>
    <row r="12" spans="2:10" x14ac:dyDescent="0.3">
      <c r="B12" s="1"/>
      <c r="H12" s="2"/>
      <c r="I12" s="1"/>
      <c r="J12" s="2"/>
    </row>
    <row r="13" spans="2:10" x14ac:dyDescent="0.3">
      <c r="B13" s="1"/>
      <c r="H13" s="2"/>
      <c r="I13" s="1"/>
      <c r="J13" s="2"/>
    </row>
    <row r="14" spans="2:10" ht="15" thickBot="1" x14ac:dyDescent="0.35">
      <c r="B14" s="1"/>
      <c r="H14" s="2"/>
      <c r="I14" s="83"/>
      <c r="J14" s="86"/>
    </row>
    <row r="15" spans="2:10" ht="15" thickBot="1" x14ac:dyDescent="0.35">
      <c r="B15" s="235" t="s">
        <v>212</v>
      </c>
      <c r="C15" s="236"/>
      <c r="D15" s="236"/>
      <c r="E15" s="236"/>
      <c r="F15" s="236"/>
      <c r="G15" s="237" t="e">
        <f>PRORRATEO!#REF!</f>
        <v>#REF!</v>
      </c>
      <c r="H15" s="238"/>
      <c r="I15" s="75"/>
      <c r="J15" s="85"/>
    </row>
    <row r="17" spans="2:10" ht="15" thickBot="1" x14ac:dyDescent="0.35"/>
    <row r="18" spans="2:10" ht="15" thickBot="1" x14ac:dyDescent="0.35">
      <c r="B18" s="247" t="s">
        <v>211</v>
      </c>
      <c r="C18" s="248"/>
      <c r="D18" s="248"/>
      <c r="E18" s="248"/>
      <c r="F18" s="248"/>
      <c r="G18" s="248"/>
      <c r="H18" s="249"/>
      <c r="I18" s="73"/>
      <c r="J18" s="74"/>
    </row>
    <row r="19" spans="2:10" ht="15" thickBot="1" x14ac:dyDescent="0.35">
      <c r="B19" s="239" t="s">
        <v>121</v>
      </c>
      <c r="C19" s="240"/>
      <c r="D19" s="240"/>
      <c r="E19" s="240"/>
      <c r="F19" s="240"/>
      <c r="G19" s="240"/>
      <c r="H19" s="241"/>
      <c r="I19" s="1"/>
      <c r="J19" s="2"/>
    </row>
    <row r="20" spans="2:10" x14ac:dyDescent="0.3">
      <c r="B20" s="73" t="s">
        <v>218</v>
      </c>
      <c r="C20" s="84"/>
      <c r="D20" s="84"/>
      <c r="E20" s="84"/>
      <c r="G20" t="s">
        <v>39</v>
      </c>
      <c r="H20" s="2"/>
      <c r="I20" s="1"/>
      <c r="J20" s="2"/>
    </row>
    <row r="21" spans="2:10" x14ac:dyDescent="0.3">
      <c r="B21" s="78" t="s">
        <v>216</v>
      </c>
      <c r="C21" s="76"/>
      <c r="D21" s="76"/>
      <c r="H21" s="2"/>
      <c r="I21" s="1"/>
      <c r="J21" s="2"/>
    </row>
    <row r="22" spans="2:10" x14ac:dyDescent="0.3">
      <c r="B22" s="79"/>
      <c r="C22" s="80"/>
      <c r="D22" s="80"/>
      <c r="E22" s="81"/>
      <c r="F22" s="81"/>
      <c r="G22" s="81"/>
      <c r="H22" s="82"/>
      <c r="I22" s="1"/>
      <c r="J22" s="2"/>
    </row>
    <row r="23" spans="2:10" x14ac:dyDescent="0.3">
      <c r="B23" s="242" t="s">
        <v>214</v>
      </c>
      <c r="C23" s="243"/>
      <c r="D23" s="243"/>
      <c r="E23" s="243"/>
      <c r="F23" s="243"/>
      <c r="G23" s="243"/>
      <c r="H23" s="244"/>
      <c r="I23" s="1"/>
      <c r="J23" s="2"/>
    </row>
    <row r="24" spans="2:10" x14ac:dyDescent="0.3">
      <c r="B24" s="78"/>
      <c r="C24" s="76"/>
      <c r="D24" s="76"/>
      <c r="H24" s="2"/>
      <c r="I24" s="1"/>
      <c r="J24" s="2"/>
    </row>
    <row r="25" spans="2:10" x14ac:dyDescent="0.3">
      <c r="B25" s="1" t="s">
        <v>210</v>
      </c>
      <c r="E25" t="e">
        <f>PRORRATEO!#REF!</f>
        <v>#REF!</v>
      </c>
      <c r="H25" s="2"/>
      <c r="I25" s="245" t="s">
        <v>215</v>
      </c>
      <c r="J25" s="246"/>
    </row>
    <row r="26" spans="2:10" x14ac:dyDescent="0.3">
      <c r="B26" s="1" t="s">
        <v>209</v>
      </c>
      <c r="C26" s="76" t="e">
        <f>PRORRATEO!#REF!</f>
        <v>#REF!</v>
      </c>
      <c r="D26" s="77" t="s">
        <v>213</v>
      </c>
      <c r="E26" s="76" t="e">
        <f>PRORRATEO!#REF!</f>
        <v>#REF!</v>
      </c>
      <c r="H26" s="2"/>
      <c r="I26" s="1"/>
      <c r="J26" s="2"/>
    </row>
    <row r="27" spans="2:10" x14ac:dyDescent="0.3">
      <c r="B27" s="1"/>
      <c r="H27" s="2"/>
      <c r="I27" s="245"/>
      <c r="J27" s="246"/>
    </row>
    <row r="28" spans="2:10" x14ac:dyDescent="0.3">
      <c r="B28" s="1"/>
      <c r="H28" s="2"/>
      <c r="I28" s="1"/>
      <c r="J28" s="2"/>
    </row>
    <row r="29" spans="2:10" x14ac:dyDescent="0.3">
      <c r="B29" s="1"/>
      <c r="H29" s="2"/>
      <c r="I29" s="1"/>
      <c r="J29" s="2"/>
    </row>
    <row r="30" spans="2:10" ht="15" thickBot="1" x14ac:dyDescent="0.35">
      <c r="B30" s="1"/>
      <c r="H30" s="2"/>
      <c r="I30" s="83"/>
      <c r="J30" s="86"/>
    </row>
    <row r="31" spans="2:10" ht="15" thickBot="1" x14ac:dyDescent="0.35">
      <c r="B31" s="235" t="s">
        <v>212</v>
      </c>
      <c r="C31" s="236"/>
      <c r="D31" s="236"/>
      <c r="E31" s="236"/>
      <c r="F31" s="236"/>
      <c r="G31" s="237" t="e">
        <f>PRORRATEO!#REF!</f>
        <v>#REF!</v>
      </c>
      <c r="H31" s="238"/>
      <c r="I31" s="75"/>
      <c r="J31" s="85"/>
    </row>
    <row r="34" spans="2:10" hidden="1" x14ac:dyDescent="0.3"/>
    <row r="35" spans="2:10" ht="15" thickBot="1" x14ac:dyDescent="0.35"/>
    <row r="36" spans="2:10" ht="15" thickBot="1" x14ac:dyDescent="0.35">
      <c r="B36" s="247" t="s">
        <v>211</v>
      </c>
      <c r="C36" s="248"/>
      <c r="D36" s="248"/>
      <c r="E36" s="248"/>
      <c r="F36" s="248"/>
      <c r="G36" s="248"/>
      <c r="H36" s="249"/>
      <c r="I36" s="73"/>
      <c r="J36" s="74"/>
    </row>
    <row r="37" spans="2:10" ht="15" thickBot="1" x14ac:dyDescent="0.35">
      <c r="B37" s="239" t="s">
        <v>121</v>
      </c>
      <c r="C37" s="240"/>
      <c r="D37" s="240"/>
      <c r="E37" s="240"/>
      <c r="F37" s="240"/>
      <c r="G37" s="240"/>
      <c r="H37" s="241"/>
      <c r="I37" s="1"/>
      <c r="J37" s="2"/>
    </row>
    <row r="38" spans="2:10" x14ac:dyDescent="0.3">
      <c r="B38" s="73" t="s">
        <v>218</v>
      </c>
      <c r="C38" s="84"/>
      <c r="D38" s="84"/>
      <c r="E38" s="84"/>
      <c r="G38" t="s">
        <v>39</v>
      </c>
      <c r="H38" s="2"/>
      <c r="I38" s="1"/>
      <c r="J38" s="2"/>
    </row>
    <row r="39" spans="2:10" x14ac:dyDescent="0.3">
      <c r="B39" s="78" t="s">
        <v>216</v>
      </c>
      <c r="C39" s="76"/>
      <c r="D39" s="76"/>
      <c r="H39" s="2"/>
      <c r="I39" s="1"/>
      <c r="J39" s="2"/>
    </row>
    <row r="40" spans="2:10" x14ac:dyDescent="0.3">
      <c r="B40" s="79"/>
      <c r="C40" s="80"/>
      <c r="D40" s="80"/>
      <c r="E40" s="81"/>
      <c r="F40" s="81"/>
      <c r="G40" s="81"/>
      <c r="H40" s="82"/>
      <c r="I40" s="1"/>
      <c r="J40" s="2"/>
    </row>
    <row r="41" spans="2:10" x14ac:dyDescent="0.3">
      <c r="B41" s="242" t="s">
        <v>214</v>
      </c>
      <c r="C41" s="243"/>
      <c r="D41" s="243"/>
      <c r="E41" s="243"/>
      <c r="F41" s="243"/>
      <c r="G41" s="243"/>
      <c r="H41" s="244"/>
      <c r="I41" s="1"/>
      <c r="J41" s="2"/>
    </row>
    <row r="42" spans="2:10" x14ac:dyDescent="0.3">
      <c r="B42" s="78"/>
      <c r="C42" s="76"/>
      <c r="D42" s="76"/>
      <c r="H42" s="2"/>
      <c r="I42" s="1"/>
      <c r="J42" s="2"/>
    </row>
    <row r="43" spans="2:10" x14ac:dyDescent="0.3">
      <c r="B43" s="1" t="s">
        <v>210</v>
      </c>
      <c r="E43" t="e">
        <f>PRORRATEO!#REF!</f>
        <v>#REF!</v>
      </c>
      <c r="H43" s="2"/>
      <c r="I43" s="245" t="s">
        <v>215</v>
      </c>
      <c r="J43" s="246"/>
    </row>
    <row r="44" spans="2:10" x14ac:dyDescent="0.3">
      <c r="B44" s="1" t="s">
        <v>209</v>
      </c>
      <c r="C44" s="76" t="e">
        <f>PRORRATEO!#REF!</f>
        <v>#REF!</v>
      </c>
      <c r="D44" s="77" t="s">
        <v>213</v>
      </c>
      <c r="E44" s="76" t="e">
        <f>PRORRATEO!#REF!</f>
        <v>#REF!</v>
      </c>
      <c r="H44" s="2"/>
      <c r="I44" s="1"/>
      <c r="J44" s="2"/>
    </row>
    <row r="45" spans="2:10" x14ac:dyDescent="0.3">
      <c r="B45" s="1"/>
      <c r="H45" s="2"/>
      <c r="I45" s="245"/>
      <c r="J45" s="246"/>
    </row>
    <row r="46" spans="2:10" x14ac:dyDescent="0.3">
      <c r="B46" s="1"/>
      <c r="H46" s="2"/>
      <c r="I46" s="1"/>
      <c r="J46" s="2"/>
    </row>
    <row r="47" spans="2:10" x14ac:dyDescent="0.3">
      <c r="B47" s="1"/>
      <c r="H47" s="2"/>
      <c r="I47" s="1"/>
      <c r="J47" s="2"/>
    </row>
    <row r="48" spans="2:10" ht="15" thickBot="1" x14ac:dyDescent="0.35">
      <c r="B48" s="1"/>
      <c r="H48" s="2"/>
      <c r="I48" s="83"/>
      <c r="J48" s="86"/>
    </row>
    <row r="49" spans="2:10" ht="15" thickBot="1" x14ac:dyDescent="0.35">
      <c r="B49" s="235" t="s">
        <v>212</v>
      </c>
      <c r="C49" s="236"/>
      <c r="D49" s="236"/>
      <c r="E49" s="236"/>
      <c r="F49" s="236"/>
      <c r="G49" s="237" t="e">
        <f>PRORRATEO!#REF!</f>
        <v>#REF!</v>
      </c>
      <c r="H49" s="238"/>
      <c r="I49" s="75"/>
      <c r="J49" s="85"/>
    </row>
    <row r="52" spans="2:10" ht="15" thickBot="1" x14ac:dyDescent="0.35"/>
    <row r="53" spans="2:10" ht="15" thickBot="1" x14ac:dyDescent="0.35">
      <c r="B53" s="247" t="s">
        <v>211</v>
      </c>
      <c r="C53" s="248"/>
      <c r="D53" s="248"/>
      <c r="E53" s="248"/>
      <c r="F53" s="248"/>
      <c r="G53" s="248"/>
      <c r="H53" s="249"/>
      <c r="I53" s="73"/>
      <c r="J53" s="74"/>
    </row>
    <row r="54" spans="2:10" ht="15" thickBot="1" x14ac:dyDescent="0.35">
      <c r="B54" s="239" t="s">
        <v>121</v>
      </c>
      <c r="C54" s="240"/>
      <c r="D54" s="240"/>
      <c r="E54" s="240"/>
      <c r="F54" s="240"/>
      <c r="G54" s="240"/>
      <c r="H54" s="241"/>
      <c r="I54" s="1"/>
      <c r="J54" s="2"/>
    </row>
    <row r="55" spans="2:10" x14ac:dyDescent="0.3">
      <c r="B55" s="73" t="s">
        <v>218</v>
      </c>
      <c r="C55" s="84"/>
      <c r="D55" s="84"/>
      <c r="E55" s="84"/>
      <c r="G55" t="s">
        <v>39</v>
      </c>
      <c r="H55" s="2"/>
      <c r="I55" s="1"/>
      <c r="J55" s="2"/>
    </row>
    <row r="56" spans="2:10" x14ac:dyDescent="0.3">
      <c r="B56" s="78" t="s">
        <v>216</v>
      </c>
      <c r="C56" s="76"/>
      <c r="D56" s="76"/>
      <c r="H56" s="2"/>
      <c r="I56" s="1"/>
      <c r="J56" s="2"/>
    </row>
    <row r="57" spans="2:10" x14ac:dyDescent="0.3">
      <c r="B57" s="79"/>
      <c r="C57" s="80"/>
      <c r="D57" s="80"/>
      <c r="E57" s="81"/>
      <c r="F57" s="81"/>
      <c r="G57" s="81"/>
      <c r="H57" s="82"/>
      <c r="I57" s="1"/>
      <c r="J57" s="2"/>
    </row>
    <row r="58" spans="2:10" x14ac:dyDescent="0.3">
      <c r="B58" s="242" t="s">
        <v>214</v>
      </c>
      <c r="C58" s="243"/>
      <c r="D58" s="243"/>
      <c r="E58" s="243"/>
      <c r="F58" s="243"/>
      <c r="G58" s="243"/>
      <c r="H58" s="244"/>
      <c r="I58" s="1"/>
      <c r="J58" s="2"/>
    </row>
    <row r="59" spans="2:10" x14ac:dyDescent="0.3">
      <c r="B59" s="78"/>
      <c r="C59" s="76"/>
      <c r="D59" s="76"/>
      <c r="H59" s="2"/>
      <c r="I59" s="1"/>
      <c r="J59" s="2"/>
    </row>
    <row r="60" spans="2:10" x14ac:dyDescent="0.3">
      <c r="B60" s="1" t="s">
        <v>210</v>
      </c>
      <c r="E60" t="e">
        <f>PRORRATEO!#REF!</f>
        <v>#REF!</v>
      </c>
      <c r="H60" s="2"/>
      <c r="I60" s="245" t="s">
        <v>215</v>
      </c>
      <c r="J60" s="246"/>
    </row>
    <row r="61" spans="2:10" x14ac:dyDescent="0.3">
      <c r="B61" s="1" t="s">
        <v>209</v>
      </c>
      <c r="C61" s="76" t="e">
        <f>PRORRATEO!#REF!</f>
        <v>#REF!</v>
      </c>
      <c r="D61" s="77" t="s">
        <v>213</v>
      </c>
      <c r="E61" s="76" t="e">
        <f>PRORRATEO!#REF!</f>
        <v>#REF!</v>
      </c>
      <c r="H61" s="2"/>
      <c r="I61" s="1"/>
      <c r="J61" s="2"/>
    </row>
    <row r="62" spans="2:10" x14ac:dyDescent="0.3">
      <c r="B62" s="1"/>
      <c r="H62" s="2"/>
      <c r="I62" s="245"/>
      <c r="J62" s="246"/>
    </row>
    <row r="63" spans="2:10" x14ac:dyDescent="0.3">
      <c r="B63" s="1"/>
      <c r="H63" s="2"/>
      <c r="I63" s="1"/>
      <c r="J63" s="2"/>
    </row>
    <row r="64" spans="2:10" x14ac:dyDescent="0.3">
      <c r="B64" s="1"/>
      <c r="H64" s="2"/>
      <c r="I64" s="1"/>
      <c r="J64" s="2"/>
    </row>
    <row r="65" spans="2:10" ht="15" thickBot="1" x14ac:dyDescent="0.35">
      <c r="B65" s="1"/>
      <c r="H65" s="2"/>
      <c r="I65" s="83"/>
      <c r="J65" s="86"/>
    </row>
    <row r="66" spans="2:10" ht="15" thickBot="1" x14ac:dyDescent="0.35">
      <c r="B66" s="235" t="s">
        <v>212</v>
      </c>
      <c r="C66" s="236"/>
      <c r="D66" s="236"/>
      <c r="E66" s="236"/>
      <c r="F66" s="236"/>
      <c r="G66" s="237" t="e">
        <f>PRORRATEO!#REF!</f>
        <v>#REF!</v>
      </c>
      <c r="H66" s="238"/>
      <c r="I66" s="75"/>
      <c r="J66" s="85"/>
    </row>
    <row r="70" spans="2:10" ht="15" thickBot="1" x14ac:dyDescent="0.35"/>
    <row r="71" spans="2:10" ht="15" thickBot="1" x14ac:dyDescent="0.35">
      <c r="B71" s="247" t="s">
        <v>211</v>
      </c>
      <c r="C71" s="248"/>
      <c r="D71" s="248"/>
      <c r="E71" s="248"/>
      <c r="F71" s="248"/>
      <c r="G71" s="248"/>
      <c r="H71" s="249"/>
      <c r="I71" s="73"/>
      <c r="J71" s="74"/>
    </row>
    <row r="72" spans="2:10" ht="15" thickBot="1" x14ac:dyDescent="0.35">
      <c r="B72" s="239" t="s">
        <v>121</v>
      </c>
      <c r="C72" s="240"/>
      <c r="D72" s="240"/>
      <c r="E72" s="240"/>
      <c r="F72" s="240"/>
      <c r="G72" s="240"/>
      <c r="H72" s="241"/>
      <c r="I72" s="1"/>
      <c r="J72" s="2"/>
    </row>
    <row r="73" spans="2:10" x14ac:dyDescent="0.3">
      <c r="B73" s="73" t="s">
        <v>218</v>
      </c>
      <c r="C73" s="84"/>
      <c r="D73" s="84"/>
      <c r="E73" s="84"/>
      <c r="G73" t="s">
        <v>39</v>
      </c>
      <c r="H73" s="2"/>
      <c r="I73" s="1"/>
      <c r="J73" s="2"/>
    </row>
    <row r="74" spans="2:10" x14ac:dyDescent="0.3">
      <c r="B74" s="78" t="s">
        <v>216</v>
      </c>
      <c r="C74" s="76"/>
      <c r="D74" s="76"/>
      <c r="H74" s="2"/>
      <c r="I74" s="1"/>
      <c r="J74" s="2"/>
    </row>
    <row r="75" spans="2:10" x14ac:dyDescent="0.3">
      <c r="B75" s="79"/>
      <c r="C75" s="80"/>
      <c r="D75" s="80"/>
      <c r="E75" s="81"/>
      <c r="F75" s="81"/>
      <c r="G75" s="81"/>
      <c r="H75" s="82"/>
      <c r="I75" s="1"/>
      <c r="J75" s="2"/>
    </row>
    <row r="76" spans="2:10" x14ac:dyDescent="0.3">
      <c r="B76" s="242" t="s">
        <v>214</v>
      </c>
      <c r="C76" s="243"/>
      <c r="D76" s="243"/>
      <c r="E76" s="243"/>
      <c r="F76" s="243"/>
      <c r="G76" s="243"/>
      <c r="H76" s="244"/>
      <c r="I76" s="1"/>
      <c r="J76" s="2"/>
    </row>
    <row r="77" spans="2:10" x14ac:dyDescent="0.3">
      <c r="B77" s="78"/>
      <c r="C77" s="76"/>
      <c r="D77" s="76"/>
      <c r="H77" s="2"/>
      <c r="I77" s="1"/>
      <c r="J77" s="2"/>
    </row>
    <row r="78" spans="2:10" x14ac:dyDescent="0.3">
      <c r="B78" s="1" t="s">
        <v>210</v>
      </c>
      <c r="E78" t="e">
        <f>PRORRATEO!#REF!</f>
        <v>#REF!</v>
      </c>
      <c r="H78" s="2"/>
      <c r="I78" s="245" t="s">
        <v>215</v>
      </c>
      <c r="J78" s="246"/>
    </row>
    <row r="79" spans="2:10" x14ac:dyDescent="0.3">
      <c r="B79" s="1" t="s">
        <v>209</v>
      </c>
      <c r="C79" s="76" t="e">
        <f>PRORRATEO!#REF!</f>
        <v>#REF!</v>
      </c>
      <c r="D79" s="77" t="s">
        <v>213</v>
      </c>
      <c r="E79" s="76" t="e">
        <f>PRORRATEO!#REF!</f>
        <v>#REF!</v>
      </c>
      <c r="H79" s="2"/>
      <c r="I79" s="1"/>
      <c r="J79" s="2"/>
    </row>
    <row r="80" spans="2:10" x14ac:dyDescent="0.3">
      <c r="B80" s="1"/>
      <c r="H80" s="2"/>
      <c r="I80" s="245"/>
      <c r="J80" s="246"/>
    </row>
    <row r="81" spans="2:10" x14ac:dyDescent="0.3">
      <c r="B81" s="1"/>
      <c r="H81" s="2"/>
      <c r="I81" s="1"/>
      <c r="J81" s="2"/>
    </row>
    <row r="82" spans="2:10" x14ac:dyDescent="0.3">
      <c r="B82" s="1"/>
      <c r="H82" s="2"/>
      <c r="I82" s="1"/>
      <c r="J82" s="2"/>
    </row>
    <row r="83" spans="2:10" ht="15" thickBot="1" x14ac:dyDescent="0.35">
      <c r="B83" s="1"/>
      <c r="H83" s="2"/>
      <c r="I83" s="83"/>
      <c r="J83" s="86"/>
    </row>
    <row r="84" spans="2:10" ht="15" thickBot="1" x14ac:dyDescent="0.35">
      <c r="B84" s="235" t="s">
        <v>212</v>
      </c>
      <c r="C84" s="236"/>
      <c r="D84" s="236"/>
      <c r="E84" s="236"/>
      <c r="F84" s="236"/>
      <c r="G84" s="237" t="e">
        <f>PRORRATEO!#REF!</f>
        <v>#REF!</v>
      </c>
      <c r="H84" s="238"/>
      <c r="I84" s="75"/>
      <c r="J84" s="85"/>
    </row>
    <row r="86" spans="2:10" ht="136.5" customHeight="1" x14ac:dyDescent="0.3"/>
    <row r="87" spans="2:10" ht="74.25" customHeight="1" x14ac:dyDescent="0.3"/>
    <row r="88" spans="2:10" ht="15" thickBot="1" x14ac:dyDescent="0.35"/>
    <row r="89" spans="2:10" ht="15" thickBot="1" x14ac:dyDescent="0.35">
      <c r="B89" s="247" t="s">
        <v>211</v>
      </c>
      <c r="C89" s="248"/>
      <c r="D89" s="248"/>
      <c r="E89" s="248"/>
      <c r="F89" s="248"/>
      <c r="G89" s="248"/>
      <c r="H89" s="249"/>
      <c r="I89" s="73"/>
      <c r="J89" s="74"/>
    </row>
    <row r="90" spans="2:10" ht="15" thickBot="1" x14ac:dyDescent="0.35">
      <c r="B90" s="239" t="s">
        <v>121</v>
      </c>
      <c r="C90" s="240"/>
      <c r="D90" s="240"/>
      <c r="E90" s="240"/>
      <c r="F90" s="240"/>
      <c r="G90" s="240"/>
      <c r="H90" s="241"/>
      <c r="I90" s="1"/>
      <c r="J90" s="2"/>
    </row>
    <row r="91" spans="2:10" x14ac:dyDescent="0.3">
      <c r="B91" s="73" t="s">
        <v>218</v>
      </c>
      <c r="C91" s="84"/>
      <c r="D91" s="84"/>
      <c r="E91" s="84"/>
      <c r="G91" t="s">
        <v>39</v>
      </c>
      <c r="H91" s="2"/>
      <c r="I91" s="1"/>
      <c r="J91" s="2"/>
    </row>
    <row r="92" spans="2:10" x14ac:dyDescent="0.3">
      <c r="B92" s="78" t="s">
        <v>216</v>
      </c>
      <c r="C92" s="76"/>
      <c r="D92" s="76"/>
      <c r="H92" s="2"/>
      <c r="I92" s="1"/>
      <c r="J92" s="2"/>
    </row>
    <row r="93" spans="2:10" x14ac:dyDescent="0.3">
      <c r="B93" s="79"/>
      <c r="C93" s="80"/>
      <c r="D93" s="80"/>
      <c r="E93" s="81"/>
      <c r="F93" s="81"/>
      <c r="G93" s="81"/>
      <c r="H93" s="82"/>
      <c r="I93" s="1"/>
      <c r="J93" s="2"/>
    </row>
    <row r="94" spans="2:10" x14ac:dyDescent="0.3">
      <c r="B94" s="242" t="s">
        <v>214</v>
      </c>
      <c r="C94" s="243"/>
      <c r="D94" s="243"/>
      <c r="E94" s="243"/>
      <c r="F94" s="243"/>
      <c r="G94" s="243"/>
      <c r="H94" s="244"/>
      <c r="I94" s="1"/>
      <c r="J94" s="2"/>
    </row>
    <row r="95" spans="2:10" x14ac:dyDescent="0.3">
      <c r="B95" s="78"/>
      <c r="C95" s="76"/>
      <c r="D95" s="76"/>
      <c r="H95" s="2"/>
      <c r="I95" s="1"/>
      <c r="J95" s="2"/>
    </row>
    <row r="96" spans="2:10" x14ac:dyDescent="0.3">
      <c r="B96" s="1" t="s">
        <v>210</v>
      </c>
      <c r="E96" t="e">
        <f>PRORRATEO!#REF!</f>
        <v>#REF!</v>
      </c>
      <c r="H96" s="2"/>
      <c r="I96" s="245" t="s">
        <v>215</v>
      </c>
      <c r="J96" s="246"/>
    </row>
    <row r="97" spans="2:10" x14ac:dyDescent="0.3">
      <c r="B97" s="1" t="s">
        <v>209</v>
      </c>
      <c r="C97" s="76" t="e">
        <f>PRORRATEO!#REF!</f>
        <v>#REF!</v>
      </c>
      <c r="D97" s="77" t="s">
        <v>213</v>
      </c>
      <c r="E97" s="76" t="e">
        <f>PRORRATEO!#REF!</f>
        <v>#REF!</v>
      </c>
      <c r="H97" s="2"/>
      <c r="I97" s="1"/>
      <c r="J97" s="2"/>
    </row>
    <row r="98" spans="2:10" x14ac:dyDescent="0.3">
      <c r="B98" s="1"/>
      <c r="H98" s="2"/>
      <c r="I98" s="245"/>
      <c r="J98" s="246"/>
    </row>
    <row r="99" spans="2:10" x14ac:dyDescent="0.3">
      <c r="B99" s="1"/>
      <c r="H99" s="2"/>
      <c r="I99" s="1"/>
      <c r="J99" s="2"/>
    </row>
    <row r="100" spans="2:10" x14ac:dyDescent="0.3">
      <c r="B100" s="1"/>
      <c r="H100" s="2"/>
      <c r="I100" s="1"/>
      <c r="J100" s="2"/>
    </row>
    <row r="101" spans="2:10" ht="15" thickBot="1" x14ac:dyDescent="0.35">
      <c r="B101" s="1"/>
      <c r="H101" s="2"/>
      <c r="I101" s="83"/>
      <c r="J101" s="86"/>
    </row>
    <row r="102" spans="2:10" ht="15" thickBot="1" x14ac:dyDescent="0.35">
      <c r="B102" s="235" t="s">
        <v>212</v>
      </c>
      <c r="C102" s="236"/>
      <c r="D102" s="236"/>
      <c r="E102" s="236"/>
      <c r="F102" s="236"/>
      <c r="G102" s="237" t="e">
        <f>PRORRATEO!#REF!</f>
        <v>#REF!</v>
      </c>
      <c r="H102" s="238"/>
      <c r="I102" s="75"/>
      <c r="J102" s="85"/>
    </row>
    <row r="105" spans="2:10" ht="15" thickBot="1" x14ac:dyDescent="0.35"/>
    <row r="106" spans="2:10" ht="15" thickBot="1" x14ac:dyDescent="0.35">
      <c r="B106" s="247" t="s">
        <v>211</v>
      </c>
      <c r="C106" s="248"/>
      <c r="D106" s="248"/>
      <c r="E106" s="248"/>
      <c r="F106" s="248"/>
      <c r="G106" s="248"/>
      <c r="H106" s="249"/>
      <c r="I106" s="73"/>
      <c r="J106" s="74"/>
    </row>
    <row r="107" spans="2:10" ht="15" thickBot="1" x14ac:dyDescent="0.35">
      <c r="B107" s="239" t="s">
        <v>121</v>
      </c>
      <c r="C107" s="240"/>
      <c r="D107" s="240"/>
      <c r="E107" s="240"/>
      <c r="F107" s="240"/>
      <c r="G107" s="240"/>
      <c r="H107" s="241"/>
      <c r="I107" s="1"/>
      <c r="J107" s="2"/>
    </row>
    <row r="108" spans="2:10" x14ac:dyDescent="0.3">
      <c r="B108" s="73" t="s">
        <v>218</v>
      </c>
      <c r="C108" s="84"/>
      <c r="D108" s="84"/>
      <c r="E108" s="84"/>
      <c r="G108" t="s">
        <v>39</v>
      </c>
      <c r="H108" s="2"/>
      <c r="I108" s="1"/>
      <c r="J108" s="2"/>
    </row>
    <row r="109" spans="2:10" x14ac:dyDescent="0.3">
      <c r="B109" s="78" t="s">
        <v>216</v>
      </c>
      <c r="C109" s="76"/>
      <c r="D109" s="76"/>
      <c r="H109" s="2"/>
      <c r="I109" s="1"/>
      <c r="J109" s="2"/>
    </row>
    <row r="110" spans="2:10" x14ac:dyDescent="0.3">
      <c r="B110" s="79"/>
      <c r="C110" s="80"/>
      <c r="D110" s="80"/>
      <c r="E110" s="81"/>
      <c r="F110" s="81"/>
      <c r="G110" s="81"/>
      <c r="H110" s="82"/>
      <c r="I110" s="1"/>
      <c r="J110" s="2"/>
    </row>
    <row r="111" spans="2:10" x14ac:dyDescent="0.3">
      <c r="B111" s="242" t="s">
        <v>214</v>
      </c>
      <c r="C111" s="243"/>
      <c r="D111" s="243"/>
      <c r="E111" s="243"/>
      <c r="F111" s="243"/>
      <c r="G111" s="243"/>
      <c r="H111" s="244"/>
      <c r="I111" s="1"/>
      <c r="J111" s="2"/>
    </row>
    <row r="112" spans="2:10" x14ac:dyDescent="0.3">
      <c r="B112" s="78"/>
      <c r="C112" s="76"/>
      <c r="D112" s="76"/>
      <c r="H112" s="2"/>
      <c r="I112" s="1"/>
      <c r="J112" s="2"/>
    </row>
    <row r="113" spans="2:10" x14ac:dyDescent="0.3">
      <c r="B113" s="1" t="s">
        <v>210</v>
      </c>
      <c r="E113" t="e">
        <f>PRORRATEO!#REF!</f>
        <v>#REF!</v>
      </c>
      <c r="H113" s="2"/>
      <c r="I113" s="245" t="s">
        <v>215</v>
      </c>
      <c r="J113" s="246"/>
    </row>
    <row r="114" spans="2:10" x14ac:dyDescent="0.3">
      <c r="B114" s="1" t="s">
        <v>209</v>
      </c>
      <c r="C114" s="76" t="e">
        <f>PRORRATEO!#REF!</f>
        <v>#REF!</v>
      </c>
      <c r="D114" s="77" t="s">
        <v>213</v>
      </c>
      <c r="E114" s="76" t="e">
        <f>PRORRATEO!#REF!</f>
        <v>#REF!</v>
      </c>
      <c r="H114" s="2"/>
      <c r="I114" s="1"/>
      <c r="J114" s="2"/>
    </row>
    <row r="115" spans="2:10" x14ac:dyDescent="0.3">
      <c r="B115" s="1"/>
      <c r="H115" s="2"/>
      <c r="I115" s="245"/>
      <c r="J115" s="246"/>
    </row>
    <row r="116" spans="2:10" x14ac:dyDescent="0.3">
      <c r="B116" s="1"/>
      <c r="H116" s="2"/>
      <c r="I116" s="1"/>
      <c r="J116" s="2"/>
    </row>
    <row r="117" spans="2:10" x14ac:dyDescent="0.3">
      <c r="B117" s="1"/>
      <c r="H117" s="2"/>
      <c r="I117" s="1"/>
      <c r="J117" s="2"/>
    </row>
    <row r="118" spans="2:10" ht="15" thickBot="1" x14ac:dyDescent="0.35">
      <c r="B118" s="1"/>
      <c r="H118" s="2"/>
      <c r="I118" s="83"/>
      <c r="J118" s="86"/>
    </row>
    <row r="119" spans="2:10" ht="15" thickBot="1" x14ac:dyDescent="0.35">
      <c r="B119" s="235" t="s">
        <v>212</v>
      </c>
      <c r="C119" s="236"/>
      <c r="D119" s="236"/>
      <c r="E119" s="236"/>
      <c r="F119" s="236"/>
      <c r="G119" s="237" t="e">
        <f>PRORRATEO!#REF!</f>
        <v>#REF!</v>
      </c>
      <c r="H119" s="238"/>
      <c r="I119" s="75"/>
      <c r="J119" s="85"/>
    </row>
    <row r="121" spans="2:10" ht="0.75" customHeight="1" x14ac:dyDescent="0.3"/>
    <row r="122" spans="2:10" ht="15" thickBot="1" x14ac:dyDescent="0.35"/>
    <row r="123" spans="2:10" ht="15" thickBot="1" x14ac:dyDescent="0.35">
      <c r="B123" s="247" t="s">
        <v>211</v>
      </c>
      <c r="C123" s="248"/>
      <c r="D123" s="248"/>
      <c r="E123" s="248"/>
      <c r="F123" s="248"/>
      <c r="G123" s="248"/>
      <c r="H123" s="249"/>
      <c r="I123" s="73"/>
      <c r="J123" s="74"/>
    </row>
    <row r="124" spans="2:10" ht="15" thickBot="1" x14ac:dyDescent="0.35">
      <c r="B124" s="239" t="s">
        <v>121</v>
      </c>
      <c r="C124" s="240"/>
      <c r="D124" s="240"/>
      <c r="E124" s="240"/>
      <c r="F124" s="240"/>
      <c r="G124" s="240"/>
      <c r="H124" s="241"/>
      <c r="I124" s="1"/>
      <c r="J124" s="2"/>
    </row>
    <row r="125" spans="2:10" x14ac:dyDescent="0.3">
      <c r="B125" s="73" t="s">
        <v>218</v>
      </c>
      <c r="C125" s="84"/>
      <c r="D125" s="84"/>
      <c r="E125" s="84"/>
      <c r="G125" t="s">
        <v>39</v>
      </c>
      <c r="H125" s="2"/>
      <c r="I125" s="1"/>
      <c r="J125" s="2"/>
    </row>
    <row r="126" spans="2:10" x14ac:dyDescent="0.3">
      <c r="B126" s="78" t="s">
        <v>216</v>
      </c>
      <c r="C126" s="76"/>
      <c r="D126" s="76"/>
      <c r="H126" s="2"/>
      <c r="I126" s="1"/>
      <c r="J126" s="2"/>
    </row>
    <row r="127" spans="2:10" x14ac:dyDescent="0.3">
      <c r="B127" s="79"/>
      <c r="C127" s="80"/>
      <c r="D127" s="80"/>
      <c r="E127" s="81"/>
      <c r="F127" s="81"/>
      <c r="G127" s="81"/>
      <c r="H127" s="82"/>
      <c r="I127" s="1"/>
      <c r="J127" s="2"/>
    </row>
    <row r="128" spans="2:10" x14ac:dyDescent="0.3">
      <c r="B128" s="242" t="s">
        <v>214</v>
      </c>
      <c r="C128" s="243"/>
      <c r="D128" s="243"/>
      <c r="E128" s="243"/>
      <c r="F128" s="243"/>
      <c r="G128" s="243"/>
      <c r="H128" s="244"/>
      <c r="I128" s="1"/>
      <c r="J128" s="2"/>
    </row>
    <row r="129" spans="2:10" x14ac:dyDescent="0.3">
      <c r="B129" s="78"/>
      <c r="C129" s="76"/>
      <c r="D129" s="76"/>
      <c r="H129" s="2"/>
      <c r="I129" s="1"/>
      <c r="J129" s="2"/>
    </row>
    <row r="130" spans="2:10" x14ac:dyDescent="0.3">
      <c r="B130" s="1" t="s">
        <v>210</v>
      </c>
      <c r="E130" t="e">
        <f>PRORRATEO!#REF!</f>
        <v>#REF!</v>
      </c>
      <c r="H130" s="2"/>
      <c r="I130" s="245" t="s">
        <v>215</v>
      </c>
      <c r="J130" s="246"/>
    </row>
    <row r="131" spans="2:10" x14ac:dyDescent="0.3">
      <c r="B131" s="1" t="s">
        <v>209</v>
      </c>
      <c r="C131" s="76" t="e">
        <f>PRORRATEO!#REF!</f>
        <v>#REF!</v>
      </c>
      <c r="D131" s="77" t="s">
        <v>213</v>
      </c>
      <c r="E131" s="76" t="e">
        <f>PRORRATEO!#REF!</f>
        <v>#REF!</v>
      </c>
      <c r="H131" s="2"/>
      <c r="I131" s="1"/>
      <c r="J131" s="2"/>
    </row>
    <row r="132" spans="2:10" x14ac:dyDescent="0.3">
      <c r="B132" s="1"/>
      <c r="H132" s="2"/>
      <c r="I132" s="245"/>
      <c r="J132" s="246"/>
    </row>
    <row r="133" spans="2:10" x14ac:dyDescent="0.3">
      <c r="B133" s="1"/>
      <c r="H133" s="2"/>
      <c r="I133" s="1"/>
      <c r="J133" s="2"/>
    </row>
    <row r="134" spans="2:10" x14ac:dyDescent="0.3">
      <c r="B134" s="1"/>
      <c r="H134" s="2"/>
      <c r="I134" s="1"/>
      <c r="J134" s="2"/>
    </row>
    <row r="135" spans="2:10" ht="15" thickBot="1" x14ac:dyDescent="0.35">
      <c r="B135" s="1"/>
      <c r="H135" s="2"/>
      <c r="I135" s="83"/>
      <c r="J135" s="86"/>
    </row>
    <row r="136" spans="2:10" ht="15" thickBot="1" x14ac:dyDescent="0.35">
      <c r="B136" s="235" t="s">
        <v>212</v>
      </c>
      <c r="C136" s="236"/>
      <c r="D136" s="236"/>
      <c r="E136" s="236"/>
      <c r="F136" s="236"/>
      <c r="G136" s="237" t="e">
        <f>PRORRATEO!#REF!</f>
        <v>#REF!</v>
      </c>
      <c r="H136" s="238"/>
      <c r="I136" s="75"/>
      <c r="J136" s="85"/>
    </row>
    <row r="140" spans="2:10" ht="15" thickBot="1" x14ac:dyDescent="0.35"/>
    <row r="141" spans="2:10" ht="15" thickBot="1" x14ac:dyDescent="0.35">
      <c r="B141" s="247" t="s">
        <v>211</v>
      </c>
      <c r="C141" s="248"/>
      <c r="D141" s="248"/>
      <c r="E141" s="248"/>
      <c r="F141" s="248"/>
      <c r="G141" s="248"/>
      <c r="H141" s="249"/>
      <c r="I141" s="73"/>
      <c r="J141" s="74"/>
    </row>
    <row r="142" spans="2:10" ht="15" thickBot="1" x14ac:dyDescent="0.35">
      <c r="B142" s="239" t="s">
        <v>121</v>
      </c>
      <c r="C142" s="240"/>
      <c r="D142" s="240"/>
      <c r="E142" s="240"/>
      <c r="F142" s="240"/>
      <c r="G142" s="240"/>
      <c r="H142" s="241"/>
      <c r="I142" s="1"/>
      <c r="J142" s="2"/>
    </row>
    <row r="143" spans="2:10" x14ac:dyDescent="0.3">
      <c r="B143" s="73" t="s">
        <v>218</v>
      </c>
      <c r="C143" s="84"/>
      <c r="D143" s="84"/>
      <c r="E143" s="84"/>
      <c r="G143" t="s">
        <v>39</v>
      </c>
      <c r="H143" s="2"/>
      <c r="I143" s="1"/>
      <c r="J143" s="2"/>
    </row>
    <row r="144" spans="2:10" x14ac:dyDescent="0.3">
      <c r="B144" s="78" t="s">
        <v>216</v>
      </c>
      <c r="C144" s="76"/>
      <c r="D144" s="76"/>
      <c r="H144" s="2"/>
      <c r="I144" s="1"/>
      <c r="J144" s="2"/>
    </row>
    <row r="145" spans="2:10" x14ac:dyDescent="0.3">
      <c r="B145" s="79"/>
      <c r="C145" s="80"/>
      <c r="D145" s="80"/>
      <c r="E145" s="81"/>
      <c r="F145" s="81"/>
      <c r="G145" s="81"/>
      <c r="H145" s="82"/>
      <c r="I145" s="1"/>
      <c r="J145" s="2"/>
    </row>
    <row r="146" spans="2:10" x14ac:dyDescent="0.3">
      <c r="B146" s="242" t="s">
        <v>214</v>
      </c>
      <c r="C146" s="243"/>
      <c r="D146" s="243"/>
      <c r="E146" s="243"/>
      <c r="F146" s="243"/>
      <c r="G146" s="243"/>
      <c r="H146" s="244"/>
      <c r="I146" s="1"/>
      <c r="J146" s="2"/>
    </row>
    <row r="147" spans="2:10" x14ac:dyDescent="0.3">
      <c r="B147" s="78"/>
      <c r="C147" s="76"/>
      <c r="D147" s="76"/>
      <c r="H147" s="2"/>
      <c r="I147" s="1"/>
      <c r="J147" s="2"/>
    </row>
    <row r="148" spans="2:10" x14ac:dyDescent="0.3">
      <c r="B148" s="1" t="s">
        <v>210</v>
      </c>
      <c r="E148" t="e">
        <f>PRORRATEO!#REF!</f>
        <v>#REF!</v>
      </c>
      <c r="H148" s="2"/>
      <c r="I148" s="245" t="s">
        <v>215</v>
      </c>
      <c r="J148" s="246"/>
    </row>
    <row r="149" spans="2:10" x14ac:dyDescent="0.3">
      <c r="B149" s="1" t="s">
        <v>209</v>
      </c>
      <c r="C149" s="76" t="e">
        <f>PRORRATEO!#REF!</f>
        <v>#REF!</v>
      </c>
      <c r="D149" s="77" t="s">
        <v>213</v>
      </c>
      <c r="E149" s="76" t="e">
        <f>PRORRATEO!#REF!</f>
        <v>#REF!</v>
      </c>
      <c r="H149" s="2"/>
      <c r="I149" s="1"/>
      <c r="J149" s="2"/>
    </row>
    <row r="150" spans="2:10" x14ac:dyDescent="0.3">
      <c r="B150" s="1"/>
      <c r="H150" s="2"/>
      <c r="I150" s="245"/>
      <c r="J150" s="246"/>
    </row>
    <row r="151" spans="2:10" x14ac:dyDescent="0.3">
      <c r="B151" s="1"/>
      <c r="H151" s="2"/>
      <c r="I151" s="1"/>
      <c r="J151" s="2"/>
    </row>
    <row r="152" spans="2:10" x14ac:dyDescent="0.3">
      <c r="B152" s="1"/>
      <c r="H152" s="2"/>
      <c r="I152" s="1"/>
      <c r="J152" s="2"/>
    </row>
    <row r="153" spans="2:10" ht="15" thickBot="1" x14ac:dyDescent="0.35">
      <c r="B153" s="1"/>
      <c r="H153" s="2"/>
      <c r="I153" s="83"/>
      <c r="J153" s="86"/>
    </row>
    <row r="154" spans="2:10" ht="15" thickBot="1" x14ac:dyDescent="0.35">
      <c r="B154" s="235" t="s">
        <v>212</v>
      </c>
      <c r="C154" s="236"/>
      <c r="D154" s="236"/>
      <c r="E154" s="236"/>
      <c r="F154" s="236"/>
      <c r="G154" s="237" t="e">
        <f>PRORRATEO!#REF!</f>
        <v>#REF!</v>
      </c>
      <c r="H154" s="238"/>
      <c r="I154" s="75"/>
      <c r="J154" s="85"/>
    </row>
    <row r="157" spans="2:10" ht="15" thickBot="1" x14ac:dyDescent="0.35"/>
    <row r="158" spans="2:10" ht="15" thickBot="1" x14ac:dyDescent="0.35">
      <c r="B158" s="247" t="s">
        <v>211</v>
      </c>
      <c r="C158" s="248"/>
      <c r="D158" s="248"/>
      <c r="E158" s="248"/>
      <c r="F158" s="248"/>
      <c r="G158" s="248"/>
      <c r="H158" s="249"/>
      <c r="I158" s="73"/>
      <c r="J158" s="74"/>
    </row>
    <row r="159" spans="2:10" ht="15" thickBot="1" x14ac:dyDescent="0.35">
      <c r="B159" s="239" t="s">
        <v>121</v>
      </c>
      <c r="C159" s="240"/>
      <c r="D159" s="240"/>
      <c r="E159" s="240"/>
      <c r="F159" s="240"/>
      <c r="G159" s="240"/>
      <c r="H159" s="241"/>
      <c r="I159" s="1"/>
      <c r="J159" s="2"/>
    </row>
    <row r="160" spans="2:10" x14ac:dyDescent="0.3">
      <c r="B160" s="73" t="s">
        <v>218</v>
      </c>
      <c r="C160" s="84"/>
      <c r="D160" s="84"/>
      <c r="E160" s="84"/>
      <c r="G160" t="s">
        <v>39</v>
      </c>
      <c r="H160" s="2"/>
      <c r="I160" s="1"/>
      <c r="J160" s="2"/>
    </row>
    <row r="161" spans="2:10" x14ac:dyDescent="0.3">
      <c r="B161" s="78" t="s">
        <v>216</v>
      </c>
      <c r="C161" s="76"/>
      <c r="D161" s="76"/>
      <c r="H161" s="2"/>
      <c r="I161" s="1"/>
      <c r="J161" s="2"/>
    </row>
    <row r="162" spans="2:10" x14ac:dyDescent="0.3">
      <c r="B162" s="79"/>
      <c r="C162" s="80"/>
      <c r="D162" s="80"/>
      <c r="E162" s="81"/>
      <c r="F162" s="81"/>
      <c r="G162" s="81"/>
      <c r="H162" s="82"/>
      <c r="I162" s="1"/>
      <c r="J162" s="2"/>
    </row>
    <row r="163" spans="2:10" x14ac:dyDescent="0.3">
      <c r="B163" s="242" t="s">
        <v>214</v>
      </c>
      <c r="C163" s="243"/>
      <c r="D163" s="243"/>
      <c r="E163" s="243"/>
      <c r="F163" s="243"/>
      <c r="G163" s="243"/>
      <c r="H163" s="244"/>
      <c r="I163" s="1"/>
      <c r="J163" s="2"/>
    </row>
    <row r="164" spans="2:10" x14ac:dyDescent="0.3">
      <c r="B164" s="78"/>
      <c r="C164" s="76"/>
      <c r="D164" s="76"/>
      <c r="H164" s="2"/>
      <c r="I164" s="1"/>
      <c r="J164" s="2"/>
    </row>
    <row r="165" spans="2:10" x14ac:dyDescent="0.3">
      <c r="B165" s="1" t="s">
        <v>210</v>
      </c>
      <c r="E165" t="e">
        <f>PRORRATEO!#REF!</f>
        <v>#REF!</v>
      </c>
      <c r="H165" s="2"/>
      <c r="I165" s="245" t="s">
        <v>215</v>
      </c>
      <c r="J165" s="246"/>
    </row>
    <row r="166" spans="2:10" x14ac:dyDescent="0.3">
      <c r="B166" s="1" t="s">
        <v>209</v>
      </c>
      <c r="C166" s="76" t="e">
        <f>PRORRATEO!#REF!</f>
        <v>#REF!</v>
      </c>
      <c r="D166" s="77" t="s">
        <v>213</v>
      </c>
      <c r="E166" s="76" t="e">
        <f>PRORRATEO!#REF!</f>
        <v>#REF!</v>
      </c>
      <c r="H166" s="2"/>
      <c r="I166" s="1"/>
      <c r="J166" s="2"/>
    </row>
    <row r="167" spans="2:10" x14ac:dyDescent="0.3">
      <c r="B167" s="1"/>
      <c r="H167" s="2"/>
      <c r="I167" s="245"/>
      <c r="J167" s="246"/>
    </row>
    <row r="168" spans="2:10" x14ac:dyDescent="0.3">
      <c r="B168" s="1"/>
      <c r="H168" s="2"/>
      <c r="I168" s="1"/>
      <c r="J168" s="2"/>
    </row>
    <row r="169" spans="2:10" x14ac:dyDescent="0.3">
      <c r="B169" s="1"/>
      <c r="H169" s="2"/>
      <c r="I169" s="1"/>
      <c r="J169" s="2"/>
    </row>
    <row r="170" spans="2:10" ht="15" thickBot="1" x14ac:dyDescent="0.35">
      <c r="B170" s="1"/>
      <c r="H170" s="2"/>
      <c r="I170" s="83"/>
      <c r="J170" s="86"/>
    </row>
    <row r="171" spans="2:10" ht="15" thickBot="1" x14ac:dyDescent="0.35">
      <c r="B171" s="235" t="s">
        <v>212</v>
      </c>
      <c r="C171" s="236"/>
      <c r="D171" s="236"/>
      <c r="E171" s="236"/>
      <c r="F171" s="236"/>
      <c r="G171" s="237" t="e">
        <f>PRORRATEO!#REF!</f>
        <v>#REF!</v>
      </c>
      <c r="H171" s="238"/>
      <c r="I171" s="75"/>
      <c r="J171" s="85"/>
    </row>
  </sheetData>
  <mergeCells count="70">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 ref="G31:H31"/>
    <mergeCell ref="B15:F15"/>
    <mergeCell ref="G15:H15"/>
    <mergeCell ref="B36:H36"/>
    <mergeCell ref="B37:H3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I113:J113"/>
    <mergeCell ref="I115:J115"/>
    <mergeCell ref="G84:H84"/>
    <mergeCell ref="B66:F66"/>
    <mergeCell ref="G66:H66"/>
    <mergeCell ref="B89:H89"/>
    <mergeCell ref="B90:H90"/>
    <mergeCell ref="B94:H94"/>
    <mergeCell ref="B106:H106"/>
    <mergeCell ref="B107:H107"/>
    <mergeCell ref="B123:H123"/>
    <mergeCell ref="B124:H124"/>
    <mergeCell ref="I130:J130"/>
    <mergeCell ref="I132:J132"/>
    <mergeCell ref="B119:F119"/>
    <mergeCell ref="G119:H119"/>
    <mergeCell ref="I165:J165"/>
    <mergeCell ref="B136:F136"/>
    <mergeCell ref="G136:H136"/>
    <mergeCell ref="B128:H128"/>
    <mergeCell ref="I167:J167"/>
    <mergeCell ref="I148:J148"/>
    <mergeCell ref="I150:J150"/>
    <mergeCell ref="B171:F171"/>
    <mergeCell ref="G171:H171"/>
    <mergeCell ref="B141:H141"/>
    <mergeCell ref="B142:H142"/>
    <mergeCell ref="B146:H146"/>
    <mergeCell ref="B158:H158"/>
    <mergeCell ref="B159:H159"/>
    <mergeCell ref="B163:H163"/>
    <mergeCell ref="B154:F154"/>
    <mergeCell ref="G154:H154"/>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4.4" x14ac:dyDescent="0.3"/>
  <cols>
    <col min="1" max="1" width="3.5546875" customWidth="1"/>
    <col min="4" max="4" width="6.5546875" customWidth="1"/>
    <col min="5" max="5" width="8.33203125" customWidth="1"/>
    <col min="6" max="6" width="5.88671875" customWidth="1"/>
    <col min="7" max="7" width="7.88671875" customWidth="1"/>
    <col min="8" max="8" width="9.109375" customWidth="1"/>
  </cols>
  <sheetData>
    <row r="3" spans="2:10" ht="15" thickBot="1" x14ac:dyDescent="0.35"/>
    <row r="4" spans="2:10" ht="15" thickBot="1" x14ac:dyDescent="0.35">
      <c r="B4" s="247" t="s">
        <v>211</v>
      </c>
      <c r="C4" s="248"/>
      <c r="D4" s="248"/>
      <c r="E4" s="248"/>
      <c r="F4" s="248"/>
      <c r="G4" s="248"/>
      <c r="H4" s="249"/>
      <c r="I4" s="73"/>
      <c r="J4" s="74"/>
    </row>
    <row r="5" spans="2:10" ht="15" thickBot="1" x14ac:dyDescent="0.35">
      <c r="B5" s="239" t="s">
        <v>121</v>
      </c>
      <c r="C5" s="240"/>
      <c r="D5" s="240"/>
      <c r="E5" s="240"/>
      <c r="F5" s="240"/>
      <c r="G5" s="240"/>
      <c r="H5" s="241"/>
      <c r="I5" s="1"/>
      <c r="J5" s="2"/>
    </row>
    <row r="6" spans="2:10" x14ac:dyDescent="0.3">
      <c r="B6" s="73" t="s">
        <v>218</v>
      </c>
      <c r="C6" s="84"/>
      <c r="D6" s="84"/>
      <c r="E6" s="84"/>
      <c r="G6" t="s">
        <v>39</v>
      </c>
      <c r="H6" s="2"/>
      <c r="I6" s="1"/>
      <c r="J6" s="2"/>
    </row>
    <row r="7" spans="2:10" x14ac:dyDescent="0.3">
      <c r="B7" s="78" t="s">
        <v>216</v>
      </c>
      <c r="C7" s="76"/>
      <c r="D7" s="76"/>
      <c r="H7" s="2"/>
      <c r="I7" s="1"/>
      <c r="J7" s="2"/>
    </row>
    <row r="8" spans="2:10" x14ac:dyDescent="0.3">
      <c r="B8" s="79"/>
      <c r="C8" s="80"/>
      <c r="D8" s="80"/>
      <c r="E8" s="81"/>
      <c r="F8" s="81"/>
      <c r="G8" s="81"/>
      <c r="H8" s="82"/>
      <c r="I8" s="1"/>
      <c r="J8" s="2"/>
    </row>
    <row r="9" spans="2:10" x14ac:dyDescent="0.3">
      <c r="B9" s="242" t="s">
        <v>214</v>
      </c>
      <c r="C9" s="243"/>
      <c r="D9" s="243"/>
      <c r="E9" s="243"/>
      <c r="F9" s="243"/>
      <c r="G9" s="243"/>
      <c r="H9" s="244"/>
      <c r="I9" s="1"/>
      <c r="J9" s="2"/>
    </row>
    <row r="10" spans="2:10" x14ac:dyDescent="0.3">
      <c r="B10" s="78"/>
      <c r="C10" s="76"/>
      <c r="D10" s="76"/>
      <c r="H10" s="2"/>
      <c r="I10" s="1"/>
      <c r="J10" s="2"/>
    </row>
    <row r="11" spans="2:10" x14ac:dyDescent="0.3">
      <c r="B11" s="1" t="s">
        <v>210</v>
      </c>
      <c r="E11" t="e">
        <f>PRORRATEO!#REF!</f>
        <v>#REF!</v>
      </c>
      <c r="H11" s="2"/>
      <c r="I11" s="245" t="s">
        <v>215</v>
      </c>
      <c r="J11" s="246"/>
    </row>
    <row r="12" spans="2:10" x14ac:dyDescent="0.3">
      <c r="B12" s="1" t="s">
        <v>209</v>
      </c>
      <c r="C12" s="76" t="e">
        <f>PRORRATEO!#REF!</f>
        <v>#REF!</v>
      </c>
      <c r="D12" s="77" t="s">
        <v>213</v>
      </c>
      <c r="E12" s="76" t="e">
        <f>PRORRATEO!#REF!</f>
        <v>#REF!</v>
      </c>
      <c r="H12" s="2"/>
      <c r="I12" s="1"/>
      <c r="J12" s="2"/>
    </row>
    <row r="13" spans="2:10" x14ac:dyDescent="0.3">
      <c r="B13" s="1"/>
      <c r="H13" s="2"/>
      <c r="I13" s="245"/>
      <c r="J13" s="246"/>
    </row>
    <row r="14" spans="2:10" x14ac:dyDescent="0.3">
      <c r="B14" s="1"/>
      <c r="H14" s="2"/>
      <c r="I14" s="1"/>
      <c r="J14" s="2"/>
    </row>
    <row r="15" spans="2:10" x14ac:dyDescent="0.3">
      <c r="B15" s="1"/>
      <c r="H15" s="2"/>
      <c r="I15" s="1"/>
      <c r="J15" s="2"/>
    </row>
    <row r="16" spans="2:10" ht="15" thickBot="1" x14ac:dyDescent="0.35">
      <c r="B16" s="1"/>
      <c r="H16" s="2"/>
      <c r="I16" s="83"/>
      <c r="J16" s="86"/>
    </row>
    <row r="17" spans="2:10" ht="15" thickBot="1" x14ac:dyDescent="0.35">
      <c r="B17" s="235" t="s">
        <v>212</v>
      </c>
      <c r="C17" s="236"/>
      <c r="D17" s="236"/>
      <c r="E17" s="236"/>
      <c r="F17" s="236"/>
      <c r="G17" s="237" t="e">
        <f>PRORRATEO!#REF!</f>
        <v>#REF!</v>
      </c>
      <c r="H17" s="238"/>
      <c r="I17" s="75"/>
      <c r="J17" s="85"/>
    </row>
    <row r="19" spans="2:10" ht="15" thickBot="1" x14ac:dyDescent="0.35"/>
    <row r="20" spans="2:10" ht="15" thickBot="1" x14ac:dyDescent="0.35">
      <c r="B20" s="247" t="s">
        <v>211</v>
      </c>
      <c r="C20" s="248"/>
      <c r="D20" s="248"/>
      <c r="E20" s="248"/>
      <c r="F20" s="248"/>
      <c r="G20" s="248"/>
      <c r="H20" s="249"/>
      <c r="I20" s="73"/>
      <c r="J20" s="74"/>
    </row>
    <row r="21" spans="2:10" ht="15" thickBot="1" x14ac:dyDescent="0.35">
      <c r="B21" s="239" t="s">
        <v>121</v>
      </c>
      <c r="C21" s="240"/>
      <c r="D21" s="240"/>
      <c r="E21" s="240"/>
      <c r="F21" s="240"/>
      <c r="G21" s="240"/>
      <c r="H21" s="241"/>
      <c r="I21" s="1"/>
      <c r="J21" s="2"/>
    </row>
    <row r="22" spans="2:10" x14ac:dyDescent="0.3">
      <c r="B22" s="73" t="s">
        <v>218</v>
      </c>
      <c r="C22" s="84"/>
      <c r="D22" s="84"/>
      <c r="E22" s="84"/>
      <c r="G22" t="s">
        <v>39</v>
      </c>
      <c r="H22" s="2"/>
      <c r="I22" s="1"/>
      <c r="J22" s="2"/>
    </row>
    <row r="23" spans="2:10" x14ac:dyDescent="0.3">
      <c r="B23" s="78" t="s">
        <v>216</v>
      </c>
      <c r="C23" s="76"/>
      <c r="D23" s="76"/>
      <c r="H23" s="2"/>
      <c r="I23" s="1"/>
      <c r="J23" s="2"/>
    </row>
    <row r="24" spans="2:10" x14ac:dyDescent="0.3">
      <c r="B24" s="79"/>
      <c r="C24" s="80"/>
      <c r="D24" s="80"/>
      <c r="E24" s="81"/>
      <c r="F24" s="81"/>
      <c r="G24" s="81"/>
      <c r="H24" s="82"/>
      <c r="I24" s="1"/>
      <c r="J24" s="2"/>
    </row>
    <row r="25" spans="2:10" x14ac:dyDescent="0.3">
      <c r="B25" s="242" t="s">
        <v>214</v>
      </c>
      <c r="C25" s="243"/>
      <c r="D25" s="243"/>
      <c r="E25" s="243"/>
      <c r="F25" s="243"/>
      <c r="G25" s="243"/>
      <c r="H25" s="244"/>
      <c r="I25" s="1"/>
      <c r="J25" s="2"/>
    </row>
    <row r="26" spans="2:10" x14ac:dyDescent="0.3">
      <c r="B26" s="78"/>
      <c r="C26" s="76"/>
      <c r="D26" s="76"/>
      <c r="H26" s="2"/>
      <c r="I26" s="1"/>
      <c r="J26" s="2"/>
    </row>
    <row r="27" spans="2:10" x14ac:dyDescent="0.3">
      <c r="B27" s="1" t="s">
        <v>210</v>
      </c>
      <c r="E27" t="e">
        <f>PRORRATEO!#REF!</f>
        <v>#REF!</v>
      </c>
      <c r="H27" s="2"/>
      <c r="I27" s="245" t="s">
        <v>215</v>
      </c>
      <c r="J27" s="246"/>
    </row>
    <row r="28" spans="2:10" x14ac:dyDescent="0.3">
      <c r="B28" s="1" t="s">
        <v>209</v>
      </c>
      <c r="C28" s="76" t="e">
        <f>PRORRATEO!#REF!</f>
        <v>#REF!</v>
      </c>
      <c r="D28" s="77" t="s">
        <v>213</v>
      </c>
      <c r="E28" s="76" t="e">
        <f>PRORRATEO!#REF!</f>
        <v>#REF!</v>
      </c>
      <c r="H28" s="2"/>
      <c r="I28" s="1"/>
      <c r="J28" s="2"/>
    </row>
    <row r="29" spans="2:10" x14ac:dyDescent="0.3">
      <c r="B29" s="1"/>
      <c r="H29" s="2"/>
      <c r="I29" s="245"/>
      <c r="J29" s="246"/>
    </row>
    <row r="30" spans="2:10" x14ac:dyDescent="0.3">
      <c r="B30" s="1"/>
      <c r="H30" s="2"/>
      <c r="I30" s="1"/>
      <c r="J30" s="2"/>
    </row>
    <row r="31" spans="2:10" x14ac:dyDescent="0.3">
      <c r="B31" s="1"/>
      <c r="H31" s="2"/>
      <c r="I31" s="1"/>
      <c r="J31" s="2"/>
    </row>
    <row r="32" spans="2:10" ht="15" thickBot="1" x14ac:dyDescent="0.35">
      <c r="B32" s="1"/>
      <c r="H32" s="2"/>
      <c r="I32" s="83"/>
      <c r="J32" s="86"/>
    </row>
    <row r="33" spans="2:10" ht="15" thickBot="1" x14ac:dyDescent="0.35">
      <c r="B33" s="235" t="s">
        <v>212</v>
      </c>
      <c r="C33" s="236"/>
      <c r="D33" s="236"/>
      <c r="E33" s="236"/>
      <c r="F33" s="236"/>
      <c r="G33" s="237" t="e">
        <f>PRORRATEO!#REF!</f>
        <v>#REF!</v>
      </c>
      <c r="H33" s="238"/>
      <c r="I33" s="75"/>
      <c r="J33" s="85"/>
    </row>
    <row r="34" spans="2:10" ht="12" customHeight="1" x14ac:dyDescent="0.3"/>
    <row r="35" spans="2:10" hidden="1" x14ac:dyDescent="0.3"/>
    <row r="36" spans="2:10" ht="15" thickBot="1" x14ac:dyDescent="0.35"/>
    <row r="37" spans="2:10" ht="15" thickBot="1" x14ac:dyDescent="0.35">
      <c r="B37" s="247" t="s">
        <v>211</v>
      </c>
      <c r="C37" s="248"/>
      <c r="D37" s="248"/>
      <c r="E37" s="248"/>
      <c r="F37" s="248"/>
      <c r="G37" s="248"/>
      <c r="H37" s="249"/>
      <c r="I37" s="73"/>
      <c r="J37" s="74"/>
    </row>
    <row r="38" spans="2:10" ht="15" thickBot="1" x14ac:dyDescent="0.35">
      <c r="B38" s="239" t="s">
        <v>121</v>
      </c>
      <c r="C38" s="240"/>
      <c r="D38" s="240"/>
      <c r="E38" s="240"/>
      <c r="F38" s="240"/>
      <c r="G38" s="240"/>
      <c r="H38" s="241"/>
      <c r="I38" s="1"/>
      <c r="J38" s="2"/>
    </row>
    <row r="39" spans="2:10" x14ac:dyDescent="0.3">
      <c r="B39" s="73" t="s">
        <v>218</v>
      </c>
      <c r="C39" s="84"/>
      <c r="D39" s="84"/>
      <c r="E39" s="84"/>
      <c r="G39" t="s">
        <v>39</v>
      </c>
      <c r="H39" s="2"/>
      <c r="I39" s="1"/>
      <c r="J39" s="2"/>
    </row>
    <row r="40" spans="2:10" x14ac:dyDescent="0.3">
      <c r="B40" s="78" t="s">
        <v>216</v>
      </c>
      <c r="C40" s="76"/>
      <c r="D40" s="76"/>
      <c r="H40" s="2"/>
      <c r="I40" s="1"/>
      <c r="J40" s="2"/>
    </row>
    <row r="41" spans="2:10" x14ac:dyDescent="0.3">
      <c r="B41" s="79"/>
      <c r="C41" s="80"/>
      <c r="D41" s="80"/>
      <c r="E41" s="81"/>
      <c r="F41" s="81"/>
      <c r="G41" s="81"/>
      <c r="H41" s="82"/>
      <c r="I41" s="1"/>
      <c r="J41" s="2"/>
    </row>
    <row r="42" spans="2:10" x14ac:dyDescent="0.3">
      <c r="B42" s="242" t="s">
        <v>214</v>
      </c>
      <c r="C42" s="243"/>
      <c r="D42" s="243"/>
      <c r="E42" s="243"/>
      <c r="F42" s="243"/>
      <c r="G42" s="243"/>
      <c r="H42" s="244"/>
      <c r="I42" s="1"/>
      <c r="J42" s="2"/>
    </row>
    <row r="43" spans="2:10" x14ac:dyDescent="0.3">
      <c r="B43" s="78"/>
      <c r="C43" s="76"/>
      <c r="D43" s="76"/>
      <c r="H43" s="2"/>
      <c r="I43" s="1"/>
      <c r="J43" s="2"/>
    </row>
    <row r="44" spans="2:10" x14ac:dyDescent="0.3">
      <c r="B44" s="1" t="s">
        <v>210</v>
      </c>
      <c r="E44" t="e">
        <f>PRORRATEO!#REF!</f>
        <v>#REF!</v>
      </c>
      <c r="H44" s="2"/>
      <c r="I44" s="245" t="s">
        <v>215</v>
      </c>
      <c r="J44" s="246"/>
    </row>
    <row r="45" spans="2:10" x14ac:dyDescent="0.3">
      <c r="B45" s="1" t="s">
        <v>209</v>
      </c>
      <c r="C45" s="76" t="e">
        <f>PRORRATEO!#REF!</f>
        <v>#REF!</v>
      </c>
      <c r="D45" s="77" t="s">
        <v>213</v>
      </c>
      <c r="E45" s="76" t="e">
        <f>PRORRATEO!#REF!</f>
        <v>#REF!</v>
      </c>
      <c r="H45" s="2"/>
      <c r="I45" s="1"/>
      <c r="J45" s="2"/>
    </row>
    <row r="46" spans="2:10" x14ac:dyDescent="0.3">
      <c r="B46" s="1"/>
      <c r="H46" s="2"/>
      <c r="I46" s="245"/>
      <c r="J46" s="246"/>
    </row>
    <row r="47" spans="2:10" x14ac:dyDescent="0.3">
      <c r="B47" s="1"/>
      <c r="H47" s="2"/>
      <c r="I47" s="1"/>
      <c r="J47" s="2"/>
    </row>
    <row r="48" spans="2:10" x14ac:dyDescent="0.3">
      <c r="B48" s="1"/>
      <c r="H48" s="2"/>
      <c r="I48" s="1"/>
      <c r="J48" s="2"/>
    </row>
    <row r="49" spans="2:10" ht="15" thickBot="1" x14ac:dyDescent="0.35">
      <c r="B49" s="1"/>
      <c r="H49" s="2"/>
      <c r="I49" s="83"/>
      <c r="J49" s="86"/>
    </row>
    <row r="50" spans="2:10" ht="15" thickBot="1" x14ac:dyDescent="0.35">
      <c r="B50" s="235" t="s">
        <v>212</v>
      </c>
      <c r="C50" s="236"/>
      <c r="D50" s="236"/>
      <c r="E50" s="236"/>
      <c r="F50" s="236"/>
      <c r="G50" s="237" t="e">
        <f>PRORRATEO!#REF!</f>
        <v>#REF!</v>
      </c>
      <c r="H50" s="238"/>
      <c r="I50" s="75"/>
      <c r="J50" s="85"/>
    </row>
    <row r="53" spans="2:10" ht="15" thickBot="1" x14ac:dyDescent="0.35"/>
    <row r="54" spans="2:10" ht="15" thickBot="1" x14ac:dyDescent="0.35">
      <c r="B54" s="247" t="s">
        <v>211</v>
      </c>
      <c r="C54" s="248"/>
      <c r="D54" s="248"/>
      <c r="E54" s="248"/>
      <c r="F54" s="248"/>
      <c r="G54" s="248"/>
      <c r="H54" s="249"/>
      <c r="I54" s="73"/>
      <c r="J54" s="74"/>
    </row>
    <row r="55" spans="2:10" ht="15" thickBot="1" x14ac:dyDescent="0.35">
      <c r="B55" s="239" t="s">
        <v>121</v>
      </c>
      <c r="C55" s="240"/>
      <c r="D55" s="240"/>
      <c r="E55" s="240"/>
      <c r="F55" s="240"/>
      <c r="G55" s="240"/>
      <c r="H55" s="241"/>
      <c r="I55" s="1"/>
      <c r="J55" s="2"/>
    </row>
    <row r="56" spans="2:10" x14ac:dyDescent="0.3">
      <c r="B56" s="73" t="s">
        <v>218</v>
      </c>
      <c r="C56" s="84"/>
      <c r="D56" s="84"/>
      <c r="E56" s="84"/>
      <c r="G56" t="s">
        <v>39</v>
      </c>
      <c r="H56" s="2"/>
      <c r="I56" s="1"/>
      <c r="J56" s="2"/>
    </row>
    <row r="57" spans="2:10" x14ac:dyDescent="0.3">
      <c r="B57" s="78" t="s">
        <v>216</v>
      </c>
      <c r="C57" s="76"/>
      <c r="D57" s="76"/>
      <c r="H57" s="2"/>
      <c r="I57" s="1"/>
      <c r="J57" s="2"/>
    </row>
    <row r="58" spans="2:10" x14ac:dyDescent="0.3">
      <c r="B58" s="79"/>
      <c r="C58" s="80"/>
      <c r="D58" s="80"/>
      <c r="E58" s="81"/>
      <c r="F58" s="81"/>
      <c r="G58" s="81"/>
      <c r="H58" s="82"/>
      <c r="I58" s="1"/>
      <c r="J58" s="2"/>
    </row>
    <row r="59" spans="2:10" x14ac:dyDescent="0.3">
      <c r="B59" s="242" t="s">
        <v>214</v>
      </c>
      <c r="C59" s="243"/>
      <c r="D59" s="243"/>
      <c r="E59" s="243"/>
      <c r="F59" s="243"/>
      <c r="G59" s="243"/>
      <c r="H59" s="244"/>
      <c r="I59" s="1"/>
      <c r="J59" s="2"/>
    </row>
    <row r="60" spans="2:10" x14ac:dyDescent="0.3">
      <c r="B60" s="78"/>
      <c r="C60" s="76"/>
      <c r="D60" s="76"/>
      <c r="H60" s="2"/>
      <c r="I60" s="1"/>
      <c r="J60" s="2"/>
    </row>
    <row r="61" spans="2:10" x14ac:dyDescent="0.3">
      <c r="B61" s="1" t="s">
        <v>210</v>
      </c>
      <c r="E61" t="e">
        <f>PRORRATEO!#REF!</f>
        <v>#REF!</v>
      </c>
      <c r="H61" s="2"/>
      <c r="I61" s="245" t="s">
        <v>215</v>
      </c>
      <c r="J61" s="246"/>
    </row>
    <row r="62" spans="2:10" x14ac:dyDescent="0.3">
      <c r="B62" s="1" t="s">
        <v>209</v>
      </c>
      <c r="C62" s="76" t="e">
        <f>PRORRATEO!#REF!</f>
        <v>#REF!</v>
      </c>
      <c r="D62" s="77" t="s">
        <v>213</v>
      </c>
      <c r="E62" s="76" t="e">
        <f>PRORRATEO!#REF!</f>
        <v>#REF!</v>
      </c>
      <c r="H62" s="2"/>
      <c r="I62" s="1"/>
      <c r="J62" s="2"/>
    </row>
    <row r="63" spans="2:10" x14ac:dyDescent="0.3">
      <c r="B63" s="1"/>
      <c r="H63" s="2"/>
      <c r="I63" s="245"/>
      <c r="J63" s="246"/>
    </row>
    <row r="64" spans="2:10" x14ac:dyDescent="0.3">
      <c r="B64" s="1"/>
      <c r="H64" s="2"/>
      <c r="I64" s="1"/>
      <c r="J64" s="2"/>
    </row>
    <row r="65" spans="2:10" x14ac:dyDescent="0.3">
      <c r="B65" s="1"/>
      <c r="H65" s="2"/>
      <c r="I65" s="1"/>
      <c r="J65" s="2"/>
    </row>
    <row r="66" spans="2:10" ht="15" thickBot="1" x14ac:dyDescent="0.35">
      <c r="B66" s="1"/>
      <c r="H66" s="2"/>
      <c r="I66" s="83"/>
      <c r="J66" s="86"/>
    </row>
    <row r="67" spans="2:10" ht="15" thickBot="1" x14ac:dyDescent="0.35">
      <c r="B67" s="235" t="s">
        <v>212</v>
      </c>
      <c r="C67" s="236"/>
      <c r="D67" s="236"/>
      <c r="E67" s="236"/>
      <c r="F67" s="236"/>
      <c r="G67" s="237" t="e">
        <f>PRORRATEO!#REF!</f>
        <v>#REF!</v>
      </c>
      <c r="H67" s="238"/>
      <c r="I67" s="75"/>
      <c r="J67" s="85"/>
    </row>
    <row r="70" spans="2:10" ht="15" thickBot="1" x14ac:dyDescent="0.35"/>
    <row r="71" spans="2:10" ht="15" thickBot="1" x14ac:dyDescent="0.35">
      <c r="B71" s="247" t="s">
        <v>211</v>
      </c>
      <c r="C71" s="248"/>
      <c r="D71" s="248"/>
      <c r="E71" s="248"/>
      <c r="F71" s="248"/>
      <c r="G71" s="248"/>
      <c r="H71" s="249"/>
      <c r="I71" s="73"/>
      <c r="J71" s="74"/>
    </row>
    <row r="72" spans="2:10" ht="15" thickBot="1" x14ac:dyDescent="0.35">
      <c r="B72" s="239" t="s">
        <v>121</v>
      </c>
      <c r="C72" s="240"/>
      <c r="D72" s="240"/>
      <c r="E72" s="240"/>
      <c r="F72" s="240"/>
      <c r="G72" s="240"/>
      <c r="H72" s="241"/>
      <c r="I72" s="1"/>
      <c r="J72" s="2"/>
    </row>
    <row r="73" spans="2:10" x14ac:dyDescent="0.3">
      <c r="B73" s="73" t="s">
        <v>218</v>
      </c>
      <c r="C73" s="84"/>
      <c r="D73" s="84"/>
      <c r="E73" s="84"/>
      <c r="G73" t="s">
        <v>39</v>
      </c>
      <c r="H73" s="2"/>
      <c r="I73" s="1"/>
      <c r="J73" s="2"/>
    </row>
    <row r="74" spans="2:10" x14ac:dyDescent="0.3">
      <c r="B74" s="78" t="s">
        <v>216</v>
      </c>
      <c r="C74" s="76"/>
      <c r="D74" s="76"/>
      <c r="H74" s="2"/>
      <c r="I74" s="1"/>
      <c r="J74" s="2"/>
    </row>
    <row r="75" spans="2:10" x14ac:dyDescent="0.3">
      <c r="B75" s="79"/>
      <c r="C75" s="80"/>
      <c r="D75" s="80"/>
      <c r="E75" s="81"/>
      <c r="F75" s="81"/>
      <c r="G75" s="81"/>
      <c r="H75" s="82"/>
      <c r="I75" s="1"/>
      <c r="J75" s="2"/>
    </row>
    <row r="76" spans="2:10" x14ac:dyDescent="0.3">
      <c r="B76" s="242" t="s">
        <v>214</v>
      </c>
      <c r="C76" s="243"/>
      <c r="D76" s="243"/>
      <c r="E76" s="243"/>
      <c r="F76" s="243"/>
      <c r="G76" s="243"/>
      <c r="H76" s="244"/>
      <c r="I76" s="1"/>
      <c r="J76" s="2"/>
    </row>
    <row r="77" spans="2:10" x14ac:dyDescent="0.3">
      <c r="B77" s="78"/>
      <c r="C77" s="76"/>
      <c r="D77" s="76"/>
      <c r="H77" s="2"/>
      <c r="I77" s="1"/>
      <c r="J77" s="2"/>
    </row>
    <row r="78" spans="2:10" x14ac:dyDescent="0.3">
      <c r="B78" s="1" t="s">
        <v>210</v>
      </c>
      <c r="E78" t="e">
        <f>PRORRATEO!#REF!</f>
        <v>#REF!</v>
      </c>
      <c r="H78" s="2"/>
      <c r="I78" s="245" t="s">
        <v>215</v>
      </c>
      <c r="J78" s="246"/>
    </row>
    <row r="79" spans="2:10" x14ac:dyDescent="0.3">
      <c r="B79" s="1" t="s">
        <v>209</v>
      </c>
      <c r="C79" s="76" t="e">
        <f>PRORRATEO!#REF!</f>
        <v>#REF!</v>
      </c>
      <c r="D79" s="77" t="s">
        <v>213</v>
      </c>
      <c r="E79" s="76" t="e">
        <f>PRORRATEO!#REF!</f>
        <v>#REF!</v>
      </c>
      <c r="H79" s="2"/>
      <c r="I79" s="1"/>
      <c r="J79" s="2"/>
    </row>
    <row r="80" spans="2:10" x14ac:dyDescent="0.3">
      <c r="B80" s="1"/>
      <c r="H80" s="2"/>
      <c r="I80" s="245"/>
      <c r="J80" s="246"/>
    </row>
    <row r="81" spans="2:10" x14ac:dyDescent="0.3">
      <c r="B81" s="1"/>
      <c r="H81" s="2"/>
      <c r="I81" s="1"/>
      <c r="J81" s="2"/>
    </row>
    <row r="82" spans="2:10" x14ac:dyDescent="0.3">
      <c r="B82" s="1"/>
      <c r="H82" s="2"/>
      <c r="I82" s="1"/>
      <c r="J82" s="2"/>
    </row>
    <row r="83" spans="2:10" ht="15" thickBot="1" x14ac:dyDescent="0.35">
      <c r="B83" s="1"/>
      <c r="H83" s="2"/>
      <c r="I83" s="83"/>
      <c r="J83" s="86"/>
    </row>
    <row r="84" spans="2:10" ht="15" thickBot="1" x14ac:dyDescent="0.35">
      <c r="B84" s="235" t="s">
        <v>212</v>
      </c>
      <c r="C84" s="236"/>
      <c r="D84" s="236"/>
      <c r="E84" s="236"/>
      <c r="F84" s="236"/>
      <c r="G84" s="237" t="e">
        <f>PRORRATEO!#REF!</f>
        <v>#REF!</v>
      </c>
      <c r="H84" s="238"/>
      <c r="I84" s="75"/>
      <c r="J84" s="85"/>
    </row>
    <row r="86" spans="2:10" ht="201" customHeight="1" x14ac:dyDescent="0.3"/>
    <row r="88" spans="2:10" ht="15" thickBot="1" x14ac:dyDescent="0.35"/>
    <row r="89" spans="2:10" ht="15" thickBot="1" x14ac:dyDescent="0.35">
      <c r="B89" s="247" t="s">
        <v>211</v>
      </c>
      <c r="C89" s="248"/>
      <c r="D89" s="248"/>
      <c r="E89" s="248"/>
      <c r="F89" s="248"/>
      <c r="G89" s="248"/>
      <c r="H89" s="249"/>
      <c r="I89" s="73"/>
      <c r="J89" s="74"/>
    </row>
    <row r="90" spans="2:10" ht="15" thickBot="1" x14ac:dyDescent="0.35">
      <c r="B90" s="239" t="s">
        <v>121</v>
      </c>
      <c r="C90" s="240"/>
      <c r="D90" s="240"/>
      <c r="E90" s="240"/>
      <c r="F90" s="240"/>
      <c r="G90" s="240"/>
      <c r="H90" s="241"/>
      <c r="I90" s="1"/>
      <c r="J90" s="2"/>
    </row>
    <row r="91" spans="2:10" x14ac:dyDescent="0.3">
      <c r="B91" s="73" t="s">
        <v>218</v>
      </c>
      <c r="C91" s="84"/>
      <c r="D91" s="84"/>
      <c r="E91" s="84"/>
      <c r="G91" t="s">
        <v>39</v>
      </c>
      <c r="H91" s="2"/>
      <c r="I91" s="1"/>
      <c r="J91" s="2"/>
    </row>
    <row r="92" spans="2:10" x14ac:dyDescent="0.3">
      <c r="B92" s="78" t="s">
        <v>216</v>
      </c>
      <c r="C92" s="76"/>
      <c r="D92" s="76"/>
      <c r="H92" s="2"/>
      <c r="I92" s="1"/>
      <c r="J92" s="2"/>
    </row>
    <row r="93" spans="2:10" x14ac:dyDescent="0.3">
      <c r="B93" s="79"/>
      <c r="C93" s="80"/>
      <c r="D93" s="80"/>
      <c r="E93" s="81"/>
      <c r="F93" s="81"/>
      <c r="G93" s="81"/>
      <c r="H93" s="82"/>
      <c r="I93" s="1"/>
      <c r="J93" s="2"/>
    </row>
    <row r="94" spans="2:10" x14ac:dyDescent="0.3">
      <c r="B94" s="242" t="s">
        <v>214</v>
      </c>
      <c r="C94" s="243"/>
      <c r="D94" s="243"/>
      <c r="E94" s="243"/>
      <c r="F94" s="243"/>
      <c r="G94" s="243"/>
      <c r="H94" s="244"/>
      <c r="I94" s="1"/>
      <c r="J94" s="2"/>
    </row>
    <row r="95" spans="2:10" x14ac:dyDescent="0.3">
      <c r="B95" s="78"/>
      <c r="C95" s="76"/>
      <c r="D95" s="76"/>
      <c r="H95" s="2"/>
      <c r="I95" s="1"/>
      <c r="J95" s="2"/>
    </row>
    <row r="96" spans="2:10" x14ac:dyDescent="0.3">
      <c r="B96" s="1" t="s">
        <v>210</v>
      </c>
      <c r="E96" t="e">
        <f>PRORRATEO!#REF!</f>
        <v>#REF!</v>
      </c>
      <c r="H96" s="2"/>
      <c r="I96" s="245" t="s">
        <v>215</v>
      </c>
      <c r="J96" s="246"/>
    </row>
    <row r="97" spans="2:10" x14ac:dyDescent="0.3">
      <c r="B97" s="1" t="s">
        <v>209</v>
      </c>
      <c r="C97" s="76" t="e">
        <f>PRORRATEO!#REF!</f>
        <v>#REF!</v>
      </c>
      <c r="D97" s="77" t="s">
        <v>213</v>
      </c>
      <c r="E97" s="76" t="e">
        <f>PRORRATEO!#REF!</f>
        <v>#REF!</v>
      </c>
      <c r="H97" s="2"/>
      <c r="I97" s="1"/>
      <c r="J97" s="2"/>
    </row>
    <row r="98" spans="2:10" x14ac:dyDescent="0.3">
      <c r="B98" s="1"/>
      <c r="H98" s="2"/>
      <c r="I98" s="245"/>
      <c r="J98" s="246"/>
    </row>
    <row r="99" spans="2:10" x14ac:dyDescent="0.3">
      <c r="B99" s="1"/>
      <c r="H99" s="2"/>
      <c r="I99" s="1"/>
      <c r="J99" s="2"/>
    </row>
    <row r="100" spans="2:10" x14ac:dyDescent="0.3">
      <c r="B100" s="1"/>
      <c r="H100" s="2"/>
      <c r="I100" s="1"/>
      <c r="J100" s="2"/>
    </row>
    <row r="101" spans="2:10" ht="15" thickBot="1" x14ac:dyDescent="0.35">
      <c r="B101" s="1"/>
      <c r="H101" s="2"/>
      <c r="I101" s="83"/>
      <c r="J101" s="86"/>
    </row>
    <row r="102" spans="2:10" ht="15" thickBot="1" x14ac:dyDescent="0.35">
      <c r="B102" s="235" t="s">
        <v>212</v>
      </c>
      <c r="C102" s="236"/>
      <c r="D102" s="236"/>
      <c r="E102" s="236"/>
      <c r="F102" s="236"/>
      <c r="G102" s="237" t="e">
        <f>PRORRATEO!#REF!</f>
        <v>#REF!</v>
      </c>
      <c r="H102" s="238"/>
      <c r="I102" s="75"/>
      <c r="J102" s="85"/>
    </row>
    <row r="106" spans="2:10" ht="15" thickBot="1" x14ac:dyDescent="0.35"/>
    <row r="107" spans="2:10" ht="15" thickBot="1" x14ac:dyDescent="0.35">
      <c r="B107" s="247" t="s">
        <v>211</v>
      </c>
      <c r="C107" s="248"/>
      <c r="D107" s="248"/>
      <c r="E107" s="248"/>
      <c r="F107" s="248"/>
      <c r="G107" s="248"/>
      <c r="H107" s="249"/>
      <c r="I107" s="73"/>
      <c r="J107" s="74"/>
    </row>
    <row r="108" spans="2:10" ht="15" thickBot="1" x14ac:dyDescent="0.35">
      <c r="B108" s="239" t="s">
        <v>121</v>
      </c>
      <c r="C108" s="240"/>
      <c r="D108" s="240"/>
      <c r="E108" s="240"/>
      <c r="F108" s="240"/>
      <c r="G108" s="240"/>
      <c r="H108" s="241"/>
      <c r="I108" s="1"/>
      <c r="J108" s="2"/>
    </row>
    <row r="109" spans="2:10" x14ac:dyDescent="0.3">
      <c r="B109" s="73" t="s">
        <v>218</v>
      </c>
      <c r="C109" s="84"/>
      <c r="D109" s="84"/>
      <c r="E109" s="84"/>
      <c r="G109" t="s">
        <v>39</v>
      </c>
      <c r="H109" s="2"/>
      <c r="I109" s="1"/>
      <c r="J109" s="2"/>
    </row>
    <row r="110" spans="2:10" x14ac:dyDescent="0.3">
      <c r="B110" s="78" t="s">
        <v>216</v>
      </c>
      <c r="C110" s="76"/>
      <c r="D110" s="76"/>
      <c r="H110" s="2"/>
      <c r="I110" s="1"/>
      <c r="J110" s="2"/>
    </row>
    <row r="111" spans="2:10" x14ac:dyDescent="0.3">
      <c r="B111" s="79"/>
      <c r="C111" s="80"/>
      <c r="D111" s="80"/>
      <c r="E111" s="81"/>
      <c r="F111" s="81"/>
      <c r="G111" s="81"/>
      <c r="H111" s="82"/>
      <c r="I111" s="1"/>
      <c r="J111" s="2"/>
    </row>
    <row r="112" spans="2:10" x14ac:dyDescent="0.3">
      <c r="B112" s="242" t="s">
        <v>214</v>
      </c>
      <c r="C112" s="243"/>
      <c r="D112" s="243"/>
      <c r="E112" s="243"/>
      <c r="F112" s="243"/>
      <c r="G112" s="243"/>
      <c r="H112" s="244"/>
      <c r="I112" s="1"/>
      <c r="J112" s="2"/>
    </row>
    <row r="113" spans="2:10" x14ac:dyDescent="0.3">
      <c r="B113" s="78"/>
      <c r="C113" s="76"/>
      <c r="D113" s="76"/>
      <c r="H113" s="2"/>
      <c r="I113" s="1"/>
      <c r="J113" s="2"/>
    </row>
    <row r="114" spans="2:10" x14ac:dyDescent="0.3">
      <c r="B114" s="1" t="s">
        <v>210</v>
      </c>
      <c r="E114" t="e">
        <f>PRORRATEO!#REF!</f>
        <v>#REF!</v>
      </c>
      <c r="H114" s="2"/>
      <c r="I114" s="245" t="s">
        <v>215</v>
      </c>
      <c r="J114" s="246"/>
    </row>
    <row r="115" spans="2:10" x14ac:dyDescent="0.3">
      <c r="B115" s="1" t="s">
        <v>209</v>
      </c>
      <c r="C115" s="76" t="e">
        <f>PRORRATEO!#REF!</f>
        <v>#REF!</v>
      </c>
      <c r="D115" s="77" t="s">
        <v>213</v>
      </c>
      <c r="E115" s="76" t="e">
        <f>PRORRATEO!#REF!</f>
        <v>#REF!</v>
      </c>
      <c r="H115" s="2"/>
      <c r="I115" s="1"/>
      <c r="J115" s="2"/>
    </row>
    <row r="116" spans="2:10" x14ac:dyDescent="0.3">
      <c r="B116" s="1"/>
      <c r="H116" s="2"/>
      <c r="I116" s="245"/>
      <c r="J116" s="246"/>
    </row>
    <row r="117" spans="2:10" x14ac:dyDescent="0.3">
      <c r="B117" s="1"/>
      <c r="H117" s="2"/>
      <c r="I117" s="1"/>
      <c r="J117" s="2"/>
    </row>
    <row r="118" spans="2:10" x14ac:dyDescent="0.3">
      <c r="B118" s="1"/>
      <c r="H118" s="2"/>
      <c r="I118" s="1"/>
      <c r="J118" s="2"/>
    </row>
    <row r="119" spans="2:10" ht="15" thickBot="1" x14ac:dyDescent="0.35">
      <c r="B119" s="1"/>
      <c r="H119" s="2"/>
      <c r="I119" s="83"/>
      <c r="J119" s="86"/>
    </row>
    <row r="120" spans="2:10" ht="15" thickBot="1" x14ac:dyDescent="0.35">
      <c r="B120" s="235" t="s">
        <v>212</v>
      </c>
      <c r="C120" s="236"/>
      <c r="D120" s="236"/>
      <c r="E120" s="236"/>
      <c r="F120" s="236"/>
      <c r="G120" s="237" t="e">
        <f>PRORRATEO!#REF!</f>
        <v>#REF!</v>
      </c>
      <c r="H120" s="238"/>
      <c r="I120" s="75"/>
      <c r="J120" s="85"/>
    </row>
    <row r="121" spans="2:10" ht="7.5" customHeight="1" x14ac:dyDescent="0.3"/>
    <row r="122" spans="2:10" hidden="1" x14ac:dyDescent="0.3"/>
    <row r="124" spans="2:10" ht="3" customHeight="1" thickBot="1" x14ac:dyDescent="0.35"/>
    <row r="125" spans="2:10" ht="15" thickBot="1" x14ac:dyDescent="0.35">
      <c r="B125" s="247" t="s">
        <v>211</v>
      </c>
      <c r="C125" s="248"/>
      <c r="D125" s="248"/>
      <c r="E125" s="248"/>
      <c r="F125" s="248"/>
      <c r="G125" s="248"/>
      <c r="H125" s="249"/>
      <c r="I125" s="73"/>
      <c r="J125" s="74"/>
    </row>
    <row r="126" spans="2:10" ht="15" thickBot="1" x14ac:dyDescent="0.35">
      <c r="B126" s="239" t="s">
        <v>121</v>
      </c>
      <c r="C126" s="240"/>
      <c r="D126" s="240"/>
      <c r="E126" s="240"/>
      <c r="F126" s="240"/>
      <c r="G126" s="240"/>
      <c r="H126" s="241"/>
      <c r="I126" s="1"/>
      <c r="J126" s="2"/>
    </row>
    <row r="127" spans="2:10" x14ac:dyDescent="0.3">
      <c r="B127" s="73" t="s">
        <v>218</v>
      </c>
      <c r="C127" s="84"/>
      <c r="D127" s="84"/>
      <c r="E127" s="84"/>
      <c r="G127" t="s">
        <v>39</v>
      </c>
      <c r="H127" s="2"/>
      <c r="I127" s="1"/>
      <c r="J127" s="2"/>
    </row>
    <row r="128" spans="2:10" x14ac:dyDescent="0.3">
      <c r="B128" s="78" t="s">
        <v>216</v>
      </c>
      <c r="C128" s="76"/>
      <c r="D128" s="76"/>
      <c r="H128" s="2"/>
      <c r="I128" s="1"/>
      <c r="J128" s="2"/>
    </row>
    <row r="129" spans="2:10" x14ac:dyDescent="0.3">
      <c r="B129" s="79"/>
      <c r="C129" s="80"/>
      <c r="D129" s="80"/>
      <c r="E129" s="81"/>
      <c r="F129" s="81"/>
      <c r="G129" s="81"/>
      <c r="H129" s="82"/>
      <c r="I129" s="1"/>
      <c r="J129" s="2"/>
    </row>
    <row r="130" spans="2:10" x14ac:dyDescent="0.3">
      <c r="B130" s="242" t="s">
        <v>214</v>
      </c>
      <c r="C130" s="243"/>
      <c r="D130" s="243"/>
      <c r="E130" s="243"/>
      <c r="F130" s="243"/>
      <c r="G130" s="243"/>
      <c r="H130" s="244"/>
      <c r="I130" s="1"/>
      <c r="J130" s="2"/>
    </row>
    <row r="131" spans="2:10" x14ac:dyDescent="0.3">
      <c r="B131" s="78"/>
      <c r="C131" s="76"/>
      <c r="D131" s="76"/>
      <c r="H131" s="2"/>
      <c r="I131" s="1"/>
      <c r="J131" s="2"/>
    </row>
    <row r="132" spans="2:10" x14ac:dyDescent="0.3">
      <c r="B132" s="1" t="s">
        <v>210</v>
      </c>
      <c r="E132" t="e">
        <f>PRORRATEO!#REF!</f>
        <v>#REF!</v>
      </c>
      <c r="H132" s="2"/>
      <c r="I132" s="245" t="s">
        <v>215</v>
      </c>
      <c r="J132" s="246"/>
    </row>
    <row r="133" spans="2:10" x14ac:dyDescent="0.3">
      <c r="B133" s="1" t="s">
        <v>209</v>
      </c>
      <c r="C133" s="76" t="e">
        <f>PRORRATEO!#REF!</f>
        <v>#REF!</v>
      </c>
      <c r="D133" s="77" t="s">
        <v>213</v>
      </c>
      <c r="E133" s="76" t="e">
        <f>PRORRATEO!#REF!</f>
        <v>#REF!</v>
      </c>
      <c r="H133" s="2"/>
      <c r="I133" s="1"/>
      <c r="J133" s="2"/>
    </row>
    <row r="134" spans="2:10" x14ac:dyDescent="0.3">
      <c r="B134" s="1"/>
      <c r="H134" s="2"/>
      <c r="I134" s="245"/>
      <c r="J134" s="246"/>
    </row>
    <row r="135" spans="2:10" x14ac:dyDescent="0.3">
      <c r="B135" s="1"/>
      <c r="H135" s="2"/>
      <c r="I135" s="1"/>
      <c r="J135" s="2"/>
    </row>
    <row r="136" spans="2:10" x14ac:dyDescent="0.3">
      <c r="B136" s="1"/>
      <c r="H136" s="2"/>
      <c r="I136" s="1"/>
      <c r="J136" s="2"/>
    </row>
    <row r="137" spans="2:10" ht="15" thickBot="1" x14ac:dyDescent="0.35">
      <c r="B137" s="1"/>
      <c r="H137" s="2"/>
      <c r="I137" s="83"/>
      <c r="J137" s="86"/>
    </row>
    <row r="138" spans="2:10" ht="15" thickBot="1" x14ac:dyDescent="0.35">
      <c r="B138" s="235" t="s">
        <v>212</v>
      </c>
      <c r="C138" s="236"/>
      <c r="D138" s="236"/>
      <c r="E138" s="236"/>
      <c r="F138" s="236"/>
      <c r="G138" s="237" t="e">
        <f>PRORRATEO!#REF!</f>
        <v>#REF!</v>
      </c>
      <c r="H138" s="238"/>
      <c r="I138" s="75"/>
      <c r="J138" s="85"/>
    </row>
    <row r="141" spans="2:10" ht="15" thickBot="1" x14ac:dyDescent="0.35"/>
    <row r="142" spans="2:10" ht="15" thickBot="1" x14ac:dyDescent="0.35">
      <c r="B142" s="247" t="s">
        <v>211</v>
      </c>
      <c r="C142" s="248"/>
      <c r="D142" s="248"/>
      <c r="E142" s="248"/>
      <c r="F142" s="248"/>
      <c r="G142" s="248"/>
      <c r="H142" s="249"/>
      <c r="I142" s="73"/>
      <c r="J142" s="74"/>
    </row>
    <row r="143" spans="2:10" ht="15" thickBot="1" x14ac:dyDescent="0.35">
      <c r="B143" s="239" t="s">
        <v>121</v>
      </c>
      <c r="C143" s="240"/>
      <c r="D143" s="240"/>
      <c r="E143" s="240"/>
      <c r="F143" s="240"/>
      <c r="G143" s="240"/>
      <c r="H143" s="241"/>
      <c r="I143" s="1"/>
      <c r="J143" s="2"/>
    </row>
    <row r="144" spans="2:10" x14ac:dyDescent="0.3">
      <c r="B144" s="73" t="s">
        <v>218</v>
      </c>
      <c r="C144" s="84"/>
      <c r="D144" s="84"/>
      <c r="E144" s="84"/>
      <c r="G144" t="s">
        <v>39</v>
      </c>
      <c r="H144" s="2"/>
      <c r="I144" s="1"/>
      <c r="J144" s="2"/>
    </row>
    <row r="145" spans="2:10" x14ac:dyDescent="0.3">
      <c r="B145" s="78" t="s">
        <v>216</v>
      </c>
      <c r="C145" s="76"/>
      <c r="D145" s="76"/>
      <c r="H145" s="2"/>
      <c r="I145" s="1"/>
      <c r="J145" s="2"/>
    </row>
    <row r="146" spans="2:10" x14ac:dyDescent="0.3">
      <c r="B146" s="79"/>
      <c r="C146" s="80"/>
      <c r="D146" s="80"/>
      <c r="E146" s="81"/>
      <c r="F146" s="81"/>
      <c r="G146" s="81"/>
      <c r="H146" s="82"/>
      <c r="I146" s="1"/>
      <c r="J146" s="2"/>
    </row>
    <row r="147" spans="2:10" x14ac:dyDescent="0.3">
      <c r="B147" s="242" t="s">
        <v>214</v>
      </c>
      <c r="C147" s="243"/>
      <c r="D147" s="243"/>
      <c r="E147" s="243"/>
      <c r="F147" s="243"/>
      <c r="G147" s="243"/>
      <c r="H147" s="244"/>
      <c r="I147" s="1"/>
      <c r="J147" s="2"/>
    </row>
    <row r="148" spans="2:10" x14ac:dyDescent="0.3">
      <c r="B148" s="78"/>
      <c r="C148" s="76"/>
      <c r="D148" s="76"/>
      <c r="H148" s="2"/>
      <c r="I148" s="1"/>
      <c r="J148" s="2"/>
    </row>
    <row r="149" spans="2:10" x14ac:dyDescent="0.3">
      <c r="B149" s="1" t="s">
        <v>210</v>
      </c>
      <c r="E149" t="e">
        <f>PRORRATEO!#REF!</f>
        <v>#REF!</v>
      </c>
      <c r="H149" s="2"/>
      <c r="I149" s="245" t="s">
        <v>215</v>
      </c>
      <c r="J149" s="246"/>
    </row>
    <row r="150" spans="2:10" x14ac:dyDescent="0.3">
      <c r="B150" s="1" t="s">
        <v>209</v>
      </c>
      <c r="C150" s="76" t="e">
        <f>PRORRATEO!#REF!</f>
        <v>#REF!</v>
      </c>
      <c r="D150" s="77" t="s">
        <v>213</v>
      </c>
      <c r="E150" s="76" t="e">
        <f>PRORRATEO!#REF!</f>
        <v>#REF!</v>
      </c>
      <c r="H150" s="2"/>
      <c r="I150" s="1"/>
      <c r="J150" s="2"/>
    </row>
    <row r="151" spans="2:10" x14ac:dyDescent="0.3">
      <c r="B151" s="1"/>
      <c r="H151" s="2"/>
      <c r="I151" s="245"/>
      <c r="J151" s="246"/>
    </row>
    <row r="152" spans="2:10" x14ac:dyDescent="0.3">
      <c r="B152" s="1"/>
      <c r="H152" s="2"/>
      <c r="I152" s="1"/>
      <c r="J152" s="2"/>
    </row>
    <row r="153" spans="2:10" x14ac:dyDescent="0.3">
      <c r="B153" s="1"/>
      <c r="H153" s="2"/>
      <c r="I153" s="1"/>
      <c r="J153" s="2"/>
    </row>
    <row r="154" spans="2:10" ht="15" thickBot="1" x14ac:dyDescent="0.35">
      <c r="B154" s="1"/>
      <c r="H154" s="2"/>
      <c r="I154" s="83"/>
      <c r="J154" s="86"/>
    </row>
    <row r="155" spans="2:10" ht="15" thickBot="1" x14ac:dyDescent="0.35">
      <c r="B155" s="235" t="s">
        <v>212</v>
      </c>
      <c r="C155" s="236"/>
      <c r="D155" s="236"/>
      <c r="E155" s="236"/>
      <c r="F155" s="236"/>
      <c r="G155" s="237" t="e">
        <f>PRORRATEO!#REF!</f>
        <v>#REF!</v>
      </c>
      <c r="H155" s="238"/>
      <c r="I155" s="75"/>
      <c r="J155" s="85"/>
    </row>
    <row r="159" spans="2:10" ht="15" thickBot="1" x14ac:dyDescent="0.35"/>
    <row r="160" spans="2:10" ht="15" thickBot="1" x14ac:dyDescent="0.35">
      <c r="B160" s="247" t="s">
        <v>211</v>
      </c>
      <c r="C160" s="248"/>
      <c r="D160" s="248"/>
      <c r="E160" s="248"/>
      <c r="F160" s="248"/>
      <c r="G160" s="248"/>
      <c r="H160" s="249"/>
      <c r="I160" s="73"/>
      <c r="J160" s="74"/>
    </row>
    <row r="161" spans="2:10" ht="15" thickBot="1" x14ac:dyDescent="0.35">
      <c r="B161" s="239" t="s">
        <v>121</v>
      </c>
      <c r="C161" s="240"/>
      <c r="D161" s="240"/>
      <c r="E161" s="240"/>
      <c r="F161" s="240"/>
      <c r="G161" s="240"/>
      <c r="H161" s="241"/>
      <c r="I161" s="1"/>
      <c r="J161" s="2"/>
    </row>
    <row r="162" spans="2:10" x14ac:dyDescent="0.3">
      <c r="B162" s="73" t="s">
        <v>218</v>
      </c>
      <c r="C162" s="84"/>
      <c r="D162" s="84"/>
      <c r="E162" s="84"/>
      <c r="G162" t="s">
        <v>39</v>
      </c>
      <c r="H162" s="2"/>
      <c r="I162" s="1"/>
      <c r="J162" s="2"/>
    </row>
    <row r="163" spans="2:10" x14ac:dyDescent="0.3">
      <c r="B163" s="78" t="s">
        <v>216</v>
      </c>
      <c r="C163" s="76"/>
      <c r="D163" s="76"/>
      <c r="H163" s="2"/>
      <c r="I163" s="1"/>
      <c r="J163" s="2"/>
    </row>
    <row r="164" spans="2:10" x14ac:dyDescent="0.3">
      <c r="B164" s="79"/>
      <c r="C164" s="80"/>
      <c r="D164" s="80"/>
      <c r="E164" s="81"/>
      <c r="F164" s="81"/>
      <c r="G164" s="81"/>
      <c r="H164" s="82"/>
      <c r="I164" s="1"/>
      <c r="J164" s="2"/>
    </row>
    <row r="165" spans="2:10" x14ac:dyDescent="0.3">
      <c r="B165" s="242" t="s">
        <v>214</v>
      </c>
      <c r="C165" s="243"/>
      <c r="D165" s="243"/>
      <c r="E165" s="243"/>
      <c r="F165" s="243"/>
      <c r="G165" s="243"/>
      <c r="H165" s="244"/>
      <c r="I165" s="1"/>
      <c r="J165" s="2"/>
    </row>
    <row r="166" spans="2:10" x14ac:dyDescent="0.3">
      <c r="B166" s="78"/>
      <c r="C166" s="76"/>
      <c r="D166" s="76"/>
      <c r="H166" s="2"/>
      <c r="I166" s="1"/>
      <c r="J166" s="2"/>
    </row>
    <row r="167" spans="2:10" x14ac:dyDescent="0.3">
      <c r="B167" s="1" t="s">
        <v>210</v>
      </c>
      <c r="E167" t="e">
        <f>PRORRATEO!#REF!</f>
        <v>#REF!</v>
      </c>
      <c r="H167" s="2"/>
      <c r="I167" s="245" t="s">
        <v>215</v>
      </c>
      <c r="J167" s="246"/>
    </row>
    <row r="168" spans="2:10" x14ac:dyDescent="0.3">
      <c r="B168" s="1" t="s">
        <v>209</v>
      </c>
      <c r="C168" s="76" t="e">
        <f>PRORRATEO!#REF!</f>
        <v>#REF!</v>
      </c>
      <c r="D168" s="77" t="s">
        <v>213</v>
      </c>
      <c r="E168" s="76" t="e">
        <f>PRORRATEO!#REF!</f>
        <v>#REF!</v>
      </c>
      <c r="H168" s="2"/>
      <c r="I168" s="1"/>
      <c r="J168" s="2"/>
    </row>
    <row r="169" spans="2:10" x14ac:dyDescent="0.3">
      <c r="B169" s="1"/>
      <c r="H169" s="2"/>
      <c r="I169" s="245"/>
      <c r="J169" s="246"/>
    </row>
    <row r="170" spans="2:10" x14ac:dyDescent="0.3">
      <c r="B170" s="1"/>
      <c r="H170" s="2"/>
      <c r="I170" s="1"/>
      <c r="J170" s="2"/>
    </row>
    <row r="171" spans="2:10" x14ac:dyDescent="0.3">
      <c r="B171" s="1"/>
      <c r="H171" s="2"/>
      <c r="I171" s="1"/>
      <c r="J171" s="2"/>
    </row>
    <row r="172" spans="2:10" ht="15" thickBot="1" x14ac:dyDescent="0.35">
      <c r="B172" s="1"/>
      <c r="H172" s="2"/>
      <c r="I172" s="83"/>
      <c r="J172" s="86"/>
    </row>
    <row r="173" spans="2:10" ht="15" thickBot="1" x14ac:dyDescent="0.35">
      <c r="B173" s="235" t="s">
        <v>212</v>
      </c>
      <c r="C173" s="236"/>
      <c r="D173" s="236"/>
      <c r="E173" s="236"/>
      <c r="F173" s="236"/>
      <c r="G173" s="237" t="e">
        <f>PRORRATEO!#REF!</f>
        <v>#REF!</v>
      </c>
      <c r="H173" s="238"/>
      <c r="I173" s="75"/>
      <c r="J173" s="85"/>
    </row>
  </sheetData>
  <mergeCells count="70">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 ref="G33:H33"/>
    <mergeCell ref="B17:F17"/>
    <mergeCell ref="G17:H17"/>
    <mergeCell ref="B37:H37"/>
    <mergeCell ref="B38:H3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I114:J114"/>
    <mergeCell ref="I116:J116"/>
    <mergeCell ref="G84:H84"/>
    <mergeCell ref="B67:F67"/>
    <mergeCell ref="G67:H67"/>
    <mergeCell ref="B89:H89"/>
    <mergeCell ref="B90:H90"/>
    <mergeCell ref="B94:H94"/>
    <mergeCell ref="B107:H107"/>
    <mergeCell ref="B108:H108"/>
    <mergeCell ref="B125:H125"/>
    <mergeCell ref="B126:H126"/>
    <mergeCell ref="I132:J132"/>
    <mergeCell ref="I134:J134"/>
    <mergeCell ref="B120:F120"/>
    <mergeCell ref="G120:H120"/>
    <mergeCell ref="I167:J167"/>
    <mergeCell ref="B138:F138"/>
    <mergeCell ref="G138:H138"/>
    <mergeCell ref="B130:H130"/>
    <mergeCell ref="I169:J169"/>
    <mergeCell ref="I149:J149"/>
    <mergeCell ref="I151:J151"/>
    <mergeCell ref="B173:F173"/>
    <mergeCell ref="G173:H173"/>
    <mergeCell ref="B142:H142"/>
    <mergeCell ref="B143:H143"/>
    <mergeCell ref="B147:H147"/>
    <mergeCell ref="B160:H160"/>
    <mergeCell ref="B161:H161"/>
    <mergeCell ref="B165:H165"/>
    <mergeCell ref="B155:F155"/>
    <mergeCell ref="G155:H155"/>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4.4" x14ac:dyDescent="0.3"/>
  <cols>
    <col min="1" max="1" width="3.44140625" customWidth="1"/>
    <col min="2" max="2" width="4.33203125" customWidth="1"/>
    <col min="4" max="4" width="11" customWidth="1"/>
    <col min="5" max="5" width="5.44140625" customWidth="1"/>
    <col min="6" max="6" width="7.6640625" customWidth="1"/>
    <col min="7" max="7" width="4.33203125" customWidth="1"/>
    <col min="8" max="8" width="11.44140625" customWidth="1"/>
  </cols>
  <sheetData>
    <row r="2" spans="2:10" ht="15" thickBot="1" x14ac:dyDescent="0.35"/>
    <row r="3" spans="2:10" ht="15" thickBot="1" x14ac:dyDescent="0.35">
      <c r="B3" s="247" t="s">
        <v>211</v>
      </c>
      <c r="C3" s="248"/>
      <c r="D3" s="248"/>
      <c r="E3" s="248"/>
      <c r="F3" s="248"/>
      <c r="G3" s="248"/>
      <c r="H3" s="249"/>
      <c r="I3" s="73"/>
      <c r="J3" s="74"/>
    </row>
    <row r="4" spans="2:10" ht="15" thickBot="1" x14ac:dyDescent="0.35">
      <c r="B4" s="239" t="s">
        <v>121</v>
      </c>
      <c r="C4" s="240"/>
      <c r="D4" s="240"/>
      <c r="E4" s="240"/>
      <c r="F4" s="240"/>
      <c r="G4" s="240"/>
      <c r="H4" s="241"/>
      <c r="I4" s="1"/>
      <c r="J4" s="2"/>
    </row>
    <row r="5" spans="2:10" x14ac:dyDescent="0.3">
      <c r="B5" s="73" t="s">
        <v>219</v>
      </c>
      <c r="C5" s="84"/>
      <c r="D5" s="84"/>
      <c r="E5" s="84"/>
      <c r="G5" t="s">
        <v>39</v>
      </c>
      <c r="H5" s="2"/>
      <c r="I5" s="1"/>
      <c r="J5" s="2"/>
    </row>
    <row r="6" spans="2:10" x14ac:dyDescent="0.3">
      <c r="B6" s="78" t="s">
        <v>216</v>
      </c>
      <c r="C6" s="76"/>
      <c r="D6" s="76"/>
      <c r="H6" s="2"/>
      <c r="I6" s="1"/>
      <c r="J6" s="2"/>
    </row>
    <row r="7" spans="2:10" x14ac:dyDescent="0.3">
      <c r="B7" s="79"/>
      <c r="C7" s="80"/>
      <c r="D7" s="80"/>
      <c r="E7" s="81"/>
      <c r="F7" s="81"/>
      <c r="G7" s="81"/>
      <c r="H7" s="82"/>
      <c r="I7" s="1"/>
      <c r="J7" s="2"/>
    </row>
    <row r="8" spans="2:10" x14ac:dyDescent="0.3">
      <c r="B8" s="242" t="s">
        <v>214</v>
      </c>
      <c r="C8" s="243"/>
      <c r="D8" s="243"/>
      <c r="E8" s="243"/>
      <c r="F8" s="243"/>
      <c r="G8" s="243"/>
      <c r="H8" s="244"/>
      <c r="I8" s="1"/>
      <c r="J8" s="2"/>
    </row>
    <row r="9" spans="2:10" x14ac:dyDescent="0.3">
      <c r="B9" s="78"/>
      <c r="C9" s="76"/>
      <c r="D9" s="76"/>
      <c r="H9" s="2"/>
      <c r="I9" s="1"/>
      <c r="J9" s="2"/>
    </row>
    <row r="10" spans="2:10" x14ac:dyDescent="0.3">
      <c r="B10" s="1" t="s">
        <v>210</v>
      </c>
      <c r="E10" t="e">
        <f>PRORRATEO!#REF!</f>
        <v>#REF!</v>
      </c>
      <c r="H10" s="2"/>
      <c r="I10" s="245" t="s">
        <v>215</v>
      </c>
      <c r="J10" s="246"/>
    </row>
    <row r="11" spans="2:10" x14ac:dyDescent="0.3">
      <c r="B11" s="1" t="s">
        <v>209</v>
      </c>
      <c r="C11" s="76" t="e">
        <f>PRORRATEO!#REF!</f>
        <v>#REF!</v>
      </c>
      <c r="D11" s="77" t="s">
        <v>213</v>
      </c>
      <c r="E11" s="76" t="e">
        <f>PRORRATEO!#REF!</f>
        <v>#REF!</v>
      </c>
      <c r="H11" s="2"/>
      <c r="I11" s="1"/>
      <c r="J11" s="2"/>
    </row>
    <row r="12" spans="2:10" x14ac:dyDescent="0.3">
      <c r="B12" s="1"/>
      <c r="H12" s="2"/>
      <c r="I12" s="245"/>
      <c r="J12" s="246"/>
    </row>
    <row r="13" spans="2:10" x14ac:dyDescent="0.3">
      <c r="B13" s="1"/>
      <c r="H13" s="2"/>
      <c r="I13" s="1"/>
      <c r="J13" s="2"/>
    </row>
    <row r="14" spans="2:10" x14ac:dyDescent="0.3">
      <c r="B14" s="1"/>
      <c r="H14" s="2"/>
      <c r="I14" s="1"/>
      <c r="J14" s="2"/>
    </row>
    <row r="15" spans="2:10" ht="15" thickBot="1" x14ac:dyDescent="0.35">
      <c r="B15" s="1"/>
      <c r="H15" s="2"/>
      <c r="I15" s="83"/>
      <c r="J15" s="86"/>
    </row>
    <row r="16" spans="2:10" ht="15" thickBot="1" x14ac:dyDescent="0.35">
      <c r="B16" s="235" t="s">
        <v>212</v>
      </c>
      <c r="C16" s="236"/>
      <c r="D16" s="236"/>
      <c r="E16" s="236"/>
      <c r="F16" s="236"/>
      <c r="G16" s="237" t="e">
        <f>PRORRATEO!#REF!</f>
        <v>#REF!</v>
      </c>
      <c r="H16" s="238"/>
      <c r="I16" s="75"/>
      <c r="J16" s="85"/>
    </row>
    <row r="19" spans="2:10" ht="15" thickBot="1" x14ac:dyDescent="0.35"/>
    <row r="20" spans="2:10" ht="15" thickBot="1" x14ac:dyDescent="0.35">
      <c r="B20" s="247" t="s">
        <v>211</v>
      </c>
      <c r="C20" s="248"/>
      <c r="D20" s="248"/>
      <c r="E20" s="248"/>
      <c r="F20" s="248"/>
      <c r="G20" s="248"/>
      <c r="H20" s="249"/>
      <c r="I20" s="73"/>
      <c r="J20" s="74"/>
    </row>
    <row r="21" spans="2:10" ht="15" thickBot="1" x14ac:dyDescent="0.35">
      <c r="B21" s="239" t="s">
        <v>121</v>
      </c>
      <c r="C21" s="240"/>
      <c r="D21" s="240"/>
      <c r="E21" s="240"/>
      <c r="F21" s="240"/>
      <c r="G21" s="240"/>
      <c r="H21" s="241"/>
      <c r="I21" s="1"/>
      <c r="J21" s="2"/>
    </row>
    <row r="22" spans="2:10" x14ac:dyDescent="0.3">
      <c r="B22" s="73" t="s">
        <v>219</v>
      </c>
      <c r="C22" s="84"/>
      <c r="D22" s="84"/>
      <c r="E22" s="84"/>
      <c r="G22" t="s">
        <v>39</v>
      </c>
      <c r="H22" s="2"/>
      <c r="I22" s="1"/>
      <c r="J22" s="2"/>
    </row>
    <row r="23" spans="2:10" x14ac:dyDescent="0.3">
      <c r="B23" s="78" t="s">
        <v>216</v>
      </c>
      <c r="C23" s="76"/>
      <c r="D23" s="76"/>
      <c r="H23" s="2"/>
      <c r="I23" s="1"/>
      <c r="J23" s="2"/>
    </row>
    <row r="24" spans="2:10" x14ac:dyDescent="0.3">
      <c r="B24" s="79"/>
      <c r="C24" s="80"/>
      <c r="D24" s="80"/>
      <c r="E24" s="81"/>
      <c r="F24" s="81"/>
      <c r="G24" s="81"/>
      <c r="H24" s="82"/>
      <c r="I24" s="1"/>
      <c r="J24" s="2"/>
    </row>
    <row r="25" spans="2:10" x14ac:dyDescent="0.3">
      <c r="B25" s="242" t="s">
        <v>214</v>
      </c>
      <c r="C25" s="243"/>
      <c r="D25" s="243"/>
      <c r="E25" s="243"/>
      <c r="F25" s="243"/>
      <c r="G25" s="243"/>
      <c r="H25" s="244"/>
      <c r="I25" s="1"/>
      <c r="J25" s="2"/>
    </row>
    <row r="26" spans="2:10" x14ac:dyDescent="0.3">
      <c r="B26" s="78"/>
      <c r="C26" s="76"/>
      <c r="D26" s="76"/>
      <c r="H26" s="2"/>
      <c r="I26" s="1"/>
      <c r="J26" s="2"/>
    </row>
    <row r="27" spans="2:10" x14ac:dyDescent="0.3">
      <c r="B27" s="1" t="s">
        <v>210</v>
      </c>
      <c r="E27" t="e">
        <f>PRORRATEO!#REF!</f>
        <v>#REF!</v>
      </c>
      <c r="H27" s="2"/>
      <c r="I27" s="245" t="s">
        <v>215</v>
      </c>
      <c r="J27" s="246"/>
    </row>
    <row r="28" spans="2:10" x14ac:dyDescent="0.3">
      <c r="B28" s="1" t="s">
        <v>209</v>
      </c>
      <c r="C28" s="76" t="e">
        <f>PRORRATEO!#REF!</f>
        <v>#REF!</v>
      </c>
      <c r="D28" s="77" t="s">
        <v>213</v>
      </c>
      <c r="E28" s="76" t="e">
        <f>PRORRATEO!#REF!</f>
        <v>#REF!</v>
      </c>
      <c r="H28" s="2"/>
      <c r="I28" s="1"/>
      <c r="J28" s="2"/>
    </row>
    <row r="29" spans="2:10" x14ac:dyDescent="0.3">
      <c r="B29" s="1"/>
      <c r="H29" s="2"/>
      <c r="I29" s="245"/>
      <c r="J29" s="246"/>
    </row>
    <row r="30" spans="2:10" x14ac:dyDescent="0.3">
      <c r="B30" s="1"/>
      <c r="H30" s="2"/>
      <c r="I30" s="1"/>
      <c r="J30" s="2"/>
    </row>
    <row r="31" spans="2:10" x14ac:dyDescent="0.3">
      <c r="B31" s="1"/>
      <c r="H31" s="2"/>
      <c r="I31" s="1"/>
      <c r="J31" s="2"/>
    </row>
    <row r="32" spans="2:10" ht="15" thickBot="1" x14ac:dyDescent="0.35">
      <c r="B32" s="1"/>
      <c r="H32" s="2"/>
      <c r="I32" s="83"/>
      <c r="J32" s="86"/>
    </row>
    <row r="33" spans="2:10" ht="15" thickBot="1" x14ac:dyDescent="0.35">
      <c r="B33" s="235" t="s">
        <v>212</v>
      </c>
      <c r="C33" s="236"/>
      <c r="D33" s="236"/>
      <c r="E33" s="236"/>
      <c r="F33" s="236"/>
      <c r="G33" s="237" t="e">
        <f>PRORRATEO!#REF!</f>
        <v>#REF!</v>
      </c>
      <c r="H33" s="238"/>
      <c r="I33" s="75"/>
      <c r="J33" s="85"/>
    </row>
    <row r="35" spans="2:10" ht="1.5" customHeight="1" x14ac:dyDescent="0.3"/>
    <row r="36" spans="2:10" hidden="1" x14ac:dyDescent="0.3"/>
    <row r="37" spans="2:10" ht="15" thickBot="1" x14ac:dyDescent="0.35"/>
    <row r="38" spans="2:10" ht="15" thickBot="1" x14ac:dyDescent="0.35">
      <c r="B38" s="247" t="s">
        <v>211</v>
      </c>
      <c r="C38" s="248"/>
      <c r="D38" s="248"/>
      <c r="E38" s="248"/>
      <c r="F38" s="248"/>
      <c r="G38" s="248"/>
      <c r="H38" s="249"/>
      <c r="I38" s="73"/>
      <c r="J38" s="74"/>
    </row>
    <row r="39" spans="2:10" ht="15" thickBot="1" x14ac:dyDescent="0.35">
      <c r="B39" s="239" t="s">
        <v>121</v>
      </c>
      <c r="C39" s="240"/>
      <c r="D39" s="240"/>
      <c r="E39" s="240"/>
      <c r="F39" s="240"/>
      <c r="G39" s="240"/>
      <c r="H39" s="241"/>
      <c r="I39" s="1"/>
      <c r="J39" s="2"/>
    </row>
    <row r="40" spans="2:10" x14ac:dyDescent="0.3">
      <c r="B40" s="73" t="s">
        <v>219</v>
      </c>
      <c r="C40" s="84"/>
      <c r="D40" s="84"/>
      <c r="E40" s="84"/>
      <c r="G40" t="s">
        <v>39</v>
      </c>
      <c r="H40" s="2"/>
      <c r="I40" s="1"/>
      <c r="J40" s="2"/>
    </row>
    <row r="41" spans="2:10" x14ac:dyDescent="0.3">
      <c r="B41" s="78" t="s">
        <v>216</v>
      </c>
      <c r="C41" s="76"/>
      <c r="D41" s="76"/>
      <c r="H41" s="2"/>
      <c r="I41" s="1"/>
      <c r="J41" s="2"/>
    </row>
    <row r="42" spans="2:10" x14ac:dyDescent="0.3">
      <c r="B42" s="79"/>
      <c r="C42" s="80"/>
      <c r="D42" s="80"/>
      <c r="E42" s="81"/>
      <c r="F42" s="81"/>
      <c r="G42" s="81"/>
      <c r="H42" s="82"/>
      <c r="I42" s="1"/>
      <c r="J42" s="2"/>
    </row>
    <row r="43" spans="2:10" x14ac:dyDescent="0.3">
      <c r="B43" s="242" t="s">
        <v>214</v>
      </c>
      <c r="C43" s="243"/>
      <c r="D43" s="243"/>
      <c r="E43" s="243"/>
      <c r="F43" s="243"/>
      <c r="G43" s="243"/>
      <c r="H43" s="244"/>
      <c r="I43" s="1"/>
      <c r="J43" s="2"/>
    </row>
    <row r="44" spans="2:10" x14ac:dyDescent="0.3">
      <c r="B44" s="78"/>
      <c r="C44" s="76"/>
      <c r="D44" s="76"/>
      <c r="H44" s="2"/>
      <c r="I44" s="1"/>
      <c r="J44" s="2"/>
    </row>
    <row r="45" spans="2:10" x14ac:dyDescent="0.3">
      <c r="B45" s="1" t="s">
        <v>210</v>
      </c>
      <c r="E45" t="e">
        <f>PRORRATEO!#REF!</f>
        <v>#REF!</v>
      </c>
      <c r="H45" s="2"/>
      <c r="I45" s="245" t="s">
        <v>215</v>
      </c>
      <c r="J45" s="246"/>
    </row>
    <row r="46" spans="2:10" x14ac:dyDescent="0.3">
      <c r="B46" s="1" t="s">
        <v>209</v>
      </c>
      <c r="C46" s="76" t="e">
        <f>PRORRATEO!#REF!</f>
        <v>#REF!</v>
      </c>
      <c r="D46" s="77" t="s">
        <v>213</v>
      </c>
      <c r="E46" s="76" t="e">
        <f>PRORRATEO!#REF!</f>
        <v>#REF!</v>
      </c>
      <c r="H46" s="2"/>
      <c r="I46" s="1"/>
      <c r="J46" s="2"/>
    </row>
    <row r="47" spans="2:10" x14ac:dyDescent="0.3">
      <c r="B47" s="1"/>
      <c r="H47" s="2"/>
      <c r="I47" s="245"/>
      <c r="J47" s="246"/>
    </row>
    <row r="48" spans="2:10" x14ac:dyDescent="0.3">
      <c r="B48" s="1"/>
      <c r="H48" s="2"/>
      <c r="I48" s="1"/>
      <c r="J48" s="2"/>
    </row>
    <row r="49" spans="2:10" x14ac:dyDescent="0.3">
      <c r="B49" s="1"/>
      <c r="H49" s="2"/>
      <c r="I49" s="1"/>
      <c r="J49" s="2"/>
    </row>
    <row r="50" spans="2:10" ht="15" thickBot="1" x14ac:dyDescent="0.35">
      <c r="B50" s="1"/>
      <c r="H50" s="2"/>
      <c r="I50" s="83"/>
      <c r="J50" s="86"/>
    </row>
    <row r="51" spans="2:10" ht="15" thickBot="1" x14ac:dyDescent="0.35">
      <c r="B51" s="235" t="s">
        <v>212</v>
      </c>
      <c r="C51" s="236"/>
      <c r="D51" s="236"/>
      <c r="E51" s="236"/>
      <c r="F51" s="236"/>
      <c r="G51" s="237" t="e">
        <f>PRORRATEO!#REF!</f>
        <v>#REF!</v>
      </c>
      <c r="H51" s="238"/>
      <c r="I51" s="75"/>
      <c r="J51" s="85"/>
    </row>
    <row r="55" spans="2:10" ht="15" thickBot="1" x14ac:dyDescent="0.35"/>
    <row r="56" spans="2:10" ht="15" thickBot="1" x14ac:dyDescent="0.35">
      <c r="B56" s="247" t="s">
        <v>211</v>
      </c>
      <c r="C56" s="248"/>
      <c r="D56" s="248"/>
      <c r="E56" s="248"/>
      <c r="F56" s="248"/>
      <c r="G56" s="248"/>
      <c r="H56" s="249"/>
      <c r="I56" s="73"/>
      <c r="J56" s="74"/>
    </row>
    <row r="57" spans="2:10" ht="15" thickBot="1" x14ac:dyDescent="0.35">
      <c r="B57" s="239" t="s">
        <v>121</v>
      </c>
      <c r="C57" s="240"/>
      <c r="D57" s="240"/>
      <c r="E57" s="240"/>
      <c r="F57" s="240"/>
      <c r="G57" s="240"/>
      <c r="H57" s="241"/>
      <c r="I57" s="1"/>
      <c r="J57" s="2"/>
    </row>
    <row r="58" spans="2:10" x14ac:dyDescent="0.3">
      <c r="B58" s="73" t="s">
        <v>219</v>
      </c>
      <c r="C58" s="84"/>
      <c r="D58" s="84"/>
      <c r="E58" s="84"/>
      <c r="G58" t="s">
        <v>39</v>
      </c>
      <c r="H58" s="2"/>
      <c r="I58" s="1"/>
      <c r="J58" s="2"/>
    </row>
    <row r="59" spans="2:10" x14ac:dyDescent="0.3">
      <c r="B59" s="78" t="s">
        <v>216</v>
      </c>
      <c r="C59" s="76"/>
      <c r="D59" s="76"/>
      <c r="H59" s="2"/>
      <c r="I59" s="1"/>
      <c r="J59" s="2"/>
    </row>
    <row r="60" spans="2:10" x14ac:dyDescent="0.3">
      <c r="B60" s="79"/>
      <c r="C60" s="80"/>
      <c r="D60" s="80"/>
      <c r="E60" s="81"/>
      <c r="F60" s="81"/>
      <c r="G60" s="81"/>
      <c r="H60" s="82"/>
      <c r="I60" s="1"/>
      <c r="J60" s="2"/>
    </row>
    <row r="61" spans="2:10" x14ac:dyDescent="0.3">
      <c r="B61" s="242" t="s">
        <v>214</v>
      </c>
      <c r="C61" s="243"/>
      <c r="D61" s="243"/>
      <c r="E61" s="243"/>
      <c r="F61" s="243"/>
      <c r="G61" s="243"/>
      <c r="H61" s="244"/>
      <c r="I61" s="1"/>
      <c r="J61" s="2"/>
    </row>
    <row r="62" spans="2:10" x14ac:dyDescent="0.3">
      <c r="B62" s="78"/>
      <c r="C62" s="76"/>
      <c r="D62" s="76"/>
      <c r="H62" s="2"/>
      <c r="I62" s="1"/>
      <c r="J62" s="2"/>
    </row>
    <row r="63" spans="2:10" x14ac:dyDescent="0.3">
      <c r="B63" s="1" t="s">
        <v>210</v>
      </c>
      <c r="E63" t="e">
        <f>PRORRATEO!#REF!</f>
        <v>#REF!</v>
      </c>
      <c r="H63" s="2"/>
      <c r="I63" s="245" t="s">
        <v>215</v>
      </c>
      <c r="J63" s="246"/>
    </row>
    <row r="64" spans="2:10" x14ac:dyDescent="0.3">
      <c r="B64" s="1" t="s">
        <v>209</v>
      </c>
      <c r="C64" s="76" t="e">
        <f>PRORRATEO!#REF!</f>
        <v>#REF!</v>
      </c>
      <c r="D64" s="77" t="s">
        <v>213</v>
      </c>
      <c r="E64" s="76" t="e">
        <f>PRORRATEO!#REF!</f>
        <v>#REF!</v>
      </c>
      <c r="H64" s="2"/>
      <c r="I64" s="1"/>
      <c r="J64" s="2"/>
    </row>
    <row r="65" spans="2:10" x14ac:dyDescent="0.3">
      <c r="B65" s="1"/>
      <c r="H65" s="2"/>
      <c r="I65" s="245"/>
      <c r="J65" s="246"/>
    </row>
    <row r="66" spans="2:10" x14ac:dyDescent="0.3">
      <c r="B66" s="1"/>
      <c r="H66" s="2"/>
      <c r="I66" s="1"/>
      <c r="J66" s="2"/>
    </row>
    <row r="67" spans="2:10" x14ac:dyDescent="0.3">
      <c r="B67" s="1"/>
      <c r="H67" s="2"/>
      <c r="I67" s="1"/>
      <c r="J67" s="2"/>
    </row>
    <row r="68" spans="2:10" ht="15" thickBot="1" x14ac:dyDescent="0.35">
      <c r="B68" s="1"/>
      <c r="H68" s="2"/>
      <c r="I68" s="83"/>
      <c r="J68" s="86"/>
    </row>
    <row r="69" spans="2:10" ht="15" thickBot="1" x14ac:dyDescent="0.35">
      <c r="B69" s="235" t="s">
        <v>212</v>
      </c>
      <c r="C69" s="236"/>
      <c r="D69" s="236"/>
      <c r="E69" s="236"/>
      <c r="F69" s="236"/>
      <c r="G69" s="237" t="e">
        <f>PRORRATEO!#REF!</f>
        <v>#REF!</v>
      </c>
      <c r="H69" s="238"/>
      <c r="I69" s="75"/>
      <c r="J69" s="85"/>
    </row>
    <row r="72" spans="2:10" ht="15" thickBot="1" x14ac:dyDescent="0.35"/>
    <row r="73" spans="2:10" ht="15" thickBot="1" x14ac:dyDescent="0.35">
      <c r="B73" s="247" t="s">
        <v>211</v>
      </c>
      <c r="C73" s="248"/>
      <c r="D73" s="248"/>
      <c r="E73" s="248"/>
      <c r="F73" s="248"/>
      <c r="G73" s="248"/>
      <c r="H73" s="249"/>
      <c r="I73" s="73"/>
      <c r="J73" s="74"/>
    </row>
    <row r="74" spans="2:10" ht="15" thickBot="1" x14ac:dyDescent="0.35">
      <c r="B74" s="239" t="s">
        <v>121</v>
      </c>
      <c r="C74" s="240"/>
      <c r="D74" s="240"/>
      <c r="E74" s="240"/>
      <c r="F74" s="240"/>
      <c r="G74" s="240"/>
      <c r="H74" s="241"/>
      <c r="I74" s="1"/>
      <c r="J74" s="2"/>
    </row>
    <row r="75" spans="2:10" x14ac:dyDescent="0.3">
      <c r="B75" s="73" t="s">
        <v>219</v>
      </c>
      <c r="C75" s="84"/>
      <c r="D75" s="84"/>
      <c r="E75" s="84"/>
      <c r="G75" t="s">
        <v>39</v>
      </c>
      <c r="H75" s="2"/>
      <c r="I75" s="1"/>
      <c r="J75" s="2"/>
    </row>
    <row r="76" spans="2:10" x14ac:dyDescent="0.3">
      <c r="B76" s="78" t="s">
        <v>216</v>
      </c>
      <c r="C76" s="76"/>
      <c r="D76" s="76"/>
      <c r="H76" s="2"/>
      <c r="I76" s="1"/>
      <c r="J76" s="2"/>
    </row>
    <row r="77" spans="2:10" x14ac:dyDescent="0.3">
      <c r="B77" s="79"/>
      <c r="C77" s="80"/>
      <c r="D77" s="80"/>
      <c r="E77" s="81"/>
      <c r="F77" s="81"/>
      <c r="G77" s="81"/>
      <c r="H77" s="82"/>
      <c r="I77" s="1"/>
      <c r="J77" s="2"/>
    </row>
    <row r="78" spans="2:10" x14ac:dyDescent="0.3">
      <c r="B78" s="242" t="s">
        <v>214</v>
      </c>
      <c r="C78" s="243"/>
      <c r="D78" s="243"/>
      <c r="E78" s="243"/>
      <c r="F78" s="243"/>
      <c r="G78" s="243"/>
      <c r="H78" s="244"/>
      <c r="I78" s="1"/>
      <c r="J78" s="2"/>
    </row>
    <row r="79" spans="2:10" x14ac:dyDescent="0.3">
      <c r="B79" s="78"/>
      <c r="C79" s="76"/>
      <c r="D79" s="76"/>
      <c r="H79" s="2"/>
      <c r="I79" s="1"/>
      <c r="J79" s="2"/>
    </row>
    <row r="80" spans="2:10" x14ac:dyDescent="0.3">
      <c r="B80" s="1" t="s">
        <v>210</v>
      </c>
      <c r="E80" t="e">
        <f>PRORRATEO!#REF!</f>
        <v>#REF!</v>
      </c>
      <c r="H80" s="2"/>
      <c r="I80" s="245" t="s">
        <v>215</v>
      </c>
      <c r="J80" s="246"/>
    </row>
    <row r="81" spans="2:10" x14ac:dyDescent="0.3">
      <c r="B81" s="1" t="s">
        <v>209</v>
      </c>
      <c r="C81" s="76" t="e">
        <f>PRORRATEO!#REF!</f>
        <v>#REF!</v>
      </c>
      <c r="D81" s="77" t="s">
        <v>213</v>
      </c>
      <c r="E81" s="76" t="e">
        <f>PRORRATEO!#REF!</f>
        <v>#REF!</v>
      </c>
      <c r="H81" s="2"/>
      <c r="I81" s="1"/>
      <c r="J81" s="2"/>
    </row>
    <row r="82" spans="2:10" x14ac:dyDescent="0.3">
      <c r="B82" s="1"/>
      <c r="H82" s="2"/>
      <c r="I82" s="245"/>
      <c r="J82" s="246"/>
    </row>
    <row r="83" spans="2:10" x14ac:dyDescent="0.3">
      <c r="B83" s="1"/>
      <c r="H83" s="2"/>
      <c r="I83" s="1"/>
      <c r="J83" s="2"/>
    </row>
    <row r="84" spans="2:10" x14ac:dyDescent="0.3">
      <c r="B84" s="1"/>
      <c r="H84" s="2"/>
      <c r="I84" s="1"/>
      <c r="J84" s="2"/>
    </row>
    <row r="85" spans="2:10" ht="15" thickBot="1" x14ac:dyDescent="0.35">
      <c r="B85" s="1"/>
      <c r="H85" s="2"/>
      <c r="I85" s="83"/>
      <c r="J85" s="86"/>
    </row>
    <row r="86" spans="2:10" ht="15" thickBot="1" x14ac:dyDescent="0.35">
      <c r="B86" s="235" t="s">
        <v>212</v>
      </c>
      <c r="C86" s="236"/>
      <c r="D86" s="236"/>
      <c r="E86" s="236"/>
      <c r="F86" s="236"/>
      <c r="G86" s="237" t="e">
        <f>PRORRATEO!#REF!</f>
        <v>#REF!</v>
      </c>
      <c r="H86" s="238"/>
      <c r="I86" s="75"/>
      <c r="J86" s="85"/>
    </row>
    <row r="87" spans="2:10" ht="116.25" customHeight="1" x14ac:dyDescent="0.3"/>
    <row r="88" spans="2:10" ht="0.75" customHeight="1" x14ac:dyDescent="0.3"/>
    <row r="89" spans="2:10" ht="76.5" customHeight="1" x14ac:dyDescent="0.3"/>
    <row r="90" spans="2:10" ht="15" thickBot="1" x14ac:dyDescent="0.35"/>
    <row r="91" spans="2:10" ht="15" thickBot="1" x14ac:dyDescent="0.35">
      <c r="B91" s="247" t="s">
        <v>211</v>
      </c>
      <c r="C91" s="248"/>
      <c r="D91" s="248"/>
      <c r="E91" s="248"/>
      <c r="F91" s="248"/>
      <c r="G91" s="248"/>
      <c r="H91" s="249"/>
      <c r="I91" s="73"/>
      <c r="J91" s="74"/>
    </row>
    <row r="92" spans="2:10" ht="15" thickBot="1" x14ac:dyDescent="0.35">
      <c r="B92" s="239" t="s">
        <v>121</v>
      </c>
      <c r="C92" s="240"/>
      <c r="D92" s="240"/>
      <c r="E92" s="240"/>
      <c r="F92" s="240"/>
      <c r="G92" s="240"/>
      <c r="H92" s="241"/>
      <c r="I92" s="1"/>
      <c r="J92" s="2"/>
    </row>
    <row r="93" spans="2:10" x14ac:dyDescent="0.3">
      <c r="B93" s="73" t="s">
        <v>219</v>
      </c>
      <c r="C93" s="84"/>
      <c r="D93" s="84"/>
      <c r="E93" s="84"/>
      <c r="G93" t="s">
        <v>39</v>
      </c>
      <c r="H93" s="2"/>
      <c r="I93" s="1"/>
      <c r="J93" s="2"/>
    </row>
    <row r="94" spans="2:10" x14ac:dyDescent="0.3">
      <c r="B94" s="78" t="s">
        <v>216</v>
      </c>
      <c r="C94" s="76"/>
      <c r="D94" s="76"/>
      <c r="H94" s="2"/>
      <c r="I94" s="1"/>
      <c r="J94" s="2"/>
    </row>
    <row r="95" spans="2:10" x14ac:dyDescent="0.3">
      <c r="B95" s="79"/>
      <c r="C95" s="80"/>
      <c r="D95" s="80"/>
      <c r="E95" s="81"/>
      <c r="F95" s="81"/>
      <c r="G95" s="81"/>
      <c r="H95" s="82"/>
      <c r="I95" s="1"/>
      <c r="J95" s="2"/>
    </row>
    <row r="96" spans="2:10" x14ac:dyDescent="0.3">
      <c r="B96" s="242" t="s">
        <v>214</v>
      </c>
      <c r="C96" s="243"/>
      <c r="D96" s="243"/>
      <c r="E96" s="243"/>
      <c r="F96" s="243"/>
      <c r="G96" s="243"/>
      <c r="H96" s="244"/>
      <c r="I96" s="1"/>
      <c r="J96" s="2"/>
    </row>
    <row r="97" spans="2:10" x14ac:dyDescent="0.3">
      <c r="B97" s="78"/>
      <c r="C97" s="76"/>
      <c r="D97" s="76"/>
      <c r="H97" s="2"/>
      <c r="I97" s="1"/>
      <c r="J97" s="2"/>
    </row>
    <row r="98" spans="2:10" x14ac:dyDescent="0.3">
      <c r="B98" s="1" t="s">
        <v>210</v>
      </c>
      <c r="E98" t="e">
        <f>PRORRATEO!#REF!</f>
        <v>#REF!</v>
      </c>
      <c r="H98" s="2"/>
      <c r="I98" s="245" t="s">
        <v>215</v>
      </c>
      <c r="J98" s="246"/>
    </row>
    <row r="99" spans="2:10" x14ac:dyDescent="0.3">
      <c r="B99" s="1" t="s">
        <v>209</v>
      </c>
      <c r="C99" s="76" t="e">
        <f>PRORRATEO!#REF!</f>
        <v>#REF!</v>
      </c>
      <c r="D99" s="77" t="s">
        <v>213</v>
      </c>
      <c r="E99" s="76" t="e">
        <f>PRORRATEO!#REF!</f>
        <v>#REF!</v>
      </c>
      <c r="H99" s="2"/>
      <c r="I99" s="1"/>
      <c r="J99" s="2"/>
    </row>
    <row r="100" spans="2:10" x14ac:dyDescent="0.3">
      <c r="B100" s="1"/>
      <c r="H100" s="2"/>
      <c r="I100" s="245"/>
      <c r="J100" s="246"/>
    </row>
    <row r="101" spans="2:10" x14ac:dyDescent="0.3">
      <c r="B101" s="1"/>
      <c r="H101" s="2"/>
      <c r="I101" s="1"/>
      <c r="J101" s="2"/>
    </row>
    <row r="102" spans="2:10" x14ac:dyDescent="0.3">
      <c r="B102" s="1"/>
      <c r="H102" s="2"/>
      <c r="I102" s="1"/>
      <c r="J102" s="2"/>
    </row>
    <row r="103" spans="2:10" ht="15" thickBot="1" x14ac:dyDescent="0.35">
      <c r="B103" s="1"/>
      <c r="H103" s="2"/>
      <c r="I103" s="83"/>
      <c r="J103" s="86"/>
    </row>
    <row r="104" spans="2:10" ht="15" thickBot="1" x14ac:dyDescent="0.35">
      <c r="B104" s="235" t="s">
        <v>212</v>
      </c>
      <c r="C104" s="236"/>
      <c r="D104" s="236"/>
      <c r="E104" s="236"/>
      <c r="F104" s="236"/>
      <c r="G104" s="237" t="e">
        <f>PRORRATEO!#REF!</f>
        <v>#REF!</v>
      </c>
      <c r="H104" s="238"/>
      <c r="I104" s="75"/>
      <c r="J104" s="85"/>
    </row>
    <row r="107" spans="2:10" ht="15" thickBot="1" x14ac:dyDescent="0.35"/>
    <row r="108" spans="2:10" ht="15" thickBot="1" x14ac:dyDescent="0.35">
      <c r="B108" s="247" t="s">
        <v>211</v>
      </c>
      <c r="C108" s="248"/>
      <c r="D108" s="248"/>
      <c r="E108" s="248"/>
      <c r="F108" s="248"/>
      <c r="G108" s="248"/>
      <c r="H108" s="249"/>
      <c r="I108" s="73"/>
      <c r="J108" s="74"/>
    </row>
    <row r="109" spans="2:10" ht="15" thickBot="1" x14ac:dyDescent="0.35">
      <c r="B109" s="239" t="s">
        <v>121</v>
      </c>
      <c r="C109" s="240"/>
      <c r="D109" s="240"/>
      <c r="E109" s="240"/>
      <c r="F109" s="240"/>
      <c r="G109" s="240"/>
      <c r="H109" s="241"/>
      <c r="I109" s="1"/>
      <c r="J109" s="2"/>
    </row>
    <row r="110" spans="2:10" x14ac:dyDescent="0.3">
      <c r="B110" s="73" t="s">
        <v>219</v>
      </c>
      <c r="C110" s="84"/>
      <c r="D110" s="84"/>
      <c r="E110" s="84"/>
      <c r="G110" t="s">
        <v>39</v>
      </c>
      <c r="H110" s="2"/>
      <c r="I110" s="1"/>
      <c r="J110" s="2"/>
    </row>
    <row r="111" spans="2:10" x14ac:dyDescent="0.3">
      <c r="B111" s="78" t="s">
        <v>216</v>
      </c>
      <c r="C111" s="76"/>
      <c r="D111" s="76"/>
      <c r="H111" s="2"/>
      <c r="I111" s="1"/>
      <c r="J111" s="2"/>
    </row>
    <row r="112" spans="2:10" x14ac:dyDescent="0.3">
      <c r="B112" s="79"/>
      <c r="C112" s="80"/>
      <c r="D112" s="80"/>
      <c r="E112" s="81"/>
      <c r="F112" s="81"/>
      <c r="G112" s="81"/>
      <c r="H112" s="82"/>
      <c r="I112" s="1"/>
      <c r="J112" s="2"/>
    </row>
    <row r="113" spans="2:10" x14ac:dyDescent="0.3">
      <c r="B113" s="242" t="s">
        <v>214</v>
      </c>
      <c r="C113" s="243"/>
      <c r="D113" s="243"/>
      <c r="E113" s="243"/>
      <c r="F113" s="243"/>
      <c r="G113" s="243"/>
      <c r="H113" s="244"/>
      <c r="I113" s="1"/>
      <c r="J113" s="2"/>
    </row>
    <row r="114" spans="2:10" x14ac:dyDescent="0.3">
      <c r="B114" s="78"/>
      <c r="C114" s="76"/>
      <c r="D114" s="76"/>
      <c r="H114" s="2"/>
      <c r="I114" s="1"/>
      <c r="J114" s="2"/>
    </row>
    <row r="115" spans="2:10" x14ac:dyDescent="0.3">
      <c r="B115" s="1" t="s">
        <v>210</v>
      </c>
      <c r="E115" t="e">
        <f>PRORRATEO!#REF!</f>
        <v>#REF!</v>
      </c>
      <c r="H115" s="2"/>
      <c r="I115" s="245" t="s">
        <v>215</v>
      </c>
      <c r="J115" s="246"/>
    </row>
    <row r="116" spans="2:10" x14ac:dyDescent="0.3">
      <c r="B116" s="1" t="s">
        <v>209</v>
      </c>
      <c r="C116" s="76" t="e">
        <f>PRORRATEO!#REF!</f>
        <v>#REF!</v>
      </c>
      <c r="D116" s="77" t="s">
        <v>213</v>
      </c>
      <c r="E116" s="76" t="e">
        <f>PRORRATEO!#REF!</f>
        <v>#REF!</v>
      </c>
      <c r="H116" s="2"/>
      <c r="I116" s="1"/>
      <c r="J116" s="2"/>
    </row>
    <row r="117" spans="2:10" x14ac:dyDescent="0.3">
      <c r="B117" s="1"/>
      <c r="H117" s="2"/>
      <c r="I117" s="245"/>
      <c r="J117" s="246"/>
    </row>
    <row r="118" spans="2:10" x14ac:dyDescent="0.3">
      <c r="B118" s="1"/>
      <c r="H118" s="2"/>
      <c r="I118" s="1"/>
      <c r="J118" s="2"/>
    </row>
    <row r="119" spans="2:10" x14ac:dyDescent="0.3">
      <c r="B119" s="1"/>
      <c r="H119" s="2"/>
      <c r="I119" s="1"/>
      <c r="J119" s="2"/>
    </row>
    <row r="120" spans="2:10" ht="15" thickBot="1" x14ac:dyDescent="0.35">
      <c r="B120" s="1"/>
      <c r="H120" s="2"/>
      <c r="I120" s="83"/>
      <c r="J120" s="86"/>
    </row>
    <row r="121" spans="2:10" ht="15" thickBot="1" x14ac:dyDescent="0.35">
      <c r="B121" s="235" t="s">
        <v>212</v>
      </c>
      <c r="C121" s="236"/>
      <c r="D121" s="236"/>
      <c r="E121" s="236"/>
      <c r="F121" s="236"/>
      <c r="G121" s="237" t="e">
        <f>PRORRATEO!#REF!</f>
        <v>#REF!</v>
      </c>
      <c r="H121" s="238"/>
      <c r="I121" s="75"/>
      <c r="J121" s="85"/>
    </row>
    <row r="124" spans="2:10" ht="15" thickBot="1" x14ac:dyDescent="0.35"/>
    <row r="125" spans="2:10" ht="15" thickBot="1" x14ac:dyDescent="0.35">
      <c r="B125" s="247" t="s">
        <v>211</v>
      </c>
      <c r="C125" s="248"/>
      <c r="D125" s="248"/>
      <c r="E125" s="248"/>
      <c r="F125" s="248"/>
      <c r="G125" s="248"/>
      <c r="H125" s="249"/>
      <c r="I125" s="73"/>
      <c r="J125" s="74"/>
    </row>
    <row r="126" spans="2:10" ht="15" thickBot="1" x14ac:dyDescent="0.35">
      <c r="B126" s="239" t="s">
        <v>121</v>
      </c>
      <c r="C126" s="240"/>
      <c r="D126" s="240"/>
      <c r="E126" s="240"/>
      <c r="F126" s="240"/>
      <c r="G126" s="240"/>
      <c r="H126" s="241"/>
      <c r="I126" s="1"/>
      <c r="J126" s="2"/>
    </row>
    <row r="127" spans="2:10" x14ac:dyDescent="0.3">
      <c r="B127" s="73" t="s">
        <v>219</v>
      </c>
      <c r="C127" s="84"/>
      <c r="D127" s="84"/>
      <c r="E127" s="84"/>
      <c r="G127" t="s">
        <v>39</v>
      </c>
      <c r="H127" s="2"/>
      <c r="I127" s="1"/>
      <c r="J127" s="2"/>
    </row>
    <row r="128" spans="2:10" x14ac:dyDescent="0.3">
      <c r="B128" s="78" t="s">
        <v>216</v>
      </c>
      <c r="C128" s="76"/>
      <c r="D128" s="76"/>
      <c r="H128" s="2"/>
      <c r="I128" s="1"/>
      <c r="J128" s="2"/>
    </row>
    <row r="129" spans="2:10" x14ac:dyDescent="0.3">
      <c r="B129" s="79"/>
      <c r="C129" s="80"/>
      <c r="D129" s="80"/>
      <c r="E129" s="81"/>
      <c r="F129" s="81"/>
      <c r="G129" s="81"/>
      <c r="H129" s="82"/>
      <c r="I129" s="1"/>
      <c r="J129" s="2"/>
    </row>
    <row r="130" spans="2:10" x14ac:dyDescent="0.3">
      <c r="B130" s="242" t="s">
        <v>214</v>
      </c>
      <c r="C130" s="243"/>
      <c r="D130" s="243"/>
      <c r="E130" s="243"/>
      <c r="F130" s="243"/>
      <c r="G130" s="243"/>
      <c r="H130" s="244"/>
      <c r="I130" s="1"/>
      <c r="J130" s="2"/>
    </row>
    <row r="131" spans="2:10" x14ac:dyDescent="0.3">
      <c r="B131" s="78"/>
      <c r="C131" s="76"/>
      <c r="D131" s="76"/>
      <c r="H131" s="2"/>
      <c r="I131" s="1"/>
      <c r="J131" s="2"/>
    </row>
    <row r="132" spans="2:10" x14ac:dyDescent="0.3">
      <c r="B132" s="1" t="s">
        <v>210</v>
      </c>
      <c r="E132" t="e">
        <f>PRORRATEO!#REF!</f>
        <v>#REF!</v>
      </c>
      <c r="H132" s="2"/>
      <c r="I132" s="245" t="s">
        <v>215</v>
      </c>
      <c r="J132" s="246"/>
    </row>
    <row r="133" spans="2:10" x14ac:dyDescent="0.3">
      <c r="B133" s="1" t="s">
        <v>209</v>
      </c>
      <c r="C133" s="76" t="e">
        <f>PRORRATEO!#REF!</f>
        <v>#REF!</v>
      </c>
      <c r="D133" s="77" t="s">
        <v>213</v>
      </c>
      <c r="E133" s="76" t="e">
        <f>PRORRATEO!#REF!</f>
        <v>#REF!</v>
      </c>
      <c r="H133" s="2"/>
      <c r="I133" s="1"/>
      <c r="J133" s="2"/>
    </row>
    <row r="134" spans="2:10" x14ac:dyDescent="0.3">
      <c r="B134" s="1"/>
      <c r="H134" s="2"/>
      <c r="I134" s="245"/>
      <c r="J134" s="246"/>
    </row>
    <row r="135" spans="2:10" x14ac:dyDescent="0.3">
      <c r="B135" s="1"/>
      <c r="H135" s="2"/>
      <c r="I135" s="1"/>
      <c r="J135" s="2"/>
    </row>
    <row r="136" spans="2:10" x14ac:dyDescent="0.3">
      <c r="B136" s="1"/>
      <c r="H136" s="2"/>
      <c r="I136" s="1"/>
      <c r="J136" s="2"/>
    </row>
    <row r="137" spans="2:10" ht="15" thickBot="1" x14ac:dyDescent="0.35">
      <c r="B137" s="1"/>
      <c r="H137" s="2"/>
      <c r="I137" s="83"/>
      <c r="J137" s="86"/>
    </row>
    <row r="138" spans="2:10" ht="15" thickBot="1" x14ac:dyDescent="0.35">
      <c r="B138" s="235" t="s">
        <v>212</v>
      </c>
      <c r="C138" s="236"/>
      <c r="D138" s="236"/>
      <c r="E138" s="236"/>
      <c r="F138" s="236"/>
      <c r="G138" s="237" t="e">
        <f>PRORRATEO!#REF!</f>
        <v>#REF!</v>
      </c>
      <c r="H138" s="238"/>
      <c r="I138" s="75"/>
      <c r="J138" s="85"/>
    </row>
  </sheetData>
  <mergeCells count="56">
    <mergeCell ref="B38:H38"/>
    <mergeCell ref="B39:H39"/>
    <mergeCell ref="B43:H43"/>
    <mergeCell ref="I10:J10"/>
    <mergeCell ref="I12:J12"/>
    <mergeCell ref="B16:F16"/>
    <mergeCell ref="G16:H16"/>
    <mergeCell ref="B33:F33"/>
    <mergeCell ref="G33:H33"/>
    <mergeCell ref="B25:H25"/>
    <mergeCell ref="I27:J27"/>
    <mergeCell ref="I29:J29"/>
    <mergeCell ref="B3:H3"/>
    <mergeCell ref="B4:H4"/>
    <mergeCell ref="B8:H8"/>
    <mergeCell ref="B20:H20"/>
    <mergeCell ref="B21:H21"/>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132:J132"/>
    <mergeCell ref="I134:J134"/>
    <mergeCell ref="B138:F138"/>
    <mergeCell ref="G138:H138"/>
    <mergeCell ref="B108:H108"/>
    <mergeCell ref="B109:H109"/>
    <mergeCell ref="B113:H113"/>
    <mergeCell ref="B125:H125"/>
    <mergeCell ref="B126:H126"/>
    <mergeCell ref="B130:H130"/>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4.4" x14ac:dyDescent="0.3"/>
  <cols>
    <col min="1" max="1" width="3.44140625" customWidth="1"/>
    <col min="2" max="2" width="9.5546875" customWidth="1"/>
    <col min="5" max="5" width="7.109375" customWidth="1"/>
    <col min="6" max="6" width="6.109375" customWidth="1"/>
    <col min="7" max="7" width="5.88671875" customWidth="1"/>
    <col min="8" max="8" width="9.33203125" customWidth="1"/>
  </cols>
  <sheetData>
    <row r="2" spans="2:10" ht="15" thickBot="1" x14ac:dyDescent="0.35"/>
    <row r="3" spans="2:10" ht="15" thickBot="1" x14ac:dyDescent="0.35">
      <c r="B3" s="247" t="s">
        <v>211</v>
      </c>
      <c r="C3" s="248"/>
      <c r="D3" s="248"/>
      <c r="E3" s="248"/>
      <c r="F3" s="248"/>
      <c r="G3" s="248"/>
      <c r="H3" s="249"/>
      <c r="I3" s="73"/>
      <c r="J3" s="74"/>
    </row>
    <row r="4" spans="2:10" ht="15" thickBot="1" x14ac:dyDescent="0.35">
      <c r="B4" s="239" t="s">
        <v>121</v>
      </c>
      <c r="C4" s="240"/>
      <c r="D4" s="240"/>
      <c r="E4" s="240"/>
      <c r="F4" s="240"/>
      <c r="G4" s="240"/>
      <c r="H4" s="241"/>
      <c r="I4" s="1"/>
      <c r="J4" s="2"/>
    </row>
    <row r="5" spans="2:10" x14ac:dyDescent="0.3">
      <c r="B5" s="73" t="s">
        <v>219</v>
      </c>
      <c r="C5" s="84"/>
      <c r="D5" s="84"/>
      <c r="E5" s="84"/>
      <c r="G5" t="s">
        <v>39</v>
      </c>
      <c r="H5" s="2"/>
      <c r="I5" s="1"/>
      <c r="J5" s="2"/>
    </row>
    <row r="6" spans="2:10" x14ac:dyDescent="0.3">
      <c r="B6" s="78" t="s">
        <v>216</v>
      </c>
      <c r="C6" s="76"/>
      <c r="D6" s="76"/>
      <c r="H6" s="2"/>
      <c r="I6" s="1"/>
      <c r="J6" s="2"/>
    </row>
    <row r="7" spans="2:10" x14ac:dyDescent="0.3">
      <c r="B7" s="79"/>
      <c r="C7" s="80"/>
      <c r="D7" s="80"/>
      <c r="E7" s="81"/>
      <c r="F7" s="81"/>
      <c r="G7" s="81"/>
      <c r="H7" s="82"/>
      <c r="I7" s="1"/>
      <c r="J7" s="2"/>
    </row>
    <row r="8" spans="2:10" x14ac:dyDescent="0.3">
      <c r="B8" s="242" t="s">
        <v>214</v>
      </c>
      <c r="C8" s="243"/>
      <c r="D8" s="243"/>
      <c r="E8" s="243"/>
      <c r="F8" s="243"/>
      <c r="G8" s="243"/>
      <c r="H8" s="244"/>
      <c r="I8" s="1"/>
      <c r="J8" s="2"/>
    </row>
    <row r="9" spans="2:10" x14ac:dyDescent="0.3">
      <c r="B9" s="78"/>
      <c r="C9" s="76"/>
      <c r="D9" s="76"/>
      <c r="H9" s="2"/>
      <c r="I9" s="1"/>
      <c r="J9" s="2"/>
    </row>
    <row r="10" spans="2:10" x14ac:dyDescent="0.3">
      <c r="B10" s="1" t="s">
        <v>210</v>
      </c>
      <c r="E10" t="e">
        <f>PRORRATEO!#REF!</f>
        <v>#REF!</v>
      </c>
      <c r="H10" s="2"/>
      <c r="I10" s="245" t="s">
        <v>215</v>
      </c>
      <c r="J10" s="246"/>
    </row>
    <row r="11" spans="2:10" x14ac:dyDescent="0.3">
      <c r="B11" s="1" t="s">
        <v>209</v>
      </c>
      <c r="C11" s="76" t="e">
        <f>PRORRATEO!#REF!</f>
        <v>#REF!</v>
      </c>
      <c r="D11" s="77" t="s">
        <v>213</v>
      </c>
      <c r="E11" s="76" t="e">
        <f>PRORRATEO!#REF!</f>
        <v>#REF!</v>
      </c>
      <c r="H11" s="2"/>
      <c r="I11" s="1"/>
      <c r="J11" s="2"/>
    </row>
    <row r="12" spans="2:10" x14ac:dyDescent="0.3">
      <c r="B12" s="1"/>
      <c r="H12" s="2"/>
      <c r="I12" s="245"/>
      <c r="J12" s="246"/>
    </row>
    <row r="13" spans="2:10" x14ac:dyDescent="0.3">
      <c r="B13" s="1"/>
      <c r="H13" s="2"/>
      <c r="I13" s="1"/>
      <c r="J13" s="2"/>
    </row>
    <row r="14" spans="2:10" x14ac:dyDescent="0.3">
      <c r="B14" s="1"/>
      <c r="H14" s="2"/>
      <c r="I14" s="1"/>
      <c r="J14" s="2"/>
    </row>
    <row r="15" spans="2:10" ht="15" thickBot="1" x14ac:dyDescent="0.35">
      <c r="B15" s="1"/>
      <c r="H15" s="2"/>
      <c r="I15" s="83"/>
      <c r="J15" s="86"/>
    </row>
    <row r="16" spans="2:10" ht="15" thickBot="1" x14ac:dyDescent="0.35">
      <c r="B16" s="235" t="s">
        <v>212</v>
      </c>
      <c r="C16" s="236"/>
      <c r="D16" s="236"/>
      <c r="E16" s="236"/>
      <c r="F16" s="236"/>
      <c r="G16" s="237" t="e">
        <f>PRORRATEO!#REF!</f>
        <v>#REF!</v>
      </c>
      <c r="H16" s="238"/>
      <c r="I16" s="75"/>
      <c r="J16" s="85"/>
    </row>
    <row r="20" spans="2:10" ht="15" thickBot="1" x14ac:dyDescent="0.35"/>
    <row r="21" spans="2:10" ht="15" thickBot="1" x14ac:dyDescent="0.35">
      <c r="B21" s="247" t="s">
        <v>211</v>
      </c>
      <c r="C21" s="248"/>
      <c r="D21" s="248"/>
      <c r="E21" s="248"/>
      <c r="F21" s="248"/>
      <c r="G21" s="248"/>
      <c r="H21" s="249"/>
      <c r="I21" s="73"/>
      <c r="J21" s="74"/>
    </row>
    <row r="22" spans="2:10" ht="15" thickBot="1" x14ac:dyDescent="0.35">
      <c r="B22" s="239" t="s">
        <v>121</v>
      </c>
      <c r="C22" s="240"/>
      <c r="D22" s="240"/>
      <c r="E22" s="240"/>
      <c r="F22" s="240"/>
      <c r="G22" s="240"/>
      <c r="H22" s="241"/>
      <c r="I22" s="1"/>
      <c r="J22" s="2"/>
    </row>
    <row r="23" spans="2:10" x14ac:dyDescent="0.3">
      <c r="B23" s="73" t="s">
        <v>219</v>
      </c>
      <c r="C23" s="84"/>
      <c r="D23" s="84"/>
      <c r="E23" s="84"/>
      <c r="G23" t="s">
        <v>39</v>
      </c>
      <c r="H23" s="2"/>
      <c r="I23" s="1"/>
      <c r="J23" s="2"/>
    </row>
    <row r="24" spans="2:10" x14ac:dyDescent="0.3">
      <c r="B24" s="78" t="s">
        <v>216</v>
      </c>
      <c r="C24" s="76"/>
      <c r="D24" s="76"/>
      <c r="H24" s="2"/>
      <c r="I24" s="1"/>
      <c r="J24" s="2"/>
    </row>
    <row r="25" spans="2:10" x14ac:dyDescent="0.3">
      <c r="B25" s="79"/>
      <c r="C25" s="80"/>
      <c r="D25" s="80"/>
      <c r="E25" s="81"/>
      <c r="F25" s="81"/>
      <c r="G25" s="81"/>
      <c r="H25" s="82"/>
      <c r="I25" s="1"/>
      <c r="J25" s="2"/>
    </row>
    <row r="26" spans="2:10" x14ac:dyDescent="0.3">
      <c r="B26" s="242" t="s">
        <v>214</v>
      </c>
      <c r="C26" s="243"/>
      <c r="D26" s="243"/>
      <c r="E26" s="243"/>
      <c r="F26" s="243"/>
      <c r="G26" s="243"/>
      <c r="H26" s="244"/>
      <c r="I26" s="1"/>
      <c r="J26" s="2"/>
    </row>
    <row r="27" spans="2:10" x14ac:dyDescent="0.3">
      <c r="B27" s="78"/>
      <c r="C27" s="76"/>
      <c r="D27" s="76"/>
      <c r="H27" s="2"/>
      <c r="I27" s="1"/>
      <c r="J27" s="2"/>
    </row>
    <row r="28" spans="2:10" x14ac:dyDescent="0.3">
      <c r="B28" s="1" t="s">
        <v>210</v>
      </c>
      <c r="E28" t="e">
        <f>PRORRATEO!#REF!</f>
        <v>#REF!</v>
      </c>
      <c r="H28" s="2"/>
      <c r="I28" s="245" t="s">
        <v>215</v>
      </c>
      <c r="J28" s="246"/>
    </row>
    <row r="29" spans="2:10" x14ac:dyDescent="0.3">
      <c r="B29" s="1" t="s">
        <v>209</v>
      </c>
      <c r="C29" s="76" t="e">
        <f>PRORRATEO!#REF!</f>
        <v>#REF!</v>
      </c>
      <c r="D29" s="77" t="s">
        <v>213</v>
      </c>
      <c r="E29" s="76" t="e">
        <f>PRORRATEO!#REF!</f>
        <v>#REF!</v>
      </c>
      <c r="H29" s="2"/>
      <c r="I29" s="1"/>
      <c r="J29" s="2"/>
    </row>
    <row r="30" spans="2:10" x14ac:dyDescent="0.3">
      <c r="B30" s="1"/>
      <c r="H30" s="2"/>
      <c r="I30" s="245"/>
      <c r="J30" s="246"/>
    </row>
    <row r="31" spans="2:10" x14ac:dyDescent="0.3">
      <c r="B31" s="1"/>
      <c r="H31" s="2"/>
      <c r="I31" s="1"/>
      <c r="J31" s="2"/>
    </row>
    <row r="32" spans="2:10" x14ac:dyDescent="0.3">
      <c r="B32" s="1"/>
      <c r="H32" s="2"/>
      <c r="I32" s="1"/>
      <c r="J32" s="2"/>
    </row>
    <row r="33" spans="2:10" ht="15" thickBot="1" x14ac:dyDescent="0.35">
      <c r="B33" s="1"/>
      <c r="H33" s="2"/>
      <c r="I33" s="83"/>
      <c r="J33" s="86"/>
    </row>
    <row r="34" spans="2:10" ht="15" thickBot="1" x14ac:dyDescent="0.35">
      <c r="B34" s="235" t="s">
        <v>212</v>
      </c>
      <c r="C34" s="236"/>
      <c r="D34" s="236"/>
      <c r="E34" s="236"/>
      <c r="F34" s="236"/>
      <c r="G34" s="237" t="e">
        <f>PRORRATEO!#REF!</f>
        <v>#REF!</v>
      </c>
      <c r="H34" s="238"/>
      <c r="I34" s="75"/>
      <c r="J34" s="85"/>
    </row>
    <row r="36" spans="2:10" ht="295.5" customHeight="1" x14ac:dyDescent="0.3"/>
    <row r="37" spans="2:10" ht="15" thickBot="1" x14ac:dyDescent="0.35"/>
    <row r="38" spans="2:10" ht="15" thickBot="1" x14ac:dyDescent="0.35">
      <c r="B38" s="247" t="s">
        <v>211</v>
      </c>
      <c r="C38" s="248"/>
      <c r="D38" s="248"/>
      <c r="E38" s="248"/>
      <c r="F38" s="248"/>
      <c r="G38" s="248"/>
      <c r="H38" s="249"/>
      <c r="I38" s="73"/>
      <c r="J38" s="74"/>
    </row>
    <row r="39" spans="2:10" ht="15" thickBot="1" x14ac:dyDescent="0.35">
      <c r="B39" s="239" t="s">
        <v>121</v>
      </c>
      <c r="C39" s="240"/>
      <c r="D39" s="240"/>
      <c r="E39" s="240"/>
      <c r="F39" s="240"/>
      <c r="G39" s="240"/>
      <c r="H39" s="241"/>
      <c r="I39" s="1"/>
      <c r="J39" s="2"/>
    </row>
    <row r="40" spans="2:10" x14ac:dyDescent="0.3">
      <c r="B40" s="73" t="s">
        <v>219</v>
      </c>
      <c r="C40" s="84"/>
      <c r="D40" s="84"/>
      <c r="E40" s="84"/>
      <c r="G40" t="s">
        <v>39</v>
      </c>
      <c r="H40" s="2"/>
      <c r="I40" s="1"/>
      <c r="J40" s="2"/>
    </row>
    <row r="41" spans="2:10" x14ac:dyDescent="0.3">
      <c r="B41" s="78" t="s">
        <v>216</v>
      </c>
      <c r="C41" s="76"/>
      <c r="D41" s="76"/>
      <c r="H41" s="2"/>
      <c r="I41" s="1"/>
      <c r="J41" s="2"/>
    </row>
    <row r="42" spans="2:10" x14ac:dyDescent="0.3">
      <c r="B42" s="79"/>
      <c r="C42" s="80"/>
      <c r="D42" s="80"/>
      <c r="E42" s="81"/>
      <c r="F42" s="81"/>
      <c r="G42" s="81"/>
      <c r="H42" s="82"/>
      <c r="I42" s="1"/>
      <c r="J42" s="2"/>
    </row>
    <row r="43" spans="2:10" x14ac:dyDescent="0.3">
      <c r="B43" s="242" t="s">
        <v>214</v>
      </c>
      <c r="C43" s="243"/>
      <c r="D43" s="243"/>
      <c r="E43" s="243"/>
      <c r="F43" s="243"/>
      <c r="G43" s="243"/>
      <c r="H43" s="244"/>
      <c r="I43" s="1"/>
      <c r="J43" s="2"/>
    </row>
    <row r="44" spans="2:10" x14ac:dyDescent="0.3">
      <c r="B44" s="78"/>
      <c r="C44" s="76"/>
      <c r="D44" s="76"/>
      <c r="H44" s="2"/>
      <c r="I44" s="1"/>
      <c r="J44" s="2"/>
    </row>
    <row r="45" spans="2:10" x14ac:dyDescent="0.3">
      <c r="B45" s="1" t="s">
        <v>210</v>
      </c>
      <c r="E45" t="e">
        <f>PRORRATEO!#REF!</f>
        <v>#REF!</v>
      </c>
      <c r="H45" s="2"/>
      <c r="I45" s="245" t="s">
        <v>215</v>
      </c>
      <c r="J45" s="246"/>
    </row>
    <row r="46" spans="2:10" x14ac:dyDescent="0.3">
      <c r="B46" s="1" t="s">
        <v>209</v>
      </c>
      <c r="C46" s="76" t="e">
        <f>PRORRATEO!#REF!</f>
        <v>#REF!</v>
      </c>
      <c r="D46" s="77" t="s">
        <v>213</v>
      </c>
      <c r="E46" s="76" t="e">
        <f>PRORRATEO!#REF!</f>
        <v>#REF!</v>
      </c>
      <c r="H46" s="2"/>
      <c r="I46" s="1"/>
      <c r="J46" s="2"/>
    </row>
    <row r="47" spans="2:10" x14ac:dyDescent="0.3">
      <c r="B47" s="1"/>
      <c r="H47" s="2"/>
      <c r="I47" s="245"/>
      <c r="J47" s="246"/>
    </row>
    <row r="48" spans="2:10" x14ac:dyDescent="0.3">
      <c r="B48" s="1"/>
      <c r="H48" s="2"/>
      <c r="I48" s="1"/>
      <c r="J48" s="2"/>
    </row>
    <row r="49" spans="2:10" x14ac:dyDescent="0.3">
      <c r="B49" s="1"/>
      <c r="H49" s="2"/>
      <c r="I49" s="1"/>
      <c r="J49" s="2"/>
    </row>
    <row r="50" spans="2:10" ht="15" thickBot="1" x14ac:dyDescent="0.35">
      <c r="B50" s="1"/>
      <c r="H50" s="2"/>
      <c r="I50" s="83"/>
      <c r="J50" s="86"/>
    </row>
    <row r="51" spans="2:10" ht="15" thickBot="1" x14ac:dyDescent="0.35">
      <c r="B51" s="235" t="s">
        <v>212</v>
      </c>
      <c r="C51" s="236"/>
      <c r="D51" s="236"/>
      <c r="E51" s="236"/>
      <c r="F51" s="236"/>
      <c r="G51" s="237" t="e">
        <f>PRORRATEO!#REF!</f>
        <v>#REF!</v>
      </c>
      <c r="H51" s="238"/>
      <c r="I51" s="75"/>
      <c r="J51" s="85"/>
    </row>
    <row r="52" spans="2:10" ht="1.5" customHeight="1" x14ac:dyDescent="0.3"/>
    <row r="53" spans="2:10" ht="15" thickBot="1" x14ac:dyDescent="0.35"/>
    <row r="54" spans="2:10" ht="15" thickBot="1" x14ac:dyDescent="0.35">
      <c r="B54" s="247" t="s">
        <v>211</v>
      </c>
      <c r="C54" s="248"/>
      <c r="D54" s="248"/>
      <c r="E54" s="248"/>
      <c r="F54" s="248"/>
      <c r="G54" s="248"/>
      <c r="H54" s="249"/>
      <c r="I54" s="73"/>
      <c r="J54" s="74"/>
    </row>
    <row r="55" spans="2:10" ht="15" thickBot="1" x14ac:dyDescent="0.35">
      <c r="B55" s="239" t="s">
        <v>121</v>
      </c>
      <c r="C55" s="240"/>
      <c r="D55" s="240"/>
      <c r="E55" s="240"/>
      <c r="F55" s="240"/>
      <c r="G55" s="240"/>
      <c r="H55" s="241"/>
      <c r="I55" s="1"/>
      <c r="J55" s="2"/>
    </row>
    <row r="56" spans="2:10" x14ac:dyDescent="0.3">
      <c r="B56" s="73" t="s">
        <v>219</v>
      </c>
      <c r="C56" s="84"/>
      <c r="D56" s="84"/>
      <c r="E56" s="84"/>
      <c r="G56" t="s">
        <v>39</v>
      </c>
      <c r="H56" s="2"/>
      <c r="I56" s="1"/>
      <c r="J56" s="2"/>
    </row>
    <row r="57" spans="2:10" x14ac:dyDescent="0.3">
      <c r="B57" s="78" t="s">
        <v>216</v>
      </c>
      <c r="C57" s="76"/>
      <c r="D57" s="76"/>
      <c r="H57" s="2"/>
      <c r="I57" s="1"/>
      <c r="J57" s="2"/>
    </row>
    <row r="58" spans="2:10" x14ac:dyDescent="0.3">
      <c r="B58" s="79"/>
      <c r="C58" s="80"/>
      <c r="D58" s="80"/>
      <c r="E58" s="81"/>
      <c r="F58" s="81"/>
      <c r="G58" s="81"/>
      <c r="H58" s="82"/>
      <c r="I58" s="1"/>
      <c r="J58" s="2"/>
    </row>
    <row r="59" spans="2:10" x14ac:dyDescent="0.3">
      <c r="B59" s="242" t="s">
        <v>214</v>
      </c>
      <c r="C59" s="243"/>
      <c r="D59" s="243"/>
      <c r="E59" s="243"/>
      <c r="F59" s="243"/>
      <c r="G59" s="243"/>
      <c r="H59" s="244"/>
      <c r="I59" s="1"/>
      <c r="J59" s="2"/>
    </row>
    <row r="60" spans="2:10" x14ac:dyDescent="0.3">
      <c r="B60" s="78"/>
      <c r="C60" s="76"/>
      <c r="D60" s="76"/>
      <c r="H60" s="2"/>
      <c r="I60" s="1"/>
      <c r="J60" s="2"/>
    </row>
    <row r="61" spans="2:10" x14ac:dyDescent="0.3">
      <c r="B61" s="1" t="s">
        <v>210</v>
      </c>
      <c r="E61" t="e">
        <f>PRORRATEO!#REF!</f>
        <v>#REF!</v>
      </c>
      <c r="H61" s="2"/>
      <c r="I61" s="245" t="s">
        <v>215</v>
      </c>
      <c r="J61" s="246"/>
    </row>
    <row r="62" spans="2:10" x14ac:dyDescent="0.3">
      <c r="B62" s="1" t="s">
        <v>209</v>
      </c>
      <c r="C62" s="76" t="e">
        <f>PRORRATEO!#REF!</f>
        <v>#REF!</v>
      </c>
      <c r="D62" s="77" t="s">
        <v>213</v>
      </c>
      <c r="E62" s="76" t="e">
        <f>PRORRATEO!#REF!</f>
        <v>#REF!</v>
      </c>
      <c r="H62" s="2"/>
      <c r="I62" s="1"/>
      <c r="J62" s="2"/>
    </row>
    <row r="63" spans="2:10" x14ac:dyDescent="0.3">
      <c r="B63" s="1"/>
      <c r="H63" s="2"/>
      <c r="I63" s="245"/>
      <c r="J63" s="246"/>
    </row>
    <row r="64" spans="2:10" x14ac:dyDescent="0.3">
      <c r="B64" s="1"/>
      <c r="H64" s="2"/>
      <c r="I64" s="1"/>
      <c r="J64" s="2"/>
    </row>
    <row r="65" spans="2:10" x14ac:dyDescent="0.3">
      <c r="B65" s="1"/>
      <c r="H65" s="2"/>
      <c r="I65" s="1"/>
      <c r="J65" s="2"/>
    </row>
    <row r="66" spans="2:10" ht="15" thickBot="1" x14ac:dyDescent="0.35">
      <c r="B66" s="1"/>
      <c r="H66" s="2"/>
      <c r="I66" s="83"/>
      <c r="J66" s="86"/>
    </row>
    <row r="67" spans="2:10" ht="15" thickBot="1" x14ac:dyDescent="0.35">
      <c r="B67" s="235" t="s">
        <v>212</v>
      </c>
      <c r="C67" s="236"/>
      <c r="D67" s="236"/>
      <c r="E67" s="236"/>
      <c r="F67" s="236"/>
      <c r="G67" s="237" t="e">
        <f>PRORRATEO!#REF!</f>
        <v>#REF!</v>
      </c>
      <c r="H67" s="238"/>
      <c r="I67" s="75"/>
      <c r="J67" s="85"/>
    </row>
    <row r="70" spans="2:10" ht="15" thickBot="1" x14ac:dyDescent="0.35"/>
    <row r="71" spans="2:10" ht="15" thickBot="1" x14ac:dyDescent="0.35">
      <c r="B71" s="247" t="s">
        <v>211</v>
      </c>
      <c r="C71" s="248"/>
      <c r="D71" s="248"/>
      <c r="E71" s="248"/>
      <c r="F71" s="248"/>
      <c r="G71" s="248"/>
      <c r="H71" s="249"/>
      <c r="I71" s="73"/>
      <c r="J71" s="74"/>
    </row>
    <row r="72" spans="2:10" ht="15" thickBot="1" x14ac:dyDescent="0.35">
      <c r="B72" s="239" t="s">
        <v>121</v>
      </c>
      <c r="C72" s="240"/>
      <c r="D72" s="240"/>
      <c r="E72" s="240"/>
      <c r="F72" s="240"/>
      <c r="G72" s="240"/>
      <c r="H72" s="241"/>
      <c r="I72" s="1"/>
      <c r="J72" s="2"/>
    </row>
    <row r="73" spans="2:10" x14ac:dyDescent="0.3">
      <c r="B73" s="73" t="s">
        <v>219</v>
      </c>
      <c r="C73" s="84"/>
      <c r="D73" s="84"/>
      <c r="E73" s="84"/>
      <c r="G73" t="s">
        <v>39</v>
      </c>
      <c r="H73" s="2"/>
      <c r="I73" s="1"/>
      <c r="J73" s="2"/>
    </row>
    <row r="74" spans="2:10" x14ac:dyDescent="0.3">
      <c r="B74" s="78" t="s">
        <v>216</v>
      </c>
      <c r="C74" s="76"/>
      <c r="D74" s="76"/>
      <c r="H74" s="2"/>
      <c r="I74" s="1"/>
      <c r="J74" s="2"/>
    </row>
    <row r="75" spans="2:10" x14ac:dyDescent="0.3">
      <c r="B75" s="79"/>
      <c r="C75" s="80"/>
      <c r="D75" s="80"/>
      <c r="E75" s="81"/>
      <c r="F75" s="81"/>
      <c r="G75" s="81"/>
      <c r="H75" s="82"/>
      <c r="I75" s="1"/>
      <c r="J75" s="2"/>
    </row>
    <row r="76" spans="2:10" x14ac:dyDescent="0.3">
      <c r="B76" s="242" t="s">
        <v>214</v>
      </c>
      <c r="C76" s="243"/>
      <c r="D76" s="243"/>
      <c r="E76" s="243"/>
      <c r="F76" s="243"/>
      <c r="G76" s="243"/>
      <c r="H76" s="244"/>
      <c r="I76" s="1"/>
      <c r="J76" s="2"/>
    </row>
    <row r="77" spans="2:10" x14ac:dyDescent="0.3">
      <c r="B77" s="78"/>
      <c r="C77" s="76"/>
      <c r="D77" s="76"/>
      <c r="H77" s="2"/>
      <c r="I77" s="1"/>
      <c r="J77" s="2"/>
    </row>
    <row r="78" spans="2:10" x14ac:dyDescent="0.3">
      <c r="B78" s="1" t="s">
        <v>210</v>
      </c>
      <c r="E78" t="e">
        <f>PRORRATEO!#REF!</f>
        <v>#REF!</v>
      </c>
      <c r="H78" s="2"/>
      <c r="I78" s="245" t="s">
        <v>215</v>
      </c>
      <c r="J78" s="246"/>
    </row>
    <row r="79" spans="2:10" x14ac:dyDescent="0.3">
      <c r="B79" s="1" t="s">
        <v>209</v>
      </c>
      <c r="C79" s="76" t="e">
        <f>PRORRATEO!#REF!</f>
        <v>#REF!</v>
      </c>
      <c r="D79" s="77" t="s">
        <v>213</v>
      </c>
      <c r="E79" s="76" t="e">
        <f>PRORRATEO!#REF!</f>
        <v>#REF!</v>
      </c>
      <c r="H79" s="2"/>
      <c r="I79" s="1"/>
      <c r="J79" s="2"/>
    </row>
    <row r="80" spans="2:10" x14ac:dyDescent="0.3">
      <c r="B80" s="1"/>
      <c r="H80" s="2"/>
      <c r="I80" s="245"/>
      <c r="J80" s="246"/>
    </row>
    <row r="81" spans="2:10" x14ac:dyDescent="0.3">
      <c r="B81" s="1"/>
      <c r="H81" s="2"/>
      <c r="I81" s="1"/>
      <c r="J81" s="2"/>
    </row>
    <row r="82" spans="2:10" x14ac:dyDescent="0.3">
      <c r="B82" s="1"/>
      <c r="H82" s="2"/>
      <c r="I82" s="1"/>
      <c r="J82" s="2"/>
    </row>
    <row r="83" spans="2:10" ht="15" thickBot="1" x14ac:dyDescent="0.35">
      <c r="B83" s="1"/>
      <c r="H83" s="2"/>
      <c r="I83" s="83"/>
      <c r="J83" s="86"/>
    </row>
    <row r="84" spans="2:10" ht="15" thickBot="1" x14ac:dyDescent="0.35">
      <c r="B84" s="235" t="s">
        <v>212</v>
      </c>
      <c r="C84" s="236"/>
      <c r="D84" s="236"/>
      <c r="E84" s="236"/>
      <c r="F84" s="236"/>
      <c r="G84" s="237" t="e">
        <f>PRORRATEO!#REF!</f>
        <v>#REF!</v>
      </c>
      <c r="H84" s="238"/>
      <c r="I84" s="75"/>
      <c r="J84" s="85"/>
    </row>
    <row r="87" spans="2:10" ht="15" thickBot="1" x14ac:dyDescent="0.35"/>
    <row r="88" spans="2:10" ht="15" thickBot="1" x14ac:dyDescent="0.35">
      <c r="B88" s="247" t="s">
        <v>211</v>
      </c>
      <c r="C88" s="248"/>
      <c r="D88" s="248"/>
      <c r="E88" s="248"/>
      <c r="F88" s="248"/>
      <c r="G88" s="248"/>
      <c r="H88" s="249"/>
      <c r="I88" s="73"/>
      <c r="J88" s="74"/>
    </row>
    <row r="89" spans="2:10" ht="15" thickBot="1" x14ac:dyDescent="0.35">
      <c r="B89" s="239" t="s">
        <v>121</v>
      </c>
      <c r="C89" s="240"/>
      <c r="D89" s="240"/>
      <c r="E89" s="240"/>
      <c r="F89" s="240"/>
      <c r="G89" s="240"/>
      <c r="H89" s="241"/>
      <c r="I89" s="1"/>
      <c r="J89" s="2"/>
    </row>
    <row r="90" spans="2:10" x14ac:dyDescent="0.3">
      <c r="B90" s="73" t="s">
        <v>219</v>
      </c>
      <c r="C90" s="84"/>
      <c r="D90" s="84"/>
      <c r="E90" s="84"/>
      <c r="G90" t="s">
        <v>39</v>
      </c>
      <c r="H90" s="2"/>
      <c r="I90" s="1"/>
      <c r="J90" s="2"/>
    </row>
    <row r="91" spans="2:10" x14ac:dyDescent="0.3">
      <c r="B91" s="78" t="s">
        <v>216</v>
      </c>
      <c r="C91" s="76"/>
      <c r="D91" s="76"/>
      <c r="H91" s="2"/>
      <c r="I91" s="1"/>
      <c r="J91" s="2"/>
    </row>
    <row r="92" spans="2:10" x14ac:dyDescent="0.3">
      <c r="B92" s="79"/>
      <c r="C92" s="80"/>
      <c r="D92" s="80"/>
      <c r="E92" s="81"/>
      <c r="F92" s="81"/>
      <c r="G92" s="81"/>
      <c r="H92" s="82"/>
      <c r="I92" s="1"/>
      <c r="J92" s="2"/>
    </row>
    <row r="93" spans="2:10" x14ac:dyDescent="0.3">
      <c r="B93" s="242" t="s">
        <v>214</v>
      </c>
      <c r="C93" s="243"/>
      <c r="D93" s="243"/>
      <c r="E93" s="243"/>
      <c r="F93" s="243"/>
      <c r="G93" s="243"/>
      <c r="H93" s="244"/>
      <c r="I93" s="1"/>
      <c r="J93" s="2"/>
    </row>
    <row r="94" spans="2:10" x14ac:dyDescent="0.3">
      <c r="B94" s="78"/>
      <c r="C94" s="76"/>
      <c r="D94" s="76"/>
      <c r="H94" s="2"/>
      <c r="I94" s="1"/>
      <c r="J94" s="2"/>
    </row>
    <row r="95" spans="2:10" x14ac:dyDescent="0.3">
      <c r="B95" s="1" t="s">
        <v>210</v>
      </c>
      <c r="E95" t="e">
        <f>PRORRATEO!#REF!</f>
        <v>#REF!</v>
      </c>
      <c r="H95" s="2"/>
      <c r="I95" s="245" t="s">
        <v>215</v>
      </c>
      <c r="J95" s="246"/>
    </row>
    <row r="96" spans="2:10" x14ac:dyDescent="0.3">
      <c r="B96" s="1" t="s">
        <v>209</v>
      </c>
      <c r="C96" s="76" t="e">
        <f>PRORRATEO!#REF!</f>
        <v>#REF!</v>
      </c>
      <c r="D96" s="77" t="s">
        <v>213</v>
      </c>
      <c r="E96" s="76" t="e">
        <f>PRORRATEO!#REF!</f>
        <v>#REF!</v>
      </c>
      <c r="H96" s="2"/>
      <c r="I96" s="1"/>
      <c r="J96" s="2"/>
    </row>
    <row r="97" spans="2:10" x14ac:dyDescent="0.3">
      <c r="B97" s="1"/>
      <c r="H97" s="2"/>
      <c r="I97" s="245"/>
      <c r="J97" s="246"/>
    </row>
    <row r="98" spans="2:10" x14ac:dyDescent="0.3">
      <c r="B98" s="1"/>
      <c r="H98" s="2"/>
      <c r="I98" s="1"/>
      <c r="J98" s="2"/>
    </row>
    <row r="99" spans="2:10" x14ac:dyDescent="0.3">
      <c r="B99" s="1"/>
      <c r="H99" s="2"/>
      <c r="I99" s="1"/>
      <c r="J99" s="2"/>
    </row>
    <row r="100" spans="2:10" ht="15" thickBot="1" x14ac:dyDescent="0.35">
      <c r="B100" s="1"/>
      <c r="H100" s="2"/>
      <c r="I100" s="83"/>
      <c r="J100" s="86"/>
    </row>
    <row r="101" spans="2:10" ht="15" thickBot="1" x14ac:dyDescent="0.35">
      <c r="B101" s="235" t="s">
        <v>212</v>
      </c>
      <c r="C101" s="236"/>
      <c r="D101" s="236"/>
      <c r="E101" s="236"/>
      <c r="F101" s="236"/>
      <c r="G101" s="237" t="e">
        <f>PRORRATEO!#REF!</f>
        <v>#REF!</v>
      </c>
      <c r="H101" s="238"/>
      <c r="I101" s="75"/>
      <c r="J101" s="85"/>
    </row>
  </sheetData>
  <mergeCells count="42">
    <mergeCell ref="I10:J10"/>
    <mergeCell ref="I12:J12"/>
    <mergeCell ref="B34:F34"/>
    <mergeCell ref="G34:H34"/>
    <mergeCell ref="B3:H3"/>
    <mergeCell ref="B4:H4"/>
    <mergeCell ref="B8:H8"/>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4:H54"/>
    <mergeCell ref="B55:H55"/>
    <mergeCell ref="B59:H59"/>
    <mergeCell ref="I61:J61"/>
    <mergeCell ref="I63:J63"/>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4.4" x14ac:dyDescent="0.3"/>
  <cols>
    <col min="1" max="1" width="3.5546875" customWidth="1"/>
    <col min="6" max="6" width="7.6640625" customWidth="1"/>
    <col min="7" max="7" width="6.88671875" customWidth="1"/>
  </cols>
  <sheetData>
    <row r="1" spans="2:10" ht="15" thickBot="1" x14ac:dyDescent="0.35"/>
    <row r="2" spans="2:10" ht="15" thickBot="1" x14ac:dyDescent="0.35">
      <c r="B2" s="247" t="s">
        <v>211</v>
      </c>
      <c r="C2" s="248"/>
      <c r="D2" s="248"/>
      <c r="E2" s="248"/>
      <c r="F2" s="248"/>
      <c r="G2" s="248"/>
      <c r="H2" s="249"/>
      <c r="I2" s="73"/>
      <c r="J2" s="74"/>
    </row>
    <row r="3" spans="2:10" ht="15" thickBot="1" x14ac:dyDescent="0.35">
      <c r="B3" s="239" t="s">
        <v>121</v>
      </c>
      <c r="C3" s="240"/>
      <c r="D3" s="240"/>
      <c r="E3" s="240"/>
      <c r="F3" s="240"/>
      <c r="G3" s="240"/>
      <c r="H3" s="241"/>
      <c r="I3" s="1"/>
      <c r="J3" s="2"/>
    </row>
    <row r="4" spans="2:10" x14ac:dyDescent="0.3">
      <c r="B4" s="73" t="s">
        <v>219</v>
      </c>
      <c r="C4" s="84"/>
      <c r="D4" s="84"/>
      <c r="E4" s="84"/>
      <c r="G4" t="s">
        <v>39</v>
      </c>
      <c r="H4" s="2"/>
      <c r="I4" s="1"/>
      <c r="J4" s="2"/>
    </row>
    <row r="5" spans="2:10" x14ac:dyDescent="0.3">
      <c r="B5" s="78" t="s">
        <v>216</v>
      </c>
      <c r="C5" s="76"/>
      <c r="D5" s="76"/>
      <c r="H5" s="2"/>
      <c r="I5" s="1"/>
      <c r="J5" s="2"/>
    </row>
    <row r="6" spans="2:10" x14ac:dyDescent="0.3">
      <c r="B6" s="79"/>
      <c r="C6" s="80"/>
      <c r="D6" s="80"/>
      <c r="E6" s="81"/>
      <c r="F6" s="81"/>
      <c r="G6" s="81"/>
      <c r="H6" s="82"/>
      <c r="I6" s="1"/>
      <c r="J6" s="2"/>
    </row>
    <row r="7" spans="2:10" x14ac:dyDescent="0.3">
      <c r="B7" s="242" t="s">
        <v>214</v>
      </c>
      <c r="C7" s="243"/>
      <c r="D7" s="243"/>
      <c r="E7" s="243"/>
      <c r="F7" s="243"/>
      <c r="G7" s="243"/>
      <c r="H7" s="244"/>
      <c r="I7" s="1"/>
      <c r="J7" s="2"/>
    </row>
    <row r="8" spans="2:10" x14ac:dyDescent="0.3">
      <c r="B8" s="78"/>
      <c r="C8" s="76"/>
      <c r="D8" s="76"/>
      <c r="H8" s="2"/>
      <c r="I8" s="1"/>
      <c r="J8" s="2"/>
    </row>
    <row r="9" spans="2:10" x14ac:dyDescent="0.3">
      <c r="B9" s="1" t="s">
        <v>210</v>
      </c>
      <c r="E9" t="e">
        <f>PRORRATEO!#REF!</f>
        <v>#REF!</v>
      </c>
      <c r="H9" s="2"/>
      <c r="I9" s="245" t="s">
        <v>215</v>
      </c>
      <c r="J9" s="246"/>
    </row>
    <row r="10" spans="2:10" x14ac:dyDescent="0.3">
      <c r="B10" s="1" t="s">
        <v>209</v>
      </c>
      <c r="C10" s="76" t="e">
        <f>PRORRATEO!#REF!</f>
        <v>#REF!</v>
      </c>
      <c r="D10" s="77" t="s">
        <v>213</v>
      </c>
      <c r="E10" s="76" t="e">
        <f>PRORRATEO!#REF!</f>
        <v>#REF!</v>
      </c>
      <c r="H10" s="2"/>
      <c r="I10" s="1"/>
      <c r="J10" s="2"/>
    </row>
    <row r="11" spans="2:10" x14ac:dyDescent="0.3">
      <c r="B11" s="1"/>
      <c r="H11" s="2"/>
      <c r="I11" s="245"/>
      <c r="J11" s="246"/>
    </row>
    <row r="12" spans="2:10" x14ac:dyDescent="0.3">
      <c r="B12" s="1"/>
      <c r="H12" s="2"/>
      <c r="I12" s="1"/>
      <c r="J12" s="2"/>
    </row>
    <row r="13" spans="2:10" x14ac:dyDescent="0.3">
      <c r="B13" s="1"/>
      <c r="H13" s="2"/>
      <c r="I13" s="1"/>
      <c r="J13" s="2"/>
    </row>
    <row r="14" spans="2:10" ht="15" thickBot="1" x14ac:dyDescent="0.35">
      <c r="B14" s="1"/>
      <c r="H14" s="2"/>
      <c r="I14" s="83"/>
      <c r="J14" s="86"/>
    </row>
    <row r="15" spans="2:10" ht="15" thickBot="1" x14ac:dyDescent="0.35">
      <c r="B15" s="235" t="s">
        <v>212</v>
      </c>
      <c r="C15" s="236"/>
      <c r="D15" s="236"/>
      <c r="E15" s="236"/>
      <c r="F15" s="236"/>
      <c r="G15" s="237" t="e">
        <f>PRORRATEO!#REF!</f>
        <v>#REF!</v>
      </c>
      <c r="H15" s="238"/>
      <c r="I15" s="75"/>
      <c r="J15" s="85"/>
    </row>
    <row r="17" spans="2:10" ht="15" thickBot="1" x14ac:dyDescent="0.35"/>
    <row r="18" spans="2:10" ht="15" thickBot="1" x14ac:dyDescent="0.35">
      <c r="B18" s="247" t="s">
        <v>211</v>
      </c>
      <c r="C18" s="248"/>
      <c r="D18" s="248"/>
      <c r="E18" s="248"/>
      <c r="F18" s="248"/>
      <c r="G18" s="248"/>
      <c r="H18" s="249"/>
      <c r="I18" s="73"/>
      <c r="J18" s="74"/>
    </row>
    <row r="19" spans="2:10" ht="15" thickBot="1" x14ac:dyDescent="0.35">
      <c r="B19" s="239" t="s">
        <v>121</v>
      </c>
      <c r="C19" s="240"/>
      <c r="D19" s="240"/>
      <c r="E19" s="240"/>
      <c r="F19" s="240"/>
      <c r="G19" s="240"/>
      <c r="H19" s="241"/>
      <c r="I19" s="1"/>
      <c r="J19" s="2"/>
    </row>
    <row r="20" spans="2:10" x14ac:dyDescent="0.3">
      <c r="B20" s="73" t="s">
        <v>219</v>
      </c>
      <c r="C20" s="84"/>
      <c r="D20" s="84"/>
      <c r="E20" s="84"/>
      <c r="G20" t="s">
        <v>39</v>
      </c>
      <c r="H20" s="2"/>
      <c r="I20" s="1"/>
      <c r="J20" s="2"/>
    </row>
    <row r="21" spans="2:10" x14ac:dyDescent="0.3">
      <c r="B21" s="78" t="s">
        <v>216</v>
      </c>
      <c r="C21" s="76"/>
      <c r="D21" s="76"/>
      <c r="H21" s="2"/>
      <c r="I21" s="1"/>
      <c r="J21" s="2"/>
    </row>
    <row r="22" spans="2:10" x14ac:dyDescent="0.3">
      <c r="B22" s="79"/>
      <c r="C22" s="80"/>
      <c r="D22" s="80"/>
      <c r="E22" s="81"/>
      <c r="F22" s="81"/>
      <c r="G22" s="81"/>
      <c r="H22" s="82"/>
      <c r="I22" s="1"/>
      <c r="J22" s="2"/>
    </row>
    <row r="23" spans="2:10" x14ac:dyDescent="0.3">
      <c r="B23" s="242" t="s">
        <v>214</v>
      </c>
      <c r="C23" s="243"/>
      <c r="D23" s="243"/>
      <c r="E23" s="243"/>
      <c r="F23" s="243"/>
      <c r="G23" s="243"/>
      <c r="H23" s="244"/>
      <c r="I23" s="1"/>
      <c r="J23" s="2"/>
    </row>
    <row r="24" spans="2:10" x14ac:dyDescent="0.3">
      <c r="B24" s="78"/>
      <c r="C24" s="76"/>
      <c r="D24" s="76"/>
      <c r="H24" s="2"/>
      <c r="I24" s="1"/>
      <c r="J24" s="2"/>
    </row>
    <row r="25" spans="2:10" x14ac:dyDescent="0.3">
      <c r="B25" s="1" t="s">
        <v>210</v>
      </c>
      <c r="E25" t="e">
        <f>PRORRATEO!#REF!</f>
        <v>#REF!</v>
      </c>
      <c r="H25" s="2"/>
      <c r="I25" s="245" t="s">
        <v>215</v>
      </c>
      <c r="J25" s="246"/>
    </row>
    <row r="26" spans="2:10" x14ac:dyDescent="0.3">
      <c r="B26" s="1" t="s">
        <v>209</v>
      </c>
      <c r="C26" s="76" t="e">
        <f>PRORRATEO!#REF!</f>
        <v>#REF!</v>
      </c>
      <c r="D26" s="77" t="s">
        <v>213</v>
      </c>
      <c r="E26" s="76" t="e">
        <f>PRORRATEO!#REF!</f>
        <v>#REF!</v>
      </c>
      <c r="H26" s="2"/>
      <c r="I26" s="1"/>
      <c r="J26" s="2"/>
    </row>
    <row r="27" spans="2:10" x14ac:dyDescent="0.3">
      <c r="B27" s="1"/>
      <c r="H27" s="2"/>
      <c r="I27" s="245"/>
      <c r="J27" s="246"/>
    </row>
    <row r="28" spans="2:10" x14ac:dyDescent="0.3">
      <c r="B28" s="1"/>
      <c r="H28" s="2"/>
      <c r="I28" s="1"/>
      <c r="J28" s="2"/>
    </row>
    <row r="29" spans="2:10" x14ac:dyDescent="0.3">
      <c r="B29" s="1"/>
      <c r="H29" s="2"/>
      <c r="I29" s="1"/>
      <c r="J29" s="2"/>
    </row>
    <row r="30" spans="2:10" ht="15" thickBot="1" x14ac:dyDescent="0.35">
      <c r="B30" s="1"/>
      <c r="H30" s="2"/>
      <c r="I30" s="83"/>
      <c r="J30" s="86"/>
    </row>
    <row r="31" spans="2:10" ht="15" thickBot="1" x14ac:dyDescent="0.35">
      <c r="B31" s="235" t="s">
        <v>212</v>
      </c>
      <c r="C31" s="236"/>
      <c r="D31" s="236"/>
      <c r="E31" s="236"/>
      <c r="F31" s="236"/>
      <c r="G31" s="237" t="e">
        <f>PRORRATEO!#REF!</f>
        <v>#REF!</v>
      </c>
      <c r="H31" s="238"/>
      <c r="I31" s="75"/>
      <c r="J31" s="85"/>
    </row>
    <row r="33" spans="2:10" ht="15" thickBot="1" x14ac:dyDescent="0.35"/>
    <row r="34" spans="2:10" ht="15" thickBot="1" x14ac:dyDescent="0.35">
      <c r="B34" s="247" t="s">
        <v>211</v>
      </c>
      <c r="C34" s="248"/>
      <c r="D34" s="248"/>
      <c r="E34" s="248"/>
      <c r="F34" s="248"/>
      <c r="G34" s="248"/>
      <c r="H34" s="249"/>
      <c r="I34" s="73"/>
      <c r="J34" s="74"/>
    </row>
    <row r="35" spans="2:10" ht="15" thickBot="1" x14ac:dyDescent="0.35">
      <c r="B35" s="239" t="s">
        <v>121</v>
      </c>
      <c r="C35" s="240"/>
      <c r="D35" s="240"/>
      <c r="E35" s="240"/>
      <c r="F35" s="240"/>
      <c r="G35" s="240"/>
      <c r="H35" s="241"/>
      <c r="I35" s="1"/>
      <c r="J35" s="2"/>
    </row>
    <row r="36" spans="2:10" x14ac:dyDescent="0.3">
      <c r="B36" s="73" t="s">
        <v>219</v>
      </c>
      <c r="C36" s="84"/>
      <c r="D36" s="84"/>
      <c r="E36" s="84"/>
      <c r="G36" t="s">
        <v>39</v>
      </c>
      <c r="H36" s="2"/>
      <c r="I36" s="1"/>
      <c r="J36" s="2"/>
    </row>
    <row r="37" spans="2:10" x14ac:dyDescent="0.3">
      <c r="B37" s="78" t="s">
        <v>216</v>
      </c>
      <c r="C37" s="76"/>
      <c r="D37" s="76"/>
      <c r="H37" s="2"/>
      <c r="I37" s="1"/>
      <c r="J37" s="2"/>
    </row>
    <row r="38" spans="2:10" x14ac:dyDescent="0.3">
      <c r="B38" s="79"/>
      <c r="C38" s="80"/>
      <c r="D38" s="80"/>
      <c r="E38" s="81"/>
      <c r="F38" s="81"/>
      <c r="G38" s="81"/>
      <c r="H38" s="82"/>
      <c r="I38" s="1"/>
      <c r="J38" s="2"/>
    </row>
    <row r="39" spans="2:10" x14ac:dyDescent="0.3">
      <c r="B39" s="242" t="s">
        <v>214</v>
      </c>
      <c r="C39" s="243"/>
      <c r="D39" s="243"/>
      <c r="E39" s="243"/>
      <c r="F39" s="243"/>
      <c r="G39" s="243"/>
      <c r="H39" s="244"/>
      <c r="I39" s="1"/>
      <c r="J39" s="2"/>
    </row>
    <row r="40" spans="2:10" x14ac:dyDescent="0.3">
      <c r="B40" s="78"/>
      <c r="C40" s="76"/>
      <c r="D40" s="76"/>
      <c r="H40" s="2"/>
      <c r="I40" s="1"/>
      <c r="J40" s="2"/>
    </row>
    <row r="41" spans="2:10" x14ac:dyDescent="0.3">
      <c r="B41" s="1" t="s">
        <v>210</v>
      </c>
      <c r="E41" t="e">
        <f>PRORRATEO!#REF!</f>
        <v>#REF!</v>
      </c>
      <c r="H41" s="2"/>
      <c r="I41" s="245" t="s">
        <v>215</v>
      </c>
      <c r="J41" s="246"/>
    </row>
    <row r="42" spans="2:10" x14ac:dyDescent="0.3">
      <c r="B42" s="1" t="s">
        <v>209</v>
      </c>
      <c r="C42" s="76" t="e">
        <f>PRORRATEO!#REF!</f>
        <v>#REF!</v>
      </c>
      <c r="D42" s="77" t="s">
        <v>213</v>
      </c>
      <c r="E42" s="76" t="e">
        <f>PRORRATEO!#REF!</f>
        <v>#REF!</v>
      </c>
      <c r="H42" s="2"/>
      <c r="I42" s="1"/>
      <c r="J42" s="2"/>
    </row>
    <row r="43" spans="2:10" x14ac:dyDescent="0.3">
      <c r="B43" s="1"/>
      <c r="H43" s="2"/>
      <c r="I43" s="245"/>
      <c r="J43" s="246"/>
    </row>
    <row r="44" spans="2:10" x14ac:dyDescent="0.3">
      <c r="B44" s="1"/>
      <c r="H44" s="2"/>
      <c r="I44" s="1"/>
      <c r="J44" s="2"/>
    </row>
    <row r="45" spans="2:10" x14ac:dyDescent="0.3">
      <c r="B45" s="1"/>
      <c r="H45" s="2"/>
      <c r="I45" s="1"/>
      <c r="J45" s="2"/>
    </row>
    <row r="46" spans="2:10" ht="15" thickBot="1" x14ac:dyDescent="0.35">
      <c r="B46" s="1"/>
      <c r="H46" s="2"/>
      <c r="I46" s="83"/>
      <c r="J46" s="86"/>
    </row>
    <row r="47" spans="2:10" ht="15" thickBot="1" x14ac:dyDescent="0.35">
      <c r="B47" s="235" t="s">
        <v>212</v>
      </c>
      <c r="C47" s="236"/>
      <c r="D47" s="236"/>
      <c r="E47" s="236"/>
      <c r="F47" s="236"/>
      <c r="G47" s="237" t="e">
        <f>PRORRATEO!#REF!</f>
        <v>#REF!</v>
      </c>
      <c r="H47" s="238"/>
      <c r="I47" s="75"/>
      <c r="J47" s="85"/>
    </row>
    <row r="51" spans="2:10" ht="15" thickBot="1" x14ac:dyDescent="0.35"/>
    <row r="52" spans="2:10" ht="15" thickBot="1" x14ac:dyDescent="0.35">
      <c r="B52" s="247" t="s">
        <v>211</v>
      </c>
      <c r="C52" s="248"/>
      <c r="D52" s="248"/>
      <c r="E52" s="248"/>
      <c r="F52" s="248"/>
      <c r="G52" s="248"/>
      <c r="H52" s="249"/>
      <c r="I52" s="73"/>
      <c r="J52" s="74"/>
    </row>
    <row r="53" spans="2:10" ht="15" thickBot="1" x14ac:dyDescent="0.35">
      <c r="B53" s="239" t="s">
        <v>121</v>
      </c>
      <c r="C53" s="240"/>
      <c r="D53" s="240"/>
      <c r="E53" s="240"/>
      <c r="F53" s="240"/>
      <c r="G53" s="240"/>
      <c r="H53" s="241"/>
      <c r="I53" s="1"/>
      <c r="J53" s="2"/>
    </row>
    <row r="54" spans="2:10" x14ac:dyDescent="0.3">
      <c r="B54" s="73" t="s">
        <v>219</v>
      </c>
      <c r="C54" s="84"/>
      <c r="D54" s="84"/>
      <c r="E54" s="84"/>
      <c r="G54" t="s">
        <v>39</v>
      </c>
      <c r="H54" s="2"/>
      <c r="I54" s="1"/>
      <c r="J54" s="2"/>
    </row>
    <row r="55" spans="2:10" x14ac:dyDescent="0.3">
      <c r="B55" s="78" t="s">
        <v>216</v>
      </c>
      <c r="C55" s="76"/>
      <c r="D55" s="76"/>
      <c r="H55" s="2"/>
      <c r="I55" s="1"/>
      <c r="J55" s="2"/>
    </row>
    <row r="56" spans="2:10" x14ac:dyDescent="0.3">
      <c r="B56" s="79"/>
      <c r="C56" s="80"/>
      <c r="D56" s="80"/>
      <c r="E56" s="81"/>
      <c r="F56" s="81"/>
      <c r="G56" s="81"/>
      <c r="H56" s="82"/>
      <c r="I56" s="1"/>
      <c r="J56" s="2"/>
    </row>
    <row r="57" spans="2:10" x14ac:dyDescent="0.3">
      <c r="B57" s="242" t="s">
        <v>214</v>
      </c>
      <c r="C57" s="243"/>
      <c r="D57" s="243"/>
      <c r="E57" s="243"/>
      <c r="F57" s="243"/>
      <c r="G57" s="243"/>
      <c r="H57" s="244"/>
      <c r="I57" s="1"/>
      <c r="J57" s="2"/>
    </row>
    <row r="58" spans="2:10" x14ac:dyDescent="0.3">
      <c r="B58" s="78"/>
      <c r="C58" s="76"/>
      <c r="D58" s="76"/>
      <c r="H58" s="2"/>
      <c r="I58" s="1"/>
      <c r="J58" s="2"/>
    </row>
    <row r="59" spans="2:10" x14ac:dyDescent="0.3">
      <c r="B59" s="1" t="s">
        <v>210</v>
      </c>
      <c r="E59" t="e">
        <f>PRORRATEO!#REF!</f>
        <v>#REF!</v>
      </c>
      <c r="H59" s="2"/>
      <c r="I59" s="245" t="s">
        <v>215</v>
      </c>
      <c r="J59" s="246"/>
    </row>
    <row r="60" spans="2:10" x14ac:dyDescent="0.3">
      <c r="B60" s="1" t="s">
        <v>209</v>
      </c>
      <c r="C60" s="76" t="e">
        <f>PRORRATEO!#REF!</f>
        <v>#REF!</v>
      </c>
      <c r="D60" s="77" t="s">
        <v>213</v>
      </c>
      <c r="E60" s="76" t="e">
        <f>PRORRATEO!#REF!</f>
        <v>#REF!</v>
      </c>
      <c r="H60" s="2"/>
      <c r="I60" s="1"/>
      <c r="J60" s="2"/>
    </row>
    <row r="61" spans="2:10" x14ac:dyDescent="0.3">
      <c r="B61" s="1"/>
      <c r="H61" s="2"/>
      <c r="I61" s="245"/>
      <c r="J61" s="246"/>
    </row>
    <row r="62" spans="2:10" x14ac:dyDescent="0.3">
      <c r="B62" s="1"/>
      <c r="H62" s="2"/>
      <c r="I62" s="1"/>
      <c r="J62" s="2"/>
    </row>
    <row r="63" spans="2:10" x14ac:dyDescent="0.3">
      <c r="B63" s="1"/>
      <c r="H63" s="2"/>
      <c r="I63" s="1"/>
      <c r="J63" s="2"/>
    </row>
    <row r="64" spans="2:10" ht="15" thickBot="1" x14ac:dyDescent="0.35">
      <c r="B64" s="1"/>
      <c r="H64" s="2"/>
      <c r="I64" s="83"/>
      <c r="J64" s="86"/>
    </row>
    <row r="65" spans="2:10" ht="15" thickBot="1" x14ac:dyDescent="0.35">
      <c r="B65" s="235" t="s">
        <v>212</v>
      </c>
      <c r="C65" s="236"/>
      <c r="D65" s="236"/>
      <c r="E65" s="236"/>
      <c r="F65" s="236"/>
      <c r="G65" s="237" t="e">
        <f>PRORRATEO!#REF!</f>
        <v>#REF!</v>
      </c>
      <c r="H65" s="238"/>
      <c r="I65" s="75"/>
      <c r="J65" s="85"/>
    </row>
    <row r="69" spans="2:10" ht="15" thickBot="1" x14ac:dyDescent="0.35"/>
    <row r="70" spans="2:10" ht="15" thickBot="1" x14ac:dyDescent="0.35">
      <c r="B70" s="247" t="s">
        <v>211</v>
      </c>
      <c r="C70" s="248"/>
      <c r="D70" s="248"/>
      <c r="E70" s="248"/>
      <c r="F70" s="248"/>
      <c r="G70" s="248"/>
      <c r="H70" s="249"/>
      <c r="I70" s="73"/>
      <c r="J70" s="74"/>
    </row>
    <row r="71" spans="2:10" ht="15" thickBot="1" x14ac:dyDescent="0.35">
      <c r="B71" s="239" t="s">
        <v>121</v>
      </c>
      <c r="C71" s="240"/>
      <c r="D71" s="240"/>
      <c r="E71" s="240"/>
      <c r="F71" s="240"/>
      <c r="G71" s="240"/>
      <c r="H71" s="241"/>
      <c r="I71" s="1"/>
      <c r="J71" s="2"/>
    </row>
    <row r="72" spans="2:10" x14ac:dyDescent="0.3">
      <c r="B72" s="73" t="s">
        <v>219</v>
      </c>
      <c r="C72" s="84"/>
      <c r="D72" s="84"/>
      <c r="E72" s="84"/>
      <c r="G72" t="s">
        <v>39</v>
      </c>
      <c r="H72" s="2"/>
      <c r="I72" s="1"/>
      <c r="J72" s="2"/>
    </row>
    <row r="73" spans="2:10" x14ac:dyDescent="0.3">
      <c r="B73" s="78" t="s">
        <v>216</v>
      </c>
      <c r="C73" s="76"/>
      <c r="D73" s="76"/>
      <c r="H73" s="2"/>
      <c r="I73" s="1"/>
      <c r="J73" s="2"/>
    </row>
    <row r="74" spans="2:10" x14ac:dyDescent="0.3">
      <c r="B74" s="79"/>
      <c r="C74" s="80"/>
      <c r="D74" s="80"/>
      <c r="E74" s="81"/>
      <c r="F74" s="81"/>
      <c r="G74" s="81"/>
      <c r="H74" s="82"/>
      <c r="I74" s="1"/>
      <c r="J74" s="2"/>
    </row>
    <row r="75" spans="2:10" x14ac:dyDescent="0.3">
      <c r="B75" s="242" t="s">
        <v>214</v>
      </c>
      <c r="C75" s="243"/>
      <c r="D75" s="243"/>
      <c r="E75" s="243"/>
      <c r="F75" s="243"/>
      <c r="G75" s="243"/>
      <c r="H75" s="244"/>
      <c r="I75" s="1"/>
      <c r="J75" s="2"/>
    </row>
    <row r="76" spans="2:10" x14ac:dyDescent="0.3">
      <c r="B76" s="78"/>
      <c r="C76" s="76"/>
      <c r="D76" s="76"/>
      <c r="H76" s="2"/>
      <c r="I76" s="1"/>
      <c r="J76" s="2"/>
    </row>
    <row r="77" spans="2:10" x14ac:dyDescent="0.3">
      <c r="B77" s="1" t="s">
        <v>210</v>
      </c>
      <c r="E77" t="e">
        <f>PRORRATEO!#REF!</f>
        <v>#REF!</v>
      </c>
      <c r="H77" s="2"/>
      <c r="I77" s="245" t="s">
        <v>215</v>
      </c>
      <c r="J77" s="246"/>
    </row>
    <row r="78" spans="2:10" x14ac:dyDescent="0.3">
      <c r="B78" s="1" t="s">
        <v>209</v>
      </c>
      <c r="C78" s="76" t="e">
        <f>PRORRATEO!#REF!</f>
        <v>#REF!</v>
      </c>
      <c r="D78" s="77" t="s">
        <v>213</v>
      </c>
      <c r="E78" s="76" t="e">
        <f>PRORRATEO!#REF!</f>
        <v>#REF!</v>
      </c>
      <c r="H78" s="2"/>
      <c r="I78" s="1"/>
      <c r="J78" s="2"/>
    </row>
    <row r="79" spans="2:10" x14ac:dyDescent="0.3">
      <c r="B79" s="1"/>
      <c r="H79" s="2"/>
      <c r="I79" s="245"/>
      <c r="J79" s="246"/>
    </row>
    <row r="80" spans="2:10" x14ac:dyDescent="0.3">
      <c r="B80" s="1"/>
      <c r="H80" s="2"/>
      <c r="I80" s="1"/>
      <c r="J80" s="2"/>
    </row>
    <row r="81" spans="2:10" x14ac:dyDescent="0.3">
      <c r="B81" s="1"/>
      <c r="H81" s="2"/>
      <c r="I81" s="1"/>
      <c r="J81" s="2"/>
    </row>
    <row r="82" spans="2:10" ht="15" thickBot="1" x14ac:dyDescent="0.35">
      <c r="B82" s="1"/>
      <c r="H82" s="2"/>
      <c r="I82" s="83"/>
      <c r="J82" s="86"/>
    </row>
    <row r="83" spans="2:10" ht="15" thickBot="1" x14ac:dyDescent="0.35">
      <c r="B83" s="235" t="s">
        <v>212</v>
      </c>
      <c r="C83" s="236"/>
      <c r="D83" s="236"/>
      <c r="E83" s="236"/>
      <c r="F83" s="236"/>
      <c r="G83" s="237" t="e">
        <f>PRORRATEO!#REF!</f>
        <v>#REF!</v>
      </c>
      <c r="H83" s="238"/>
      <c r="I83" s="75"/>
      <c r="J83" s="85"/>
    </row>
    <row r="86" spans="2:10" ht="228" customHeight="1" thickBot="1" x14ac:dyDescent="0.35"/>
    <row r="87" spans="2:10" ht="15" thickBot="1" x14ac:dyDescent="0.35">
      <c r="B87" s="247" t="s">
        <v>211</v>
      </c>
      <c r="C87" s="248"/>
      <c r="D87" s="248"/>
      <c r="E87" s="248"/>
      <c r="F87" s="248"/>
      <c r="G87" s="248"/>
      <c r="H87" s="249"/>
      <c r="I87" s="73"/>
      <c r="J87" s="74"/>
    </row>
    <row r="88" spans="2:10" ht="15" thickBot="1" x14ac:dyDescent="0.35">
      <c r="B88" s="239" t="s">
        <v>121</v>
      </c>
      <c r="C88" s="240"/>
      <c r="D88" s="240"/>
      <c r="E88" s="240"/>
      <c r="F88" s="240"/>
      <c r="G88" s="240"/>
      <c r="H88" s="241"/>
      <c r="I88" s="1"/>
      <c r="J88" s="2"/>
    </row>
    <row r="89" spans="2:10" x14ac:dyDescent="0.3">
      <c r="B89" s="73" t="s">
        <v>219</v>
      </c>
      <c r="C89" s="84"/>
      <c r="D89" s="84"/>
      <c r="E89" s="84"/>
      <c r="G89" t="s">
        <v>39</v>
      </c>
      <c r="H89" s="2"/>
      <c r="I89" s="1"/>
      <c r="J89" s="2"/>
    </row>
    <row r="90" spans="2:10" x14ac:dyDescent="0.3">
      <c r="B90" s="78" t="s">
        <v>216</v>
      </c>
      <c r="C90" s="76"/>
      <c r="D90" s="76"/>
      <c r="H90" s="2"/>
      <c r="I90" s="1"/>
      <c r="J90" s="2"/>
    </row>
    <row r="91" spans="2:10" x14ac:dyDescent="0.3">
      <c r="B91" s="79"/>
      <c r="C91" s="80"/>
      <c r="D91" s="80"/>
      <c r="E91" s="81"/>
      <c r="F91" s="81"/>
      <c r="G91" s="81"/>
      <c r="H91" s="82"/>
      <c r="I91" s="1"/>
      <c r="J91" s="2"/>
    </row>
    <row r="92" spans="2:10" x14ac:dyDescent="0.3">
      <c r="B92" s="242" t="s">
        <v>214</v>
      </c>
      <c r="C92" s="243"/>
      <c r="D92" s="243"/>
      <c r="E92" s="243"/>
      <c r="F92" s="243"/>
      <c r="G92" s="243"/>
      <c r="H92" s="244"/>
      <c r="I92" s="1"/>
      <c r="J92" s="2"/>
    </row>
    <row r="93" spans="2:10" x14ac:dyDescent="0.3">
      <c r="B93" s="78"/>
      <c r="C93" s="76"/>
      <c r="D93" s="76"/>
      <c r="H93" s="2"/>
      <c r="I93" s="1"/>
      <c r="J93" s="2"/>
    </row>
    <row r="94" spans="2:10" x14ac:dyDescent="0.3">
      <c r="B94" s="1" t="s">
        <v>210</v>
      </c>
      <c r="E94" t="e">
        <f>PRORRATEO!#REF!</f>
        <v>#REF!</v>
      </c>
      <c r="H94" s="2"/>
      <c r="I94" s="245" t="s">
        <v>215</v>
      </c>
      <c r="J94" s="246"/>
    </row>
    <row r="95" spans="2:10" x14ac:dyDescent="0.3">
      <c r="B95" s="1" t="s">
        <v>209</v>
      </c>
      <c r="C95" s="76" t="e">
        <f>PRORRATEO!#REF!</f>
        <v>#REF!</v>
      </c>
      <c r="D95" s="77" t="s">
        <v>213</v>
      </c>
      <c r="E95" s="76" t="e">
        <f>PRORRATEO!#REF!</f>
        <v>#REF!</v>
      </c>
      <c r="H95" s="2"/>
      <c r="I95" s="1"/>
      <c r="J95" s="2"/>
    </row>
    <row r="96" spans="2:10" x14ac:dyDescent="0.3">
      <c r="B96" s="1"/>
      <c r="H96" s="2"/>
      <c r="I96" s="245"/>
      <c r="J96" s="246"/>
    </row>
    <row r="97" spans="2:10" x14ac:dyDescent="0.3">
      <c r="B97" s="1"/>
      <c r="H97" s="2"/>
      <c r="I97" s="1"/>
      <c r="J97" s="2"/>
    </row>
    <row r="98" spans="2:10" x14ac:dyDescent="0.3">
      <c r="B98" s="1"/>
      <c r="H98" s="2"/>
      <c r="I98" s="1"/>
      <c r="J98" s="2"/>
    </row>
    <row r="99" spans="2:10" ht="15" thickBot="1" x14ac:dyDescent="0.35">
      <c r="B99" s="1"/>
      <c r="H99" s="2"/>
      <c r="I99" s="83"/>
      <c r="J99" s="86"/>
    </row>
    <row r="100" spans="2:10" ht="15" thickBot="1" x14ac:dyDescent="0.35">
      <c r="B100" s="235" t="s">
        <v>212</v>
      </c>
      <c r="C100" s="236"/>
      <c r="D100" s="236"/>
      <c r="E100" s="236"/>
      <c r="F100" s="236"/>
      <c r="G100" s="237" t="e">
        <f>PRORRATEO!#REF!</f>
        <v>#REF!</v>
      </c>
      <c r="H100" s="238"/>
      <c r="I100" s="75"/>
      <c r="J100" s="85"/>
    </row>
    <row r="103" spans="2:10" ht="15" thickBot="1" x14ac:dyDescent="0.35"/>
    <row r="104" spans="2:10" ht="15" thickBot="1" x14ac:dyDescent="0.35">
      <c r="B104" s="247" t="s">
        <v>211</v>
      </c>
      <c r="C104" s="248"/>
      <c r="D104" s="248"/>
      <c r="E104" s="248"/>
      <c r="F104" s="248"/>
      <c r="G104" s="248"/>
      <c r="H104" s="249"/>
      <c r="I104" s="73"/>
      <c r="J104" s="74"/>
    </row>
    <row r="105" spans="2:10" ht="15" thickBot="1" x14ac:dyDescent="0.35">
      <c r="B105" s="239" t="s">
        <v>121</v>
      </c>
      <c r="C105" s="240"/>
      <c r="D105" s="240"/>
      <c r="E105" s="240"/>
      <c r="F105" s="240"/>
      <c r="G105" s="240"/>
      <c r="H105" s="241"/>
      <c r="I105" s="1"/>
      <c r="J105" s="2"/>
    </row>
    <row r="106" spans="2:10" x14ac:dyDescent="0.3">
      <c r="B106" s="73" t="s">
        <v>219</v>
      </c>
      <c r="C106" s="84"/>
      <c r="D106" s="84"/>
      <c r="E106" s="84"/>
      <c r="G106" t="s">
        <v>39</v>
      </c>
      <c r="H106" s="2"/>
      <c r="I106" s="1"/>
      <c r="J106" s="2"/>
    </row>
    <row r="107" spans="2:10" x14ac:dyDescent="0.3">
      <c r="B107" s="78" t="s">
        <v>216</v>
      </c>
      <c r="C107" s="76"/>
      <c r="D107" s="76"/>
      <c r="H107" s="2"/>
      <c r="I107" s="1"/>
      <c r="J107" s="2"/>
    </row>
    <row r="108" spans="2:10" x14ac:dyDescent="0.3">
      <c r="B108" s="79"/>
      <c r="C108" s="80"/>
      <c r="D108" s="80"/>
      <c r="E108" s="81"/>
      <c r="F108" s="81"/>
      <c r="G108" s="81"/>
      <c r="H108" s="82"/>
      <c r="I108" s="1"/>
      <c r="J108" s="2"/>
    </row>
    <row r="109" spans="2:10" x14ac:dyDescent="0.3">
      <c r="B109" s="242" t="s">
        <v>214</v>
      </c>
      <c r="C109" s="243"/>
      <c r="D109" s="243"/>
      <c r="E109" s="243"/>
      <c r="F109" s="243"/>
      <c r="G109" s="243"/>
      <c r="H109" s="244"/>
      <c r="I109" s="1"/>
      <c r="J109" s="2"/>
    </row>
    <row r="110" spans="2:10" x14ac:dyDescent="0.3">
      <c r="B110" s="78"/>
      <c r="C110" s="76"/>
      <c r="D110" s="76"/>
      <c r="H110" s="2"/>
      <c r="I110" s="1"/>
      <c r="J110" s="2"/>
    </row>
    <row r="111" spans="2:10" x14ac:dyDescent="0.3">
      <c r="B111" s="1" t="s">
        <v>210</v>
      </c>
      <c r="E111" t="e">
        <f>PRORRATEO!#REF!</f>
        <v>#REF!</v>
      </c>
      <c r="H111" s="2"/>
      <c r="I111" s="245" t="s">
        <v>215</v>
      </c>
      <c r="J111" s="246"/>
    </row>
    <row r="112" spans="2:10" x14ac:dyDescent="0.3">
      <c r="B112" s="1" t="s">
        <v>209</v>
      </c>
      <c r="C112" s="76" t="e">
        <f>PRORRATEO!#REF!</f>
        <v>#REF!</v>
      </c>
      <c r="D112" s="77" t="s">
        <v>213</v>
      </c>
      <c r="E112" s="76" t="e">
        <f>PRORRATEO!#REF!</f>
        <v>#REF!</v>
      </c>
      <c r="H112" s="2"/>
      <c r="I112" s="1"/>
      <c r="J112" s="2"/>
    </row>
    <row r="113" spans="2:10" x14ac:dyDescent="0.3">
      <c r="B113" s="1"/>
      <c r="H113" s="2"/>
      <c r="I113" s="245"/>
      <c r="J113" s="246"/>
    </row>
    <row r="114" spans="2:10" x14ac:dyDescent="0.3">
      <c r="B114" s="1"/>
      <c r="H114" s="2"/>
      <c r="I114" s="1"/>
      <c r="J114" s="2"/>
    </row>
    <row r="115" spans="2:10" x14ac:dyDescent="0.3">
      <c r="B115" s="1"/>
      <c r="H115" s="2"/>
      <c r="I115" s="1"/>
      <c r="J115" s="2"/>
    </row>
    <row r="116" spans="2:10" ht="15" thickBot="1" x14ac:dyDescent="0.35">
      <c r="B116" s="1"/>
      <c r="H116" s="2"/>
      <c r="I116" s="83"/>
      <c r="J116" s="86"/>
    </row>
    <row r="117" spans="2:10" ht="15" thickBot="1" x14ac:dyDescent="0.35">
      <c r="B117" s="235" t="s">
        <v>212</v>
      </c>
      <c r="C117" s="236"/>
      <c r="D117" s="236"/>
      <c r="E117" s="236"/>
      <c r="F117" s="236"/>
      <c r="G117" s="237" t="e">
        <f>PRORRATEO!#REF!</f>
        <v>#REF!</v>
      </c>
      <c r="H117" s="238"/>
      <c r="I117" s="75"/>
      <c r="J117" s="85"/>
    </row>
    <row r="120" spans="2:10" ht="15" thickBot="1" x14ac:dyDescent="0.35"/>
    <row r="121" spans="2:10" ht="15" thickBot="1" x14ac:dyDescent="0.35">
      <c r="B121" s="247" t="s">
        <v>211</v>
      </c>
      <c r="C121" s="248"/>
      <c r="D121" s="248"/>
      <c r="E121" s="248"/>
      <c r="F121" s="248"/>
      <c r="G121" s="248"/>
      <c r="H121" s="249"/>
      <c r="I121" s="73"/>
      <c r="J121" s="74"/>
    </row>
    <row r="122" spans="2:10" ht="15" thickBot="1" x14ac:dyDescent="0.35">
      <c r="B122" s="239" t="s">
        <v>121</v>
      </c>
      <c r="C122" s="240"/>
      <c r="D122" s="240"/>
      <c r="E122" s="240"/>
      <c r="F122" s="240"/>
      <c r="G122" s="240"/>
      <c r="H122" s="241"/>
      <c r="I122" s="1"/>
      <c r="J122" s="2"/>
    </row>
    <row r="123" spans="2:10" x14ac:dyDescent="0.3">
      <c r="B123" s="73" t="s">
        <v>219</v>
      </c>
      <c r="C123" s="84"/>
      <c r="D123" s="84"/>
      <c r="E123" s="84"/>
      <c r="G123" t="s">
        <v>39</v>
      </c>
      <c r="H123" s="2"/>
      <c r="I123" s="1"/>
      <c r="J123" s="2"/>
    </row>
    <row r="124" spans="2:10" x14ac:dyDescent="0.3">
      <c r="B124" s="78" t="s">
        <v>216</v>
      </c>
      <c r="C124" s="76"/>
      <c r="D124" s="76"/>
      <c r="H124" s="2"/>
      <c r="I124" s="1"/>
      <c r="J124" s="2"/>
    </row>
    <row r="125" spans="2:10" x14ac:dyDescent="0.3">
      <c r="B125" s="79"/>
      <c r="C125" s="80"/>
      <c r="D125" s="80"/>
      <c r="E125" s="81"/>
      <c r="F125" s="81"/>
      <c r="G125" s="81"/>
      <c r="H125" s="82"/>
      <c r="I125" s="1"/>
      <c r="J125" s="2"/>
    </row>
    <row r="126" spans="2:10" x14ac:dyDescent="0.3">
      <c r="B126" s="242" t="s">
        <v>214</v>
      </c>
      <c r="C126" s="243"/>
      <c r="D126" s="243"/>
      <c r="E126" s="243"/>
      <c r="F126" s="243"/>
      <c r="G126" s="243"/>
      <c r="H126" s="244"/>
      <c r="I126" s="1"/>
      <c r="J126" s="2"/>
    </row>
    <row r="127" spans="2:10" x14ac:dyDescent="0.3">
      <c r="B127" s="78"/>
      <c r="C127" s="76"/>
      <c r="D127" s="76"/>
      <c r="H127" s="2"/>
      <c r="I127" s="1"/>
      <c r="J127" s="2"/>
    </row>
    <row r="128" spans="2:10" x14ac:dyDescent="0.3">
      <c r="B128" s="1" t="s">
        <v>210</v>
      </c>
      <c r="E128" t="e">
        <f>PRORRATEO!#REF!</f>
        <v>#REF!</v>
      </c>
      <c r="H128" s="2"/>
      <c r="I128" s="245" t="s">
        <v>215</v>
      </c>
      <c r="J128" s="246"/>
    </row>
    <row r="129" spans="2:10" x14ac:dyDescent="0.3">
      <c r="B129" s="1" t="s">
        <v>209</v>
      </c>
      <c r="C129" s="76" t="e">
        <f>PRORRATEO!#REF!</f>
        <v>#REF!</v>
      </c>
      <c r="D129" s="77" t="s">
        <v>213</v>
      </c>
      <c r="E129" s="76" t="e">
        <f>PRORRATEO!#REF!</f>
        <v>#REF!</v>
      </c>
      <c r="H129" s="2"/>
      <c r="I129" s="1"/>
      <c r="J129" s="2"/>
    </row>
    <row r="130" spans="2:10" x14ac:dyDescent="0.3">
      <c r="B130" s="1"/>
      <c r="H130" s="2"/>
      <c r="I130" s="245"/>
      <c r="J130" s="246"/>
    </row>
    <row r="131" spans="2:10" x14ac:dyDescent="0.3">
      <c r="B131" s="1"/>
      <c r="H131" s="2"/>
      <c r="I131" s="1"/>
      <c r="J131" s="2"/>
    </row>
    <row r="132" spans="2:10" x14ac:dyDescent="0.3">
      <c r="B132" s="1"/>
      <c r="H132" s="2"/>
      <c r="I132" s="1"/>
      <c r="J132" s="2"/>
    </row>
    <row r="133" spans="2:10" ht="15" thickBot="1" x14ac:dyDescent="0.35">
      <c r="B133" s="1"/>
      <c r="H133" s="2"/>
      <c r="I133" s="83"/>
      <c r="J133" s="86"/>
    </row>
    <row r="134" spans="2:10" ht="15" thickBot="1" x14ac:dyDescent="0.35">
      <c r="B134" s="235" t="s">
        <v>212</v>
      </c>
      <c r="C134" s="236"/>
      <c r="D134" s="236"/>
      <c r="E134" s="236"/>
      <c r="F134" s="236"/>
      <c r="G134" s="237" t="e">
        <f>PRORRATEO!#REF!</f>
        <v>#REF!</v>
      </c>
      <c r="H134" s="238"/>
      <c r="I134" s="75"/>
      <c r="J134" s="85"/>
    </row>
    <row r="138" spans="2:10" ht="15" thickBot="1" x14ac:dyDescent="0.35"/>
    <row r="139" spans="2:10" ht="15" thickBot="1" x14ac:dyDescent="0.35">
      <c r="B139" s="247" t="s">
        <v>211</v>
      </c>
      <c r="C139" s="248"/>
      <c r="D139" s="248"/>
      <c r="E139" s="248"/>
      <c r="F139" s="248"/>
      <c r="G139" s="248"/>
      <c r="H139" s="249"/>
      <c r="I139" s="73"/>
      <c r="J139" s="74"/>
    </row>
    <row r="140" spans="2:10" ht="15" thickBot="1" x14ac:dyDescent="0.35">
      <c r="B140" s="239" t="s">
        <v>121</v>
      </c>
      <c r="C140" s="240"/>
      <c r="D140" s="240"/>
      <c r="E140" s="240"/>
      <c r="F140" s="240"/>
      <c r="G140" s="240"/>
      <c r="H140" s="241"/>
      <c r="I140" s="1"/>
      <c r="J140" s="2"/>
    </row>
    <row r="141" spans="2:10" x14ac:dyDescent="0.3">
      <c r="B141" s="73" t="s">
        <v>219</v>
      </c>
      <c r="C141" s="84"/>
      <c r="D141" s="84"/>
      <c r="E141" s="84"/>
      <c r="G141" t="s">
        <v>39</v>
      </c>
      <c r="H141" s="2"/>
      <c r="I141" s="1"/>
      <c r="J141" s="2"/>
    </row>
    <row r="142" spans="2:10" x14ac:dyDescent="0.3">
      <c r="B142" s="78" t="s">
        <v>216</v>
      </c>
      <c r="C142" s="76"/>
      <c r="D142" s="76"/>
      <c r="H142" s="2"/>
      <c r="I142" s="1"/>
      <c r="J142" s="2"/>
    </row>
    <row r="143" spans="2:10" x14ac:dyDescent="0.3">
      <c r="B143" s="79"/>
      <c r="C143" s="80"/>
      <c r="D143" s="80"/>
      <c r="E143" s="81"/>
      <c r="F143" s="81"/>
      <c r="G143" s="81"/>
      <c r="H143" s="82"/>
      <c r="I143" s="1"/>
      <c r="J143" s="2"/>
    </row>
    <row r="144" spans="2:10" x14ac:dyDescent="0.3">
      <c r="B144" s="242" t="s">
        <v>214</v>
      </c>
      <c r="C144" s="243"/>
      <c r="D144" s="243"/>
      <c r="E144" s="243"/>
      <c r="F144" s="243"/>
      <c r="G144" s="243"/>
      <c r="H144" s="244"/>
      <c r="I144" s="1"/>
      <c r="J144" s="2"/>
    </row>
    <row r="145" spans="2:10" x14ac:dyDescent="0.3">
      <c r="B145" s="78"/>
      <c r="C145" s="76"/>
      <c r="D145" s="76"/>
      <c r="H145" s="2"/>
      <c r="I145" s="1"/>
      <c r="J145" s="2"/>
    </row>
    <row r="146" spans="2:10" x14ac:dyDescent="0.3">
      <c r="B146" s="1" t="s">
        <v>210</v>
      </c>
      <c r="E146" t="e">
        <f>PRORRATEO!#REF!</f>
        <v>#REF!</v>
      </c>
      <c r="H146" s="2"/>
      <c r="I146" s="245" t="s">
        <v>215</v>
      </c>
      <c r="J146" s="246"/>
    </row>
    <row r="147" spans="2:10" x14ac:dyDescent="0.3">
      <c r="B147" s="1" t="s">
        <v>209</v>
      </c>
      <c r="C147" s="76" t="e">
        <f>PRORRATEO!#REF!</f>
        <v>#REF!</v>
      </c>
      <c r="D147" s="77" t="s">
        <v>213</v>
      </c>
      <c r="E147" s="76" t="e">
        <f>PRORRATEO!#REF!</f>
        <v>#REF!</v>
      </c>
      <c r="H147" s="2"/>
      <c r="I147" s="1"/>
      <c r="J147" s="2"/>
    </row>
    <row r="148" spans="2:10" x14ac:dyDescent="0.3">
      <c r="B148" s="1"/>
      <c r="H148" s="2"/>
      <c r="I148" s="245"/>
      <c r="J148" s="246"/>
    </row>
    <row r="149" spans="2:10" x14ac:dyDescent="0.3">
      <c r="B149" s="1"/>
      <c r="H149" s="2"/>
      <c r="I149" s="1"/>
      <c r="J149" s="2"/>
    </row>
    <row r="150" spans="2:10" x14ac:dyDescent="0.3">
      <c r="B150" s="1"/>
      <c r="H150" s="2"/>
      <c r="I150" s="1"/>
      <c r="J150" s="2"/>
    </row>
    <row r="151" spans="2:10" ht="15" thickBot="1" x14ac:dyDescent="0.35">
      <c r="B151" s="1"/>
      <c r="H151" s="2"/>
      <c r="I151" s="83"/>
      <c r="J151" s="86"/>
    </row>
    <row r="152" spans="2:10" ht="15" thickBot="1" x14ac:dyDescent="0.35">
      <c r="B152" s="235" t="s">
        <v>212</v>
      </c>
      <c r="C152" s="236"/>
      <c r="D152" s="236"/>
      <c r="E152" s="236"/>
      <c r="F152" s="236"/>
      <c r="G152" s="237" t="e">
        <f>PRORRATEO!#REF!</f>
        <v>#REF!</v>
      </c>
      <c r="H152" s="238"/>
      <c r="I152" s="75"/>
      <c r="J152" s="85"/>
    </row>
  </sheetData>
  <mergeCells count="63">
    <mergeCell ref="B2:H2"/>
    <mergeCell ref="B3:H3"/>
    <mergeCell ref="B7:H7"/>
    <mergeCell ref="I9:J9"/>
    <mergeCell ref="I11:J11"/>
    <mergeCell ref="B39:H39"/>
    <mergeCell ref="I25:J25"/>
    <mergeCell ref="I27:J27"/>
    <mergeCell ref="B31:F31"/>
    <mergeCell ref="G31:H31"/>
    <mergeCell ref="B18:H18"/>
    <mergeCell ref="B19:H19"/>
    <mergeCell ref="B23:H23"/>
    <mergeCell ref="B34:H34"/>
    <mergeCell ref="B35:H3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47:F47"/>
    <mergeCell ref="G47:H47"/>
    <mergeCell ref="B70:H70"/>
    <mergeCell ref="B71:H71"/>
    <mergeCell ref="B75:H75"/>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cp:lastModifiedBy>
  <cp:lastPrinted>2025-07-17T13:57:36Z</cp:lastPrinted>
  <dcterms:created xsi:type="dcterms:W3CDTF">2023-09-17T12:29:07Z</dcterms:created>
  <dcterms:modified xsi:type="dcterms:W3CDTF">2025-07-24T14:23:11Z</dcterms:modified>
</cp:coreProperties>
</file>