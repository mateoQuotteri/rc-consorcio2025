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ITALIA\"/>
    </mc:Choice>
  </mc:AlternateContent>
  <xr:revisionPtr revIDLastSave="0" documentId="13_ncr:1_{B54D904C-DBB6-47C4-8664-66AAF1C3B2B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SUMEN" sheetId="4" r:id="rId1"/>
    <sheet name="PRORRATEO" sheetId="5" r:id="rId2"/>
    <sheet name="RESUMEN MENSUAL" sheetId="1" r:id="rId3"/>
    <sheet name="INGRESOS-EGRESOS" sheetId="2" r:id="rId4"/>
  </sheets>
  <externalReferences>
    <externalReference r:id="rId5"/>
  </externalReferences>
  <definedNames>
    <definedName name="_xlnm.Print_Area" localSheetId="1">PRORRATEO!$A$1:$L$123</definedName>
    <definedName name="_xlnm.Print_Area" localSheetId="0">RESUMEN!$A$1:$E$99</definedName>
  </definedNames>
  <calcPr calcId="181029"/>
</workbook>
</file>

<file path=xl/calcChain.xml><?xml version="1.0" encoding="utf-8"?>
<calcChain xmlns="http://schemas.openxmlformats.org/spreadsheetml/2006/main">
  <c r="J32" i="5" l="1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40" i="5"/>
  <c r="H40" i="5" s="1"/>
  <c r="G41" i="5"/>
  <c r="H41" i="5" s="1"/>
  <c r="G42" i="5"/>
  <c r="H42" i="5" s="1"/>
  <c r="G43" i="5"/>
  <c r="H43" i="5" s="1"/>
  <c r="G44" i="5"/>
  <c r="H44" i="5" s="1"/>
  <c r="G45" i="5"/>
  <c r="H45" i="5" s="1"/>
  <c r="G46" i="5"/>
  <c r="H46" i="5" s="1"/>
  <c r="G47" i="5"/>
  <c r="H47" i="5" s="1"/>
  <c r="G48" i="5"/>
  <c r="H48" i="5" s="1"/>
  <c r="G49" i="5"/>
  <c r="H49" i="5" s="1"/>
  <c r="G50" i="5"/>
  <c r="H50" i="5" s="1"/>
  <c r="G51" i="5"/>
  <c r="H51" i="5" s="1"/>
  <c r="G52" i="5"/>
  <c r="H52" i="5" s="1"/>
  <c r="G53" i="5"/>
  <c r="H53" i="5" s="1"/>
  <c r="G54" i="5"/>
  <c r="H54" i="5" s="1"/>
  <c r="G55" i="5"/>
  <c r="H55" i="5" s="1"/>
  <c r="G56" i="5"/>
  <c r="H56" i="5" s="1"/>
  <c r="G57" i="5"/>
  <c r="H57" i="5" s="1"/>
  <c r="G58" i="5"/>
  <c r="H58" i="5" s="1"/>
  <c r="G59" i="5"/>
  <c r="H59" i="5" s="1"/>
  <c r="G60" i="5"/>
  <c r="H60" i="5" s="1"/>
  <c r="G61" i="5"/>
  <c r="H61" i="5" s="1"/>
  <c r="G62" i="5"/>
  <c r="H62" i="5" s="1"/>
  <c r="G63" i="5"/>
  <c r="H63" i="5" s="1"/>
  <c r="G64" i="5"/>
  <c r="H64" i="5" s="1"/>
  <c r="G65" i="5"/>
  <c r="H65" i="5" s="1"/>
  <c r="G66" i="5"/>
  <c r="H66" i="5" s="1"/>
  <c r="G67" i="5"/>
  <c r="H67" i="5" s="1"/>
  <c r="G68" i="5"/>
  <c r="H68" i="5" s="1"/>
  <c r="G69" i="5"/>
  <c r="H69" i="5" s="1"/>
  <c r="G70" i="5"/>
  <c r="H70" i="5" s="1"/>
  <c r="G71" i="5"/>
  <c r="H71" i="5" s="1"/>
  <c r="G72" i="5"/>
  <c r="H72" i="5" s="1"/>
  <c r="G73" i="5"/>
  <c r="H73" i="5" s="1"/>
  <c r="G74" i="5"/>
  <c r="H74" i="5" s="1"/>
  <c r="G75" i="5"/>
  <c r="H75" i="5" s="1"/>
  <c r="G76" i="5"/>
  <c r="H76" i="5" s="1"/>
  <c r="G77" i="5"/>
  <c r="H77" i="5" s="1"/>
  <c r="G78" i="5"/>
  <c r="H78" i="5" s="1"/>
  <c r="G79" i="5"/>
  <c r="H79" i="5" s="1"/>
  <c r="G80" i="5"/>
  <c r="H80" i="5" s="1"/>
  <c r="G81" i="5"/>
  <c r="H81" i="5" s="1"/>
  <c r="G82" i="5"/>
  <c r="H82" i="5" s="1"/>
  <c r="G83" i="5"/>
  <c r="H83" i="5" s="1"/>
  <c r="G84" i="5"/>
  <c r="H84" i="5" s="1"/>
  <c r="G85" i="5"/>
  <c r="H85" i="5" s="1"/>
  <c r="G86" i="5"/>
  <c r="H86" i="5" s="1"/>
  <c r="G87" i="5"/>
  <c r="H87" i="5" s="1"/>
  <c r="G88" i="5"/>
  <c r="H88" i="5" s="1"/>
  <c r="G89" i="5"/>
  <c r="H89" i="5" s="1"/>
  <c r="G90" i="5"/>
  <c r="H90" i="5" s="1"/>
  <c r="G91" i="5"/>
  <c r="H91" i="5" s="1"/>
  <c r="G92" i="5"/>
  <c r="H92" i="5" s="1"/>
  <c r="G93" i="5"/>
  <c r="H93" i="5" s="1"/>
  <c r="G94" i="5"/>
  <c r="H94" i="5" s="1"/>
  <c r="G95" i="5"/>
  <c r="H95" i="5" s="1"/>
  <c r="G96" i="5"/>
  <c r="H96" i="5" s="1"/>
  <c r="G97" i="5"/>
  <c r="H97" i="5" s="1"/>
  <c r="G98" i="5"/>
  <c r="H98" i="5" s="1"/>
  <c r="G99" i="5"/>
  <c r="H99" i="5" s="1"/>
  <c r="G100" i="5"/>
  <c r="H100" i="5" s="1"/>
  <c r="G101" i="5"/>
  <c r="H101" i="5" s="1"/>
  <c r="G102" i="5"/>
  <c r="H102" i="5" s="1"/>
  <c r="G103" i="5"/>
  <c r="H103" i="5" s="1"/>
  <c r="G104" i="5"/>
  <c r="H104" i="5" s="1"/>
  <c r="G105" i="5"/>
  <c r="H105" i="5" s="1"/>
  <c r="G106" i="5"/>
  <c r="H106" i="5" s="1"/>
  <c r="G107" i="5"/>
  <c r="H107" i="5" s="1"/>
  <c r="G108" i="5"/>
  <c r="H108" i="5" s="1"/>
  <c r="G109" i="5"/>
  <c r="H109" i="5" s="1"/>
  <c r="G110" i="5"/>
  <c r="H110" i="5" s="1"/>
  <c r="G111" i="5"/>
  <c r="H111" i="5" s="1"/>
  <c r="G112" i="5"/>
  <c r="H112" i="5" s="1"/>
  <c r="G113" i="5"/>
  <c r="H113" i="5" s="1"/>
  <c r="E115" i="5"/>
  <c r="D115" i="5"/>
  <c r="A32" i="5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E36" i="4"/>
  <c r="E31" i="4"/>
  <c r="B118" i="5"/>
  <c r="G21" i="5"/>
  <c r="H21" i="5" s="1"/>
  <c r="J31" i="5"/>
  <c r="I31" i="5"/>
  <c r="G31" i="5"/>
  <c r="H31" i="5" s="1"/>
  <c r="J30" i="5"/>
  <c r="I30" i="5"/>
  <c r="G30" i="5"/>
  <c r="J29" i="5"/>
  <c r="I29" i="5"/>
  <c r="G29" i="5"/>
  <c r="H29" i="5" s="1"/>
  <c r="J28" i="5"/>
  <c r="I28" i="5"/>
  <c r="G28" i="5"/>
  <c r="H28" i="5" s="1"/>
  <c r="J27" i="5"/>
  <c r="I27" i="5"/>
  <c r="G27" i="5"/>
  <c r="H27" i="5" s="1"/>
  <c r="J26" i="5"/>
  <c r="I26" i="5"/>
  <c r="G26" i="5"/>
  <c r="H26" i="5" s="1"/>
  <c r="J25" i="5"/>
  <c r="I25" i="5"/>
  <c r="G25" i="5"/>
  <c r="H25" i="5" s="1"/>
  <c r="J24" i="5"/>
  <c r="I24" i="5"/>
  <c r="G24" i="5"/>
  <c r="H24" i="5" s="1"/>
  <c r="J23" i="5"/>
  <c r="I23" i="5"/>
  <c r="G23" i="5"/>
  <c r="H23" i="5" s="1"/>
  <c r="J22" i="5"/>
  <c r="I22" i="5"/>
  <c r="G22" i="5"/>
  <c r="H22" i="5" s="1"/>
  <c r="J21" i="5"/>
  <c r="I21" i="5"/>
  <c r="J20" i="5"/>
  <c r="I20" i="5"/>
  <c r="G20" i="5"/>
  <c r="H20" i="5" s="1"/>
  <c r="J19" i="5"/>
  <c r="I19" i="5"/>
  <c r="G19" i="5"/>
  <c r="H19" i="5" s="1"/>
  <c r="J18" i="5"/>
  <c r="I18" i="5"/>
  <c r="G18" i="5"/>
  <c r="H18" i="5" s="1"/>
  <c r="J17" i="5"/>
  <c r="I17" i="5"/>
  <c r="G17" i="5"/>
  <c r="H17" i="5" s="1"/>
  <c r="J16" i="5"/>
  <c r="I16" i="5"/>
  <c r="G16" i="5"/>
  <c r="H16" i="5" s="1"/>
  <c r="J15" i="5"/>
  <c r="I15" i="5"/>
  <c r="G15" i="5"/>
  <c r="H15" i="5" s="1"/>
  <c r="J14" i="5"/>
  <c r="I14" i="5"/>
  <c r="G14" i="5"/>
  <c r="H14" i="5" s="1"/>
  <c r="J13" i="5"/>
  <c r="I13" i="5"/>
  <c r="G13" i="5"/>
  <c r="H13" i="5" s="1"/>
  <c r="M12" i="5"/>
  <c r="M13" i="5" s="1"/>
  <c r="M14" i="5" s="1"/>
  <c r="J12" i="5"/>
  <c r="I12" i="5"/>
  <c r="G12" i="5"/>
  <c r="J11" i="5"/>
  <c r="I11" i="5"/>
  <c r="K10" i="5"/>
  <c r="B98" i="4"/>
  <c r="B86" i="4" s="1"/>
  <c r="E71" i="4"/>
  <c r="E76" i="4" s="1"/>
  <c r="B80" i="4" s="1"/>
  <c r="E59" i="4"/>
  <c r="E55" i="4"/>
  <c r="E51" i="4"/>
  <c r="E43" i="4"/>
  <c r="E25" i="4"/>
  <c r="K13" i="5" l="1"/>
  <c r="I115" i="5"/>
  <c r="J115" i="5"/>
  <c r="E63" i="4"/>
  <c r="B79" i="4" s="1"/>
  <c r="K14" i="5"/>
  <c r="H12" i="5"/>
  <c r="K12" i="5" s="1"/>
  <c r="H30" i="5"/>
  <c r="F115" i="5"/>
  <c r="M15" i="5"/>
  <c r="B85" i="4"/>
  <c r="B81" i="4"/>
  <c r="L13" i="5" l="1"/>
  <c r="B78" i="4"/>
  <c r="M16" i="5"/>
  <c r="K15" i="5"/>
  <c r="G11" i="5"/>
  <c r="G115" i="5" s="1"/>
  <c r="B87" i="4"/>
  <c r="B89" i="4" s="1"/>
  <c r="L12" i="5"/>
  <c r="L14" i="5"/>
  <c r="H11" i="5" l="1"/>
  <c r="H115" i="5" s="1"/>
  <c r="L15" i="5"/>
  <c r="M17" i="5"/>
  <c r="K16" i="5"/>
  <c r="L16" i="5" l="1"/>
  <c r="K17" i="5"/>
  <c r="M18" i="5"/>
  <c r="K11" i="5"/>
  <c r="L11" i="5" s="1"/>
  <c r="K18" i="5" l="1"/>
  <c r="M19" i="5"/>
  <c r="L17" i="5"/>
  <c r="K19" i="5" l="1"/>
  <c r="M20" i="5"/>
  <c r="L18" i="5"/>
  <c r="M21" i="5" l="1"/>
  <c r="K20" i="5"/>
  <c r="L19" i="5"/>
  <c r="L20" i="5" l="1"/>
  <c r="K21" i="5"/>
  <c r="M22" i="5"/>
  <c r="K22" i="5" l="1"/>
  <c r="M23" i="5"/>
  <c r="L21" i="5"/>
  <c r="L22" i="5" l="1"/>
  <c r="M24" i="5"/>
  <c r="K23" i="5"/>
  <c r="L23" i="5" l="1"/>
  <c r="M25" i="5"/>
  <c r="K24" i="5"/>
  <c r="L24" i="5" l="1"/>
  <c r="K25" i="5"/>
  <c r="M26" i="5"/>
  <c r="K26" i="5" l="1"/>
  <c r="M27" i="5"/>
  <c r="L25" i="5"/>
  <c r="K27" i="5" l="1"/>
  <c r="M28" i="5"/>
  <c r="L26" i="5"/>
  <c r="L27" i="5" l="1"/>
  <c r="M29" i="5"/>
  <c r="K28" i="5"/>
  <c r="K29" i="5" l="1"/>
  <c r="L29" i="5" s="1"/>
  <c r="M30" i="5"/>
  <c r="L28" i="5"/>
  <c r="M31" i="5" l="1"/>
  <c r="K30" i="5"/>
  <c r="L30" i="5" s="1"/>
  <c r="G110" i="2"/>
  <c r="F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110" i="2" s="1"/>
  <c r="H71" i="2"/>
  <c r="F47" i="1"/>
  <c r="M32" i="5" l="1"/>
  <c r="K31" i="5"/>
  <c r="L31" i="5" s="1"/>
  <c r="H84" i="2"/>
  <c r="H17" i="2"/>
  <c r="F25" i="1"/>
  <c r="I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O78" i="2" s="1"/>
  <c r="J77" i="2"/>
  <c r="J76" i="2"/>
  <c r="J75" i="2"/>
  <c r="J74" i="2"/>
  <c r="O74" i="2" s="1"/>
  <c r="J73" i="2"/>
  <c r="F64" i="1"/>
  <c r="F67" i="1"/>
  <c r="J71" i="2"/>
  <c r="J72" i="2"/>
  <c r="N110" i="2"/>
  <c r="H9" i="2"/>
  <c r="H10" i="2"/>
  <c r="H11" i="2"/>
  <c r="H12" i="2"/>
  <c r="H13" i="2"/>
  <c r="H14" i="2"/>
  <c r="H15" i="2"/>
  <c r="H16" i="2"/>
  <c r="H19" i="2"/>
  <c r="H20" i="2"/>
  <c r="H21" i="2"/>
  <c r="H23" i="2"/>
  <c r="H24" i="2"/>
  <c r="H27" i="2"/>
  <c r="H28" i="2"/>
  <c r="H29" i="2"/>
  <c r="H31" i="2"/>
  <c r="H33" i="2"/>
  <c r="H36" i="2"/>
  <c r="H37" i="2"/>
  <c r="H38" i="2"/>
  <c r="H39" i="2"/>
  <c r="H40" i="2"/>
  <c r="H41" i="2"/>
  <c r="H43" i="2"/>
  <c r="H44" i="2"/>
  <c r="H45" i="2"/>
  <c r="H46" i="2"/>
  <c r="H47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2" i="2"/>
  <c r="H73" i="2"/>
  <c r="H75" i="2"/>
  <c r="H77" i="2"/>
  <c r="H79" i="2"/>
  <c r="H81" i="2"/>
  <c r="H82" i="2"/>
  <c r="H83" i="2"/>
  <c r="H85" i="2"/>
  <c r="H86" i="2"/>
  <c r="H87" i="2"/>
  <c r="H88" i="2"/>
  <c r="H89" i="2"/>
  <c r="O89" i="2" s="1"/>
  <c r="H90" i="2"/>
  <c r="H91" i="2"/>
  <c r="H92" i="2"/>
  <c r="H93" i="2"/>
  <c r="H94" i="2"/>
  <c r="H95" i="2"/>
  <c r="H97" i="2"/>
  <c r="O97" i="2" s="1"/>
  <c r="H98" i="2"/>
  <c r="H99" i="2"/>
  <c r="H100" i="2"/>
  <c r="H101" i="2"/>
  <c r="H102" i="2"/>
  <c r="H103" i="2"/>
  <c r="H104" i="2"/>
  <c r="H105" i="2"/>
  <c r="H107" i="2"/>
  <c r="H108" i="2"/>
  <c r="H109" i="2"/>
  <c r="E110" i="2"/>
  <c r="F75" i="1"/>
  <c r="F70" i="1"/>
  <c r="F52" i="1"/>
  <c r="M33" i="5" l="1"/>
  <c r="K32" i="5"/>
  <c r="L32" i="5" s="1"/>
  <c r="O109" i="2"/>
  <c r="O107" i="2"/>
  <c r="O106" i="2"/>
  <c r="O105" i="2"/>
  <c r="O102" i="2"/>
  <c r="O100" i="2"/>
  <c r="O94" i="2"/>
  <c r="O91" i="2"/>
  <c r="O90" i="2"/>
  <c r="O86" i="2"/>
  <c r="O85" i="2"/>
  <c r="O83" i="2"/>
  <c r="O82" i="2"/>
  <c r="O77" i="2"/>
  <c r="O76" i="2"/>
  <c r="O73" i="2"/>
  <c r="O108" i="2"/>
  <c r="O101" i="2"/>
  <c r="O99" i="2"/>
  <c r="O98" i="2"/>
  <c r="O93" i="2"/>
  <c r="O81" i="2"/>
  <c r="O75" i="2"/>
  <c r="O96" i="2"/>
  <c r="O88" i="2"/>
  <c r="O80" i="2"/>
  <c r="O84" i="2"/>
  <c r="O103" i="2"/>
  <c r="O79" i="2"/>
  <c r="O92" i="2"/>
  <c r="O104" i="2"/>
  <c r="O95" i="2"/>
  <c r="O87" i="2"/>
  <c r="O72" i="2"/>
  <c r="O71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1" i="2"/>
  <c r="J40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70" i="2"/>
  <c r="J69" i="2"/>
  <c r="J68" i="2"/>
  <c r="J67" i="2"/>
  <c r="J66" i="2"/>
  <c r="J65" i="2"/>
  <c r="J64" i="2"/>
  <c r="J63" i="2"/>
  <c r="J62" i="2"/>
  <c r="J61" i="2"/>
  <c r="M34" i="5" l="1"/>
  <c r="K33" i="5"/>
  <c r="L33" i="5" s="1"/>
  <c r="J110" i="2"/>
  <c r="O54" i="2"/>
  <c r="O30" i="2"/>
  <c r="O64" i="2"/>
  <c r="O55" i="2"/>
  <c r="F55" i="1"/>
  <c r="O26" i="2"/>
  <c r="O21" i="2"/>
  <c r="O10" i="2"/>
  <c r="O39" i="2"/>
  <c r="O18" i="2"/>
  <c r="O19" i="2"/>
  <c r="O65" i="2"/>
  <c r="O46" i="2"/>
  <c r="M35" i="5" l="1"/>
  <c r="K34" i="5"/>
  <c r="L34" i="5" s="1"/>
  <c r="O48" i="2"/>
  <c r="O49" i="2"/>
  <c r="O50" i="2"/>
  <c r="O47" i="2"/>
  <c r="O37" i="2"/>
  <c r="O38" i="2"/>
  <c r="O42" i="2"/>
  <c r="M36" i="5" l="1"/>
  <c r="K35" i="5"/>
  <c r="L35" i="5" s="1"/>
  <c r="O58" i="2"/>
  <c r="O41" i="2"/>
  <c r="O40" i="2"/>
  <c r="M37" i="5" l="1"/>
  <c r="K36" i="5"/>
  <c r="L36" i="5" s="1"/>
  <c r="O43" i="2"/>
  <c r="O44" i="2"/>
  <c r="O45" i="2"/>
  <c r="O51" i="2"/>
  <c r="O52" i="2"/>
  <c r="O53" i="2"/>
  <c r="O56" i="2"/>
  <c r="O57" i="2"/>
  <c r="O59" i="2"/>
  <c r="O60" i="2"/>
  <c r="O61" i="2"/>
  <c r="O62" i="2"/>
  <c r="O63" i="2"/>
  <c r="O66" i="2"/>
  <c r="O67" i="2"/>
  <c r="O68" i="2"/>
  <c r="O69" i="2"/>
  <c r="O70" i="2"/>
  <c r="O24" i="2"/>
  <c r="O22" i="2"/>
  <c r="O23" i="2"/>
  <c r="O17" i="2"/>
  <c r="M38" i="5" l="1"/>
  <c r="K37" i="5"/>
  <c r="L37" i="5" s="1"/>
  <c r="O29" i="2"/>
  <c r="M39" i="5" l="1"/>
  <c r="K38" i="5"/>
  <c r="L38" i="5" s="1"/>
  <c r="K110" i="2"/>
  <c r="M40" i="5" l="1"/>
  <c r="K39" i="5"/>
  <c r="L39" i="5" s="1"/>
  <c r="F39" i="1"/>
  <c r="O36" i="2"/>
  <c r="O31" i="2"/>
  <c r="O13" i="2"/>
  <c r="C110" i="2"/>
  <c r="O12" i="2"/>
  <c r="O33" i="2"/>
  <c r="M41" i="5" l="1"/>
  <c r="K40" i="5"/>
  <c r="L40" i="5" s="1"/>
  <c r="F76" i="1"/>
  <c r="O34" i="2"/>
  <c r="M42" i="5" l="1"/>
  <c r="K41" i="5"/>
  <c r="L41" i="5" s="1"/>
  <c r="O16" i="2"/>
  <c r="O35" i="2"/>
  <c r="M43" i="5" l="1"/>
  <c r="K42" i="5"/>
  <c r="L42" i="5" s="1"/>
  <c r="L110" i="2"/>
  <c r="H7" i="2"/>
  <c r="H110" i="2" s="1"/>
  <c r="D110" i="2"/>
  <c r="O32" i="2"/>
  <c r="O28" i="2"/>
  <c r="O27" i="2"/>
  <c r="O25" i="2"/>
  <c r="O20" i="2"/>
  <c r="O15" i="2"/>
  <c r="O14" i="2"/>
  <c r="O11" i="2"/>
  <c r="M44" i="5" l="1"/>
  <c r="K43" i="5"/>
  <c r="L43" i="5" s="1"/>
  <c r="O7" i="2"/>
  <c r="F82" i="1"/>
  <c r="M45" i="5" l="1"/>
  <c r="K44" i="5"/>
  <c r="L44" i="5" s="1"/>
  <c r="O8" i="2"/>
  <c r="O9" i="2"/>
  <c r="M46" i="5" l="1"/>
  <c r="K45" i="5"/>
  <c r="L45" i="5" s="1"/>
  <c r="O110" i="2"/>
  <c r="M47" i="5" l="1"/>
  <c r="K46" i="5"/>
  <c r="L46" i="5" s="1"/>
  <c r="M48" i="5" l="1"/>
  <c r="K47" i="5"/>
  <c r="L47" i="5" s="1"/>
  <c r="M49" i="5" l="1"/>
  <c r="K48" i="5"/>
  <c r="L48" i="5" s="1"/>
  <c r="M50" i="5" l="1"/>
  <c r="K49" i="5"/>
  <c r="L49" i="5" s="1"/>
  <c r="M51" i="5" l="1"/>
  <c r="K50" i="5"/>
  <c r="L50" i="5" s="1"/>
  <c r="M52" i="5" l="1"/>
  <c r="K51" i="5"/>
  <c r="L51" i="5" s="1"/>
  <c r="M53" i="5" l="1"/>
  <c r="K52" i="5"/>
  <c r="L52" i="5" s="1"/>
  <c r="M54" i="5" l="1"/>
  <c r="K53" i="5"/>
  <c r="L53" i="5" s="1"/>
  <c r="M55" i="5" l="1"/>
  <c r="K54" i="5"/>
  <c r="L54" i="5" s="1"/>
  <c r="M56" i="5" l="1"/>
  <c r="K55" i="5"/>
  <c r="L55" i="5" s="1"/>
  <c r="M57" i="5" l="1"/>
  <c r="K56" i="5"/>
  <c r="L56" i="5" s="1"/>
  <c r="M58" i="5" l="1"/>
  <c r="K57" i="5"/>
  <c r="L57" i="5" s="1"/>
  <c r="M59" i="5" l="1"/>
  <c r="K58" i="5"/>
  <c r="L58" i="5" s="1"/>
  <c r="M60" i="5" l="1"/>
  <c r="K59" i="5"/>
  <c r="L59" i="5" s="1"/>
  <c r="M61" i="5" l="1"/>
  <c r="K60" i="5"/>
  <c r="L60" i="5" s="1"/>
  <c r="M62" i="5" l="1"/>
  <c r="K61" i="5"/>
  <c r="L61" i="5" s="1"/>
  <c r="M63" i="5" l="1"/>
  <c r="K62" i="5"/>
  <c r="L62" i="5" s="1"/>
  <c r="M64" i="5" l="1"/>
  <c r="K63" i="5"/>
  <c r="L63" i="5" s="1"/>
  <c r="M65" i="5" l="1"/>
  <c r="K64" i="5"/>
  <c r="L64" i="5" s="1"/>
  <c r="M66" i="5" l="1"/>
  <c r="K65" i="5"/>
  <c r="L65" i="5" s="1"/>
  <c r="M67" i="5" l="1"/>
  <c r="K66" i="5"/>
  <c r="L66" i="5" s="1"/>
  <c r="M68" i="5" l="1"/>
  <c r="K67" i="5"/>
  <c r="L67" i="5" s="1"/>
  <c r="M69" i="5" l="1"/>
  <c r="K68" i="5"/>
  <c r="L68" i="5" s="1"/>
  <c r="M70" i="5" l="1"/>
  <c r="K69" i="5"/>
  <c r="L69" i="5" s="1"/>
  <c r="M71" i="5" l="1"/>
  <c r="K70" i="5"/>
  <c r="L70" i="5" s="1"/>
  <c r="M72" i="5" l="1"/>
  <c r="K71" i="5"/>
  <c r="L71" i="5" s="1"/>
  <c r="M73" i="5" l="1"/>
  <c r="K72" i="5"/>
  <c r="L72" i="5" s="1"/>
  <c r="M74" i="5" l="1"/>
  <c r="K73" i="5"/>
  <c r="L73" i="5" s="1"/>
  <c r="M75" i="5" l="1"/>
  <c r="K74" i="5"/>
  <c r="L74" i="5" s="1"/>
  <c r="M76" i="5" l="1"/>
  <c r="K75" i="5"/>
  <c r="L75" i="5" s="1"/>
  <c r="M77" i="5" l="1"/>
  <c r="K76" i="5"/>
  <c r="L76" i="5" s="1"/>
  <c r="M78" i="5" l="1"/>
  <c r="K77" i="5"/>
  <c r="L77" i="5" s="1"/>
  <c r="M79" i="5" l="1"/>
  <c r="K78" i="5"/>
  <c r="L78" i="5" s="1"/>
  <c r="M80" i="5" l="1"/>
  <c r="K79" i="5"/>
  <c r="L79" i="5" s="1"/>
  <c r="M81" i="5" l="1"/>
  <c r="K80" i="5"/>
  <c r="L80" i="5" s="1"/>
  <c r="M82" i="5" l="1"/>
  <c r="K81" i="5"/>
  <c r="L81" i="5" s="1"/>
  <c r="M83" i="5" l="1"/>
  <c r="K82" i="5"/>
  <c r="L82" i="5" s="1"/>
  <c r="M84" i="5" l="1"/>
  <c r="K83" i="5"/>
  <c r="L83" i="5" s="1"/>
  <c r="M85" i="5" l="1"/>
  <c r="K84" i="5"/>
  <c r="L84" i="5" s="1"/>
  <c r="M86" i="5" l="1"/>
  <c r="K85" i="5"/>
  <c r="L85" i="5" s="1"/>
  <c r="M87" i="5" l="1"/>
  <c r="K86" i="5"/>
  <c r="L86" i="5" s="1"/>
  <c r="M88" i="5" l="1"/>
  <c r="K87" i="5"/>
  <c r="L87" i="5" s="1"/>
  <c r="M89" i="5" l="1"/>
  <c r="K88" i="5"/>
  <c r="L88" i="5" s="1"/>
  <c r="M90" i="5" l="1"/>
  <c r="K89" i="5"/>
  <c r="L89" i="5" s="1"/>
  <c r="M91" i="5" l="1"/>
  <c r="K90" i="5"/>
  <c r="L90" i="5" s="1"/>
  <c r="M92" i="5" l="1"/>
  <c r="K91" i="5"/>
  <c r="L91" i="5" s="1"/>
  <c r="M93" i="5" l="1"/>
  <c r="K92" i="5"/>
  <c r="L92" i="5" s="1"/>
  <c r="M94" i="5" l="1"/>
  <c r="K93" i="5"/>
  <c r="L93" i="5" s="1"/>
  <c r="M95" i="5" l="1"/>
  <c r="K94" i="5"/>
  <c r="L94" i="5" s="1"/>
  <c r="M96" i="5" l="1"/>
  <c r="K95" i="5"/>
  <c r="L95" i="5" s="1"/>
  <c r="M97" i="5" l="1"/>
  <c r="K96" i="5"/>
  <c r="L96" i="5" s="1"/>
  <c r="M98" i="5" l="1"/>
  <c r="K97" i="5"/>
  <c r="L97" i="5" s="1"/>
  <c r="M99" i="5" l="1"/>
  <c r="K98" i="5"/>
  <c r="L98" i="5" s="1"/>
  <c r="M100" i="5" l="1"/>
  <c r="K99" i="5"/>
  <c r="L99" i="5" s="1"/>
  <c r="M101" i="5" l="1"/>
  <c r="K100" i="5"/>
  <c r="L100" i="5" s="1"/>
  <c r="M102" i="5" l="1"/>
  <c r="K101" i="5"/>
  <c r="L101" i="5" s="1"/>
  <c r="M103" i="5" l="1"/>
  <c r="K102" i="5"/>
  <c r="L102" i="5" s="1"/>
  <c r="M104" i="5" l="1"/>
  <c r="K103" i="5"/>
  <c r="L103" i="5" s="1"/>
  <c r="M105" i="5" l="1"/>
  <c r="K104" i="5"/>
  <c r="L104" i="5" s="1"/>
  <c r="M106" i="5" l="1"/>
  <c r="K105" i="5"/>
  <c r="L105" i="5" s="1"/>
  <c r="M107" i="5" l="1"/>
  <c r="K106" i="5"/>
  <c r="L106" i="5" s="1"/>
  <c r="M108" i="5" l="1"/>
  <c r="K107" i="5"/>
  <c r="L107" i="5" s="1"/>
  <c r="M109" i="5" l="1"/>
  <c r="K108" i="5"/>
  <c r="L108" i="5" s="1"/>
  <c r="M110" i="5" l="1"/>
  <c r="K109" i="5"/>
  <c r="L109" i="5" s="1"/>
  <c r="M111" i="5" l="1"/>
  <c r="K110" i="5"/>
  <c r="L110" i="5" s="1"/>
  <c r="M112" i="5" l="1"/>
  <c r="K111" i="5"/>
  <c r="L111" i="5" s="1"/>
  <c r="M113" i="5" l="1"/>
  <c r="K113" i="5" s="1"/>
  <c r="K112" i="5"/>
  <c r="L112" i="5" s="1"/>
  <c r="K115" i="5" l="1"/>
  <c r="L113" i="5"/>
  <c r="L115" i="5" s="1"/>
</calcChain>
</file>

<file path=xl/sharedStrings.xml><?xml version="1.0" encoding="utf-8"?>
<sst xmlns="http://schemas.openxmlformats.org/spreadsheetml/2006/main" count="767" uniqueCount="353">
  <si>
    <t xml:space="preserve">                                                            GRAL. PAZ 83/85 Pº 2 "B" - AVELLANEDA -CP 1870</t>
  </si>
  <si>
    <t xml:space="preserve">ARIAS  </t>
  </si>
  <si>
    <t>ADMINISTRACION</t>
  </si>
  <si>
    <t>PERIODO</t>
  </si>
  <si>
    <t>PARCIAL</t>
  </si>
  <si>
    <t>TOTAL</t>
  </si>
  <si>
    <t xml:space="preserve">                                                            Contadora Pública Nacional - MIRTA ARIAS</t>
  </si>
  <si>
    <t xml:space="preserve">                                                            ATENCION: Lunes a Viernes de 15 a 19 Hs.</t>
  </si>
  <si>
    <t>PROPIETARIO</t>
  </si>
  <si>
    <t>PAGADO</t>
  </si>
  <si>
    <t>U.F.</t>
  </si>
  <si>
    <t>Coef.2 = UF4 +Cochera</t>
  </si>
  <si>
    <t>SALDO   A PAGAR</t>
  </si>
  <si>
    <t xml:space="preserve">ABONO Y REPARACION :ASCENSOR </t>
  </si>
  <si>
    <t xml:space="preserve">                                               MAIL: arias.mirta@gmail.com</t>
  </si>
  <si>
    <t>SUELDOS Y JORNALES</t>
  </si>
  <si>
    <t>REDONDEO</t>
  </si>
  <si>
    <t>TOTAL GASTOS ORDINARIOS</t>
  </si>
  <si>
    <t>ORDINARIAS</t>
  </si>
  <si>
    <t>IDENTIFICACION</t>
  </si>
  <si>
    <t xml:space="preserve"> </t>
  </si>
  <si>
    <t xml:space="preserve"> GASTOS PARTICULARES</t>
  </si>
  <si>
    <t>Datos de la Cuenta Bancaria</t>
  </si>
  <si>
    <t>Nº</t>
  </si>
  <si>
    <t>CBU</t>
  </si>
  <si>
    <t>CUIT</t>
  </si>
  <si>
    <t>SE INFORMA NUEVA CUENTA Y CBU DEL SANTANDER RIO</t>
  </si>
  <si>
    <t>CARGAS SOCIALES</t>
  </si>
  <si>
    <t>SEGUROS</t>
  </si>
  <si>
    <t>INTERESES</t>
  </si>
  <si>
    <t>INTERESES CORRESPONDIENTES.</t>
  </si>
  <si>
    <t>NO SE OLVIDEN DE ENVIAR EL PAGO DE SUS EXPENSAS A arias.mirta@gmail.com</t>
  </si>
  <si>
    <t>SE LES INFORMA ADEMAS, QUE DE ABONAR CON CHEQUE, HASTA SU ACREDITACION NO SERA CONSIDERADA LA EX</t>
  </si>
  <si>
    <t>PENSA COMO PAGA, Y SE COBRARAN INTERESES, SI ESTA FUERA DE LA FECHA INDICADA.</t>
  </si>
  <si>
    <t>SINO PUEDEN CONCURRIR AL BANCO, PUEDEN HACER TRANSFERENCIA CON LOS DATOS QUE FIGURAN EN LA RENDI-</t>
  </si>
  <si>
    <t>CION.</t>
  </si>
  <si>
    <t>SE INICIARAN LOS JUICIOS CORRESPONDIENTES A AQUELLOS QUE DEBAN MAS DE TRES EXPENSAS.</t>
  </si>
  <si>
    <t>TOTAL GASTOS ORDINARIOS, EXTRAORDINARIOS Y PARTICULARES</t>
  </si>
  <si>
    <t xml:space="preserve">  </t>
  </si>
  <si>
    <t>FONDO DE RESERVA</t>
  </si>
  <si>
    <t xml:space="preserve">                                                            TEL/FAX : 11-77133724 O CEL. 112163-9226</t>
  </si>
  <si>
    <t>EXTRAORDINARIAS</t>
  </si>
  <si>
    <t xml:space="preserve">REPARACIONES DEL EDIFICIO </t>
  </si>
  <si>
    <t>EXPENSAS %A Ordinaria</t>
  </si>
  <si>
    <t>Gastos Particulares</t>
  </si>
  <si>
    <t>SE LES COMUNICA QUE LA EXPENSAS VENCEN DEL 1 AL 10 DE CADA MES, Y DESPUES DE ESA FECHA SE APLICARAN LOS</t>
  </si>
  <si>
    <t>BANCO CREDICOOP</t>
  </si>
  <si>
    <t>DIAS DE MUDANZA LUNES A SABADO DE 8 A 12 HORAS.</t>
  </si>
  <si>
    <t>NO SE PUEDEN EFECTUAR RUIDOS MOLESTOS DE 22 A 8 HORAS Y DE 12 A 16 HORAS.</t>
  </si>
  <si>
    <t>CONS. DE PROP. ITALIA 2156</t>
  </si>
  <si>
    <t>Encargado Perm. s/viv. - Categoría tercera</t>
  </si>
  <si>
    <t>Sueldo Básico</t>
  </si>
  <si>
    <t>Antigüedad (26 años)</t>
  </si>
  <si>
    <t>Retiro de residuos (89 unidades)</t>
  </si>
  <si>
    <t>Redondeo</t>
  </si>
  <si>
    <t>11% Jubilación</t>
  </si>
  <si>
    <t>3% Ley 19032</t>
  </si>
  <si>
    <t>3% Obra Social</t>
  </si>
  <si>
    <t>2% Sindicato</t>
  </si>
  <si>
    <t>1% Caja Protección a la Familia</t>
  </si>
  <si>
    <t>1% Art. 27 FMVD y D</t>
  </si>
  <si>
    <t>0,75% Art. 27 Bis - Seguro de Vida Entera</t>
  </si>
  <si>
    <t>2% Art. 19 Bis - Fondo Educativo</t>
  </si>
  <si>
    <t>Contribuciones de Seguridad Social</t>
  </si>
  <si>
    <t>Aportes de Seguridad Social</t>
  </si>
  <si>
    <t>Contribuciones Obra Social</t>
  </si>
  <si>
    <t>Aportes Obra Social</t>
  </si>
  <si>
    <t>L.R.T.</t>
  </si>
  <si>
    <t>Seguro de Vida Colectivo</t>
  </si>
  <si>
    <t>ABONOS</t>
  </si>
  <si>
    <t xml:space="preserve">F. </t>
  </si>
  <si>
    <t>Uadel S.R.L. - Servicio de Limpieza Integral Diaria - Domingos y Feriados</t>
  </si>
  <si>
    <t xml:space="preserve">HONORARIOS ADMINISTRACION </t>
  </si>
  <si>
    <t>SERVICIOS</t>
  </si>
  <si>
    <t>Edesur S.A. - Cta. 0487380 - Medidor 000107045 - Período    - Bimestre</t>
  </si>
  <si>
    <t xml:space="preserve">Edesur S.A. - Cta. 01295184 - Medidor 005210268 - Período     - F. </t>
  </si>
  <si>
    <t>GASTOS VARIOS</t>
  </si>
  <si>
    <t xml:space="preserve">GASTOS BANCARIOS </t>
  </si>
  <si>
    <t xml:space="preserve">Banco Roela S.A. </t>
  </si>
  <si>
    <t xml:space="preserve">Banco Credicoop Cooperativo Ltdo. </t>
  </si>
  <si>
    <t xml:space="preserve">Allianz Arg. Cía. De Seguros - Seguro Integral del Edificio - Póliza Nro. </t>
  </si>
  <si>
    <t>230230731426 - Vigencia 12 hs. Del 1/12/23 a 12 hs. 1/12/24 - Cuota</t>
  </si>
  <si>
    <t xml:space="preserve">Allianz Arg. Cía. De Seguros - Seguro Combinado Familiar - Póliza Nro. </t>
  </si>
  <si>
    <t>240150822164 - Vigencia 12 hs. 9/5/24 a 12 hs. 9/5/25 - Cuota 6/12</t>
  </si>
  <si>
    <t>TOTAL GASTOS EXTRAORDINARIOS</t>
  </si>
  <si>
    <t xml:space="preserve">ESTADO PATRIMONIAL </t>
  </si>
  <si>
    <t>Ingresos</t>
  </si>
  <si>
    <t>Egresos</t>
  </si>
  <si>
    <t>Saldo Anterior</t>
  </si>
  <si>
    <t>Cobrado por expensas</t>
  </si>
  <si>
    <t>Egresos por gastos del mes</t>
  </si>
  <si>
    <t>Saldo al Cierre</t>
  </si>
  <si>
    <t xml:space="preserve">Saldo Anterior </t>
  </si>
  <si>
    <t>Depósitos y transferencias</t>
  </si>
  <si>
    <t>Transferencias y cheques</t>
  </si>
  <si>
    <t xml:space="preserve">Gastos Bancarios </t>
  </si>
  <si>
    <t xml:space="preserve">Caja </t>
  </si>
  <si>
    <t xml:space="preserve">Saldo Anterior                                                   </t>
  </si>
  <si>
    <t>Pagos en efectivo</t>
  </si>
  <si>
    <t>Según lo dispuesto por el Reglamento de Copropiedad y lo publicado por las Camaras de Propiedad Inmueble se apli-</t>
  </si>
  <si>
    <t>can las escalas de aumento de honorarios para el presente período.</t>
  </si>
  <si>
    <t>CONSORCIO DE PROPIETARIOS FINCA CALLE ITALIA 2156</t>
  </si>
  <si>
    <t>Cuenta Bancaria Credicoop Cooperativo Ltado.</t>
  </si>
  <si>
    <t>Identificación de la cuenta</t>
  </si>
  <si>
    <t>CBU:</t>
  </si>
  <si>
    <t>CUIT DEL TITULAR: 30-56229064-4</t>
  </si>
  <si>
    <t>Cuenta Bancaria Roela SA</t>
  </si>
  <si>
    <t>JUICIOS</t>
  </si>
  <si>
    <t xml:space="preserve">Consorcio de Propietarios Edificio Italia 2156 Avellaneda con Martino Celestino Pacual Lorenzo y otro sobre Cobro Eje- </t>
  </si>
  <si>
    <t>cutivo de Expensas - Causa Nro. 11638 - Juzgado Civil y Comercial Nro. 1 de Avellaneda</t>
  </si>
  <si>
    <t>Afip con Consorcio de Propietarios Italia 2156 - Oficio 9060058 - Expte. 8481/2020 - Importe $ 14107,14 - Juzgado Fede-</t>
  </si>
  <si>
    <t>ral de 1ra. Instancia de Quilmes - Secretaría Nro. 7</t>
  </si>
  <si>
    <t>Nómina de Proveedores</t>
  </si>
  <si>
    <t>Mirta Arias - Gral. Paz 85 Piso 2 Dto. B -Avellaneda - CUIT 27-10588491-0</t>
  </si>
  <si>
    <t>Edesur SA - San José 140 Piso 5 Dto. 513 -CABA - CUIT 30-65511651-2</t>
  </si>
  <si>
    <t>Aysa SA - Tucumán 752 Piso 20 - CABA - CUIT 30-70956507-5</t>
  </si>
  <si>
    <t>Banco Roela SA - Rosario de Santa Fe 275 - Barrio Centro Sur 5000 - Córdoba - CUIT 30-53561044-0</t>
  </si>
  <si>
    <t>Banco Credicoop Cooperativo Ltdo. - Reconquista 484 - CABA - CUIT 30-57142135-2</t>
  </si>
  <si>
    <t>AFIP - Defensa 192 - CABA - CUIT 33-69345023-9</t>
  </si>
  <si>
    <t>Input Control de Mtz Seguridad SRL - Av. Fleming 2347- Martínez - Bs. As. - CUIT 30-71470338-9</t>
  </si>
  <si>
    <t>Allianz Arg. Cía. De Seguros SA - Av. Corrientes 299 - CABA - CUIT 30-50003721-7</t>
  </si>
  <si>
    <t>Metrogas SA - Gral. Gregorio Araoz de Lamadrid 1360 - CABA - CUIT 30-65786367-6</t>
  </si>
  <si>
    <t>Mariana Lorena Ferreiro - Av. Belgrano 495 - Avellaneda - CUIT 27-26023414-0</t>
  </si>
  <si>
    <t>Destapaciones Roman de Michalyk Román Ariel - Warnes 1590 - Lanús - CUIT 20-29041504-8</t>
  </si>
  <si>
    <t>CONSORCIO DE PROPIETARIOS ITALIA 2156</t>
  </si>
  <si>
    <t xml:space="preserve">Aumento de encargados </t>
  </si>
  <si>
    <t>PB - A POLICHISO RAMOS</t>
  </si>
  <si>
    <t>PB - B BATTISTA OMAR R.</t>
  </si>
  <si>
    <t>PB - C DIDIER OLGA</t>
  </si>
  <si>
    <t>PB - D XHARDEZ MARIA A.</t>
  </si>
  <si>
    <t>PB - E BRANDAN OSVALDO</t>
  </si>
  <si>
    <t>1 A VEGA RICARDO</t>
  </si>
  <si>
    <t>1 B ASTARITA SUSANA L.</t>
  </si>
  <si>
    <t>1 C GUGLIELMINI ANA M.</t>
  </si>
  <si>
    <t>1 D SCARPATI LORENA P.</t>
  </si>
  <si>
    <t>1 E BAZAN JOSE</t>
  </si>
  <si>
    <t>1 F KRAJCIR ERNESTO</t>
  </si>
  <si>
    <t>1 G AGOSTINI ALONSO</t>
  </si>
  <si>
    <t>2 A LORENA ELIZABETH CASSERO</t>
  </si>
  <si>
    <t>2 B BOQUETE ALFREDO</t>
  </si>
  <si>
    <t>2 C DESIMONE ROBERTO</t>
  </si>
  <si>
    <t>2 D KERULIS SILVIA</t>
  </si>
  <si>
    <t>2 E GARCIA SILVIA</t>
  </si>
  <si>
    <t>2 F LOPEZ MERCEDES R.</t>
  </si>
  <si>
    <t>2 G MENDEZ JORGE O.</t>
  </si>
  <si>
    <t>3 A POLLIO RICARDO</t>
  </si>
  <si>
    <t>3 B WASZNIEWSKI G.</t>
  </si>
  <si>
    <t>3 C DESTEFANO ABUD</t>
  </si>
  <si>
    <t xml:space="preserve">3 D GARCIA MANUELA </t>
  </si>
  <si>
    <t>3 E LASTIRI DANIELA</t>
  </si>
  <si>
    <t>3 F LOPEZ ESTEBAN</t>
  </si>
  <si>
    <t>3 G FONDACARO FEDERICO</t>
  </si>
  <si>
    <t>4 A FERNANDEZ LUCAS M.</t>
  </si>
  <si>
    <t>4 B FRIDMAN J. Y SRA.</t>
  </si>
  <si>
    <t>4 C FERREIRA DE SOUSA</t>
  </si>
  <si>
    <t>4 D DIAZ PETRONA A.</t>
  </si>
  <si>
    <t>4 E XHARDEZ MARIA E.</t>
  </si>
  <si>
    <t>4 F WASINGER ADRIANA B.</t>
  </si>
  <si>
    <t>4 G OLIVERA LORENZO</t>
  </si>
  <si>
    <t>5 A EL FASAH JORGE</t>
  </si>
  <si>
    <t>5 B DAMONTE ANDREA</t>
  </si>
  <si>
    <t>5 C LOPEZ MARCEL MABEL</t>
  </si>
  <si>
    <t>5 D BANFI SILVIA R.</t>
  </si>
  <si>
    <t>5 E BUCETA M. ARACELI</t>
  </si>
  <si>
    <t>5 F BARABALLE OSCAR</t>
  </si>
  <si>
    <t>5 G IRAZABAL SUEIRO</t>
  </si>
  <si>
    <t>6 A MILLEFANTI CARINA</t>
  </si>
  <si>
    <t>6 B SETTE HORACIO Y SRA.</t>
  </si>
  <si>
    <t>6 D BALBIN BEATRIZ DE</t>
  </si>
  <si>
    <t>6 E LEVY JORGE OSVALDO</t>
  </si>
  <si>
    <t>6 F KUZIEMSKI ANGELICA</t>
  </si>
  <si>
    <t>6 G TULIPANI ANGELICA</t>
  </si>
  <si>
    <t>7 A OLIVERA JORGE</t>
  </si>
  <si>
    <t>7 B GASCON PAOLA V.</t>
  </si>
  <si>
    <t>7 C CASTALDI GUSTAVO</t>
  </si>
  <si>
    <t>7 D SCUNIO HECTOR F.</t>
  </si>
  <si>
    <t>7 E RODRIGUEZ FERNANDO</t>
  </si>
  <si>
    <t>7 F MAONE OSVALDO</t>
  </si>
  <si>
    <t>7 G MORALES MIRIAM M.</t>
  </si>
  <si>
    <t>8 A SANTOS PASCUAL</t>
  </si>
  <si>
    <t>8 B FANELLI EDITH</t>
  </si>
  <si>
    <t>8 C KRUK ANA MARIA</t>
  </si>
  <si>
    <t>8 D RIOS ELIDA</t>
  </si>
  <si>
    <t>8 E ALEJO HORACIO</t>
  </si>
  <si>
    <t>8 F BOSSETTI CARLOS E.</t>
  </si>
  <si>
    <t>8 G DE MATO Y SORRENTI</t>
  </si>
  <si>
    <t>9 A SANTOS CARDOZO</t>
  </si>
  <si>
    <t>9 B BELIZAN RUBEN OMAR</t>
  </si>
  <si>
    <t>9 C LOMBARDO MARIA DEL</t>
  </si>
  <si>
    <t>9 D CALVIÑO LUCAS</t>
  </si>
  <si>
    <t>9 E NOE FRANCISCO N.</t>
  </si>
  <si>
    <t>9 F DE MOGLIONI LORENZO</t>
  </si>
  <si>
    <t>9 G MOLINA AMANDA</t>
  </si>
  <si>
    <t>10 A CARBAJALES JOSE</t>
  </si>
  <si>
    <t>10 B RAMOS ALBERTO</t>
  </si>
  <si>
    <t>10 C NANI DEL VALLE J.</t>
  </si>
  <si>
    <t>10 D DE ALBA MARIA L.</t>
  </si>
  <si>
    <t>10 E LANZILLOTA DIEGO J.</t>
  </si>
  <si>
    <t>10 F PEDROUZO JORGE LUIS</t>
  </si>
  <si>
    <t>10 G FANELLI EDITH</t>
  </si>
  <si>
    <t>11 A LEOPARDI A.</t>
  </si>
  <si>
    <t>11 B VILARDO LILIANA</t>
  </si>
  <si>
    <t>11 C LODICO HORACIO</t>
  </si>
  <si>
    <t>11 D ANTUNEZ RUBEN</t>
  </si>
  <si>
    <t>11 E MIRAGAYA JORGE OMAR</t>
  </si>
  <si>
    <t>11 F ANTUNEZ RUBEN DANIEL</t>
  </si>
  <si>
    <t>11 G POLONI JOSE</t>
  </si>
  <si>
    <t>12 A TORRES G. ZULLY</t>
  </si>
  <si>
    <t>12 B BALLESTEROS SENCIO</t>
  </si>
  <si>
    <t>12 C SABHA DANIEL</t>
  </si>
  <si>
    <t>12 D LANNI KARINA PAOLA</t>
  </si>
  <si>
    <t>12 E DAVILA JUAN</t>
  </si>
  <si>
    <t>12 F SUC. DE F. CAMPOS</t>
  </si>
  <si>
    <t>12 G NOSACH SERGIO</t>
  </si>
  <si>
    <t>12 E COCHERA F. DAVILA JUAN</t>
  </si>
  <si>
    <t>11 G COCHERA N. POLONI JOSE</t>
  </si>
  <si>
    <t>11 A COCHERA E LEOPARDI A.</t>
  </si>
  <si>
    <t>8 E COCHERA G. ALEJO HORACIO</t>
  </si>
  <si>
    <t>5 C COCHERA L. LOPEZ MARCELO</t>
  </si>
  <si>
    <t>4 E COCHERA D. XHARDEZ MARCELO</t>
  </si>
  <si>
    <t>4 B COCHERA FRIDMAN J. Y SRA.</t>
  </si>
  <si>
    <t>3 B COCHERA WASZNIEWSKI G.</t>
  </si>
  <si>
    <t>7 B COCHERA C. GASCON P. V.</t>
  </si>
  <si>
    <t>2 G COCHERA MENDEZ JORGE O.</t>
  </si>
  <si>
    <t>2 C COCHERA J. ALEJO HORACIO</t>
  </si>
  <si>
    <t>1 E COCHERA H. BAZAN JOSE</t>
  </si>
  <si>
    <t xml:space="preserve">PB D COCHERA M. XHARDEZ MARCELO </t>
  </si>
  <si>
    <t>Coef.   A</t>
  </si>
  <si>
    <t>Coef. B</t>
  </si>
  <si>
    <t>Suscripción al Períodico Acción</t>
  </si>
  <si>
    <t>Municipalidad Avellaneda - Impuesto Motores - Cuota 2/2</t>
  </si>
  <si>
    <t>Edesur S.A. - Cta. 03024290 - Medidor 007613287 - Período 22/8/24  al</t>
  </si>
  <si>
    <t>21/10/24 - F. 050137406257</t>
  </si>
  <si>
    <t>Metrogas S.A. - Cta. 020065934100 - Período          - F. 0200659341100</t>
  </si>
  <si>
    <t>Ingresos no identificados</t>
  </si>
  <si>
    <t>117411,-</t>
  </si>
  <si>
    <t>117415,-</t>
  </si>
  <si>
    <t>117412,-</t>
  </si>
  <si>
    <t>44500,-</t>
  </si>
  <si>
    <t>118000,-</t>
  </si>
  <si>
    <t>514738,-</t>
  </si>
  <si>
    <t>Número de Cuenta: Cta. Cte. $ 191-054-034938/2</t>
  </si>
  <si>
    <t>Número de Cuenta: 0000020193/2</t>
  </si>
  <si>
    <t xml:space="preserve">Identificación de la cuenta: </t>
  </si>
  <si>
    <t>: 2470001810000002019324</t>
  </si>
  <si>
    <t>CC $ 191-054-0349938/2</t>
  </si>
  <si>
    <t>1910054455005403493828</t>
  </si>
  <si>
    <t>30-56229064-4</t>
  </si>
  <si>
    <t>Cesar Alberto Britez - CUIL 20-23524002-6 - Mes 12/2024</t>
  </si>
  <si>
    <t>6 C LEOBONO MIRIAM G,</t>
  </si>
  <si>
    <t>Depósito filial piñeyro</t>
  </si>
  <si>
    <t>Banco Credicoop</t>
  </si>
  <si>
    <t>Banco Roela</t>
  </si>
  <si>
    <t>:  1910054455005403493828</t>
  </si>
  <si>
    <t>Ascensores Andes SRL -</t>
  </si>
  <si>
    <t>Vacaciones (28 días)</t>
  </si>
  <si>
    <t>Descuento Días Vacaciones (28 días)</t>
  </si>
  <si>
    <t>AFIP - Plan de Facilidades de Pago - Cuota 32/60</t>
  </si>
  <si>
    <t>AFIP - Plan de Facilidades de Pago - Cuota 51/53</t>
  </si>
  <si>
    <t>Suterh - 1/2025</t>
  </si>
  <si>
    <t>Fateryh - 1/2025</t>
  </si>
  <si>
    <t>Seracarh - 1/2025</t>
  </si>
  <si>
    <t>Suplencia Yesica Sara Gonzalez</t>
  </si>
  <si>
    <t>Abono ascensor 2/25 - Andes Elevadores - F. 0004-00008676</t>
  </si>
  <si>
    <t xml:space="preserve">Reparación en ascensor 3: provisión y colocación de un patín retractil </t>
  </si>
  <si>
    <t>completo por rotura del existente - F. 0004-00008751</t>
  </si>
  <si>
    <t xml:space="preserve">Reparación en ascensor 3: provisión y colocación de nueva cerradura </t>
  </si>
  <si>
    <t>de piso por rotura de la existente</t>
  </si>
  <si>
    <t xml:space="preserve">Mariana Lorena Ferreiro - Honorarios Profesionales - Mes 2/25 - F. </t>
  </si>
  <si>
    <t>00006-00000156</t>
  </si>
  <si>
    <t>Período 1/2025 - F. 0003-0000</t>
  </si>
  <si>
    <t>Honorarios Administración Arias Mirta - Mes  1 /2 - F. 0004-000001</t>
  </si>
  <si>
    <t>Aysa S.A. - Cta. Servicios 3479114 - Período  - F. 0110B49968482</t>
  </si>
  <si>
    <t xml:space="preserve">A RECAUDAR  MES DE MARZO 2025 :  $ </t>
  </si>
  <si>
    <t>Ingreso SIN IDENTIFICAR</t>
  </si>
  <si>
    <t>Honorarios a cobrar</t>
  </si>
  <si>
    <t>TO, O INFORMAR POR MAIL EL PAGO DE LA EXPENSA INDICANDO EL PISO,</t>
  </si>
  <si>
    <t>DEPARTAMENTO E IMPORTE ABONADO, GRACIAS,</t>
  </si>
  <si>
    <t>IMPORTANTE ABONAR CON LOS CENTAVOS IDENTIFICA EL DEPARTAMEN-</t>
  </si>
  <si>
    <t>arias.mirta@gmail.com</t>
  </si>
  <si>
    <t>Mendez Evangelina</t>
  </si>
  <si>
    <t>Alan G. Lares</t>
  </si>
  <si>
    <t>LIQUIDACION DE EXPENSAS</t>
  </si>
  <si>
    <t>ADMINISTRADORA: CAROLINA CANCIANI MP:1148</t>
  </si>
  <si>
    <t>CUIT DEL EDIFICIO: 30-719118061-9</t>
  </si>
  <si>
    <t>PERÍODO: DICIEMBRE</t>
  </si>
  <si>
    <t>HORARIOS DE ATENCION: LUNES A VIERNES</t>
  </si>
  <si>
    <t>10 A 16HS - EMERGENCIAS 24HS</t>
  </si>
  <si>
    <t>VTO 15/01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</si>
  <si>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t>
  </si>
  <si>
    <t>GASTOS A - UNIDADES FUNCIONALES:</t>
  </si>
  <si>
    <t xml:space="preserve">TOTAL </t>
  </si>
  <si>
    <t xml:space="preserve">SEGUROS </t>
  </si>
  <si>
    <t>TOTAL IMPUESTO</t>
  </si>
  <si>
    <t>ABONOS Y SERVICIOS</t>
  </si>
  <si>
    <t>Edesur</t>
  </si>
  <si>
    <t>Metrogas</t>
  </si>
  <si>
    <t>AySa</t>
  </si>
  <si>
    <t>Servicio de interet Claro</t>
  </si>
  <si>
    <t>TOTAL ABONOS Y SERVICIOS</t>
  </si>
  <si>
    <t>HONORARIOS</t>
  </si>
  <si>
    <t>Honorarios administracion</t>
  </si>
  <si>
    <t>GASTOS BANCARIOS</t>
  </si>
  <si>
    <t>Mantenimiento de cuenta</t>
  </si>
  <si>
    <t>Gastos bancarios</t>
  </si>
  <si>
    <t>PREVISION GASTOS A</t>
  </si>
  <si>
    <t>TOTAL GASTOS A</t>
  </si>
  <si>
    <t>GASTOS B:</t>
  </si>
  <si>
    <t>PREVISION GASTOS B</t>
  </si>
  <si>
    <t>TOTAL GASTOS B:</t>
  </si>
  <si>
    <t>GASTOS A + PREVISION (A) :</t>
  </si>
  <si>
    <t>GASTOS A SIN PREVISION:</t>
  </si>
  <si>
    <t>GASTOS B SIN PREVISION:</t>
  </si>
  <si>
    <t>GASTOS B CON PREVISION (B):</t>
  </si>
  <si>
    <t>Pagos sin identificar</t>
  </si>
  <si>
    <t xml:space="preserve">Punitorios mal cobrados </t>
  </si>
  <si>
    <t>CAJA A</t>
  </si>
  <si>
    <t>DEPOSITOS NO IDENTIFICADOS</t>
  </si>
  <si>
    <t>Gastos B</t>
  </si>
  <si>
    <t>Gastos A</t>
  </si>
  <si>
    <t>UF</t>
  </si>
  <si>
    <t>Propietario</t>
  </si>
  <si>
    <t>Inquilinos</t>
  </si>
  <si>
    <t xml:space="preserve"> (%)</t>
  </si>
  <si>
    <t xml:space="preserve">Saldo Ord </t>
  </si>
  <si>
    <t xml:space="preserve">Ingreso </t>
  </si>
  <si>
    <t>Deuda o Saldo a favor</t>
  </si>
  <si>
    <t>Interes 3%</t>
  </si>
  <si>
    <t>Total 1er Vto</t>
  </si>
  <si>
    <t>Total 2do Vto</t>
  </si>
  <si>
    <t xml:space="preserve">CONS. DE PROP. ITALIA 2156                                                                                                                                                                    
</t>
  </si>
  <si>
    <t xml:space="preserve">Cesar Alberto Britez - CUIL 20-23524002-6 </t>
  </si>
  <si>
    <t xml:space="preserve">Haberes </t>
  </si>
  <si>
    <t>Deducciones</t>
  </si>
  <si>
    <t>IMPUESTOS</t>
  </si>
  <si>
    <t>TOTAL IMPUESTOS</t>
  </si>
  <si>
    <t>ARCA</t>
  </si>
  <si>
    <t>Sindicato - Suther</t>
  </si>
  <si>
    <t>Sindicato - Fathery</t>
  </si>
  <si>
    <t>Sindicato - Seracarh</t>
  </si>
  <si>
    <t xml:space="preserve">Seguro de vida colectivo </t>
  </si>
  <si>
    <t>Abono ascensor - Andes Elevadores - Mantenimiento</t>
  </si>
  <si>
    <t>Allianz Arg. Cía. De Seguros - Seguro Integral del Edificio - Póliza Nro. 230230731426</t>
  </si>
  <si>
    <t>Allianz Arg. Cía. De Seguros - Seguro Combinado Familiar - Póliza Nro.  240150822164</t>
  </si>
  <si>
    <t>Gustavo Padron -  Sr. Contador</t>
  </si>
  <si>
    <t xml:space="preserve">SALDO CAJA </t>
  </si>
  <si>
    <t xml:space="preserve">Ingresos cobros tipo </t>
  </si>
  <si>
    <t xml:space="preserve">Egresos del mes </t>
  </si>
  <si>
    <t>TOTAL GASTOS B</t>
  </si>
  <si>
    <t>CUIT ADMINISTRACION:  30-56229064-4</t>
  </si>
  <si>
    <t xml:space="preserve">MAIL: italia2156rc@gmail.com
</t>
  </si>
  <si>
    <t>NÚMERO DE CUENTA: Cta. Cte. $ 191-054-034938/2 - BANCO CREDICOP - CBU : 1910054455005403493828</t>
  </si>
  <si>
    <t>¡IMPORTANTE!                                                                                                                                                                                                                                                                                                                                                                    Estimados convivientes:
Les solicitamos, por favor, que al momento de realizar el pago respeten los centavos que figuran en el monto indicado, ya que estos nos permiten identificar correctamente los pagos y las unidades funcionales, reduciendo así el margen de error. Ademas, deben informar los mismos via mail (MAIL: italia2156rc@gmail.com)
Muchas gracias por su colaboración.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</si>
</sst>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mmm\-yyyy"/>
    <numFmt numFmtId="165" formatCode="0.0000"/>
    <numFmt numFmtId="166" formatCode="#,##0.0000"/>
    <numFmt numFmtId="167" formatCode="_-&quot;$&quot;\ * #,##0.0_-;\-&quot;$&quot;\ * #,##0.0_-;_-&quot;$&quot;\ * &quot;-&quot;??_-;_-@_-"/>
    <numFmt numFmtId="168" formatCode="_-[$$-2C0A]\ * #,##0.0_-;\-[$$-2C0A]\ * #,##0.0_-;_-[$$-2C0A]\ * &quot;-&quot;??_-;_-@_-"/>
    <numFmt numFmtId="169" formatCode="_-[$$-2C0A]\ * #,##0.00_-;\-[$$-2C0A]\ * #,##0.00_-;_-[$$-2C0A]\ * &quot;-&quot;??_-;_-@_-"/>
    <numFmt numFmtId="170" formatCode="_-&quot;$&quot;\ * #,##0_-;\-&quot;$&quot;\ * #,##0_-;_-&quot;$&quot;\ * &quot;-&quot;??_-;_-@_-"/>
    <numFmt numFmtId="171" formatCode="0.000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Brush Script MT"/>
      <family val="4"/>
    </font>
    <font>
      <b/>
      <sz val="11"/>
      <color theme="1"/>
      <name val="Brush Script MT"/>
      <family val="4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18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  <xf numFmtId="44" fontId="17" fillId="0" borderId="0" applyFont="0" applyFill="0" applyBorder="0" applyAlignment="0" applyProtection="0"/>
  </cellStyleXfs>
  <cellXfs count="33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0" xfId="0" applyFont="1"/>
    <xf numFmtId="0" fontId="1" fillId="0" borderId="0" xfId="0" applyFont="1"/>
    <xf numFmtId="4" fontId="0" fillId="0" borderId="6" xfId="0" applyNumberFormat="1" applyBorder="1"/>
    <xf numFmtId="4" fontId="0" fillId="0" borderId="7" xfId="0" applyNumberFormat="1" applyBorder="1"/>
    <xf numFmtId="4" fontId="0" fillId="0" borderId="0" xfId="0" applyNumberFormat="1"/>
    <xf numFmtId="4" fontId="0" fillId="0" borderId="3" xfId="0" applyNumberFormat="1" applyBorder="1"/>
    <xf numFmtId="4" fontId="0" fillId="0" borderId="5" xfId="0" applyNumberFormat="1" applyBorder="1"/>
    <xf numFmtId="0" fontId="5" fillId="0" borderId="5" xfId="0" applyFont="1" applyBorder="1" applyAlignment="1">
      <alignment horizontal="center" vertical="distributed"/>
    </xf>
    <xf numFmtId="0" fontId="5" fillId="0" borderId="12" xfId="0" applyFont="1" applyBorder="1" applyAlignment="1">
      <alignment horizontal="center" vertical="distributed"/>
    </xf>
    <xf numFmtId="4" fontId="1" fillId="0" borderId="1" xfId="0" applyNumberFormat="1" applyFont="1" applyBorder="1"/>
    <xf numFmtId="0" fontId="5" fillId="0" borderId="1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4" fontId="0" fillId="0" borderId="11" xfId="0" applyNumberFormat="1" applyBorder="1" applyAlignment="1">
      <alignment horizontal="right"/>
    </xf>
    <xf numFmtId="165" fontId="0" fillId="0" borderId="11" xfId="0" applyNumberFormat="1" applyBorder="1"/>
    <xf numFmtId="0" fontId="5" fillId="0" borderId="15" xfId="0" applyFont="1" applyBorder="1" applyAlignment="1">
      <alignment horizontal="center" vertical="distributed"/>
    </xf>
    <xf numFmtId="0" fontId="6" fillId="0" borderId="11" xfId="0" applyFont="1" applyBorder="1"/>
    <xf numFmtId="4" fontId="0" fillId="0" borderId="11" xfId="0" applyNumberFormat="1" applyBorder="1"/>
    <xf numFmtId="4" fontId="2" fillId="0" borderId="0" xfId="0" applyNumberFormat="1" applyFont="1"/>
    <xf numFmtId="4" fontId="1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9" fillId="0" borderId="0" xfId="0" applyFont="1"/>
    <xf numFmtId="4" fontId="1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 vertical="distributed"/>
    </xf>
    <xf numFmtId="0" fontId="6" fillId="0" borderId="0" xfId="0" applyFont="1"/>
    <xf numFmtId="165" fontId="0" fillId="0" borderId="0" xfId="0" applyNumberFormat="1"/>
    <xf numFmtId="4" fontId="0" fillId="0" borderId="0" xfId="0" applyNumberFormat="1" applyAlignment="1">
      <alignment horizontal="right"/>
    </xf>
    <xf numFmtId="4" fontId="1" fillId="0" borderId="0" xfId="0" applyNumberFormat="1" applyFont="1"/>
    <xf numFmtId="0" fontId="5" fillId="0" borderId="0" xfId="0" applyFont="1" applyAlignment="1">
      <alignment horizontal="center" vertical="center"/>
    </xf>
    <xf numFmtId="0" fontId="4" fillId="0" borderId="0" xfId="0" applyFont="1"/>
    <xf numFmtId="165" fontId="1" fillId="0" borderId="0" xfId="0" applyNumberFormat="1" applyFont="1"/>
    <xf numFmtId="0" fontId="7" fillId="0" borderId="0" xfId="0" applyFont="1"/>
    <xf numFmtId="0" fontId="10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6" fillId="0" borderId="11" xfId="0" applyFont="1" applyBorder="1" applyAlignment="1">
      <alignment horizontal="left"/>
    </xf>
    <xf numFmtId="0" fontId="5" fillId="0" borderId="19" xfId="0" applyFont="1" applyBorder="1" applyAlignment="1">
      <alignment horizontal="center" vertical="distributed"/>
    </xf>
    <xf numFmtId="0" fontId="11" fillId="0" borderId="0" xfId="0" applyFont="1" applyAlignment="1">
      <alignment horizontal="center"/>
    </xf>
    <xf numFmtId="0" fontId="0" fillId="0" borderId="2" xfId="0" applyBorder="1"/>
    <xf numFmtId="0" fontId="1" fillId="0" borderId="13" xfId="0" applyFont="1" applyBorder="1"/>
    <xf numFmtId="0" fontId="0" fillId="0" borderId="16" xfId="0" applyBorder="1" applyAlignment="1">
      <alignment horizontal="center"/>
    </xf>
    <xf numFmtId="0" fontId="6" fillId="0" borderId="17" xfId="0" applyFont="1" applyBorder="1"/>
    <xf numFmtId="165" fontId="0" fillId="0" borderId="17" xfId="0" applyNumberFormat="1" applyBorder="1"/>
    <xf numFmtId="4" fontId="0" fillId="0" borderId="17" xfId="0" applyNumberFormat="1" applyBorder="1" applyAlignment="1">
      <alignment horizontal="right"/>
    </xf>
    <xf numFmtId="4" fontId="0" fillId="0" borderId="12" xfId="0" applyNumberFormat="1" applyBorder="1" applyAlignment="1">
      <alignment horizontal="right"/>
    </xf>
    <xf numFmtId="4" fontId="0" fillId="0" borderId="18" xfId="0" applyNumberFormat="1" applyBorder="1" applyAlignment="1">
      <alignment horizontal="right"/>
    </xf>
    <xf numFmtId="4" fontId="0" fillId="0" borderId="20" xfId="0" applyNumberFormat="1" applyBorder="1" applyAlignment="1">
      <alignment horizontal="right"/>
    </xf>
    <xf numFmtId="17" fontId="5" fillId="0" borderId="12" xfId="0" applyNumberFormat="1" applyFont="1" applyBorder="1" applyAlignment="1">
      <alignment horizontal="center" vertical="distributed"/>
    </xf>
    <xf numFmtId="4" fontId="0" fillId="0" borderId="21" xfId="0" applyNumberFormat="1" applyBorder="1"/>
    <xf numFmtId="4" fontId="0" fillId="0" borderId="1" xfId="0" applyNumberFormat="1" applyBorder="1"/>
    <xf numFmtId="0" fontId="0" fillId="0" borderId="7" xfId="0" applyBorder="1" applyAlignment="1">
      <alignment horizontal="left"/>
    </xf>
    <xf numFmtId="0" fontId="1" fillId="0" borderId="9" xfId="0" applyFont="1" applyBorder="1"/>
    <xf numFmtId="4" fontId="1" fillId="2" borderId="1" xfId="0" applyNumberFormat="1" applyFont="1" applyFill="1" applyBorder="1"/>
    <xf numFmtId="4" fontId="1" fillId="0" borderId="21" xfId="0" applyNumberFormat="1" applyFont="1" applyBorder="1" applyAlignment="1">
      <alignment horizontal="center"/>
    </xf>
    <xf numFmtId="4" fontId="0" fillId="0" borderId="9" xfId="0" applyNumberFormat="1" applyBorder="1"/>
    <xf numFmtId="0" fontId="0" fillId="0" borderId="0" xfId="0" applyAlignment="1">
      <alignment horizontal="left"/>
    </xf>
    <xf numFmtId="4" fontId="0" fillId="0" borderId="4" xfId="0" applyNumberFormat="1" applyBorder="1"/>
    <xf numFmtId="2" fontId="0" fillId="0" borderId="0" xfId="0" applyNumberFormat="1"/>
    <xf numFmtId="0" fontId="0" fillId="0" borderId="23" xfId="0" applyBorder="1" applyAlignment="1">
      <alignment horizontal="center"/>
    </xf>
    <xf numFmtId="0" fontId="6" fillId="0" borderId="24" xfId="0" applyFont="1" applyBorder="1"/>
    <xf numFmtId="165" fontId="0" fillId="0" borderId="24" xfId="0" applyNumberFormat="1" applyBorder="1"/>
    <xf numFmtId="4" fontId="0" fillId="0" borderId="24" xfId="0" applyNumberFormat="1" applyBorder="1"/>
    <xf numFmtId="4" fontId="0" fillId="0" borderId="24" xfId="0" applyNumberFormat="1" applyBorder="1" applyAlignment="1">
      <alignment horizontal="right"/>
    </xf>
    <xf numFmtId="0" fontId="0" fillId="0" borderId="11" xfId="0" applyBorder="1" applyAlignment="1">
      <alignment horizontal="center"/>
    </xf>
    <xf numFmtId="166" fontId="1" fillId="0" borderId="27" xfId="0" applyNumberFormat="1" applyFont="1" applyBorder="1" applyAlignment="1">
      <alignment horizontal="right"/>
    </xf>
    <xf numFmtId="4" fontId="1" fillId="0" borderId="27" xfId="0" applyNumberFormat="1" applyFont="1" applyBorder="1" applyAlignment="1">
      <alignment horizontal="right"/>
    </xf>
    <xf numFmtId="4" fontId="1" fillId="0" borderId="28" xfId="0" applyNumberFormat="1" applyFont="1" applyBorder="1" applyAlignment="1">
      <alignment horizontal="right"/>
    </xf>
    <xf numFmtId="0" fontId="5" fillId="0" borderId="29" xfId="0" applyFont="1" applyBorder="1" applyAlignment="1">
      <alignment horizontal="center" vertical="distributed"/>
    </xf>
    <xf numFmtId="4" fontId="0" fillId="0" borderId="29" xfId="0" applyNumberFormat="1" applyBorder="1" applyAlignment="1">
      <alignment horizontal="right"/>
    </xf>
    <xf numFmtId="4" fontId="0" fillId="0" borderId="22" xfId="0" applyNumberFormat="1" applyBorder="1" applyAlignment="1">
      <alignment horizontal="left" vertical="top"/>
    </xf>
    <xf numFmtId="0" fontId="12" fillId="0" borderId="0" xfId="0" applyFont="1"/>
    <xf numFmtId="0" fontId="12" fillId="0" borderId="0" xfId="0" applyFont="1" applyAlignment="1">
      <alignment horizontal="right"/>
    </xf>
    <xf numFmtId="49" fontId="12" fillId="0" borderId="0" xfId="0" applyNumberFormat="1" applyFont="1" applyAlignment="1">
      <alignment horizontal="right"/>
    </xf>
    <xf numFmtId="0" fontId="0" fillId="0" borderId="9" xfId="0" applyBorder="1"/>
    <xf numFmtId="0" fontId="1" fillId="0" borderId="4" xfId="0" applyFont="1" applyBorder="1" applyAlignment="1">
      <alignment horizontal="center"/>
    </xf>
    <xf numFmtId="49" fontId="1" fillId="0" borderId="0" xfId="0" applyNumberFormat="1" applyFont="1" applyAlignment="1">
      <alignment horizontal="right"/>
    </xf>
    <xf numFmtId="2" fontId="0" fillId="0" borderId="12" xfId="0" applyNumberFormat="1" applyBorder="1"/>
    <xf numFmtId="2" fontId="0" fillId="0" borderId="24" xfId="0" applyNumberFormat="1" applyBorder="1"/>
    <xf numFmtId="2" fontId="0" fillId="0" borderId="11" xfId="0" applyNumberFormat="1" applyBorder="1"/>
    <xf numFmtId="2" fontId="0" fillId="0" borderId="25" xfId="0" applyNumberFormat="1" applyBorder="1"/>
    <xf numFmtId="2" fontId="1" fillId="0" borderId="26" xfId="0" applyNumberFormat="1" applyFont="1" applyBorder="1" applyAlignment="1">
      <alignment horizontal="right"/>
    </xf>
    <xf numFmtId="0" fontId="1" fillId="0" borderId="10" xfId="0" applyFont="1" applyBorder="1" applyAlignment="1">
      <alignment horizontal="center"/>
    </xf>
    <xf numFmtId="0" fontId="0" fillId="0" borderId="10" xfId="0" applyBorder="1"/>
    <xf numFmtId="0" fontId="0" fillId="0" borderId="8" xfId="0" applyBorder="1"/>
    <xf numFmtId="4" fontId="1" fillId="0" borderId="30" xfId="0" applyNumberFormat="1" applyFont="1" applyBorder="1" applyAlignment="1">
      <alignment horizontal="right"/>
    </xf>
    <xf numFmtId="17" fontId="0" fillId="0" borderId="0" xfId="0" applyNumberFormat="1"/>
    <xf numFmtId="4" fontId="0" fillId="0" borderId="27" xfId="0" applyNumberFormat="1" applyBorder="1" applyAlignment="1">
      <alignment horizontal="right"/>
    </xf>
    <xf numFmtId="2" fontId="1" fillId="0" borderId="1" xfId="0" applyNumberFormat="1" applyFont="1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9" xfId="0" applyFont="1" applyBorder="1" applyAlignment="1">
      <alignment horizontal="center"/>
    </xf>
    <xf numFmtId="166" fontId="0" fillId="0" borderId="0" xfId="0" applyNumberFormat="1" applyAlignment="1">
      <alignment horizontal="center"/>
    </xf>
    <xf numFmtId="4" fontId="0" fillId="0" borderId="8" xfId="0" applyNumberFormat="1" applyBorder="1"/>
    <xf numFmtId="0" fontId="0" fillId="0" borderId="3" xfId="0" applyBorder="1" applyAlignment="1">
      <alignment horizontal="center"/>
    </xf>
    <xf numFmtId="4" fontId="0" fillId="0" borderId="5" xfId="0" applyNumberFormat="1" applyBorder="1" applyAlignment="1">
      <alignment horizontal="right"/>
    </xf>
    <xf numFmtId="4" fontId="0" fillId="0" borderId="6" xfId="0" applyNumberFormat="1" applyBorder="1" applyAlignment="1">
      <alignment horizontal="right"/>
    </xf>
    <xf numFmtId="4" fontId="0" fillId="0" borderId="7" xfId="0" applyNumberFormat="1" applyBorder="1" applyAlignment="1">
      <alignment horizontal="right"/>
    </xf>
    <xf numFmtId="4" fontId="1" fillId="0" borderId="5" xfId="0" applyNumberFormat="1" applyFont="1" applyBorder="1"/>
    <xf numFmtId="0" fontId="1" fillId="0" borderId="7" xfId="0" applyFon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1" fillId="0" borderId="7" xfId="0" applyNumberFormat="1" applyFont="1" applyBorder="1" applyAlignment="1">
      <alignment horizontal="center"/>
    </xf>
    <xf numFmtId="4" fontId="1" fillId="2" borderId="5" xfId="0" applyNumberFormat="1" applyFont="1" applyFill="1" applyBorder="1"/>
    <xf numFmtId="4" fontId="0" fillId="0" borderId="28" xfId="0" applyNumberFormat="1" applyBorder="1"/>
    <xf numFmtId="4" fontId="0" fillId="0" borderId="31" xfId="0" applyNumberFormat="1" applyBorder="1"/>
    <xf numFmtId="4" fontId="0" fillId="0" borderId="13" xfId="0" applyNumberFormat="1" applyBorder="1"/>
    <xf numFmtId="0" fontId="0" fillId="0" borderId="26" xfId="0" applyBorder="1"/>
    <xf numFmtId="4" fontId="0" fillId="0" borderId="27" xfId="0" applyNumberFormat="1" applyBorder="1"/>
    <xf numFmtId="0" fontId="13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4" fontId="1" fillId="0" borderId="10" xfId="0" applyNumberFormat="1" applyFont="1" applyBorder="1" applyAlignment="1">
      <alignment vertical="center"/>
    </xf>
    <xf numFmtId="4" fontId="1" fillId="0" borderId="8" xfId="0" applyNumberFormat="1" applyFont="1" applyBorder="1" applyAlignment="1">
      <alignment vertical="center"/>
    </xf>
    <xf numFmtId="0" fontId="0" fillId="0" borderId="24" xfId="0" applyBorder="1" applyAlignment="1">
      <alignment horizontal="center"/>
    </xf>
    <xf numFmtId="4" fontId="0" fillId="0" borderId="32" xfId="0" applyNumberFormat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1" fillId="0" borderId="27" xfId="0" applyNumberFormat="1" applyFont="1" applyBorder="1" applyAlignment="1">
      <alignment horizontal="right"/>
    </xf>
    <xf numFmtId="4" fontId="0" fillId="2" borderId="5" xfId="0" applyNumberFormat="1" applyFill="1" applyBorder="1"/>
    <xf numFmtId="14" fontId="1" fillId="0" borderId="0" xfId="0" applyNumberFormat="1" applyFont="1"/>
    <xf numFmtId="1" fontId="7" fillId="0" borderId="0" xfId="0" applyNumberFormat="1" applyFont="1"/>
    <xf numFmtId="0" fontId="5" fillId="0" borderId="28" xfId="0" applyFont="1" applyBorder="1" applyAlignment="1">
      <alignment horizontal="center" vertical="distributed"/>
    </xf>
    <xf numFmtId="2" fontId="1" fillId="0" borderId="0" xfId="0" applyNumberFormat="1" applyFont="1"/>
    <xf numFmtId="2" fontId="0" fillId="0" borderId="27" xfId="0" applyNumberFormat="1" applyBorder="1"/>
    <xf numFmtId="0" fontId="14" fillId="0" borderId="9" xfId="0" applyFont="1" applyBorder="1"/>
    <xf numFmtId="0" fontId="1" fillId="0" borderId="10" xfId="0" applyFont="1" applyBorder="1"/>
    <xf numFmtId="0" fontId="1" fillId="0" borderId="8" xfId="0" applyFont="1" applyBorder="1"/>
    <xf numFmtId="0" fontId="14" fillId="0" borderId="4" xfId="0" applyFont="1" applyBorder="1"/>
    <xf numFmtId="0" fontId="1" fillId="0" borderId="33" xfId="0" applyFont="1" applyBorder="1"/>
    <xf numFmtId="0" fontId="1" fillId="0" borderId="34" xfId="0" applyFont="1" applyBorder="1"/>
    <xf numFmtId="0" fontId="16" fillId="0" borderId="1" xfId="1" applyFont="1" applyBorder="1" applyAlignment="1" applyProtection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distributed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35" xfId="0" applyFont="1" applyFill="1" applyBorder="1"/>
    <xf numFmtId="0" fontId="4" fillId="3" borderId="19" xfId="0" applyFont="1" applyFill="1" applyBorder="1"/>
    <xf numFmtId="0" fontId="1" fillId="3" borderId="3" xfId="0" applyFont="1" applyFill="1" applyBorder="1"/>
    <xf numFmtId="0" fontId="4" fillId="3" borderId="0" xfId="0" applyFont="1" applyFill="1"/>
    <xf numFmtId="0" fontId="4" fillId="3" borderId="21" xfId="0" applyFont="1" applyFill="1" applyBorder="1"/>
    <xf numFmtId="0" fontId="1" fillId="3" borderId="33" xfId="0" applyFont="1" applyFill="1" applyBorder="1" applyAlignment="1">
      <alignment horizontal="left" vertical="center" wrapText="1"/>
    </xf>
    <xf numFmtId="0" fontId="1" fillId="3" borderId="34" xfId="0" applyFont="1" applyFill="1" applyBorder="1" applyAlignment="1">
      <alignment horizontal="left" vertical="center" wrapText="1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left"/>
    </xf>
    <xf numFmtId="0" fontId="1" fillId="3" borderId="10" xfId="0" applyFont="1" applyFill="1" applyBorder="1"/>
    <xf numFmtId="0" fontId="1" fillId="3" borderId="8" xfId="0" applyFont="1" applyFill="1" applyBorder="1"/>
    <xf numFmtId="0" fontId="1" fillId="3" borderId="0" xfId="0" applyFont="1" applyFill="1"/>
    <xf numFmtId="0" fontId="1" fillId="3" borderId="21" xfId="0" applyFont="1" applyFill="1" applyBorder="1"/>
    <xf numFmtId="0" fontId="2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0" fontId="1" fillId="6" borderId="35" xfId="0" applyFont="1" applyFill="1" applyBorder="1"/>
    <xf numFmtId="0" fontId="1" fillId="6" borderId="2" xfId="0" applyFont="1" applyFill="1" applyBorder="1"/>
    <xf numFmtId="10" fontId="1" fillId="6" borderId="2" xfId="0" applyNumberFormat="1" applyFont="1" applyFill="1" applyBorder="1"/>
    <xf numFmtId="0" fontId="0" fillId="6" borderId="2" xfId="0" applyFill="1" applyBorder="1"/>
    <xf numFmtId="0" fontId="0" fillId="6" borderId="19" xfId="0" applyFill="1" applyBorder="1"/>
    <xf numFmtId="0" fontId="21" fillId="7" borderId="11" xfId="0" applyFont="1" applyFill="1" applyBorder="1"/>
    <xf numFmtId="8" fontId="22" fillId="7" borderId="11" xfId="0" applyNumberFormat="1" applyFont="1" applyFill="1" applyBorder="1"/>
    <xf numFmtId="44" fontId="23" fillId="7" borderId="36" xfId="2" applyFont="1" applyFill="1" applyBorder="1"/>
    <xf numFmtId="0" fontId="0" fillId="2" borderId="37" xfId="0" applyFill="1" applyBorder="1" applyAlignment="1">
      <alignment horizontal="left" vertical="center" wrapText="1"/>
    </xf>
    <xf numFmtId="0" fontId="0" fillId="2" borderId="38" xfId="0" applyFill="1" applyBorder="1" applyAlignment="1">
      <alignment horizontal="left" vertical="center" wrapText="1"/>
    </xf>
    <xf numFmtId="0" fontId="0" fillId="2" borderId="11" xfId="0" applyFill="1" applyBorder="1"/>
    <xf numFmtId="8" fontId="19" fillId="2" borderId="11" xfId="0" applyNumberFormat="1" applyFont="1" applyFill="1" applyBorder="1" applyAlignment="1">
      <alignment horizontal="right"/>
    </xf>
    <xf numFmtId="0" fontId="0" fillId="2" borderId="0" xfId="0" applyFill="1"/>
    <xf numFmtId="8" fontId="24" fillId="2" borderId="11" xfId="0" applyNumberFormat="1" applyFont="1" applyFill="1" applyBorder="1" applyAlignment="1">
      <alignment horizontal="right"/>
    </xf>
    <xf numFmtId="0" fontId="25" fillId="2" borderId="11" xfId="0" applyFont="1" applyFill="1" applyBorder="1"/>
    <xf numFmtId="0" fontId="1" fillId="7" borderId="11" xfId="0" applyFont="1" applyFill="1" applyBorder="1"/>
    <xf numFmtId="44" fontId="26" fillId="7" borderId="37" xfId="2" applyFont="1" applyFill="1" applyBorder="1"/>
    <xf numFmtId="8" fontId="4" fillId="7" borderId="11" xfId="2" applyNumberFormat="1" applyFont="1" applyFill="1" applyBorder="1"/>
    <xf numFmtId="44" fontId="26" fillId="7" borderId="11" xfId="2" applyFont="1" applyFill="1" applyBorder="1"/>
    <xf numFmtId="44" fontId="4" fillId="7" borderId="36" xfId="2" applyFont="1" applyFill="1" applyBorder="1"/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11" xfId="0" applyBorder="1" applyAlignment="1">
      <alignment vertical="center" wrapText="1"/>
    </xf>
    <xf numFmtId="44" fontId="6" fillId="2" borderId="11" xfId="2" applyFont="1" applyFill="1" applyBorder="1" applyAlignment="1">
      <alignment wrapText="1"/>
    </xf>
    <xf numFmtId="44" fontId="4" fillId="7" borderId="11" xfId="2" applyFont="1" applyFill="1" applyBorder="1"/>
    <xf numFmtId="0" fontId="0" fillId="7" borderId="11" xfId="0" applyFill="1" applyBorder="1"/>
    <xf numFmtId="44" fontId="24" fillId="7" borderId="11" xfId="2" applyFont="1" applyFill="1" applyBorder="1"/>
    <xf numFmtId="44" fontId="6" fillId="7" borderId="36" xfId="2" applyFont="1" applyFill="1" applyBorder="1"/>
    <xf numFmtId="0" fontId="0" fillId="0" borderId="11" xfId="0" applyBorder="1"/>
    <xf numFmtId="44" fontId="24" fillId="2" borderId="11" xfId="2" applyFont="1" applyFill="1" applyBorder="1"/>
    <xf numFmtId="44" fontId="19" fillId="2" borderId="11" xfId="2" applyFont="1" applyFill="1" applyBorder="1"/>
    <xf numFmtId="0" fontId="0" fillId="0" borderId="38" xfId="0" applyBorder="1"/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left" vertical="center" wrapText="1"/>
    </xf>
    <xf numFmtId="44" fontId="26" fillId="7" borderId="37" xfId="2" applyFont="1" applyFill="1" applyBorder="1" applyAlignment="1">
      <alignment horizontal="center"/>
    </xf>
    <xf numFmtId="44" fontId="4" fillId="7" borderId="7" xfId="2" applyFont="1" applyFill="1" applyBorder="1"/>
    <xf numFmtId="44" fontId="4" fillId="7" borderId="1" xfId="2" applyFont="1" applyFill="1" applyBorder="1"/>
    <xf numFmtId="0" fontId="27" fillId="0" borderId="11" xfId="2" applyNumberFormat="1" applyFont="1" applyBorder="1"/>
    <xf numFmtId="0" fontId="0" fillId="2" borderId="37" xfId="0" applyFill="1" applyBorder="1" applyAlignment="1">
      <alignment horizontal="left" vertical="center" wrapText="1"/>
    </xf>
    <xf numFmtId="0" fontId="0" fillId="2" borderId="38" xfId="0" applyFill="1" applyBorder="1" applyAlignment="1">
      <alignment horizontal="left" vertical="center" wrapText="1"/>
    </xf>
    <xf numFmtId="44" fontId="19" fillId="2" borderId="37" xfId="2" applyFont="1" applyFill="1" applyBorder="1"/>
    <xf numFmtId="44" fontId="24" fillId="2" borderId="37" xfId="2" applyFont="1" applyFill="1" applyBorder="1"/>
    <xf numFmtId="0" fontId="22" fillId="7" borderId="11" xfId="0" applyFont="1" applyFill="1" applyBorder="1"/>
    <xf numFmtId="44" fontId="6" fillId="0" borderId="11" xfId="2" applyFont="1" applyBorder="1" applyAlignment="1">
      <alignment wrapText="1"/>
    </xf>
    <xf numFmtId="8" fontId="24" fillId="2" borderId="37" xfId="0" applyNumberFormat="1" applyFont="1" applyFill="1" applyBorder="1" applyAlignment="1">
      <alignment horizontal="right"/>
    </xf>
    <xf numFmtId="0" fontId="1" fillId="7" borderId="11" xfId="0" applyFont="1" applyFill="1" applyBorder="1" applyAlignment="1">
      <alignment wrapText="1"/>
    </xf>
    <xf numFmtId="8" fontId="26" fillId="7" borderId="37" xfId="0" applyNumberFormat="1" applyFont="1" applyFill="1" applyBorder="1"/>
    <xf numFmtId="44" fontId="6" fillId="2" borderId="36" xfId="2" applyFont="1" applyFill="1" applyBorder="1"/>
    <xf numFmtId="44" fontId="6" fillId="2" borderId="11" xfId="2" applyFont="1" applyFill="1" applyBorder="1"/>
    <xf numFmtId="0" fontId="1" fillId="7" borderId="36" xfId="0" applyFont="1" applyFill="1" applyBorder="1"/>
    <xf numFmtId="8" fontId="26" fillId="7" borderId="39" xfId="0" applyNumberFormat="1" applyFont="1" applyFill="1" applyBorder="1"/>
    <xf numFmtId="44" fontId="28" fillId="7" borderId="11" xfId="2" applyFont="1" applyFill="1" applyBorder="1"/>
    <xf numFmtId="0" fontId="24" fillId="0" borderId="11" xfId="0" applyFont="1" applyBorder="1"/>
    <xf numFmtId="0" fontId="25" fillId="0" borderId="25" xfId="0" applyFont="1" applyBorder="1"/>
    <xf numFmtId="0" fontId="1" fillId="8" borderId="11" xfId="0" applyFont="1" applyFill="1" applyBorder="1"/>
    <xf numFmtId="0" fontId="26" fillId="8" borderId="37" xfId="0" applyFont="1" applyFill="1" applyBorder="1"/>
    <xf numFmtId="44" fontId="28" fillId="8" borderId="11" xfId="2" applyFont="1" applyFill="1" applyBorder="1"/>
    <xf numFmtId="0" fontId="0" fillId="0" borderId="3" xfId="0" applyBorder="1"/>
    <xf numFmtId="0" fontId="24" fillId="0" borderId="0" xfId="0" applyFont="1"/>
    <xf numFmtId="0" fontId="25" fillId="0" borderId="21" xfId="0" applyFont="1" applyBorder="1"/>
    <xf numFmtId="44" fontId="0" fillId="0" borderId="0" xfId="0" applyNumberFormat="1"/>
    <xf numFmtId="0" fontId="1" fillId="6" borderId="9" xfId="0" applyFont="1" applyFill="1" applyBorder="1"/>
    <xf numFmtId="10" fontId="1" fillId="6" borderId="10" xfId="0" applyNumberFormat="1" applyFont="1" applyFill="1" applyBorder="1"/>
    <xf numFmtId="0" fontId="1" fillId="6" borderId="10" xfId="0" applyFont="1" applyFill="1" applyBorder="1"/>
    <xf numFmtId="0" fontId="26" fillId="6" borderId="10" xfId="0" applyFont="1" applyFill="1" applyBorder="1"/>
    <xf numFmtId="44" fontId="28" fillId="6" borderId="8" xfId="0" applyNumberFormat="1" applyFont="1" applyFill="1" applyBorder="1"/>
    <xf numFmtId="43" fontId="0" fillId="0" borderId="0" xfId="0" applyNumberFormat="1"/>
    <xf numFmtId="167" fontId="0" fillId="2" borderId="0" xfId="2" applyNumberFormat="1" applyFont="1" applyFill="1" applyAlignment="1"/>
    <xf numFmtId="0" fontId="24" fillId="6" borderId="2" xfId="0" applyFont="1" applyFill="1" applyBorder="1"/>
    <xf numFmtId="0" fontId="24" fillId="6" borderId="19" xfId="0" applyFont="1" applyFill="1" applyBorder="1"/>
    <xf numFmtId="0" fontId="0" fillId="0" borderId="37" xfId="0" applyBorder="1" applyAlignment="1">
      <alignment horizontal="left" vertical="center" wrapText="1"/>
    </xf>
    <xf numFmtId="0" fontId="25" fillId="0" borderId="11" xfId="2" applyNumberFormat="1" applyFont="1" applyBorder="1" applyAlignment="1">
      <alignment horizontal="left"/>
    </xf>
    <xf numFmtId="0" fontId="0" fillId="0" borderId="40" xfId="0" applyBorder="1" applyAlignment="1">
      <alignment horizontal="left" vertical="center" wrapText="1"/>
    </xf>
    <xf numFmtId="0" fontId="1" fillId="7" borderId="0" xfId="0" applyFont="1" applyFill="1"/>
    <xf numFmtId="0" fontId="0" fillId="7" borderId="0" xfId="0" applyFill="1"/>
    <xf numFmtId="44" fontId="0" fillId="7" borderId="0" xfId="2" applyFont="1" applyFill="1"/>
    <xf numFmtId="0" fontId="1" fillId="8" borderId="37" xfId="0" applyFont="1" applyFill="1" applyBorder="1"/>
    <xf numFmtId="44" fontId="29" fillId="8" borderId="33" xfId="2" applyFont="1" applyFill="1" applyBorder="1" applyAlignment="1">
      <alignment vertical="center"/>
    </xf>
    <xf numFmtId="44" fontId="4" fillId="6" borderId="8" xfId="0" applyNumberFormat="1" applyFont="1" applyFill="1" applyBorder="1"/>
    <xf numFmtId="0" fontId="4" fillId="5" borderId="9" xfId="0" applyFont="1" applyFill="1" applyBorder="1"/>
    <xf numFmtId="44" fontId="4" fillId="5" borderId="8" xfId="0" applyNumberFormat="1" applyFont="1" applyFill="1" applyBorder="1"/>
    <xf numFmtId="44" fontId="0" fillId="0" borderId="0" xfId="2" applyFont="1"/>
    <xf numFmtId="4" fontId="4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18" fillId="9" borderId="24" xfId="0" applyFont="1" applyFill="1" applyBorder="1"/>
    <xf numFmtId="44" fontId="18" fillId="9" borderId="24" xfId="2" applyFont="1" applyFill="1" applyBorder="1"/>
    <xf numFmtId="44" fontId="0" fillId="0" borderId="0" xfId="0" applyNumberFormat="1" applyAlignment="1">
      <alignment wrapText="1"/>
    </xf>
    <xf numFmtId="44" fontId="0" fillId="0" borderId="11" xfId="0" applyNumberFormat="1" applyBorder="1" applyAlignment="1">
      <alignment vertical="center" wrapText="1"/>
    </xf>
    <xf numFmtId="44" fontId="0" fillId="0" borderId="11" xfId="2" applyFont="1" applyBorder="1" applyAlignment="1">
      <alignment vertical="center" wrapText="1"/>
    </xf>
    <xf numFmtId="0" fontId="24" fillId="0" borderId="11" xfId="0" applyFont="1" applyBorder="1" applyAlignment="1">
      <alignment horizontal="left" vertical="center" wrapText="1"/>
    </xf>
    <xf numFmtId="0" fontId="1" fillId="10" borderId="4" xfId="0" applyFont="1" applyFill="1" applyBorder="1" applyAlignment="1">
      <alignment horizontal="left" vertical="center" wrapText="1"/>
    </xf>
    <xf numFmtId="44" fontId="1" fillId="10" borderId="34" xfId="2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8" fillId="9" borderId="0" xfId="0" applyFont="1" applyFill="1" applyAlignment="1">
      <alignment horizontal="center" vertical="center"/>
    </xf>
    <xf numFmtId="0" fontId="6" fillId="0" borderId="11" xfId="0" applyFont="1" applyBorder="1" applyAlignment="1">
      <alignment vertical="center" wrapText="1"/>
    </xf>
    <xf numFmtId="44" fontId="0" fillId="0" borderId="11" xfId="2" applyFont="1" applyBorder="1"/>
    <xf numFmtId="44" fontId="6" fillId="0" borderId="11" xfId="2" applyFont="1" applyBorder="1" applyAlignment="1">
      <alignment vertical="center" wrapText="1"/>
    </xf>
    <xf numFmtId="44" fontId="0" fillId="0" borderId="0" xfId="2" applyFont="1" applyBorder="1"/>
    <xf numFmtId="0" fontId="18" fillId="9" borderId="0" xfId="0" applyFont="1" applyFill="1"/>
    <xf numFmtId="44" fontId="18" fillId="9" borderId="0" xfId="0" applyNumberFormat="1" applyFont="1" applyFill="1"/>
    <xf numFmtId="44" fontId="18" fillId="9" borderId="0" xfId="2" applyFont="1" applyFill="1"/>
    <xf numFmtId="0" fontId="0" fillId="0" borderId="22" xfId="0" applyBorder="1"/>
    <xf numFmtId="0" fontId="1" fillId="4" borderId="0" xfId="0" applyFont="1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168" fontId="1" fillId="3" borderId="0" xfId="0" applyNumberFormat="1" applyFont="1" applyFill="1" applyAlignment="1">
      <alignment horizontal="center"/>
    </xf>
    <xf numFmtId="167" fontId="0" fillId="3" borderId="0" xfId="2" applyNumberFormat="1" applyFont="1" applyFill="1" applyAlignment="1">
      <alignment horizontal="center"/>
    </xf>
    <xf numFmtId="44" fontId="0" fillId="3" borderId="0" xfId="2" applyFont="1" applyFill="1" applyAlignment="1"/>
    <xf numFmtId="8" fontId="0" fillId="0" borderId="0" xfId="0" applyNumberFormat="1"/>
    <xf numFmtId="169" fontId="0" fillId="3" borderId="0" xfId="0" applyNumberFormat="1" applyFill="1" applyAlignment="1">
      <alignment horizontal="center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1" fillId="3" borderId="33" xfId="0" applyFont="1" applyFill="1" applyBorder="1" applyAlignment="1">
      <alignment horizontal="left" vertical="center"/>
    </xf>
    <xf numFmtId="0" fontId="29" fillId="3" borderId="5" xfId="0" applyFont="1" applyFill="1" applyBorder="1" applyAlignment="1">
      <alignment horizontal="center" vertical="center"/>
    </xf>
    <xf numFmtId="0" fontId="29" fillId="3" borderId="5" xfId="0" applyFont="1" applyFill="1" applyBorder="1" applyAlignment="1">
      <alignment horizontal="center" vertical="center" wrapText="1"/>
    </xf>
    <xf numFmtId="0" fontId="30" fillId="3" borderId="5" xfId="0" applyFont="1" applyFill="1" applyBorder="1" applyAlignment="1">
      <alignment horizontal="center" vertical="center" wrapText="1"/>
    </xf>
    <xf numFmtId="0" fontId="29" fillId="3" borderId="35" xfId="0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horizontal="center" vertical="center" wrapText="1"/>
    </xf>
    <xf numFmtId="0" fontId="29" fillId="3" borderId="6" xfId="0" applyFont="1" applyFill="1" applyBorder="1" applyAlignment="1">
      <alignment horizontal="center" vertical="center"/>
    </xf>
    <xf numFmtId="0" fontId="29" fillId="3" borderId="41" xfId="0" applyFont="1" applyFill="1" applyBorder="1" applyAlignment="1">
      <alignment horizontal="center" vertical="center"/>
    </xf>
    <xf numFmtId="0" fontId="29" fillId="3" borderId="41" xfId="0" applyFont="1" applyFill="1" applyBorder="1" applyAlignment="1">
      <alignment horizontal="center" vertical="center" wrapText="1"/>
    </xf>
    <xf numFmtId="0" fontId="30" fillId="3" borderId="41" xfId="0" applyFont="1" applyFill="1" applyBorder="1" applyAlignment="1">
      <alignment horizontal="center" vertical="center" wrapText="1"/>
    </xf>
    <xf numFmtId="0" fontId="29" fillId="3" borderId="42" xfId="0" applyFont="1" applyFill="1" applyBorder="1" applyAlignment="1">
      <alignment horizontal="center" vertical="center" wrapText="1"/>
    </xf>
    <xf numFmtId="0" fontId="27" fillId="3" borderId="41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30" fillId="0" borderId="11" xfId="0" applyFont="1" applyBorder="1"/>
    <xf numFmtId="0" fontId="30" fillId="0" borderId="11" xfId="0" applyFont="1" applyBorder="1" applyAlignment="1">
      <alignment horizontal="center"/>
    </xf>
    <xf numFmtId="44" fontId="31" fillId="0" borderId="11" xfId="2" applyFont="1" applyBorder="1"/>
    <xf numFmtId="44" fontId="31" fillId="2" borderId="11" xfId="2" applyFont="1" applyFill="1" applyBorder="1"/>
    <xf numFmtId="170" fontId="30" fillId="0" borderId="11" xfId="0" applyNumberFormat="1" applyFont="1" applyBorder="1"/>
    <xf numFmtId="170" fontId="30" fillId="0" borderId="37" xfId="2" applyNumberFormat="1" applyFont="1" applyBorder="1"/>
    <xf numFmtId="44" fontId="31" fillId="0" borderId="14" xfId="2" applyFont="1" applyBorder="1"/>
    <xf numFmtId="44" fontId="31" fillId="0" borderId="43" xfId="2" applyFont="1" applyBorder="1"/>
    <xf numFmtId="0" fontId="30" fillId="0" borderId="11" xfId="0" applyFont="1" applyBorder="1" applyAlignment="1">
      <alignment wrapText="1"/>
    </xf>
    <xf numFmtId="0" fontId="32" fillId="0" borderId="11" xfId="0" applyFont="1" applyBorder="1"/>
    <xf numFmtId="0" fontId="30" fillId="0" borderId="38" xfId="0" applyFont="1" applyBorder="1"/>
    <xf numFmtId="44" fontId="31" fillId="0" borderId="24" xfId="2" applyFont="1" applyBorder="1"/>
    <xf numFmtId="0" fontId="30" fillId="0" borderId="11" xfId="0" applyFont="1" applyBorder="1" applyAlignment="1">
      <alignment vertical="center" wrapText="1"/>
    </xf>
    <xf numFmtId="44" fontId="31" fillId="2" borderId="24" xfId="2" applyFont="1" applyFill="1" applyBorder="1"/>
    <xf numFmtId="0" fontId="30" fillId="0" borderId="24" xfId="0" applyFont="1" applyBorder="1"/>
    <xf numFmtId="0" fontId="30" fillId="7" borderId="34" xfId="0" applyFont="1" applyFill="1" applyBorder="1"/>
    <xf numFmtId="0" fontId="30" fillId="7" borderId="1" xfId="0" applyFont="1" applyFill="1" applyBorder="1"/>
    <xf numFmtId="171" fontId="30" fillId="7" borderId="1" xfId="0" applyNumberFormat="1" applyFont="1" applyFill="1" applyBorder="1" applyAlignment="1">
      <alignment horizontal="center"/>
    </xf>
    <xf numFmtId="44" fontId="30" fillId="7" borderId="1" xfId="0" applyNumberFormat="1" applyFont="1" applyFill="1" applyBorder="1"/>
    <xf numFmtId="170" fontId="30" fillId="7" borderId="1" xfId="0" applyNumberFormat="1" applyFont="1" applyFill="1" applyBorder="1"/>
    <xf numFmtId="167" fontId="30" fillId="7" borderId="1" xfId="0" applyNumberFormat="1" applyFont="1" applyFill="1" applyBorder="1"/>
    <xf numFmtId="44" fontId="30" fillId="7" borderId="7" xfId="0" applyNumberFormat="1" applyFont="1" applyFill="1" applyBorder="1"/>
    <xf numFmtId="0" fontId="29" fillId="0" borderId="0" xfId="0" applyFont="1"/>
    <xf numFmtId="0" fontId="1" fillId="3" borderId="9" xfId="0" applyFont="1" applyFill="1" applyBorder="1" applyAlignment="1">
      <alignment horizontal="left" vertical="top" wrapText="1"/>
    </xf>
    <xf numFmtId="8" fontId="4" fillId="7" borderId="36" xfId="2" applyNumberFormat="1" applyFont="1" applyFill="1" applyBorder="1"/>
    <xf numFmtId="0" fontId="1" fillId="2" borderId="11" xfId="0" applyFont="1" applyFill="1" applyBorder="1"/>
    <xf numFmtId="8" fontId="4" fillId="2" borderId="36" xfId="2" applyNumberFormat="1" applyFont="1" applyFill="1" applyBorder="1"/>
    <xf numFmtId="44" fontId="4" fillId="7" borderId="11" xfId="2" applyNumberFormat="1" applyFont="1" applyFill="1" applyBorder="1"/>
    <xf numFmtId="0" fontId="0" fillId="2" borderId="11" xfId="0" applyFont="1" applyFill="1" applyBorder="1"/>
    <xf numFmtId="44" fontId="24" fillId="2" borderId="11" xfId="2" applyFont="1" applyFill="1" applyBorder="1" applyAlignment="1"/>
    <xf numFmtId="44" fontId="24" fillId="2" borderId="37" xfId="2" applyFont="1" applyFill="1" applyBorder="1" applyAlignment="1"/>
    <xf numFmtId="44" fontId="1" fillId="7" borderId="0" xfId="2" applyFont="1" applyFill="1"/>
    <xf numFmtId="167" fontId="1" fillId="3" borderId="0" xfId="2" applyNumberFormat="1" applyFont="1" applyFill="1" applyAlignment="1">
      <alignment horizontal="center"/>
    </xf>
    <xf numFmtId="0" fontId="4" fillId="3" borderId="2" xfId="0" applyFont="1" applyFill="1" applyBorder="1" applyAlignment="1">
      <alignment horizontal="left" wrapText="1"/>
    </xf>
    <xf numFmtId="44" fontId="24" fillId="0" borderId="11" xfId="2" applyFont="1" applyBorder="1" applyAlignment="1">
      <alignment horizontal="left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</xdr:colOff>
      <xdr:row>0</xdr:row>
      <xdr:rowOff>70485</xdr:rowOff>
    </xdr:from>
    <xdr:to>
      <xdr:col>0</xdr:col>
      <xdr:colOff>2232660</xdr:colOff>
      <xdr:row>2</xdr:row>
      <xdr:rowOff>552450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845E093B-FBED-491B-B562-4A0EE6BB89D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" y="70485"/>
          <a:ext cx="2162175" cy="10610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stema\Desktop\rc-consorcio2025\SALTA%201167\Diciembre\SALTA1167-Diciembre.xlsx" TargetMode="External"/><Relationship Id="rId1" Type="http://schemas.openxmlformats.org/officeDocument/2006/relationships/externalLinkPath" Target="/Users/Sistema/Desktop/rc-consorcio2025/SALTA%201167/Diciembre/SALTA1167-Dici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RORRATEO"/>
      <sheetName val="EDESUR"/>
    </sheetNames>
    <sheetDataSet>
      <sheetData sheetId="0">
        <row r="8">
          <cell r="B8" t="str">
            <v>VTO 15/01</v>
          </cell>
        </row>
        <row r="13">
          <cell r="A13" t="str">
    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    </cell>
        </row>
      </sheetData>
      <sheetData sheetId="1">
        <row r="34">
          <cell r="G34">
            <v>2038799.4999999998</v>
          </cell>
        </row>
      </sheetData>
      <sheetData sheetId="2">
        <row r="5">
          <cell r="I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rias.mirta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25D-5161-4141-BE0B-6E37A2A76CA5}">
  <dimension ref="A1:M103"/>
  <sheetViews>
    <sheetView topLeftCell="A71" workbookViewId="0">
      <selection activeCell="B88" sqref="B88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6640625" customWidth="1"/>
    <col min="6" max="6" width="13" bestFit="1" customWidth="1"/>
    <col min="7" max="7" width="14.5546875" bestFit="1" customWidth="1"/>
    <col min="8" max="8" width="12" bestFit="1" customWidth="1"/>
    <col min="11" max="11" width="18" customWidth="1"/>
    <col min="12" max="12" width="18.33203125" customWidth="1"/>
  </cols>
  <sheetData>
    <row r="1" spans="1:5" ht="31.2" customHeight="1" x14ac:dyDescent="0.3">
      <c r="A1" s="152"/>
      <c r="B1" s="328" t="s">
        <v>350</v>
      </c>
      <c r="C1" s="328"/>
      <c r="D1" s="328"/>
      <c r="E1" s="153"/>
    </row>
    <row r="2" spans="1:5" x14ac:dyDescent="0.3">
      <c r="A2" s="154"/>
      <c r="B2" s="155" t="s">
        <v>349</v>
      </c>
      <c r="C2" s="155"/>
      <c r="D2" s="155"/>
      <c r="E2" s="156"/>
    </row>
    <row r="3" spans="1:5" ht="51.6" customHeight="1" thickBot="1" x14ac:dyDescent="0.35">
      <c r="A3" s="154"/>
      <c r="B3" s="157" t="s">
        <v>351</v>
      </c>
      <c r="C3" s="157"/>
      <c r="D3" s="157"/>
      <c r="E3" s="158"/>
    </row>
    <row r="4" spans="1:5" ht="15" thickBot="1" x14ac:dyDescent="0.35">
      <c r="A4" s="159" t="s">
        <v>282</v>
      </c>
      <c r="B4" s="160" t="s">
        <v>283</v>
      </c>
      <c r="C4" s="161"/>
      <c r="D4" s="161"/>
      <c r="E4" s="162"/>
    </row>
    <row r="5" spans="1:5" ht="15" thickBot="1" x14ac:dyDescent="0.35">
      <c r="A5" s="154" t="s">
        <v>284</v>
      </c>
      <c r="B5" s="161" t="s">
        <v>285</v>
      </c>
      <c r="C5" s="163"/>
      <c r="D5" s="155" t="s">
        <v>286</v>
      </c>
      <c r="E5" s="164"/>
    </row>
    <row r="6" spans="1:5" ht="16.2" customHeight="1" thickBot="1" x14ac:dyDescent="0.35">
      <c r="A6" s="318" t="s">
        <v>330</v>
      </c>
      <c r="B6" s="161"/>
      <c r="C6" s="161"/>
      <c r="D6" s="161" t="s">
        <v>287</v>
      </c>
      <c r="E6" s="162"/>
    </row>
    <row r="8" spans="1:5" x14ac:dyDescent="0.3">
      <c r="B8" s="165" t="s">
        <v>288</v>
      </c>
      <c r="C8" s="165"/>
    </row>
    <row r="9" spans="1:5" x14ac:dyDescent="0.3">
      <c r="B9" s="165"/>
      <c r="C9" s="165"/>
    </row>
    <row r="10" spans="1:5" x14ac:dyDescent="0.3">
      <c r="B10" s="165"/>
      <c r="C10" s="165"/>
    </row>
    <row r="12" spans="1:5" hidden="1" x14ac:dyDescent="0.3"/>
    <row r="13" spans="1:5" ht="15" customHeight="1" x14ac:dyDescent="0.3">
      <c r="A13" s="166" t="s">
        <v>289</v>
      </c>
      <c r="B13" s="166"/>
      <c r="C13" s="166"/>
      <c r="D13" s="166"/>
      <c r="E13" s="166"/>
    </row>
    <row r="14" spans="1:5" ht="15" customHeight="1" x14ac:dyDescent="0.3">
      <c r="A14" s="166"/>
      <c r="B14" s="166"/>
      <c r="C14" s="166"/>
      <c r="D14" s="166"/>
      <c r="E14" s="166"/>
    </row>
    <row r="15" spans="1:5" ht="15" customHeight="1" x14ac:dyDescent="0.3">
      <c r="A15" s="166"/>
      <c r="B15" s="166"/>
      <c r="C15" s="166"/>
      <c r="D15" s="166"/>
      <c r="E15" s="166"/>
    </row>
    <row r="16" spans="1:5" ht="53.25" customHeight="1" x14ac:dyDescent="0.3">
      <c r="A16" s="166"/>
      <c r="B16" s="166"/>
      <c r="C16" s="166"/>
      <c r="D16" s="166"/>
      <c r="E16" s="166"/>
    </row>
    <row r="17" spans="1:8" ht="14.25" customHeight="1" thickBot="1" x14ac:dyDescent="0.35"/>
    <row r="18" spans="1:8" ht="15" hidden="1" thickBot="1" x14ac:dyDescent="0.35">
      <c r="A18" s="9"/>
    </row>
    <row r="19" spans="1:8" ht="15" hidden="1" thickBot="1" x14ac:dyDescent="0.35"/>
    <row r="20" spans="1:8" x14ac:dyDescent="0.3">
      <c r="A20" s="167" t="s">
        <v>290</v>
      </c>
      <c r="B20" s="168"/>
      <c r="C20" s="169"/>
      <c r="D20" s="170"/>
      <c r="E20" s="171"/>
    </row>
    <row r="21" spans="1:8" x14ac:dyDescent="0.3">
      <c r="A21" s="172" t="s">
        <v>331</v>
      </c>
      <c r="B21" s="172"/>
      <c r="C21" s="172"/>
      <c r="D21" s="173"/>
      <c r="E21" s="174"/>
    </row>
    <row r="22" spans="1:8" ht="15" customHeight="1" x14ac:dyDescent="0.3">
      <c r="A22" s="175" t="s">
        <v>332</v>
      </c>
      <c r="B22" s="176"/>
      <c r="C22" s="177"/>
      <c r="D22" s="178"/>
      <c r="E22" s="210"/>
      <c r="H22" s="179"/>
    </row>
    <row r="23" spans="1:8" ht="15" customHeight="1" x14ac:dyDescent="0.3">
      <c r="A23" s="205" t="s">
        <v>333</v>
      </c>
      <c r="B23" s="206"/>
      <c r="C23" s="177"/>
      <c r="D23" s="178"/>
      <c r="E23" s="210"/>
      <c r="H23" s="179"/>
    </row>
    <row r="24" spans="1:8" ht="15" customHeight="1" x14ac:dyDescent="0.3">
      <c r="A24" s="175" t="s">
        <v>54</v>
      </c>
      <c r="B24" s="176"/>
      <c r="C24" s="177"/>
      <c r="D24" s="180"/>
      <c r="E24" s="181"/>
      <c r="H24" s="179"/>
    </row>
    <row r="25" spans="1:8" x14ac:dyDescent="0.3">
      <c r="A25" s="182" t="s">
        <v>291</v>
      </c>
      <c r="B25" s="182"/>
      <c r="C25" s="182"/>
      <c r="D25" s="183"/>
      <c r="E25" s="184">
        <f>SUM(D22:D24)</f>
        <v>0</v>
      </c>
    </row>
    <row r="26" spans="1:8" x14ac:dyDescent="0.3">
      <c r="A26" s="172" t="s">
        <v>334</v>
      </c>
      <c r="B26" s="182"/>
      <c r="C26" s="182"/>
      <c r="D26" s="183"/>
      <c r="E26" s="319"/>
    </row>
    <row r="27" spans="1:8" x14ac:dyDescent="0.3">
      <c r="A27" s="323" t="s">
        <v>336</v>
      </c>
      <c r="B27" s="320"/>
      <c r="C27" s="320"/>
      <c r="D27" s="208">
        <v>0</v>
      </c>
      <c r="E27" s="321"/>
    </row>
    <row r="28" spans="1:8" x14ac:dyDescent="0.3">
      <c r="A28" s="323" t="s">
        <v>337</v>
      </c>
      <c r="B28" s="320"/>
      <c r="C28" s="320"/>
      <c r="D28" s="208">
        <v>0</v>
      </c>
      <c r="E28" s="321"/>
    </row>
    <row r="29" spans="1:8" x14ac:dyDescent="0.3">
      <c r="A29" s="323" t="s">
        <v>339</v>
      </c>
      <c r="B29" s="320"/>
      <c r="C29" s="320"/>
      <c r="D29" s="208">
        <v>0</v>
      </c>
      <c r="E29" s="321"/>
    </row>
    <row r="30" spans="1:8" x14ac:dyDescent="0.3">
      <c r="A30" s="323" t="s">
        <v>338</v>
      </c>
      <c r="B30" s="320"/>
      <c r="C30" s="320"/>
      <c r="D30" s="208">
        <v>1000</v>
      </c>
      <c r="E30" s="321"/>
    </row>
    <row r="31" spans="1:8" x14ac:dyDescent="0.3">
      <c r="A31" s="182" t="s">
        <v>335</v>
      </c>
      <c r="B31" s="182"/>
      <c r="C31" s="182"/>
      <c r="D31" s="183"/>
      <c r="E31" s="322">
        <f>SUM(D27:D30)</f>
        <v>1000</v>
      </c>
    </row>
    <row r="32" spans="1:8" x14ac:dyDescent="0.3">
      <c r="A32" s="172" t="s">
        <v>292</v>
      </c>
      <c r="B32" s="182"/>
      <c r="C32" s="182"/>
      <c r="D32" s="185"/>
      <c r="E32" s="186"/>
    </row>
    <row r="33" spans="1:5" ht="38.25" customHeight="1" x14ac:dyDescent="0.3">
      <c r="A33" s="187" t="s">
        <v>342</v>
      </c>
      <c r="B33" s="188"/>
      <c r="C33" s="189"/>
      <c r="D33" s="324">
        <v>243302</v>
      </c>
      <c r="E33" s="190"/>
    </row>
    <row r="34" spans="1:5" ht="38.25" customHeight="1" x14ac:dyDescent="0.3">
      <c r="A34" s="187" t="s">
        <v>343</v>
      </c>
      <c r="B34" s="188"/>
      <c r="C34" s="189"/>
      <c r="D34" s="325">
        <v>2213</v>
      </c>
      <c r="E34" s="190"/>
    </row>
    <row r="35" spans="1:5" ht="38.25" customHeight="1" x14ac:dyDescent="0.3">
      <c r="A35" s="237" t="s">
        <v>340</v>
      </c>
      <c r="B35" s="200"/>
      <c r="C35" s="189"/>
      <c r="D35" s="325"/>
      <c r="E35" s="190"/>
    </row>
    <row r="36" spans="1:5" x14ac:dyDescent="0.3">
      <c r="A36" s="182" t="s">
        <v>293</v>
      </c>
      <c r="B36" s="182"/>
      <c r="C36" s="182"/>
      <c r="D36" s="183"/>
      <c r="E36" s="191">
        <f>SUM(D33:D35)</f>
        <v>245515</v>
      </c>
    </row>
    <row r="37" spans="1:5" x14ac:dyDescent="0.3">
      <c r="A37" s="172" t="s">
        <v>294</v>
      </c>
      <c r="B37" s="192"/>
      <c r="C37" s="192"/>
      <c r="D37" s="193"/>
      <c r="E37" s="194"/>
    </row>
    <row r="38" spans="1:5" ht="14.25" customHeight="1" x14ac:dyDescent="0.3">
      <c r="A38" s="195" t="s">
        <v>295</v>
      </c>
      <c r="B38" s="195"/>
      <c r="C38" s="195"/>
      <c r="D38" s="196">
        <v>0</v>
      </c>
      <c r="E38" s="181"/>
    </row>
    <row r="39" spans="1:5" x14ac:dyDescent="0.3">
      <c r="A39" s="195" t="s">
        <v>296</v>
      </c>
      <c r="B39" s="195"/>
      <c r="C39" s="195"/>
      <c r="D39" s="197"/>
      <c r="E39" s="181"/>
    </row>
    <row r="40" spans="1:5" x14ac:dyDescent="0.3">
      <c r="A40" s="195" t="s">
        <v>296</v>
      </c>
      <c r="B40" s="198"/>
      <c r="C40" s="195"/>
      <c r="D40" s="197"/>
      <c r="E40" s="181"/>
    </row>
    <row r="41" spans="1:5" x14ac:dyDescent="0.3">
      <c r="A41" s="187" t="s">
        <v>297</v>
      </c>
      <c r="B41" s="188"/>
      <c r="C41" s="195"/>
      <c r="D41" s="197"/>
      <c r="E41" s="181"/>
    </row>
    <row r="42" spans="1:5" x14ac:dyDescent="0.3">
      <c r="A42" s="199" t="s">
        <v>298</v>
      </c>
      <c r="B42" s="200"/>
      <c r="C42" s="195"/>
      <c r="D42" s="196"/>
      <c r="E42" s="181"/>
    </row>
    <row r="43" spans="1:5" ht="15" thickBot="1" x14ac:dyDescent="0.35">
      <c r="A43" s="182" t="s">
        <v>299</v>
      </c>
      <c r="B43" s="182"/>
      <c r="C43" s="182"/>
      <c r="D43" s="201"/>
      <c r="E43" s="202">
        <f>SUM(D38:D42)</f>
        <v>0</v>
      </c>
    </row>
    <row r="44" spans="1:5" ht="15" customHeight="1" thickBot="1" x14ac:dyDescent="0.35">
      <c r="A44" s="172"/>
      <c r="B44" s="182"/>
      <c r="C44" s="182"/>
      <c r="D44" s="183"/>
      <c r="E44" s="203"/>
    </row>
    <row r="45" spans="1:5" ht="31.5" customHeight="1" x14ac:dyDescent="0.3">
      <c r="A45" s="175" t="s">
        <v>341</v>
      </c>
      <c r="B45" s="176"/>
      <c r="C45" s="195"/>
      <c r="D45" s="196"/>
      <c r="E45" s="204"/>
    </row>
    <row r="46" spans="1:5" ht="31.5" customHeight="1" x14ac:dyDescent="0.3">
      <c r="A46" s="175" t="s">
        <v>71</v>
      </c>
      <c r="B46" s="176"/>
      <c r="C46" s="195"/>
      <c r="D46" s="196"/>
      <c r="E46" s="204"/>
    </row>
    <row r="47" spans="1:5" ht="31.5" customHeight="1" x14ac:dyDescent="0.3">
      <c r="A47" s="175"/>
      <c r="B47" s="176"/>
      <c r="C47" s="195"/>
      <c r="D47" s="196"/>
      <c r="E47" s="204"/>
    </row>
    <row r="48" spans="1:5" ht="31.5" customHeight="1" x14ac:dyDescent="0.3">
      <c r="A48" s="205"/>
      <c r="B48" s="206"/>
      <c r="C48" s="195"/>
      <c r="D48" s="207"/>
      <c r="E48" s="204"/>
    </row>
    <row r="49" spans="1:7" ht="31.5" customHeight="1" x14ac:dyDescent="0.3">
      <c r="A49" s="175"/>
      <c r="B49" s="176"/>
      <c r="C49" s="195"/>
      <c r="D49" s="207"/>
      <c r="E49" s="204"/>
    </row>
    <row r="50" spans="1:7" ht="19.5" customHeight="1" x14ac:dyDescent="0.3">
      <c r="A50" s="175"/>
      <c r="B50" s="176"/>
      <c r="C50" s="195"/>
      <c r="D50" s="208"/>
      <c r="E50" s="204"/>
    </row>
    <row r="51" spans="1:7" x14ac:dyDescent="0.3">
      <c r="A51" s="182" t="s">
        <v>5</v>
      </c>
      <c r="B51" s="172"/>
      <c r="C51" s="172"/>
      <c r="D51" s="209"/>
      <c r="E51" s="191">
        <f>SUM(D45:D50)</f>
        <v>0</v>
      </c>
    </row>
    <row r="52" spans="1:7" x14ac:dyDescent="0.3">
      <c r="A52" s="172" t="s">
        <v>300</v>
      </c>
      <c r="B52" s="172"/>
      <c r="C52" s="172"/>
      <c r="D52" s="173"/>
      <c r="E52" s="174"/>
    </row>
    <row r="53" spans="1:7" ht="15.75" customHeight="1" x14ac:dyDescent="0.3">
      <c r="A53" s="175" t="s">
        <v>301</v>
      </c>
      <c r="B53" s="176"/>
      <c r="C53" s="177"/>
      <c r="D53" s="180"/>
      <c r="E53" s="210"/>
    </row>
    <row r="54" spans="1:7" ht="15.75" customHeight="1" x14ac:dyDescent="0.3">
      <c r="A54" s="205" t="s">
        <v>344</v>
      </c>
      <c r="B54" s="206"/>
      <c r="C54" s="177"/>
      <c r="D54" s="211"/>
      <c r="E54" s="210"/>
    </row>
    <row r="55" spans="1:7" x14ac:dyDescent="0.3">
      <c r="A55" s="182" t="s">
        <v>291</v>
      </c>
      <c r="B55" s="182"/>
      <c r="C55" s="182"/>
      <c r="D55" s="183"/>
      <c r="E55" s="184">
        <f>SUM(D53:D54)</f>
        <v>0</v>
      </c>
    </row>
    <row r="56" spans="1:7" x14ac:dyDescent="0.3">
      <c r="A56" s="172" t="s">
        <v>302</v>
      </c>
      <c r="B56" s="212"/>
      <c r="C56" s="182"/>
      <c r="D56" s="213"/>
      <c r="E56" s="191"/>
    </row>
    <row r="57" spans="1:7" x14ac:dyDescent="0.3">
      <c r="A57" s="195" t="s">
        <v>303</v>
      </c>
      <c r="B57" s="195"/>
      <c r="C57" s="195"/>
      <c r="D57" s="196"/>
      <c r="E57" s="214"/>
    </row>
    <row r="58" spans="1:7" x14ac:dyDescent="0.3">
      <c r="A58" s="195" t="s">
        <v>304</v>
      </c>
      <c r="B58" s="195"/>
      <c r="C58" s="195"/>
      <c r="D58" s="196"/>
      <c r="E58" s="215"/>
    </row>
    <row r="59" spans="1:7" x14ac:dyDescent="0.3">
      <c r="A59" s="216" t="s">
        <v>291</v>
      </c>
      <c r="B59" s="216"/>
      <c r="C59" s="216"/>
      <c r="D59" s="217"/>
      <c r="E59" s="218">
        <f>SUM(D57:D58)</f>
        <v>0</v>
      </c>
    </row>
    <row r="60" spans="1:7" x14ac:dyDescent="0.3">
      <c r="A60" s="195"/>
      <c r="B60" s="195"/>
      <c r="C60" s="195"/>
      <c r="D60" s="219"/>
      <c r="E60" s="220"/>
    </row>
    <row r="61" spans="1:7" x14ac:dyDescent="0.3">
      <c r="A61" s="221" t="s">
        <v>305</v>
      </c>
      <c r="B61" s="221"/>
      <c r="C61" s="221"/>
      <c r="D61" s="222"/>
      <c r="E61" s="223"/>
    </row>
    <row r="62" spans="1:7" ht="15" thickBot="1" x14ac:dyDescent="0.35">
      <c r="A62" s="224"/>
      <c r="D62" s="225"/>
      <c r="E62" s="226"/>
      <c r="F62" s="227"/>
    </row>
    <row r="63" spans="1:7" ht="15" thickBot="1" x14ac:dyDescent="0.35">
      <c r="A63" s="228" t="s">
        <v>306</v>
      </c>
      <c r="B63" s="229"/>
      <c r="C63" s="230"/>
      <c r="D63" s="231"/>
      <c r="E63" s="232">
        <f>(SUM(E21:E61))</f>
        <v>246515</v>
      </c>
      <c r="F63" s="233"/>
      <c r="G63" s="227"/>
    </row>
    <row r="64" spans="1:7" x14ac:dyDescent="0.3">
      <c r="D64" s="225"/>
      <c r="E64" s="225"/>
    </row>
    <row r="65" spans="1:8" ht="15" thickBot="1" x14ac:dyDescent="0.35">
      <c r="D65" s="225"/>
      <c r="E65" s="225"/>
      <c r="H65" s="234"/>
    </row>
    <row r="66" spans="1:8" x14ac:dyDescent="0.3">
      <c r="A66" s="167" t="s">
        <v>307</v>
      </c>
      <c r="B66" s="168"/>
      <c r="C66" s="169"/>
      <c r="D66" s="235"/>
      <c r="E66" s="236"/>
    </row>
    <row r="67" spans="1:8" ht="15" customHeight="1" x14ac:dyDescent="0.3">
      <c r="A67" s="237"/>
      <c r="B67" s="200"/>
      <c r="C67" s="195"/>
      <c r="D67" s="208">
        <v>10000</v>
      </c>
      <c r="E67" s="238"/>
    </row>
    <row r="68" spans="1:8" ht="15" customHeight="1" x14ac:dyDescent="0.3">
      <c r="A68" s="175"/>
      <c r="B68" s="176"/>
      <c r="C68" s="195"/>
      <c r="D68" s="208"/>
      <c r="E68" s="238"/>
    </row>
    <row r="69" spans="1:8" ht="15.75" customHeight="1" x14ac:dyDescent="0.3">
      <c r="D69" s="195"/>
      <c r="E69" s="195"/>
    </row>
    <row r="70" spans="1:8" x14ac:dyDescent="0.3">
      <c r="A70" s="237"/>
      <c r="B70" s="239"/>
      <c r="C70" s="195"/>
      <c r="D70" s="208"/>
      <c r="E70" s="238"/>
    </row>
    <row r="71" spans="1:8" x14ac:dyDescent="0.3">
      <c r="A71" s="240" t="s">
        <v>348</v>
      </c>
      <c r="B71" s="241"/>
      <c r="C71" s="241"/>
      <c r="D71" s="242"/>
      <c r="E71" s="326">
        <f>SUM(D67:D70)</f>
        <v>10000</v>
      </c>
    </row>
    <row r="72" spans="1:8" ht="15" customHeight="1" x14ac:dyDescent="0.3"/>
    <row r="73" spans="1:8" hidden="1" x14ac:dyDescent="0.3"/>
    <row r="74" spans="1:8" ht="15" thickBot="1" x14ac:dyDescent="0.35">
      <c r="A74" s="221" t="s">
        <v>308</v>
      </c>
      <c r="B74" s="221"/>
      <c r="C74" s="221"/>
      <c r="D74" s="243"/>
      <c r="E74" s="244"/>
    </row>
    <row r="75" spans="1:8" ht="15" thickBot="1" x14ac:dyDescent="0.35"/>
    <row r="76" spans="1:8" ht="15" thickBot="1" x14ac:dyDescent="0.35">
      <c r="A76" s="228" t="s">
        <v>309</v>
      </c>
      <c r="B76" s="229"/>
      <c r="C76" s="230"/>
      <c r="D76" s="230"/>
      <c r="E76" s="245">
        <f>E71+E74</f>
        <v>10000</v>
      </c>
    </row>
    <row r="77" spans="1:8" ht="15" thickBot="1" x14ac:dyDescent="0.35"/>
    <row r="78" spans="1:8" ht="15" thickBot="1" x14ac:dyDescent="0.35">
      <c r="A78" s="246" t="s">
        <v>310</v>
      </c>
      <c r="B78" s="247">
        <f>E63</f>
        <v>246515</v>
      </c>
    </row>
    <row r="79" spans="1:8" ht="15" thickBot="1" x14ac:dyDescent="0.35">
      <c r="A79" s="246" t="s">
        <v>311</v>
      </c>
      <c r="B79" s="247">
        <f>E63-E61</f>
        <v>246515</v>
      </c>
    </row>
    <row r="80" spans="1:8" ht="15" thickBot="1" x14ac:dyDescent="0.35">
      <c r="A80" s="246" t="s">
        <v>312</v>
      </c>
      <c r="B80" s="247">
        <f>E76-E74</f>
        <v>10000</v>
      </c>
    </row>
    <row r="81" spans="1:5" ht="15" thickBot="1" x14ac:dyDescent="0.35">
      <c r="A81" s="246" t="s">
        <v>313</v>
      </c>
      <c r="B81" s="247">
        <f>E76</f>
        <v>10000</v>
      </c>
    </row>
    <row r="83" spans="1:5" s="250" customFormat="1" x14ac:dyDescent="0.3">
      <c r="A83"/>
      <c r="B83" s="248"/>
      <c r="C83" s="249"/>
    </row>
    <row r="84" spans="1:5" s="250" customFormat="1" x14ac:dyDescent="0.3">
      <c r="A84" s="251" t="s">
        <v>345</v>
      </c>
      <c r="B84" s="252">
        <v>0</v>
      </c>
      <c r="C84" s="249"/>
      <c r="D84" s="253"/>
    </row>
    <row r="85" spans="1:5" x14ac:dyDescent="0.3">
      <c r="A85" s="189" t="s">
        <v>347</v>
      </c>
      <c r="B85" s="254">
        <f>-B79-B80</f>
        <v>-256515</v>
      </c>
    </row>
    <row r="86" spans="1:5" x14ac:dyDescent="0.3">
      <c r="A86" s="189" t="s">
        <v>314</v>
      </c>
      <c r="B86" s="254">
        <f>B98</f>
        <v>0</v>
      </c>
    </row>
    <row r="87" spans="1:5" x14ac:dyDescent="0.3">
      <c r="A87" s="189" t="s">
        <v>346</v>
      </c>
      <c r="B87" s="255">
        <f>PRORRATEO!F115</f>
        <v>0</v>
      </c>
    </row>
    <row r="88" spans="1:5" x14ac:dyDescent="0.3">
      <c r="A88" s="256" t="s">
        <v>315</v>
      </c>
      <c r="B88" s="329">
        <v>0</v>
      </c>
    </row>
    <row r="89" spans="1:5" ht="15" thickBot="1" x14ac:dyDescent="0.35">
      <c r="A89" s="257" t="s">
        <v>316</v>
      </c>
      <c r="B89" s="258">
        <f>SUM(B84:C88)</f>
        <v>-256515</v>
      </c>
    </row>
    <row r="90" spans="1:5" x14ac:dyDescent="0.3">
      <c r="A90" s="259"/>
      <c r="B90" s="259"/>
      <c r="D90" s="227"/>
      <c r="E90" s="248"/>
    </row>
    <row r="91" spans="1:5" x14ac:dyDescent="0.3">
      <c r="A91" s="259"/>
      <c r="B91" s="259"/>
    </row>
    <row r="92" spans="1:5" x14ac:dyDescent="0.3">
      <c r="A92" s="259"/>
      <c r="B92" s="259"/>
    </row>
    <row r="93" spans="1:5" ht="34.5" customHeight="1" x14ac:dyDescent="0.3"/>
    <row r="94" spans="1:5" x14ac:dyDescent="0.3">
      <c r="A94" s="260" t="s">
        <v>317</v>
      </c>
      <c r="B94" s="260"/>
      <c r="C94" s="260"/>
    </row>
    <row r="95" spans="1:5" x14ac:dyDescent="0.3">
      <c r="A95" s="260"/>
      <c r="B95" s="260"/>
      <c r="C95" s="260"/>
    </row>
    <row r="96" spans="1:5" ht="35.25" customHeight="1" x14ac:dyDescent="0.3">
      <c r="A96" s="261"/>
      <c r="B96" s="262"/>
      <c r="C96" s="262">
        <v>40000</v>
      </c>
      <c r="E96" s="233"/>
    </row>
    <row r="97" spans="1:13" ht="27" customHeight="1" x14ac:dyDescent="0.3">
      <c r="A97" s="261"/>
      <c r="B97" s="263"/>
      <c r="C97" s="264"/>
      <c r="D97" s="233"/>
    </row>
    <row r="98" spans="1:13" x14ac:dyDescent="0.3">
      <c r="A98" s="265" t="s">
        <v>5</v>
      </c>
      <c r="B98" s="266">
        <f>SUM(B96:B97)</f>
        <v>0</v>
      </c>
      <c r="C98" s="267"/>
    </row>
    <row r="99" spans="1:13" x14ac:dyDescent="0.3">
      <c r="M99" s="268"/>
    </row>
    <row r="100" spans="1:13" ht="15" customHeight="1" x14ac:dyDescent="0.3">
      <c r="A100" s="269"/>
      <c r="B100" s="269"/>
      <c r="C100" s="269"/>
      <c r="D100" s="269"/>
      <c r="E100" s="269"/>
    </row>
    <row r="101" spans="1:13" x14ac:dyDescent="0.3">
      <c r="A101" s="269"/>
      <c r="B101" s="269"/>
      <c r="C101" s="269"/>
      <c r="D101" s="269"/>
      <c r="E101" s="269"/>
    </row>
    <row r="102" spans="1:13" x14ac:dyDescent="0.3">
      <c r="A102" s="269"/>
      <c r="B102" s="269"/>
      <c r="C102" s="269"/>
      <c r="D102" s="269"/>
      <c r="E102" s="269"/>
    </row>
    <row r="103" spans="1:13" x14ac:dyDescent="0.3">
      <c r="A103" s="269"/>
      <c r="B103" s="269"/>
      <c r="C103" s="269"/>
      <c r="D103" s="269"/>
      <c r="E103" s="269"/>
    </row>
  </sheetData>
  <mergeCells count="18">
    <mergeCell ref="A53:B53"/>
    <mergeCell ref="A68:B68"/>
    <mergeCell ref="A94:C95"/>
    <mergeCell ref="A100:E103"/>
    <mergeCell ref="A34:B34"/>
    <mergeCell ref="B1:D1"/>
    <mergeCell ref="A41:B41"/>
    <mergeCell ref="A45:B45"/>
    <mergeCell ref="A46:B46"/>
    <mergeCell ref="A47:B47"/>
    <mergeCell ref="A49:B49"/>
    <mergeCell ref="A50:B50"/>
    <mergeCell ref="B3:E3"/>
    <mergeCell ref="B8:C10"/>
    <mergeCell ref="A13:E16"/>
    <mergeCell ref="A22:B22"/>
    <mergeCell ref="A24:B24"/>
    <mergeCell ref="A33:B33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B7A7-09F4-49CF-B824-70F15C1FF525}">
  <dimension ref="A1:M123"/>
  <sheetViews>
    <sheetView tabSelected="1" topLeftCell="A112" zoomScaleNormal="100" workbookViewId="0">
      <selection activeCell="I2" sqref="I1:I1048576"/>
    </sheetView>
  </sheetViews>
  <sheetFormatPr baseColWidth="10" defaultRowHeight="14.4" x14ac:dyDescent="0.3"/>
  <cols>
    <col min="1" max="1" width="4.33203125" customWidth="1"/>
    <col min="2" max="2" width="25.5546875" customWidth="1"/>
    <col min="3" max="3" width="0.109375" customWidth="1"/>
    <col min="4" max="4" width="8.44140625" customWidth="1"/>
    <col min="5" max="5" width="14.109375" customWidth="1"/>
    <col min="6" max="6" width="12.33203125" customWidth="1"/>
    <col min="7" max="7" width="10.5546875" customWidth="1"/>
    <col min="8" max="8" width="9.5546875" customWidth="1"/>
    <col min="9" max="9" width="12.44140625" customWidth="1"/>
    <col min="10" max="10" width="14.44140625" customWidth="1"/>
    <col min="11" max="11" width="14.6640625" customWidth="1"/>
    <col min="12" max="12" width="14.33203125" customWidth="1"/>
    <col min="13" max="13" width="7.21875" bestFit="1" customWidth="1"/>
    <col min="14" max="14" width="12" bestFit="1" customWidth="1"/>
    <col min="15" max="15" width="13" bestFit="1" customWidth="1"/>
  </cols>
  <sheetData>
    <row r="1" spans="1:13" ht="12.9" customHeight="1" x14ac:dyDescent="0.3">
      <c r="A1" s="270"/>
      <c r="B1" s="271"/>
      <c r="C1" s="271"/>
      <c r="D1" s="272"/>
      <c r="E1" s="272"/>
      <c r="F1" s="272"/>
      <c r="G1" s="272"/>
      <c r="H1" s="272"/>
      <c r="I1" s="272"/>
      <c r="J1" s="272"/>
      <c r="K1" s="272"/>
      <c r="L1" s="270"/>
    </row>
    <row r="2" spans="1:13" ht="12.9" customHeight="1" x14ac:dyDescent="0.3">
      <c r="A2" s="270"/>
      <c r="B2" s="271"/>
      <c r="C2" s="273"/>
      <c r="D2" s="273" t="s">
        <v>318</v>
      </c>
      <c r="E2" s="273"/>
      <c r="F2" s="274">
        <v>1000</v>
      </c>
      <c r="G2" s="273"/>
      <c r="H2" s="273"/>
      <c r="I2" s="273" t="s">
        <v>319</v>
      </c>
      <c r="J2" s="327">
        <v>2000000</v>
      </c>
      <c r="K2" s="275"/>
      <c r="L2" s="276"/>
      <c r="M2" s="277"/>
    </row>
    <row r="3" spans="1:13" ht="12.9" customHeight="1" x14ac:dyDescent="0.3">
      <c r="A3" s="270"/>
      <c r="B3" s="271"/>
      <c r="C3" s="271"/>
      <c r="D3" s="271"/>
      <c r="E3" s="271"/>
      <c r="F3" s="278"/>
      <c r="G3" s="271"/>
      <c r="H3" s="271"/>
      <c r="I3" s="271"/>
      <c r="J3" s="271"/>
      <c r="K3" s="275"/>
      <c r="L3" s="276"/>
      <c r="M3" s="277"/>
    </row>
    <row r="4" spans="1:13" ht="12.9" customHeight="1" x14ac:dyDescent="0.3">
      <c r="A4" s="279" t="s">
        <v>352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77"/>
    </row>
    <row r="5" spans="1:13" ht="12.9" customHeight="1" x14ac:dyDescent="0.3">
      <c r="A5" s="280"/>
      <c r="B5" s="280"/>
      <c r="C5" s="280"/>
      <c r="D5" s="280"/>
      <c r="E5" s="280"/>
      <c r="F5" s="280"/>
      <c r="G5" s="280"/>
      <c r="H5" s="280"/>
      <c r="I5" s="280"/>
      <c r="J5" s="280"/>
      <c r="K5" s="280"/>
      <c r="L5" s="280"/>
      <c r="M5" s="277"/>
    </row>
    <row r="6" spans="1:13" ht="12.9" customHeight="1" x14ac:dyDescent="0.3">
      <c r="A6" s="280"/>
      <c r="B6" s="280"/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77"/>
    </row>
    <row r="7" spans="1:13" ht="12.9" customHeight="1" x14ac:dyDescent="0.3">
      <c r="A7" s="280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77"/>
    </row>
    <row r="8" spans="1:13" ht="48" customHeight="1" thickBot="1" x14ac:dyDescent="0.35">
      <c r="A8" s="281"/>
      <c r="B8" s="281"/>
      <c r="C8" s="281"/>
      <c r="D8" s="281"/>
      <c r="E8" s="281"/>
      <c r="F8" s="281"/>
      <c r="G8" s="281"/>
      <c r="H8" s="281"/>
      <c r="I8" s="281"/>
      <c r="J8" s="281"/>
      <c r="K8" s="281"/>
      <c r="L8" s="281"/>
    </row>
    <row r="9" spans="1:13" x14ac:dyDescent="0.3">
      <c r="A9" s="282" t="s">
        <v>320</v>
      </c>
      <c r="B9" s="282" t="s">
        <v>321</v>
      </c>
      <c r="C9" s="282" t="s">
        <v>322</v>
      </c>
      <c r="D9" s="282" t="s">
        <v>323</v>
      </c>
      <c r="E9" s="283" t="s">
        <v>324</v>
      </c>
      <c r="F9" s="282" t="s">
        <v>325</v>
      </c>
      <c r="G9" s="284" t="s">
        <v>326</v>
      </c>
      <c r="H9" s="283" t="s">
        <v>327</v>
      </c>
      <c r="I9" s="283" t="s">
        <v>319</v>
      </c>
      <c r="J9" s="285" t="s">
        <v>318</v>
      </c>
      <c r="K9" s="286" t="s">
        <v>328</v>
      </c>
      <c r="L9" s="287" t="s">
        <v>329</v>
      </c>
    </row>
    <row r="10" spans="1:13" ht="15.75" customHeight="1" x14ac:dyDescent="0.3">
      <c r="A10" s="288"/>
      <c r="B10" s="288"/>
      <c r="C10" s="289"/>
      <c r="D10" s="288"/>
      <c r="E10" s="290"/>
      <c r="F10" s="288"/>
      <c r="G10" s="291"/>
      <c r="H10" s="290"/>
      <c r="I10" s="290"/>
      <c r="J10" s="292"/>
      <c r="K10" s="293" t="str">
        <f>[1]RESUMEN!B8</f>
        <v>VTO 15/01</v>
      </c>
      <c r="L10" s="294"/>
    </row>
    <row r="11" spans="1:13" ht="17.100000000000001" customHeight="1" x14ac:dyDescent="0.3">
      <c r="A11" s="295">
        <v>1</v>
      </c>
      <c r="B11" s="295" t="s">
        <v>126</v>
      </c>
      <c r="C11" s="295"/>
      <c r="D11" s="296">
        <v>1.37</v>
      </c>
      <c r="E11" s="297">
        <v>0</v>
      </c>
      <c r="F11" s="298">
        <v>0</v>
      </c>
      <c r="G11" s="299">
        <f t="shared" ref="G11:G74" si="0">E11-F11</f>
        <v>0</v>
      </c>
      <c r="H11" s="299">
        <f>IF(G11&gt;0,G11*3%,0)</f>
        <v>0</v>
      </c>
      <c r="I11" s="300">
        <f>J$2*D11/100</f>
        <v>27400</v>
      </c>
      <c r="J11" s="300">
        <f>F$2*D11/100</f>
        <v>13.7</v>
      </c>
      <c r="K11" s="301">
        <f>ROUND(SUM(G11:J11),0) + M11</f>
        <v>27414.01</v>
      </c>
      <c r="L11" s="302">
        <f>ROUND(K11*3%,0) + K11</f>
        <v>28236.01</v>
      </c>
      <c r="M11" s="227">
        <v>0.01</v>
      </c>
    </row>
    <row r="12" spans="1:13" ht="17.100000000000001" customHeight="1" x14ac:dyDescent="0.3">
      <c r="A12" s="295">
        <v>2</v>
      </c>
      <c r="B12" s="295" t="s">
        <v>127</v>
      </c>
      <c r="C12" s="303"/>
      <c r="D12" s="296">
        <v>1.18</v>
      </c>
      <c r="E12" s="297">
        <v>0</v>
      </c>
      <c r="F12" s="298">
        <v>0</v>
      </c>
      <c r="G12" s="299">
        <f t="shared" si="0"/>
        <v>0</v>
      </c>
      <c r="H12" s="299">
        <f t="shared" ref="H12:H75" si="1">IF(G12&gt;0,G12*3%,0)</f>
        <v>0</v>
      </c>
      <c r="I12" s="300">
        <f>J$2*D12/100</f>
        <v>23600</v>
      </c>
      <c r="J12" s="300">
        <f>F$2*D12/100</f>
        <v>11.8</v>
      </c>
      <c r="K12" s="301">
        <f>ROUND(SUM(G12:J12),0) + M12</f>
        <v>23612.02</v>
      </c>
      <c r="L12" s="302">
        <f>ROUND(K12*3%,0) + K12</f>
        <v>24320.02</v>
      </c>
      <c r="M12" s="227">
        <f>M11+0.01</f>
        <v>0.02</v>
      </c>
    </row>
    <row r="13" spans="1:13" ht="17.100000000000001" customHeight="1" x14ac:dyDescent="0.3">
      <c r="A13" s="295">
        <v>3</v>
      </c>
      <c r="B13" s="295" t="s">
        <v>128</v>
      </c>
      <c r="C13" s="303"/>
      <c r="D13" s="296">
        <v>0.74</v>
      </c>
      <c r="E13" s="297">
        <v>0</v>
      </c>
      <c r="F13" s="298">
        <v>0</v>
      </c>
      <c r="G13" s="299">
        <f t="shared" si="0"/>
        <v>0</v>
      </c>
      <c r="H13" s="299">
        <f t="shared" si="1"/>
        <v>0</v>
      </c>
      <c r="I13" s="300">
        <f>J$2*D13/100</f>
        <v>14800</v>
      </c>
      <c r="J13" s="300">
        <f>F$2*D13/100</f>
        <v>7.4</v>
      </c>
      <c r="K13" s="301">
        <f>ROUND(SUM(G13:J13),0) + M13</f>
        <v>14807.03</v>
      </c>
      <c r="L13" s="302">
        <f>ROUND(K13*3%,0) + K13</f>
        <v>15251.03</v>
      </c>
      <c r="M13" s="227">
        <f t="shared" ref="M13:M28" si="2">M12+0.01</f>
        <v>0.03</v>
      </c>
    </row>
    <row r="14" spans="1:13" ht="17.100000000000001" customHeight="1" x14ac:dyDescent="0.3">
      <c r="A14" s="295">
        <v>4</v>
      </c>
      <c r="B14" s="295" t="s">
        <v>129</v>
      </c>
      <c r="C14" s="303"/>
      <c r="D14" s="296">
        <v>1.47</v>
      </c>
      <c r="E14" s="297">
        <v>0</v>
      </c>
      <c r="F14" s="298">
        <v>0</v>
      </c>
      <c r="G14" s="299">
        <f t="shared" si="0"/>
        <v>0</v>
      </c>
      <c r="H14" s="299">
        <f t="shared" si="1"/>
        <v>0</v>
      </c>
      <c r="I14" s="300">
        <f>J$2*D14/100</f>
        <v>29400</v>
      </c>
      <c r="J14" s="300">
        <f>F$2*D14/100</f>
        <v>14.7</v>
      </c>
      <c r="K14" s="301">
        <f>ROUND(SUM(G14:J14),0) + M14</f>
        <v>29415.040000000001</v>
      </c>
      <c r="L14" s="302">
        <f>ROUND(K14*3%,0) + K14</f>
        <v>30297.040000000001</v>
      </c>
      <c r="M14" s="227">
        <f t="shared" si="2"/>
        <v>0.04</v>
      </c>
    </row>
    <row r="15" spans="1:13" ht="17.100000000000001" customHeight="1" x14ac:dyDescent="0.3">
      <c r="A15" s="295">
        <v>5</v>
      </c>
      <c r="B15" s="295" t="s">
        <v>130</v>
      </c>
      <c r="C15" s="295"/>
      <c r="D15" s="296">
        <v>1.1200000000000001</v>
      </c>
      <c r="E15" s="297">
        <v>0</v>
      </c>
      <c r="F15" s="298">
        <v>0</v>
      </c>
      <c r="G15" s="299">
        <f t="shared" si="0"/>
        <v>0</v>
      </c>
      <c r="H15" s="299">
        <f t="shared" si="1"/>
        <v>0</v>
      </c>
      <c r="I15" s="300">
        <f>J$2*D15/100</f>
        <v>22400</v>
      </c>
      <c r="J15" s="300">
        <f>F$2*D15/100</f>
        <v>11.2</v>
      </c>
      <c r="K15" s="301">
        <f>ROUND(SUM(G15:J15),0) + M15</f>
        <v>22411.05</v>
      </c>
      <c r="L15" s="302">
        <f>ROUND(K15*3%,0) + K15</f>
        <v>23083.05</v>
      </c>
      <c r="M15" s="227">
        <f t="shared" si="2"/>
        <v>0.05</v>
      </c>
    </row>
    <row r="16" spans="1:13" ht="17.100000000000001" customHeight="1" x14ac:dyDescent="0.3">
      <c r="A16" s="295">
        <v>6</v>
      </c>
      <c r="B16" s="295" t="s">
        <v>131</v>
      </c>
      <c r="C16" s="295"/>
      <c r="D16" s="296">
        <v>1.35</v>
      </c>
      <c r="E16" s="297">
        <v>0</v>
      </c>
      <c r="F16" s="298">
        <v>0</v>
      </c>
      <c r="G16" s="299">
        <f t="shared" si="0"/>
        <v>0</v>
      </c>
      <c r="H16" s="299">
        <f t="shared" si="1"/>
        <v>0</v>
      </c>
      <c r="I16" s="300">
        <f>J$2*D16/100</f>
        <v>27000</v>
      </c>
      <c r="J16" s="300">
        <f>F$2*D16/100</f>
        <v>13.5</v>
      </c>
      <c r="K16" s="301">
        <f>ROUND(SUM(G16:J16),0) + M16</f>
        <v>27014.06</v>
      </c>
      <c r="L16" s="302">
        <f>ROUND(K16*3%,0) + K16</f>
        <v>27824.06</v>
      </c>
      <c r="M16" s="227">
        <f t="shared" si="2"/>
        <v>6.0000000000000005E-2</v>
      </c>
    </row>
    <row r="17" spans="1:13" ht="17.100000000000001" customHeight="1" x14ac:dyDescent="0.3">
      <c r="A17" s="295">
        <v>7</v>
      </c>
      <c r="B17" s="295" t="s">
        <v>132</v>
      </c>
      <c r="C17" s="295"/>
      <c r="D17" s="296">
        <v>1.1200000000000001</v>
      </c>
      <c r="E17" s="297">
        <v>0</v>
      </c>
      <c r="F17" s="298">
        <v>0</v>
      </c>
      <c r="G17" s="299">
        <f t="shared" si="0"/>
        <v>0</v>
      </c>
      <c r="H17" s="299">
        <f t="shared" si="1"/>
        <v>0</v>
      </c>
      <c r="I17" s="300">
        <f>J$2*D17/100</f>
        <v>22400</v>
      </c>
      <c r="J17" s="300">
        <f>F$2*D17/100</f>
        <v>11.2</v>
      </c>
      <c r="K17" s="301">
        <f>ROUND(SUM(G17:J17),0) + M17</f>
        <v>22411.07</v>
      </c>
      <c r="L17" s="302">
        <f>ROUND(K17*3%,0) + K17</f>
        <v>23083.07</v>
      </c>
      <c r="M17" s="227">
        <f t="shared" si="2"/>
        <v>7.0000000000000007E-2</v>
      </c>
    </row>
    <row r="18" spans="1:13" ht="17.100000000000001" customHeight="1" x14ac:dyDescent="0.3">
      <c r="A18" s="295">
        <v>8</v>
      </c>
      <c r="B18" s="295" t="s">
        <v>133</v>
      </c>
      <c r="C18" s="303"/>
      <c r="D18" s="296">
        <v>0.82</v>
      </c>
      <c r="E18" s="297">
        <v>0</v>
      </c>
      <c r="F18" s="298">
        <v>0</v>
      </c>
      <c r="G18" s="299">
        <f t="shared" si="0"/>
        <v>0</v>
      </c>
      <c r="H18" s="299">
        <f t="shared" si="1"/>
        <v>0</v>
      </c>
      <c r="I18" s="300">
        <f>J$2*D18/100</f>
        <v>16400</v>
      </c>
      <c r="J18" s="300">
        <f>F$2*D18/100</f>
        <v>8.1999999999999993</v>
      </c>
      <c r="K18" s="301">
        <f>ROUND(SUM(G18:J18),0) + M18</f>
        <v>16408.080000000002</v>
      </c>
      <c r="L18" s="302">
        <f>ROUND(K18*3%,0) + K18</f>
        <v>16900.080000000002</v>
      </c>
      <c r="M18" s="227">
        <f t="shared" si="2"/>
        <v>0.08</v>
      </c>
    </row>
    <row r="19" spans="1:13" ht="17.100000000000001" customHeight="1" x14ac:dyDescent="0.3">
      <c r="A19" s="295">
        <v>9</v>
      </c>
      <c r="B19" s="295" t="s">
        <v>134</v>
      </c>
      <c r="C19" s="303"/>
      <c r="D19" s="296">
        <v>0.82</v>
      </c>
      <c r="E19" s="297">
        <v>0</v>
      </c>
      <c r="F19" s="298">
        <v>0</v>
      </c>
      <c r="G19" s="299">
        <f t="shared" si="0"/>
        <v>0</v>
      </c>
      <c r="H19" s="299">
        <f t="shared" si="1"/>
        <v>0</v>
      </c>
      <c r="I19" s="300">
        <f>J$2*D19/100</f>
        <v>16400</v>
      </c>
      <c r="J19" s="300">
        <f>F$2*D19/100</f>
        <v>8.1999999999999993</v>
      </c>
      <c r="K19" s="301">
        <f>ROUND(SUM(G19:J19),0) + M19</f>
        <v>16408.09</v>
      </c>
      <c r="L19" s="302">
        <f>ROUND(K19*3%,0) + K19</f>
        <v>16900.09</v>
      </c>
      <c r="M19" s="227">
        <f t="shared" si="2"/>
        <v>0.09</v>
      </c>
    </row>
    <row r="20" spans="1:13" ht="17.100000000000001" customHeight="1" x14ac:dyDescent="0.3">
      <c r="A20" s="295">
        <v>10</v>
      </c>
      <c r="B20" s="295" t="s">
        <v>135</v>
      </c>
      <c r="C20" s="303"/>
      <c r="D20" s="296">
        <v>1.34</v>
      </c>
      <c r="E20" s="297">
        <v>0</v>
      </c>
      <c r="F20" s="298">
        <v>0</v>
      </c>
      <c r="G20" s="299">
        <f t="shared" si="0"/>
        <v>0</v>
      </c>
      <c r="H20" s="299">
        <f t="shared" si="1"/>
        <v>0</v>
      </c>
      <c r="I20" s="300">
        <f>J$2*D20/100</f>
        <v>26800</v>
      </c>
      <c r="J20" s="300">
        <f>F$2*D20/100</f>
        <v>13.4</v>
      </c>
      <c r="K20" s="301">
        <f>ROUND(SUM(G20:J20),0) + M20</f>
        <v>26813.1</v>
      </c>
      <c r="L20" s="302">
        <f>ROUND(K20*3%,0) + K20</f>
        <v>27617.1</v>
      </c>
      <c r="M20" s="227">
        <f t="shared" si="2"/>
        <v>9.9999999999999992E-2</v>
      </c>
    </row>
    <row r="21" spans="1:13" ht="17.100000000000001" customHeight="1" x14ac:dyDescent="0.3">
      <c r="A21" s="295">
        <v>11</v>
      </c>
      <c r="B21" s="295" t="s">
        <v>136</v>
      </c>
      <c r="C21" s="303"/>
      <c r="D21" s="296">
        <v>1.1200000000000001</v>
      </c>
      <c r="E21" s="297">
        <v>0</v>
      </c>
      <c r="F21" s="298">
        <v>0</v>
      </c>
      <c r="G21" s="299">
        <f t="shared" si="0"/>
        <v>0</v>
      </c>
      <c r="H21" s="299">
        <f t="shared" si="1"/>
        <v>0</v>
      </c>
      <c r="I21" s="300">
        <f>J$2*D21/100</f>
        <v>22400</v>
      </c>
      <c r="J21" s="300">
        <f>F$2*D21/100</f>
        <v>11.2</v>
      </c>
      <c r="K21" s="301">
        <f>ROUND(SUM(G21:J21),0) + M21</f>
        <v>22411.11</v>
      </c>
      <c r="L21" s="302">
        <f>ROUND(K21*3%,0) + K21</f>
        <v>23083.11</v>
      </c>
      <c r="M21" s="227">
        <f t="shared" si="2"/>
        <v>0.10999999999999999</v>
      </c>
    </row>
    <row r="22" spans="1:13" ht="30" customHeight="1" x14ac:dyDescent="0.3">
      <c r="A22" s="295">
        <v>12</v>
      </c>
      <c r="B22" s="295" t="s">
        <v>137</v>
      </c>
      <c r="C22" s="303"/>
      <c r="D22" s="296">
        <v>1.17</v>
      </c>
      <c r="E22" s="297">
        <v>0</v>
      </c>
      <c r="F22" s="298">
        <v>0</v>
      </c>
      <c r="G22" s="299">
        <f t="shared" si="0"/>
        <v>0</v>
      </c>
      <c r="H22" s="299">
        <f t="shared" si="1"/>
        <v>0</v>
      </c>
      <c r="I22" s="300">
        <f>J$2*D22/100</f>
        <v>23400</v>
      </c>
      <c r="J22" s="300">
        <f>F$2*D22/100</f>
        <v>11.7</v>
      </c>
      <c r="K22" s="301">
        <f>ROUND(SUM(G22:J22),0) + M22</f>
        <v>23412.12</v>
      </c>
      <c r="L22" s="302">
        <f>ROUND(K22*3%,0) + K22</f>
        <v>24114.12</v>
      </c>
      <c r="M22" s="227">
        <f t="shared" si="2"/>
        <v>0.11999999999999998</v>
      </c>
    </row>
    <row r="23" spans="1:13" ht="17.100000000000001" customHeight="1" x14ac:dyDescent="0.3">
      <c r="A23" s="295">
        <v>13</v>
      </c>
      <c r="B23" s="295" t="s">
        <v>138</v>
      </c>
      <c r="C23" s="303"/>
      <c r="D23" s="296">
        <v>1.35</v>
      </c>
      <c r="E23" s="297">
        <v>0</v>
      </c>
      <c r="F23" s="298">
        <v>0</v>
      </c>
      <c r="G23" s="299">
        <f t="shared" si="0"/>
        <v>0</v>
      </c>
      <c r="H23" s="299">
        <f t="shared" si="1"/>
        <v>0</v>
      </c>
      <c r="I23" s="300">
        <f>J$2*D23/100</f>
        <v>27000</v>
      </c>
      <c r="J23" s="300">
        <f>F$2*D23/100</f>
        <v>13.5</v>
      </c>
      <c r="K23" s="301">
        <f>ROUND(SUM(G23:J23),0) + M23</f>
        <v>27014.13</v>
      </c>
      <c r="L23" s="302">
        <f>ROUND(K23*3%,0) + K23</f>
        <v>27824.13</v>
      </c>
      <c r="M23" s="227">
        <f t="shared" si="2"/>
        <v>0.12999999999999998</v>
      </c>
    </row>
    <row r="24" spans="1:13" ht="17.100000000000001" customHeight="1" x14ac:dyDescent="0.3">
      <c r="A24" s="295">
        <v>14</v>
      </c>
      <c r="B24" s="295" t="s">
        <v>139</v>
      </c>
      <c r="C24" s="303"/>
      <c r="D24" s="296">
        <v>1.1200000000000001</v>
      </c>
      <c r="E24" s="297">
        <v>0</v>
      </c>
      <c r="F24" s="298">
        <v>0</v>
      </c>
      <c r="G24" s="299">
        <f t="shared" si="0"/>
        <v>0</v>
      </c>
      <c r="H24" s="299">
        <f t="shared" si="1"/>
        <v>0</v>
      </c>
      <c r="I24" s="300">
        <f>J$2*D24/100</f>
        <v>22400</v>
      </c>
      <c r="J24" s="300">
        <f>F$2*D24/100</f>
        <v>11.2</v>
      </c>
      <c r="K24" s="301">
        <f>ROUND(SUM(G24:J24),0) + M24</f>
        <v>22411.14</v>
      </c>
      <c r="L24" s="302">
        <f>ROUND(K24*3%,0) + K24</f>
        <v>23083.14</v>
      </c>
      <c r="M24" s="227">
        <f t="shared" si="2"/>
        <v>0.13999999999999999</v>
      </c>
    </row>
    <row r="25" spans="1:13" ht="17.100000000000001" customHeight="1" x14ac:dyDescent="0.3">
      <c r="A25" s="295">
        <v>15</v>
      </c>
      <c r="B25" s="295" t="s">
        <v>140</v>
      </c>
      <c r="C25" s="303"/>
      <c r="D25" s="296">
        <v>0.82</v>
      </c>
      <c r="E25" s="297">
        <v>0</v>
      </c>
      <c r="F25" s="298">
        <v>0</v>
      </c>
      <c r="G25" s="299">
        <f t="shared" si="0"/>
        <v>0</v>
      </c>
      <c r="H25" s="299">
        <f t="shared" si="1"/>
        <v>0</v>
      </c>
      <c r="I25" s="300">
        <f>J$2*D25/100</f>
        <v>16400</v>
      </c>
      <c r="J25" s="300">
        <f>F$2*D25/100</f>
        <v>8.1999999999999993</v>
      </c>
      <c r="K25" s="301">
        <f>ROUND(SUM(G25:J25),0) + M25</f>
        <v>16408.150000000001</v>
      </c>
      <c r="L25" s="302">
        <f>ROUND(K25*3%,0) + K25</f>
        <v>16900.150000000001</v>
      </c>
      <c r="M25" s="227">
        <f t="shared" si="2"/>
        <v>0.15</v>
      </c>
    </row>
    <row r="26" spans="1:13" ht="17.100000000000001" customHeight="1" x14ac:dyDescent="0.3">
      <c r="A26" s="295">
        <v>16</v>
      </c>
      <c r="B26" s="295" t="s">
        <v>141</v>
      </c>
      <c r="C26" s="295"/>
      <c r="D26" s="296">
        <v>0.82</v>
      </c>
      <c r="E26" s="297">
        <v>0</v>
      </c>
      <c r="F26" s="298">
        <v>0</v>
      </c>
      <c r="G26" s="299">
        <f t="shared" si="0"/>
        <v>0</v>
      </c>
      <c r="H26" s="299">
        <f t="shared" si="1"/>
        <v>0</v>
      </c>
      <c r="I26" s="300">
        <f>J$2*D26/100</f>
        <v>16400</v>
      </c>
      <c r="J26" s="300">
        <f>F$2*D26/100</f>
        <v>8.1999999999999993</v>
      </c>
      <c r="K26" s="301">
        <f>ROUND(SUM(G26:J26),0) + M26</f>
        <v>16408.16</v>
      </c>
      <c r="L26" s="302">
        <f>ROUND(K26*3%,0) + K26</f>
        <v>16900.16</v>
      </c>
      <c r="M26" s="227">
        <f t="shared" si="2"/>
        <v>0.16</v>
      </c>
    </row>
    <row r="27" spans="1:13" ht="17.100000000000001" customHeight="1" x14ac:dyDescent="0.3">
      <c r="A27" s="295">
        <v>17</v>
      </c>
      <c r="B27" s="295" t="s">
        <v>142</v>
      </c>
      <c r="C27" s="303"/>
      <c r="D27" s="296">
        <v>1.34</v>
      </c>
      <c r="E27" s="297">
        <v>0</v>
      </c>
      <c r="F27" s="298">
        <v>0</v>
      </c>
      <c r="G27" s="299">
        <f t="shared" si="0"/>
        <v>0</v>
      </c>
      <c r="H27" s="299">
        <f t="shared" si="1"/>
        <v>0</v>
      </c>
      <c r="I27" s="300">
        <f>J$2*D27/100</f>
        <v>26800</v>
      </c>
      <c r="J27" s="300">
        <f>F$2*D27/100</f>
        <v>13.4</v>
      </c>
      <c r="K27" s="301">
        <f>ROUND(SUM(G27:J27),0) + M27</f>
        <v>26813.17</v>
      </c>
      <c r="L27" s="302">
        <f>ROUND(K27*3%,0) + K27</f>
        <v>27617.17</v>
      </c>
      <c r="M27" s="227">
        <f t="shared" si="2"/>
        <v>0.17</v>
      </c>
    </row>
    <row r="28" spans="1:13" ht="17.100000000000001" customHeight="1" x14ac:dyDescent="0.3">
      <c r="A28" s="295">
        <v>18</v>
      </c>
      <c r="B28" s="295" t="s">
        <v>143</v>
      </c>
      <c r="C28" s="304"/>
      <c r="D28" s="296">
        <v>1.1200000000000001</v>
      </c>
      <c r="E28" s="297">
        <v>0</v>
      </c>
      <c r="F28" s="298">
        <v>0</v>
      </c>
      <c r="G28" s="299">
        <f t="shared" si="0"/>
        <v>0</v>
      </c>
      <c r="H28" s="299">
        <f t="shared" si="1"/>
        <v>0</v>
      </c>
      <c r="I28" s="300">
        <f>J$2*D28/100</f>
        <v>22400</v>
      </c>
      <c r="J28" s="300">
        <f>F$2*D28/100</f>
        <v>11.2</v>
      </c>
      <c r="K28" s="301">
        <f>ROUND(SUM(G28:J28),0) + M28</f>
        <v>22411.18</v>
      </c>
      <c r="L28" s="302">
        <f>ROUND(K28*3%,0) + K28</f>
        <v>23083.18</v>
      </c>
      <c r="M28" s="227">
        <f t="shared" si="2"/>
        <v>0.18000000000000002</v>
      </c>
    </row>
    <row r="29" spans="1:13" x14ac:dyDescent="0.3">
      <c r="A29" s="295">
        <v>19</v>
      </c>
      <c r="B29" s="295" t="s">
        <v>144</v>
      </c>
      <c r="C29" s="303"/>
      <c r="D29" s="296">
        <v>1.17</v>
      </c>
      <c r="E29" s="297">
        <v>0</v>
      </c>
      <c r="F29" s="298">
        <v>0</v>
      </c>
      <c r="G29" s="299">
        <f t="shared" si="0"/>
        <v>0</v>
      </c>
      <c r="H29" s="299">
        <f t="shared" si="1"/>
        <v>0</v>
      </c>
      <c r="I29" s="300">
        <f>J$2*D29/100</f>
        <v>23400</v>
      </c>
      <c r="J29" s="300">
        <f>F$2*D29/100</f>
        <v>11.7</v>
      </c>
      <c r="K29" s="301">
        <f>ROUND(SUM(G29:J29),0) + M29</f>
        <v>23412.19</v>
      </c>
      <c r="L29" s="302">
        <f>ROUND(K29*3%,0) + K29</f>
        <v>24114.19</v>
      </c>
      <c r="M29" s="227">
        <f>M28+0.01</f>
        <v>0.19000000000000003</v>
      </c>
    </row>
    <row r="30" spans="1:13" x14ac:dyDescent="0.3">
      <c r="A30" s="305">
        <v>20</v>
      </c>
      <c r="B30" s="295" t="s">
        <v>145</v>
      </c>
      <c r="C30" s="303"/>
      <c r="D30" s="296">
        <v>1.35</v>
      </c>
      <c r="E30" s="297">
        <v>0</v>
      </c>
      <c r="F30" s="298">
        <v>0</v>
      </c>
      <c r="G30" s="299">
        <f t="shared" si="0"/>
        <v>0</v>
      </c>
      <c r="H30" s="299">
        <f t="shared" si="1"/>
        <v>0</v>
      </c>
      <c r="I30" s="300">
        <f>J$2*D30/100</f>
        <v>27000</v>
      </c>
      <c r="J30" s="300">
        <f>F$2*D30/100</f>
        <v>13.5</v>
      </c>
      <c r="K30" s="301">
        <f>ROUND(SUM(G30:J30),0) + M30</f>
        <v>27014.2</v>
      </c>
      <c r="L30" s="302">
        <f>ROUND(K30*3%,0) + K30</f>
        <v>27824.2</v>
      </c>
      <c r="M30" s="227">
        <f t="shared" ref="M30:M93" si="3">M29+0.01</f>
        <v>0.20000000000000004</v>
      </c>
    </row>
    <row r="31" spans="1:13" x14ac:dyDescent="0.3">
      <c r="A31" s="305">
        <v>21</v>
      </c>
      <c r="B31" s="307" t="s">
        <v>146</v>
      </c>
      <c r="C31" s="303"/>
      <c r="D31" s="296">
        <v>1.1200000000000001</v>
      </c>
      <c r="E31" s="297">
        <v>0</v>
      </c>
      <c r="F31" s="298">
        <v>0</v>
      </c>
      <c r="G31" s="299">
        <f t="shared" si="0"/>
        <v>0</v>
      </c>
      <c r="H31" s="299">
        <f t="shared" si="1"/>
        <v>0</v>
      </c>
      <c r="I31" s="300">
        <f>J$2*D31/100</f>
        <v>22400</v>
      </c>
      <c r="J31" s="300">
        <f>F$2*D31/100</f>
        <v>11.2</v>
      </c>
      <c r="K31" s="301">
        <f>ROUND(SUM(G31:J31),0) + M31</f>
        <v>22411.21</v>
      </c>
      <c r="L31" s="302">
        <f>ROUND(K31*3%,0) + K31</f>
        <v>23083.21</v>
      </c>
      <c r="M31" s="227">
        <f t="shared" si="3"/>
        <v>0.21000000000000005</v>
      </c>
    </row>
    <row r="32" spans="1:13" x14ac:dyDescent="0.3">
      <c r="A32" s="305">
        <f>A31+1</f>
        <v>22</v>
      </c>
      <c r="B32" s="307" t="s">
        <v>147</v>
      </c>
      <c r="C32" s="303"/>
      <c r="D32" s="296">
        <v>0.82</v>
      </c>
      <c r="E32" s="297">
        <v>0</v>
      </c>
      <c r="F32" s="298">
        <v>0</v>
      </c>
      <c r="G32" s="299">
        <f t="shared" si="0"/>
        <v>0</v>
      </c>
      <c r="H32" s="299">
        <f t="shared" si="1"/>
        <v>0</v>
      </c>
      <c r="I32" s="300">
        <f>J$2*D32/100</f>
        <v>16400</v>
      </c>
      <c r="J32" s="300">
        <f>F$2*D32/100</f>
        <v>8.1999999999999993</v>
      </c>
      <c r="K32" s="301">
        <f>ROUND(SUM(G32:J32),0) + M32</f>
        <v>16408.22</v>
      </c>
      <c r="L32" s="302">
        <f t="shared" ref="L32:L95" si="4">ROUND(K32*3%,0) + K32</f>
        <v>16900.22</v>
      </c>
      <c r="M32" s="227">
        <f t="shared" si="3"/>
        <v>0.22000000000000006</v>
      </c>
    </row>
    <row r="33" spans="1:13" x14ac:dyDescent="0.3">
      <c r="A33" s="305">
        <f t="shared" ref="A33:A96" si="5">A32+1</f>
        <v>23</v>
      </c>
      <c r="B33" s="307" t="s">
        <v>148</v>
      </c>
      <c r="C33" s="303"/>
      <c r="D33" s="296">
        <v>0.82</v>
      </c>
      <c r="E33" s="297">
        <v>0</v>
      </c>
      <c r="F33" s="298">
        <v>0</v>
      </c>
      <c r="G33" s="299">
        <f t="shared" si="0"/>
        <v>0</v>
      </c>
      <c r="H33" s="299">
        <f t="shared" si="1"/>
        <v>0</v>
      </c>
      <c r="I33" s="300">
        <f>J$2*D33/100</f>
        <v>16400</v>
      </c>
      <c r="J33" s="300">
        <f>F$2*D33/100</f>
        <v>8.1999999999999993</v>
      </c>
      <c r="K33" s="301">
        <f>ROUND(SUM(G33:J33),0) + M33</f>
        <v>16408.23</v>
      </c>
      <c r="L33" s="302">
        <f t="shared" si="4"/>
        <v>16900.23</v>
      </c>
      <c r="M33" s="227">
        <f t="shared" si="3"/>
        <v>0.23000000000000007</v>
      </c>
    </row>
    <row r="34" spans="1:13" x14ac:dyDescent="0.3">
      <c r="A34" s="305">
        <f t="shared" si="5"/>
        <v>24</v>
      </c>
      <c r="B34" s="307" t="s">
        <v>149</v>
      </c>
      <c r="C34" s="303"/>
      <c r="D34" s="296">
        <v>1.34</v>
      </c>
      <c r="E34" s="297">
        <v>0</v>
      </c>
      <c r="F34" s="298">
        <v>0</v>
      </c>
      <c r="G34" s="299">
        <f t="shared" si="0"/>
        <v>0</v>
      </c>
      <c r="H34" s="299">
        <f t="shared" si="1"/>
        <v>0</v>
      </c>
      <c r="I34" s="300">
        <f>J$2*D34/100</f>
        <v>26800</v>
      </c>
      <c r="J34" s="300">
        <f>F$2*D34/100</f>
        <v>13.4</v>
      </c>
      <c r="K34" s="301">
        <f>ROUND(SUM(G34:J34),0) + M34</f>
        <v>26813.24</v>
      </c>
      <c r="L34" s="302">
        <f t="shared" si="4"/>
        <v>27617.24</v>
      </c>
      <c r="M34" s="227">
        <f t="shared" si="3"/>
        <v>0.24000000000000007</v>
      </c>
    </row>
    <row r="35" spans="1:13" x14ac:dyDescent="0.3">
      <c r="A35" s="305">
        <f t="shared" si="5"/>
        <v>25</v>
      </c>
      <c r="B35" s="307" t="s">
        <v>150</v>
      </c>
      <c r="C35" s="303"/>
      <c r="D35" s="296">
        <v>1.1200000000000001</v>
      </c>
      <c r="E35" s="297">
        <v>0</v>
      </c>
      <c r="F35" s="298">
        <v>0</v>
      </c>
      <c r="G35" s="299">
        <f t="shared" si="0"/>
        <v>0</v>
      </c>
      <c r="H35" s="299">
        <f t="shared" si="1"/>
        <v>0</v>
      </c>
      <c r="I35" s="300">
        <f>J$2*D35/100</f>
        <v>22400</v>
      </c>
      <c r="J35" s="300">
        <f>F$2*D35/100</f>
        <v>11.2</v>
      </c>
      <c r="K35" s="301">
        <f>ROUND(SUM(G35:J35),0) + M35</f>
        <v>22411.25</v>
      </c>
      <c r="L35" s="302">
        <f t="shared" si="4"/>
        <v>23083.25</v>
      </c>
      <c r="M35" s="227">
        <f t="shared" si="3"/>
        <v>0.25000000000000006</v>
      </c>
    </row>
    <row r="36" spans="1:13" x14ac:dyDescent="0.3">
      <c r="A36" s="305">
        <f t="shared" si="5"/>
        <v>26</v>
      </c>
      <c r="B36" s="307" t="s">
        <v>151</v>
      </c>
      <c r="C36" s="303"/>
      <c r="D36" s="296">
        <v>1.17</v>
      </c>
      <c r="E36" s="297">
        <v>0</v>
      </c>
      <c r="F36" s="298">
        <v>0</v>
      </c>
      <c r="G36" s="299">
        <f t="shared" si="0"/>
        <v>0</v>
      </c>
      <c r="H36" s="299">
        <f t="shared" si="1"/>
        <v>0</v>
      </c>
      <c r="I36" s="300">
        <f>J$2*D36/100</f>
        <v>23400</v>
      </c>
      <c r="J36" s="300">
        <f>F$2*D36/100</f>
        <v>11.7</v>
      </c>
      <c r="K36" s="301">
        <f>ROUND(SUM(G36:J36),0) + M36</f>
        <v>23412.26</v>
      </c>
      <c r="L36" s="302">
        <f t="shared" si="4"/>
        <v>24114.26</v>
      </c>
      <c r="M36" s="227">
        <f t="shared" si="3"/>
        <v>0.26000000000000006</v>
      </c>
    </row>
    <row r="37" spans="1:13" x14ac:dyDescent="0.3">
      <c r="A37" s="305">
        <f t="shared" si="5"/>
        <v>27</v>
      </c>
      <c r="B37" s="307" t="s">
        <v>152</v>
      </c>
      <c r="C37" s="303"/>
      <c r="D37" s="296">
        <v>1.35</v>
      </c>
      <c r="E37" s="297">
        <v>0</v>
      </c>
      <c r="F37" s="298">
        <v>0</v>
      </c>
      <c r="G37" s="299">
        <f t="shared" si="0"/>
        <v>0</v>
      </c>
      <c r="H37" s="299">
        <f t="shared" si="1"/>
        <v>0</v>
      </c>
      <c r="I37" s="300">
        <f>J$2*D37/100</f>
        <v>27000</v>
      </c>
      <c r="J37" s="300">
        <f>F$2*D37/100</f>
        <v>13.5</v>
      </c>
      <c r="K37" s="301">
        <f>ROUND(SUM(G37:J37),0) + M37</f>
        <v>27014.27</v>
      </c>
      <c r="L37" s="302">
        <f t="shared" si="4"/>
        <v>27824.27</v>
      </c>
      <c r="M37" s="227">
        <f t="shared" si="3"/>
        <v>0.27000000000000007</v>
      </c>
    </row>
    <row r="38" spans="1:13" x14ac:dyDescent="0.3">
      <c r="A38" s="305">
        <f t="shared" si="5"/>
        <v>28</v>
      </c>
      <c r="B38" s="307" t="s">
        <v>153</v>
      </c>
      <c r="C38" s="303"/>
      <c r="D38" s="296">
        <v>1.1200000000000001</v>
      </c>
      <c r="E38" s="297">
        <v>0</v>
      </c>
      <c r="F38" s="298">
        <v>0</v>
      </c>
      <c r="G38" s="299">
        <f t="shared" si="0"/>
        <v>0</v>
      </c>
      <c r="H38" s="299">
        <f t="shared" si="1"/>
        <v>0</v>
      </c>
      <c r="I38" s="300">
        <f>J$2*D38/100</f>
        <v>22400</v>
      </c>
      <c r="J38" s="300">
        <f>F$2*D38/100</f>
        <v>11.2</v>
      </c>
      <c r="K38" s="301">
        <f>ROUND(SUM(G38:J38),0) + M38</f>
        <v>22411.279999999999</v>
      </c>
      <c r="L38" s="302">
        <f t="shared" si="4"/>
        <v>23083.279999999999</v>
      </c>
      <c r="M38" s="227">
        <f t="shared" si="3"/>
        <v>0.28000000000000008</v>
      </c>
    </row>
    <row r="39" spans="1:13" x14ac:dyDescent="0.3">
      <c r="A39" s="305">
        <f t="shared" si="5"/>
        <v>29</v>
      </c>
      <c r="B39" s="307" t="s">
        <v>154</v>
      </c>
      <c r="C39" s="303"/>
      <c r="D39" s="296">
        <v>0.82</v>
      </c>
      <c r="E39" s="297">
        <v>0</v>
      </c>
      <c r="F39" s="298">
        <v>0</v>
      </c>
      <c r="G39" s="299">
        <f t="shared" si="0"/>
        <v>0</v>
      </c>
      <c r="H39" s="299">
        <f t="shared" si="1"/>
        <v>0</v>
      </c>
      <c r="I39" s="300">
        <f>J$2*D39/100</f>
        <v>16400</v>
      </c>
      <c r="J39" s="300">
        <f>F$2*D39/100</f>
        <v>8.1999999999999993</v>
      </c>
      <c r="K39" s="301">
        <f>ROUND(SUM(G39:J39),0) + M39</f>
        <v>16408.29</v>
      </c>
      <c r="L39" s="302">
        <f t="shared" si="4"/>
        <v>16900.29</v>
      </c>
      <c r="M39" s="227">
        <f t="shared" si="3"/>
        <v>0.29000000000000009</v>
      </c>
    </row>
    <row r="40" spans="1:13" x14ac:dyDescent="0.3">
      <c r="A40" s="305">
        <f t="shared" si="5"/>
        <v>30</v>
      </c>
      <c r="B40" s="307" t="s">
        <v>155</v>
      </c>
      <c r="C40" s="303"/>
      <c r="D40" s="296">
        <v>0.82</v>
      </c>
      <c r="E40" s="297">
        <v>0</v>
      </c>
      <c r="F40" s="298">
        <v>0</v>
      </c>
      <c r="G40" s="299">
        <f t="shared" si="0"/>
        <v>0</v>
      </c>
      <c r="H40" s="299">
        <f t="shared" si="1"/>
        <v>0</v>
      </c>
      <c r="I40" s="300">
        <f>J$2*D40/100</f>
        <v>16400</v>
      </c>
      <c r="J40" s="300">
        <f>F$2*D40/100</f>
        <v>8.1999999999999993</v>
      </c>
      <c r="K40" s="301">
        <f>ROUND(SUM(G40:J40),0) + M40</f>
        <v>16408.3</v>
      </c>
      <c r="L40" s="302">
        <f t="shared" si="4"/>
        <v>16900.3</v>
      </c>
      <c r="M40" s="227">
        <f t="shared" si="3"/>
        <v>0.3000000000000001</v>
      </c>
    </row>
    <row r="41" spans="1:13" x14ac:dyDescent="0.3">
      <c r="A41" s="305">
        <f t="shared" si="5"/>
        <v>31</v>
      </c>
      <c r="B41" s="307" t="s">
        <v>156</v>
      </c>
      <c r="C41" s="303"/>
      <c r="D41" s="296">
        <v>1.34</v>
      </c>
      <c r="E41" s="297">
        <v>0</v>
      </c>
      <c r="F41" s="298">
        <v>0</v>
      </c>
      <c r="G41" s="299">
        <f t="shared" si="0"/>
        <v>0</v>
      </c>
      <c r="H41" s="299">
        <f t="shared" si="1"/>
        <v>0</v>
      </c>
      <c r="I41" s="300">
        <f>J$2*D41/100</f>
        <v>26800</v>
      </c>
      <c r="J41" s="300">
        <f>F$2*D41/100</f>
        <v>13.4</v>
      </c>
      <c r="K41" s="301">
        <f>ROUND(SUM(G41:J41),0) + M41</f>
        <v>26813.31</v>
      </c>
      <c r="L41" s="302">
        <f t="shared" si="4"/>
        <v>27617.31</v>
      </c>
      <c r="M41" s="227">
        <f t="shared" si="3"/>
        <v>0.31000000000000011</v>
      </c>
    </row>
    <row r="42" spans="1:13" x14ac:dyDescent="0.3">
      <c r="A42" s="305">
        <f t="shared" si="5"/>
        <v>32</v>
      </c>
      <c r="B42" s="307" t="s">
        <v>157</v>
      </c>
      <c r="C42" s="303"/>
      <c r="D42" s="296">
        <v>1.1200000000000001</v>
      </c>
      <c r="E42" s="297">
        <v>0</v>
      </c>
      <c r="F42" s="298">
        <v>0</v>
      </c>
      <c r="G42" s="299">
        <f t="shared" si="0"/>
        <v>0</v>
      </c>
      <c r="H42" s="299">
        <f t="shared" si="1"/>
        <v>0</v>
      </c>
      <c r="I42" s="300">
        <f>J$2*D42/100</f>
        <v>22400</v>
      </c>
      <c r="J42" s="300">
        <f>F$2*D42/100</f>
        <v>11.2</v>
      </c>
      <c r="K42" s="301">
        <f>ROUND(SUM(G42:J42),0) + M42</f>
        <v>22411.32</v>
      </c>
      <c r="L42" s="302">
        <f t="shared" si="4"/>
        <v>23083.32</v>
      </c>
      <c r="M42" s="227">
        <f t="shared" si="3"/>
        <v>0.32000000000000012</v>
      </c>
    </row>
    <row r="43" spans="1:13" x14ac:dyDescent="0.3">
      <c r="A43" s="305">
        <f t="shared" si="5"/>
        <v>33</v>
      </c>
      <c r="B43" s="307" t="s">
        <v>158</v>
      </c>
      <c r="C43" s="303"/>
      <c r="D43" s="296">
        <v>1.17</v>
      </c>
      <c r="E43" s="297">
        <v>0</v>
      </c>
      <c r="F43" s="298">
        <v>0</v>
      </c>
      <c r="G43" s="299">
        <f t="shared" si="0"/>
        <v>0</v>
      </c>
      <c r="H43" s="299">
        <f t="shared" si="1"/>
        <v>0</v>
      </c>
      <c r="I43" s="300">
        <f>J$2*D43/100</f>
        <v>23400</v>
      </c>
      <c r="J43" s="300">
        <f>F$2*D43/100</f>
        <v>11.7</v>
      </c>
      <c r="K43" s="301">
        <f>ROUND(SUM(G43:J43),0) + M43</f>
        <v>23412.33</v>
      </c>
      <c r="L43" s="302">
        <f t="shared" si="4"/>
        <v>24114.33</v>
      </c>
      <c r="M43" s="227">
        <f t="shared" si="3"/>
        <v>0.33000000000000013</v>
      </c>
    </row>
    <row r="44" spans="1:13" x14ac:dyDescent="0.3">
      <c r="A44" s="305">
        <f t="shared" si="5"/>
        <v>34</v>
      </c>
      <c r="B44" s="307" t="s">
        <v>159</v>
      </c>
      <c r="C44" s="303"/>
      <c r="D44" s="296">
        <v>1.35</v>
      </c>
      <c r="E44" s="297">
        <v>0</v>
      </c>
      <c r="F44" s="298">
        <v>0</v>
      </c>
      <c r="G44" s="299">
        <f t="shared" si="0"/>
        <v>0</v>
      </c>
      <c r="H44" s="299">
        <f t="shared" si="1"/>
        <v>0</v>
      </c>
      <c r="I44" s="300">
        <f>J$2*D44/100</f>
        <v>27000</v>
      </c>
      <c r="J44" s="300">
        <f>F$2*D44/100</f>
        <v>13.5</v>
      </c>
      <c r="K44" s="301">
        <f>ROUND(SUM(G44:J44),0) + M44</f>
        <v>27014.34</v>
      </c>
      <c r="L44" s="302">
        <f t="shared" si="4"/>
        <v>27824.34</v>
      </c>
      <c r="M44" s="227">
        <f t="shared" si="3"/>
        <v>0.34000000000000014</v>
      </c>
    </row>
    <row r="45" spans="1:13" x14ac:dyDescent="0.3">
      <c r="A45" s="305">
        <f t="shared" si="5"/>
        <v>35</v>
      </c>
      <c r="B45" s="307" t="s">
        <v>160</v>
      </c>
      <c r="C45" s="303"/>
      <c r="D45" s="296">
        <v>1.1200000000000001</v>
      </c>
      <c r="E45" s="297">
        <v>0</v>
      </c>
      <c r="F45" s="298">
        <v>0</v>
      </c>
      <c r="G45" s="299">
        <f t="shared" si="0"/>
        <v>0</v>
      </c>
      <c r="H45" s="299">
        <f t="shared" si="1"/>
        <v>0</v>
      </c>
      <c r="I45" s="300">
        <f>J$2*D45/100</f>
        <v>22400</v>
      </c>
      <c r="J45" s="300">
        <f>F$2*D45/100</f>
        <v>11.2</v>
      </c>
      <c r="K45" s="301">
        <f>ROUND(SUM(G45:J45),0) + M45</f>
        <v>22411.35</v>
      </c>
      <c r="L45" s="302">
        <f t="shared" si="4"/>
        <v>23083.35</v>
      </c>
      <c r="M45" s="227">
        <f t="shared" si="3"/>
        <v>0.35000000000000014</v>
      </c>
    </row>
    <row r="46" spans="1:13" x14ac:dyDescent="0.3">
      <c r="A46" s="305">
        <f t="shared" si="5"/>
        <v>36</v>
      </c>
      <c r="B46" s="307" t="s">
        <v>161</v>
      </c>
      <c r="C46" s="303"/>
      <c r="D46" s="296">
        <v>0.82</v>
      </c>
      <c r="E46" s="297">
        <v>0</v>
      </c>
      <c r="F46" s="298">
        <v>0</v>
      </c>
      <c r="G46" s="299">
        <f t="shared" si="0"/>
        <v>0</v>
      </c>
      <c r="H46" s="299">
        <f t="shared" si="1"/>
        <v>0</v>
      </c>
      <c r="I46" s="300">
        <f>J$2*D46/100</f>
        <v>16400</v>
      </c>
      <c r="J46" s="300">
        <f>F$2*D46/100</f>
        <v>8.1999999999999993</v>
      </c>
      <c r="K46" s="301">
        <f>ROUND(SUM(G46:J46),0) + M46</f>
        <v>16408.36</v>
      </c>
      <c r="L46" s="302">
        <f t="shared" si="4"/>
        <v>16900.36</v>
      </c>
      <c r="M46" s="227">
        <f t="shared" si="3"/>
        <v>0.36000000000000015</v>
      </c>
    </row>
    <row r="47" spans="1:13" x14ac:dyDescent="0.3">
      <c r="A47" s="305">
        <f t="shared" si="5"/>
        <v>37</v>
      </c>
      <c r="B47" s="307" t="s">
        <v>162</v>
      </c>
      <c r="C47" s="303"/>
      <c r="D47" s="296">
        <v>0.82</v>
      </c>
      <c r="E47" s="297">
        <v>0</v>
      </c>
      <c r="F47" s="298">
        <v>0</v>
      </c>
      <c r="G47" s="299">
        <f t="shared" si="0"/>
        <v>0</v>
      </c>
      <c r="H47" s="299">
        <f t="shared" si="1"/>
        <v>0</v>
      </c>
      <c r="I47" s="300">
        <f>J$2*D47/100</f>
        <v>16400</v>
      </c>
      <c r="J47" s="300">
        <f>F$2*D47/100</f>
        <v>8.1999999999999993</v>
      </c>
      <c r="K47" s="301">
        <f>ROUND(SUM(G47:J47),0) + M47</f>
        <v>16408.37</v>
      </c>
      <c r="L47" s="302">
        <f t="shared" si="4"/>
        <v>16900.37</v>
      </c>
      <c r="M47" s="227">
        <f t="shared" si="3"/>
        <v>0.37000000000000016</v>
      </c>
    </row>
    <row r="48" spans="1:13" x14ac:dyDescent="0.3">
      <c r="A48" s="305">
        <f t="shared" si="5"/>
        <v>38</v>
      </c>
      <c r="B48" s="307" t="s">
        <v>163</v>
      </c>
      <c r="C48" s="303"/>
      <c r="D48" s="296">
        <v>1.34</v>
      </c>
      <c r="E48" s="297">
        <v>0</v>
      </c>
      <c r="F48" s="298">
        <v>0</v>
      </c>
      <c r="G48" s="299">
        <f t="shared" si="0"/>
        <v>0</v>
      </c>
      <c r="H48" s="299">
        <f t="shared" si="1"/>
        <v>0</v>
      </c>
      <c r="I48" s="300">
        <f>J$2*D48/100</f>
        <v>26800</v>
      </c>
      <c r="J48" s="300">
        <f>F$2*D48/100</f>
        <v>13.4</v>
      </c>
      <c r="K48" s="301">
        <f>ROUND(SUM(G48:J48),0) + M48</f>
        <v>26813.38</v>
      </c>
      <c r="L48" s="302">
        <f t="shared" si="4"/>
        <v>27617.38</v>
      </c>
      <c r="M48" s="227">
        <f t="shared" si="3"/>
        <v>0.38000000000000017</v>
      </c>
    </row>
    <row r="49" spans="1:13" x14ac:dyDescent="0.3">
      <c r="A49" s="305">
        <f t="shared" si="5"/>
        <v>39</v>
      </c>
      <c r="B49" s="307" t="s">
        <v>164</v>
      </c>
      <c r="C49" s="303"/>
      <c r="D49" s="296">
        <v>1.1200000000000001</v>
      </c>
      <c r="E49" s="297">
        <v>0</v>
      </c>
      <c r="F49" s="298">
        <v>0</v>
      </c>
      <c r="G49" s="299">
        <f t="shared" si="0"/>
        <v>0</v>
      </c>
      <c r="H49" s="299">
        <f t="shared" si="1"/>
        <v>0</v>
      </c>
      <c r="I49" s="300">
        <f>J$2*D49/100</f>
        <v>22400</v>
      </c>
      <c r="J49" s="300">
        <f>F$2*D49/100</f>
        <v>11.2</v>
      </c>
      <c r="K49" s="301">
        <f>ROUND(SUM(G49:J49),0) + M49</f>
        <v>22411.39</v>
      </c>
      <c r="L49" s="302">
        <f t="shared" si="4"/>
        <v>23083.39</v>
      </c>
      <c r="M49" s="227">
        <f t="shared" si="3"/>
        <v>0.39000000000000018</v>
      </c>
    </row>
    <row r="50" spans="1:13" x14ac:dyDescent="0.3">
      <c r="A50" s="305">
        <f t="shared" si="5"/>
        <v>40</v>
      </c>
      <c r="B50" s="307" t="s">
        <v>165</v>
      </c>
      <c r="C50" s="303"/>
      <c r="D50" s="296">
        <v>1.17</v>
      </c>
      <c r="E50" s="297">
        <v>0</v>
      </c>
      <c r="F50" s="298">
        <v>0</v>
      </c>
      <c r="G50" s="299">
        <f t="shared" si="0"/>
        <v>0</v>
      </c>
      <c r="H50" s="299">
        <f t="shared" si="1"/>
        <v>0</v>
      </c>
      <c r="I50" s="300">
        <f>J$2*D50/100</f>
        <v>23400</v>
      </c>
      <c r="J50" s="300">
        <f>F$2*D50/100</f>
        <v>11.7</v>
      </c>
      <c r="K50" s="301">
        <f>ROUND(SUM(G50:J50),0) + M50</f>
        <v>23412.400000000001</v>
      </c>
      <c r="L50" s="302">
        <f t="shared" si="4"/>
        <v>24114.400000000001</v>
      </c>
      <c r="M50" s="227">
        <f t="shared" si="3"/>
        <v>0.40000000000000019</v>
      </c>
    </row>
    <row r="51" spans="1:13" x14ac:dyDescent="0.3">
      <c r="A51" s="305">
        <f t="shared" si="5"/>
        <v>41</v>
      </c>
      <c r="B51" s="307" t="s">
        <v>166</v>
      </c>
      <c r="C51" s="303"/>
      <c r="D51" s="296">
        <v>1.35</v>
      </c>
      <c r="E51" s="297">
        <v>0</v>
      </c>
      <c r="F51" s="298">
        <v>0</v>
      </c>
      <c r="G51" s="299">
        <f t="shared" si="0"/>
        <v>0</v>
      </c>
      <c r="H51" s="299">
        <f t="shared" si="1"/>
        <v>0</v>
      </c>
      <c r="I51" s="300">
        <f>J$2*D51/100</f>
        <v>27000</v>
      </c>
      <c r="J51" s="300">
        <f>F$2*D51/100</f>
        <v>13.5</v>
      </c>
      <c r="K51" s="301">
        <f>ROUND(SUM(G51:J51),0) + M51</f>
        <v>27014.41</v>
      </c>
      <c r="L51" s="302">
        <f t="shared" si="4"/>
        <v>27824.41</v>
      </c>
      <c r="M51" s="227">
        <f t="shared" si="3"/>
        <v>0.4100000000000002</v>
      </c>
    </row>
    <row r="52" spans="1:13" x14ac:dyDescent="0.3">
      <c r="A52" s="305">
        <f t="shared" si="5"/>
        <v>42</v>
      </c>
      <c r="B52" s="307" t="s">
        <v>167</v>
      </c>
      <c r="C52" s="303"/>
      <c r="D52" s="296">
        <v>1.1200000000000001</v>
      </c>
      <c r="E52" s="297">
        <v>0</v>
      </c>
      <c r="F52" s="298">
        <v>0</v>
      </c>
      <c r="G52" s="299">
        <f t="shared" si="0"/>
        <v>0</v>
      </c>
      <c r="H52" s="299">
        <f t="shared" si="1"/>
        <v>0</v>
      </c>
      <c r="I52" s="300">
        <f>J$2*D52/100</f>
        <v>22400</v>
      </c>
      <c r="J52" s="300">
        <f>F$2*D52/100</f>
        <v>11.2</v>
      </c>
      <c r="K52" s="301">
        <f>ROUND(SUM(G52:J52),0) + M52</f>
        <v>22411.42</v>
      </c>
      <c r="L52" s="302">
        <f t="shared" si="4"/>
        <v>23083.42</v>
      </c>
      <c r="M52" s="227">
        <f t="shared" si="3"/>
        <v>0.42000000000000021</v>
      </c>
    </row>
    <row r="53" spans="1:13" x14ac:dyDescent="0.3">
      <c r="A53" s="305">
        <f t="shared" si="5"/>
        <v>43</v>
      </c>
      <c r="B53" s="307" t="s">
        <v>249</v>
      </c>
      <c r="C53" s="303"/>
      <c r="D53" s="296">
        <v>0.82</v>
      </c>
      <c r="E53" s="297">
        <v>0</v>
      </c>
      <c r="F53" s="298">
        <v>0</v>
      </c>
      <c r="G53" s="299">
        <f t="shared" si="0"/>
        <v>0</v>
      </c>
      <c r="H53" s="299">
        <f t="shared" si="1"/>
        <v>0</v>
      </c>
      <c r="I53" s="300">
        <f>J$2*D53/100</f>
        <v>16400</v>
      </c>
      <c r="J53" s="300">
        <f>F$2*D53/100</f>
        <v>8.1999999999999993</v>
      </c>
      <c r="K53" s="301">
        <f>ROUND(SUM(G53:J53),0) + M53</f>
        <v>16408.43</v>
      </c>
      <c r="L53" s="302">
        <f t="shared" si="4"/>
        <v>16900.43</v>
      </c>
      <c r="M53" s="227">
        <f t="shared" si="3"/>
        <v>0.43000000000000022</v>
      </c>
    </row>
    <row r="54" spans="1:13" x14ac:dyDescent="0.3">
      <c r="A54" s="305">
        <f t="shared" si="5"/>
        <v>44</v>
      </c>
      <c r="B54" s="307" t="s">
        <v>168</v>
      </c>
      <c r="C54" s="303"/>
      <c r="D54" s="296">
        <v>0.82</v>
      </c>
      <c r="E54" s="297">
        <v>0</v>
      </c>
      <c r="F54" s="298">
        <v>0</v>
      </c>
      <c r="G54" s="299">
        <f t="shared" si="0"/>
        <v>0</v>
      </c>
      <c r="H54" s="299">
        <f t="shared" si="1"/>
        <v>0</v>
      </c>
      <c r="I54" s="300">
        <f>J$2*D54/100</f>
        <v>16400</v>
      </c>
      <c r="J54" s="300">
        <f>F$2*D54/100</f>
        <v>8.1999999999999993</v>
      </c>
      <c r="K54" s="301">
        <f>ROUND(SUM(G54:J54),0) + M54</f>
        <v>16408.439999999999</v>
      </c>
      <c r="L54" s="302">
        <f t="shared" si="4"/>
        <v>16900.439999999999</v>
      </c>
      <c r="M54" s="227">
        <f t="shared" si="3"/>
        <v>0.44000000000000022</v>
      </c>
    </row>
    <row r="55" spans="1:13" x14ac:dyDescent="0.3">
      <c r="A55" s="305">
        <f t="shared" si="5"/>
        <v>45</v>
      </c>
      <c r="B55" s="307" t="s">
        <v>169</v>
      </c>
      <c r="C55" s="303"/>
      <c r="D55" s="296">
        <v>1.34</v>
      </c>
      <c r="E55" s="297">
        <v>0</v>
      </c>
      <c r="F55" s="298">
        <v>0</v>
      </c>
      <c r="G55" s="299">
        <f t="shared" si="0"/>
        <v>0</v>
      </c>
      <c r="H55" s="299">
        <f t="shared" si="1"/>
        <v>0</v>
      </c>
      <c r="I55" s="300">
        <f>J$2*D55/100</f>
        <v>26800</v>
      </c>
      <c r="J55" s="300">
        <f>F$2*D55/100</f>
        <v>13.4</v>
      </c>
      <c r="K55" s="301">
        <f>ROUND(SUM(G55:J55),0) + M55</f>
        <v>26813.45</v>
      </c>
      <c r="L55" s="302">
        <f t="shared" si="4"/>
        <v>27617.45</v>
      </c>
      <c r="M55" s="227">
        <f t="shared" si="3"/>
        <v>0.45000000000000023</v>
      </c>
    </row>
    <row r="56" spans="1:13" x14ac:dyDescent="0.3">
      <c r="A56" s="305">
        <f t="shared" si="5"/>
        <v>46</v>
      </c>
      <c r="B56" s="307" t="s">
        <v>170</v>
      </c>
      <c r="C56" s="303"/>
      <c r="D56" s="296">
        <v>1.1200000000000001</v>
      </c>
      <c r="E56" s="297">
        <v>0</v>
      </c>
      <c r="F56" s="298">
        <v>0</v>
      </c>
      <c r="G56" s="299">
        <f t="shared" si="0"/>
        <v>0</v>
      </c>
      <c r="H56" s="299">
        <f t="shared" si="1"/>
        <v>0</v>
      </c>
      <c r="I56" s="300">
        <f>J$2*D56/100</f>
        <v>22400</v>
      </c>
      <c r="J56" s="300">
        <f>F$2*D56/100</f>
        <v>11.2</v>
      </c>
      <c r="K56" s="301">
        <f>ROUND(SUM(G56:J56),0) + M56</f>
        <v>22411.46</v>
      </c>
      <c r="L56" s="302">
        <f t="shared" si="4"/>
        <v>23083.46</v>
      </c>
      <c r="M56" s="227">
        <f t="shared" si="3"/>
        <v>0.46000000000000024</v>
      </c>
    </row>
    <row r="57" spans="1:13" x14ac:dyDescent="0.3">
      <c r="A57" s="305">
        <f t="shared" si="5"/>
        <v>47</v>
      </c>
      <c r="B57" s="307" t="s">
        <v>171</v>
      </c>
      <c r="C57" s="303"/>
      <c r="D57" s="296">
        <v>1.17</v>
      </c>
      <c r="E57" s="297">
        <v>0</v>
      </c>
      <c r="F57" s="298">
        <v>0</v>
      </c>
      <c r="G57" s="299">
        <f t="shared" si="0"/>
        <v>0</v>
      </c>
      <c r="H57" s="299">
        <f t="shared" si="1"/>
        <v>0</v>
      </c>
      <c r="I57" s="300">
        <f>J$2*D57/100</f>
        <v>23400</v>
      </c>
      <c r="J57" s="300">
        <f>F$2*D57/100</f>
        <v>11.7</v>
      </c>
      <c r="K57" s="301">
        <f>ROUND(SUM(G57:J57),0) + M57</f>
        <v>23412.47</v>
      </c>
      <c r="L57" s="302">
        <f t="shared" si="4"/>
        <v>24114.47</v>
      </c>
      <c r="M57" s="227">
        <f t="shared" si="3"/>
        <v>0.47000000000000025</v>
      </c>
    </row>
    <row r="58" spans="1:13" x14ac:dyDescent="0.3">
      <c r="A58" s="305">
        <f t="shared" si="5"/>
        <v>48</v>
      </c>
      <c r="B58" s="307" t="s">
        <v>172</v>
      </c>
      <c r="C58" s="303"/>
      <c r="D58" s="296">
        <v>1.35</v>
      </c>
      <c r="E58" s="297">
        <v>0</v>
      </c>
      <c r="F58" s="298">
        <v>0</v>
      </c>
      <c r="G58" s="299">
        <f t="shared" si="0"/>
        <v>0</v>
      </c>
      <c r="H58" s="299">
        <f t="shared" si="1"/>
        <v>0</v>
      </c>
      <c r="I58" s="300">
        <f>J$2*D58/100</f>
        <v>27000</v>
      </c>
      <c r="J58" s="300">
        <f>F$2*D58/100</f>
        <v>13.5</v>
      </c>
      <c r="K58" s="301">
        <f>ROUND(SUM(G58:J58),0) + M58</f>
        <v>27014.48</v>
      </c>
      <c r="L58" s="302">
        <f t="shared" si="4"/>
        <v>27824.48</v>
      </c>
      <c r="M58" s="227">
        <f t="shared" si="3"/>
        <v>0.48000000000000026</v>
      </c>
    </row>
    <row r="59" spans="1:13" x14ac:dyDescent="0.3">
      <c r="A59" s="305">
        <f t="shared" si="5"/>
        <v>49</v>
      </c>
      <c r="B59" s="307" t="s">
        <v>173</v>
      </c>
      <c r="C59" s="303"/>
      <c r="D59" s="296">
        <v>1.1200000000000001</v>
      </c>
      <c r="E59" s="297">
        <v>0</v>
      </c>
      <c r="F59" s="298">
        <v>0</v>
      </c>
      <c r="G59" s="299">
        <f t="shared" si="0"/>
        <v>0</v>
      </c>
      <c r="H59" s="299">
        <f t="shared" si="1"/>
        <v>0</v>
      </c>
      <c r="I59" s="300">
        <f>J$2*D59/100</f>
        <v>22400</v>
      </c>
      <c r="J59" s="300">
        <f>F$2*D59/100</f>
        <v>11.2</v>
      </c>
      <c r="K59" s="301">
        <f>ROUND(SUM(G59:J59),0) + M59</f>
        <v>22411.49</v>
      </c>
      <c r="L59" s="302">
        <f t="shared" si="4"/>
        <v>23083.49</v>
      </c>
      <c r="M59" s="227">
        <f t="shared" si="3"/>
        <v>0.49000000000000027</v>
      </c>
    </row>
    <row r="60" spans="1:13" x14ac:dyDescent="0.3">
      <c r="A60" s="305">
        <f t="shared" si="5"/>
        <v>50</v>
      </c>
      <c r="B60" s="307" t="s">
        <v>174</v>
      </c>
      <c r="C60" s="303"/>
      <c r="D60" s="296">
        <v>0.82</v>
      </c>
      <c r="E60" s="297">
        <v>0</v>
      </c>
      <c r="F60" s="298">
        <v>0</v>
      </c>
      <c r="G60" s="299">
        <f t="shared" si="0"/>
        <v>0</v>
      </c>
      <c r="H60" s="299">
        <f t="shared" si="1"/>
        <v>0</v>
      </c>
      <c r="I60" s="300">
        <f>J$2*D60/100</f>
        <v>16400</v>
      </c>
      <c r="J60" s="300">
        <f>F$2*D60/100</f>
        <v>8.1999999999999993</v>
      </c>
      <c r="K60" s="301">
        <f>ROUND(SUM(G60:J60),0) + M60</f>
        <v>16408.5</v>
      </c>
      <c r="L60" s="302">
        <f t="shared" si="4"/>
        <v>16900.5</v>
      </c>
      <c r="M60" s="227">
        <f t="shared" si="3"/>
        <v>0.50000000000000022</v>
      </c>
    </row>
    <row r="61" spans="1:13" x14ac:dyDescent="0.3">
      <c r="A61" s="305">
        <f t="shared" si="5"/>
        <v>51</v>
      </c>
      <c r="B61" s="307" t="s">
        <v>175</v>
      </c>
      <c r="C61" s="303"/>
      <c r="D61" s="296">
        <v>0.82</v>
      </c>
      <c r="E61" s="297">
        <v>0</v>
      </c>
      <c r="F61" s="298">
        <v>0</v>
      </c>
      <c r="G61" s="299">
        <f t="shared" si="0"/>
        <v>0</v>
      </c>
      <c r="H61" s="299">
        <f t="shared" si="1"/>
        <v>0</v>
      </c>
      <c r="I61" s="300">
        <f>J$2*D61/100</f>
        <v>16400</v>
      </c>
      <c r="J61" s="300">
        <f>F$2*D61/100</f>
        <v>8.1999999999999993</v>
      </c>
      <c r="K61" s="301">
        <f>ROUND(SUM(G61:J61),0) + M61</f>
        <v>16408.509999999998</v>
      </c>
      <c r="L61" s="302">
        <f t="shared" si="4"/>
        <v>16900.509999999998</v>
      </c>
      <c r="M61" s="227">
        <f t="shared" si="3"/>
        <v>0.51000000000000023</v>
      </c>
    </row>
    <row r="62" spans="1:13" x14ac:dyDescent="0.3">
      <c r="A62" s="305">
        <f t="shared" si="5"/>
        <v>52</v>
      </c>
      <c r="B62" s="307" t="s">
        <v>176</v>
      </c>
      <c r="C62" s="303"/>
      <c r="D62" s="296">
        <v>1.34</v>
      </c>
      <c r="E62" s="297">
        <v>0</v>
      </c>
      <c r="F62" s="298">
        <v>0</v>
      </c>
      <c r="G62" s="299">
        <f t="shared" si="0"/>
        <v>0</v>
      </c>
      <c r="H62" s="299">
        <f t="shared" si="1"/>
        <v>0</v>
      </c>
      <c r="I62" s="300">
        <f>J$2*D62/100</f>
        <v>26800</v>
      </c>
      <c r="J62" s="300">
        <f>F$2*D62/100</f>
        <v>13.4</v>
      </c>
      <c r="K62" s="301">
        <f>ROUND(SUM(G62:J62),0) + M62</f>
        <v>26813.52</v>
      </c>
      <c r="L62" s="302">
        <f t="shared" si="4"/>
        <v>27617.52</v>
      </c>
      <c r="M62" s="227">
        <f t="shared" si="3"/>
        <v>0.52000000000000024</v>
      </c>
    </row>
    <row r="63" spans="1:13" x14ac:dyDescent="0.3">
      <c r="A63" s="305">
        <f t="shared" si="5"/>
        <v>53</v>
      </c>
      <c r="B63" s="307" t="s">
        <v>177</v>
      </c>
      <c r="C63" s="303"/>
      <c r="D63" s="296">
        <v>1.1200000000000001</v>
      </c>
      <c r="E63" s="297">
        <v>0</v>
      </c>
      <c r="F63" s="298">
        <v>0</v>
      </c>
      <c r="G63" s="299">
        <f t="shared" si="0"/>
        <v>0</v>
      </c>
      <c r="H63" s="299">
        <f t="shared" si="1"/>
        <v>0</v>
      </c>
      <c r="I63" s="300">
        <f>J$2*D63/100</f>
        <v>22400</v>
      </c>
      <c r="J63" s="300">
        <f>F$2*D63/100</f>
        <v>11.2</v>
      </c>
      <c r="K63" s="301">
        <f>ROUND(SUM(G63:J63),0) + M63</f>
        <v>22411.53</v>
      </c>
      <c r="L63" s="302">
        <f t="shared" si="4"/>
        <v>23083.53</v>
      </c>
      <c r="M63" s="227">
        <f t="shared" si="3"/>
        <v>0.53000000000000025</v>
      </c>
    </row>
    <row r="64" spans="1:13" x14ac:dyDescent="0.3">
      <c r="A64" s="305">
        <f t="shared" si="5"/>
        <v>54</v>
      </c>
      <c r="B64" s="307" t="s">
        <v>178</v>
      </c>
      <c r="C64" s="303"/>
      <c r="D64" s="296">
        <v>1.17</v>
      </c>
      <c r="E64" s="297">
        <v>0</v>
      </c>
      <c r="F64" s="298">
        <v>0</v>
      </c>
      <c r="G64" s="299">
        <f t="shared" si="0"/>
        <v>0</v>
      </c>
      <c r="H64" s="299">
        <f t="shared" si="1"/>
        <v>0</v>
      </c>
      <c r="I64" s="300">
        <f>J$2*D64/100</f>
        <v>23400</v>
      </c>
      <c r="J64" s="300">
        <f>F$2*D64/100</f>
        <v>11.7</v>
      </c>
      <c r="K64" s="301">
        <f>ROUND(SUM(G64:J64),0) + M64</f>
        <v>23412.54</v>
      </c>
      <c r="L64" s="302">
        <f t="shared" si="4"/>
        <v>24114.54</v>
      </c>
      <c r="M64" s="227">
        <f t="shared" si="3"/>
        <v>0.54000000000000026</v>
      </c>
    </row>
    <row r="65" spans="1:13" x14ac:dyDescent="0.3">
      <c r="A65" s="305">
        <f t="shared" si="5"/>
        <v>55</v>
      </c>
      <c r="B65" s="307" t="s">
        <v>179</v>
      </c>
      <c r="C65" s="303"/>
      <c r="D65" s="296">
        <v>1.35</v>
      </c>
      <c r="E65" s="297">
        <v>0</v>
      </c>
      <c r="F65" s="298">
        <v>0</v>
      </c>
      <c r="G65" s="299">
        <f t="shared" si="0"/>
        <v>0</v>
      </c>
      <c r="H65" s="299">
        <f t="shared" si="1"/>
        <v>0</v>
      </c>
      <c r="I65" s="300">
        <f>J$2*D65/100</f>
        <v>27000</v>
      </c>
      <c r="J65" s="300">
        <f>F$2*D65/100</f>
        <v>13.5</v>
      </c>
      <c r="K65" s="301">
        <f>ROUND(SUM(G65:J65),0) + M65</f>
        <v>27014.55</v>
      </c>
      <c r="L65" s="302">
        <f t="shared" si="4"/>
        <v>27824.55</v>
      </c>
      <c r="M65" s="227">
        <f t="shared" si="3"/>
        <v>0.55000000000000027</v>
      </c>
    </row>
    <row r="66" spans="1:13" x14ac:dyDescent="0.3">
      <c r="A66" s="305">
        <f t="shared" si="5"/>
        <v>56</v>
      </c>
      <c r="B66" s="307" t="s">
        <v>180</v>
      </c>
      <c r="C66" s="303"/>
      <c r="D66" s="296">
        <v>1.1200000000000001</v>
      </c>
      <c r="E66" s="297">
        <v>0</v>
      </c>
      <c r="F66" s="298">
        <v>0</v>
      </c>
      <c r="G66" s="299">
        <f t="shared" si="0"/>
        <v>0</v>
      </c>
      <c r="H66" s="299">
        <f t="shared" si="1"/>
        <v>0</v>
      </c>
      <c r="I66" s="300">
        <f>J$2*D66/100</f>
        <v>22400</v>
      </c>
      <c r="J66" s="300">
        <f>F$2*D66/100</f>
        <v>11.2</v>
      </c>
      <c r="K66" s="301">
        <f>ROUND(SUM(G66:J66),0) + M66</f>
        <v>22411.56</v>
      </c>
      <c r="L66" s="302">
        <f t="shared" si="4"/>
        <v>23083.56</v>
      </c>
      <c r="M66" s="227">
        <f t="shared" si="3"/>
        <v>0.56000000000000028</v>
      </c>
    </row>
    <row r="67" spans="1:13" x14ac:dyDescent="0.3">
      <c r="A67" s="305">
        <f t="shared" si="5"/>
        <v>57</v>
      </c>
      <c r="B67" s="307" t="s">
        <v>181</v>
      </c>
      <c r="C67" s="303"/>
      <c r="D67" s="296">
        <v>0.82</v>
      </c>
      <c r="E67" s="297">
        <v>0</v>
      </c>
      <c r="F67" s="298">
        <v>0</v>
      </c>
      <c r="G67" s="299">
        <f t="shared" si="0"/>
        <v>0</v>
      </c>
      <c r="H67" s="299">
        <f t="shared" si="1"/>
        <v>0</v>
      </c>
      <c r="I67" s="300">
        <f>J$2*D67/100</f>
        <v>16400</v>
      </c>
      <c r="J67" s="300">
        <f>F$2*D67/100</f>
        <v>8.1999999999999993</v>
      </c>
      <c r="K67" s="301">
        <f>ROUND(SUM(G67:J67),0) + M67</f>
        <v>16408.57</v>
      </c>
      <c r="L67" s="302">
        <f t="shared" si="4"/>
        <v>16900.57</v>
      </c>
      <c r="M67" s="227">
        <f t="shared" si="3"/>
        <v>0.57000000000000028</v>
      </c>
    </row>
    <row r="68" spans="1:13" x14ac:dyDescent="0.3">
      <c r="A68" s="305">
        <f t="shared" si="5"/>
        <v>58</v>
      </c>
      <c r="B68" s="307" t="s">
        <v>182</v>
      </c>
      <c r="C68" s="303"/>
      <c r="D68" s="296">
        <v>0.82</v>
      </c>
      <c r="E68" s="297">
        <v>0</v>
      </c>
      <c r="F68" s="298">
        <v>0</v>
      </c>
      <c r="G68" s="299">
        <f t="shared" si="0"/>
        <v>0</v>
      </c>
      <c r="H68" s="299">
        <f t="shared" si="1"/>
        <v>0</v>
      </c>
      <c r="I68" s="300">
        <f>J$2*D68/100</f>
        <v>16400</v>
      </c>
      <c r="J68" s="300">
        <f>F$2*D68/100</f>
        <v>8.1999999999999993</v>
      </c>
      <c r="K68" s="301">
        <f>ROUND(SUM(G68:J68),0) + M68</f>
        <v>16408.580000000002</v>
      </c>
      <c r="L68" s="302">
        <f t="shared" si="4"/>
        <v>16900.580000000002</v>
      </c>
      <c r="M68" s="227">
        <f t="shared" si="3"/>
        <v>0.58000000000000029</v>
      </c>
    </row>
    <row r="69" spans="1:13" x14ac:dyDescent="0.3">
      <c r="A69" s="305">
        <f t="shared" si="5"/>
        <v>59</v>
      </c>
      <c r="B69" s="307" t="s">
        <v>183</v>
      </c>
      <c r="C69" s="303"/>
      <c r="D69" s="296">
        <v>1.34</v>
      </c>
      <c r="E69" s="297">
        <v>0</v>
      </c>
      <c r="F69" s="298">
        <v>0</v>
      </c>
      <c r="G69" s="299">
        <f t="shared" si="0"/>
        <v>0</v>
      </c>
      <c r="H69" s="299">
        <f t="shared" si="1"/>
        <v>0</v>
      </c>
      <c r="I69" s="300">
        <f>J$2*D69/100</f>
        <v>26800</v>
      </c>
      <c r="J69" s="300">
        <f>F$2*D69/100</f>
        <v>13.4</v>
      </c>
      <c r="K69" s="301">
        <f>ROUND(SUM(G69:J69),0) + M69</f>
        <v>26813.59</v>
      </c>
      <c r="L69" s="302">
        <f t="shared" si="4"/>
        <v>27617.59</v>
      </c>
      <c r="M69" s="227">
        <f t="shared" si="3"/>
        <v>0.5900000000000003</v>
      </c>
    </row>
    <row r="70" spans="1:13" x14ac:dyDescent="0.3">
      <c r="A70" s="305">
        <f t="shared" si="5"/>
        <v>60</v>
      </c>
      <c r="B70" s="307" t="s">
        <v>184</v>
      </c>
      <c r="C70" s="303"/>
      <c r="D70" s="296">
        <v>1.1200000000000001</v>
      </c>
      <c r="E70" s="297">
        <v>0</v>
      </c>
      <c r="F70" s="298">
        <v>0</v>
      </c>
      <c r="G70" s="299">
        <f t="shared" si="0"/>
        <v>0</v>
      </c>
      <c r="H70" s="299">
        <f t="shared" si="1"/>
        <v>0</v>
      </c>
      <c r="I70" s="300">
        <f>J$2*D70/100</f>
        <v>22400</v>
      </c>
      <c r="J70" s="300">
        <f>F$2*D70/100</f>
        <v>11.2</v>
      </c>
      <c r="K70" s="301">
        <f>ROUND(SUM(G70:J70),0) + M70</f>
        <v>22411.599999999999</v>
      </c>
      <c r="L70" s="302">
        <f t="shared" si="4"/>
        <v>23083.599999999999</v>
      </c>
      <c r="M70" s="227">
        <f t="shared" si="3"/>
        <v>0.60000000000000031</v>
      </c>
    </row>
    <row r="71" spans="1:13" x14ac:dyDescent="0.3">
      <c r="A71" s="305">
        <f t="shared" si="5"/>
        <v>61</v>
      </c>
      <c r="B71" s="307" t="s">
        <v>185</v>
      </c>
      <c r="C71" s="303"/>
      <c r="D71" s="296">
        <v>1.17</v>
      </c>
      <c r="E71" s="297">
        <v>0</v>
      </c>
      <c r="F71" s="298">
        <v>0</v>
      </c>
      <c r="G71" s="299">
        <f t="shared" si="0"/>
        <v>0</v>
      </c>
      <c r="H71" s="299">
        <f t="shared" si="1"/>
        <v>0</v>
      </c>
      <c r="I71" s="300">
        <f>J$2*D71/100</f>
        <v>23400</v>
      </c>
      <c r="J71" s="300">
        <f>F$2*D71/100</f>
        <v>11.7</v>
      </c>
      <c r="K71" s="301">
        <f>ROUND(SUM(G71:J71),0) + M71</f>
        <v>23412.61</v>
      </c>
      <c r="L71" s="302">
        <f t="shared" si="4"/>
        <v>24114.61</v>
      </c>
      <c r="M71" s="227">
        <f t="shared" si="3"/>
        <v>0.61000000000000032</v>
      </c>
    </row>
    <row r="72" spans="1:13" x14ac:dyDescent="0.3">
      <c r="A72" s="305">
        <f t="shared" si="5"/>
        <v>62</v>
      </c>
      <c r="B72" s="307" t="s">
        <v>186</v>
      </c>
      <c r="C72" s="303"/>
      <c r="D72" s="296">
        <v>1.35</v>
      </c>
      <c r="E72" s="297">
        <v>0</v>
      </c>
      <c r="F72" s="298">
        <v>0</v>
      </c>
      <c r="G72" s="299">
        <f t="shared" si="0"/>
        <v>0</v>
      </c>
      <c r="H72" s="299">
        <f t="shared" si="1"/>
        <v>0</v>
      </c>
      <c r="I72" s="300">
        <f>J$2*D72/100</f>
        <v>27000</v>
      </c>
      <c r="J72" s="300">
        <f>F$2*D72/100</f>
        <v>13.5</v>
      </c>
      <c r="K72" s="301">
        <f>ROUND(SUM(G72:J72),0) + M72</f>
        <v>27014.62</v>
      </c>
      <c r="L72" s="302">
        <f t="shared" si="4"/>
        <v>27824.62</v>
      </c>
      <c r="M72" s="227">
        <f t="shared" si="3"/>
        <v>0.62000000000000033</v>
      </c>
    </row>
    <row r="73" spans="1:13" x14ac:dyDescent="0.3">
      <c r="A73" s="305">
        <f t="shared" si="5"/>
        <v>63</v>
      </c>
      <c r="B73" s="307" t="s">
        <v>187</v>
      </c>
      <c r="C73" s="303"/>
      <c r="D73" s="296">
        <v>1.1200000000000001</v>
      </c>
      <c r="E73" s="297">
        <v>0</v>
      </c>
      <c r="F73" s="298">
        <v>0</v>
      </c>
      <c r="G73" s="299">
        <f t="shared" si="0"/>
        <v>0</v>
      </c>
      <c r="H73" s="299">
        <f t="shared" si="1"/>
        <v>0</v>
      </c>
      <c r="I73" s="300">
        <f>J$2*D73/100</f>
        <v>22400</v>
      </c>
      <c r="J73" s="300">
        <f>F$2*D73/100</f>
        <v>11.2</v>
      </c>
      <c r="K73" s="301">
        <f>ROUND(SUM(G73:J73),0) + M73</f>
        <v>22411.63</v>
      </c>
      <c r="L73" s="302">
        <f t="shared" si="4"/>
        <v>23083.63</v>
      </c>
      <c r="M73" s="227">
        <f t="shared" si="3"/>
        <v>0.63000000000000034</v>
      </c>
    </row>
    <row r="74" spans="1:13" x14ac:dyDescent="0.3">
      <c r="A74" s="305">
        <f t="shared" si="5"/>
        <v>64</v>
      </c>
      <c r="B74" s="307" t="s">
        <v>188</v>
      </c>
      <c r="C74" s="303"/>
      <c r="D74" s="296">
        <v>0.82</v>
      </c>
      <c r="E74" s="297">
        <v>0</v>
      </c>
      <c r="F74" s="298">
        <v>0</v>
      </c>
      <c r="G74" s="299">
        <f t="shared" si="0"/>
        <v>0</v>
      </c>
      <c r="H74" s="299">
        <f t="shared" si="1"/>
        <v>0</v>
      </c>
      <c r="I74" s="300">
        <f>J$2*D74/100</f>
        <v>16400</v>
      </c>
      <c r="J74" s="300">
        <f>F$2*D74/100</f>
        <v>8.1999999999999993</v>
      </c>
      <c r="K74" s="301">
        <f>ROUND(SUM(G74:J74),0) + M74</f>
        <v>16408.64</v>
      </c>
      <c r="L74" s="302">
        <f t="shared" si="4"/>
        <v>16900.64</v>
      </c>
      <c r="M74" s="227">
        <f t="shared" si="3"/>
        <v>0.64000000000000035</v>
      </c>
    </row>
    <row r="75" spans="1:13" x14ac:dyDescent="0.3">
      <c r="A75" s="305">
        <f t="shared" si="5"/>
        <v>65</v>
      </c>
      <c r="B75" s="307" t="s">
        <v>189</v>
      </c>
      <c r="C75" s="303"/>
      <c r="D75" s="296">
        <v>0.82</v>
      </c>
      <c r="E75" s="297">
        <v>0</v>
      </c>
      <c r="F75" s="298">
        <v>0</v>
      </c>
      <c r="G75" s="299">
        <f t="shared" ref="G75:G113" si="6">E75-F75</f>
        <v>0</v>
      </c>
      <c r="H75" s="299">
        <f t="shared" si="1"/>
        <v>0</v>
      </c>
      <c r="I75" s="300">
        <f>J$2*D75/100</f>
        <v>16400</v>
      </c>
      <c r="J75" s="300">
        <f>F$2*D75/100</f>
        <v>8.1999999999999993</v>
      </c>
      <c r="K75" s="301">
        <f>ROUND(SUM(G75:J75),0) + M75</f>
        <v>16408.650000000001</v>
      </c>
      <c r="L75" s="302">
        <f t="shared" si="4"/>
        <v>16900.650000000001</v>
      </c>
      <c r="M75" s="227">
        <f t="shared" si="3"/>
        <v>0.65000000000000036</v>
      </c>
    </row>
    <row r="76" spans="1:13" x14ac:dyDescent="0.3">
      <c r="A76" s="305">
        <f t="shared" si="5"/>
        <v>66</v>
      </c>
      <c r="B76" s="307" t="s">
        <v>190</v>
      </c>
      <c r="C76" s="303"/>
      <c r="D76" s="296">
        <v>1.34</v>
      </c>
      <c r="E76" s="297">
        <v>0</v>
      </c>
      <c r="F76" s="298">
        <v>0</v>
      </c>
      <c r="G76" s="299">
        <f t="shared" si="6"/>
        <v>0</v>
      </c>
      <c r="H76" s="299">
        <f t="shared" ref="H76:H113" si="7">IF(G76&gt;0,G76*3%,0)</f>
        <v>0</v>
      </c>
      <c r="I76" s="300">
        <f>J$2*D76/100</f>
        <v>26800</v>
      </c>
      <c r="J76" s="300">
        <f>F$2*D76/100</f>
        <v>13.4</v>
      </c>
      <c r="K76" s="301">
        <f>ROUND(SUM(G76:J76),0) + M76</f>
        <v>26813.66</v>
      </c>
      <c r="L76" s="302">
        <f t="shared" si="4"/>
        <v>27617.66</v>
      </c>
      <c r="M76" s="227">
        <f t="shared" si="3"/>
        <v>0.66000000000000036</v>
      </c>
    </row>
    <row r="77" spans="1:13" x14ac:dyDescent="0.3">
      <c r="A77" s="305">
        <f t="shared" si="5"/>
        <v>67</v>
      </c>
      <c r="B77" s="307" t="s">
        <v>191</v>
      </c>
      <c r="C77" s="303"/>
      <c r="D77" s="296">
        <v>1.1200000000000001</v>
      </c>
      <c r="E77" s="297">
        <v>0</v>
      </c>
      <c r="F77" s="298">
        <v>0</v>
      </c>
      <c r="G77" s="299">
        <f t="shared" si="6"/>
        <v>0</v>
      </c>
      <c r="H77" s="299">
        <f t="shared" si="7"/>
        <v>0</v>
      </c>
      <c r="I77" s="300">
        <f>J$2*D77/100</f>
        <v>22400</v>
      </c>
      <c r="J77" s="300">
        <f>F$2*D77/100</f>
        <v>11.2</v>
      </c>
      <c r="K77" s="301">
        <f>ROUND(SUM(G77:J77),0) + M77</f>
        <v>22411.67</v>
      </c>
      <c r="L77" s="302">
        <f t="shared" si="4"/>
        <v>23083.67</v>
      </c>
      <c r="M77" s="227">
        <f t="shared" si="3"/>
        <v>0.67000000000000037</v>
      </c>
    </row>
    <row r="78" spans="1:13" x14ac:dyDescent="0.3">
      <c r="A78" s="305">
        <f t="shared" si="5"/>
        <v>68</v>
      </c>
      <c r="B78" s="307" t="s">
        <v>192</v>
      </c>
      <c r="C78" s="303"/>
      <c r="D78" s="296">
        <v>1.17</v>
      </c>
      <c r="E78" s="297">
        <v>0</v>
      </c>
      <c r="F78" s="298">
        <v>0</v>
      </c>
      <c r="G78" s="299">
        <f t="shared" si="6"/>
        <v>0</v>
      </c>
      <c r="H78" s="299">
        <f t="shared" si="7"/>
        <v>0</v>
      </c>
      <c r="I78" s="300">
        <f>J$2*D78/100</f>
        <v>23400</v>
      </c>
      <c r="J78" s="300">
        <f>F$2*D78/100</f>
        <v>11.7</v>
      </c>
      <c r="K78" s="301">
        <f>ROUND(SUM(G78:J78),0) + M78</f>
        <v>23412.68</v>
      </c>
      <c r="L78" s="302">
        <f t="shared" si="4"/>
        <v>24114.68</v>
      </c>
      <c r="M78" s="227">
        <f t="shared" si="3"/>
        <v>0.68000000000000038</v>
      </c>
    </row>
    <row r="79" spans="1:13" x14ac:dyDescent="0.3">
      <c r="A79" s="305">
        <f t="shared" si="5"/>
        <v>69</v>
      </c>
      <c r="B79" s="307" t="s">
        <v>193</v>
      </c>
      <c r="C79" s="303"/>
      <c r="D79" s="296">
        <v>1.35</v>
      </c>
      <c r="E79" s="297">
        <v>0</v>
      </c>
      <c r="F79" s="298">
        <v>0</v>
      </c>
      <c r="G79" s="299">
        <f t="shared" si="6"/>
        <v>0</v>
      </c>
      <c r="H79" s="299">
        <f t="shared" si="7"/>
        <v>0</v>
      </c>
      <c r="I79" s="300">
        <f>J$2*D79/100</f>
        <v>27000</v>
      </c>
      <c r="J79" s="300">
        <f>F$2*D79/100</f>
        <v>13.5</v>
      </c>
      <c r="K79" s="301">
        <f>ROUND(SUM(G79:J79),0) + M79</f>
        <v>27014.69</v>
      </c>
      <c r="L79" s="302">
        <f t="shared" si="4"/>
        <v>27824.69</v>
      </c>
      <c r="M79" s="227">
        <f t="shared" si="3"/>
        <v>0.69000000000000039</v>
      </c>
    </row>
    <row r="80" spans="1:13" x14ac:dyDescent="0.3">
      <c r="A80" s="305">
        <f t="shared" si="5"/>
        <v>70</v>
      </c>
      <c r="B80" s="307" t="s">
        <v>194</v>
      </c>
      <c r="C80" s="303"/>
      <c r="D80" s="296">
        <v>1.1200000000000001</v>
      </c>
      <c r="E80" s="297">
        <v>0</v>
      </c>
      <c r="F80" s="298">
        <v>0</v>
      </c>
      <c r="G80" s="299">
        <f t="shared" si="6"/>
        <v>0</v>
      </c>
      <c r="H80" s="299">
        <f t="shared" si="7"/>
        <v>0</v>
      </c>
      <c r="I80" s="300">
        <f>J$2*D80/100</f>
        <v>22400</v>
      </c>
      <c r="J80" s="300">
        <f>F$2*D80/100</f>
        <v>11.2</v>
      </c>
      <c r="K80" s="301">
        <f>ROUND(SUM(G80:J80),0) + M80</f>
        <v>22411.7</v>
      </c>
      <c r="L80" s="302">
        <f t="shared" si="4"/>
        <v>23083.7</v>
      </c>
      <c r="M80" s="227">
        <f t="shared" si="3"/>
        <v>0.7000000000000004</v>
      </c>
    </row>
    <row r="81" spans="1:13" x14ac:dyDescent="0.3">
      <c r="A81" s="305">
        <f t="shared" si="5"/>
        <v>71</v>
      </c>
      <c r="B81" s="307" t="s">
        <v>195</v>
      </c>
      <c r="C81" s="303"/>
      <c r="D81" s="296">
        <v>0.82</v>
      </c>
      <c r="E81" s="297">
        <v>0</v>
      </c>
      <c r="F81" s="298">
        <v>0</v>
      </c>
      <c r="G81" s="299">
        <f t="shared" si="6"/>
        <v>0</v>
      </c>
      <c r="H81" s="299">
        <f t="shared" si="7"/>
        <v>0</v>
      </c>
      <c r="I81" s="300">
        <f>J$2*D81/100</f>
        <v>16400</v>
      </c>
      <c r="J81" s="300">
        <f>F$2*D81/100</f>
        <v>8.1999999999999993</v>
      </c>
      <c r="K81" s="301">
        <f>ROUND(SUM(G81:J81),0) + M81</f>
        <v>16408.71</v>
      </c>
      <c r="L81" s="302">
        <f t="shared" si="4"/>
        <v>16900.71</v>
      </c>
      <c r="M81" s="227">
        <f t="shared" si="3"/>
        <v>0.71000000000000041</v>
      </c>
    </row>
    <row r="82" spans="1:13" x14ac:dyDescent="0.3">
      <c r="A82" s="305">
        <f t="shared" si="5"/>
        <v>72</v>
      </c>
      <c r="B82" s="307" t="s">
        <v>196</v>
      </c>
      <c r="C82" s="303"/>
      <c r="D82" s="296">
        <v>0.82</v>
      </c>
      <c r="E82" s="297">
        <v>0</v>
      </c>
      <c r="F82" s="298">
        <v>0</v>
      </c>
      <c r="G82" s="299">
        <f t="shared" si="6"/>
        <v>0</v>
      </c>
      <c r="H82" s="299">
        <f t="shared" si="7"/>
        <v>0</v>
      </c>
      <c r="I82" s="300">
        <f>J$2*D82/100</f>
        <v>16400</v>
      </c>
      <c r="J82" s="300">
        <f>F$2*D82/100</f>
        <v>8.1999999999999993</v>
      </c>
      <c r="K82" s="301">
        <f>ROUND(SUM(G82:J82),0) + M82</f>
        <v>16408.72</v>
      </c>
      <c r="L82" s="302">
        <f t="shared" si="4"/>
        <v>16900.72</v>
      </c>
      <c r="M82" s="227">
        <f t="shared" si="3"/>
        <v>0.72000000000000042</v>
      </c>
    </row>
    <row r="83" spans="1:13" x14ac:dyDescent="0.3">
      <c r="A83" s="305">
        <f t="shared" si="5"/>
        <v>73</v>
      </c>
      <c r="B83" s="307" t="s">
        <v>197</v>
      </c>
      <c r="C83" s="303"/>
      <c r="D83" s="296">
        <v>1.34</v>
      </c>
      <c r="E83" s="297">
        <v>0</v>
      </c>
      <c r="F83" s="298">
        <v>0</v>
      </c>
      <c r="G83" s="299">
        <f t="shared" si="6"/>
        <v>0</v>
      </c>
      <c r="H83" s="299">
        <f t="shared" si="7"/>
        <v>0</v>
      </c>
      <c r="I83" s="300">
        <f>J$2*D83/100</f>
        <v>26800</v>
      </c>
      <c r="J83" s="300">
        <f>F$2*D83/100</f>
        <v>13.4</v>
      </c>
      <c r="K83" s="301">
        <f>ROUND(SUM(G83:J83),0) + M83</f>
        <v>26813.73</v>
      </c>
      <c r="L83" s="302">
        <f t="shared" si="4"/>
        <v>27617.73</v>
      </c>
      <c r="M83" s="227">
        <f t="shared" si="3"/>
        <v>0.73000000000000043</v>
      </c>
    </row>
    <row r="84" spans="1:13" x14ac:dyDescent="0.3">
      <c r="A84" s="305">
        <f t="shared" si="5"/>
        <v>74</v>
      </c>
      <c r="B84" s="307" t="s">
        <v>198</v>
      </c>
      <c r="C84" s="303"/>
      <c r="D84" s="296">
        <v>1.1200000000000001</v>
      </c>
      <c r="E84" s="297">
        <v>0</v>
      </c>
      <c r="F84" s="298">
        <v>0</v>
      </c>
      <c r="G84" s="299">
        <f t="shared" si="6"/>
        <v>0</v>
      </c>
      <c r="H84" s="299">
        <f t="shared" si="7"/>
        <v>0</v>
      </c>
      <c r="I84" s="300">
        <f>J$2*D84/100</f>
        <v>22400</v>
      </c>
      <c r="J84" s="300">
        <f>F$2*D84/100</f>
        <v>11.2</v>
      </c>
      <c r="K84" s="301">
        <f>ROUND(SUM(G84:J84),0) + M84</f>
        <v>22411.74</v>
      </c>
      <c r="L84" s="302">
        <f t="shared" si="4"/>
        <v>23083.74</v>
      </c>
      <c r="M84" s="227">
        <f t="shared" si="3"/>
        <v>0.74000000000000044</v>
      </c>
    </row>
    <row r="85" spans="1:13" x14ac:dyDescent="0.3">
      <c r="A85" s="305">
        <f t="shared" si="5"/>
        <v>75</v>
      </c>
      <c r="B85" s="307" t="s">
        <v>199</v>
      </c>
      <c r="C85" s="303"/>
      <c r="D85" s="296">
        <v>1.17</v>
      </c>
      <c r="E85" s="297">
        <v>0</v>
      </c>
      <c r="F85" s="298">
        <v>0</v>
      </c>
      <c r="G85" s="299">
        <f t="shared" si="6"/>
        <v>0</v>
      </c>
      <c r="H85" s="299">
        <f t="shared" si="7"/>
        <v>0</v>
      </c>
      <c r="I85" s="300">
        <f>J$2*D85/100</f>
        <v>23400</v>
      </c>
      <c r="J85" s="300">
        <f>F$2*D85/100</f>
        <v>11.7</v>
      </c>
      <c r="K85" s="301">
        <f>ROUND(SUM(G85:J85),0) + M85</f>
        <v>23412.75</v>
      </c>
      <c r="L85" s="302">
        <f t="shared" si="4"/>
        <v>24114.75</v>
      </c>
      <c r="M85" s="227">
        <f t="shared" si="3"/>
        <v>0.75000000000000044</v>
      </c>
    </row>
    <row r="86" spans="1:13" x14ac:dyDescent="0.3">
      <c r="A86" s="305">
        <f t="shared" si="5"/>
        <v>76</v>
      </c>
      <c r="B86" s="307" t="s">
        <v>200</v>
      </c>
      <c r="C86" s="303"/>
      <c r="D86" s="296">
        <v>1.35</v>
      </c>
      <c r="E86" s="297">
        <v>0</v>
      </c>
      <c r="F86" s="298">
        <v>0</v>
      </c>
      <c r="G86" s="299">
        <f t="shared" si="6"/>
        <v>0</v>
      </c>
      <c r="H86" s="299">
        <f t="shared" si="7"/>
        <v>0</v>
      </c>
      <c r="I86" s="300">
        <f>J$2*D86/100</f>
        <v>27000</v>
      </c>
      <c r="J86" s="300">
        <f>F$2*D86/100</f>
        <v>13.5</v>
      </c>
      <c r="K86" s="301">
        <f>ROUND(SUM(G86:J86),0) + M86</f>
        <v>27014.76</v>
      </c>
      <c r="L86" s="302">
        <f t="shared" si="4"/>
        <v>27824.76</v>
      </c>
      <c r="M86" s="227">
        <f t="shared" si="3"/>
        <v>0.76000000000000045</v>
      </c>
    </row>
    <row r="87" spans="1:13" x14ac:dyDescent="0.3">
      <c r="A87" s="305">
        <f t="shared" si="5"/>
        <v>77</v>
      </c>
      <c r="B87" s="307" t="s">
        <v>201</v>
      </c>
      <c r="C87" s="303"/>
      <c r="D87" s="296">
        <v>1.1200000000000001</v>
      </c>
      <c r="E87" s="297">
        <v>0</v>
      </c>
      <c r="F87" s="298">
        <v>0</v>
      </c>
      <c r="G87" s="299">
        <f t="shared" si="6"/>
        <v>0</v>
      </c>
      <c r="H87" s="299">
        <f t="shared" si="7"/>
        <v>0</v>
      </c>
      <c r="I87" s="300">
        <f>J$2*D87/100</f>
        <v>22400</v>
      </c>
      <c r="J87" s="300">
        <f>F$2*D87/100</f>
        <v>11.2</v>
      </c>
      <c r="K87" s="301">
        <f>ROUND(SUM(G87:J87),0) + M87</f>
        <v>22411.77</v>
      </c>
      <c r="L87" s="302">
        <f t="shared" si="4"/>
        <v>23083.77</v>
      </c>
      <c r="M87" s="227">
        <f t="shared" si="3"/>
        <v>0.77000000000000046</v>
      </c>
    </row>
    <row r="88" spans="1:13" x14ac:dyDescent="0.3">
      <c r="A88" s="305">
        <f t="shared" si="5"/>
        <v>78</v>
      </c>
      <c r="B88" s="307" t="s">
        <v>202</v>
      </c>
      <c r="C88" s="303"/>
      <c r="D88" s="296">
        <v>0.82</v>
      </c>
      <c r="E88" s="297">
        <v>0</v>
      </c>
      <c r="F88" s="298">
        <v>0</v>
      </c>
      <c r="G88" s="299">
        <f t="shared" si="6"/>
        <v>0</v>
      </c>
      <c r="H88" s="299">
        <f t="shared" si="7"/>
        <v>0</v>
      </c>
      <c r="I88" s="300">
        <f>J$2*D88/100</f>
        <v>16400</v>
      </c>
      <c r="J88" s="300">
        <f>F$2*D88/100</f>
        <v>8.1999999999999993</v>
      </c>
      <c r="K88" s="301">
        <f>ROUND(SUM(G88:J88),0) + M88</f>
        <v>16408.78</v>
      </c>
      <c r="L88" s="302">
        <f t="shared" si="4"/>
        <v>16900.78</v>
      </c>
      <c r="M88" s="227">
        <f t="shared" si="3"/>
        <v>0.78000000000000047</v>
      </c>
    </row>
    <row r="89" spans="1:13" x14ac:dyDescent="0.3">
      <c r="A89" s="305">
        <f t="shared" si="5"/>
        <v>79</v>
      </c>
      <c r="B89" s="307" t="s">
        <v>203</v>
      </c>
      <c r="C89" s="303"/>
      <c r="D89" s="296">
        <v>0.82</v>
      </c>
      <c r="E89" s="297">
        <v>0</v>
      </c>
      <c r="F89" s="298">
        <v>0</v>
      </c>
      <c r="G89" s="299">
        <f t="shared" si="6"/>
        <v>0</v>
      </c>
      <c r="H89" s="299">
        <f t="shared" si="7"/>
        <v>0</v>
      </c>
      <c r="I89" s="300">
        <f>J$2*D89/100</f>
        <v>16400</v>
      </c>
      <c r="J89" s="300">
        <f>F$2*D89/100</f>
        <v>8.1999999999999993</v>
      </c>
      <c r="K89" s="301">
        <f>ROUND(SUM(G89:J89),0) + M89</f>
        <v>16408.79</v>
      </c>
      <c r="L89" s="302">
        <f t="shared" si="4"/>
        <v>16900.79</v>
      </c>
      <c r="M89" s="227">
        <f t="shared" si="3"/>
        <v>0.79000000000000048</v>
      </c>
    </row>
    <row r="90" spans="1:13" x14ac:dyDescent="0.3">
      <c r="A90" s="305">
        <f t="shared" si="5"/>
        <v>80</v>
      </c>
      <c r="B90" s="307" t="s">
        <v>204</v>
      </c>
      <c r="C90" s="303"/>
      <c r="D90" s="296">
        <v>1.34</v>
      </c>
      <c r="E90" s="297">
        <v>0</v>
      </c>
      <c r="F90" s="298">
        <v>0</v>
      </c>
      <c r="G90" s="299">
        <f t="shared" si="6"/>
        <v>0</v>
      </c>
      <c r="H90" s="299">
        <f t="shared" si="7"/>
        <v>0</v>
      </c>
      <c r="I90" s="300">
        <f>J$2*D90/100</f>
        <v>26800</v>
      </c>
      <c r="J90" s="300">
        <f>F$2*D90/100</f>
        <v>13.4</v>
      </c>
      <c r="K90" s="301">
        <f>ROUND(SUM(G90:J90),0) + M90</f>
        <v>26813.8</v>
      </c>
      <c r="L90" s="302">
        <f t="shared" si="4"/>
        <v>27617.8</v>
      </c>
      <c r="M90" s="227">
        <f t="shared" si="3"/>
        <v>0.80000000000000049</v>
      </c>
    </row>
    <row r="91" spans="1:13" x14ac:dyDescent="0.3">
      <c r="A91" s="305">
        <f t="shared" si="5"/>
        <v>81</v>
      </c>
      <c r="B91" s="307" t="s">
        <v>205</v>
      </c>
      <c r="C91" s="303"/>
      <c r="D91" s="296">
        <v>1.1200000000000001</v>
      </c>
      <c r="E91" s="297">
        <v>0</v>
      </c>
      <c r="F91" s="298">
        <v>0</v>
      </c>
      <c r="G91" s="299">
        <f t="shared" si="6"/>
        <v>0</v>
      </c>
      <c r="H91" s="299">
        <f t="shared" si="7"/>
        <v>0</v>
      </c>
      <c r="I91" s="300">
        <f>J$2*D91/100</f>
        <v>22400</v>
      </c>
      <c r="J91" s="300">
        <f>F$2*D91/100</f>
        <v>11.2</v>
      </c>
      <c r="K91" s="301">
        <f>ROUND(SUM(G91:J91),0) + M91</f>
        <v>22411.81</v>
      </c>
      <c r="L91" s="302">
        <f t="shared" si="4"/>
        <v>23083.81</v>
      </c>
      <c r="M91" s="227">
        <f t="shared" si="3"/>
        <v>0.8100000000000005</v>
      </c>
    </row>
    <row r="92" spans="1:13" x14ac:dyDescent="0.3">
      <c r="A92" s="305">
        <f t="shared" si="5"/>
        <v>82</v>
      </c>
      <c r="B92" s="307" t="s">
        <v>206</v>
      </c>
      <c r="C92" s="303"/>
      <c r="D92" s="296">
        <v>1.17</v>
      </c>
      <c r="E92" s="297">
        <v>0</v>
      </c>
      <c r="F92" s="298">
        <v>0</v>
      </c>
      <c r="G92" s="299">
        <f t="shared" si="6"/>
        <v>0</v>
      </c>
      <c r="H92" s="299">
        <f t="shared" si="7"/>
        <v>0</v>
      </c>
      <c r="I92" s="300">
        <f>J$2*D92/100</f>
        <v>23400</v>
      </c>
      <c r="J92" s="300">
        <f>F$2*D92/100</f>
        <v>11.7</v>
      </c>
      <c r="K92" s="301">
        <f>ROUND(SUM(G92:J92),0) + M92</f>
        <v>23412.82</v>
      </c>
      <c r="L92" s="302">
        <f t="shared" si="4"/>
        <v>24114.82</v>
      </c>
      <c r="M92" s="227">
        <f t="shared" si="3"/>
        <v>0.82000000000000051</v>
      </c>
    </row>
    <row r="93" spans="1:13" x14ac:dyDescent="0.3">
      <c r="A93" s="305">
        <f t="shared" si="5"/>
        <v>83</v>
      </c>
      <c r="B93" s="307" t="s">
        <v>207</v>
      </c>
      <c r="C93" s="303"/>
      <c r="D93" s="296">
        <v>1.35</v>
      </c>
      <c r="E93" s="297">
        <v>0</v>
      </c>
      <c r="F93" s="298">
        <v>0</v>
      </c>
      <c r="G93" s="299">
        <f t="shared" si="6"/>
        <v>0</v>
      </c>
      <c r="H93" s="299">
        <f t="shared" si="7"/>
        <v>0</v>
      </c>
      <c r="I93" s="300">
        <f>J$2*D93/100</f>
        <v>27000</v>
      </c>
      <c r="J93" s="300">
        <f>F$2*D93/100</f>
        <v>13.5</v>
      </c>
      <c r="K93" s="301">
        <f>ROUND(SUM(G93:J93),0) + M93</f>
        <v>27014.83</v>
      </c>
      <c r="L93" s="302">
        <f t="shared" si="4"/>
        <v>27824.83</v>
      </c>
      <c r="M93" s="227">
        <f t="shared" si="3"/>
        <v>0.83000000000000052</v>
      </c>
    </row>
    <row r="94" spans="1:13" x14ac:dyDescent="0.3">
      <c r="A94" s="305">
        <f t="shared" si="5"/>
        <v>84</v>
      </c>
      <c r="B94" s="307" t="s">
        <v>208</v>
      </c>
      <c r="C94" s="303"/>
      <c r="D94" s="296">
        <v>1.1200000000000001</v>
      </c>
      <c r="E94" s="297">
        <v>0</v>
      </c>
      <c r="F94" s="298">
        <v>0</v>
      </c>
      <c r="G94" s="299">
        <f t="shared" si="6"/>
        <v>0</v>
      </c>
      <c r="H94" s="299">
        <f t="shared" si="7"/>
        <v>0</v>
      </c>
      <c r="I94" s="300">
        <f>J$2*D94/100</f>
        <v>22400</v>
      </c>
      <c r="J94" s="300">
        <f>F$2*D94/100</f>
        <v>11.2</v>
      </c>
      <c r="K94" s="301">
        <f>ROUND(SUM(G94:J94),0) + M94</f>
        <v>22411.84</v>
      </c>
      <c r="L94" s="302">
        <f t="shared" si="4"/>
        <v>23083.84</v>
      </c>
      <c r="M94" s="227">
        <f t="shared" ref="M94:M113" si="8">M93+0.01</f>
        <v>0.84000000000000052</v>
      </c>
    </row>
    <row r="95" spans="1:13" x14ac:dyDescent="0.3">
      <c r="A95" s="305">
        <f t="shared" si="5"/>
        <v>85</v>
      </c>
      <c r="B95" s="307" t="s">
        <v>209</v>
      </c>
      <c r="C95" s="303"/>
      <c r="D95" s="296">
        <v>0.82</v>
      </c>
      <c r="E95" s="297">
        <v>0</v>
      </c>
      <c r="F95" s="298">
        <v>0</v>
      </c>
      <c r="G95" s="299">
        <f t="shared" si="6"/>
        <v>0</v>
      </c>
      <c r="H95" s="299">
        <f t="shared" si="7"/>
        <v>0</v>
      </c>
      <c r="I95" s="300">
        <f>J$2*D95/100</f>
        <v>16400</v>
      </c>
      <c r="J95" s="300">
        <f>F$2*D95/100</f>
        <v>8.1999999999999993</v>
      </c>
      <c r="K95" s="301">
        <f>ROUND(SUM(G95:J95),0) + M95</f>
        <v>16408.849999999999</v>
      </c>
      <c r="L95" s="302">
        <f t="shared" si="4"/>
        <v>16900.849999999999</v>
      </c>
      <c r="M95" s="227">
        <f t="shared" si="8"/>
        <v>0.85000000000000053</v>
      </c>
    </row>
    <row r="96" spans="1:13" x14ac:dyDescent="0.3">
      <c r="A96" s="305">
        <f t="shared" si="5"/>
        <v>86</v>
      </c>
      <c r="B96" s="307" t="s">
        <v>210</v>
      </c>
      <c r="C96" s="303"/>
      <c r="D96" s="296">
        <v>0.82</v>
      </c>
      <c r="E96" s="297">
        <v>0</v>
      </c>
      <c r="F96" s="298">
        <v>0</v>
      </c>
      <c r="G96" s="299">
        <f t="shared" si="6"/>
        <v>0</v>
      </c>
      <c r="H96" s="299">
        <f t="shared" si="7"/>
        <v>0</v>
      </c>
      <c r="I96" s="300">
        <f>J$2*D96/100</f>
        <v>16400</v>
      </c>
      <c r="J96" s="300">
        <f>F$2*D96/100</f>
        <v>8.1999999999999993</v>
      </c>
      <c r="K96" s="301">
        <f>ROUND(SUM(G96:J96),0) + M96</f>
        <v>16408.86</v>
      </c>
      <c r="L96" s="302">
        <f t="shared" ref="L96:L113" si="9">ROUND(K96*3%,0) + K96</f>
        <v>16900.86</v>
      </c>
      <c r="M96" s="227">
        <f t="shared" si="8"/>
        <v>0.86000000000000054</v>
      </c>
    </row>
    <row r="97" spans="1:13" x14ac:dyDescent="0.3">
      <c r="A97" s="305">
        <f t="shared" ref="A97:A113" si="10">A96+1</f>
        <v>87</v>
      </c>
      <c r="B97" s="307" t="s">
        <v>211</v>
      </c>
      <c r="C97" s="303"/>
      <c r="D97" s="296">
        <v>1.34</v>
      </c>
      <c r="E97" s="297">
        <v>0</v>
      </c>
      <c r="F97" s="298">
        <v>0</v>
      </c>
      <c r="G97" s="299">
        <f t="shared" si="6"/>
        <v>0</v>
      </c>
      <c r="H97" s="299">
        <f t="shared" si="7"/>
        <v>0</v>
      </c>
      <c r="I97" s="300">
        <f>J$2*D97/100</f>
        <v>26800</v>
      </c>
      <c r="J97" s="300">
        <f>F$2*D97/100</f>
        <v>13.4</v>
      </c>
      <c r="K97" s="301">
        <f>ROUND(SUM(G97:J97),0) + M97</f>
        <v>26813.87</v>
      </c>
      <c r="L97" s="302">
        <f t="shared" si="9"/>
        <v>27617.87</v>
      </c>
      <c r="M97" s="227">
        <f t="shared" si="8"/>
        <v>0.87000000000000055</v>
      </c>
    </row>
    <row r="98" spans="1:13" x14ac:dyDescent="0.3">
      <c r="A98" s="305">
        <f t="shared" si="10"/>
        <v>88</v>
      </c>
      <c r="B98" s="307" t="s">
        <v>212</v>
      </c>
      <c r="C98" s="303"/>
      <c r="D98" s="296">
        <v>1.1200000000000001</v>
      </c>
      <c r="E98" s="297">
        <v>0</v>
      </c>
      <c r="F98" s="298">
        <v>0</v>
      </c>
      <c r="G98" s="299">
        <f t="shared" si="6"/>
        <v>0</v>
      </c>
      <c r="H98" s="299">
        <f t="shared" si="7"/>
        <v>0</v>
      </c>
      <c r="I98" s="300">
        <f>J$2*D98/100</f>
        <v>22400</v>
      </c>
      <c r="J98" s="300">
        <f>F$2*D98/100</f>
        <v>11.2</v>
      </c>
      <c r="K98" s="301">
        <f>ROUND(SUM(G98:J98),0) + M98</f>
        <v>22411.88</v>
      </c>
      <c r="L98" s="302">
        <f t="shared" si="9"/>
        <v>23083.88</v>
      </c>
      <c r="M98" s="227">
        <f t="shared" si="8"/>
        <v>0.88000000000000056</v>
      </c>
    </row>
    <row r="99" spans="1:13" x14ac:dyDescent="0.3">
      <c r="A99" s="305">
        <f t="shared" si="10"/>
        <v>89</v>
      </c>
      <c r="B99" s="307" t="s">
        <v>213</v>
      </c>
      <c r="C99" s="303"/>
      <c r="D99" s="296">
        <v>1.17</v>
      </c>
      <c r="E99" s="297">
        <v>0</v>
      </c>
      <c r="F99" s="298">
        <v>0</v>
      </c>
      <c r="G99" s="299">
        <f t="shared" si="6"/>
        <v>0</v>
      </c>
      <c r="H99" s="299">
        <f t="shared" si="7"/>
        <v>0</v>
      </c>
      <c r="I99" s="300">
        <f>J$2*D99/100</f>
        <v>23400</v>
      </c>
      <c r="J99" s="300">
        <f>F$2*D99/100</f>
        <v>11.7</v>
      </c>
      <c r="K99" s="301">
        <f>ROUND(SUM(G99:J99),0) + M99</f>
        <v>23412.89</v>
      </c>
      <c r="L99" s="302">
        <f t="shared" si="9"/>
        <v>24114.89</v>
      </c>
      <c r="M99" s="227">
        <f t="shared" si="8"/>
        <v>0.89000000000000057</v>
      </c>
    </row>
    <row r="100" spans="1:13" x14ac:dyDescent="0.3">
      <c r="A100" s="305">
        <f t="shared" si="10"/>
        <v>90</v>
      </c>
      <c r="B100" s="307" t="s">
        <v>214</v>
      </c>
      <c r="C100" s="303"/>
      <c r="D100" s="296">
        <v>0.1</v>
      </c>
      <c r="E100" s="297">
        <v>0</v>
      </c>
      <c r="F100" s="298">
        <v>0</v>
      </c>
      <c r="G100" s="299">
        <f t="shared" si="6"/>
        <v>0</v>
      </c>
      <c r="H100" s="299">
        <f t="shared" si="7"/>
        <v>0</v>
      </c>
      <c r="I100" s="300">
        <f>J$2*D100/100</f>
        <v>2000</v>
      </c>
      <c r="J100" s="300">
        <f>F$2*D100/100</f>
        <v>1</v>
      </c>
      <c r="K100" s="301">
        <f>ROUND(SUM(G100:J100),0) + M100</f>
        <v>2001.9</v>
      </c>
      <c r="L100" s="302">
        <f t="shared" si="9"/>
        <v>2061.9</v>
      </c>
      <c r="M100" s="227">
        <f t="shared" si="8"/>
        <v>0.90000000000000058</v>
      </c>
    </row>
    <row r="101" spans="1:13" x14ac:dyDescent="0.3">
      <c r="A101" s="305">
        <f t="shared" si="10"/>
        <v>91</v>
      </c>
      <c r="B101" s="307" t="s">
        <v>215</v>
      </c>
      <c r="C101" s="303"/>
      <c r="D101" s="296">
        <v>0.1</v>
      </c>
      <c r="E101" s="297">
        <v>0</v>
      </c>
      <c r="F101" s="298">
        <v>0</v>
      </c>
      <c r="G101" s="299">
        <f t="shared" si="6"/>
        <v>0</v>
      </c>
      <c r="H101" s="299">
        <f t="shared" si="7"/>
        <v>0</v>
      </c>
      <c r="I101" s="300">
        <f>J$2*D101/100</f>
        <v>2000</v>
      </c>
      <c r="J101" s="300">
        <f>F$2*D101/100</f>
        <v>1</v>
      </c>
      <c r="K101" s="301">
        <f>ROUND(SUM(G101:J101),0) + M101</f>
        <v>2001.91</v>
      </c>
      <c r="L101" s="302">
        <f t="shared" si="9"/>
        <v>2061.91</v>
      </c>
      <c r="M101" s="227">
        <f t="shared" si="8"/>
        <v>0.91000000000000059</v>
      </c>
    </row>
    <row r="102" spans="1:13" x14ac:dyDescent="0.3">
      <c r="A102" s="305">
        <f t="shared" si="10"/>
        <v>92</v>
      </c>
      <c r="B102" s="307" t="s">
        <v>216</v>
      </c>
      <c r="C102" s="303"/>
      <c r="D102" s="296">
        <v>0.1</v>
      </c>
      <c r="E102" s="297">
        <v>0</v>
      </c>
      <c r="F102" s="298">
        <v>0</v>
      </c>
      <c r="G102" s="299">
        <f t="shared" si="6"/>
        <v>0</v>
      </c>
      <c r="H102" s="299">
        <f t="shared" si="7"/>
        <v>0</v>
      </c>
      <c r="I102" s="300">
        <f>J$2*D102/100</f>
        <v>2000</v>
      </c>
      <c r="J102" s="300">
        <f>F$2*D102/100</f>
        <v>1</v>
      </c>
      <c r="K102" s="301">
        <f>ROUND(SUM(G102:J102),0) + M102</f>
        <v>2001.92</v>
      </c>
      <c r="L102" s="302">
        <f t="shared" si="9"/>
        <v>2061.92</v>
      </c>
      <c r="M102" s="227">
        <f t="shared" si="8"/>
        <v>0.9200000000000006</v>
      </c>
    </row>
    <row r="103" spans="1:13" x14ac:dyDescent="0.3">
      <c r="A103" s="305">
        <f t="shared" si="10"/>
        <v>93</v>
      </c>
      <c r="B103" s="307" t="s">
        <v>217</v>
      </c>
      <c r="C103" s="303"/>
      <c r="D103" s="296">
        <v>0.1</v>
      </c>
      <c r="E103" s="297">
        <v>0</v>
      </c>
      <c r="F103" s="298">
        <v>0</v>
      </c>
      <c r="G103" s="299">
        <f t="shared" si="6"/>
        <v>0</v>
      </c>
      <c r="H103" s="299">
        <f t="shared" si="7"/>
        <v>0</v>
      </c>
      <c r="I103" s="300">
        <f>J$2*D103/100</f>
        <v>2000</v>
      </c>
      <c r="J103" s="300">
        <f>F$2*D103/100</f>
        <v>1</v>
      </c>
      <c r="K103" s="301">
        <f>ROUND(SUM(G103:J103),0) + M103</f>
        <v>2001.93</v>
      </c>
      <c r="L103" s="302">
        <f t="shared" si="9"/>
        <v>2061.9300000000003</v>
      </c>
      <c r="M103" s="227">
        <f t="shared" si="8"/>
        <v>0.9300000000000006</v>
      </c>
    </row>
    <row r="104" spans="1:13" x14ac:dyDescent="0.3">
      <c r="A104" s="305">
        <f t="shared" si="10"/>
        <v>94</v>
      </c>
      <c r="B104" s="307" t="s">
        <v>218</v>
      </c>
      <c r="C104" s="303"/>
      <c r="D104" s="296">
        <v>0.1</v>
      </c>
      <c r="E104" s="297">
        <v>0</v>
      </c>
      <c r="F104" s="298">
        <v>0</v>
      </c>
      <c r="G104" s="299">
        <f t="shared" si="6"/>
        <v>0</v>
      </c>
      <c r="H104" s="299">
        <f t="shared" si="7"/>
        <v>0</v>
      </c>
      <c r="I104" s="300">
        <f>J$2*D104/100</f>
        <v>2000</v>
      </c>
      <c r="J104" s="300">
        <f>F$2*D104/100</f>
        <v>1</v>
      </c>
      <c r="K104" s="301">
        <f>ROUND(SUM(G104:J104),0) + M104</f>
        <v>2001.94</v>
      </c>
      <c r="L104" s="302">
        <f t="shared" si="9"/>
        <v>2061.94</v>
      </c>
      <c r="M104" s="227">
        <f t="shared" si="8"/>
        <v>0.94000000000000061</v>
      </c>
    </row>
    <row r="105" spans="1:13" x14ac:dyDescent="0.3">
      <c r="A105" s="305">
        <f t="shared" si="10"/>
        <v>95</v>
      </c>
      <c r="B105" s="307" t="s">
        <v>219</v>
      </c>
      <c r="C105" s="303"/>
      <c r="D105" s="296">
        <v>0.1</v>
      </c>
      <c r="E105" s="297">
        <v>0</v>
      </c>
      <c r="F105" s="298">
        <v>0</v>
      </c>
      <c r="G105" s="299">
        <f t="shared" si="6"/>
        <v>0</v>
      </c>
      <c r="H105" s="299">
        <f t="shared" si="7"/>
        <v>0</v>
      </c>
      <c r="I105" s="300">
        <f>J$2*D105/100</f>
        <v>2000</v>
      </c>
      <c r="J105" s="300">
        <f>F$2*D105/100</f>
        <v>1</v>
      </c>
      <c r="K105" s="301">
        <f>ROUND(SUM(G105:J105),0) + M105</f>
        <v>2001.95</v>
      </c>
      <c r="L105" s="302">
        <f t="shared" si="9"/>
        <v>2061.9499999999998</v>
      </c>
      <c r="M105" s="227">
        <f t="shared" si="8"/>
        <v>0.95000000000000062</v>
      </c>
    </row>
    <row r="106" spans="1:13" x14ac:dyDescent="0.3">
      <c r="A106" s="305">
        <f t="shared" si="10"/>
        <v>96</v>
      </c>
      <c r="B106" s="307" t="s">
        <v>218</v>
      </c>
      <c r="C106" s="303"/>
      <c r="D106" s="296">
        <v>0.1</v>
      </c>
      <c r="E106" s="297">
        <v>0</v>
      </c>
      <c r="F106" s="298">
        <v>0</v>
      </c>
      <c r="G106" s="299">
        <f t="shared" si="6"/>
        <v>0</v>
      </c>
      <c r="H106" s="299">
        <f t="shared" si="7"/>
        <v>0</v>
      </c>
      <c r="I106" s="300">
        <f>J$2*D106/100</f>
        <v>2000</v>
      </c>
      <c r="J106" s="300">
        <f>F$2*D106/100</f>
        <v>1</v>
      </c>
      <c r="K106" s="301">
        <f>ROUND(SUM(G106:J106),0) + M106</f>
        <v>2001.96</v>
      </c>
      <c r="L106" s="302">
        <f t="shared" si="9"/>
        <v>2061.96</v>
      </c>
      <c r="M106" s="227">
        <f t="shared" si="8"/>
        <v>0.96000000000000063</v>
      </c>
    </row>
    <row r="107" spans="1:13" x14ac:dyDescent="0.3">
      <c r="A107" s="305">
        <f t="shared" si="10"/>
        <v>97</v>
      </c>
      <c r="B107" s="307" t="s">
        <v>220</v>
      </c>
      <c r="C107" s="303"/>
      <c r="D107" s="296">
        <v>0.1</v>
      </c>
      <c r="E107" s="297">
        <v>0</v>
      </c>
      <c r="F107" s="298">
        <v>0</v>
      </c>
      <c r="G107" s="299">
        <f t="shared" si="6"/>
        <v>0</v>
      </c>
      <c r="H107" s="299">
        <f t="shared" si="7"/>
        <v>0</v>
      </c>
      <c r="I107" s="300">
        <f>J$2*D107/100</f>
        <v>2000</v>
      </c>
      <c r="J107" s="300">
        <f>F$2*D107/100</f>
        <v>1</v>
      </c>
      <c r="K107" s="301">
        <f>ROUND(SUM(G107:J107),0) + M107</f>
        <v>2001.97</v>
      </c>
      <c r="L107" s="302">
        <f t="shared" si="9"/>
        <v>2061.9700000000003</v>
      </c>
      <c r="M107" s="227">
        <f t="shared" si="8"/>
        <v>0.97000000000000064</v>
      </c>
    </row>
    <row r="108" spans="1:13" x14ac:dyDescent="0.3">
      <c r="A108" s="305">
        <f t="shared" si="10"/>
        <v>98</v>
      </c>
      <c r="B108" s="307" t="s">
        <v>221</v>
      </c>
      <c r="C108" s="303"/>
      <c r="D108" s="296">
        <v>0.1</v>
      </c>
      <c r="E108" s="297">
        <v>0</v>
      </c>
      <c r="F108" s="298">
        <v>0</v>
      </c>
      <c r="G108" s="299">
        <f t="shared" si="6"/>
        <v>0</v>
      </c>
      <c r="H108" s="299">
        <f t="shared" si="7"/>
        <v>0</v>
      </c>
      <c r="I108" s="300">
        <f>J$2*D108/100</f>
        <v>2000</v>
      </c>
      <c r="J108" s="300">
        <f>F$2*D108/100</f>
        <v>1</v>
      </c>
      <c r="K108" s="301">
        <f>ROUND(SUM(G108:J108),0) + M108</f>
        <v>2001.98</v>
      </c>
      <c r="L108" s="302">
        <f t="shared" si="9"/>
        <v>2061.98</v>
      </c>
      <c r="M108" s="227">
        <f t="shared" si="8"/>
        <v>0.98000000000000065</v>
      </c>
    </row>
    <row r="109" spans="1:13" x14ac:dyDescent="0.3">
      <c r="A109" s="305">
        <f t="shared" si="10"/>
        <v>99</v>
      </c>
      <c r="B109" s="307" t="s">
        <v>222</v>
      </c>
      <c r="C109" s="303"/>
      <c r="D109" s="296">
        <v>0.1</v>
      </c>
      <c r="E109" s="297">
        <v>0</v>
      </c>
      <c r="F109" s="298">
        <v>0</v>
      </c>
      <c r="G109" s="299">
        <f t="shared" si="6"/>
        <v>0</v>
      </c>
      <c r="H109" s="299">
        <f t="shared" si="7"/>
        <v>0</v>
      </c>
      <c r="I109" s="300">
        <f>J$2*D109/100</f>
        <v>2000</v>
      </c>
      <c r="J109" s="300">
        <f>F$2*D109/100</f>
        <v>1</v>
      </c>
      <c r="K109" s="301">
        <f>ROUND(SUM(G109:J109),0) + M109</f>
        <v>2001.99</v>
      </c>
      <c r="L109" s="302">
        <f t="shared" si="9"/>
        <v>2061.9899999999998</v>
      </c>
      <c r="M109" s="227">
        <f t="shared" si="8"/>
        <v>0.99000000000000066</v>
      </c>
    </row>
    <row r="110" spans="1:13" x14ac:dyDescent="0.3">
      <c r="A110" s="305">
        <f t="shared" si="10"/>
        <v>100</v>
      </c>
      <c r="B110" s="307" t="s">
        <v>223</v>
      </c>
      <c r="C110" s="303"/>
      <c r="D110" s="296">
        <v>0.1</v>
      </c>
      <c r="E110" s="297">
        <v>0</v>
      </c>
      <c r="F110" s="298">
        <v>0</v>
      </c>
      <c r="G110" s="299">
        <f t="shared" si="6"/>
        <v>0</v>
      </c>
      <c r="H110" s="299">
        <f t="shared" si="7"/>
        <v>0</v>
      </c>
      <c r="I110" s="300">
        <f>J$2*D110/100</f>
        <v>2000</v>
      </c>
      <c r="J110" s="300">
        <f>F$2*D110/100</f>
        <v>1</v>
      </c>
      <c r="K110" s="301">
        <f>ROUND(SUM(G110:J110),0) + M110</f>
        <v>2002</v>
      </c>
      <c r="L110" s="302">
        <f t="shared" si="9"/>
        <v>2062</v>
      </c>
      <c r="M110" s="227">
        <f t="shared" si="8"/>
        <v>1.0000000000000007</v>
      </c>
    </row>
    <row r="111" spans="1:13" x14ac:dyDescent="0.3">
      <c r="A111" s="305">
        <f t="shared" si="10"/>
        <v>101</v>
      </c>
      <c r="B111" s="295" t="s">
        <v>224</v>
      </c>
      <c r="C111" s="303"/>
      <c r="D111" s="296">
        <v>0.1</v>
      </c>
      <c r="E111" s="297">
        <v>0</v>
      </c>
      <c r="F111" s="298">
        <v>0</v>
      </c>
      <c r="G111" s="299">
        <f t="shared" si="6"/>
        <v>0</v>
      </c>
      <c r="H111" s="299">
        <f t="shared" si="7"/>
        <v>0</v>
      </c>
      <c r="I111" s="300">
        <f>J$2*D111/100</f>
        <v>2000</v>
      </c>
      <c r="J111" s="300">
        <f>F$2*D111/100</f>
        <v>1</v>
      </c>
      <c r="K111" s="301">
        <f>ROUND(SUM(G111:J111),0) + M111</f>
        <v>2002.01</v>
      </c>
      <c r="L111" s="302">
        <f t="shared" si="9"/>
        <v>2062.0100000000002</v>
      </c>
      <c r="M111" s="227">
        <f t="shared" si="8"/>
        <v>1.0100000000000007</v>
      </c>
    </row>
    <row r="112" spans="1:13" x14ac:dyDescent="0.3">
      <c r="A112" s="305">
        <f t="shared" si="10"/>
        <v>102</v>
      </c>
      <c r="B112" s="309" t="s">
        <v>225</v>
      </c>
      <c r="C112" s="303"/>
      <c r="D112" s="296">
        <v>0.1</v>
      </c>
      <c r="E112" s="297">
        <v>0</v>
      </c>
      <c r="F112" s="298">
        <v>0</v>
      </c>
      <c r="G112" s="299">
        <f t="shared" si="6"/>
        <v>0</v>
      </c>
      <c r="H112" s="299">
        <f t="shared" si="7"/>
        <v>0</v>
      </c>
      <c r="I112" s="300">
        <f>J$2*D112/100</f>
        <v>2000</v>
      </c>
      <c r="J112" s="300">
        <f>F$2*D112/100</f>
        <v>1</v>
      </c>
      <c r="K112" s="301">
        <f>ROUND(SUM(G112:J112),0) + M112</f>
        <v>2002.02</v>
      </c>
      <c r="L112" s="302">
        <f t="shared" si="9"/>
        <v>2062.02</v>
      </c>
      <c r="M112" s="227">
        <f t="shared" si="8"/>
        <v>1.0200000000000007</v>
      </c>
    </row>
    <row r="113" spans="1:13" x14ac:dyDescent="0.3">
      <c r="A113" s="305">
        <f t="shared" si="10"/>
        <v>103</v>
      </c>
      <c r="B113" s="309" t="s">
        <v>226</v>
      </c>
      <c r="C113" s="303"/>
      <c r="D113" s="296">
        <v>0.1</v>
      </c>
      <c r="E113" s="297">
        <v>0</v>
      </c>
      <c r="F113" s="298">
        <v>0</v>
      </c>
      <c r="G113" s="299">
        <f t="shared" si="6"/>
        <v>0</v>
      </c>
      <c r="H113" s="299">
        <f t="shared" si="7"/>
        <v>0</v>
      </c>
      <c r="I113" s="300">
        <f>J$2*D113/100</f>
        <v>2000</v>
      </c>
      <c r="J113" s="300">
        <f>F$2*D113/100</f>
        <v>1</v>
      </c>
      <c r="K113" s="301">
        <f>ROUND(SUM(G113:J113),0) + M113</f>
        <v>2002.03</v>
      </c>
      <c r="L113" s="302">
        <f t="shared" si="9"/>
        <v>2062.0299999999997</v>
      </c>
      <c r="M113" s="227">
        <f t="shared" si="8"/>
        <v>1.0300000000000007</v>
      </c>
    </row>
    <row r="114" spans="1:13" ht="15" thickBot="1" x14ac:dyDescent="0.35">
      <c r="A114" s="305"/>
      <c r="B114" s="309"/>
      <c r="C114" s="303"/>
      <c r="D114" s="296"/>
      <c r="E114" s="306"/>
      <c r="F114" s="308"/>
      <c r="G114" s="299"/>
      <c r="H114" s="299"/>
      <c r="I114" s="300"/>
      <c r="J114" s="300"/>
      <c r="K114" s="301"/>
      <c r="L114" s="302"/>
      <c r="M114" s="227"/>
    </row>
    <row r="115" spans="1:13" ht="17.100000000000001" customHeight="1" thickBot="1" x14ac:dyDescent="0.35">
      <c r="A115" s="310"/>
      <c r="B115" s="311"/>
      <c r="C115" s="311"/>
      <c r="D115" s="312">
        <f>SUM(D11:D114)</f>
        <v>100.15999999999993</v>
      </c>
      <c r="E115" s="313">
        <f>SUM(E11:E114)</f>
        <v>0</v>
      </c>
      <c r="F115" s="314">
        <f>SUM(F11:F114)</f>
        <v>0</v>
      </c>
      <c r="G115" s="314">
        <f>SUM(G11:G114)</f>
        <v>0</v>
      </c>
      <c r="H115" s="314">
        <f>SUM(H11:H114)</f>
        <v>0</v>
      </c>
      <c r="I115" s="315">
        <f>SUM(I11:I114)</f>
        <v>2003200</v>
      </c>
      <c r="J115" s="314">
        <f>SUM(J11:J114)</f>
        <v>1001.6000000000009</v>
      </c>
      <c r="K115" s="316">
        <f>SUM(K11:K114)</f>
        <v>2004250.56</v>
      </c>
      <c r="L115" s="316">
        <f>SUM(L11:L114)</f>
        <v>2064346.56</v>
      </c>
    </row>
    <row r="116" spans="1:13" ht="12.75" customHeight="1" x14ac:dyDescent="0.3">
      <c r="B116" s="317"/>
      <c r="C116" s="317"/>
    </row>
    <row r="117" spans="1:13" hidden="1" x14ac:dyDescent="0.3"/>
    <row r="118" spans="1:13" ht="9" customHeight="1" x14ac:dyDescent="0.3">
      <c r="B118" s="269" t="str">
        <f>[1]RESUMEN!A13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</c>
      <c r="C118" s="269"/>
      <c r="D118" s="269"/>
      <c r="E118" s="269"/>
      <c r="F118" s="269"/>
      <c r="G118" s="269"/>
      <c r="H118" s="269"/>
      <c r="I118" s="269"/>
      <c r="J118" s="269"/>
      <c r="K118" s="269"/>
    </row>
    <row r="119" spans="1:13" ht="12" hidden="1" customHeight="1" x14ac:dyDescent="0.3">
      <c r="B119" s="269"/>
      <c r="C119" s="269"/>
      <c r="D119" s="269"/>
      <c r="E119" s="269"/>
      <c r="F119" s="269"/>
      <c r="G119" s="269"/>
      <c r="H119" s="269"/>
      <c r="I119" s="269"/>
      <c r="J119" s="269"/>
      <c r="K119" s="269"/>
    </row>
    <row r="120" spans="1:13" ht="12" hidden="1" customHeight="1" x14ac:dyDescent="0.3"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</row>
    <row r="121" spans="1:13" ht="12" hidden="1" customHeight="1" x14ac:dyDescent="0.3">
      <c r="B121" s="269"/>
      <c r="C121" s="269"/>
      <c r="D121" s="269"/>
      <c r="E121" s="269"/>
      <c r="F121" s="269"/>
      <c r="G121" s="269"/>
      <c r="H121" s="269"/>
      <c r="I121" s="269"/>
      <c r="J121" s="269"/>
      <c r="K121" s="269"/>
    </row>
    <row r="122" spans="1:13" ht="12" hidden="1" customHeight="1" x14ac:dyDescent="0.3">
      <c r="B122" s="269"/>
      <c r="C122" s="269"/>
      <c r="D122" s="269"/>
      <c r="E122" s="269"/>
      <c r="F122" s="269"/>
      <c r="G122" s="269"/>
      <c r="H122" s="269"/>
      <c r="I122" s="269"/>
      <c r="J122" s="269"/>
      <c r="K122" s="269"/>
    </row>
    <row r="123" spans="1:13" ht="67.5" customHeight="1" x14ac:dyDescent="0.3">
      <c r="B123" s="269"/>
      <c r="C123" s="269"/>
      <c r="D123" s="269"/>
      <c r="E123" s="269"/>
      <c r="F123" s="269"/>
      <c r="G123" s="269"/>
      <c r="H123" s="269"/>
      <c r="I123" s="269"/>
      <c r="J123" s="269"/>
      <c r="K123" s="269"/>
    </row>
  </sheetData>
  <mergeCells count="14">
    <mergeCell ref="I9:I10"/>
    <mergeCell ref="J9:J10"/>
    <mergeCell ref="L9:L10"/>
    <mergeCell ref="B118:K123"/>
    <mergeCell ref="D1:K1"/>
    <mergeCell ref="A4:L8"/>
    <mergeCell ref="A9:A10"/>
    <mergeCell ref="B9:B10"/>
    <mergeCell ref="C9:C10"/>
    <mergeCell ref="D9:D10"/>
    <mergeCell ref="E9:E10"/>
    <mergeCell ref="F9:F10"/>
    <mergeCell ref="G9:G10"/>
    <mergeCell ref="H9:H10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8"/>
  <sheetViews>
    <sheetView topLeftCell="A143" workbookViewId="0">
      <selection activeCell="A115" sqref="A115"/>
    </sheetView>
  </sheetViews>
  <sheetFormatPr baseColWidth="10" defaultRowHeight="14.4" x14ac:dyDescent="0.3"/>
  <cols>
    <col min="1" max="1" width="6" customWidth="1"/>
    <col min="2" max="2" width="5.88671875" style="9" customWidth="1"/>
    <col min="3" max="3" width="11.44140625" hidden="1" customWidth="1"/>
    <col min="4" max="4" width="62.6640625" customWidth="1"/>
    <col min="5" max="5" width="14.5546875" customWidth="1"/>
    <col min="6" max="6" width="14.5546875" style="12" customWidth="1"/>
    <col min="8" max="8" width="4.5546875" customWidth="1"/>
    <col min="9" max="9" width="35.88671875" customWidth="1"/>
    <col min="10" max="10" width="12.33203125" customWidth="1"/>
    <col min="11" max="11" width="9.33203125" customWidth="1"/>
    <col min="12" max="12" width="11.109375" customWidth="1"/>
  </cols>
  <sheetData>
    <row r="1" spans="1:18" ht="15" customHeight="1" x14ac:dyDescent="0.35">
      <c r="A1" s="149" t="s">
        <v>1</v>
      </c>
      <c r="B1" s="149"/>
      <c r="C1" s="149"/>
      <c r="I1" s="40"/>
      <c r="J1" s="40" t="s">
        <v>20</v>
      </c>
      <c r="K1" s="40"/>
      <c r="L1" s="40"/>
      <c r="M1" s="40"/>
      <c r="N1" s="40"/>
      <c r="O1" s="40"/>
      <c r="P1" s="40"/>
      <c r="Q1" s="40"/>
      <c r="R1" s="40"/>
    </row>
    <row r="2" spans="1:18" ht="6" customHeight="1" thickBot="1" x14ac:dyDescent="0.35">
      <c r="A2" s="149"/>
      <c r="B2" s="149"/>
      <c r="C2" s="149"/>
      <c r="J2" t="s">
        <v>20</v>
      </c>
    </row>
    <row r="3" spans="1:18" ht="15.6" thickBot="1" x14ac:dyDescent="0.4">
      <c r="A3" s="30" t="s">
        <v>2</v>
      </c>
      <c r="B3" s="8"/>
      <c r="C3" s="8"/>
      <c r="D3" s="1"/>
      <c r="E3" s="150" t="s">
        <v>49</v>
      </c>
      <c r="F3" s="151"/>
      <c r="G3" s="1"/>
      <c r="J3" t="s">
        <v>20</v>
      </c>
    </row>
    <row r="4" spans="1:18" x14ac:dyDescent="0.3">
      <c r="B4" s="8" t="s">
        <v>6</v>
      </c>
      <c r="C4" s="1"/>
      <c r="D4" s="1"/>
      <c r="E4" s="1"/>
      <c r="F4" s="26"/>
      <c r="G4" s="1"/>
      <c r="I4" s="9"/>
      <c r="J4" s="9" t="s">
        <v>20</v>
      </c>
      <c r="K4" s="9"/>
      <c r="L4" s="9"/>
      <c r="M4" s="9"/>
      <c r="N4" s="9"/>
      <c r="O4" s="36"/>
    </row>
    <row r="5" spans="1:18" ht="15" thickBot="1" x14ac:dyDescent="0.35">
      <c r="B5" s="8" t="s">
        <v>0</v>
      </c>
      <c r="C5" s="1"/>
      <c r="D5" s="1"/>
      <c r="E5" s="1"/>
      <c r="F5" s="26"/>
      <c r="G5" s="1"/>
      <c r="J5" t="s">
        <v>20</v>
      </c>
    </row>
    <row r="6" spans="1:18" ht="16.5" customHeight="1" thickBot="1" x14ac:dyDescent="0.35">
      <c r="B6" s="8" t="s">
        <v>40</v>
      </c>
      <c r="C6" s="1"/>
      <c r="D6" s="1"/>
      <c r="E6" s="41" t="s">
        <v>3</v>
      </c>
      <c r="F6" s="42">
        <v>45689</v>
      </c>
      <c r="G6" s="1"/>
      <c r="H6" s="37"/>
      <c r="I6" s="37"/>
      <c r="J6" s="32" t="s">
        <v>20</v>
      </c>
      <c r="K6" s="32"/>
      <c r="L6" s="32"/>
      <c r="M6" s="32"/>
      <c r="N6" s="32"/>
      <c r="O6" s="32"/>
      <c r="P6" s="32"/>
      <c r="Q6" s="32"/>
      <c r="R6" s="32"/>
    </row>
    <row r="7" spans="1:18" s="9" customFormat="1" x14ac:dyDescent="0.3">
      <c r="B7" s="8"/>
      <c r="C7" s="8"/>
      <c r="D7" s="8" t="s">
        <v>14</v>
      </c>
      <c r="G7" s="8"/>
      <c r="H7" s="3"/>
      <c r="I7"/>
      <c r="J7" t="s">
        <v>20</v>
      </c>
      <c r="K7"/>
      <c r="L7"/>
      <c r="M7"/>
      <c r="N7"/>
      <c r="O7"/>
      <c r="P7"/>
      <c r="Q7"/>
    </row>
    <row r="8" spans="1:18" ht="15" thickBot="1" x14ac:dyDescent="0.35">
      <c r="B8" s="8" t="s">
        <v>7</v>
      </c>
      <c r="C8" s="1"/>
      <c r="D8" s="1"/>
      <c r="E8" s="1"/>
      <c r="F8" s="26"/>
      <c r="G8" s="1"/>
      <c r="H8" s="2"/>
      <c r="I8" s="33"/>
      <c r="J8" s="34" t="s">
        <v>20</v>
      </c>
      <c r="K8" s="34"/>
      <c r="L8" s="35"/>
      <c r="M8" s="35"/>
      <c r="N8" s="35"/>
      <c r="O8" s="35"/>
      <c r="P8" s="35"/>
      <c r="Q8" s="35"/>
      <c r="R8" s="35"/>
    </row>
    <row r="9" spans="1:18" s="3" customFormat="1" ht="15" thickBot="1" x14ac:dyDescent="0.35">
      <c r="B9" s="4">
        <v>1</v>
      </c>
      <c r="C9" s="5"/>
      <c r="D9" s="6" t="s">
        <v>15</v>
      </c>
      <c r="E9" s="6" t="s">
        <v>4</v>
      </c>
      <c r="F9" s="27" t="s">
        <v>5</v>
      </c>
      <c r="I9" s="33"/>
      <c r="J9" s="34" t="s">
        <v>20</v>
      </c>
      <c r="K9" s="34"/>
      <c r="L9" s="35"/>
      <c r="M9" s="35"/>
      <c r="N9" s="35"/>
      <c r="O9" s="35"/>
      <c r="P9" s="35"/>
      <c r="Q9" s="35"/>
      <c r="R9" s="35"/>
    </row>
    <row r="10" spans="1:18" x14ac:dyDescent="0.3">
      <c r="B10" s="7"/>
      <c r="D10" t="s">
        <v>248</v>
      </c>
      <c r="E10" s="14" t="s">
        <v>20</v>
      </c>
      <c r="F10" s="14"/>
      <c r="G10" t="s">
        <v>20</v>
      </c>
      <c r="H10" s="2"/>
      <c r="I10" s="33"/>
      <c r="J10" s="34" t="s">
        <v>20</v>
      </c>
      <c r="K10" s="34"/>
      <c r="L10" s="35"/>
      <c r="M10" s="35"/>
      <c r="N10" s="35"/>
      <c r="O10" s="35"/>
      <c r="P10" s="35"/>
      <c r="Q10" s="35"/>
      <c r="R10" s="35"/>
    </row>
    <row r="11" spans="1:18" x14ac:dyDescent="0.3">
      <c r="B11" s="7"/>
      <c r="D11" t="s">
        <v>50</v>
      </c>
      <c r="E11" s="10" t="s">
        <v>20</v>
      </c>
      <c r="F11" s="10"/>
      <c r="H11" s="2"/>
      <c r="I11" s="33"/>
      <c r="J11" s="34"/>
      <c r="K11" s="34"/>
      <c r="L11" s="35"/>
      <c r="M11" s="35"/>
      <c r="N11" s="35"/>
      <c r="O11" s="35"/>
      <c r="P11" s="35"/>
      <c r="Q11" s="35"/>
      <c r="R11" s="35"/>
    </row>
    <row r="12" spans="1:18" x14ac:dyDescent="0.3">
      <c r="B12" s="7"/>
      <c r="D12" t="s">
        <v>51</v>
      </c>
      <c r="E12" s="10">
        <v>850819</v>
      </c>
      <c r="F12" s="10"/>
      <c r="G12" t="s">
        <v>20</v>
      </c>
      <c r="H12" s="3"/>
      <c r="I12" s="38"/>
      <c r="J12" s="39" t="s">
        <v>20</v>
      </c>
      <c r="K12" s="39"/>
      <c r="L12" s="35"/>
      <c r="M12" s="35"/>
      <c r="N12" s="35"/>
      <c r="O12" s="35"/>
      <c r="P12" s="35"/>
      <c r="Q12" s="35"/>
      <c r="R12" s="35"/>
    </row>
    <row r="13" spans="1:18" x14ac:dyDescent="0.3">
      <c r="B13" s="7"/>
      <c r="D13" t="s">
        <v>52</v>
      </c>
      <c r="E13" s="10">
        <v>402204</v>
      </c>
      <c r="F13" s="10"/>
      <c r="H13" s="3"/>
      <c r="I13" s="38"/>
      <c r="J13" s="39"/>
      <c r="K13" s="39"/>
      <c r="L13" s="35"/>
      <c r="M13" s="35"/>
      <c r="N13" s="35"/>
      <c r="O13" s="35"/>
      <c r="P13" s="35"/>
      <c r="Q13" s="35"/>
      <c r="R13" s="35"/>
    </row>
    <row r="14" spans="1:18" x14ac:dyDescent="0.3">
      <c r="B14" s="7"/>
      <c r="D14" t="s">
        <v>53</v>
      </c>
      <c r="E14" s="10">
        <v>125587.9</v>
      </c>
      <c r="F14" s="10"/>
      <c r="H14" s="3"/>
      <c r="I14" s="38"/>
      <c r="J14" s="39"/>
      <c r="K14" s="39"/>
      <c r="L14" s="35"/>
      <c r="M14" s="35"/>
      <c r="N14" s="35"/>
      <c r="O14" s="35"/>
      <c r="P14" s="35"/>
      <c r="Q14" s="35"/>
      <c r="R14" s="35"/>
    </row>
    <row r="15" spans="1:18" x14ac:dyDescent="0.3">
      <c r="B15" s="7"/>
      <c r="D15" t="s">
        <v>255</v>
      </c>
      <c r="E15" s="10">
        <v>1544044.66</v>
      </c>
      <c r="F15" s="10"/>
      <c r="H15" s="3"/>
      <c r="I15" s="38"/>
      <c r="J15" s="39"/>
      <c r="K15" s="39"/>
      <c r="L15" s="35"/>
      <c r="M15" s="35"/>
      <c r="N15" s="35"/>
      <c r="O15" s="35"/>
      <c r="P15" s="35"/>
      <c r="Q15" s="35"/>
      <c r="R15" s="35"/>
    </row>
    <row r="16" spans="1:18" x14ac:dyDescent="0.3">
      <c r="B16" s="7"/>
      <c r="D16" t="s">
        <v>256</v>
      </c>
      <c r="E16" s="10">
        <v>-1286703.8799999999</v>
      </c>
      <c r="F16" s="10"/>
      <c r="H16" s="3"/>
      <c r="I16" s="38"/>
      <c r="J16" s="39"/>
      <c r="K16" s="39"/>
      <c r="L16" s="35"/>
      <c r="M16" s="35"/>
      <c r="N16" s="35"/>
      <c r="O16" s="35"/>
      <c r="P16" s="35"/>
      <c r="Q16" s="35"/>
      <c r="R16" s="35"/>
    </row>
    <row r="17" spans="2:16" x14ac:dyDescent="0.3">
      <c r="B17" s="7"/>
      <c r="D17" t="s">
        <v>55</v>
      </c>
      <c r="E17" s="10">
        <v>-179954.73</v>
      </c>
      <c r="F17" s="10"/>
      <c r="G17" t="s">
        <v>20</v>
      </c>
      <c r="H17" s="34"/>
      <c r="I17" s="34"/>
      <c r="J17" s="35"/>
      <c r="K17" s="35"/>
      <c r="L17" s="35"/>
      <c r="M17" s="35"/>
      <c r="N17" s="35"/>
      <c r="O17" s="35"/>
      <c r="P17" s="35"/>
    </row>
    <row r="18" spans="2:16" x14ac:dyDescent="0.3">
      <c r="B18" s="7"/>
      <c r="D18" t="s">
        <v>56</v>
      </c>
      <c r="E18" s="10">
        <v>-49078.559999999998</v>
      </c>
      <c r="F18" s="10"/>
      <c r="G18" t="s">
        <v>20</v>
      </c>
      <c r="H18" s="34"/>
      <c r="I18" s="34" t="s">
        <v>20</v>
      </c>
      <c r="J18" s="35" t="s">
        <v>20</v>
      </c>
      <c r="K18" s="35"/>
      <c r="L18" s="35"/>
      <c r="M18" s="35"/>
      <c r="N18" s="35"/>
      <c r="O18" s="35"/>
      <c r="P18" s="35"/>
    </row>
    <row r="19" spans="2:16" x14ac:dyDescent="0.3">
      <c r="B19" s="7"/>
      <c r="D19" t="s">
        <v>57</v>
      </c>
      <c r="E19" s="10">
        <v>-49078.559999999998</v>
      </c>
      <c r="F19" s="10"/>
      <c r="G19" t="s">
        <v>20</v>
      </c>
      <c r="H19" s="34"/>
      <c r="I19" s="34"/>
      <c r="J19" s="35"/>
      <c r="K19" s="35"/>
      <c r="L19" s="35"/>
      <c r="M19" s="35"/>
      <c r="N19" s="35"/>
      <c r="O19" s="35"/>
      <c r="P19" s="35"/>
    </row>
    <row r="20" spans="2:16" x14ac:dyDescent="0.3">
      <c r="B20" s="7"/>
      <c r="D20" t="s">
        <v>58</v>
      </c>
      <c r="E20" s="10">
        <v>-32719.040000000001</v>
      </c>
      <c r="F20" s="10"/>
      <c r="H20" s="34"/>
      <c r="I20" s="34"/>
      <c r="J20" s="35"/>
      <c r="K20" s="35"/>
      <c r="L20" s="35"/>
      <c r="M20" s="35"/>
      <c r="N20" s="35"/>
      <c r="O20" s="35"/>
      <c r="P20" s="35"/>
    </row>
    <row r="21" spans="2:16" x14ac:dyDescent="0.3">
      <c r="B21" s="7"/>
      <c r="D21" t="s">
        <v>59</v>
      </c>
      <c r="E21" s="10">
        <v>-16359.52</v>
      </c>
      <c r="F21" s="10"/>
      <c r="G21" t="s">
        <v>20</v>
      </c>
      <c r="H21" s="34"/>
      <c r="I21" s="34"/>
      <c r="J21" s="35"/>
      <c r="K21" s="35"/>
      <c r="L21" s="35"/>
      <c r="M21" s="35"/>
      <c r="N21" s="35"/>
      <c r="O21" s="35"/>
      <c r="P21" s="35"/>
    </row>
    <row r="22" spans="2:16" x14ac:dyDescent="0.3">
      <c r="B22" s="7"/>
      <c r="D22" t="s">
        <v>60</v>
      </c>
      <c r="E22" s="10">
        <v>-16359.52</v>
      </c>
      <c r="F22" s="10"/>
      <c r="H22" s="34"/>
      <c r="I22" s="34"/>
      <c r="J22" s="35"/>
      <c r="K22" s="35"/>
      <c r="L22" s="35"/>
      <c r="M22" s="35"/>
      <c r="N22" s="35"/>
      <c r="O22" s="35"/>
      <c r="P22" s="35"/>
    </row>
    <row r="23" spans="2:16" x14ac:dyDescent="0.3">
      <c r="B23" s="7"/>
      <c r="D23" t="s">
        <v>61</v>
      </c>
      <c r="E23" s="10">
        <v>-12269.64</v>
      </c>
      <c r="F23" s="10"/>
      <c r="H23" s="34"/>
      <c r="I23" s="34"/>
      <c r="J23" s="35"/>
      <c r="K23" s="35"/>
      <c r="L23" s="35"/>
      <c r="M23" s="35"/>
      <c r="N23" s="35"/>
      <c r="O23" s="35"/>
      <c r="P23" s="35"/>
    </row>
    <row r="24" spans="2:16" x14ac:dyDescent="0.3">
      <c r="B24" s="7"/>
      <c r="D24" t="s">
        <v>62</v>
      </c>
      <c r="E24" s="10">
        <v>-32719.040000000001</v>
      </c>
      <c r="F24" s="10" t="s">
        <v>20</v>
      </c>
      <c r="G24" t="s">
        <v>20</v>
      </c>
      <c r="H24" s="34"/>
      <c r="I24" s="34"/>
      <c r="J24" s="35" t="s">
        <v>20</v>
      </c>
      <c r="K24" s="35"/>
      <c r="L24" s="35"/>
      <c r="M24" s="35"/>
      <c r="N24" s="35"/>
      <c r="O24" s="35"/>
      <c r="P24" s="35"/>
    </row>
    <row r="25" spans="2:16" x14ac:dyDescent="0.3">
      <c r="B25" s="7"/>
      <c r="D25" t="s">
        <v>54</v>
      </c>
      <c r="E25" s="10">
        <v>-7.0000000000000007E-2</v>
      </c>
      <c r="F25" s="10">
        <f>SUM(E10:E25)</f>
        <v>1247412.9999999995</v>
      </c>
      <c r="G25" t="s">
        <v>20</v>
      </c>
      <c r="H25" s="34"/>
      <c r="I25" s="34"/>
      <c r="J25" s="35" t="s">
        <v>20</v>
      </c>
      <c r="K25" s="35"/>
      <c r="L25" s="35"/>
      <c r="M25" s="35"/>
      <c r="N25" s="35"/>
      <c r="O25" s="35"/>
      <c r="P25" s="35"/>
    </row>
    <row r="26" spans="2:16" ht="15" thickBot="1" x14ac:dyDescent="0.35">
      <c r="B26" s="7"/>
      <c r="D26" t="s">
        <v>262</v>
      </c>
      <c r="E26" s="10">
        <v>168985</v>
      </c>
      <c r="F26" s="10">
        <v>168985</v>
      </c>
      <c r="H26" s="34"/>
      <c r="I26" s="34"/>
      <c r="J26" s="35"/>
      <c r="K26" s="35"/>
      <c r="L26" s="35"/>
      <c r="M26" s="35"/>
      <c r="N26" s="35"/>
      <c r="O26" s="35"/>
      <c r="P26" s="35"/>
    </row>
    <row r="27" spans="2:16" ht="15" thickBot="1" x14ac:dyDescent="0.35">
      <c r="B27" s="7">
        <v>2</v>
      </c>
      <c r="D27" s="6" t="s">
        <v>27</v>
      </c>
      <c r="E27" s="57" t="s">
        <v>20</v>
      </c>
      <c r="F27" s="10"/>
      <c r="H27" s="34"/>
      <c r="I27" s="34"/>
      <c r="J27" s="35" t="s">
        <v>20</v>
      </c>
      <c r="K27" s="35"/>
      <c r="L27" s="35"/>
      <c r="M27" s="35"/>
      <c r="N27" s="35"/>
      <c r="O27" s="35"/>
      <c r="P27" s="35"/>
    </row>
    <row r="28" spans="2:16" x14ac:dyDescent="0.3">
      <c r="B28" s="7"/>
      <c r="D28" t="s">
        <v>63</v>
      </c>
      <c r="E28" s="13">
        <v>0</v>
      </c>
      <c r="F28" s="10"/>
      <c r="G28" t="s">
        <v>20</v>
      </c>
      <c r="H28" s="34"/>
      <c r="I28" s="34"/>
      <c r="J28" s="35" t="s">
        <v>20</v>
      </c>
      <c r="K28" s="35"/>
      <c r="L28" s="35"/>
      <c r="M28" s="35"/>
      <c r="N28" s="35"/>
      <c r="O28" s="35"/>
      <c r="P28" s="35"/>
    </row>
    <row r="29" spans="2:16" x14ac:dyDescent="0.3">
      <c r="B29" s="7"/>
      <c r="D29" t="s">
        <v>64</v>
      </c>
      <c r="E29" s="13">
        <v>0</v>
      </c>
      <c r="F29" s="10"/>
      <c r="G29" t="s">
        <v>20</v>
      </c>
      <c r="H29" s="34"/>
      <c r="I29" s="34"/>
      <c r="J29" s="35"/>
      <c r="K29" s="35"/>
      <c r="L29" s="35"/>
      <c r="M29" s="35"/>
      <c r="N29" s="35"/>
      <c r="O29" s="35"/>
      <c r="P29" s="35"/>
    </row>
    <row r="30" spans="2:16" x14ac:dyDescent="0.3">
      <c r="B30" s="7"/>
      <c r="D30" t="s">
        <v>65</v>
      </c>
      <c r="E30" s="13">
        <v>0</v>
      </c>
      <c r="F30" s="10"/>
      <c r="G30" t="s">
        <v>20</v>
      </c>
      <c r="H30" s="34"/>
      <c r="I30" s="34"/>
      <c r="J30" s="35"/>
      <c r="K30" s="35"/>
      <c r="L30" s="35"/>
      <c r="M30" s="35"/>
      <c r="N30" s="35"/>
      <c r="O30" s="35"/>
      <c r="P30" s="35"/>
    </row>
    <row r="31" spans="2:16" x14ac:dyDescent="0.3">
      <c r="B31" s="7"/>
      <c r="D31" t="s">
        <v>66</v>
      </c>
      <c r="E31" s="13">
        <v>0</v>
      </c>
      <c r="F31" s="10"/>
      <c r="H31" s="34"/>
      <c r="I31" s="34"/>
      <c r="J31" s="35"/>
      <c r="K31" s="35"/>
      <c r="L31" s="35"/>
      <c r="M31" s="35"/>
      <c r="N31" s="35"/>
      <c r="O31" s="35"/>
      <c r="P31" s="35"/>
    </row>
    <row r="32" spans="2:16" x14ac:dyDescent="0.3">
      <c r="B32" s="7"/>
      <c r="D32" t="s">
        <v>67</v>
      </c>
      <c r="E32" s="13">
        <v>0</v>
      </c>
      <c r="F32" s="10"/>
      <c r="H32" s="34"/>
      <c r="I32" s="34"/>
      <c r="J32" s="35"/>
      <c r="K32" s="35"/>
      <c r="L32" s="35"/>
      <c r="M32" s="35"/>
      <c r="N32" s="35"/>
      <c r="O32" s="35"/>
      <c r="P32" s="35"/>
    </row>
    <row r="33" spans="1:18" x14ac:dyDescent="0.3">
      <c r="B33" s="7"/>
      <c r="D33" t="s">
        <v>68</v>
      </c>
      <c r="E33" s="13">
        <v>0</v>
      </c>
      <c r="F33" s="10"/>
      <c r="H33" s="34"/>
      <c r="I33" s="34"/>
      <c r="J33" s="35"/>
      <c r="K33" s="35"/>
      <c r="L33" s="35"/>
      <c r="M33" s="35"/>
      <c r="N33" s="35"/>
      <c r="O33" s="35"/>
      <c r="P33" s="35"/>
    </row>
    <row r="34" spans="1:18" x14ac:dyDescent="0.3">
      <c r="B34" s="7"/>
      <c r="D34" t="s">
        <v>259</v>
      </c>
      <c r="E34" s="13">
        <v>0</v>
      </c>
      <c r="F34" s="10"/>
      <c r="G34" t="s">
        <v>20</v>
      </c>
      <c r="H34" s="34"/>
      <c r="I34" s="34"/>
      <c r="J34" s="35"/>
      <c r="K34" s="35"/>
      <c r="L34" s="35"/>
      <c r="M34" s="35"/>
      <c r="N34" s="35"/>
      <c r="O34" s="35"/>
      <c r="P34" s="35"/>
    </row>
    <row r="35" spans="1:18" x14ac:dyDescent="0.3">
      <c r="B35" s="7"/>
      <c r="D35" t="s">
        <v>260</v>
      </c>
      <c r="E35" s="13">
        <v>0</v>
      </c>
      <c r="F35" s="10"/>
      <c r="G35" t="s">
        <v>20</v>
      </c>
      <c r="H35" s="34"/>
      <c r="I35" s="34"/>
      <c r="J35" s="35"/>
      <c r="K35" s="35"/>
      <c r="L35" s="35"/>
      <c r="M35" s="35"/>
      <c r="N35" s="35"/>
      <c r="O35" s="35"/>
      <c r="P35" s="35"/>
    </row>
    <row r="36" spans="1:18" x14ac:dyDescent="0.3">
      <c r="B36" s="7"/>
      <c r="D36" t="s">
        <v>261</v>
      </c>
      <c r="E36" s="13">
        <v>0</v>
      </c>
      <c r="F36" s="10"/>
      <c r="G36" t="s">
        <v>20</v>
      </c>
      <c r="H36" s="34"/>
      <c r="I36" s="34"/>
      <c r="J36" s="35"/>
      <c r="K36" s="35"/>
      <c r="L36" s="35"/>
      <c r="M36" s="35"/>
      <c r="N36" s="35"/>
      <c r="O36" s="35"/>
      <c r="P36" s="35"/>
    </row>
    <row r="37" spans="1:18" x14ac:dyDescent="0.3">
      <c r="B37" s="7"/>
      <c r="D37" t="s">
        <v>257</v>
      </c>
      <c r="E37" s="13">
        <v>19305.23</v>
      </c>
      <c r="F37" s="10"/>
      <c r="G37" t="s">
        <v>20</v>
      </c>
      <c r="H37" s="34"/>
      <c r="I37" s="34"/>
      <c r="J37" s="35"/>
      <c r="K37" s="35"/>
      <c r="L37" s="35"/>
      <c r="M37" s="35"/>
      <c r="N37" s="35"/>
      <c r="O37" s="35"/>
      <c r="P37" s="35"/>
    </row>
    <row r="38" spans="1:18" x14ac:dyDescent="0.3">
      <c r="B38" s="7"/>
      <c r="D38" t="s">
        <v>258</v>
      </c>
      <c r="E38" s="13">
        <v>6327.79</v>
      </c>
      <c r="F38" s="10"/>
      <c r="G38" t="s">
        <v>20</v>
      </c>
      <c r="H38" s="34"/>
      <c r="I38" s="34"/>
      <c r="J38" s="35"/>
      <c r="K38" s="35"/>
      <c r="L38" s="35"/>
      <c r="M38" s="35"/>
      <c r="N38" s="35"/>
      <c r="O38" s="35"/>
      <c r="P38" s="35"/>
    </row>
    <row r="39" spans="1:18" ht="15" thickBot="1" x14ac:dyDescent="0.35">
      <c r="B39" s="7"/>
      <c r="D39" t="s">
        <v>20</v>
      </c>
      <c r="E39" s="11">
        <v>0.3</v>
      </c>
      <c r="F39" s="10">
        <f>SUM(E28:E39)</f>
        <v>25633.32</v>
      </c>
      <c r="G39" t="s">
        <v>20</v>
      </c>
      <c r="H39" s="34"/>
      <c r="I39" s="34"/>
      <c r="J39" s="35" t="s">
        <v>20</v>
      </c>
      <c r="K39" s="35"/>
      <c r="L39" s="35"/>
      <c r="M39" s="35"/>
      <c r="N39" s="35"/>
      <c r="O39" s="35"/>
      <c r="P39" s="35"/>
    </row>
    <row r="40" spans="1:18" ht="15" thickBot="1" x14ac:dyDescent="0.35">
      <c r="B40" s="7">
        <v>3</v>
      </c>
      <c r="D40" s="4" t="s">
        <v>42</v>
      </c>
      <c r="E40" s="57" t="s">
        <v>20</v>
      </c>
      <c r="F40" s="56"/>
      <c r="H40" s="34"/>
      <c r="I40" s="34"/>
      <c r="J40" s="35" t="s">
        <v>20</v>
      </c>
      <c r="K40" s="35"/>
      <c r="L40" s="35"/>
      <c r="M40" s="35"/>
      <c r="N40" s="35"/>
      <c r="O40" s="35"/>
      <c r="P40" s="35"/>
    </row>
    <row r="41" spans="1:18" ht="15" thickBot="1" x14ac:dyDescent="0.35">
      <c r="B41" s="7">
        <v>4</v>
      </c>
      <c r="D41" s="82" t="s">
        <v>13</v>
      </c>
      <c r="E41" s="57" t="s">
        <v>20</v>
      </c>
      <c r="F41" s="56"/>
      <c r="H41" s="2"/>
      <c r="I41" s="33"/>
      <c r="J41" s="34"/>
      <c r="K41" s="34"/>
      <c r="L41" s="35"/>
      <c r="M41" s="35"/>
      <c r="N41" s="35"/>
      <c r="O41" s="35"/>
      <c r="P41" s="35"/>
      <c r="Q41" s="35"/>
      <c r="R41" s="35"/>
    </row>
    <row r="42" spans="1:18" x14ac:dyDescent="0.3">
      <c r="B42" s="7"/>
      <c r="D42" s="96" t="s">
        <v>263</v>
      </c>
      <c r="E42" s="56">
        <v>210000</v>
      </c>
      <c r="F42" s="56"/>
      <c r="H42" s="2"/>
      <c r="I42" s="33"/>
      <c r="J42" s="34" t="s">
        <v>20</v>
      </c>
      <c r="K42" s="34"/>
      <c r="L42" s="35"/>
      <c r="M42" s="35"/>
      <c r="N42" s="35"/>
      <c r="O42" s="35"/>
      <c r="P42" s="35"/>
      <c r="Q42" s="35"/>
      <c r="R42" s="35"/>
    </row>
    <row r="43" spans="1:18" x14ac:dyDescent="0.3">
      <c r="B43" s="7"/>
      <c r="D43" s="97" t="s">
        <v>264</v>
      </c>
      <c r="E43" s="56">
        <v>0</v>
      </c>
      <c r="F43" s="56" t="s">
        <v>20</v>
      </c>
      <c r="G43" t="s">
        <v>20</v>
      </c>
      <c r="H43" s="2"/>
      <c r="I43" s="33"/>
      <c r="J43" s="34" t="s">
        <v>20</v>
      </c>
      <c r="K43" s="34"/>
      <c r="L43" s="12"/>
      <c r="M43" s="12"/>
      <c r="N43" s="35"/>
      <c r="O43" s="35"/>
      <c r="P43" s="12"/>
      <c r="Q43" s="12"/>
      <c r="R43" s="35"/>
    </row>
    <row r="44" spans="1:18" x14ac:dyDescent="0.3">
      <c r="B44" s="7"/>
      <c r="D44" s="97" t="s">
        <v>265</v>
      </c>
      <c r="E44" s="56">
        <v>483704</v>
      </c>
      <c r="F44" s="56"/>
      <c r="G44" t="s">
        <v>20</v>
      </c>
      <c r="J44" s="34" t="s">
        <v>20</v>
      </c>
    </row>
    <row r="45" spans="1:18" x14ac:dyDescent="0.3">
      <c r="B45" s="7"/>
      <c r="D45" s="97" t="s">
        <v>266</v>
      </c>
      <c r="E45" s="56">
        <v>0</v>
      </c>
      <c r="F45" s="56"/>
      <c r="G45" t="s">
        <v>20</v>
      </c>
      <c r="J45" s="34"/>
    </row>
    <row r="46" spans="1:18" x14ac:dyDescent="0.3">
      <c r="B46" s="7"/>
      <c r="D46" s="97" t="s">
        <v>267</v>
      </c>
      <c r="E46" s="56">
        <v>75200</v>
      </c>
      <c r="F46" s="56"/>
      <c r="J46" s="34" t="s">
        <v>20</v>
      </c>
    </row>
    <row r="47" spans="1:18" ht="15" thickBot="1" x14ac:dyDescent="0.35">
      <c r="B47" s="7"/>
      <c r="D47" s="58" t="s">
        <v>20</v>
      </c>
      <c r="E47" s="56">
        <v>0</v>
      </c>
      <c r="F47" s="56">
        <f>SUM(E42:E47)</f>
        <v>768904</v>
      </c>
      <c r="G47" t="s">
        <v>20</v>
      </c>
      <c r="J47" s="34" t="s">
        <v>20</v>
      </c>
    </row>
    <row r="48" spans="1:18" ht="15" thickBot="1" x14ac:dyDescent="0.35">
      <c r="A48" s="2"/>
      <c r="B48" s="7">
        <v>5</v>
      </c>
      <c r="C48" s="2"/>
      <c r="D48" s="6" t="s">
        <v>69</v>
      </c>
      <c r="E48" s="31" t="s">
        <v>20</v>
      </c>
      <c r="F48" s="61"/>
      <c r="G48" s="33"/>
      <c r="J48" s="34" t="s">
        <v>20</v>
      </c>
    </row>
    <row r="49" spans="2:12" x14ac:dyDescent="0.3">
      <c r="B49" s="7"/>
      <c r="D49" t="s">
        <v>268</v>
      </c>
      <c r="E49" s="10">
        <v>0</v>
      </c>
      <c r="F49" s="56" t="s">
        <v>20</v>
      </c>
      <c r="G49" s="33" t="s">
        <v>20</v>
      </c>
    </row>
    <row r="50" spans="2:12" x14ac:dyDescent="0.3">
      <c r="B50" s="7"/>
      <c r="D50" t="s">
        <v>269</v>
      </c>
      <c r="E50" s="10">
        <v>75168</v>
      </c>
      <c r="F50" s="56"/>
      <c r="G50" s="33" t="s">
        <v>20</v>
      </c>
    </row>
    <row r="51" spans="2:12" x14ac:dyDescent="0.3">
      <c r="B51" s="7"/>
      <c r="D51" t="s">
        <v>71</v>
      </c>
      <c r="E51" s="10">
        <v>0</v>
      </c>
      <c r="F51" s="56"/>
      <c r="G51" s="33"/>
    </row>
    <row r="52" spans="2:12" ht="15" thickBot="1" x14ac:dyDescent="0.35">
      <c r="B52" s="7"/>
      <c r="D52" t="s">
        <v>270</v>
      </c>
      <c r="E52" s="10">
        <v>0</v>
      </c>
      <c r="F52" s="56">
        <f>SUM(E49:E52)</f>
        <v>75168</v>
      </c>
      <c r="G52" s="33" t="s">
        <v>20</v>
      </c>
    </row>
    <row r="53" spans="2:12" ht="15" thickBot="1" x14ac:dyDescent="0.35">
      <c r="B53" s="7">
        <v>6</v>
      </c>
      <c r="D53" s="98" t="s">
        <v>72</v>
      </c>
      <c r="E53" s="57" t="s">
        <v>20</v>
      </c>
      <c r="F53" s="56"/>
      <c r="G53" t="s">
        <v>20</v>
      </c>
    </row>
    <row r="54" spans="2:12" x14ac:dyDescent="0.3">
      <c r="B54" s="7"/>
      <c r="D54" s="63" t="s">
        <v>271</v>
      </c>
      <c r="E54" s="10">
        <v>400000</v>
      </c>
      <c r="F54" s="56"/>
      <c r="G54" t="s">
        <v>20</v>
      </c>
    </row>
    <row r="55" spans="2:12" ht="15" thickBot="1" x14ac:dyDescent="0.35">
      <c r="B55" s="7"/>
      <c r="D55" t="s">
        <v>20</v>
      </c>
      <c r="E55" s="11" t="s">
        <v>20</v>
      </c>
      <c r="F55" s="56">
        <f>SUM(E54:E55)</f>
        <v>400000</v>
      </c>
      <c r="G55" t="s">
        <v>20</v>
      </c>
    </row>
    <row r="56" spans="2:12" ht="15" thickBot="1" x14ac:dyDescent="0.35">
      <c r="B56" s="7">
        <v>7</v>
      </c>
      <c r="D56" s="6" t="s">
        <v>73</v>
      </c>
      <c r="E56" s="57" t="s">
        <v>20</v>
      </c>
      <c r="F56" s="10"/>
      <c r="G56" t="s">
        <v>20</v>
      </c>
    </row>
    <row r="57" spans="2:12" x14ac:dyDescent="0.3">
      <c r="B57" s="7"/>
      <c r="D57" s="63" t="s">
        <v>272</v>
      </c>
      <c r="E57" s="13">
        <v>3415596.98</v>
      </c>
      <c r="F57" s="10"/>
      <c r="G57" t="s">
        <v>20</v>
      </c>
    </row>
    <row r="58" spans="2:12" x14ac:dyDescent="0.3">
      <c r="B58" s="7"/>
      <c r="D58" s="63" t="s">
        <v>74</v>
      </c>
      <c r="E58" s="13">
        <v>359677.94</v>
      </c>
      <c r="F58" s="10"/>
      <c r="G58" t="s">
        <v>20</v>
      </c>
    </row>
    <row r="59" spans="2:12" x14ac:dyDescent="0.3">
      <c r="B59" s="7"/>
      <c r="D59" s="63" t="s">
        <v>70</v>
      </c>
      <c r="E59" s="13">
        <v>0</v>
      </c>
      <c r="F59" s="10"/>
    </row>
    <row r="60" spans="2:12" x14ac:dyDescent="0.3">
      <c r="B60" s="7"/>
      <c r="D60" s="63" t="s">
        <v>75</v>
      </c>
      <c r="E60" s="13">
        <v>29938.89</v>
      </c>
      <c r="F60" s="10"/>
      <c r="G60" t="s">
        <v>20</v>
      </c>
    </row>
    <row r="61" spans="2:12" x14ac:dyDescent="0.3">
      <c r="B61" s="7"/>
      <c r="D61" s="63" t="s">
        <v>231</v>
      </c>
      <c r="E61" s="13">
        <v>0</v>
      </c>
      <c r="F61" s="10"/>
      <c r="G61" t="s">
        <v>20</v>
      </c>
      <c r="J61" t="s">
        <v>20</v>
      </c>
      <c r="L61" t="s">
        <v>38</v>
      </c>
    </row>
    <row r="62" spans="2:12" x14ac:dyDescent="0.3">
      <c r="B62" s="7"/>
      <c r="D62" s="63" t="s">
        <v>232</v>
      </c>
      <c r="E62" s="13">
        <v>11610.46</v>
      </c>
      <c r="F62" s="10"/>
      <c r="G62" t="s">
        <v>20</v>
      </c>
    </row>
    <row r="63" spans="2:12" ht="15" thickBot="1" x14ac:dyDescent="0.35">
      <c r="B63" s="7"/>
      <c r="D63" s="63" t="s">
        <v>233</v>
      </c>
      <c r="E63" s="11">
        <v>5540.46</v>
      </c>
      <c r="F63" s="10" t="s">
        <v>20</v>
      </c>
      <c r="G63" t="s">
        <v>20</v>
      </c>
    </row>
    <row r="64" spans="2:12" ht="15" thickBot="1" x14ac:dyDescent="0.35">
      <c r="B64" s="7"/>
      <c r="D64" s="63" t="s">
        <v>230</v>
      </c>
      <c r="E64" s="11">
        <v>0</v>
      </c>
      <c r="F64" s="10">
        <f>SUM(E57:E64)</f>
        <v>3822364.73</v>
      </c>
    </row>
    <row r="65" spans="2:12" ht="15" thickBot="1" x14ac:dyDescent="0.35">
      <c r="B65" s="7">
        <v>8</v>
      </c>
      <c r="D65" s="6" t="s">
        <v>76</v>
      </c>
      <c r="E65" s="57" t="s">
        <v>20</v>
      </c>
      <c r="F65" s="10"/>
    </row>
    <row r="66" spans="2:12" x14ac:dyDescent="0.3">
      <c r="B66" s="7"/>
      <c r="D66" s="63" t="s">
        <v>229</v>
      </c>
      <c r="E66" s="13">
        <v>4690</v>
      </c>
      <c r="F66" s="10"/>
      <c r="G66" t="s">
        <v>20</v>
      </c>
    </row>
    <row r="67" spans="2:12" ht="15" thickBot="1" x14ac:dyDescent="0.35">
      <c r="B67" s="7"/>
      <c r="D67" t="s">
        <v>16</v>
      </c>
      <c r="E67" s="64">
        <v>0.46</v>
      </c>
      <c r="F67" s="10">
        <f>SUM(E66:E67)</f>
        <v>4690.46</v>
      </c>
      <c r="J67" t="s">
        <v>20</v>
      </c>
      <c r="K67" t="s">
        <v>20</v>
      </c>
      <c r="L67" t="s">
        <v>20</v>
      </c>
    </row>
    <row r="68" spans="2:12" ht="15" thickBot="1" x14ac:dyDescent="0.35">
      <c r="B68" s="7">
        <v>9</v>
      </c>
      <c r="D68" s="6" t="s">
        <v>77</v>
      </c>
      <c r="E68" s="57"/>
      <c r="F68" s="10"/>
      <c r="I68" t="s">
        <v>20</v>
      </c>
      <c r="J68" s="9" t="s">
        <v>20</v>
      </c>
      <c r="K68" s="9" t="s">
        <v>20</v>
      </c>
      <c r="L68" s="9" t="s">
        <v>20</v>
      </c>
    </row>
    <row r="69" spans="2:12" x14ac:dyDescent="0.3">
      <c r="B69" s="7"/>
      <c r="D69" s="63" t="s">
        <v>78</v>
      </c>
      <c r="E69" s="14">
        <v>41716.21</v>
      </c>
      <c r="F69" s="56"/>
      <c r="I69" t="s">
        <v>20</v>
      </c>
      <c r="J69" s="9" t="s">
        <v>20</v>
      </c>
      <c r="K69" s="9" t="s">
        <v>20</v>
      </c>
      <c r="L69" s="9" t="s">
        <v>20</v>
      </c>
    </row>
    <row r="70" spans="2:12" ht="15" thickBot="1" x14ac:dyDescent="0.35">
      <c r="B70" s="7"/>
      <c r="D70" s="63" t="s">
        <v>79</v>
      </c>
      <c r="E70" s="10">
        <v>104947.28</v>
      </c>
      <c r="F70" s="10">
        <f>SUM(E69:E70)</f>
        <v>146663.49</v>
      </c>
      <c r="I70" t="s">
        <v>20</v>
      </c>
      <c r="J70" s="9" t="s">
        <v>20</v>
      </c>
      <c r="K70" s="9" t="s">
        <v>20</v>
      </c>
      <c r="L70" s="9" t="s">
        <v>20</v>
      </c>
    </row>
    <row r="71" spans="2:12" ht="15" thickBot="1" x14ac:dyDescent="0.35">
      <c r="B71" s="7">
        <v>10</v>
      </c>
      <c r="D71" s="98" t="s">
        <v>28</v>
      </c>
      <c r="E71" s="100"/>
      <c r="F71" s="56"/>
      <c r="I71" t="s">
        <v>20</v>
      </c>
      <c r="J71" s="9" t="s">
        <v>20</v>
      </c>
      <c r="K71" s="9" t="s">
        <v>20</v>
      </c>
      <c r="L71" s="9"/>
    </row>
    <row r="72" spans="2:12" x14ac:dyDescent="0.3">
      <c r="B72" s="7"/>
      <c r="D72" s="101" t="s">
        <v>80</v>
      </c>
      <c r="E72" s="102">
        <v>0</v>
      </c>
      <c r="F72" s="56"/>
      <c r="I72" t="s">
        <v>20</v>
      </c>
      <c r="J72" s="83" t="s">
        <v>20</v>
      </c>
      <c r="K72" s="83" t="s">
        <v>20</v>
      </c>
      <c r="L72" s="29" t="s">
        <v>20</v>
      </c>
    </row>
    <row r="73" spans="2:12" x14ac:dyDescent="0.3">
      <c r="B73" s="7"/>
      <c r="D73" s="63" t="s">
        <v>81</v>
      </c>
      <c r="E73" s="103">
        <v>243302</v>
      </c>
      <c r="F73" s="56"/>
      <c r="I73" t="s">
        <v>20</v>
      </c>
      <c r="J73" s="9" t="s">
        <v>20</v>
      </c>
      <c r="K73" s="9" t="s">
        <v>20</v>
      </c>
      <c r="L73" s="9" t="s">
        <v>20</v>
      </c>
    </row>
    <row r="74" spans="2:12" x14ac:dyDescent="0.3">
      <c r="B74" s="7"/>
      <c r="D74" s="2" t="s">
        <v>82</v>
      </c>
      <c r="E74" s="103">
        <v>0</v>
      </c>
      <c r="F74" s="56"/>
      <c r="J74" s="9" t="s">
        <v>20</v>
      </c>
      <c r="K74" s="9" t="s">
        <v>20</v>
      </c>
      <c r="L74" s="9" t="s">
        <v>20</v>
      </c>
    </row>
    <row r="75" spans="2:12" ht="15" thickBot="1" x14ac:dyDescent="0.35">
      <c r="B75" s="7"/>
      <c r="D75" s="63" t="s">
        <v>83</v>
      </c>
      <c r="E75" s="104">
        <v>2213</v>
      </c>
      <c r="F75" s="10">
        <f>SUM(E72:E75)</f>
        <v>245515</v>
      </c>
      <c r="J75" s="9" t="s">
        <v>20</v>
      </c>
      <c r="K75" s="9" t="s">
        <v>20</v>
      </c>
    </row>
    <row r="76" spans="2:12" ht="15" thickBot="1" x14ac:dyDescent="0.35">
      <c r="B76" s="7"/>
      <c r="D76" s="6" t="s">
        <v>17</v>
      </c>
      <c r="E76" s="11" t="s">
        <v>20</v>
      </c>
      <c r="F76" s="17">
        <f>SUM(F10:F75)</f>
        <v>6905336.9999999991</v>
      </c>
      <c r="G76" t="s">
        <v>20</v>
      </c>
      <c r="J76" s="9"/>
      <c r="K76" s="9"/>
    </row>
    <row r="77" spans="2:12" ht="15" thickBot="1" x14ac:dyDescent="0.35">
      <c r="B77" s="7"/>
      <c r="D77" s="6" t="s">
        <v>84</v>
      </c>
      <c r="E77" s="64"/>
      <c r="F77" s="105">
        <v>0</v>
      </c>
      <c r="J77" s="9"/>
      <c r="K77" s="9"/>
    </row>
    <row r="78" spans="2:12" ht="15" thickBot="1" x14ac:dyDescent="0.35">
      <c r="B78" s="7"/>
      <c r="D78" s="6" t="s">
        <v>39</v>
      </c>
      <c r="E78" s="62"/>
      <c r="F78" s="14">
        <v>0</v>
      </c>
      <c r="J78" s="9"/>
      <c r="K78" s="9"/>
    </row>
    <row r="79" spans="2:12" ht="15" thickBot="1" x14ac:dyDescent="0.35">
      <c r="B79" s="7"/>
      <c r="D79" s="81" t="s">
        <v>20</v>
      </c>
      <c r="E79" s="62" t="s">
        <v>20</v>
      </c>
      <c r="F79" s="17">
        <v>0</v>
      </c>
      <c r="J79" s="9"/>
      <c r="K79" s="9"/>
    </row>
    <row r="80" spans="2:12" ht="15" thickBot="1" x14ac:dyDescent="0.35">
      <c r="B80" s="7" t="s">
        <v>20</v>
      </c>
      <c r="D80" s="6" t="s">
        <v>21</v>
      </c>
      <c r="E80" s="57" t="s">
        <v>20</v>
      </c>
      <c r="F80" s="57">
        <v>0</v>
      </c>
      <c r="J80" s="9"/>
      <c r="K80" s="9"/>
    </row>
    <row r="81" spans="2:11" ht="15" thickBot="1" x14ac:dyDescent="0.35">
      <c r="B81" s="7"/>
      <c r="D81" s="97"/>
      <c r="E81" s="14">
        <v>0</v>
      </c>
      <c r="F81" s="105">
        <v>0</v>
      </c>
      <c r="J81" s="9"/>
      <c r="K81" s="9"/>
    </row>
    <row r="82" spans="2:11" ht="15" thickBot="1" x14ac:dyDescent="0.35">
      <c r="B82" s="7" t="s">
        <v>20</v>
      </c>
      <c r="D82" s="6" t="s">
        <v>37</v>
      </c>
      <c r="E82" s="57"/>
      <c r="F82" s="60">
        <f>SUM(F76+F77+F78+F80)</f>
        <v>6905336.9999999991</v>
      </c>
      <c r="J82" s="9"/>
      <c r="K82" s="9"/>
    </row>
    <row r="83" spans="2:11" ht="15" thickBot="1" x14ac:dyDescent="0.35">
      <c r="B83" s="7"/>
      <c r="D83" s="106" t="s">
        <v>85</v>
      </c>
      <c r="E83" s="107" t="s">
        <v>86</v>
      </c>
      <c r="F83" s="108" t="s">
        <v>87</v>
      </c>
      <c r="J83" s="9"/>
      <c r="K83" s="9"/>
    </row>
    <row r="84" spans="2:11" ht="15" thickBot="1" x14ac:dyDescent="0.35">
      <c r="B84" s="7"/>
      <c r="D84" s="58" t="s">
        <v>88</v>
      </c>
      <c r="E84" s="14">
        <v>3926106.87</v>
      </c>
      <c r="F84" s="17"/>
      <c r="G84" t="s">
        <v>20</v>
      </c>
      <c r="J84" s="9"/>
      <c r="K84" s="9"/>
    </row>
    <row r="85" spans="2:11" ht="15" thickBot="1" x14ac:dyDescent="0.35">
      <c r="B85" s="7"/>
      <c r="D85" s="58" t="s">
        <v>89</v>
      </c>
      <c r="E85" s="14">
        <v>7799733</v>
      </c>
      <c r="F85" s="17"/>
      <c r="J85" s="9" t="s">
        <v>20</v>
      </c>
      <c r="K85" s="9"/>
    </row>
    <row r="86" spans="2:11" ht="15" thickBot="1" x14ac:dyDescent="0.35">
      <c r="B86" s="7"/>
      <c r="D86" s="58" t="s">
        <v>274</v>
      </c>
      <c r="E86" s="14">
        <v>427133.31</v>
      </c>
      <c r="F86" s="17"/>
      <c r="J86" s="9" t="s">
        <v>20</v>
      </c>
      <c r="K86" s="9"/>
    </row>
    <row r="87" spans="2:11" ht="15" thickBot="1" x14ac:dyDescent="0.35">
      <c r="B87" s="7"/>
      <c r="D87" s="58" t="s">
        <v>90</v>
      </c>
      <c r="E87" s="14"/>
      <c r="F87" s="57">
        <v>-6905337</v>
      </c>
      <c r="J87" s="9" t="s">
        <v>20</v>
      </c>
      <c r="K87" s="9"/>
    </row>
    <row r="88" spans="2:11" ht="15" thickBot="1" x14ac:dyDescent="0.35">
      <c r="B88" s="7"/>
      <c r="D88" s="58" t="s">
        <v>91</v>
      </c>
      <c r="E88" s="14">
        <v>5247636.18</v>
      </c>
      <c r="F88" s="57">
        <v>0</v>
      </c>
      <c r="G88" t="s">
        <v>20</v>
      </c>
      <c r="J88" s="9" t="s">
        <v>20</v>
      </c>
      <c r="K88" s="9"/>
    </row>
    <row r="89" spans="2:11" ht="15" thickBot="1" x14ac:dyDescent="0.35">
      <c r="B89" s="7"/>
      <c r="D89" s="106" t="s">
        <v>78</v>
      </c>
      <c r="E89" s="14"/>
      <c r="F89" s="17"/>
      <c r="J89" s="9" t="s">
        <v>20</v>
      </c>
      <c r="K89" s="9"/>
    </row>
    <row r="90" spans="2:11" ht="15" thickBot="1" x14ac:dyDescent="0.35">
      <c r="B90" s="7"/>
      <c r="D90" s="58" t="s">
        <v>92</v>
      </c>
      <c r="E90" s="14">
        <v>2520072.2799999998</v>
      </c>
      <c r="F90" s="17"/>
      <c r="J90" s="9" t="s">
        <v>20</v>
      </c>
      <c r="K90" s="9"/>
    </row>
    <row r="91" spans="2:11" ht="15" thickBot="1" x14ac:dyDescent="0.35">
      <c r="B91" s="7"/>
      <c r="D91" s="58" t="s">
        <v>93</v>
      </c>
      <c r="E91" s="14">
        <v>846548.36</v>
      </c>
      <c r="F91" s="17"/>
      <c r="J91" s="9" t="s">
        <v>20</v>
      </c>
      <c r="K91" s="9"/>
    </row>
    <row r="92" spans="2:11" ht="15" thickBot="1" x14ac:dyDescent="0.35">
      <c r="B92" s="7"/>
      <c r="D92" s="58" t="s">
        <v>94</v>
      </c>
      <c r="E92" s="14" t="s">
        <v>20</v>
      </c>
      <c r="F92" s="57">
        <v>1647497.82</v>
      </c>
      <c r="J92" s="9" t="s">
        <v>20</v>
      </c>
      <c r="K92" s="9"/>
    </row>
    <row r="93" spans="2:11" ht="15" thickBot="1" x14ac:dyDescent="0.35">
      <c r="B93" s="7"/>
      <c r="D93" s="58" t="s">
        <v>95</v>
      </c>
      <c r="E93" s="14"/>
      <c r="F93" s="57">
        <v>41716.21</v>
      </c>
      <c r="J93" s="9" t="s">
        <v>38</v>
      </c>
      <c r="K93" s="9"/>
    </row>
    <row r="94" spans="2:11" ht="15" thickBot="1" x14ac:dyDescent="0.35">
      <c r="B94" s="7"/>
      <c r="D94" s="58" t="s">
        <v>91</v>
      </c>
      <c r="E94" s="14">
        <v>1677406.61</v>
      </c>
      <c r="F94" s="57" t="s">
        <v>20</v>
      </c>
      <c r="G94" t="s">
        <v>20</v>
      </c>
      <c r="I94" t="s">
        <v>20</v>
      </c>
      <c r="J94" s="9" t="s">
        <v>38</v>
      </c>
      <c r="K94" s="9"/>
    </row>
    <row r="95" spans="2:11" ht="15" thickBot="1" x14ac:dyDescent="0.35">
      <c r="B95" s="7" t="s">
        <v>20</v>
      </c>
      <c r="D95" s="6" t="s">
        <v>79</v>
      </c>
      <c r="E95" s="57"/>
      <c r="F95" s="60" t="s">
        <v>20</v>
      </c>
      <c r="J95" s="9" t="s">
        <v>20</v>
      </c>
      <c r="K95" s="9"/>
    </row>
    <row r="96" spans="2:11" ht="15" thickBot="1" x14ac:dyDescent="0.35">
      <c r="B96" s="7"/>
      <c r="D96" s="96" t="s">
        <v>88</v>
      </c>
      <c r="E96" s="14">
        <v>1258581.8700000001</v>
      </c>
      <c r="F96" s="109"/>
      <c r="J96" s="9" t="s">
        <v>20</v>
      </c>
      <c r="K96" s="9"/>
    </row>
    <row r="97" spans="1:11" ht="15" thickBot="1" x14ac:dyDescent="0.35">
      <c r="B97" s="7"/>
      <c r="D97" s="96" t="s">
        <v>93</v>
      </c>
      <c r="E97" s="14">
        <v>7221497.9800000004</v>
      </c>
      <c r="F97" s="109"/>
      <c r="J97" s="9" t="s">
        <v>20</v>
      </c>
      <c r="K97" s="9"/>
    </row>
    <row r="98" spans="1:11" ht="15" thickBot="1" x14ac:dyDescent="0.35">
      <c r="B98" s="7"/>
      <c r="D98" s="96" t="s">
        <v>94</v>
      </c>
      <c r="E98" s="14"/>
      <c r="F98" s="130">
        <v>4693333</v>
      </c>
      <c r="J98" s="9" t="s">
        <v>20</v>
      </c>
      <c r="K98" s="9"/>
    </row>
    <row r="99" spans="1:11" ht="15" thickBot="1" x14ac:dyDescent="0.35">
      <c r="B99" s="7"/>
      <c r="D99" s="96" t="s">
        <v>95</v>
      </c>
      <c r="E99" s="14"/>
      <c r="F99" s="130">
        <v>104947.28</v>
      </c>
      <c r="I99" t="s">
        <v>20</v>
      </c>
      <c r="J99" s="9"/>
      <c r="K99" s="9"/>
    </row>
    <row r="100" spans="1:11" ht="15" thickBot="1" x14ac:dyDescent="0.35">
      <c r="B100" s="7"/>
      <c r="D100" s="96" t="s">
        <v>275</v>
      </c>
      <c r="E100" s="14"/>
      <c r="F100" s="130">
        <v>-400000</v>
      </c>
      <c r="J100" s="9"/>
      <c r="K100" s="9"/>
    </row>
    <row r="101" spans="1:11" ht="15" thickBot="1" x14ac:dyDescent="0.35">
      <c r="B101" s="7"/>
      <c r="D101" s="96" t="s">
        <v>91</v>
      </c>
      <c r="E101" s="14">
        <v>3281799.57</v>
      </c>
      <c r="F101" s="109"/>
      <c r="G101" t="s">
        <v>20</v>
      </c>
      <c r="I101" t="s">
        <v>20</v>
      </c>
      <c r="J101" s="9"/>
      <c r="K101" s="9"/>
    </row>
    <row r="102" spans="1:11" ht="15" thickBot="1" x14ac:dyDescent="0.35">
      <c r="B102" s="7"/>
      <c r="D102" s="4" t="s">
        <v>96</v>
      </c>
      <c r="E102" s="111">
        <v>0</v>
      </c>
      <c r="F102" s="112"/>
      <c r="G102" t="s">
        <v>20</v>
      </c>
      <c r="I102" t="s">
        <v>20</v>
      </c>
      <c r="J102" s="9"/>
      <c r="K102" s="9"/>
    </row>
    <row r="103" spans="1:11" ht="15" thickBot="1" x14ac:dyDescent="0.35">
      <c r="B103" s="7"/>
      <c r="D103" s="113" t="s">
        <v>97</v>
      </c>
      <c r="E103" s="114">
        <v>10900</v>
      </c>
      <c r="F103" s="110"/>
      <c r="J103" s="9"/>
      <c r="K103" s="9"/>
    </row>
    <row r="104" spans="1:11" ht="15" thickBot="1" x14ac:dyDescent="0.35">
      <c r="B104" s="7"/>
      <c r="D104" s="113" t="s">
        <v>86</v>
      </c>
      <c r="E104" s="135">
        <v>677530</v>
      </c>
      <c r="F104" s="110" t="s">
        <v>20</v>
      </c>
      <c r="G104" t="s">
        <v>20</v>
      </c>
      <c r="J104" s="9"/>
      <c r="K104" s="9"/>
    </row>
    <row r="105" spans="1:11" ht="15" thickBot="1" x14ac:dyDescent="0.35">
      <c r="B105" s="7"/>
      <c r="D105" s="113" t="s">
        <v>98</v>
      </c>
      <c r="E105" s="114">
        <v>400000</v>
      </c>
      <c r="F105" s="110"/>
      <c r="J105" s="9"/>
      <c r="K105" s="9"/>
    </row>
    <row r="106" spans="1:11" ht="15" thickBot="1" x14ac:dyDescent="0.35">
      <c r="B106" s="7"/>
      <c r="D106" s="113" t="s">
        <v>91</v>
      </c>
      <c r="E106" s="114">
        <v>288430</v>
      </c>
      <c r="F106" s="110"/>
      <c r="G106" t="s">
        <v>20</v>
      </c>
      <c r="J106" s="9"/>
      <c r="K106" s="9"/>
    </row>
    <row r="107" spans="1:11" x14ac:dyDescent="0.3">
      <c r="B107"/>
      <c r="F107"/>
      <c r="G107" s="12" t="s">
        <v>20</v>
      </c>
      <c r="J107" s="9"/>
      <c r="K107" s="9"/>
    </row>
    <row r="108" spans="1:11" x14ac:dyDescent="0.3">
      <c r="A108" t="s">
        <v>99</v>
      </c>
      <c r="B108"/>
      <c r="F108"/>
      <c r="G108" t="s">
        <v>20</v>
      </c>
      <c r="J108" s="9"/>
      <c r="K108" s="9"/>
    </row>
    <row r="109" spans="1:11" ht="18" x14ac:dyDescent="0.35">
      <c r="A109" t="s">
        <v>100</v>
      </c>
      <c r="B109" s="3"/>
      <c r="D109" s="40"/>
      <c r="E109" s="12"/>
      <c r="G109" t="s">
        <v>20</v>
      </c>
      <c r="J109" s="9"/>
      <c r="K109" s="9"/>
    </row>
    <row r="110" spans="1:11" ht="18" x14ac:dyDescent="0.35">
      <c r="B110" s="3"/>
      <c r="D110" s="40"/>
      <c r="E110" s="12"/>
      <c r="G110" s="12" t="s">
        <v>20</v>
      </c>
      <c r="J110" s="9"/>
      <c r="K110" s="9"/>
    </row>
    <row r="111" spans="1:11" ht="18" x14ac:dyDescent="0.35">
      <c r="A111" s="115" t="s">
        <v>101</v>
      </c>
      <c r="B111" s="3"/>
      <c r="D111" s="40"/>
      <c r="E111" s="12"/>
      <c r="G111" t="s">
        <v>20</v>
      </c>
      <c r="J111" s="9"/>
      <c r="K111" s="9"/>
    </row>
    <row r="112" spans="1:11" ht="18" x14ac:dyDescent="0.35">
      <c r="A112" t="s">
        <v>102</v>
      </c>
      <c r="B112" s="3"/>
      <c r="D112" s="40"/>
      <c r="E112" s="12"/>
      <c r="G112" s="12" t="s">
        <v>20</v>
      </c>
      <c r="J112" s="9"/>
      <c r="K112" s="9"/>
    </row>
    <row r="113" spans="1:11" ht="18" x14ac:dyDescent="0.35">
      <c r="A113" t="s">
        <v>103</v>
      </c>
      <c r="B113" s="3"/>
      <c r="D113" s="40"/>
      <c r="E113" s="12"/>
      <c r="J113" s="9" t="s">
        <v>20</v>
      </c>
      <c r="K113" s="9" t="s">
        <v>20</v>
      </c>
    </row>
    <row r="114" spans="1:11" ht="18" x14ac:dyDescent="0.35">
      <c r="A114" t="s">
        <v>241</v>
      </c>
      <c r="B114" s="3"/>
      <c r="D114" s="40"/>
      <c r="E114" s="12"/>
      <c r="J114" s="9" t="s">
        <v>20</v>
      </c>
      <c r="K114" s="9" t="s">
        <v>20</v>
      </c>
    </row>
    <row r="115" spans="1:11" ht="18" x14ac:dyDescent="0.35">
      <c r="A115" t="s">
        <v>104</v>
      </c>
      <c r="B115" s="3"/>
      <c r="D115" s="40" t="s">
        <v>253</v>
      </c>
      <c r="E115" s="12"/>
      <c r="J115" t="s">
        <v>20</v>
      </c>
      <c r="K115" s="9" t="s">
        <v>20</v>
      </c>
    </row>
    <row r="116" spans="1:11" ht="18" x14ac:dyDescent="0.35">
      <c r="A116" t="s">
        <v>105</v>
      </c>
      <c r="B116" s="3"/>
      <c r="D116" s="40"/>
      <c r="E116" s="12"/>
      <c r="K116" t="s">
        <v>20</v>
      </c>
    </row>
    <row r="117" spans="1:11" ht="18" x14ac:dyDescent="0.35">
      <c r="A117" t="s">
        <v>106</v>
      </c>
      <c r="B117" s="3"/>
      <c r="D117" s="40"/>
      <c r="E117" s="12"/>
    </row>
    <row r="118" spans="1:11" ht="18" x14ac:dyDescent="0.35">
      <c r="A118" t="s">
        <v>243</v>
      </c>
      <c r="B118" s="3"/>
      <c r="D118" s="40"/>
      <c r="E118" s="12"/>
    </row>
    <row r="119" spans="1:11" ht="18" x14ac:dyDescent="0.35">
      <c r="A119" t="s">
        <v>242</v>
      </c>
      <c r="B119" s="3"/>
      <c r="D119" s="40"/>
      <c r="E119" s="12"/>
    </row>
    <row r="120" spans="1:11" ht="18" x14ac:dyDescent="0.35">
      <c r="A120" t="s">
        <v>24</v>
      </c>
      <c r="B120" s="3"/>
      <c r="D120" s="132" t="s">
        <v>244</v>
      </c>
      <c r="E120" s="12"/>
    </row>
    <row r="121" spans="1:11" ht="18.600000000000001" thickBot="1" x14ac:dyDescent="0.4">
      <c r="A121" t="s">
        <v>105</v>
      </c>
      <c r="B121" s="3"/>
      <c r="D121" s="40"/>
      <c r="E121" s="12"/>
    </row>
    <row r="122" spans="1:11" ht="18.600000000000001" thickBot="1" x14ac:dyDescent="0.4">
      <c r="B122" s="3"/>
      <c r="D122" s="117" t="s">
        <v>107</v>
      </c>
      <c r="E122" s="12"/>
    </row>
    <row r="123" spans="1:11" ht="18" x14ac:dyDescent="0.35">
      <c r="A123" t="s">
        <v>108</v>
      </c>
      <c r="B123" s="3"/>
      <c r="D123" s="116"/>
      <c r="E123" s="12"/>
    </row>
    <row r="124" spans="1:11" ht="18" x14ac:dyDescent="0.35">
      <c r="A124" t="s">
        <v>109</v>
      </c>
      <c r="B124" s="3"/>
      <c r="D124" s="116"/>
      <c r="E124" s="12"/>
    </row>
    <row r="125" spans="1:11" ht="18" x14ac:dyDescent="0.35">
      <c r="A125" t="s">
        <v>110</v>
      </c>
      <c r="B125" s="3"/>
      <c r="D125" s="116"/>
      <c r="E125" s="12"/>
    </row>
    <row r="126" spans="1:11" ht="18" x14ac:dyDescent="0.35">
      <c r="A126" t="s">
        <v>111</v>
      </c>
      <c r="B126" s="3"/>
      <c r="D126" s="116"/>
      <c r="E126" s="12"/>
    </row>
    <row r="127" spans="1:11" ht="18.600000000000001" thickBot="1" x14ac:dyDescent="0.4">
      <c r="B127" s="3"/>
      <c r="D127" s="116"/>
      <c r="E127" s="12"/>
    </row>
    <row r="128" spans="1:11" ht="18.600000000000001" thickBot="1" x14ac:dyDescent="0.35">
      <c r="A128" s="121" t="s">
        <v>112</v>
      </c>
      <c r="B128" s="122"/>
      <c r="C128" s="122"/>
      <c r="D128" s="123"/>
      <c r="E128" s="124"/>
      <c r="F128" s="125"/>
    </row>
    <row r="129" spans="1:6" ht="18" x14ac:dyDescent="0.3">
      <c r="A129" s="118" t="s">
        <v>113</v>
      </c>
      <c r="B129" s="118"/>
      <c r="C129" s="118"/>
      <c r="D129" s="119"/>
      <c r="E129" s="120"/>
      <c r="F129" s="120"/>
    </row>
    <row r="130" spans="1:6" ht="18" x14ac:dyDescent="0.3">
      <c r="A130" s="118" t="s">
        <v>114</v>
      </c>
      <c r="B130" s="118"/>
      <c r="C130" s="118"/>
      <c r="D130" s="119"/>
      <c r="E130" s="120"/>
      <c r="F130" s="120"/>
    </row>
    <row r="131" spans="1:6" ht="18" x14ac:dyDescent="0.3">
      <c r="A131" s="118" t="s">
        <v>115</v>
      </c>
      <c r="B131" s="118"/>
      <c r="C131" s="118"/>
      <c r="D131" s="119"/>
      <c r="E131" s="120"/>
      <c r="F131" s="120"/>
    </row>
    <row r="132" spans="1:6" ht="18" x14ac:dyDescent="0.3">
      <c r="A132" s="118" t="s">
        <v>116</v>
      </c>
      <c r="B132" s="118"/>
      <c r="C132" s="118"/>
      <c r="D132" s="119"/>
      <c r="E132" s="120"/>
      <c r="F132" s="120"/>
    </row>
    <row r="133" spans="1:6" ht="18" x14ac:dyDescent="0.3">
      <c r="A133" s="118" t="s">
        <v>117</v>
      </c>
      <c r="B133" s="118"/>
      <c r="C133" s="118"/>
      <c r="D133" s="119"/>
      <c r="E133" s="120"/>
      <c r="F133" s="120"/>
    </row>
    <row r="134" spans="1:6" ht="18" x14ac:dyDescent="0.3">
      <c r="A134" s="118" t="s">
        <v>118</v>
      </c>
      <c r="B134" s="118"/>
      <c r="C134" s="118"/>
      <c r="D134" s="119"/>
      <c r="E134" s="120"/>
      <c r="F134" s="120"/>
    </row>
    <row r="135" spans="1:6" ht="18" x14ac:dyDescent="0.3">
      <c r="A135" s="118" t="s">
        <v>119</v>
      </c>
      <c r="B135" s="118"/>
      <c r="C135" s="118"/>
      <c r="D135" s="119"/>
      <c r="E135" s="120"/>
      <c r="F135" s="120"/>
    </row>
    <row r="136" spans="1:6" ht="18" x14ac:dyDescent="0.3">
      <c r="A136" s="118" t="s">
        <v>120</v>
      </c>
      <c r="B136" s="118"/>
      <c r="C136" s="118"/>
      <c r="D136" s="119"/>
      <c r="E136" s="120"/>
      <c r="F136" s="120"/>
    </row>
    <row r="137" spans="1:6" ht="18" x14ac:dyDescent="0.3">
      <c r="A137" s="118" t="s">
        <v>254</v>
      </c>
      <c r="B137" s="118"/>
      <c r="C137" s="118"/>
      <c r="D137" s="119"/>
      <c r="E137" s="120"/>
      <c r="F137" s="120"/>
    </row>
    <row r="138" spans="1:6" ht="18" x14ac:dyDescent="0.3">
      <c r="A138" s="118" t="s">
        <v>121</v>
      </c>
      <c r="B138" s="118"/>
      <c r="C138" s="118"/>
      <c r="D138" s="119"/>
      <c r="E138" s="120"/>
      <c r="F138" s="120"/>
    </row>
    <row r="139" spans="1:6" ht="18" x14ac:dyDescent="0.3">
      <c r="A139" s="118" t="s">
        <v>122</v>
      </c>
      <c r="B139" s="118"/>
      <c r="C139" s="118"/>
      <c r="D139" s="119"/>
      <c r="E139" s="120"/>
      <c r="F139" s="120"/>
    </row>
    <row r="140" spans="1:6" ht="18" x14ac:dyDescent="0.3">
      <c r="A140" s="118" t="s">
        <v>123</v>
      </c>
      <c r="B140" s="118"/>
      <c r="C140" s="118"/>
      <c r="D140" s="119"/>
      <c r="E140" s="120"/>
      <c r="F140" s="120"/>
    </row>
    <row r="141" spans="1:6" ht="18" x14ac:dyDescent="0.3">
      <c r="A141" s="118"/>
      <c r="B141" s="118"/>
      <c r="C141" s="118"/>
      <c r="D141" s="119"/>
      <c r="E141" s="120"/>
      <c r="F141" s="120"/>
    </row>
    <row r="142" spans="1:6" x14ac:dyDescent="0.3">
      <c r="A142" t="s">
        <v>45</v>
      </c>
      <c r="B142" s="3"/>
      <c r="F142"/>
    </row>
    <row r="143" spans="1:6" x14ac:dyDescent="0.3">
      <c r="A143" t="s">
        <v>30</v>
      </c>
      <c r="B143" s="3"/>
      <c r="F143"/>
    </row>
    <row r="144" spans="1:6" x14ac:dyDescent="0.3">
      <c r="A144" t="s">
        <v>31</v>
      </c>
      <c r="B144" s="3"/>
      <c r="F144"/>
    </row>
    <row r="145" spans="1:6" x14ac:dyDescent="0.3">
      <c r="A145" t="s">
        <v>32</v>
      </c>
      <c r="B145" s="3"/>
      <c r="F145"/>
    </row>
    <row r="146" spans="1:6" x14ac:dyDescent="0.3">
      <c r="A146" t="s">
        <v>33</v>
      </c>
      <c r="B146" s="3"/>
      <c r="F146"/>
    </row>
    <row r="147" spans="1:6" x14ac:dyDescent="0.3">
      <c r="A147" t="s">
        <v>34</v>
      </c>
      <c r="B147" s="3"/>
      <c r="F147"/>
    </row>
    <row r="148" spans="1:6" x14ac:dyDescent="0.3">
      <c r="A148" t="s">
        <v>35</v>
      </c>
      <c r="B148" s="3"/>
      <c r="F148"/>
    </row>
    <row r="149" spans="1:6" ht="15" thickBot="1" x14ac:dyDescent="0.35">
      <c r="A149" t="s">
        <v>36</v>
      </c>
      <c r="B149" s="3"/>
      <c r="F149"/>
    </row>
    <row r="150" spans="1:6" ht="15" thickBot="1" x14ac:dyDescent="0.35">
      <c r="A150" s="59" t="s">
        <v>47</v>
      </c>
      <c r="B150" s="89"/>
      <c r="C150" s="90"/>
      <c r="D150" s="90"/>
      <c r="E150" s="90"/>
      <c r="F150" s="91"/>
    </row>
    <row r="151" spans="1:6" ht="15" thickBot="1" x14ac:dyDescent="0.35">
      <c r="A151" s="59" t="s">
        <v>48</v>
      </c>
      <c r="B151" s="90"/>
      <c r="C151" s="90"/>
      <c r="D151" s="90"/>
      <c r="E151" s="90"/>
      <c r="F151" s="91"/>
    </row>
    <row r="152" spans="1:6" ht="15" thickBot="1" x14ac:dyDescent="0.35">
      <c r="B152"/>
      <c r="F152"/>
    </row>
    <row r="153" spans="1:6" ht="24" thickBot="1" x14ac:dyDescent="0.5">
      <c r="A153" s="136" t="s">
        <v>278</v>
      </c>
      <c r="B153" s="137"/>
      <c r="C153" s="137"/>
      <c r="D153" s="137"/>
      <c r="E153" s="137"/>
      <c r="F153" s="138"/>
    </row>
    <row r="154" spans="1:6" ht="24" thickBot="1" x14ac:dyDescent="0.5">
      <c r="A154" s="136" t="s">
        <v>276</v>
      </c>
      <c r="B154" s="137"/>
      <c r="C154" s="137"/>
      <c r="D154" s="137"/>
      <c r="E154" s="137"/>
      <c r="F154" s="138"/>
    </row>
    <row r="155" spans="1:6" ht="24" thickBot="1" x14ac:dyDescent="0.5">
      <c r="A155" s="139" t="s">
        <v>277</v>
      </c>
      <c r="B155" s="140"/>
      <c r="C155" s="140"/>
      <c r="D155" s="141"/>
      <c r="E155" s="9"/>
      <c r="F155" s="9"/>
    </row>
    <row r="156" spans="1:6" x14ac:dyDescent="0.3">
      <c r="B156"/>
      <c r="F156"/>
    </row>
    <row r="157" spans="1:6" ht="15" thickBot="1" x14ac:dyDescent="0.35">
      <c r="B157"/>
      <c r="F157"/>
    </row>
    <row r="158" spans="1:6" ht="24" thickBot="1" x14ac:dyDescent="0.5">
      <c r="B158"/>
      <c r="D158" s="142" t="s">
        <v>279</v>
      </c>
      <c r="F158"/>
    </row>
    <row r="159" spans="1:6" x14ac:dyDescent="0.3">
      <c r="B159"/>
      <c r="F159"/>
    </row>
    <row r="160" spans="1:6" x14ac:dyDescent="0.3">
      <c r="B160"/>
      <c r="F160"/>
    </row>
    <row r="161" spans="2:6" x14ac:dyDescent="0.3">
      <c r="B161"/>
      <c r="F161"/>
    </row>
    <row r="162" spans="2:6" x14ac:dyDescent="0.3">
      <c r="B162"/>
      <c r="F162"/>
    </row>
    <row r="163" spans="2:6" x14ac:dyDescent="0.3">
      <c r="B163"/>
      <c r="F163"/>
    </row>
    <row r="164" spans="2:6" x14ac:dyDescent="0.3">
      <c r="B164"/>
      <c r="F164"/>
    </row>
    <row r="165" spans="2:6" x14ac:dyDescent="0.3">
      <c r="B165"/>
      <c r="F165"/>
    </row>
    <row r="166" spans="2:6" x14ac:dyDescent="0.3">
      <c r="B166"/>
      <c r="F166"/>
    </row>
    <row r="167" spans="2:6" x14ac:dyDescent="0.3">
      <c r="B167"/>
      <c r="F167"/>
    </row>
    <row r="168" spans="2:6" x14ac:dyDescent="0.3">
      <c r="B168"/>
      <c r="F168"/>
    </row>
    <row r="169" spans="2:6" x14ac:dyDescent="0.3">
      <c r="B169"/>
      <c r="F169"/>
    </row>
    <row r="170" spans="2:6" x14ac:dyDescent="0.3">
      <c r="B170"/>
      <c r="F170"/>
    </row>
    <row r="171" spans="2:6" x14ac:dyDescent="0.3">
      <c r="B171"/>
      <c r="F171"/>
    </row>
    <row r="172" spans="2:6" x14ac:dyDescent="0.3">
      <c r="B172"/>
      <c r="F172"/>
    </row>
    <row r="180" spans="5:5" x14ac:dyDescent="0.3">
      <c r="E180" s="93"/>
    </row>
    <row r="181" spans="5:5" x14ac:dyDescent="0.3">
      <c r="E181" s="93"/>
    </row>
    <row r="182" spans="5:5" x14ac:dyDescent="0.3">
      <c r="E182" s="93"/>
    </row>
    <row r="183" spans="5:5" x14ac:dyDescent="0.3">
      <c r="E183" s="93"/>
    </row>
    <row r="184" spans="5:5" x14ac:dyDescent="0.3">
      <c r="E184" s="93"/>
    </row>
    <row r="185" spans="5:5" x14ac:dyDescent="0.3">
      <c r="E185" s="93"/>
    </row>
    <row r="186" spans="5:5" x14ac:dyDescent="0.3">
      <c r="E186" s="93"/>
    </row>
    <row r="187" spans="5:5" x14ac:dyDescent="0.3">
      <c r="E187" s="93"/>
    </row>
    <row r="188" spans="5:5" x14ac:dyDescent="0.3">
      <c r="E188" s="93"/>
    </row>
    <row r="189" spans="5:5" x14ac:dyDescent="0.3">
      <c r="E189" s="93"/>
    </row>
    <row r="190" spans="5:5" x14ac:dyDescent="0.3">
      <c r="E190" s="93"/>
    </row>
    <row r="191" spans="5:5" x14ac:dyDescent="0.3">
      <c r="E191" s="93"/>
    </row>
    <row r="192" spans="5:5" x14ac:dyDescent="0.3">
      <c r="E192" s="93"/>
    </row>
    <row r="193" spans="5:5" x14ac:dyDescent="0.3">
      <c r="E193" s="93"/>
    </row>
    <row r="194" spans="5:5" x14ac:dyDescent="0.3">
      <c r="E194" s="93"/>
    </row>
    <row r="195" spans="5:5" x14ac:dyDescent="0.3">
      <c r="E195" s="93"/>
    </row>
    <row r="198" spans="5:5" x14ac:dyDescent="0.3">
      <c r="E198" s="93"/>
    </row>
  </sheetData>
  <mergeCells count="2">
    <mergeCell ref="A1:C2"/>
    <mergeCell ref="E3:F3"/>
  </mergeCells>
  <hyperlinks>
    <hyperlink ref="D158" r:id="rId1" xr:uid="{00000000-0004-0000-0100-000000000000}"/>
  </hyperlinks>
  <pageMargins left="0.11811023622047245" right="0.11811023622047245" top="0.39370078740157483" bottom="0" header="0" footer="0"/>
  <pageSetup paperSize="9" scale="90" fitToWidth="3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"/>
  <sheetViews>
    <sheetView topLeftCell="A71" workbookViewId="0">
      <selection activeCell="B117" sqref="B117"/>
    </sheetView>
  </sheetViews>
  <sheetFormatPr baseColWidth="10" defaultRowHeight="14.4" x14ac:dyDescent="0.3"/>
  <cols>
    <col min="1" max="1" width="5.88671875" customWidth="1"/>
    <col min="2" max="2" width="34.109375" customWidth="1"/>
    <col min="3" max="3" width="5.6640625" customWidth="1"/>
    <col min="4" max="4" width="9" hidden="1" customWidth="1"/>
    <col min="5" max="5" width="5.6640625" customWidth="1"/>
    <col min="6" max="6" width="12.6640625" customWidth="1"/>
    <col min="7" max="7" width="13" customWidth="1"/>
    <col min="8" max="8" width="12.5546875" customWidth="1"/>
    <col min="9" max="9" width="13.109375" customWidth="1"/>
    <col min="10" max="10" width="13.5546875" bestFit="1" customWidth="1"/>
    <col min="11" max="11" width="11.33203125" customWidth="1"/>
    <col min="12" max="12" width="13.6640625" hidden="1" customWidth="1"/>
    <col min="13" max="13" width="11.6640625" bestFit="1" customWidth="1"/>
    <col min="15" max="15" width="12.88671875" customWidth="1"/>
  </cols>
  <sheetData>
    <row r="1" spans="1:17" ht="18.600000000000001" thickBot="1" x14ac:dyDescent="0.4">
      <c r="B1" s="143" t="s">
        <v>124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5"/>
      <c r="P1" t="s">
        <v>20</v>
      </c>
    </row>
    <row r="2" spans="1:17" ht="15" thickBot="1" x14ac:dyDescent="0.35">
      <c r="I2" t="s">
        <v>18</v>
      </c>
      <c r="L2" s="45" t="s">
        <v>41</v>
      </c>
      <c r="N2" t="s">
        <v>20</v>
      </c>
    </row>
    <row r="3" spans="1:17" ht="15" thickBot="1" x14ac:dyDescent="0.35">
      <c r="B3" s="146" t="s">
        <v>273</v>
      </c>
      <c r="C3" s="147"/>
      <c r="D3" s="147"/>
      <c r="E3" s="147"/>
      <c r="F3" s="147"/>
      <c r="G3" s="147"/>
      <c r="H3" s="147"/>
      <c r="I3" s="31">
        <v>6905337</v>
      </c>
      <c r="J3" t="s">
        <v>20</v>
      </c>
      <c r="L3" s="17">
        <v>0</v>
      </c>
      <c r="N3" s="95">
        <v>4000000</v>
      </c>
    </row>
    <row r="4" spans="1:17" ht="15" thickBot="1" x14ac:dyDescent="0.35"/>
    <row r="5" spans="1:17" ht="36.6" thickBot="1" x14ac:dyDescent="0.35">
      <c r="A5" s="19" t="s">
        <v>10</v>
      </c>
      <c r="B5" s="18" t="s">
        <v>8</v>
      </c>
      <c r="C5" s="23" t="s">
        <v>227</v>
      </c>
      <c r="D5" s="23" t="s">
        <v>11</v>
      </c>
      <c r="E5" s="23" t="s">
        <v>228</v>
      </c>
      <c r="F5" s="55">
        <v>45658</v>
      </c>
      <c r="G5" s="16" t="s">
        <v>9</v>
      </c>
      <c r="H5" s="55">
        <v>45658</v>
      </c>
      <c r="I5" s="55" t="s">
        <v>29</v>
      </c>
      <c r="J5" s="16" t="s">
        <v>43</v>
      </c>
      <c r="K5" s="75" t="s">
        <v>44</v>
      </c>
      <c r="L5" s="75" t="s">
        <v>125</v>
      </c>
      <c r="M5" s="133" t="s">
        <v>41</v>
      </c>
      <c r="N5" s="44" t="s">
        <v>19</v>
      </c>
      <c r="O5" s="15" t="s">
        <v>12</v>
      </c>
    </row>
    <row r="6" spans="1:17" ht="15" thickBot="1" x14ac:dyDescent="0.35">
      <c r="A6" s="7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7"/>
    </row>
    <row r="7" spans="1:17" ht="15" thickBot="1" x14ac:dyDescent="0.35">
      <c r="A7" s="48">
        <v>1</v>
      </c>
      <c r="B7" s="49" t="s">
        <v>126</v>
      </c>
      <c r="C7" s="84">
        <v>1.37</v>
      </c>
      <c r="D7" s="50">
        <v>8.9999999999999998E-4</v>
      </c>
      <c r="E7" s="50"/>
      <c r="F7" s="51">
        <v>128653</v>
      </c>
      <c r="G7" s="51">
        <v>-128653</v>
      </c>
      <c r="H7" s="52">
        <f>+G7+F7</f>
        <v>0</v>
      </c>
      <c r="I7" s="52">
        <v>0</v>
      </c>
      <c r="J7" s="76">
        <f>I3*C7/100</f>
        <v>94603.116900000008</v>
      </c>
      <c r="K7" s="76">
        <v>0</v>
      </c>
      <c r="L7" s="76">
        <v>0</v>
      </c>
      <c r="M7" s="76">
        <f>N3*C7/100</f>
        <v>54800</v>
      </c>
      <c r="N7" s="52">
        <v>-0.11</v>
      </c>
      <c r="O7" s="54">
        <f>SUM(H7:N7)</f>
        <v>149403.00690000004</v>
      </c>
      <c r="P7" s="77" t="s">
        <v>20</v>
      </c>
      <c r="Q7" t="s">
        <v>20</v>
      </c>
    </row>
    <row r="8" spans="1:17" ht="15" thickBot="1" x14ac:dyDescent="0.35">
      <c r="A8" s="20">
        <v>2</v>
      </c>
      <c r="B8" s="24" t="s">
        <v>127</v>
      </c>
      <c r="C8" s="85">
        <v>1.18</v>
      </c>
      <c r="D8" s="22">
        <v>8.9999999999999998E-4</v>
      </c>
      <c r="E8" s="22"/>
      <c r="F8" s="21">
        <v>792015</v>
      </c>
      <c r="G8" s="21">
        <v>-32600</v>
      </c>
      <c r="H8" s="52">
        <v>644726</v>
      </c>
      <c r="I8" s="21">
        <v>16773</v>
      </c>
      <c r="J8" s="21">
        <f>I3*C8/100</f>
        <v>81482.976599999995</v>
      </c>
      <c r="K8" s="21">
        <v>0</v>
      </c>
      <c r="L8" s="21">
        <v>0</v>
      </c>
      <c r="M8" s="21">
        <f>N3*C8/100</f>
        <v>47200</v>
      </c>
      <c r="N8" s="21">
        <v>0.04</v>
      </c>
      <c r="O8" s="53">
        <f t="shared" ref="O8:O71" si="0">SUM(H8:N8)</f>
        <v>790182.01659999997</v>
      </c>
      <c r="P8" s="65"/>
    </row>
    <row r="9" spans="1:17" ht="15" thickBot="1" x14ac:dyDescent="0.35">
      <c r="A9" s="20">
        <v>3</v>
      </c>
      <c r="B9" s="24" t="s">
        <v>128</v>
      </c>
      <c r="C9" s="86">
        <v>0.74</v>
      </c>
      <c r="D9" s="22">
        <v>4.8999999999999998E-3</v>
      </c>
      <c r="E9" s="22"/>
      <c r="F9" s="21">
        <v>69491</v>
      </c>
      <c r="G9" s="21">
        <v>-69491</v>
      </c>
      <c r="H9" s="52">
        <f t="shared" ref="H9:H71" si="1">+G9+F9</f>
        <v>0</v>
      </c>
      <c r="I9" s="21">
        <v>0</v>
      </c>
      <c r="J9" s="21">
        <f>I3*C9/100</f>
        <v>51099.493799999997</v>
      </c>
      <c r="K9" s="21">
        <v>0</v>
      </c>
      <c r="L9" s="21">
        <v>0</v>
      </c>
      <c r="M9" s="21">
        <f>N3*C9/100</f>
        <v>29600</v>
      </c>
      <c r="N9" s="21">
        <v>-0.46</v>
      </c>
      <c r="O9" s="53">
        <f t="shared" si="0"/>
        <v>80699.03379999999</v>
      </c>
      <c r="P9" s="65" t="s">
        <v>20</v>
      </c>
    </row>
    <row r="10" spans="1:17" ht="15" thickBot="1" x14ac:dyDescent="0.35">
      <c r="A10" s="20">
        <v>4</v>
      </c>
      <c r="B10" s="24" t="s">
        <v>129</v>
      </c>
      <c r="C10" s="86">
        <v>1.47</v>
      </c>
      <c r="D10" s="22">
        <v>0</v>
      </c>
      <c r="E10" s="22"/>
      <c r="F10" s="21">
        <v>138044</v>
      </c>
      <c r="G10" s="21">
        <v>-138044</v>
      </c>
      <c r="H10" s="52">
        <f t="shared" si="1"/>
        <v>0</v>
      </c>
      <c r="I10" s="21">
        <v>0</v>
      </c>
      <c r="J10" s="21">
        <f>I3*C10/100</f>
        <v>101508.45390000001</v>
      </c>
      <c r="K10" s="21">
        <v>0</v>
      </c>
      <c r="L10" s="21">
        <v>0</v>
      </c>
      <c r="M10" s="21">
        <f>N3*C10/100</f>
        <v>58800</v>
      </c>
      <c r="N10" s="21">
        <v>-0.41</v>
      </c>
      <c r="O10" s="53">
        <f t="shared" si="0"/>
        <v>160308.04390000002</v>
      </c>
      <c r="P10" s="65" t="s">
        <v>20</v>
      </c>
    </row>
    <row r="11" spans="1:17" ht="15" thickBot="1" x14ac:dyDescent="0.35">
      <c r="A11" s="20">
        <v>5</v>
      </c>
      <c r="B11" s="24" t="s">
        <v>130</v>
      </c>
      <c r="C11" s="86">
        <v>1.1200000000000001</v>
      </c>
      <c r="D11" s="22">
        <v>4.8999999999999998E-3</v>
      </c>
      <c r="E11" s="22"/>
      <c r="F11" s="21">
        <v>44845</v>
      </c>
      <c r="G11" s="21">
        <v>-44845</v>
      </c>
      <c r="H11" s="52">
        <f t="shared" si="1"/>
        <v>0</v>
      </c>
      <c r="I11" s="21">
        <v>0</v>
      </c>
      <c r="J11" s="21">
        <f>I3*C11/100</f>
        <v>77339.774400000009</v>
      </c>
      <c r="K11" s="21">
        <v>0</v>
      </c>
      <c r="L11" s="21">
        <v>0</v>
      </c>
      <c r="M11" s="21">
        <f>N3*C11/100</f>
        <v>44800</v>
      </c>
      <c r="N11" s="21">
        <v>0.28000000000000003</v>
      </c>
      <c r="O11" s="53">
        <f t="shared" si="0"/>
        <v>122140.05440000001</v>
      </c>
      <c r="P11" s="65" t="s">
        <v>20</v>
      </c>
    </row>
    <row r="12" spans="1:17" ht="15" thickBot="1" x14ac:dyDescent="0.35">
      <c r="A12" s="20">
        <v>6</v>
      </c>
      <c r="B12" s="24" t="s">
        <v>131</v>
      </c>
      <c r="C12" s="86">
        <v>1.35</v>
      </c>
      <c r="D12" s="22">
        <v>8.9999999999999998E-4</v>
      </c>
      <c r="E12" s="22"/>
      <c r="F12" s="21">
        <v>125670</v>
      </c>
      <c r="G12" s="21">
        <v>-126775</v>
      </c>
      <c r="H12" s="52">
        <f t="shared" si="1"/>
        <v>-1105</v>
      </c>
      <c r="I12" s="21">
        <v>0</v>
      </c>
      <c r="J12" s="21">
        <f>I3*C12/100</f>
        <v>93222.049500000008</v>
      </c>
      <c r="K12" s="21">
        <v>0</v>
      </c>
      <c r="L12" s="21">
        <v>0</v>
      </c>
      <c r="M12" s="21">
        <f>N3*C12/100</f>
        <v>54000</v>
      </c>
      <c r="N12" s="21">
        <v>0.01</v>
      </c>
      <c r="O12" s="53">
        <f t="shared" si="0"/>
        <v>146117.05950000003</v>
      </c>
      <c r="P12" s="65" t="s">
        <v>20</v>
      </c>
      <c r="Q12" t="s">
        <v>20</v>
      </c>
    </row>
    <row r="13" spans="1:17" ht="15" thickBot="1" x14ac:dyDescent="0.35">
      <c r="A13" s="20">
        <v>7</v>
      </c>
      <c r="B13" s="24" t="s">
        <v>132</v>
      </c>
      <c r="C13" s="86">
        <v>1.1200000000000001</v>
      </c>
      <c r="D13" s="22">
        <v>8.9999999999999998E-4</v>
      </c>
      <c r="E13" s="22"/>
      <c r="F13" s="21">
        <v>96632</v>
      </c>
      <c r="G13" s="21">
        <v>-96632</v>
      </c>
      <c r="H13" s="52">
        <f t="shared" si="1"/>
        <v>0</v>
      </c>
      <c r="I13" s="21">
        <v>0</v>
      </c>
      <c r="J13" s="21">
        <f>I3*C13/100</f>
        <v>77339.774400000009</v>
      </c>
      <c r="K13" s="21">
        <v>0</v>
      </c>
      <c r="L13" s="21">
        <v>0</v>
      </c>
      <c r="M13" s="21">
        <f>N3*C13/100</f>
        <v>44800</v>
      </c>
      <c r="N13" s="21">
        <v>-0.7</v>
      </c>
      <c r="O13" s="53">
        <f t="shared" si="0"/>
        <v>122139.07440000001</v>
      </c>
      <c r="P13" s="65" t="s">
        <v>20</v>
      </c>
      <c r="Q13" t="s">
        <v>20</v>
      </c>
    </row>
    <row r="14" spans="1:17" ht="15" thickBot="1" x14ac:dyDescent="0.35">
      <c r="A14" s="20">
        <v>8</v>
      </c>
      <c r="B14" s="24" t="s">
        <v>133</v>
      </c>
      <c r="C14" s="86">
        <v>0.82</v>
      </c>
      <c r="D14" s="22">
        <v>8.9999999999999998E-4</v>
      </c>
      <c r="E14" s="22"/>
      <c r="F14" s="21">
        <v>77004</v>
      </c>
      <c r="G14" s="21">
        <v>-77004</v>
      </c>
      <c r="H14" s="52">
        <f t="shared" si="1"/>
        <v>0</v>
      </c>
      <c r="I14" s="21">
        <v>0</v>
      </c>
      <c r="J14" s="21">
        <f>I3*C14/100</f>
        <v>56623.763399999996</v>
      </c>
      <c r="K14" s="21">
        <v>0</v>
      </c>
      <c r="L14" s="21">
        <v>0</v>
      </c>
      <c r="M14" s="21">
        <f>N3*C14/100</f>
        <v>32800</v>
      </c>
      <c r="N14" s="21">
        <v>0.32</v>
      </c>
      <c r="O14" s="53">
        <f t="shared" si="0"/>
        <v>89424.083400000003</v>
      </c>
      <c r="P14" s="65" t="s">
        <v>20</v>
      </c>
      <c r="Q14" t="s">
        <v>20</v>
      </c>
    </row>
    <row r="15" spans="1:17" ht="15" thickBot="1" x14ac:dyDescent="0.35">
      <c r="A15" s="20">
        <v>9</v>
      </c>
      <c r="B15" s="24" t="s">
        <v>134</v>
      </c>
      <c r="C15" s="86">
        <v>0.82</v>
      </c>
      <c r="D15" s="22">
        <v>8.9999999999999998E-4</v>
      </c>
      <c r="E15" s="22"/>
      <c r="F15" s="21">
        <v>77004</v>
      </c>
      <c r="G15" s="21">
        <v>-77004</v>
      </c>
      <c r="H15" s="52">
        <f t="shared" si="1"/>
        <v>0</v>
      </c>
      <c r="I15" s="21">
        <v>0</v>
      </c>
      <c r="J15" s="21">
        <f>I3*C15/100</f>
        <v>56623.763399999996</v>
      </c>
      <c r="K15" s="21">
        <v>0</v>
      </c>
      <c r="L15" s="21">
        <v>0</v>
      </c>
      <c r="M15" s="21">
        <f>N3*C15/100</f>
        <v>32800</v>
      </c>
      <c r="N15" s="21">
        <v>0.33</v>
      </c>
      <c r="O15" s="53">
        <f t="shared" si="0"/>
        <v>89424.093399999998</v>
      </c>
      <c r="P15" s="65" t="s">
        <v>20</v>
      </c>
    </row>
    <row r="16" spans="1:17" ht="15" thickBot="1" x14ac:dyDescent="0.35">
      <c r="A16" s="20">
        <v>10</v>
      </c>
      <c r="B16" s="24" t="s">
        <v>135</v>
      </c>
      <c r="C16" s="86">
        <v>1.34</v>
      </c>
      <c r="D16" s="22">
        <v>8.9999999999999998E-4</v>
      </c>
      <c r="E16" s="22"/>
      <c r="F16" s="25">
        <v>125836</v>
      </c>
      <c r="G16" s="25">
        <v>0</v>
      </c>
      <c r="H16" s="52">
        <f t="shared" si="1"/>
        <v>125836</v>
      </c>
      <c r="I16" s="21">
        <v>2517</v>
      </c>
      <c r="J16" s="21">
        <f>I3*C16/100</f>
        <v>92531.515799999994</v>
      </c>
      <c r="K16" s="21">
        <v>0</v>
      </c>
      <c r="L16" s="21">
        <v>0</v>
      </c>
      <c r="M16" s="21">
        <f>N3*C16/100</f>
        <v>53600</v>
      </c>
      <c r="N16" s="21">
        <v>-0.42</v>
      </c>
      <c r="O16" s="53">
        <f t="shared" si="0"/>
        <v>274484.09580000001</v>
      </c>
      <c r="P16" s="65" t="s">
        <v>20</v>
      </c>
    </row>
    <row r="17" spans="1:17" ht="15" thickBot="1" x14ac:dyDescent="0.35">
      <c r="A17" s="20">
        <v>11</v>
      </c>
      <c r="B17" s="24" t="s">
        <v>136</v>
      </c>
      <c r="C17" s="86">
        <v>1.1200000000000001</v>
      </c>
      <c r="D17" s="22">
        <v>4.8999999999999998E-3</v>
      </c>
      <c r="E17" s="22"/>
      <c r="F17" s="21">
        <v>105176</v>
      </c>
      <c r="G17" s="21">
        <v>0</v>
      </c>
      <c r="H17" s="52">
        <f t="shared" si="1"/>
        <v>105176</v>
      </c>
      <c r="I17" s="21">
        <v>2104</v>
      </c>
      <c r="J17" s="21">
        <f>I3*C17/100</f>
        <v>77339.774400000009</v>
      </c>
      <c r="K17" s="21">
        <v>0</v>
      </c>
      <c r="L17" s="21">
        <v>0</v>
      </c>
      <c r="M17" s="21">
        <f>N3*C17/100</f>
        <v>44800</v>
      </c>
      <c r="N17" s="21">
        <v>-0.66</v>
      </c>
      <c r="O17" s="53">
        <f t="shared" si="0"/>
        <v>229419.11439999999</v>
      </c>
      <c r="P17" s="65" t="s">
        <v>20</v>
      </c>
    </row>
    <row r="18" spans="1:17" ht="15" thickBot="1" x14ac:dyDescent="0.35">
      <c r="A18" s="20">
        <v>12</v>
      </c>
      <c r="B18" s="24" t="s">
        <v>137</v>
      </c>
      <c r="C18" s="86">
        <v>1.17</v>
      </c>
      <c r="D18" s="22">
        <v>8.9999999999999998E-4</v>
      </c>
      <c r="E18" s="22"/>
      <c r="F18" s="21">
        <v>936817</v>
      </c>
      <c r="G18" s="21">
        <v>0</v>
      </c>
      <c r="H18" s="52">
        <v>884365</v>
      </c>
      <c r="I18" s="21">
        <v>70139</v>
      </c>
      <c r="J18" s="21">
        <f>I3*C18/100</f>
        <v>80792.442899999995</v>
      </c>
      <c r="K18" s="21">
        <v>0</v>
      </c>
      <c r="L18" s="21">
        <v>0</v>
      </c>
      <c r="M18" s="21">
        <f>N3*C18/100</f>
        <v>46800</v>
      </c>
      <c r="N18" s="21">
        <v>-0.32</v>
      </c>
      <c r="O18" s="53">
        <f t="shared" si="0"/>
        <v>1082096.1229000001</v>
      </c>
      <c r="P18" s="65" t="s">
        <v>20</v>
      </c>
    </row>
    <row r="19" spans="1:17" ht="15" thickBot="1" x14ac:dyDescent="0.35">
      <c r="A19" s="20">
        <v>13</v>
      </c>
      <c r="B19" s="24" t="s">
        <v>138</v>
      </c>
      <c r="C19" s="86">
        <v>1.35</v>
      </c>
      <c r="D19" s="22">
        <v>8.9999999999999998E-4</v>
      </c>
      <c r="E19" s="22"/>
      <c r="F19" s="21">
        <v>126775</v>
      </c>
      <c r="G19" s="21">
        <v>-126775</v>
      </c>
      <c r="H19" s="52">
        <f t="shared" si="1"/>
        <v>0</v>
      </c>
      <c r="I19" s="21">
        <v>0</v>
      </c>
      <c r="J19" s="21">
        <f>I3*C19/100</f>
        <v>93222.049500000008</v>
      </c>
      <c r="K19" s="21">
        <v>0</v>
      </c>
      <c r="L19" s="21">
        <v>0</v>
      </c>
      <c r="M19" s="21">
        <f>N3*C19/100</f>
        <v>54000</v>
      </c>
      <c r="N19" s="21">
        <v>0.08</v>
      </c>
      <c r="O19" s="53">
        <f t="shared" si="0"/>
        <v>147222.12950000001</v>
      </c>
      <c r="P19" s="65" t="s">
        <v>20</v>
      </c>
    </row>
    <row r="20" spans="1:17" ht="15" thickBot="1" x14ac:dyDescent="0.35">
      <c r="A20" s="20">
        <v>14</v>
      </c>
      <c r="B20" s="24" t="s">
        <v>139</v>
      </c>
      <c r="C20" s="86">
        <v>1.1200000000000001</v>
      </c>
      <c r="D20" s="22">
        <v>4.8999999999999998E-3</v>
      </c>
      <c r="E20" s="22"/>
      <c r="F20" s="21">
        <v>105176</v>
      </c>
      <c r="G20" s="21">
        <v>-105176</v>
      </c>
      <c r="H20" s="52">
        <f t="shared" si="1"/>
        <v>0</v>
      </c>
      <c r="I20" s="21">
        <v>0</v>
      </c>
      <c r="J20" s="21">
        <f>I3*C20/100</f>
        <v>77339.774400000009</v>
      </c>
      <c r="K20" s="21">
        <v>0</v>
      </c>
      <c r="L20" s="21">
        <v>0</v>
      </c>
      <c r="M20" s="21">
        <f>N3*C20/100</f>
        <v>44800</v>
      </c>
      <c r="N20" s="21">
        <v>-0.63</v>
      </c>
      <c r="O20" s="53">
        <f t="shared" si="0"/>
        <v>122139.1444</v>
      </c>
      <c r="P20" s="65" t="s">
        <v>20</v>
      </c>
    </row>
    <row r="21" spans="1:17" ht="15" thickBot="1" x14ac:dyDescent="0.35">
      <c r="A21" s="20">
        <v>15</v>
      </c>
      <c r="B21" s="24" t="s">
        <v>140</v>
      </c>
      <c r="C21" s="86">
        <v>0.82</v>
      </c>
      <c r="D21" s="22">
        <v>8.9999999999999998E-4</v>
      </c>
      <c r="E21" s="22"/>
      <c r="F21" s="21">
        <v>77004</v>
      </c>
      <c r="G21" s="21">
        <v>-77004</v>
      </c>
      <c r="H21" s="52">
        <f t="shared" si="1"/>
        <v>0</v>
      </c>
      <c r="I21" s="21">
        <v>0</v>
      </c>
      <c r="J21" s="21">
        <f>I3*C21/100</f>
        <v>56623.763399999996</v>
      </c>
      <c r="K21" s="21">
        <v>0</v>
      </c>
      <c r="L21" s="21">
        <v>0</v>
      </c>
      <c r="M21" s="21">
        <f>N3*C21/100</f>
        <v>32800</v>
      </c>
      <c r="N21" s="21">
        <v>-0.61</v>
      </c>
      <c r="O21" s="53">
        <f t="shared" si="0"/>
        <v>89423.153399999996</v>
      </c>
      <c r="P21" s="65" t="s">
        <v>20</v>
      </c>
    </row>
    <row r="22" spans="1:17" ht="15" thickBot="1" x14ac:dyDescent="0.35">
      <c r="A22" s="20">
        <v>16</v>
      </c>
      <c r="B22" s="24" t="s">
        <v>141</v>
      </c>
      <c r="C22" s="86">
        <v>0.82</v>
      </c>
      <c r="D22" s="22">
        <v>4.8999999999999998E-3</v>
      </c>
      <c r="E22" s="22"/>
      <c r="F22" s="21">
        <v>194801</v>
      </c>
      <c r="G22" s="21">
        <v>-77010</v>
      </c>
      <c r="H22" s="52">
        <v>115487</v>
      </c>
      <c r="I22" s="21">
        <v>2310</v>
      </c>
      <c r="J22" s="21">
        <f>I3*C22/100</f>
        <v>56623.763399999996</v>
      </c>
      <c r="K22" s="21">
        <v>0</v>
      </c>
      <c r="L22" s="21">
        <v>0</v>
      </c>
      <c r="M22" s="21">
        <f>N3*C22/100</f>
        <v>32800</v>
      </c>
      <c r="N22" s="21">
        <v>-0.6</v>
      </c>
      <c r="O22" s="53">
        <f t="shared" si="0"/>
        <v>207220.16339999999</v>
      </c>
      <c r="P22" s="65" t="s">
        <v>20</v>
      </c>
    </row>
    <row r="23" spans="1:17" ht="15" thickBot="1" x14ac:dyDescent="0.35">
      <c r="A23" s="20">
        <v>17</v>
      </c>
      <c r="B23" s="43" t="s">
        <v>142</v>
      </c>
      <c r="C23" s="86">
        <v>1.34</v>
      </c>
      <c r="D23" s="22">
        <v>8.9999999999999993E-3</v>
      </c>
      <c r="E23" s="22"/>
      <c r="F23" s="21">
        <v>125836</v>
      </c>
      <c r="G23" s="21">
        <v>-125836</v>
      </c>
      <c r="H23" s="52">
        <f t="shared" si="1"/>
        <v>0</v>
      </c>
      <c r="I23" s="21">
        <v>0</v>
      </c>
      <c r="J23" s="21">
        <f>I3*C23/100</f>
        <v>92531.515799999994</v>
      </c>
      <c r="K23" s="21">
        <v>0</v>
      </c>
      <c r="L23" s="21">
        <v>0</v>
      </c>
      <c r="M23" s="21">
        <f>N3*C23/100</f>
        <v>53600</v>
      </c>
      <c r="N23" s="21">
        <v>-0.35</v>
      </c>
      <c r="O23" s="53">
        <f t="shared" si="0"/>
        <v>146131.16579999999</v>
      </c>
      <c r="P23" s="65" t="s">
        <v>20</v>
      </c>
    </row>
    <row r="24" spans="1:17" ht="15" thickBot="1" x14ac:dyDescent="0.35">
      <c r="A24" s="20">
        <v>18</v>
      </c>
      <c r="B24" s="24" t="s">
        <v>143</v>
      </c>
      <c r="C24" s="86">
        <v>1.1200000000000001</v>
      </c>
      <c r="D24" s="22">
        <v>8.9999999999999998E-4</v>
      </c>
      <c r="E24" s="22"/>
      <c r="F24" s="21">
        <v>105176</v>
      </c>
      <c r="G24" s="21">
        <v>-106000</v>
      </c>
      <c r="H24" s="52">
        <f t="shared" si="1"/>
        <v>-824</v>
      </c>
      <c r="I24" s="21">
        <v>0</v>
      </c>
      <c r="J24" s="21">
        <f>I3*C24/100</f>
        <v>77339.774400000009</v>
      </c>
      <c r="K24" s="21">
        <v>0</v>
      </c>
      <c r="L24" s="21">
        <v>0</v>
      </c>
      <c r="M24" s="21">
        <f>N3*C24/100</f>
        <v>44800</v>
      </c>
      <c r="N24" s="21">
        <v>0.41</v>
      </c>
      <c r="O24" s="53">
        <f t="shared" si="0"/>
        <v>121316.18440000001</v>
      </c>
      <c r="P24" s="65" t="s">
        <v>20</v>
      </c>
    </row>
    <row r="25" spans="1:17" ht="15" thickBot="1" x14ac:dyDescent="0.35">
      <c r="A25" s="20">
        <v>19</v>
      </c>
      <c r="B25" s="24" t="s">
        <v>144</v>
      </c>
      <c r="C25" s="86">
        <v>1.17</v>
      </c>
      <c r="D25" s="22">
        <v>8.9999999999999998E-4</v>
      </c>
      <c r="E25" s="22"/>
      <c r="F25" s="21">
        <v>366849</v>
      </c>
      <c r="G25" s="21">
        <v>-109871</v>
      </c>
      <c r="H25" s="52">
        <v>256978</v>
      </c>
      <c r="I25" s="21">
        <v>5140</v>
      </c>
      <c r="J25" s="21">
        <f>I3*C25/100</f>
        <v>80792.442899999995</v>
      </c>
      <c r="K25" s="21">
        <v>0</v>
      </c>
      <c r="L25" s="21">
        <v>0</v>
      </c>
      <c r="M25" s="21">
        <f>N3*C25/100</f>
        <v>46800</v>
      </c>
      <c r="N25" s="21">
        <v>-0.25</v>
      </c>
      <c r="O25" s="53">
        <f t="shared" si="0"/>
        <v>389710.19290000002</v>
      </c>
      <c r="P25" s="65" t="s">
        <v>20</v>
      </c>
    </row>
    <row r="26" spans="1:17" ht="15" thickBot="1" x14ac:dyDescent="0.35">
      <c r="A26" s="20">
        <v>20</v>
      </c>
      <c r="B26" s="24" t="s">
        <v>145</v>
      </c>
      <c r="C26" s="86">
        <v>1.35</v>
      </c>
      <c r="D26" s="22">
        <v>4.8999999999999998E-3</v>
      </c>
      <c r="E26" s="22"/>
      <c r="F26" s="21">
        <v>962393</v>
      </c>
      <c r="G26" s="21">
        <v>-44100</v>
      </c>
      <c r="H26" s="52">
        <v>806294</v>
      </c>
      <c r="I26" s="21">
        <v>45450</v>
      </c>
      <c r="J26" s="21">
        <f>I3*C26/100</f>
        <v>93222.049500000008</v>
      </c>
      <c r="K26" s="21">
        <v>0</v>
      </c>
      <c r="L26" s="21">
        <v>0</v>
      </c>
      <c r="M26" s="21">
        <f>N3*C26/100</f>
        <v>54000</v>
      </c>
      <c r="N26" s="21">
        <v>0.15</v>
      </c>
      <c r="O26" s="53">
        <f t="shared" si="0"/>
        <v>998966.19949999999</v>
      </c>
      <c r="P26" s="65" t="s">
        <v>20</v>
      </c>
      <c r="Q26" t="s">
        <v>20</v>
      </c>
    </row>
    <row r="27" spans="1:17" ht="15" thickBot="1" x14ac:dyDescent="0.35">
      <c r="A27" s="20">
        <v>21</v>
      </c>
      <c r="B27" s="24" t="s">
        <v>146</v>
      </c>
      <c r="C27" s="86">
        <v>1.1200000000000001</v>
      </c>
      <c r="D27" s="22">
        <v>8.9999999999999998E-4</v>
      </c>
      <c r="E27" s="22"/>
      <c r="F27" s="21">
        <v>229061</v>
      </c>
      <c r="G27" s="21">
        <v>-229061</v>
      </c>
      <c r="H27" s="52">
        <f t="shared" si="1"/>
        <v>0</v>
      </c>
      <c r="I27" s="21">
        <v>0</v>
      </c>
      <c r="J27" s="21">
        <f>I3*C27/100</f>
        <v>77339.774400000009</v>
      </c>
      <c r="K27" s="21">
        <v>0</v>
      </c>
      <c r="L27" s="21">
        <v>0</v>
      </c>
      <c r="M27" s="21">
        <f>N3*C27/100</f>
        <v>44800</v>
      </c>
      <c r="N27" s="21">
        <v>-0.56000000000000005</v>
      </c>
      <c r="O27" s="53">
        <f t="shared" si="0"/>
        <v>122139.21440000001</v>
      </c>
      <c r="P27" s="65" t="s">
        <v>20</v>
      </c>
    </row>
    <row r="28" spans="1:17" ht="15" thickBot="1" x14ac:dyDescent="0.35">
      <c r="A28" s="20">
        <v>22</v>
      </c>
      <c r="B28" s="24" t="s">
        <v>147</v>
      </c>
      <c r="C28" s="86">
        <v>0.82</v>
      </c>
      <c r="D28" s="22">
        <v>8.9999999999999998E-4</v>
      </c>
      <c r="E28" s="22"/>
      <c r="F28" s="25">
        <v>77004</v>
      </c>
      <c r="G28" s="25">
        <v>-77004</v>
      </c>
      <c r="H28" s="52">
        <f t="shared" si="1"/>
        <v>0</v>
      </c>
      <c r="I28" s="21">
        <v>0</v>
      </c>
      <c r="J28" s="21">
        <f>I3*C28/100</f>
        <v>56623.763399999996</v>
      </c>
      <c r="K28" s="21">
        <v>0</v>
      </c>
      <c r="L28" s="21">
        <v>0</v>
      </c>
      <c r="M28" s="21">
        <f>N3*C28/100</f>
        <v>32800</v>
      </c>
      <c r="N28" s="21">
        <v>-0.54</v>
      </c>
      <c r="O28" s="53">
        <f t="shared" si="0"/>
        <v>89423.223400000003</v>
      </c>
      <c r="P28" s="65" t="s">
        <v>20</v>
      </c>
    </row>
    <row r="29" spans="1:17" ht="15" thickBot="1" x14ac:dyDescent="0.35">
      <c r="A29" s="20">
        <v>23</v>
      </c>
      <c r="B29" s="24" t="s">
        <v>148</v>
      </c>
      <c r="C29" s="86">
        <v>0.82</v>
      </c>
      <c r="D29" s="22">
        <v>8.9999999999999998E-4</v>
      </c>
      <c r="E29" s="22"/>
      <c r="F29" s="21">
        <v>77004</v>
      </c>
      <c r="G29" s="21">
        <v>-77004</v>
      </c>
      <c r="H29" s="52">
        <f t="shared" si="1"/>
        <v>0</v>
      </c>
      <c r="I29" s="21">
        <v>0</v>
      </c>
      <c r="J29" s="21">
        <f>I3*C29/100</f>
        <v>56623.763399999996</v>
      </c>
      <c r="K29" s="21">
        <v>0</v>
      </c>
      <c r="L29" s="21">
        <v>0</v>
      </c>
      <c r="M29" s="21">
        <f>N3*C29/100</f>
        <v>32800</v>
      </c>
      <c r="N29" s="21">
        <v>-0.53</v>
      </c>
      <c r="O29" s="53">
        <f t="shared" si="0"/>
        <v>89423.233399999997</v>
      </c>
      <c r="P29" s="65" t="s">
        <v>20</v>
      </c>
    </row>
    <row r="30" spans="1:17" ht="15" thickBot="1" x14ac:dyDescent="0.35">
      <c r="A30" s="20">
        <v>24</v>
      </c>
      <c r="B30" s="24" t="s">
        <v>149</v>
      </c>
      <c r="C30" s="86">
        <v>1.34</v>
      </c>
      <c r="D30" s="22">
        <v>8.9999999999999998E-4</v>
      </c>
      <c r="E30" s="22"/>
      <c r="F30" s="21">
        <v>274056</v>
      </c>
      <c r="G30" s="21">
        <v>0</v>
      </c>
      <c r="H30" s="52">
        <v>271150</v>
      </c>
      <c r="I30" s="21">
        <v>8329</v>
      </c>
      <c r="J30" s="21">
        <f>I3*C30/100</f>
        <v>92531.515799999994</v>
      </c>
      <c r="K30" s="21">
        <v>0</v>
      </c>
      <c r="L30" s="21">
        <v>0</v>
      </c>
      <c r="M30" s="21">
        <f>N3*C30/100</f>
        <v>53600</v>
      </c>
      <c r="N30" s="21">
        <v>-0.28000000000000003</v>
      </c>
      <c r="O30" s="53">
        <f t="shared" si="0"/>
        <v>425610.23579999997</v>
      </c>
      <c r="P30" s="65" t="s">
        <v>20</v>
      </c>
      <c r="Q30" s="35" t="s">
        <v>20</v>
      </c>
    </row>
    <row r="31" spans="1:17" ht="15" thickBot="1" x14ac:dyDescent="0.35">
      <c r="A31" s="20">
        <v>25</v>
      </c>
      <c r="B31" s="24" t="s">
        <v>150</v>
      </c>
      <c r="C31" s="86">
        <v>1.1200000000000001</v>
      </c>
      <c r="D31" s="22">
        <v>8.9999999999999998E-4</v>
      </c>
      <c r="E31" s="22"/>
      <c r="F31" s="21">
        <v>104392</v>
      </c>
      <c r="G31" s="21">
        <v>-104400</v>
      </c>
      <c r="H31" s="52">
        <f t="shared" si="1"/>
        <v>-8</v>
      </c>
      <c r="I31" s="21">
        <v>0</v>
      </c>
      <c r="J31" s="21">
        <f>I3*C31/100</f>
        <v>77339.774400000009</v>
      </c>
      <c r="K31" s="21">
        <v>0</v>
      </c>
      <c r="L31" s="21">
        <v>0</v>
      </c>
      <c r="M31" s="21">
        <f>N3*C31/100</f>
        <v>44800</v>
      </c>
      <c r="N31" s="21">
        <v>-0.52</v>
      </c>
      <c r="O31" s="53">
        <f t="shared" si="0"/>
        <v>122131.25440000001</v>
      </c>
      <c r="P31" s="65" t="s">
        <v>20</v>
      </c>
    </row>
    <row r="32" spans="1:17" ht="15" thickBot="1" x14ac:dyDescent="0.35">
      <c r="A32" s="20">
        <v>26</v>
      </c>
      <c r="B32" s="24" t="s">
        <v>151</v>
      </c>
      <c r="C32" s="86">
        <v>1.17</v>
      </c>
      <c r="D32" s="22">
        <v>8.9999999999999998E-4</v>
      </c>
      <c r="E32" s="22"/>
      <c r="F32" s="21">
        <v>790848</v>
      </c>
      <c r="G32" s="21">
        <v>0</v>
      </c>
      <c r="H32" s="52">
        <v>759405</v>
      </c>
      <c r="I32" s="21">
        <v>46632</v>
      </c>
      <c r="J32" s="21">
        <f>I3*C32/100</f>
        <v>80792.442899999995</v>
      </c>
      <c r="K32" s="21">
        <v>0</v>
      </c>
      <c r="L32" s="21">
        <v>0</v>
      </c>
      <c r="M32" s="21">
        <f>N3*C32/100</f>
        <v>46800</v>
      </c>
      <c r="N32" s="21">
        <v>-0.18</v>
      </c>
      <c r="O32" s="53">
        <f t="shared" si="0"/>
        <v>933629.26289999997</v>
      </c>
      <c r="P32" s="65" t="s">
        <v>20</v>
      </c>
    </row>
    <row r="33" spans="1:17" ht="15" thickBot="1" x14ac:dyDescent="0.35">
      <c r="A33" s="20">
        <v>27</v>
      </c>
      <c r="B33" s="24" t="s">
        <v>152</v>
      </c>
      <c r="C33" s="86">
        <v>1.35</v>
      </c>
      <c r="D33" s="22">
        <v>8.9999999999999998E-4</v>
      </c>
      <c r="E33" s="22"/>
      <c r="F33" s="25">
        <v>126775</v>
      </c>
      <c r="G33" s="25">
        <v>-126775</v>
      </c>
      <c r="H33" s="52">
        <f t="shared" si="1"/>
        <v>0</v>
      </c>
      <c r="I33" s="21">
        <v>0</v>
      </c>
      <c r="J33" s="21">
        <f>I3*C33/100</f>
        <v>93222.049500000008</v>
      </c>
      <c r="K33" s="21">
        <v>0</v>
      </c>
      <c r="L33" s="21">
        <v>0</v>
      </c>
      <c r="M33" s="21">
        <f>N3*C33/100</f>
        <v>54000</v>
      </c>
      <c r="N33" s="21">
        <v>0.22</v>
      </c>
      <c r="O33" s="53">
        <f t="shared" si="0"/>
        <v>147222.26950000002</v>
      </c>
      <c r="P33" s="65" t="s">
        <v>20</v>
      </c>
    </row>
    <row r="34" spans="1:17" ht="15" thickBot="1" x14ac:dyDescent="0.35">
      <c r="A34" s="20">
        <v>28</v>
      </c>
      <c r="B34" s="24" t="s">
        <v>153</v>
      </c>
      <c r="C34" s="86">
        <v>1.1200000000000001</v>
      </c>
      <c r="D34" s="22">
        <v>8.9999999999999998E-4</v>
      </c>
      <c r="E34" s="22"/>
      <c r="F34" s="25">
        <v>351169</v>
      </c>
      <c r="G34" s="25">
        <v>0</v>
      </c>
      <c r="H34" s="52">
        <v>344044</v>
      </c>
      <c r="I34" s="21">
        <v>14006</v>
      </c>
      <c r="J34" s="21">
        <f>I3*C34/100</f>
        <v>77339.774400000009</v>
      </c>
      <c r="K34" s="21">
        <v>0</v>
      </c>
      <c r="L34" s="21">
        <v>0</v>
      </c>
      <c r="M34" s="21">
        <f>N3*C34/100</f>
        <v>44800</v>
      </c>
      <c r="N34" s="21">
        <v>-0.49</v>
      </c>
      <c r="O34" s="53">
        <f t="shared" si="0"/>
        <v>480189.2844</v>
      </c>
      <c r="P34" s="65" t="s">
        <v>20</v>
      </c>
      <c r="Q34" t="s">
        <v>20</v>
      </c>
    </row>
    <row r="35" spans="1:17" ht="15" thickBot="1" x14ac:dyDescent="0.35">
      <c r="A35" s="66">
        <v>29</v>
      </c>
      <c r="B35" s="67" t="s">
        <v>154</v>
      </c>
      <c r="C35" s="86">
        <v>0.82</v>
      </c>
      <c r="D35" s="68">
        <v>4.8999999999999998E-3</v>
      </c>
      <c r="E35" s="68"/>
      <c r="F35" s="69">
        <v>165129</v>
      </c>
      <c r="G35" s="69">
        <v>0</v>
      </c>
      <c r="H35" s="52">
        <v>163401</v>
      </c>
      <c r="I35" s="70">
        <v>4996</v>
      </c>
      <c r="J35" s="21">
        <f>I3*C35/100</f>
        <v>56623.763399999996</v>
      </c>
      <c r="K35" s="21">
        <v>0</v>
      </c>
      <c r="L35" s="21">
        <v>0</v>
      </c>
      <c r="M35" s="21">
        <f>N3*C35/100</f>
        <v>32800</v>
      </c>
      <c r="N35" s="21">
        <v>-0.47</v>
      </c>
      <c r="O35" s="53">
        <f t="shared" si="0"/>
        <v>257820.2934</v>
      </c>
      <c r="P35" s="65" t="s">
        <v>20</v>
      </c>
    </row>
    <row r="36" spans="1:17" ht="15" thickBot="1" x14ac:dyDescent="0.35">
      <c r="A36" s="71">
        <v>30</v>
      </c>
      <c r="B36" s="24" t="s">
        <v>155</v>
      </c>
      <c r="C36" s="86">
        <v>0.82</v>
      </c>
      <c r="D36" s="22"/>
      <c r="E36" s="22"/>
      <c r="F36" s="25">
        <v>77004</v>
      </c>
      <c r="G36" s="25">
        <v>-90000</v>
      </c>
      <c r="H36" s="52">
        <f t="shared" si="1"/>
        <v>-12996</v>
      </c>
      <c r="I36" s="21">
        <v>0</v>
      </c>
      <c r="J36" s="21">
        <f>I3*C36/100</f>
        <v>56623.763399999996</v>
      </c>
      <c r="K36" s="21">
        <v>0</v>
      </c>
      <c r="L36" s="21">
        <v>0</v>
      </c>
      <c r="M36" s="21">
        <f>N3*C36/100</f>
        <v>32800</v>
      </c>
      <c r="N36" s="21">
        <v>-0.46</v>
      </c>
      <c r="O36" s="53">
        <f t="shared" si="0"/>
        <v>76427.30339999999</v>
      </c>
      <c r="P36" s="65" t="s">
        <v>20</v>
      </c>
    </row>
    <row r="37" spans="1:17" ht="15" thickBot="1" x14ac:dyDescent="0.35">
      <c r="A37" s="71">
        <v>31</v>
      </c>
      <c r="B37" s="24" t="s">
        <v>156</v>
      </c>
      <c r="C37" s="86">
        <v>1.34</v>
      </c>
      <c r="D37" s="22"/>
      <c r="E37" s="22"/>
      <c r="F37" s="25">
        <v>125836</v>
      </c>
      <c r="G37" s="25">
        <v>-125836</v>
      </c>
      <c r="H37" s="52">
        <f t="shared" si="1"/>
        <v>0</v>
      </c>
      <c r="I37" s="21">
        <v>0</v>
      </c>
      <c r="J37" s="21">
        <f>I3*C37/100</f>
        <v>92531.515799999994</v>
      </c>
      <c r="K37" s="21">
        <v>0</v>
      </c>
      <c r="L37" s="21">
        <v>0</v>
      </c>
      <c r="M37" s="21">
        <f>N3*C37/100</f>
        <v>53600</v>
      </c>
      <c r="N37" s="21">
        <v>-0.21</v>
      </c>
      <c r="O37" s="53">
        <f t="shared" si="0"/>
        <v>146131.3058</v>
      </c>
      <c r="P37" s="65" t="s">
        <v>20</v>
      </c>
    </row>
    <row r="38" spans="1:17" ht="15" thickBot="1" x14ac:dyDescent="0.35">
      <c r="A38" s="71">
        <v>32</v>
      </c>
      <c r="B38" s="24" t="s">
        <v>157</v>
      </c>
      <c r="C38" s="86">
        <v>1.1200000000000001</v>
      </c>
      <c r="D38" s="22"/>
      <c r="E38" s="22"/>
      <c r="F38" s="25">
        <v>106102</v>
      </c>
      <c r="G38" s="25">
        <v>-106102</v>
      </c>
      <c r="H38" s="52">
        <f t="shared" si="1"/>
        <v>0</v>
      </c>
      <c r="I38" s="21">
        <v>18</v>
      </c>
      <c r="J38" s="21">
        <f>I3*C38/100</f>
        <v>77339.774400000009</v>
      </c>
      <c r="K38" s="21">
        <v>0</v>
      </c>
      <c r="L38" s="21">
        <v>0</v>
      </c>
      <c r="M38" s="21">
        <f>N3*C38/100</f>
        <v>44800</v>
      </c>
      <c r="N38" s="21">
        <v>-0.45</v>
      </c>
      <c r="O38" s="53">
        <f t="shared" si="0"/>
        <v>122157.32440000001</v>
      </c>
      <c r="P38" s="65" t="s">
        <v>20</v>
      </c>
    </row>
    <row r="39" spans="1:17" ht="15" thickBot="1" x14ac:dyDescent="0.35">
      <c r="A39" s="71">
        <v>33</v>
      </c>
      <c r="B39" s="24" t="s">
        <v>158</v>
      </c>
      <c r="C39" s="86">
        <v>1.17</v>
      </c>
      <c r="D39" s="22"/>
      <c r="E39" s="22"/>
      <c r="F39" s="25">
        <v>109871</v>
      </c>
      <c r="G39" s="25">
        <v>-109871</v>
      </c>
      <c r="H39" s="52">
        <f t="shared" si="1"/>
        <v>0</v>
      </c>
      <c r="I39" s="21">
        <v>0</v>
      </c>
      <c r="J39" s="21">
        <f>I3*C39/100</f>
        <v>80792.442899999995</v>
      </c>
      <c r="K39" s="21">
        <v>0</v>
      </c>
      <c r="L39" s="21">
        <v>0</v>
      </c>
      <c r="M39" s="21">
        <f>N3*C39/100</f>
        <v>46800</v>
      </c>
      <c r="N39" s="21">
        <v>-0.11</v>
      </c>
      <c r="O39" s="53">
        <f t="shared" si="0"/>
        <v>127592.33289999999</v>
      </c>
      <c r="P39" s="65" t="s">
        <v>20</v>
      </c>
    </row>
    <row r="40" spans="1:17" ht="15" thickBot="1" x14ac:dyDescent="0.35">
      <c r="A40" s="71">
        <v>34</v>
      </c>
      <c r="B40" s="24" t="s">
        <v>159</v>
      </c>
      <c r="C40" s="86">
        <v>1.35</v>
      </c>
      <c r="D40" s="22"/>
      <c r="E40" s="22"/>
      <c r="F40" s="25">
        <v>126775</v>
      </c>
      <c r="G40" s="25">
        <v>-126775</v>
      </c>
      <c r="H40" s="52">
        <f t="shared" si="1"/>
        <v>0</v>
      </c>
      <c r="I40" s="21">
        <v>0</v>
      </c>
      <c r="J40" s="21">
        <f>I3*C40/100</f>
        <v>93222.049500000008</v>
      </c>
      <c r="K40" s="21">
        <v>0</v>
      </c>
      <c r="L40" s="21">
        <v>0</v>
      </c>
      <c r="M40" s="21">
        <f>N3*C40/100</f>
        <v>54000</v>
      </c>
      <c r="N40" s="21">
        <v>0.28999999999999998</v>
      </c>
      <c r="O40" s="53">
        <f t="shared" si="0"/>
        <v>147222.33950000003</v>
      </c>
      <c r="P40" s="65" t="s">
        <v>20</v>
      </c>
    </row>
    <row r="41" spans="1:17" ht="15" thickBot="1" x14ac:dyDescent="0.35">
      <c r="A41" s="71">
        <v>35</v>
      </c>
      <c r="B41" s="24" t="s">
        <v>160</v>
      </c>
      <c r="C41" s="86">
        <v>1.1200000000000001</v>
      </c>
      <c r="D41" s="22"/>
      <c r="E41" s="22"/>
      <c r="F41" s="25">
        <v>105132</v>
      </c>
      <c r="G41" s="25">
        <v>-106000</v>
      </c>
      <c r="H41" s="52">
        <f t="shared" si="1"/>
        <v>-868</v>
      </c>
      <c r="I41" s="21">
        <v>0</v>
      </c>
      <c r="J41" s="21">
        <f>I3*C41/100</f>
        <v>77339.774400000009</v>
      </c>
      <c r="K41" s="21">
        <v>0</v>
      </c>
      <c r="L41" s="21">
        <v>0</v>
      </c>
      <c r="M41" s="21">
        <f>N3*C41/100</f>
        <v>44800</v>
      </c>
      <c r="N41" s="21">
        <v>-0.42</v>
      </c>
      <c r="O41" s="53">
        <f t="shared" si="0"/>
        <v>121271.35440000001</v>
      </c>
      <c r="P41" s="65" t="s">
        <v>20</v>
      </c>
      <c r="Q41" t="s">
        <v>20</v>
      </c>
    </row>
    <row r="42" spans="1:17" ht="15" thickBot="1" x14ac:dyDescent="0.35">
      <c r="A42" s="71">
        <v>36</v>
      </c>
      <c r="B42" s="24" t="s">
        <v>161</v>
      </c>
      <c r="C42" s="86">
        <v>0.82</v>
      </c>
      <c r="D42" s="22"/>
      <c r="E42" s="22"/>
      <c r="F42" s="25">
        <v>167705</v>
      </c>
      <c r="G42" s="25">
        <v>0</v>
      </c>
      <c r="H42" s="52">
        <v>165927</v>
      </c>
      <c r="I42" s="21">
        <v>5097</v>
      </c>
      <c r="J42" s="21">
        <f>I3*C42/100</f>
        <v>56623.763399999996</v>
      </c>
      <c r="K42" s="21">
        <v>0</v>
      </c>
      <c r="L42" s="21">
        <v>0</v>
      </c>
      <c r="M42" s="21">
        <f>N3*C42/100</f>
        <v>32800</v>
      </c>
      <c r="N42" s="21">
        <v>-0.4</v>
      </c>
      <c r="O42" s="53">
        <f t="shared" si="0"/>
        <v>260447.3634</v>
      </c>
      <c r="P42" s="65" t="s">
        <v>20</v>
      </c>
    </row>
    <row r="43" spans="1:17" ht="15" thickBot="1" x14ac:dyDescent="0.35">
      <c r="A43" s="71">
        <v>37</v>
      </c>
      <c r="B43" s="24" t="s">
        <v>162</v>
      </c>
      <c r="C43" s="86">
        <v>0.82</v>
      </c>
      <c r="D43" s="22"/>
      <c r="E43" s="22"/>
      <c r="F43" s="25">
        <v>76927</v>
      </c>
      <c r="G43" s="25">
        <v>-77000</v>
      </c>
      <c r="H43" s="52">
        <f t="shared" si="1"/>
        <v>-73</v>
      </c>
      <c r="I43" s="21">
        <v>0</v>
      </c>
      <c r="J43" s="21">
        <f>I3*C43/100</f>
        <v>56623.763399999996</v>
      </c>
      <c r="K43" s="21">
        <v>0</v>
      </c>
      <c r="L43" s="21">
        <v>0</v>
      </c>
      <c r="M43" s="21">
        <f>N3*C43/100</f>
        <v>32800</v>
      </c>
      <c r="N43" s="21">
        <v>-0.39</v>
      </c>
      <c r="O43" s="53">
        <f t="shared" si="0"/>
        <v>89350.373399999997</v>
      </c>
      <c r="P43" s="65" t="s">
        <v>20</v>
      </c>
    </row>
    <row r="44" spans="1:17" ht="15" thickBot="1" x14ac:dyDescent="0.35">
      <c r="A44" s="71">
        <v>38</v>
      </c>
      <c r="B44" s="24" t="s">
        <v>163</v>
      </c>
      <c r="C44" s="86">
        <v>1.34</v>
      </c>
      <c r="D44" s="22"/>
      <c r="E44" s="22"/>
      <c r="F44" s="25">
        <v>125836</v>
      </c>
      <c r="G44" s="25">
        <v>-125836</v>
      </c>
      <c r="H44" s="52">
        <f t="shared" si="1"/>
        <v>0</v>
      </c>
      <c r="I44" s="21">
        <v>0</v>
      </c>
      <c r="J44" s="21">
        <f>I3*C44/100</f>
        <v>92531.515799999994</v>
      </c>
      <c r="K44" s="21">
        <v>0</v>
      </c>
      <c r="L44" s="21">
        <v>0</v>
      </c>
      <c r="M44" s="21">
        <f>N3*C44/100</f>
        <v>53600</v>
      </c>
      <c r="N44" s="21">
        <v>-0.14000000000000001</v>
      </c>
      <c r="O44" s="53">
        <f t="shared" si="0"/>
        <v>146131.37579999998</v>
      </c>
      <c r="P44" s="65" t="s">
        <v>20</v>
      </c>
    </row>
    <row r="45" spans="1:17" ht="15" thickBot="1" x14ac:dyDescent="0.35">
      <c r="A45" s="71">
        <v>39</v>
      </c>
      <c r="B45" s="24" t="s">
        <v>164</v>
      </c>
      <c r="C45" s="86">
        <v>1.1200000000000001</v>
      </c>
      <c r="D45" s="22"/>
      <c r="E45" s="22"/>
      <c r="F45" s="25">
        <v>105176</v>
      </c>
      <c r="G45" s="25">
        <v>-105176</v>
      </c>
      <c r="H45" s="52">
        <f t="shared" si="1"/>
        <v>0</v>
      </c>
      <c r="I45" s="21">
        <v>0</v>
      </c>
      <c r="J45" s="21">
        <f>I3*C45/100</f>
        <v>77339.774400000009</v>
      </c>
      <c r="K45" s="21">
        <v>0</v>
      </c>
      <c r="L45" s="21">
        <v>0</v>
      </c>
      <c r="M45" s="21">
        <f>N3*C45/100</f>
        <v>44800</v>
      </c>
      <c r="N45" s="21">
        <v>-0.38</v>
      </c>
      <c r="O45" s="53">
        <f t="shared" si="0"/>
        <v>122139.3944</v>
      </c>
      <c r="P45" s="65" t="s">
        <v>20</v>
      </c>
    </row>
    <row r="46" spans="1:17" ht="15" thickBot="1" x14ac:dyDescent="0.35">
      <c r="A46" s="71">
        <v>40</v>
      </c>
      <c r="B46" s="24" t="s">
        <v>165</v>
      </c>
      <c r="C46" s="86">
        <v>1.17</v>
      </c>
      <c r="D46" s="22"/>
      <c r="E46" s="22"/>
      <c r="F46" s="25">
        <v>109871</v>
      </c>
      <c r="G46" s="25">
        <v>-109871</v>
      </c>
      <c r="H46" s="52">
        <f t="shared" si="1"/>
        <v>0</v>
      </c>
      <c r="I46" s="21">
        <v>0</v>
      </c>
      <c r="J46" s="21">
        <f>I3*C46/100</f>
        <v>80792.442899999995</v>
      </c>
      <c r="K46" s="21">
        <v>0</v>
      </c>
      <c r="L46" s="21">
        <v>0</v>
      </c>
      <c r="M46" s="21">
        <f>N3*C46/100</f>
        <v>46800</v>
      </c>
      <c r="N46" s="21">
        <v>-0.04</v>
      </c>
      <c r="O46" s="53">
        <f t="shared" si="0"/>
        <v>127592.4029</v>
      </c>
      <c r="P46" s="65" t="s">
        <v>20</v>
      </c>
    </row>
    <row r="47" spans="1:17" ht="15" thickBot="1" x14ac:dyDescent="0.35">
      <c r="A47" s="71">
        <v>41</v>
      </c>
      <c r="B47" s="24" t="s">
        <v>166</v>
      </c>
      <c r="C47" s="86">
        <v>1.35</v>
      </c>
      <c r="D47" s="22"/>
      <c r="E47" s="22"/>
      <c r="F47" s="25">
        <v>126776</v>
      </c>
      <c r="G47" s="25">
        <v>-126774</v>
      </c>
      <c r="H47" s="52">
        <f t="shared" si="1"/>
        <v>2</v>
      </c>
      <c r="I47" s="21">
        <v>0</v>
      </c>
      <c r="J47" s="21">
        <f>I3*C47/100</f>
        <v>93222.049500000008</v>
      </c>
      <c r="K47" s="21">
        <v>0</v>
      </c>
      <c r="L47" s="21">
        <v>0</v>
      </c>
      <c r="M47" s="21">
        <f>N3*C47/100</f>
        <v>54000</v>
      </c>
      <c r="N47" s="21">
        <v>0.36</v>
      </c>
      <c r="O47" s="53">
        <f t="shared" si="0"/>
        <v>147224.40950000001</v>
      </c>
      <c r="P47" s="65" t="s">
        <v>20</v>
      </c>
    </row>
    <row r="48" spans="1:17" ht="15" thickBot="1" x14ac:dyDescent="0.35">
      <c r="A48" s="71">
        <v>42</v>
      </c>
      <c r="B48" s="24" t="s">
        <v>167</v>
      </c>
      <c r="C48" s="86">
        <v>1.1200000000000001</v>
      </c>
      <c r="D48" s="22"/>
      <c r="E48" s="22"/>
      <c r="F48" s="25">
        <v>393823</v>
      </c>
      <c r="G48" s="25">
        <v>-200000</v>
      </c>
      <c r="H48" s="52">
        <v>193823</v>
      </c>
      <c r="I48" s="21">
        <v>3876</v>
      </c>
      <c r="J48" s="21">
        <f>I3*C48/100</f>
        <v>77339.774400000009</v>
      </c>
      <c r="K48" s="21">
        <v>0</v>
      </c>
      <c r="L48" s="21">
        <v>0</v>
      </c>
      <c r="M48" s="21">
        <f>N3*C48/100</f>
        <v>44800</v>
      </c>
      <c r="N48" s="21">
        <v>-0.35</v>
      </c>
      <c r="O48" s="53">
        <f t="shared" si="0"/>
        <v>319838.42440000002</v>
      </c>
      <c r="P48" s="65" t="s">
        <v>20</v>
      </c>
      <c r="Q48" t="s">
        <v>20</v>
      </c>
    </row>
    <row r="49" spans="1:17" ht="15" thickBot="1" x14ac:dyDescent="0.35">
      <c r="A49" s="71">
        <v>43</v>
      </c>
      <c r="B49" s="24" t="s">
        <v>249</v>
      </c>
      <c r="C49" s="86">
        <v>0.82</v>
      </c>
      <c r="D49" s="22"/>
      <c r="E49" s="22"/>
      <c r="F49" s="25">
        <v>167667</v>
      </c>
      <c r="G49" s="25">
        <v>0</v>
      </c>
      <c r="H49" s="52">
        <v>165889</v>
      </c>
      <c r="I49" s="21">
        <v>5096</v>
      </c>
      <c r="J49" s="21">
        <f>I3*C49/100</f>
        <v>56623.763399999996</v>
      </c>
      <c r="K49" s="21">
        <v>0</v>
      </c>
      <c r="L49" s="21">
        <v>0</v>
      </c>
      <c r="M49" s="21">
        <f>N3*C49/100</f>
        <v>32800</v>
      </c>
      <c r="N49" s="21">
        <v>-0.33</v>
      </c>
      <c r="O49" s="53">
        <f t="shared" si="0"/>
        <v>260408.43340000001</v>
      </c>
      <c r="P49" s="65" t="s">
        <v>20</v>
      </c>
    </row>
    <row r="50" spans="1:17" ht="15" thickBot="1" x14ac:dyDescent="0.35">
      <c r="A50" s="71">
        <v>44</v>
      </c>
      <c r="B50" s="24" t="s">
        <v>168</v>
      </c>
      <c r="C50" s="86">
        <v>0.82</v>
      </c>
      <c r="D50" s="22"/>
      <c r="E50" s="22"/>
      <c r="F50" s="25">
        <v>257106</v>
      </c>
      <c r="G50" s="25">
        <v>-77004</v>
      </c>
      <c r="H50" s="52">
        <v>180102</v>
      </c>
      <c r="I50" s="21">
        <v>3602</v>
      </c>
      <c r="J50" s="21">
        <f>I3*C50/100</f>
        <v>56623.763399999996</v>
      </c>
      <c r="K50" s="21">
        <v>0</v>
      </c>
      <c r="L50" s="21">
        <v>0</v>
      </c>
      <c r="M50" s="21">
        <f>N3*C50/100</f>
        <v>32800</v>
      </c>
      <c r="N50" s="21">
        <v>-0.32</v>
      </c>
      <c r="O50" s="53">
        <f t="shared" si="0"/>
        <v>273127.44339999999</v>
      </c>
      <c r="P50" s="65" t="s">
        <v>20</v>
      </c>
    </row>
    <row r="51" spans="1:17" ht="15" thickBot="1" x14ac:dyDescent="0.35">
      <c r="A51" s="71">
        <v>45</v>
      </c>
      <c r="B51" s="24" t="s">
        <v>169</v>
      </c>
      <c r="C51" s="86">
        <v>1.34</v>
      </c>
      <c r="D51" s="22"/>
      <c r="E51" s="22"/>
      <c r="F51" s="25">
        <v>125836</v>
      </c>
      <c r="G51" s="25">
        <v>-125836</v>
      </c>
      <c r="H51" s="52">
        <f t="shared" si="1"/>
        <v>0</v>
      </c>
      <c r="I51" s="21">
        <v>0</v>
      </c>
      <c r="J51" s="21">
        <f>I3*C51/100</f>
        <v>92531.515799999994</v>
      </c>
      <c r="K51" s="21">
        <v>0</v>
      </c>
      <c r="L51" s="21">
        <v>0</v>
      </c>
      <c r="M51" s="21">
        <f>N3*C51/100</f>
        <v>53600</v>
      </c>
      <c r="N51" s="21">
        <v>-7.0000000000000007E-2</v>
      </c>
      <c r="O51" s="53">
        <f t="shared" si="0"/>
        <v>146131.44579999999</v>
      </c>
      <c r="P51" s="65" t="s">
        <v>20</v>
      </c>
    </row>
    <row r="52" spans="1:17" ht="15" thickBot="1" x14ac:dyDescent="0.35">
      <c r="A52" s="71">
        <v>46</v>
      </c>
      <c r="B52" s="24" t="s">
        <v>170</v>
      </c>
      <c r="C52" s="86">
        <v>1.1200000000000001</v>
      </c>
      <c r="D52" s="22"/>
      <c r="E52" s="22"/>
      <c r="F52" s="25">
        <v>104632</v>
      </c>
      <c r="G52" s="25">
        <v>-105176</v>
      </c>
      <c r="H52" s="52">
        <f t="shared" si="1"/>
        <v>-544</v>
      </c>
      <c r="I52" s="21">
        <v>0</v>
      </c>
      <c r="J52" s="21">
        <f>I3*C52/100</f>
        <v>77339.774400000009</v>
      </c>
      <c r="K52" s="21">
        <v>0</v>
      </c>
      <c r="L52" s="21">
        <v>0</v>
      </c>
      <c r="M52" s="21">
        <f>N3*C52/100</f>
        <v>44800</v>
      </c>
      <c r="N52" s="21">
        <v>-0.31</v>
      </c>
      <c r="O52" s="53">
        <f t="shared" si="0"/>
        <v>121595.46440000001</v>
      </c>
      <c r="P52" s="65" t="s">
        <v>20</v>
      </c>
    </row>
    <row r="53" spans="1:17" ht="15" thickBot="1" x14ac:dyDescent="0.35">
      <c r="A53" s="71">
        <v>47</v>
      </c>
      <c r="B53" s="24" t="s">
        <v>171</v>
      </c>
      <c r="C53" s="86">
        <v>1.17</v>
      </c>
      <c r="D53" s="22"/>
      <c r="E53" s="22"/>
      <c r="F53" s="25">
        <v>1068200</v>
      </c>
      <c r="G53" s="25">
        <v>0</v>
      </c>
      <c r="H53" s="52">
        <v>1003582</v>
      </c>
      <c r="I53" s="21">
        <v>84691</v>
      </c>
      <c r="J53" s="21">
        <f>I3*C53/100</f>
        <v>80792.442899999995</v>
      </c>
      <c r="K53" s="21">
        <v>0</v>
      </c>
      <c r="L53" s="21">
        <v>0</v>
      </c>
      <c r="M53" s="21">
        <f>N3*C53/100</f>
        <v>46800</v>
      </c>
      <c r="N53" s="21">
        <v>0.03</v>
      </c>
      <c r="O53" s="53">
        <f t="shared" si="0"/>
        <v>1215865.4728999999</v>
      </c>
      <c r="P53" s="65" t="s">
        <v>20</v>
      </c>
    </row>
    <row r="54" spans="1:17" ht="15" thickBot="1" x14ac:dyDescent="0.35">
      <c r="A54" s="71">
        <v>48</v>
      </c>
      <c r="B54" s="24" t="s">
        <v>172</v>
      </c>
      <c r="C54" s="86">
        <v>1.35</v>
      </c>
      <c r="D54" s="22"/>
      <c r="E54" s="22"/>
      <c r="F54" s="25">
        <v>126644</v>
      </c>
      <c r="G54" s="25">
        <v>0</v>
      </c>
      <c r="H54" s="52">
        <f t="shared" si="1"/>
        <v>126644</v>
      </c>
      <c r="I54" s="21">
        <v>2533</v>
      </c>
      <c r="J54" s="21">
        <f>I3*C54/100</f>
        <v>93222.049500000008</v>
      </c>
      <c r="K54" s="21">
        <v>0</v>
      </c>
      <c r="L54" s="21">
        <v>0</v>
      </c>
      <c r="M54" s="21">
        <f>N3*C54/100</f>
        <v>54000</v>
      </c>
      <c r="N54" s="21">
        <v>0.43</v>
      </c>
      <c r="O54" s="53">
        <f t="shared" si="0"/>
        <v>276399.47950000002</v>
      </c>
      <c r="P54" s="65" t="s">
        <v>20</v>
      </c>
    </row>
    <row r="55" spans="1:17" ht="15" thickBot="1" x14ac:dyDescent="0.35">
      <c r="A55" s="71">
        <v>49</v>
      </c>
      <c r="B55" s="24" t="s">
        <v>173</v>
      </c>
      <c r="C55" s="86">
        <v>1.1200000000000001</v>
      </c>
      <c r="D55" s="22"/>
      <c r="E55" s="22"/>
      <c r="F55" s="25">
        <v>105176</v>
      </c>
      <c r="G55" s="25">
        <v>-105176</v>
      </c>
      <c r="H55" s="52">
        <f t="shared" si="1"/>
        <v>0</v>
      </c>
      <c r="I55" s="21">
        <v>0</v>
      </c>
      <c r="J55" s="21">
        <f>I3*C55/100</f>
        <v>77339.774400000009</v>
      </c>
      <c r="K55" s="21">
        <v>0</v>
      </c>
      <c r="L55" s="21">
        <v>0</v>
      </c>
      <c r="M55" s="21">
        <f>N3*C55/100</f>
        <v>44800</v>
      </c>
      <c r="N55" s="21">
        <v>-0.28000000000000003</v>
      </c>
      <c r="O55" s="53">
        <f t="shared" si="0"/>
        <v>122139.49440000001</v>
      </c>
      <c r="P55" s="65" t="s">
        <v>20</v>
      </c>
    </row>
    <row r="56" spans="1:17" ht="15" thickBot="1" x14ac:dyDescent="0.35">
      <c r="A56" s="71">
        <v>50</v>
      </c>
      <c r="B56" s="24" t="s">
        <v>174</v>
      </c>
      <c r="C56" s="86">
        <v>0.82</v>
      </c>
      <c r="D56" s="22"/>
      <c r="E56" s="22"/>
      <c r="F56" s="25">
        <v>77004</v>
      </c>
      <c r="G56" s="25">
        <v>-77004</v>
      </c>
      <c r="H56" s="52">
        <f t="shared" si="1"/>
        <v>0</v>
      </c>
      <c r="I56" s="21">
        <v>0</v>
      </c>
      <c r="J56" s="21">
        <f>I3*C56/100</f>
        <v>56623.763399999996</v>
      </c>
      <c r="K56" s="21">
        <v>0</v>
      </c>
      <c r="L56" s="21">
        <v>0</v>
      </c>
      <c r="M56" s="21">
        <f>N3*C56/100</f>
        <v>32800</v>
      </c>
      <c r="N56" s="21">
        <v>-0.26</v>
      </c>
      <c r="O56" s="53">
        <f t="shared" si="0"/>
        <v>89423.503400000001</v>
      </c>
      <c r="P56" s="65" t="s">
        <v>20</v>
      </c>
    </row>
    <row r="57" spans="1:17" ht="15" thickBot="1" x14ac:dyDescent="0.35">
      <c r="A57" s="71">
        <v>51</v>
      </c>
      <c r="B57" s="24" t="s">
        <v>175</v>
      </c>
      <c r="C57" s="86">
        <v>0.82</v>
      </c>
      <c r="D57" s="22"/>
      <c r="E57" s="22"/>
      <c r="F57" s="25">
        <v>165927</v>
      </c>
      <c r="G57" s="25">
        <v>-165927</v>
      </c>
      <c r="H57" s="52">
        <f t="shared" si="1"/>
        <v>0</v>
      </c>
      <c r="I57" s="21">
        <v>1778</v>
      </c>
      <c r="J57" s="21">
        <f>I3*C57/100</f>
        <v>56623.763399999996</v>
      </c>
      <c r="K57" s="21">
        <v>0</v>
      </c>
      <c r="L57" s="21">
        <v>0</v>
      </c>
      <c r="M57" s="21">
        <f>N3*C57/100</f>
        <v>32800</v>
      </c>
      <c r="N57" s="21">
        <v>-0.25</v>
      </c>
      <c r="O57" s="53">
        <f t="shared" si="0"/>
        <v>91201.513399999996</v>
      </c>
      <c r="P57" s="65" t="s">
        <v>20</v>
      </c>
    </row>
    <row r="58" spans="1:17" ht="15" thickBot="1" x14ac:dyDescent="0.35">
      <c r="A58" s="71">
        <v>52</v>
      </c>
      <c r="B58" s="24" t="s">
        <v>176</v>
      </c>
      <c r="C58" s="86">
        <v>1.34</v>
      </c>
      <c r="D58" s="22"/>
      <c r="E58" s="22"/>
      <c r="F58" s="25">
        <v>125836</v>
      </c>
      <c r="G58" s="25">
        <v>-125836</v>
      </c>
      <c r="H58" s="52">
        <f t="shared" si="1"/>
        <v>0</v>
      </c>
      <c r="I58" s="21">
        <v>0</v>
      </c>
      <c r="J58" s="21">
        <f>I3*C58/100</f>
        <v>92531.515799999994</v>
      </c>
      <c r="K58" s="21">
        <v>0</v>
      </c>
      <c r="L58" s="21">
        <v>0</v>
      </c>
      <c r="M58" s="21">
        <f>N3*C58/100</f>
        <v>53600</v>
      </c>
      <c r="N58" s="21">
        <v>0</v>
      </c>
      <c r="O58" s="53">
        <f t="shared" si="0"/>
        <v>146131.51579999999</v>
      </c>
      <c r="P58" s="65" t="s">
        <v>20</v>
      </c>
    </row>
    <row r="59" spans="1:17" ht="15" thickBot="1" x14ac:dyDescent="0.35">
      <c r="A59" s="71">
        <v>53</v>
      </c>
      <c r="B59" s="24" t="s">
        <v>177</v>
      </c>
      <c r="C59" s="86">
        <v>1.1200000000000001</v>
      </c>
      <c r="D59" s="22"/>
      <c r="E59" s="22"/>
      <c r="F59" s="25">
        <v>59040</v>
      </c>
      <c r="G59" s="25">
        <v>0</v>
      </c>
      <c r="H59" s="52">
        <f t="shared" si="1"/>
        <v>59040</v>
      </c>
      <c r="I59" s="21">
        <v>1181</v>
      </c>
      <c r="J59" s="21">
        <f>I3*C59/100</f>
        <v>77339.774400000009</v>
      </c>
      <c r="K59" s="21">
        <v>0</v>
      </c>
      <c r="L59" s="21">
        <v>0</v>
      </c>
      <c r="M59" s="21">
        <f>N3*C59/100</f>
        <v>44800</v>
      </c>
      <c r="N59" s="21">
        <v>-0.24</v>
      </c>
      <c r="O59" s="53">
        <f t="shared" si="0"/>
        <v>182360.5344</v>
      </c>
      <c r="P59" s="65" t="s">
        <v>20</v>
      </c>
      <c r="Q59" t="s">
        <v>20</v>
      </c>
    </row>
    <row r="60" spans="1:17" ht="15" thickBot="1" x14ac:dyDescent="0.35">
      <c r="A60" s="71">
        <v>54</v>
      </c>
      <c r="B60" s="24" t="s">
        <v>178</v>
      </c>
      <c r="C60" s="86">
        <v>1.17</v>
      </c>
      <c r="D60" s="22"/>
      <c r="E60" s="22"/>
      <c r="F60" s="25">
        <v>109871</v>
      </c>
      <c r="G60" s="25">
        <v>-109871</v>
      </c>
      <c r="H60" s="52">
        <f t="shared" si="1"/>
        <v>0</v>
      </c>
      <c r="I60" s="21">
        <v>0</v>
      </c>
      <c r="J60" s="21">
        <f>I3*C60/100</f>
        <v>80792.442899999995</v>
      </c>
      <c r="K60" s="21">
        <v>0</v>
      </c>
      <c r="L60" s="21">
        <v>0</v>
      </c>
      <c r="M60" s="21">
        <f>N3*C60/100</f>
        <v>46800</v>
      </c>
      <c r="N60" s="21">
        <v>0.1</v>
      </c>
      <c r="O60" s="53">
        <f t="shared" si="0"/>
        <v>127592.5429</v>
      </c>
      <c r="P60" s="65" t="s">
        <v>20</v>
      </c>
    </row>
    <row r="61" spans="1:17" ht="15" thickBot="1" x14ac:dyDescent="0.35">
      <c r="A61" s="71">
        <v>55</v>
      </c>
      <c r="B61" s="24" t="s">
        <v>179</v>
      </c>
      <c r="C61" s="86">
        <v>1.35</v>
      </c>
      <c r="D61" s="22"/>
      <c r="E61" s="22"/>
      <c r="F61" s="25">
        <v>126775</v>
      </c>
      <c r="G61" s="25">
        <v>-126775</v>
      </c>
      <c r="H61" s="52">
        <f t="shared" si="1"/>
        <v>0</v>
      </c>
      <c r="I61" s="21">
        <v>0</v>
      </c>
      <c r="J61" s="21">
        <f>I3*C61/100</f>
        <v>93222.049500000008</v>
      </c>
      <c r="K61" s="21">
        <v>0</v>
      </c>
      <c r="L61" s="21">
        <v>0</v>
      </c>
      <c r="M61" s="21">
        <f>N3*C61/100</f>
        <v>54000</v>
      </c>
      <c r="N61" s="21">
        <v>0.5</v>
      </c>
      <c r="O61" s="53">
        <f t="shared" si="0"/>
        <v>147222.54950000002</v>
      </c>
      <c r="P61" s="65" t="s">
        <v>20</v>
      </c>
    </row>
    <row r="62" spans="1:17" ht="15" thickBot="1" x14ac:dyDescent="0.35">
      <c r="A62" s="71">
        <v>56</v>
      </c>
      <c r="B62" s="24" t="s">
        <v>180</v>
      </c>
      <c r="C62" s="86">
        <v>1.1200000000000001</v>
      </c>
      <c r="D62" s="22"/>
      <c r="E62" s="22"/>
      <c r="F62" s="25">
        <v>105176</v>
      </c>
      <c r="G62" s="25">
        <v>-105176</v>
      </c>
      <c r="H62" s="52">
        <f t="shared" si="1"/>
        <v>0</v>
      </c>
      <c r="I62" s="21">
        <v>0</v>
      </c>
      <c r="J62" s="21">
        <f>I3*C62/100</f>
        <v>77339.774400000009</v>
      </c>
      <c r="K62" s="21">
        <v>0</v>
      </c>
      <c r="L62" s="21">
        <v>0</v>
      </c>
      <c r="M62" s="21">
        <f>N3*C62/100</f>
        <v>44800</v>
      </c>
      <c r="N62" s="21">
        <v>-0.21</v>
      </c>
      <c r="O62" s="53">
        <f t="shared" si="0"/>
        <v>122139.5644</v>
      </c>
      <c r="P62" s="65" t="s">
        <v>20</v>
      </c>
    </row>
    <row r="63" spans="1:17" ht="15" thickBot="1" x14ac:dyDescent="0.35">
      <c r="A63" s="71">
        <v>57</v>
      </c>
      <c r="B63" s="24" t="s">
        <v>181</v>
      </c>
      <c r="C63" s="86">
        <v>0.82</v>
      </c>
      <c r="D63" s="22"/>
      <c r="E63" s="22"/>
      <c r="F63" s="25">
        <v>75889</v>
      </c>
      <c r="G63" s="25">
        <v>-76000</v>
      </c>
      <c r="H63" s="52">
        <f t="shared" si="1"/>
        <v>-111</v>
      </c>
      <c r="I63" s="21">
        <v>0</v>
      </c>
      <c r="J63" s="21">
        <f>I3*C63/100</f>
        <v>56623.763399999996</v>
      </c>
      <c r="K63" s="21">
        <v>0</v>
      </c>
      <c r="L63" s="21">
        <v>0</v>
      </c>
      <c r="M63" s="21">
        <f>N3*C63/100</f>
        <v>32800</v>
      </c>
      <c r="N63" s="21">
        <v>-0.19</v>
      </c>
      <c r="O63" s="53">
        <f t="shared" si="0"/>
        <v>89312.573399999994</v>
      </c>
      <c r="P63" s="65" t="s">
        <v>20</v>
      </c>
      <c r="Q63" t="s">
        <v>20</v>
      </c>
    </row>
    <row r="64" spans="1:17" ht="15" thickBot="1" x14ac:dyDescent="0.35">
      <c r="A64" s="71">
        <v>58</v>
      </c>
      <c r="B64" s="24" t="s">
        <v>182</v>
      </c>
      <c r="C64" s="86">
        <v>0.82</v>
      </c>
      <c r="D64" s="22"/>
      <c r="E64" s="22"/>
      <c r="F64" s="25">
        <v>77004</v>
      </c>
      <c r="G64" s="25">
        <v>0</v>
      </c>
      <c r="H64" s="52">
        <f t="shared" si="1"/>
        <v>77004</v>
      </c>
      <c r="I64" s="21">
        <v>1540</v>
      </c>
      <c r="J64" s="21">
        <f>I3*C64/100</f>
        <v>56623.763399999996</v>
      </c>
      <c r="K64" s="21">
        <v>0</v>
      </c>
      <c r="L64" s="21">
        <v>0</v>
      </c>
      <c r="M64" s="21">
        <f>N3*C64/100</f>
        <v>32800</v>
      </c>
      <c r="N64" s="21">
        <v>-0.18</v>
      </c>
      <c r="O64" s="53">
        <f t="shared" si="0"/>
        <v>167967.5834</v>
      </c>
      <c r="P64" s="65" t="s">
        <v>20</v>
      </c>
    </row>
    <row r="65" spans="1:17" ht="15" thickBot="1" x14ac:dyDescent="0.35">
      <c r="A65" s="71">
        <v>59</v>
      </c>
      <c r="B65" s="24" t="s">
        <v>183</v>
      </c>
      <c r="C65" s="86">
        <v>1.34</v>
      </c>
      <c r="D65" s="22"/>
      <c r="E65" s="22"/>
      <c r="F65" s="25">
        <v>125836</v>
      </c>
      <c r="G65" s="25">
        <v>-125836</v>
      </c>
      <c r="H65" s="52">
        <f t="shared" si="1"/>
        <v>0</v>
      </c>
      <c r="I65" s="21">
        <v>0</v>
      </c>
      <c r="J65" s="21">
        <f>I3*C65/100</f>
        <v>92531.515799999994</v>
      </c>
      <c r="K65" s="21">
        <v>0</v>
      </c>
      <c r="L65" s="21">
        <v>0</v>
      </c>
      <c r="M65" s="21">
        <f>N3*C65/100</f>
        <v>53600</v>
      </c>
      <c r="N65" s="21">
        <v>7.0000000000000007E-2</v>
      </c>
      <c r="O65" s="53">
        <f t="shared" si="0"/>
        <v>146131.5858</v>
      </c>
      <c r="P65" s="65" t="s">
        <v>20</v>
      </c>
      <c r="Q65" t="s">
        <v>20</v>
      </c>
    </row>
    <row r="66" spans="1:17" ht="15" thickBot="1" x14ac:dyDescent="0.35">
      <c r="A66" s="71">
        <v>60</v>
      </c>
      <c r="B66" s="24" t="s">
        <v>184</v>
      </c>
      <c r="C66" s="86">
        <v>1.1200000000000001</v>
      </c>
      <c r="D66" s="22"/>
      <c r="E66" s="22"/>
      <c r="F66" s="25">
        <v>226631</v>
      </c>
      <c r="G66" s="25">
        <v>-226631</v>
      </c>
      <c r="H66" s="52">
        <f t="shared" si="1"/>
        <v>0</v>
      </c>
      <c r="I66" s="21">
        <v>0</v>
      </c>
      <c r="J66" s="21">
        <f>I3*C66/100</f>
        <v>77339.774400000009</v>
      </c>
      <c r="K66" s="21">
        <v>0</v>
      </c>
      <c r="L66" s="21">
        <v>0</v>
      </c>
      <c r="M66" s="21">
        <f>N3*C66/100</f>
        <v>44800</v>
      </c>
      <c r="N66" s="21">
        <v>-0.17</v>
      </c>
      <c r="O66" s="53">
        <f t="shared" si="0"/>
        <v>122139.60440000001</v>
      </c>
      <c r="P66" s="65" t="s">
        <v>20</v>
      </c>
      <c r="Q66" s="35" t="s">
        <v>20</v>
      </c>
    </row>
    <row r="67" spans="1:17" ht="15" thickBot="1" x14ac:dyDescent="0.35">
      <c r="A67" s="71">
        <v>61</v>
      </c>
      <c r="B67" s="24" t="s">
        <v>185</v>
      </c>
      <c r="C67" s="86">
        <v>1.17</v>
      </c>
      <c r="D67" s="22"/>
      <c r="E67" s="22"/>
      <c r="F67" s="25">
        <v>109871</v>
      </c>
      <c r="G67" s="25">
        <v>-109871</v>
      </c>
      <c r="H67" s="52">
        <f t="shared" si="1"/>
        <v>0</v>
      </c>
      <c r="I67" s="21">
        <v>0</v>
      </c>
      <c r="J67" s="21">
        <f>I3*C67/100</f>
        <v>80792.442899999995</v>
      </c>
      <c r="K67" s="21">
        <v>0</v>
      </c>
      <c r="L67" s="21">
        <v>0</v>
      </c>
      <c r="M67" s="21">
        <f>N3*C67/100</f>
        <v>46800</v>
      </c>
      <c r="N67" s="21">
        <v>0.17</v>
      </c>
      <c r="O67" s="53">
        <f t="shared" si="0"/>
        <v>127592.61289999999</v>
      </c>
      <c r="P67" s="65" t="s">
        <v>20</v>
      </c>
    </row>
    <row r="68" spans="1:17" ht="15" thickBot="1" x14ac:dyDescent="0.35">
      <c r="A68" s="71">
        <v>62</v>
      </c>
      <c r="B68" s="24" t="s">
        <v>186</v>
      </c>
      <c r="C68" s="86">
        <v>1.35</v>
      </c>
      <c r="D68" s="22"/>
      <c r="E68" s="22"/>
      <c r="F68" s="25">
        <v>126775</v>
      </c>
      <c r="G68" s="25">
        <v>-126775</v>
      </c>
      <c r="H68" s="52">
        <f t="shared" si="1"/>
        <v>0</v>
      </c>
      <c r="I68" s="21">
        <v>0</v>
      </c>
      <c r="J68" s="21">
        <f>I3*C68/100</f>
        <v>93222.049500000008</v>
      </c>
      <c r="K68" s="21">
        <v>0</v>
      </c>
      <c r="L68" s="21">
        <v>0</v>
      </c>
      <c r="M68" s="21">
        <f>N3*C68/100</f>
        <v>54000</v>
      </c>
      <c r="N68" s="21">
        <v>0.56999999999999995</v>
      </c>
      <c r="O68" s="53">
        <f t="shared" si="0"/>
        <v>147222.61950000003</v>
      </c>
      <c r="P68" s="65" t="s">
        <v>20</v>
      </c>
    </row>
    <row r="69" spans="1:17" ht="15" thickBot="1" x14ac:dyDescent="0.35">
      <c r="A69" s="71">
        <v>63</v>
      </c>
      <c r="B69" s="24" t="s">
        <v>187</v>
      </c>
      <c r="C69" s="86">
        <v>1.1200000000000001</v>
      </c>
      <c r="D69" s="22"/>
      <c r="E69" s="22"/>
      <c r="F69" s="25">
        <v>105176</v>
      </c>
      <c r="G69" s="25">
        <v>-105176</v>
      </c>
      <c r="H69" s="52">
        <f t="shared" si="1"/>
        <v>0</v>
      </c>
      <c r="I69" s="21">
        <v>0</v>
      </c>
      <c r="J69" s="21">
        <f>I3*C69/100</f>
        <v>77339.774400000009</v>
      </c>
      <c r="K69" s="21">
        <v>0</v>
      </c>
      <c r="L69" s="21">
        <v>0</v>
      </c>
      <c r="M69" s="21">
        <f>N3*C69/100</f>
        <v>44800</v>
      </c>
      <c r="N69" s="21">
        <v>-0.14000000000000001</v>
      </c>
      <c r="O69" s="53">
        <f t="shared" si="0"/>
        <v>122139.63440000001</v>
      </c>
      <c r="P69" s="65" t="s">
        <v>20</v>
      </c>
    </row>
    <row r="70" spans="1:17" ht="15" thickBot="1" x14ac:dyDescent="0.35">
      <c r="A70" s="126">
        <v>64</v>
      </c>
      <c r="B70" s="67" t="s">
        <v>188</v>
      </c>
      <c r="C70" s="87">
        <v>0.82</v>
      </c>
      <c r="D70" s="68"/>
      <c r="E70" s="68"/>
      <c r="F70" s="69">
        <v>76927</v>
      </c>
      <c r="G70" s="69">
        <v>-78000</v>
      </c>
      <c r="H70" s="52">
        <f t="shared" si="1"/>
        <v>-1073</v>
      </c>
      <c r="I70" s="70">
        <v>0</v>
      </c>
      <c r="J70" s="21">
        <f>I3*C70/100</f>
        <v>56623.763399999996</v>
      </c>
      <c r="K70" s="21">
        <v>0</v>
      </c>
      <c r="L70" s="21">
        <v>0</v>
      </c>
      <c r="M70" s="21">
        <f>N3*C70/100</f>
        <v>32800</v>
      </c>
      <c r="N70" s="21">
        <v>-0.12</v>
      </c>
      <c r="O70" s="127">
        <f t="shared" si="0"/>
        <v>88350.643400000001</v>
      </c>
      <c r="P70" s="65" t="s">
        <v>20</v>
      </c>
    </row>
    <row r="71" spans="1:17" ht="15" thickBot="1" x14ac:dyDescent="0.35">
      <c r="A71" s="71">
        <v>65</v>
      </c>
      <c r="B71" s="24" t="s">
        <v>189</v>
      </c>
      <c r="C71" s="86">
        <v>0.82</v>
      </c>
      <c r="D71" s="22"/>
      <c r="E71" s="22"/>
      <c r="F71" s="25">
        <v>77004</v>
      </c>
      <c r="G71" s="25">
        <v>0</v>
      </c>
      <c r="H71" s="52">
        <f t="shared" si="1"/>
        <v>77004</v>
      </c>
      <c r="I71" s="21">
        <v>1540</v>
      </c>
      <c r="J71" s="21">
        <f>I3*C71/100</f>
        <v>56623.763399999996</v>
      </c>
      <c r="K71" s="21">
        <v>0</v>
      </c>
      <c r="L71" s="21">
        <v>0</v>
      </c>
      <c r="M71" s="21">
        <f>N3*C71/100</f>
        <v>32800</v>
      </c>
      <c r="N71" s="21">
        <v>-0.11</v>
      </c>
      <c r="O71" s="127">
        <f t="shared" si="0"/>
        <v>167967.65340000001</v>
      </c>
      <c r="P71" s="65"/>
    </row>
    <row r="72" spans="1:17" ht="15" thickBot="1" x14ac:dyDescent="0.35">
      <c r="A72" s="71">
        <v>66</v>
      </c>
      <c r="B72" s="24" t="s">
        <v>190</v>
      </c>
      <c r="C72" s="86">
        <v>1.34</v>
      </c>
      <c r="D72" s="22"/>
      <c r="E72" s="22"/>
      <c r="F72" s="25">
        <v>125835</v>
      </c>
      <c r="G72" s="25">
        <v>-125836</v>
      </c>
      <c r="H72" s="52">
        <f t="shared" ref="H72:H109" si="2">+G72+F72</f>
        <v>-1</v>
      </c>
      <c r="I72" s="21">
        <v>0</v>
      </c>
      <c r="J72" s="128">
        <f>I3*C72/100</f>
        <v>92531.515799999994</v>
      </c>
      <c r="K72" s="21">
        <v>0</v>
      </c>
      <c r="L72" s="21">
        <v>0</v>
      </c>
      <c r="M72" s="21">
        <f>N3*C72/100</f>
        <v>53600</v>
      </c>
      <c r="N72" s="21">
        <v>0.14000000000000001</v>
      </c>
      <c r="O72" s="127">
        <f t="shared" ref="O72:O109" si="3">SUM(H72:N72)</f>
        <v>146130.65580000001</v>
      </c>
      <c r="P72" s="65" t="s">
        <v>20</v>
      </c>
    </row>
    <row r="73" spans="1:17" ht="15" thickBot="1" x14ac:dyDescent="0.35">
      <c r="A73" s="71">
        <v>67</v>
      </c>
      <c r="B73" s="24" t="s">
        <v>191</v>
      </c>
      <c r="C73" s="86">
        <v>1.1200000000000001</v>
      </c>
      <c r="D73" s="22"/>
      <c r="E73" s="22"/>
      <c r="F73" s="25">
        <v>105174</v>
      </c>
      <c r="G73" s="25">
        <v>-105174</v>
      </c>
      <c r="H73" s="52">
        <f t="shared" si="2"/>
        <v>0</v>
      </c>
      <c r="I73" s="21">
        <v>0</v>
      </c>
      <c r="J73" s="128">
        <f>I3*C73/100</f>
        <v>77339.774400000009</v>
      </c>
      <c r="K73" s="21">
        <v>0</v>
      </c>
      <c r="L73" s="21">
        <v>0</v>
      </c>
      <c r="M73" s="21">
        <f>N3*C73/100</f>
        <v>44800</v>
      </c>
      <c r="N73" s="21">
        <v>-0.1</v>
      </c>
      <c r="O73" s="127">
        <f t="shared" si="3"/>
        <v>122139.6744</v>
      </c>
      <c r="P73" s="65" t="s">
        <v>20</v>
      </c>
    </row>
    <row r="74" spans="1:17" ht="15" thickBot="1" x14ac:dyDescent="0.35">
      <c r="A74" s="71">
        <v>68</v>
      </c>
      <c r="B74" s="24" t="s">
        <v>192</v>
      </c>
      <c r="C74" s="86">
        <v>1.17</v>
      </c>
      <c r="D74" s="22"/>
      <c r="E74" s="22"/>
      <c r="F74" s="25">
        <v>2639298</v>
      </c>
      <c r="G74" s="25">
        <v>0</v>
      </c>
      <c r="H74" s="52">
        <v>2227003</v>
      </c>
      <c r="I74" s="21">
        <v>456836</v>
      </c>
      <c r="J74" s="21">
        <f>I3*C74/100</f>
        <v>80792.442899999995</v>
      </c>
      <c r="K74" s="21">
        <v>0</v>
      </c>
      <c r="L74" s="21">
        <v>0</v>
      </c>
      <c r="M74" s="21">
        <f>N3*C74/100</f>
        <v>46800</v>
      </c>
      <c r="N74" s="21">
        <v>0.24</v>
      </c>
      <c r="O74" s="127">
        <f t="shared" si="3"/>
        <v>2811431.6829000004</v>
      </c>
      <c r="P74" s="65"/>
    </row>
    <row r="75" spans="1:17" ht="15" thickBot="1" x14ac:dyDescent="0.35">
      <c r="A75" s="71">
        <v>69</v>
      </c>
      <c r="B75" s="24" t="s">
        <v>193</v>
      </c>
      <c r="C75" s="86">
        <v>1.35</v>
      </c>
      <c r="D75" s="22"/>
      <c r="E75" s="22"/>
      <c r="F75" s="25">
        <v>126775</v>
      </c>
      <c r="G75" s="25">
        <v>-126775</v>
      </c>
      <c r="H75" s="52">
        <f t="shared" si="2"/>
        <v>0</v>
      </c>
      <c r="I75" s="21">
        <v>0</v>
      </c>
      <c r="J75" s="21">
        <f>I3*C75/100</f>
        <v>93222.049500000008</v>
      </c>
      <c r="K75" s="21">
        <v>0</v>
      </c>
      <c r="L75" s="21">
        <v>0</v>
      </c>
      <c r="M75" s="21">
        <f>N3*C75/100</f>
        <v>54000</v>
      </c>
      <c r="N75" s="21">
        <v>0.64</v>
      </c>
      <c r="O75" s="127">
        <f t="shared" si="3"/>
        <v>147222.68950000004</v>
      </c>
      <c r="P75" s="65" t="s">
        <v>20</v>
      </c>
    </row>
    <row r="76" spans="1:17" ht="15" thickBot="1" x14ac:dyDescent="0.35">
      <c r="A76" s="71">
        <v>70</v>
      </c>
      <c r="B76" s="24" t="s">
        <v>194</v>
      </c>
      <c r="C76" s="86">
        <v>1.1200000000000001</v>
      </c>
      <c r="D76" s="22"/>
      <c r="E76" s="22"/>
      <c r="F76" s="25">
        <v>351170</v>
      </c>
      <c r="G76" s="25">
        <v>0</v>
      </c>
      <c r="H76" s="52">
        <v>344045</v>
      </c>
      <c r="I76" s="21">
        <v>14006</v>
      </c>
      <c r="J76" s="21">
        <f>I3*C76/100</f>
        <v>77339.774400000009</v>
      </c>
      <c r="K76" s="21">
        <v>0</v>
      </c>
      <c r="L76" s="21">
        <v>0</v>
      </c>
      <c r="M76" s="21">
        <f>N3*C76/100</f>
        <v>44800</v>
      </c>
      <c r="N76" s="21">
        <v>-7.0000000000000007E-2</v>
      </c>
      <c r="O76" s="127">
        <f t="shared" si="3"/>
        <v>480190.70439999999</v>
      </c>
      <c r="P76" s="65"/>
    </row>
    <row r="77" spans="1:17" ht="15" thickBot="1" x14ac:dyDescent="0.35">
      <c r="A77" s="71">
        <v>71</v>
      </c>
      <c r="B77" s="24" t="s">
        <v>195</v>
      </c>
      <c r="C77" s="86">
        <v>0.82</v>
      </c>
      <c r="D77" s="22"/>
      <c r="E77" s="22"/>
      <c r="F77" s="25">
        <v>77004</v>
      </c>
      <c r="G77" s="25">
        <v>-77005</v>
      </c>
      <c r="H77" s="52">
        <f t="shared" si="2"/>
        <v>-1</v>
      </c>
      <c r="I77" s="21">
        <v>0</v>
      </c>
      <c r="J77" s="21">
        <f>I3*C77/100</f>
        <v>56623.763399999996</v>
      </c>
      <c r="K77" s="21">
        <v>0</v>
      </c>
      <c r="L77" s="21">
        <v>0</v>
      </c>
      <c r="M77" s="21">
        <f>N3*C77/100</f>
        <v>32800</v>
      </c>
      <c r="N77" s="21">
        <v>-0.05</v>
      </c>
      <c r="O77" s="127">
        <f t="shared" si="3"/>
        <v>89422.713399999993</v>
      </c>
      <c r="P77" s="65" t="s">
        <v>20</v>
      </c>
    </row>
    <row r="78" spans="1:17" ht="15" thickBot="1" x14ac:dyDescent="0.35">
      <c r="A78" s="71">
        <v>72</v>
      </c>
      <c r="B78" s="24" t="s">
        <v>196</v>
      </c>
      <c r="C78" s="86">
        <v>0.82</v>
      </c>
      <c r="D78" s="22"/>
      <c r="E78" s="22"/>
      <c r="F78" s="25">
        <v>479682</v>
      </c>
      <c r="G78" s="25">
        <v>-77004</v>
      </c>
      <c r="H78" s="52">
        <v>382326</v>
      </c>
      <c r="I78" s="21">
        <v>27999</v>
      </c>
      <c r="J78" s="21">
        <f>I3*C78/100</f>
        <v>56623.763399999996</v>
      </c>
      <c r="K78" s="21">
        <v>0</v>
      </c>
      <c r="L78" s="21">
        <v>0</v>
      </c>
      <c r="M78" s="21">
        <f>N3*C78/100</f>
        <v>32800</v>
      </c>
      <c r="N78" s="21">
        <v>-0.04</v>
      </c>
      <c r="O78" s="127">
        <f t="shared" si="3"/>
        <v>499748.72340000002</v>
      </c>
      <c r="P78" s="65" t="s">
        <v>20</v>
      </c>
    </row>
    <row r="79" spans="1:17" ht="15" thickBot="1" x14ac:dyDescent="0.35">
      <c r="A79" s="71">
        <v>73</v>
      </c>
      <c r="B79" s="24" t="s">
        <v>197</v>
      </c>
      <c r="C79" s="86">
        <v>1.34</v>
      </c>
      <c r="D79" s="22"/>
      <c r="E79" s="22"/>
      <c r="F79" s="25">
        <v>125836</v>
      </c>
      <c r="G79" s="25">
        <v>-125836</v>
      </c>
      <c r="H79" s="52">
        <f t="shared" si="2"/>
        <v>0</v>
      </c>
      <c r="I79" s="21">
        <v>0</v>
      </c>
      <c r="J79" s="21">
        <f>I3*C79/100</f>
        <v>92531.515799999994</v>
      </c>
      <c r="K79" s="21">
        <v>0</v>
      </c>
      <c r="L79" s="21">
        <v>0</v>
      </c>
      <c r="M79" s="21">
        <f>N3*C79/100</f>
        <v>53600</v>
      </c>
      <c r="N79" s="21">
        <v>0.21</v>
      </c>
      <c r="O79" s="127">
        <f t="shared" si="3"/>
        <v>146131.72579999999</v>
      </c>
      <c r="P79" s="65" t="s">
        <v>20</v>
      </c>
    </row>
    <row r="80" spans="1:17" ht="15" thickBot="1" x14ac:dyDescent="0.35">
      <c r="A80" s="71">
        <v>74</v>
      </c>
      <c r="B80" s="24" t="s">
        <v>198</v>
      </c>
      <c r="C80" s="86">
        <v>1.1200000000000001</v>
      </c>
      <c r="D80" s="22"/>
      <c r="E80" s="22"/>
      <c r="F80" s="25">
        <v>477999</v>
      </c>
      <c r="G80" s="25">
        <v>0</v>
      </c>
      <c r="H80" s="52">
        <v>463695</v>
      </c>
      <c r="I80" s="21">
        <v>23578</v>
      </c>
      <c r="J80" s="21">
        <f>I3*C80/100</f>
        <v>77339.774400000009</v>
      </c>
      <c r="K80" s="21">
        <v>0</v>
      </c>
      <c r="L80" s="21">
        <v>0</v>
      </c>
      <c r="M80" s="21">
        <f>N3*C80/100</f>
        <v>44800</v>
      </c>
      <c r="N80" s="21">
        <v>-0.03</v>
      </c>
      <c r="O80" s="127">
        <f t="shared" si="3"/>
        <v>609412.74439999997</v>
      </c>
      <c r="P80" s="65"/>
    </row>
    <row r="81" spans="1:16" ht="15" thickBot="1" x14ac:dyDescent="0.35">
      <c r="A81" s="71">
        <v>75</v>
      </c>
      <c r="B81" s="24" t="s">
        <v>199</v>
      </c>
      <c r="C81" s="86">
        <v>1.17</v>
      </c>
      <c r="D81" s="22"/>
      <c r="E81" s="22"/>
      <c r="F81" s="25">
        <v>109871</v>
      </c>
      <c r="G81" s="25">
        <v>-109871</v>
      </c>
      <c r="H81" s="52">
        <f t="shared" si="2"/>
        <v>0</v>
      </c>
      <c r="I81" s="21">
        <v>0</v>
      </c>
      <c r="J81" s="21">
        <f>I3*C81/100</f>
        <v>80792.442899999995</v>
      </c>
      <c r="K81" s="21">
        <v>0</v>
      </c>
      <c r="L81" s="21">
        <v>0</v>
      </c>
      <c r="M81" s="21">
        <f>N3*C81/100</f>
        <v>46800</v>
      </c>
      <c r="N81" s="21">
        <v>0.31</v>
      </c>
      <c r="O81" s="127">
        <f t="shared" si="3"/>
        <v>127592.75289999999</v>
      </c>
      <c r="P81" s="65" t="s">
        <v>20</v>
      </c>
    </row>
    <row r="82" spans="1:16" ht="15" thickBot="1" x14ac:dyDescent="0.35">
      <c r="A82" s="71">
        <v>76</v>
      </c>
      <c r="B82" s="24" t="s">
        <v>200</v>
      </c>
      <c r="C82" s="86">
        <v>1.35</v>
      </c>
      <c r="D82" s="22"/>
      <c r="E82" s="22"/>
      <c r="F82" s="25">
        <v>126775</v>
      </c>
      <c r="G82" s="25">
        <v>-126775</v>
      </c>
      <c r="H82" s="52">
        <f t="shared" si="2"/>
        <v>0</v>
      </c>
      <c r="I82" s="21">
        <v>0</v>
      </c>
      <c r="J82" s="21">
        <f>I3*C82/100</f>
        <v>93222.049500000008</v>
      </c>
      <c r="K82" s="21">
        <v>0</v>
      </c>
      <c r="L82" s="21">
        <v>0</v>
      </c>
      <c r="M82" s="21">
        <f>N3*C82/100</f>
        <v>54000</v>
      </c>
      <c r="N82" s="21">
        <v>0.71</v>
      </c>
      <c r="O82" s="127">
        <f t="shared" si="3"/>
        <v>147222.75950000001</v>
      </c>
      <c r="P82" s="65" t="s">
        <v>20</v>
      </c>
    </row>
    <row r="83" spans="1:16" ht="15" thickBot="1" x14ac:dyDescent="0.35">
      <c r="A83" s="71">
        <v>77</v>
      </c>
      <c r="B83" s="24" t="s">
        <v>201</v>
      </c>
      <c r="C83" s="86">
        <v>1.1200000000000001</v>
      </c>
      <c r="D83" s="22"/>
      <c r="E83" s="22"/>
      <c r="F83" s="25">
        <v>105176</v>
      </c>
      <c r="G83" s="25">
        <v>-105176</v>
      </c>
      <c r="H83" s="52">
        <f t="shared" si="2"/>
        <v>0</v>
      </c>
      <c r="I83" s="21">
        <v>0</v>
      </c>
      <c r="J83" s="21">
        <f>I3*C83/100</f>
        <v>77339.774400000009</v>
      </c>
      <c r="K83" s="21">
        <v>0</v>
      </c>
      <c r="L83" s="21">
        <v>0</v>
      </c>
      <c r="M83" s="21">
        <f>N3*C83/100</f>
        <v>44800</v>
      </c>
      <c r="N83" s="21">
        <v>0</v>
      </c>
      <c r="O83" s="127">
        <f t="shared" si="3"/>
        <v>122139.77440000001</v>
      </c>
      <c r="P83" s="65" t="s">
        <v>20</v>
      </c>
    </row>
    <row r="84" spans="1:16" ht="15" thickBot="1" x14ac:dyDescent="0.35">
      <c r="A84" s="71">
        <v>78</v>
      </c>
      <c r="B84" s="24" t="s">
        <v>202</v>
      </c>
      <c r="C84" s="86">
        <v>0.82</v>
      </c>
      <c r="D84" s="22"/>
      <c r="E84" s="22"/>
      <c r="F84" s="25">
        <v>77004</v>
      </c>
      <c r="G84" s="25">
        <v>0</v>
      </c>
      <c r="H84" s="52">
        <f t="shared" si="2"/>
        <v>77004</v>
      </c>
      <c r="I84" s="21">
        <v>1540</v>
      </c>
      <c r="J84" s="21">
        <f>I3*C84/100</f>
        <v>56623.763399999996</v>
      </c>
      <c r="K84" s="21">
        <v>0</v>
      </c>
      <c r="L84" s="21">
        <v>0</v>
      </c>
      <c r="M84" s="21">
        <f>N3*C84/100</f>
        <v>32800</v>
      </c>
      <c r="N84" s="21">
        <v>0.02</v>
      </c>
      <c r="O84" s="127">
        <f t="shared" si="3"/>
        <v>167967.78339999999</v>
      </c>
      <c r="P84" s="65"/>
    </row>
    <row r="85" spans="1:16" ht="15" thickBot="1" x14ac:dyDescent="0.35">
      <c r="A85" s="71">
        <v>79</v>
      </c>
      <c r="B85" s="24" t="s">
        <v>203</v>
      </c>
      <c r="C85" s="86">
        <v>0.82</v>
      </c>
      <c r="D85" s="22"/>
      <c r="E85" s="22"/>
      <c r="F85" s="25">
        <v>77003</v>
      </c>
      <c r="G85" s="25">
        <v>-77004</v>
      </c>
      <c r="H85" s="52">
        <f t="shared" si="2"/>
        <v>-1</v>
      </c>
      <c r="I85" s="21">
        <v>0</v>
      </c>
      <c r="J85" s="21">
        <f>I3*C85/100</f>
        <v>56623.763399999996</v>
      </c>
      <c r="K85" s="21">
        <v>0</v>
      </c>
      <c r="L85" s="21">
        <v>0</v>
      </c>
      <c r="M85" s="21">
        <f>N3*C85/100</f>
        <v>32800</v>
      </c>
      <c r="N85" s="21">
        <v>0.03</v>
      </c>
      <c r="O85" s="127">
        <f t="shared" si="3"/>
        <v>89422.793399999995</v>
      </c>
      <c r="P85" s="65" t="s">
        <v>20</v>
      </c>
    </row>
    <row r="86" spans="1:16" ht="15" thickBot="1" x14ac:dyDescent="0.35">
      <c r="A86" s="71">
        <v>80</v>
      </c>
      <c r="B86" s="24" t="s">
        <v>204</v>
      </c>
      <c r="C86" s="86">
        <v>1.34</v>
      </c>
      <c r="D86" s="22"/>
      <c r="E86" s="22"/>
      <c r="F86" s="25">
        <v>125836</v>
      </c>
      <c r="G86" s="25">
        <v>0</v>
      </c>
      <c r="H86" s="52">
        <f t="shared" si="2"/>
        <v>125836</v>
      </c>
      <c r="I86" s="21">
        <v>2517</v>
      </c>
      <c r="J86" s="21">
        <f>I3*C86/100</f>
        <v>92531.515799999994</v>
      </c>
      <c r="K86" s="21">
        <v>0</v>
      </c>
      <c r="L86" s="21">
        <v>0</v>
      </c>
      <c r="M86" s="21">
        <f>N3*C86/100</f>
        <v>53600</v>
      </c>
      <c r="N86" s="21">
        <v>0.28000000000000003</v>
      </c>
      <c r="O86" s="127">
        <f t="shared" si="3"/>
        <v>274484.79580000002</v>
      </c>
      <c r="P86" s="65" t="s">
        <v>20</v>
      </c>
    </row>
    <row r="87" spans="1:16" ht="15" thickBot="1" x14ac:dyDescent="0.35">
      <c r="A87" s="71">
        <v>81</v>
      </c>
      <c r="B87" s="24" t="s">
        <v>205</v>
      </c>
      <c r="C87" s="86">
        <v>1.1200000000000001</v>
      </c>
      <c r="D87" s="22"/>
      <c r="E87" s="22"/>
      <c r="F87" s="25">
        <v>105176</v>
      </c>
      <c r="G87" s="25">
        <v>-105176</v>
      </c>
      <c r="H87" s="52">
        <f t="shared" si="2"/>
        <v>0</v>
      </c>
      <c r="I87" s="21">
        <v>0</v>
      </c>
      <c r="J87" s="21">
        <f>I3*C87/100</f>
        <v>77339.774400000009</v>
      </c>
      <c r="K87" s="21">
        <v>0</v>
      </c>
      <c r="L87" s="21">
        <v>0</v>
      </c>
      <c r="M87" s="21">
        <f>N3*C87/100</f>
        <v>44800</v>
      </c>
      <c r="N87" s="21">
        <v>0.04</v>
      </c>
      <c r="O87" s="127">
        <f t="shared" si="3"/>
        <v>122139.8144</v>
      </c>
      <c r="P87" s="65" t="s">
        <v>20</v>
      </c>
    </row>
    <row r="88" spans="1:16" ht="15" thickBot="1" x14ac:dyDescent="0.35">
      <c r="A88" s="71">
        <v>82</v>
      </c>
      <c r="B88" s="24" t="s">
        <v>206</v>
      </c>
      <c r="C88" s="86">
        <v>1.17</v>
      </c>
      <c r="D88" s="22"/>
      <c r="E88" s="22"/>
      <c r="F88" s="25">
        <v>109871</v>
      </c>
      <c r="G88" s="25">
        <v>-109871</v>
      </c>
      <c r="H88" s="52">
        <f t="shared" si="2"/>
        <v>0</v>
      </c>
      <c r="I88" s="21">
        <v>0</v>
      </c>
      <c r="J88" s="21">
        <f>I3*C88/100</f>
        <v>80792.442899999995</v>
      </c>
      <c r="K88" s="21">
        <v>0</v>
      </c>
      <c r="L88" s="21">
        <v>0</v>
      </c>
      <c r="M88" s="21">
        <f>N3*C88/100</f>
        <v>46800</v>
      </c>
      <c r="N88" s="21">
        <v>0.38</v>
      </c>
      <c r="O88" s="127">
        <f t="shared" si="3"/>
        <v>127592.8229</v>
      </c>
      <c r="P88" s="65" t="s">
        <v>20</v>
      </c>
    </row>
    <row r="89" spans="1:16" ht="15" thickBot="1" x14ac:dyDescent="0.35">
      <c r="A89" s="71">
        <v>83</v>
      </c>
      <c r="B89" s="24" t="s">
        <v>207</v>
      </c>
      <c r="C89" s="86">
        <v>1.35</v>
      </c>
      <c r="D89" s="22"/>
      <c r="E89" s="22"/>
      <c r="F89" s="25">
        <v>126775</v>
      </c>
      <c r="G89" s="25">
        <v>-146398</v>
      </c>
      <c r="H89" s="52">
        <f t="shared" si="2"/>
        <v>-19623</v>
      </c>
      <c r="I89" s="21">
        <v>0</v>
      </c>
      <c r="J89" s="21">
        <f>I3*C89/100</f>
        <v>93222.049500000008</v>
      </c>
      <c r="K89" s="21">
        <v>0</v>
      </c>
      <c r="L89" s="21">
        <v>0</v>
      </c>
      <c r="M89" s="21">
        <f>N3*C89/100</f>
        <v>54000</v>
      </c>
      <c r="N89" s="21">
        <v>0.78</v>
      </c>
      <c r="O89" s="127">
        <f t="shared" si="3"/>
        <v>127599.82950000001</v>
      </c>
      <c r="P89" s="65" t="s">
        <v>20</v>
      </c>
    </row>
    <row r="90" spans="1:16" ht="15" thickBot="1" x14ac:dyDescent="0.35">
      <c r="A90" s="71">
        <v>84</v>
      </c>
      <c r="B90" s="24" t="s">
        <v>208</v>
      </c>
      <c r="C90" s="86">
        <v>1.1200000000000001</v>
      </c>
      <c r="D90" s="22"/>
      <c r="E90" s="22"/>
      <c r="F90" s="25">
        <v>105176</v>
      </c>
      <c r="G90" s="25">
        <v>-105176</v>
      </c>
      <c r="H90" s="52">
        <f t="shared" si="2"/>
        <v>0</v>
      </c>
      <c r="I90" s="21">
        <v>0</v>
      </c>
      <c r="J90" s="21">
        <f>I3*C90/100</f>
        <v>77339.774400000009</v>
      </c>
      <c r="K90" s="21">
        <v>0</v>
      </c>
      <c r="L90" s="21">
        <v>0</v>
      </c>
      <c r="M90" s="21">
        <f>N3*C90/100</f>
        <v>44800</v>
      </c>
      <c r="N90" s="21">
        <v>7.0000000000000007E-2</v>
      </c>
      <c r="O90" s="127">
        <f t="shared" si="3"/>
        <v>122139.84440000002</v>
      </c>
      <c r="P90" s="65" t="s">
        <v>20</v>
      </c>
    </row>
    <row r="91" spans="1:16" ht="15" thickBot="1" x14ac:dyDescent="0.35">
      <c r="A91" s="71">
        <v>85</v>
      </c>
      <c r="B91" s="24" t="s">
        <v>209</v>
      </c>
      <c r="C91" s="86">
        <v>0.82</v>
      </c>
      <c r="D91" s="22"/>
      <c r="E91" s="22"/>
      <c r="F91" s="25">
        <v>77004</v>
      </c>
      <c r="G91" s="25">
        <v>-77004</v>
      </c>
      <c r="H91" s="52">
        <f t="shared" si="2"/>
        <v>0</v>
      </c>
      <c r="I91" s="21">
        <v>0</v>
      </c>
      <c r="J91" s="21">
        <f>I3*C91/100</f>
        <v>56623.763399999996</v>
      </c>
      <c r="K91" s="21">
        <v>0</v>
      </c>
      <c r="L91" s="21">
        <v>0</v>
      </c>
      <c r="M91" s="21">
        <f>N3*C91/100</f>
        <v>32800</v>
      </c>
      <c r="N91" s="21">
        <v>0.09</v>
      </c>
      <c r="O91" s="127">
        <f t="shared" si="3"/>
        <v>89423.853399999993</v>
      </c>
      <c r="P91" s="65" t="s">
        <v>20</v>
      </c>
    </row>
    <row r="92" spans="1:16" ht="15" thickBot="1" x14ac:dyDescent="0.35">
      <c r="A92" s="71">
        <v>86</v>
      </c>
      <c r="B92" s="24" t="s">
        <v>210</v>
      </c>
      <c r="C92" s="86">
        <v>0.82</v>
      </c>
      <c r="D92" s="22"/>
      <c r="E92" s="22"/>
      <c r="F92" s="25">
        <v>167705</v>
      </c>
      <c r="G92" s="25">
        <v>-167705</v>
      </c>
      <c r="H92" s="52">
        <f t="shared" si="2"/>
        <v>0</v>
      </c>
      <c r="I92" s="21">
        <v>0</v>
      </c>
      <c r="J92" s="21">
        <f>I3*C92/100</f>
        <v>56623.763399999996</v>
      </c>
      <c r="K92" s="21">
        <v>0</v>
      </c>
      <c r="L92" s="21">
        <v>0</v>
      </c>
      <c r="M92" s="21">
        <f>N3*C92/100</f>
        <v>32800</v>
      </c>
      <c r="N92" s="21">
        <v>0.1</v>
      </c>
      <c r="O92" s="127">
        <f t="shared" si="3"/>
        <v>89423.863400000002</v>
      </c>
      <c r="P92" s="65" t="s">
        <v>20</v>
      </c>
    </row>
    <row r="93" spans="1:16" ht="15" thickBot="1" x14ac:dyDescent="0.35">
      <c r="A93" s="71">
        <v>87</v>
      </c>
      <c r="B93" s="24" t="s">
        <v>211</v>
      </c>
      <c r="C93" s="86">
        <v>1.34</v>
      </c>
      <c r="D93" s="22"/>
      <c r="E93" s="22"/>
      <c r="F93" s="25">
        <v>125836</v>
      </c>
      <c r="G93" s="25">
        <v>-125836</v>
      </c>
      <c r="H93" s="52">
        <f t="shared" si="2"/>
        <v>0</v>
      </c>
      <c r="I93" s="21">
        <v>0</v>
      </c>
      <c r="J93" s="21">
        <f>I3*C93/100</f>
        <v>92531.515799999994</v>
      </c>
      <c r="K93" s="21">
        <v>0</v>
      </c>
      <c r="L93" s="21">
        <v>0</v>
      </c>
      <c r="M93" s="21">
        <f>N3*C93/100</f>
        <v>53600</v>
      </c>
      <c r="N93" s="21">
        <v>0.35</v>
      </c>
      <c r="O93" s="127">
        <f t="shared" si="3"/>
        <v>146131.8658</v>
      </c>
      <c r="P93" s="65" t="s">
        <v>20</v>
      </c>
    </row>
    <row r="94" spans="1:16" ht="15" thickBot="1" x14ac:dyDescent="0.35">
      <c r="A94" s="71">
        <v>88</v>
      </c>
      <c r="B94" s="24" t="s">
        <v>212</v>
      </c>
      <c r="C94" s="86">
        <v>1.1200000000000001</v>
      </c>
      <c r="D94" s="22"/>
      <c r="E94" s="22"/>
      <c r="F94" s="25">
        <v>105176</v>
      </c>
      <c r="G94" s="25">
        <v>-105176</v>
      </c>
      <c r="H94" s="52">
        <f t="shared" si="2"/>
        <v>0</v>
      </c>
      <c r="I94" s="21">
        <v>0</v>
      </c>
      <c r="J94" s="21">
        <f>I3*C94/100</f>
        <v>77339.774400000009</v>
      </c>
      <c r="K94" s="21">
        <v>0</v>
      </c>
      <c r="L94" s="21">
        <v>0</v>
      </c>
      <c r="M94" s="21">
        <f>N3*C94/100</f>
        <v>44800</v>
      </c>
      <c r="N94" s="21">
        <v>0.11</v>
      </c>
      <c r="O94" s="127">
        <f t="shared" si="3"/>
        <v>122139.88440000001</v>
      </c>
      <c r="P94" s="65" t="s">
        <v>20</v>
      </c>
    </row>
    <row r="95" spans="1:16" ht="15" thickBot="1" x14ac:dyDescent="0.35">
      <c r="A95" s="71">
        <v>89</v>
      </c>
      <c r="B95" s="24" t="s">
        <v>213</v>
      </c>
      <c r="C95" s="86">
        <v>1.17</v>
      </c>
      <c r="D95" s="22"/>
      <c r="E95" s="22"/>
      <c r="F95" s="25">
        <v>109871</v>
      </c>
      <c r="G95" s="25">
        <v>-109872</v>
      </c>
      <c r="H95" s="52">
        <f t="shared" si="2"/>
        <v>-1</v>
      </c>
      <c r="I95" s="21">
        <v>0</v>
      </c>
      <c r="J95" s="21">
        <f>I3*C95/100</f>
        <v>80792.442899999995</v>
      </c>
      <c r="K95" s="21">
        <v>0</v>
      </c>
      <c r="L95" s="21">
        <v>0</v>
      </c>
      <c r="M95" s="21">
        <f>N3*C95/100</f>
        <v>46800</v>
      </c>
      <c r="N95" s="21">
        <v>0.45</v>
      </c>
      <c r="O95" s="127">
        <f t="shared" si="3"/>
        <v>127591.89289999999</v>
      </c>
      <c r="P95" s="65" t="s">
        <v>20</v>
      </c>
    </row>
    <row r="96" spans="1:16" ht="15" thickBot="1" x14ac:dyDescent="0.35">
      <c r="A96" s="71">
        <v>90</v>
      </c>
      <c r="B96" s="24" t="s">
        <v>214</v>
      </c>
      <c r="C96" s="86">
        <v>0.1</v>
      </c>
      <c r="D96" s="22"/>
      <c r="E96" s="86">
        <v>0</v>
      </c>
      <c r="F96" s="25">
        <v>20412</v>
      </c>
      <c r="G96" s="25">
        <v>-9390</v>
      </c>
      <c r="H96" s="52">
        <v>10806</v>
      </c>
      <c r="I96" s="21">
        <v>432</v>
      </c>
      <c r="J96" s="21">
        <f>I3*C96/100</f>
        <v>6905.3370000000004</v>
      </c>
      <c r="K96" s="21">
        <v>0</v>
      </c>
      <c r="L96" s="21">
        <v>0</v>
      </c>
      <c r="M96" s="21">
        <f>N3*C96/100</f>
        <v>4000</v>
      </c>
      <c r="N96" s="21">
        <v>0.56000000000000005</v>
      </c>
      <c r="O96" s="127">
        <f t="shared" si="3"/>
        <v>22143.897000000001</v>
      </c>
      <c r="P96" s="65" t="s">
        <v>20</v>
      </c>
    </row>
    <row r="97" spans="1:16" ht="15" thickBot="1" x14ac:dyDescent="0.35">
      <c r="A97" s="71">
        <v>91</v>
      </c>
      <c r="B97" s="24" t="s">
        <v>215</v>
      </c>
      <c r="C97" s="86">
        <v>0.1</v>
      </c>
      <c r="D97" s="22"/>
      <c r="E97" s="86">
        <v>0</v>
      </c>
      <c r="F97" s="25">
        <v>9043</v>
      </c>
      <c r="G97" s="25">
        <v>-9043</v>
      </c>
      <c r="H97" s="52">
        <f t="shared" si="2"/>
        <v>0</v>
      </c>
      <c r="I97" s="21">
        <v>0</v>
      </c>
      <c r="J97" s="21">
        <f>I3*C97/100</f>
        <v>6905.3370000000004</v>
      </c>
      <c r="K97" s="21">
        <v>0</v>
      </c>
      <c r="L97" s="21">
        <v>0</v>
      </c>
      <c r="M97" s="21">
        <f>N3*C97/100</f>
        <v>4000</v>
      </c>
      <c r="N97" s="21">
        <v>0.56999999999999995</v>
      </c>
      <c r="O97" s="127">
        <f t="shared" si="3"/>
        <v>10905.906999999999</v>
      </c>
      <c r="P97" s="65" t="s">
        <v>20</v>
      </c>
    </row>
    <row r="98" spans="1:16" ht="15" thickBot="1" x14ac:dyDescent="0.35">
      <c r="A98" s="71">
        <v>92</v>
      </c>
      <c r="B98" s="24" t="s">
        <v>216</v>
      </c>
      <c r="C98" s="86">
        <v>0.1</v>
      </c>
      <c r="D98" s="22"/>
      <c r="E98" s="86">
        <v>0</v>
      </c>
      <c r="F98" s="25">
        <v>9390</v>
      </c>
      <c r="G98" s="25">
        <v>-9391</v>
      </c>
      <c r="H98" s="52">
        <f t="shared" si="2"/>
        <v>-1</v>
      </c>
      <c r="I98" s="21">
        <v>0</v>
      </c>
      <c r="J98" s="21">
        <f>I3*C98/100</f>
        <v>6905.3370000000004</v>
      </c>
      <c r="K98" s="21">
        <v>0</v>
      </c>
      <c r="L98" s="21">
        <v>0</v>
      </c>
      <c r="M98" s="21">
        <f>N3*C98/100</f>
        <v>4000</v>
      </c>
      <c r="N98" s="21">
        <v>0.57999999999999996</v>
      </c>
      <c r="O98" s="127">
        <f t="shared" si="3"/>
        <v>10904.916999999999</v>
      </c>
      <c r="P98" s="65" t="s">
        <v>20</v>
      </c>
    </row>
    <row r="99" spans="1:16" ht="15" thickBot="1" x14ac:dyDescent="0.35">
      <c r="A99" s="71">
        <v>93</v>
      </c>
      <c r="B99" s="24" t="s">
        <v>217</v>
      </c>
      <c r="C99" s="86">
        <v>0.1</v>
      </c>
      <c r="D99" s="22"/>
      <c r="E99" s="86">
        <v>0</v>
      </c>
      <c r="F99" s="25">
        <v>9390</v>
      </c>
      <c r="G99" s="25">
        <v>-9390</v>
      </c>
      <c r="H99" s="52">
        <f t="shared" si="2"/>
        <v>0</v>
      </c>
      <c r="I99" s="21">
        <v>0</v>
      </c>
      <c r="J99" s="21">
        <f>I3*C99/100</f>
        <v>6905.3370000000004</v>
      </c>
      <c r="K99" s="21">
        <v>0</v>
      </c>
      <c r="L99" s="21">
        <v>0</v>
      </c>
      <c r="M99" s="21">
        <f>N3*C99/100</f>
        <v>4000</v>
      </c>
      <c r="N99" s="21">
        <v>0.59</v>
      </c>
      <c r="O99" s="127">
        <f t="shared" si="3"/>
        <v>10905.927</v>
      </c>
      <c r="P99" s="65" t="s">
        <v>20</v>
      </c>
    </row>
    <row r="100" spans="1:16" ht="15" thickBot="1" x14ac:dyDescent="0.35">
      <c r="A100" s="71">
        <v>94</v>
      </c>
      <c r="B100" s="24" t="s">
        <v>218</v>
      </c>
      <c r="C100" s="86">
        <v>0.1</v>
      </c>
      <c r="D100" s="22"/>
      <c r="E100" s="86">
        <v>0</v>
      </c>
      <c r="F100" s="25">
        <v>8759</v>
      </c>
      <c r="G100" s="25">
        <v>-9390</v>
      </c>
      <c r="H100" s="52">
        <f t="shared" si="2"/>
        <v>-631</v>
      </c>
      <c r="I100" s="21">
        <v>0</v>
      </c>
      <c r="J100" s="21">
        <f>I3*C100/100</f>
        <v>6905.3370000000004</v>
      </c>
      <c r="K100" s="21">
        <v>0</v>
      </c>
      <c r="L100" s="21">
        <v>0</v>
      </c>
      <c r="M100" s="21">
        <f>N3*C100/100</f>
        <v>4000</v>
      </c>
      <c r="N100" s="21">
        <v>0.6</v>
      </c>
      <c r="O100" s="127">
        <f t="shared" si="3"/>
        <v>10274.937</v>
      </c>
      <c r="P100" s="65" t="s">
        <v>38</v>
      </c>
    </row>
    <row r="101" spans="1:16" ht="15" thickBot="1" x14ac:dyDescent="0.35">
      <c r="A101" s="71">
        <v>95</v>
      </c>
      <c r="B101" s="24" t="s">
        <v>219</v>
      </c>
      <c r="C101" s="86">
        <v>0.1</v>
      </c>
      <c r="D101" s="22"/>
      <c r="E101" s="86">
        <v>0</v>
      </c>
      <c r="F101" s="25">
        <v>9390</v>
      </c>
      <c r="G101" s="25">
        <v>-9391</v>
      </c>
      <c r="H101" s="52">
        <f t="shared" si="2"/>
        <v>-1</v>
      </c>
      <c r="I101" s="21">
        <v>0</v>
      </c>
      <c r="J101" s="21">
        <f>I3*C101/100</f>
        <v>6905.3370000000004</v>
      </c>
      <c r="K101" s="21">
        <v>0</v>
      </c>
      <c r="L101" s="21">
        <v>0</v>
      </c>
      <c r="M101" s="21">
        <f>N3*C101/100</f>
        <v>4000</v>
      </c>
      <c r="N101" s="21">
        <v>0.61</v>
      </c>
      <c r="O101" s="127">
        <f t="shared" si="3"/>
        <v>10904.947</v>
      </c>
      <c r="P101" s="65" t="s">
        <v>20</v>
      </c>
    </row>
    <row r="102" spans="1:16" ht="15" thickBot="1" x14ac:dyDescent="0.35">
      <c r="A102" s="71">
        <v>96</v>
      </c>
      <c r="B102" s="24" t="s">
        <v>218</v>
      </c>
      <c r="C102" s="86">
        <v>0.1</v>
      </c>
      <c r="D102" s="22"/>
      <c r="E102" s="86">
        <v>0</v>
      </c>
      <c r="F102" s="25">
        <v>9390</v>
      </c>
      <c r="G102" s="25">
        <v>-9390</v>
      </c>
      <c r="H102" s="52">
        <f t="shared" si="2"/>
        <v>0</v>
      </c>
      <c r="I102" s="21">
        <v>0</v>
      </c>
      <c r="J102" s="21">
        <f>I3*C102/100</f>
        <v>6905.3370000000004</v>
      </c>
      <c r="K102" s="21">
        <v>0</v>
      </c>
      <c r="L102" s="21">
        <v>0</v>
      </c>
      <c r="M102" s="21">
        <f>N3*C102/100</f>
        <v>4000</v>
      </c>
      <c r="N102" s="21">
        <v>0.62</v>
      </c>
      <c r="O102" s="127">
        <f t="shared" si="3"/>
        <v>10905.957</v>
      </c>
      <c r="P102" s="65" t="s">
        <v>20</v>
      </c>
    </row>
    <row r="103" spans="1:16" ht="15" thickBot="1" x14ac:dyDescent="0.35">
      <c r="A103" s="71">
        <v>97</v>
      </c>
      <c r="B103" s="24" t="s">
        <v>220</v>
      </c>
      <c r="C103" s="86">
        <v>0.1</v>
      </c>
      <c r="D103" s="22"/>
      <c r="E103" s="86">
        <v>0</v>
      </c>
      <c r="F103" s="25">
        <v>9390</v>
      </c>
      <c r="G103" s="25">
        <v>-9390</v>
      </c>
      <c r="H103" s="52">
        <f t="shared" si="2"/>
        <v>0</v>
      </c>
      <c r="I103" s="21">
        <v>0</v>
      </c>
      <c r="J103" s="21">
        <f>I3*C103/100</f>
        <v>6905.3370000000004</v>
      </c>
      <c r="K103" s="21">
        <v>0</v>
      </c>
      <c r="L103" s="21">
        <v>0</v>
      </c>
      <c r="M103" s="21">
        <f>N3*C103/100</f>
        <v>4000</v>
      </c>
      <c r="N103" s="21">
        <v>0.63</v>
      </c>
      <c r="O103" s="127">
        <f t="shared" si="3"/>
        <v>10905.966999999999</v>
      </c>
      <c r="P103" s="65" t="s">
        <v>20</v>
      </c>
    </row>
    <row r="104" spans="1:16" ht="15" thickBot="1" x14ac:dyDescent="0.35">
      <c r="A104" s="71">
        <v>98</v>
      </c>
      <c r="B104" s="24" t="s">
        <v>221</v>
      </c>
      <c r="C104" s="86">
        <v>0.1</v>
      </c>
      <c r="D104" s="22"/>
      <c r="E104" s="86">
        <v>0</v>
      </c>
      <c r="F104" s="25">
        <v>20349</v>
      </c>
      <c r="G104" s="25">
        <v>-20349</v>
      </c>
      <c r="H104" s="52">
        <f t="shared" si="2"/>
        <v>0</v>
      </c>
      <c r="I104" s="21">
        <v>0</v>
      </c>
      <c r="J104" s="21">
        <f>I3*C104/100</f>
        <v>6905.3370000000004</v>
      </c>
      <c r="K104" s="21">
        <v>0</v>
      </c>
      <c r="L104" s="21">
        <v>0</v>
      </c>
      <c r="M104" s="21">
        <f>N3*C104/100</f>
        <v>4000</v>
      </c>
      <c r="N104" s="21">
        <v>0.64</v>
      </c>
      <c r="O104" s="127">
        <f t="shared" si="3"/>
        <v>10905.976999999999</v>
      </c>
      <c r="P104" s="65" t="s">
        <v>20</v>
      </c>
    </row>
    <row r="105" spans="1:16" ht="15" thickBot="1" x14ac:dyDescent="0.35">
      <c r="A105" s="71">
        <v>99</v>
      </c>
      <c r="B105" s="24" t="s">
        <v>222</v>
      </c>
      <c r="C105" s="86">
        <v>0.1</v>
      </c>
      <c r="D105" s="22"/>
      <c r="E105" s="86">
        <v>0</v>
      </c>
      <c r="F105" s="25">
        <v>9390</v>
      </c>
      <c r="G105" s="25">
        <v>-9391</v>
      </c>
      <c r="H105" s="52">
        <f t="shared" si="2"/>
        <v>-1</v>
      </c>
      <c r="I105" s="21">
        <v>0</v>
      </c>
      <c r="J105" s="21">
        <f>I3*C105/100</f>
        <v>6905.3370000000004</v>
      </c>
      <c r="K105" s="21">
        <v>0</v>
      </c>
      <c r="L105" s="21">
        <v>0</v>
      </c>
      <c r="M105" s="21">
        <f>N3*C105/100</f>
        <v>4000</v>
      </c>
      <c r="N105" s="21">
        <v>0.65</v>
      </c>
      <c r="O105" s="127">
        <f t="shared" si="3"/>
        <v>10904.986999999999</v>
      </c>
      <c r="P105" s="65" t="s">
        <v>20</v>
      </c>
    </row>
    <row r="106" spans="1:16" ht="15" thickBot="1" x14ac:dyDescent="0.35">
      <c r="A106" s="71">
        <v>100</v>
      </c>
      <c r="B106" s="24" t="s">
        <v>223</v>
      </c>
      <c r="C106" s="86">
        <v>0.1</v>
      </c>
      <c r="D106" s="22"/>
      <c r="E106" s="86">
        <v>0</v>
      </c>
      <c r="F106" s="25">
        <v>31359</v>
      </c>
      <c r="G106" s="25">
        <v>-9391</v>
      </c>
      <c r="H106" s="52">
        <v>21331</v>
      </c>
      <c r="I106" s="21">
        <v>1064</v>
      </c>
      <c r="J106" s="21">
        <f>I3*C106/100</f>
        <v>6905.3370000000004</v>
      </c>
      <c r="K106" s="21">
        <v>0</v>
      </c>
      <c r="L106" s="21">
        <v>0</v>
      </c>
      <c r="M106" s="21">
        <f>N3*C106/100</f>
        <v>4000</v>
      </c>
      <c r="N106" s="21">
        <v>0.66</v>
      </c>
      <c r="O106" s="127">
        <f t="shared" si="3"/>
        <v>33300.997000000003</v>
      </c>
      <c r="P106" s="65"/>
    </row>
    <row r="107" spans="1:16" ht="15" thickBot="1" x14ac:dyDescent="0.35">
      <c r="A107" s="71">
        <v>101</v>
      </c>
      <c r="B107" s="24" t="s">
        <v>224</v>
      </c>
      <c r="C107" s="86">
        <v>0.1</v>
      </c>
      <c r="D107" s="22"/>
      <c r="E107" s="86">
        <v>0</v>
      </c>
      <c r="F107" s="25">
        <v>9391</v>
      </c>
      <c r="G107" s="25">
        <v>-9391</v>
      </c>
      <c r="H107" s="52">
        <f t="shared" si="2"/>
        <v>0</v>
      </c>
      <c r="I107" s="21">
        <v>0</v>
      </c>
      <c r="J107" s="21">
        <f>I3*C107/100</f>
        <v>6905.3370000000004</v>
      </c>
      <c r="K107" s="21">
        <v>0</v>
      </c>
      <c r="L107" s="21">
        <v>0</v>
      </c>
      <c r="M107" s="21">
        <f>N3*C107/100</f>
        <v>4000</v>
      </c>
      <c r="N107" s="21">
        <v>0.67</v>
      </c>
      <c r="O107" s="127">
        <f t="shared" si="3"/>
        <v>10906.007</v>
      </c>
      <c r="P107" s="65" t="s">
        <v>20</v>
      </c>
    </row>
    <row r="108" spans="1:16" x14ac:dyDescent="0.3">
      <c r="A108" s="71">
        <v>102</v>
      </c>
      <c r="B108" s="24" t="s">
        <v>225</v>
      </c>
      <c r="C108" s="86">
        <v>0.1</v>
      </c>
      <c r="D108" s="22"/>
      <c r="E108" s="86">
        <v>0</v>
      </c>
      <c r="F108" s="25">
        <v>9391</v>
      </c>
      <c r="G108" s="25">
        <v>0</v>
      </c>
      <c r="H108" s="52">
        <f t="shared" si="2"/>
        <v>9391</v>
      </c>
      <c r="I108" s="21">
        <v>188</v>
      </c>
      <c r="J108" s="21">
        <f>I3*C108/100</f>
        <v>6905.3370000000004</v>
      </c>
      <c r="K108" s="21">
        <v>0</v>
      </c>
      <c r="L108" s="21">
        <v>0</v>
      </c>
      <c r="M108" s="21">
        <f>N3*C108/100</f>
        <v>4000</v>
      </c>
      <c r="N108" s="21">
        <v>0.68</v>
      </c>
      <c r="O108" s="127">
        <f t="shared" si="3"/>
        <v>20485.017</v>
      </c>
      <c r="P108" s="65" t="s">
        <v>20</v>
      </c>
    </row>
    <row r="109" spans="1:16" ht="15" thickBot="1" x14ac:dyDescent="0.35">
      <c r="A109" s="71">
        <v>103</v>
      </c>
      <c r="B109" s="24" t="s">
        <v>226</v>
      </c>
      <c r="C109" s="85">
        <v>0.1</v>
      </c>
      <c r="D109" s="68"/>
      <c r="E109" s="85">
        <v>0</v>
      </c>
      <c r="F109" s="69">
        <v>9391</v>
      </c>
      <c r="G109" s="69">
        <v>-9391</v>
      </c>
      <c r="H109" s="70">
        <f t="shared" si="2"/>
        <v>0</v>
      </c>
      <c r="I109" s="70">
        <v>0</v>
      </c>
      <c r="J109" s="70">
        <f>I3*C109/100</f>
        <v>6905.3370000000004</v>
      </c>
      <c r="K109" s="70">
        <v>0</v>
      </c>
      <c r="L109" s="70">
        <v>0</v>
      </c>
      <c r="M109" s="70">
        <f>N3*C109/100</f>
        <v>4000</v>
      </c>
      <c r="N109" s="70">
        <v>0.69</v>
      </c>
      <c r="O109" s="127">
        <f t="shared" si="3"/>
        <v>10906.027</v>
      </c>
      <c r="P109" s="65" t="s">
        <v>20</v>
      </c>
    </row>
    <row r="110" spans="1:16" ht="15" thickBot="1" x14ac:dyDescent="0.35">
      <c r="A110" s="2" t="s">
        <v>20</v>
      </c>
      <c r="C110" s="88">
        <f>SUM(C7:C70)</f>
        <v>71.090000000000018</v>
      </c>
      <c r="D110" s="72">
        <f>SUM(D7:D35)</f>
        <v>6.1299999999999986E-2</v>
      </c>
      <c r="E110" s="129">
        <f>SUM(E96:E109)</f>
        <v>0</v>
      </c>
      <c r="F110" s="73">
        <f>SUM(F7:F109)</f>
        <v>18796935</v>
      </c>
      <c r="G110" s="73">
        <f>SUM(G7:G109)</f>
        <v>-7799733</v>
      </c>
      <c r="H110" s="73">
        <f>SUM(H7:H109)</f>
        <v>10149453</v>
      </c>
      <c r="I110" s="73">
        <f>SUM(I7:I109)</f>
        <v>857508</v>
      </c>
      <c r="J110" s="94">
        <f>SUM(J7:J109)</f>
        <v>6916385.539200007</v>
      </c>
      <c r="K110" s="73">
        <f>SUM(K7:K70)</f>
        <v>0</v>
      </c>
      <c r="L110" s="73">
        <f t="shared" ref="L110" si="4">SUM(L7:L70)</f>
        <v>0</v>
      </c>
      <c r="M110" s="92">
        <f>SUM(M7:M109)</f>
        <v>4006400</v>
      </c>
      <c r="N110" s="73">
        <f>SUM(N7:N109)</f>
        <v>2.1500000000000012</v>
      </c>
      <c r="O110" s="74">
        <f>SUM(O7:O109)</f>
        <v>21929748.689200003</v>
      </c>
      <c r="P110" t="s">
        <v>20</v>
      </c>
    </row>
    <row r="111" spans="1:16" x14ac:dyDescent="0.3">
      <c r="C111" s="148" t="s">
        <v>20</v>
      </c>
      <c r="D111" s="148"/>
      <c r="E111" s="99"/>
      <c r="G111" s="12" t="s">
        <v>20</v>
      </c>
    </row>
    <row r="112" spans="1:16" ht="18" x14ac:dyDescent="0.35">
      <c r="C112" s="3"/>
      <c r="D112" s="3"/>
      <c r="E112" s="3"/>
      <c r="J112" s="40" t="s">
        <v>234</v>
      </c>
      <c r="K112" s="40"/>
      <c r="L112" s="40"/>
    </row>
    <row r="113" spans="1:16" ht="18" x14ac:dyDescent="0.35">
      <c r="A113" s="40" t="s">
        <v>22</v>
      </c>
      <c r="B113" s="40"/>
      <c r="C113" s="78"/>
      <c r="G113" s="78" t="s">
        <v>252</v>
      </c>
      <c r="H113" s="40"/>
      <c r="I113" s="40"/>
      <c r="J113" s="131">
        <v>45699</v>
      </c>
      <c r="K113" s="40"/>
      <c r="L113" s="9" t="s">
        <v>235</v>
      </c>
      <c r="M113" s="134">
        <v>125836.84</v>
      </c>
      <c r="N113" s="40"/>
      <c r="O113" s="40"/>
    </row>
    <row r="114" spans="1:16" ht="18" x14ac:dyDescent="0.35">
      <c r="A114" s="78" t="s">
        <v>23</v>
      </c>
      <c r="B114" s="79" t="s">
        <v>245</v>
      </c>
      <c r="C114" s="78"/>
      <c r="D114" t="s">
        <v>26</v>
      </c>
      <c r="G114" s="40" t="s">
        <v>20</v>
      </c>
      <c r="H114" s="9"/>
      <c r="I114" s="9"/>
      <c r="J114" s="131" t="s">
        <v>20</v>
      </c>
      <c r="K114" s="9"/>
      <c r="L114" s="9" t="s">
        <v>236</v>
      </c>
      <c r="M114" s="134" t="s">
        <v>20</v>
      </c>
      <c r="N114" s="9" t="s">
        <v>20</v>
      </c>
      <c r="O114" s="9"/>
    </row>
    <row r="115" spans="1:16" ht="18" x14ac:dyDescent="0.35">
      <c r="A115" s="78" t="s">
        <v>24</v>
      </c>
      <c r="B115" s="80" t="s">
        <v>246</v>
      </c>
      <c r="C115" s="78"/>
      <c r="D115" s="28"/>
      <c r="E115" s="28"/>
      <c r="J115" s="131" t="s">
        <v>20</v>
      </c>
      <c r="K115" s="9"/>
      <c r="L115" s="9" t="s">
        <v>237</v>
      </c>
      <c r="M115" s="134" t="s">
        <v>20</v>
      </c>
    </row>
    <row r="116" spans="1:16" ht="18" x14ac:dyDescent="0.35">
      <c r="A116" s="78" t="s">
        <v>25</v>
      </c>
      <c r="B116" s="79" t="s">
        <v>247</v>
      </c>
      <c r="C116" s="78"/>
      <c r="J116" s="131" t="s">
        <v>20</v>
      </c>
      <c r="K116" s="9"/>
      <c r="L116" s="9" t="s">
        <v>238</v>
      </c>
      <c r="M116" s="134" t="s">
        <v>20</v>
      </c>
      <c r="N116" t="s">
        <v>20</v>
      </c>
    </row>
    <row r="117" spans="1:16" ht="18.600000000000001" thickBot="1" x14ac:dyDescent="0.4">
      <c r="A117" s="78" t="s">
        <v>46</v>
      </c>
      <c r="D117" s="9" t="s">
        <v>20</v>
      </c>
      <c r="E117" s="9"/>
      <c r="G117" s="78" t="s">
        <v>251</v>
      </c>
      <c r="J117" s="131">
        <v>45695</v>
      </c>
      <c r="K117" s="9"/>
      <c r="L117" s="9" t="s">
        <v>239</v>
      </c>
      <c r="M117" s="134">
        <v>119262.59</v>
      </c>
      <c r="N117" t="s">
        <v>280</v>
      </c>
    </row>
    <row r="118" spans="1:16" ht="15" thickBot="1" x14ac:dyDescent="0.35">
      <c r="D118" s="29"/>
      <c r="E118" s="29"/>
      <c r="J118" s="131">
        <v>45693</v>
      </c>
      <c r="L118" s="17" t="s">
        <v>240</v>
      </c>
      <c r="M118" s="134">
        <v>77033.88</v>
      </c>
      <c r="N118" t="s">
        <v>281</v>
      </c>
      <c r="P118" t="s">
        <v>20</v>
      </c>
    </row>
    <row r="119" spans="1:16" x14ac:dyDescent="0.3">
      <c r="J119" s="131">
        <v>45707</v>
      </c>
      <c r="M119" s="134">
        <v>105000</v>
      </c>
      <c r="N119" t="s">
        <v>250</v>
      </c>
    </row>
    <row r="120" spans="1:16" x14ac:dyDescent="0.3">
      <c r="J120" s="131" t="s">
        <v>20</v>
      </c>
      <c r="M120" s="134" t="s">
        <v>20</v>
      </c>
      <c r="N120" t="s">
        <v>20</v>
      </c>
    </row>
    <row r="121" spans="1:16" x14ac:dyDescent="0.3">
      <c r="B121" s="3"/>
      <c r="C121" s="3"/>
      <c r="D121" s="3"/>
      <c r="E121" s="3"/>
    </row>
  </sheetData>
  <mergeCells count="3">
    <mergeCell ref="B1:O1"/>
    <mergeCell ref="B3:H3"/>
    <mergeCell ref="C111:D111"/>
  </mergeCells>
  <pageMargins left="0.31496062992125984" right="0.31496062992125984" top="0.15748031496062992" bottom="0" header="0" footer="0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RESUMEN</vt:lpstr>
      <vt:lpstr>PRORRATEO</vt:lpstr>
      <vt:lpstr>RESUMEN MENSUAL</vt:lpstr>
      <vt:lpstr>INGRESOS-EGRESOS</vt:lpstr>
      <vt:lpstr>PRORRATEO!Área_de_impresión</vt:lpstr>
      <vt:lpstr>RESUMEN!Área_de_impresión</vt:lpstr>
    </vt:vector>
  </TitlesOfParts>
  <Company>...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Mateo Quotteri</cp:lastModifiedBy>
  <cp:lastPrinted>2025-02-07T18:57:44Z</cp:lastPrinted>
  <dcterms:created xsi:type="dcterms:W3CDTF">2016-01-12T20:02:43Z</dcterms:created>
  <dcterms:modified xsi:type="dcterms:W3CDTF">2025-12-26T17:34:50Z</dcterms:modified>
</cp:coreProperties>
</file>