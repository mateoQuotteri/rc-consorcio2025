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OneDrive\Desktop\RC CONSORCIO 2025\ITALIA\"/>
    </mc:Choice>
  </mc:AlternateContent>
  <xr:revisionPtr revIDLastSave="0" documentId="13_ncr:1_{F4E36A9C-5F02-449F-8B93-6D4E813AB689}" xr6:coauthVersionLast="47" xr6:coauthVersionMax="47" xr10:uidLastSave="{00000000-0000-0000-0000-000000000000}"/>
  <bookViews>
    <workbookView xWindow="-120" yWindow="-120" windowWidth="20730" windowHeight="11160" xr2:uid="{00000000-000D-0000-FFFF-FFFF00000000}"/>
  </bookViews>
  <sheets>
    <sheet name="RESUMEN" sheetId="4" r:id="rId1"/>
    <sheet name="PRORRATEO" sheetId="5" r:id="rId2"/>
    <sheet name="RESUMEN MENSUAL" sheetId="1" r:id="rId3"/>
    <sheet name="INGRESOS-EGRESOS" sheetId="2" r:id="rId4"/>
  </sheets>
  <externalReferences>
    <externalReference r:id="rId5"/>
  </externalReferences>
  <definedNames>
    <definedName name="_xlnm.Print_Area" localSheetId="1">PRORRATEO!$A$1:$L$125</definedName>
    <definedName name="_xlnm.Print_Area" localSheetId="0">RESUMEN!$A$1:$E$109</definedName>
  </definedNames>
  <calcPr calcId="181029"/>
</workbook>
</file>

<file path=xl/calcChain.xml><?xml version="1.0" encoding="utf-8"?>
<calcChain xmlns="http://schemas.openxmlformats.org/spreadsheetml/2006/main">
  <c r="E66" i="4" l="1"/>
  <c r="B91" i="4"/>
  <c r="E25" i="4"/>
  <c r="B108" i="4"/>
  <c r="F32" i="5"/>
  <c r="E33" i="4"/>
  <c r="E49" i="4"/>
  <c r="F23" i="5"/>
  <c r="F43" i="5"/>
  <c r="F107" i="5"/>
  <c r="F98" i="5"/>
  <c r="F105" i="5"/>
  <c r="F113" i="5"/>
  <c r="F99" i="5"/>
  <c r="F102" i="5"/>
  <c r="F84" i="5"/>
  <c r="F66" i="5"/>
  <c r="F20" i="5"/>
  <c r="F70" i="5"/>
  <c r="F13" i="5"/>
  <c r="F81" i="5"/>
  <c r="F89" i="5"/>
  <c r="F15" i="5"/>
  <c r="F73" i="5"/>
  <c r="F53" i="5"/>
  <c r="F97" i="5"/>
  <c r="F72" i="5"/>
  <c r="F35" i="5"/>
  <c r="F46" i="5"/>
  <c r="F106" i="5"/>
  <c r="F19" i="5"/>
  <c r="F91" i="5"/>
  <c r="F62" i="5"/>
  <c r="F112" i="5"/>
  <c r="F31" i="5" s="1"/>
  <c r="F40" i="5"/>
  <c r="F48" i="5"/>
  <c r="F16" i="5"/>
  <c r="F115" i="5"/>
  <c r="F21" i="5"/>
  <c r="F57" i="5"/>
  <c r="F25" i="5"/>
  <c r="F109" i="5"/>
  <c r="F34" i="5"/>
  <c r="F39" i="5"/>
  <c r="F67" i="5"/>
  <c r="F78" i="5"/>
  <c r="F17" i="5"/>
  <c r="F74" i="5"/>
  <c r="F111" i="5"/>
  <c r="F61" i="5"/>
  <c r="F68" i="5"/>
  <c r="F87" i="5"/>
  <c r="F50" i="5"/>
  <c r="F100" i="5"/>
  <c r="F108" i="5"/>
  <c r="I106" i="5"/>
  <c r="F60" i="5"/>
  <c r="F56" i="5"/>
  <c r="F49" i="5"/>
  <c r="F52" i="5"/>
  <c r="F110" i="5"/>
  <c r="F33" i="5" s="1"/>
  <c r="F88" i="5"/>
  <c r="F104" i="5"/>
  <c r="F75" i="5"/>
  <c r="F85" i="5"/>
  <c r="F44" i="5"/>
  <c r="F94" i="5"/>
  <c r="F103" i="5"/>
  <c r="F65" i="5"/>
  <c r="F71" i="5" l="1"/>
  <c r="F36" i="5" l="1"/>
  <c r="F22" i="5"/>
  <c r="E31" i="4"/>
  <c r="E30" i="4"/>
  <c r="F64" i="5"/>
  <c r="F92" i="5"/>
  <c r="F101" i="5" l="1"/>
  <c r="F117" i="5" s="1"/>
  <c r="E64" i="4"/>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7" i="5"/>
  <c r="I108" i="5"/>
  <c r="I109" i="5"/>
  <c r="I110" i="5"/>
  <c r="I111" i="5"/>
  <c r="I112" i="5"/>
  <c r="I113" i="5"/>
  <c r="I114" i="5"/>
  <c r="I115" i="5"/>
  <c r="G34" i="5"/>
  <c r="H34" i="5" s="1"/>
  <c r="G35" i="5"/>
  <c r="H35" i="5" s="1"/>
  <c r="G36" i="5"/>
  <c r="H36" i="5" s="1"/>
  <c r="G37" i="5"/>
  <c r="H37" i="5" s="1"/>
  <c r="G38" i="5"/>
  <c r="H38" i="5" s="1"/>
  <c r="G39" i="5"/>
  <c r="H39" i="5" s="1"/>
  <c r="G40" i="5"/>
  <c r="H40" i="5" s="1"/>
  <c r="G41" i="5"/>
  <c r="H41" i="5" s="1"/>
  <c r="G42" i="5"/>
  <c r="H42" i="5" s="1"/>
  <c r="G43" i="5"/>
  <c r="H43" i="5" s="1"/>
  <c r="G44" i="5"/>
  <c r="H44" i="5" s="1"/>
  <c r="G45" i="5"/>
  <c r="H45" i="5" s="1"/>
  <c r="G46" i="5"/>
  <c r="H46" i="5" s="1"/>
  <c r="G47" i="5"/>
  <c r="H47" i="5" s="1"/>
  <c r="G48" i="5"/>
  <c r="H48" i="5" s="1"/>
  <c r="G49" i="5"/>
  <c r="H49" i="5" s="1"/>
  <c r="G50" i="5"/>
  <c r="H50" i="5" s="1"/>
  <c r="G51" i="5"/>
  <c r="H51" i="5" s="1"/>
  <c r="G52" i="5"/>
  <c r="H52" i="5" s="1"/>
  <c r="G53" i="5"/>
  <c r="H53" i="5" s="1"/>
  <c r="G54" i="5"/>
  <c r="H54" i="5" s="1"/>
  <c r="G55" i="5"/>
  <c r="H55" i="5" s="1"/>
  <c r="G56" i="5"/>
  <c r="H56" i="5" s="1"/>
  <c r="G57" i="5"/>
  <c r="H57" i="5" s="1"/>
  <c r="G58" i="5"/>
  <c r="H58" i="5" s="1"/>
  <c r="G59" i="5"/>
  <c r="H59" i="5" s="1"/>
  <c r="G60" i="5"/>
  <c r="H60" i="5" s="1"/>
  <c r="G61" i="5"/>
  <c r="H61" i="5" s="1"/>
  <c r="G62" i="5"/>
  <c r="H62" i="5" s="1"/>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H92" i="5" s="1"/>
  <c r="G93" i="5"/>
  <c r="H93" i="5" s="1"/>
  <c r="G94" i="5"/>
  <c r="H94" i="5" s="1"/>
  <c r="G95" i="5"/>
  <c r="H95" i="5" s="1"/>
  <c r="G96" i="5"/>
  <c r="H96" i="5" s="1"/>
  <c r="G97" i="5"/>
  <c r="H97" i="5" s="1"/>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H112" i="5" s="1"/>
  <c r="G113" i="5"/>
  <c r="H113" i="5" s="1"/>
  <c r="G114" i="5"/>
  <c r="H114" i="5" s="1"/>
  <c r="G115" i="5"/>
  <c r="H115" i="5" s="1"/>
  <c r="E117" i="5"/>
  <c r="D117" i="5"/>
  <c r="A34" i="5"/>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E38" i="4"/>
  <c r="B120" i="5"/>
  <c r="G23" i="5"/>
  <c r="H23" i="5" s="1"/>
  <c r="J33" i="5"/>
  <c r="I33" i="5"/>
  <c r="G33" i="5"/>
  <c r="H33" i="5" s="1"/>
  <c r="J32" i="5"/>
  <c r="I32" i="5"/>
  <c r="G32" i="5"/>
  <c r="J31" i="5"/>
  <c r="I31" i="5"/>
  <c r="G31" i="5"/>
  <c r="H31" i="5" s="1"/>
  <c r="J30" i="5"/>
  <c r="I30" i="5"/>
  <c r="G30" i="5"/>
  <c r="H30" i="5" s="1"/>
  <c r="J29" i="5"/>
  <c r="I29" i="5"/>
  <c r="G29" i="5"/>
  <c r="H29" i="5" s="1"/>
  <c r="J28" i="5"/>
  <c r="I28" i="5"/>
  <c r="G28" i="5"/>
  <c r="H28" i="5" s="1"/>
  <c r="J27" i="5"/>
  <c r="I27" i="5"/>
  <c r="G27" i="5"/>
  <c r="H27" i="5" s="1"/>
  <c r="J26" i="5"/>
  <c r="I26" i="5"/>
  <c r="G26" i="5"/>
  <c r="H26" i="5" s="1"/>
  <c r="J25" i="5"/>
  <c r="I25" i="5"/>
  <c r="G25" i="5"/>
  <c r="H25" i="5" s="1"/>
  <c r="J24" i="5"/>
  <c r="I24" i="5"/>
  <c r="G24" i="5"/>
  <c r="H24" i="5" s="1"/>
  <c r="J23" i="5"/>
  <c r="I23" i="5"/>
  <c r="J22" i="5"/>
  <c r="I22" i="5"/>
  <c r="G22" i="5"/>
  <c r="H22" i="5" s="1"/>
  <c r="J21" i="5"/>
  <c r="I21" i="5"/>
  <c r="G21" i="5"/>
  <c r="H21" i="5" s="1"/>
  <c r="J20" i="5"/>
  <c r="I20" i="5"/>
  <c r="G20" i="5"/>
  <c r="H20" i="5" s="1"/>
  <c r="J19" i="5"/>
  <c r="I19" i="5"/>
  <c r="G19" i="5"/>
  <c r="H19" i="5" s="1"/>
  <c r="J18" i="5"/>
  <c r="I18" i="5"/>
  <c r="G18" i="5"/>
  <c r="H18" i="5" s="1"/>
  <c r="J17" i="5"/>
  <c r="I17" i="5"/>
  <c r="G17" i="5"/>
  <c r="H17" i="5" s="1"/>
  <c r="J16" i="5"/>
  <c r="I16" i="5"/>
  <c r="G16" i="5"/>
  <c r="H16" i="5" s="1"/>
  <c r="J15" i="5"/>
  <c r="I15" i="5"/>
  <c r="G15" i="5"/>
  <c r="H15" i="5" s="1"/>
  <c r="M14" i="5"/>
  <c r="M15" i="5" s="1"/>
  <c r="M16" i="5" s="1"/>
  <c r="J14" i="5"/>
  <c r="I14" i="5"/>
  <c r="G14" i="5"/>
  <c r="J13" i="5"/>
  <c r="I13" i="5"/>
  <c r="K12" i="5"/>
  <c r="B93" i="4"/>
  <c r="E76" i="4"/>
  <c r="E81" i="4" s="1"/>
  <c r="B85" i="4" s="1"/>
  <c r="E58" i="4"/>
  <c r="E54" i="4"/>
  <c r="K15" i="5" l="1"/>
  <c r="I117" i="5"/>
  <c r="J117" i="5"/>
  <c r="E68" i="4"/>
  <c r="B84" i="4" s="1"/>
  <c r="B92" i="4" s="1"/>
  <c r="K16" i="5"/>
  <c r="H14" i="5"/>
  <c r="K14" i="5" s="1"/>
  <c r="H32" i="5"/>
  <c r="M17" i="5"/>
  <c r="B86" i="4"/>
  <c r="L15" i="5" l="1"/>
  <c r="B83" i="4"/>
  <c r="M18" i="5"/>
  <c r="K17" i="5"/>
  <c r="G13" i="5"/>
  <c r="G117" i="5" s="1"/>
  <c r="B94" i="4"/>
  <c r="B96" i="4" s="1"/>
  <c r="L14" i="5"/>
  <c r="L16" i="5"/>
  <c r="H13" i="5" l="1"/>
  <c r="H117" i="5" s="1"/>
  <c r="L17" i="5"/>
  <c r="M19" i="5"/>
  <c r="K18" i="5"/>
  <c r="L18" i="5" l="1"/>
  <c r="K19" i="5"/>
  <c r="M20" i="5"/>
  <c r="K13" i="5"/>
  <c r="L13" i="5" s="1"/>
  <c r="K20" i="5" l="1"/>
  <c r="M21" i="5"/>
  <c r="L19" i="5"/>
  <c r="K21" i="5" l="1"/>
  <c r="M22" i="5"/>
  <c r="L20" i="5"/>
  <c r="M23" i="5" l="1"/>
  <c r="K22" i="5"/>
  <c r="L21" i="5"/>
  <c r="L22" i="5" l="1"/>
  <c r="K23" i="5"/>
  <c r="M24" i="5"/>
  <c r="K24" i="5" l="1"/>
  <c r="M25" i="5"/>
  <c r="L23" i="5"/>
  <c r="L24" i="5" l="1"/>
  <c r="M26" i="5"/>
  <c r="K25" i="5"/>
  <c r="L25" i="5" l="1"/>
  <c r="M27" i="5"/>
  <c r="K26" i="5"/>
  <c r="L26" i="5" l="1"/>
  <c r="K27" i="5"/>
  <c r="M28" i="5"/>
  <c r="K28" i="5" l="1"/>
  <c r="M29" i="5"/>
  <c r="L27" i="5"/>
  <c r="K29" i="5" l="1"/>
  <c r="M30" i="5"/>
  <c r="L28" i="5"/>
  <c r="L29" i="5" l="1"/>
  <c r="M31" i="5"/>
  <c r="K30" i="5"/>
  <c r="K31" i="5" l="1"/>
  <c r="L31" i="5" s="1"/>
  <c r="M32" i="5"/>
  <c r="L30" i="5"/>
  <c r="M33" i="5" l="1"/>
  <c r="K32" i="5"/>
  <c r="L32" i="5" s="1"/>
  <c r="G110" i="2"/>
  <c r="F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110" i="2" s="1"/>
  <c r="H71" i="2"/>
  <c r="F47" i="1"/>
  <c r="M34" i="5" l="1"/>
  <c r="K33" i="5"/>
  <c r="L33" i="5" s="1"/>
  <c r="H84" i="2"/>
  <c r="H17" i="2"/>
  <c r="F25" i="1"/>
  <c r="I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O78" i="2" s="1"/>
  <c r="J77" i="2"/>
  <c r="J76" i="2"/>
  <c r="J75" i="2"/>
  <c r="J74" i="2"/>
  <c r="O74" i="2" s="1"/>
  <c r="J73" i="2"/>
  <c r="F64" i="1"/>
  <c r="F67" i="1"/>
  <c r="J71" i="2"/>
  <c r="J72" i="2"/>
  <c r="N110" i="2"/>
  <c r="H9" i="2"/>
  <c r="H10" i="2"/>
  <c r="H11" i="2"/>
  <c r="H12" i="2"/>
  <c r="H13" i="2"/>
  <c r="H14" i="2"/>
  <c r="H15" i="2"/>
  <c r="H16" i="2"/>
  <c r="H19" i="2"/>
  <c r="H20" i="2"/>
  <c r="H21" i="2"/>
  <c r="H23" i="2"/>
  <c r="H24" i="2"/>
  <c r="H27" i="2"/>
  <c r="H28" i="2"/>
  <c r="H29" i="2"/>
  <c r="H31" i="2"/>
  <c r="H33" i="2"/>
  <c r="H36" i="2"/>
  <c r="H37" i="2"/>
  <c r="H38" i="2"/>
  <c r="H39" i="2"/>
  <c r="H40" i="2"/>
  <c r="H41" i="2"/>
  <c r="H43" i="2"/>
  <c r="H44" i="2"/>
  <c r="H45" i="2"/>
  <c r="H46" i="2"/>
  <c r="H47" i="2"/>
  <c r="H51" i="2"/>
  <c r="H52" i="2"/>
  <c r="H54" i="2"/>
  <c r="H55" i="2"/>
  <c r="H56" i="2"/>
  <c r="H57" i="2"/>
  <c r="H58" i="2"/>
  <c r="H59" i="2"/>
  <c r="H60" i="2"/>
  <c r="H61" i="2"/>
  <c r="H62" i="2"/>
  <c r="H63" i="2"/>
  <c r="H64" i="2"/>
  <c r="H65" i="2"/>
  <c r="H66" i="2"/>
  <c r="H67" i="2"/>
  <c r="H68" i="2"/>
  <c r="H69" i="2"/>
  <c r="H70" i="2"/>
  <c r="H72" i="2"/>
  <c r="H73" i="2"/>
  <c r="H75" i="2"/>
  <c r="H77" i="2"/>
  <c r="H79" i="2"/>
  <c r="H81" i="2"/>
  <c r="H82" i="2"/>
  <c r="H83" i="2"/>
  <c r="H85" i="2"/>
  <c r="H86" i="2"/>
  <c r="H87" i="2"/>
  <c r="H88" i="2"/>
  <c r="H89" i="2"/>
  <c r="O89" i="2" s="1"/>
  <c r="H90" i="2"/>
  <c r="H91" i="2"/>
  <c r="H92" i="2"/>
  <c r="H93" i="2"/>
  <c r="H94" i="2"/>
  <c r="H95" i="2"/>
  <c r="H97" i="2"/>
  <c r="O97" i="2" s="1"/>
  <c r="H98" i="2"/>
  <c r="H99" i="2"/>
  <c r="H100" i="2"/>
  <c r="H101" i="2"/>
  <c r="H102" i="2"/>
  <c r="H103" i="2"/>
  <c r="H104" i="2"/>
  <c r="H105" i="2"/>
  <c r="H107" i="2"/>
  <c r="H108" i="2"/>
  <c r="H109" i="2"/>
  <c r="E110" i="2"/>
  <c r="F75" i="1"/>
  <c r="F70" i="1"/>
  <c r="F52" i="1"/>
  <c r="M35" i="5" l="1"/>
  <c r="K34" i="5"/>
  <c r="L34" i="5" s="1"/>
  <c r="O109" i="2"/>
  <c r="O107" i="2"/>
  <c r="O106" i="2"/>
  <c r="O105" i="2"/>
  <c r="O102" i="2"/>
  <c r="O100" i="2"/>
  <c r="O94" i="2"/>
  <c r="O91" i="2"/>
  <c r="O90" i="2"/>
  <c r="O86" i="2"/>
  <c r="O85" i="2"/>
  <c r="O83" i="2"/>
  <c r="O82" i="2"/>
  <c r="O77" i="2"/>
  <c r="O76" i="2"/>
  <c r="O73" i="2"/>
  <c r="O108" i="2"/>
  <c r="O101" i="2"/>
  <c r="O99" i="2"/>
  <c r="O98" i="2"/>
  <c r="O93" i="2"/>
  <c r="O81" i="2"/>
  <c r="O75" i="2"/>
  <c r="O96" i="2"/>
  <c r="O88" i="2"/>
  <c r="O80" i="2"/>
  <c r="O84" i="2"/>
  <c r="O103" i="2"/>
  <c r="O79" i="2"/>
  <c r="O92" i="2"/>
  <c r="O104" i="2"/>
  <c r="O95" i="2"/>
  <c r="O87" i="2"/>
  <c r="O72" i="2"/>
  <c r="O71"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1" i="2"/>
  <c r="J40" i="2"/>
  <c r="J42" i="2"/>
  <c r="J43" i="2"/>
  <c r="J44" i="2"/>
  <c r="J45" i="2"/>
  <c r="J46" i="2"/>
  <c r="J47" i="2"/>
  <c r="J48" i="2"/>
  <c r="J49" i="2"/>
  <c r="J50" i="2"/>
  <c r="J51" i="2"/>
  <c r="J52" i="2"/>
  <c r="J53" i="2"/>
  <c r="J54" i="2"/>
  <c r="J55" i="2"/>
  <c r="J56" i="2"/>
  <c r="J57" i="2"/>
  <c r="J58" i="2"/>
  <c r="J59" i="2"/>
  <c r="J60" i="2"/>
  <c r="J70" i="2"/>
  <c r="J69" i="2"/>
  <c r="J68" i="2"/>
  <c r="J67" i="2"/>
  <c r="J66" i="2"/>
  <c r="J65" i="2"/>
  <c r="J64" i="2"/>
  <c r="J63" i="2"/>
  <c r="J62" i="2"/>
  <c r="J61" i="2"/>
  <c r="M36" i="5" l="1"/>
  <c r="K35" i="5"/>
  <c r="L35" i="5" s="1"/>
  <c r="J110" i="2"/>
  <c r="O54" i="2"/>
  <c r="O30" i="2"/>
  <c r="O64" i="2"/>
  <c r="O55" i="2"/>
  <c r="F55" i="1"/>
  <c r="O26" i="2"/>
  <c r="O21" i="2"/>
  <c r="O10" i="2"/>
  <c r="O39" i="2"/>
  <c r="O18" i="2"/>
  <c r="O19" i="2"/>
  <c r="O65" i="2"/>
  <c r="O46" i="2"/>
  <c r="M37" i="5" l="1"/>
  <c r="K36" i="5"/>
  <c r="L36" i="5" s="1"/>
  <c r="O48" i="2"/>
  <c r="O49" i="2"/>
  <c r="O50" i="2"/>
  <c r="O47" i="2"/>
  <c r="O37" i="2"/>
  <c r="O38" i="2"/>
  <c r="O42" i="2"/>
  <c r="M38" i="5" l="1"/>
  <c r="K37" i="5"/>
  <c r="L37" i="5" s="1"/>
  <c r="O58" i="2"/>
  <c r="O41" i="2"/>
  <c r="O40" i="2"/>
  <c r="M39" i="5" l="1"/>
  <c r="K38" i="5"/>
  <c r="L38" i="5" s="1"/>
  <c r="O43" i="2"/>
  <c r="O44" i="2"/>
  <c r="O45" i="2"/>
  <c r="O51" i="2"/>
  <c r="O52" i="2"/>
  <c r="O53" i="2"/>
  <c r="O56" i="2"/>
  <c r="O57" i="2"/>
  <c r="O59" i="2"/>
  <c r="O60" i="2"/>
  <c r="O61" i="2"/>
  <c r="O62" i="2"/>
  <c r="O63" i="2"/>
  <c r="O66" i="2"/>
  <c r="O67" i="2"/>
  <c r="O68" i="2"/>
  <c r="O69" i="2"/>
  <c r="O70" i="2"/>
  <c r="O24" i="2"/>
  <c r="O22" i="2"/>
  <c r="O23" i="2"/>
  <c r="O17" i="2"/>
  <c r="M40" i="5" l="1"/>
  <c r="K39" i="5"/>
  <c r="L39" i="5" s="1"/>
  <c r="O29" i="2"/>
  <c r="M41" i="5" l="1"/>
  <c r="K40" i="5"/>
  <c r="L40" i="5" s="1"/>
  <c r="K110" i="2"/>
  <c r="M42" i="5" l="1"/>
  <c r="K41" i="5"/>
  <c r="L41" i="5" s="1"/>
  <c r="F39" i="1"/>
  <c r="O36" i="2"/>
  <c r="O31" i="2"/>
  <c r="O13" i="2"/>
  <c r="C110" i="2"/>
  <c r="O12" i="2"/>
  <c r="O33" i="2"/>
  <c r="M43" i="5" l="1"/>
  <c r="K42" i="5"/>
  <c r="L42" i="5" s="1"/>
  <c r="F76" i="1"/>
  <c r="O34" i="2"/>
  <c r="M44" i="5" l="1"/>
  <c r="K43" i="5"/>
  <c r="L43" i="5" s="1"/>
  <c r="O16" i="2"/>
  <c r="O35" i="2"/>
  <c r="M45" i="5" l="1"/>
  <c r="K44" i="5"/>
  <c r="L44" i="5" s="1"/>
  <c r="L110" i="2"/>
  <c r="H7" i="2"/>
  <c r="H110" i="2" s="1"/>
  <c r="D110" i="2"/>
  <c r="O32" i="2"/>
  <c r="O28" i="2"/>
  <c r="O27" i="2"/>
  <c r="O25" i="2"/>
  <c r="O20" i="2"/>
  <c r="O15" i="2"/>
  <c r="O14" i="2"/>
  <c r="O11" i="2"/>
  <c r="M46" i="5" l="1"/>
  <c r="K45" i="5"/>
  <c r="L45" i="5" s="1"/>
  <c r="O7" i="2"/>
  <c r="F82" i="1"/>
  <c r="M47" i="5" l="1"/>
  <c r="K46" i="5"/>
  <c r="L46" i="5" s="1"/>
  <c r="O8" i="2"/>
  <c r="O9" i="2"/>
  <c r="M48" i="5" l="1"/>
  <c r="K47" i="5"/>
  <c r="L47" i="5" s="1"/>
  <c r="O110" i="2"/>
  <c r="M49" i="5" l="1"/>
  <c r="K48" i="5"/>
  <c r="L48" i="5" s="1"/>
  <c r="M50" i="5" l="1"/>
  <c r="K49" i="5"/>
  <c r="L49" i="5" s="1"/>
  <c r="M51" i="5" l="1"/>
  <c r="K50" i="5"/>
  <c r="L50" i="5" s="1"/>
  <c r="M52" i="5" l="1"/>
  <c r="K51" i="5"/>
  <c r="L51" i="5" s="1"/>
  <c r="M53" i="5" l="1"/>
  <c r="K52" i="5"/>
  <c r="L52" i="5" s="1"/>
  <c r="M54" i="5" l="1"/>
  <c r="K53" i="5"/>
  <c r="L53" i="5" s="1"/>
  <c r="M55" i="5" l="1"/>
  <c r="K54" i="5"/>
  <c r="L54" i="5" s="1"/>
  <c r="M56" i="5" l="1"/>
  <c r="K55" i="5"/>
  <c r="L55" i="5" s="1"/>
  <c r="M57" i="5" l="1"/>
  <c r="K56" i="5"/>
  <c r="L56" i="5" s="1"/>
  <c r="M58" i="5" l="1"/>
  <c r="K57" i="5"/>
  <c r="L57" i="5" s="1"/>
  <c r="M59" i="5" l="1"/>
  <c r="K58" i="5"/>
  <c r="L58" i="5" s="1"/>
  <c r="M60" i="5" l="1"/>
  <c r="K59" i="5"/>
  <c r="L59" i="5" s="1"/>
  <c r="M61" i="5" l="1"/>
  <c r="K60" i="5"/>
  <c r="L60" i="5" s="1"/>
  <c r="M62" i="5" l="1"/>
  <c r="K61" i="5"/>
  <c r="L61" i="5" s="1"/>
  <c r="M63" i="5" l="1"/>
  <c r="K62" i="5"/>
  <c r="L62" i="5" s="1"/>
  <c r="M64" i="5" l="1"/>
  <c r="K63" i="5"/>
  <c r="L63" i="5" s="1"/>
  <c r="M65" i="5" l="1"/>
  <c r="K64" i="5"/>
  <c r="L64" i="5" s="1"/>
  <c r="M66" i="5" l="1"/>
  <c r="K65" i="5"/>
  <c r="L65" i="5" s="1"/>
  <c r="M67" i="5" l="1"/>
  <c r="K66" i="5"/>
  <c r="L66" i="5" s="1"/>
  <c r="M68" i="5" l="1"/>
  <c r="K67" i="5"/>
  <c r="L67" i="5" s="1"/>
  <c r="M69" i="5" l="1"/>
  <c r="K68" i="5"/>
  <c r="L68" i="5" s="1"/>
  <c r="M70" i="5" l="1"/>
  <c r="K69" i="5"/>
  <c r="L69" i="5" s="1"/>
  <c r="M71" i="5" l="1"/>
  <c r="K70" i="5"/>
  <c r="L70" i="5" s="1"/>
  <c r="M72" i="5" l="1"/>
  <c r="K71" i="5"/>
  <c r="L71" i="5" s="1"/>
  <c r="M73" i="5" l="1"/>
  <c r="K72" i="5"/>
  <c r="L72" i="5" s="1"/>
  <c r="M74" i="5" l="1"/>
  <c r="K73" i="5"/>
  <c r="L73" i="5" s="1"/>
  <c r="M75" i="5" l="1"/>
  <c r="K74" i="5"/>
  <c r="L74" i="5" s="1"/>
  <c r="M76" i="5" l="1"/>
  <c r="K75" i="5"/>
  <c r="L75" i="5" s="1"/>
  <c r="M77" i="5" l="1"/>
  <c r="K76" i="5"/>
  <c r="L76" i="5" s="1"/>
  <c r="M78" i="5" l="1"/>
  <c r="K77" i="5"/>
  <c r="L77" i="5" s="1"/>
  <c r="M79" i="5" l="1"/>
  <c r="K78" i="5"/>
  <c r="L78" i="5" s="1"/>
  <c r="M80" i="5" l="1"/>
  <c r="K79" i="5"/>
  <c r="L79" i="5" s="1"/>
  <c r="M81" i="5" l="1"/>
  <c r="K80" i="5"/>
  <c r="L80" i="5" s="1"/>
  <c r="M82" i="5" l="1"/>
  <c r="K81" i="5"/>
  <c r="L81" i="5" s="1"/>
  <c r="M83" i="5" l="1"/>
  <c r="K82" i="5"/>
  <c r="L82" i="5" s="1"/>
  <c r="M84" i="5" l="1"/>
  <c r="K83" i="5"/>
  <c r="L83" i="5" s="1"/>
  <c r="M85" i="5" l="1"/>
  <c r="K84" i="5"/>
  <c r="L84" i="5" s="1"/>
  <c r="M86" i="5" l="1"/>
  <c r="K85" i="5"/>
  <c r="L85" i="5" s="1"/>
  <c r="M87" i="5" l="1"/>
  <c r="K86" i="5"/>
  <c r="L86" i="5" s="1"/>
  <c r="M88" i="5" l="1"/>
  <c r="K87" i="5"/>
  <c r="L87" i="5" s="1"/>
  <c r="M89" i="5" l="1"/>
  <c r="K88" i="5"/>
  <c r="L88" i="5" s="1"/>
  <c r="M90" i="5" l="1"/>
  <c r="K89" i="5"/>
  <c r="L89" i="5" s="1"/>
  <c r="M91" i="5" l="1"/>
  <c r="K90" i="5"/>
  <c r="L90" i="5" s="1"/>
  <c r="M92" i="5" l="1"/>
  <c r="K91" i="5"/>
  <c r="L91" i="5" s="1"/>
  <c r="M93" i="5" l="1"/>
  <c r="K92" i="5"/>
  <c r="L92" i="5" s="1"/>
  <c r="M94" i="5" l="1"/>
  <c r="K93" i="5"/>
  <c r="L93" i="5" s="1"/>
  <c r="M95" i="5" l="1"/>
  <c r="K94" i="5"/>
  <c r="L94" i="5" s="1"/>
  <c r="M96" i="5" l="1"/>
  <c r="K95" i="5"/>
  <c r="L95" i="5" s="1"/>
  <c r="M97" i="5" l="1"/>
  <c r="K96" i="5"/>
  <c r="L96" i="5" s="1"/>
  <c r="M98" i="5" l="1"/>
  <c r="K97" i="5"/>
  <c r="L97" i="5" s="1"/>
  <c r="M99" i="5" l="1"/>
  <c r="K98" i="5"/>
  <c r="L98" i="5" s="1"/>
  <c r="M100" i="5" l="1"/>
  <c r="K99" i="5"/>
  <c r="L99" i="5" s="1"/>
  <c r="M101" i="5" l="1"/>
  <c r="K100" i="5"/>
  <c r="L100" i="5" s="1"/>
  <c r="M102" i="5" l="1"/>
  <c r="K101" i="5"/>
  <c r="L101" i="5" s="1"/>
  <c r="M103" i="5" l="1"/>
  <c r="K102" i="5"/>
  <c r="L102" i="5" s="1"/>
  <c r="M104" i="5" l="1"/>
  <c r="K103" i="5"/>
  <c r="L103" i="5" s="1"/>
  <c r="M105" i="5" l="1"/>
  <c r="K104" i="5"/>
  <c r="L104" i="5" s="1"/>
  <c r="M106" i="5" l="1"/>
  <c r="K105" i="5"/>
  <c r="L105" i="5" s="1"/>
  <c r="M107" i="5" l="1"/>
  <c r="K106" i="5"/>
  <c r="L106" i="5" s="1"/>
  <c r="M108" i="5" l="1"/>
  <c r="K107" i="5"/>
  <c r="L107" i="5" s="1"/>
  <c r="M109" i="5" l="1"/>
  <c r="K108" i="5"/>
  <c r="L108" i="5" s="1"/>
  <c r="M110" i="5" l="1"/>
  <c r="K109" i="5"/>
  <c r="L109" i="5" s="1"/>
  <c r="M111" i="5" l="1"/>
  <c r="K110" i="5"/>
  <c r="L110" i="5" s="1"/>
  <c r="M112" i="5" l="1"/>
  <c r="K111" i="5"/>
  <c r="L111" i="5" s="1"/>
  <c r="M113" i="5" l="1"/>
  <c r="K112" i="5"/>
  <c r="L112" i="5" s="1"/>
  <c r="M114" i="5" l="1"/>
  <c r="K113" i="5"/>
  <c r="L113" i="5" s="1"/>
  <c r="M115" i="5" l="1"/>
  <c r="K115" i="5" s="1"/>
  <c r="K114" i="5"/>
  <c r="L114" i="5" s="1"/>
  <c r="K117" i="5" l="1"/>
  <c r="L115" i="5"/>
  <c r="L117" i="5" s="1"/>
</calcChain>
</file>

<file path=xl/sharedStrings.xml><?xml version="1.0" encoding="utf-8"?>
<sst xmlns="http://schemas.openxmlformats.org/spreadsheetml/2006/main" count="806" uniqueCount="382">
  <si>
    <t xml:space="preserve">                                                            GRAL. PAZ 83/85 Pº 2 "B" - AVELLANEDA -CP 1870</t>
  </si>
  <si>
    <t xml:space="preserve">ARIAS  </t>
  </si>
  <si>
    <t>ADMINISTRACION</t>
  </si>
  <si>
    <t>PERIODO</t>
  </si>
  <si>
    <t>PARCIAL</t>
  </si>
  <si>
    <t>TOTAL</t>
  </si>
  <si>
    <t xml:space="preserve">                                                            Contadora Pública Nacional - MIRTA ARIAS</t>
  </si>
  <si>
    <t xml:space="preserve">                                                            ATENCION: Lunes a Viernes de 15 a 19 Hs.</t>
  </si>
  <si>
    <t>PROPIETARIO</t>
  </si>
  <si>
    <t>PAGADO</t>
  </si>
  <si>
    <t>U.F.</t>
  </si>
  <si>
    <t>Coef.2 = UF4 +Cochera</t>
  </si>
  <si>
    <t>SALDO   A PAGAR</t>
  </si>
  <si>
    <t xml:space="preserve">ABONO Y REPARACION :ASCENSOR </t>
  </si>
  <si>
    <t xml:space="preserve">                                               MAIL: arias.mirta@gmail.com</t>
  </si>
  <si>
    <t>SUELDOS Y JORNALES</t>
  </si>
  <si>
    <t>REDONDEO</t>
  </si>
  <si>
    <t>TOTAL GASTOS ORDINARIOS</t>
  </si>
  <si>
    <t>ORDINARIAS</t>
  </si>
  <si>
    <t>IDENTIFICACION</t>
  </si>
  <si>
    <t xml:space="preserve"> </t>
  </si>
  <si>
    <t xml:space="preserve"> GASTOS PARTICULARES</t>
  </si>
  <si>
    <t>Datos de la Cuenta Bancaria</t>
  </si>
  <si>
    <t>Nº</t>
  </si>
  <si>
    <t>CBU</t>
  </si>
  <si>
    <t>CUIT</t>
  </si>
  <si>
    <t>SE INFORMA NUEVA CUENTA Y CBU DEL SANTANDER RIO</t>
  </si>
  <si>
    <t>CARGAS SOCIALES</t>
  </si>
  <si>
    <t>SEGUROS</t>
  </si>
  <si>
    <t>INTERESES</t>
  </si>
  <si>
    <t>INTERESES CORRESPONDIENTES.</t>
  </si>
  <si>
    <t>NO SE OLVIDEN DE ENVIAR EL PAGO DE SUS EXPENSAS A arias.mirta@gmail.com</t>
  </si>
  <si>
    <t>SE LES INFORMA ADEMAS, QUE DE ABONAR CON CHEQUE, HASTA SU ACREDITACION NO SERA CONSIDERADA LA EX</t>
  </si>
  <si>
    <t>PENSA COMO PAGA, Y SE COBRARAN INTERESES, SI ESTA FUERA DE LA FECHA INDICADA.</t>
  </si>
  <si>
    <t>SINO PUEDEN CONCURRIR AL BANCO, PUEDEN HACER TRANSFERENCIA CON LOS DATOS QUE FIGURAN EN LA RENDI-</t>
  </si>
  <si>
    <t>CION.</t>
  </si>
  <si>
    <t>SE INICIARAN LOS JUICIOS CORRESPONDIENTES A AQUELLOS QUE DEBAN MAS DE TRES EXPENSAS.</t>
  </si>
  <si>
    <t>TOTAL GASTOS ORDINARIOS, EXTRAORDINARIOS Y PARTICULARES</t>
  </si>
  <si>
    <t xml:space="preserve">  </t>
  </si>
  <si>
    <t>FONDO DE RESERVA</t>
  </si>
  <si>
    <t xml:space="preserve">                                                            TEL/FAX : 11-77133724 O CEL. 112163-9226</t>
  </si>
  <si>
    <t>EXTRAORDINARIAS</t>
  </si>
  <si>
    <t xml:space="preserve">REPARACIONES DEL EDIFICIO </t>
  </si>
  <si>
    <t>EXPENSAS %A Ordinaria</t>
  </si>
  <si>
    <t>Gastos Particulares</t>
  </si>
  <si>
    <t>SE LES COMUNICA QUE LA EXPENSAS VENCEN DEL 1 AL 10 DE CADA MES, Y DESPUES DE ESA FECHA SE APLICARAN LOS</t>
  </si>
  <si>
    <t>BANCO CREDICOOP</t>
  </si>
  <si>
    <t>DIAS DE MUDANZA LUNES A SABADO DE 8 A 12 HORAS.</t>
  </si>
  <si>
    <t>NO SE PUEDEN EFECTUAR RUIDOS MOLESTOS DE 22 A 8 HORAS Y DE 12 A 16 HORAS.</t>
  </si>
  <si>
    <t>CONS. DE PROP. ITALIA 2156</t>
  </si>
  <si>
    <t>Encargado Perm. s/viv. - Categoría tercera</t>
  </si>
  <si>
    <t>Sueldo Básico</t>
  </si>
  <si>
    <t>Antigüedad (26 años)</t>
  </si>
  <si>
    <t>Retiro de residuos (89 unidades)</t>
  </si>
  <si>
    <t>Redondeo</t>
  </si>
  <si>
    <t>11% Jubilación</t>
  </si>
  <si>
    <t>3% Ley 19032</t>
  </si>
  <si>
    <t>3% Obra Social</t>
  </si>
  <si>
    <t>2% Sindicato</t>
  </si>
  <si>
    <t>1% Caja Protección a la Familia</t>
  </si>
  <si>
    <t>1% Art. 27 FMVD y D</t>
  </si>
  <si>
    <t>0,75% Art. 27 Bis - Seguro de Vida Entera</t>
  </si>
  <si>
    <t>2% Art. 19 Bis - Fondo Educativo</t>
  </si>
  <si>
    <t>Contribuciones de Seguridad Social</t>
  </si>
  <si>
    <t>Aportes de Seguridad Social</t>
  </si>
  <si>
    <t>Contribuciones Obra Social</t>
  </si>
  <si>
    <t>Aportes Obra Social</t>
  </si>
  <si>
    <t>L.R.T.</t>
  </si>
  <si>
    <t>Seguro de Vida Colectivo</t>
  </si>
  <si>
    <t>ABONOS</t>
  </si>
  <si>
    <t xml:space="preserve">F. </t>
  </si>
  <si>
    <t>Uadel S.R.L. - Servicio de Limpieza Integral Diaria - Domingos y Feriados</t>
  </si>
  <si>
    <t xml:space="preserve">HONORARIOS ADMINISTRACION </t>
  </si>
  <si>
    <t>SERVICIOS</t>
  </si>
  <si>
    <t>Edesur S.A. - Cta. 0487380 - Medidor 000107045 - Período    - Bimestre</t>
  </si>
  <si>
    <t xml:space="preserve">Edesur S.A. - Cta. 01295184 - Medidor 005210268 - Período     - F. </t>
  </si>
  <si>
    <t>GASTOS VARIOS</t>
  </si>
  <si>
    <t xml:space="preserve">GASTOS BANCARIOS </t>
  </si>
  <si>
    <t xml:space="preserve">Banco Roela S.A. </t>
  </si>
  <si>
    <t xml:space="preserve">Banco Credicoop Cooperativo Ltdo. </t>
  </si>
  <si>
    <t xml:space="preserve">Allianz Arg. Cía. De Seguros - Seguro Integral del Edificio - Póliza Nro. </t>
  </si>
  <si>
    <t>230230731426 - Vigencia 12 hs. Del 1/12/23 a 12 hs. 1/12/24 - Cuota</t>
  </si>
  <si>
    <t xml:space="preserve">Allianz Arg. Cía. De Seguros - Seguro Combinado Familiar - Póliza Nro. </t>
  </si>
  <si>
    <t>240150822164 - Vigencia 12 hs. 9/5/24 a 12 hs. 9/5/25 - Cuota 6/12</t>
  </si>
  <si>
    <t>TOTAL GASTOS EXTRAORDINARIOS</t>
  </si>
  <si>
    <t xml:space="preserve">ESTADO PATRIMONIAL </t>
  </si>
  <si>
    <t>Ingresos</t>
  </si>
  <si>
    <t>Egresos</t>
  </si>
  <si>
    <t>Saldo Anterior</t>
  </si>
  <si>
    <t>Cobrado por expensas</t>
  </si>
  <si>
    <t>Egresos por gastos del mes</t>
  </si>
  <si>
    <t>Saldo al Cierre</t>
  </si>
  <si>
    <t xml:space="preserve">Saldo Anterior </t>
  </si>
  <si>
    <t>Depósitos y transferencias</t>
  </si>
  <si>
    <t>Transferencias y cheques</t>
  </si>
  <si>
    <t xml:space="preserve">Gastos Bancarios </t>
  </si>
  <si>
    <t xml:space="preserve">Caja </t>
  </si>
  <si>
    <t xml:space="preserve">Saldo Anterior                                                   </t>
  </si>
  <si>
    <t>Pagos en efectivo</t>
  </si>
  <si>
    <t>Según lo dispuesto por el Reglamento de Copropiedad y lo publicado por las Camaras de Propiedad Inmueble se apli-</t>
  </si>
  <si>
    <t>can las escalas de aumento de honorarios para el presente período.</t>
  </si>
  <si>
    <t>CONSORCIO DE PROPIETARIOS FINCA CALLE ITALIA 2156</t>
  </si>
  <si>
    <t>Cuenta Bancaria Credicoop Cooperativo Ltado.</t>
  </si>
  <si>
    <t>Identificación de la cuenta</t>
  </si>
  <si>
    <t>CBU:</t>
  </si>
  <si>
    <t>CUIT DEL TITULAR: 30-56229064-4</t>
  </si>
  <si>
    <t>Cuenta Bancaria Roela SA</t>
  </si>
  <si>
    <t>JUICIOS</t>
  </si>
  <si>
    <t xml:space="preserve">Consorcio de Propietarios Edificio Italia 2156 Avellaneda con Martino Celestino Pacual Lorenzo y otro sobre Cobro Eje- </t>
  </si>
  <si>
    <t>cutivo de Expensas - Causa Nro. 11638 - Juzgado Civil y Comercial Nro. 1 de Avellaneda</t>
  </si>
  <si>
    <t>Afip con Consorcio de Propietarios Italia 2156 - Oficio 9060058 - Expte. 8481/2020 - Importe $ 14107,14 - Juzgado Fede-</t>
  </si>
  <si>
    <t>ral de 1ra. Instancia de Quilmes - Secretaría Nro. 7</t>
  </si>
  <si>
    <t>Nómina de Proveedores</t>
  </si>
  <si>
    <t>Mirta Arias - Gral. Paz 85 Piso 2 Dto. B -Avellaneda - CUIT 27-10588491-0</t>
  </si>
  <si>
    <t>Edesur SA - San José 140 Piso 5 Dto. 513 -CABA - CUIT 30-65511651-2</t>
  </si>
  <si>
    <t>Aysa SA - Tucumán 752 Piso 20 - CABA - CUIT 30-70956507-5</t>
  </si>
  <si>
    <t>Banco Roela SA - Rosario de Santa Fe 275 - Barrio Centro Sur 5000 - Córdoba - CUIT 30-53561044-0</t>
  </si>
  <si>
    <t>Banco Credicoop Cooperativo Ltdo. - Reconquista 484 - CABA - CUIT 30-57142135-2</t>
  </si>
  <si>
    <t>AFIP - Defensa 192 - CABA - CUIT 33-69345023-9</t>
  </si>
  <si>
    <t>Input Control de Mtz Seguridad SRL - Av. Fleming 2347- Martínez - Bs. As. - CUIT 30-71470338-9</t>
  </si>
  <si>
    <t>Allianz Arg. Cía. De Seguros SA - Av. Corrientes 299 - CABA - CUIT 30-50003721-7</t>
  </si>
  <si>
    <t>Metrogas SA - Gral. Gregorio Araoz de Lamadrid 1360 - CABA - CUIT 30-65786367-6</t>
  </si>
  <si>
    <t>Mariana Lorena Ferreiro - Av. Belgrano 495 - Avellaneda - CUIT 27-26023414-0</t>
  </si>
  <si>
    <t>Destapaciones Roman de Michalyk Román Ariel - Warnes 1590 - Lanús - CUIT 20-29041504-8</t>
  </si>
  <si>
    <t>CONSORCIO DE PROPIETARIOS ITALIA 2156</t>
  </si>
  <si>
    <t xml:space="preserve">Aumento de encargados </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</si>
  <si>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</si>
  <si>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</si>
  <si>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</si>
  <si>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</si>
  <si>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</si>
  <si>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</si>
  <si>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</si>
  <si>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</si>
  <si>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</si>
  <si>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</si>
  <si>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</si>
  <si>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</si>
  <si>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</si>
  <si>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</si>
  <si>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</si>
  <si>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</si>
  <si>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</si>
  <si>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</si>
  <si>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</si>
  <si>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</si>
  <si>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</si>
  <si>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3 C DESTEFANO ABUD</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</si>
  <si>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</si>
  <si>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</si>
  <si>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</si>
  <si>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</si>
  <si>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</si>
  <si>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</si>
  <si>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</si>
  <si>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</si>
  <si>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</si>
  <si>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</si>
  <si>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</si>
  <si>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</si>
  <si>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</si>
  <si>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</si>
  <si>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</si>
  <si>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</si>
  <si>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</si>
  <si>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</si>
  <si>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</si>
  <si>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</si>
  <si>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</si>
  <si>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E LEVY JORGE OSVALDO</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</si>
  <si>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</si>
  <si>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</si>
  <si>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</si>
  <si>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</si>
  <si>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</si>
  <si>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</si>
  <si>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</si>
  <si>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</si>
  <si>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</si>
  <si>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</si>
  <si>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</si>
  <si>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</si>
  <si>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</si>
  <si>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</si>
  <si>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</si>
  <si>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</si>
  <si>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</si>
  <si>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</si>
  <si>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</si>
  <si>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</si>
  <si>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</si>
  <si>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</si>
  <si>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</si>
  <si>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</si>
  <si>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</si>
  <si>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</si>
  <si>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</si>
  <si>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</si>
  <si>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</si>
  <si>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</si>
  <si>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</si>
  <si>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</si>
  <si>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</si>
  <si>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D ANTUNEZ RUBEN</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</si>
  <si>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</si>
  <si>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</si>
  <si>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</si>
  <si>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</si>
  <si>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</si>
  <si>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</si>
  <si>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</si>
  <si>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</si>
  <si>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</si>
  <si>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</si>
  <si>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</si>
  <si>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</si>
  <si>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</si>
  <si>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</si>
  <si>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</si>
  <si>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E COCHERA D. XHARDEZ MARCELO</t>
  </si>
  <si>
    <t>4 B COCHERA FRIDMAN J. Y SRA.</t>
  </si>
  <si>
    <t>3 B COCHERA WASZNIEWSKI G.</t>
  </si>
  <si>
    <t>7 B COCHERA C. GASCON P. V.</t>
  </si>
  <si>
    <t>2 G COCHERA MENDEZ JORGE O.</t>
  </si>
  <si>
    <t>2 C COCHERA J. ALEJO HORACIO</t>
  </si>
  <si>
    <t>1 E COCHERA H. BAZAN JOSE</t>
  </si>
  <si>
    <t xml:space="preserve">PB D COCHERA M. XHARDEZ MARCELO </t>
  </si>
  <si>
    <t>Coef.   A</t>
  </si>
  <si>
    <t>Coef. B</t>
  </si>
  <si>
    <t>Suscripción al Períodico Acción</t>
  </si>
  <si>
    <t>Municipalidad Avellaneda - Impuesto Motores - Cuota 2/2</t>
  </si>
  <si>
    <t>Edesur S.A. - Cta. 03024290 - Medidor 007613287 - Período 22/8/24  al</t>
  </si>
  <si>
    <t>21/10/24 - F. 050137406257</t>
  </si>
  <si>
    <t>Metrogas S.A. - Cta. 020065934100 - Período          - F. 0200659341100</t>
  </si>
  <si>
    <t>Ingresos no identificados</t>
  </si>
  <si>
    <t>117411,-</t>
  </si>
  <si>
    <t>117415,-</t>
  </si>
  <si>
    <t>117412,-</t>
  </si>
  <si>
    <t>44500,-</t>
  </si>
  <si>
    <t>118000,-</t>
  </si>
  <si>
    <t>514738,-</t>
  </si>
  <si>
    <t>Número de Cuenta: Cta. Cte. $ 191-054-034938/2</t>
  </si>
  <si>
    <t>Número de Cuenta: 0000020193/2</t>
  </si>
  <si>
    <t xml:space="preserve">Identificación de la cuenta: </t>
  </si>
  <si>
    <t>: 2470001810000002019324</t>
  </si>
  <si>
    <t>CC $ 191-054-0349938/2</t>
  </si>
  <si>
    <t>1910054455005403493828</t>
  </si>
  <si>
    <t>30-56229064-4</t>
  </si>
  <si>
    <t>Cesar Alberto Britez - CUIL 20-23524002-6 - Mes 12/2024</t>
  </si>
  <si>
    <t>6 C LEOBONO MIRIAM G,</t>
  </si>
  <si>
    <t>Depósito filial piñeyro</t>
  </si>
  <si>
    <t>Banco Credicoop</t>
  </si>
  <si>
    <t>Banco Roela</t>
  </si>
  <si>
    <t>:  1910054455005403493828</t>
  </si>
  <si>
    <t>Ascensores Andes SRL -</t>
  </si>
  <si>
    <t>Vacaciones (28 días)</t>
  </si>
  <si>
    <t>Descuento Días Vacaciones (28 días)</t>
  </si>
  <si>
    <t>AFIP - Plan de Facilidades de Pago - Cuota 32/60</t>
  </si>
  <si>
    <t>AFIP - Plan de Facilidades de Pago - Cuota 51/53</t>
  </si>
  <si>
    <t>Suterh - 1/2025</t>
  </si>
  <si>
    <t>Fateryh - 1/2025</t>
  </si>
  <si>
    <t>Seracarh - 1/2025</t>
  </si>
  <si>
    <t>Suplencia Yesica Sara Gonzalez</t>
  </si>
  <si>
    <t>Abono ascensor 2/25 - Andes Elevadores - F. 0004-00008676</t>
  </si>
  <si>
    <t xml:space="preserve">Reparación en ascensor 3: provisión y colocación de un patín retractil </t>
  </si>
  <si>
    <t>completo por rotura del existente - F. 0004-00008751</t>
  </si>
  <si>
    <t xml:space="preserve">Reparación en ascensor 3: provisión y colocación de nueva cerradura </t>
  </si>
  <si>
    <t>de piso por rotura de la existente</t>
  </si>
  <si>
    <t xml:space="preserve">Mariana Lorena Ferreiro - Honorarios Profesionales - Mes 2/25 - F. </t>
  </si>
  <si>
    <t>00006-00000156</t>
  </si>
  <si>
    <t>Período 1/2025 - F. 0003-0000</t>
  </si>
  <si>
    <t>Honorarios Administración Arias Mirta - Mes  1 /2 - F. 0004-000001</t>
  </si>
  <si>
    <t>Aysa S.A. - Cta. Servicios 3479114 - Período  - F. 0110B49968482</t>
  </si>
  <si>
    <t xml:space="preserve">A RECAUDAR  MES DE MARZO 2025 :  $ </t>
  </si>
  <si>
    <t>Ingreso SIN IDENTIFICAR</t>
  </si>
  <si>
    <t>Honorarios a cobrar</t>
  </si>
  <si>
    <t>TO, O INFORMAR POR MAIL EL PAGO DE LA EXPENSA INDICANDO EL PISO,</t>
  </si>
  <si>
    <t>DEPARTAMENTO E IMPORTE ABONADO, GRACIAS,</t>
  </si>
  <si>
    <t>IMPORTANTE ABONAR CON LOS CENTAVOS IDENTIFICA EL DEPARTAMEN-</t>
  </si>
  <si>
    <t>arias.mirta@gmail.com</t>
  </si>
  <si>
    <t>Mendez Evangelina</t>
  </si>
  <si>
    <t>Alan G. Lares</t>
  </si>
  <si>
    <t>LIQUIDACION DE EXPENSAS</t>
  </si>
  <si>
    <t>ADMINISTRADORA: CAROLINA CANCIANI MP:1148</t>
  </si>
  <si>
    <t>PERÍODO: DICIEMBRE</t>
  </si>
  <si>
    <t>HORARIOS DE ATENCION: LUNES A VIERNES</t>
  </si>
  <si>
    <t>10 A 16HS - EMERGENCIAS 24HS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</si>
  <si>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</si>
  <si>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</si>
  <si>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</si>
  <si>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</si>
  <si>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</si>
  <si>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</si>
  <si>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</si>
  <si>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Metrogas</t>
  </si>
  <si>
    <t>AySa</t>
  </si>
  <si>
    <t>Servicio de interet Claro</t>
  </si>
  <si>
    <t>TOTAL ABONOS Y SERVICIOS</t>
  </si>
  <si>
    <t>HONORARIOS</t>
  </si>
  <si>
    <t>Honorarios administracion</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</si>
  <si>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</si>
  <si>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</si>
  <si>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</si>
  <si>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</si>
  <si>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</si>
  <si>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</si>
  <si>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</si>
  <si>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</si>
  <si>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</si>
  <si>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</si>
  <si>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</si>
  <si>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</si>
  <si>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</si>
  <si>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</si>
  <si>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</si>
  <si>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</si>
  <si>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</si>
  <si>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</si>
  <si>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</si>
  <si>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</si>
  <si>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</si>
  <si>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</si>
  <si>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</si>
  <si>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</si>
  <si>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</si>
  <si>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</si>
  <si>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</si>
  <si>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</si>
  <si>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</si>
  <si>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</si>
  <si>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</si>
  <si>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Abono ascensor - Andes Elevadores - Mantenimiento</t>
  </si>
  <si>
    <t>Allianz Arg. Cía. De Seguros - Seguro Integral del Edificio - Póliza Nro. 230230731426</t>
  </si>
  <si>
    <t>Allianz Arg. Cía. De Seguros - Seguro Combinado Familiar - Póliza Nro.  240150822164</t>
  </si>
  <si>
    <t>Gustavo Padron -  Sr. Contador</t>
  </si>
  <si>
    <t xml:space="preserve">Egresos del mes </t>
  </si>
  <si>
    <t>TOTAL GASTOS B</t>
  </si>
  <si>
    <t xml:space="preserve">MAIL: italia2156rc@gmail.com
</t>
  </si>
  <si>
    <t>NÚMERO DE CUENTA: Cta. Cte. $ 191-054-034938/2 - BANCO CREDICOP - CBU : 1910054455005403493828</t>
  </si>
  <si>
    <t>CUIT DEL EDIFICIO: 30-56229064-4</t>
  </si>
  <si>
    <t>CUIT ADMINISTRACION:  27-23125687-9</t>
  </si>
  <si>
    <t>VTO 16/01</t>
  </si>
  <si>
    <t>Debito ROELA 05-12</t>
  </si>
  <si>
    <t>Debito ROELA 10-12</t>
  </si>
  <si>
    <t>Debito ROELA 29-12</t>
  </si>
  <si>
    <t>Mantenimiento de cuenta - Banco ROELA</t>
  </si>
  <si>
    <t>Gastos bancarios - ROELA</t>
  </si>
  <si>
    <t>Mantenimiento de cuenta - Banco Credicop</t>
  </si>
  <si>
    <t>Gastos bancarios - Credicop</t>
  </si>
  <si>
    <t>Debito 12-12 Cred.</t>
  </si>
  <si>
    <t>Transf 05-12 Cred.</t>
  </si>
  <si>
    <t>ARCA VEP</t>
  </si>
  <si>
    <t>Debito 03-12 Cred.</t>
  </si>
  <si>
    <t>ARCA - Plan de pago - Cuota 41/60</t>
  </si>
  <si>
    <t>Municipalidad de avellaneda</t>
  </si>
  <si>
    <t xml:space="preserve">26/12 - Transferencia Maria E Lorenzo </t>
  </si>
  <si>
    <t>26/12 - Transferecia Arancibia Maria Alejandra</t>
  </si>
  <si>
    <t>Silvana Valeria Arredondo</t>
  </si>
  <si>
    <t>18/12 - Transferencia Farruggia Juan Ignacio</t>
  </si>
  <si>
    <t>Deposita  - Angelica Kuziemski</t>
  </si>
  <si>
    <t>Cartegena Silvia jaqueline</t>
  </si>
  <si>
    <t>Olivera Martin Sebastian</t>
  </si>
  <si>
    <t>15/12 - Transferencia Taiel Alejandro Biscarra</t>
  </si>
  <si>
    <t>Matias Ragmilevich</t>
  </si>
  <si>
    <t>09/12 - Deposito ensobrado</t>
  </si>
  <si>
    <t>Tiene la cochera uf 100</t>
  </si>
  <si>
    <t>Paola Massielainy</t>
  </si>
  <si>
    <t>09/12 - Transferencia Dominga Virginia Ortiz</t>
  </si>
  <si>
    <t>QUIENES ESTAN COLOREADOS DE COLOR VIOLETA NO ESTAN RESPETANDO LOS CENTAVOS AL ABONAR</t>
  </si>
  <si>
    <t>Sra. Laura - Reemplazo enfermedad del Sr. Encargado</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</si>
  <si>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</si>
  <si>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</si>
  <si>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Efectivo</t>
  </si>
  <si>
    <t>Ingreso efectivo - Cuota 2/24 - Plan de pagos 3A</t>
  </si>
  <si>
    <t>Sueldo pendiente a pasar en Ener0 2026</t>
  </si>
  <si>
    <t>Sueldo transferido por Sra. Mabel el dia 05/12</t>
  </si>
  <si>
    <t>Sueldo transferido por Sra. Jesica el dia 02/12</t>
  </si>
  <si>
    <t>Deposito en efectivo a cuenta del sueldo realizado por la administracion entrante para el Sr. Cesar</t>
  </si>
  <si>
    <t>Seguro Sr. Lucas- Reemplazante Sr. Cesar</t>
  </si>
  <si>
    <t>SALDO REAL RECIBIDO - BANCO ROELA - CREDICOP Y EFECTIVO</t>
  </si>
  <si>
    <t xml:space="preserve">CAJA DE BANCOS </t>
  </si>
  <si>
    <t>DURANTE EL MES SE CIERRA LA CUENTA DEL ROELA, DEPOSITOS SOLO EN EL CREDICOP PORFAVOR!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</si>
</sst>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4" formatCode="_-&quot;$&quot;\ * #,##0.00_-;\-&quot;$&quot;\ * #,##0.00_-;_-&quot;$&quot;\ * &quot;-&quot;??_-;_-@_-"/>
    <numFmt numFmtId="43" formatCode="_-* #,##0.00_-;\-* #,##0.00_-;_-* &quot;-&quot;??_-;_-@_-"/>
    <numFmt numFmtId="164" formatCode="mmm\-yyyy"/>
    <numFmt numFmtId="165" formatCode="0.0000"/>
    <numFmt numFmtId="166" formatCode="#,##0.0000"/>
    <numFmt numFmtId="167" formatCode="_-&quot;$&quot;\ * #,##0.0_-;\-&quot;$&quot;\ * #,##0.0_-;_-&quot;$&quot;\ * &quot;-&quot;??_-;_-@_-"/>
    <numFmt numFmtId="168" formatCode="_-[$$-2C0A]\ * #,##0.0_-;\-[$$-2C0A]\ * #,##0.0_-;_-[$$-2C0A]\ * &quot;-&quot;??_-;_-@_-"/>
    <numFmt numFmtId="169" formatCode="_-[$$-2C0A]\ * #,##0.00_-;\-[$$-2C0A]\ * #,##0.00_-;_-[$$-2C0A]\ * &quot;-&quot;??_-;_-@_-"/>
    <numFmt numFmtId="170" formatCode="_-&quot;$&quot;\ * #,##0_-;\-&quot;$&quot;\ * #,##0_-;_-&quot;$&quot;\ * &quot;-&quot;??_-;_-@_-"/>
    <numFmt numFmtId="171" formatCode="0.000"/>
  </numFmts>
  <fonts count="33" x14ac:knownFonts="1">
    <font>
      <sz val="11"/>
      <color theme="1"/>
      <name val="Calibri"/>
      <family val="2"/>
      <scheme val="minor"/>
    </font>
    <font>
      <b/>
      <sz val="11"/>
      <color theme="1"/>
      <name val="Calibri"/>
      <family val="2"/>
      <scheme val="minor"/>
    </font>
    <font>
      <sz val="7"/>
      <color theme="1"/>
      <name val="Calibri"/>
      <family val="2"/>
      <scheme val="minor"/>
    </font>
    <font>
      <b/>
      <sz val="7"/>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b/>
      <sz val="14"/>
      <color theme="1"/>
      <name val="Calibri"/>
      <family val="2"/>
      <scheme val="minor"/>
    </font>
    <font>
      <b/>
      <sz val="14"/>
      <color theme="1"/>
      <name val="Brush Script MT"/>
      <family val="4"/>
    </font>
    <font>
      <b/>
      <sz val="11"/>
      <color theme="1"/>
      <name val="Brush Script MT"/>
      <family val="4"/>
    </font>
    <font>
      <b/>
      <sz val="12"/>
      <color theme="1"/>
      <name val="Calibri"/>
      <family val="2"/>
      <scheme val="minor"/>
    </font>
    <font>
      <b/>
      <sz val="8"/>
      <color theme="1"/>
      <name val="Calibri"/>
      <family val="2"/>
      <scheme val="minor"/>
    </font>
    <font>
      <sz val="14"/>
      <color theme="1"/>
      <name val="Calibri"/>
      <family val="2"/>
      <scheme val="minor"/>
    </font>
    <font>
      <b/>
      <u/>
      <sz val="11"/>
      <color theme="1"/>
      <name val="Calibri"/>
      <family val="2"/>
      <scheme val="minor"/>
    </font>
    <font>
      <b/>
      <sz val="18"/>
      <color theme="1"/>
      <name val="Calibri"/>
      <family val="2"/>
      <scheme val="minor"/>
    </font>
    <font>
      <u/>
      <sz val="11"/>
      <color theme="10"/>
      <name val="Calibri"/>
      <family val="2"/>
    </font>
    <font>
      <b/>
      <u/>
      <sz val="18"/>
      <color theme="10"/>
      <name val="Calibri"/>
      <family val="2"/>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b/>
      <i/>
      <u/>
      <sz val="10"/>
      <color theme="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s>
  <borders count="44">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0" fontId="15" fillId="0" borderId="0" applyNumberFormat="0" applyFill="0" applyBorder="0" applyAlignment="0" applyProtection="0">
      <alignment vertical="top"/>
      <protection locked="0"/>
    </xf>
    <xf numFmtId="44" fontId="17" fillId="0" borderId="0" applyFont="0" applyFill="0" applyBorder="0" applyAlignment="0" applyProtection="0"/>
  </cellStyleXfs>
  <cellXfs count="352">
    <xf numFmtId="0" fontId="0" fillId="0" borderId="0" xfId="0"/>
    <xf numFmtId="0" fontId="2" fillId="0" borderId="0" xfId="0" applyFont="1"/>
    <xf numFmtId="0" fontId="0" fillId="0" borderId="0" xfId="0"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3" fillId="0" borderId="0" xfId="0" applyFont="1"/>
    <xf numFmtId="0" fontId="1" fillId="0" borderId="0" xfId="0" applyFont="1"/>
    <xf numFmtId="4" fontId="0" fillId="0" borderId="6" xfId="0" applyNumberFormat="1" applyBorder="1"/>
    <xf numFmtId="4" fontId="0" fillId="0" borderId="7" xfId="0" applyNumberFormat="1" applyBorder="1"/>
    <xf numFmtId="4" fontId="0" fillId="0" borderId="0" xfId="0" applyNumberFormat="1"/>
    <xf numFmtId="4" fontId="0" fillId="0" borderId="3" xfId="0" applyNumberFormat="1" applyBorder="1"/>
    <xf numFmtId="4" fontId="0" fillId="0" borderId="5" xfId="0" applyNumberFormat="1" applyBorder="1"/>
    <xf numFmtId="0" fontId="5" fillId="0" borderId="5" xfId="0" applyFont="1" applyBorder="1" applyAlignment="1">
      <alignment horizontal="center" vertical="distributed"/>
    </xf>
    <xf numFmtId="0" fontId="5" fillId="0" borderId="12" xfId="0" applyFont="1" applyBorder="1" applyAlignment="1">
      <alignment horizontal="center" vertical="distributed"/>
    </xf>
    <xf numFmtId="4" fontId="1" fillId="0" borderId="1" xfId="0" applyNumberFormat="1" applyFont="1" applyBorder="1"/>
    <xf numFmtId="0" fontId="5" fillId="0" borderId="15" xfId="0" applyFont="1" applyBorder="1" applyAlignment="1">
      <alignment horizontal="center" vertical="center"/>
    </xf>
    <xf numFmtId="0" fontId="5" fillId="0" borderId="1" xfId="0" applyFont="1" applyBorder="1" applyAlignment="1">
      <alignment horizontal="center" vertical="center"/>
    </xf>
    <xf numFmtId="0" fontId="0" fillId="0" borderId="14" xfId="0" applyBorder="1" applyAlignment="1">
      <alignment horizontal="center"/>
    </xf>
    <xf numFmtId="4" fontId="0" fillId="0" borderId="11" xfId="0" applyNumberFormat="1" applyBorder="1" applyAlignment="1">
      <alignment horizontal="right"/>
    </xf>
    <xf numFmtId="165" fontId="0" fillId="0" borderId="11" xfId="0" applyNumberFormat="1" applyBorder="1"/>
    <xf numFmtId="0" fontId="5" fillId="0" borderId="15" xfId="0" applyFont="1" applyBorder="1" applyAlignment="1">
      <alignment horizontal="center" vertical="distributed"/>
    </xf>
    <xf numFmtId="0" fontId="6" fillId="0" borderId="11" xfId="0" applyFont="1" applyBorder="1"/>
    <xf numFmtId="4" fontId="0" fillId="0" borderId="11" xfId="0" applyNumberFormat="1" applyBorder="1"/>
    <xf numFmtId="4" fontId="2" fillId="0" borderId="0" xfId="0" applyNumberFormat="1" applyFont="1"/>
    <xf numFmtId="4" fontId="1" fillId="0" borderId="8" xfId="0" applyNumberFormat="1" applyFont="1" applyBorder="1" applyAlignment="1">
      <alignment horizontal="center"/>
    </xf>
    <xf numFmtId="0" fontId="1" fillId="0" borderId="0" xfId="0" applyFont="1" applyAlignment="1">
      <alignment horizontal="left"/>
    </xf>
    <xf numFmtId="49" fontId="1" fillId="0" borderId="0" xfId="0" applyNumberFormat="1" applyFont="1" applyAlignment="1">
      <alignment horizontal="left"/>
    </xf>
    <xf numFmtId="0" fontId="9" fillId="0" borderId="0" xfId="0" applyFont="1"/>
    <xf numFmtId="4" fontId="1" fillId="0" borderId="1" xfId="0" applyNumberFormat="1" applyFont="1" applyBorder="1" applyAlignment="1">
      <alignment horizontal="center"/>
    </xf>
    <xf numFmtId="0" fontId="5" fillId="0" borderId="0" xfId="0" applyFont="1" applyAlignment="1">
      <alignment horizontal="center" vertical="distributed"/>
    </xf>
    <xf numFmtId="0" fontId="6" fillId="0" borderId="0" xfId="0" applyFont="1"/>
    <xf numFmtId="165" fontId="0" fillId="0" borderId="0" xfId="0" applyNumberFormat="1"/>
    <xf numFmtId="4" fontId="0" fillId="0" borderId="0" xfId="0" applyNumberFormat="1" applyAlignment="1">
      <alignment horizontal="right"/>
    </xf>
    <xf numFmtId="4" fontId="1" fillId="0" borderId="0" xfId="0" applyNumberFormat="1" applyFont="1"/>
    <xf numFmtId="0" fontId="5" fillId="0" borderId="0" xfId="0" applyFont="1" applyAlignment="1">
      <alignment horizontal="center" vertical="center"/>
    </xf>
    <xf numFmtId="0" fontId="4" fillId="0" borderId="0" xfId="0" applyFont="1"/>
    <xf numFmtId="165" fontId="1" fillId="0" borderId="0" xfId="0" applyNumberFormat="1" applyFont="1"/>
    <xf numFmtId="0" fontId="7" fillId="0" borderId="0" xfId="0" applyFont="1"/>
    <xf numFmtId="0" fontId="10" fillId="0" borderId="1" xfId="0" applyFont="1" applyBorder="1" applyAlignment="1">
      <alignment horizontal="center"/>
    </xf>
    <xf numFmtId="164" fontId="10" fillId="0" borderId="1" xfId="0" applyNumberFormat="1" applyFont="1" applyBorder="1" applyAlignment="1">
      <alignment horizontal="center"/>
    </xf>
    <xf numFmtId="0" fontId="6" fillId="0" borderId="11" xfId="0" applyFont="1" applyBorder="1" applyAlignment="1">
      <alignment horizontal="left"/>
    </xf>
    <xf numFmtId="0" fontId="5" fillId="0" borderId="19" xfId="0" applyFont="1" applyBorder="1" applyAlignment="1">
      <alignment horizontal="center" vertical="distributed"/>
    </xf>
    <xf numFmtId="0" fontId="11" fillId="0" borderId="0" xfId="0" applyFont="1" applyAlignment="1">
      <alignment horizontal="center"/>
    </xf>
    <xf numFmtId="0" fontId="0" fillId="0" borderId="2" xfId="0" applyBorder="1"/>
    <xf numFmtId="0" fontId="1" fillId="0" borderId="13" xfId="0" applyFont="1" applyBorder="1"/>
    <xf numFmtId="0" fontId="0" fillId="0" borderId="16" xfId="0" applyBorder="1" applyAlignment="1">
      <alignment horizontal="center"/>
    </xf>
    <xf numFmtId="0" fontId="6" fillId="0" borderId="17" xfId="0" applyFont="1" applyBorder="1"/>
    <xf numFmtId="165" fontId="0" fillId="0" borderId="17" xfId="0" applyNumberFormat="1" applyBorder="1"/>
    <xf numFmtId="4" fontId="0" fillId="0" borderId="17" xfId="0" applyNumberFormat="1" applyBorder="1" applyAlignment="1">
      <alignment horizontal="right"/>
    </xf>
    <xf numFmtId="4" fontId="0" fillId="0" borderId="12" xfId="0" applyNumberFormat="1" applyBorder="1" applyAlignment="1">
      <alignment horizontal="right"/>
    </xf>
    <xf numFmtId="4" fontId="0" fillId="0" borderId="18" xfId="0" applyNumberFormat="1" applyBorder="1" applyAlignment="1">
      <alignment horizontal="right"/>
    </xf>
    <xf numFmtId="4" fontId="0" fillId="0" borderId="20" xfId="0" applyNumberFormat="1" applyBorder="1" applyAlignment="1">
      <alignment horizontal="right"/>
    </xf>
    <xf numFmtId="17" fontId="5" fillId="0" borderId="12" xfId="0" applyNumberFormat="1" applyFont="1" applyBorder="1" applyAlignment="1">
      <alignment horizontal="center" vertical="distributed"/>
    </xf>
    <xf numFmtId="4" fontId="0" fillId="0" borderId="21" xfId="0" applyNumberFormat="1" applyBorder="1"/>
    <xf numFmtId="4" fontId="0" fillId="0" borderId="1" xfId="0" applyNumberFormat="1" applyBorder="1"/>
    <xf numFmtId="0" fontId="0" fillId="0" borderId="7" xfId="0" applyBorder="1" applyAlignment="1">
      <alignment horizontal="left"/>
    </xf>
    <xf numFmtId="0" fontId="1" fillId="0" borderId="9" xfId="0" applyFont="1" applyBorder="1"/>
    <xf numFmtId="4" fontId="1" fillId="2" borderId="1" xfId="0" applyNumberFormat="1" applyFont="1" applyFill="1" applyBorder="1"/>
    <xf numFmtId="4" fontId="1" fillId="0" borderId="21" xfId="0" applyNumberFormat="1" applyFont="1" applyBorder="1" applyAlignment="1">
      <alignment horizontal="center"/>
    </xf>
    <xf numFmtId="4" fontId="0" fillId="0" borderId="9" xfId="0" applyNumberFormat="1" applyBorder="1"/>
    <xf numFmtId="0" fontId="0" fillId="0" borderId="0" xfId="0" applyAlignment="1">
      <alignment horizontal="left"/>
    </xf>
    <xf numFmtId="4" fontId="0" fillId="0" borderId="4" xfId="0" applyNumberFormat="1" applyBorder="1"/>
    <xf numFmtId="2" fontId="0" fillId="0" borderId="0" xfId="0" applyNumberFormat="1"/>
    <xf numFmtId="0" fontId="0" fillId="0" borderId="23" xfId="0" applyBorder="1" applyAlignment="1">
      <alignment horizontal="center"/>
    </xf>
    <xf numFmtId="0" fontId="6" fillId="0" borderId="24" xfId="0" applyFont="1" applyBorder="1"/>
    <xf numFmtId="165" fontId="0" fillId="0" borderId="24" xfId="0" applyNumberFormat="1" applyBorder="1"/>
    <xf numFmtId="4" fontId="0" fillId="0" borderId="24" xfId="0" applyNumberFormat="1" applyBorder="1"/>
    <xf numFmtId="4" fontId="0" fillId="0" borderId="24" xfId="0" applyNumberFormat="1" applyBorder="1" applyAlignment="1">
      <alignment horizontal="right"/>
    </xf>
    <xf numFmtId="0" fontId="0" fillId="0" borderId="11" xfId="0" applyBorder="1" applyAlignment="1">
      <alignment horizontal="center"/>
    </xf>
    <xf numFmtId="166" fontId="1" fillId="0" borderId="27" xfId="0" applyNumberFormat="1" applyFont="1" applyBorder="1" applyAlignment="1">
      <alignment horizontal="right"/>
    </xf>
    <xf numFmtId="4" fontId="1" fillId="0" borderId="27" xfId="0" applyNumberFormat="1" applyFont="1" applyBorder="1" applyAlignment="1">
      <alignment horizontal="right"/>
    </xf>
    <xf numFmtId="4" fontId="1" fillId="0" borderId="28" xfId="0" applyNumberFormat="1" applyFont="1" applyBorder="1" applyAlignment="1">
      <alignment horizontal="right"/>
    </xf>
    <xf numFmtId="0" fontId="5" fillId="0" borderId="29" xfId="0" applyFont="1" applyBorder="1" applyAlignment="1">
      <alignment horizontal="center" vertical="distributed"/>
    </xf>
    <xf numFmtId="4" fontId="0" fillId="0" borderId="29" xfId="0" applyNumberFormat="1" applyBorder="1" applyAlignment="1">
      <alignment horizontal="right"/>
    </xf>
    <xf numFmtId="4" fontId="0" fillId="0" borderId="22" xfId="0" applyNumberFormat="1" applyBorder="1" applyAlignment="1">
      <alignment horizontal="left" vertical="top"/>
    </xf>
    <xf numFmtId="0" fontId="12" fillId="0" borderId="0" xfId="0" applyFont="1"/>
    <xf numFmtId="0" fontId="12" fillId="0" borderId="0" xfId="0" applyFont="1" applyAlignment="1">
      <alignment horizontal="right"/>
    </xf>
    <xf numFmtId="49" fontId="12" fillId="0" borderId="0" xfId="0" applyNumberFormat="1" applyFont="1" applyAlignment="1">
      <alignment horizontal="right"/>
    </xf>
    <xf numFmtId="0" fontId="0" fillId="0" borderId="9" xfId="0" applyBorder="1"/>
    <xf numFmtId="0" fontId="1" fillId="0" borderId="4" xfId="0" applyFont="1" applyBorder="1" applyAlignment="1">
      <alignment horizontal="center"/>
    </xf>
    <xf numFmtId="49" fontId="1" fillId="0" borderId="0" xfId="0" applyNumberFormat="1" applyFont="1" applyAlignment="1">
      <alignment horizontal="right"/>
    </xf>
    <xf numFmtId="2" fontId="0" fillId="0" borderId="12" xfId="0" applyNumberFormat="1" applyBorder="1"/>
    <xf numFmtId="2" fontId="0" fillId="0" borderId="24" xfId="0" applyNumberFormat="1" applyBorder="1"/>
    <xf numFmtId="2" fontId="0" fillId="0" borderId="11" xfId="0" applyNumberFormat="1" applyBorder="1"/>
    <xf numFmtId="2" fontId="0" fillId="0" borderId="25" xfId="0" applyNumberFormat="1" applyBorder="1"/>
    <xf numFmtId="2" fontId="1" fillId="0" borderId="26" xfId="0" applyNumberFormat="1" applyFont="1" applyBorder="1" applyAlignment="1">
      <alignment horizontal="right"/>
    </xf>
    <xf numFmtId="0" fontId="1" fillId="0" borderId="10" xfId="0" applyFont="1" applyBorder="1" applyAlignment="1">
      <alignment horizontal="center"/>
    </xf>
    <xf numFmtId="0" fontId="0" fillId="0" borderId="10" xfId="0" applyBorder="1"/>
    <xf numFmtId="0" fontId="0" fillId="0" borderId="8" xfId="0" applyBorder="1"/>
    <xf numFmtId="4" fontId="1" fillId="0" borderId="30" xfId="0" applyNumberFormat="1" applyFont="1" applyBorder="1" applyAlignment="1">
      <alignment horizontal="right"/>
    </xf>
    <xf numFmtId="17" fontId="0" fillId="0" borderId="0" xfId="0" applyNumberFormat="1"/>
    <xf numFmtId="4" fontId="0" fillId="0" borderId="27" xfId="0" applyNumberFormat="1" applyBorder="1" applyAlignment="1">
      <alignment horizontal="right"/>
    </xf>
    <xf numFmtId="2" fontId="1" fillId="0" borderId="1" xfId="0" applyNumberFormat="1" applyFont="1" applyBorder="1"/>
    <xf numFmtId="0" fontId="0" fillId="0" borderId="5" xfId="0" applyBorder="1" applyAlignment="1">
      <alignment horizontal="left"/>
    </xf>
    <xf numFmtId="0" fontId="0" fillId="0" borderId="6" xfId="0" applyBorder="1" applyAlignment="1">
      <alignment horizontal="left"/>
    </xf>
    <xf numFmtId="0" fontId="1" fillId="0" borderId="9" xfId="0" applyFont="1" applyBorder="1" applyAlignment="1">
      <alignment horizontal="center"/>
    </xf>
    <xf numFmtId="166" fontId="0" fillId="0" borderId="0" xfId="0" applyNumberFormat="1" applyAlignment="1">
      <alignment horizontal="center"/>
    </xf>
    <xf numFmtId="4" fontId="0" fillId="0" borderId="8" xfId="0" applyNumberFormat="1" applyBorder="1"/>
    <xf numFmtId="0" fontId="0" fillId="0" borderId="3" xfId="0" applyBorder="1" applyAlignment="1">
      <alignment horizontal="center"/>
    </xf>
    <xf numFmtId="4" fontId="0" fillId="0" borderId="5" xfId="0" applyNumberFormat="1" applyBorder="1" applyAlignment="1">
      <alignment horizontal="right"/>
    </xf>
    <xf numFmtId="4" fontId="0" fillId="0" borderId="6" xfId="0" applyNumberFormat="1" applyBorder="1" applyAlignment="1">
      <alignment horizontal="right"/>
    </xf>
    <xf numFmtId="4" fontId="0" fillId="0" borderId="7" xfId="0" applyNumberFormat="1" applyBorder="1" applyAlignment="1">
      <alignment horizontal="right"/>
    </xf>
    <xf numFmtId="4" fontId="1" fillId="0" borderId="5" xfId="0" applyNumberFormat="1" applyFont="1" applyBorder="1"/>
    <xf numFmtId="0" fontId="1" fillId="0" borderId="7" xfId="0" applyFont="1" applyBorder="1" applyAlignment="1">
      <alignment horizontal="center"/>
    </xf>
    <xf numFmtId="4" fontId="0" fillId="0" borderId="6" xfId="0" applyNumberFormat="1" applyBorder="1" applyAlignment="1">
      <alignment horizontal="center"/>
    </xf>
    <xf numFmtId="4" fontId="1" fillId="0" borderId="7" xfId="0" applyNumberFormat="1" applyFont="1" applyBorder="1" applyAlignment="1">
      <alignment horizontal="center"/>
    </xf>
    <xf numFmtId="4" fontId="1" fillId="2" borderId="5" xfId="0" applyNumberFormat="1" applyFont="1" applyFill="1" applyBorder="1"/>
    <xf numFmtId="4" fontId="0" fillId="0" borderId="28" xfId="0" applyNumberFormat="1" applyBorder="1"/>
    <xf numFmtId="4" fontId="0" fillId="0" borderId="31" xfId="0" applyNumberFormat="1" applyBorder="1"/>
    <xf numFmtId="4" fontId="0" fillId="0" borderId="13" xfId="0" applyNumberFormat="1" applyBorder="1"/>
    <xf numFmtId="0" fontId="0" fillId="0" borderId="26" xfId="0" applyBorder="1"/>
    <xf numFmtId="4" fontId="0" fillId="0" borderId="27" xfId="0" applyNumberFormat="1" applyBorder="1"/>
    <xf numFmtId="0" fontId="13" fillId="0" borderId="0" xfId="0" applyFont="1"/>
    <xf numFmtId="0" fontId="7" fillId="0" borderId="0" xfId="0" applyFont="1" applyAlignment="1">
      <alignment horizontal="center"/>
    </xf>
    <xf numFmtId="0" fontId="7" fillId="0" borderId="1" xfId="0" applyFont="1" applyBorder="1" applyAlignment="1">
      <alignment horizontal="center"/>
    </xf>
    <xf numFmtId="0" fontId="1" fillId="0" borderId="0" xfId="0" applyFont="1" applyAlignment="1">
      <alignment vertical="center"/>
    </xf>
    <xf numFmtId="0" fontId="7" fillId="0" borderId="0" xfId="0" applyFont="1" applyAlignment="1">
      <alignment vertical="center"/>
    </xf>
    <xf numFmtId="4" fontId="1" fillId="0" borderId="0" xfId="0" applyNumberFormat="1" applyFont="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7" fillId="0" borderId="10" xfId="0" applyFont="1" applyBorder="1" applyAlignment="1">
      <alignment vertical="center"/>
    </xf>
    <xf numFmtId="4" fontId="1" fillId="0" borderId="10" xfId="0" applyNumberFormat="1" applyFont="1" applyBorder="1" applyAlignment="1">
      <alignment vertical="center"/>
    </xf>
    <xf numFmtId="4" fontId="1" fillId="0" borderId="8" xfId="0" applyNumberFormat="1" applyFont="1" applyBorder="1" applyAlignment="1">
      <alignment vertical="center"/>
    </xf>
    <xf numFmtId="0" fontId="0" fillId="0" borderId="24" xfId="0" applyBorder="1" applyAlignment="1">
      <alignment horizontal="center"/>
    </xf>
    <xf numFmtId="4" fontId="0" fillId="0" borderId="32" xfId="0" applyNumberFormat="1" applyBorder="1" applyAlignment="1">
      <alignment horizontal="right"/>
    </xf>
    <xf numFmtId="2" fontId="0" fillId="0" borderId="11" xfId="0" applyNumberFormat="1" applyBorder="1" applyAlignment="1">
      <alignment horizontal="right"/>
    </xf>
    <xf numFmtId="2" fontId="1" fillId="0" borderId="27" xfId="0" applyNumberFormat="1" applyFont="1" applyBorder="1" applyAlignment="1">
      <alignment horizontal="right"/>
    </xf>
    <xf numFmtId="4" fontId="0" fillId="2" borderId="5" xfId="0" applyNumberFormat="1" applyFill="1" applyBorder="1"/>
    <xf numFmtId="14" fontId="1" fillId="0" borderId="0" xfId="0" applyNumberFormat="1" applyFont="1"/>
    <xf numFmtId="1" fontId="7" fillId="0" borderId="0" xfId="0" applyNumberFormat="1" applyFont="1"/>
    <xf numFmtId="0" fontId="5" fillId="0" borderId="28" xfId="0" applyFont="1" applyBorder="1" applyAlignment="1">
      <alignment horizontal="center" vertical="distributed"/>
    </xf>
    <xf numFmtId="2" fontId="1" fillId="0" borderId="0" xfId="0" applyNumberFormat="1" applyFont="1"/>
    <xf numFmtId="2" fontId="0" fillId="0" borderId="27" xfId="0" applyNumberFormat="1" applyBorder="1"/>
    <xf numFmtId="0" fontId="14" fillId="0" borderId="9" xfId="0" applyFont="1" applyBorder="1"/>
    <xf numFmtId="0" fontId="1" fillId="0" borderId="10" xfId="0" applyFont="1" applyBorder="1"/>
    <xf numFmtId="0" fontId="1" fillId="0" borderId="8" xfId="0" applyFont="1" applyBorder="1"/>
    <xf numFmtId="0" fontId="14" fillId="0" borderId="4" xfId="0" applyFont="1" applyBorder="1"/>
    <xf numFmtId="0" fontId="1" fillId="0" borderId="33" xfId="0" applyFont="1" applyBorder="1"/>
    <xf numFmtId="0" fontId="1" fillId="0" borderId="34" xfId="0" applyFont="1" applyBorder="1"/>
    <xf numFmtId="0" fontId="16" fillId="0" borderId="1" xfId="1" applyFont="1" applyBorder="1" applyAlignment="1" applyProtection="1">
      <alignment horizontal="center"/>
    </xf>
    <xf numFmtId="0" fontId="1" fillId="3" borderId="35" xfId="0" applyFont="1" applyFill="1" applyBorder="1"/>
    <xf numFmtId="0" fontId="1" fillId="3" borderId="3" xfId="0" applyFont="1" applyFill="1" applyBorder="1"/>
    <xf numFmtId="0" fontId="4" fillId="3" borderId="0" xfId="0" applyFont="1" applyFill="1"/>
    <xf numFmtId="0" fontId="4" fillId="3" borderId="21" xfId="0" applyFont="1" applyFill="1" applyBorder="1"/>
    <xf numFmtId="0" fontId="1" fillId="3" borderId="9" xfId="0" applyFont="1" applyFill="1" applyBorder="1"/>
    <xf numFmtId="0" fontId="1" fillId="3" borderId="10" xfId="0" applyFont="1" applyFill="1" applyBorder="1" applyAlignment="1">
      <alignment horizontal="left"/>
    </xf>
    <xf numFmtId="0" fontId="1" fillId="3" borderId="10" xfId="0" applyFont="1" applyFill="1" applyBorder="1"/>
    <xf numFmtId="0" fontId="1" fillId="3" borderId="8" xfId="0" applyFont="1" applyFill="1" applyBorder="1"/>
    <xf numFmtId="0" fontId="1" fillId="3" borderId="0" xfId="0" applyFont="1" applyFill="1"/>
    <xf numFmtId="0" fontId="1" fillId="3" borderId="21" xfId="0" applyFont="1" applyFill="1" applyBorder="1"/>
    <xf numFmtId="0" fontId="1" fillId="6" borderId="35"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9" xfId="0" applyFill="1" applyBorder="1"/>
    <xf numFmtId="0" fontId="21" fillId="7" borderId="11" xfId="0" applyFont="1" applyFill="1" applyBorder="1"/>
    <xf numFmtId="8" fontId="22" fillId="7" borderId="11" xfId="0" applyNumberFormat="1" applyFont="1" applyFill="1" applyBorder="1"/>
    <xf numFmtId="44" fontId="23" fillId="7" borderId="36" xfId="2" applyFont="1" applyFill="1" applyBorder="1"/>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0" fillId="2" borderId="11" xfId="0" applyFill="1" applyBorder="1"/>
    <xf numFmtId="0" fontId="0" fillId="2" borderId="0" xfId="0" applyFill="1"/>
    <xf numFmtId="8" fontId="24" fillId="2" borderId="11" xfId="0" applyNumberFormat="1" applyFont="1" applyFill="1" applyBorder="1" applyAlignment="1">
      <alignment horizontal="right"/>
    </xf>
    <xf numFmtId="0" fontId="25" fillId="2" borderId="11" xfId="0" applyFont="1" applyFill="1" applyBorder="1"/>
    <xf numFmtId="0" fontId="1" fillId="7" borderId="11" xfId="0" applyFont="1" applyFill="1" applyBorder="1"/>
    <xf numFmtId="44" fontId="26" fillId="7" borderId="37" xfId="2" applyFont="1" applyFill="1" applyBorder="1"/>
    <xf numFmtId="8" fontId="4" fillId="7" borderId="11" xfId="2" applyNumberFormat="1" applyFont="1" applyFill="1" applyBorder="1"/>
    <xf numFmtId="44" fontId="26" fillId="7" borderId="11" xfId="2" applyFont="1" applyFill="1" applyBorder="1"/>
    <xf numFmtId="44" fontId="4" fillId="7" borderId="36" xfId="2" applyFont="1" applyFill="1" applyBorder="1"/>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11" xfId="0" applyBorder="1" applyAlignment="1">
      <alignment vertical="center" wrapText="1"/>
    </xf>
    <xf numFmtId="44" fontId="6" fillId="2" borderId="11" xfId="2" applyFont="1" applyFill="1" applyBorder="1" applyAlignment="1">
      <alignment wrapText="1"/>
    </xf>
    <xf numFmtId="44" fontId="4" fillId="7" borderId="11" xfId="2" applyFont="1" applyFill="1" applyBorder="1"/>
    <xf numFmtId="0" fontId="0" fillId="7" borderId="11" xfId="0" applyFill="1" applyBorder="1"/>
    <xf numFmtId="44" fontId="24" fillId="7" borderId="11" xfId="2" applyFont="1" applyFill="1" applyBorder="1"/>
    <xf numFmtId="44" fontId="6" fillId="7" borderId="36" xfId="2" applyFont="1" applyFill="1" applyBorder="1"/>
    <xf numFmtId="0" fontId="0" fillId="0" borderId="11" xfId="0" applyBorder="1"/>
    <xf numFmtId="44" fontId="24" fillId="2" borderId="11" xfId="2" applyFont="1" applyFill="1" applyBorder="1"/>
    <xf numFmtId="44" fontId="19" fillId="2" borderId="11" xfId="2" applyFont="1" applyFill="1" applyBorder="1"/>
    <xf numFmtId="0" fontId="0" fillId="0" borderId="38" xfId="0" applyBorder="1"/>
    <xf numFmtId="0" fontId="0" fillId="0" borderId="37" xfId="0" applyBorder="1" applyAlignment="1">
      <alignment horizontal="left" vertical="center"/>
    </xf>
    <xf numFmtId="44" fontId="26" fillId="7" borderId="37" xfId="2" applyFont="1" applyFill="1" applyBorder="1" applyAlignment="1">
      <alignment horizontal="center"/>
    </xf>
    <xf numFmtId="44" fontId="4" fillId="7" borderId="7" xfId="2" applyFont="1" applyFill="1" applyBorder="1"/>
    <xf numFmtId="44" fontId="4" fillId="7" borderId="1" xfId="2" applyFont="1" applyFill="1" applyBorder="1"/>
    <xf numFmtId="0" fontId="27" fillId="0" borderId="11" xfId="2" applyNumberFormat="1" applyFont="1" applyBorder="1"/>
    <xf numFmtId="44" fontId="24" fillId="2" borderId="37" xfId="2" applyFont="1" applyFill="1" applyBorder="1"/>
    <xf numFmtId="0" fontId="22" fillId="7" borderId="11" xfId="0" applyFont="1" applyFill="1" applyBorder="1"/>
    <xf numFmtId="44" fontId="6" fillId="0" borderId="11" xfId="2" applyFont="1" applyBorder="1" applyAlignment="1">
      <alignment wrapText="1"/>
    </xf>
    <xf numFmtId="8" fontId="24" fillId="2" borderId="37" xfId="0" applyNumberFormat="1" applyFont="1" applyFill="1" applyBorder="1" applyAlignment="1">
      <alignment horizontal="right"/>
    </xf>
    <xf numFmtId="0" fontId="1" fillId="7" borderId="11" xfId="0" applyFont="1" applyFill="1" applyBorder="1" applyAlignment="1">
      <alignment wrapText="1"/>
    </xf>
    <xf numFmtId="8" fontId="26" fillId="7" borderId="37" xfId="0" applyNumberFormat="1" applyFont="1" applyFill="1" applyBorder="1"/>
    <xf numFmtId="44" fontId="6" fillId="2" borderId="36" xfId="2" applyFont="1" applyFill="1" applyBorder="1"/>
    <xf numFmtId="44" fontId="6" fillId="2" borderId="11" xfId="2" applyFont="1" applyFill="1" applyBorder="1"/>
    <xf numFmtId="0" fontId="1" fillId="7" borderId="36" xfId="0" applyFont="1" applyFill="1" applyBorder="1"/>
    <xf numFmtId="8" fontId="26" fillId="7" borderId="39" xfId="0" applyNumberFormat="1" applyFont="1" applyFill="1" applyBorder="1"/>
    <xf numFmtId="44" fontId="28" fillId="7" borderId="11" xfId="2" applyFont="1" applyFill="1" applyBorder="1"/>
    <xf numFmtId="0" fontId="24" fillId="0" borderId="11" xfId="0" applyFont="1" applyBorder="1"/>
    <xf numFmtId="0" fontId="25" fillId="0" borderId="25" xfId="0" applyFont="1" applyBorder="1"/>
    <xf numFmtId="0" fontId="1" fillId="8" borderId="11" xfId="0" applyFont="1" applyFill="1" applyBorder="1"/>
    <xf numFmtId="0" fontId="26" fillId="8" borderId="37" xfId="0" applyFont="1" applyFill="1" applyBorder="1"/>
    <xf numFmtId="44" fontId="28" fillId="8" borderId="11" xfId="2" applyFont="1" applyFill="1" applyBorder="1"/>
    <xf numFmtId="0" fontId="0" fillId="0" borderId="3" xfId="0" applyBorder="1"/>
    <xf numFmtId="0" fontId="24" fillId="0" borderId="0" xfId="0" applyFont="1"/>
    <xf numFmtId="0" fontId="25" fillId="0" borderId="21" xfId="0" applyFont="1" applyBorder="1"/>
    <xf numFmtId="44" fontId="0" fillId="0" borderId="0" xfId="0" applyNumberFormat="1"/>
    <xf numFmtId="0" fontId="1" fillId="6" borderId="9" xfId="0" applyFont="1" applyFill="1" applyBorder="1"/>
    <xf numFmtId="10" fontId="1" fillId="6" borderId="10" xfId="0" applyNumberFormat="1" applyFont="1" applyFill="1" applyBorder="1"/>
    <xf numFmtId="0" fontId="1" fillId="6" borderId="10" xfId="0" applyFont="1" applyFill="1" applyBorder="1"/>
    <xf numFmtId="0" fontId="26" fillId="6" borderId="10" xfId="0" applyFont="1" applyFill="1" applyBorder="1"/>
    <xf numFmtId="44" fontId="28" fillId="6" borderId="8" xfId="0" applyNumberFormat="1" applyFont="1" applyFill="1" applyBorder="1"/>
    <xf numFmtId="43" fontId="0" fillId="0" borderId="0" xfId="0" applyNumberFormat="1"/>
    <xf numFmtId="167" fontId="0" fillId="2" borderId="0" xfId="2" applyNumberFormat="1" applyFont="1" applyFill="1" applyAlignment="1"/>
    <xf numFmtId="0" fontId="24" fillId="6" borderId="2" xfId="0" applyFont="1" applyFill="1" applyBorder="1"/>
    <xf numFmtId="0" fontId="24" fillId="6" borderId="19" xfId="0" applyFont="1" applyFill="1" applyBorder="1"/>
    <xf numFmtId="0" fontId="25" fillId="0" borderId="11" xfId="2" applyNumberFormat="1" applyFont="1" applyBorder="1" applyAlignment="1">
      <alignment horizontal="left"/>
    </xf>
    <xf numFmtId="0" fontId="0" fillId="0" borderId="40" xfId="0" applyBorder="1" applyAlignment="1">
      <alignment horizontal="left" vertical="center" wrapText="1"/>
    </xf>
    <xf numFmtId="0" fontId="1" fillId="7" borderId="0" xfId="0" applyFont="1" applyFill="1"/>
    <xf numFmtId="0" fontId="0" fillId="7" borderId="0" xfId="0" applyFill="1"/>
    <xf numFmtId="44" fontId="0" fillId="7" borderId="0" xfId="2" applyFont="1" applyFill="1"/>
    <xf numFmtId="0" fontId="1" fillId="8" borderId="37" xfId="0" applyFont="1" applyFill="1" applyBorder="1"/>
    <xf numFmtId="44" fontId="4" fillId="6" borderId="8" xfId="0" applyNumberFormat="1" applyFont="1" applyFill="1" applyBorder="1"/>
    <xf numFmtId="0" fontId="4" fillId="5" borderId="9" xfId="0" applyFont="1" applyFill="1" applyBorder="1"/>
    <xf numFmtId="44" fontId="4" fillId="5" borderId="8" xfId="0" applyNumberFormat="1" applyFont="1" applyFill="1" applyBorder="1"/>
    <xf numFmtId="44" fontId="0" fillId="0" borderId="0" xfId="2" applyFont="1"/>
    <xf numFmtId="4" fontId="4" fillId="0" borderId="0" xfId="0" applyNumberFormat="1" applyFont="1" applyAlignment="1">
      <alignment wrapText="1"/>
    </xf>
    <xf numFmtId="0" fontId="0" fillId="0" borderId="0" xfId="0" applyAlignment="1">
      <alignment wrapText="1"/>
    </xf>
    <xf numFmtId="44" fontId="18" fillId="9" borderId="24" xfId="2" applyFont="1" applyFill="1" applyBorder="1"/>
    <xf numFmtId="44" fontId="0" fillId="0" borderId="0" xfId="0" applyNumberFormat="1" applyAlignment="1">
      <alignment wrapText="1"/>
    </xf>
    <xf numFmtId="44" fontId="0" fillId="0" borderId="11" xfId="0" applyNumberFormat="1" applyBorder="1" applyAlignment="1">
      <alignment vertical="center" wrapText="1"/>
    </xf>
    <xf numFmtId="44" fontId="0" fillId="0" borderId="11" xfId="2" applyFont="1" applyBorder="1" applyAlignment="1">
      <alignment vertical="center" wrapText="1"/>
    </xf>
    <xf numFmtId="0" fontId="24" fillId="0" borderId="11" xfId="0" applyFont="1" applyBorder="1" applyAlignment="1">
      <alignment horizontal="left" vertical="center" wrapText="1"/>
    </xf>
    <xf numFmtId="0" fontId="1" fillId="10" borderId="4" xfId="0" applyFont="1" applyFill="1" applyBorder="1" applyAlignment="1">
      <alignment horizontal="left" vertical="center" wrapText="1"/>
    </xf>
    <xf numFmtId="44" fontId="1" fillId="10" borderId="34" xfId="2" applyFont="1" applyFill="1" applyBorder="1" applyAlignment="1">
      <alignment horizontal="left" vertical="center" wrapText="1"/>
    </xf>
    <xf numFmtId="0" fontId="6" fillId="0" borderId="11" xfId="0" applyFont="1" applyBorder="1" applyAlignment="1">
      <alignment vertical="center" wrapText="1"/>
    </xf>
    <xf numFmtId="44" fontId="0" fillId="0" borderId="11" xfId="2" applyFont="1" applyBorder="1"/>
    <xf numFmtId="44" fontId="6" fillId="0" borderId="11" xfId="2" applyFont="1" applyBorder="1" applyAlignment="1">
      <alignment vertical="center" wrapText="1"/>
    </xf>
    <xf numFmtId="44" fontId="0" fillId="0" borderId="0" xfId="2" applyFont="1" applyBorder="1"/>
    <xf numFmtId="0" fontId="18" fillId="9" borderId="0" xfId="0" applyFont="1" applyFill="1"/>
    <xf numFmtId="44" fontId="18" fillId="9" borderId="0" xfId="0" applyNumberFormat="1" applyFont="1" applyFill="1"/>
    <xf numFmtId="44" fontId="18" fillId="9" borderId="0" xfId="2" applyFont="1" applyFill="1"/>
    <xf numFmtId="0" fontId="0" fillId="0" borderId="22" xfId="0" applyBorder="1"/>
    <xf numFmtId="0" fontId="0" fillId="3" borderId="0" xfId="0" applyFill="1"/>
    <xf numFmtId="0" fontId="0" fillId="3" borderId="0" xfId="0" applyFill="1" applyAlignment="1">
      <alignment horizontal="center"/>
    </xf>
    <xf numFmtId="0" fontId="1" fillId="3" borderId="0" xfId="0" applyFont="1" applyFill="1" applyAlignment="1">
      <alignment horizontal="center"/>
    </xf>
    <xf numFmtId="167" fontId="0" fillId="3" borderId="0" xfId="2" applyNumberFormat="1" applyFont="1" applyFill="1" applyAlignment="1">
      <alignment horizontal="center"/>
    </xf>
    <xf numFmtId="44" fontId="0" fillId="3" borderId="0" xfId="2" applyFont="1" applyFill="1" applyAlignment="1"/>
    <xf numFmtId="8" fontId="0" fillId="0" borderId="0" xfId="0" applyNumberFormat="1"/>
    <xf numFmtId="169" fontId="0" fillId="3" borderId="0" xfId="0" applyNumberFormat="1" applyFill="1" applyAlignment="1">
      <alignment horizontal="center"/>
    </xf>
    <xf numFmtId="0" fontId="27" fillId="3" borderId="5" xfId="0" applyFont="1" applyFill="1" applyBorder="1" applyAlignment="1">
      <alignment horizontal="center" vertical="center" wrapText="1"/>
    </xf>
    <xf numFmtId="0" fontId="27" fillId="3" borderId="41" xfId="0" applyFont="1" applyFill="1" applyBorder="1" applyAlignment="1">
      <alignment horizontal="center" vertical="center" wrapText="1"/>
    </xf>
    <xf numFmtId="0" fontId="30" fillId="0" borderId="11" xfId="0" applyFont="1" applyBorder="1"/>
    <xf numFmtId="0" fontId="30" fillId="0" borderId="11" xfId="0" applyFont="1" applyBorder="1" applyAlignment="1">
      <alignment horizontal="center"/>
    </xf>
    <xf numFmtId="44" fontId="31" fillId="0" borderId="11" xfId="2" applyFont="1" applyBorder="1"/>
    <xf numFmtId="44" fontId="31" fillId="2" borderId="11" xfId="2" applyFont="1" applyFill="1" applyBorder="1"/>
    <xf numFmtId="170" fontId="30" fillId="0" borderId="11" xfId="0" applyNumberFormat="1" applyFont="1" applyBorder="1"/>
    <xf numFmtId="170" fontId="30" fillId="0" borderId="37" xfId="2" applyNumberFormat="1" applyFont="1" applyBorder="1"/>
    <xf numFmtId="44" fontId="31" fillId="0" borderId="14" xfId="2" applyFont="1" applyBorder="1"/>
    <xf numFmtId="44" fontId="31" fillId="0" borderId="43" xfId="2" applyFont="1" applyBorder="1"/>
    <xf numFmtId="0" fontId="30" fillId="0" borderId="11" xfId="0" applyFont="1" applyBorder="1" applyAlignment="1">
      <alignment wrapText="1"/>
    </xf>
    <xf numFmtId="0" fontId="30" fillId="0" borderId="38" xfId="0" applyFont="1" applyBorder="1"/>
    <xf numFmtId="44" fontId="31" fillId="0" borderId="24" xfId="2" applyFont="1" applyBorder="1"/>
    <xf numFmtId="0" fontId="30" fillId="0" borderId="11" xfId="0" applyFont="1" applyBorder="1" applyAlignment="1">
      <alignment vertical="center" wrapText="1"/>
    </xf>
    <xf numFmtId="44" fontId="31" fillId="2" borderId="24" xfId="2" applyFont="1" applyFill="1" applyBorder="1"/>
    <xf numFmtId="0" fontId="30" fillId="0" borderId="24" xfId="0" applyFont="1" applyBorder="1"/>
    <xf numFmtId="0" fontId="30" fillId="7" borderId="34" xfId="0" applyFont="1" applyFill="1" applyBorder="1"/>
    <xf numFmtId="0" fontId="30" fillId="7" borderId="1" xfId="0" applyFont="1" applyFill="1" applyBorder="1"/>
    <xf numFmtId="171" fontId="30" fillId="7" borderId="1" xfId="0" applyNumberFormat="1" applyFont="1" applyFill="1" applyBorder="1" applyAlignment="1">
      <alignment horizontal="center"/>
    </xf>
    <xf numFmtId="44" fontId="30" fillId="7" borderId="1" xfId="0" applyNumberFormat="1" applyFont="1" applyFill="1" applyBorder="1"/>
    <xf numFmtId="170" fontId="30" fillId="7" borderId="1" xfId="0" applyNumberFormat="1" applyFont="1" applyFill="1" applyBorder="1"/>
    <xf numFmtId="167" fontId="30" fillId="7" borderId="1" xfId="0" applyNumberFormat="1" applyFont="1" applyFill="1" applyBorder="1"/>
    <xf numFmtId="44" fontId="30" fillId="7" borderId="7" xfId="0" applyNumberFormat="1" applyFont="1" applyFill="1" applyBorder="1"/>
    <xf numFmtId="0" fontId="29" fillId="0" borderId="0" xfId="0" applyFont="1"/>
    <xf numFmtId="0" fontId="1" fillId="3" borderId="9" xfId="0" applyFont="1" applyFill="1" applyBorder="1" applyAlignment="1">
      <alignment horizontal="left" vertical="top" wrapText="1"/>
    </xf>
    <xf numFmtId="8" fontId="4" fillId="7" borderId="36" xfId="2" applyNumberFormat="1" applyFont="1" applyFill="1" applyBorder="1"/>
    <xf numFmtId="0" fontId="1" fillId="2" borderId="11" xfId="0" applyFont="1" applyFill="1" applyBorder="1"/>
    <xf numFmtId="8" fontId="4" fillId="2" borderId="36" xfId="2" applyNumberFormat="1" applyFont="1" applyFill="1" applyBorder="1"/>
    <xf numFmtId="44" fontId="24" fillId="2" borderId="11" xfId="2" applyFont="1" applyFill="1" applyBorder="1" applyAlignment="1"/>
    <xf numFmtId="44" fontId="24" fillId="2" borderId="37" xfId="2" applyFont="1" applyFill="1" applyBorder="1" applyAlignment="1"/>
    <xf numFmtId="44" fontId="1" fillId="7" borderId="0" xfId="2" applyFont="1" applyFill="1"/>
    <xf numFmtId="167" fontId="1" fillId="3" borderId="0" xfId="2" applyNumberFormat="1" applyFont="1" applyFill="1" applyAlignment="1">
      <alignment horizontal="center"/>
    </xf>
    <xf numFmtId="44" fontId="24" fillId="0" borderId="11" xfId="2" applyFont="1" applyBorder="1" applyAlignment="1">
      <alignment horizontal="left" vertical="center" wrapText="1"/>
    </xf>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18" fillId="9" borderId="0" xfId="0" applyFont="1" applyFill="1" applyAlignment="1">
      <alignment horizontal="center" vertical="center"/>
    </xf>
    <xf numFmtId="0" fontId="1" fillId="4" borderId="0" xfId="0" applyFont="1" applyFill="1" applyAlignment="1">
      <alignment horizontal="center"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1" fillId="3" borderId="33" xfId="0" applyFont="1" applyFill="1" applyBorder="1" applyAlignment="1">
      <alignment horizontal="left" vertical="center" wrapText="1"/>
    </xf>
    <xf numFmtId="0" fontId="1" fillId="3" borderId="34" xfId="0" applyFont="1" applyFill="1" applyBorder="1" applyAlignment="1">
      <alignment horizontal="left" vertical="center" wrapText="1"/>
    </xf>
    <xf numFmtId="0" fontId="20" fillId="4" borderId="0" xfId="0" applyFont="1" applyFill="1" applyAlignment="1">
      <alignment horizontal="center" vertical="center"/>
    </xf>
    <xf numFmtId="0" fontId="10" fillId="5" borderId="0" xfId="0" applyFont="1" applyFill="1" applyAlignment="1">
      <alignment horizontal="center" vertical="center" wrapText="1"/>
    </xf>
    <xf numFmtId="0" fontId="29" fillId="3" borderId="5" xfId="0" applyFont="1" applyFill="1" applyBorder="1" applyAlignment="1">
      <alignment horizontal="center" vertical="center" wrapText="1"/>
    </xf>
    <xf numFmtId="0" fontId="29" fillId="3" borderId="41" xfId="0" applyFont="1" applyFill="1" applyBorder="1" applyAlignment="1">
      <alignment horizontal="center" vertical="center" wrapText="1"/>
    </xf>
    <xf numFmtId="0" fontId="29" fillId="3" borderId="35" xfId="0" applyFont="1" applyFill="1" applyBorder="1" applyAlignment="1">
      <alignment horizontal="center" vertical="center" wrapText="1"/>
    </xf>
    <xf numFmtId="0" fontId="29" fillId="3" borderId="42"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0" fillId="3" borderId="0" xfId="0" applyFill="1" applyAlignment="1">
      <alignment horizontal="center"/>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1" fillId="3" borderId="33" xfId="0" applyFont="1" applyFill="1" applyBorder="1" applyAlignment="1">
      <alignment horizontal="left" vertical="center"/>
    </xf>
    <xf numFmtId="0" fontId="29" fillId="3" borderId="5" xfId="0" applyFont="1" applyFill="1" applyBorder="1" applyAlignment="1">
      <alignment horizontal="center" vertical="center"/>
    </xf>
    <xf numFmtId="0" fontId="29" fillId="3" borderId="6" xfId="0" applyFont="1" applyFill="1" applyBorder="1" applyAlignment="1">
      <alignment horizontal="center" vertical="center"/>
    </xf>
    <xf numFmtId="0" fontId="29" fillId="3" borderId="41" xfId="0" applyFont="1" applyFill="1" applyBorder="1" applyAlignment="1">
      <alignment horizontal="center" vertical="center"/>
    </xf>
    <xf numFmtId="0" fontId="30" fillId="3" borderId="5" xfId="0" applyFont="1" applyFill="1" applyBorder="1" applyAlignment="1">
      <alignment horizontal="center" vertical="center" wrapText="1"/>
    </xf>
    <xf numFmtId="0" fontId="30" fillId="3" borderId="41" xfId="0" applyFont="1" applyFill="1" applyBorder="1" applyAlignment="1">
      <alignment horizontal="center" vertical="center" wrapText="1"/>
    </xf>
    <xf numFmtId="0" fontId="8" fillId="0" borderId="0" xfId="0" applyFont="1" applyAlignment="1">
      <alignment horizontal="center" vertical="distributed"/>
    </xf>
    <xf numFmtId="0" fontId="1" fillId="0" borderId="9" xfId="0" applyFont="1" applyBorder="1" applyAlignment="1">
      <alignment horizontal="center"/>
    </xf>
    <xf numFmtId="0" fontId="1"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8" xfId="0" applyFont="1" applyBorder="1" applyAlignment="1">
      <alignment horizontal="center"/>
    </xf>
    <xf numFmtId="0" fontId="1" fillId="0" borderId="9" xfId="0" applyFont="1" applyBorder="1" applyAlignment="1">
      <alignment horizontal="right"/>
    </xf>
    <xf numFmtId="0" fontId="1" fillId="0" borderId="10" xfId="0" applyFont="1" applyBorder="1" applyAlignment="1">
      <alignment horizontal="right"/>
    </xf>
    <xf numFmtId="166" fontId="0" fillId="0" borderId="0" xfId="0" applyNumberFormat="1" applyAlignment="1">
      <alignment horizontal="center"/>
    </xf>
    <xf numFmtId="0" fontId="1" fillId="3" borderId="2" xfId="0" applyFont="1" applyFill="1" applyBorder="1" applyAlignment="1">
      <alignment horizontal="left" vertical="top" wrapText="1"/>
    </xf>
    <xf numFmtId="0" fontId="1" fillId="3" borderId="19" xfId="0" applyFont="1" applyFill="1" applyBorder="1" applyAlignment="1">
      <alignment horizontal="left" vertical="top" wrapText="1"/>
    </xf>
    <xf numFmtId="0" fontId="0" fillId="0" borderId="36" xfId="0" applyBorder="1"/>
    <xf numFmtId="44" fontId="24" fillId="2" borderId="39" xfId="2" applyFont="1" applyFill="1" applyBorder="1"/>
    <xf numFmtId="170" fontId="30" fillId="11" borderId="37" xfId="2" applyNumberFormat="1" applyFont="1" applyFill="1" applyBorder="1"/>
    <xf numFmtId="0" fontId="30" fillId="11" borderId="11" xfId="0" applyFont="1" applyFill="1" applyBorder="1"/>
    <xf numFmtId="0" fontId="32" fillId="11" borderId="11" xfId="0" applyFont="1" applyFill="1" applyBorder="1"/>
    <xf numFmtId="0" fontId="30" fillId="11" borderId="11" xfId="0" applyFont="1" applyFill="1" applyBorder="1" applyAlignment="1">
      <alignment horizontal="center"/>
    </xf>
    <xf numFmtId="44" fontId="31" fillId="11" borderId="11" xfId="2" applyFont="1" applyFill="1" applyBorder="1"/>
    <xf numFmtId="170" fontId="30" fillId="11" borderId="11" xfId="0" applyNumberFormat="1" applyFont="1" applyFill="1" applyBorder="1"/>
    <xf numFmtId="44" fontId="31" fillId="11" borderId="14" xfId="2" applyFont="1" applyFill="1" applyBorder="1"/>
    <xf numFmtId="44" fontId="31" fillId="11" borderId="43" xfId="2" applyFont="1" applyFill="1" applyBorder="1"/>
    <xf numFmtId="8" fontId="6" fillId="2" borderId="36" xfId="2" applyNumberFormat="1" applyFont="1" applyFill="1" applyBorder="1"/>
    <xf numFmtId="0" fontId="1" fillId="11" borderId="10" xfId="0" applyFont="1" applyFill="1" applyBorder="1" applyAlignment="1">
      <alignment horizontal="center" vertical="center"/>
    </xf>
    <xf numFmtId="44" fontId="29" fillId="8" borderId="11" xfId="2" applyFont="1" applyFill="1" applyBorder="1" applyAlignment="1">
      <alignment vertical="center"/>
    </xf>
    <xf numFmtId="0" fontId="30" fillId="11" borderId="38" xfId="0" applyFont="1" applyFill="1" applyBorder="1"/>
    <xf numFmtId="0" fontId="30" fillId="11" borderId="11" xfId="0" applyFont="1" applyFill="1" applyBorder="1" applyAlignment="1">
      <alignment vertical="center" wrapText="1"/>
    </xf>
    <xf numFmtId="0" fontId="30" fillId="11" borderId="11" xfId="0" applyFont="1" applyFill="1" applyBorder="1" applyAlignment="1">
      <alignment wrapText="1"/>
    </xf>
    <xf numFmtId="44" fontId="6" fillId="0" borderId="11" xfId="2" applyFont="1" applyBorder="1"/>
    <xf numFmtId="16" fontId="6" fillId="0" borderId="11" xfId="0" applyNumberFormat="1" applyFont="1" applyBorder="1" applyAlignment="1">
      <alignment vertical="center" wrapText="1"/>
    </xf>
    <xf numFmtId="0" fontId="30" fillId="12" borderId="38" xfId="0" applyFont="1" applyFill="1" applyBorder="1"/>
    <xf numFmtId="0" fontId="30" fillId="12" borderId="11" xfId="0" applyFont="1" applyFill="1" applyBorder="1"/>
    <xf numFmtId="0" fontId="30" fillId="12" borderId="11" xfId="0" applyFont="1" applyFill="1" applyBorder="1" applyAlignment="1">
      <alignment wrapText="1"/>
    </xf>
    <xf numFmtId="0" fontId="30" fillId="12" borderId="11" xfId="0" applyFont="1" applyFill="1" applyBorder="1" applyAlignment="1">
      <alignment horizontal="center"/>
    </xf>
    <xf numFmtId="44" fontId="31" fillId="12" borderId="11" xfId="2" applyFont="1" applyFill="1" applyBorder="1"/>
    <xf numFmtId="170" fontId="30" fillId="12" borderId="11" xfId="0" applyNumberFormat="1" applyFont="1" applyFill="1" applyBorder="1"/>
    <xf numFmtId="170" fontId="30" fillId="12" borderId="37" xfId="2" applyNumberFormat="1" applyFont="1" applyFill="1" applyBorder="1"/>
    <xf numFmtId="44" fontId="31" fillId="12" borderId="14" xfId="2" applyFont="1" applyFill="1" applyBorder="1"/>
    <xf numFmtId="44" fontId="31" fillId="12" borderId="43" xfId="2" applyFont="1" applyFill="1" applyBorder="1"/>
    <xf numFmtId="0" fontId="1" fillId="12" borderId="10" xfId="0" applyFont="1" applyFill="1" applyBorder="1" applyAlignment="1">
      <alignment horizontal="center" vertical="center"/>
    </xf>
    <xf numFmtId="0" fontId="18" fillId="9" borderId="24" xfId="0" applyFont="1" applyFill="1" applyBorder="1" applyAlignment="1">
      <alignment wrapText="1"/>
    </xf>
    <xf numFmtId="168" fontId="1" fillId="3" borderId="0" xfId="0" applyNumberFormat="1" applyFont="1" applyFill="1" applyAlignment="1">
      <alignment horizontal="center"/>
    </xf>
    <xf numFmtId="0" fontId="1" fillId="4" borderId="0" xfId="0" applyFont="1" applyFill="1" applyAlignment="1">
      <alignment horizontal="left" wrapText="1"/>
    </xf>
  </cellXfs>
  <cellStyles count="3">
    <cellStyle name="Hipervínculo" xfId="1" builtinId="8"/>
    <cellStyle name="Moneda"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SALTA%201167\Diciembre\SALTA1167-Diciembre.xlsx" TargetMode="External"/><Relationship Id="rId1" Type="http://schemas.openxmlformats.org/officeDocument/2006/relationships/externalLinkPath" Target="file:///C:\Users\Sistema\Desktop\rc-consorcio2025\SALTA%201167\Diciembre\SALTA1167-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EDESUR"/>
    </sheetNames>
    <sheetDataSet>
      <sheetData sheetId="0">
        <row r="8">
          <cell r="B8" t="str">
            <v>VTO 15/01</v>
          </cell>
        </row>
        <row r="13">
          <cell r="A13" t="str">
            <v>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v>
          </cell>
        </row>
      </sheetData>
      <sheetData sheetId="1">
        <row r="34">
          <cell r="G34">
            <v>2038799.4999999998</v>
          </cell>
        </row>
      </sheetData>
      <sheetData sheetId="2">
        <row r="5">
          <cell r="I5">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arias.mirta@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09"/>
  <sheetViews>
    <sheetView tabSelected="1" topLeftCell="A73" workbookViewId="0">
      <selection activeCell="A88" sqref="A88:B89"/>
    </sheetView>
  </sheetViews>
  <sheetFormatPr baseColWidth="10"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143"/>
      <c r="B1" s="319" t="s">
        <v>337</v>
      </c>
      <c r="C1" s="319"/>
      <c r="D1" s="319"/>
      <c r="E1" s="320"/>
    </row>
    <row r="2" spans="1:5" x14ac:dyDescent="0.25">
      <c r="A2" s="144"/>
      <c r="B2" s="151" t="s">
        <v>340</v>
      </c>
      <c r="C2" s="145"/>
      <c r="D2" s="145"/>
      <c r="E2" s="146"/>
    </row>
    <row r="3" spans="1:5" ht="51.6" customHeight="1" thickBot="1" x14ac:dyDescent="0.3">
      <c r="A3" s="144"/>
      <c r="B3" s="291" t="s">
        <v>338</v>
      </c>
      <c r="C3" s="291"/>
      <c r="D3" s="291"/>
      <c r="E3" s="292"/>
    </row>
    <row r="4" spans="1:5" ht="15.75" thickBot="1" x14ac:dyDescent="0.3">
      <c r="A4" s="147" t="s">
        <v>282</v>
      </c>
      <c r="B4" s="148" t="s">
        <v>283</v>
      </c>
      <c r="C4" s="149"/>
      <c r="D4" s="149"/>
      <c r="E4" s="150"/>
    </row>
    <row r="5" spans="1:5" ht="15.75" thickBot="1" x14ac:dyDescent="0.3">
      <c r="A5" s="144" t="s">
        <v>339</v>
      </c>
      <c r="B5" s="149" t="s">
        <v>284</v>
      </c>
      <c r="C5" s="151"/>
      <c r="D5" s="145" t="s">
        <v>285</v>
      </c>
      <c r="E5" s="152"/>
    </row>
    <row r="6" spans="1:5" ht="16.149999999999999" customHeight="1" thickBot="1" x14ac:dyDescent="0.3">
      <c r="A6" s="276" t="s">
        <v>324</v>
      </c>
      <c r="B6" s="149"/>
      <c r="C6" s="149"/>
      <c r="D6" s="149" t="s">
        <v>286</v>
      </c>
      <c r="E6" s="150"/>
    </row>
    <row r="8" spans="1:5" x14ac:dyDescent="0.25">
      <c r="B8" s="293" t="s">
        <v>341</v>
      </c>
      <c r="C8" s="293"/>
    </row>
    <row r="9" spans="1:5" x14ac:dyDescent="0.25">
      <c r="B9" s="293"/>
      <c r="C9" s="293"/>
    </row>
    <row r="10" spans="1:5" x14ac:dyDescent="0.25">
      <c r="B10" s="293"/>
      <c r="C10" s="293"/>
    </row>
    <row r="12" spans="1:5" hidden="1" x14ac:dyDescent="0.25"/>
    <row r="13" spans="1:5" ht="15" customHeight="1" x14ac:dyDescent="0.25">
      <c r="A13" s="294" t="s">
        <v>287</v>
      </c>
      <c r="B13" s="294"/>
      <c r="C13" s="294"/>
      <c r="D13" s="294"/>
      <c r="E13" s="294"/>
    </row>
    <row r="14" spans="1:5" ht="15" customHeight="1" x14ac:dyDescent="0.25">
      <c r="A14" s="294"/>
      <c r="B14" s="294"/>
      <c r="C14" s="294"/>
      <c r="D14" s="294"/>
      <c r="E14" s="294"/>
    </row>
    <row r="15" spans="1:5" ht="15" customHeight="1" x14ac:dyDescent="0.25">
      <c r="A15" s="294"/>
      <c r="B15" s="294"/>
      <c r="C15" s="294"/>
      <c r="D15" s="294"/>
      <c r="E15" s="294"/>
    </row>
    <row r="16" spans="1:5" ht="53.25" customHeight="1" x14ac:dyDescent="0.25">
      <c r="A16" s="294"/>
      <c r="B16" s="294"/>
      <c r="C16" s="294"/>
      <c r="D16" s="294"/>
      <c r="E16" s="294"/>
    </row>
    <row r="17" spans="1:10" ht="14.25" customHeight="1" thickBot="1" x14ac:dyDescent="0.3"/>
    <row r="18" spans="1:10" ht="15.75" hidden="1" thickBot="1" x14ac:dyDescent="0.3">
      <c r="A18" s="9"/>
    </row>
    <row r="19" spans="1:10" ht="15.75" hidden="1" thickBot="1" x14ac:dyDescent="0.3"/>
    <row r="20" spans="1:10" x14ac:dyDescent="0.25">
      <c r="A20" s="153" t="s">
        <v>288</v>
      </c>
      <c r="B20" s="154"/>
      <c r="C20" s="155"/>
      <c r="D20" s="156"/>
      <c r="E20" s="157"/>
    </row>
    <row r="21" spans="1:10" x14ac:dyDescent="0.25">
      <c r="A21" s="158" t="s">
        <v>325</v>
      </c>
      <c r="B21" s="158"/>
      <c r="C21" s="158"/>
      <c r="D21" s="159"/>
      <c r="E21" s="160"/>
      <c r="J21" t="s">
        <v>374</v>
      </c>
    </row>
    <row r="22" spans="1:10" ht="15" customHeight="1" x14ac:dyDescent="0.25">
      <c r="A22" s="285" t="s">
        <v>375</v>
      </c>
      <c r="B22" s="286"/>
      <c r="C22" s="163"/>
      <c r="D22" s="165">
        <v>1150536</v>
      </c>
      <c r="E22" s="191"/>
      <c r="H22" s="164"/>
    </row>
    <row r="23" spans="1:10" ht="15" customHeight="1" x14ac:dyDescent="0.25">
      <c r="A23" s="285" t="s">
        <v>376</v>
      </c>
      <c r="B23" s="286"/>
      <c r="C23" s="163"/>
      <c r="D23" s="165">
        <v>745586</v>
      </c>
      <c r="E23" s="166"/>
      <c r="H23" s="164"/>
      <c r="J23" s="165">
        <v>1010590</v>
      </c>
    </row>
    <row r="24" spans="1:10" ht="37.5" customHeight="1" x14ac:dyDescent="0.25">
      <c r="A24" s="285" t="s">
        <v>377</v>
      </c>
      <c r="B24" s="286"/>
      <c r="C24" s="163"/>
      <c r="D24" s="192">
        <v>516000</v>
      </c>
      <c r="E24" s="166"/>
      <c r="H24" s="164"/>
      <c r="J24" s="165"/>
    </row>
    <row r="25" spans="1:10" x14ac:dyDescent="0.25">
      <c r="A25" s="167" t="s">
        <v>289</v>
      </c>
      <c r="B25" s="167"/>
      <c r="C25" s="167"/>
      <c r="D25" s="168"/>
      <c r="E25" s="169">
        <f>SUM(D22:D24)</f>
        <v>2412122</v>
      </c>
      <c r="J25" s="165">
        <v>496108.79999999999</v>
      </c>
    </row>
    <row r="26" spans="1:10" x14ac:dyDescent="0.25">
      <c r="A26" s="158" t="s">
        <v>326</v>
      </c>
      <c r="B26" s="167"/>
      <c r="C26" s="167"/>
      <c r="D26" s="168"/>
      <c r="E26" s="277"/>
      <c r="J26" s="165">
        <v>150596.9</v>
      </c>
    </row>
    <row r="27" spans="1:10" x14ac:dyDescent="0.25">
      <c r="A27" s="163" t="s">
        <v>353</v>
      </c>
      <c r="B27" s="278"/>
      <c r="C27" s="278"/>
      <c r="D27" s="189">
        <v>14273.4</v>
      </c>
      <c r="E27" s="279"/>
      <c r="J27" s="165">
        <v>23091.599999999999</v>
      </c>
    </row>
    <row r="28" spans="1:10" x14ac:dyDescent="0.25">
      <c r="A28" s="163" t="s">
        <v>351</v>
      </c>
      <c r="B28" s="278"/>
      <c r="C28" s="278"/>
      <c r="D28" s="189">
        <v>1205340.24</v>
      </c>
      <c r="E28" s="331" t="s">
        <v>352</v>
      </c>
      <c r="J28" s="165">
        <v>64310.3</v>
      </c>
    </row>
    <row r="29" spans="1:10" x14ac:dyDescent="0.25">
      <c r="A29" s="163" t="s">
        <v>328</v>
      </c>
      <c r="B29" s="278"/>
      <c r="C29" s="278"/>
      <c r="D29" s="189">
        <v>203635.8</v>
      </c>
      <c r="E29" s="331" t="s">
        <v>349</v>
      </c>
      <c r="J29" s="165">
        <v>872348.8</v>
      </c>
    </row>
    <row r="30" spans="1:10" x14ac:dyDescent="0.25">
      <c r="A30" s="163" t="s">
        <v>330</v>
      </c>
      <c r="B30" s="278"/>
      <c r="C30" s="278"/>
      <c r="D30" s="189">
        <v>113704.46</v>
      </c>
      <c r="E30" s="331" t="str">
        <f>E29</f>
        <v>Debito 12-12 Cred.</v>
      </c>
      <c r="J30" s="165">
        <v>191118</v>
      </c>
    </row>
    <row r="31" spans="1:10" x14ac:dyDescent="0.25">
      <c r="A31" s="163" t="s">
        <v>329</v>
      </c>
      <c r="B31" s="278"/>
      <c r="C31" s="278"/>
      <c r="D31" s="189">
        <v>12633.83</v>
      </c>
      <c r="E31" s="331" t="str">
        <f>E29</f>
        <v>Debito 12-12 Cred.</v>
      </c>
      <c r="J31" s="165">
        <v>-610775.74</v>
      </c>
    </row>
    <row r="32" spans="1:10" x14ac:dyDescent="0.25">
      <c r="A32" s="163" t="s">
        <v>354</v>
      </c>
      <c r="B32" s="278"/>
      <c r="C32" s="278"/>
      <c r="D32" s="189">
        <v>99224</v>
      </c>
      <c r="E32" s="331" t="s">
        <v>352</v>
      </c>
      <c r="J32" s="165">
        <v>0.34</v>
      </c>
    </row>
    <row r="33" spans="1:5" ht="12.75" customHeight="1" x14ac:dyDescent="0.25">
      <c r="A33" s="167" t="s">
        <v>327</v>
      </c>
      <c r="B33" s="167"/>
      <c r="C33" s="167"/>
      <c r="D33" s="168"/>
      <c r="E33" s="176">
        <f>SUM(D27:D32)</f>
        <v>1648811.73</v>
      </c>
    </row>
    <row r="34" spans="1:5" x14ac:dyDescent="0.25">
      <c r="A34" s="158" t="s">
        <v>290</v>
      </c>
      <c r="B34" s="167"/>
      <c r="C34" s="167"/>
      <c r="D34" s="170"/>
      <c r="E34" s="171"/>
    </row>
    <row r="35" spans="1:5" ht="26.25" customHeight="1" x14ac:dyDescent="0.25">
      <c r="A35" s="289" t="s">
        <v>332</v>
      </c>
      <c r="B35" s="290"/>
      <c r="C35" s="174"/>
      <c r="D35" s="280"/>
      <c r="E35" s="175"/>
    </row>
    <row r="36" spans="1:5" ht="27" customHeight="1" x14ac:dyDescent="0.25">
      <c r="A36" s="289" t="s">
        <v>333</v>
      </c>
      <c r="B36" s="290"/>
      <c r="C36" s="174"/>
      <c r="D36" s="281">
        <v>5204</v>
      </c>
      <c r="E36" s="166" t="s">
        <v>342</v>
      </c>
    </row>
    <row r="37" spans="1:5" ht="23.25" customHeight="1" x14ac:dyDescent="0.25">
      <c r="A37" s="172" t="s">
        <v>378</v>
      </c>
      <c r="B37" s="173"/>
      <c r="C37" s="174"/>
      <c r="D37" s="281">
        <v>10989</v>
      </c>
      <c r="E37" s="175"/>
    </row>
    <row r="38" spans="1:5" x14ac:dyDescent="0.25">
      <c r="A38" s="167" t="s">
        <v>291</v>
      </c>
      <c r="B38" s="167"/>
      <c r="C38" s="167"/>
      <c r="D38" s="168"/>
      <c r="E38" s="176">
        <f>SUM(D35:D37)</f>
        <v>16193</v>
      </c>
    </row>
    <row r="39" spans="1:5" x14ac:dyDescent="0.25">
      <c r="A39" s="158" t="s">
        <v>292</v>
      </c>
      <c r="B39" s="177"/>
      <c r="C39" s="177"/>
      <c r="D39" s="178"/>
      <c r="E39" s="179"/>
    </row>
    <row r="40" spans="1:5" ht="14.25" customHeight="1" x14ac:dyDescent="0.25">
      <c r="A40" s="180" t="s">
        <v>293</v>
      </c>
      <c r="B40" s="180"/>
      <c r="C40" s="180"/>
      <c r="D40" s="181">
        <v>29196.74</v>
      </c>
      <c r="E40" s="166" t="s">
        <v>342</v>
      </c>
    </row>
    <row r="41" spans="1:5" ht="14.25" customHeight="1" x14ac:dyDescent="0.25">
      <c r="A41" s="180" t="s">
        <v>293</v>
      </c>
      <c r="B41" s="180"/>
      <c r="C41" s="180"/>
      <c r="D41" s="181">
        <v>13343.82</v>
      </c>
      <c r="E41" s="166" t="s">
        <v>342</v>
      </c>
    </row>
    <row r="42" spans="1:5" ht="14.25" customHeight="1" x14ac:dyDescent="0.25">
      <c r="A42" s="180" t="s">
        <v>293</v>
      </c>
      <c r="B42" s="180"/>
      <c r="C42" s="180"/>
      <c r="D42" s="181">
        <v>435867.7</v>
      </c>
      <c r="E42" s="166" t="s">
        <v>343</v>
      </c>
    </row>
    <row r="43" spans="1:5" ht="14.25" customHeight="1" x14ac:dyDescent="0.25">
      <c r="A43" s="180" t="s">
        <v>293</v>
      </c>
      <c r="B43" s="180"/>
      <c r="C43" s="180"/>
      <c r="D43" s="181">
        <v>312536.71999999997</v>
      </c>
      <c r="E43" s="166" t="s">
        <v>344</v>
      </c>
    </row>
    <row r="44" spans="1:5" ht="14.25" customHeight="1" x14ac:dyDescent="0.25">
      <c r="A44" s="180" t="s">
        <v>293</v>
      </c>
      <c r="B44" s="180"/>
      <c r="C44" s="180"/>
      <c r="D44" s="181">
        <v>25340.48</v>
      </c>
      <c r="E44" s="166" t="s">
        <v>344</v>
      </c>
    </row>
    <row r="45" spans="1:5" x14ac:dyDescent="0.25">
      <c r="A45" s="180" t="s">
        <v>294</v>
      </c>
      <c r="B45" s="180"/>
      <c r="C45" s="180"/>
      <c r="D45" s="181">
        <v>16698.189999999999</v>
      </c>
      <c r="E45" s="166" t="s">
        <v>342</v>
      </c>
    </row>
    <row r="46" spans="1:5" x14ac:dyDescent="0.25">
      <c r="A46" s="180" t="s">
        <v>294</v>
      </c>
      <c r="B46" s="183"/>
      <c r="C46" s="180"/>
      <c r="D46" s="182"/>
      <c r="E46" s="166"/>
    </row>
    <row r="47" spans="1:5" x14ac:dyDescent="0.25">
      <c r="A47" s="289" t="s">
        <v>295</v>
      </c>
      <c r="B47" s="290"/>
      <c r="C47" s="180"/>
      <c r="D47" s="181">
        <v>3347160.59</v>
      </c>
      <c r="E47" s="331" t="s">
        <v>352</v>
      </c>
    </row>
    <row r="48" spans="1:5" x14ac:dyDescent="0.25">
      <c r="A48" s="184" t="s">
        <v>296</v>
      </c>
      <c r="B48" s="173"/>
      <c r="C48" s="180"/>
      <c r="D48" s="181"/>
      <c r="E48" s="166"/>
    </row>
    <row r="49" spans="1:6" ht="15.75" thickBot="1" x14ac:dyDescent="0.3">
      <c r="A49" s="167" t="s">
        <v>297</v>
      </c>
      <c r="B49" s="167"/>
      <c r="C49" s="167"/>
      <c r="D49" s="185"/>
      <c r="E49" s="186">
        <f>SUM(D40:D48)</f>
        <v>4180144.2399999998</v>
      </c>
    </row>
    <row r="50" spans="1:6" ht="15" customHeight="1" thickBot="1" x14ac:dyDescent="0.3">
      <c r="A50" s="158"/>
      <c r="B50" s="167"/>
      <c r="C50" s="167"/>
      <c r="D50" s="168"/>
      <c r="E50" s="187"/>
    </row>
    <row r="51" spans="1:6" ht="24.95" customHeight="1" x14ac:dyDescent="0.25">
      <c r="A51" s="285" t="s">
        <v>331</v>
      </c>
      <c r="B51" s="286"/>
      <c r="C51" s="180"/>
      <c r="D51" s="181">
        <v>286000</v>
      </c>
      <c r="E51" s="188" t="s">
        <v>350</v>
      </c>
    </row>
    <row r="52" spans="1:6" ht="24.95" customHeight="1" x14ac:dyDescent="0.25">
      <c r="A52" s="285" t="s">
        <v>369</v>
      </c>
      <c r="B52" s="286"/>
      <c r="C52" s="180"/>
      <c r="D52" s="181">
        <v>102000</v>
      </c>
      <c r="E52" s="188"/>
      <c r="F52" s="208"/>
    </row>
    <row r="53" spans="1:6" ht="24.95" customHeight="1" x14ac:dyDescent="0.25">
      <c r="A53" s="285"/>
      <c r="B53" s="286"/>
      <c r="C53" s="180"/>
      <c r="D53" s="181"/>
      <c r="E53" s="188"/>
    </row>
    <row r="54" spans="1:6" x14ac:dyDescent="0.25">
      <c r="A54" s="167" t="s">
        <v>5</v>
      </c>
      <c r="B54" s="158"/>
      <c r="C54" s="158"/>
      <c r="D54" s="190"/>
      <c r="E54" s="176">
        <f>SUM(D51:D53)</f>
        <v>388000</v>
      </c>
    </row>
    <row r="55" spans="1:6" x14ac:dyDescent="0.25">
      <c r="A55" s="158" t="s">
        <v>298</v>
      </c>
      <c r="B55" s="158"/>
      <c r="C55" s="158"/>
      <c r="D55" s="159"/>
      <c r="E55" s="160"/>
    </row>
    <row r="56" spans="1:6" ht="15.75" customHeight="1" x14ac:dyDescent="0.25">
      <c r="A56" s="285" t="s">
        <v>299</v>
      </c>
      <c r="B56" s="286"/>
      <c r="C56" s="163"/>
      <c r="D56" s="165"/>
      <c r="E56" s="191"/>
    </row>
    <row r="57" spans="1:6" ht="15.75" customHeight="1" x14ac:dyDescent="0.25">
      <c r="A57" s="161" t="s">
        <v>334</v>
      </c>
      <c r="B57" s="162"/>
      <c r="C57" s="163"/>
      <c r="D57" s="192"/>
      <c r="E57" s="191"/>
    </row>
    <row r="58" spans="1:6" x14ac:dyDescent="0.25">
      <c r="A58" s="167" t="s">
        <v>289</v>
      </c>
      <c r="B58" s="167"/>
      <c r="C58" s="167"/>
      <c r="D58" s="168"/>
      <c r="E58" s="169">
        <f>SUM(D56:D57)</f>
        <v>0</v>
      </c>
    </row>
    <row r="59" spans="1:6" x14ac:dyDescent="0.25">
      <c r="A59" s="158" t="s">
        <v>300</v>
      </c>
      <c r="B59" s="193"/>
      <c r="C59" s="167"/>
      <c r="D59" s="194"/>
      <c r="E59" s="176"/>
    </row>
    <row r="60" spans="1:6" x14ac:dyDescent="0.25">
      <c r="A60" s="180" t="s">
        <v>345</v>
      </c>
      <c r="B60" s="180"/>
      <c r="C60" s="180"/>
      <c r="D60" s="181">
        <v>18681.400000000001</v>
      </c>
      <c r="E60" s="195"/>
    </row>
    <row r="61" spans="1:6" x14ac:dyDescent="0.25">
      <c r="A61" s="180" t="s">
        <v>346</v>
      </c>
      <c r="B61" s="180"/>
      <c r="C61" s="180"/>
      <c r="D61" s="181">
        <v>180437.61</v>
      </c>
      <c r="E61" s="196"/>
    </row>
    <row r="62" spans="1:6" x14ac:dyDescent="0.25">
      <c r="A62" s="180" t="s">
        <v>347</v>
      </c>
      <c r="B62" s="321"/>
      <c r="C62" s="321"/>
      <c r="D62" s="322">
        <v>45000</v>
      </c>
      <c r="E62" s="196"/>
    </row>
    <row r="63" spans="1:6" x14ac:dyDescent="0.25">
      <c r="A63" s="180" t="s">
        <v>348</v>
      </c>
      <c r="B63" s="321"/>
      <c r="C63" s="321"/>
      <c r="D63" s="322">
        <v>146851.51</v>
      </c>
      <c r="E63" s="196"/>
    </row>
    <row r="64" spans="1:6" x14ac:dyDescent="0.25">
      <c r="A64" s="197" t="s">
        <v>289</v>
      </c>
      <c r="B64" s="197"/>
      <c r="C64" s="197"/>
      <c r="D64" s="198"/>
      <c r="E64" s="199">
        <f>SUM(D60:D63)</f>
        <v>390970.52</v>
      </c>
    </row>
    <row r="65" spans="1:8" x14ac:dyDescent="0.25">
      <c r="A65" s="180"/>
      <c r="B65" s="180"/>
      <c r="C65" s="180"/>
      <c r="D65" s="200"/>
      <c r="E65" s="201"/>
    </row>
    <row r="66" spans="1:8" x14ac:dyDescent="0.25">
      <c r="A66" s="202" t="s">
        <v>301</v>
      </c>
      <c r="B66" s="202"/>
      <c r="C66" s="202"/>
      <c r="D66" s="203"/>
      <c r="E66" s="204">
        <f>10739391-9036241.49</f>
        <v>1703149.5099999998</v>
      </c>
    </row>
    <row r="67" spans="1:8" ht="15.75" thickBot="1" x14ac:dyDescent="0.3">
      <c r="A67" s="205"/>
      <c r="D67" s="206"/>
      <c r="E67" s="207"/>
      <c r="F67" s="208"/>
    </row>
    <row r="68" spans="1:8" ht="15.75" thickBot="1" x14ac:dyDescent="0.3">
      <c r="A68" s="209" t="s">
        <v>302</v>
      </c>
      <c r="B68" s="210"/>
      <c r="C68" s="211"/>
      <c r="D68" s="212"/>
      <c r="E68" s="213">
        <f>(SUM(E21:E66))</f>
        <v>10739390.999999998</v>
      </c>
      <c r="F68" s="214"/>
      <c r="G68" s="208"/>
    </row>
    <row r="69" spans="1:8" x14ac:dyDescent="0.25">
      <c r="D69" s="206"/>
      <c r="E69" s="206"/>
    </row>
    <row r="70" spans="1:8" ht="15.75" thickBot="1" x14ac:dyDescent="0.3">
      <c r="D70" s="206"/>
      <c r="E70" s="206"/>
      <c r="H70" s="215"/>
    </row>
    <row r="71" spans="1:8" x14ac:dyDescent="0.25">
      <c r="A71" s="153" t="s">
        <v>303</v>
      </c>
      <c r="B71" s="154"/>
      <c r="C71" s="155"/>
      <c r="D71" s="216"/>
      <c r="E71" s="217"/>
    </row>
    <row r="72" spans="1:8" ht="15" customHeight="1" x14ac:dyDescent="0.25">
      <c r="A72" s="172"/>
      <c r="B72" s="173"/>
      <c r="C72" s="180"/>
      <c r="D72" s="189"/>
      <c r="E72" s="218"/>
    </row>
    <row r="73" spans="1:8" ht="15" customHeight="1" x14ac:dyDescent="0.25">
      <c r="A73" s="285"/>
      <c r="B73" s="286"/>
      <c r="C73" s="180"/>
      <c r="D73" s="189"/>
      <c r="E73" s="218"/>
    </row>
    <row r="74" spans="1:8" ht="15.75" customHeight="1" x14ac:dyDescent="0.25">
      <c r="D74" s="180"/>
      <c r="E74" s="180"/>
    </row>
    <row r="75" spans="1:8" x14ac:dyDescent="0.25">
      <c r="A75" s="172"/>
      <c r="B75" s="219"/>
      <c r="C75" s="180"/>
      <c r="D75" s="189"/>
      <c r="E75" s="218"/>
    </row>
    <row r="76" spans="1:8" x14ac:dyDescent="0.25">
      <c r="A76" s="220" t="s">
        <v>336</v>
      </c>
      <c r="B76" s="221"/>
      <c r="C76" s="221"/>
      <c r="D76" s="222"/>
      <c r="E76" s="282">
        <f>SUM(D72:D75)</f>
        <v>0</v>
      </c>
    </row>
    <row r="77" spans="1:8" ht="15" customHeight="1" x14ac:dyDescent="0.25"/>
    <row r="78" spans="1:8" hidden="1" x14ac:dyDescent="0.25"/>
    <row r="79" spans="1:8" x14ac:dyDescent="0.25">
      <c r="A79" s="202" t="s">
        <v>304</v>
      </c>
      <c r="B79" s="202"/>
      <c r="C79" s="202"/>
      <c r="D79" s="223"/>
      <c r="E79" s="333"/>
    </row>
    <row r="80" spans="1:8" ht="15.75" thickBot="1" x14ac:dyDescent="0.3"/>
    <row r="81" spans="1:6" ht="15.75" thickBot="1" x14ac:dyDescent="0.3">
      <c r="A81" s="209" t="s">
        <v>305</v>
      </c>
      <c r="B81" s="210"/>
      <c r="C81" s="211"/>
      <c r="D81" s="211"/>
      <c r="E81" s="224">
        <f>E76+E79</f>
        <v>0</v>
      </c>
    </row>
    <row r="82" spans="1:6" ht="15.75" thickBot="1" x14ac:dyDescent="0.3"/>
    <row r="83" spans="1:6" ht="15.75" thickBot="1" x14ac:dyDescent="0.3">
      <c r="A83" s="225" t="s">
        <v>306</v>
      </c>
      <c r="B83" s="226">
        <f>E68</f>
        <v>10739390.999999998</v>
      </c>
    </row>
    <row r="84" spans="1:6" ht="15.75" thickBot="1" x14ac:dyDescent="0.3">
      <c r="A84" s="225" t="s">
        <v>307</v>
      </c>
      <c r="B84" s="226">
        <f>E68-E66</f>
        <v>9036241.4899999984</v>
      </c>
    </row>
    <row r="85" spans="1:6" ht="15.75" thickBot="1" x14ac:dyDescent="0.3">
      <c r="A85" s="225" t="s">
        <v>308</v>
      </c>
      <c r="B85" s="226">
        <f>E81-E79</f>
        <v>0</v>
      </c>
    </row>
    <row r="86" spans="1:6" ht="15.75" thickBot="1" x14ac:dyDescent="0.3">
      <c r="A86" s="225" t="s">
        <v>309</v>
      </c>
      <c r="B86" s="226">
        <f>E81</f>
        <v>0</v>
      </c>
    </row>
    <row r="88" spans="1:6" x14ac:dyDescent="0.25">
      <c r="A88" s="351" t="s">
        <v>381</v>
      </c>
      <c r="B88" s="351"/>
    </row>
    <row r="89" spans="1:6" x14ac:dyDescent="0.25">
      <c r="A89" s="351"/>
      <c r="B89" s="351"/>
    </row>
    <row r="90" spans="1:6" s="229" customFormat="1" x14ac:dyDescent="0.25">
      <c r="A90"/>
      <c r="B90" s="227"/>
      <c r="C90" s="228"/>
    </row>
    <row r="91" spans="1:6" s="229" customFormat="1" ht="30.75" customHeight="1" x14ac:dyDescent="0.25">
      <c r="A91" s="349" t="s">
        <v>379</v>
      </c>
      <c r="B91" s="230">
        <f>9026162.73+2276803.33+452854.369999997</f>
        <v>11755820.429999998</v>
      </c>
      <c r="C91" s="228"/>
      <c r="D91" s="231"/>
    </row>
    <row r="92" spans="1:6" x14ac:dyDescent="0.25">
      <c r="A92" s="174" t="s">
        <v>335</v>
      </c>
      <c r="B92" s="232">
        <f>-B84-B85</f>
        <v>-9036241.4899999984</v>
      </c>
    </row>
    <row r="93" spans="1:6" x14ac:dyDescent="0.25">
      <c r="A93" s="174" t="s">
        <v>310</v>
      </c>
      <c r="B93" s="232">
        <f>B108</f>
        <v>638659.29</v>
      </c>
      <c r="F93" s="227"/>
    </row>
    <row r="94" spans="1:6" x14ac:dyDescent="0.25">
      <c r="A94" s="174" t="s">
        <v>86</v>
      </c>
      <c r="B94" s="233">
        <f>PRORRATEO!F117</f>
        <v>12465676.039999999</v>
      </c>
      <c r="F94" s="227"/>
    </row>
    <row r="95" spans="1:6" ht="30" x14ac:dyDescent="0.25">
      <c r="A95" s="234" t="s">
        <v>373</v>
      </c>
      <c r="B95" s="284">
        <v>122500</v>
      </c>
      <c r="F95" s="227"/>
    </row>
    <row r="96" spans="1:6" ht="15.75" thickBot="1" x14ac:dyDescent="0.3">
      <c r="A96" s="235" t="s">
        <v>380</v>
      </c>
      <c r="B96" s="236">
        <f>SUM(B91:C95)</f>
        <v>15946414.27</v>
      </c>
      <c r="F96" s="208"/>
    </row>
    <row r="97" spans="1:13" ht="34.5" customHeight="1" x14ac:dyDescent="0.25"/>
    <row r="98" spans="1:13" x14ac:dyDescent="0.25">
      <c r="A98" s="287" t="s">
        <v>311</v>
      </c>
      <c r="B98" s="287"/>
      <c r="C98" s="287"/>
    </row>
    <row r="99" spans="1:13" x14ac:dyDescent="0.25">
      <c r="A99" s="287"/>
      <c r="B99" s="287"/>
      <c r="C99" s="287"/>
    </row>
    <row r="100" spans="1:13" ht="35.25" customHeight="1" x14ac:dyDescent="0.25">
      <c r="A100" s="237" t="s">
        <v>355</v>
      </c>
      <c r="B100" s="337">
        <v>168835</v>
      </c>
      <c r="C100" s="238">
        <v>40000</v>
      </c>
      <c r="E100" s="214"/>
    </row>
    <row r="101" spans="1:13" ht="35.25" customHeight="1" x14ac:dyDescent="0.25">
      <c r="A101" s="237" t="s">
        <v>356</v>
      </c>
      <c r="B101" s="239">
        <v>123000</v>
      </c>
      <c r="C101" s="240"/>
      <c r="E101" s="214"/>
    </row>
    <row r="102" spans="1:13" ht="35.25" customHeight="1" x14ac:dyDescent="0.25">
      <c r="A102" s="237" t="s">
        <v>358</v>
      </c>
      <c r="B102" s="239">
        <v>1200</v>
      </c>
      <c r="C102" s="240"/>
      <c r="E102" s="214"/>
    </row>
    <row r="103" spans="1:13" ht="35.25" customHeight="1" x14ac:dyDescent="0.25">
      <c r="A103" s="338" t="s">
        <v>362</v>
      </c>
      <c r="B103" s="239">
        <v>99011.93</v>
      </c>
      <c r="C103" s="240"/>
      <c r="E103" s="214"/>
    </row>
    <row r="104" spans="1:13" ht="35.25" customHeight="1" x14ac:dyDescent="0.25">
      <c r="A104" s="338" t="s">
        <v>364</v>
      </c>
      <c r="B104" s="239">
        <v>123000</v>
      </c>
      <c r="C104" s="240"/>
      <c r="E104" s="214"/>
    </row>
    <row r="105" spans="1:13" ht="35.25" customHeight="1" x14ac:dyDescent="0.25">
      <c r="A105" s="338" t="s">
        <v>367</v>
      </c>
      <c r="B105" s="239">
        <v>123612.36</v>
      </c>
      <c r="C105" s="240"/>
      <c r="E105" s="214"/>
    </row>
    <row r="106" spans="1:13" ht="35.25" customHeight="1" x14ac:dyDescent="0.25">
      <c r="A106" s="338"/>
      <c r="B106" s="239"/>
      <c r="C106" s="240"/>
      <c r="E106" s="214"/>
    </row>
    <row r="107" spans="1:13" ht="27" customHeight="1" x14ac:dyDescent="0.25">
      <c r="A107" s="237"/>
      <c r="B107" s="239"/>
      <c r="C107" s="240"/>
      <c r="D107" s="214"/>
    </row>
    <row r="108" spans="1:13" x14ac:dyDescent="0.25">
      <c r="A108" s="241" t="s">
        <v>5</v>
      </c>
      <c r="B108" s="242">
        <f>SUM(B100:B107)</f>
        <v>638659.29</v>
      </c>
      <c r="C108" s="243"/>
    </row>
    <row r="109" spans="1:13" x14ac:dyDescent="0.25">
      <c r="M109" s="244"/>
    </row>
  </sheetData>
  <mergeCells count="17">
    <mergeCell ref="A47:B47"/>
    <mergeCell ref="A51:B51"/>
    <mergeCell ref="A52:B52"/>
    <mergeCell ref="A53:B53"/>
    <mergeCell ref="B3:E3"/>
    <mergeCell ref="B8:C10"/>
    <mergeCell ref="A13:E16"/>
    <mergeCell ref="A22:B22"/>
    <mergeCell ref="A23:B23"/>
    <mergeCell ref="A35:B35"/>
    <mergeCell ref="B1:E1"/>
    <mergeCell ref="A24:B24"/>
    <mergeCell ref="A56:B56"/>
    <mergeCell ref="A73:B73"/>
    <mergeCell ref="A98:C99"/>
    <mergeCell ref="A36:B36"/>
    <mergeCell ref="A88:B89"/>
  </mergeCells>
  <pageMargins left="0.25" right="0.25" top="0.75" bottom="0.75" header="0.3" footer="0.3"/>
  <pageSetup paperSize="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N125"/>
  <sheetViews>
    <sheetView topLeftCell="A16" zoomScaleNormal="100" workbookViewId="0">
      <selection activeCell="A4" sqref="A4:L8"/>
    </sheetView>
  </sheetViews>
  <sheetFormatPr baseColWidth="10" defaultRowHeight="15" x14ac:dyDescent="0.25"/>
  <cols>
    <col min="1" max="1" width="4.28515625" customWidth="1"/>
    <col min="2" max="2" width="25.5703125" customWidth="1"/>
    <col min="3" max="3" width="0.140625" customWidth="1"/>
    <col min="4" max="4" width="8.42578125" customWidth="1"/>
    <col min="5" max="5" width="14.140625" customWidth="1"/>
    <col min="6" max="6" width="12.28515625" customWidth="1"/>
    <col min="7" max="7" width="10.5703125" customWidth="1"/>
    <col min="8" max="8" width="9.5703125" customWidth="1"/>
    <col min="9" max="9" width="12.42578125" customWidth="1"/>
    <col min="10" max="10" width="14.42578125" customWidth="1"/>
    <col min="11" max="11" width="14.7109375" customWidth="1"/>
    <col min="12" max="12" width="14.28515625" customWidth="1"/>
    <col min="13" max="13" width="7.28515625" bestFit="1" customWidth="1"/>
    <col min="14" max="14" width="12" bestFit="1" customWidth="1"/>
    <col min="15" max="15" width="13" bestFit="1" customWidth="1"/>
  </cols>
  <sheetData>
    <row r="1" spans="1:13" ht="12.95" customHeight="1" x14ac:dyDescent="0.25">
      <c r="A1" s="245"/>
      <c r="B1" s="246"/>
      <c r="C1" s="246"/>
      <c r="D1" s="301"/>
      <c r="E1" s="301"/>
      <c r="F1" s="301"/>
      <c r="G1" s="301"/>
      <c r="H1" s="301"/>
      <c r="I1" s="301"/>
      <c r="J1" s="301"/>
      <c r="K1" s="301"/>
      <c r="L1" s="245"/>
    </row>
    <row r="2" spans="1:13" ht="12.95" customHeight="1" x14ac:dyDescent="0.25">
      <c r="A2" s="245"/>
      <c r="B2" s="246"/>
      <c r="C2" s="247"/>
      <c r="D2" s="247" t="s">
        <v>312</v>
      </c>
      <c r="E2" s="350">
        <v>3000000</v>
      </c>
      <c r="F2" s="350"/>
      <c r="G2" s="247"/>
      <c r="H2" s="247"/>
      <c r="I2" s="247" t="s">
        <v>313</v>
      </c>
      <c r="J2" s="283">
        <v>12074625</v>
      </c>
      <c r="K2" s="248"/>
      <c r="L2" s="249"/>
      <c r="M2" s="250"/>
    </row>
    <row r="3" spans="1:13" ht="12.95" customHeight="1" x14ac:dyDescent="0.25">
      <c r="A3" s="245"/>
      <c r="B3" s="246"/>
      <c r="C3" s="246"/>
      <c r="D3" s="246"/>
      <c r="E3" s="246"/>
      <c r="F3" s="251"/>
      <c r="G3" s="246"/>
      <c r="H3" s="246"/>
      <c r="I3" s="246"/>
      <c r="J3" s="246"/>
      <c r="K3" s="248"/>
      <c r="L3" s="249"/>
      <c r="M3" s="250"/>
    </row>
    <row r="4" spans="1:13" ht="12.95" customHeight="1" x14ac:dyDescent="0.25">
      <c r="A4" s="302" t="s">
        <v>371</v>
      </c>
      <c r="B4" s="303"/>
      <c r="C4" s="303"/>
      <c r="D4" s="303"/>
      <c r="E4" s="303"/>
      <c r="F4" s="303"/>
      <c r="G4" s="303"/>
      <c r="H4" s="303"/>
      <c r="I4" s="303"/>
      <c r="J4" s="303"/>
      <c r="K4" s="303"/>
      <c r="L4" s="303"/>
      <c r="M4" s="250"/>
    </row>
    <row r="5" spans="1:13" ht="12.95" customHeight="1" x14ac:dyDescent="0.25">
      <c r="A5" s="303"/>
      <c r="B5" s="303"/>
      <c r="C5" s="303"/>
      <c r="D5" s="303"/>
      <c r="E5" s="303"/>
      <c r="F5" s="303"/>
      <c r="G5" s="303"/>
      <c r="H5" s="303"/>
      <c r="I5" s="303"/>
      <c r="J5" s="303"/>
      <c r="K5" s="303"/>
      <c r="L5" s="303"/>
      <c r="M5" s="250"/>
    </row>
    <row r="6" spans="1:13" ht="12.95" customHeight="1" x14ac:dyDescent="0.25">
      <c r="A6" s="303"/>
      <c r="B6" s="303"/>
      <c r="C6" s="303"/>
      <c r="D6" s="303"/>
      <c r="E6" s="303"/>
      <c r="F6" s="303"/>
      <c r="G6" s="303"/>
      <c r="H6" s="303"/>
      <c r="I6" s="303"/>
      <c r="J6" s="303"/>
      <c r="K6" s="303"/>
      <c r="L6" s="303"/>
      <c r="M6" s="250"/>
    </row>
    <row r="7" spans="1:13" ht="12.95" customHeight="1" x14ac:dyDescent="0.25">
      <c r="A7" s="303"/>
      <c r="B7" s="303"/>
      <c r="C7" s="303"/>
      <c r="D7" s="303"/>
      <c r="E7" s="303"/>
      <c r="F7" s="303"/>
      <c r="G7" s="303"/>
      <c r="H7" s="303"/>
      <c r="I7" s="303"/>
      <c r="J7" s="303"/>
      <c r="K7" s="303"/>
      <c r="L7" s="303"/>
      <c r="M7" s="250"/>
    </row>
    <row r="8" spans="1:13" ht="192" customHeight="1" thickBot="1" x14ac:dyDescent="0.3">
      <c r="A8" s="304"/>
      <c r="B8" s="304"/>
      <c r="C8" s="304"/>
      <c r="D8" s="304"/>
      <c r="E8" s="304"/>
      <c r="F8" s="304"/>
      <c r="G8" s="304"/>
      <c r="H8" s="304"/>
      <c r="I8" s="304"/>
      <c r="J8" s="304"/>
      <c r="K8" s="304"/>
      <c r="L8" s="304"/>
    </row>
    <row r="9" spans="1:13" ht="48" customHeight="1" thickBot="1" x14ac:dyDescent="0.3">
      <c r="A9" s="332" t="s">
        <v>368</v>
      </c>
      <c r="B9" s="332"/>
      <c r="C9" s="332"/>
      <c r="D9" s="332"/>
      <c r="E9" s="332"/>
      <c r="F9" s="332"/>
      <c r="G9" s="332"/>
      <c r="H9" s="332"/>
      <c r="I9" s="332"/>
      <c r="J9" s="332"/>
      <c r="K9" s="332"/>
      <c r="L9" s="332"/>
    </row>
    <row r="10" spans="1:13" ht="48" customHeight="1" thickBot="1" x14ac:dyDescent="0.3">
      <c r="A10" s="348" t="s">
        <v>370</v>
      </c>
      <c r="B10" s="348"/>
      <c r="C10" s="348"/>
      <c r="D10" s="348"/>
      <c r="E10" s="348"/>
      <c r="F10" s="348"/>
      <c r="G10" s="348"/>
      <c r="H10" s="348"/>
      <c r="I10" s="348"/>
      <c r="J10" s="348"/>
      <c r="K10" s="348"/>
      <c r="L10" s="348"/>
    </row>
    <row r="11" spans="1:13" x14ac:dyDescent="0.25">
      <c r="A11" s="305" t="s">
        <v>314</v>
      </c>
      <c r="B11" s="305" t="s">
        <v>315</v>
      </c>
      <c r="C11" s="305" t="s">
        <v>316</v>
      </c>
      <c r="D11" s="305" t="s">
        <v>317</v>
      </c>
      <c r="E11" s="295" t="s">
        <v>318</v>
      </c>
      <c r="F11" s="305" t="s">
        <v>319</v>
      </c>
      <c r="G11" s="308" t="s">
        <v>320</v>
      </c>
      <c r="H11" s="295" t="s">
        <v>321</v>
      </c>
      <c r="I11" s="295" t="s">
        <v>313</v>
      </c>
      <c r="J11" s="297" t="s">
        <v>312</v>
      </c>
      <c r="K11" s="252" t="s">
        <v>322</v>
      </c>
      <c r="L11" s="299" t="s">
        <v>323</v>
      </c>
    </row>
    <row r="12" spans="1:13" ht="15.75" customHeight="1" x14ac:dyDescent="0.25">
      <c r="A12" s="306"/>
      <c r="B12" s="306"/>
      <c r="C12" s="307"/>
      <c r="D12" s="306"/>
      <c r="E12" s="296"/>
      <c r="F12" s="306"/>
      <c r="G12" s="309"/>
      <c r="H12" s="296"/>
      <c r="I12" s="296"/>
      <c r="J12" s="298"/>
      <c r="K12" s="253" t="str">
        <f>[1]RESUMEN!B8</f>
        <v>VTO 15/01</v>
      </c>
      <c r="L12" s="300"/>
    </row>
    <row r="13" spans="1:13" ht="17.100000000000001" customHeight="1" x14ac:dyDescent="0.25">
      <c r="A13" s="254">
        <v>1</v>
      </c>
      <c r="B13" s="254" t="s">
        <v>126</v>
      </c>
      <c r="C13" s="254"/>
      <c r="D13" s="255">
        <v>1.37</v>
      </c>
      <c r="E13" s="256">
        <v>206522.01250000001</v>
      </c>
      <c r="F13" s="257">
        <f>E13</f>
        <v>206522.01250000001</v>
      </c>
      <c r="G13" s="258">
        <f t="shared" ref="G13:G76" si="0">E13-F13</f>
        <v>0</v>
      </c>
      <c r="H13" s="258">
        <f>IF(G13&gt;0,G13*3%,0)</f>
        <v>0</v>
      </c>
      <c r="I13" s="259">
        <f t="shared" ref="I13:I44" si="1">J$2*D13/100</f>
        <v>165422.36250000002</v>
      </c>
      <c r="J13" s="259">
        <f>E$2*D13/100</f>
        <v>41100.000000000007</v>
      </c>
      <c r="K13" s="260">
        <f t="shared" ref="K13:K44" si="2">ROUND(SUM(G13:J13),0) + M13</f>
        <v>206522.01</v>
      </c>
      <c r="L13" s="261">
        <f t="shared" ref="L13:L33" si="3">ROUND(K13*3%,0) + K13</f>
        <v>212718.01</v>
      </c>
      <c r="M13" s="208">
        <v>0.01</v>
      </c>
    </row>
    <row r="14" spans="1:13" ht="17.100000000000001" customHeight="1" x14ac:dyDescent="0.25">
      <c r="A14" s="254">
        <v>2</v>
      </c>
      <c r="B14" s="254" t="s">
        <v>127</v>
      </c>
      <c r="C14" s="262"/>
      <c r="D14" s="255">
        <v>1.18</v>
      </c>
      <c r="E14" s="256">
        <v>2067594.0149999999</v>
      </c>
      <c r="F14" s="257">
        <v>15075.02</v>
      </c>
      <c r="G14" s="258">
        <f t="shared" si="0"/>
        <v>2052518.9949999999</v>
      </c>
      <c r="H14" s="258">
        <f t="shared" ref="H14:H77" si="4">IF(G14&gt;0,G14*3%,0)</f>
        <v>61575.569849999993</v>
      </c>
      <c r="I14" s="259">
        <f t="shared" si="1"/>
        <v>142480.57500000001</v>
      </c>
      <c r="J14" s="259">
        <f>E$2*D14/100</f>
        <v>35400</v>
      </c>
      <c r="K14" s="260">
        <f t="shared" si="2"/>
        <v>2291975.02</v>
      </c>
      <c r="L14" s="261">
        <f t="shared" si="3"/>
        <v>2360734.02</v>
      </c>
      <c r="M14" s="208">
        <f>M13+0.01</f>
        <v>0.02</v>
      </c>
    </row>
    <row r="15" spans="1:13" ht="17.100000000000001" customHeight="1" x14ac:dyDescent="0.25">
      <c r="A15" s="254">
        <v>3</v>
      </c>
      <c r="B15" s="254" t="s">
        <v>128</v>
      </c>
      <c r="C15" s="262"/>
      <c r="D15" s="255">
        <v>0.74</v>
      </c>
      <c r="E15" s="256">
        <v>111552.02500000001</v>
      </c>
      <c r="F15" s="257">
        <f>E15</f>
        <v>111552.02500000001</v>
      </c>
      <c r="G15" s="258">
        <f t="shared" si="0"/>
        <v>0</v>
      </c>
      <c r="H15" s="258">
        <f t="shared" si="4"/>
        <v>0</v>
      </c>
      <c r="I15" s="259">
        <f t="shared" si="1"/>
        <v>89352.225000000006</v>
      </c>
      <c r="J15" s="259">
        <f>E$2*D15/100</f>
        <v>22200</v>
      </c>
      <c r="K15" s="260">
        <f t="shared" si="2"/>
        <v>111552.03</v>
      </c>
      <c r="L15" s="261">
        <f t="shared" si="3"/>
        <v>114899.03</v>
      </c>
      <c r="M15" s="208">
        <f t="shared" ref="M15:M30" si="5">M14+0.01</f>
        <v>0.03</v>
      </c>
    </row>
    <row r="16" spans="1:13" ht="17.100000000000001" customHeight="1" x14ac:dyDescent="0.25">
      <c r="A16" s="254">
        <v>4</v>
      </c>
      <c r="B16" s="254" t="s">
        <v>129</v>
      </c>
      <c r="C16" s="262"/>
      <c r="D16" s="255">
        <v>1.47</v>
      </c>
      <c r="E16" s="256">
        <v>221597.03749999998</v>
      </c>
      <c r="F16" s="257">
        <f>E16</f>
        <v>221597.03749999998</v>
      </c>
      <c r="G16" s="258">
        <f t="shared" si="0"/>
        <v>0</v>
      </c>
      <c r="H16" s="258">
        <f t="shared" si="4"/>
        <v>0</v>
      </c>
      <c r="I16" s="259">
        <f t="shared" si="1"/>
        <v>177496.98749999999</v>
      </c>
      <c r="J16" s="259">
        <f>E$2*D16/100</f>
        <v>44100</v>
      </c>
      <c r="K16" s="260">
        <f t="shared" si="2"/>
        <v>221597.04</v>
      </c>
      <c r="L16" s="261">
        <f t="shared" si="3"/>
        <v>228245.04</v>
      </c>
      <c r="M16" s="208">
        <f t="shared" si="5"/>
        <v>0.04</v>
      </c>
    </row>
    <row r="17" spans="1:14" ht="17.100000000000001" customHeight="1" x14ac:dyDescent="0.25">
      <c r="A17" s="254">
        <v>5</v>
      </c>
      <c r="B17" s="254" t="s">
        <v>130</v>
      </c>
      <c r="C17" s="254"/>
      <c r="D17" s="255">
        <v>1.1200000000000001</v>
      </c>
      <c r="E17" s="256">
        <v>168836.05000000002</v>
      </c>
      <c r="F17" s="257">
        <f>E17</f>
        <v>168836.05000000002</v>
      </c>
      <c r="G17" s="258">
        <f t="shared" si="0"/>
        <v>0</v>
      </c>
      <c r="H17" s="258">
        <f t="shared" si="4"/>
        <v>0</v>
      </c>
      <c r="I17" s="259">
        <f t="shared" si="1"/>
        <v>135235.80000000002</v>
      </c>
      <c r="J17" s="259">
        <f>E$2*D17/100</f>
        <v>33600.000000000007</v>
      </c>
      <c r="K17" s="260">
        <f t="shared" si="2"/>
        <v>168836.05</v>
      </c>
      <c r="L17" s="261">
        <f t="shared" si="3"/>
        <v>173901.05</v>
      </c>
      <c r="M17" s="208">
        <f t="shared" si="5"/>
        <v>0.05</v>
      </c>
    </row>
    <row r="18" spans="1:14" ht="17.100000000000001" customHeight="1" x14ac:dyDescent="0.25">
      <c r="A18" s="254">
        <v>6</v>
      </c>
      <c r="B18" s="254" t="s">
        <v>131</v>
      </c>
      <c r="C18" s="254"/>
      <c r="D18" s="255">
        <v>1.35</v>
      </c>
      <c r="E18" s="256">
        <v>199983.05750000002</v>
      </c>
      <c r="F18" s="257">
        <v>200000.06</v>
      </c>
      <c r="G18" s="258">
        <f t="shared" si="0"/>
        <v>-17.002499999973224</v>
      </c>
      <c r="H18" s="258">
        <f t="shared" si="4"/>
        <v>0</v>
      </c>
      <c r="I18" s="259">
        <f t="shared" si="1"/>
        <v>163007.43750000003</v>
      </c>
      <c r="J18" s="259">
        <f>E$2*D18/100</f>
        <v>40500.000000000007</v>
      </c>
      <c r="K18" s="260">
        <f t="shared" si="2"/>
        <v>203490.06</v>
      </c>
      <c r="L18" s="261">
        <f t="shared" si="3"/>
        <v>209595.06</v>
      </c>
      <c r="M18" s="208">
        <f t="shared" si="5"/>
        <v>6.0000000000000005E-2</v>
      </c>
    </row>
    <row r="19" spans="1:14" ht="17.100000000000001" customHeight="1" x14ac:dyDescent="0.25">
      <c r="A19" s="254">
        <v>7</v>
      </c>
      <c r="B19" s="254" t="s">
        <v>132</v>
      </c>
      <c r="C19" s="254"/>
      <c r="D19" s="255">
        <v>1.1200000000000001</v>
      </c>
      <c r="E19" s="256">
        <v>168836.07</v>
      </c>
      <c r="F19" s="257">
        <f>E19</f>
        <v>168836.07</v>
      </c>
      <c r="G19" s="258">
        <f t="shared" si="0"/>
        <v>0</v>
      </c>
      <c r="H19" s="258">
        <f t="shared" si="4"/>
        <v>0</v>
      </c>
      <c r="I19" s="259">
        <f t="shared" si="1"/>
        <v>135235.80000000002</v>
      </c>
      <c r="J19" s="259">
        <f>E$2*D19/100</f>
        <v>33600.000000000007</v>
      </c>
      <c r="K19" s="260">
        <f t="shared" si="2"/>
        <v>168836.07</v>
      </c>
      <c r="L19" s="261">
        <f t="shared" si="3"/>
        <v>173901.07</v>
      </c>
      <c r="M19" s="208">
        <f t="shared" si="5"/>
        <v>7.0000000000000007E-2</v>
      </c>
    </row>
    <row r="20" spans="1:14" ht="17.100000000000001" customHeight="1" x14ac:dyDescent="0.25">
      <c r="A20" s="254">
        <v>8</v>
      </c>
      <c r="B20" s="254" t="s">
        <v>133</v>
      </c>
      <c r="C20" s="262"/>
      <c r="D20" s="255">
        <v>0.82</v>
      </c>
      <c r="E20" s="256">
        <v>123612.075</v>
      </c>
      <c r="F20" s="257">
        <f>E20</f>
        <v>123612.075</v>
      </c>
      <c r="G20" s="258">
        <f t="shared" si="0"/>
        <v>0</v>
      </c>
      <c r="H20" s="258">
        <f t="shared" si="4"/>
        <v>0</v>
      </c>
      <c r="I20" s="259">
        <f t="shared" si="1"/>
        <v>99011.925000000003</v>
      </c>
      <c r="J20" s="259">
        <f>E$2*D20/100</f>
        <v>24600</v>
      </c>
      <c r="K20" s="260">
        <f t="shared" si="2"/>
        <v>123612.08</v>
      </c>
      <c r="L20" s="261">
        <f t="shared" si="3"/>
        <v>127320.08</v>
      </c>
      <c r="M20" s="208">
        <f t="shared" si="5"/>
        <v>0.08</v>
      </c>
    </row>
    <row r="21" spans="1:14" ht="17.100000000000001" customHeight="1" x14ac:dyDescent="0.25">
      <c r="A21" s="254">
        <v>9</v>
      </c>
      <c r="B21" s="254" t="s">
        <v>134</v>
      </c>
      <c r="C21" s="262"/>
      <c r="D21" s="255">
        <v>0.82</v>
      </c>
      <c r="E21" s="256">
        <v>123612.08500000001</v>
      </c>
      <c r="F21" s="257">
        <f>E21</f>
        <v>123612.08500000001</v>
      </c>
      <c r="G21" s="258">
        <f t="shared" si="0"/>
        <v>0</v>
      </c>
      <c r="H21" s="258">
        <f t="shared" si="4"/>
        <v>0</v>
      </c>
      <c r="I21" s="259">
        <f t="shared" si="1"/>
        <v>99011.925000000003</v>
      </c>
      <c r="J21" s="259">
        <f>E$2*D21/100</f>
        <v>24600</v>
      </c>
      <c r="K21" s="260">
        <f t="shared" si="2"/>
        <v>123612.09</v>
      </c>
      <c r="L21" s="261">
        <f t="shared" si="3"/>
        <v>127320.09</v>
      </c>
      <c r="M21" s="208">
        <f t="shared" si="5"/>
        <v>0.09</v>
      </c>
    </row>
    <row r="22" spans="1:14" ht="17.100000000000001" customHeight="1" x14ac:dyDescent="0.25">
      <c r="A22" s="254">
        <v>10</v>
      </c>
      <c r="B22" s="254" t="s">
        <v>135</v>
      </c>
      <c r="C22" s="262"/>
      <c r="D22" s="255">
        <v>1.34</v>
      </c>
      <c r="E22" s="256">
        <v>202000.095</v>
      </c>
      <c r="F22" s="257">
        <f>E22</f>
        <v>202000.095</v>
      </c>
      <c r="G22" s="258">
        <f t="shared" si="0"/>
        <v>0</v>
      </c>
      <c r="H22" s="258">
        <f t="shared" si="4"/>
        <v>0</v>
      </c>
      <c r="I22" s="259">
        <f t="shared" si="1"/>
        <v>161799.97500000001</v>
      </c>
      <c r="J22" s="259">
        <f>E$2*D22/100</f>
        <v>40200.000000000007</v>
      </c>
      <c r="K22" s="260">
        <f t="shared" si="2"/>
        <v>202000.1</v>
      </c>
      <c r="L22" s="261">
        <f t="shared" si="3"/>
        <v>208060.1</v>
      </c>
      <c r="M22" s="208">
        <f t="shared" si="5"/>
        <v>9.9999999999999992E-2</v>
      </c>
    </row>
    <row r="23" spans="1:14" ht="17.100000000000001" customHeight="1" x14ac:dyDescent="0.25">
      <c r="A23" s="254">
        <v>11</v>
      </c>
      <c r="B23" s="254" t="s">
        <v>136</v>
      </c>
      <c r="C23" s="262"/>
      <c r="D23" s="255">
        <v>1.1200000000000001</v>
      </c>
      <c r="E23" s="256">
        <v>168836.11000000002</v>
      </c>
      <c r="F23" s="257">
        <f>E23</f>
        <v>168836.11000000002</v>
      </c>
      <c r="G23" s="258">
        <f t="shared" si="0"/>
        <v>0</v>
      </c>
      <c r="H23" s="258">
        <f t="shared" si="4"/>
        <v>0</v>
      </c>
      <c r="I23" s="259">
        <f t="shared" si="1"/>
        <v>135235.80000000002</v>
      </c>
      <c r="J23" s="259">
        <f>E$2*D23/100</f>
        <v>33600.000000000007</v>
      </c>
      <c r="K23" s="260">
        <f t="shared" si="2"/>
        <v>168836.11</v>
      </c>
      <c r="L23" s="261">
        <f t="shared" si="3"/>
        <v>173901.11</v>
      </c>
      <c r="M23" s="208">
        <f t="shared" si="5"/>
        <v>0.10999999999999999</v>
      </c>
    </row>
    <row r="24" spans="1:14" ht="17.25" customHeight="1" x14ac:dyDescent="0.25">
      <c r="A24" s="254">
        <v>12</v>
      </c>
      <c r="B24" s="254" t="s">
        <v>137</v>
      </c>
      <c r="C24" s="262"/>
      <c r="D24" s="255">
        <v>1.17</v>
      </c>
      <c r="E24" s="256">
        <v>2754262.1224999996</v>
      </c>
      <c r="F24" s="257">
        <v>0</v>
      </c>
      <c r="G24" s="258">
        <f t="shared" si="0"/>
        <v>2754262.1224999996</v>
      </c>
      <c r="H24" s="258">
        <f t="shared" si="4"/>
        <v>82627.863674999986</v>
      </c>
      <c r="I24" s="259">
        <f t="shared" si="1"/>
        <v>141273.11249999999</v>
      </c>
      <c r="J24" s="259">
        <f>E$2*D24/100</f>
        <v>35100</v>
      </c>
      <c r="K24" s="260">
        <f t="shared" si="2"/>
        <v>3013263.12</v>
      </c>
      <c r="L24" s="261">
        <f t="shared" si="3"/>
        <v>3103661.12</v>
      </c>
      <c r="M24" s="208">
        <f t="shared" si="5"/>
        <v>0.11999999999999998</v>
      </c>
    </row>
    <row r="25" spans="1:14" ht="17.100000000000001" customHeight="1" x14ac:dyDescent="0.25">
      <c r="A25" s="254">
        <v>13</v>
      </c>
      <c r="B25" s="254" t="s">
        <v>138</v>
      </c>
      <c r="C25" s="262"/>
      <c r="D25" s="255">
        <v>1.35</v>
      </c>
      <c r="E25" s="256">
        <v>203507.1275</v>
      </c>
      <c r="F25" s="257">
        <f>E25</f>
        <v>203507.1275</v>
      </c>
      <c r="G25" s="258">
        <f t="shared" si="0"/>
        <v>0</v>
      </c>
      <c r="H25" s="258">
        <f t="shared" si="4"/>
        <v>0</v>
      </c>
      <c r="I25" s="259">
        <f t="shared" si="1"/>
        <v>163007.43750000003</v>
      </c>
      <c r="J25" s="259">
        <f>E$2*D25/100</f>
        <v>40500.000000000007</v>
      </c>
      <c r="K25" s="260">
        <f t="shared" si="2"/>
        <v>203507.13</v>
      </c>
      <c r="L25" s="261">
        <f t="shared" si="3"/>
        <v>209612.13</v>
      </c>
      <c r="M25" s="208">
        <f t="shared" si="5"/>
        <v>0.12999999999999998</v>
      </c>
    </row>
    <row r="26" spans="1:14" ht="17.100000000000001" customHeight="1" x14ac:dyDescent="0.25">
      <c r="A26" s="254">
        <v>14</v>
      </c>
      <c r="B26" s="254" t="s">
        <v>139</v>
      </c>
      <c r="C26" s="262"/>
      <c r="D26" s="255">
        <v>1.1200000000000001</v>
      </c>
      <c r="E26" s="256">
        <v>168836.14</v>
      </c>
      <c r="F26" s="257"/>
      <c r="G26" s="258">
        <f t="shared" si="0"/>
        <v>168836.14</v>
      </c>
      <c r="H26" s="258">
        <f t="shared" si="4"/>
        <v>5065.0842000000002</v>
      </c>
      <c r="I26" s="259">
        <f t="shared" si="1"/>
        <v>135235.80000000002</v>
      </c>
      <c r="J26" s="259">
        <f>E$2*D26/100</f>
        <v>33600.000000000007</v>
      </c>
      <c r="K26" s="260">
        <f t="shared" si="2"/>
        <v>342737.14</v>
      </c>
      <c r="L26" s="261">
        <f t="shared" si="3"/>
        <v>353019.14</v>
      </c>
      <c r="M26" s="208">
        <f t="shared" si="5"/>
        <v>0.13999999999999999</v>
      </c>
    </row>
    <row r="27" spans="1:14" ht="17.100000000000001" customHeight="1" x14ac:dyDescent="0.25">
      <c r="A27" s="254">
        <v>15</v>
      </c>
      <c r="B27" s="254" t="s">
        <v>140</v>
      </c>
      <c r="C27" s="262"/>
      <c r="D27" s="255">
        <v>0.82</v>
      </c>
      <c r="E27" s="256">
        <v>123612.145</v>
      </c>
      <c r="F27" s="257">
        <v>0</v>
      </c>
      <c r="G27" s="258">
        <f t="shared" si="0"/>
        <v>123612.145</v>
      </c>
      <c r="H27" s="258">
        <f t="shared" si="4"/>
        <v>3708.3643499999998</v>
      </c>
      <c r="I27" s="259">
        <f t="shared" si="1"/>
        <v>99011.925000000003</v>
      </c>
      <c r="J27" s="259">
        <f>E$2*D27/100</f>
        <v>24600</v>
      </c>
      <c r="K27" s="260">
        <f t="shared" si="2"/>
        <v>250932.15</v>
      </c>
      <c r="L27" s="261">
        <f t="shared" si="3"/>
        <v>258460.15</v>
      </c>
      <c r="M27" s="208">
        <f t="shared" si="5"/>
        <v>0.15</v>
      </c>
    </row>
    <row r="28" spans="1:14" ht="17.100000000000001" customHeight="1" x14ac:dyDescent="0.25">
      <c r="A28" s="254">
        <v>16</v>
      </c>
      <c r="B28" s="254" t="s">
        <v>141</v>
      </c>
      <c r="C28" s="254"/>
      <c r="D28" s="255">
        <v>0.82</v>
      </c>
      <c r="E28" s="256">
        <v>966544.15500000003</v>
      </c>
      <c r="F28" s="257">
        <v>0</v>
      </c>
      <c r="G28" s="258">
        <f t="shared" si="0"/>
        <v>966544.15500000003</v>
      </c>
      <c r="H28" s="258">
        <f t="shared" si="4"/>
        <v>28996.324649999999</v>
      </c>
      <c r="I28" s="259">
        <f t="shared" si="1"/>
        <v>99011.925000000003</v>
      </c>
      <c r="J28" s="259">
        <f>E$2*D28/100</f>
        <v>24600</v>
      </c>
      <c r="K28" s="260">
        <f t="shared" si="2"/>
        <v>1119152.1599999999</v>
      </c>
      <c r="L28" s="261">
        <f t="shared" si="3"/>
        <v>1152727.1599999999</v>
      </c>
      <c r="M28" s="208">
        <f t="shared" si="5"/>
        <v>0.16</v>
      </c>
    </row>
    <row r="29" spans="1:14" ht="17.100000000000001" customHeight="1" x14ac:dyDescent="0.25">
      <c r="A29" s="254">
        <v>17</v>
      </c>
      <c r="B29" s="254" t="s">
        <v>142</v>
      </c>
      <c r="C29" s="262"/>
      <c r="D29" s="255">
        <v>1.34</v>
      </c>
      <c r="E29" s="256">
        <v>401107.16499999998</v>
      </c>
      <c r="F29" s="257">
        <v>0</v>
      </c>
      <c r="G29" s="258">
        <f t="shared" si="0"/>
        <v>401107.16499999998</v>
      </c>
      <c r="H29" s="258">
        <f t="shared" si="4"/>
        <v>12033.21495</v>
      </c>
      <c r="I29" s="259">
        <f t="shared" si="1"/>
        <v>161799.97500000001</v>
      </c>
      <c r="J29" s="259">
        <f>E$2*D29/100</f>
        <v>40200.000000000007</v>
      </c>
      <c r="K29" s="260">
        <f t="shared" si="2"/>
        <v>615140.17000000004</v>
      </c>
      <c r="L29" s="261">
        <f t="shared" si="3"/>
        <v>633594.17000000004</v>
      </c>
      <c r="M29" s="208">
        <f t="shared" si="5"/>
        <v>0.17</v>
      </c>
    </row>
    <row r="30" spans="1:14" ht="17.100000000000001" customHeight="1" x14ac:dyDescent="0.25">
      <c r="A30" s="324">
        <v>18</v>
      </c>
      <c r="B30" s="324" t="s">
        <v>143</v>
      </c>
      <c r="C30" s="325"/>
      <c r="D30" s="326">
        <v>1.1200000000000001</v>
      </c>
      <c r="E30" s="327">
        <v>168816.18000000002</v>
      </c>
      <c r="F30" s="327">
        <v>169000</v>
      </c>
      <c r="G30" s="328">
        <f t="shared" si="0"/>
        <v>-183.81999999997788</v>
      </c>
      <c r="H30" s="328">
        <f t="shared" si="4"/>
        <v>0</v>
      </c>
      <c r="I30" s="323">
        <f t="shared" si="1"/>
        <v>135235.80000000002</v>
      </c>
      <c r="J30" s="323">
        <f>E$2*D30/100</f>
        <v>33600.000000000007</v>
      </c>
      <c r="K30" s="329">
        <f t="shared" si="2"/>
        <v>168652.18</v>
      </c>
      <c r="L30" s="330">
        <f t="shared" si="3"/>
        <v>173712.18</v>
      </c>
      <c r="M30" s="208">
        <f t="shared" si="5"/>
        <v>0.18000000000000002</v>
      </c>
    </row>
    <row r="31" spans="1:14" x14ac:dyDescent="0.25">
      <c r="A31" s="254">
        <v>19</v>
      </c>
      <c r="B31" s="254" t="s">
        <v>144</v>
      </c>
      <c r="C31" s="262"/>
      <c r="D31" s="255">
        <v>1.17</v>
      </c>
      <c r="E31" s="256">
        <v>176373.19249999998</v>
      </c>
      <c r="F31" s="257">
        <f>191448.19-F112</f>
        <v>176373.19500000001</v>
      </c>
      <c r="G31" s="258">
        <f t="shared" si="0"/>
        <v>-2.5000000314321369E-3</v>
      </c>
      <c r="H31" s="258">
        <f t="shared" si="4"/>
        <v>0</v>
      </c>
      <c r="I31" s="259">
        <f t="shared" si="1"/>
        <v>141273.11249999999</v>
      </c>
      <c r="J31" s="259">
        <f>E$2*D31/100</f>
        <v>35100</v>
      </c>
      <c r="K31" s="260">
        <f t="shared" si="2"/>
        <v>176373.19</v>
      </c>
      <c r="L31" s="261">
        <f t="shared" si="3"/>
        <v>181664.19</v>
      </c>
      <c r="M31" s="208">
        <f>M30+0.01</f>
        <v>0.19000000000000003</v>
      </c>
      <c r="N31" t="s">
        <v>365</v>
      </c>
    </row>
    <row r="32" spans="1:14" x14ac:dyDescent="0.25">
      <c r="A32" s="339">
        <v>20</v>
      </c>
      <c r="B32" s="340" t="s">
        <v>145</v>
      </c>
      <c r="C32" s="341"/>
      <c r="D32" s="342">
        <v>1.35</v>
      </c>
      <c r="E32" s="343">
        <v>203507</v>
      </c>
      <c r="F32" s="343">
        <f>163007.44+40500</f>
        <v>203507.44</v>
      </c>
      <c r="G32" s="344">
        <f t="shared" si="0"/>
        <v>-0.44000000000232831</v>
      </c>
      <c r="H32" s="344">
        <f t="shared" si="4"/>
        <v>0</v>
      </c>
      <c r="I32" s="345">
        <f t="shared" si="1"/>
        <v>163007.43750000003</v>
      </c>
      <c r="J32" s="345">
        <f>E$2*D32/100</f>
        <v>40500.000000000007</v>
      </c>
      <c r="K32" s="346">
        <f t="shared" si="2"/>
        <v>203507.20000000001</v>
      </c>
      <c r="L32" s="347">
        <f t="shared" si="3"/>
        <v>209612.2</v>
      </c>
      <c r="M32" s="208">
        <f t="shared" ref="M32:M95" si="6">M31+0.01</f>
        <v>0.20000000000000004</v>
      </c>
      <c r="N32" t="s">
        <v>372</v>
      </c>
    </row>
    <row r="33" spans="1:14" x14ac:dyDescent="0.25">
      <c r="A33" s="334">
        <v>21</v>
      </c>
      <c r="B33" s="335" t="s">
        <v>146</v>
      </c>
      <c r="C33" s="336"/>
      <c r="D33" s="326">
        <v>1.1200000000000001</v>
      </c>
      <c r="E33" s="327">
        <v>335253.21000000002</v>
      </c>
      <c r="F33" s="327">
        <f>365786.19-F110</f>
        <v>335853.21500000003</v>
      </c>
      <c r="G33" s="328">
        <f t="shared" si="0"/>
        <v>-600.00500000000466</v>
      </c>
      <c r="H33" s="328">
        <f t="shared" si="4"/>
        <v>0</v>
      </c>
      <c r="I33" s="323">
        <f t="shared" si="1"/>
        <v>135235.80000000002</v>
      </c>
      <c r="J33" s="323">
        <f>E$2*D33/100</f>
        <v>33600.000000000007</v>
      </c>
      <c r="K33" s="329">
        <f t="shared" si="2"/>
        <v>168236.21</v>
      </c>
      <c r="L33" s="330">
        <f t="shared" si="3"/>
        <v>173283.21</v>
      </c>
      <c r="M33" s="208">
        <f t="shared" si="6"/>
        <v>0.21000000000000005</v>
      </c>
    </row>
    <row r="34" spans="1:14" x14ac:dyDescent="0.25">
      <c r="A34" s="263">
        <f>A33+1</f>
        <v>22</v>
      </c>
      <c r="B34" s="265" t="s">
        <v>147</v>
      </c>
      <c r="C34" s="262"/>
      <c r="D34" s="255">
        <v>0.82</v>
      </c>
      <c r="E34" s="256">
        <v>123612.215</v>
      </c>
      <c r="F34" s="257">
        <f>E34</f>
        <v>123612.215</v>
      </c>
      <c r="G34" s="258">
        <f t="shared" si="0"/>
        <v>0</v>
      </c>
      <c r="H34" s="258">
        <f t="shared" si="4"/>
        <v>0</v>
      </c>
      <c r="I34" s="259">
        <f t="shared" si="1"/>
        <v>99011.925000000003</v>
      </c>
      <c r="J34" s="259">
        <f>E$2*D34/100</f>
        <v>24600</v>
      </c>
      <c r="K34" s="260">
        <f t="shared" si="2"/>
        <v>123612.22</v>
      </c>
      <c r="L34" s="261">
        <f t="shared" ref="L34:L97" si="7">ROUND(K34*3%,0) + K34</f>
        <v>127320.22</v>
      </c>
      <c r="M34" s="208">
        <f t="shared" si="6"/>
        <v>0.22000000000000006</v>
      </c>
    </row>
    <row r="35" spans="1:14" x14ac:dyDescent="0.25">
      <c r="A35" s="263">
        <f t="shared" ref="A35:A98" si="8">A34+1</f>
        <v>23</v>
      </c>
      <c r="B35" s="265" t="s">
        <v>148</v>
      </c>
      <c r="C35" s="262"/>
      <c r="D35" s="255">
        <v>0.82</v>
      </c>
      <c r="E35" s="256">
        <v>123612.22500000001</v>
      </c>
      <c r="F35" s="257">
        <f>E35</f>
        <v>123612.22500000001</v>
      </c>
      <c r="G35" s="258">
        <f t="shared" si="0"/>
        <v>0</v>
      </c>
      <c r="H35" s="258">
        <f t="shared" si="4"/>
        <v>0</v>
      </c>
      <c r="I35" s="259">
        <f t="shared" si="1"/>
        <v>99011.925000000003</v>
      </c>
      <c r="J35" s="259">
        <f>E$2*D35/100</f>
        <v>24600</v>
      </c>
      <c r="K35" s="260">
        <f t="shared" si="2"/>
        <v>123612.23</v>
      </c>
      <c r="L35" s="261">
        <f t="shared" si="7"/>
        <v>127320.23</v>
      </c>
      <c r="M35" s="208">
        <f t="shared" si="6"/>
        <v>0.23000000000000007</v>
      </c>
    </row>
    <row r="36" spans="1:14" x14ac:dyDescent="0.25">
      <c r="A36" s="263">
        <f t="shared" si="8"/>
        <v>24</v>
      </c>
      <c r="B36" s="265" t="s">
        <v>149</v>
      </c>
      <c r="C36" s="262"/>
      <c r="D36" s="255">
        <v>1.34</v>
      </c>
      <c r="E36" s="256">
        <v>202000.23500000002</v>
      </c>
      <c r="F36" s="257">
        <f>E36</f>
        <v>202000.23500000002</v>
      </c>
      <c r="G36" s="258">
        <f t="shared" si="0"/>
        <v>0</v>
      </c>
      <c r="H36" s="258">
        <f t="shared" si="4"/>
        <v>0</v>
      </c>
      <c r="I36" s="259">
        <f t="shared" si="1"/>
        <v>161799.97500000001</v>
      </c>
      <c r="J36" s="259">
        <f>E$2*D36/100</f>
        <v>40200.000000000007</v>
      </c>
      <c r="K36" s="260">
        <f t="shared" si="2"/>
        <v>202000.24</v>
      </c>
      <c r="L36" s="261">
        <f t="shared" si="7"/>
        <v>208060.24</v>
      </c>
      <c r="M36" s="208">
        <f t="shared" si="6"/>
        <v>0.24000000000000007</v>
      </c>
    </row>
    <row r="37" spans="1:14" x14ac:dyDescent="0.25">
      <c r="A37" s="263">
        <f t="shared" si="8"/>
        <v>25</v>
      </c>
      <c r="B37" s="265" t="s">
        <v>150</v>
      </c>
      <c r="C37" s="262"/>
      <c r="D37" s="255">
        <v>1.1200000000000001</v>
      </c>
      <c r="E37" s="256">
        <v>424661.25000000006</v>
      </c>
      <c r="F37" s="257">
        <v>0</v>
      </c>
      <c r="G37" s="258">
        <f t="shared" si="0"/>
        <v>424661.25000000006</v>
      </c>
      <c r="H37" s="258">
        <f t="shared" si="4"/>
        <v>12739.837500000001</v>
      </c>
      <c r="I37" s="259">
        <f t="shared" si="1"/>
        <v>135235.80000000002</v>
      </c>
      <c r="J37" s="259">
        <f>E$2*D37/100</f>
        <v>33600.000000000007</v>
      </c>
      <c r="K37" s="260">
        <f t="shared" si="2"/>
        <v>606237.25</v>
      </c>
      <c r="L37" s="261">
        <f t="shared" si="7"/>
        <v>624424.25</v>
      </c>
      <c r="M37" s="208">
        <f t="shared" si="6"/>
        <v>0.25000000000000006</v>
      </c>
    </row>
    <row r="38" spans="1:14" x14ac:dyDescent="0.25">
      <c r="A38" s="263">
        <f t="shared" si="8"/>
        <v>26</v>
      </c>
      <c r="B38" s="265" t="s">
        <v>151</v>
      </c>
      <c r="C38" s="262"/>
      <c r="D38" s="255">
        <v>1.17</v>
      </c>
      <c r="E38" s="256">
        <v>176373.26249999998</v>
      </c>
      <c r="F38" s="257">
        <v>170438.26</v>
      </c>
      <c r="G38" s="258">
        <f t="shared" si="0"/>
        <v>5935.0024999999732</v>
      </c>
      <c r="H38" s="258">
        <f t="shared" si="4"/>
        <v>178.0500749999992</v>
      </c>
      <c r="I38" s="259">
        <f t="shared" si="1"/>
        <v>141273.11249999999</v>
      </c>
      <c r="J38" s="259">
        <f>E$2*D38/100</f>
        <v>35100</v>
      </c>
      <c r="K38" s="260">
        <f t="shared" si="2"/>
        <v>182486.26</v>
      </c>
      <c r="L38" s="261">
        <f t="shared" si="7"/>
        <v>187961.26</v>
      </c>
      <c r="M38" s="208">
        <f t="shared" si="6"/>
        <v>0.26000000000000006</v>
      </c>
    </row>
    <row r="39" spans="1:14" x14ac:dyDescent="0.25">
      <c r="A39" s="263">
        <f t="shared" si="8"/>
        <v>27</v>
      </c>
      <c r="B39" s="265" t="s">
        <v>152</v>
      </c>
      <c r="C39" s="262"/>
      <c r="D39" s="255">
        <v>1.35</v>
      </c>
      <c r="E39" s="256">
        <v>203507.26750000002</v>
      </c>
      <c r="F39" s="257">
        <f>E39</f>
        <v>203507.26750000002</v>
      </c>
      <c r="G39" s="258">
        <f t="shared" si="0"/>
        <v>0</v>
      </c>
      <c r="H39" s="258">
        <f t="shared" si="4"/>
        <v>0</v>
      </c>
      <c r="I39" s="259">
        <f t="shared" si="1"/>
        <v>163007.43750000003</v>
      </c>
      <c r="J39" s="259">
        <f>E$2*D39/100</f>
        <v>40500.000000000007</v>
      </c>
      <c r="K39" s="260">
        <f t="shared" si="2"/>
        <v>203507.27</v>
      </c>
      <c r="L39" s="261">
        <f t="shared" si="7"/>
        <v>209612.27</v>
      </c>
      <c r="M39" s="208">
        <f t="shared" si="6"/>
        <v>0.27000000000000007</v>
      </c>
    </row>
    <row r="40" spans="1:14" x14ac:dyDescent="0.25">
      <c r="A40" s="263">
        <f t="shared" si="8"/>
        <v>28</v>
      </c>
      <c r="B40" s="265" t="s">
        <v>153</v>
      </c>
      <c r="C40" s="262"/>
      <c r="D40" s="255">
        <v>1.1200000000000001</v>
      </c>
      <c r="E40" s="256">
        <v>168836.28000000003</v>
      </c>
      <c r="F40" s="257">
        <f>E40</f>
        <v>168836.28000000003</v>
      </c>
      <c r="G40" s="258">
        <f t="shared" si="0"/>
        <v>0</v>
      </c>
      <c r="H40" s="258">
        <f t="shared" si="4"/>
        <v>0</v>
      </c>
      <c r="I40" s="259">
        <f t="shared" si="1"/>
        <v>135235.80000000002</v>
      </c>
      <c r="J40" s="259">
        <f>E$2*D40/100</f>
        <v>33600.000000000007</v>
      </c>
      <c r="K40" s="260">
        <f t="shared" si="2"/>
        <v>168836.28</v>
      </c>
      <c r="L40" s="261">
        <f t="shared" si="7"/>
        <v>173901.28</v>
      </c>
      <c r="M40" s="208">
        <f t="shared" si="6"/>
        <v>0.28000000000000008</v>
      </c>
    </row>
    <row r="41" spans="1:14" x14ac:dyDescent="0.25">
      <c r="A41" s="334">
        <f t="shared" si="8"/>
        <v>29</v>
      </c>
      <c r="B41" s="335" t="s">
        <v>154</v>
      </c>
      <c r="C41" s="336"/>
      <c r="D41" s="326">
        <v>0.82</v>
      </c>
      <c r="E41" s="327">
        <v>123610.285</v>
      </c>
      <c r="F41" s="327">
        <v>24600</v>
      </c>
      <c r="G41" s="328">
        <f t="shared" si="0"/>
        <v>99010.285000000003</v>
      </c>
      <c r="H41" s="328">
        <f t="shared" si="4"/>
        <v>2970.3085500000002</v>
      </c>
      <c r="I41" s="323">
        <f t="shared" si="1"/>
        <v>99011.925000000003</v>
      </c>
      <c r="J41" s="323">
        <f>E$2*D41/100</f>
        <v>24600</v>
      </c>
      <c r="K41" s="329">
        <f t="shared" si="2"/>
        <v>225593.29</v>
      </c>
      <c r="L41" s="330">
        <f t="shared" si="7"/>
        <v>232361.29</v>
      </c>
      <c r="M41" s="208">
        <f t="shared" si="6"/>
        <v>0.29000000000000009</v>
      </c>
      <c r="N41" t="s">
        <v>357</v>
      </c>
    </row>
    <row r="42" spans="1:14" x14ac:dyDescent="0.25">
      <c r="A42" s="263">
        <f t="shared" si="8"/>
        <v>30</v>
      </c>
      <c r="B42" s="265" t="s">
        <v>155</v>
      </c>
      <c r="C42" s="262"/>
      <c r="D42" s="255">
        <v>0.82</v>
      </c>
      <c r="E42" s="256">
        <v>122770.295</v>
      </c>
      <c r="F42" s="257">
        <v>0</v>
      </c>
      <c r="G42" s="258">
        <f t="shared" si="0"/>
        <v>122770.295</v>
      </c>
      <c r="H42" s="258">
        <f t="shared" si="4"/>
        <v>3683.1088499999996</v>
      </c>
      <c r="I42" s="259">
        <f t="shared" si="1"/>
        <v>99011.925000000003</v>
      </c>
      <c r="J42" s="259">
        <f>E$2*D42/100</f>
        <v>24600</v>
      </c>
      <c r="K42" s="260">
        <f t="shared" si="2"/>
        <v>250065.3</v>
      </c>
      <c r="L42" s="261">
        <f t="shared" si="7"/>
        <v>257567.3</v>
      </c>
      <c r="M42" s="208">
        <f t="shared" si="6"/>
        <v>0.3000000000000001</v>
      </c>
    </row>
    <row r="43" spans="1:14" x14ac:dyDescent="0.25">
      <c r="A43" s="263">
        <f t="shared" si="8"/>
        <v>31</v>
      </c>
      <c r="B43" s="265" t="s">
        <v>156</v>
      </c>
      <c r="C43" s="262"/>
      <c r="D43" s="255">
        <v>1.34</v>
      </c>
      <c r="E43" s="256">
        <v>202000.30499999999</v>
      </c>
      <c r="F43" s="257">
        <f>E43</f>
        <v>202000.30499999999</v>
      </c>
      <c r="G43" s="258">
        <f t="shared" si="0"/>
        <v>0</v>
      </c>
      <c r="H43" s="258">
        <f t="shared" si="4"/>
        <v>0</v>
      </c>
      <c r="I43" s="259">
        <f t="shared" si="1"/>
        <v>161799.97500000001</v>
      </c>
      <c r="J43" s="259">
        <f>E$2*D43/100</f>
        <v>40200.000000000007</v>
      </c>
      <c r="K43" s="260">
        <f t="shared" si="2"/>
        <v>202000.31</v>
      </c>
      <c r="L43" s="261">
        <f t="shared" si="7"/>
        <v>208060.31</v>
      </c>
      <c r="M43" s="208">
        <f t="shared" si="6"/>
        <v>0.31000000000000011</v>
      </c>
    </row>
    <row r="44" spans="1:14" x14ac:dyDescent="0.25">
      <c r="A44" s="263">
        <f t="shared" si="8"/>
        <v>32</v>
      </c>
      <c r="B44" s="265" t="s">
        <v>157</v>
      </c>
      <c r="C44" s="262"/>
      <c r="D44" s="255">
        <v>1.1200000000000001</v>
      </c>
      <c r="E44" s="256">
        <v>168836.32</v>
      </c>
      <c r="F44" s="257">
        <f>E44</f>
        <v>168836.32</v>
      </c>
      <c r="G44" s="258">
        <f t="shared" si="0"/>
        <v>0</v>
      </c>
      <c r="H44" s="258">
        <f t="shared" si="4"/>
        <v>0</v>
      </c>
      <c r="I44" s="259">
        <f t="shared" si="1"/>
        <v>135235.80000000002</v>
      </c>
      <c r="J44" s="259">
        <f>E$2*D44/100</f>
        <v>33600.000000000007</v>
      </c>
      <c r="K44" s="260">
        <f t="shared" si="2"/>
        <v>168836.32</v>
      </c>
      <c r="L44" s="261">
        <f t="shared" si="7"/>
        <v>173901.32</v>
      </c>
      <c r="M44" s="208">
        <f t="shared" si="6"/>
        <v>0.32000000000000012</v>
      </c>
    </row>
    <row r="45" spans="1:14" x14ac:dyDescent="0.25">
      <c r="A45" s="263">
        <f t="shared" si="8"/>
        <v>33</v>
      </c>
      <c r="B45" s="265" t="s">
        <v>158</v>
      </c>
      <c r="C45" s="262"/>
      <c r="D45" s="255">
        <v>1.17</v>
      </c>
      <c r="E45" s="256">
        <v>710709.33250000002</v>
      </c>
      <c r="F45" s="257">
        <v>0</v>
      </c>
      <c r="G45" s="258">
        <f t="shared" si="0"/>
        <v>710709.33250000002</v>
      </c>
      <c r="H45" s="258">
        <f t="shared" si="4"/>
        <v>21321.279975000001</v>
      </c>
      <c r="I45" s="259">
        <f t="shared" ref="I45:I76" si="9">J$2*D45/100</f>
        <v>141273.11249999999</v>
      </c>
      <c r="J45" s="259">
        <f>E$2*D45/100</f>
        <v>35100</v>
      </c>
      <c r="K45" s="260">
        <f t="shared" ref="K45:K76" si="10">ROUND(SUM(G45:J45),0) + M45</f>
        <v>908404.33</v>
      </c>
      <c r="L45" s="261">
        <f t="shared" si="7"/>
        <v>935656.33</v>
      </c>
      <c r="M45" s="208">
        <f t="shared" si="6"/>
        <v>0.33000000000000013</v>
      </c>
    </row>
    <row r="46" spans="1:14" x14ac:dyDescent="0.25">
      <c r="A46" s="263">
        <f t="shared" si="8"/>
        <v>34</v>
      </c>
      <c r="B46" s="265" t="s">
        <v>159</v>
      </c>
      <c r="C46" s="262"/>
      <c r="D46" s="255">
        <v>1.35</v>
      </c>
      <c r="E46" s="256">
        <v>203507.33750000002</v>
      </c>
      <c r="F46" s="257">
        <f>E46</f>
        <v>203507.33750000002</v>
      </c>
      <c r="G46" s="258">
        <f t="shared" si="0"/>
        <v>0</v>
      </c>
      <c r="H46" s="258">
        <f t="shared" si="4"/>
        <v>0</v>
      </c>
      <c r="I46" s="259">
        <f t="shared" si="9"/>
        <v>163007.43750000003</v>
      </c>
      <c r="J46" s="259">
        <f>E$2*D46/100</f>
        <v>40500.000000000007</v>
      </c>
      <c r="K46" s="260">
        <f t="shared" si="10"/>
        <v>203507.34</v>
      </c>
      <c r="L46" s="261">
        <f t="shared" si="7"/>
        <v>209612.34</v>
      </c>
      <c r="M46" s="208">
        <f t="shared" si="6"/>
        <v>0.34000000000000014</v>
      </c>
    </row>
    <row r="47" spans="1:14" x14ac:dyDescent="0.25">
      <c r="A47" s="334">
        <f t="shared" si="8"/>
        <v>35</v>
      </c>
      <c r="B47" s="335" t="s">
        <v>160</v>
      </c>
      <c r="C47" s="336"/>
      <c r="D47" s="326">
        <v>1.1200000000000001</v>
      </c>
      <c r="E47" s="327">
        <v>169054.35</v>
      </c>
      <c r="F47" s="327">
        <v>170000</v>
      </c>
      <c r="G47" s="328">
        <f t="shared" si="0"/>
        <v>-945.64999999999418</v>
      </c>
      <c r="H47" s="328">
        <f t="shared" si="4"/>
        <v>0</v>
      </c>
      <c r="I47" s="323">
        <f t="shared" si="9"/>
        <v>135235.80000000002</v>
      </c>
      <c r="J47" s="323">
        <f>E$2*D47/100</f>
        <v>33600.000000000007</v>
      </c>
      <c r="K47" s="329">
        <f t="shared" si="10"/>
        <v>167890.35</v>
      </c>
      <c r="L47" s="330">
        <f t="shared" si="7"/>
        <v>172927.35</v>
      </c>
      <c r="M47" s="208">
        <f t="shared" si="6"/>
        <v>0.35000000000000014</v>
      </c>
      <c r="N47" t="s">
        <v>360</v>
      </c>
    </row>
    <row r="48" spans="1:14" x14ac:dyDescent="0.25">
      <c r="A48" s="263">
        <f t="shared" si="8"/>
        <v>36</v>
      </c>
      <c r="B48" s="265" t="s">
        <v>161</v>
      </c>
      <c r="C48" s="262"/>
      <c r="D48" s="255">
        <v>0.82</v>
      </c>
      <c r="E48" s="256">
        <v>123612.355</v>
      </c>
      <c r="F48" s="257">
        <f>E48</f>
        <v>123612.355</v>
      </c>
      <c r="G48" s="258">
        <f t="shared" si="0"/>
        <v>0</v>
      </c>
      <c r="H48" s="258">
        <f t="shared" si="4"/>
        <v>0</v>
      </c>
      <c r="I48" s="259">
        <f t="shared" si="9"/>
        <v>99011.925000000003</v>
      </c>
      <c r="J48" s="259">
        <f>E$2*D48/100</f>
        <v>24600</v>
      </c>
      <c r="K48" s="260">
        <f t="shared" si="10"/>
        <v>123612.36</v>
      </c>
      <c r="L48" s="261">
        <f t="shared" si="7"/>
        <v>127320.36</v>
      </c>
      <c r="M48" s="208">
        <f t="shared" si="6"/>
        <v>0.36000000000000015</v>
      </c>
      <c r="N48" t="s">
        <v>366</v>
      </c>
    </row>
    <row r="49" spans="1:14" x14ac:dyDescent="0.25">
      <c r="A49" s="263">
        <f t="shared" si="8"/>
        <v>37</v>
      </c>
      <c r="B49" s="265" t="s">
        <v>162</v>
      </c>
      <c r="C49" s="262"/>
      <c r="D49" s="255">
        <v>0.82</v>
      </c>
      <c r="E49" s="256">
        <v>85098.365000000005</v>
      </c>
      <c r="F49" s="257">
        <f>E49</f>
        <v>85098.365000000005</v>
      </c>
      <c r="G49" s="258">
        <f t="shared" si="0"/>
        <v>0</v>
      </c>
      <c r="H49" s="258">
        <f t="shared" si="4"/>
        <v>0</v>
      </c>
      <c r="I49" s="259">
        <f t="shared" si="9"/>
        <v>99011.925000000003</v>
      </c>
      <c r="J49" s="259">
        <f>E$2*D49/100</f>
        <v>24600</v>
      </c>
      <c r="K49" s="260">
        <f t="shared" si="10"/>
        <v>123612.37</v>
      </c>
      <c r="L49" s="261">
        <f t="shared" si="7"/>
        <v>127320.37</v>
      </c>
      <c r="M49" s="208">
        <f t="shared" si="6"/>
        <v>0.37000000000000016</v>
      </c>
    </row>
    <row r="50" spans="1:14" x14ac:dyDescent="0.25">
      <c r="A50" s="263">
        <f t="shared" si="8"/>
        <v>38</v>
      </c>
      <c r="B50" s="265" t="s">
        <v>163</v>
      </c>
      <c r="C50" s="262"/>
      <c r="D50" s="255">
        <v>1.34</v>
      </c>
      <c r="E50" s="256">
        <v>202000.375</v>
      </c>
      <c r="F50" s="257">
        <f>E50</f>
        <v>202000.375</v>
      </c>
      <c r="G50" s="258">
        <f t="shared" si="0"/>
        <v>0</v>
      </c>
      <c r="H50" s="258">
        <f t="shared" si="4"/>
        <v>0</v>
      </c>
      <c r="I50" s="259">
        <f t="shared" si="9"/>
        <v>161799.97500000001</v>
      </c>
      <c r="J50" s="259">
        <f>E$2*D50/100</f>
        <v>40200.000000000007</v>
      </c>
      <c r="K50" s="260">
        <f t="shared" si="10"/>
        <v>202000.38</v>
      </c>
      <c r="L50" s="261">
        <f t="shared" si="7"/>
        <v>208060.38</v>
      </c>
      <c r="M50" s="208">
        <f t="shared" si="6"/>
        <v>0.38000000000000017</v>
      </c>
    </row>
    <row r="51" spans="1:14" x14ac:dyDescent="0.25">
      <c r="A51" s="263">
        <f t="shared" si="8"/>
        <v>39</v>
      </c>
      <c r="B51" s="265" t="s">
        <v>164</v>
      </c>
      <c r="C51" s="262"/>
      <c r="D51" s="255">
        <v>1.1200000000000001</v>
      </c>
      <c r="E51" s="256">
        <v>168835.39</v>
      </c>
      <c r="F51" s="257">
        <v>0</v>
      </c>
      <c r="G51" s="258">
        <f t="shared" si="0"/>
        <v>168835.39</v>
      </c>
      <c r="H51" s="258">
        <f t="shared" si="4"/>
        <v>5065.0617000000002</v>
      </c>
      <c r="I51" s="259">
        <f t="shared" si="9"/>
        <v>135235.80000000002</v>
      </c>
      <c r="J51" s="259">
        <f>E$2*D51/100</f>
        <v>33600.000000000007</v>
      </c>
      <c r="K51" s="260">
        <f t="shared" si="10"/>
        <v>342736.39</v>
      </c>
      <c r="L51" s="261">
        <f t="shared" si="7"/>
        <v>353018.39</v>
      </c>
      <c r="M51" s="208">
        <f t="shared" si="6"/>
        <v>0.39000000000000018</v>
      </c>
    </row>
    <row r="52" spans="1:14" x14ac:dyDescent="0.25">
      <c r="A52" s="263">
        <f t="shared" si="8"/>
        <v>40</v>
      </c>
      <c r="B52" s="265" t="s">
        <v>165</v>
      </c>
      <c r="C52" s="262"/>
      <c r="D52" s="255">
        <v>1.17</v>
      </c>
      <c r="E52" s="256">
        <v>176373.4025</v>
      </c>
      <c r="F52" s="257">
        <f>E52</f>
        <v>176373.4025</v>
      </c>
      <c r="G52" s="258">
        <f t="shared" si="0"/>
        <v>0</v>
      </c>
      <c r="H52" s="258">
        <f t="shared" si="4"/>
        <v>0</v>
      </c>
      <c r="I52" s="259">
        <f t="shared" si="9"/>
        <v>141273.11249999999</v>
      </c>
      <c r="J52" s="259">
        <f>E$2*D52/100</f>
        <v>35100</v>
      </c>
      <c r="K52" s="260">
        <f t="shared" si="10"/>
        <v>176373.4</v>
      </c>
      <c r="L52" s="261">
        <f t="shared" si="7"/>
        <v>181664.4</v>
      </c>
      <c r="M52" s="208">
        <f t="shared" si="6"/>
        <v>0.40000000000000019</v>
      </c>
    </row>
    <row r="53" spans="1:14" x14ac:dyDescent="0.25">
      <c r="A53" s="263">
        <f t="shared" si="8"/>
        <v>41</v>
      </c>
      <c r="B53" s="265" t="s">
        <v>166</v>
      </c>
      <c r="C53" s="262"/>
      <c r="D53" s="255">
        <v>1.35</v>
      </c>
      <c r="E53" s="256">
        <v>203507.40750000003</v>
      </c>
      <c r="F53" s="257">
        <f>E53</f>
        <v>203507.40750000003</v>
      </c>
      <c r="G53" s="258">
        <f t="shared" si="0"/>
        <v>0</v>
      </c>
      <c r="H53" s="258">
        <f t="shared" si="4"/>
        <v>0</v>
      </c>
      <c r="I53" s="259">
        <f t="shared" si="9"/>
        <v>163007.43750000003</v>
      </c>
      <c r="J53" s="259">
        <f>E$2*D53/100</f>
        <v>40500.000000000007</v>
      </c>
      <c r="K53" s="260">
        <f t="shared" si="10"/>
        <v>203507.41</v>
      </c>
      <c r="L53" s="261">
        <f t="shared" si="7"/>
        <v>209612.41</v>
      </c>
      <c r="M53" s="208">
        <f t="shared" si="6"/>
        <v>0.4100000000000002</v>
      </c>
    </row>
    <row r="54" spans="1:14" x14ac:dyDescent="0.25">
      <c r="A54" s="263">
        <f t="shared" si="8"/>
        <v>42</v>
      </c>
      <c r="B54" s="265" t="s">
        <v>167</v>
      </c>
      <c r="C54" s="262"/>
      <c r="D54" s="255">
        <v>1.1200000000000001</v>
      </c>
      <c r="E54" s="256">
        <v>598682.42000000004</v>
      </c>
      <c r="F54" s="257">
        <v>150000.42000000001</v>
      </c>
      <c r="G54" s="258">
        <f t="shared" si="0"/>
        <v>448682</v>
      </c>
      <c r="H54" s="258">
        <f t="shared" si="4"/>
        <v>13460.46</v>
      </c>
      <c r="I54" s="259">
        <f t="shared" si="9"/>
        <v>135235.80000000002</v>
      </c>
      <c r="J54" s="259">
        <f>E$2*D54/100</f>
        <v>33600.000000000007</v>
      </c>
      <c r="K54" s="260">
        <f t="shared" si="10"/>
        <v>630978.42000000004</v>
      </c>
      <c r="L54" s="261">
        <f t="shared" si="7"/>
        <v>649907.42000000004</v>
      </c>
      <c r="M54" s="208">
        <f t="shared" si="6"/>
        <v>0.42000000000000021</v>
      </c>
    </row>
    <row r="55" spans="1:14" x14ac:dyDescent="0.25">
      <c r="A55" s="263">
        <f t="shared" si="8"/>
        <v>43</v>
      </c>
      <c r="B55" s="265" t="s">
        <v>249</v>
      </c>
      <c r="C55" s="262"/>
      <c r="D55" s="255">
        <v>0.82</v>
      </c>
      <c r="E55" s="256">
        <v>1351568.425</v>
      </c>
      <c r="F55" s="257">
        <v>0</v>
      </c>
      <c r="G55" s="258">
        <f t="shared" si="0"/>
        <v>1351568.425</v>
      </c>
      <c r="H55" s="258">
        <f t="shared" si="4"/>
        <v>40547.052750000003</v>
      </c>
      <c r="I55" s="259">
        <f t="shared" si="9"/>
        <v>99011.925000000003</v>
      </c>
      <c r="J55" s="259">
        <f>E$2*D55/100</f>
        <v>24600</v>
      </c>
      <c r="K55" s="260">
        <f t="shared" si="10"/>
        <v>1515727.43</v>
      </c>
      <c r="L55" s="261">
        <f t="shared" si="7"/>
        <v>1561199.43</v>
      </c>
      <c r="M55" s="208">
        <f t="shared" si="6"/>
        <v>0.43000000000000022</v>
      </c>
    </row>
    <row r="56" spans="1:14" x14ac:dyDescent="0.25">
      <c r="A56" s="263">
        <f t="shared" si="8"/>
        <v>44</v>
      </c>
      <c r="B56" s="265" t="s">
        <v>168</v>
      </c>
      <c r="C56" s="262"/>
      <c r="D56" s="255">
        <v>0.82</v>
      </c>
      <c r="E56" s="256">
        <v>245452.435</v>
      </c>
      <c r="F56" s="257">
        <f>E56</f>
        <v>245452.435</v>
      </c>
      <c r="G56" s="258">
        <f t="shared" si="0"/>
        <v>0</v>
      </c>
      <c r="H56" s="258">
        <f t="shared" si="4"/>
        <v>0</v>
      </c>
      <c r="I56" s="259">
        <f t="shared" si="9"/>
        <v>99011.925000000003</v>
      </c>
      <c r="J56" s="259">
        <f>E$2*D56/100</f>
        <v>24600</v>
      </c>
      <c r="K56" s="260">
        <f t="shared" si="10"/>
        <v>123612.44</v>
      </c>
      <c r="L56" s="261">
        <f t="shared" si="7"/>
        <v>127320.44</v>
      </c>
      <c r="M56" s="208">
        <f t="shared" si="6"/>
        <v>0.44000000000000022</v>
      </c>
    </row>
    <row r="57" spans="1:14" x14ac:dyDescent="0.25">
      <c r="A57" s="263">
        <f t="shared" si="8"/>
        <v>45</v>
      </c>
      <c r="B57" s="265" t="s">
        <v>169</v>
      </c>
      <c r="C57" s="262"/>
      <c r="D57" s="255">
        <v>1.34</v>
      </c>
      <c r="E57" s="256">
        <v>201999.44500000001</v>
      </c>
      <c r="F57" s="257">
        <f>E57</f>
        <v>201999.44500000001</v>
      </c>
      <c r="G57" s="258">
        <f t="shared" si="0"/>
        <v>0</v>
      </c>
      <c r="H57" s="258">
        <f t="shared" si="4"/>
        <v>0</v>
      </c>
      <c r="I57" s="259">
        <f t="shared" si="9"/>
        <v>161799.97500000001</v>
      </c>
      <c r="J57" s="259">
        <f>E$2*D57/100</f>
        <v>40200.000000000007</v>
      </c>
      <c r="K57" s="260">
        <f t="shared" si="10"/>
        <v>202000.45</v>
      </c>
      <c r="L57" s="261">
        <f t="shared" si="7"/>
        <v>208060.45</v>
      </c>
      <c r="M57" s="208">
        <f t="shared" si="6"/>
        <v>0.45000000000000023</v>
      </c>
    </row>
    <row r="58" spans="1:14" x14ac:dyDescent="0.25">
      <c r="A58" s="263">
        <f t="shared" si="8"/>
        <v>46</v>
      </c>
      <c r="B58" s="265" t="s">
        <v>170</v>
      </c>
      <c r="C58" s="262"/>
      <c r="D58" s="255">
        <v>1.1200000000000001</v>
      </c>
      <c r="E58" s="256">
        <v>192265.46000000002</v>
      </c>
      <c r="F58" s="257">
        <v>170000</v>
      </c>
      <c r="G58" s="258">
        <f t="shared" si="0"/>
        <v>22265.460000000021</v>
      </c>
      <c r="H58" s="258">
        <f t="shared" si="4"/>
        <v>667.96380000000056</v>
      </c>
      <c r="I58" s="259">
        <f t="shared" si="9"/>
        <v>135235.80000000002</v>
      </c>
      <c r="J58" s="259">
        <f>E$2*D58/100</f>
        <v>33600.000000000007</v>
      </c>
      <c r="K58" s="260">
        <f t="shared" si="10"/>
        <v>191769.46</v>
      </c>
      <c r="L58" s="261">
        <f t="shared" si="7"/>
        <v>197522.46</v>
      </c>
      <c r="M58" s="208">
        <f t="shared" si="6"/>
        <v>0.46000000000000024</v>
      </c>
      <c r="N58" t="s">
        <v>359</v>
      </c>
    </row>
    <row r="59" spans="1:14" x14ac:dyDescent="0.25">
      <c r="A59" s="334">
        <f t="shared" si="8"/>
        <v>47</v>
      </c>
      <c r="B59" s="335" t="s">
        <v>171</v>
      </c>
      <c r="C59" s="336"/>
      <c r="D59" s="326">
        <v>1.17</v>
      </c>
      <c r="E59" s="327">
        <v>555191.47250000003</v>
      </c>
      <c r="F59" s="327">
        <v>176373.5</v>
      </c>
      <c r="G59" s="328">
        <f t="shared" si="0"/>
        <v>378817.97250000003</v>
      </c>
      <c r="H59" s="328">
        <f t="shared" si="4"/>
        <v>11364.539175</v>
      </c>
      <c r="I59" s="323">
        <f t="shared" si="9"/>
        <v>141273.11249999999</v>
      </c>
      <c r="J59" s="323">
        <f>E$2*D59/100</f>
        <v>35100</v>
      </c>
      <c r="K59" s="329">
        <f t="shared" si="10"/>
        <v>566556.47</v>
      </c>
      <c r="L59" s="330">
        <f t="shared" si="7"/>
        <v>583553.47</v>
      </c>
      <c r="M59" s="208">
        <f t="shared" si="6"/>
        <v>0.47000000000000025</v>
      </c>
    </row>
    <row r="60" spans="1:14" x14ac:dyDescent="0.25">
      <c r="A60" s="334">
        <f t="shared" si="8"/>
        <v>48</v>
      </c>
      <c r="B60" s="335" t="s">
        <v>172</v>
      </c>
      <c r="C60" s="336"/>
      <c r="D60" s="326">
        <v>1.35</v>
      </c>
      <c r="E60" s="327">
        <v>203507.47750000004</v>
      </c>
      <c r="F60" s="327">
        <f>203508</f>
        <v>203508</v>
      </c>
      <c r="G60" s="328">
        <f t="shared" si="0"/>
        <v>-0.5224999999627471</v>
      </c>
      <c r="H60" s="328">
        <f t="shared" si="4"/>
        <v>0</v>
      </c>
      <c r="I60" s="323">
        <f t="shared" si="9"/>
        <v>163007.43750000003</v>
      </c>
      <c r="J60" s="323">
        <f>E$2*D60/100</f>
        <v>40500.000000000007</v>
      </c>
      <c r="K60" s="329">
        <f t="shared" si="10"/>
        <v>203507.48</v>
      </c>
      <c r="L60" s="330">
        <f t="shared" si="7"/>
        <v>209612.48</v>
      </c>
      <c r="M60" s="208">
        <f t="shared" si="6"/>
        <v>0.48000000000000026</v>
      </c>
      <c r="N60" t="s">
        <v>361</v>
      </c>
    </row>
    <row r="61" spans="1:14" x14ac:dyDescent="0.25">
      <c r="A61" s="263">
        <f t="shared" si="8"/>
        <v>49</v>
      </c>
      <c r="B61" s="265" t="s">
        <v>173</v>
      </c>
      <c r="C61" s="262"/>
      <c r="D61" s="255">
        <v>1.1200000000000001</v>
      </c>
      <c r="E61" s="256">
        <v>168835.49000000002</v>
      </c>
      <c r="F61" s="257">
        <f>E61</f>
        <v>168835.49000000002</v>
      </c>
      <c r="G61" s="258">
        <f t="shared" si="0"/>
        <v>0</v>
      </c>
      <c r="H61" s="258">
        <f t="shared" si="4"/>
        <v>0</v>
      </c>
      <c r="I61" s="259">
        <f t="shared" si="9"/>
        <v>135235.80000000002</v>
      </c>
      <c r="J61" s="259">
        <f>E$2*D61/100</f>
        <v>33600.000000000007</v>
      </c>
      <c r="K61" s="260">
        <f t="shared" si="10"/>
        <v>168836.49</v>
      </c>
      <c r="L61" s="261">
        <f t="shared" si="7"/>
        <v>173901.49</v>
      </c>
      <c r="M61" s="208">
        <f t="shared" si="6"/>
        <v>0.49000000000000027</v>
      </c>
    </row>
    <row r="62" spans="1:14" x14ac:dyDescent="0.25">
      <c r="A62" s="263">
        <f t="shared" si="8"/>
        <v>50</v>
      </c>
      <c r="B62" s="265" t="s">
        <v>174</v>
      </c>
      <c r="C62" s="262"/>
      <c r="D62" s="255">
        <v>0.82</v>
      </c>
      <c r="E62" s="256">
        <v>245452.495</v>
      </c>
      <c r="F62" s="257">
        <f>E62</f>
        <v>245452.495</v>
      </c>
      <c r="G62" s="258">
        <f t="shared" si="0"/>
        <v>0</v>
      </c>
      <c r="H62" s="258">
        <f t="shared" si="4"/>
        <v>0</v>
      </c>
      <c r="I62" s="259">
        <f t="shared" si="9"/>
        <v>99011.925000000003</v>
      </c>
      <c r="J62" s="259">
        <f>E$2*D62/100</f>
        <v>24600</v>
      </c>
      <c r="K62" s="260">
        <f t="shared" si="10"/>
        <v>123612.5</v>
      </c>
      <c r="L62" s="261">
        <f t="shared" si="7"/>
        <v>127320.5</v>
      </c>
      <c r="M62" s="208">
        <f t="shared" si="6"/>
        <v>0.50000000000000022</v>
      </c>
    </row>
    <row r="63" spans="1:14" x14ac:dyDescent="0.25">
      <c r="A63" s="263">
        <f t="shared" si="8"/>
        <v>51</v>
      </c>
      <c r="B63" s="265" t="s">
        <v>175</v>
      </c>
      <c r="C63" s="262"/>
      <c r="D63" s="255">
        <v>0.82</v>
      </c>
      <c r="E63" s="256">
        <v>-17152.504999999997</v>
      </c>
      <c r="F63" s="257">
        <v>0</v>
      </c>
      <c r="G63" s="258">
        <f t="shared" si="0"/>
        <v>-17152.504999999997</v>
      </c>
      <c r="H63" s="258">
        <f t="shared" si="4"/>
        <v>0</v>
      </c>
      <c r="I63" s="259">
        <f t="shared" si="9"/>
        <v>99011.925000000003</v>
      </c>
      <c r="J63" s="259">
        <f>E$2*D63/100</f>
        <v>24600</v>
      </c>
      <c r="K63" s="260">
        <f t="shared" si="10"/>
        <v>106459.51</v>
      </c>
      <c r="L63" s="261">
        <f t="shared" si="7"/>
        <v>109653.51</v>
      </c>
      <c r="M63" s="208">
        <f t="shared" si="6"/>
        <v>0.51000000000000023</v>
      </c>
    </row>
    <row r="64" spans="1:14" x14ac:dyDescent="0.25">
      <c r="A64" s="263">
        <f t="shared" si="8"/>
        <v>52</v>
      </c>
      <c r="B64" s="265" t="s">
        <v>176</v>
      </c>
      <c r="C64" s="262"/>
      <c r="D64" s="255">
        <v>1.34</v>
      </c>
      <c r="E64" s="256">
        <v>201999.51500000001</v>
      </c>
      <c r="F64" s="257">
        <f>E64</f>
        <v>201999.51500000001</v>
      </c>
      <c r="G64" s="258">
        <f t="shared" si="0"/>
        <v>0</v>
      </c>
      <c r="H64" s="258">
        <f t="shared" si="4"/>
        <v>0</v>
      </c>
      <c r="I64" s="259">
        <f t="shared" si="9"/>
        <v>161799.97500000001</v>
      </c>
      <c r="J64" s="259">
        <f>E$2*D64/100</f>
        <v>40200.000000000007</v>
      </c>
      <c r="K64" s="260">
        <f t="shared" si="10"/>
        <v>202000.52</v>
      </c>
      <c r="L64" s="261">
        <f t="shared" si="7"/>
        <v>208060.52</v>
      </c>
      <c r="M64" s="208">
        <f t="shared" si="6"/>
        <v>0.52000000000000024</v>
      </c>
    </row>
    <row r="65" spans="1:13" x14ac:dyDescent="0.25">
      <c r="A65" s="263">
        <f t="shared" si="8"/>
        <v>53</v>
      </c>
      <c r="B65" s="265" t="s">
        <v>177</v>
      </c>
      <c r="C65" s="262"/>
      <c r="D65" s="255">
        <v>1.1200000000000001</v>
      </c>
      <c r="E65" s="256">
        <v>168835.53000000003</v>
      </c>
      <c r="F65" s="257">
        <f>E65</f>
        <v>168835.53000000003</v>
      </c>
      <c r="G65" s="258">
        <f t="shared" si="0"/>
        <v>0</v>
      </c>
      <c r="H65" s="258">
        <f t="shared" si="4"/>
        <v>0</v>
      </c>
      <c r="I65" s="259">
        <f t="shared" si="9"/>
        <v>135235.80000000002</v>
      </c>
      <c r="J65" s="259">
        <f>E$2*D65/100</f>
        <v>33600.000000000007</v>
      </c>
      <c r="K65" s="260">
        <f t="shared" si="10"/>
        <v>168836.53</v>
      </c>
      <c r="L65" s="261">
        <f t="shared" si="7"/>
        <v>173901.53</v>
      </c>
      <c r="M65" s="208">
        <f t="shared" si="6"/>
        <v>0.53000000000000025</v>
      </c>
    </row>
    <row r="66" spans="1:13" x14ac:dyDescent="0.25">
      <c r="A66" s="263">
        <f t="shared" si="8"/>
        <v>54</v>
      </c>
      <c r="B66" s="265" t="s">
        <v>178</v>
      </c>
      <c r="C66" s="262"/>
      <c r="D66" s="255">
        <v>1.17</v>
      </c>
      <c r="E66" s="256">
        <v>176373.54249999998</v>
      </c>
      <c r="F66" s="257">
        <f>E66</f>
        <v>176373.54249999998</v>
      </c>
      <c r="G66" s="258">
        <f t="shared" si="0"/>
        <v>0</v>
      </c>
      <c r="H66" s="258">
        <f t="shared" si="4"/>
        <v>0</v>
      </c>
      <c r="I66" s="259">
        <f t="shared" si="9"/>
        <v>141273.11249999999</v>
      </c>
      <c r="J66" s="259">
        <f>E$2*D66/100</f>
        <v>35100</v>
      </c>
      <c r="K66" s="260">
        <f t="shared" si="10"/>
        <v>176373.54</v>
      </c>
      <c r="L66" s="261">
        <f t="shared" si="7"/>
        <v>181664.54</v>
      </c>
      <c r="M66" s="208">
        <f t="shared" si="6"/>
        <v>0.54000000000000026</v>
      </c>
    </row>
    <row r="67" spans="1:13" x14ac:dyDescent="0.25">
      <c r="A67" s="263">
        <f t="shared" si="8"/>
        <v>55</v>
      </c>
      <c r="B67" s="265" t="s">
        <v>179</v>
      </c>
      <c r="C67" s="262"/>
      <c r="D67" s="255">
        <v>1.35</v>
      </c>
      <c r="E67" s="256">
        <v>203507.54750000002</v>
      </c>
      <c r="F67" s="257">
        <f>E67</f>
        <v>203507.54750000002</v>
      </c>
      <c r="G67" s="258">
        <f t="shared" si="0"/>
        <v>0</v>
      </c>
      <c r="H67" s="258">
        <f t="shared" si="4"/>
        <v>0</v>
      </c>
      <c r="I67" s="259">
        <f t="shared" si="9"/>
        <v>163007.43750000003</v>
      </c>
      <c r="J67" s="259">
        <f>E$2*D67/100</f>
        <v>40500.000000000007</v>
      </c>
      <c r="K67" s="260">
        <f t="shared" si="10"/>
        <v>203507.55</v>
      </c>
      <c r="L67" s="261">
        <f t="shared" si="7"/>
        <v>209612.55</v>
      </c>
      <c r="M67" s="208">
        <f t="shared" si="6"/>
        <v>0.55000000000000027</v>
      </c>
    </row>
    <row r="68" spans="1:13" x14ac:dyDescent="0.25">
      <c r="A68" s="263">
        <f t="shared" si="8"/>
        <v>56</v>
      </c>
      <c r="B68" s="265" t="s">
        <v>180</v>
      </c>
      <c r="C68" s="262"/>
      <c r="D68" s="255">
        <v>1.1200000000000001</v>
      </c>
      <c r="E68" s="256">
        <v>168835.56000000003</v>
      </c>
      <c r="F68" s="257">
        <f>E68</f>
        <v>168835.56000000003</v>
      </c>
      <c r="G68" s="258">
        <f t="shared" si="0"/>
        <v>0</v>
      </c>
      <c r="H68" s="258">
        <f t="shared" si="4"/>
        <v>0</v>
      </c>
      <c r="I68" s="259">
        <f t="shared" si="9"/>
        <v>135235.80000000002</v>
      </c>
      <c r="J68" s="259">
        <f>E$2*D68/100</f>
        <v>33600.000000000007</v>
      </c>
      <c r="K68" s="260">
        <f t="shared" si="10"/>
        <v>168836.56</v>
      </c>
      <c r="L68" s="261">
        <f t="shared" si="7"/>
        <v>173901.56</v>
      </c>
      <c r="M68" s="208">
        <f t="shared" si="6"/>
        <v>0.56000000000000028</v>
      </c>
    </row>
    <row r="69" spans="1:13" x14ac:dyDescent="0.25">
      <c r="A69" s="263">
        <f t="shared" si="8"/>
        <v>57</v>
      </c>
      <c r="B69" s="265" t="s">
        <v>181</v>
      </c>
      <c r="C69" s="262"/>
      <c r="D69" s="255">
        <v>0.82</v>
      </c>
      <c r="E69" s="256">
        <v>122973.565</v>
      </c>
      <c r="F69" s="257">
        <v>0</v>
      </c>
      <c r="G69" s="258">
        <f t="shared" si="0"/>
        <v>122973.565</v>
      </c>
      <c r="H69" s="258">
        <f t="shared" si="4"/>
        <v>3689.2069499999998</v>
      </c>
      <c r="I69" s="259">
        <f t="shared" si="9"/>
        <v>99011.925000000003</v>
      </c>
      <c r="J69" s="259">
        <f>E$2*D69/100</f>
        <v>24600</v>
      </c>
      <c r="K69" s="260">
        <f t="shared" si="10"/>
        <v>250275.57</v>
      </c>
      <c r="L69" s="261">
        <f t="shared" si="7"/>
        <v>257783.57</v>
      </c>
      <c r="M69" s="208">
        <f t="shared" si="6"/>
        <v>0.57000000000000028</v>
      </c>
    </row>
    <row r="70" spans="1:13" x14ac:dyDescent="0.25">
      <c r="A70" s="263">
        <f t="shared" si="8"/>
        <v>58</v>
      </c>
      <c r="B70" s="265" t="s">
        <v>182</v>
      </c>
      <c r="C70" s="262"/>
      <c r="D70" s="255">
        <v>0.82</v>
      </c>
      <c r="E70" s="256">
        <v>123611.575</v>
      </c>
      <c r="F70" s="257">
        <f>E70</f>
        <v>123611.575</v>
      </c>
      <c r="G70" s="258">
        <f t="shared" si="0"/>
        <v>0</v>
      </c>
      <c r="H70" s="258">
        <f t="shared" si="4"/>
        <v>0</v>
      </c>
      <c r="I70" s="259">
        <f t="shared" si="9"/>
        <v>99011.925000000003</v>
      </c>
      <c r="J70" s="259">
        <f>E$2*D70/100</f>
        <v>24600</v>
      </c>
      <c r="K70" s="260">
        <f t="shared" si="10"/>
        <v>123612.58</v>
      </c>
      <c r="L70" s="261">
        <f t="shared" si="7"/>
        <v>127320.58</v>
      </c>
      <c r="M70" s="208">
        <f t="shared" si="6"/>
        <v>0.58000000000000029</v>
      </c>
    </row>
    <row r="71" spans="1:13" x14ac:dyDescent="0.25">
      <c r="A71" s="334">
        <f t="shared" si="8"/>
        <v>59</v>
      </c>
      <c r="B71" s="335" t="s">
        <v>183</v>
      </c>
      <c r="C71" s="336"/>
      <c r="D71" s="326">
        <v>1.34</v>
      </c>
      <c r="E71" s="327">
        <v>201999.58499999999</v>
      </c>
      <c r="F71" s="327">
        <f>232149.53-F105-F113</f>
        <v>201999.6</v>
      </c>
      <c r="G71" s="328">
        <f t="shared" si="0"/>
        <v>-1.5000000013969839E-2</v>
      </c>
      <c r="H71" s="328">
        <f t="shared" si="4"/>
        <v>0</v>
      </c>
      <c r="I71" s="323">
        <f t="shared" si="9"/>
        <v>161799.97500000001</v>
      </c>
      <c r="J71" s="323">
        <f>E$2*D71/100</f>
        <v>40200.000000000007</v>
      </c>
      <c r="K71" s="329">
        <f t="shared" si="10"/>
        <v>202000.59</v>
      </c>
      <c r="L71" s="330">
        <f t="shared" si="7"/>
        <v>208060.59</v>
      </c>
      <c r="M71" s="208">
        <f t="shared" si="6"/>
        <v>0.5900000000000003</v>
      </c>
    </row>
    <row r="72" spans="1:13" x14ac:dyDescent="0.25">
      <c r="A72" s="263">
        <f t="shared" si="8"/>
        <v>60</v>
      </c>
      <c r="B72" s="265" t="s">
        <v>184</v>
      </c>
      <c r="C72" s="262"/>
      <c r="D72" s="255">
        <v>1.1200000000000001</v>
      </c>
      <c r="E72" s="256">
        <v>168835.6</v>
      </c>
      <c r="F72" s="257">
        <f>E72</f>
        <v>168835.6</v>
      </c>
      <c r="G72" s="258">
        <f t="shared" si="0"/>
        <v>0</v>
      </c>
      <c r="H72" s="258">
        <f t="shared" si="4"/>
        <v>0</v>
      </c>
      <c r="I72" s="259">
        <f t="shared" si="9"/>
        <v>135235.80000000002</v>
      </c>
      <c r="J72" s="259">
        <f>E$2*D72/100</f>
        <v>33600.000000000007</v>
      </c>
      <c r="K72" s="260">
        <f t="shared" si="10"/>
        <v>168836.6</v>
      </c>
      <c r="L72" s="261">
        <f t="shared" si="7"/>
        <v>173901.6</v>
      </c>
      <c r="M72" s="208">
        <f t="shared" si="6"/>
        <v>0.60000000000000031</v>
      </c>
    </row>
    <row r="73" spans="1:13" x14ac:dyDescent="0.25">
      <c r="A73" s="263">
        <f t="shared" si="8"/>
        <v>61</v>
      </c>
      <c r="B73" s="265" t="s">
        <v>185</v>
      </c>
      <c r="C73" s="262"/>
      <c r="D73" s="255">
        <v>1.17</v>
      </c>
      <c r="E73" s="256">
        <v>176373.61249999999</v>
      </c>
      <c r="F73" s="257">
        <f>E73</f>
        <v>176373.61249999999</v>
      </c>
      <c r="G73" s="258">
        <f t="shared" si="0"/>
        <v>0</v>
      </c>
      <c r="H73" s="258">
        <f t="shared" si="4"/>
        <v>0</v>
      </c>
      <c r="I73" s="259">
        <f t="shared" si="9"/>
        <v>141273.11249999999</v>
      </c>
      <c r="J73" s="259">
        <f>E$2*D73/100</f>
        <v>35100</v>
      </c>
      <c r="K73" s="260">
        <f t="shared" si="10"/>
        <v>176373.61</v>
      </c>
      <c r="L73" s="261">
        <f t="shared" si="7"/>
        <v>181664.61</v>
      </c>
      <c r="M73" s="208">
        <f t="shared" si="6"/>
        <v>0.61000000000000032</v>
      </c>
    </row>
    <row r="74" spans="1:13" x14ac:dyDescent="0.25">
      <c r="A74" s="263">
        <f t="shared" si="8"/>
        <v>62</v>
      </c>
      <c r="B74" s="265" t="s">
        <v>186</v>
      </c>
      <c r="C74" s="262"/>
      <c r="D74" s="255">
        <v>1.35</v>
      </c>
      <c r="E74" s="256">
        <v>203507.61750000002</v>
      </c>
      <c r="F74" s="257">
        <f>E74</f>
        <v>203507.61750000002</v>
      </c>
      <c r="G74" s="258">
        <f t="shared" si="0"/>
        <v>0</v>
      </c>
      <c r="H74" s="258">
        <f t="shared" si="4"/>
        <v>0</v>
      </c>
      <c r="I74" s="259">
        <f t="shared" si="9"/>
        <v>163007.43750000003</v>
      </c>
      <c r="J74" s="259">
        <f>E$2*D74/100</f>
        <v>40500.000000000007</v>
      </c>
      <c r="K74" s="260">
        <f t="shared" si="10"/>
        <v>203507.62</v>
      </c>
      <c r="L74" s="261">
        <f t="shared" si="7"/>
        <v>209612.62</v>
      </c>
      <c r="M74" s="208">
        <f t="shared" si="6"/>
        <v>0.62000000000000033</v>
      </c>
    </row>
    <row r="75" spans="1:13" x14ac:dyDescent="0.25">
      <c r="A75" s="263">
        <f t="shared" si="8"/>
        <v>63</v>
      </c>
      <c r="B75" s="265" t="s">
        <v>187</v>
      </c>
      <c r="C75" s="262"/>
      <c r="D75" s="255">
        <v>1.1200000000000001</v>
      </c>
      <c r="E75" s="256">
        <v>335252.63000000006</v>
      </c>
      <c r="F75" s="257">
        <f>E75</f>
        <v>335252.63000000006</v>
      </c>
      <c r="G75" s="258">
        <f t="shared" si="0"/>
        <v>0</v>
      </c>
      <c r="H75" s="258">
        <f t="shared" si="4"/>
        <v>0</v>
      </c>
      <c r="I75" s="259">
        <f t="shared" si="9"/>
        <v>135235.80000000002</v>
      </c>
      <c r="J75" s="259">
        <f>E$2*D75/100</f>
        <v>33600.000000000007</v>
      </c>
      <c r="K75" s="260">
        <f t="shared" si="10"/>
        <v>168836.63</v>
      </c>
      <c r="L75" s="261">
        <f t="shared" si="7"/>
        <v>173901.63</v>
      </c>
      <c r="M75" s="208">
        <f t="shared" si="6"/>
        <v>0.63000000000000034</v>
      </c>
    </row>
    <row r="76" spans="1:13" x14ac:dyDescent="0.25">
      <c r="A76" s="263">
        <f t="shared" si="8"/>
        <v>64</v>
      </c>
      <c r="B76" s="265" t="s">
        <v>188</v>
      </c>
      <c r="C76" s="262"/>
      <c r="D76" s="255">
        <v>0.82</v>
      </c>
      <c r="E76" s="256">
        <v>123611.63500000001</v>
      </c>
      <c r="F76" s="257">
        <v>0</v>
      </c>
      <c r="G76" s="258">
        <f t="shared" si="0"/>
        <v>123611.63500000001</v>
      </c>
      <c r="H76" s="258">
        <f t="shared" si="4"/>
        <v>3708.3490500000003</v>
      </c>
      <c r="I76" s="259">
        <f t="shared" si="9"/>
        <v>99011.925000000003</v>
      </c>
      <c r="J76" s="259">
        <f>E$2*D76/100</f>
        <v>24600</v>
      </c>
      <c r="K76" s="260">
        <f t="shared" si="10"/>
        <v>250932.64</v>
      </c>
      <c r="L76" s="261">
        <f t="shared" si="7"/>
        <v>258460.64</v>
      </c>
      <c r="M76" s="208">
        <f t="shared" si="6"/>
        <v>0.64000000000000035</v>
      </c>
    </row>
    <row r="77" spans="1:13" x14ac:dyDescent="0.25">
      <c r="A77" s="263">
        <f t="shared" si="8"/>
        <v>65</v>
      </c>
      <c r="B77" s="265" t="s">
        <v>189</v>
      </c>
      <c r="C77" s="262"/>
      <c r="D77" s="255">
        <v>0.82</v>
      </c>
      <c r="E77" s="256">
        <v>689432.64500000002</v>
      </c>
      <c r="F77" s="257">
        <v>0</v>
      </c>
      <c r="G77" s="258">
        <f t="shared" ref="G77:G115" si="11">E77-F77</f>
        <v>689432.64500000002</v>
      </c>
      <c r="H77" s="258">
        <f t="shared" si="4"/>
        <v>20682.979350000001</v>
      </c>
      <c r="I77" s="259">
        <f t="shared" ref="I77:I108" si="12">J$2*D77/100</f>
        <v>99011.925000000003</v>
      </c>
      <c r="J77" s="259">
        <f>E$2*D77/100</f>
        <v>24600</v>
      </c>
      <c r="K77" s="260">
        <f t="shared" ref="K77:K108" si="13">ROUND(SUM(G77:J77),0) + M77</f>
        <v>833728.65</v>
      </c>
      <c r="L77" s="261">
        <f t="shared" si="7"/>
        <v>858740.65</v>
      </c>
      <c r="M77" s="208">
        <f t="shared" si="6"/>
        <v>0.65000000000000036</v>
      </c>
    </row>
    <row r="78" spans="1:13" x14ac:dyDescent="0.25">
      <c r="A78" s="263">
        <f t="shared" si="8"/>
        <v>66</v>
      </c>
      <c r="B78" s="265" t="s">
        <v>190</v>
      </c>
      <c r="C78" s="262"/>
      <c r="D78" s="255">
        <v>1.34</v>
      </c>
      <c r="E78" s="256">
        <v>116668.655</v>
      </c>
      <c r="F78" s="257">
        <f>E78</f>
        <v>116668.655</v>
      </c>
      <c r="G78" s="258">
        <f t="shared" si="11"/>
        <v>0</v>
      </c>
      <c r="H78" s="258">
        <f t="shared" ref="H78:H115" si="14">IF(G78&gt;0,G78*3%,0)</f>
        <v>0</v>
      </c>
      <c r="I78" s="259">
        <f t="shared" si="12"/>
        <v>161799.97500000001</v>
      </c>
      <c r="J78" s="259">
        <f>E$2*D78/100</f>
        <v>40200.000000000007</v>
      </c>
      <c r="K78" s="260">
        <f t="shared" si="13"/>
        <v>202000.66</v>
      </c>
      <c r="L78" s="261">
        <f t="shared" si="7"/>
        <v>208060.66</v>
      </c>
      <c r="M78" s="208">
        <f t="shared" si="6"/>
        <v>0.66000000000000036</v>
      </c>
    </row>
    <row r="79" spans="1:13" x14ac:dyDescent="0.25">
      <c r="A79" s="263">
        <f t="shared" si="8"/>
        <v>67</v>
      </c>
      <c r="B79" s="265" t="s">
        <v>191</v>
      </c>
      <c r="C79" s="262"/>
      <c r="D79" s="255">
        <v>1.1200000000000001</v>
      </c>
      <c r="E79" s="256">
        <v>168835.67</v>
      </c>
      <c r="F79" s="257">
        <v>0</v>
      </c>
      <c r="G79" s="258">
        <f t="shared" si="11"/>
        <v>168835.67</v>
      </c>
      <c r="H79" s="258">
        <f t="shared" si="14"/>
        <v>5065.0700999999999</v>
      </c>
      <c r="I79" s="259">
        <f t="shared" si="12"/>
        <v>135235.80000000002</v>
      </c>
      <c r="J79" s="259">
        <f>E$2*D79/100</f>
        <v>33600.000000000007</v>
      </c>
      <c r="K79" s="260">
        <f t="shared" si="13"/>
        <v>342737.67</v>
      </c>
      <c r="L79" s="261">
        <f t="shared" si="7"/>
        <v>353019.67</v>
      </c>
      <c r="M79" s="208">
        <f t="shared" si="6"/>
        <v>0.67000000000000037</v>
      </c>
    </row>
    <row r="80" spans="1:13" x14ac:dyDescent="0.25">
      <c r="A80" s="263">
        <f t="shared" si="8"/>
        <v>68</v>
      </c>
      <c r="B80" s="265" t="s">
        <v>192</v>
      </c>
      <c r="C80" s="262"/>
      <c r="D80" s="255">
        <v>1.17</v>
      </c>
      <c r="E80" s="256">
        <v>4725272.6825000001</v>
      </c>
      <c r="F80" s="257">
        <v>0</v>
      </c>
      <c r="G80" s="258">
        <f t="shared" si="11"/>
        <v>4725272.6825000001</v>
      </c>
      <c r="H80" s="258">
        <f t="shared" si="14"/>
        <v>141758.180475</v>
      </c>
      <c r="I80" s="259">
        <f t="shared" si="12"/>
        <v>141273.11249999999</v>
      </c>
      <c r="J80" s="259">
        <f>E$2*D80/100</f>
        <v>35100</v>
      </c>
      <c r="K80" s="260">
        <f t="shared" si="13"/>
        <v>5043404.68</v>
      </c>
      <c r="L80" s="261">
        <f t="shared" si="7"/>
        <v>5194706.68</v>
      </c>
      <c r="M80" s="208">
        <f t="shared" si="6"/>
        <v>0.68000000000000038</v>
      </c>
    </row>
    <row r="81" spans="1:14" x14ac:dyDescent="0.25">
      <c r="A81" s="263">
        <f t="shared" si="8"/>
        <v>69</v>
      </c>
      <c r="B81" s="265" t="s">
        <v>193</v>
      </c>
      <c r="C81" s="262"/>
      <c r="D81" s="255">
        <v>1.35</v>
      </c>
      <c r="E81" s="256">
        <v>203507.68750000003</v>
      </c>
      <c r="F81" s="257">
        <f>E81</f>
        <v>203507.68750000003</v>
      </c>
      <c r="G81" s="258">
        <f t="shared" si="11"/>
        <v>0</v>
      </c>
      <c r="H81" s="258">
        <f t="shared" si="14"/>
        <v>0</v>
      </c>
      <c r="I81" s="259">
        <f t="shared" si="12"/>
        <v>163007.43750000003</v>
      </c>
      <c r="J81" s="259">
        <f>E$2*D81/100</f>
        <v>40500.000000000007</v>
      </c>
      <c r="K81" s="260">
        <f t="shared" si="13"/>
        <v>203507.69</v>
      </c>
      <c r="L81" s="261">
        <f t="shared" si="7"/>
        <v>209612.69</v>
      </c>
      <c r="M81" s="208">
        <f t="shared" si="6"/>
        <v>0.69000000000000039</v>
      </c>
    </row>
    <row r="82" spans="1:14" x14ac:dyDescent="0.25">
      <c r="A82" s="334">
        <f t="shared" si="8"/>
        <v>70</v>
      </c>
      <c r="B82" s="335" t="s">
        <v>194</v>
      </c>
      <c r="C82" s="336"/>
      <c r="D82" s="326">
        <v>1.1200000000000001</v>
      </c>
      <c r="E82" s="327">
        <v>324534.70000000007</v>
      </c>
      <c r="F82" s="327">
        <v>33600</v>
      </c>
      <c r="G82" s="328">
        <f t="shared" si="11"/>
        <v>290934.70000000007</v>
      </c>
      <c r="H82" s="328">
        <f t="shared" si="14"/>
        <v>8728.0410000000011</v>
      </c>
      <c r="I82" s="323">
        <f t="shared" si="12"/>
        <v>135235.80000000002</v>
      </c>
      <c r="J82" s="323">
        <f>E$2*D82/100</f>
        <v>33600.000000000007</v>
      </c>
      <c r="K82" s="329">
        <f t="shared" si="13"/>
        <v>468499.7</v>
      </c>
      <c r="L82" s="330">
        <f t="shared" si="7"/>
        <v>482554.7</v>
      </c>
      <c r="M82" s="208">
        <f t="shared" si="6"/>
        <v>0.7000000000000004</v>
      </c>
      <c r="N82" t="s">
        <v>357</v>
      </c>
    </row>
    <row r="83" spans="1:14" x14ac:dyDescent="0.25">
      <c r="A83" s="263">
        <f t="shared" si="8"/>
        <v>71</v>
      </c>
      <c r="B83" s="265" t="s">
        <v>195</v>
      </c>
      <c r="C83" s="262"/>
      <c r="D83" s="255">
        <v>0.82</v>
      </c>
      <c r="E83" s="256">
        <v>245452.70499999999</v>
      </c>
      <c r="F83" s="257">
        <v>126000.71</v>
      </c>
      <c r="G83" s="258">
        <f t="shared" si="11"/>
        <v>119451.99499999998</v>
      </c>
      <c r="H83" s="258">
        <f t="shared" si="14"/>
        <v>3583.5598499999992</v>
      </c>
      <c r="I83" s="259">
        <f t="shared" si="12"/>
        <v>99011.925000000003</v>
      </c>
      <c r="J83" s="259">
        <f>E$2*D83/100</f>
        <v>24600</v>
      </c>
      <c r="K83" s="260">
        <f t="shared" si="13"/>
        <v>246647.71</v>
      </c>
      <c r="L83" s="261">
        <f t="shared" si="7"/>
        <v>254046.71</v>
      </c>
      <c r="M83" s="208">
        <f t="shared" si="6"/>
        <v>0.71000000000000041</v>
      </c>
    </row>
    <row r="84" spans="1:14" x14ac:dyDescent="0.25">
      <c r="A84" s="263">
        <f t="shared" si="8"/>
        <v>72</v>
      </c>
      <c r="B84" s="265" t="s">
        <v>196</v>
      </c>
      <c r="C84" s="262"/>
      <c r="D84" s="255">
        <v>0.82</v>
      </c>
      <c r="E84" s="256">
        <v>123611.715</v>
      </c>
      <c r="F84" s="257">
        <f>E84</f>
        <v>123611.715</v>
      </c>
      <c r="G84" s="258">
        <f t="shared" si="11"/>
        <v>0</v>
      </c>
      <c r="H84" s="258">
        <f t="shared" si="14"/>
        <v>0</v>
      </c>
      <c r="I84" s="259">
        <f t="shared" si="12"/>
        <v>99011.925000000003</v>
      </c>
      <c r="J84" s="259">
        <f>E$2*D84/100</f>
        <v>24600</v>
      </c>
      <c r="K84" s="260">
        <f t="shared" si="13"/>
        <v>123612.72</v>
      </c>
      <c r="L84" s="261">
        <f t="shared" si="7"/>
        <v>127320.72</v>
      </c>
      <c r="M84" s="208">
        <f t="shared" si="6"/>
        <v>0.72000000000000042</v>
      </c>
    </row>
    <row r="85" spans="1:14" x14ac:dyDescent="0.25">
      <c r="A85" s="263">
        <f t="shared" si="8"/>
        <v>73</v>
      </c>
      <c r="B85" s="265" t="s">
        <v>197</v>
      </c>
      <c r="C85" s="262"/>
      <c r="D85" s="255">
        <v>1.34</v>
      </c>
      <c r="E85" s="256">
        <v>446799.72499999998</v>
      </c>
      <c r="F85" s="257">
        <f>E85</f>
        <v>446799.72499999998</v>
      </c>
      <c r="G85" s="258">
        <f t="shared" si="11"/>
        <v>0</v>
      </c>
      <c r="H85" s="258">
        <f t="shared" si="14"/>
        <v>0</v>
      </c>
      <c r="I85" s="259">
        <f t="shared" si="12"/>
        <v>161799.97500000001</v>
      </c>
      <c r="J85" s="259">
        <f>E$2*D85/100</f>
        <v>40200.000000000007</v>
      </c>
      <c r="K85" s="260">
        <f t="shared" si="13"/>
        <v>202000.73</v>
      </c>
      <c r="L85" s="261">
        <f t="shared" si="7"/>
        <v>208060.73</v>
      </c>
      <c r="M85" s="208">
        <f t="shared" si="6"/>
        <v>0.73000000000000043</v>
      </c>
    </row>
    <row r="86" spans="1:14" x14ac:dyDescent="0.25">
      <c r="A86" s="263">
        <f t="shared" si="8"/>
        <v>74</v>
      </c>
      <c r="B86" s="265" t="s">
        <v>198</v>
      </c>
      <c r="C86" s="262"/>
      <c r="D86" s="255">
        <v>1.1200000000000001</v>
      </c>
      <c r="E86" s="256">
        <v>335252.74000000005</v>
      </c>
      <c r="F86" s="257">
        <v>0</v>
      </c>
      <c r="G86" s="258">
        <f t="shared" si="11"/>
        <v>335252.74000000005</v>
      </c>
      <c r="H86" s="258">
        <f t="shared" si="14"/>
        <v>10057.582200000001</v>
      </c>
      <c r="I86" s="259">
        <f t="shared" si="12"/>
        <v>135235.80000000002</v>
      </c>
      <c r="J86" s="259">
        <f>E$2*D86/100</f>
        <v>33600.000000000007</v>
      </c>
      <c r="K86" s="260">
        <f t="shared" si="13"/>
        <v>514146.74</v>
      </c>
      <c r="L86" s="261">
        <f t="shared" si="7"/>
        <v>529570.74</v>
      </c>
      <c r="M86" s="208">
        <f t="shared" si="6"/>
        <v>0.74000000000000044</v>
      </c>
    </row>
    <row r="87" spans="1:14" x14ac:dyDescent="0.25">
      <c r="A87" s="263">
        <f t="shared" si="8"/>
        <v>75</v>
      </c>
      <c r="B87" s="265" t="s">
        <v>199</v>
      </c>
      <c r="C87" s="262"/>
      <c r="D87" s="255">
        <v>1.17</v>
      </c>
      <c r="E87" s="256">
        <v>176373.7525</v>
      </c>
      <c r="F87" s="257">
        <f>E87</f>
        <v>176373.7525</v>
      </c>
      <c r="G87" s="258">
        <f t="shared" si="11"/>
        <v>0</v>
      </c>
      <c r="H87" s="258">
        <f t="shared" si="14"/>
        <v>0</v>
      </c>
      <c r="I87" s="259">
        <f t="shared" si="12"/>
        <v>141273.11249999999</v>
      </c>
      <c r="J87" s="259">
        <f>E$2*D87/100</f>
        <v>35100</v>
      </c>
      <c r="K87" s="260">
        <f t="shared" si="13"/>
        <v>176373.75</v>
      </c>
      <c r="L87" s="261">
        <f t="shared" si="7"/>
        <v>181664.75</v>
      </c>
      <c r="M87" s="208">
        <f t="shared" si="6"/>
        <v>0.75000000000000044</v>
      </c>
    </row>
    <row r="88" spans="1:14" x14ac:dyDescent="0.25">
      <c r="A88" s="263">
        <f t="shared" si="8"/>
        <v>76</v>
      </c>
      <c r="B88" s="265" t="s">
        <v>200</v>
      </c>
      <c r="C88" s="262"/>
      <c r="D88" s="255">
        <v>1.35</v>
      </c>
      <c r="E88" s="256">
        <v>203507.75750000004</v>
      </c>
      <c r="F88" s="257">
        <f>E88</f>
        <v>203507.75750000004</v>
      </c>
      <c r="G88" s="258">
        <f t="shared" si="11"/>
        <v>0</v>
      </c>
      <c r="H88" s="258">
        <f t="shared" si="14"/>
        <v>0</v>
      </c>
      <c r="I88" s="259">
        <f t="shared" si="12"/>
        <v>163007.43750000003</v>
      </c>
      <c r="J88" s="259">
        <f>E$2*D88/100</f>
        <v>40500.000000000007</v>
      </c>
      <c r="K88" s="260">
        <f t="shared" si="13"/>
        <v>203507.76</v>
      </c>
      <c r="L88" s="261">
        <f t="shared" si="7"/>
        <v>209612.76</v>
      </c>
      <c r="M88" s="208">
        <f t="shared" si="6"/>
        <v>0.76000000000000045</v>
      </c>
    </row>
    <row r="89" spans="1:14" x14ac:dyDescent="0.25">
      <c r="A89" s="263">
        <f t="shared" si="8"/>
        <v>77</v>
      </c>
      <c r="B89" s="265" t="s">
        <v>201</v>
      </c>
      <c r="C89" s="262"/>
      <c r="D89" s="255">
        <v>1.1200000000000001</v>
      </c>
      <c r="E89" s="256">
        <v>168835.77000000002</v>
      </c>
      <c r="F89" s="257">
        <f>E89</f>
        <v>168835.77000000002</v>
      </c>
      <c r="G89" s="258">
        <f t="shared" si="11"/>
        <v>0</v>
      </c>
      <c r="H89" s="258">
        <f t="shared" si="14"/>
        <v>0</v>
      </c>
      <c r="I89" s="259">
        <f t="shared" si="12"/>
        <v>135235.80000000002</v>
      </c>
      <c r="J89" s="259">
        <f>E$2*D89/100</f>
        <v>33600.000000000007</v>
      </c>
      <c r="K89" s="260">
        <f t="shared" si="13"/>
        <v>168836.77</v>
      </c>
      <c r="L89" s="261">
        <f t="shared" si="7"/>
        <v>173901.77</v>
      </c>
      <c r="M89" s="208">
        <f t="shared" si="6"/>
        <v>0.77000000000000046</v>
      </c>
    </row>
    <row r="90" spans="1:14" x14ac:dyDescent="0.25">
      <c r="A90" s="263">
        <f t="shared" si="8"/>
        <v>78</v>
      </c>
      <c r="B90" s="265" t="s">
        <v>202</v>
      </c>
      <c r="C90" s="262"/>
      <c r="D90" s="255">
        <v>0.82</v>
      </c>
      <c r="E90" s="256">
        <v>1243128.7750000001</v>
      </c>
      <c r="F90" s="257">
        <v>0</v>
      </c>
      <c r="G90" s="258">
        <f t="shared" si="11"/>
        <v>1243128.7750000001</v>
      </c>
      <c r="H90" s="258">
        <f t="shared" si="14"/>
        <v>37293.863250000002</v>
      </c>
      <c r="I90" s="259">
        <f t="shared" si="12"/>
        <v>99011.925000000003</v>
      </c>
      <c r="J90" s="259">
        <f>E$2*D90/100</f>
        <v>24600</v>
      </c>
      <c r="K90" s="260">
        <f t="shared" si="13"/>
        <v>1404035.78</v>
      </c>
      <c r="L90" s="261">
        <f t="shared" si="7"/>
        <v>1446156.78</v>
      </c>
      <c r="M90" s="208">
        <f t="shared" si="6"/>
        <v>0.78000000000000047</v>
      </c>
    </row>
    <row r="91" spans="1:14" x14ac:dyDescent="0.25">
      <c r="A91" s="263">
        <f t="shared" si="8"/>
        <v>79</v>
      </c>
      <c r="B91" s="265" t="s">
        <v>203</v>
      </c>
      <c r="C91" s="262"/>
      <c r="D91" s="255">
        <v>0.82</v>
      </c>
      <c r="E91" s="256">
        <v>123611.785</v>
      </c>
      <c r="F91" s="257">
        <f>E91</f>
        <v>123611.785</v>
      </c>
      <c r="G91" s="258">
        <f t="shared" si="11"/>
        <v>0</v>
      </c>
      <c r="H91" s="258">
        <f t="shared" si="14"/>
        <v>0</v>
      </c>
      <c r="I91" s="259">
        <f t="shared" si="12"/>
        <v>99011.925000000003</v>
      </c>
      <c r="J91" s="259">
        <f>E$2*D91/100</f>
        <v>24600</v>
      </c>
      <c r="K91" s="260">
        <f t="shared" si="13"/>
        <v>123612.79</v>
      </c>
      <c r="L91" s="261">
        <f t="shared" si="7"/>
        <v>127320.79</v>
      </c>
      <c r="M91" s="208">
        <f t="shared" si="6"/>
        <v>0.79000000000000048</v>
      </c>
    </row>
    <row r="92" spans="1:14" x14ac:dyDescent="0.25">
      <c r="A92" s="263">
        <f t="shared" si="8"/>
        <v>80</v>
      </c>
      <c r="B92" s="265" t="s">
        <v>204</v>
      </c>
      <c r="C92" s="262"/>
      <c r="D92" s="255">
        <v>1.34</v>
      </c>
      <c r="E92" s="256">
        <v>505978.79499999998</v>
      </c>
      <c r="F92" s="257">
        <f>E92</f>
        <v>505978.79499999998</v>
      </c>
      <c r="G92" s="258">
        <f t="shared" si="11"/>
        <v>0</v>
      </c>
      <c r="H92" s="258">
        <f t="shared" si="14"/>
        <v>0</v>
      </c>
      <c r="I92" s="259">
        <f t="shared" si="12"/>
        <v>161799.97500000001</v>
      </c>
      <c r="J92" s="259">
        <f>E$2*D92/100</f>
        <v>40200.000000000007</v>
      </c>
      <c r="K92" s="260">
        <f t="shared" si="13"/>
        <v>202000.8</v>
      </c>
      <c r="L92" s="261">
        <f t="shared" si="7"/>
        <v>208060.79999999999</v>
      </c>
      <c r="M92" s="208">
        <f t="shared" si="6"/>
        <v>0.80000000000000049</v>
      </c>
    </row>
    <row r="93" spans="1:14" x14ac:dyDescent="0.25">
      <c r="A93" s="263">
        <f t="shared" si="8"/>
        <v>81</v>
      </c>
      <c r="B93" s="265" t="s">
        <v>205</v>
      </c>
      <c r="C93" s="262"/>
      <c r="D93" s="255">
        <v>1.1200000000000001</v>
      </c>
      <c r="E93" s="256">
        <v>424627.81000000006</v>
      </c>
      <c r="F93" s="257">
        <v>0</v>
      </c>
      <c r="G93" s="258">
        <f t="shared" si="11"/>
        <v>424627.81000000006</v>
      </c>
      <c r="H93" s="258">
        <f t="shared" si="14"/>
        <v>12738.8343</v>
      </c>
      <c r="I93" s="259">
        <f t="shared" si="12"/>
        <v>135235.80000000002</v>
      </c>
      <c r="J93" s="259">
        <f>E$2*D93/100</f>
        <v>33600.000000000007</v>
      </c>
      <c r="K93" s="260">
        <f t="shared" si="13"/>
        <v>606202.81000000006</v>
      </c>
      <c r="L93" s="261">
        <f t="shared" si="7"/>
        <v>624388.81000000006</v>
      </c>
      <c r="M93" s="208">
        <f t="shared" si="6"/>
        <v>0.8100000000000005</v>
      </c>
    </row>
    <row r="94" spans="1:14" x14ac:dyDescent="0.25">
      <c r="A94" s="263">
        <f t="shared" si="8"/>
        <v>82</v>
      </c>
      <c r="B94" s="265" t="s">
        <v>206</v>
      </c>
      <c r="C94" s="262"/>
      <c r="D94" s="255">
        <v>1.17</v>
      </c>
      <c r="E94" s="256">
        <v>175822.82249999998</v>
      </c>
      <c r="F94" s="257">
        <f>E94</f>
        <v>175822.82249999998</v>
      </c>
      <c r="G94" s="258">
        <f t="shared" si="11"/>
        <v>0</v>
      </c>
      <c r="H94" s="258">
        <f t="shared" si="14"/>
        <v>0</v>
      </c>
      <c r="I94" s="259">
        <f t="shared" si="12"/>
        <v>141273.11249999999</v>
      </c>
      <c r="J94" s="259">
        <f>E$2*D94/100</f>
        <v>35100</v>
      </c>
      <c r="K94" s="260">
        <f t="shared" si="13"/>
        <v>176373.82</v>
      </c>
      <c r="L94" s="261">
        <f t="shared" si="7"/>
        <v>181664.82</v>
      </c>
      <c r="M94" s="208">
        <f t="shared" si="6"/>
        <v>0.82000000000000051</v>
      </c>
    </row>
    <row r="95" spans="1:14" x14ac:dyDescent="0.25">
      <c r="A95" s="263">
        <f t="shared" si="8"/>
        <v>83</v>
      </c>
      <c r="B95" s="265" t="s">
        <v>207</v>
      </c>
      <c r="C95" s="262"/>
      <c r="D95" s="255">
        <v>1.35</v>
      </c>
      <c r="E95" s="256">
        <v>203507.82750000004</v>
      </c>
      <c r="F95" s="257">
        <v>0</v>
      </c>
      <c r="G95" s="258">
        <f t="shared" si="11"/>
        <v>203507.82750000004</v>
      </c>
      <c r="H95" s="258">
        <f t="shared" si="14"/>
        <v>6105.2348250000014</v>
      </c>
      <c r="I95" s="259">
        <f t="shared" si="12"/>
        <v>163007.43750000003</v>
      </c>
      <c r="J95" s="259">
        <f>E$2*D95/100</f>
        <v>40500.000000000007</v>
      </c>
      <c r="K95" s="260">
        <f t="shared" si="13"/>
        <v>413120.83</v>
      </c>
      <c r="L95" s="261">
        <f t="shared" si="7"/>
        <v>425514.83</v>
      </c>
      <c r="M95" s="208">
        <f t="shared" si="6"/>
        <v>0.83000000000000052</v>
      </c>
    </row>
    <row r="96" spans="1:14" x14ac:dyDescent="0.25">
      <c r="A96" s="263">
        <f t="shared" si="8"/>
        <v>84</v>
      </c>
      <c r="B96" s="265" t="s">
        <v>208</v>
      </c>
      <c r="C96" s="262"/>
      <c r="D96" s="255">
        <v>1.1200000000000001</v>
      </c>
      <c r="E96" s="256">
        <v>168835.84000000003</v>
      </c>
      <c r="F96" s="257">
        <v>0</v>
      </c>
      <c r="G96" s="258">
        <f t="shared" si="11"/>
        <v>168835.84000000003</v>
      </c>
      <c r="H96" s="258">
        <f t="shared" si="14"/>
        <v>5065.0752000000002</v>
      </c>
      <c r="I96" s="259">
        <f t="shared" si="12"/>
        <v>135235.80000000002</v>
      </c>
      <c r="J96" s="259">
        <f>E$2*D96/100</f>
        <v>33600.000000000007</v>
      </c>
      <c r="K96" s="260">
        <f t="shared" si="13"/>
        <v>342737.84</v>
      </c>
      <c r="L96" s="261">
        <f t="shared" si="7"/>
        <v>353019.84</v>
      </c>
      <c r="M96" s="208">
        <f t="shared" ref="M96:M115" si="15">M95+0.01</f>
        <v>0.84000000000000052</v>
      </c>
    </row>
    <row r="97" spans="1:14" x14ac:dyDescent="0.25">
      <c r="A97" s="263">
        <f t="shared" si="8"/>
        <v>85</v>
      </c>
      <c r="B97" s="265" t="s">
        <v>209</v>
      </c>
      <c r="C97" s="262"/>
      <c r="D97" s="255">
        <v>0.82</v>
      </c>
      <c r="E97" s="256">
        <v>123611.845</v>
      </c>
      <c r="F97" s="257">
        <f>E97</f>
        <v>123611.845</v>
      </c>
      <c r="G97" s="258">
        <f t="shared" si="11"/>
        <v>0</v>
      </c>
      <c r="H97" s="258">
        <f t="shared" si="14"/>
        <v>0</v>
      </c>
      <c r="I97" s="259">
        <f t="shared" si="12"/>
        <v>99011.925000000003</v>
      </c>
      <c r="J97" s="259">
        <f>E$2*D97/100</f>
        <v>24600</v>
      </c>
      <c r="K97" s="260">
        <f t="shared" si="13"/>
        <v>123612.85</v>
      </c>
      <c r="L97" s="261">
        <f t="shared" si="7"/>
        <v>127320.85</v>
      </c>
      <c r="M97" s="208">
        <f t="shared" si="15"/>
        <v>0.85000000000000053</v>
      </c>
    </row>
    <row r="98" spans="1:14" x14ac:dyDescent="0.25">
      <c r="A98" s="263">
        <f t="shared" si="8"/>
        <v>86</v>
      </c>
      <c r="B98" s="265" t="s">
        <v>210</v>
      </c>
      <c r="C98" s="262"/>
      <c r="D98" s="255">
        <v>0.82</v>
      </c>
      <c r="E98" s="256">
        <v>123611.855</v>
      </c>
      <c r="F98" s="257">
        <f>E98</f>
        <v>123611.855</v>
      </c>
      <c r="G98" s="258">
        <f t="shared" si="11"/>
        <v>0</v>
      </c>
      <c r="H98" s="258">
        <f t="shared" si="14"/>
        <v>0</v>
      </c>
      <c r="I98" s="259">
        <f t="shared" si="12"/>
        <v>99011.925000000003</v>
      </c>
      <c r="J98" s="259">
        <f>E$2*D98/100</f>
        <v>24600</v>
      </c>
      <c r="K98" s="260">
        <f t="shared" si="13"/>
        <v>123612.86</v>
      </c>
      <c r="L98" s="261">
        <f t="shared" ref="L98:L115" si="16">ROUND(K98*3%,0) + K98</f>
        <v>127320.86</v>
      </c>
      <c r="M98" s="208">
        <f t="shared" si="15"/>
        <v>0.86000000000000054</v>
      </c>
    </row>
    <row r="99" spans="1:14" x14ac:dyDescent="0.25">
      <c r="A99" s="263">
        <f t="shared" ref="A99:A115" si="17">A98+1</f>
        <v>87</v>
      </c>
      <c r="B99" s="265" t="s">
        <v>211</v>
      </c>
      <c r="C99" s="262"/>
      <c r="D99" s="255">
        <v>1.34</v>
      </c>
      <c r="E99" s="256">
        <v>201999.86500000002</v>
      </c>
      <c r="F99" s="257">
        <f>E99</f>
        <v>201999.86500000002</v>
      </c>
      <c r="G99" s="258">
        <f t="shared" si="11"/>
        <v>0</v>
      </c>
      <c r="H99" s="258">
        <f t="shared" si="14"/>
        <v>0</v>
      </c>
      <c r="I99" s="259">
        <f t="shared" si="12"/>
        <v>161799.97500000001</v>
      </c>
      <c r="J99" s="259">
        <f>E$2*D99/100</f>
        <v>40200.000000000007</v>
      </c>
      <c r="K99" s="260">
        <f t="shared" si="13"/>
        <v>202000.87</v>
      </c>
      <c r="L99" s="261">
        <f t="shared" si="16"/>
        <v>208060.87</v>
      </c>
      <c r="M99" s="208">
        <f t="shared" si="15"/>
        <v>0.87000000000000055</v>
      </c>
    </row>
    <row r="100" spans="1:14" x14ac:dyDescent="0.25">
      <c r="A100" s="263">
        <f t="shared" si="17"/>
        <v>88</v>
      </c>
      <c r="B100" s="265" t="s">
        <v>212</v>
      </c>
      <c r="C100" s="262"/>
      <c r="D100" s="255">
        <v>1.1200000000000001</v>
      </c>
      <c r="E100" s="256">
        <v>168835.88</v>
      </c>
      <c r="F100" s="257">
        <f>E100</f>
        <v>168835.88</v>
      </c>
      <c r="G100" s="258">
        <f t="shared" si="11"/>
        <v>0</v>
      </c>
      <c r="H100" s="258">
        <f t="shared" si="14"/>
        <v>0</v>
      </c>
      <c r="I100" s="259">
        <f t="shared" si="12"/>
        <v>135235.80000000002</v>
      </c>
      <c r="J100" s="259">
        <f>E$2*D100/100</f>
        <v>33600.000000000007</v>
      </c>
      <c r="K100" s="260">
        <f t="shared" si="13"/>
        <v>168836.88</v>
      </c>
      <c r="L100" s="261">
        <f t="shared" si="16"/>
        <v>173901.88</v>
      </c>
      <c r="M100" s="208">
        <f t="shared" si="15"/>
        <v>0.88000000000000056</v>
      </c>
    </row>
    <row r="101" spans="1:14" x14ac:dyDescent="0.25">
      <c r="A101" s="263">
        <f t="shared" si="17"/>
        <v>89</v>
      </c>
      <c r="B101" s="265" t="s">
        <v>213</v>
      </c>
      <c r="C101" s="262"/>
      <c r="D101" s="255">
        <v>1.17</v>
      </c>
      <c r="E101" s="256">
        <v>176373.89249999999</v>
      </c>
      <c r="F101" s="257">
        <f>E101</f>
        <v>176373.89249999999</v>
      </c>
      <c r="G101" s="258">
        <f t="shared" si="11"/>
        <v>0</v>
      </c>
      <c r="H101" s="258">
        <f t="shared" si="14"/>
        <v>0</v>
      </c>
      <c r="I101" s="259">
        <f t="shared" si="12"/>
        <v>141273.11249999999</v>
      </c>
      <c r="J101" s="259">
        <f>E$2*D101/100</f>
        <v>35100</v>
      </c>
      <c r="K101" s="260">
        <f t="shared" si="13"/>
        <v>176373.89</v>
      </c>
      <c r="L101" s="261">
        <f t="shared" si="16"/>
        <v>181664.89</v>
      </c>
      <c r="M101" s="208">
        <f t="shared" si="15"/>
        <v>0.89000000000000057</v>
      </c>
    </row>
    <row r="102" spans="1:14" x14ac:dyDescent="0.25">
      <c r="A102" s="263">
        <f t="shared" si="17"/>
        <v>90</v>
      </c>
      <c r="B102" s="265" t="s">
        <v>214</v>
      </c>
      <c r="C102" s="262"/>
      <c r="D102" s="255">
        <v>0.1</v>
      </c>
      <c r="E102" s="256">
        <v>15074.895</v>
      </c>
      <c r="F102" s="257">
        <f>E102</f>
        <v>15074.895</v>
      </c>
      <c r="G102" s="258">
        <f t="shared" si="11"/>
        <v>0</v>
      </c>
      <c r="H102" s="258">
        <f t="shared" si="14"/>
        <v>0</v>
      </c>
      <c r="I102" s="259">
        <f t="shared" si="12"/>
        <v>12074.625</v>
      </c>
      <c r="J102" s="259">
        <f>E$2*D102/100</f>
        <v>3000</v>
      </c>
      <c r="K102" s="260">
        <f t="shared" si="13"/>
        <v>15075.9</v>
      </c>
      <c r="L102" s="261">
        <f t="shared" si="16"/>
        <v>15527.9</v>
      </c>
      <c r="M102" s="208">
        <f t="shared" si="15"/>
        <v>0.90000000000000058</v>
      </c>
    </row>
    <row r="103" spans="1:14" x14ac:dyDescent="0.25">
      <c r="A103" s="263">
        <f t="shared" si="17"/>
        <v>91</v>
      </c>
      <c r="B103" s="265" t="s">
        <v>215</v>
      </c>
      <c r="C103" s="262"/>
      <c r="D103" s="255">
        <v>0.1</v>
      </c>
      <c r="E103" s="256">
        <v>15074.905000000001</v>
      </c>
      <c r="F103" s="257">
        <f>E103</f>
        <v>15074.905000000001</v>
      </c>
      <c r="G103" s="258">
        <f t="shared" si="11"/>
        <v>0</v>
      </c>
      <c r="H103" s="258">
        <f t="shared" si="14"/>
        <v>0</v>
      </c>
      <c r="I103" s="259">
        <f t="shared" si="12"/>
        <v>12074.625</v>
      </c>
      <c r="J103" s="259">
        <f>E$2*D103/100</f>
        <v>3000</v>
      </c>
      <c r="K103" s="260">
        <f t="shared" si="13"/>
        <v>15075.91</v>
      </c>
      <c r="L103" s="261">
        <f t="shared" si="16"/>
        <v>15527.91</v>
      </c>
      <c r="M103" s="208">
        <f t="shared" si="15"/>
        <v>0.91000000000000059</v>
      </c>
    </row>
    <row r="104" spans="1:14" x14ac:dyDescent="0.25">
      <c r="A104" s="263">
        <f t="shared" si="17"/>
        <v>92</v>
      </c>
      <c r="B104" s="265" t="s">
        <v>216</v>
      </c>
      <c r="C104" s="262"/>
      <c r="D104" s="255">
        <v>0.1</v>
      </c>
      <c r="E104" s="256">
        <v>15074.915000000001</v>
      </c>
      <c r="F104" s="257">
        <f>E104</f>
        <v>15074.915000000001</v>
      </c>
      <c r="G104" s="258">
        <f t="shared" si="11"/>
        <v>0</v>
      </c>
      <c r="H104" s="258">
        <f t="shared" si="14"/>
        <v>0</v>
      </c>
      <c r="I104" s="259">
        <f t="shared" si="12"/>
        <v>12074.625</v>
      </c>
      <c r="J104" s="259">
        <f>E$2*D104/100</f>
        <v>3000</v>
      </c>
      <c r="K104" s="260">
        <f t="shared" si="13"/>
        <v>15075.92</v>
      </c>
      <c r="L104" s="261">
        <f t="shared" si="16"/>
        <v>15527.92</v>
      </c>
      <c r="M104" s="208">
        <f t="shared" si="15"/>
        <v>0.9200000000000006</v>
      </c>
    </row>
    <row r="105" spans="1:14" x14ac:dyDescent="0.25">
      <c r="A105" s="334">
        <f t="shared" si="17"/>
        <v>93</v>
      </c>
      <c r="B105" s="335" t="s">
        <v>217</v>
      </c>
      <c r="C105" s="336"/>
      <c r="D105" s="326">
        <v>0.1</v>
      </c>
      <c r="E105" s="327">
        <v>15074.924999999999</v>
      </c>
      <c r="F105" s="327">
        <f>E105</f>
        <v>15074.924999999999</v>
      </c>
      <c r="G105" s="328">
        <f t="shared" si="11"/>
        <v>0</v>
      </c>
      <c r="H105" s="328">
        <f t="shared" si="14"/>
        <v>0</v>
      </c>
      <c r="I105" s="323">
        <f t="shared" si="12"/>
        <v>12074.625</v>
      </c>
      <c r="J105" s="323">
        <f>E$2*D105/100</f>
        <v>3000</v>
      </c>
      <c r="K105" s="329">
        <f t="shared" si="13"/>
        <v>15075.93</v>
      </c>
      <c r="L105" s="330">
        <f t="shared" si="16"/>
        <v>15527.93</v>
      </c>
      <c r="M105" s="208">
        <f t="shared" si="15"/>
        <v>0.9300000000000006</v>
      </c>
    </row>
    <row r="106" spans="1:14" x14ac:dyDescent="0.25">
      <c r="A106" s="263">
        <f t="shared" si="17"/>
        <v>94</v>
      </c>
      <c r="B106" s="265" t="s">
        <v>218</v>
      </c>
      <c r="C106" s="262"/>
      <c r="D106" s="255">
        <v>0.1</v>
      </c>
      <c r="E106" s="256">
        <v>15074.934999999999</v>
      </c>
      <c r="F106" s="257">
        <f>E106</f>
        <v>15074.934999999999</v>
      </c>
      <c r="G106" s="258">
        <f t="shared" si="11"/>
        <v>0</v>
      </c>
      <c r="H106" s="258">
        <f t="shared" si="14"/>
        <v>0</v>
      </c>
      <c r="I106" s="259">
        <f>J$2*D106/100</f>
        <v>12074.625</v>
      </c>
      <c r="J106" s="259">
        <f>E$2*D106/100</f>
        <v>3000</v>
      </c>
      <c r="K106" s="260">
        <f t="shared" si="13"/>
        <v>15075.94</v>
      </c>
      <c r="L106" s="261">
        <f t="shared" si="16"/>
        <v>15527.94</v>
      </c>
      <c r="M106" s="208">
        <f t="shared" si="15"/>
        <v>0.94000000000000061</v>
      </c>
    </row>
    <row r="107" spans="1:14" ht="14.25" customHeight="1" x14ac:dyDescent="0.25">
      <c r="A107" s="263">
        <f t="shared" si="17"/>
        <v>95</v>
      </c>
      <c r="B107" s="265" t="s">
        <v>219</v>
      </c>
      <c r="C107" s="262"/>
      <c r="D107" s="255">
        <v>0.1</v>
      </c>
      <c r="E107" s="256">
        <v>15074.945</v>
      </c>
      <c r="F107" s="257">
        <f>E107</f>
        <v>15074.945</v>
      </c>
      <c r="G107" s="258">
        <f t="shared" si="11"/>
        <v>0</v>
      </c>
      <c r="H107" s="258">
        <f t="shared" si="14"/>
        <v>0</v>
      </c>
      <c r="I107" s="259">
        <f t="shared" si="12"/>
        <v>12074.625</v>
      </c>
      <c r="J107" s="259">
        <f>E$2*D107/100</f>
        <v>3000</v>
      </c>
      <c r="K107" s="260">
        <f t="shared" si="13"/>
        <v>15075.95</v>
      </c>
      <c r="L107" s="261">
        <f t="shared" si="16"/>
        <v>15527.95</v>
      </c>
      <c r="M107" s="208">
        <f t="shared" si="15"/>
        <v>0.95000000000000062</v>
      </c>
    </row>
    <row r="108" spans="1:14" x14ac:dyDescent="0.25">
      <c r="A108" s="263">
        <f t="shared" si="17"/>
        <v>96</v>
      </c>
      <c r="B108" s="265" t="s">
        <v>218</v>
      </c>
      <c r="C108" s="262"/>
      <c r="D108" s="255">
        <v>0.1</v>
      </c>
      <c r="E108" s="256">
        <v>15074.955</v>
      </c>
      <c r="F108" s="257">
        <f>E108</f>
        <v>15074.955</v>
      </c>
      <c r="G108" s="258">
        <f t="shared" si="11"/>
        <v>0</v>
      </c>
      <c r="H108" s="258">
        <f t="shared" si="14"/>
        <v>0</v>
      </c>
      <c r="I108" s="259">
        <f t="shared" si="12"/>
        <v>12074.625</v>
      </c>
      <c r="J108" s="259">
        <f>E$2*D108/100</f>
        <v>3000</v>
      </c>
      <c r="K108" s="260">
        <f t="shared" si="13"/>
        <v>15075.96</v>
      </c>
      <c r="L108" s="261">
        <f t="shared" si="16"/>
        <v>15527.96</v>
      </c>
      <c r="M108" s="208">
        <f t="shared" si="15"/>
        <v>0.96000000000000063</v>
      </c>
      <c r="N108" t="s">
        <v>363</v>
      </c>
    </row>
    <row r="109" spans="1:14" x14ac:dyDescent="0.25">
      <c r="A109" s="263">
        <f t="shared" si="17"/>
        <v>97</v>
      </c>
      <c r="B109" s="265" t="s">
        <v>220</v>
      </c>
      <c r="C109" s="262"/>
      <c r="D109" s="255">
        <v>0.1</v>
      </c>
      <c r="E109" s="256">
        <v>15074.965</v>
      </c>
      <c r="F109" s="257">
        <f>E109</f>
        <v>15074.965</v>
      </c>
      <c r="G109" s="258">
        <f t="shared" si="11"/>
        <v>0</v>
      </c>
      <c r="H109" s="258">
        <f t="shared" si="14"/>
        <v>0</v>
      </c>
      <c r="I109" s="259">
        <f t="shared" ref="I109:I115" si="18">J$2*D109/100</f>
        <v>12074.625</v>
      </c>
      <c r="J109" s="259">
        <f>E$2*D109/100</f>
        <v>3000</v>
      </c>
      <c r="K109" s="260">
        <f t="shared" ref="K109:K140" si="19">ROUND(SUM(G109:J109),0) + M109</f>
        <v>15075.97</v>
      </c>
      <c r="L109" s="261">
        <f t="shared" si="16"/>
        <v>15527.97</v>
      </c>
      <c r="M109" s="208">
        <f t="shared" si="15"/>
        <v>0.97000000000000064</v>
      </c>
    </row>
    <row r="110" spans="1:14" x14ac:dyDescent="0.25">
      <c r="A110" s="263">
        <f t="shared" si="17"/>
        <v>98</v>
      </c>
      <c r="B110" s="265" t="s">
        <v>221</v>
      </c>
      <c r="C110" s="262"/>
      <c r="D110" s="255">
        <v>0.1</v>
      </c>
      <c r="E110" s="256">
        <v>29932.974999999999</v>
      </c>
      <c r="F110" s="257">
        <f>E110</f>
        <v>29932.974999999999</v>
      </c>
      <c r="G110" s="258">
        <f t="shared" si="11"/>
        <v>0</v>
      </c>
      <c r="H110" s="258">
        <f t="shared" si="14"/>
        <v>0</v>
      </c>
      <c r="I110" s="259">
        <f t="shared" si="18"/>
        <v>12074.625</v>
      </c>
      <c r="J110" s="259">
        <f>E$2*D110/100</f>
        <v>3000</v>
      </c>
      <c r="K110" s="260">
        <f t="shared" si="19"/>
        <v>15075.98</v>
      </c>
      <c r="L110" s="261">
        <f t="shared" si="16"/>
        <v>15527.98</v>
      </c>
      <c r="M110" s="208">
        <f t="shared" si="15"/>
        <v>0.98000000000000065</v>
      </c>
    </row>
    <row r="111" spans="1:14" x14ac:dyDescent="0.25">
      <c r="A111" s="263">
        <f t="shared" si="17"/>
        <v>99</v>
      </c>
      <c r="B111" s="265" t="s">
        <v>222</v>
      </c>
      <c r="C111" s="262"/>
      <c r="D111" s="255">
        <v>0.1</v>
      </c>
      <c r="E111" s="256">
        <v>15074.985000000001</v>
      </c>
      <c r="F111" s="257">
        <f>E111</f>
        <v>15074.985000000001</v>
      </c>
      <c r="G111" s="258">
        <f t="shared" si="11"/>
        <v>0</v>
      </c>
      <c r="H111" s="258">
        <f t="shared" si="14"/>
        <v>0</v>
      </c>
      <c r="I111" s="259">
        <f t="shared" si="18"/>
        <v>12074.625</v>
      </c>
      <c r="J111" s="259">
        <f>E$2*D111/100</f>
        <v>3000</v>
      </c>
      <c r="K111" s="260">
        <f t="shared" si="19"/>
        <v>15075.99</v>
      </c>
      <c r="L111" s="261">
        <f t="shared" si="16"/>
        <v>15527.99</v>
      </c>
      <c r="M111" s="208">
        <f t="shared" si="15"/>
        <v>0.99000000000000066</v>
      </c>
    </row>
    <row r="112" spans="1:14" x14ac:dyDescent="0.25">
      <c r="A112" s="263">
        <f t="shared" si="17"/>
        <v>100</v>
      </c>
      <c r="B112" s="265" t="s">
        <v>223</v>
      </c>
      <c r="C112" s="262"/>
      <c r="D112" s="255">
        <v>0.1</v>
      </c>
      <c r="E112" s="256">
        <v>15074.995000000001</v>
      </c>
      <c r="F112" s="257">
        <f>E112</f>
        <v>15074.995000000001</v>
      </c>
      <c r="G112" s="258">
        <f t="shared" si="11"/>
        <v>0</v>
      </c>
      <c r="H112" s="258">
        <f t="shared" si="14"/>
        <v>0</v>
      </c>
      <c r="I112" s="259">
        <f t="shared" si="18"/>
        <v>12074.625</v>
      </c>
      <c r="J112" s="259">
        <f>E$2*D112/100</f>
        <v>3000</v>
      </c>
      <c r="K112" s="260">
        <f t="shared" si="19"/>
        <v>15076</v>
      </c>
      <c r="L112" s="261">
        <f t="shared" si="16"/>
        <v>15528</v>
      </c>
      <c r="M112" s="208">
        <f t="shared" si="15"/>
        <v>1.0000000000000007</v>
      </c>
    </row>
    <row r="113" spans="1:13" x14ac:dyDescent="0.25">
      <c r="A113" s="334">
        <f t="shared" si="17"/>
        <v>101</v>
      </c>
      <c r="B113" s="324" t="s">
        <v>224</v>
      </c>
      <c r="C113" s="336"/>
      <c r="D113" s="326">
        <v>0.1</v>
      </c>
      <c r="E113" s="327">
        <v>15075.004999999999</v>
      </c>
      <c r="F113" s="327">
        <f>E113</f>
        <v>15075.004999999999</v>
      </c>
      <c r="G113" s="328">
        <f t="shared" si="11"/>
        <v>0</v>
      </c>
      <c r="H113" s="328">
        <f t="shared" si="14"/>
        <v>0</v>
      </c>
      <c r="I113" s="323">
        <f t="shared" si="18"/>
        <v>12074.625</v>
      </c>
      <c r="J113" s="323">
        <f>E$2*D113/100</f>
        <v>3000</v>
      </c>
      <c r="K113" s="329">
        <f t="shared" si="19"/>
        <v>15076.01</v>
      </c>
      <c r="L113" s="330">
        <f t="shared" si="16"/>
        <v>15528.01</v>
      </c>
      <c r="M113" s="208">
        <f t="shared" si="15"/>
        <v>1.0100000000000007</v>
      </c>
    </row>
    <row r="114" spans="1:13" x14ac:dyDescent="0.25">
      <c r="A114" s="263">
        <f t="shared" si="17"/>
        <v>102</v>
      </c>
      <c r="B114" s="267" t="s">
        <v>225</v>
      </c>
      <c r="C114" s="262"/>
      <c r="D114" s="255">
        <v>0.1</v>
      </c>
      <c r="E114" s="256">
        <v>15075.014999999999</v>
      </c>
      <c r="F114" s="257">
        <v>15075.02</v>
      </c>
      <c r="G114" s="258">
        <f t="shared" si="11"/>
        <v>-5.0000000010186341E-3</v>
      </c>
      <c r="H114" s="258">
        <f t="shared" si="14"/>
        <v>0</v>
      </c>
      <c r="I114" s="259">
        <f t="shared" si="18"/>
        <v>12074.625</v>
      </c>
      <c r="J114" s="259">
        <f>E$2*D114/100</f>
        <v>3000</v>
      </c>
      <c r="K114" s="260">
        <f t="shared" si="19"/>
        <v>15076.02</v>
      </c>
      <c r="L114" s="261">
        <f t="shared" si="16"/>
        <v>15528.02</v>
      </c>
      <c r="M114" s="208">
        <f t="shared" si="15"/>
        <v>1.0200000000000007</v>
      </c>
    </row>
    <row r="115" spans="1:13" x14ac:dyDescent="0.25">
      <c r="A115" s="263">
        <f t="shared" si="17"/>
        <v>103</v>
      </c>
      <c r="B115" s="267" t="s">
        <v>226</v>
      </c>
      <c r="C115" s="262"/>
      <c r="D115" s="255">
        <v>0.1</v>
      </c>
      <c r="E115" s="256">
        <v>15075.025</v>
      </c>
      <c r="F115" s="257">
        <f>E115</f>
        <v>15075.025</v>
      </c>
      <c r="G115" s="258">
        <f t="shared" si="11"/>
        <v>0</v>
      </c>
      <c r="H115" s="258">
        <f t="shared" si="14"/>
        <v>0</v>
      </c>
      <c r="I115" s="259">
        <f t="shared" si="18"/>
        <v>12074.625</v>
      </c>
      <c r="J115" s="259">
        <f>E$2*D115/100</f>
        <v>3000</v>
      </c>
      <c r="K115" s="260">
        <f t="shared" si="19"/>
        <v>15076.03</v>
      </c>
      <c r="L115" s="261">
        <f t="shared" si="16"/>
        <v>15528.03</v>
      </c>
      <c r="M115" s="208">
        <f t="shared" si="15"/>
        <v>1.0300000000000007</v>
      </c>
    </row>
    <row r="116" spans="1:13" ht="15.75" thickBot="1" x14ac:dyDescent="0.3">
      <c r="A116" s="263"/>
      <c r="B116" s="267"/>
      <c r="C116" s="262"/>
      <c r="D116" s="255"/>
      <c r="E116" s="264"/>
      <c r="F116" s="266"/>
      <c r="G116" s="258"/>
      <c r="H116" s="258"/>
      <c r="I116" s="259"/>
      <c r="J116" s="259"/>
      <c r="K116" s="260"/>
      <c r="L116" s="261"/>
      <c r="M116" s="208"/>
    </row>
    <row r="117" spans="1:13" ht="17.100000000000001" customHeight="1" thickBot="1" x14ac:dyDescent="0.3">
      <c r="A117" s="268"/>
      <c r="B117" s="269"/>
      <c r="C117" s="269"/>
      <c r="D117" s="270">
        <f t="shared" ref="D117:L117" si="20">SUM(D13:D116)</f>
        <v>100.15999999999993</v>
      </c>
      <c r="E117" s="271">
        <f t="shared" si="20"/>
        <v>31262778.092500001</v>
      </c>
      <c r="F117" s="272">
        <f>SUM(F13:F116)</f>
        <v>12465676.039999999</v>
      </c>
      <c r="G117" s="272">
        <f t="shared" si="20"/>
        <v>18797102.052499995</v>
      </c>
      <c r="H117" s="272">
        <f t="shared" si="20"/>
        <v>564480.06060000008</v>
      </c>
      <c r="I117" s="273">
        <f t="shared" si="20"/>
        <v>12093944.400000006</v>
      </c>
      <c r="J117" s="272">
        <f t="shared" si="20"/>
        <v>3004800</v>
      </c>
      <c r="K117" s="274">
        <f t="shared" si="20"/>
        <v>34460382.559999995</v>
      </c>
      <c r="L117" s="274">
        <f t="shared" si="20"/>
        <v>35494181.560000002</v>
      </c>
    </row>
    <row r="118" spans="1:13" ht="12.75" customHeight="1" x14ac:dyDescent="0.25">
      <c r="B118" s="275"/>
      <c r="C118" s="275"/>
    </row>
    <row r="119" spans="1:13" hidden="1" x14ac:dyDescent="0.25"/>
    <row r="120" spans="1:13" ht="9" customHeight="1" x14ac:dyDescent="0.25">
      <c r="B120" s="288" t="str">
        <f>[1]RESUMEN!A13</f>
        <v>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v>
      </c>
      <c r="C120" s="288"/>
      <c r="D120" s="288"/>
      <c r="E120" s="288"/>
      <c r="F120" s="288"/>
      <c r="G120" s="288"/>
      <c r="H120" s="288"/>
      <c r="I120" s="288"/>
      <c r="J120" s="288"/>
      <c r="K120" s="288"/>
    </row>
    <row r="121" spans="1:13" ht="12" hidden="1" customHeight="1" x14ac:dyDescent="0.25">
      <c r="B121" s="288"/>
      <c r="C121" s="288"/>
      <c r="D121" s="288"/>
      <c r="E121" s="288"/>
      <c r="F121" s="288"/>
      <c r="G121" s="288"/>
      <c r="H121" s="288"/>
      <c r="I121" s="288"/>
      <c r="J121" s="288"/>
      <c r="K121" s="288"/>
    </row>
    <row r="122" spans="1:13" ht="12" hidden="1" customHeight="1" x14ac:dyDescent="0.25">
      <c r="B122" s="288"/>
      <c r="C122" s="288"/>
      <c r="D122" s="288"/>
      <c r="E122" s="288"/>
      <c r="F122" s="288"/>
      <c r="G122" s="288"/>
      <c r="H122" s="288"/>
      <c r="I122" s="288"/>
      <c r="J122" s="288"/>
      <c r="K122" s="288"/>
    </row>
    <row r="123" spans="1:13" ht="12" hidden="1" customHeight="1" x14ac:dyDescent="0.25">
      <c r="B123" s="288"/>
      <c r="C123" s="288"/>
      <c r="D123" s="288"/>
      <c r="E123" s="288"/>
      <c r="F123" s="288"/>
      <c r="G123" s="288"/>
      <c r="H123" s="288"/>
      <c r="I123" s="288"/>
      <c r="J123" s="288"/>
      <c r="K123" s="288"/>
    </row>
    <row r="124" spans="1:13" ht="12" hidden="1" customHeight="1" x14ac:dyDescent="0.25">
      <c r="B124" s="288"/>
      <c r="C124" s="288"/>
      <c r="D124" s="288"/>
      <c r="E124" s="288"/>
      <c r="F124" s="288"/>
      <c r="G124" s="288"/>
      <c r="H124" s="288"/>
      <c r="I124" s="288"/>
      <c r="J124" s="288"/>
      <c r="K124" s="288"/>
    </row>
    <row r="125" spans="1:13" ht="67.5" customHeight="1" x14ac:dyDescent="0.25">
      <c r="B125" s="288"/>
      <c r="C125" s="288"/>
      <c r="D125" s="288"/>
      <c r="E125" s="288"/>
      <c r="F125" s="288"/>
      <c r="G125" s="288"/>
      <c r="H125" s="288"/>
      <c r="I125" s="288"/>
      <c r="J125" s="288"/>
      <c r="K125" s="288"/>
    </row>
  </sheetData>
  <mergeCells count="17">
    <mergeCell ref="E2:F2"/>
    <mergeCell ref="I11:I12"/>
    <mergeCell ref="J11:J12"/>
    <mergeCell ref="L11:L12"/>
    <mergeCell ref="B120:K125"/>
    <mergeCell ref="D1:K1"/>
    <mergeCell ref="A4:L8"/>
    <mergeCell ref="A11:A12"/>
    <mergeCell ref="B11:B12"/>
    <mergeCell ref="C11:C12"/>
    <mergeCell ref="D11:D12"/>
    <mergeCell ref="E11:E12"/>
    <mergeCell ref="F11:F12"/>
    <mergeCell ref="G11:G12"/>
    <mergeCell ref="H11:H12"/>
    <mergeCell ref="A9:L9"/>
    <mergeCell ref="A10:L10"/>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8"/>
  <sheetViews>
    <sheetView workbookViewId="0">
      <selection activeCell="F6" sqref="F6"/>
    </sheetView>
  </sheetViews>
  <sheetFormatPr baseColWidth="10" defaultRowHeight="15" x14ac:dyDescent="0.25"/>
  <cols>
    <col min="1" max="1" width="6" customWidth="1"/>
    <col min="2" max="2" width="5.85546875" style="9" customWidth="1"/>
    <col min="3" max="3" width="11.42578125" hidden="1" customWidth="1"/>
    <col min="4" max="4" width="62.7109375" customWidth="1"/>
    <col min="5" max="5" width="14.5703125" customWidth="1"/>
    <col min="6" max="6" width="14.5703125" style="12" customWidth="1"/>
    <col min="8" max="8" width="4.5703125" customWidth="1"/>
    <col min="9" max="9" width="35.85546875" customWidth="1"/>
    <col min="10" max="10" width="12.28515625" customWidth="1"/>
    <col min="11" max="11" width="9.28515625" customWidth="1"/>
    <col min="12" max="12" width="11.140625" customWidth="1"/>
  </cols>
  <sheetData>
    <row r="1" spans="1:18" ht="15" customHeight="1" x14ac:dyDescent="0.3">
      <c r="A1" s="310" t="s">
        <v>1</v>
      </c>
      <c r="B1" s="310"/>
      <c r="C1" s="310"/>
      <c r="I1" s="40"/>
      <c r="J1" s="40" t="s">
        <v>20</v>
      </c>
      <c r="K1" s="40"/>
      <c r="L1" s="40"/>
      <c r="M1" s="40"/>
      <c r="N1" s="40"/>
      <c r="O1" s="40"/>
      <c r="P1" s="40"/>
      <c r="Q1" s="40"/>
      <c r="R1" s="40"/>
    </row>
    <row r="2" spans="1:18" ht="6" customHeight="1" thickBot="1" x14ac:dyDescent="0.3">
      <c r="A2" s="310"/>
      <c r="B2" s="310"/>
      <c r="C2" s="310"/>
      <c r="J2" t="s">
        <v>20</v>
      </c>
    </row>
    <row r="3" spans="1:18" ht="16.5" thickBot="1" x14ac:dyDescent="0.35">
      <c r="A3" s="30" t="s">
        <v>2</v>
      </c>
      <c r="B3" s="8"/>
      <c r="C3" s="8"/>
      <c r="D3" s="1"/>
      <c r="E3" s="311" t="s">
        <v>49</v>
      </c>
      <c r="F3" s="312"/>
      <c r="G3" s="1"/>
      <c r="J3" t="s">
        <v>20</v>
      </c>
    </row>
    <row r="4" spans="1:18" x14ac:dyDescent="0.25">
      <c r="B4" s="8" t="s">
        <v>6</v>
      </c>
      <c r="C4" s="1"/>
      <c r="D4" s="1"/>
      <c r="E4" s="1"/>
      <c r="F4" s="26"/>
      <c r="G4" s="1"/>
      <c r="I4" s="9"/>
      <c r="J4" s="9" t="s">
        <v>20</v>
      </c>
      <c r="K4" s="9"/>
      <c r="L4" s="9"/>
      <c r="M4" s="9"/>
      <c r="N4" s="9"/>
      <c r="O4" s="36"/>
    </row>
    <row r="5" spans="1:18" ht="15.75" thickBot="1" x14ac:dyDescent="0.3">
      <c r="B5" s="8" t="s">
        <v>0</v>
      </c>
      <c r="C5" s="1"/>
      <c r="D5" s="1"/>
      <c r="E5" s="1"/>
      <c r="F5" s="26"/>
      <c r="G5" s="1"/>
      <c r="J5" t="s">
        <v>20</v>
      </c>
    </row>
    <row r="6" spans="1:18" ht="16.5" customHeight="1" thickBot="1" x14ac:dyDescent="0.3">
      <c r="B6" s="8" t="s">
        <v>40</v>
      </c>
      <c r="C6" s="1"/>
      <c r="D6" s="1"/>
      <c r="E6" s="41" t="s">
        <v>3</v>
      </c>
      <c r="F6" s="42">
        <v>45689</v>
      </c>
      <c r="G6" s="1"/>
      <c r="H6" s="37"/>
      <c r="I6" s="37"/>
      <c r="J6" s="32" t="s">
        <v>20</v>
      </c>
      <c r="K6" s="32"/>
      <c r="L6" s="32"/>
      <c r="M6" s="32"/>
      <c r="N6" s="32"/>
      <c r="O6" s="32"/>
      <c r="P6" s="32"/>
      <c r="Q6" s="32"/>
      <c r="R6" s="32"/>
    </row>
    <row r="7" spans="1:18" s="9" customFormat="1" x14ac:dyDescent="0.25">
      <c r="B7" s="8"/>
      <c r="C7" s="8"/>
      <c r="D7" s="8" t="s">
        <v>14</v>
      </c>
      <c r="G7" s="8"/>
      <c r="H7" s="3"/>
      <c r="I7"/>
      <c r="J7" t="s">
        <v>20</v>
      </c>
      <c r="K7"/>
      <c r="L7"/>
      <c r="M7"/>
      <c r="N7"/>
      <c r="O7"/>
      <c r="P7"/>
      <c r="Q7"/>
    </row>
    <row r="8" spans="1:18" ht="15.75" thickBot="1" x14ac:dyDescent="0.3">
      <c r="B8" s="8" t="s">
        <v>7</v>
      </c>
      <c r="C8" s="1"/>
      <c r="D8" s="1"/>
      <c r="E8" s="1"/>
      <c r="F8" s="26"/>
      <c r="G8" s="1"/>
      <c r="H8" s="2"/>
      <c r="I8" s="33"/>
      <c r="J8" s="34" t="s">
        <v>20</v>
      </c>
      <c r="K8" s="34"/>
      <c r="L8" s="35"/>
      <c r="M8" s="35"/>
      <c r="N8" s="35"/>
      <c r="O8" s="35"/>
      <c r="P8" s="35"/>
      <c r="Q8" s="35"/>
      <c r="R8" s="35"/>
    </row>
    <row r="9" spans="1:18" s="3" customFormat="1" ht="15.75" thickBot="1" x14ac:dyDescent="0.3">
      <c r="B9" s="4">
        <v>1</v>
      </c>
      <c r="C9" s="5"/>
      <c r="D9" s="6" t="s">
        <v>15</v>
      </c>
      <c r="E9" s="6" t="s">
        <v>4</v>
      </c>
      <c r="F9" s="27" t="s">
        <v>5</v>
      </c>
      <c r="I9" s="33"/>
      <c r="J9" s="34" t="s">
        <v>20</v>
      </c>
      <c r="K9" s="34"/>
      <c r="L9" s="35"/>
      <c r="M9" s="35"/>
      <c r="N9" s="35"/>
      <c r="O9" s="35"/>
      <c r="P9" s="35"/>
      <c r="Q9" s="35"/>
      <c r="R9" s="35"/>
    </row>
    <row r="10" spans="1:18" x14ac:dyDescent="0.25">
      <c r="B10" s="7"/>
      <c r="D10" t="s">
        <v>248</v>
      </c>
      <c r="E10" s="14" t="s">
        <v>20</v>
      </c>
      <c r="F10" s="14"/>
      <c r="G10" t="s">
        <v>20</v>
      </c>
      <c r="H10" s="2"/>
      <c r="I10" s="33"/>
      <c r="J10" s="34" t="s">
        <v>20</v>
      </c>
      <c r="K10" s="34"/>
      <c r="L10" s="35"/>
      <c r="M10" s="35"/>
      <c r="N10" s="35"/>
      <c r="O10" s="35"/>
      <c r="P10" s="35"/>
      <c r="Q10" s="35"/>
      <c r="R10" s="35"/>
    </row>
    <row r="11" spans="1:18" x14ac:dyDescent="0.25">
      <c r="B11" s="7"/>
      <c r="D11" t="s">
        <v>50</v>
      </c>
      <c r="E11" s="10" t="s">
        <v>20</v>
      </c>
      <c r="F11" s="10"/>
      <c r="H11" s="2"/>
      <c r="I11" s="33"/>
      <c r="J11" s="34"/>
      <c r="K11" s="34"/>
      <c r="L11" s="35"/>
      <c r="M11" s="35"/>
      <c r="N11" s="35"/>
      <c r="O11" s="35"/>
      <c r="P11" s="35"/>
      <c r="Q11" s="35"/>
      <c r="R11" s="35"/>
    </row>
    <row r="12" spans="1:18" x14ac:dyDescent="0.25">
      <c r="B12" s="7"/>
      <c r="D12" t="s">
        <v>51</v>
      </c>
      <c r="E12" s="10">
        <v>850819</v>
      </c>
      <c r="F12" s="10"/>
      <c r="G12" t="s">
        <v>20</v>
      </c>
      <c r="H12" s="3"/>
      <c r="I12" s="38"/>
      <c r="J12" s="39" t="s">
        <v>20</v>
      </c>
      <c r="K12" s="39"/>
      <c r="L12" s="35"/>
      <c r="M12" s="35"/>
      <c r="N12" s="35"/>
      <c r="O12" s="35"/>
      <c r="P12" s="35"/>
      <c r="Q12" s="35"/>
      <c r="R12" s="35"/>
    </row>
    <row r="13" spans="1:18" x14ac:dyDescent="0.25">
      <c r="B13" s="7"/>
      <c r="D13" t="s">
        <v>52</v>
      </c>
      <c r="E13" s="10">
        <v>402204</v>
      </c>
      <c r="F13" s="10"/>
      <c r="H13" s="3"/>
      <c r="I13" s="38"/>
      <c r="J13" s="39"/>
      <c r="K13" s="39"/>
      <c r="L13" s="35"/>
      <c r="M13" s="35"/>
      <c r="N13" s="35"/>
      <c r="O13" s="35"/>
      <c r="P13" s="35"/>
      <c r="Q13" s="35"/>
      <c r="R13" s="35"/>
    </row>
    <row r="14" spans="1:18" x14ac:dyDescent="0.25">
      <c r="B14" s="7"/>
      <c r="D14" t="s">
        <v>53</v>
      </c>
      <c r="E14" s="10">
        <v>125587.9</v>
      </c>
      <c r="F14" s="10"/>
      <c r="H14" s="3"/>
      <c r="I14" s="38"/>
      <c r="J14" s="39"/>
      <c r="K14" s="39"/>
      <c r="L14" s="35"/>
      <c r="M14" s="35"/>
      <c r="N14" s="35"/>
      <c r="O14" s="35"/>
      <c r="P14" s="35"/>
      <c r="Q14" s="35"/>
      <c r="R14" s="35"/>
    </row>
    <row r="15" spans="1:18" x14ac:dyDescent="0.25">
      <c r="B15" s="7"/>
      <c r="D15" t="s">
        <v>255</v>
      </c>
      <c r="E15" s="10">
        <v>1544044.66</v>
      </c>
      <c r="F15" s="10"/>
      <c r="H15" s="3"/>
      <c r="I15" s="38"/>
      <c r="J15" s="39"/>
      <c r="K15" s="39"/>
      <c r="L15" s="35"/>
      <c r="M15" s="35"/>
      <c r="N15" s="35"/>
      <c r="O15" s="35"/>
      <c r="P15" s="35"/>
      <c r="Q15" s="35"/>
      <c r="R15" s="35"/>
    </row>
    <row r="16" spans="1:18" x14ac:dyDescent="0.25">
      <c r="B16" s="7"/>
      <c r="D16" t="s">
        <v>256</v>
      </c>
      <c r="E16" s="10">
        <v>-1286703.8799999999</v>
      </c>
      <c r="F16" s="10"/>
      <c r="H16" s="3"/>
      <c r="I16" s="38"/>
      <c r="J16" s="39"/>
      <c r="K16" s="39"/>
      <c r="L16" s="35"/>
      <c r="M16" s="35"/>
      <c r="N16" s="35"/>
      <c r="O16" s="35"/>
      <c r="P16" s="35"/>
      <c r="Q16" s="35"/>
      <c r="R16" s="35"/>
    </row>
    <row r="17" spans="2:16" x14ac:dyDescent="0.25">
      <c r="B17" s="7"/>
      <c r="D17" t="s">
        <v>55</v>
      </c>
      <c r="E17" s="10">
        <v>-179954.73</v>
      </c>
      <c r="F17" s="10"/>
      <c r="G17" t="s">
        <v>20</v>
      </c>
      <c r="H17" s="34"/>
      <c r="I17" s="34"/>
      <c r="J17" s="35"/>
      <c r="K17" s="35"/>
      <c r="L17" s="35"/>
      <c r="M17" s="35"/>
      <c r="N17" s="35"/>
      <c r="O17" s="35"/>
      <c r="P17" s="35"/>
    </row>
    <row r="18" spans="2:16" x14ac:dyDescent="0.25">
      <c r="B18" s="7"/>
      <c r="D18" t="s">
        <v>56</v>
      </c>
      <c r="E18" s="10">
        <v>-49078.559999999998</v>
      </c>
      <c r="F18" s="10"/>
      <c r="G18" t="s">
        <v>20</v>
      </c>
      <c r="H18" s="34"/>
      <c r="I18" s="34" t="s">
        <v>20</v>
      </c>
      <c r="J18" s="35" t="s">
        <v>20</v>
      </c>
      <c r="K18" s="35"/>
      <c r="L18" s="35"/>
      <c r="M18" s="35"/>
      <c r="N18" s="35"/>
      <c r="O18" s="35"/>
      <c r="P18" s="35"/>
    </row>
    <row r="19" spans="2:16" x14ac:dyDescent="0.25">
      <c r="B19" s="7"/>
      <c r="D19" t="s">
        <v>57</v>
      </c>
      <c r="E19" s="10">
        <v>-49078.559999999998</v>
      </c>
      <c r="F19" s="10"/>
      <c r="G19" t="s">
        <v>20</v>
      </c>
      <c r="H19" s="34"/>
      <c r="I19" s="34"/>
      <c r="J19" s="35"/>
      <c r="K19" s="35"/>
      <c r="L19" s="35"/>
      <c r="M19" s="35"/>
      <c r="N19" s="35"/>
      <c r="O19" s="35"/>
      <c r="P19" s="35"/>
    </row>
    <row r="20" spans="2:16" x14ac:dyDescent="0.25">
      <c r="B20" s="7"/>
      <c r="D20" t="s">
        <v>58</v>
      </c>
      <c r="E20" s="10">
        <v>-32719.040000000001</v>
      </c>
      <c r="F20" s="10"/>
      <c r="H20" s="34"/>
      <c r="I20" s="34"/>
      <c r="J20" s="35"/>
      <c r="K20" s="35"/>
      <c r="L20" s="35"/>
      <c r="M20" s="35"/>
      <c r="N20" s="35"/>
      <c r="O20" s="35"/>
      <c r="P20" s="35"/>
    </row>
    <row r="21" spans="2:16" x14ac:dyDescent="0.25">
      <c r="B21" s="7"/>
      <c r="D21" t="s">
        <v>59</v>
      </c>
      <c r="E21" s="10">
        <v>-16359.52</v>
      </c>
      <c r="F21" s="10"/>
      <c r="G21" t="s">
        <v>20</v>
      </c>
      <c r="H21" s="34"/>
      <c r="I21" s="34"/>
      <c r="J21" s="35"/>
      <c r="K21" s="35"/>
      <c r="L21" s="35"/>
      <c r="M21" s="35"/>
      <c r="N21" s="35"/>
      <c r="O21" s="35"/>
      <c r="P21" s="35"/>
    </row>
    <row r="22" spans="2:16" x14ac:dyDescent="0.25">
      <c r="B22" s="7"/>
      <c r="D22" t="s">
        <v>60</v>
      </c>
      <c r="E22" s="10">
        <v>-16359.52</v>
      </c>
      <c r="F22" s="10"/>
      <c r="H22" s="34"/>
      <c r="I22" s="34"/>
      <c r="J22" s="35"/>
      <c r="K22" s="35"/>
      <c r="L22" s="35"/>
      <c r="M22" s="35"/>
      <c r="N22" s="35"/>
      <c r="O22" s="35"/>
      <c r="P22" s="35"/>
    </row>
    <row r="23" spans="2:16" x14ac:dyDescent="0.25">
      <c r="B23" s="7"/>
      <c r="D23" t="s">
        <v>61</v>
      </c>
      <c r="E23" s="10">
        <v>-12269.64</v>
      </c>
      <c r="F23" s="10"/>
      <c r="H23" s="34"/>
      <c r="I23" s="34"/>
      <c r="J23" s="35"/>
      <c r="K23" s="35"/>
      <c r="L23" s="35"/>
      <c r="M23" s="35"/>
      <c r="N23" s="35"/>
      <c r="O23" s="35"/>
      <c r="P23" s="35"/>
    </row>
    <row r="24" spans="2:16" x14ac:dyDescent="0.25">
      <c r="B24" s="7"/>
      <c r="D24" t="s">
        <v>62</v>
      </c>
      <c r="E24" s="10">
        <v>-32719.040000000001</v>
      </c>
      <c r="F24" s="10" t="s">
        <v>20</v>
      </c>
      <c r="G24" t="s">
        <v>20</v>
      </c>
      <c r="H24" s="34"/>
      <c r="I24" s="34"/>
      <c r="J24" s="35" t="s">
        <v>20</v>
      </c>
      <c r="K24" s="35"/>
      <c r="L24" s="35"/>
      <c r="M24" s="35"/>
      <c r="N24" s="35"/>
      <c r="O24" s="35"/>
      <c r="P24" s="35"/>
    </row>
    <row r="25" spans="2:16" x14ac:dyDescent="0.25">
      <c r="B25" s="7"/>
      <c r="D25" t="s">
        <v>54</v>
      </c>
      <c r="E25" s="10">
        <v>-7.0000000000000007E-2</v>
      </c>
      <c r="F25" s="10">
        <f>SUM(E10:E25)</f>
        <v>1247412.9999999995</v>
      </c>
      <c r="G25" t="s">
        <v>20</v>
      </c>
      <c r="H25" s="34"/>
      <c r="I25" s="34"/>
      <c r="J25" s="35" t="s">
        <v>20</v>
      </c>
      <c r="K25" s="35"/>
      <c r="L25" s="35"/>
      <c r="M25" s="35"/>
      <c r="N25" s="35"/>
      <c r="O25" s="35"/>
      <c r="P25" s="35"/>
    </row>
    <row r="26" spans="2:16" ht="15.75" thickBot="1" x14ac:dyDescent="0.3">
      <c r="B26" s="7"/>
      <c r="D26" t="s">
        <v>262</v>
      </c>
      <c r="E26" s="10">
        <v>168985</v>
      </c>
      <c r="F26" s="10">
        <v>168985</v>
      </c>
      <c r="H26" s="34"/>
      <c r="I26" s="34"/>
      <c r="J26" s="35"/>
      <c r="K26" s="35"/>
      <c r="L26" s="35"/>
      <c r="M26" s="35"/>
      <c r="N26" s="35"/>
      <c r="O26" s="35"/>
      <c r="P26" s="35"/>
    </row>
    <row r="27" spans="2:16" ht="15.75" thickBot="1" x14ac:dyDescent="0.3">
      <c r="B27" s="7">
        <v>2</v>
      </c>
      <c r="D27" s="6" t="s">
        <v>27</v>
      </c>
      <c r="E27" s="57" t="s">
        <v>20</v>
      </c>
      <c r="F27" s="10"/>
      <c r="H27" s="34"/>
      <c r="I27" s="34"/>
      <c r="J27" s="35" t="s">
        <v>20</v>
      </c>
      <c r="K27" s="35"/>
      <c r="L27" s="35"/>
      <c r="M27" s="35"/>
      <c r="N27" s="35"/>
      <c r="O27" s="35"/>
      <c r="P27" s="35"/>
    </row>
    <row r="28" spans="2:16" x14ac:dyDescent="0.25">
      <c r="B28" s="7"/>
      <c r="D28" t="s">
        <v>63</v>
      </c>
      <c r="E28" s="13">
        <v>0</v>
      </c>
      <c r="F28" s="10"/>
      <c r="G28" t="s">
        <v>20</v>
      </c>
      <c r="H28" s="34"/>
      <c r="I28" s="34"/>
      <c r="J28" s="35" t="s">
        <v>20</v>
      </c>
      <c r="K28" s="35"/>
      <c r="L28" s="35"/>
      <c r="M28" s="35"/>
      <c r="N28" s="35"/>
      <c r="O28" s="35"/>
      <c r="P28" s="35"/>
    </row>
    <row r="29" spans="2:16" x14ac:dyDescent="0.25">
      <c r="B29" s="7"/>
      <c r="D29" t="s">
        <v>64</v>
      </c>
      <c r="E29" s="13">
        <v>0</v>
      </c>
      <c r="F29" s="10"/>
      <c r="G29" t="s">
        <v>20</v>
      </c>
      <c r="H29" s="34"/>
      <c r="I29" s="34"/>
      <c r="J29" s="35"/>
      <c r="K29" s="35"/>
      <c r="L29" s="35"/>
      <c r="M29" s="35"/>
      <c r="N29" s="35"/>
      <c r="O29" s="35"/>
      <c r="P29" s="35"/>
    </row>
    <row r="30" spans="2:16" x14ac:dyDescent="0.25">
      <c r="B30" s="7"/>
      <c r="D30" t="s">
        <v>65</v>
      </c>
      <c r="E30" s="13">
        <v>0</v>
      </c>
      <c r="F30" s="10"/>
      <c r="G30" t="s">
        <v>20</v>
      </c>
      <c r="H30" s="34"/>
      <c r="I30" s="34"/>
      <c r="J30" s="35"/>
      <c r="K30" s="35"/>
      <c r="L30" s="35"/>
      <c r="M30" s="35"/>
      <c r="N30" s="35"/>
      <c r="O30" s="35"/>
      <c r="P30" s="35"/>
    </row>
    <row r="31" spans="2:16" x14ac:dyDescent="0.25">
      <c r="B31" s="7"/>
      <c r="D31" t="s">
        <v>66</v>
      </c>
      <c r="E31" s="13">
        <v>0</v>
      </c>
      <c r="F31" s="10"/>
      <c r="H31" s="34"/>
      <c r="I31" s="34"/>
      <c r="J31" s="35"/>
      <c r="K31" s="35"/>
      <c r="L31" s="35"/>
      <c r="M31" s="35"/>
      <c r="N31" s="35"/>
      <c r="O31" s="35"/>
      <c r="P31" s="35"/>
    </row>
    <row r="32" spans="2:16" x14ac:dyDescent="0.25">
      <c r="B32" s="7"/>
      <c r="D32" t="s">
        <v>67</v>
      </c>
      <c r="E32" s="13">
        <v>0</v>
      </c>
      <c r="F32" s="10"/>
      <c r="H32" s="34"/>
      <c r="I32" s="34"/>
      <c r="J32" s="35"/>
      <c r="K32" s="35"/>
      <c r="L32" s="35"/>
      <c r="M32" s="35"/>
      <c r="N32" s="35"/>
      <c r="O32" s="35"/>
      <c r="P32" s="35"/>
    </row>
    <row r="33" spans="1:18" x14ac:dyDescent="0.25">
      <c r="B33" s="7"/>
      <c r="D33" t="s">
        <v>68</v>
      </c>
      <c r="E33" s="13">
        <v>0</v>
      </c>
      <c r="F33" s="10"/>
      <c r="H33" s="34"/>
      <c r="I33" s="34"/>
      <c r="J33" s="35"/>
      <c r="K33" s="35"/>
      <c r="L33" s="35"/>
      <c r="M33" s="35"/>
      <c r="N33" s="35"/>
      <c r="O33" s="35"/>
      <c r="P33" s="35"/>
    </row>
    <row r="34" spans="1:18" x14ac:dyDescent="0.25">
      <c r="B34" s="7"/>
      <c r="D34" t="s">
        <v>259</v>
      </c>
      <c r="E34" s="13">
        <v>0</v>
      </c>
      <c r="F34" s="10"/>
      <c r="G34" t="s">
        <v>20</v>
      </c>
      <c r="H34" s="34"/>
      <c r="I34" s="34"/>
      <c r="J34" s="35"/>
      <c r="K34" s="35"/>
      <c r="L34" s="35"/>
      <c r="M34" s="35"/>
      <c r="N34" s="35"/>
      <c r="O34" s="35"/>
      <c r="P34" s="35"/>
    </row>
    <row r="35" spans="1:18" x14ac:dyDescent="0.25">
      <c r="B35" s="7"/>
      <c r="D35" t="s">
        <v>260</v>
      </c>
      <c r="E35" s="13">
        <v>0</v>
      </c>
      <c r="F35" s="10"/>
      <c r="G35" t="s">
        <v>20</v>
      </c>
      <c r="H35" s="34"/>
      <c r="I35" s="34"/>
      <c r="J35" s="35"/>
      <c r="K35" s="35"/>
      <c r="L35" s="35"/>
      <c r="M35" s="35"/>
      <c r="N35" s="35"/>
      <c r="O35" s="35"/>
      <c r="P35" s="35"/>
    </row>
    <row r="36" spans="1:18" x14ac:dyDescent="0.25">
      <c r="B36" s="7"/>
      <c r="D36" t="s">
        <v>261</v>
      </c>
      <c r="E36" s="13">
        <v>0</v>
      </c>
      <c r="F36" s="10"/>
      <c r="G36" t="s">
        <v>20</v>
      </c>
      <c r="H36" s="34"/>
      <c r="I36" s="34"/>
      <c r="J36" s="35"/>
      <c r="K36" s="35"/>
      <c r="L36" s="35"/>
      <c r="M36" s="35"/>
      <c r="N36" s="35"/>
      <c r="O36" s="35"/>
      <c r="P36" s="35"/>
    </row>
    <row r="37" spans="1:18" x14ac:dyDescent="0.25">
      <c r="B37" s="7"/>
      <c r="D37" t="s">
        <v>257</v>
      </c>
      <c r="E37" s="13">
        <v>19305.23</v>
      </c>
      <c r="F37" s="10"/>
      <c r="G37" t="s">
        <v>20</v>
      </c>
      <c r="H37" s="34"/>
      <c r="I37" s="34"/>
      <c r="J37" s="35"/>
      <c r="K37" s="35"/>
      <c r="L37" s="35"/>
      <c r="M37" s="35"/>
      <c r="N37" s="35"/>
      <c r="O37" s="35"/>
      <c r="P37" s="35"/>
    </row>
    <row r="38" spans="1:18" x14ac:dyDescent="0.25">
      <c r="B38" s="7"/>
      <c r="D38" t="s">
        <v>258</v>
      </c>
      <c r="E38" s="13">
        <v>6327.79</v>
      </c>
      <c r="F38" s="10"/>
      <c r="G38" t="s">
        <v>20</v>
      </c>
      <c r="H38" s="34"/>
      <c r="I38" s="34"/>
      <c r="J38" s="35"/>
      <c r="K38" s="35"/>
      <c r="L38" s="35"/>
      <c r="M38" s="35"/>
      <c r="N38" s="35"/>
      <c r="O38" s="35"/>
      <c r="P38" s="35"/>
    </row>
    <row r="39" spans="1:18" ht="15.75" thickBot="1" x14ac:dyDescent="0.3">
      <c r="B39" s="7"/>
      <c r="D39" t="s">
        <v>20</v>
      </c>
      <c r="E39" s="11">
        <v>0.3</v>
      </c>
      <c r="F39" s="10">
        <f>SUM(E28:E39)</f>
        <v>25633.32</v>
      </c>
      <c r="G39" t="s">
        <v>20</v>
      </c>
      <c r="H39" s="34"/>
      <c r="I39" s="34"/>
      <c r="J39" s="35" t="s">
        <v>20</v>
      </c>
      <c r="K39" s="35"/>
      <c r="L39" s="35"/>
      <c r="M39" s="35"/>
      <c r="N39" s="35"/>
      <c r="O39" s="35"/>
      <c r="P39" s="35"/>
    </row>
    <row r="40" spans="1:18" ht="15.75" thickBot="1" x14ac:dyDescent="0.3">
      <c r="B40" s="7">
        <v>3</v>
      </c>
      <c r="D40" s="4" t="s">
        <v>42</v>
      </c>
      <c r="E40" s="57" t="s">
        <v>20</v>
      </c>
      <c r="F40" s="56"/>
      <c r="H40" s="34"/>
      <c r="I40" s="34"/>
      <c r="J40" s="35" t="s">
        <v>20</v>
      </c>
      <c r="K40" s="35"/>
      <c r="L40" s="35"/>
      <c r="M40" s="35"/>
      <c r="N40" s="35"/>
      <c r="O40" s="35"/>
      <c r="P40" s="35"/>
    </row>
    <row r="41" spans="1:18" ht="15.75" thickBot="1" x14ac:dyDescent="0.3">
      <c r="B41" s="7">
        <v>4</v>
      </c>
      <c r="D41" s="82" t="s">
        <v>13</v>
      </c>
      <c r="E41" s="57" t="s">
        <v>20</v>
      </c>
      <c r="F41" s="56"/>
      <c r="H41" s="2"/>
      <c r="I41" s="33"/>
      <c r="J41" s="34"/>
      <c r="K41" s="34"/>
      <c r="L41" s="35"/>
      <c r="M41" s="35"/>
      <c r="N41" s="35"/>
      <c r="O41" s="35"/>
      <c r="P41" s="35"/>
      <c r="Q41" s="35"/>
      <c r="R41" s="35"/>
    </row>
    <row r="42" spans="1:18" x14ac:dyDescent="0.25">
      <c r="B42" s="7"/>
      <c r="D42" s="96" t="s">
        <v>263</v>
      </c>
      <c r="E42" s="56">
        <v>210000</v>
      </c>
      <c r="F42" s="56"/>
      <c r="H42" s="2"/>
      <c r="I42" s="33"/>
      <c r="J42" s="34" t="s">
        <v>20</v>
      </c>
      <c r="K42" s="34"/>
      <c r="L42" s="35"/>
      <c r="M42" s="35"/>
      <c r="N42" s="35"/>
      <c r="O42" s="35"/>
      <c r="P42" s="35"/>
      <c r="Q42" s="35"/>
      <c r="R42" s="35"/>
    </row>
    <row r="43" spans="1:18" x14ac:dyDescent="0.25">
      <c r="B43" s="7"/>
      <c r="D43" s="97" t="s">
        <v>264</v>
      </c>
      <c r="E43" s="56">
        <v>0</v>
      </c>
      <c r="F43" s="56" t="s">
        <v>20</v>
      </c>
      <c r="G43" t="s">
        <v>20</v>
      </c>
      <c r="H43" s="2"/>
      <c r="I43" s="33"/>
      <c r="J43" s="34" t="s">
        <v>20</v>
      </c>
      <c r="K43" s="34"/>
      <c r="L43" s="12"/>
      <c r="M43" s="12"/>
      <c r="N43" s="35"/>
      <c r="O43" s="35"/>
      <c r="P43" s="12"/>
      <c r="Q43" s="12"/>
      <c r="R43" s="35"/>
    </row>
    <row r="44" spans="1:18" x14ac:dyDescent="0.25">
      <c r="B44" s="7"/>
      <c r="D44" s="97" t="s">
        <v>265</v>
      </c>
      <c r="E44" s="56">
        <v>483704</v>
      </c>
      <c r="F44" s="56"/>
      <c r="G44" t="s">
        <v>20</v>
      </c>
      <c r="J44" s="34" t="s">
        <v>20</v>
      </c>
    </row>
    <row r="45" spans="1:18" x14ac:dyDescent="0.25">
      <c r="B45" s="7"/>
      <c r="D45" s="97" t="s">
        <v>266</v>
      </c>
      <c r="E45" s="56">
        <v>0</v>
      </c>
      <c r="F45" s="56"/>
      <c r="G45" t="s">
        <v>20</v>
      </c>
      <c r="J45" s="34"/>
    </row>
    <row r="46" spans="1:18" x14ac:dyDescent="0.25">
      <c r="B46" s="7"/>
      <c r="D46" s="97" t="s">
        <v>267</v>
      </c>
      <c r="E46" s="56">
        <v>75200</v>
      </c>
      <c r="F46" s="56"/>
      <c r="J46" s="34" t="s">
        <v>20</v>
      </c>
    </row>
    <row r="47" spans="1:18" ht="15.75" thickBot="1" x14ac:dyDescent="0.3">
      <c r="B47" s="7"/>
      <c r="D47" s="58" t="s">
        <v>20</v>
      </c>
      <c r="E47" s="56">
        <v>0</v>
      </c>
      <c r="F47" s="56">
        <f>SUM(E42:E47)</f>
        <v>768904</v>
      </c>
      <c r="G47" t="s">
        <v>20</v>
      </c>
      <c r="J47" s="34" t="s">
        <v>20</v>
      </c>
    </row>
    <row r="48" spans="1:18" ht="15.75" thickBot="1" x14ac:dyDescent="0.3">
      <c r="A48" s="2"/>
      <c r="B48" s="7">
        <v>5</v>
      </c>
      <c r="C48" s="2"/>
      <c r="D48" s="6" t="s">
        <v>69</v>
      </c>
      <c r="E48" s="31" t="s">
        <v>20</v>
      </c>
      <c r="F48" s="61"/>
      <c r="G48" s="33"/>
      <c r="J48" s="34" t="s">
        <v>20</v>
      </c>
    </row>
    <row r="49" spans="2:12" x14ac:dyDescent="0.25">
      <c r="B49" s="7"/>
      <c r="D49" t="s">
        <v>268</v>
      </c>
      <c r="E49" s="10">
        <v>0</v>
      </c>
      <c r="F49" s="56" t="s">
        <v>20</v>
      </c>
      <c r="G49" s="33" t="s">
        <v>20</v>
      </c>
    </row>
    <row r="50" spans="2:12" x14ac:dyDescent="0.25">
      <c r="B50" s="7"/>
      <c r="D50" t="s">
        <v>269</v>
      </c>
      <c r="E50" s="10">
        <v>75168</v>
      </c>
      <c r="F50" s="56"/>
      <c r="G50" s="33" t="s">
        <v>20</v>
      </c>
    </row>
    <row r="51" spans="2:12" x14ac:dyDescent="0.25">
      <c r="B51" s="7"/>
      <c r="D51" t="s">
        <v>71</v>
      </c>
      <c r="E51" s="10">
        <v>0</v>
      </c>
      <c r="F51" s="56"/>
      <c r="G51" s="33"/>
    </row>
    <row r="52" spans="2:12" ht="15.75" thickBot="1" x14ac:dyDescent="0.3">
      <c r="B52" s="7"/>
      <c r="D52" t="s">
        <v>270</v>
      </c>
      <c r="E52" s="10">
        <v>0</v>
      </c>
      <c r="F52" s="56">
        <f>SUM(E49:E52)</f>
        <v>75168</v>
      </c>
      <c r="G52" s="33" t="s">
        <v>20</v>
      </c>
    </row>
    <row r="53" spans="2:12" ht="15.75" thickBot="1" x14ac:dyDescent="0.3">
      <c r="B53" s="7">
        <v>6</v>
      </c>
      <c r="D53" s="98" t="s">
        <v>72</v>
      </c>
      <c r="E53" s="57" t="s">
        <v>20</v>
      </c>
      <c r="F53" s="56"/>
      <c r="G53" t="s">
        <v>20</v>
      </c>
    </row>
    <row r="54" spans="2:12" x14ac:dyDescent="0.25">
      <c r="B54" s="7"/>
      <c r="D54" s="63" t="s">
        <v>271</v>
      </c>
      <c r="E54" s="10">
        <v>400000</v>
      </c>
      <c r="F54" s="56"/>
      <c r="G54" t="s">
        <v>20</v>
      </c>
    </row>
    <row r="55" spans="2:12" ht="15.75" thickBot="1" x14ac:dyDescent="0.3">
      <c r="B55" s="7"/>
      <c r="D55" t="s">
        <v>20</v>
      </c>
      <c r="E55" s="11" t="s">
        <v>20</v>
      </c>
      <c r="F55" s="56">
        <f>SUM(E54:E55)</f>
        <v>400000</v>
      </c>
      <c r="G55" t="s">
        <v>20</v>
      </c>
    </row>
    <row r="56" spans="2:12" ht="15.75" thickBot="1" x14ac:dyDescent="0.3">
      <c r="B56" s="7">
        <v>7</v>
      </c>
      <c r="D56" s="6" t="s">
        <v>73</v>
      </c>
      <c r="E56" s="57" t="s">
        <v>20</v>
      </c>
      <c r="F56" s="10"/>
      <c r="G56" t="s">
        <v>20</v>
      </c>
    </row>
    <row r="57" spans="2:12" x14ac:dyDescent="0.25">
      <c r="B57" s="7"/>
      <c r="D57" s="63" t="s">
        <v>272</v>
      </c>
      <c r="E57" s="13">
        <v>3415596.98</v>
      </c>
      <c r="F57" s="10"/>
      <c r="G57" t="s">
        <v>20</v>
      </c>
    </row>
    <row r="58" spans="2:12" x14ac:dyDescent="0.25">
      <c r="B58" s="7"/>
      <c r="D58" s="63" t="s">
        <v>74</v>
      </c>
      <c r="E58" s="13">
        <v>359677.94</v>
      </c>
      <c r="F58" s="10"/>
      <c r="G58" t="s">
        <v>20</v>
      </c>
    </row>
    <row r="59" spans="2:12" x14ac:dyDescent="0.25">
      <c r="B59" s="7"/>
      <c r="D59" s="63" t="s">
        <v>70</v>
      </c>
      <c r="E59" s="13">
        <v>0</v>
      </c>
      <c r="F59" s="10"/>
    </row>
    <row r="60" spans="2:12" x14ac:dyDescent="0.25">
      <c r="B60" s="7"/>
      <c r="D60" s="63" t="s">
        <v>75</v>
      </c>
      <c r="E60" s="13">
        <v>29938.89</v>
      </c>
      <c r="F60" s="10"/>
      <c r="G60" t="s">
        <v>20</v>
      </c>
    </row>
    <row r="61" spans="2:12" x14ac:dyDescent="0.25">
      <c r="B61" s="7"/>
      <c r="D61" s="63" t="s">
        <v>231</v>
      </c>
      <c r="E61" s="13">
        <v>0</v>
      </c>
      <c r="F61" s="10"/>
      <c r="G61" t="s">
        <v>20</v>
      </c>
      <c r="J61" t="s">
        <v>20</v>
      </c>
      <c r="L61" t="s">
        <v>38</v>
      </c>
    </row>
    <row r="62" spans="2:12" x14ac:dyDescent="0.25">
      <c r="B62" s="7"/>
      <c r="D62" s="63" t="s">
        <v>232</v>
      </c>
      <c r="E62" s="13">
        <v>11610.46</v>
      </c>
      <c r="F62" s="10"/>
      <c r="G62" t="s">
        <v>20</v>
      </c>
    </row>
    <row r="63" spans="2:12" ht="15.75" thickBot="1" x14ac:dyDescent="0.3">
      <c r="B63" s="7"/>
      <c r="D63" s="63" t="s">
        <v>233</v>
      </c>
      <c r="E63" s="11">
        <v>5540.46</v>
      </c>
      <c r="F63" s="10" t="s">
        <v>20</v>
      </c>
      <c r="G63" t="s">
        <v>20</v>
      </c>
    </row>
    <row r="64" spans="2:12" ht="15.75" thickBot="1" x14ac:dyDescent="0.3">
      <c r="B64" s="7"/>
      <c r="D64" s="63" t="s">
        <v>230</v>
      </c>
      <c r="E64" s="11">
        <v>0</v>
      </c>
      <c r="F64" s="10">
        <f>SUM(E57:E64)</f>
        <v>3822364.73</v>
      </c>
    </row>
    <row r="65" spans="2:12" ht="15.75" thickBot="1" x14ac:dyDescent="0.3">
      <c r="B65" s="7">
        <v>8</v>
      </c>
      <c r="D65" s="6" t="s">
        <v>76</v>
      </c>
      <c r="E65" s="57" t="s">
        <v>20</v>
      </c>
      <c r="F65" s="10"/>
    </row>
    <row r="66" spans="2:12" x14ac:dyDescent="0.25">
      <c r="B66" s="7"/>
      <c r="D66" s="63" t="s">
        <v>229</v>
      </c>
      <c r="E66" s="13">
        <v>4690</v>
      </c>
      <c r="F66" s="10"/>
      <c r="G66" t="s">
        <v>20</v>
      </c>
    </row>
    <row r="67" spans="2:12" ht="15.75" thickBot="1" x14ac:dyDescent="0.3">
      <c r="B67" s="7"/>
      <c r="D67" t="s">
        <v>16</v>
      </c>
      <c r="E67" s="64">
        <v>0.46</v>
      </c>
      <c r="F67" s="10">
        <f>SUM(E66:E67)</f>
        <v>4690.46</v>
      </c>
      <c r="J67" t="s">
        <v>20</v>
      </c>
      <c r="K67" t="s">
        <v>20</v>
      </c>
      <c r="L67" t="s">
        <v>20</v>
      </c>
    </row>
    <row r="68" spans="2:12" ht="15.75" thickBot="1" x14ac:dyDescent="0.3">
      <c r="B68" s="7">
        <v>9</v>
      </c>
      <c r="D68" s="6" t="s">
        <v>77</v>
      </c>
      <c r="E68" s="57"/>
      <c r="F68" s="10"/>
      <c r="I68" t="s">
        <v>20</v>
      </c>
      <c r="J68" s="9" t="s">
        <v>20</v>
      </c>
      <c r="K68" s="9" t="s">
        <v>20</v>
      </c>
      <c r="L68" s="9" t="s">
        <v>20</v>
      </c>
    </row>
    <row r="69" spans="2:12" x14ac:dyDescent="0.25">
      <c r="B69" s="7"/>
      <c r="D69" s="63" t="s">
        <v>78</v>
      </c>
      <c r="E69" s="14">
        <v>41716.21</v>
      </c>
      <c r="F69" s="56"/>
      <c r="I69" t="s">
        <v>20</v>
      </c>
      <c r="J69" s="9" t="s">
        <v>20</v>
      </c>
      <c r="K69" s="9" t="s">
        <v>20</v>
      </c>
      <c r="L69" s="9" t="s">
        <v>20</v>
      </c>
    </row>
    <row r="70" spans="2:12" ht="15.75" thickBot="1" x14ac:dyDescent="0.3">
      <c r="B70" s="7"/>
      <c r="D70" s="63" t="s">
        <v>79</v>
      </c>
      <c r="E70" s="10">
        <v>104947.28</v>
      </c>
      <c r="F70" s="10">
        <f>SUM(E69:E70)</f>
        <v>146663.49</v>
      </c>
      <c r="I70" t="s">
        <v>20</v>
      </c>
      <c r="J70" s="9" t="s">
        <v>20</v>
      </c>
      <c r="K70" s="9" t="s">
        <v>20</v>
      </c>
      <c r="L70" s="9" t="s">
        <v>20</v>
      </c>
    </row>
    <row r="71" spans="2:12" ht="15.75" thickBot="1" x14ac:dyDescent="0.3">
      <c r="B71" s="7">
        <v>10</v>
      </c>
      <c r="D71" s="98" t="s">
        <v>28</v>
      </c>
      <c r="E71" s="100"/>
      <c r="F71" s="56"/>
      <c r="I71" t="s">
        <v>20</v>
      </c>
      <c r="J71" s="9" t="s">
        <v>20</v>
      </c>
      <c r="K71" s="9" t="s">
        <v>20</v>
      </c>
      <c r="L71" s="9"/>
    </row>
    <row r="72" spans="2:12" x14ac:dyDescent="0.25">
      <c r="B72" s="7"/>
      <c r="D72" s="101" t="s">
        <v>80</v>
      </c>
      <c r="E72" s="102">
        <v>0</v>
      </c>
      <c r="F72" s="56"/>
      <c r="I72" t="s">
        <v>20</v>
      </c>
      <c r="J72" s="83" t="s">
        <v>20</v>
      </c>
      <c r="K72" s="83" t="s">
        <v>20</v>
      </c>
      <c r="L72" s="29" t="s">
        <v>20</v>
      </c>
    </row>
    <row r="73" spans="2:12" x14ac:dyDescent="0.25">
      <c r="B73" s="7"/>
      <c r="D73" s="63" t="s">
        <v>81</v>
      </c>
      <c r="E73" s="103">
        <v>243302</v>
      </c>
      <c r="F73" s="56"/>
      <c r="I73" t="s">
        <v>20</v>
      </c>
      <c r="J73" s="9" t="s">
        <v>20</v>
      </c>
      <c r="K73" s="9" t="s">
        <v>20</v>
      </c>
      <c r="L73" s="9" t="s">
        <v>20</v>
      </c>
    </row>
    <row r="74" spans="2:12" x14ac:dyDescent="0.25">
      <c r="B74" s="7"/>
      <c r="D74" s="2" t="s">
        <v>82</v>
      </c>
      <c r="E74" s="103">
        <v>0</v>
      </c>
      <c r="F74" s="56"/>
      <c r="J74" s="9" t="s">
        <v>20</v>
      </c>
      <c r="K74" s="9" t="s">
        <v>20</v>
      </c>
      <c r="L74" s="9" t="s">
        <v>20</v>
      </c>
    </row>
    <row r="75" spans="2:12" ht="15.75" thickBot="1" x14ac:dyDescent="0.3">
      <c r="B75" s="7"/>
      <c r="D75" s="63" t="s">
        <v>83</v>
      </c>
      <c r="E75" s="104">
        <v>2213</v>
      </c>
      <c r="F75" s="10">
        <f>SUM(E72:E75)</f>
        <v>245515</v>
      </c>
      <c r="J75" s="9" t="s">
        <v>20</v>
      </c>
      <c r="K75" s="9" t="s">
        <v>20</v>
      </c>
    </row>
    <row r="76" spans="2:12" ht="15.75" thickBot="1" x14ac:dyDescent="0.3">
      <c r="B76" s="7"/>
      <c r="D76" s="6" t="s">
        <v>17</v>
      </c>
      <c r="E76" s="11" t="s">
        <v>20</v>
      </c>
      <c r="F76" s="17">
        <f>SUM(F10:F75)</f>
        <v>6905336.9999999991</v>
      </c>
      <c r="G76" t="s">
        <v>20</v>
      </c>
      <c r="J76" s="9"/>
      <c r="K76" s="9"/>
    </row>
    <row r="77" spans="2:12" ht="15.75" thickBot="1" x14ac:dyDescent="0.3">
      <c r="B77" s="7"/>
      <c r="D77" s="6" t="s">
        <v>84</v>
      </c>
      <c r="E77" s="64"/>
      <c r="F77" s="105">
        <v>0</v>
      </c>
      <c r="J77" s="9"/>
      <c r="K77" s="9"/>
    </row>
    <row r="78" spans="2:12" ht="15.75" thickBot="1" x14ac:dyDescent="0.3">
      <c r="B78" s="7"/>
      <c r="D78" s="6" t="s">
        <v>39</v>
      </c>
      <c r="E78" s="62"/>
      <c r="F78" s="14">
        <v>0</v>
      </c>
      <c r="J78" s="9"/>
      <c r="K78" s="9"/>
    </row>
    <row r="79" spans="2:12" ht="15.75" thickBot="1" x14ac:dyDescent="0.3">
      <c r="B79" s="7"/>
      <c r="D79" s="81" t="s">
        <v>20</v>
      </c>
      <c r="E79" s="62" t="s">
        <v>20</v>
      </c>
      <c r="F79" s="17">
        <v>0</v>
      </c>
      <c r="J79" s="9"/>
      <c r="K79" s="9"/>
    </row>
    <row r="80" spans="2:12" ht="15.75" thickBot="1" x14ac:dyDescent="0.3">
      <c r="B80" s="7" t="s">
        <v>20</v>
      </c>
      <c r="D80" s="6" t="s">
        <v>21</v>
      </c>
      <c r="E80" s="57" t="s">
        <v>20</v>
      </c>
      <c r="F80" s="57">
        <v>0</v>
      </c>
      <c r="J80" s="9"/>
      <c r="K80" s="9"/>
    </row>
    <row r="81" spans="2:11" ht="15.75" thickBot="1" x14ac:dyDescent="0.3">
      <c r="B81" s="7"/>
      <c r="D81" s="97"/>
      <c r="E81" s="14">
        <v>0</v>
      </c>
      <c r="F81" s="105">
        <v>0</v>
      </c>
      <c r="J81" s="9"/>
      <c r="K81" s="9"/>
    </row>
    <row r="82" spans="2:11" ht="15.75" thickBot="1" x14ac:dyDescent="0.3">
      <c r="B82" s="7" t="s">
        <v>20</v>
      </c>
      <c r="D82" s="6" t="s">
        <v>37</v>
      </c>
      <c r="E82" s="57"/>
      <c r="F82" s="60">
        <f>SUM(F76+F77+F78+F80)</f>
        <v>6905336.9999999991</v>
      </c>
      <c r="J82" s="9"/>
      <c r="K82" s="9"/>
    </row>
    <row r="83" spans="2:11" ht="15.75" thickBot="1" x14ac:dyDescent="0.3">
      <c r="B83" s="7"/>
      <c r="D83" s="106" t="s">
        <v>85</v>
      </c>
      <c r="E83" s="107" t="s">
        <v>86</v>
      </c>
      <c r="F83" s="108" t="s">
        <v>87</v>
      </c>
      <c r="J83" s="9"/>
      <c r="K83" s="9"/>
    </row>
    <row r="84" spans="2:11" ht="15.75" thickBot="1" x14ac:dyDescent="0.3">
      <c r="B84" s="7"/>
      <c r="D84" s="58" t="s">
        <v>88</v>
      </c>
      <c r="E84" s="14">
        <v>3926106.87</v>
      </c>
      <c r="F84" s="17"/>
      <c r="G84" t="s">
        <v>20</v>
      </c>
      <c r="J84" s="9"/>
      <c r="K84" s="9"/>
    </row>
    <row r="85" spans="2:11" ht="15.75" thickBot="1" x14ac:dyDescent="0.3">
      <c r="B85" s="7"/>
      <c r="D85" s="58" t="s">
        <v>89</v>
      </c>
      <c r="E85" s="14">
        <v>7799733</v>
      </c>
      <c r="F85" s="17"/>
      <c r="J85" s="9" t="s">
        <v>20</v>
      </c>
      <c r="K85" s="9"/>
    </row>
    <row r="86" spans="2:11" ht="15.75" thickBot="1" x14ac:dyDescent="0.3">
      <c r="B86" s="7"/>
      <c r="D86" s="58" t="s">
        <v>274</v>
      </c>
      <c r="E86" s="14">
        <v>427133.31</v>
      </c>
      <c r="F86" s="17"/>
      <c r="J86" s="9" t="s">
        <v>20</v>
      </c>
      <c r="K86" s="9"/>
    </row>
    <row r="87" spans="2:11" ht="15.75" thickBot="1" x14ac:dyDescent="0.3">
      <c r="B87" s="7"/>
      <c r="D87" s="58" t="s">
        <v>90</v>
      </c>
      <c r="E87" s="14"/>
      <c r="F87" s="57">
        <v>-6905337</v>
      </c>
      <c r="J87" s="9" t="s">
        <v>20</v>
      </c>
      <c r="K87" s="9"/>
    </row>
    <row r="88" spans="2:11" ht="15.75" thickBot="1" x14ac:dyDescent="0.3">
      <c r="B88" s="7"/>
      <c r="D88" s="58" t="s">
        <v>91</v>
      </c>
      <c r="E88" s="14">
        <v>5247636.18</v>
      </c>
      <c r="F88" s="57">
        <v>0</v>
      </c>
      <c r="G88" t="s">
        <v>20</v>
      </c>
      <c r="J88" s="9" t="s">
        <v>20</v>
      </c>
      <c r="K88" s="9"/>
    </row>
    <row r="89" spans="2:11" ht="15.75" thickBot="1" x14ac:dyDescent="0.3">
      <c r="B89" s="7"/>
      <c r="D89" s="106" t="s">
        <v>78</v>
      </c>
      <c r="E89" s="14"/>
      <c r="F89" s="17"/>
      <c r="J89" s="9" t="s">
        <v>20</v>
      </c>
      <c r="K89" s="9"/>
    </row>
    <row r="90" spans="2:11" ht="15.75" thickBot="1" x14ac:dyDescent="0.3">
      <c r="B90" s="7"/>
      <c r="D90" s="58" t="s">
        <v>92</v>
      </c>
      <c r="E90" s="14">
        <v>2520072.2799999998</v>
      </c>
      <c r="F90" s="17"/>
      <c r="J90" s="9" t="s">
        <v>20</v>
      </c>
      <c r="K90" s="9"/>
    </row>
    <row r="91" spans="2:11" ht="15.75" thickBot="1" x14ac:dyDescent="0.3">
      <c r="B91" s="7"/>
      <c r="D91" s="58" t="s">
        <v>93</v>
      </c>
      <c r="E91" s="14">
        <v>846548.36</v>
      </c>
      <c r="F91" s="17"/>
      <c r="J91" s="9" t="s">
        <v>20</v>
      </c>
      <c r="K91" s="9"/>
    </row>
    <row r="92" spans="2:11" ht="15.75" thickBot="1" x14ac:dyDescent="0.3">
      <c r="B92" s="7"/>
      <c r="D92" s="58" t="s">
        <v>94</v>
      </c>
      <c r="E92" s="14" t="s">
        <v>20</v>
      </c>
      <c r="F92" s="57">
        <v>1647497.82</v>
      </c>
      <c r="J92" s="9" t="s">
        <v>20</v>
      </c>
      <c r="K92" s="9"/>
    </row>
    <row r="93" spans="2:11" ht="15.75" thickBot="1" x14ac:dyDescent="0.3">
      <c r="B93" s="7"/>
      <c r="D93" s="58" t="s">
        <v>95</v>
      </c>
      <c r="E93" s="14"/>
      <c r="F93" s="57">
        <v>41716.21</v>
      </c>
      <c r="J93" s="9" t="s">
        <v>38</v>
      </c>
      <c r="K93" s="9"/>
    </row>
    <row r="94" spans="2:11" ht="15.75" thickBot="1" x14ac:dyDescent="0.3">
      <c r="B94" s="7"/>
      <c r="D94" s="58" t="s">
        <v>91</v>
      </c>
      <c r="E94" s="14">
        <v>1677406.61</v>
      </c>
      <c r="F94" s="57" t="s">
        <v>20</v>
      </c>
      <c r="G94" t="s">
        <v>20</v>
      </c>
      <c r="I94" t="s">
        <v>20</v>
      </c>
      <c r="J94" s="9" t="s">
        <v>38</v>
      </c>
      <c r="K94" s="9"/>
    </row>
    <row r="95" spans="2:11" ht="15.75" thickBot="1" x14ac:dyDescent="0.3">
      <c r="B95" s="7" t="s">
        <v>20</v>
      </c>
      <c r="D95" s="6" t="s">
        <v>79</v>
      </c>
      <c r="E95" s="57"/>
      <c r="F95" s="60" t="s">
        <v>20</v>
      </c>
      <c r="J95" s="9" t="s">
        <v>20</v>
      </c>
      <c r="K95" s="9"/>
    </row>
    <row r="96" spans="2:11" ht="15.75" thickBot="1" x14ac:dyDescent="0.3">
      <c r="B96" s="7"/>
      <c r="D96" s="96" t="s">
        <v>88</v>
      </c>
      <c r="E96" s="14">
        <v>1258581.8700000001</v>
      </c>
      <c r="F96" s="109"/>
      <c r="J96" s="9" t="s">
        <v>20</v>
      </c>
      <c r="K96" s="9"/>
    </row>
    <row r="97" spans="1:11" ht="15.75" thickBot="1" x14ac:dyDescent="0.3">
      <c r="B97" s="7"/>
      <c r="D97" s="96" t="s">
        <v>93</v>
      </c>
      <c r="E97" s="14">
        <v>7221497.9800000004</v>
      </c>
      <c r="F97" s="109"/>
      <c r="J97" s="9" t="s">
        <v>20</v>
      </c>
      <c r="K97" s="9"/>
    </row>
    <row r="98" spans="1:11" ht="15.75" thickBot="1" x14ac:dyDescent="0.3">
      <c r="B98" s="7"/>
      <c r="D98" s="96" t="s">
        <v>94</v>
      </c>
      <c r="E98" s="14"/>
      <c r="F98" s="130">
        <v>4693333</v>
      </c>
      <c r="J98" s="9" t="s">
        <v>20</v>
      </c>
      <c r="K98" s="9"/>
    </row>
    <row r="99" spans="1:11" ht="15.75" thickBot="1" x14ac:dyDescent="0.3">
      <c r="B99" s="7"/>
      <c r="D99" s="96" t="s">
        <v>95</v>
      </c>
      <c r="E99" s="14"/>
      <c r="F99" s="130">
        <v>104947.28</v>
      </c>
      <c r="I99" t="s">
        <v>20</v>
      </c>
      <c r="J99" s="9"/>
      <c r="K99" s="9"/>
    </row>
    <row r="100" spans="1:11" ht="15.75" thickBot="1" x14ac:dyDescent="0.3">
      <c r="B100" s="7"/>
      <c r="D100" s="96" t="s">
        <v>275</v>
      </c>
      <c r="E100" s="14"/>
      <c r="F100" s="130">
        <v>-400000</v>
      </c>
      <c r="J100" s="9"/>
      <c r="K100" s="9"/>
    </row>
    <row r="101" spans="1:11" ht="15.75" thickBot="1" x14ac:dyDescent="0.3">
      <c r="B101" s="7"/>
      <c r="D101" s="96" t="s">
        <v>91</v>
      </c>
      <c r="E101" s="14">
        <v>3281799.57</v>
      </c>
      <c r="F101" s="109"/>
      <c r="G101" t="s">
        <v>20</v>
      </c>
      <c r="I101" t="s">
        <v>20</v>
      </c>
      <c r="J101" s="9"/>
      <c r="K101" s="9"/>
    </row>
    <row r="102" spans="1:11" ht="15.75" thickBot="1" x14ac:dyDescent="0.3">
      <c r="B102" s="7"/>
      <c r="D102" s="4" t="s">
        <v>96</v>
      </c>
      <c r="E102" s="111">
        <v>0</v>
      </c>
      <c r="F102" s="112"/>
      <c r="G102" t="s">
        <v>20</v>
      </c>
      <c r="I102" t="s">
        <v>20</v>
      </c>
      <c r="J102" s="9"/>
      <c r="K102" s="9"/>
    </row>
    <row r="103" spans="1:11" ht="15.75" thickBot="1" x14ac:dyDescent="0.3">
      <c r="B103" s="7"/>
      <c r="D103" s="113" t="s">
        <v>97</v>
      </c>
      <c r="E103" s="114">
        <v>10900</v>
      </c>
      <c r="F103" s="110"/>
      <c r="J103" s="9"/>
      <c r="K103" s="9"/>
    </row>
    <row r="104" spans="1:11" ht="15.75" thickBot="1" x14ac:dyDescent="0.3">
      <c r="B104" s="7"/>
      <c r="D104" s="113" t="s">
        <v>86</v>
      </c>
      <c r="E104" s="135">
        <v>677530</v>
      </c>
      <c r="F104" s="110" t="s">
        <v>20</v>
      </c>
      <c r="G104" t="s">
        <v>20</v>
      </c>
      <c r="J104" s="9"/>
      <c r="K104" s="9"/>
    </row>
    <row r="105" spans="1:11" ht="15.75" thickBot="1" x14ac:dyDescent="0.3">
      <c r="B105" s="7"/>
      <c r="D105" s="113" t="s">
        <v>98</v>
      </c>
      <c r="E105" s="114">
        <v>400000</v>
      </c>
      <c r="F105" s="110"/>
      <c r="J105" s="9"/>
      <c r="K105" s="9"/>
    </row>
    <row r="106" spans="1:11" ht="15.75" thickBot="1" x14ac:dyDescent="0.3">
      <c r="B106" s="7"/>
      <c r="D106" s="113" t="s">
        <v>91</v>
      </c>
      <c r="E106" s="114">
        <v>288430</v>
      </c>
      <c r="F106" s="110"/>
      <c r="G106" t="s">
        <v>20</v>
      </c>
      <c r="J106" s="9"/>
      <c r="K106" s="9"/>
    </row>
    <row r="107" spans="1:11" x14ac:dyDescent="0.25">
      <c r="B107"/>
      <c r="F107"/>
      <c r="G107" s="12" t="s">
        <v>20</v>
      </c>
      <c r="J107" s="9"/>
      <c r="K107" s="9"/>
    </row>
    <row r="108" spans="1:11" x14ac:dyDescent="0.25">
      <c r="A108" t="s">
        <v>99</v>
      </c>
      <c r="B108"/>
      <c r="F108"/>
      <c r="G108" t="s">
        <v>20</v>
      </c>
      <c r="J108" s="9"/>
      <c r="K108" s="9"/>
    </row>
    <row r="109" spans="1:11" ht="18.75" x14ac:dyDescent="0.3">
      <c r="A109" t="s">
        <v>100</v>
      </c>
      <c r="B109" s="3"/>
      <c r="D109" s="40"/>
      <c r="E109" s="12"/>
      <c r="G109" t="s">
        <v>20</v>
      </c>
      <c r="J109" s="9"/>
      <c r="K109" s="9"/>
    </row>
    <row r="110" spans="1:11" ht="18.75" x14ac:dyDescent="0.3">
      <c r="B110" s="3"/>
      <c r="D110" s="40"/>
      <c r="E110" s="12"/>
      <c r="G110" s="12" t="s">
        <v>20</v>
      </c>
      <c r="J110" s="9"/>
      <c r="K110" s="9"/>
    </row>
    <row r="111" spans="1:11" ht="18.75" x14ac:dyDescent="0.3">
      <c r="A111" s="115" t="s">
        <v>101</v>
      </c>
      <c r="B111" s="3"/>
      <c r="D111" s="40"/>
      <c r="E111" s="12"/>
      <c r="G111" t="s">
        <v>20</v>
      </c>
      <c r="J111" s="9"/>
      <c r="K111" s="9"/>
    </row>
    <row r="112" spans="1:11" ht="18.75" x14ac:dyDescent="0.3">
      <c r="A112" t="s">
        <v>102</v>
      </c>
      <c r="B112" s="3"/>
      <c r="D112" s="40"/>
      <c r="E112" s="12"/>
      <c r="G112" s="12" t="s">
        <v>20</v>
      </c>
      <c r="J112" s="9"/>
      <c r="K112" s="9"/>
    </row>
    <row r="113" spans="1:11" ht="18.75" x14ac:dyDescent="0.3">
      <c r="A113" t="s">
        <v>103</v>
      </c>
      <c r="B113" s="3"/>
      <c r="D113" s="40"/>
      <c r="E113" s="12"/>
      <c r="J113" s="9" t="s">
        <v>20</v>
      </c>
      <c r="K113" s="9" t="s">
        <v>20</v>
      </c>
    </row>
    <row r="114" spans="1:11" ht="18.75" x14ac:dyDescent="0.3">
      <c r="A114" t="s">
        <v>241</v>
      </c>
      <c r="B114" s="3"/>
      <c r="D114" s="40"/>
      <c r="E114" s="12"/>
      <c r="J114" s="9" t="s">
        <v>20</v>
      </c>
      <c r="K114" s="9" t="s">
        <v>20</v>
      </c>
    </row>
    <row r="115" spans="1:11" ht="18.75" x14ac:dyDescent="0.3">
      <c r="A115" t="s">
        <v>104</v>
      </c>
      <c r="B115" s="3"/>
      <c r="D115" s="40" t="s">
        <v>253</v>
      </c>
      <c r="E115" s="12"/>
      <c r="J115" t="s">
        <v>20</v>
      </c>
      <c r="K115" s="9" t="s">
        <v>20</v>
      </c>
    </row>
    <row r="116" spans="1:11" ht="18.75" x14ac:dyDescent="0.3">
      <c r="A116" t="s">
        <v>105</v>
      </c>
      <c r="B116" s="3"/>
      <c r="D116" s="40"/>
      <c r="E116" s="12"/>
      <c r="K116" t="s">
        <v>20</v>
      </c>
    </row>
    <row r="117" spans="1:11" ht="18.75" x14ac:dyDescent="0.3">
      <c r="A117" t="s">
        <v>106</v>
      </c>
      <c r="B117" s="3"/>
      <c r="D117" s="40"/>
      <c r="E117" s="12"/>
    </row>
    <row r="118" spans="1:11" ht="18.75" x14ac:dyDescent="0.3">
      <c r="A118" t="s">
        <v>243</v>
      </c>
      <c r="B118" s="3"/>
      <c r="D118" s="40"/>
      <c r="E118" s="12"/>
    </row>
    <row r="119" spans="1:11" ht="18.75" x14ac:dyDescent="0.3">
      <c r="A119" t="s">
        <v>242</v>
      </c>
      <c r="B119" s="3"/>
      <c r="D119" s="40"/>
      <c r="E119" s="12"/>
    </row>
    <row r="120" spans="1:11" ht="18.75" x14ac:dyDescent="0.3">
      <c r="A120" t="s">
        <v>24</v>
      </c>
      <c r="B120" s="3"/>
      <c r="D120" s="132" t="s">
        <v>244</v>
      </c>
      <c r="E120" s="12"/>
    </row>
    <row r="121" spans="1:11" ht="19.5" thickBot="1" x14ac:dyDescent="0.35">
      <c r="A121" t="s">
        <v>105</v>
      </c>
      <c r="B121" s="3"/>
      <c r="D121" s="40"/>
      <c r="E121" s="12"/>
    </row>
    <row r="122" spans="1:11" ht="19.5" thickBot="1" x14ac:dyDescent="0.35">
      <c r="B122" s="3"/>
      <c r="D122" s="117" t="s">
        <v>107</v>
      </c>
      <c r="E122" s="12"/>
    </row>
    <row r="123" spans="1:11" ht="18.75" x14ac:dyDescent="0.3">
      <c r="A123" t="s">
        <v>108</v>
      </c>
      <c r="B123" s="3"/>
      <c r="D123" s="116"/>
      <c r="E123" s="12"/>
    </row>
    <row r="124" spans="1:11" ht="18.75" x14ac:dyDescent="0.3">
      <c r="A124" t="s">
        <v>109</v>
      </c>
      <c r="B124" s="3"/>
      <c r="D124" s="116"/>
      <c r="E124" s="12"/>
    </row>
    <row r="125" spans="1:11" ht="18.75" x14ac:dyDescent="0.3">
      <c r="A125" t="s">
        <v>110</v>
      </c>
      <c r="B125" s="3"/>
      <c r="D125" s="116"/>
      <c r="E125" s="12"/>
    </row>
    <row r="126" spans="1:11" ht="18.75" x14ac:dyDescent="0.3">
      <c r="A126" t="s">
        <v>111</v>
      </c>
      <c r="B126" s="3"/>
      <c r="D126" s="116"/>
      <c r="E126" s="12"/>
    </row>
    <row r="127" spans="1:11" ht="19.5" thickBot="1" x14ac:dyDescent="0.35">
      <c r="B127" s="3"/>
      <c r="D127" s="116"/>
      <c r="E127" s="12"/>
    </row>
    <row r="128" spans="1:11" ht="19.5" thickBot="1" x14ac:dyDescent="0.3">
      <c r="A128" s="121" t="s">
        <v>112</v>
      </c>
      <c r="B128" s="122"/>
      <c r="C128" s="122"/>
      <c r="D128" s="123"/>
      <c r="E128" s="124"/>
      <c r="F128" s="125"/>
    </row>
    <row r="129" spans="1:6" ht="18.75" x14ac:dyDescent="0.25">
      <c r="A129" s="118" t="s">
        <v>113</v>
      </c>
      <c r="B129" s="118"/>
      <c r="C129" s="118"/>
      <c r="D129" s="119"/>
      <c r="E129" s="120"/>
      <c r="F129" s="120"/>
    </row>
    <row r="130" spans="1:6" ht="18.75" x14ac:dyDescent="0.25">
      <c r="A130" s="118" t="s">
        <v>114</v>
      </c>
      <c r="B130" s="118"/>
      <c r="C130" s="118"/>
      <c r="D130" s="119"/>
      <c r="E130" s="120"/>
      <c r="F130" s="120"/>
    </row>
    <row r="131" spans="1:6" ht="18.75" x14ac:dyDescent="0.25">
      <c r="A131" s="118" t="s">
        <v>115</v>
      </c>
      <c r="B131" s="118"/>
      <c r="C131" s="118"/>
      <c r="D131" s="119"/>
      <c r="E131" s="120"/>
      <c r="F131" s="120"/>
    </row>
    <row r="132" spans="1:6" ht="18.75" x14ac:dyDescent="0.25">
      <c r="A132" s="118" t="s">
        <v>116</v>
      </c>
      <c r="B132" s="118"/>
      <c r="C132" s="118"/>
      <c r="D132" s="119"/>
      <c r="E132" s="120"/>
      <c r="F132" s="120"/>
    </row>
    <row r="133" spans="1:6" ht="18.75" x14ac:dyDescent="0.25">
      <c r="A133" s="118" t="s">
        <v>117</v>
      </c>
      <c r="B133" s="118"/>
      <c r="C133" s="118"/>
      <c r="D133" s="119"/>
      <c r="E133" s="120"/>
      <c r="F133" s="120"/>
    </row>
    <row r="134" spans="1:6" ht="18.75" x14ac:dyDescent="0.25">
      <c r="A134" s="118" t="s">
        <v>118</v>
      </c>
      <c r="B134" s="118"/>
      <c r="C134" s="118"/>
      <c r="D134" s="119"/>
      <c r="E134" s="120"/>
      <c r="F134" s="120"/>
    </row>
    <row r="135" spans="1:6" ht="18.75" x14ac:dyDescent="0.25">
      <c r="A135" s="118" t="s">
        <v>119</v>
      </c>
      <c r="B135" s="118"/>
      <c r="C135" s="118"/>
      <c r="D135" s="119"/>
      <c r="E135" s="120"/>
      <c r="F135" s="120"/>
    </row>
    <row r="136" spans="1:6" ht="18.75" x14ac:dyDescent="0.25">
      <c r="A136" s="118" t="s">
        <v>120</v>
      </c>
      <c r="B136" s="118"/>
      <c r="C136" s="118"/>
      <c r="D136" s="119"/>
      <c r="E136" s="120"/>
      <c r="F136" s="120"/>
    </row>
    <row r="137" spans="1:6" ht="18.75" x14ac:dyDescent="0.25">
      <c r="A137" s="118" t="s">
        <v>254</v>
      </c>
      <c r="B137" s="118"/>
      <c r="C137" s="118"/>
      <c r="D137" s="119"/>
      <c r="E137" s="120"/>
      <c r="F137" s="120"/>
    </row>
    <row r="138" spans="1:6" ht="18.75" x14ac:dyDescent="0.25">
      <c r="A138" s="118" t="s">
        <v>121</v>
      </c>
      <c r="B138" s="118"/>
      <c r="C138" s="118"/>
      <c r="D138" s="119"/>
      <c r="E138" s="120"/>
      <c r="F138" s="120"/>
    </row>
    <row r="139" spans="1:6" ht="18.75" x14ac:dyDescent="0.25">
      <c r="A139" s="118" t="s">
        <v>122</v>
      </c>
      <c r="B139" s="118"/>
      <c r="C139" s="118"/>
      <c r="D139" s="119"/>
      <c r="E139" s="120"/>
      <c r="F139" s="120"/>
    </row>
    <row r="140" spans="1:6" ht="18.75" x14ac:dyDescent="0.25">
      <c r="A140" s="118" t="s">
        <v>123</v>
      </c>
      <c r="B140" s="118"/>
      <c r="C140" s="118"/>
      <c r="D140" s="119"/>
      <c r="E140" s="120"/>
      <c r="F140" s="120"/>
    </row>
    <row r="141" spans="1:6" ht="18.75" x14ac:dyDescent="0.25">
      <c r="A141" s="118"/>
      <c r="B141" s="118"/>
      <c r="C141" s="118"/>
      <c r="D141" s="119"/>
      <c r="E141" s="120"/>
      <c r="F141" s="120"/>
    </row>
    <row r="142" spans="1:6" x14ac:dyDescent="0.25">
      <c r="A142" t="s">
        <v>45</v>
      </c>
      <c r="B142" s="3"/>
      <c r="F142"/>
    </row>
    <row r="143" spans="1:6" x14ac:dyDescent="0.25">
      <c r="A143" t="s">
        <v>30</v>
      </c>
      <c r="B143" s="3"/>
      <c r="F143"/>
    </row>
    <row r="144" spans="1:6" x14ac:dyDescent="0.25">
      <c r="A144" t="s">
        <v>31</v>
      </c>
      <c r="B144" s="3"/>
      <c r="F144"/>
    </row>
    <row r="145" spans="1:6" x14ac:dyDescent="0.25">
      <c r="A145" t="s">
        <v>32</v>
      </c>
      <c r="B145" s="3"/>
      <c r="F145"/>
    </row>
    <row r="146" spans="1:6" x14ac:dyDescent="0.25">
      <c r="A146" t="s">
        <v>33</v>
      </c>
      <c r="B146" s="3"/>
      <c r="F146"/>
    </row>
    <row r="147" spans="1:6" x14ac:dyDescent="0.25">
      <c r="A147" t="s">
        <v>34</v>
      </c>
      <c r="B147" s="3"/>
      <c r="F147"/>
    </row>
    <row r="148" spans="1:6" x14ac:dyDescent="0.25">
      <c r="A148" t="s">
        <v>35</v>
      </c>
      <c r="B148" s="3"/>
      <c r="F148"/>
    </row>
    <row r="149" spans="1:6" ht="15.75" thickBot="1" x14ac:dyDescent="0.3">
      <c r="A149" t="s">
        <v>36</v>
      </c>
      <c r="B149" s="3"/>
      <c r="F149"/>
    </row>
    <row r="150" spans="1:6" ht="15.75" thickBot="1" x14ac:dyDescent="0.3">
      <c r="A150" s="59" t="s">
        <v>47</v>
      </c>
      <c r="B150" s="89"/>
      <c r="C150" s="90"/>
      <c r="D150" s="90"/>
      <c r="E150" s="90"/>
      <c r="F150" s="91"/>
    </row>
    <row r="151" spans="1:6" ht="15.75" thickBot="1" x14ac:dyDescent="0.3">
      <c r="A151" s="59" t="s">
        <v>48</v>
      </c>
      <c r="B151" s="90"/>
      <c r="C151" s="90"/>
      <c r="D151" s="90"/>
      <c r="E151" s="90"/>
      <c r="F151" s="91"/>
    </row>
    <row r="152" spans="1:6" ht="15.75" thickBot="1" x14ac:dyDescent="0.3">
      <c r="B152"/>
      <c r="F152"/>
    </row>
    <row r="153" spans="1:6" ht="24" thickBot="1" x14ac:dyDescent="0.4">
      <c r="A153" s="136" t="s">
        <v>278</v>
      </c>
      <c r="B153" s="137"/>
      <c r="C153" s="137"/>
      <c r="D153" s="137"/>
      <c r="E153" s="137"/>
      <c r="F153" s="138"/>
    </row>
    <row r="154" spans="1:6" ht="24" thickBot="1" x14ac:dyDescent="0.4">
      <c r="A154" s="136" t="s">
        <v>276</v>
      </c>
      <c r="B154" s="137"/>
      <c r="C154" s="137"/>
      <c r="D154" s="137"/>
      <c r="E154" s="137"/>
      <c r="F154" s="138"/>
    </row>
    <row r="155" spans="1:6" ht="24" thickBot="1" x14ac:dyDescent="0.4">
      <c r="A155" s="139" t="s">
        <v>277</v>
      </c>
      <c r="B155" s="140"/>
      <c r="C155" s="140"/>
      <c r="D155" s="141"/>
      <c r="E155" s="9"/>
      <c r="F155" s="9"/>
    </row>
    <row r="156" spans="1:6" x14ac:dyDescent="0.25">
      <c r="B156"/>
      <c r="F156"/>
    </row>
    <row r="157" spans="1:6" ht="15.75" thickBot="1" x14ac:dyDescent="0.3">
      <c r="B157"/>
      <c r="F157"/>
    </row>
    <row r="158" spans="1:6" ht="24" thickBot="1" x14ac:dyDescent="0.4">
      <c r="B158"/>
      <c r="D158" s="142" t="s">
        <v>279</v>
      </c>
      <c r="F158"/>
    </row>
    <row r="159" spans="1:6" x14ac:dyDescent="0.25">
      <c r="B159"/>
      <c r="F159"/>
    </row>
    <row r="160" spans="1:6" x14ac:dyDescent="0.25">
      <c r="B160"/>
      <c r="F160"/>
    </row>
    <row r="161" spans="2:6" x14ac:dyDescent="0.25">
      <c r="B161"/>
      <c r="F161"/>
    </row>
    <row r="162" spans="2:6" x14ac:dyDescent="0.25">
      <c r="B162"/>
      <c r="F162"/>
    </row>
    <row r="163" spans="2:6" x14ac:dyDescent="0.25">
      <c r="B163"/>
      <c r="F163"/>
    </row>
    <row r="164" spans="2:6" x14ac:dyDescent="0.25">
      <c r="B164"/>
      <c r="F164"/>
    </row>
    <row r="165" spans="2:6" x14ac:dyDescent="0.25">
      <c r="B165"/>
      <c r="F165"/>
    </row>
    <row r="166" spans="2:6" x14ac:dyDescent="0.25">
      <c r="B166"/>
      <c r="F166"/>
    </row>
    <row r="167" spans="2:6" x14ac:dyDescent="0.25">
      <c r="B167"/>
      <c r="F167"/>
    </row>
    <row r="168" spans="2:6" x14ac:dyDescent="0.25">
      <c r="B168"/>
      <c r="F168"/>
    </row>
    <row r="169" spans="2:6" x14ac:dyDescent="0.25">
      <c r="B169"/>
      <c r="F169"/>
    </row>
    <row r="170" spans="2:6" x14ac:dyDescent="0.25">
      <c r="B170"/>
      <c r="F170"/>
    </row>
    <row r="171" spans="2:6" x14ac:dyDescent="0.25">
      <c r="B171"/>
      <c r="F171"/>
    </row>
    <row r="172" spans="2:6" x14ac:dyDescent="0.25">
      <c r="B172"/>
      <c r="F172"/>
    </row>
    <row r="180" spans="5:5" x14ac:dyDescent="0.25">
      <c r="E180" s="93"/>
    </row>
    <row r="181" spans="5:5" x14ac:dyDescent="0.25">
      <c r="E181" s="93"/>
    </row>
    <row r="182" spans="5:5" x14ac:dyDescent="0.25">
      <c r="E182" s="93"/>
    </row>
    <row r="183" spans="5:5" x14ac:dyDescent="0.25">
      <c r="E183" s="93"/>
    </row>
    <row r="184" spans="5:5" x14ac:dyDescent="0.25">
      <c r="E184" s="93"/>
    </row>
    <row r="185" spans="5:5" x14ac:dyDescent="0.25">
      <c r="E185" s="93"/>
    </row>
    <row r="186" spans="5:5" x14ac:dyDescent="0.25">
      <c r="E186" s="93"/>
    </row>
    <row r="187" spans="5:5" x14ac:dyDescent="0.25">
      <c r="E187" s="93"/>
    </row>
    <row r="188" spans="5:5" x14ac:dyDescent="0.25">
      <c r="E188" s="93"/>
    </row>
    <row r="189" spans="5:5" x14ac:dyDescent="0.25">
      <c r="E189" s="93"/>
    </row>
    <row r="190" spans="5:5" x14ac:dyDescent="0.25">
      <c r="E190" s="93"/>
    </row>
    <row r="191" spans="5:5" x14ac:dyDescent="0.25">
      <c r="E191" s="93"/>
    </row>
    <row r="192" spans="5:5" x14ac:dyDescent="0.25">
      <c r="E192" s="93"/>
    </row>
    <row r="193" spans="5:5" x14ac:dyDescent="0.25">
      <c r="E193" s="93"/>
    </row>
    <row r="194" spans="5:5" x14ac:dyDescent="0.25">
      <c r="E194" s="93"/>
    </row>
    <row r="195" spans="5:5" x14ac:dyDescent="0.25">
      <c r="E195" s="93"/>
    </row>
    <row r="198" spans="5:5" x14ac:dyDescent="0.25">
      <c r="E198" s="93"/>
    </row>
  </sheetData>
  <mergeCells count="2">
    <mergeCell ref="A1:C2"/>
    <mergeCell ref="E3:F3"/>
  </mergeCells>
  <hyperlinks>
    <hyperlink ref="D158" r:id="rId1" xr:uid="{00000000-0004-0000-0100-000000000000}"/>
  </hyperlinks>
  <pageMargins left="0.11811023622047245" right="0.11811023622047245" top="0.39370078740157483" bottom="0" header="0" footer="0"/>
  <pageSetup paperSize="9" scale="90" fitToWidth="3"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workbookViewId="0">
      <selection activeCell="B3" sqref="B3:H3"/>
    </sheetView>
  </sheetViews>
  <sheetFormatPr baseColWidth="10" defaultRowHeight="15" x14ac:dyDescent="0.25"/>
  <cols>
    <col min="1" max="1" width="5.85546875" customWidth="1"/>
    <col min="2" max="2" width="34.140625" customWidth="1"/>
    <col min="3" max="3" width="5.7109375" customWidth="1"/>
    <col min="4" max="4" width="9" hidden="1" customWidth="1"/>
    <col min="5" max="5" width="5.7109375" customWidth="1"/>
    <col min="6" max="6" width="12.7109375" customWidth="1"/>
    <col min="7" max="7" width="13" customWidth="1"/>
    <col min="8" max="8" width="12.5703125" customWidth="1"/>
    <col min="9" max="9" width="13.140625" customWidth="1"/>
    <col min="10" max="10" width="13.5703125" bestFit="1" customWidth="1"/>
    <col min="11" max="11" width="11.28515625" customWidth="1"/>
    <col min="12" max="12" width="13.7109375" hidden="1" customWidth="1"/>
    <col min="13" max="13" width="11.7109375" bestFit="1" customWidth="1"/>
    <col min="15" max="15" width="12.85546875" customWidth="1"/>
  </cols>
  <sheetData>
    <row r="1" spans="1:17" ht="19.5" thickBot="1" x14ac:dyDescent="0.35">
      <c r="B1" s="313" t="s">
        <v>124</v>
      </c>
      <c r="C1" s="314"/>
      <c r="D1" s="314"/>
      <c r="E1" s="314"/>
      <c r="F1" s="314"/>
      <c r="G1" s="314"/>
      <c r="H1" s="314"/>
      <c r="I1" s="314"/>
      <c r="J1" s="314"/>
      <c r="K1" s="314"/>
      <c r="L1" s="314"/>
      <c r="M1" s="314"/>
      <c r="N1" s="314"/>
      <c r="O1" s="315"/>
      <c r="P1" t="s">
        <v>20</v>
      </c>
    </row>
    <row r="2" spans="1:17" ht="15.75" thickBot="1" x14ac:dyDescent="0.3">
      <c r="I2" t="s">
        <v>18</v>
      </c>
      <c r="L2" s="45" t="s">
        <v>41</v>
      </c>
      <c r="N2" t="s">
        <v>20</v>
      </c>
    </row>
    <row r="3" spans="1:17" ht="15.75" thickBot="1" x14ac:dyDescent="0.3">
      <c r="B3" s="316" t="s">
        <v>273</v>
      </c>
      <c r="C3" s="317"/>
      <c r="D3" s="317"/>
      <c r="E3" s="317"/>
      <c r="F3" s="317"/>
      <c r="G3" s="317"/>
      <c r="H3" s="317"/>
      <c r="I3" s="31">
        <v>6905337</v>
      </c>
      <c r="J3" t="s">
        <v>20</v>
      </c>
      <c r="L3" s="17">
        <v>0</v>
      </c>
      <c r="N3" s="95">
        <v>4000000</v>
      </c>
    </row>
    <row r="4" spans="1:17" ht="15.75" thickBot="1" x14ac:dyDescent="0.3"/>
    <row r="5" spans="1:17" ht="36.75" thickBot="1" x14ac:dyDescent="0.3">
      <c r="A5" s="19" t="s">
        <v>10</v>
      </c>
      <c r="B5" s="18" t="s">
        <v>8</v>
      </c>
      <c r="C5" s="23" t="s">
        <v>227</v>
      </c>
      <c r="D5" s="23" t="s">
        <v>11</v>
      </c>
      <c r="E5" s="23" t="s">
        <v>228</v>
      </c>
      <c r="F5" s="55">
        <v>45658</v>
      </c>
      <c r="G5" s="16" t="s">
        <v>9</v>
      </c>
      <c r="H5" s="55">
        <v>45658</v>
      </c>
      <c r="I5" s="55" t="s">
        <v>29</v>
      </c>
      <c r="J5" s="16" t="s">
        <v>43</v>
      </c>
      <c r="K5" s="75" t="s">
        <v>44</v>
      </c>
      <c r="L5" s="75" t="s">
        <v>125</v>
      </c>
      <c r="M5" s="133" t="s">
        <v>41</v>
      </c>
      <c r="N5" s="44" t="s">
        <v>19</v>
      </c>
      <c r="O5" s="15" t="s">
        <v>12</v>
      </c>
    </row>
    <row r="6" spans="1:17" ht="15.75" thickBot="1" x14ac:dyDescent="0.3">
      <c r="A6" s="7"/>
      <c r="B6" s="46"/>
      <c r="C6" s="46"/>
      <c r="D6" s="46"/>
      <c r="E6" s="46"/>
      <c r="F6" s="46"/>
      <c r="G6" s="46"/>
      <c r="H6" s="46"/>
      <c r="I6" s="46"/>
      <c r="J6" s="46"/>
      <c r="K6" s="46"/>
      <c r="L6" s="46"/>
      <c r="M6" s="46"/>
      <c r="N6" s="46"/>
      <c r="O6" s="47"/>
    </row>
    <row r="7" spans="1:17" ht="15.75" thickBot="1" x14ac:dyDescent="0.3">
      <c r="A7" s="48">
        <v>1</v>
      </c>
      <c r="B7" s="49" t="s">
        <v>126</v>
      </c>
      <c r="C7" s="84">
        <v>1.37</v>
      </c>
      <c r="D7" s="50">
        <v>8.9999999999999998E-4</v>
      </c>
      <c r="E7" s="50"/>
      <c r="F7" s="51">
        <v>128653</v>
      </c>
      <c r="G7" s="51">
        <v>-128653</v>
      </c>
      <c r="H7" s="52">
        <f>+G7+F7</f>
        <v>0</v>
      </c>
      <c r="I7" s="52">
        <v>0</v>
      </c>
      <c r="J7" s="76">
        <f>I3*C7/100</f>
        <v>94603.116900000008</v>
      </c>
      <c r="K7" s="76">
        <v>0</v>
      </c>
      <c r="L7" s="76">
        <v>0</v>
      </c>
      <c r="M7" s="76">
        <f>N3*C7/100</f>
        <v>54800</v>
      </c>
      <c r="N7" s="52">
        <v>-0.11</v>
      </c>
      <c r="O7" s="54">
        <f>SUM(H7:N7)</f>
        <v>149403.00690000004</v>
      </c>
      <c r="P7" s="77" t="s">
        <v>20</v>
      </c>
      <c r="Q7" t="s">
        <v>20</v>
      </c>
    </row>
    <row r="8" spans="1:17" ht="15.75" thickBot="1" x14ac:dyDescent="0.3">
      <c r="A8" s="20">
        <v>2</v>
      </c>
      <c r="B8" s="24" t="s">
        <v>127</v>
      </c>
      <c r="C8" s="85">
        <v>1.18</v>
      </c>
      <c r="D8" s="22">
        <v>8.9999999999999998E-4</v>
      </c>
      <c r="E8" s="22"/>
      <c r="F8" s="21">
        <v>792015</v>
      </c>
      <c r="G8" s="21">
        <v>-32600</v>
      </c>
      <c r="H8" s="52">
        <v>644726</v>
      </c>
      <c r="I8" s="21">
        <v>16773</v>
      </c>
      <c r="J8" s="21">
        <f>I3*C8/100</f>
        <v>81482.976599999995</v>
      </c>
      <c r="K8" s="21">
        <v>0</v>
      </c>
      <c r="L8" s="21">
        <v>0</v>
      </c>
      <c r="M8" s="21">
        <f>N3*C8/100</f>
        <v>47200</v>
      </c>
      <c r="N8" s="21">
        <v>0.04</v>
      </c>
      <c r="O8" s="53">
        <f t="shared" ref="O8:O71" si="0">SUM(H8:N8)</f>
        <v>790182.01659999997</v>
      </c>
      <c r="P8" s="65"/>
    </row>
    <row r="9" spans="1:17" ht="15.75" thickBot="1" x14ac:dyDescent="0.3">
      <c r="A9" s="20">
        <v>3</v>
      </c>
      <c r="B9" s="24" t="s">
        <v>128</v>
      </c>
      <c r="C9" s="86">
        <v>0.74</v>
      </c>
      <c r="D9" s="22">
        <v>4.8999999999999998E-3</v>
      </c>
      <c r="E9" s="22"/>
      <c r="F9" s="21">
        <v>69491</v>
      </c>
      <c r="G9" s="21">
        <v>-69491</v>
      </c>
      <c r="H9" s="52">
        <f t="shared" ref="H9:H71" si="1">+G9+F9</f>
        <v>0</v>
      </c>
      <c r="I9" s="21">
        <v>0</v>
      </c>
      <c r="J9" s="21">
        <f>I3*C9/100</f>
        <v>51099.493799999997</v>
      </c>
      <c r="K9" s="21">
        <v>0</v>
      </c>
      <c r="L9" s="21">
        <v>0</v>
      </c>
      <c r="M9" s="21">
        <f>N3*C9/100</f>
        <v>29600</v>
      </c>
      <c r="N9" s="21">
        <v>-0.46</v>
      </c>
      <c r="O9" s="53">
        <f t="shared" si="0"/>
        <v>80699.03379999999</v>
      </c>
      <c r="P9" s="65" t="s">
        <v>20</v>
      </c>
    </row>
    <row r="10" spans="1:17" ht="15.75" thickBot="1" x14ac:dyDescent="0.3">
      <c r="A10" s="20">
        <v>4</v>
      </c>
      <c r="B10" s="24" t="s">
        <v>129</v>
      </c>
      <c r="C10" s="86">
        <v>1.47</v>
      </c>
      <c r="D10" s="22">
        <v>0</v>
      </c>
      <c r="E10" s="22"/>
      <c r="F10" s="21">
        <v>138044</v>
      </c>
      <c r="G10" s="21">
        <v>-138044</v>
      </c>
      <c r="H10" s="52">
        <f t="shared" si="1"/>
        <v>0</v>
      </c>
      <c r="I10" s="21">
        <v>0</v>
      </c>
      <c r="J10" s="21">
        <f>I3*C10/100</f>
        <v>101508.45390000001</v>
      </c>
      <c r="K10" s="21">
        <v>0</v>
      </c>
      <c r="L10" s="21">
        <v>0</v>
      </c>
      <c r="M10" s="21">
        <f>N3*C10/100</f>
        <v>58800</v>
      </c>
      <c r="N10" s="21">
        <v>-0.41</v>
      </c>
      <c r="O10" s="53">
        <f t="shared" si="0"/>
        <v>160308.04390000002</v>
      </c>
      <c r="P10" s="65" t="s">
        <v>20</v>
      </c>
    </row>
    <row r="11" spans="1:17" ht="15.75" thickBot="1" x14ac:dyDescent="0.3">
      <c r="A11" s="20">
        <v>5</v>
      </c>
      <c r="B11" s="24" t="s">
        <v>130</v>
      </c>
      <c r="C11" s="86">
        <v>1.1200000000000001</v>
      </c>
      <c r="D11" s="22">
        <v>4.8999999999999998E-3</v>
      </c>
      <c r="E11" s="22"/>
      <c r="F11" s="21">
        <v>44845</v>
      </c>
      <c r="G11" s="21">
        <v>-44845</v>
      </c>
      <c r="H11" s="52">
        <f t="shared" si="1"/>
        <v>0</v>
      </c>
      <c r="I11" s="21">
        <v>0</v>
      </c>
      <c r="J11" s="21">
        <f>I3*C11/100</f>
        <v>77339.774400000009</v>
      </c>
      <c r="K11" s="21">
        <v>0</v>
      </c>
      <c r="L11" s="21">
        <v>0</v>
      </c>
      <c r="M11" s="21">
        <f>N3*C11/100</f>
        <v>44800</v>
      </c>
      <c r="N11" s="21">
        <v>0.28000000000000003</v>
      </c>
      <c r="O11" s="53">
        <f t="shared" si="0"/>
        <v>122140.05440000001</v>
      </c>
      <c r="P11" s="65" t="s">
        <v>20</v>
      </c>
    </row>
    <row r="12" spans="1:17" ht="15.75" thickBot="1" x14ac:dyDescent="0.3">
      <c r="A12" s="20">
        <v>6</v>
      </c>
      <c r="B12" s="24" t="s">
        <v>131</v>
      </c>
      <c r="C12" s="86">
        <v>1.35</v>
      </c>
      <c r="D12" s="22">
        <v>8.9999999999999998E-4</v>
      </c>
      <c r="E12" s="22"/>
      <c r="F12" s="21">
        <v>125670</v>
      </c>
      <c r="G12" s="21">
        <v>-126775</v>
      </c>
      <c r="H12" s="52">
        <f t="shared" si="1"/>
        <v>-1105</v>
      </c>
      <c r="I12" s="21">
        <v>0</v>
      </c>
      <c r="J12" s="21">
        <f>I3*C12/100</f>
        <v>93222.049500000008</v>
      </c>
      <c r="K12" s="21">
        <v>0</v>
      </c>
      <c r="L12" s="21">
        <v>0</v>
      </c>
      <c r="M12" s="21">
        <f>N3*C12/100</f>
        <v>54000</v>
      </c>
      <c r="N12" s="21">
        <v>0.01</v>
      </c>
      <c r="O12" s="53">
        <f t="shared" si="0"/>
        <v>146117.05950000003</v>
      </c>
      <c r="P12" s="65" t="s">
        <v>20</v>
      </c>
      <c r="Q12" t="s">
        <v>20</v>
      </c>
    </row>
    <row r="13" spans="1:17" ht="15.75" thickBot="1" x14ac:dyDescent="0.3">
      <c r="A13" s="20">
        <v>7</v>
      </c>
      <c r="B13" s="24" t="s">
        <v>132</v>
      </c>
      <c r="C13" s="86">
        <v>1.1200000000000001</v>
      </c>
      <c r="D13" s="22">
        <v>8.9999999999999998E-4</v>
      </c>
      <c r="E13" s="22"/>
      <c r="F13" s="21">
        <v>96632</v>
      </c>
      <c r="G13" s="21">
        <v>-96632</v>
      </c>
      <c r="H13" s="52">
        <f t="shared" si="1"/>
        <v>0</v>
      </c>
      <c r="I13" s="21">
        <v>0</v>
      </c>
      <c r="J13" s="21">
        <f>I3*C13/100</f>
        <v>77339.774400000009</v>
      </c>
      <c r="K13" s="21">
        <v>0</v>
      </c>
      <c r="L13" s="21">
        <v>0</v>
      </c>
      <c r="M13" s="21">
        <f>N3*C13/100</f>
        <v>44800</v>
      </c>
      <c r="N13" s="21">
        <v>-0.7</v>
      </c>
      <c r="O13" s="53">
        <f t="shared" si="0"/>
        <v>122139.07440000001</v>
      </c>
      <c r="P13" s="65" t="s">
        <v>20</v>
      </c>
      <c r="Q13" t="s">
        <v>20</v>
      </c>
    </row>
    <row r="14" spans="1:17" ht="15.75" thickBot="1" x14ac:dyDescent="0.3">
      <c r="A14" s="20">
        <v>8</v>
      </c>
      <c r="B14" s="24" t="s">
        <v>133</v>
      </c>
      <c r="C14" s="86">
        <v>0.82</v>
      </c>
      <c r="D14" s="22">
        <v>8.9999999999999998E-4</v>
      </c>
      <c r="E14" s="22"/>
      <c r="F14" s="21">
        <v>77004</v>
      </c>
      <c r="G14" s="21">
        <v>-77004</v>
      </c>
      <c r="H14" s="52">
        <f t="shared" si="1"/>
        <v>0</v>
      </c>
      <c r="I14" s="21">
        <v>0</v>
      </c>
      <c r="J14" s="21">
        <f>I3*C14/100</f>
        <v>56623.763399999996</v>
      </c>
      <c r="K14" s="21">
        <v>0</v>
      </c>
      <c r="L14" s="21">
        <v>0</v>
      </c>
      <c r="M14" s="21">
        <f>N3*C14/100</f>
        <v>32800</v>
      </c>
      <c r="N14" s="21">
        <v>0.32</v>
      </c>
      <c r="O14" s="53">
        <f t="shared" si="0"/>
        <v>89424.083400000003</v>
      </c>
      <c r="P14" s="65" t="s">
        <v>20</v>
      </c>
      <c r="Q14" t="s">
        <v>20</v>
      </c>
    </row>
    <row r="15" spans="1:17" ht="15.75" thickBot="1" x14ac:dyDescent="0.3">
      <c r="A15" s="20">
        <v>9</v>
      </c>
      <c r="B15" s="24" t="s">
        <v>134</v>
      </c>
      <c r="C15" s="86">
        <v>0.82</v>
      </c>
      <c r="D15" s="22">
        <v>8.9999999999999998E-4</v>
      </c>
      <c r="E15" s="22"/>
      <c r="F15" s="21">
        <v>77004</v>
      </c>
      <c r="G15" s="21">
        <v>-77004</v>
      </c>
      <c r="H15" s="52">
        <f t="shared" si="1"/>
        <v>0</v>
      </c>
      <c r="I15" s="21">
        <v>0</v>
      </c>
      <c r="J15" s="21">
        <f>I3*C15/100</f>
        <v>56623.763399999996</v>
      </c>
      <c r="K15" s="21">
        <v>0</v>
      </c>
      <c r="L15" s="21">
        <v>0</v>
      </c>
      <c r="M15" s="21">
        <f>N3*C15/100</f>
        <v>32800</v>
      </c>
      <c r="N15" s="21">
        <v>0.33</v>
      </c>
      <c r="O15" s="53">
        <f t="shared" si="0"/>
        <v>89424.093399999998</v>
      </c>
      <c r="P15" s="65" t="s">
        <v>20</v>
      </c>
    </row>
    <row r="16" spans="1:17" ht="15.75" thickBot="1" x14ac:dyDescent="0.3">
      <c r="A16" s="20">
        <v>10</v>
      </c>
      <c r="B16" s="24" t="s">
        <v>135</v>
      </c>
      <c r="C16" s="86">
        <v>1.34</v>
      </c>
      <c r="D16" s="22">
        <v>8.9999999999999998E-4</v>
      </c>
      <c r="E16" s="22"/>
      <c r="F16" s="25">
        <v>125836</v>
      </c>
      <c r="G16" s="25">
        <v>0</v>
      </c>
      <c r="H16" s="52">
        <f t="shared" si="1"/>
        <v>125836</v>
      </c>
      <c r="I16" s="21">
        <v>2517</v>
      </c>
      <c r="J16" s="21">
        <f>I3*C16/100</f>
        <v>92531.515799999994</v>
      </c>
      <c r="K16" s="21">
        <v>0</v>
      </c>
      <c r="L16" s="21">
        <v>0</v>
      </c>
      <c r="M16" s="21">
        <f>N3*C16/100</f>
        <v>53600</v>
      </c>
      <c r="N16" s="21">
        <v>-0.42</v>
      </c>
      <c r="O16" s="53">
        <f t="shared" si="0"/>
        <v>274484.09580000001</v>
      </c>
      <c r="P16" s="65" t="s">
        <v>20</v>
      </c>
    </row>
    <row r="17" spans="1:17" ht="15.75" thickBot="1" x14ac:dyDescent="0.3">
      <c r="A17" s="20">
        <v>11</v>
      </c>
      <c r="B17" s="24" t="s">
        <v>136</v>
      </c>
      <c r="C17" s="86">
        <v>1.1200000000000001</v>
      </c>
      <c r="D17" s="22">
        <v>4.8999999999999998E-3</v>
      </c>
      <c r="E17" s="22"/>
      <c r="F17" s="21">
        <v>105176</v>
      </c>
      <c r="G17" s="21">
        <v>0</v>
      </c>
      <c r="H17" s="52">
        <f t="shared" si="1"/>
        <v>105176</v>
      </c>
      <c r="I17" s="21">
        <v>2104</v>
      </c>
      <c r="J17" s="21">
        <f>I3*C17/100</f>
        <v>77339.774400000009</v>
      </c>
      <c r="K17" s="21">
        <v>0</v>
      </c>
      <c r="L17" s="21">
        <v>0</v>
      </c>
      <c r="M17" s="21">
        <f>N3*C17/100</f>
        <v>44800</v>
      </c>
      <c r="N17" s="21">
        <v>-0.66</v>
      </c>
      <c r="O17" s="53">
        <f t="shared" si="0"/>
        <v>229419.11439999999</v>
      </c>
      <c r="P17" s="65" t="s">
        <v>20</v>
      </c>
    </row>
    <row r="18" spans="1:17" ht="15.75" thickBot="1" x14ac:dyDescent="0.3">
      <c r="A18" s="20">
        <v>12</v>
      </c>
      <c r="B18" s="24" t="s">
        <v>137</v>
      </c>
      <c r="C18" s="86">
        <v>1.17</v>
      </c>
      <c r="D18" s="22">
        <v>8.9999999999999998E-4</v>
      </c>
      <c r="E18" s="22"/>
      <c r="F18" s="21">
        <v>936817</v>
      </c>
      <c r="G18" s="21">
        <v>0</v>
      </c>
      <c r="H18" s="52">
        <v>884365</v>
      </c>
      <c r="I18" s="21">
        <v>70139</v>
      </c>
      <c r="J18" s="21">
        <f>I3*C18/100</f>
        <v>80792.442899999995</v>
      </c>
      <c r="K18" s="21">
        <v>0</v>
      </c>
      <c r="L18" s="21">
        <v>0</v>
      </c>
      <c r="M18" s="21">
        <f>N3*C18/100</f>
        <v>46800</v>
      </c>
      <c r="N18" s="21">
        <v>-0.32</v>
      </c>
      <c r="O18" s="53">
        <f t="shared" si="0"/>
        <v>1082096.1229000001</v>
      </c>
      <c r="P18" s="65" t="s">
        <v>20</v>
      </c>
    </row>
    <row r="19" spans="1:17" ht="15.75" thickBot="1" x14ac:dyDescent="0.3">
      <c r="A19" s="20">
        <v>13</v>
      </c>
      <c r="B19" s="24" t="s">
        <v>138</v>
      </c>
      <c r="C19" s="86">
        <v>1.35</v>
      </c>
      <c r="D19" s="22">
        <v>8.9999999999999998E-4</v>
      </c>
      <c r="E19" s="22"/>
      <c r="F19" s="21">
        <v>126775</v>
      </c>
      <c r="G19" s="21">
        <v>-126775</v>
      </c>
      <c r="H19" s="52">
        <f t="shared" si="1"/>
        <v>0</v>
      </c>
      <c r="I19" s="21">
        <v>0</v>
      </c>
      <c r="J19" s="21">
        <f>I3*C19/100</f>
        <v>93222.049500000008</v>
      </c>
      <c r="K19" s="21">
        <v>0</v>
      </c>
      <c r="L19" s="21">
        <v>0</v>
      </c>
      <c r="M19" s="21">
        <f>N3*C19/100</f>
        <v>54000</v>
      </c>
      <c r="N19" s="21">
        <v>0.08</v>
      </c>
      <c r="O19" s="53">
        <f t="shared" si="0"/>
        <v>147222.12950000001</v>
      </c>
      <c r="P19" s="65" t="s">
        <v>20</v>
      </c>
    </row>
    <row r="20" spans="1:17" ht="15.75" thickBot="1" x14ac:dyDescent="0.3">
      <c r="A20" s="20">
        <v>14</v>
      </c>
      <c r="B20" s="24" t="s">
        <v>139</v>
      </c>
      <c r="C20" s="86">
        <v>1.1200000000000001</v>
      </c>
      <c r="D20" s="22">
        <v>4.8999999999999998E-3</v>
      </c>
      <c r="E20" s="22"/>
      <c r="F20" s="21">
        <v>105176</v>
      </c>
      <c r="G20" s="21">
        <v>-105176</v>
      </c>
      <c r="H20" s="52">
        <f t="shared" si="1"/>
        <v>0</v>
      </c>
      <c r="I20" s="21">
        <v>0</v>
      </c>
      <c r="J20" s="21">
        <f>I3*C20/100</f>
        <v>77339.774400000009</v>
      </c>
      <c r="K20" s="21">
        <v>0</v>
      </c>
      <c r="L20" s="21">
        <v>0</v>
      </c>
      <c r="M20" s="21">
        <f>N3*C20/100</f>
        <v>44800</v>
      </c>
      <c r="N20" s="21">
        <v>-0.63</v>
      </c>
      <c r="O20" s="53">
        <f t="shared" si="0"/>
        <v>122139.1444</v>
      </c>
      <c r="P20" s="65" t="s">
        <v>20</v>
      </c>
    </row>
    <row r="21" spans="1:17" ht="15.75" thickBot="1" x14ac:dyDescent="0.3">
      <c r="A21" s="20">
        <v>15</v>
      </c>
      <c r="B21" s="24" t="s">
        <v>140</v>
      </c>
      <c r="C21" s="86">
        <v>0.82</v>
      </c>
      <c r="D21" s="22">
        <v>8.9999999999999998E-4</v>
      </c>
      <c r="E21" s="22"/>
      <c r="F21" s="21">
        <v>77004</v>
      </c>
      <c r="G21" s="21">
        <v>-77004</v>
      </c>
      <c r="H21" s="52">
        <f t="shared" si="1"/>
        <v>0</v>
      </c>
      <c r="I21" s="21">
        <v>0</v>
      </c>
      <c r="J21" s="21">
        <f>I3*C21/100</f>
        <v>56623.763399999996</v>
      </c>
      <c r="K21" s="21">
        <v>0</v>
      </c>
      <c r="L21" s="21">
        <v>0</v>
      </c>
      <c r="M21" s="21">
        <f>N3*C21/100</f>
        <v>32800</v>
      </c>
      <c r="N21" s="21">
        <v>-0.61</v>
      </c>
      <c r="O21" s="53">
        <f t="shared" si="0"/>
        <v>89423.153399999996</v>
      </c>
      <c r="P21" s="65" t="s">
        <v>20</v>
      </c>
    </row>
    <row r="22" spans="1:17" ht="15.75" thickBot="1" x14ac:dyDescent="0.3">
      <c r="A22" s="20">
        <v>16</v>
      </c>
      <c r="B22" s="24" t="s">
        <v>141</v>
      </c>
      <c r="C22" s="86">
        <v>0.82</v>
      </c>
      <c r="D22" s="22">
        <v>4.8999999999999998E-3</v>
      </c>
      <c r="E22" s="22"/>
      <c r="F22" s="21">
        <v>194801</v>
      </c>
      <c r="G22" s="21">
        <v>-77010</v>
      </c>
      <c r="H22" s="52">
        <v>115487</v>
      </c>
      <c r="I22" s="21">
        <v>2310</v>
      </c>
      <c r="J22" s="21">
        <f>I3*C22/100</f>
        <v>56623.763399999996</v>
      </c>
      <c r="K22" s="21">
        <v>0</v>
      </c>
      <c r="L22" s="21">
        <v>0</v>
      </c>
      <c r="M22" s="21">
        <f>N3*C22/100</f>
        <v>32800</v>
      </c>
      <c r="N22" s="21">
        <v>-0.6</v>
      </c>
      <c r="O22" s="53">
        <f t="shared" si="0"/>
        <v>207220.16339999999</v>
      </c>
      <c r="P22" s="65" t="s">
        <v>20</v>
      </c>
    </row>
    <row r="23" spans="1:17" ht="15.75" thickBot="1" x14ac:dyDescent="0.3">
      <c r="A23" s="20">
        <v>17</v>
      </c>
      <c r="B23" s="43" t="s">
        <v>142</v>
      </c>
      <c r="C23" s="86">
        <v>1.34</v>
      </c>
      <c r="D23" s="22">
        <v>8.9999999999999993E-3</v>
      </c>
      <c r="E23" s="22"/>
      <c r="F23" s="21">
        <v>125836</v>
      </c>
      <c r="G23" s="21">
        <v>-125836</v>
      </c>
      <c r="H23" s="52">
        <f t="shared" si="1"/>
        <v>0</v>
      </c>
      <c r="I23" s="21">
        <v>0</v>
      </c>
      <c r="J23" s="21">
        <f>I3*C23/100</f>
        <v>92531.515799999994</v>
      </c>
      <c r="K23" s="21">
        <v>0</v>
      </c>
      <c r="L23" s="21">
        <v>0</v>
      </c>
      <c r="M23" s="21">
        <f>N3*C23/100</f>
        <v>53600</v>
      </c>
      <c r="N23" s="21">
        <v>-0.35</v>
      </c>
      <c r="O23" s="53">
        <f t="shared" si="0"/>
        <v>146131.16579999999</v>
      </c>
      <c r="P23" s="65" t="s">
        <v>20</v>
      </c>
    </row>
    <row r="24" spans="1:17" ht="15.75" thickBot="1" x14ac:dyDescent="0.3">
      <c r="A24" s="20">
        <v>18</v>
      </c>
      <c r="B24" s="24" t="s">
        <v>143</v>
      </c>
      <c r="C24" s="86">
        <v>1.1200000000000001</v>
      </c>
      <c r="D24" s="22">
        <v>8.9999999999999998E-4</v>
      </c>
      <c r="E24" s="22"/>
      <c r="F24" s="21">
        <v>105176</v>
      </c>
      <c r="G24" s="21">
        <v>-106000</v>
      </c>
      <c r="H24" s="52">
        <f t="shared" si="1"/>
        <v>-824</v>
      </c>
      <c r="I24" s="21">
        <v>0</v>
      </c>
      <c r="J24" s="21">
        <f>I3*C24/100</f>
        <v>77339.774400000009</v>
      </c>
      <c r="K24" s="21">
        <v>0</v>
      </c>
      <c r="L24" s="21">
        <v>0</v>
      </c>
      <c r="M24" s="21">
        <f>N3*C24/100</f>
        <v>44800</v>
      </c>
      <c r="N24" s="21">
        <v>0.41</v>
      </c>
      <c r="O24" s="53">
        <f t="shared" si="0"/>
        <v>121316.18440000001</v>
      </c>
      <c r="P24" s="65" t="s">
        <v>20</v>
      </c>
    </row>
    <row r="25" spans="1:17" ht="15.75" thickBot="1" x14ac:dyDescent="0.3">
      <c r="A25" s="20">
        <v>19</v>
      </c>
      <c r="B25" s="24" t="s">
        <v>144</v>
      </c>
      <c r="C25" s="86">
        <v>1.17</v>
      </c>
      <c r="D25" s="22">
        <v>8.9999999999999998E-4</v>
      </c>
      <c r="E25" s="22"/>
      <c r="F25" s="21">
        <v>366849</v>
      </c>
      <c r="G25" s="21">
        <v>-109871</v>
      </c>
      <c r="H25" s="52">
        <v>256978</v>
      </c>
      <c r="I25" s="21">
        <v>5140</v>
      </c>
      <c r="J25" s="21">
        <f>I3*C25/100</f>
        <v>80792.442899999995</v>
      </c>
      <c r="K25" s="21">
        <v>0</v>
      </c>
      <c r="L25" s="21">
        <v>0</v>
      </c>
      <c r="M25" s="21">
        <f>N3*C25/100</f>
        <v>46800</v>
      </c>
      <c r="N25" s="21">
        <v>-0.25</v>
      </c>
      <c r="O25" s="53">
        <f t="shared" si="0"/>
        <v>389710.19290000002</v>
      </c>
      <c r="P25" s="65" t="s">
        <v>20</v>
      </c>
    </row>
    <row r="26" spans="1:17" ht="15.75" thickBot="1" x14ac:dyDescent="0.3">
      <c r="A26" s="20">
        <v>20</v>
      </c>
      <c r="B26" s="24" t="s">
        <v>145</v>
      </c>
      <c r="C26" s="86">
        <v>1.35</v>
      </c>
      <c r="D26" s="22">
        <v>4.8999999999999998E-3</v>
      </c>
      <c r="E26" s="22"/>
      <c r="F26" s="21">
        <v>962393</v>
      </c>
      <c r="G26" s="21">
        <v>-44100</v>
      </c>
      <c r="H26" s="52">
        <v>806294</v>
      </c>
      <c r="I26" s="21">
        <v>45450</v>
      </c>
      <c r="J26" s="21">
        <f>I3*C26/100</f>
        <v>93222.049500000008</v>
      </c>
      <c r="K26" s="21">
        <v>0</v>
      </c>
      <c r="L26" s="21">
        <v>0</v>
      </c>
      <c r="M26" s="21">
        <f>N3*C26/100</f>
        <v>54000</v>
      </c>
      <c r="N26" s="21">
        <v>0.15</v>
      </c>
      <c r="O26" s="53">
        <f t="shared" si="0"/>
        <v>998966.19949999999</v>
      </c>
      <c r="P26" s="65" t="s">
        <v>20</v>
      </c>
      <c r="Q26" t="s">
        <v>20</v>
      </c>
    </row>
    <row r="27" spans="1:17" ht="15.75" thickBot="1" x14ac:dyDescent="0.3">
      <c r="A27" s="20">
        <v>21</v>
      </c>
      <c r="B27" s="24" t="s">
        <v>146</v>
      </c>
      <c r="C27" s="86">
        <v>1.1200000000000001</v>
      </c>
      <c r="D27" s="22">
        <v>8.9999999999999998E-4</v>
      </c>
      <c r="E27" s="22"/>
      <c r="F27" s="21">
        <v>229061</v>
      </c>
      <c r="G27" s="21">
        <v>-229061</v>
      </c>
      <c r="H27" s="52">
        <f t="shared" si="1"/>
        <v>0</v>
      </c>
      <c r="I27" s="21">
        <v>0</v>
      </c>
      <c r="J27" s="21">
        <f>I3*C27/100</f>
        <v>77339.774400000009</v>
      </c>
      <c r="K27" s="21">
        <v>0</v>
      </c>
      <c r="L27" s="21">
        <v>0</v>
      </c>
      <c r="M27" s="21">
        <f>N3*C27/100</f>
        <v>44800</v>
      </c>
      <c r="N27" s="21">
        <v>-0.56000000000000005</v>
      </c>
      <c r="O27" s="53">
        <f t="shared" si="0"/>
        <v>122139.21440000001</v>
      </c>
      <c r="P27" s="65" t="s">
        <v>20</v>
      </c>
    </row>
    <row r="28" spans="1:17" ht="15.75" thickBot="1" x14ac:dyDescent="0.3">
      <c r="A28" s="20">
        <v>22</v>
      </c>
      <c r="B28" s="24" t="s">
        <v>147</v>
      </c>
      <c r="C28" s="86">
        <v>0.82</v>
      </c>
      <c r="D28" s="22">
        <v>8.9999999999999998E-4</v>
      </c>
      <c r="E28" s="22"/>
      <c r="F28" s="25">
        <v>77004</v>
      </c>
      <c r="G28" s="25">
        <v>-77004</v>
      </c>
      <c r="H28" s="52">
        <f t="shared" si="1"/>
        <v>0</v>
      </c>
      <c r="I28" s="21">
        <v>0</v>
      </c>
      <c r="J28" s="21">
        <f>I3*C28/100</f>
        <v>56623.763399999996</v>
      </c>
      <c r="K28" s="21">
        <v>0</v>
      </c>
      <c r="L28" s="21">
        <v>0</v>
      </c>
      <c r="M28" s="21">
        <f>N3*C28/100</f>
        <v>32800</v>
      </c>
      <c r="N28" s="21">
        <v>-0.54</v>
      </c>
      <c r="O28" s="53">
        <f t="shared" si="0"/>
        <v>89423.223400000003</v>
      </c>
      <c r="P28" s="65" t="s">
        <v>20</v>
      </c>
    </row>
    <row r="29" spans="1:17" ht="15.75" thickBot="1" x14ac:dyDescent="0.3">
      <c r="A29" s="20">
        <v>23</v>
      </c>
      <c r="B29" s="24" t="s">
        <v>148</v>
      </c>
      <c r="C29" s="86">
        <v>0.82</v>
      </c>
      <c r="D29" s="22">
        <v>8.9999999999999998E-4</v>
      </c>
      <c r="E29" s="22"/>
      <c r="F29" s="21">
        <v>77004</v>
      </c>
      <c r="G29" s="21">
        <v>-77004</v>
      </c>
      <c r="H29" s="52">
        <f t="shared" si="1"/>
        <v>0</v>
      </c>
      <c r="I29" s="21">
        <v>0</v>
      </c>
      <c r="J29" s="21">
        <f>I3*C29/100</f>
        <v>56623.763399999996</v>
      </c>
      <c r="K29" s="21">
        <v>0</v>
      </c>
      <c r="L29" s="21">
        <v>0</v>
      </c>
      <c r="M29" s="21">
        <f>N3*C29/100</f>
        <v>32800</v>
      </c>
      <c r="N29" s="21">
        <v>-0.53</v>
      </c>
      <c r="O29" s="53">
        <f t="shared" si="0"/>
        <v>89423.233399999997</v>
      </c>
      <c r="P29" s="65" t="s">
        <v>20</v>
      </c>
    </row>
    <row r="30" spans="1:17" ht="15.75" thickBot="1" x14ac:dyDescent="0.3">
      <c r="A30" s="20">
        <v>24</v>
      </c>
      <c r="B30" s="24" t="s">
        <v>149</v>
      </c>
      <c r="C30" s="86">
        <v>1.34</v>
      </c>
      <c r="D30" s="22">
        <v>8.9999999999999998E-4</v>
      </c>
      <c r="E30" s="22"/>
      <c r="F30" s="21">
        <v>274056</v>
      </c>
      <c r="G30" s="21">
        <v>0</v>
      </c>
      <c r="H30" s="52">
        <v>271150</v>
      </c>
      <c r="I30" s="21">
        <v>8329</v>
      </c>
      <c r="J30" s="21">
        <f>I3*C30/100</f>
        <v>92531.515799999994</v>
      </c>
      <c r="K30" s="21">
        <v>0</v>
      </c>
      <c r="L30" s="21">
        <v>0</v>
      </c>
      <c r="M30" s="21">
        <f>N3*C30/100</f>
        <v>53600</v>
      </c>
      <c r="N30" s="21">
        <v>-0.28000000000000003</v>
      </c>
      <c r="O30" s="53">
        <f t="shared" si="0"/>
        <v>425610.23579999997</v>
      </c>
      <c r="P30" s="65" t="s">
        <v>20</v>
      </c>
      <c r="Q30" s="35" t="s">
        <v>20</v>
      </c>
    </row>
    <row r="31" spans="1:17" ht="15.75" thickBot="1" x14ac:dyDescent="0.3">
      <c r="A31" s="20">
        <v>25</v>
      </c>
      <c r="B31" s="24" t="s">
        <v>150</v>
      </c>
      <c r="C31" s="86">
        <v>1.1200000000000001</v>
      </c>
      <c r="D31" s="22">
        <v>8.9999999999999998E-4</v>
      </c>
      <c r="E31" s="22"/>
      <c r="F31" s="21">
        <v>104392</v>
      </c>
      <c r="G31" s="21">
        <v>-104400</v>
      </c>
      <c r="H31" s="52">
        <f t="shared" si="1"/>
        <v>-8</v>
      </c>
      <c r="I31" s="21">
        <v>0</v>
      </c>
      <c r="J31" s="21">
        <f>I3*C31/100</f>
        <v>77339.774400000009</v>
      </c>
      <c r="K31" s="21">
        <v>0</v>
      </c>
      <c r="L31" s="21">
        <v>0</v>
      </c>
      <c r="M31" s="21">
        <f>N3*C31/100</f>
        <v>44800</v>
      </c>
      <c r="N31" s="21">
        <v>-0.52</v>
      </c>
      <c r="O31" s="53">
        <f t="shared" si="0"/>
        <v>122131.25440000001</v>
      </c>
      <c r="P31" s="65" t="s">
        <v>20</v>
      </c>
    </row>
    <row r="32" spans="1:17" ht="15.75" thickBot="1" x14ac:dyDescent="0.3">
      <c r="A32" s="20">
        <v>26</v>
      </c>
      <c r="B32" s="24" t="s">
        <v>151</v>
      </c>
      <c r="C32" s="86">
        <v>1.17</v>
      </c>
      <c r="D32" s="22">
        <v>8.9999999999999998E-4</v>
      </c>
      <c r="E32" s="22"/>
      <c r="F32" s="21">
        <v>790848</v>
      </c>
      <c r="G32" s="21">
        <v>0</v>
      </c>
      <c r="H32" s="52">
        <v>759405</v>
      </c>
      <c r="I32" s="21">
        <v>46632</v>
      </c>
      <c r="J32" s="21">
        <f>I3*C32/100</f>
        <v>80792.442899999995</v>
      </c>
      <c r="K32" s="21">
        <v>0</v>
      </c>
      <c r="L32" s="21">
        <v>0</v>
      </c>
      <c r="M32" s="21">
        <f>N3*C32/100</f>
        <v>46800</v>
      </c>
      <c r="N32" s="21">
        <v>-0.18</v>
      </c>
      <c r="O32" s="53">
        <f t="shared" si="0"/>
        <v>933629.26289999997</v>
      </c>
      <c r="P32" s="65" t="s">
        <v>20</v>
      </c>
    </row>
    <row r="33" spans="1:17" ht="15.75" thickBot="1" x14ac:dyDescent="0.3">
      <c r="A33" s="20">
        <v>27</v>
      </c>
      <c r="B33" s="24" t="s">
        <v>152</v>
      </c>
      <c r="C33" s="86">
        <v>1.35</v>
      </c>
      <c r="D33" s="22">
        <v>8.9999999999999998E-4</v>
      </c>
      <c r="E33" s="22"/>
      <c r="F33" s="25">
        <v>126775</v>
      </c>
      <c r="G33" s="25">
        <v>-126775</v>
      </c>
      <c r="H33" s="52">
        <f t="shared" si="1"/>
        <v>0</v>
      </c>
      <c r="I33" s="21">
        <v>0</v>
      </c>
      <c r="J33" s="21">
        <f>I3*C33/100</f>
        <v>93222.049500000008</v>
      </c>
      <c r="K33" s="21">
        <v>0</v>
      </c>
      <c r="L33" s="21">
        <v>0</v>
      </c>
      <c r="M33" s="21">
        <f>N3*C33/100</f>
        <v>54000</v>
      </c>
      <c r="N33" s="21">
        <v>0.22</v>
      </c>
      <c r="O33" s="53">
        <f t="shared" si="0"/>
        <v>147222.26950000002</v>
      </c>
      <c r="P33" s="65" t="s">
        <v>20</v>
      </c>
    </row>
    <row r="34" spans="1:17" ht="15.75" thickBot="1" x14ac:dyDescent="0.3">
      <c r="A34" s="20">
        <v>28</v>
      </c>
      <c r="B34" s="24" t="s">
        <v>153</v>
      </c>
      <c r="C34" s="86">
        <v>1.1200000000000001</v>
      </c>
      <c r="D34" s="22">
        <v>8.9999999999999998E-4</v>
      </c>
      <c r="E34" s="22"/>
      <c r="F34" s="25">
        <v>351169</v>
      </c>
      <c r="G34" s="25">
        <v>0</v>
      </c>
      <c r="H34" s="52">
        <v>344044</v>
      </c>
      <c r="I34" s="21">
        <v>14006</v>
      </c>
      <c r="J34" s="21">
        <f>I3*C34/100</f>
        <v>77339.774400000009</v>
      </c>
      <c r="K34" s="21">
        <v>0</v>
      </c>
      <c r="L34" s="21">
        <v>0</v>
      </c>
      <c r="M34" s="21">
        <f>N3*C34/100</f>
        <v>44800</v>
      </c>
      <c r="N34" s="21">
        <v>-0.49</v>
      </c>
      <c r="O34" s="53">
        <f t="shared" si="0"/>
        <v>480189.2844</v>
      </c>
      <c r="P34" s="65" t="s">
        <v>20</v>
      </c>
      <c r="Q34" t="s">
        <v>20</v>
      </c>
    </row>
    <row r="35" spans="1:17" ht="15.75" thickBot="1" x14ac:dyDescent="0.3">
      <c r="A35" s="66">
        <v>29</v>
      </c>
      <c r="B35" s="67" t="s">
        <v>154</v>
      </c>
      <c r="C35" s="86">
        <v>0.82</v>
      </c>
      <c r="D35" s="68">
        <v>4.8999999999999998E-3</v>
      </c>
      <c r="E35" s="68"/>
      <c r="F35" s="69">
        <v>165129</v>
      </c>
      <c r="G35" s="69">
        <v>0</v>
      </c>
      <c r="H35" s="52">
        <v>163401</v>
      </c>
      <c r="I35" s="70">
        <v>4996</v>
      </c>
      <c r="J35" s="21">
        <f>I3*C35/100</f>
        <v>56623.763399999996</v>
      </c>
      <c r="K35" s="21">
        <v>0</v>
      </c>
      <c r="L35" s="21">
        <v>0</v>
      </c>
      <c r="M35" s="21">
        <f>N3*C35/100</f>
        <v>32800</v>
      </c>
      <c r="N35" s="21">
        <v>-0.47</v>
      </c>
      <c r="O35" s="53">
        <f t="shared" si="0"/>
        <v>257820.2934</v>
      </c>
      <c r="P35" s="65" t="s">
        <v>20</v>
      </c>
    </row>
    <row r="36" spans="1:17" ht="15.75" thickBot="1" x14ac:dyDescent="0.3">
      <c r="A36" s="71">
        <v>30</v>
      </c>
      <c r="B36" s="24" t="s">
        <v>155</v>
      </c>
      <c r="C36" s="86">
        <v>0.82</v>
      </c>
      <c r="D36" s="22"/>
      <c r="E36" s="22"/>
      <c r="F36" s="25">
        <v>77004</v>
      </c>
      <c r="G36" s="25">
        <v>-90000</v>
      </c>
      <c r="H36" s="52">
        <f t="shared" si="1"/>
        <v>-12996</v>
      </c>
      <c r="I36" s="21">
        <v>0</v>
      </c>
      <c r="J36" s="21">
        <f>I3*C36/100</f>
        <v>56623.763399999996</v>
      </c>
      <c r="K36" s="21">
        <v>0</v>
      </c>
      <c r="L36" s="21">
        <v>0</v>
      </c>
      <c r="M36" s="21">
        <f>N3*C36/100</f>
        <v>32800</v>
      </c>
      <c r="N36" s="21">
        <v>-0.46</v>
      </c>
      <c r="O36" s="53">
        <f t="shared" si="0"/>
        <v>76427.30339999999</v>
      </c>
      <c r="P36" s="65" t="s">
        <v>20</v>
      </c>
    </row>
    <row r="37" spans="1:17" ht="15.75" thickBot="1" x14ac:dyDescent="0.3">
      <c r="A37" s="71">
        <v>31</v>
      </c>
      <c r="B37" s="24" t="s">
        <v>156</v>
      </c>
      <c r="C37" s="86">
        <v>1.34</v>
      </c>
      <c r="D37" s="22"/>
      <c r="E37" s="22"/>
      <c r="F37" s="25">
        <v>125836</v>
      </c>
      <c r="G37" s="25">
        <v>-125836</v>
      </c>
      <c r="H37" s="52">
        <f t="shared" si="1"/>
        <v>0</v>
      </c>
      <c r="I37" s="21">
        <v>0</v>
      </c>
      <c r="J37" s="21">
        <f>I3*C37/100</f>
        <v>92531.515799999994</v>
      </c>
      <c r="K37" s="21">
        <v>0</v>
      </c>
      <c r="L37" s="21">
        <v>0</v>
      </c>
      <c r="M37" s="21">
        <f>N3*C37/100</f>
        <v>53600</v>
      </c>
      <c r="N37" s="21">
        <v>-0.21</v>
      </c>
      <c r="O37" s="53">
        <f t="shared" si="0"/>
        <v>146131.3058</v>
      </c>
      <c r="P37" s="65" t="s">
        <v>20</v>
      </c>
    </row>
    <row r="38" spans="1:17" ht="15.75" thickBot="1" x14ac:dyDescent="0.3">
      <c r="A38" s="71">
        <v>32</v>
      </c>
      <c r="B38" s="24" t="s">
        <v>157</v>
      </c>
      <c r="C38" s="86">
        <v>1.1200000000000001</v>
      </c>
      <c r="D38" s="22"/>
      <c r="E38" s="22"/>
      <c r="F38" s="25">
        <v>106102</v>
      </c>
      <c r="G38" s="25">
        <v>-106102</v>
      </c>
      <c r="H38" s="52">
        <f t="shared" si="1"/>
        <v>0</v>
      </c>
      <c r="I38" s="21">
        <v>18</v>
      </c>
      <c r="J38" s="21">
        <f>I3*C38/100</f>
        <v>77339.774400000009</v>
      </c>
      <c r="K38" s="21">
        <v>0</v>
      </c>
      <c r="L38" s="21">
        <v>0</v>
      </c>
      <c r="M38" s="21">
        <f>N3*C38/100</f>
        <v>44800</v>
      </c>
      <c r="N38" s="21">
        <v>-0.45</v>
      </c>
      <c r="O38" s="53">
        <f t="shared" si="0"/>
        <v>122157.32440000001</v>
      </c>
      <c r="P38" s="65" t="s">
        <v>20</v>
      </c>
    </row>
    <row r="39" spans="1:17" ht="15.75" thickBot="1" x14ac:dyDescent="0.3">
      <c r="A39" s="71">
        <v>33</v>
      </c>
      <c r="B39" s="24" t="s">
        <v>158</v>
      </c>
      <c r="C39" s="86">
        <v>1.17</v>
      </c>
      <c r="D39" s="22"/>
      <c r="E39" s="22"/>
      <c r="F39" s="25">
        <v>109871</v>
      </c>
      <c r="G39" s="25">
        <v>-109871</v>
      </c>
      <c r="H39" s="52">
        <f t="shared" si="1"/>
        <v>0</v>
      </c>
      <c r="I39" s="21">
        <v>0</v>
      </c>
      <c r="J39" s="21">
        <f>I3*C39/100</f>
        <v>80792.442899999995</v>
      </c>
      <c r="K39" s="21">
        <v>0</v>
      </c>
      <c r="L39" s="21">
        <v>0</v>
      </c>
      <c r="M39" s="21">
        <f>N3*C39/100</f>
        <v>46800</v>
      </c>
      <c r="N39" s="21">
        <v>-0.11</v>
      </c>
      <c r="O39" s="53">
        <f t="shared" si="0"/>
        <v>127592.33289999999</v>
      </c>
      <c r="P39" s="65" t="s">
        <v>20</v>
      </c>
    </row>
    <row r="40" spans="1:17" ht="15.75" thickBot="1" x14ac:dyDescent="0.3">
      <c r="A40" s="71">
        <v>34</v>
      </c>
      <c r="B40" s="24" t="s">
        <v>159</v>
      </c>
      <c r="C40" s="86">
        <v>1.35</v>
      </c>
      <c r="D40" s="22"/>
      <c r="E40" s="22"/>
      <c r="F40" s="25">
        <v>126775</v>
      </c>
      <c r="G40" s="25">
        <v>-126775</v>
      </c>
      <c r="H40" s="52">
        <f t="shared" si="1"/>
        <v>0</v>
      </c>
      <c r="I40" s="21">
        <v>0</v>
      </c>
      <c r="J40" s="21">
        <f>I3*C40/100</f>
        <v>93222.049500000008</v>
      </c>
      <c r="K40" s="21">
        <v>0</v>
      </c>
      <c r="L40" s="21">
        <v>0</v>
      </c>
      <c r="M40" s="21">
        <f>N3*C40/100</f>
        <v>54000</v>
      </c>
      <c r="N40" s="21">
        <v>0.28999999999999998</v>
      </c>
      <c r="O40" s="53">
        <f t="shared" si="0"/>
        <v>147222.33950000003</v>
      </c>
      <c r="P40" s="65" t="s">
        <v>20</v>
      </c>
    </row>
    <row r="41" spans="1:17" ht="15.75" thickBot="1" x14ac:dyDescent="0.3">
      <c r="A41" s="71">
        <v>35</v>
      </c>
      <c r="B41" s="24" t="s">
        <v>160</v>
      </c>
      <c r="C41" s="86">
        <v>1.1200000000000001</v>
      </c>
      <c r="D41" s="22"/>
      <c r="E41" s="22"/>
      <c r="F41" s="25">
        <v>105132</v>
      </c>
      <c r="G41" s="25">
        <v>-106000</v>
      </c>
      <c r="H41" s="52">
        <f t="shared" si="1"/>
        <v>-868</v>
      </c>
      <c r="I41" s="21">
        <v>0</v>
      </c>
      <c r="J41" s="21">
        <f>I3*C41/100</f>
        <v>77339.774400000009</v>
      </c>
      <c r="K41" s="21">
        <v>0</v>
      </c>
      <c r="L41" s="21">
        <v>0</v>
      </c>
      <c r="M41" s="21">
        <f>N3*C41/100</f>
        <v>44800</v>
      </c>
      <c r="N41" s="21">
        <v>-0.42</v>
      </c>
      <c r="O41" s="53">
        <f t="shared" si="0"/>
        <v>121271.35440000001</v>
      </c>
      <c r="P41" s="65" t="s">
        <v>20</v>
      </c>
      <c r="Q41" t="s">
        <v>20</v>
      </c>
    </row>
    <row r="42" spans="1:17" ht="15.75" thickBot="1" x14ac:dyDescent="0.3">
      <c r="A42" s="71">
        <v>36</v>
      </c>
      <c r="B42" s="24" t="s">
        <v>161</v>
      </c>
      <c r="C42" s="86">
        <v>0.82</v>
      </c>
      <c r="D42" s="22"/>
      <c r="E42" s="22"/>
      <c r="F42" s="25">
        <v>167705</v>
      </c>
      <c r="G42" s="25">
        <v>0</v>
      </c>
      <c r="H42" s="52">
        <v>165927</v>
      </c>
      <c r="I42" s="21">
        <v>5097</v>
      </c>
      <c r="J42" s="21">
        <f>I3*C42/100</f>
        <v>56623.763399999996</v>
      </c>
      <c r="K42" s="21">
        <v>0</v>
      </c>
      <c r="L42" s="21">
        <v>0</v>
      </c>
      <c r="M42" s="21">
        <f>N3*C42/100</f>
        <v>32800</v>
      </c>
      <c r="N42" s="21">
        <v>-0.4</v>
      </c>
      <c r="O42" s="53">
        <f t="shared" si="0"/>
        <v>260447.3634</v>
      </c>
      <c r="P42" s="65" t="s">
        <v>20</v>
      </c>
    </row>
    <row r="43" spans="1:17" ht="15.75" thickBot="1" x14ac:dyDescent="0.3">
      <c r="A43" s="71">
        <v>37</v>
      </c>
      <c r="B43" s="24" t="s">
        <v>162</v>
      </c>
      <c r="C43" s="86">
        <v>0.82</v>
      </c>
      <c r="D43" s="22"/>
      <c r="E43" s="22"/>
      <c r="F43" s="25">
        <v>76927</v>
      </c>
      <c r="G43" s="25">
        <v>-77000</v>
      </c>
      <c r="H43" s="52">
        <f t="shared" si="1"/>
        <v>-73</v>
      </c>
      <c r="I43" s="21">
        <v>0</v>
      </c>
      <c r="J43" s="21">
        <f>I3*C43/100</f>
        <v>56623.763399999996</v>
      </c>
      <c r="K43" s="21">
        <v>0</v>
      </c>
      <c r="L43" s="21">
        <v>0</v>
      </c>
      <c r="M43" s="21">
        <f>N3*C43/100</f>
        <v>32800</v>
      </c>
      <c r="N43" s="21">
        <v>-0.39</v>
      </c>
      <c r="O43" s="53">
        <f t="shared" si="0"/>
        <v>89350.373399999997</v>
      </c>
      <c r="P43" s="65" t="s">
        <v>20</v>
      </c>
    </row>
    <row r="44" spans="1:17" ht="15.75" thickBot="1" x14ac:dyDescent="0.3">
      <c r="A44" s="71">
        <v>38</v>
      </c>
      <c r="B44" s="24" t="s">
        <v>163</v>
      </c>
      <c r="C44" s="86">
        <v>1.34</v>
      </c>
      <c r="D44" s="22"/>
      <c r="E44" s="22"/>
      <c r="F44" s="25">
        <v>125836</v>
      </c>
      <c r="G44" s="25">
        <v>-125836</v>
      </c>
      <c r="H44" s="52">
        <f t="shared" si="1"/>
        <v>0</v>
      </c>
      <c r="I44" s="21">
        <v>0</v>
      </c>
      <c r="J44" s="21">
        <f>I3*C44/100</f>
        <v>92531.515799999994</v>
      </c>
      <c r="K44" s="21">
        <v>0</v>
      </c>
      <c r="L44" s="21">
        <v>0</v>
      </c>
      <c r="M44" s="21">
        <f>N3*C44/100</f>
        <v>53600</v>
      </c>
      <c r="N44" s="21">
        <v>-0.14000000000000001</v>
      </c>
      <c r="O44" s="53">
        <f t="shared" si="0"/>
        <v>146131.37579999998</v>
      </c>
      <c r="P44" s="65" t="s">
        <v>20</v>
      </c>
    </row>
    <row r="45" spans="1:17" ht="15.75" thickBot="1" x14ac:dyDescent="0.3">
      <c r="A45" s="71">
        <v>39</v>
      </c>
      <c r="B45" s="24" t="s">
        <v>164</v>
      </c>
      <c r="C45" s="86">
        <v>1.1200000000000001</v>
      </c>
      <c r="D45" s="22"/>
      <c r="E45" s="22"/>
      <c r="F45" s="25">
        <v>105176</v>
      </c>
      <c r="G45" s="25">
        <v>-105176</v>
      </c>
      <c r="H45" s="52">
        <f t="shared" si="1"/>
        <v>0</v>
      </c>
      <c r="I45" s="21">
        <v>0</v>
      </c>
      <c r="J45" s="21">
        <f>I3*C45/100</f>
        <v>77339.774400000009</v>
      </c>
      <c r="K45" s="21">
        <v>0</v>
      </c>
      <c r="L45" s="21">
        <v>0</v>
      </c>
      <c r="M45" s="21">
        <f>N3*C45/100</f>
        <v>44800</v>
      </c>
      <c r="N45" s="21">
        <v>-0.38</v>
      </c>
      <c r="O45" s="53">
        <f t="shared" si="0"/>
        <v>122139.3944</v>
      </c>
      <c r="P45" s="65" t="s">
        <v>20</v>
      </c>
    </row>
    <row r="46" spans="1:17" ht="15.75" thickBot="1" x14ac:dyDescent="0.3">
      <c r="A46" s="71">
        <v>40</v>
      </c>
      <c r="B46" s="24" t="s">
        <v>165</v>
      </c>
      <c r="C46" s="86">
        <v>1.17</v>
      </c>
      <c r="D46" s="22"/>
      <c r="E46" s="22"/>
      <c r="F46" s="25">
        <v>109871</v>
      </c>
      <c r="G46" s="25">
        <v>-109871</v>
      </c>
      <c r="H46" s="52">
        <f t="shared" si="1"/>
        <v>0</v>
      </c>
      <c r="I46" s="21">
        <v>0</v>
      </c>
      <c r="J46" s="21">
        <f>I3*C46/100</f>
        <v>80792.442899999995</v>
      </c>
      <c r="K46" s="21">
        <v>0</v>
      </c>
      <c r="L46" s="21">
        <v>0</v>
      </c>
      <c r="M46" s="21">
        <f>N3*C46/100</f>
        <v>46800</v>
      </c>
      <c r="N46" s="21">
        <v>-0.04</v>
      </c>
      <c r="O46" s="53">
        <f t="shared" si="0"/>
        <v>127592.4029</v>
      </c>
      <c r="P46" s="65" t="s">
        <v>20</v>
      </c>
    </row>
    <row r="47" spans="1:17" ht="15.75" thickBot="1" x14ac:dyDescent="0.3">
      <c r="A47" s="71">
        <v>41</v>
      </c>
      <c r="B47" s="24" t="s">
        <v>166</v>
      </c>
      <c r="C47" s="86">
        <v>1.35</v>
      </c>
      <c r="D47" s="22"/>
      <c r="E47" s="22"/>
      <c r="F47" s="25">
        <v>126776</v>
      </c>
      <c r="G47" s="25">
        <v>-126774</v>
      </c>
      <c r="H47" s="52">
        <f t="shared" si="1"/>
        <v>2</v>
      </c>
      <c r="I47" s="21">
        <v>0</v>
      </c>
      <c r="J47" s="21">
        <f>I3*C47/100</f>
        <v>93222.049500000008</v>
      </c>
      <c r="K47" s="21">
        <v>0</v>
      </c>
      <c r="L47" s="21">
        <v>0</v>
      </c>
      <c r="M47" s="21">
        <f>N3*C47/100</f>
        <v>54000</v>
      </c>
      <c r="N47" s="21">
        <v>0.36</v>
      </c>
      <c r="O47" s="53">
        <f t="shared" si="0"/>
        <v>147224.40950000001</v>
      </c>
      <c r="P47" s="65" t="s">
        <v>20</v>
      </c>
    </row>
    <row r="48" spans="1:17" ht="15.75" thickBot="1" x14ac:dyDescent="0.3">
      <c r="A48" s="71">
        <v>42</v>
      </c>
      <c r="B48" s="24" t="s">
        <v>167</v>
      </c>
      <c r="C48" s="86">
        <v>1.1200000000000001</v>
      </c>
      <c r="D48" s="22"/>
      <c r="E48" s="22"/>
      <c r="F48" s="25">
        <v>393823</v>
      </c>
      <c r="G48" s="25">
        <v>-200000</v>
      </c>
      <c r="H48" s="52">
        <v>193823</v>
      </c>
      <c r="I48" s="21">
        <v>3876</v>
      </c>
      <c r="J48" s="21">
        <f>I3*C48/100</f>
        <v>77339.774400000009</v>
      </c>
      <c r="K48" s="21">
        <v>0</v>
      </c>
      <c r="L48" s="21">
        <v>0</v>
      </c>
      <c r="M48" s="21">
        <f>N3*C48/100</f>
        <v>44800</v>
      </c>
      <c r="N48" s="21">
        <v>-0.35</v>
      </c>
      <c r="O48" s="53">
        <f t="shared" si="0"/>
        <v>319838.42440000002</v>
      </c>
      <c r="P48" s="65" t="s">
        <v>20</v>
      </c>
      <c r="Q48" t="s">
        <v>20</v>
      </c>
    </row>
    <row r="49" spans="1:17" ht="15.75" thickBot="1" x14ac:dyDescent="0.3">
      <c r="A49" s="71">
        <v>43</v>
      </c>
      <c r="B49" s="24" t="s">
        <v>249</v>
      </c>
      <c r="C49" s="86">
        <v>0.82</v>
      </c>
      <c r="D49" s="22"/>
      <c r="E49" s="22"/>
      <c r="F49" s="25">
        <v>167667</v>
      </c>
      <c r="G49" s="25">
        <v>0</v>
      </c>
      <c r="H49" s="52">
        <v>165889</v>
      </c>
      <c r="I49" s="21">
        <v>5096</v>
      </c>
      <c r="J49" s="21">
        <f>I3*C49/100</f>
        <v>56623.763399999996</v>
      </c>
      <c r="K49" s="21">
        <v>0</v>
      </c>
      <c r="L49" s="21">
        <v>0</v>
      </c>
      <c r="M49" s="21">
        <f>N3*C49/100</f>
        <v>32800</v>
      </c>
      <c r="N49" s="21">
        <v>-0.33</v>
      </c>
      <c r="O49" s="53">
        <f t="shared" si="0"/>
        <v>260408.43340000001</v>
      </c>
      <c r="P49" s="65" t="s">
        <v>20</v>
      </c>
    </row>
    <row r="50" spans="1:17" ht="15.75" thickBot="1" x14ac:dyDescent="0.3">
      <c r="A50" s="71">
        <v>44</v>
      </c>
      <c r="B50" s="24" t="s">
        <v>168</v>
      </c>
      <c r="C50" s="86">
        <v>0.82</v>
      </c>
      <c r="D50" s="22"/>
      <c r="E50" s="22"/>
      <c r="F50" s="25">
        <v>257106</v>
      </c>
      <c r="G50" s="25">
        <v>-77004</v>
      </c>
      <c r="H50" s="52">
        <v>180102</v>
      </c>
      <c r="I50" s="21">
        <v>3602</v>
      </c>
      <c r="J50" s="21">
        <f>I3*C50/100</f>
        <v>56623.763399999996</v>
      </c>
      <c r="K50" s="21">
        <v>0</v>
      </c>
      <c r="L50" s="21">
        <v>0</v>
      </c>
      <c r="M50" s="21">
        <f>N3*C50/100</f>
        <v>32800</v>
      </c>
      <c r="N50" s="21">
        <v>-0.32</v>
      </c>
      <c r="O50" s="53">
        <f t="shared" si="0"/>
        <v>273127.44339999999</v>
      </c>
      <c r="P50" s="65" t="s">
        <v>20</v>
      </c>
    </row>
    <row r="51" spans="1:17" ht="15.75" thickBot="1" x14ac:dyDescent="0.3">
      <c r="A51" s="71">
        <v>45</v>
      </c>
      <c r="B51" s="24" t="s">
        <v>169</v>
      </c>
      <c r="C51" s="86">
        <v>1.34</v>
      </c>
      <c r="D51" s="22"/>
      <c r="E51" s="22"/>
      <c r="F51" s="25">
        <v>125836</v>
      </c>
      <c r="G51" s="25">
        <v>-125836</v>
      </c>
      <c r="H51" s="52">
        <f t="shared" si="1"/>
        <v>0</v>
      </c>
      <c r="I51" s="21">
        <v>0</v>
      </c>
      <c r="J51" s="21">
        <f>I3*C51/100</f>
        <v>92531.515799999994</v>
      </c>
      <c r="K51" s="21">
        <v>0</v>
      </c>
      <c r="L51" s="21">
        <v>0</v>
      </c>
      <c r="M51" s="21">
        <f>N3*C51/100</f>
        <v>53600</v>
      </c>
      <c r="N51" s="21">
        <v>-7.0000000000000007E-2</v>
      </c>
      <c r="O51" s="53">
        <f t="shared" si="0"/>
        <v>146131.44579999999</v>
      </c>
      <c r="P51" s="65" t="s">
        <v>20</v>
      </c>
    </row>
    <row r="52" spans="1:17" ht="15.75" thickBot="1" x14ac:dyDescent="0.3">
      <c r="A52" s="71">
        <v>46</v>
      </c>
      <c r="B52" s="24" t="s">
        <v>170</v>
      </c>
      <c r="C52" s="86">
        <v>1.1200000000000001</v>
      </c>
      <c r="D52" s="22"/>
      <c r="E52" s="22"/>
      <c r="F52" s="25">
        <v>104632</v>
      </c>
      <c r="G52" s="25">
        <v>-105176</v>
      </c>
      <c r="H52" s="52">
        <f t="shared" si="1"/>
        <v>-544</v>
      </c>
      <c r="I52" s="21">
        <v>0</v>
      </c>
      <c r="J52" s="21">
        <f>I3*C52/100</f>
        <v>77339.774400000009</v>
      </c>
      <c r="K52" s="21">
        <v>0</v>
      </c>
      <c r="L52" s="21">
        <v>0</v>
      </c>
      <c r="M52" s="21">
        <f>N3*C52/100</f>
        <v>44800</v>
      </c>
      <c r="N52" s="21">
        <v>-0.31</v>
      </c>
      <c r="O52" s="53">
        <f t="shared" si="0"/>
        <v>121595.46440000001</v>
      </c>
      <c r="P52" s="65" t="s">
        <v>20</v>
      </c>
    </row>
    <row r="53" spans="1:17" ht="15.75" thickBot="1" x14ac:dyDescent="0.3">
      <c r="A53" s="71">
        <v>47</v>
      </c>
      <c r="B53" s="24" t="s">
        <v>171</v>
      </c>
      <c r="C53" s="86">
        <v>1.17</v>
      </c>
      <c r="D53" s="22"/>
      <c r="E53" s="22"/>
      <c r="F53" s="25">
        <v>1068200</v>
      </c>
      <c r="G53" s="25">
        <v>0</v>
      </c>
      <c r="H53" s="52">
        <v>1003582</v>
      </c>
      <c r="I53" s="21">
        <v>84691</v>
      </c>
      <c r="J53" s="21">
        <f>I3*C53/100</f>
        <v>80792.442899999995</v>
      </c>
      <c r="K53" s="21">
        <v>0</v>
      </c>
      <c r="L53" s="21">
        <v>0</v>
      </c>
      <c r="M53" s="21">
        <f>N3*C53/100</f>
        <v>46800</v>
      </c>
      <c r="N53" s="21">
        <v>0.03</v>
      </c>
      <c r="O53" s="53">
        <f t="shared" si="0"/>
        <v>1215865.4728999999</v>
      </c>
      <c r="P53" s="65" t="s">
        <v>20</v>
      </c>
    </row>
    <row r="54" spans="1:17" ht="15.75" thickBot="1" x14ac:dyDescent="0.3">
      <c r="A54" s="71">
        <v>48</v>
      </c>
      <c r="B54" s="24" t="s">
        <v>172</v>
      </c>
      <c r="C54" s="86">
        <v>1.35</v>
      </c>
      <c r="D54" s="22"/>
      <c r="E54" s="22"/>
      <c r="F54" s="25">
        <v>126644</v>
      </c>
      <c r="G54" s="25">
        <v>0</v>
      </c>
      <c r="H54" s="52">
        <f t="shared" si="1"/>
        <v>126644</v>
      </c>
      <c r="I54" s="21">
        <v>2533</v>
      </c>
      <c r="J54" s="21">
        <f>I3*C54/100</f>
        <v>93222.049500000008</v>
      </c>
      <c r="K54" s="21">
        <v>0</v>
      </c>
      <c r="L54" s="21">
        <v>0</v>
      </c>
      <c r="M54" s="21">
        <f>N3*C54/100</f>
        <v>54000</v>
      </c>
      <c r="N54" s="21">
        <v>0.43</v>
      </c>
      <c r="O54" s="53">
        <f t="shared" si="0"/>
        <v>276399.47950000002</v>
      </c>
      <c r="P54" s="65" t="s">
        <v>20</v>
      </c>
    </row>
    <row r="55" spans="1:17" ht="15.75" thickBot="1" x14ac:dyDescent="0.3">
      <c r="A55" s="71">
        <v>49</v>
      </c>
      <c r="B55" s="24" t="s">
        <v>173</v>
      </c>
      <c r="C55" s="86">
        <v>1.1200000000000001</v>
      </c>
      <c r="D55" s="22"/>
      <c r="E55" s="22"/>
      <c r="F55" s="25">
        <v>105176</v>
      </c>
      <c r="G55" s="25">
        <v>-105176</v>
      </c>
      <c r="H55" s="52">
        <f t="shared" si="1"/>
        <v>0</v>
      </c>
      <c r="I55" s="21">
        <v>0</v>
      </c>
      <c r="J55" s="21">
        <f>I3*C55/100</f>
        <v>77339.774400000009</v>
      </c>
      <c r="K55" s="21">
        <v>0</v>
      </c>
      <c r="L55" s="21">
        <v>0</v>
      </c>
      <c r="M55" s="21">
        <f>N3*C55/100</f>
        <v>44800</v>
      </c>
      <c r="N55" s="21">
        <v>-0.28000000000000003</v>
      </c>
      <c r="O55" s="53">
        <f t="shared" si="0"/>
        <v>122139.49440000001</v>
      </c>
      <c r="P55" s="65" t="s">
        <v>20</v>
      </c>
    </row>
    <row r="56" spans="1:17" ht="15.75" thickBot="1" x14ac:dyDescent="0.3">
      <c r="A56" s="71">
        <v>50</v>
      </c>
      <c r="B56" s="24" t="s">
        <v>174</v>
      </c>
      <c r="C56" s="86">
        <v>0.82</v>
      </c>
      <c r="D56" s="22"/>
      <c r="E56" s="22"/>
      <c r="F56" s="25">
        <v>77004</v>
      </c>
      <c r="G56" s="25">
        <v>-77004</v>
      </c>
      <c r="H56" s="52">
        <f t="shared" si="1"/>
        <v>0</v>
      </c>
      <c r="I56" s="21">
        <v>0</v>
      </c>
      <c r="J56" s="21">
        <f>I3*C56/100</f>
        <v>56623.763399999996</v>
      </c>
      <c r="K56" s="21">
        <v>0</v>
      </c>
      <c r="L56" s="21">
        <v>0</v>
      </c>
      <c r="M56" s="21">
        <f>N3*C56/100</f>
        <v>32800</v>
      </c>
      <c r="N56" s="21">
        <v>-0.26</v>
      </c>
      <c r="O56" s="53">
        <f t="shared" si="0"/>
        <v>89423.503400000001</v>
      </c>
      <c r="P56" s="65" t="s">
        <v>20</v>
      </c>
    </row>
    <row r="57" spans="1:17" ht="15.75" thickBot="1" x14ac:dyDescent="0.3">
      <c r="A57" s="71">
        <v>51</v>
      </c>
      <c r="B57" s="24" t="s">
        <v>175</v>
      </c>
      <c r="C57" s="86">
        <v>0.82</v>
      </c>
      <c r="D57" s="22"/>
      <c r="E57" s="22"/>
      <c r="F57" s="25">
        <v>165927</v>
      </c>
      <c r="G57" s="25">
        <v>-165927</v>
      </c>
      <c r="H57" s="52">
        <f t="shared" si="1"/>
        <v>0</v>
      </c>
      <c r="I57" s="21">
        <v>1778</v>
      </c>
      <c r="J57" s="21">
        <f>I3*C57/100</f>
        <v>56623.763399999996</v>
      </c>
      <c r="K57" s="21">
        <v>0</v>
      </c>
      <c r="L57" s="21">
        <v>0</v>
      </c>
      <c r="M57" s="21">
        <f>N3*C57/100</f>
        <v>32800</v>
      </c>
      <c r="N57" s="21">
        <v>-0.25</v>
      </c>
      <c r="O57" s="53">
        <f t="shared" si="0"/>
        <v>91201.513399999996</v>
      </c>
      <c r="P57" s="65" t="s">
        <v>20</v>
      </c>
    </row>
    <row r="58" spans="1:17" ht="15.75" thickBot="1" x14ac:dyDescent="0.3">
      <c r="A58" s="71">
        <v>52</v>
      </c>
      <c r="B58" s="24" t="s">
        <v>176</v>
      </c>
      <c r="C58" s="86">
        <v>1.34</v>
      </c>
      <c r="D58" s="22"/>
      <c r="E58" s="22"/>
      <c r="F58" s="25">
        <v>125836</v>
      </c>
      <c r="G58" s="25">
        <v>-125836</v>
      </c>
      <c r="H58" s="52">
        <f t="shared" si="1"/>
        <v>0</v>
      </c>
      <c r="I58" s="21">
        <v>0</v>
      </c>
      <c r="J58" s="21">
        <f>I3*C58/100</f>
        <v>92531.515799999994</v>
      </c>
      <c r="K58" s="21">
        <v>0</v>
      </c>
      <c r="L58" s="21">
        <v>0</v>
      </c>
      <c r="M58" s="21">
        <f>N3*C58/100</f>
        <v>53600</v>
      </c>
      <c r="N58" s="21">
        <v>0</v>
      </c>
      <c r="O58" s="53">
        <f t="shared" si="0"/>
        <v>146131.51579999999</v>
      </c>
      <c r="P58" s="65" t="s">
        <v>20</v>
      </c>
    </row>
    <row r="59" spans="1:17" ht="15.75" thickBot="1" x14ac:dyDescent="0.3">
      <c r="A59" s="71">
        <v>53</v>
      </c>
      <c r="B59" s="24" t="s">
        <v>177</v>
      </c>
      <c r="C59" s="86">
        <v>1.1200000000000001</v>
      </c>
      <c r="D59" s="22"/>
      <c r="E59" s="22"/>
      <c r="F59" s="25">
        <v>59040</v>
      </c>
      <c r="G59" s="25">
        <v>0</v>
      </c>
      <c r="H59" s="52">
        <f t="shared" si="1"/>
        <v>59040</v>
      </c>
      <c r="I59" s="21">
        <v>1181</v>
      </c>
      <c r="J59" s="21">
        <f>I3*C59/100</f>
        <v>77339.774400000009</v>
      </c>
      <c r="K59" s="21">
        <v>0</v>
      </c>
      <c r="L59" s="21">
        <v>0</v>
      </c>
      <c r="M59" s="21">
        <f>N3*C59/100</f>
        <v>44800</v>
      </c>
      <c r="N59" s="21">
        <v>-0.24</v>
      </c>
      <c r="O59" s="53">
        <f t="shared" si="0"/>
        <v>182360.5344</v>
      </c>
      <c r="P59" s="65" t="s">
        <v>20</v>
      </c>
      <c r="Q59" t="s">
        <v>20</v>
      </c>
    </row>
    <row r="60" spans="1:17" ht="15.75" thickBot="1" x14ac:dyDescent="0.3">
      <c r="A60" s="71">
        <v>54</v>
      </c>
      <c r="B60" s="24" t="s">
        <v>178</v>
      </c>
      <c r="C60" s="86">
        <v>1.17</v>
      </c>
      <c r="D60" s="22"/>
      <c r="E60" s="22"/>
      <c r="F60" s="25">
        <v>109871</v>
      </c>
      <c r="G60" s="25">
        <v>-109871</v>
      </c>
      <c r="H60" s="52">
        <f t="shared" si="1"/>
        <v>0</v>
      </c>
      <c r="I60" s="21">
        <v>0</v>
      </c>
      <c r="J60" s="21">
        <f>I3*C60/100</f>
        <v>80792.442899999995</v>
      </c>
      <c r="K60" s="21">
        <v>0</v>
      </c>
      <c r="L60" s="21">
        <v>0</v>
      </c>
      <c r="M60" s="21">
        <f>N3*C60/100</f>
        <v>46800</v>
      </c>
      <c r="N60" s="21">
        <v>0.1</v>
      </c>
      <c r="O60" s="53">
        <f t="shared" si="0"/>
        <v>127592.5429</v>
      </c>
      <c r="P60" s="65" t="s">
        <v>20</v>
      </c>
    </row>
    <row r="61" spans="1:17" ht="15.75" thickBot="1" x14ac:dyDescent="0.3">
      <c r="A61" s="71">
        <v>55</v>
      </c>
      <c r="B61" s="24" t="s">
        <v>179</v>
      </c>
      <c r="C61" s="86">
        <v>1.35</v>
      </c>
      <c r="D61" s="22"/>
      <c r="E61" s="22"/>
      <c r="F61" s="25">
        <v>126775</v>
      </c>
      <c r="G61" s="25">
        <v>-126775</v>
      </c>
      <c r="H61" s="52">
        <f t="shared" si="1"/>
        <v>0</v>
      </c>
      <c r="I61" s="21">
        <v>0</v>
      </c>
      <c r="J61" s="21">
        <f>I3*C61/100</f>
        <v>93222.049500000008</v>
      </c>
      <c r="K61" s="21">
        <v>0</v>
      </c>
      <c r="L61" s="21">
        <v>0</v>
      </c>
      <c r="M61" s="21">
        <f>N3*C61/100</f>
        <v>54000</v>
      </c>
      <c r="N61" s="21">
        <v>0.5</v>
      </c>
      <c r="O61" s="53">
        <f t="shared" si="0"/>
        <v>147222.54950000002</v>
      </c>
      <c r="P61" s="65" t="s">
        <v>20</v>
      </c>
    </row>
    <row r="62" spans="1:17" ht="15.75" thickBot="1" x14ac:dyDescent="0.3">
      <c r="A62" s="71">
        <v>56</v>
      </c>
      <c r="B62" s="24" t="s">
        <v>180</v>
      </c>
      <c r="C62" s="86">
        <v>1.1200000000000001</v>
      </c>
      <c r="D62" s="22"/>
      <c r="E62" s="22"/>
      <c r="F62" s="25">
        <v>105176</v>
      </c>
      <c r="G62" s="25">
        <v>-105176</v>
      </c>
      <c r="H62" s="52">
        <f t="shared" si="1"/>
        <v>0</v>
      </c>
      <c r="I62" s="21">
        <v>0</v>
      </c>
      <c r="J62" s="21">
        <f>I3*C62/100</f>
        <v>77339.774400000009</v>
      </c>
      <c r="K62" s="21">
        <v>0</v>
      </c>
      <c r="L62" s="21">
        <v>0</v>
      </c>
      <c r="M62" s="21">
        <f>N3*C62/100</f>
        <v>44800</v>
      </c>
      <c r="N62" s="21">
        <v>-0.21</v>
      </c>
      <c r="O62" s="53">
        <f t="shared" si="0"/>
        <v>122139.5644</v>
      </c>
      <c r="P62" s="65" t="s">
        <v>20</v>
      </c>
    </row>
    <row r="63" spans="1:17" ht="15.75" thickBot="1" x14ac:dyDescent="0.3">
      <c r="A63" s="71">
        <v>57</v>
      </c>
      <c r="B63" s="24" t="s">
        <v>181</v>
      </c>
      <c r="C63" s="86">
        <v>0.82</v>
      </c>
      <c r="D63" s="22"/>
      <c r="E63" s="22"/>
      <c r="F63" s="25">
        <v>75889</v>
      </c>
      <c r="G63" s="25">
        <v>-76000</v>
      </c>
      <c r="H63" s="52">
        <f t="shared" si="1"/>
        <v>-111</v>
      </c>
      <c r="I63" s="21">
        <v>0</v>
      </c>
      <c r="J63" s="21">
        <f>I3*C63/100</f>
        <v>56623.763399999996</v>
      </c>
      <c r="K63" s="21">
        <v>0</v>
      </c>
      <c r="L63" s="21">
        <v>0</v>
      </c>
      <c r="M63" s="21">
        <f>N3*C63/100</f>
        <v>32800</v>
      </c>
      <c r="N63" s="21">
        <v>-0.19</v>
      </c>
      <c r="O63" s="53">
        <f t="shared" si="0"/>
        <v>89312.573399999994</v>
      </c>
      <c r="P63" s="65" t="s">
        <v>20</v>
      </c>
      <c r="Q63" t="s">
        <v>20</v>
      </c>
    </row>
    <row r="64" spans="1:17" ht="15.75" thickBot="1" x14ac:dyDescent="0.3">
      <c r="A64" s="71">
        <v>58</v>
      </c>
      <c r="B64" s="24" t="s">
        <v>182</v>
      </c>
      <c r="C64" s="86">
        <v>0.82</v>
      </c>
      <c r="D64" s="22"/>
      <c r="E64" s="22"/>
      <c r="F64" s="25">
        <v>77004</v>
      </c>
      <c r="G64" s="25">
        <v>0</v>
      </c>
      <c r="H64" s="52">
        <f t="shared" si="1"/>
        <v>77004</v>
      </c>
      <c r="I64" s="21">
        <v>1540</v>
      </c>
      <c r="J64" s="21">
        <f>I3*C64/100</f>
        <v>56623.763399999996</v>
      </c>
      <c r="K64" s="21">
        <v>0</v>
      </c>
      <c r="L64" s="21">
        <v>0</v>
      </c>
      <c r="M64" s="21">
        <f>N3*C64/100</f>
        <v>32800</v>
      </c>
      <c r="N64" s="21">
        <v>-0.18</v>
      </c>
      <c r="O64" s="53">
        <f t="shared" si="0"/>
        <v>167967.5834</v>
      </c>
      <c r="P64" s="65" t="s">
        <v>20</v>
      </c>
    </row>
    <row r="65" spans="1:17" ht="15.75" thickBot="1" x14ac:dyDescent="0.3">
      <c r="A65" s="71">
        <v>59</v>
      </c>
      <c r="B65" s="24" t="s">
        <v>183</v>
      </c>
      <c r="C65" s="86">
        <v>1.34</v>
      </c>
      <c r="D65" s="22"/>
      <c r="E65" s="22"/>
      <c r="F65" s="25">
        <v>125836</v>
      </c>
      <c r="G65" s="25">
        <v>-125836</v>
      </c>
      <c r="H65" s="52">
        <f t="shared" si="1"/>
        <v>0</v>
      </c>
      <c r="I65" s="21">
        <v>0</v>
      </c>
      <c r="J65" s="21">
        <f>I3*C65/100</f>
        <v>92531.515799999994</v>
      </c>
      <c r="K65" s="21">
        <v>0</v>
      </c>
      <c r="L65" s="21">
        <v>0</v>
      </c>
      <c r="M65" s="21">
        <f>N3*C65/100</f>
        <v>53600</v>
      </c>
      <c r="N65" s="21">
        <v>7.0000000000000007E-2</v>
      </c>
      <c r="O65" s="53">
        <f t="shared" si="0"/>
        <v>146131.5858</v>
      </c>
      <c r="P65" s="65" t="s">
        <v>20</v>
      </c>
      <c r="Q65" t="s">
        <v>20</v>
      </c>
    </row>
    <row r="66" spans="1:17" ht="15.75" thickBot="1" x14ac:dyDescent="0.3">
      <c r="A66" s="71">
        <v>60</v>
      </c>
      <c r="B66" s="24" t="s">
        <v>184</v>
      </c>
      <c r="C66" s="86">
        <v>1.1200000000000001</v>
      </c>
      <c r="D66" s="22"/>
      <c r="E66" s="22"/>
      <c r="F66" s="25">
        <v>226631</v>
      </c>
      <c r="G66" s="25">
        <v>-226631</v>
      </c>
      <c r="H66" s="52">
        <f t="shared" si="1"/>
        <v>0</v>
      </c>
      <c r="I66" s="21">
        <v>0</v>
      </c>
      <c r="J66" s="21">
        <f>I3*C66/100</f>
        <v>77339.774400000009</v>
      </c>
      <c r="K66" s="21">
        <v>0</v>
      </c>
      <c r="L66" s="21">
        <v>0</v>
      </c>
      <c r="M66" s="21">
        <f>N3*C66/100</f>
        <v>44800</v>
      </c>
      <c r="N66" s="21">
        <v>-0.17</v>
      </c>
      <c r="O66" s="53">
        <f t="shared" si="0"/>
        <v>122139.60440000001</v>
      </c>
      <c r="P66" s="65" t="s">
        <v>20</v>
      </c>
      <c r="Q66" s="35" t="s">
        <v>20</v>
      </c>
    </row>
    <row r="67" spans="1:17" ht="15.75" thickBot="1" x14ac:dyDescent="0.3">
      <c r="A67" s="71">
        <v>61</v>
      </c>
      <c r="B67" s="24" t="s">
        <v>185</v>
      </c>
      <c r="C67" s="86">
        <v>1.17</v>
      </c>
      <c r="D67" s="22"/>
      <c r="E67" s="22"/>
      <c r="F67" s="25">
        <v>109871</v>
      </c>
      <c r="G67" s="25">
        <v>-109871</v>
      </c>
      <c r="H67" s="52">
        <f t="shared" si="1"/>
        <v>0</v>
      </c>
      <c r="I67" s="21">
        <v>0</v>
      </c>
      <c r="J67" s="21">
        <f>I3*C67/100</f>
        <v>80792.442899999995</v>
      </c>
      <c r="K67" s="21">
        <v>0</v>
      </c>
      <c r="L67" s="21">
        <v>0</v>
      </c>
      <c r="M67" s="21">
        <f>N3*C67/100</f>
        <v>46800</v>
      </c>
      <c r="N67" s="21">
        <v>0.17</v>
      </c>
      <c r="O67" s="53">
        <f t="shared" si="0"/>
        <v>127592.61289999999</v>
      </c>
      <c r="P67" s="65" t="s">
        <v>20</v>
      </c>
    </row>
    <row r="68" spans="1:17" ht="15.75" thickBot="1" x14ac:dyDescent="0.3">
      <c r="A68" s="71">
        <v>62</v>
      </c>
      <c r="B68" s="24" t="s">
        <v>186</v>
      </c>
      <c r="C68" s="86">
        <v>1.35</v>
      </c>
      <c r="D68" s="22"/>
      <c r="E68" s="22"/>
      <c r="F68" s="25">
        <v>126775</v>
      </c>
      <c r="G68" s="25">
        <v>-126775</v>
      </c>
      <c r="H68" s="52">
        <f t="shared" si="1"/>
        <v>0</v>
      </c>
      <c r="I68" s="21">
        <v>0</v>
      </c>
      <c r="J68" s="21">
        <f>I3*C68/100</f>
        <v>93222.049500000008</v>
      </c>
      <c r="K68" s="21">
        <v>0</v>
      </c>
      <c r="L68" s="21">
        <v>0</v>
      </c>
      <c r="M68" s="21">
        <f>N3*C68/100</f>
        <v>54000</v>
      </c>
      <c r="N68" s="21">
        <v>0.56999999999999995</v>
      </c>
      <c r="O68" s="53">
        <f t="shared" si="0"/>
        <v>147222.61950000003</v>
      </c>
      <c r="P68" s="65" t="s">
        <v>20</v>
      </c>
    </row>
    <row r="69" spans="1:17" ht="15.75" thickBot="1" x14ac:dyDescent="0.3">
      <c r="A69" s="71">
        <v>63</v>
      </c>
      <c r="B69" s="24" t="s">
        <v>187</v>
      </c>
      <c r="C69" s="86">
        <v>1.1200000000000001</v>
      </c>
      <c r="D69" s="22"/>
      <c r="E69" s="22"/>
      <c r="F69" s="25">
        <v>105176</v>
      </c>
      <c r="G69" s="25">
        <v>-105176</v>
      </c>
      <c r="H69" s="52">
        <f t="shared" si="1"/>
        <v>0</v>
      </c>
      <c r="I69" s="21">
        <v>0</v>
      </c>
      <c r="J69" s="21">
        <f>I3*C69/100</f>
        <v>77339.774400000009</v>
      </c>
      <c r="K69" s="21">
        <v>0</v>
      </c>
      <c r="L69" s="21">
        <v>0</v>
      </c>
      <c r="M69" s="21">
        <f>N3*C69/100</f>
        <v>44800</v>
      </c>
      <c r="N69" s="21">
        <v>-0.14000000000000001</v>
      </c>
      <c r="O69" s="53">
        <f t="shared" si="0"/>
        <v>122139.63440000001</v>
      </c>
      <c r="P69" s="65" t="s">
        <v>20</v>
      </c>
    </row>
    <row r="70" spans="1:17" ht="15.75" thickBot="1" x14ac:dyDescent="0.3">
      <c r="A70" s="126">
        <v>64</v>
      </c>
      <c r="B70" s="67" t="s">
        <v>188</v>
      </c>
      <c r="C70" s="87">
        <v>0.82</v>
      </c>
      <c r="D70" s="68"/>
      <c r="E70" s="68"/>
      <c r="F70" s="69">
        <v>76927</v>
      </c>
      <c r="G70" s="69">
        <v>-78000</v>
      </c>
      <c r="H70" s="52">
        <f t="shared" si="1"/>
        <v>-1073</v>
      </c>
      <c r="I70" s="70">
        <v>0</v>
      </c>
      <c r="J70" s="21">
        <f>I3*C70/100</f>
        <v>56623.763399999996</v>
      </c>
      <c r="K70" s="21">
        <v>0</v>
      </c>
      <c r="L70" s="21">
        <v>0</v>
      </c>
      <c r="M70" s="21">
        <f>N3*C70/100</f>
        <v>32800</v>
      </c>
      <c r="N70" s="21">
        <v>-0.12</v>
      </c>
      <c r="O70" s="127">
        <f t="shared" si="0"/>
        <v>88350.643400000001</v>
      </c>
      <c r="P70" s="65" t="s">
        <v>20</v>
      </c>
    </row>
    <row r="71" spans="1:17" ht="15.75" thickBot="1" x14ac:dyDescent="0.3">
      <c r="A71" s="71">
        <v>65</v>
      </c>
      <c r="B71" s="24" t="s">
        <v>189</v>
      </c>
      <c r="C71" s="86">
        <v>0.82</v>
      </c>
      <c r="D71" s="22"/>
      <c r="E71" s="22"/>
      <c r="F71" s="25">
        <v>77004</v>
      </c>
      <c r="G71" s="25">
        <v>0</v>
      </c>
      <c r="H71" s="52">
        <f t="shared" si="1"/>
        <v>77004</v>
      </c>
      <c r="I71" s="21">
        <v>1540</v>
      </c>
      <c r="J71" s="21">
        <f>I3*C71/100</f>
        <v>56623.763399999996</v>
      </c>
      <c r="K71" s="21">
        <v>0</v>
      </c>
      <c r="L71" s="21">
        <v>0</v>
      </c>
      <c r="M71" s="21">
        <f>N3*C71/100</f>
        <v>32800</v>
      </c>
      <c r="N71" s="21">
        <v>-0.11</v>
      </c>
      <c r="O71" s="127">
        <f t="shared" si="0"/>
        <v>167967.65340000001</v>
      </c>
      <c r="P71" s="65"/>
    </row>
    <row r="72" spans="1:17" ht="15.75" thickBot="1" x14ac:dyDescent="0.3">
      <c r="A72" s="71">
        <v>66</v>
      </c>
      <c r="B72" s="24" t="s">
        <v>190</v>
      </c>
      <c r="C72" s="86">
        <v>1.34</v>
      </c>
      <c r="D72" s="22"/>
      <c r="E72" s="22"/>
      <c r="F72" s="25">
        <v>125835</v>
      </c>
      <c r="G72" s="25">
        <v>-125836</v>
      </c>
      <c r="H72" s="52">
        <f t="shared" ref="H72:H109" si="2">+G72+F72</f>
        <v>-1</v>
      </c>
      <c r="I72" s="21">
        <v>0</v>
      </c>
      <c r="J72" s="128">
        <f>I3*C72/100</f>
        <v>92531.515799999994</v>
      </c>
      <c r="K72" s="21">
        <v>0</v>
      </c>
      <c r="L72" s="21">
        <v>0</v>
      </c>
      <c r="M72" s="21">
        <f>N3*C72/100</f>
        <v>53600</v>
      </c>
      <c r="N72" s="21">
        <v>0.14000000000000001</v>
      </c>
      <c r="O72" s="127">
        <f t="shared" ref="O72:O109" si="3">SUM(H72:N72)</f>
        <v>146130.65580000001</v>
      </c>
      <c r="P72" s="65" t="s">
        <v>20</v>
      </c>
    </row>
    <row r="73" spans="1:17" ht="15.75" thickBot="1" x14ac:dyDescent="0.3">
      <c r="A73" s="71">
        <v>67</v>
      </c>
      <c r="B73" s="24" t="s">
        <v>191</v>
      </c>
      <c r="C73" s="86">
        <v>1.1200000000000001</v>
      </c>
      <c r="D73" s="22"/>
      <c r="E73" s="22"/>
      <c r="F73" s="25">
        <v>105174</v>
      </c>
      <c r="G73" s="25">
        <v>-105174</v>
      </c>
      <c r="H73" s="52">
        <f t="shared" si="2"/>
        <v>0</v>
      </c>
      <c r="I73" s="21">
        <v>0</v>
      </c>
      <c r="J73" s="128">
        <f>I3*C73/100</f>
        <v>77339.774400000009</v>
      </c>
      <c r="K73" s="21">
        <v>0</v>
      </c>
      <c r="L73" s="21">
        <v>0</v>
      </c>
      <c r="M73" s="21">
        <f>N3*C73/100</f>
        <v>44800</v>
      </c>
      <c r="N73" s="21">
        <v>-0.1</v>
      </c>
      <c r="O73" s="127">
        <f t="shared" si="3"/>
        <v>122139.6744</v>
      </c>
      <c r="P73" s="65" t="s">
        <v>20</v>
      </c>
    </row>
    <row r="74" spans="1:17" ht="15.75" thickBot="1" x14ac:dyDescent="0.3">
      <c r="A74" s="71">
        <v>68</v>
      </c>
      <c r="B74" s="24" t="s">
        <v>192</v>
      </c>
      <c r="C74" s="86">
        <v>1.17</v>
      </c>
      <c r="D74" s="22"/>
      <c r="E74" s="22"/>
      <c r="F74" s="25">
        <v>2639298</v>
      </c>
      <c r="G74" s="25">
        <v>0</v>
      </c>
      <c r="H74" s="52">
        <v>2227003</v>
      </c>
      <c r="I74" s="21">
        <v>456836</v>
      </c>
      <c r="J74" s="21">
        <f>I3*C74/100</f>
        <v>80792.442899999995</v>
      </c>
      <c r="K74" s="21">
        <v>0</v>
      </c>
      <c r="L74" s="21">
        <v>0</v>
      </c>
      <c r="M74" s="21">
        <f>N3*C74/100</f>
        <v>46800</v>
      </c>
      <c r="N74" s="21">
        <v>0.24</v>
      </c>
      <c r="O74" s="127">
        <f t="shared" si="3"/>
        <v>2811431.6829000004</v>
      </c>
      <c r="P74" s="65"/>
    </row>
    <row r="75" spans="1:17" ht="15.75" thickBot="1" x14ac:dyDescent="0.3">
      <c r="A75" s="71">
        <v>69</v>
      </c>
      <c r="B75" s="24" t="s">
        <v>193</v>
      </c>
      <c r="C75" s="86">
        <v>1.35</v>
      </c>
      <c r="D75" s="22"/>
      <c r="E75" s="22"/>
      <c r="F75" s="25">
        <v>126775</v>
      </c>
      <c r="G75" s="25">
        <v>-126775</v>
      </c>
      <c r="H75" s="52">
        <f t="shared" si="2"/>
        <v>0</v>
      </c>
      <c r="I75" s="21">
        <v>0</v>
      </c>
      <c r="J75" s="21">
        <f>I3*C75/100</f>
        <v>93222.049500000008</v>
      </c>
      <c r="K75" s="21">
        <v>0</v>
      </c>
      <c r="L75" s="21">
        <v>0</v>
      </c>
      <c r="M75" s="21">
        <f>N3*C75/100</f>
        <v>54000</v>
      </c>
      <c r="N75" s="21">
        <v>0.64</v>
      </c>
      <c r="O75" s="127">
        <f t="shared" si="3"/>
        <v>147222.68950000004</v>
      </c>
      <c r="P75" s="65" t="s">
        <v>20</v>
      </c>
    </row>
    <row r="76" spans="1:17" ht="15.75" thickBot="1" x14ac:dyDescent="0.3">
      <c r="A76" s="71">
        <v>70</v>
      </c>
      <c r="B76" s="24" t="s">
        <v>194</v>
      </c>
      <c r="C76" s="86">
        <v>1.1200000000000001</v>
      </c>
      <c r="D76" s="22"/>
      <c r="E76" s="22"/>
      <c r="F76" s="25">
        <v>351170</v>
      </c>
      <c r="G76" s="25">
        <v>0</v>
      </c>
      <c r="H76" s="52">
        <v>344045</v>
      </c>
      <c r="I76" s="21">
        <v>14006</v>
      </c>
      <c r="J76" s="21">
        <f>I3*C76/100</f>
        <v>77339.774400000009</v>
      </c>
      <c r="K76" s="21">
        <v>0</v>
      </c>
      <c r="L76" s="21">
        <v>0</v>
      </c>
      <c r="M76" s="21">
        <f>N3*C76/100</f>
        <v>44800</v>
      </c>
      <c r="N76" s="21">
        <v>-7.0000000000000007E-2</v>
      </c>
      <c r="O76" s="127">
        <f t="shared" si="3"/>
        <v>480190.70439999999</v>
      </c>
      <c r="P76" s="65"/>
    </row>
    <row r="77" spans="1:17" ht="15.75" thickBot="1" x14ac:dyDescent="0.3">
      <c r="A77" s="71">
        <v>71</v>
      </c>
      <c r="B77" s="24" t="s">
        <v>195</v>
      </c>
      <c r="C77" s="86">
        <v>0.82</v>
      </c>
      <c r="D77" s="22"/>
      <c r="E77" s="22"/>
      <c r="F77" s="25">
        <v>77004</v>
      </c>
      <c r="G77" s="25">
        <v>-77005</v>
      </c>
      <c r="H77" s="52">
        <f t="shared" si="2"/>
        <v>-1</v>
      </c>
      <c r="I77" s="21">
        <v>0</v>
      </c>
      <c r="J77" s="21">
        <f>I3*C77/100</f>
        <v>56623.763399999996</v>
      </c>
      <c r="K77" s="21">
        <v>0</v>
      </c>
      <c r="L77" s="21">
        <v>0</v>
      </c>
      <c r="M77" s="21">
        <f>N3*C77/100</f>
        <v>32800</v>
      </c>
      <c r="N77" s="21">
        <v>-0.05</v>
      </c>
      <c r="O77" s="127">
        <f t="shared" si="3"/>
        <v>89422.713399999993</v>
      </c>
      <c r="P77" s="65" t="s">
        <v>20</v>
      </c>
    </row>
    <row r="78" spans="1:17" ht="15.75" thickBot="1" x14ac:dyDescent="0.3">
      <c r="A78" s="71">
        <v>72</v>
      </c>
      <c r="B78" s="24" t="s">
        <v>196</v>
      </c>
      <c r="C78" s="86">
        <v>0.82</v>
      </c>
      <c r="D78" s="22"/>
      <c r="E78" s="22"/>
      <c r="F78" s="25">
        <v>479682</v>
      </c>
      <c r="G78" s="25">
        <v>-77004</v>
      </c>
      <c r="H78" s="52">
        <v>382326</v>
      </c>
      <c r="I78" s="21">
        <v>27999</v>
      </c>
      <c r="J78" s="21">
        <f>I3*C78/100</f>
        <v>56623.763399999996</v>
      </c>
      <c r="K78" s="21">
        <v>0</v>
      </c>
      <c r="L78" s="21">
        <v>0</v>
      </c>
      <c r="M78" s="21">
        <f>N3*C78/100</f>
        <v>32800</v>
      </c>
      <c r="N78" s="21">
        <v>-0.04</v>
      </c>
      <c r="O78" s="127">
        <f t="shared" si="3"/>
        <v>499748.72340000002</v>
      </c>
      <c r="P78" s="65" t="s">
        <v>20</v>
      </c>
    </row>
    <row r="79" spans="1:17" ht="15.75" thickBot="1" x14ac:dyDescent="0.3">
      <c r="A79" s="71">
        <v>73</v>
      </c>
      <c r="B79" s="24" t="s">
        <v>197</v>
      </c>
      <c r="C79" s="86">
        <v>1.34</v>
      </c>
      <c r="D79" s="22"/>
      <c r="E79" s="22"/>
      <c r="F79" s="25">
        <v>125836</v>
      </c>
      <c r="G79" s="25">
        <v>-125836</v>
      </c>
      <c r="H79" s="52">
        <f t="shared" si="2"/>
        <v>0</v>
      </c>
      <c r="I79" s="21">
        <v>0</v>
      </c>
      <c r="J79" s="21">
        <f>I3*C79/100</f>
        <v>92531.515799999994</v>
      </c>
      <c r="K79" s="21">
        <v>0</v>
      </c>
      <c r="L79" s="21">
        <v>0</v>
      </c>
      <c r="M79" s="21">
        <f>N3*C79/100</f>
        <v>53600</v>
      </c>
      <c r="N79" s="21">
        <v>0.21</v>
      </c>
      <c r="O79" s="127">
        <f t="shared" si="3"/>
        <v>146131.72579999999</v>
      </c>
      <c r="P79" s="65" t="s">
        <v>20</v>
      </c>
    </row>
    <row r="80" spans="1:17" ht="15.75" thickBot="1" x14ac:dyDescent="0.3">
      <c r="A80" s="71">
        <v>74</v>
      </c>
      <c r="B80" s="24" t="s">
        <v>198</v>
      </c>
      <c r="C80" s="86">
        <v>1.1200000000000001</v>
      </c>
      <c r="D80" s="22"/>
      <c r="E80" s="22"/>
      <c r="F80" s="25">
        <v>477999</v>
      </c>
      <c r="G80" s="25">
        <v>0</v>
      </c>
      <c r="H80" s="52">
        <v>463695</v>
      </c>
      <c r="I80" s="21">
        <v>23578</v>
      </c>
      <c r="J80" s="21">
        <f>I3*C80/100</f>
        <v>77339.774400000009</v>
      </c>
      <c r="K80" s="21">
        <v>0</v>
      </c>
      <c r="L80" s="21">
        <v>0</v>
      </c>
      <c r="M80" s="21">
        <f>N3*C80/100</f>
        <v>44800</v>
      </c>
      <c r="N80" s="21">
        <v>-0.03</v>
      </c>
      <c r="O80" s="127">
        <f t="shared" si="3"/>
        <v>609412.74439999997</v>
      </c>
      <c r="P80" s="65"/>
    </row>
    <row r="81" spans="1:16" ht="15.75" thickBot="1" x14ac:dyDescent="0.3">
      <c r="A81" s="71">
        <v>75</v>
      </c>
      <c r="B81" s="24" t="s">
        <v>199</v>
      </c>
      <c r="C81" s="86">
        <v>1.17</v>
      </c>
      <c r="D81" s="22"/>
      <c r="E81" s="22"/>
      <c r="F81" s="25">
        <v>109871</v>
      </c>
      <c r="G81" s="25">
        <v>-109871</v>
      </c>
      <c r="H81" s="52">
        <f t="shared" si="2"/>
        <v>0</v>
      </c>
      <c r="I81" s="21">
        <v>0</v>
      </c>
      <c r="J81" s="21">
        <f>I3*C81/100</f>
        <v>80792.442899999995</v>
      </c>
      <c r="K81" s="21">
        <v>0</v>
      </c>
      <c r="L81" s="21">
        <v>0</v>
      </c>
      <c r="M81" s="21">
        <f>N3*C81/100</f>
        <v>46800</v>
      </c>
      <c r="N81" s="21">
        <v>0.31</v>
      </c>
      <c r="O81" s="127">
        <f t="shared" si="3"/>
        <v>127592.75289999999</v>
      </c>
      <c r="P81" s="65" t="s">
        <v>20</v>
      </c>
    </row>
    <row r="82" spans="1:16" ht="15.75" thickBot="1" x14ac:dyDescent="0.3">
      <c r="A82" s="71">
        <v>76</v>
      </c>
      <c r="B82" s="24" t="s">
        <v>200</v>
      </c>
      <c r="C82" s="86">
        <v>1.35</v>
      </c>
      <c r="D82" s="22"/>
      <c r="E82" s="22"/>
      <c r="F82" s="25">
        <v>126775</v>
      </c>
      <c r="G82" s="25">
        <v>-126775</v>
      </c>
      <c r="H82" s="52">
        <f t="shared" si="2"/>
        <v>0</v>
      </c>
      <c r="I82" s="21">
        <v>0</v>
      </c>
      <c r="J82" s="21">
        <f>I3*C82/100</f>
        <v>93222.049500000008</v>
      </c>
      <c r="K82" s="21">
        <v>0</v>
      </c>
      <c r="L82" s="21">
        <v>0</v>
      </c>
      <c r="M82" s="21">
        <f>N3*C82/100</f>
        <v>54000</v>
      </c>
      <c r="N82" s="21">
        <v>0.71</v>
      </c>
      <c r="O82" s="127">
        <f t="shared" si="3"/>
        <v>147222.75950000001</v>
      </c>
      <c r="P82" s="65" t="s">
        <v>20</v>
      </c>
    </row>
    <row r="83" spans="1:16" ht="15.75" thickBot="1" x14ac:dyDescent="0.3">
      <c r="A83" s="71">
        <v>77</v>
      </c>
      <c r="B83" s="24" t="s">
        <v>201</v>
      </c>
      <c r="C83" s="86">
        <v>1.1200000000000001</v>
      </c>
      <c r="D83" s="22"/>
      <c r="E83" s="22"/>
      <c r="F83" s="25">
        <v>105176</v>
      </c>
      <c r="G83" s="25">
        <v>-105176</v>
      </c>
      <c r="H83" s="52">
        <f t="shared" si="2"/>
        <v>0</v>
      </c>
      <c r="I83" s="21">
        <v>0</v>
      </c>
      <c r="J83" s="21">
        <f>I3*C83/100</f>
        <v>77339.774400000009</v>
      </c>
      <c r="K83" s="21">
        <v>0</v>
      </c>
      <c r="L83" s="21">
        <v>0</v>
      </c>
      <c r="M83" s="21">
        <f>N3*C83/100</f>
        <v>44800</v>
      </c>
      <c r="N83" s="21">
        <v>0</v>
      </c>
      <c r="O83" s="127">
        <f t="shared" si="3"/>
        <v>122139.77440000001</v>
      </c>
      <c r="P83" s="65" t="s">
        <v>20</v>
      </c>
    </row>
    <row r="84" spans="1:16" ht="15.75" thickBot="1" x14ac:dyDescent="0.3">
      <c r="A84" s="71">
        <v>78</v>
      </c>
      <c r="B84" s="24" t="s">
        <v>202</v>
      </c>
      <c r="C84" s="86">
        <v>0.82</v>
      </c>
      <c r="D84" s="22"/>
      <c r="E84" s="22"/>
      <c r="F84" s="25">
        <v>77004</v>
      </c>
      <c r="G84" s="25">
        <v>0</v>
      </c>
      <c r="H84" s="52">
        <f t="shared" si="2"/>
        <v>77004</v>
      </c>
      <c r="I84" s="21">
        <v>1540</v>
      </c>
      <c r="J84" s="21">
        <f>I3*C84/100</f>
        <v>56623.763399999996</v>
      </c>
      <c r="K84" s="21">
        <v>0</v>
      </c>
      <c r="L84" s="21">
        <v>0</v>
      </c>
      <c r="M84" s="21">
        <f>N3*C84/100</f>
        <v>32800</v>
      </c>
      <c r="N84" s="21">
        <v>0.02</v>
      </c>
      <c r="O84" s="127">
        <f t="shared" si="3"/>
        <v>167967.78339999999</v>
      </c>
      <c r="P84" s="65"/>
    </row>
    <row r="85" spans="1:16" ht="15.75" thickBot="1" x14ac:dyDescent="0.3">
      <c r="A85" s="71">
        <v>79</v>
      </c>
      <c r="B85" s="24" t="s">
        <v>203</v>
      </c>
      <c r="C85" s="86">
        <v>0.82</v>
      </c>
      <c r="D85" s="22"/>
      <c r="E85" s="22"/>
      <c r="F85" s="25">
        <v>77003</v>
      </c>
      <c r="G85" s="25">
        <v>-77004</v>
      </c>
      <c r="H85" s="52">
        <f t="shared" si="2"/>
        <v>-1</v>
      </c>
      <c r="I85" s="21">
        <v>0</v>
      </c>
      <c r="J85" s="21">
        <f>I3*C85/100</f>
        <v>56623.763399999996</v>
      </c>
      <c r="K85" s="21">
        <v>0</v>
      </c>
      <c r="L85" s="21">
        <v>0</v>
      </c>
      <c r="M85" s="21">
        <f>N3*C85/100</f>
        <v>32800</v>
      </c>
      <c r="N85" s="21">
        <v>0.03</v>
      </c>
      <c r="O85" s="127">
        <f t="shared" si="3"/>
        <v>89422.793399999995</v>
      </c>
      <c r="P85" s="65" t="s">
        <v>20</v>
      </c>
    </row>
    <row r="86" spans="1:16" ht="15.75" thickBot="1" x14ac:dyDescent="0.3">
      <c r="A86" s="71">
        <v>80</v>
      </c>
      <c r="B86" s="24" t="s">
        <v>204</v>
      </c>
      <c r="C86" s="86">
        <v>1.34</v>
      </c>
      <c r="D86" s="22"/>
      <c r="E86" s="22"/>
      <c r="F86" s="25">
        <v>125836</v>
      </c>
      <c r="G86" s="25">
        <v>0</v>
      </c>
      <c r="H86" s="52">
        <f t="shared" si="2"/>
        <v>125836</v>
      </c>
      <c r="I86" s="21">
        <v>2517</v>
      </c>
      <c r="J86" s="21">
        <f>I3*C86/100</f>
        <v>92531.515799999994</v>
      </c>
      <c r="K86" s="21">
        <v>0</v>
      </c>
      <c r="L86" s="21">
        <v>0</v>
      </c>
      <c r="M86" s="21">
        <f>N3*C86/100</f>
        <v>53600</v>
      </c>
      <c r="N86" s="21">
        <v>0.28000000000000003</v>
      </c>
      <c r="O86" s="127">
        <f t="shared" si="3"/>
        <v>274484.79580000002</v>
      </c>
      <c r="P86" s="65" t="s">
        <v>20</v>
      </c>
    </row>
    <row r="87" spans="1:16" ht="15.75" thickBot="1" x14ac:dyDescent="0.3">
      <c r="A87" s="71">
        <v>81</v>
      </c>
      <c r="B87" s="24" t="s">
        <v>205</v>
      </c>
      <c r="C87" s="86">
        <v>1.1200000000000001</v>
      </c>
      <c r="D87" s="22"/>
      <c r="E87" s="22"/>
      <c r="F87" s="25">
        <v>105176</v>
      </c>
      <c r="G87" s="25">
        <v>-105176</v>
      </c>
      <c r="H87" s="52">
        <f t="shared" si="2"/>
        <v>0</v>
      </c>
      <c r="I87" s="21">
        <v>0</v>
      </c>
      <c r="J87" s="21">
        <f>I3*C87/100</f>
        <v>77339.774400000009</v>
      </c>
      <c r="K87" s="21">
        <v>0</v>
      </c>
      <c r="L87" s="21">
        <v>0</v>
      </c>
      <c r="M87" s="21">
        <f>N3*C87/100</f>
        <v>44800</v>
      </c>
      <c r="N87" s="21">
        <v>0.04</v>
      </c>
      <c r="O87" s="127">
        <f t="shared" si="3"/>
        <v>122139.8144</v>
      </c>
      <c r="P87" s="65" t="s">
        <v>20</v>
      </c>
    </row>
    <row r="88" spans="1:16" ht="15.75" thickBot="1" x14ac:dyDescent="0.3">
      <c r="A88" s="71">
        <v>82</v>
      </c>
      <c r="B88" s="24" t="s">
        <v>206</v>
      </c>
      <c r="C88" s="86">
        <v>1.17</v>
      </c>
      <c r="D88" s="22"/>
      <c r="E88" s="22"/>
      <c r="F88" s="25">
        <v>109871</v>
      </c>
      <c r="G88" s="25">
        <v>-109871</v>
      </c>
      <c r="H88" s="52">
        <f t="shared" si="2"/>
        <v>0</v>
      </c>
      <c r="I88" s="21">
        <v>0</v>
      </c>
      <c r="J88" s="21">
        <f>I3*C88/100</f>
        <v>80792.442899999995</v>
      </c>
      <c r="K88" s="21">
        <v>0</v>
      </c>
      <c r="L88" s="21">
        <v>0</v>
      </c>
      <c r="M88" s="21">
        <f>N3*C88/100</f>
        <v>46800</v>
      </c>
      <c r="N88" s="21">
        <v>0.38</v>
      </c>
      <c r="O88" s="127">
        <f t="shared" si="3"/>
        <v>127592.8229</v>
      </c>
      <c r="P88" s="65" t="s">
        <v>20</v>
      </c>
    </row>
    <row r="89" spans="1:16" ht="15.75" thickBot="1" x14ac:dyDescent="0.3">
      <c r="A89" s="71">
        <v>83</v>
      </c>
      <c r="B89" s="24" t="s">
        <v>207</v>
      </c>
      <c r="C89" s="86">
        <v>1.35</v>
      </c>
      <c r="D89" s="22"/>
      <c r="E89" s="22"/>
      <c r="F89" s="25">
        <v>126775</v>
      </c>
      <c r="G89" s="25">
        <v>-146398</v>
      </c>
      <c r="H89" s="52">
        <f t="shared" si="2"/>
        <v>-19623</v>
      </c>
      <c r="I89" s="21">
        <v>0</v>
      </c>
      <c r="J89" s="21">
        <f>I3*C89/100</f>
        <v>93222.049500000008</v>
      </c>
      <c r="K89" s="21">
        <v>0</v>
      </c>
      <c r="L89" s="21">
        <v>0</v>
      </c>
      <c r="M89" s="21">
        <f>N3*C89/100</f>
        <v>54000</v>
      </c>
      <c r="N89" s="21">
        <v>0.78</v>
      </c>
      <c r="O89" s="127">
        <f t="shared" si="3"/>
        <v>127599.82950000001</v>
      </c>
      <c r="P89" s="65" t="s">
        <v>20</v>
      </c>
    </row>
    <row r="90" spans="1:16" ht="15.75" thickBot="1" x14ac:dyDescent="0.3">
      <c r="A90" s="71">
        <v>84</v>
      </c>
      <c r="B90" s="24" t="s">
        <v>208</v>
      </c>
      <c r="C90" s="86">
        <v>1.1200000000000001</v>
      </c>
      <c r="D90" s="22"/>
      <c r="E90" s="22"/>
      <c r="F90" s="25">
        <v>105176</v>
      </c>
      <c r="G90" s="25">
        <v>-105176</v>
      </c>
      <c r="H90" s="52">
        <f t="shared" si="2"/>
        <v>0</v>
      </c>
      <c r="I90" s="21">
        <v>0</v>
      </c>
      <c r="J90" s="21">
        <f>I3*C90/100</f>
        <v>77339.774400000009</v>
      </c>
      <c r="K90" s="21">
        <v>0</v>
      </c>
      <c r="L90" s="21">
        <v>0</v>
      </c>
      <c r="M90" s="21">
        <f>N3*C90/100</f>
        <v>44800</v>
      </c>
      <c r="N90" s="21">
        <v>7.0000000000000007E-2</v>
      </c>
      <c r="O90" s="127">
        <f t="shared" si="3"/>
        <v>122139.84440000002</v>
      </c>
      <c r="P90" s="65" t="s">
        <v>20</v>
      </c>
    </row>
    <row r="91" spans="1:16" ht="15.75" thickBot="1" x14ac:dyDescent="0.3">
      <c r="A91" s="71">
        <v>85</v>
      </c>
      <c r="B91" s="24" t="s">
        <v>209</v>
      </c>
      <c r="C91" s="86">
        <v>0.82</v>
      </c>
      <c r="D91" s="22"/>
      <c r="E91" s="22"/>
      <c r="F91" s="25">
        <v>77004</v>
      </c>
      <c r="G91" s="25">
        <v>-77004</v>
      </c>
      <c r="H91" s="52">
        <f t="shared" si="2"/>
        <v>0</v>
      </c>
      <c r="I91" s="21">
        <v>0</v>
      </c>
      <c r="J91" s="21">
        <f>I3*C91/100</f>
        <v>56623.763399999996</v>
      </c>
      <c r="K91" s="21">
        <v>0</v>
      </c>
      <c r="L91" s="21">
        <v>0</v>
      </c>
      <c r="M91" s="21">
        <f>N3*C91/100</f>
        <v>32800</v>
      </c>
      <c r="N91" s="21">
        <v>0.09</v>
      </c>
      <c r="O91" s="127">
        <f t="shared" si="3"/>
        <v>89423.853399999993</v>
      </c>
      <c r="P91" s="65" t="s">
        <v>20</v>
      </c>
    </row>
    <row r="92" spans="1:16" ht="15.75" thickBot="1" x14ac:dyDescent="0.3">
      <c r="A92" s="71">
        <v>86</v>
      </c>
      <c r="B92" s="24" t="s">
        <v>210</v>
      </c>
      <c r="C92" s="86">
        <v>0.82</v>
      </c>
      <c r="D92" s="22"/>
      <c r="E92" s="22"/>
      <c r="F92" s="25">
        <v>167705</v>
      </c>
      <c r="G92" s="25">
        <v>-167705</v>
      </c>
      <c r="H92" s="52">
        <f t="shared" si="2"/>
        <v>0</v>
      </c>
      <c r="I92" s="21">
        <v>0</v>
      </c>
      <c r="J92" s="21">
        <f>I3*C92/100</f>
        <v>56623.763399999996</v>
      </c>
      <c r="K92" s="21">
        <v>0</v>
      </c>
      <c r="L92" s="21">
        <v>0</v>
      </c>
      <c r="M92" s="21">
        <f>N3*C92/100</f>
        <v>32800</v>
      </c>
      <c r="N92" s="21">
        <v>0.1</v>
      </c>
      <c r="O92" s="127">
        <f t="shared" si="3"/>
        <v>89423.863400000002</v>
      </c>
      <c r="P92" s="65" t="s">
        <v>20</v>
      </c>
    </row>
    <row r="93" spans="1:16" ht="15.75" thickBot="1" x14ac:dyDescent="0.3">
      <c r="A93" s="71">
        <v>87</v>
      </c>
      <c r="B93" s="24" t="s">
        <v>211</v>
      </c>
      <c r="C93" s="86">
        <v>1.34</v>
      </c>
      <c r="D93" s="22"/>
      <c r="E93" s="22"/>
      <c r="F93" s="25">
        <v>125836</v>
      </c>
      <c r="G93" s="25">
        <v>-125836</v>
      </c>
      <c r="H93" s="52">
        <f t="shared" si="2"/>
        <v>0</v>
      </c>
      <c r="I93" s="21">
        <v>0</v>
      </c>
      <c r="J93" s="21">
        <f>I3*C93/100</f>
        <v>92531.515799999994</v>
      </c>
      <c r="K93" s="21">
        <v>0</v>
      </c>
      <c r="L93" s="21">
        <v>0</v>
      </c>
      <c r="M93" s="21">
        <f>N3*C93/100</f>
        <v>53600</v>
      </c>
      <c r="N93" s="21">
        <v>0.35</v>
      </c>
      <c r="O93" s="127">
        <f t="shared" si="3"/>
        <v>146131.8658</v>
      </c>
      <c r="P93" s="65" t="s">
        <v>20</v>
      </c>
    </row>
    <row r="94" spans="1:16" ht="15.75" thickBot="1" x14ac:dyDescent="0.3">
      <c r="A94" s="71">
        <v>88</v>
      </c>
      <c r="B94" s="24" t="s">
        <v>212</v>
      </c>
      <c r="C94" s="86">
        <v>1.1200000000000001</v>
      </c>
      <c r="D94" s="22"/>
      <c r="E94" s="22"/>
      <c r="F94" s="25">
        <v>105176</v>
      </c>
      <c r="G94" s="25">
        <v>-105176</v>
      </c>
      <c r="H94" s="52">
        <f t="shared" si="2"/>
        <v>0</v>
      </c>
      <c r="I94" s="21">
        <v>0</v>
      </c>
      <c r="J94" s="21">
        <f>I3*C94/100</f>
        <v>77339.774400000009</v>
      </c>
      <c r="K94" s="21">
        <v>0</v>
      </c>
      <c r="L94" s="21">
        <v>0</v>
      </c>
      <c r="M94" s="21">
        <f>N3*C94/100</f>
        <v>44800</v>
      </c>
      <c r="N94" s="21">
        <v>0.11</v>
      </c>
      <c r="O94" s="127">
        <f t="shared" si="3"/>
        <v>122139.88440000001</v>
      </c>
      <c r="P94" s="65" t="s">
        <v>20</v>
      </c>
    </row>
    <row r="95" spans="1:16" ht="15.75" thickBot="1" x14ac:dyDescent="0.3">
      <c r="A95" s="71">
        <v>89</v>
      </c>
      <c r="B95" s="24" t="s">
        <v>213</v>
      </c>
      <c r="C95" s="86">
        <v>1.17</v>
      </c>
      <c r="D95" s="22"/>
      <c r="E95" s="22"/>
      <c r="F95" s="25">
        <v>109871</v>
      </c>
      <c r="G95" s="25">
        <v>-109872</v>
      </c>
      <c r="H95" s="52">
        <f t="shared" si="2"/>
        <v>-1</v>
      </c>
      <c r="I95" s="21">
        <v>0</v>
      </c>
      <c r="J95" s="21">
        <f>I3*C95/100</f>
        <v>80792.442899999995</v>
      </c>
      <c r="K95" s="21">
        <v>0</v>
      </c>
      <c r="L95" s="21">
        <v>0</v>
      </c>
      <c r="M95" s="21">
        <f>N3*C95/100</f>
        <v>46800</v>
      </c>
      <c r="N95" s="21">
        <v>0.45</v>
      </c>
      <c r="O95" s="127">
        <f t="shared" si="3"/>
        <v>127591.89289999999</v>
      </c>
      <c r="P95" s="65" t="s">
        <v>20</v>
      </c>
    </row>
    <row r="96" spans="1:16" ht="15.75" thickBot="1" x14ac:dyDescent="0.3">
      <c r="A96" s="71">
        <v>90</v>
      </c>
      <c r="B96" s="24" t="s">
        <v>214</v>
      </c>
      <c r="C96" s="86">
        <v>0.1</v>
      </c>
      <c r="D96" s="22"/>
      <c r="E96" s="86">
        <v>0</v>
      </c>
      <c r="F96" s="25">
        <v>20412</v>
      </c>
      <c r="G96" s="25">
        <v>-9390</v>
      </c>
      <c r="H96" s="52">
        <v>10806</v>
      </c>
      <c r="I96" s="21">
        <v>432</v>
      </c>
      <c r="J96" s="21">
        <f>I3*C96/100</f>
        <v>6905.3370000000004</v>
      </c>
      <c r="K96" s="21">
        <v>0</v>
      </c>
      <c r="L96" s="21">
        <v>0</v>
      </c>
      <c r="M96" s="21">
        <f>N3*C96/100</f>
        <v>4000</v>
      </c>
      <c r="N96" s="21">
        <v>0.56000000000000005</v>
      </c>
      <c r="O96" s="127">
        <f t="shared" si="3"/>
        <v>22143.897000000001</v>
      </c>
      <c r="P96" s="65" t="s">
        <v>20</v>
      </c>
    </row>
    <row r="97" spans="1:16" ht="15.75" thickBot="1" x14ac:dyDescent="0.3">
      <c r="A97" s="71">
        <v>91</v>
      </c>
      <c r="B97" s="24" t="s">
        <v>215</v>
      </c>
      <c r="C97" s="86">
        <v>0.1</v>
      </c>
      <c r="D97" s="22"/>
      <c r="E97" s="86">
        <v>0</v>
      </c>
      <c r="F97" s="25">
        <v>9043</v>
      </c>
      <c r="G97" s="25">
        <v>-9043</v>
      </c>
      <c r="H97" s="52">
        <f t="shared" si="2"/>
        <v>0</v>
      </c>
      <c r="I97" s="21">
        <v>0</v>
      </c>
      <c r="J97" s="21">
        <f>I3*C97/100</f>
        <v>6905.3370000000004</v>
      </c>
      <c r="K97" s="21">
        <v>0</v>
      </c>
      <c r="L97" s="21">
        <v>0</v>
      </c>
      <c r="M97" s="21">
        <f>N3*C97/100</f>
        <v>4000</v>
      </c>
      <c r="N97" s="21">
        <v>0.56999999999999995</v>
      </c>
      <c r="O97" s="127">
        <f t="shared" si="3"/>
        <v>10905.906999999999</v>
      </c>
      <c r="P97" s="65" t="s">
        <v>20</v>
      </c>
    </row>
    <row r="98" spans="1:16" ht="15.75" thickBot="1" x14ac:dyDescent="0.3">
      <c r="A98" s="71">
        <v>92</v>
      </c>
      <c r="B98" s="24" t="s">
        <v>216</v>
      </c>
      <c r="C98" s="86">
        <v>0.1</v>
      </c>
      <c r="D98" s="22"/>
      <c r="E98" s="86">
        <v>0</v>
      </c>
      <c r="F98" s="25">
        <v>9390</v>
      </c>
      <c r="G98" s="25">
        <v>-9391</v>
      </c>
      <c r="H98" s="52">
        <f t="shared" si="2"/>
        <v>-1</v>
      </c>
      <c r="I98" s="21">
        <v>0</v>
      </c>
      <c r="J98" s="21">
        <f>I3*C98/100</f>
        <v>6905.3370000000004</v>
      </c>
      <c r="K98" s="21">
        <v>0</v>
      </c>
      <c r="L98" s="21">
        <v>0</v>
      </c>
      <c r="M98" s="21">
        <f>N3*C98/100</f>
        <v>4000</v>
      </c>
      <c r="N98" s="21">
        <v>0.57999999999999996</v>
      </c>
      <c r="O98" s="127">
        <f t="shared" si="3"/>
        <v>10904.916999999999</v>
      </c>
      <c r="P98" s="65" t="s">
        <v>20</v>
      </c>
    </row>
    <row r="99" spans="1:16" ht="15.75" thickBot="1" x14ac:dyDescent="0.3">
      <c r="A99" s="71">
        <v>93</v>
      </c>
      <c r="B99" s="24" t="s">
        <v>217</v>
      </c>
      <c r="C99" s="86">
        <v>0.1</v>
      </c>
      <c r="D99" s="22"/>
      <c r="E99" s="86">
        <v>0</v>
      </c>
      <c r="F99" s="25">
        <v>9390</v>
      </c>
      <c r="G99" s="25">
        <v>-9390</v>
      </c>
      <c r="H99" s="52">
        <f t="shared" si="2"/>
        <v>0</v>
      </c>
      <c r="I99" s="21">
        <v>0</v>
      </c>
      <c r="J99" s="21">
        <f>I3*C99/100</f>
        <v>6905.3370000000004</v>
      </c>
      <c r="K99" s="21">
        <v>0</v>
      </c>
      <c r="L99" s="21">
        <v>0</v>
      </c>
      <c r="M99" s="21">
        <f>N3*C99/100</f>
        <v>4000</v>
      </c>
      <c r="N99" s="21">
        <v>0.59</v>
      </c>
      <c r="O99" s="127">
        <f t="shared" si="3"/>
        <v>10905.927</v>
      </c>
      <c r="P99" s="65" t="s">
        <v>20</v>
      </c>
    </row>
    <row r="100" spans="1:16" ht="15.75" thickBot="1" x14ac:dyDescent="0.3">
      <c r="A100" s="71">
        <v>94</v>
      </c>
      <c r="B100" s="24" t="s">
        <v>218</v>
      </c>
      <c r="C100" s="86">
        <v>0.1</v>
      </c>
      <c r="D100" s="22"/>
      <c r="E100" s="86">
        <v>0</v>
      </c>
      <c r="F100" s="25">
        <v>8759</v>
      </c>
      <c r="G100" s="25">
        <v>-9390</v>
      </c>
      <c r="H100" s="52">
        <f t="shared" si="2"/>
        <v>-631</v>
      </c>
      <c r="I100" s="21">
        <v>0</v>
      </c>
      <c r="J100" s="21">
        <f>I3*C100/100</f>
        <v>6905.3370000000004</v>
      </c>
      <c r="K100" s="21">
        <v>0</v>
      </c>
      <c r="L100" s="21">
        <v>0</v>
      </c>
      <c r="M100" s="21">
        <f>N3*C100/100</f>
        <v>4000</v>
      </c>
      <c r="N100" s="21">
        <v>0.6</v>
      </c>
      <c r="O100" s="127">
        <f t="shared" si="3"/>
        <v>10274.937</v>
      </c>
      <c r="P100" s="65" t="s">
        <v>38</v>
      </c>
    </row>
    <row r="101" spans="1:16" ht="15.75" thickBot="1" x14ac:dyDescent="0.3">
      <c r="A101" s="71">
        <v>95</v>
      </c>
      <c r="B101" s="24" t="s">
        <v>219</v>
      </c>
      <c r="C101" s="86">
        <v>0.1</v>
      </c>
      <c r="D101" s="22"/>
      <c r="E101" s="86">
        <v>0</v>
      </c>
      <c r="F101" s="25">
        <v>9390</v>
      </c>
      <c r="G101" s="25">
        <v>-9391</v>
      </c>
      <c r="H101" s="52">
        <f t="shared" si="2"/>
        <v>-1</v>
      </c>
      <c r="I101" s="21">
        <v>0</v>
      </c>
      <c r="J101" s="21">
        <f>I3*C101/100</f>
        <v>6905.3370000000004</v>
      </c>
      <c r="K101" s="21">
        <v>0</v>
      </c>
      <c r="L101" s="21">
        <v>0</v>
      </c>
      <c r="M101" s="21">
        <f>N3*C101/100</f>
        <v>4000</v>
      </c>
      <c r="N101" s="21">
        <v>0.61</v>
      </c>
      <c r="O101" s="127">
        <f t="shared" si="3"/>
        <v>10904.947</v>
      </c>
      <c r="P101" s="65" t="s">
        <v>20</v>
      </c>
    </row>
    <row r="102" spans="1:16" ht="15.75" thickBot="1" x14ac:dyDescent="0.3">
      <c r="A102" s="71">
        <v>96</v>
      </c>
      <c r="B102" s="24" t="s">
        <v>218</v>
      </c>
      <c r="C102" s="86">
        <v>0.1</v>
      </c>
      <c r="D102" s="22"/>
      <c r="E102" s="86">
        <v>0</v>
      </c>
      <c r="F102" s="25">
        <v>9390</v>
      </c>
      <c r="G102" s="25">
        <v>-9390</v>
      </c>
      <c r="H102" s="52">
        <f t="shared" si="2"/>
        <v>0</v>
      </c>
      <c r="I102" s="21">
        <v>0</v>
      </c>
      <c r="J102" s="21">
        <f>I3*C102/100</f>
        <v>6905.3370000000004</v>
      </c>
      <c r="K102" s="21">
        <v>0</v>
      </c>
      <c r="L102" s="21">
        <v>0</v>
      </c>
      <c r="M102" s="21">
        <f>N3*C102/100</f>
        <v>4000</v>
      </c>
      <c r="N102" s="21">
        <v>0.62</v>
      </c>
      <c r="O102" s="127">
        <f t="shared" si="3"/>
        <v>10905.957</v>
      </c>
      <c r="P102" s="65" t="s">
        <v>20</v>
      </c>
    </row>
    <row r="103" spans="1:16" ht="15.75" thickBot="1" x14ac:dyDescent="0.3">
      <c r="A103" s="71">
        <v>97</v>
      </c>
      <c r="B103" s="24" t="s">
        <v>220</v>
      </c>
      <c r="C103" s="86">
        <v>0.1</v>
      </c>
      <c r="D103" s="22"/>
      <c r="E103" s="86">
        <v>0</v>
      </c>
      <c r="F103" s="25">
        <v>9390</v>
      </c>
      <c r="G103" s="25">
        <v>-9390</v>
      </c>
      <c r="H103" s="52">
        <f t="shared" si="2"/>
        <v>0</v>
      </c>
      <c r="I103" s="21">
        <v>0</v>
      </c>
      <c r="J103" s="21">
        <f>I3*C103/100</f>
        <v>6905.3370000000004</v>
      </c>
      <c r="K103" s="21">
        <v>0</v>
      </c>
      <c r="L103" s="21">
        <v>0</v>
      </c>
      <c r="M103" s="21">
        <f>N3*C103/100</f>
        <v>4000</v>
      </c>
      <c r="N103" s="21">
        <v>0.63</v>
      </c>
      <c r="O103" s="127">
        <f t="shared" si="3"/>
        <v>10905.966999999999</v>
      </c>
      <c r="P103" s="65" t="s">
        <v>20</v>
      </c>
    </row>
    <row r="104" spans="1:16" ht="15.75" thickBot="1" x14ac:dyDescent="0.3">
      <c r="A104" s="71">
        <v>98</v>
      </c>
      <c r="B104" s="24" t="s">
        <v>221</v>
      </c>
      <c r="C104" s="86">
        <v>0.1</v>
      </c>
      <c r="D104" s="22"/>
      <c r="E104" s="86">
        <v>0</v>
      </c>
      <c r="F104" s="25">
        <v>20349</v>
      </c>
      <c r="G104" s="25">
        <v>-20349</v>
      </c>
      <c r="H104" s="52">
        <f t="shared" si="2"/>
        <v>0</v>
      </c>
      <c r="I104" s="21">
        <v>0</v>
      </c>
      <c r="J104" s="21">
        <f>I3*C104/100</f>
        <v>6905.3370000000004</v>
      </c>
      <c r="K104" s="21">
        <v>0</v>
      </c>
      <c r="L104" s="21">
        <v>0</v>
      </c>
      <c r="M104" s="21">
        <f>N3*C104/100</f>
        <v>4000</v>
      </c>
      <c r="N104" s="21">
        <v>0.64</v>
      </c>
      <c r="O104" s="127">
        <f t="shared" si="3"/>
        <v>10905.976999999999</v>
      </c>
      <c r="P104" s="65" t="s">
        <v>20</v>
      </c>
    </row>
    <row r="105" spans="1:16" ht="15.75" thickBot="1" x14ac:dyDescent="0.3">
      <c r="A105" s="71">
        <v>99</v>
      </c>
      <c r="B105" s="24" t="s">
        <v>222</v>
      </c>
      <c r="C105" s="86">
        <v>0.1</v>
      </c>
      <c r="D105" s="22"/>
      <c r="E105" s="86">
        <v>0</v>
      </c>
      <c r="F105" s="25">
        <v>9390</v>
      </c>
      <c r="G105" s="25">
        <v>-9391</v>
      </c>
      <c r="H105" s="52">
        <f t="shared" si="2"/>
        <v>-1</v>
      </c>
      <c r="I105" s="21">
        <v>0</v>
      </c>
      <c r="J105" s="21">
        <f>I3*C105/100</f>
        <v>6905.3370000000004</v>
      </c>
      <c r="K105" s="21">
        <v>0</v>
      </c>
      <c r="L105" s="21">
        <v>0</v>
      </c>
      <c r="M105" s="21">
        <f>N3*C105/100</f>
        <v>4000</v>
      </c>
      <c r="N105" s="21">
        <v>0.65</v>
      </c>
      <c r="O105" s="127">
        <f t="shared" si="3"/>
        <v>10904.986999999999</v>
      </c>
      <c r="P105" s="65" t="s">
        <v>20</v>
      </c>
    </row>
    <row r="106" spans="1:16" ht="15.75" thickBot="1" x14ac:dyDescent="0.3">
      <c r="A106" s="71">
        <v>100</v>
      </c>
      <c r="B106" s="24" t="s">
        <v>223</v>
      </c>
      <c r="C106" s="86">
        <v>0.1</v>
      </c>
      <c r="D106" s="22"/>
      <c r="E106" s="86">
        <v>0</v>
      </c>
      <c r="F106" s="25">
        <v>31359</v>
      </c>
      <c r="G106" s="25">
        <v>-9391</v>
      </c>
      <c r="H106" s="52">
        <v>21331</v>
      </c>
      <c r="I106" s="21">
        <v>1064</v>
      </c>
      <c r="J106" s="21">
        <f>I3*C106/100</f>
        <v>6905.3370000000004</v>
      </c>
      <c r="K106" s="21">
        <v>0</v>
      </c>
      <c r="L106" s="21">
        <v>0</v>
      </c>
      <c r="M106" s="21">
        <f>N3*C106/100</f>
        <v>4000</v>
      </c>
      <c r="N106" s="21">
        <v>0.66</v>
      </c>
      <c r="O106" s="127">
        <f t="shared" si="3"/>
        <v>33300.997000000003</v>
      </c>
      <c r="P106" s="65"/>
    </row>
    <row r="107" spans="1:16" ht="15.75" thickBot="1" x14ac:dyDescent="0.3">
      <c r="A107" s="71">
        <v>101</v>
      </c>
      <c r="B107" s="24" t="s">
        <v>224</v>
      </c>
      <c r="C107" s="86">
        <v>0.1</v>
      </c>
      <c r="D107" s="22"/>
      <c r="E107" s="86">
        <v>0</v>
      </c>
      <c r="F107" s="25">
        <v>9391</v>
      </c>
      <c r="G107" s="25">
        <v>-9391</v>
      </c>
      <c r="H107" s="52">
        <f t="shared" si="2"/>
        <v>0</v>
      </c>
      <c r="I107" s="21">
        <v>0</v>
      </c>
      <c r="J107" s="21">
        <f>I3*C107/100</f>
        <v>6905.3370000000004</v>
      </c>
      <c r="K107" s="21">
        <v>0</v>
      </c>
      <c r="L107" s="21">
        <v>0</v>
      </c>
      <c r="M107" s="21">
        <f>N3*C107/100</f>
        <v>4000</v>
      </c>
      <c r="N107" s="21">
        <v>0.67</v>
      </c>
      <c r="O107" s="127">
        <f t="shared" si="3"/>
        <v>10906.007</v>
      </c>
      <c r="P107" s="65" t="s">
        <v>20</v>
      </c>
    </row>
    <row r="108" spans="1:16" x14ac:dyDescent="0.25">
      <c r="A108" s="71">
        <v>102</v>
      </c>
      <c r="B108" s="24" t="s">
        <v>225</v>
      </c>
      <c r="C108" s="86">
        <v>0.1</v>
      </c>
      <c r="D108" s="22"/>
      <c r="E108" s="86">
        <v>0</v>
      </c>
      <c r="F108" s="25">
        <v>9391</v>
      </c>
      <c r="G108" s="25">
        <v>0</v>
      </c>
      <c r="H108" s="52">
        <f t="shared" si="2"/>
        <v>9391</v>
      </c>
      <c r="I108" s="21">
        <v>188</v>
      </c>
      <c r="J108" s="21">
        <f>I3*C108/100</f>
        <v>6905.3370000000004</v>
      </c>
      <c r="K108" s="21">
        <v>0</v>
      </c>
      <c r="L108" s="21">
        <v>0</v>
      </c>
      <c r="M108" s="21">
        <f>N3*C108/100</f>
        <v>4000</v>
      </c>
      <c r="N108" s="21">
        <v>0.68</v>
      </c>
      <c r="O108" s="127">
        <f t="shared" si="3"/>
        <v>20485.017</v>
      </c>
      <c r="P108" s="65" t="s">
        <v>20</v>
      </c>
    </row>
    <row r="109" spans="1:16" ht="15.75" thickBot="1" x14ac:dyDescent="0.3">
      <c r="A109" s="71">
        <v>103</v>
      </c>
      <c r="B109" s="24" t="s">
        <v>226</v>
      </c>
      <c r="C109" s="85">
        <v>0.1</v>
      </c>
      <c r="D109" s="68"/>
      <c r="E109" s="85">
        <v>0</v>
      </c>
      <c r="F109" s="69">
        <v>9391</v>
      </c>
      <c r="G109" s="69">
        <v>-9391</v>
      </c>
      <c r="H109" s="70">
        <f t="shared" si="2"/>
        <v>0</v>
      </c>
      <c r="I109" s="70">
        <v>0</v>
      </c>
      <c r="J109" s="70">
        <f>I3*C109/100</f>
        <v>6905.3370000000004</v>
      </c>
      <c r="K109" s="70">
        <v>0</v>
      </c>
      <c r="L109" s="70">
        <v>0</v>
      </c>
      <c r="M109" s="70">
        <f>N3*C109/100</f>
        <v>4000</v>
      </c>
      <c r="N109" s="70">
        <v>0.69</v>
      </c>
      <c r="O109" s="127">
        <f t="shared" si="3"/>
        <v>10906.027</v>
      </c>
      <c r="P109" s="65" t="s">
        <v>20</v>
      </c>
    </row>
    <row r="110" spans="1:16" ht="15.75" thickBot="1" x14ac:dyDescent="0.3">
      <c r="A110" s="2" t="s">
        <v>20</v>
      </c>
      <c r="C110" s="88">
        <f>SUM(C7:C70)</f>
        <v>71.090000000000018</v>
      </c>
      <c r="D110" s="72">
        <f>SUM(D7:D35)</f>
        <v>6.1299999999999986E-2</v>
      </c>
      <c r="E110" s="129">
        <f>SUM(E96:E109)</f>
        <v>0</v>
      </c>
      <c r="F110" s="73">
        <f>SUM(F7:F109)</f>
        <v>18796935</v>
      </c>
      <c r="G110" s="73">
        <f>SUM(G7:G109)</f>
        <v>-7799733</v>
      </c>
      <c r="H110" s="73">
        <f>SUM(H7:H109)</f>
        <v>10149453</v>
      </c>
      <c r="I110" s="73">
        <f>SUM(I7:I109)</f>
        <v>857508</v>
      </c>
      <c r="J110" s="94">
        <f>SUM(J7:J109)</f>
        <v>6916385.539200007</v>
      </c>
      <c r="K110" s="73">
        <f>SUM(K7:K70)</f>
        <v>0</v>
      </c>
      <c r="L110" s="73">
        <f t="shared" ref="L110" si="4">SUM(L7:L70)</f>
        <v>0</v>
      </c>
      <c r="M110" s="92">
        <f>SUM(M7:M109)</f>
        <v>4006400</v>
      </c>
      <c r="N110" s="73">
        <f>SUM(N7:N109)</f>
        <v>2.1500000000000012</v>
      </c>
      <c r="O110" s="74">
        <f>SUM(O7:O109)</f>
        <v>21929748.689200003</v>
      </c>
      <c r="P110" t="s">
        <v>20</v>
      </c>
    </row>
    <row r="111" spans="1:16" x14ac:dyDescent="0.25">
      <c r="C111" s="318" t="s">
        <v>20</v>
      </c>
      <c r="D111" s="318"/>
      <c r="E111" s="99"/>
      <c r="G111" s="12" t="s">
        <v>20</v>
      </c>
    </row>
    <row r="112" spans="1:16" ht="18.75" x14ac:dyDescent="0.3">
      <c r="C112" s="3"/>
      <c r="D112" s="3"/>
      <c r="E112" s="3"/>
      <c r="J112" s="40" t="s">
        <v>234</v>
      </c>
      <c r="K112" s="40"/>
      <c r="L112" s="40"/>
    </row>
    <row r="113" spans="1:16" ht="18.75" x14ac:dyDescent="0.3">
      <c r="A113" s="40" t="s">
        <v>22</v>
      </c>
      <c r="B113" s="40"/>
      <c r="C113" s="78"/>
      <c r="G113" s="78" t="s">
        <v>252</v>
      </c>
      <c r="H113" s="40"/>
      <c r="I113" s="40"/>
      <c r="J113" s="131">
        <v>45699</v>
      </c>
      <c r="K113" s="40"/>
      <c r="L113" s="9" t="s">
        <v>235</v>
      </c>
      <c r="M113" s="134">
        <v>125836.84</v>
      </c>
      <c r="N113" s="40"/>
      <c r="O113" s="40"/>
    </row>
    <row r="114" spans="1:16" ht="18.75" x14ac:dyDescent="0.3">
      <c r="A114" s="78" t="s">
        <v>23</v>
      </c>
      <c r="B114" s="79" t="s">
        <v>245</v>
      </c>
      <c r="C114" s="78"/>
      <c r="D114" t="s">
        <v>26</v>
      </c>
      <c r="G114" s="40" t="s">
        <v>20</v>
      </c>
      <c r="H114" s="9"/>
      <c r="I114" s="9"/>
      <c r="J114" s="131" t="s">
        <v>20</v>
      </c>
      <c r="K114" s="9"/>
      <c r="L114" s="9" t="s">
        <v>236</v>
      </c>
      <c r="M114" s="134" t="s">
        <v>20</v>
      </c>
      <c r="N114" s="9" t="s">
        <v>20</v>
      </c>
      <c r="O114" s="9"/>
    </row>
    <row r="115" spans="1:16" ht="18.75" x14ac:dyDescent="0.3">
      <c r="A115" s="78" t="s">
        <v>24</v>
      </c>
      <c r="B115" s="80" t="s">
        <v>246</v>
      </c>
      <c r="C115" s="78"/>
      <c r="D115" s="28"/>
      <c r="E115" s="28"/>
      <c r="J115" s="131" t="s">
        <v>20</v>
      </c>
      <c r="K115" s="9"/>
      <c r="L115" s="9" t="s">
        <v>237</v>
      </c>
      <c r="M115" s="134" t="s">
        <v>20</v>
      </c>
    </row>
    <row r="116" spans="1:16" ht="18.75" x14ac:dyDescent="0.3">
      <c r="A116" s="78" t="s">
        <v>25</v>
      </c>
      <c r="B116" s="79" t="s">
        <v>247</v>
      </c>
      <c r="C116" s="78"/>
      <c r="J116" s="131" t="s">
        <v>20</v>
      </c>
      <c r="K116" s="9"/>
      <c r="L116" s="9" t="s">
        <v>238</v>
      </c>
      <c r="M116" s="134" t="s">
        <v>20</v>
      </c>
      <c r="N116" t="s">
        <v>20</v>
      </c>
    </row>
    <row r="117" spans="1:16" ht="19.5" thickBot="1" x14ac:dyDescent="0.35">
      <c r="A117" s="78" t="s">
        <v>46</v>
      </c>
      <c r="D117" s="9" t="s">
        <v>20</v>
      </c>
      <c r="E117" s="9"/>
      <c r="G117" s="78" t="s">
        <v>251</v>
      </c>
      <c r="J117" s="131">
        <v>45695</v>
      </c>
      <c r="K117" s="9"/>
      <c r="L117" s="9" t="s">
        <v>239</v>
      </c>
      <c r="M117" s="134">
        <v>119262.59</v>
      </c>
      <c r="N117" t="s">
        <v>280</v>
      </c>
    </row>
    <row r="118" spans="1:16" ht="15.75" thickBot="1" x14ac:dyDescent="0.3">
      <c r="D118" s="29"/>
      <c r="E118" s="29"/>
      <c r="J118" s="131">
        <v>45693</v>
      </c>
      <c r="L118" s="17" t="s">
        <v>240</v>
      </c>
      <c r="M118" s="134">
        <v>77033.88</v>
      </c>
      <c r="N118" t="s">
        <v>281</v>
      </c>
      <c r="P118" t="s">
        <v>20</v>
      </c>
    </row>
    <row r="119" spans="1:16" x14ac:dyDescent="0.25">
      <c r="J119" s="131">
        <v>45707</v>
      </c>
      <c r="M119" s="134">
        <v>105000</v>
      </c>
      <c r="N119" t="s">
        <v>250</v>
      </c>
    </row>
    <row r="120" spans="1:16" x14ac:dyDescent="0.25">
      <c r="J120" s="131" t="s">
        <v>20</v>
      </c>
      <c r="M120" s="134" t="s">
        <v>20</v>
      </c>
      <c r="N120" t="s">
        <v>20</v>
      </c>
    </row>
    <row r="121" spans="1:16" x14ac:dyDescent="0.25">
      <c r="B121" s="3"/>
      <c r="C121" s="3"/>
      <c r="D121" s="3"/>
      <c r="E121" s="3"/>
    </row>
  </sheetData>
  <mergeCells count="3">
    <mergeCell ref="B1:O1"/>
    <mergeCell ref="B3:H3"/>
    <mergeCell ref="C111:D111"/>
  </mergeCells>
  <pageMargins left="0.31496062992125984" right="0.31496062992125984" top="0.15748031496062992" bottom="0" header="0" footer="0"/>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RESUMEN MENSUAL</vt:lpstr>
      <vt:lpstr>INGRESOS-EGRESOS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2026-01-05T19:31:11Z</cp:lastPrinted>
  <dcterms:created xsi:type="dcterms:W3CDTF">2016-01-12T20:02:43Z</dcterms:created>
  <dcterms:modified xsi:type="dcterms:W3CDTF">2026-01-05T19:31:19Z</dcterms:modified>
</cp:coreProperties>
</file>