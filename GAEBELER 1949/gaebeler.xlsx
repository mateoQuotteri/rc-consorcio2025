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GAEBELER 1949\"/>
    </mc:Choice>
  </mc:AlternateContent>
  <xr:revisionPtr revIDLastSave="0" documentId="13_ncr:1_{509B7D84-8294-4990-9453-3284CFBFE8E7}" xr6:coauthVersionLast="47" xr6:coauthVersionMax="47" xr10:uidLastSave="{00000000-0000-0000-0000-000000000000}"/>
  <bookViews>
    <workbookView xWindow="-120" yWindow="-120" windowWidth="20730" windowHeight="11160" tabRatio="850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PRORRATEO!$A$1:$O$26</definedName>
    <definedName name="_xlnm.Print_Area" localSheetId="0">RESUMEN!$A$1:$E$110</definedName>
  </definedNames>
  <calcPr calcId="181029"/>
</workbook>
</file>

<file path=xl/calcChain.xml><?xml version="1.0" encoding="utf-8"?>
<calcChain xmlns="http://schemas.openxmlformats.org/spreadsheetml/2006/main">
  <c r="D24" i="2" l="1"/>
  <c r="D23" i="2"/>
  <c r="K23" i="2" s="1"/>
  <c r="D22" i="2"/>
  <c r="D21" i="2"/>
  <c r="K21" i="2" s="1"/>
  <c r="D20" i="2"/>
  <c r="L20" i="2" s="1"/>
  <c r="D18" i="2"/>
  <c r="L18" i="2" s="1"/>
  <c r="D17" i="2"/>
  <c r="D14" i="2"/>
  <c r="D11" i="2"/>
  <c r="D8" i="2"/>
  <c r="D7" i="2"/>
  <c r="D16" i="2"/>
  <c r="D13" i="2"/>
  <c r="D10" i="2"/>
  <c r="D6" i="2"/>
  <c r="D15" i="2"/>
  <c r="L15" i="2" s="1"/>
  <c r="D9" i="2"/>
  <c r="D12" i="2"/>
  <c r="L12" i="2" s="1"/>
  <c r="P18" i="2"/>
  <c r="P19" i="2" s="1"/>
  <c r="P17" i="2"/>
  <c r="L19" i="2"/>
  <c r="L22" i="2"/>
  <c r="L24" i="2"/>
  <c r="K19" i="2"/>
  <c r="K20" i="2"/>
  <c r="K22" i="2"/>
  <c r="K24" i="2"/>
  <c r="I18" i="2"/>
  <c r="I19" i="2"/>
  <c r="I20" i="2"/>
  <c r="I21" i="2"/>
  <c r="I22" i="2"/>
  <c r="I23" i="2"/>
  <c r="I24" i="2"/>
  <c r="H18" i="2"/>
  <c r="H19" i="2"/>
  <c r="H20" i="2"/>
  <c r="H21" i="2"/>
  <c r="H22" i="2"/>
  <c r="H23" i="2"/>
  <c r="H24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M2" i="2"/>
  <c r="K6" i="2" s="1"/>
  <c r="L7" i="2"/>
  <c r="L8" i="2"/>
  <c r="L9" i="2"/>
  <c r="L10" i="2"/>
  <c r="L11" i="2"/>
  <c r="L13" i="2"/>
  <c r="L14" i="2"/>
  <c r="L16" i="2"/>
  <c r="L17" i="2"/>
  <c r="L6" i="2"/>
  <c r="L23" i="2" l="1"/>
  <c r="L21" i="2"/>
  <c r="K18" i="2"/>
  <c r="M18" i="2" s="1"/>
  <c r="O18" i="2" s="1"/>
  <c r="M19" i="2"/>
  <c r="O19" i="2" s="1"/>
  <c r="P20" i="2"/>
  <c r="F6" i="2"/>
  <c r="M20" i="2" l="1"/>
  <c r="O20" i="2" s="1"/>
  <c r="P21" i="2"/>
  <c r="E54" i="1"/>
  <c r="E51" i="1"/>
  <c r="P22" i="2" l="1"/>
  <c r="M21" i="2"/>
  <c r="O21" i="2" s="1"/>
  <c r="B28" i="2"/>
  <c r="P23" i="2" l="1"/>
  <c r="M22" i="2"/>
  <c r="O22" i="2" s="1"/>
  <c r="H17" i="2"/>
  <c r="M23" i="2" l="1"/>
  <c r="O23" i="2" s="1"/>
  <c r="P24" i="2"/>
  <c r="E66" i="1"/>
  <c r="E71" i="1" s="1"/>
  <c r="B75" i="1" s="1"/>
  <c r="B91" i="1" l="1"/>
  <c r="B98" i="1"/>
  <c r="B109" i="1"/>
  <c r="B87" i="1" l="1"/>
  <c r="B99" i="1"/>
  <c r="E40" i="1"/>
  <c r="D36" i="1" l="1"/>
  <c r="M5" i="2" l="1"/>
  <c r="D27" i="1" l="1"/>
  <c r="E37" i="1" l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E44" i="1" l="1"/>
  <c r="F25" i="2" l="1"/>
  <c r="G25" i="2"/>
  <c r="D25" i="2"/>
  <c r="E25" i="2"/>
  <c r="B85" i="1" l="1"/>
  <c r="B100" i="1"/>
  <c r="H7" i="2"/>
  <c r="H8" i="2"/>
  <c r="H9" i="2"/>
  <c r="H10" i="2"/>
  <c r="H11" i="2"/>
  <c r="H12" i="2"/>
  <c r="H13" i="2"/>
  <c r="H14" i="2"/>
  <c r="H15" i="2"/>
  <c r="H16" i="2"/>
  <c r="H6" i="2"/>
  <c r="B76" i="1" l="1"/>
  <c r="H25" i="2"/>
  <c r="I11" i="2"/>
  <c r="I14" i="2"/>
  <c r="I10" i="2"/>
  <c r="I7" i="2"/>
  <c r="I17" i="2"/>
  <c r="I13" i="2"/>
  <c r="I9" i="2"/>
  <c r="I15" i="2"/>
  <c r="I16" i="2"/>
  <c r="I12" i="2"/>
  <c r="I8" i="2"/>
  <c r="I6" i="2"/>
  <c r="J25" i="2"/>
  <c r="I25" i="2" l="1"/>
  <c r="E58" i="1" l="1"/>
  <c r="K7" i="2" l="1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6" i="2"/>
  <c r="O15" i="2" l="1"/>
  <c r="O11" i="2"/>
  <c r="O7" i="2"/>
  <c r="O6" i="2"/>
  <c r="O14" i="2"/>
  <c r="O10" i="2"/>
  <c r="O13" i="2"/>
  <c r="O9" i="2"/>
  <c r="O16" i="2"/>
  <c r="O12" i="2"/>
  <c r="O8" i="2"/>
  <c r="N14" i="2"/>
  <c r="N13" i="2"/>
  <c r="N9" i="2"/>
  <c r="N6" i="2"/>
  <c r="N16" i="2"/>
  <c r="N12" i="2"/>
  <c r="N8" i="2"/>
  <c r="N10" i="2"/>
  <c r="N15" i="2"/>
  <c r="N11" i="2"/>
  <c r="N7" i="2"/>
  <c r="K25" i="2"/>
  <c r="B74" i="1" l="1"/>
  <c r="B97" i="1" s="1"/>
  <c r="B102" i="1" s="1"/>
  <c r="B90" i="1" l="1"/>
  <c r="B92" i="1" s="1"/>
  <c r="B73" i="1"/>
  <c r="L25" i="2" l="1"/>
  <c r="M24" i="2"/>
  <c r="O24" i="2" s="1"/>
  <c r="M17" i="2"/>
  <c r="N17" i="2" s="1"/>
  <c r="N24" i="2" l="1"/>
  <c r="N25" i="2" s="1"/>
  <c r="O17" i="2"/>
  <c r="O25" i="2" s="1"/>
  <c r="M25" i="2"/>
</calcChain>
</file>

<file path=xl/sharedStrings.xml><?xml version="1.0" encoding="utf-8"?>
<sst xmlns="http://schemas.openxmlformats.org/spreadsheetml/2006/main" count="115" uniqueCount="103">
  <si>
    <t>TOTAL SUELDO</t>
  </si>
  <si>
    <t>TOTAL IMPUESTO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</si>
  <si>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</si>
  <si>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</si>
  <si>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</si>
  <si>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</si>
  <si>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</si>
  <si>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</si>
  <si>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</si>
  <si>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</si>
  <si>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 xml:space="preserve">TOTAL ORDINARIOS </t>
  </si>
  <si>
    <t>GASTOS ORDINARIOS + PREVISION :</t>
  </si>
  <si>
    <t>GASTOS ORDINARIOS SIN PREVISION:</t>
  </si>
  <si>
    <t xml:space="preserve">TOTAL 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</si>
  <si>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</si>
  <si>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</si>
  <si>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</si>
  <si>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</si>
  <si>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</si>
  <si>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</si>
  <si>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</si>
  <si>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</si>
  <si>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</si>
  <si>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</si>
  <si>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Pago por</t>
  </si>
  <si>
    <t>CUIT ADMINISTRACION: 27231256879</t>
  </si>
  <si>
    <t>Deuda o Saldo a favor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</si>
  <si>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</si>
  <si>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</si>
  <si>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</si>
  <si>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</si>
  <si>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</si>
  <si>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</si>
  <si>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Retenciones</t>
  </si>
  <si>
    <t>Total 2do Vto</t>
  </si>
  <si>
    <t>Total 1er Vto</t>
  </si>
  <si>
    <t>ADMINISTRADORA: CAROLINA CANCIANI MP:1148</t>
  </si>
  <si>
    <t>Retenciones SAC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</si>
  <si>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</si>
  <si>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</si>
  <si>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</si>
  <si>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</si>
  <si>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</si>
  <si>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</si>
  <si>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</si>
  <si>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</si>
  <si>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</si>
  <si>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</si>
  <si>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</si>
  <si>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</si>
  <si>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</si>
  <si>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</si>
  <si>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Punitorios mal cobrados </t>
  </si>
  <si>
    <t>VTO 14/05</t>
  </si>
  <si>
    <t>PERÍODO: ABRIL</t>
  </si>
  <si>
    <t>CONSORCIO DE PROPIETARIOS DEL EDIFICIO CALLE YRIGOYEN 9730</t>
  </si>
  <si>
    <t>Zurich Seguro Integral consorcio</t>
  </si>
  <si>
    <t>Allianz - Seguro de vida</t>
  </si>
  <si>
    <t>HONORARIOS ADMINISTRACION RC</t>
  </si>
  <si>
    <t>Arca plan de pagos</t>
  </si>
  <si>
    <t>Ordinarios</t>
  </si>
  <si>
    <t>Pagos sin identificar</t>
  </si>
  <si>
    <t>CONSTANZA</t>
  </si>
  <si>
    <t>SALDO EN BANCO</t>
  </si>
  <si>
    <t>D' Andrea Patricia Daniela</t>
  </si>
  <si>
    <t>Arroyo Aldana</t>
  </si>
  <si>
    <t>Stagno Jorge Adrian</t>
  </si>
  <si>
    <t>Beneyte Lenorado Damian</t>
  </si>
  <si>
    <t>1A</t>
  </si>
  <si>
    <t>1B</t>
  </si>
  <si>
    <t>Sr Propietario</t>
  </si>
  <si>
    <t>1C</t>
  </si>
  <si>
    <t>2A</t>
  </si>
  <si>
    <t>2B</t>
  </si>
  <si>
    <t>2C</t>
  </si>
  <si>
    <t>3A</t>
  </si>
  <si>
    <t>Torres Lilliana Beatriz</t>
  </si>
  <si>
    <t>3B</t>
  </si>
  <si>
    <t>3C</t>
  </si>
  <si>
    <t>4A</t>
  </si>
  <si>
    <t>Arostegui Hector/Herrera Monica</t>
  </si>
  <si>
    <t>Frosio Diego Martin</t>
  </si>
  <si>
    <t>Actis Sofia Magali</t>
  </si>
  <si>
    <t>Alanis Hebert</t>
  </si>
  <si>
    <t>5A</t>
  </si>
  <si>
    <t>4B</t>
  </si>
  <si>
    <t>4C</t>
  </si>
  <si>
    <t>C1</t>
  </si>
  <si>
    <t>C2</t>
  </si>
  <si>
    <t>C3</t>
  </si>
  <si>
    <t>C4</t>
  </si>
  <si>
    <t>C5</t>
  </si>
  <si>
    <t>TSG</t>
  </si>
  <si>
    <t>EDESUR</t>
  </si>
  <si>
    <t>AYSA</t>
  </si>
  <si>
    <t>ARBA</t>
  </si>
  <si>
    <t>Sra Gisela - Encargada</t>
  </si>
  <si>
    <t>TOTAL GASTOS VARIOS</t>
  </si>
  <si>
    <t>ARTICULOS DE LIMPIEZA</t>
  </si>
  <si>
    <t>TELEFONO: 11-5320-2676</t>
  </si>
  <si>
    <t>MAIL:</t>
  </si>
  <si>
    <t>HORARIOS DE ATENCION:</t>
  </si>
  <si>
    <t>LUNES A VIERNES 10 A 16HS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</si>
</sst>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  <numFmt numFmtId="169" formatCode="_-&quot;$&quot;\ * #,##0.0_-;\-&quot;$&quot;\ * #,##0.0_-;_-&quot;$&quot;\ * &quot;-&quot;?_-;_-@_-"/>
    <numFmt numFmtId="170" formatCode="_-[$$-2C0A]\ * #,##0.00_-;\-[$$-2C0A]\ * #,##0.00_-;_-[$$-2C0A]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87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165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165" fontId="0" fillId="0" borderId="0" xfId="0" applyNumberFormat="1"/>
    <xf numFmtId="0" fontId="10" fillId="6" borderId="0" xfId="0" applyFont="1" applyFill="1"/>
    <xf numFmtId="165" fontId="10" fillId="6" borderId="0" xfId="1" applyFont="1" applyFill="1"/>
    <xf numFmtId="165" fontId="0" fillId="0" borderId="0" xfId="0" applyNumberFormat="1" applyAlignment="1">
      <alignment wrapText="1"/>
    </xf>
    <xf numFmtId="165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0" fillId="2" borderId="1" xfId="0" applyFill="1" applyBorder="1"/>
    <xf numFmtId="165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165" fontId="0" fillId="4" borderId="0" xfId="1" applyFont="1" applyFill="1"/>
    <xf numFmtId="165" fontId="8" fillId="0" borderId="1" xfId="1" applyFont="1" applyBorder="1"/>
    <xf numFmtId="165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5" fontId="21" fillId="0" borderId="1" xfId="1" applyFont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5" fontId="16" fillId="0" borderId="1" xfId="1" applyFont="1" applyBorder="1"/>
    <xf numFmtId="167" fontId="16" fillId="0" borderId="1" xfId="1" applyNumberFormat="1" applyFont="1" applyBorder="1"/>
    <xf numFmtId="165" fontId="21" fillId="0" borderId="24" xfId="1" applyFont="1" applyBorder="1"/>
    <xf numFmtId="165" fontId="21" fillId="0" borderId="6" xfId="1" applyFont="1" applyBorder="1"/>
    <xf numFmtId="165" fontId="21" fillId="0" borderId="26" xfId="1" applyFont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5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165" fontId="6" fillId="7" borderId="11" xfId="0" applyNumberFormat="1" applyFont="1" applyFill="1" applyBorder="1"/>
    <xf numFmtId="165" fontId="14" fillId="8" borderId="8" xfId="1" applyFont="1" applyFill="1" applyBorder="1" applyAlignment="1">
      <alignment vertical="center"/>
    </xf>
    <xf numFmtId="0" fontId="4" fillId="0" borderId="1" xfId="0" applyFont="1" applyBorder="1"/>
    <xf numFmtId="0" fontId="22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165" fontId="4" fillId="2" borderId="6" xfId="1" applyFont="1" applyFill="1" applyBorder="1"/>
    <xf numFmtId="0" fontId="0" fillId="0" borderId="23" xfId="0" applyBorder="1" applyAlignment="1">
      <alignment horizontal="left" vertical="center" wrapText="1"/>
    </xf>
    <xf numFmtId="165" fontId="22" fillId="2" borderId="1" xfId="1" applyFont="1" applyFill="1" applyBorder="1"/>
    <xf numFmtId="0" fontId="22" fillId="0" borderId="4" xfId="0" applyFont="1" applyBorder="1"/>
    <xf numFmtId="0" fontId="8" fillId="8" borderId="6" xfId="0" applyFont="1" applyFill="1" applyBorder="1"/>
    <xf numFmtId="165" fontId="11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8" fillId="5" borderId="10" xfId="0" applyFont="1" applyFill="1" applyBorder="1"/>
    <xf numFmtId="165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0" fontId="3" fillId="0" borderId="1" xfId="0" applyFont="1" applyBorder="1" applyAlignment="1">
      <alignment vertical="center" wrapText="1"/>
    </xf>
    <xf numFmtId="165" fontId="10" fillId="6" borderId="0" xfId="0" applyNumberFormat="1" applyFont="1" applyFill="1"/>
    <xf numFmtId="165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165" fontId="6" fillId="6" borderId="1" xfId="1" applyFont="1" applyFill="1" applyBorder="1"/>
    <xf numFmtId="168" fontId="0" fillId="0" borderId="0" xfId="0" applyNumberFormat="1"/>
    <xf numFmtId="169" fontId="0" fillId="0" borderId="0" xfId="0" applyNumberFormat="1"/>
    <xf numFmtId="165" fontId="9" fillId="2" borderId="6" xfId="1" applyFont="1" applyFill="1" applyBorder="1"/>
    <xf numFmtId="168" fontId="0" fillId="3" borderId="0" xfId="1" applyNumberFormat="1" applyFont="1" applyFill="1" applyAlignment="1"/>
    <xf numFmtId="0" fontId="10" fillId="6" borderId="2" xfId="0" applyFont="1" applyFill="1" applyBorder="1"/>
    <xf numFmtId="165" fontId="0" fillId="0" borderId="2" xfId="1" applyFont="1" applyBorder="1"/>
    <xf numFmtId="0" fontId="0" fillId="0" borderId="0" xfId="0" applyAlignment="1">
      <alignment horizontal="left" vertical="center" wrapText="1"/>
    </xf>
    <xf numFmtId="168" fontId="16" fillId="4" borderId="13" xfId="0" applyNumberFormat="1" applyFont="1" applyFill="1" applyBorder="1"/>
    <xf numFmtId="0" fontId="2" fillId="11" borderId="27" xfId="0" applyFont="1" applyFill="1" applyBorder="1" applyAlignment="1">
      <alignment horizontal="left" vertical="center" wrapText="1"/>
    </xf>
    <xf numFmtId="165" fontId="2" fillId="11" borderId="25" xfId="1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5" fontId="4" fillId="0" borderId="1" xfId="1" applyFont="1" applyBorder="1" applyAlignment="1">
      <alignment horizontal="left" vertical="center" wrapText="1"/>
    </xf>
    <xf numFmtId="43" fontId="0" fillId="0" borderId="0" xfId="0" applyNumberFormat="1"/>
    <xf numFmtId="164" fontId="0" fillId="2" borderId="1" xfId="0" applyNumberFormat="1" applyFill="1" applyBorder="1"/>
    <xf numFmtId="164" fontId="20" fillId="10" borderId="1" xfId="0" applyNumberFormat="1" applyFont="1" applyFill="1" applyBorder="1"/>
    <xf numFmtId="0" fontId="0" fillId="10" borderId="1" xfId="0" applyFill="1" applyBorder="1"/>
    <xf numFmtId="164" fontId="0" fillId="2" borderId="6" xfId="0" applyNumberFormat="1" applyFill="1" applyBorder="1"/>
    <xf numFmtId="164" fontId="20" fillId="10" borderId="6" xfId="0" applyNumberFormat="1" applyFont="1" applyFill="1" applyBorder="1"/>
    <xf numFmtId="164" fontId="2" fillId="4" borderId="6" xfId="0" applyNumberFormat="1" applyFont="1" applyFill="1" applyBorder="1"/>
    <xf numFmtId="164" fontId="6" fillId="4" borderId="21" xfId="1" applyNumberFormat="1" applyFont="1" applyFill="1" applyBorder="1"/>
    <xf numFmtId="164" fontId="13" fillId="4" borderId="1" xfId="0" applyNumberFormat="1" applyFont="1" applyFill="1" applyBorder="1"/>
    <xf numFmtId="165" fontId="23" fillId="4" borderId="3" xfId="1" applyFont="1" applyFill="1" applyBorder="1"/>
    <xf numFmtId="165" fontId="3" fillId="0" borderId="3" xfId="1" applyFont="1" applyBorder="1" applyAlignment="1">
      <alignment wrapText="1"/>
    </xf>
    <xf numFmtId="165" fontId="2" fillId="4" borderId="6" xfId="1" applyFont="1" applyFill="1" applyBorder="1"/>
    <xf numFmtId="164" fontId="6" fillId="4" borderId="13" xfId="1" applyNumberFormat="1" applyFont="1" applyFill="1" applyBorder="1"/>
    <xf numFmtId="165" fontId="2" fillId="4" borderId="1" xfId="1" applyFont="1" applyFill="1" applyBorder="1"/>
    <xf numFmtId="165" fontId="6" fillId="4" borderId="1" xfId="1" applyFont="1" applyFill="1" applyBorder="1"/>
    <xf numFmtId="165" fontId="3" fillId="2" borderId="1" xfId="1" applyFont="1" applyFill="1" applyBorder="1" applyAlignment="1">
      <alignment wrapText="1"/>
    </xf>
    <xf numFmtId="165" fontId="0" fillId="2" borderId="1" xfId="1" applyFont="1" applyFill="1" applyBorder="1" applyAlignment="1"/>
    <xf numFmtId="165" fontId="6" fillId="4" borderId="21" xfId="1" applyFont="1" applyFill="1" applyBorder="1"/>
    <xf numFmtId="0" fontId="0" fillId="4" borderId="1" xfId="0" applyFill="1" applyBorder="1"/>
    <xf numFmtId="165" fontId="0" fillId="4" borderId="1" xfId="1" applyFont="1" applyFill="1" applyBorder="1"/>
    <xf numFmtId="165" fontId="3" fillId="4" borderId="3" xfId="1" applyFont="1" applyFill="1" applyBorder="1"/>
    <xf numFmtId="165" fontId="0" fillId="2" borderId="1" xfId="1" applyFont="1" applyFill="1" applyBorder="1"/>
    <xf numFmtId="16" fontId="0" fillId="0" borderId="1" xfId="0" applyNumberFormat="1" applyBorder="1" applyAlignment="1">
      <alignment vertical="center" wrapText="1"/>
    </xf>
    <xf numFmtId="165" fontId="6" fillId="4" borderId="13" xfId="1" applyFont="1" applyFill="1" applyBorder="1"/>
    <xf numFmtId="165" fontId="6" fillId="4" borderId="2" xfId="1" applyFont="1" applyFill="1" applyBorder="1"/>
    <xf numFmtId="164" fontId="9" fillId="2" borderId="1" xfId="0" applyNumberFormat="1" applyFont="1" applyFill="1" applyBorder="1"/>
    <xf numFmtId="0" fontId="0" fillId="9" borderId="0" xfId="0" applyFill="1"/>
    <xf numFmtId="165" fontId="0" fillId="2" borderId="1" xfId="1" applyFont="1" applyFill="1" applyBorder="1" applyAlignment="1">
      <alignment wrapText="1"/>
    </xf>
    <xf numFmtId="164" fontId="4" fillId="2" borderId="1" xfId="0" applyNumberFormat="1" applyFont="1" applyFill="1" applyBorder="1"/>
    <xf numFmtId="0" fontId="22" fillId="2" borderId="1" xfId="0" applyFont="1" applyFill="1" applyBorder="1"/>
    <xf numFmtId="165" fontId="2" fillId="4" borderId="6" xfId="1" applyFont="1" applyFill="1" applyBorder="1" applyAlignment="1">
      <alignment horizontal="center"/>
    </xf>
    <xf numFmtId="165" fontId="0" fillId="2" borderId="6" xfId="1" applyFont="1" applyFill="1" applyBorder="1" applyAlignment="1">
      <alignment vertical="center" wrapText="1"/>
    </xf>
    <xf numFmtId="165" fontId="22" fillId="0" borderId="1" xfId="1" applyFont="1" applyBorder="1"/>
    <xf numFmtId="170" fontId="0" fillId="3" borderId="0" xfId="0" applyNumberFormat="1" applyFill="1"/>
    <xf numFmtId="167" fontId="16" fillId="0" borderId="6" xfId="1" applyNumberFormat="1" applyFont="1" applyBorder="1"/>
    <xf numFmtId="164" fontId="0" fillId="2" borderId="1" xfId="0" applyNumberFormat="1" applyFill="1" applyBorder="1" applyAlignment="1">
      <alignment horizontal="right"/>
    </xf>
    <xf numFmtId="0" fontId="16" fillId="0" borderId="0" xfId="0" applyFont="1" applyAlignment="1">
      <alignment horizontal="center"/>
    </xf>
    <xf numFmtId="2" fontId="16" fillId="0" borderId="1" xfId="0" applyNumberFormat="1" applyFont="1" applyBorder="1" applyAlignment="1">
      <alignment horizontal="center"/>
    </xf>
    <xf numFmtId="0" fontId="2" fillId="3" borderId="8" xfId="0" applyFont="1" applyFill="1" applyBorder="1" applyAlignment="1">
      <alignment horizontal="left" vertical="center" wrapText="1"/>
    </xf>
    <xf numFmtId="0" fontId="2" fillId="3" borderId="25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6" fillId="9" borderId="12" xfId="0" applyFont="1" applyFill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57150</xdr:rowOff>
    </xdr:from>
    <xdr:to>
      <xdr:col>0</xdr:col>
      <xdr:colOff>2276475</xdr:colOff>
      <xdr:row>4</xdr:row>
      <xdr:rowOff>123825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57150"/>
          <a:ext cx="2143125" cy="885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abSelected="1" topLeftCell="A52" workbookViewId="0">
      <selection activeCell="B1" sqref="B1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11" max="11" width="18" customWidth="1"/>
    <col min="12" max="12" width="18.28515625" customWidth="1"/>
  </cols>
  <sheetData>
    <row r="1" spans="1:5" x14ac:dyDescent="0.25">
      <c r="A1" s="15"/>
      <c r="B1" s="186" t="s">
        <v>100</v>
      </c>
      <c r="C1" s="67"/>
      <c r="D1" s="67"/>
      <c r="E1" s="68"/>
    </row>
    <row r="2" spans="1:5" x14ac:dyDescent="0.25">
      <c r="A2" s="16"/>
      <c r="B2" s="69" t="s">
        <v>99</v>
      </c>
      <c r="C2" s="69"/>
      <c r="D2" s="69"/>
      <c r="E2" s="70"/>
    </row>
    <row r="3" spans="1:5" ht="18.75" customHeight="1" thickBot="1" x14ac:dyDescent="0.3">
      <c r="A3" s="16"/>
      <c r="B3" s="161" t="s">
        <v>25</v>
      </c>
      <c r="C3" s="161"/>
      <c r="D3" s="161"/>
      <c r="E3" s="162"/>
    </row>
    <row r="4" spans="1:5" ht="15.75" thickBot="1" x14ac:dyDescent="0.3">
      <c r="A4" s="19"/>
      <c r="B4" s="84" t="s">
        <v>36</v>
      </c>
      <c r="C4" s="20"/>
      <c r="D4" s="20"/>
      <c r="E4" s="21"/>
    </row>
    <row r="5" spans="1:5" ht="15.75" thickBot="1" x14ac:dyDescent="0.3">
      <c r="A5" s="16"/>
      <c r="B5" s="20" t="s">
        <v>54</v>
      </c>
      <c r="C5" s="17"/>
      <c r="D5" s="17" t="s">
        <v>101</v>
      </c>
      <c r="E5" s="18"/>
    </row>
    <row r="6" spans="1:5" ht="15.75" thickBot="1" x14ac:dyDescent="0.3">
      <c r="A6" s="19" t="s">
        <v>55</v>
      </c>
      <c r="B6" s="20"/>
      <c r="C6" s="20"/>
      <c r="D6" s="20" t="s">
        <v>102</v>
      </c>
      <c r="E6" s="21"/>
    </row>
    <row r="8" spans="1:5" x14ac:dyDescent="0.25">
      <c r="B8" s="170" t="s">
        <v>53</v>
      </c>
      <c r="C8" s="170"/>
    </row>
    <row r="9" spans="1:5" x14ac:dyDescent="0.25">
      <c r="B9" s="170"/>
      <c r="C9" s="170"/>
    </row>
    <row r="10" spans="1:5" x14ac:dyDescent="0.25">
      <c r="B10" s="170"/>
      <c r="C10" s="170"/>
    </row>
    <row r="12" spans="1:5" hidden="1" x14ac:dyDescent="0.25"/>
    <row r="13" spans="1:5" ht="15" customHeight="1" x14ac:dyDescent="0.25">
      <c r="A13" s="169" t="s">
        <v>41</v>
      </c>
      <c r="B13" s="169"/>
      <c r="C13" s="169"/>
      <c r="D13" s="169"/>
      <c r="E13" s="169"/>
    </row>
    <row r="14" spans="1:5" ht="15" customHeight="1" x14ac:dyDescent="0.25">
      <c r="A14" s="169"/>
      <c r="B14" s="169"/>
      <c r="C14" s="169"/>
      <c r="D14" s="169"/>
      <c r="E14" s="169"/>
    </row>
    <row r="15" spans="1:5" ht="15" customHeight="1" x14ac:dyDescent="0.25">
      <c r="A15" s="169"/>
      <c r="B15" s="169"/>
      <c r="C15" s="169"/>
      <c r="D15" s="169"/>
      <c r="E15" s="169"/>
    </row>
    <row r="16" spans="1:5" ht="53.25" customHeight="1" x14ac:dyDescent="0.25">
      <c r="A16" s="169"/>
      <c r="B16" s="169"/>
      <c r="C16" s="169"/>
      <c r="D16" s="169"/>
      <c r="E16" s="169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8</v>
      </c>
      <c r="B20" s="12"/>
      <c r="C20" s="13"/>
      <c r="D20" s="9"/>
      <c r="E20" s="14"/>
    </row>
    <row r="21" spans="1:7" x14ac:dyDescent="0.25">
      <c r="A21" s="36" t="s">
        <v>30</v>
      </c>
      <c r="B21" s="36"/>
      <c r="C21" s="36"/>
      <c r="D21" s="35"/>
      <c r="E21" s="35"/>
    </row>
    <row r="22" spans="1:7" ht="12.75" customHeight="1" x14ac:dyDescent="0.25">
      <c r="A22" s="5" t="s">
        <v>96</v>
      </c>
      <c r="B22" s="5"/>
      <c r="C22" s="5"/>
      <c r="D22" s="151"/>
      <c r="E22" s="5"/>
    </row>
    <row r="23" spans="1:7" hidden="1" x14ac:dyDescent="0.25">
      <c r="A23" s="5"/>
      <c r="B23" s="5"/>
      <c r="C23" s="5"/>
      <c r="D23" s="124"/>
      <c r="E23" s="5"/>
    </row>
    <row r="24" spans="1:7" hidden="1" x14ac:dyDescent="0.25">
      <c r="A24" s="5"/>
      <c r="B24" s="5"/>
      <c r="C24" s="5"/>
      <c r="D24" s="124"/>
      <c r="E24" s="5"/>
    </row>
    <row r="25" spans="1:7" hidden="1" x14ac:dyDescent="0.25">
      <c r="A25" s="5" t="s">
        <v>31</v>
      </c>
      <c r="B25" s="5"/>
      <c r="C25" s="5"/>
      <c r="D25" s="124">
        <v>0</v>
      </c>
      <c r="E25" s="5"/>
    </row>
    <row r="26" spans="1:7" hidden="1" x14ac:dyDescent="0.25">
      <c r="A26" s="5"/>
      <c r="B26" s="5"/>
      <c r="C26" s="5"/>
      <c r="D26" s="124"/>
      <c r="E26" s="5"/>
      <c r="G26" s="22"/>
    </row>
    <row r="27" spans="1:7" x14ac:dyDescent="0.25">
      <c r="A27" s="57" t="s">
        <v>32</v>
      </c>
      <c r="B27" s="57"/>
      <c r="C27" s="57"/>
      <c r="D27" s="125">
        <f>SUM(D22:D26)</f>
        <v>0</v>
      </c>
      <c r="E27" s="126"/>
      <c r="G27" s="22"/>
    </row>
    <row r="28" spans="1:7" ht="14.25" hidden="1" customHeight="1" x14ac:dyDescent="0.25">
      <c r="A28" s="5" t="s">
        <v>43</v>
      </c>
      <c r="B28" s="5"/>
      <c r="C28" s="5"/>
      <c r="D28" s="148"/>
      <c r="E28" s="5"/>
    </row>
    <row r="29" spans="1:7" hidden="1" x14ac:dyDescent="0.25">
      <c r="A29" s="29"/>
      <c r="B29" s="5"/>
      <c r="C29" s="5"/>
      <c r="D29" s="124"/>
      <c r="E29" s="5"/>
    </row>
    <row r="30" spans="1:7" hidden="1" x14ac:dyDescent="0.25">
      <c r="A30" s="5"/>
      <c r="B30" s="5"/>
      <c r="C30" s="5"/>
      <c r="D30" s="124"/>
      <c r="E30" s="5"/>
    </row>
    <row r="31" spans="1:7" hidden="1" x14ac:dyDescent="0.25">
      <c r="A31" s="5"/>
      <c r="B31" s="5"/>
      <c r="C31" s="5"/>
      <c r="D31" s="127"/>
      <c r="E31" s="5"/>
    </row>
    <row r="32" spans="1:7" ht="0.75" hidden="1" customHeight="1" x14ac:dyDescent="0.25">
      <c r="A32" s="5" t="s">
        <v>38</v>
      </c>
      <c r="B32" s="5"/>
      <c r="C32" s="5"/>
      <c r="D32" s="127"/>
      <c r="E32" s="5"/>
    </row>
    <row r="33" spans="1:8" hidden="1" x14ac:dyDescent="0.25">
      <c r="A33" s="5" t="s">
        <v>37</v>
      </c>
      <c r="B33" s="5"/>
      <c r="C33" s="5"/>
      <c r="D33" s="127"/>
      <c r="E33" s="5"/>
    </row>
    <row r="34" spans="1:8" hidden="1" x14ac:dyDescent="0.25">
      <c r="A34" s="5" t="s">
        <v>33</v>
      </c>
      <c r="B34" s="5"/>
      <c r="C34" s="5"/>
      <c r="D34" s="127">
        <v>0</v>
      </c>
      <c r="E34" s="5"/>
    </row>
    <row r="35" spans="1:8" hidden="1" x14ac:dyDescent="0.25">
      <c r="A35" s="5"/>
      <c r="B35" s="5"/>
      <c r="C35" s="5"/>
      <c r="D35" s="127"/>
      <c r="E35" s="5"/>
    </row>
    <row r="36" spans="1:8" hidden="1" x14ac:dyDescent="0.25">
      <c r="A36" s="57" t="s">
        <v>32</v>
      </c>
      <c r="B36" s="57"/>
      <c r="C36" s="57"/>
      <c r="D36" s="128">
        <f>SUM(D28:D35)</f>
        <v>0</v>
      </c>
      <c r="E36" s="126"/>
    </row>
    <row r="37" spans="1:8" ht="15.75" thickBot="1" x14ac:dyDescent="0.3">
      <c r="A37" s="30" t="s">
        <v>0</v>
      </c>
      <c r="B37" s="30"/>
      <c r="C37" s="30"/>
      <c r="D37" s="129"/>
      <c r="E37" s="130">
        <f>D27+D36</f>
        <v>0</v>
      </c>
      <c r="F37" s="22"/>
    </row>
    <row r="38" spans="1:8" x14ac:dyDescent="0.25">
      <c r="A38" s="36" t="s">
        <v>15</v>
      </c>
      <c r="B38" s="36"/>
      <c r="C38" s="36"/>
      <c r="D38" s="131"/>
      <c r="E38" s="132"/>
    </row>
    <row r="39" spans="1:8" ht="15" customHeight="1" thickBot="1" x14ac:dyDescent="0.3">
      <c r="A39" s="167" t="s">
        <v>58</v>
      </c>
      <c r="B39" s="168"/>
      <c r="C39" s="52"/>
      <c r="D39" s="158"/>
      <c r="E39" s="133"/>
      <c r="H39" s="149"/>
    </row>
    <row r="40" spans="1:8" ht="15.75" thickBot="1" x14ac:dyDescent="0.3">
      <c r="A40" s="30" t="s">
        <v>13</v>
      </c>
      <c r="B40" s="30"/>
      <c r="C40" s="30"/>
      <c r="D40" s="134"/>
      <c r="E40" s="135">
        <f>SUM(D39:D39)</f>
        <v>0</v>
      </c>
    </row>
    <row r="41" spans="1:8" x14ac:dyDescent="0.25">
      <c r="A41" s="36" t="s">
        <v>27</v>
      </c>
      <c r="B41" s="30"/>
      <c r="C41" s="30"/>
      <c r="D41" s="136"/>
      <c r="E41" s="137"/>
    </row>
    <row r="42" spans="1:8" s="39" customFormat="1" ht="14.25" customHeight="1" x14ac:dyDescent="0.25">
      <c r="A42" s="163" t="s">
        <v>56</v>
      </c>
      <c r="B42" s="164"/>
      <c r="C42" s="54"/>
      <c r="D42" s="150"/>
      <c r="E42" s="138"/>
    </row>
    <row r="43" spans="1:8" ht="14.25" customHeight="1" x14ac:dyDescent="0.25">
      <c r="A43" s="163" t="s">
        <v>57</v>
      </c>
      <c r="B43" s="164"/>
      <c r="C43" s="54"/>
      <c r="D43" s="139"/>
      <c r="E43" s="138"/>
    </row>
    <row r="44" spans="1:8" ht="15.75" thickBot="1" x14ac:dyDescent="0.3">
      <c r="A44" s="30" t="s">
        <v>1</v>
      </c>
      <c r="B44" s="30"/>
      <c r="C44" s="30"/>
      <c r="D44" s="134"/>
      <c r="E44" s="140">
        <f>SUM(D42:D43)</f>
        <v>0</v>
      </c>
    </row>
    <row r="45" spans="1:8" x14ac:dyDescent="0.25">
      <c r="A45" s="36" t="s">
        <v>14</v>
      </c>
      <c r="B45" s="141"/>
      <c r="C45" s="141"/>
      <c r="D45" s="142"/>
      <c r="E45" s="143"/>
    </row>
    <row r="46" spans="1:8" ht="14.25" customHeight="1" x14ac:dyDescent="0.25">
      <c r="A46" s="5" t="s">
        <v>92</v>
      </c>
      <c r="B46" s="5"/>
      <c r="C46" s="5"/>
      <c r="D46" s="144"/>
      <c r="E46" s="152"/>
    </row>
    <row r="47" spans="1:8" ht="14.25" customHeight="1" x14ac:dyDescent="0.25">
      <c r="A47" s="5" t="s">
        <v>93</v>
      </c>
      <c r="B47" s="5"/>
      <c r="C47" s="5"/>
      <c r="D47" s="144"/>
      <c r="E47" s="152"/>
    </row>
    <row r="48" spans="1:8" x14ac:dyDescent="0.25">
      <c r="A48" s="5" t="s">
        <v>94</v>
      </c>
      <c r="B48" s="5"/>
      <c r="C48" s="5"/>
      <c r="D48" s="144"/>
      <c r="E48" s="152"/>
    </row>
    <row r="49" spans="1:10" x14ac:dyDescent="0.25">
      <c r="A49" s="163" t="s">
        <v>95</v>
      </c>
      <c r="B49" s="164"/>
      <c r="C49" s="5"/>
      <c r="D49" s="144"/>
      <c r="E49" s="152"/>
    </row>
    <row r="50" spans="1:10" ht="17.25" customHeight="1" x14ac:dyDescent="0.25">
      <c r="A50" s="163"/>
      <c r="B50" s="164"/>
      <c r="C50" s="145"/>
      <c r="D50" s="154"/>
      <c r="E50" s="152"/>
    </row>
    <row r="51" spans="1:10" ht="15.75" thickBot="1" x14ac:dyDescent="0.3">
      <c r="A51" s="30" t="s">
        <v>2</v>
      </c>
      <c r="B51" s="30"/>
      <c r="C51" s="30"/>
      <c r="D51" s="153"/>
      <c r="E51" s="140">
        <f>SUM(D46:D50)</f>
        <v>0</v>
      </c>
    </row>
    <row r="52" spans="1:10" ht="15" customHeight="1" thickBot="1" x14ac:dyDescent="0.3">
      <c r="A52" s="36" t="s">
        <v>97</v>
      </c>
      <c r="B52" s="30"/>
      <c r="C52" s="30"/>
      <c r="D52" s="134"/>
      <c r="E52" s="146"/>
    </row>
    <row r="53" spans="1:10" ht="20.100000000000001" customHeight="1" x14ac:dyDescent="0.25">
      <c r="A53" s="163" t="s">
        <v>98</v>
      </c>
      <c r="B53" s="164"/>
      <c r="C53" s="5"/>
      <c r="D53" s="91"/>
      <c r="E53" s="155"/>
      <c r="I53" s="163"/>
      <c r="J53" s="164"/>
    </row>
    <row r="54" spans="1:10" x14ac:dyDescent="0.25">
      <c r="A54" s="30" t="s">
        <v>7</v>
      </c>
      <c r="B54" s="36"/>
      <c r="C54" s="36"/>
      <c r="D54" s="36"/>
      <c r="E54" s="147">
        <f>SUM(D53:D53)</f>
        <v>0</v>
      </c>
    </row>
    <row r="55" spans="1:10" ht="15.75" thickBot="1" x14ac:dyDescent="0.3">
      <c r="A55" s="5"/>
      <c r="B55" s="5"/>
      <c r="C55" s="5"/>
      <c r="D55" s="88"/>
      <c r="E55" s="94"/>
    </row>
    <row r="56" spans="1:10" ht="15.75" thickBot="1" x14ac:dyDescent="0.3">
      <c r="A56" s="31" t="s">
        <v>48</v>
      </c>
      <c r="B56" s="31"/>
      <c r="C56" s="31"/>
      <c r="D56" s="95"/>
      <c r="E56" s="96"/>
    </row>
    <row r="57" spans="1:10" ht="15.75" thickBot="1" x14ac:dyDescent="0.3">
      <c r="A57" s="1"/>
      <c r="D57" s="97"/>
      <c r="E57" s="98"/>
      <c r="F57" s="44"/>
    </row>
    <row r="58" spans="1:10" ht="15.75" thickBot="1" x14ac:dyDescent="0.3">
      <c r="A58" s="3" t="s">
        <v>10</v>
      </c>
      <c r="B58" s="10"/>
      <c r="C58" s="4"/>
      <c r="D58" s="99"/>
      <c r="E58" s="100">
        <f>(SUM(E30:E56))</f>
        <v>0</v>
      </c>
      <c r="F58" s="123"/>
      <c r="G58" s="44"/>
    </row>
    <row r="59" spans="1:10" x14ac:dyDescent="0.25">
      <c r="D59" s="97"/>
      <c r="E59" s="97"/>
    </row>
    <row r="60" spans="1:10" ht="15.75" thickBot="1" x14ac:dyDescent="0.3">
      <c r="D60" s="97"/>
      <c r="E60" s="97"/>
    </row>
    <row r="61" spans="1:10" x14ac:dyDescent="0.25">
      <c r="A61" s="11" t="s">
        <v>44</v>
      </c>
      <c r="B61" s="12"/>
      <c r="C61" s="13"/>
      <c r="D61" s="101"/>
      <c r="E61" s="102"/>
    </row>
    <row r="62" spans="1:10" ht="15" customHeight="1" x14ac:dyDescent="0.25">
      <c r="A62" s="163"/>
      <c r="B62" s="164"/>
      <c r="C62" s="5"/>
      <c r="D62" s="111"/>
      <c r="E62" s="89"/>
    </row>
    <row r="63" spans="1:10" x14ac:dyDescent="0.25">
      <c r="A63" s="163"/>
      <c r="B63" s="164"/>
      <c r="C63" s="5"/>
      <c r="D63" s="91"/>
      <c r="E63" s="89"/>
    </row>
    <row r="64" spans="1:10" ht="15.75" customHeight="1" x14ac:dyDescent="0.25">
      <c r="A64" s="167"/>
      <c r="B64" s="168"/>
      <c r="C64" s="5"/>
      <c r="D64" s="91"/>
      <c r="E64" s="89"/>
    </row>
    <row r="65" spans="1:5" x14ac:dyDescent="0.25">
      <c r="A65" s="90"/>
      <c r="B65" s="92"/>
      <c r="C65" s="5"/>
      <c r="D65" s="91"/>
      <c r="E65" s="89"/>
    </row>
    <row r="66" spans="1:5" x14ac:dyDescent="0.25">
      <c r="A66" s="50"/>
      <c r="B66" s="49"/>
      <c r="C66" s="49"/>
      <c r="D66" s="58"/>
      <c r="E66" s="58">
        <f>SUM(D62:D65)</f>
        <v>0</v>
      </c>
    </row>
    <row r="67" spans="1:5" ht="15" customHeight="1" x14ac:dyDescent="0.25"/>
    <row r="68" spans="1:5" ht="15.75" hidden="1" thickBot="1" x14ac:dyDescent="0.3"/>
    <row r="69" spans="1:5" ht="15.75" thickBot="1" x14ac:dyDescent="0.3">
      <c r="A69" s="31" t="s">
        <v>16</v>
      </c>
      <c r="B69" s="31"/>
      <c r="C69" s="31"/>
      <c r="D69" s="32"/>
      <c r="E69" s="87"/>
    </row>
    <row r="70" spans="1:5" ht="15.75" thickBot="1" x14ac:dyDescent="0.3"/>
    <row r="71" spans="1:5" ht="15.75" thickBot="1" x14ac:dyDescent="0.3">
      <c r="A71" s="3" t="s">
        <v>17</v>
      </c>
      <c r="B71" s="10"/>
      <c r="C71" s="4"/>
      <c r="D71" s="4"/>
      <c r="E71" s="66">
        <f>E66+E69</f>
        <v>0</v>
      </c>
    </row>
    <row r="72" spans="1:5" ht="15.75" thickBot="1" x14ac:dyDescent="0.3"/>
    <row r="73" spans="1:5" ht="15.75" thickBot="1" x14ac:dyDescent="0.3">
      <c r="A73" s="85" t="s">
        <v>11</v>
      </c>
      <c r="B73" s="86">
        <f>E58</f>
        <v>0</v>
      </c>
    </row>
    <row r="74" spans="1:5" ht="15.75" thickBot="1" x14ac:dyDescent="0.3">
      <c r="A74" s="85" t="s">
        <v>12</v>
      </c>
      <c r="B74" s="86">
        <f>E58-E56</f>
        <v>0</v>
      </c>
    </row>
    <row r="75" spans="1:5" ht="15.75" thickBot="1" x14ac:dyDescent="0.3">
      <c r="A75" s="85" t="s">
        <v>18</v>
      </c>
      <c r="B75" s="86">
        <f>E71-E69</f>
        <v>0</v>
      </c>
    </row>
    <row r="76" spans="1:5" ht="15.75" thickBot="1" x14ac:dyDescent="0.3">
      <c r="A76" s="85" t="s">
        <v>39</v>
      </c>
      <c r="B76" s="86">
        <f>E71</f>
        <v>0</v>
      </c>
    </row>
    <row r="77" spans="1:5" ht="73.5" customHeight="1" x14ac:dyDescent="0.25"/>
    <row r="78" spans="1:5" ht="34.5" hidden="1" customHeight="1" x14ac:dyDescent="0.25"/>
    <row r="79" spans="1:5" hidden="1" x14ac:dyDescent="0.25">
      <c r="A79" s="165"/>
      <c r="B79" s="165"/>
      <c r="C79" s="165"/>
      <c r="D79" s="165"/>
      <c r="E79" s="165"/>
    </row>
    <row r="80" spans="1:5" ht="106.5" hidden="1" customHeight="1" x14ac:dyDescent="0.25">
      <c r="A80" s="165"/>
      <c r="B80" s="165"/>
      <c r="C80" s="165"/>
      <c r="D80" s="165"/>
      <c r="E80" s="165"/>
    </row>
    <row r="81" spans="1:6" ht="15.75" hidden="1" customHeight="1" x14ac:dyDescent="0.25">
      <c r="A81" s="165"/>
      <c r="B81" s="165"/>
      <c r="C81" s="165"/>
      <c r="D81" s="165"/>
      <c r="E81" s="165"/>
    </row>
    <row r="83" spans="1:6" ht="0.75" customHeight="1" x14ac:dyDescent="0.25">
      <c r="A83" s="23" t="s">
        <v>29</v>
      </c>
      <c r="B83" s="108"/>
      <c r="C83" s="24"/>
    </row>
    <row r="84" spans="1:6" hidden="1" x14ac:dyDescent="0.25">
      <c r="A84" s="34"/>
      <c r="B84" s="59">
        <v>0</v>
      </c>
      <c r="C84" s="26"/>
    </row>
    <row r="85" spans="1:6" ht="14.25" hidden="1" customHeight="1" x14ac:dyDescent="0.25">
      <c r="A85" s="25" t="s">
        <v>5</v>
      </c>
      <c r="B85" s="41">
        <f>PRORRATEO!F25</f>
        <v>0</v>
      </c>
      <c r="C85" s="24"/>
    </row>
    <row r="86" spans="1:6" hidden="1" x14ac:dyDescent="0.25">
      <c r="A86" s="25"/>
      <c r="B86" s="41">
        <v>0</v>
      </c>
      <c r="C86" s="24"/>
    </row>
    <row r="87" spans="1:6" hidden="1" x14ac:dyDescent="0.25">
      <c r="A87" s="25" t="s">
        <v>40</v>
      </c>
      <c r="B87" s="93">
        <f>B109</f>
        <v>0</v>
      </c>
      <c r="C87" s="24"/>
    </row>
    <row r="88" spans="1:6" hidden="1" x14ac:dyDescent="0.25">
      <c r="A88" s="28"/>
      <c r="B88" s="48"/>
      <c r="C88" s="24"/>
    </row>
    <row r="89" spans="1:6" hidden="1" x14ac:dyDescent="0.25">
      <c r="A89" s="107" t="s">
        <v>45</v>
      </c>
      <c r="B89" s="48"/>
      <c r="C89" s="24"/>
    </row>
    <row r="90" spans="1:6" hidden="1" x14ac:dyDescent="0.25">
      <c r="A90" s="40" t="s">
        <v>19</v>
      </c>
      <c r="B90" s="48">
        <f>-B74</f>
        <v>0</v>
      </c>
      <c r="C90" s="24"/>
    </row>
    <row r="91" spans="1:6" hidden="1" x14ac:dyDescent="0.25">
      <c r="A91" s="28" t="s">
        <v>20</v>
      </c>
      <c r="B91" s="48">
        <f>-(B75)</f>
        <v>0</v>
      </c>
      <c r="C91" s="24"/>
    </row>
    <row r="92" spans="1:6" hidden="1" x14ac:dyDescent="0.25">
      <c r="A92" s="33" t="s">
        <v>7</v>
      </c>
      <c r="B92" s="59">
        <f>SUM(B84:B91)</f>
        <v>0</v>
      </c>
      <c r="C92" s="27"/>
      <c r="D92" s="44"/>
    </row>
    <row r="93" spans="1:6" ht="34.5" hidden="1" customHeight="1" x14ac:dyDescent="0.25">
      <c r="B93" s="42"/>
      <c r="C93" s="27"/>
      <c r="D93" s="44"/>
      <c r="E93" s="109"/>
      <c r="F93" s="110"/>
    </row>
    <row r="94" spans="1:6" ht="14.25" hidden="1" customHeight="1" x14ac:dyDescent="0.25">
      <c r="B94" s="43"/>
      <c r="C94" s="27"/>
    </row>
    <row r="95" spans="1:6" s="39" customFormat="1" ht="27" hidden="1" customHeight="1" x14ac:dyDescent="0.25">
      <c r="A95"/>
      <c r="B95" s="42"/>
      <c r="C95" s="38"/>
    </row>
    <row r="96" spans="1:6" s="39" customFormat="1" x14ac:dyDescent="0.25">
      <c r="A96" s="113" t="s">
        <v>63</v>
      </c>
      <c r="B96" s="114"/>
      <c r="C96" s="38"/>
      <c r="D96" s="47"/>
    </row>
    <row r="97" spans="1:13" x14ac:dyDescent="0.25">
      <c r="A97" s="54" t="s">
        <v>49</v>
      </c>
      <c r="B97" s="119">
        <f>-B74</f>
        <v>0</v>
      </c>
    </row>
    <row r="98" spans="1:13" x14ac:dyDescent="0.25">
      <c r="A98" s="54" t="s">
        <v>50</v>
      </c>
      <c r="B98" s="119">
        <f>-B75</f>
        <v>0</v>
      </c>
    </row>
    <row r="99" spans="1:13" x14ac:dyDescent="0.25">
      <c r="A99" s="54" t="s">
        <v>61</v>
      </c>
      <c r="B99" s="119">
        <f>B109</f>
        <v>0</v>
      </c>
    </row>
    <row r="100" spans="1:13" x14ac:dyDescent="0.25">
      <c r="A100" s="54" t="s">
        <v>51</v>
      </c>
      <c r="B100" s="120">
        <f>PRORRATEO!F25</f>
        <v>0</v>
      </c>
    </row>
    <row r="101" spans="1:13" x14ac:dyDescent="0.25">
      <c r="A101" s="121" t="s">
        <v>52</v>
      </c>
      <c r="B101" s="122"/>
    </row>
    <row r="102" spans="1:13" ht="15.75" thickBot="1" x14ac:dyDescent="0.3">
      <c r="A102" s="117" t="s">
        <v>46</v>
      </c>
      <c r="B102" s="118">
        <f>SUM(B96:C101)</f>
        <v>0</v>
      </c>
    </row>
    <row r="103" spans="1:13" x14ac:dyDescent="0.25">
      <c r="A103" s="115"/>
      <c r="B103" s="115"/>
    </row>
    <row r="104" spans="1:13" ht="34.5" customHeight="1" x14ac:dyDescent="0.25"/>
    <row r="105" spans="1:13" x14ac:dyDescent="0.25">
      <c r="A105" s="166" t="s">
        <v>28</v>
      </c>
      <c r="B105" s="166"/>
      <c r="C105" s="166"/>
    </row>
    <row r="106" spans="1:13" x14ac:dyDescent="0.25">
      <c r="A106" s="166"/>
      <c r="B106" s="166"/>
      <c r="C106" s="166"/>
    </row>
    <row r="107" spans="1:13" ht="35.25" customHeight="1" x14ac:dyDescent="0.25">
      <c r="A107" s="104"/>
      <c r="B107" s="37"/>
      <c r="C107" s="37">
        <v>40000</v>
      </c>
      <c r="E107" s="123"/>
    </row>
    <row r="108" spans="1:13" ht="27" customHeight="1" x14ac:dyDescent="0.25">
      <c r="A108" s="104"/>
      <c r="B108" s="106"/>
      <c r="C108" s="103"/>
      <c r="D108" s="123"/>
    </row>
    <row r="109" spans="1:13" x14ac:dyDescent="0.25">
      <c r="A109" s="45" t="s">
        <v>7</v>
      </c>
      <c r="B109" s="105">
        <f>SUM(B107:B108)</f>
        <v>0</v>
      </c>
      <c r="C109" s="46"/>
    </row>
    <row r="110" spans="1:13" x14ac:dyDescent="0.25">
      <c r="M110" s="8"/>
    </row>
    <row r="111" spans="1:13" ht="15" customHeight="1" x14ac:dyDescent="0.25">
      <c r="A111" s="165"/>
      <c r="B111" s="165"/>
      <c r="C111" s="165"/>
      <c r="D111" s="165"/>
      <c r="E111" s="165"/>
    </row>
    <row r="112" spans="1:13" x14ac:dyDescent="0.25">
      <c r="A112" s="165"/>
      <c r="B112" s="165"/>
      <c r="C112" s="165"/>
      <c r="D112" s="165"/>
      <c r="E112" s="165"/>
    </row>
    <row r="113" spans="1:5" x14ac:dyDescent="0.25">
      <c r="A113" s="165"/>
      <c r="B113" s="165"/>
      <c r="C113" s="165"/>
      <c r="D113" s="165"/>
      <c r="E113" s="165"/>
    </row>
    <row r="114" spans="1:5" x14ac:dyDescent="0.25">
      <c r="A114" s="165"/>
      <c r="B114" s="165"/>
      <c r="C114" s="165"/>
      <c r="D114" s="165"/>
      <c r="E114" s="165"/>
    </row>
  </sheetData>
  <mergeCells count="16">
    <mergeCell ref="B3:E3"/>
    <mergeCell ref="I53:J53"/>
    <mergeCell ref="A111:E114"/>
    <mergeCell ref="A105:C106"/>
    <mergeCell ref="A79:E81"/>
    <mergeCell ref="A63:B63"/>
    <mergeCell ref="A62:B62"/>
    <mergeCell ref="A64:B64"/>
    <mergeCell ref="A53:B53"/>
    <mergeCell ref="A50:B50"/>
    <mergeCell ref="A13:E16"/>
    <mergeCell ref="B8:C10"/>
    <mergeCell ref="A42:B42"/>
    <mergeCell ref="A43:B43"/>
    <mergeCell ref="A49:B49"/>
    <mergeCell ref="A39:B39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zoomScaleNormal="100" workbookViewId="0">
      <selection activeCell="R19" sqref="R19"/>
    </sheetView>
  </sheetViews>
  <sheetFormatPr baseColWidth="10" defaultRowHeight="15" x14ac:dyDescent="0.25"/>
  <cols>
    <col min="1" max="1" width="4.28515625" customWidth="1"/>
    <col min="2" max="2" width="18.5703125" customWidth="1"/>
    <col min="3" max="3" width="0.140625" customWidth="1"/>
    <col min="4" max="4" width="8.42578125" customWidth="1"/>
    <col min="5" max="5" width="14.140625" customWidth="1"/>
    <col min="6" max="6" width="12.28515625" customWidth="1"/>
    <col min="7" max="7" width="7.7109375" hidden="1" customWidth="1"/>
    <col min="8" max="8" width="10.5703125" customWidth="1"/>
    <col min="9" max="9" width="9.5703125" customWidth="1"/>
    <col min="10" max="10" width="0.140625" customWidth="1"/>
    <col min="11" max="11" width="12.42578125" customWidth="1"/>
    <col min="12" max="12" width="10.42578125" bestFit="1" customWidth="1"/>
    <col min="13" max="13" width="14.7109375" customWidth="1"/>
    <col min="14" max="14" width="0.42578125" hidden="1" customWidth="1"/>
    <col min="15" max="15" width="14.28515625" customWidth="1"/>
    <col min="16" max="16" width="7.140625" hidden="1" customWidth="1"/>
    <col min="17" max="17" width="12" bestFit="1" customWidth="1"/>
    <col min="18" max="18" width="13" bestFit="1" customWidth="1"/>
  </cols>
  <sheetData>
    <row r="1" spans="1:18" ht="12.95" customHeight="1" x14ac:dyDescent="0.25">
      <c r="A1" s="6"/>
      <c r="B1" s="6"/>
      <c r="C1" s="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6"/>
      <c r="O1" s="6"/>
    </row>
    <row r="2" spans="1:18" ht="12.95" customHeight="1" x14ac:dyDescent="0.25">
      <c r="A2" s="6"/>
      <c r="B2" s="6"/>
      <c r="C2" s="6"/>
      <c r="D2" s="6"/>
      <c r="E2" s="6"/>
      <c r="F2" s="156"/>
      <c r="G2" s="6"/>
      <c r="H2" s="6"/>
      <c r="I2" s="6"/>
      <c r="J2" s="7"/>
      <c r="K2" s="6" t="s">
        <v>60</v>
      </c>
      <c r="L2" s="6"/>
      <c r="M2" s="112">
        <f>2290000-F2</f>
        <v>2290000</v>
      </c>
      <c r="N2" s="55"/>
      <c r="O2" s="55"/>
      <c r="P2" s="22"/>
    </row>
    <row r="3" spans="1:18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6"/>
      <c r="N3" s="56"/>
      <c r="O3" s="60"/>
    </row>
    <row r="4" spans="1:18" x14ac:dyDescent="0.25">
      <c r="A4" s="173" t="s">
        <v>3</v>
      </c>
      <c r="B4" s="173" t="s">
        <v>4</v>
      </c>
      <c r="C4" s="173" t="s">
        <v>23</v>
      </c>
      <c r="D4" s="173" t="s">
        <v>9</v>
      </c>
      <c r="E4" s="177" t="s">
        <v>47</v>
      </c>
      <c r="F4" s="173" t="s">
        <v>5</v>
      </c>
      <c r="G4" s="173" t="s">
        <v>24</v>
      </c>
      <c r="H4" s="181" t="s">
        <v>26</v>
      </c>
      <c r="I4" s="177" t="s">
        <v>42</v>
      </c>
      <c r="J4" s="177" t="s">
        <v>6</v>
      </c>
      <c r="K4" s="177" t="s">
        <v>22</v>
      </c>
      <c r="L4" s="184" t="s">
        <v>59</v>
      </c>
      <c r="M4" s="63" t="s">
        <v>35</v>
      </c>
      <c r="N4" s="179" t="s">
        <v>21</v>
      </c>
      <c r="O4" s="171" t="s">
        <v>34</v>
      </c>
      <c r="R4" s="44"/>
    </row>
    <row r="5" spans="1:18" ht="15.75" customHeight="1" x14ac:dyDescent="0.25">
      <c r="A5" s="175"/>
      <c r="B5" s="175"/>
      <c r="C5" s="174"/>
      <c r="D5" s="175"/>
      <c r="E5" s="178"/>
      <c r="F5" s="175"/>
      <c r="G5" s="174"/>
      <c r="H5" s="182"/>
      <c r="I5" s="178"/>
      <c r="J5" s="183"/>
      <c r="K5" s="178"/>
      <c r="L5" s="185"/>
      <c r="M5" s="61" t="str">
        <f>RESUMEN!B8</f>
        <v>VTO 14/05</v>
      </c>
      <c r="N5" s="180"/>
      <c r="O5" s="172"/>
    </row>
    <row r="6" spans="1:18" ht="17.100000000000001" customHeight="1" x14ac:dyDescent="0.25">
      <c r="A6" s="64" t="s">
        <v>68</v>
      </c>
      <c r="B6" s="64" t="s">
        <v>70</v>
      </c>
      <c r="C6" s="64"/>
      <c r="D6" s="160">
        <f>8+1.02777778</f>
        <v>9.027777780000001</v>
      </c>
      <c r="E6" s="72"/>
      <c r="F6" s="73">
        <f>E6</f>
        <v>0</v>
      </c>
      <c r="G6" s="73"/>
      <c r="H6" s="74">
        <f>E6-F6</f>
        <v>0</v>
      </c>
      <c r="I6" s="74">
        <f>IF(H6&gt;0,H6*3%,0)</f>
        <v>0</v>
      </c>
      <c r="J6" s="75">
        <v>0</v>
      </c>
      <c r="K6" s="76">
        <f>M$2*D6/100</f>
        <v>206736.11116200004</v>
      </c>
      <c r="L6" s="157">
        <f>F$2*D6/100</f>
        <v>0</v>
      </c>
      <c r="M6" s="77">
        <f>ROUND(SUM(H6:L6),0) + P6</f>
        <v>206736.01</v>
      </c>
      <c r="N6" s="78">
        <f>ROUND(M6*6% + M6,0) + P6</f>
        <v>219140.01</v>
      </c>
      <c r="O6" s="79">
        <f>ROUND(M6*3%,0) + M6</f>
        <v>212938.01</v>
      </c>
      <c r="P6" s="44">
        <v>0.01</v>
      </c>
    </row>
    <row r="7" spans="1:18" ht="17.100000000000001" customHeight="1" x14ac:dyDescent="0.25">
      <c r="A7" s="64" t="s">
        <v>69</v>
      </c>
      <c r="B7" s="64" t="s">
        <v>64</v>
      </c>
      <c r="C7" s="65"/>
      <c r="D7" s="160">
        <f>1.02777778+4.9</f>
        <v>5.9277777800000004</v>
      </c>
      <c r="E7" s="72"/>
      <c r="F7" s="73">
        <f t="shared" ref="F7:F24" si="0">E7</f>
        <v>0</v>
      </c>
      <c r="G7" s="73"/>
      <c r="H7" s="74">
        <f t="shared" ref="H7:H24" si="1">E7-F7</f>
        <v>0</v>
      </c>
      <c r="I7" s="74">
        <f t="shared" ref="I7:I24" si="2">IF(H7&gt;0,H7*3%,0)</f>
        <v>0</v>
      </c>
      <c r="J7" s="75">
        <v>0</v>
      </c>
      <c r="K7" s="76">
        <f t="shared" ref="K7:K24" si="3">M$2*D7%</f>
        <v>135746.11116200002</v>
      </c>
      <c r="L7" s="157">
        <f t="shared" ref="L7:L24" si="4">F$2*D7/100</f>
        <v>0</v>
      </c>
      <c r="M7" s="77">
        <f t="shared" ref="M7:M24" si="5">ROUND(SUM(H7:L7),0) + P7</f>
        <v>135746.01999999999</v>
      </c>
      <c r="N7" s="78">
        <f t="shared" ref="N7:N24" si="6">ROUND(M7*6% + M7,0) + P7</f>
        <v>143891.01999999999</v>
      </c>
      <c r="O7" s="79">
        <f t="shared" ref="O7:O24" si="7">ROUND(M7*3%,0) + M7</f>
        <v>139818.01999999999</v>
      </c>
      <c r="P7" s="44">
        <f>P6+0.01</f>
        <v>0.02</v>
      </c>
      <c r="Q7" s="44"/>
    </row>
    <row r="8" spans="1:18" ht="17.100000000000001" customHeight="1" x14ac:dyDescent="0.25">
      <c r="A8" s="64" t="s">
        <v>71</v>
      </c>
      <c r="B8" s="64" t="s">
        <v>65</v>
      </c>
      <c r="C8" s="65"/>
      <c r="D8" s="160">
        <f>1.02777778+3.2</f>
        <v>4.2277777800000003</v>
      </c>
      <c r="E8" s="72"/>
      <c r="F8" s="73">
        <f t="shared" si="0"/>
        <v>0</v>
      </c>
      <c r="G8" s="73"/>
      <c r="H8" s="74">
        <f t="shared" si="1"/>
        <v>0</v>
      </c>
      <c r="I8" s="74">
        <f t="shared" si="2"/>
        <v>0</v>
      </c>
      <c r="J8" s="75">
        <v>0</v>
      </c>
      <c r="K8" s="76">
        <f t="shared" si="3"/>
        <v>96816.111162000001</v>
      </c>
      <c r="L8" s="157">
        <f t="shared" si="4"/>
        <v>0</v>
      </c>
      <c r="M8" s="77">
        <f t="shared" si="5"/>
        <v>96816.03</v>
      </c>
      <c r="N8" s="78">
        <f t="shared" si="6"/>
        <v>102625.03</v>
      </c>
      <c r="O8" s="79">
        <f t="shared" si="7"/>
        <v>99720.03</v>
      </c>
      <c r="P8" s="44">
        <f t="shared" ref="P8:P24" si="8">P7+0.01</f>
        <v>0.03</v>
      </c>
    </row>
    <row r="9" spans="1:18" ht="17.100000000000001" customHeight="1" x14ac:dyDescent="0.25">
      <c r="A9" s="64" t="s">
        <v>72</v>
      </c>
      <c r="B9" s="64" t="s">
        <v>66</v>
      </c>
      <c r="C9" s="65"/>
      <c r="D9" s="160">
        <f>8+1.02777778</f>
        <v>9.027777780000001</v>
      </c>
      <c r="E9" s="72"/>
      <c r="F9" s="73">
        <f t="shared" si="0"/>
        <v>0</v>
      </c>
      <c r="G9" s="73"/>
      <c r="H9" s="74">
        <f t="shared" si="1"/>
        <v>0</v>
      </c>
      <c r="I9" s="74">
        <f t="shared" si="2"/>
        <v>0</v>
      </c>
      <c r="J9" s="75">
        <v>0</v>
      </c>
      <c r="K9" s="76">
        <f t="shared" si="3"/>
        <v>206736.11116200004</v>
      </c>
      <c r="L9" s="157">
        <f t="shared" si="4"/>
        <v>0</v>
      </c>
      <c r="M9" s="77">
        <f t="shared" si="5"/>
        <v>206736.04</v>
      </c>
      <c r="N9" s="78">
        <f t="shared" si="6"/>
        <v>219140.04</v>
      </c>
      <c r="O9" s="79">
        <f t="shared" si="7"/>
        <v>212938.04</v>
      </c>
      <c r="P9" s="44">
        <f t="shared" si="8"/>
        <v>0.04</v>
      </c>
      <c r="R9" s="44"/>
    </row>
    <row r="10" spans="1:18" ht="17.100000000000001" customHeight="1" x14ac:dyDescent="0.25">
      <c r="A10" s="64" t="s">
        <v>73</v>
      </c>
      <c r="B10" s="64" t="s">
        <v>66</v>
      </c>
      <c r="C10" s="65"/>
      <c r="D10" s="160">
        <f>1.02777778+4.9</f>
        <v>5.9277777800000004</v>
      </c>
      <c r="E10" s="72"/>
      <c r="F10" s="73">
        <f t="shared" si="0"/>
        <v>0</v>
      </c>
      <c r="G10" s="73"/>
      <c r="H10" s="74">
        <f t="shared" si="1"/>
        <v>0</v>
      </c>
      <c r="I10" s="74">
        <f t="shared" si="2"/>
        <v>0</v>
      </c>
      <c r="J10" s="75">
        <v>0</v>
      </c>
      <c r="K10" s="76">
        <f t="shared" si="3"/>
        <v>135746.11116200002</v>
      </c>
      <c r="L10" s="157">
        <f t="shared" si="4"/>
        <v>0</v>
      </c>
      <c r="M10" s="77">
        <f t="shared" si="5"/>
        <v>135746.04999999999</v>
      </c>
      <c r="N10" s="78">
        <f t="shared" si="6"/>
        <v>143891.04999999999</v>
      </c>
      <c r="O10" s="79">
        <f t="shared" si="7"/>
        <v>139818.04999999999</v>
      </c>
      <c r="P10" s="44">
        <f t="shared" si="8"/>
        <v>0.05</v>
      </c>
      <c r="R10" s="44"/>
    </row>
    <row r="11" spans="1:18" ht="17.100000000000001" customHeight="1" x14ac:dyDescent="0.25">
      <c r="A11" s="64" t="s">
        <v>74</v>
      </c>
      <c r="B11" s="64" t="s">
        <v>67</v>
      </c>
      <c r="C11" s="64"/>
      <c r="D11" s="160">
        <f>1.02777778+3.2</f>
        <v>4.2277777800000003</v>
      </c>
      <c r="E11" s="72"/>
      <c r="F11" s="73">
        <f t="shared" si="0"/>
        <v>0</v>
      </c>
      <c r="G11" s="73"/>
      <c r="H11" s="74">
        <f t="shared" si="1"/>
        <v>0</v>
      </c>
      <c r="I11" s="74">
        <f t="shared" si="2"/>
        <v>0</v>
      </c>
      <c r="J11" s="75">
        <v>0</v>
      </c>
      <c r="K11" s="76">
        <f t="shared" si="3"/>
        <v>96816.111162000001</v>
      </c>
      <c r="L11" s="157">
        <f t="shared" si="4"/>
        <v>0</v>
      </c>
      <c r="M11" s="77">
        <f t="shared" si="5"/>
        <v>96816.06</v>
      </c>
      <c r="N11" s="78">
        <f t="shared" si="6"/>
        <v>102625.06</v>
      </c>
      <c r="O11" s="79">
        <f t="shared" si="7"/>
        <v>99720.06</v>
      </c>
      <c r="P11" s="44">
        <f t="shared" si="8"/>
        <v>6.0000000000000005E-2</v>
      </c>
    </row>
    <row r="12" spans="1:18" ht="17.100000000000001" customHeight="1" x14ac:dyDescent="0.25">
      <c r="A12" s="64" t="s">
        <v>75</v>
      </c>
      <c r="B12" s="64" t="s">
        <v>70</v>
      </c>
      <c r="C12" s="64"/>
      <c r="D12" s="160">
        <f>8+1.02777778</f>
        <v>9.027777780000001</v>
      </c>
      <c r="E12" s="72"/>
      <c r="F12" s="73">
        <f t="shared" si="0"/>
        <v>0</v>
      </c>
      <c r="G12" s="73"/>
      <c r="H12" s="74">
        <f t="shared" si="1"/>
        <v>0</v>
      </c>
      <c r="I12" s="74">
        <f t="shared" si="2"/>
        <v>0</v>
      </c>
      <c r="J12" s="75">
        <v>0</v>
      </c>
      <c r="K12" s="76">
        <f t="shared" si="3"/>
        <v>206736.11116200004</v>
      </c>
      <c r="L12" s="157">
        <f t="shared" si="4"/>
        <v>0</v>
      </c>
      <c r="M12" s="77">
        <f t="shared" si="5"/>
        <v>206736.07</v>
      </c>
      <c r="N12" s="78">
        <f t="shared" si="6"/>
        <v>219140.07</v>
      </c>
      <c r="O12" s="79">
        <f t="shared" si="7"/>
        <v>212938.07</v>
      </c>
      <c r="P12" s="44">
        <f t="shared" si="8"/>
        <v>7.0000000000000007E-2</v>
      </c>
    </row>
    <row r="13" spans="1:18" ht="17.100000000000001" customHeight="1" x14ac:dyDescent="0.25">
      <c r="A13" s="64" t="s">
        <v>77</v>
      </c>
      <c r="B13" s="64" t="s">
        <v>76</v>
      </c>
      <c r="C13" s="65"/>
      <c r="D13" s="160">
        <f>1.02777778+4.9</f>
        <v>5.9277777800000004</v>
      </c>
      <c r="E13" s="72"/>
      <c r="F13" s="73">
        <f t="shared" si="0"/>
        <v>0</v>
      </c>
      <c r="G13" s="73"/>
      <c r="H13" s="74">
        <f t="shared" si="1"/>
        <v>0</v>
      </c>
      <c r="I13" s="74">
        <f t="shared" si="2"/>
        <v>0</v>
      </c>
      <c r="J13" s="75">
        <v>0</v>
      </c>
      <c r="K13" s="76">
        <f t="shared" si="3"/>
        <v>135746.11116200002</v>
      </c>
      <c r="L13" s="157">
        <f t="shared" si="4"/>
        <v>0</v>
      </c>
      <c r="M13" s="77">
        <f t="shared" si="5"/>
        <v>135746.07999999999</v>
      </c>
      <c r="N13" s="78">
        <f t="shared" si="6"/>
        <v>143891.07999999999</v>
      </c>
      <c r="O13" s="79">
        <f t="shared" si="7"/>
        <v>139818.07999999999</v>
      </c>
      <c r="P13" s="44">
        <f t="shared" si="8"/>
        <v>0.08</v>
      </c>
      <c r="R13" t="s">
        <v>62</v>
      </c>
    </row>
    <row r="14" spans="1:18" ht="17.100000000000001" customHeight="1" x14ac:dyDescent="0.25">
      <c r="A14" s="64" t="s">
        <v>78</v>
      </c>
      <c r="B14" s="64" t="s">
        <v>80</v>
      </c>
      <c r="C14" s="65"/>
      <c r="D14" s="160">
        <f>1.02777778+3.2</f>
        <v>4.2277777800000003</v>
      </c>
      <c r="E14" s="72"/>
      <c r="F14" s="73">
        <f t="shared" si="0"/>
        <v>0</v>
      </c>
      <c r="G14" s="73"/>
      <c r="H14" s="74">
        <f t="shared" si="1"/>
        <v>0</v>
      </c>
      <c r="I14" s="74">
        <f t="shared" si="2"/>
        <v>0</v>
      </c>
      <c r="J14" s="75">
        <v>0</v>
      </c>
      <c r="K14" s="76">
        <f t="shared" si="3"/>
        <v>96816.111162000001</v>
      </c>
      <c r="L14" s="157">
        <f t="shared" si="4"/>
        <v>0</v>
      </c>
      <c r="M14" s="77">
        <f t="shared" si="5"/>
        <v>96816.09</v>
      </c>
      <c r="N14" s="78">
        <f t="shared" si="6"/>
        <v>102625.09</v>
      </c>
      <c r="O14" s="79">
        <f t="shared" si="7"/>
        <v>99720.09</v>
      </c>
      <c r="P14" s="44">
        <f t="shared" si="8"/>
        <v>0.09</v>
      </c>
    </row>
    <row r="15" spans="1:18" ht="17.100000000000001" customHeight="1" x14ac:dyDescent="0.25">
      <c r="A15" s="64" t="s">
        <v>79</v>
      </c>
      <c r="B15" s="64" t="s">
        <v>81</v>
      </c>
      <c r="C15" s="65"/>
      <c r="D15" s="160">
        <f>8+1.02777778</f>
        <v>9.027777780000001</v>
      </c>
      <c r="E15" s="72"/>
      <c r="F15" s="73">
        <f t="shared" si="0"/>
        <v>0</v>
      </c>
      <c r="G15" s="73"/>
      <c r="H15" s="74">
        <f t="shared" si="1"/>
        <v>0</v>
      </c>
      <c r="I15" s="74">
        <f t="shared" si="2"/>
        <v>0</v>
      </c>
      <c r="J15" s="75">
        <v>0</v>
      </c>
      <c r="K15" s="76">
        <f t="shared" si="3"/>
        <v>206736.11116200004</v>
      </c>
      <c r="L15" s="157">
        <f t="shared" si="4"/>
        <v>0</v>
      </c>
      <c r="M15" s="77">
        <f t="shared" si="5"/>
        <v>206736.1</v>
      </c>
      <c r="N15" s="78">
        <f t="shared" si="6"/>
        <v>219140.1</v>
      </c>
      <c r="O15" s="79">
        <f t="shared" si="7"/>
        <v>212938.1</v>
      </c>
      <c r="P15" s="44">
        <f t="shared" si="8"/>
        <v>9.9999999999999992E-2</v>
      </c>
    </row>
    <row r="16" spans="1:18" ht="17.100000000000001" customHeight="1" x14ac:dyDescent="0.25">
      <c r="A16" s="64" t="s">
        <v>85</v>
      </c>
      <c r="B16" s="64" t="s">
        <v>82</v>
      </c>
      <c r="C16" s="65"/>
      <c r="D16" s="160">
        <f>1.02777778+4.9</f>
        <v>5.9277777800000004</v>
      </c>
      <c r="E16" s="72"/>
      <c r="F16" s="73">
        <f t="shared" si="0"/>
        <v>0</v>
      </c>
      <c r="G16" s="73"/>
      <c r="H16" s="74">
        <f t="shared" si="1"/>
        <v>0</v>
      </c>
      <c r="I16" s="74">
        <f t="shared" si="2"/>
        <v>0</v>
      </c>
      <c r="J16" s="75">
        <v>0</v>
      </c>
      <c r="K16" s="76">
        <f t="shared" si="3"/>
        <v>135746.11116200002</v>
      </c>
      <c r="L16" s="157">
        <f t="shared" si="4"/>
        <v>0</v>
      </c>
      <c r="M16" s="77">
        <f t="shared" si="5"/>
        <v>135746.10999999999</v>
      </c>
      <c r="N16" s="78">
        <f t="shared" si="6"/>
        <v>143891.10999999999</v>
      </c>
      <c r="O16" s="79">
        <f t="shared" si="7"/>
        <v>139818.10999999999</v>
      </c>
      <c r="P16" s="44">
        <f t="shared" si="8"/>
        <v>0.10999999999999999</v>
      </c>
    </row>
    <row r="17" spans="1:16" ht="17.100000000000001" customHeight="1" x14ac:dyDescent="0.25">
      <c r="A17" s="64" t="s">
        <v>86</v>
      </c>
      <c r="B17" s="64" t="s">
        <v>83</v>
      </c>
      <c r="C17" s="65"/>
      <c r="D17" s="160">
        <f>1.02777778+3.2</f>
        <v>4.2277777800000003</v>
      </c>
      <c r="E17" s="72"/>
      <c r="F17" s="73">
        <f t="shared" si="0"/>
        <v>0</v>
      </c>
      <c r="G17" s="73"/>
      <c r="H17" s="74">
        <f t="shared" si="1"/>
        <v>0</v>
      </c>
      <c r="I17" s="74">
        <f t="shared" si="2"/>
        <v>0</v>
      </c>
      <c r="J17" s="75">
        <v>0</v>
      </c>
      <c r="K17" s="76">
        <f t="shared" si="3"/>
        <v>96816.111162000001</v>
      </c>
      <c r="L17" s="157">
        <f t="shared" si="4"/>
        <v>0</v>
      </c>
      <c r="M17" s="77">
        <f t="shared" si="5"/>
        <v>96816.12</v>
      </c>
      <c r="N17" s="78">
        <f t="shared" si="6"/>
        <v>102625.12</v>
      </c>
      <c r="O17" s="79">
        <f t="shared" si="7"/>
        <v>99720.12</v>
      </c>
      <c r="P17" s="44">
        <f t="shared" si="8"/>
        <v>0.11999999999999998</v>
      </c>
    </row>
    <row r="18" spans="1:16" ht="17.100000000000001" customHeight="1" x14ac:dyDescent="0.25">
      <c r="A18" s="64" t="s">
        <v>84</v>
      </c>
      <c r="B18" s="64" t="s">
        <v>70</v>
      </c>
      <c r="C18" s="65"/>
      <c r="D18" s="160">
        <f>1.02777778+5.4+5.7</f>
        <v>12.127777780000001</v>
      </c>
      <c r="E18" s="72"/>
      <c r="F18" s="73">
        <f t="shared" si="0"/>
        <v>0</v>
      </c>
      <c r="G18" s="73"/>
      <c r="H18" s="74">
        <f t="shared" si="1"/>
        <v>0</v>
      </c>
      <c r="I18" s="74">
        <f t="shared" si="2"/>
        <v>0</v>
      </c>
      <c r="J18" s="75"/>
      <c r="K18" s="76">
        <f t="shared" si="3"/>
        <v>277726.11116199999</v>
      </c>
      <c r="L18" s="157">
        <f t="shared" si="4"/>
        <v>0</v>
      </c>
      <c r="M18" s="77">
        <f t="shared" si="5"/>
        <v>277726.13</v>
      </c>
      <c r="N18" s="78"/>
      <c r="O18" s="79">
        <f t="shared" si="7"/>
        <v>286058.13</v>
      </c>
      <c r="P18" s="44">
        <f t="shared" si="8"/>
        <v>0.12999999999999998</v>
      </c>
    </row>
    <row r="19" spans="1:16" ht="17.100000000000001" customHeight="1" x14ac:dyDescent="0.25">
      <c r="A19" s="64"/>
      <c r="B19" s="64"/>
      <c r="C19" s="65"/>
      <c r="D19" s="71"/>
      <c r="E19" s="72"/>
      <c r="F19" s="73">
        <f t="shared" si="0"/>
        <v>0</v>
      </c>
      <c r="G19" s="73"/>
      <c r="H19" s="74">
        <f t="shared" si="1"/>
        <v>0</v>
      </c>
      <c r="I19" s="74">
        <f t="shared" si="2"/>
        <v>0</v>
      </c>
      <c r="J19" s="75"/>
      <c r="K19" s="76">
        <f t="shared" si="3"/>
        <v>0</v>
      </c>
      <c r="L19" s="157">
        <f t="shared" si="4"/>
        <v>0</v>
      </c>
      <c r="M19" s="77">
        <f t="shared" si="5"/>
        <v>0.13999999999999999</v>
      </c>
      <c r="N19" s="78"/>
      <c r="O19" s="79">
        <f t="shared" si="7"/>
        <v>0.13999999999999999</v>
      </c>
      <c r="P19" s="44">
        <f t="shared" si="8"/>
        <v>0.13999999999999999</v>
      </c>
    </row>
    <row r="20" spans="1:16" ht="17.100000000000001" customHeight="1" x14ac:dyDescent="0.25">
      <c r="A20" s="64" t="s">
        <v>87</v>
      </c>
      <c r="B20" s="64" t="s">
        <v>81</v>
      </c>
      <c r="C20" s="65"/>
      <c r="D20" s="160">
        <f>1.02777778+1.2</f>
        <v>2.2277777800000003</v>
      </c>
      <c r="E20" s="72"/>
      <c r="F20" s="73">
        <f t="shared" si="0"/>
        <v>0</v>
      </c>
      <c r="G20" s="73"/>
      <c r="H20" s="74">
        <f t="shared" si="1"/>
        <v>0</v>
      </c>
      <c r="I20" s="74">
        <f t="shared" si="2"/>
        <v>0</v>
      </c>
      <c r="J20" s="75"/>
      <c r="K20" s="76">
        <f t="shared" si="3"/>
        <v>51016.111162000008</v>
      </c>
      <c r="L20" s="157">
        <f t="shared" si="4"/>
        <v>0</v>
      </c>
      <c r="M20" s="77">
        <f t="shared" si="5"/>
        <v>51016.15</v>
      </c>
      <c r="N20" s="78"/>
      <c r="O20" s="79">
        <f t="shared" si="7"/>
        <v>52546.15</v>
      </c>
      <c r="P20" s="44">
        <f t="shared" si="8"/>
        <v>0.15</v>
      </c>
    </row>
    <row r="21" spans="1:16" ht="17.100000000000001" customHeight="1" x14ac:dyDescent="0.25">
      <c r="A21" s="64" t="s">
        <v>88</v>
      </c>
      <c r="B21" s="64" t="s">
        <v>70</v>
      </c>
      <c r="C21" s="65"/>
      <c r="D21" s="160">
        <f>1.02777778+1.2</f>
        <v>2.2277777800000003</v>
      </c>
      <c r="E21" s="72"/>
      <c r="F21" s="73">
        <f t="shared" si="0"/>
        <v>0</v>
      </c>
      <c r="G21" s="73"/>
      <c r="H21" s="74">
        <f t="shared" si="1"/>
        <v>0</v>
      </c>
      <c r="I21" s="74">
        <f t="shared" si="2"/>
        <v>0</v>
      </c>
      <c r="J21" s="75"/>
      <c r="K21" s="76">
        <f t="shared" si="3"/>
        <v>51016.111162000008</v>
      </c>
      <c r="L21" s="157">
        <f t="shared" si="4"/>
        <v>0</v>
      </c>
      <c r="M21" s="77">
        <f t="shared" si="5"/>
        <v>51016.160000000003</v>
      </c>
      <c r="N21" s="78"/>
      <c r="O21" s="79">
        <f t="shared" si="7"/>
        <v>52546.16</v>
      </c>
      <c r="P21" s="44">
        <f t="shared" si="8"/>
        <v>0.16</v>
      </c>
    </row>
    <row r="22" spans="1:16" ht="17.100000000000001" customHeight="1" x14ac:dyDescent="0.25">
      <c r="A22" s="64" t="s">
        <v>89</v>
      </c>
      <c r="B22" s="64" t="s">
        <v>76</v>
      </c>
      <c r="C22" s="65"/>
      <c r="D22" s="160">
        <f>1.02777778+1.2</f>
        <v>2.2277777800000003</v>
      </c>
      <c r="E22" s="72"/>
      <c r="F22" s="73">
        <f t="shared" si="0"/>
        <v>0</v>
      </c>
      <c r="G22" s="73"/>
      <c r="H22" s="74">
        <f t="shared" si="1"/>
        <v>0</v>
      </c>
      <c r="I22" s="74">
        <f t="shared" si="2"/>
        <v>0</v>
      </c>
      <c r="J22" s="75"/>
      <c r="K22" s="76">
        <f t="shared" si="3"/>
        <v>51016.111162000008</v>
      </c>
      <c r="L22" s="157">
        <f t="shared" si="4"/>
        <v>0</v>
      </c>
      <c r="M22" s="77">
        <f t="shared" si="5"/>
        <v>51016.17</v>
      </c>
      <c r="N22" s="78"/>
      <c r="O22" s="79">
        <f t="shared" si="7"/>
        <v>52546.17</v>
      </c>
      <c r="P22" s="44">
        <f t="shared" si="8"/>
        <v>0.17</v>
      </c>
    </row>
    <row r="23" spans="1:16" ht="17.100000000000001" customHeight="1" x14ac:dyDescent="0.25">
      <c r="A23" s="64" t="s">
        <v>90</v>
      </c>
      <c r="B23" s="64" t="s">
        <v>81</v>
      </c>
      <c r="C23" s="65"/>
      <c r="D23" s="160">
        <f>1.02777778+1.2</f>
        <v>2.2277777800000003</v>
      </c>
      <c r="E23" s="72"/>
      <c r="F23" s="73">
        <f t="shared" si="0"/>
        <v>0</v>
      </c>
      <c r="G23" s="73"/>
      <c r="H23" s="74">
        <f t="shared" si="1"/>
        <v>0</v>
      </c>
      <c r="I23" s="74">
        <f t="shared" si="2"/>
        <v>0</v>
      </c>
      <c r="J23" s="75"/>
      <c r="K23" s="76">
        <f t="shared" si="3"/>
        <v>51016.111162000008</v>
      </c>
      <c r="L23" s="157">
        <f t="shared" si="4"/>
        <v>0</v>
      </c>
      <c r="M23" s="77">
        <f t="shared" si="5"/>
        <v>51016.18</v>
      </c>
      <c r="N23" s="78"/>
      <c r="O23" s="79">
        <f t="shared" si="7"/>
        <v>52546.18</v>
      </c>
      <c r="P23" s="44">
        <f t="shared" si="8"/>
        <v>0.18000000000000002</v>
      </c>
    </row>
    <row r="24" spans="1:16" ht="17.100000000000001" customHeight="1" thickBot="1" x14ac:dyDescent="0.3">
      <c r="A24" s="64" t="s">
        <v>91</v>
      </c>
      <c r="B24" s="64" t="s">
        <v>70</v>
      </c>
      <c r="C24" s="65"/>
      <c r="D24" s="160">
        <f>1.02777778+1.2</f>
        <v>2.2277777800000003</v>
      </c>
      <c r="E24" s="72"/>
      <c r="F24" s="73">
        <f t="shared" si="0"/>
        <v>0</v>
      </c>
      <c r="G24" s="73"/>
      <c r="H24" s="74">
        <f t="shared" si="1"/>
        <v>0</v>
      </c>
      <c r="I24" s="74">
        <f t="shared" si="2"/>
        <v>0</v>
      </c>
      <c r="J24" s="75">
        <v>0</v>
      </c>
      <c r="K24" s="76">
        <f t="shared" si="3"/>
        <v>51016.111162000008</v>
      </c>
      <c r="L24" s="157">
        <f t="shared" si="4"/>
        <v>0</v>
      </c>
      <c r="M24" s="77">
        <f t="shared" si="5"/>
        <v>51016.19</v>
      </c>
      <c r="N24" s="78">
        <f t="shared" si="6"/>
        <v>54077.19</v>
      </c>
      <c r="O24" s="79">
        <f t="shared" si="7"/>
        <v>52546.19</v>
      </c>
      <c r="P24" s="44">
        <f t="shared" si="8"/>
        <v>0.19000000000000003</v>
      </c>
    </row>
    <row r="25" spans="1:16" ht="17.100000000000001" customHeight="1" thickBot="1" x14ac:dyDescent="0.3">
      <c r="A25" s="80"/>
      <c r="B25" s="81"/>
      <c r="C25" s="81"/>
      <c r="D25" s="82">
        <f t="shared" ref="D25:O25" si="9">SUM(D6:D24)</f>
        <v>100.00000003999999</v>
      </c>
      <c r="E25" s="53">
        <f t="shared" si="9"/>
        <v>0</v>
      </c>
      <c r="F25" s="62">
        <f t="shared" si="9"/>
        <v>0</v>
      </c>
      <c r="G25" s="53">
        <f t="shared" si="9"/>
        <v>0</v>
      </c>
      <c r="H25" s="62">
        <f t="shared" si="9"/>
        <v>0</v>
      </c>
      <c r="I25" s="62">
        <f t="shared" si="9"/>
        <v>0</v>
      </c>
      <c r="J25" s="62">
        <f t="shared" si="9"/>
        <v>0</v>
      </c>
      <c r="K25" s="116">
        <f t="shared" si="9"/>
        <v>2290000.0009160005</v>
      </c>
      <c r="L25" s="62">
        <f t="shared" si="9"/>
        <v>0</v>
      </c>
      <c r="M25" s="83">
        <f t="shared" si="9"/>
        <v>2289999.9000000004</v>
      </c>
      <c r="N25" s="83">
        <f t="shared" si="9"/>
        <v>1916701.9700000007</v>
      </c>
      <c r="O25" s="83">
        <f t="shared" si="9"/>
        <v>2358693.9000000008</v>
      </c>
    </row>
    <row r="26" spans="1:16" ht="12.75" customHeight="1" x14ac:dyDescent="0.25">
      <c r="B26" s="51"/>
      <c r="C26" s="51"/>
      <c r="D26" s="159"/>
    </row>
    <row r="27" spans="1:16" hidden="1" x14ac:dyDescent="0.25"/>
    <row r="28" spans="1:16" ht="9" customHeight="1" x14ac:dyDescent="0.25">
      <c r="B28" s="165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</row>
    <row r="29" spans="1:16" ht="12" hidden="1" customHeight="1" x14ac:dyDescent="0.25"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</row>
    <row r="30" spans="1:16" ht="12" hidden="1" customHeight="1" x14ac:dyDescent="0.25"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</row>
    <row r="31" spans="1:16" ht="12" hidden="1" customHeight="1" x14ac:dyDescent="0.25"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</row>
    <row r="32" spans="1:16" ht="12" hidden="1" customHeight="1" x14ac:dyDescent="0.25"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</row>
    <row r="33" spans="2:13" ht="67.5" customHeight="1" x14ac:dyDescent="0.25"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</row>
  </sheetData>
  <mergeCells count="16">
    <mergeCell ref="D1:M1"/>
    <mergeCell ref="I4:I5"/>
    <mergeCell ref="E4:E5"/>
    <mergeCell ref="N4:N5"/>
    <mergeCell ref="F4:F5"/>
    <mergeCell ref="H4:H5"/>
    <mergeCell ref="J4:J5"/>
    <mergeCell ref="K4:K5"/>
    <mergeCell ref="L4:L5"/>
    <mergeCell ref="O4:O5"/>
    <mergeCell ref="B28:M33"/>
    <mergeCell ref="C4:C5"/>
    <mergeCell ref="G4:G5"/>
    <mergeCell ref="A4:A5"/>
    <mergeCell ref="B4:B5"/>
    <mergeCell ref="D4:D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2025-05-05T15:47:40Z</cp:lastPrinted>
  <dcterms:created xsi:type="dcterms:W3CDTF">2023-09-17T12:29:07Z</dcterms:created>
  <dcterms:modified xsi:type="dcterms:W3CDTF">2025-05-15T13:51:52Z</dcterms:modified>
</cp:coreProperties>
</file>