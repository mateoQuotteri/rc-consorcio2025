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EL MIRADOR\Junio\"/>
    </mc:Choice>
  </mc:AlternateContent>
  <xr:revisionPtr revIDLastSave="0" documentId="13_ncr:1_{36667721-C541-4F53-8111-9E5D67628533}" xr6:coauthVersionLast="47" xr6:coauthVersionMax="47" xr10:uidLastSave="{00000000-0000-0000-0000-000000000000}"/>
  <bookViews>
    <workbookView xWindow="-108" yWindow="-108" windowWidth="23256" windowHeight="12576" activeTab="3" xr2:uid="{00000000-000D-0000-FFFF-FFFF00000000}"/>
  </bookViews>
  <sheets>
    <sheet name="RESUMEN" sheetId="1" r:id="rId1"/>
    <sheet name="PRORRATEO" sheetId="2" r:id="rId2"/>
    <sheet name="ANOTACIONES" sheetId="3" r:id="rId3"/>
    <sheet name="SUELDOS" sheetId="4" r:id="rId4"/>
  </sheets>
  <definedNames>
    <definedName name="_xlnm.Print_Area" localSheetId="1">PRORRATEO!$A$1:$M$148</definedName>
    <definedName name="_xlnm.Print_Area" localSheetId="0">RESUMEN!$A$1:$J$128</definedName>
    <definedName name="_xlnm.Print_Area" localSheetId="3">SUELDOS!$A$2:$J$27</definedName>
  </definedNames>
  <calcPr calcId="181029"/>
</workbook>
</file>

<file path=xl/calcChain.xml><?xml version="1.0" encoding="utf-8"?>
<calcChain xmlns="http://schemas.openxmlformats.org/spreadsheetml/2006/main">
  <c r="G20" i="4" l="1"/>
  <c r="G21" i="4"/>
  <c r="G22" i="4"/>
  <c r="G23" i="4"/>
  <c r="G19" i="4"/>
  <c r="C20" i="4"/>
  <c r="C21" i="4"/>
  <c r="C22" i="4"/>
  <c r="C23" i="4"/>
  <c r="C19" i="4"/>
  <c r="G5" i="4"/>
  <c r="C18" i="4"/>
  <c r="F16" i="4"/>
  <c r="C16" i="4"/>
  <c r="C3" i="4"/>
  <c r="G25" i="4"/>
  <c r="G12" i="4"/>
  <c r="G6" i="4"/>
  <c r="G7" i="4"/>
  <c r="G8" i="4"/>
  <c r="G9" i="4"/>
  <c r="G10" i="4"/>
  <c r="C6" i="4"/>
  <c r="C7" i="4"/>
  <c r="C8" i="4"/>
  <c r="C9" i="4"/>
  <c r="C10" i="4"/>
  <c r="C5" i="4"/>
  <c r="F3" i="4"/>
  <c r="K26" i="2"/>
  <c r="K24" i="2"/>
  <c r="K37" i="2"/>
  <c r="J12" i="2"/>
  <c r="N14" i="2" l="1"/>
  <c r="N15" i="2" s="1"/>
  <c r="N16" i="2" s="1"/>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3" i="2"/>
  <c r="E94" i="1"/>
  <c r="J94" i="1"/>
  <c r="I94" i="1"/>
  <c r="H94" i="1"/>
  <c r="G94" i="1"/>
  <c r="F94" i="1"/>
  <c r="E126" i="2"/>
  <c r="J81" i="1"/>
  <c r="I81" i="1"/>
  <c r="H81" i="1"/>
  <c r="G81" i="1"/>
  <c r="F81" i="1"/>
  <c r="E81" i="1"/>
  <c r="J79" i="1"/>
  <c r="I79" i="1"/>
  <c r="H79" i="1"/>
  <c r="G79" i="1"/>
  <c r="F79" i="1"/>
  <c r="E79" i="1"/>
  <c r="J78" i="1"/>
  <c r="I78" i="1"/>
  <c r="H78" i="1"/>
  <c r="G78" i="1"/>
  <c r="F78" i="1"/>
  <c r="E78" i="1"/>
  <c r="J76" i="1"/>
  <c r="I76" i="1"/>
  <c r="H76" i="1"/>
  <c r="G76" i="1"/>
  <c r="F76" i="1"/>
  <c r="E76" i="1"/>
  <c r="E66" i="1"/>
  <c r="E64" i="1"/>
  <c r="L46" i="1"/>
  <c r="L55" i="1"/>
  <c r="L60" i="1"/>
  <c r="D82" i="1"/>
  <c r="E77" i="1"/>
  <c r="E82" i="1"/>
  <c r="C99" i="1"/>
  <c r="E44" i="1"/>
  <c r="E80" i="1"/>
  <c r="D51" i="1"/>
  <c r="G51" i="1" s="1"/>
  <c r="D55" i="1"/>
  <c r="E55" i="1" s="1"/>
  <c r="K62" i="1"/>
  <c r="J62" i="1"/>
  <c r="J63" i="1"/>
  <c r="I62" i="1"/>
  <c r="H62" i="1"/>
  <c r="G62" i="1"/>
  <c r="F62" i="1"/>
  <c r="E63" i="1"/>
  <c r="E62" i="1"/>
  <c r="D31" i="1"/>
  <c r="D23" i="1"/>
  <c r="D29" i="1" s="1"/>
  <c r="D81" i="1"/>
  <c r="J59" i="1"/>
  <c r="I59" i="1"/>
  <c r="H59" i="1"/>
  <c r="G59" i="1"/>
  <c r="F59" i="1"/>
  <c r="K94" i="1" l="1"/>
  <c r="L94" i="1" s="1"/>
  <c r="I55" i="1"/>
  <c r="J55" i="1"/>
  <c r="F55" i="1"/>
  <c r="G55" i="1"/>
  <c r="H55" i="1"/>
  <c r="L62" i="1"/>
  <c r="M62" i="1" s="1"/>
  <c r="E51" i="1"/>
  <c r="I51" i="1"/>
  <c r="F51" i="1"/>
  <c r="J51" i="1"/>
  <c r="H51" i="1"/>
  <c r="K65" i="1"/>
  <c r="E65" i="1"/>
  <c r="L65" i="1" s="1"/>
  <c r="L12" i="2"/>
  <c r="M12" i="2" s="1"/>
  <c r="J91" i="1"/>
  <c r="I91" i="1"/>
  <c r="H91" i="1"/>
  <c r="G91" i="1"/>
  <c r="F91" i="1"/>
  <c r="J90" i="1"/>
  <c r="I90" i="1"/>
  <c r="H90" i="1"/>
  <c r="G90" i="1"/>
  <c r="F90" i="1"/>
  <c r="J86" i="1"/>
  <c r="I86" i="1"/>
  <c r="I89" i="1" s="1"/>
  <c r="H86" i="1"/>
  <c r="H89" i="1" s="1"/>
  <c r="G86" i="1"/>
  <c r="G89" i="1" s="1"/>
  <c r="F86" i="1"/>
  <c r="F89" i="1" s="1"/>
  <c r="J75" i="1"/>
  <c r="I75" i="1"/>
  <c r="I82" i="1" s="1"/>
  <c r="H75" i="1"/>
  <c r="H82" i="1" s="1"/>
  <c r="G75" i="1"/>
  <c r="G82" i="1" s="1"/>
  <c r="F75" i="1"/>
  <c r="F82" i="1" s="1"/>
  <c r="K64" i="1"/>
  <c r="I63" i="1"/>
  <c r="H63" i="1"/>
  <c r="G63" i="1"/>
  <c r="F63" i="1"/>
  <c r="I57" i="1"/>
  <c r="H57" i="1"/>
  <c r="G57" i="1"/>
  <c r="F57" i="1"/>
  <c r="J57" i="1"/>
  <c r="I23" i="2"/>
  <c r="E105" i="1"/>
  <c r="E67" i="1"/>
  <c r="L67" i="1" s="1"/>
  <c r="K67" i="1"/>
  <c r="N67" i="1" s="1"/>
  <c r="I58" i="1"/>
  <c r="E59" i="1"/>
  <c r="K59" i="1" s="1"/>
  <c r="E91" i="1"/>
  <c r="E90" i="1"/>
  <c r="E86" i="1"/>
  <c r="E75" i="1"/>
  <c r="E57" i="1"/>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44" i="2"/>
  <c r="D36" i="1"/>
  <c r="H12" i="2"/>
  <c r="H13" i="2"/>
  <c r="H14" i="2"/>
  <c r="H15" i="2"/>
  <c r="H16" i="2"/>
  <c r="H18" i="2"/>
  <c r="H21" i="2"/>
  <c r="H22" i="2"/>
  <c r="H23" i="2"/>
  <c r="H25" i="2"/>
  <c r="H27" i="2"/>
  <c r="H28" i="2"/>
  <c r="H29" i="2"/>
  <c r="H30" i="2"/>
  <c r="H31" i="2"/>
  <c r="H32" i="2"/>
  <c r="H33" i="2"/>
  <c r="H34" i="2"/>
  <c r="H35" i="2"/>
  <c r="H36" i="2"/>
  <c r="H24" i="2"/>
  <c r="H20" i="2"/>
  <c r="H39" i="2"/>
  <c r="H40" i="2"/>
  <c r="H19" i="2"/>
  <c r="H41" i="2"/>
  <c r="H42" i="2"/>
  <c r="H43" i="2"/>
  <c r="H45" i="2"/>
  <c r="H46" i="2"/>
  <c r="H47" i="2"/>
  <c r="H17" i="2"/>
  <c r="H49" i="2"/>
  <c r="D92" i="1"/>
  <c r="D89" i="1"/>
  <c r="B127" i="1"/>
  <c r="K69" i="1"/>
  <c r="N69" i="1" s="1"/>
  <c r="E69" i="1"/>
  <c r="L69" i="1" s="1"/>
  <c r="K55" i="1" l="1"/>
  <c r="K51" i="1"/>
  <c r="L51" i="1" s="1"/>
  <c r="G71" i="1"/>
  <c r="K57" i="1"/>
  <c r="H92" i="1"/>
  <c r="G92" i="1"/>
  <c r="F92" i="1"/>
  <c r="I92" i="1"/>
  <c r="I60" i="1"/>
  <c r="L63" i="1"/>
  <c r="F71" i="1"/>
  <c r="I71" i="1"/>
  <c r="L66" i="1"/>
  <c r="H71" i="1"/>
  <c r="F58" i="1"/>
  <c r="F60" i="1" s="1"/>
  <c r="G58" i="1"/>
  <c r="G60" i="1" s="1"/>
  <c r="H58" i="1"/>
  <c r="H60" i="1" s="1"/>
  <c r="L64" i="1"/>
  <c r="M69" i="1"/>
  <c r="J58" i="1"/>
  <c r="J60" i="1" s="1"/>
  <c r="I12" i="2"/>
  <c r="I115" i="2"/>
  <c r="I99" i="2"/>
  <c r="I83" i="2"/>
  <c r="I67" i="2"/>
  <c r="I51" i="2"/>
  <c r="I35" i="2"/>
  <c r="I19" i="2"/>
  <c r="I111" i="2"/>
  <c r="I95" i="2"/>
  <c r="I79" i="2"/>
  <c r="I63" i="2"/>
  <c r="I47" i="2"/>
  <c r="I31" i="2"/>
  <c r="I15" i="2"/>
  <c r="I123" i="2"/>
  <c r="I107" i="2"/>
  <c r="I91" i="2"/>
  <c r="I75" i="2"/>
  <c r="I59" i="2"/>
  <c r="I43" i="2"/>
  <c r="I27" i="2"/>
  <c r="I119" i="2"/>
  <c r="I103" i="2"/>
  <c r="I87" i="2"/>
  <c r="I71" i="2"/>
  <c r="I55" i="2"/>
  <c r="I39" i="2"/>
  <c r="E58" i="1"/>
  <c r="I122" i="2"/>
  <c r="I118" i="2"/>
  <c r="I114" i="2"/>
  <c r="I110" i="2"/>
  <c r="I106" i="2"/>
  <c r="I102" i="2"/>
  <c r="I98" i="2"/>
  <c r="I94" i="2"/>
  <c r="I90" i="2"/>
  <c r="I86" i="2"/>
  <c r="I82" i="2"/>
  <c r="I78" i="2"/>
  <c r="I74" i="2"/>
  <c r="I70" i="2"/>
  <c r="I66" i="2"/>
  <c r="I62" i="2"/>
  <c r="I58" i="2"/>
  <c r="I54" i="2"/>
  <c r="I50" i="2"/>
  <c r="I46" i="2"/>
  <c r="I42" i="2"/>
  <c r="I38" i="2"/>
  <c r="I34" i="2"/>
  <c r="I30" i="2"/>
  <c r="I26" i="2"/>
  <c r="I22" i="2"/>
  <c r="I18" i="2"/>
  <c r="I14" i="2"/>
  <c r="I121" i="2"/>
  <c r="I117" i="2"/>
  <c r="I113" i="2"/>
  <c r="I109" i="2"/>
  <c r="I105" i="2"/>
  <c r="I101" i="2"/>
  <c r="I97" i="2"/>
  <c r="I93" i="2"/>
  <c r="I89" i="2"/>
  <c r="I85" i="2"/>
  <c r="I81" i="2"/>
  <c r="I77" i="2"/>
  <c r="I73" i="2"/>
  <c r="I69" i="2"/>
  <c r="I65" i="2"/>
  <c r="I61" i="2"/>
  <c r="I57" i="2"/>
  <c r="I53" i="2"/>
  <c r="I49" i="2"/>
  <c r="I45" i="2"/>
  <c r="I41" i="2"/>
  <c r="I37" i="2"/>
  <c r="I33" i="2"/>
  <c r="I29" i="2"/>
  <c r="I25" i="2"/>
  <c r="I21" i="2"/>
  <c r="I17" i="2"/>
  <c r="I13" i="2"/>
  <c r="I124" i="2"/>
  <c r="I120" i="2"/>
  <c r="I116" i="2"/>
  <c r="I112" i="2"/>
  <c r="I108" i="2"/>
  <c r="I104" i="2"/>
  <c r="I100" i="2"/>
  <c r="I96" i="2"/>
  <c r="I92" i="2"/>
  <c r="I88" i="2"/>
  <c r="I84" i="2"/>
  <c r="I80" i="2"/>
  <c r="I76" i="2"/>
  <c r="I72" i="2"/>
  <c r="I68" i="2"/>
  <c r="I64" i="2"/>
  <c r="I60" i="2"/>
  <c r="I56" i="2"/>
  <c r="I52" i="2"/>
  <c r="I48" i="2"/>
  <c r="I44" i="2"/>
  <c r="I40" i="2"/>
  <c r="I36" i="2"/>
  <c r="I32" i="2"/>
  <c r="I28" i="2"/>
  <c r="I24" i="2"/>
  <c r="I20" i="2"/>
  <c r="I16" i="2"/>
  <c r="J113" i="2"/>
  <c r="L113" i="2" s="1"/>
  <c r="M113" i="2" s="1"/>
  <c r="J49" i="2"/>
  <c r="L49" i="2" s="1"/>
  <c r="M49" i="2" s="1"/>
  <c r="J97" i="2"/>
  <c r="L97" i="2" s="1"/>
  <c r="M97" i="2" s="1"/>
  <c r="J81" i="2"/>
  <c r="L81" i="2" s="1"/>
  <c r="M81" i="2" s="1"/>
  <c r="J17" i="2"/>
  <c r="L17" i="2" s="1"/>
  <c r="M17" i="2" s="1"/>
  <c r="J33" i="2"/>
  <c r="L33" i="2" s="1"/>
  <c r="M33" i="2" s="1"/>
  <c r="J65" i="2"/>
  <c r="L65" i="2" s="1"/>
  <c r="M65" i="2" s="1"/>
  <c r="J109" i="2"/>
  <c r="L109" i="2" s="1"/>
  <c r="M109" i="2" s="1"/>
  <c r="J93" i="2"/>
  <c r="L93" i="2" s="1"/>
  <c r="M93" i="2" s="1"/>
  <c r="J77" i="2"/>
  <c r="L77" i="2" s="1"/>
  <c r="M77" i="2" s="1"/>
  <c r="J61" i="2"/>
  <c r="L61" i="2" s="1"/>
  <c r="M61" i="2" s="1"/>
  <c r="J45" i="2"/>
  <c r="L45" i="2" s="1"/>
  <c r="M45" i="2" s="1"/>
  <c r="J29" i="2"/>
  <c r="L29" i="2" s="1"/>
  <c r="M29" i="2" s="1"/>
  <c r="J13" i="2"/>
  <c r="L13" i="2" s="1"/>
  <c r="M13" i="2" s="1"/>
  <c r="J121" i="2"/>
  <c r="L121" i="2" s="1"/>
  <c r="M121" i="2" s="1"/>
  <c r="J105" i="2"/>
  <c r="L105" i="2" s="1"/>
  <c r="M105" i="2" s="1"/>
  <c r="J89" i="2"/>
  <c r="L89" i="2" s="1"/>
  <c r="M89" i="2" s="1"/>
  <c r="J73" i="2"/>
  <c r="L73" i="2" s="1"/>
  <c r="M73" i="2" s="1"/>
  <c r="J57" i="2"/>
  <c r="L57" i="2" s="1"/>
  <c r="M57" i="2" s="1"/>
  <c r="J41" i="2"/>
  <c r="L41" i="2" s="1"/>
  <c r="M41" i="2" s="1"/>
  <c r="J25" i="2"/>
  <c r="L25" i="2" s="1"/>
  <c r="M25" i="2" s="1"/>
  <c r="J117" i="2"/>
  <c r="L117" i="2" s="1"/>
  <c r="M117" i="2" s="1"/>
  <c r="J101" i="2"/>
  <c r="L101" i="2" s="1"/>
  <c r="M101" i="2" s="1"/>
  <c r="J85" i="2"/>
  <c r="L85" i="2" s="1"/>
  <c r="M85" i="2" s="1"/>
  <c r="J69" i="2"/>
  <c r="L69" i="2" s="1"/>
  <c r="M69" i="2" s="1"/>
  <c r="J53" i="2"/>
  <c r="L53" i="2" s="1"/>
  <c r="M53" i="2" s="1"/>
  <c r="J37" i="2"/>
  <c r="L37" i="2" s="1"/>
  <c r="M37" i="2" s="1"/>
  <c r="J21" i="2"/>
  <c r="L21" i="2" s="1"/>
  <c r="M21" i="2" s="1"/>
  <c r="J124" i="2"/>
  <c r="L124" i="2" s="1"/>
  <c r="M124" i="2" s="1"/>
  <c r="J120" i="2"/>
  <c r="L120" i="2" s="1"/>
  <c r="M120" i="2" s="1"/>
  <c r="J116" i="2"/>
  <c r="L116" i="2" s="1"/>
  <c r="M116" i="2" s="1"/>
  <c r="J112" i="2"/>
  <c r="L112" i="2" s="1"/>
  <c r="M112" i="2" s="1"/>
  <c r="J108" i="2"/>
  <c r="L108" i="2" s="1"/>
  <c r="M108" i="2" s="1"/>
  <c r="J104" i="2"/>
  <c r="L104" i="2" s="1"/>
  <c r="M104" i="2" s="1"/>
  <c r="J100" i="2"/>
  <c r="L100" i="2" s="1"/>
  <c r="M100" i="2" s="1"/>
  <c r="J96" i="2"/>
  <c r="L96" i="2" s="1"/>
  <c r="M96" i="2" s="1"/>
  <c r="J92" i="2"/>
  <c r="L92" i="2" s="1"/>
  <c r="M92" i="2" s="1"/>
  <c r="J88" i="2"/>
  <c r="L88" i="2" s="1"/>
  <c r="M88" i="2" s="1"/>
  <c r="J84" i="2"/>
  <c r="L84" i="2" s="1"/>
  <c r="M84" i="2" s="1"/>
  <c r="J80" i="2"/>
  <c r="L80" i="2" s="1"/>
  <c r="M80" i="2" s="1"/>
  <c r="J76" i="2"/>
  <c r="L76" i="2" s="1"/>
  <c r="M76" i="2" s="1"/>
  <c r="J72" i="2"/>
  <c r="L72" i="2" s="1"/>
  <c r="M72" i="2" s="1"/>
  <c r="J68" i="2"/>
  <c r="L68" i="2" s="1"/>
  <c r="M68" i="2" s="1"/>
  <c r="J64" i="2"/>
  <c r="L64" i="2" s="1"/>
  <c r="M64" i="2" s="1"/>
  <c r="J60" i="2"/>
  <c r="L60" i="2" s="1"/>
  <c r="M60" i="2" s="1"/>
  <c r="J56" i="2"/>
  <c r="L56" i="2" s="1"/>
  <c r="M56" i="2" s="1"/>
  <c r="J52" i="2"/>
  <c r="L52" i="2" s="1"/>
  <c r="M52" i="2" s="1"/>
  <c r="J48" i="2"/>
  <c r="L48" i="2" s="1"/>
  <c r="M48" i="2" s="1"/>
  <c r="J44" i="2"/>
  <c r="L44" i="2" s="1"/>
  <c r="M44" i="2" s="1"/>
  <c r="J40" i="2"/>
  <c r="L40" i="2" s="1"/>
  <c r="M40" i="2" s="1"/>
  <c r="J36" i="2"/>
  <c r="L36" i="2" s="1"/>
  <c r="M36" i="2" s="1"/>
  <c r="J32" i="2"/>
  <c r="L32" i="2" s="1"/>
  <c r="M32" i="2" s="1"/>
  <c r="J28" i="2"/>
  <c r="L28" i="2" s="1"/>
  <c r="M28" i="2" s="1"/>
  <c r="J24" i="2"/>
  <c r="L24" i="2" s="1"/>
  <c r="M24" i="2" s="1"/>
  <c r="J20" i="2"/>
  <c r="L20" i="2" s="1"/>
  <c r="M20" i="2" s="1"/>
  <c r="J16" i="2"/>
  <c r="L16" i="2" s="1"/>
  <c r="M16" i="2" s="1"/>
  <c r="J123" i="2"/>
  <c r="L123" i="2" s="1"/>
  <c r="M123" i="2" s="1"/>
  <c r="J119" i="2"/>
  <c r="L119" i="2" s="1"/>
  <c r="M119" i="2" s="1"/>
  <c r="J115" i="2"/>
  <c r="L115" i="2" s="1"/>
  <c r="M115" i="2" s="1"/>
  <c r="J111" i="2"/>
  <c r="L111" i="2" s="1"/>
  <c r="M111" i="2" s="1"/>
  <c r="J107" i="2"/>
  <c r="L107" i="2" s="1"/>
  <c r="M107" i="2" s="1"/>
  <c r="J103" i="2"/>
  <c r="L103" i="2" s="1"/>
  <c r="M103" i="2" s="1"/>
  <c r="J99" i="2"/>
  <c r="L99" i="2" s="1"/>
  <c r="M99" i="2" s="1"/>
  <c r="J95" i="2"/>
  <c r="L95" i="2" s="1"/>
  <c r="M95" i="2" s="1"/>
  <c r="J91" i="2"/>
  <c r="L91" i="2" s="1"/>
  <c r="M91" i="2" s="1"/>
  <c r="J87" i="2"/>
  <c r="L87" i="2" s="1"/>
  <c r="M87" i="2" s="1"/>
  <c r="J83" i="2"/>
  <c r="L83" i="2" s="1"/>
  <c r="M83" i="2" s="1"/>
  <c r="J79" i="2"/>
  <c r="L79" i="2" s="1"/>
  <c r="M79" i="2" s="1"/>
  <c r="J75" i="2"/>
  <c r="L75" i="2" s="1"/>
  <c r="M75" i="2" s="1"/>
  <c r="J71" i="2"/>
  <c r="L71" i="2" s="1"/>
  <c r="M71" i="2" s="1"/>
  <c r="J67" i="2"/>
  <c r="L67" i="2" s="1"/>
  <c r="M67" i="2" s="1"/>
  <c r="J63" i="2"/>
  <c r="L63" i="2" s="1"/>
  <c r="M63" i="2" s="1"/>
  <c r="J59" i="2"/>
  <c r="L59" i="2" s="1"/>
  <c r="M59" i="2" s="1"/>
  <c r="J55" i="2"/>
  <c r="L55" i="2" s="1"/>
  <c r="M55" i="2" s="1"/>
  <c r="J51" i="2"/>
  <c r="L51" i="2" s="1"/>
  <c r="M51" i="2" s="1"/>
  <c r="J47" i="2"/>
  <c r="L47" i="2" s="1"/>
  <c r="M47" i="2" s="1"/>
  <c r="J43" i="2"/>
  <c r="L43" i="2" s="1"/>
  <c r="M43" i="2" s="1"/>
  <c r="J39" i="2"/>
  <c r="L39" i="2" s="1"/>
  <c r="M39" i="2" s="1"/>
  <c r="J35" i="2"/>
  <c r="L35" i="2" s="1"/>
  <c r="M35" i="2" s="1"/>
  <c r="J31" i="2"/>
  <c r="L31" i="2" s="1"/>
  <c r="M31" i="2" s="1"/>
  <c r="J27" i="2"/>
  <c r="L27" i="2" s="1"/>
  <c r="M27" i="2" s="1"/>
  <c r="J23" i="2"/>
  <c r="L23" i="2" s="1"/>
  <c r="M23" i="2" s="1"/>
  <c r="J19" i="2"/>
  <c r="L19" i="2" s="1"/>
  <c r="M19" i="2" s="1"/>
  <c r="J15" i="2"/>
  <c r="L15" i="2" s="1"/>
  <c r="M15" i="2" s="1"/>
  <c r="J122" i="2"/>
  <c r="L122" i="2" s="1"/>
  <c r="M122" i="2" s="1"/>
  <c r="J118" i="2"/>
  <c r="L118" i="2" s="1"/>
  <c r="M118" i="2" s="1"/>
  <c r="J114" i="2"/>
  <c r="L114" i="2" s="1"/>
  <c r="M114" i="2" s="1"/>
  <c r="J110" i="2"/>
  <c r="L110" i="2" s="1"/>
  <c r="M110" i="2" s="1"/>
  <c r="J106" i="2"/>
  <c r="L106" i="2" s="1"/>
  <c r="M106" i="2" s="1"/>
  <c r="J102" i="2"/>
  <c r="L102" i="2" s="1"/>
  <c r="M102" i="2" s="1"/>
  <c r="J98" i="2"/>
  <c r="L98" i="2" s="1"/>
  <c r="M98" i="2" s="1"/>
  <c r="J94" i="2"/>
  <c r="L94" i="2" s="1"/>
  <c r="M94" i="2" s="1"/>
  <c r="J90" i="2"/>
  <c r="L90" i="2" s="1"/>
  <c r="M90" i="2" s="1"/>
  <c r="J86" i="2"/>
  <c r="L86" i="2" s="1"/>
  <c r="M86" i="2" s="1"/>
  <c r="J82" i="2"/>
  <c r="L82" i="2" s="1"/>
  <c r="M82" i="2" s="1"/>
  <c r="J78" i="2"/>
  <c r="L78" i="2" s="1"/>
  <c r="M78" i="2" s="1"/>
  <c r="J74" i="2"/>
  <c r="L74" i="2" s="1"/>
  <c r="M74" i="2" s="1"/>
  <c r="J70" i="2"/>
  <c r="L70" i="2" s="1"/>
  <c r="M70" i="2" s="1"/>
  <c r="J66" i="2"/>
  <c r="L66" i="2" s="1"/>
  <c r="M66" i="2" s="1"/>
  <c r="J62" i="2"/>
  <c r="L62" i="2" s="1"/>
  <c r="M62" i="2" s="1"/>
  <c r="J58" i="2"/>
  <c r="L58" i="2" s="1"/>
  <c r="M58" i="2" s="1"/>
  <c r="J54" i="2"/>
  <c r="L54" i="2" s="1"/>
  <c r="M54" i="2" s="1"/>
  <c r="J50" i="2"/>
  <c r="L50" i="2" s="1"/>
  <c r="M50" i="2" s="1"/>
  <c r="J46" i="2"/>
  <c r="L46" i="2" s="1"/>
  <c r="M46" i="2" s="1"/>
  <c r="J42" i="2"/>
  <c r="L42" i="2" s="1"/>
  <c r="M42" i="2" s="1"/>
  <c r="J38" i="2"/>
  <c r="L38" i="2" s="1"/>
  <c r="M38" i="2" s="1"/>
  <c r="J34" i="2"/>
  <c r="L34" i="2" s="1"/>
  <c r="M34" i="2" s="1"/>
  <c r="J30" i="2"/>
  <c r="L30" i="2" s="1"/>
  <c r="M30" i="2" s="1"/>
  <c r="J26" i="2"/>
  <c r="L26" i="2" s="1"/>
  <c r="M26" i="2" s="1"/>
  <c r="J22" i="2"/>
  <c r="L22" i="2" s="1"/>
  <c r="M22" i="2" s="1"/>
  <c r="J18" i="2"/>
  <c r="L18" i="2" s="1"/>
  <c r="M18" i="2" s="1"/>
  <c r="J14" i="2"/>
  <c r="L14" i="2" s="1"/>
  <c r="M14" i="2" s="1"/>
  <c r="D37" i="1"/>
  <c r="H26" i="2"/>
  <c r="H37" i="2"/>
  <c r="H48" i="2"/>
  <c r="H38" i="2"/>
  <c r="E37" i="1" l="1"/>
  <c r="J126" i="2"/>
  <c r="K58" i="1"/>
  <c r="H37" i="1"/>
  <c r="H96" i="1" s="1"/>
  <c r="Q11" i="2" s="1"/>
  <c r="G37" i="1"/>
  <c r="G96" i="1" s="1"/>
  <c r="Q10" i="2" s="1"/>
  <c r="J37" i="1"/>
  <c r="F37" i="1"/>
  <c r="F96" i="1" s="1"/>
  <c r="Q9" i="2" s="1"/>
  <c r="I37" i="1"/>
  <c r="I96" i="1" s="1"/>
  <c r="Q12" i="2" s="1"/>
  <c r="I126" i="2"/>
  <c r="D60" i="1"/>
  <c r="D71" i="1"/>
  <c r="D96" i="1" s="1"/>
  <c r="K37" i="1" l="1"/>
  <c r="L37" i="1" s="1"/>
  <c r="G123" i="2"/>
  <c r="H123" i="2" s="1"/>
  <c r="N62" i="1"/>
  <c r="N64" i="1" l="1"/>
  <c r="F126" i="2"/>
  <c r="M64" i="1" l="1"/>
  <c r="E68" i="1"/>
  <c r="L68" i="1" s="1"/>
  <c r="D107" i="1" l="1"/>
  <c r="B117" i="1" l="1"/>
  <c r="E107" i="1"/>
  <c r="J107" i="1"/>
  <c r="L107" i="1" l="1"/>
  <c r="M107" i="1" s="1"/>
  <c r="J45" i="1" l="1"/>
  <c r="J43" i="1"/>
  <c r="E45" i="1"/>
  <c r="E43" i="1"/>
  <c r="K63" i="1" l="1"/>
  <c r="N63" i="1" s="1"/>
  <c r="K66" i="1"/>
  <c r="N66" i="1" s="1"/>
  <c r="K68" i="1"/>
  <c r="N68" i="1" s="1"/>
  <c r="M70" i="1" l="1"/>
  <c r="M68" i="1" l="1"/>
  <c r="J39" i="1" l="1"/>
  <c r="J38" i="1"/>
  <c r="E39" i="1"/>
  <c r="E38" i="1"/>
  <c r="J71" i="1" l="1"/>
  <c r="J96" i="1" s="1"/>
  <c r="Q13" i="2" s="1"/>
  <c r="E71" i="1"/>
  <c r="M63" i="1"/>
  <c r="M66" i="1"/>
  <c r="J92" i="1"/>
  <c r="E92" i="1"/>
  <c r="E89" i="1"/>
  <c r="J89" i="1"/>
  <c r="J82" i="1"/>
  <c r="K82" i="1" s="1"/>
  <c r="E42" i="1"/>
  <c r="E46" i="1" s="1"/>
  <c r="K46" i="1" s="1"/>
  <c r="J42" i="1"/>
  <c r="E96" i="1" l="1"/>
  <c r="K96" i="1" s="1"/>
  <c r="K71" i="1"/>
  <c r="L71" i="1" s="1"/>
  <c r="K92" i="1"/>
  <c r="K89" i="1"/>
  <c r="K42" i="1"/>
  <c r="D42" i="1"/>
  <c r="M71" i="1" l="1"/>
  <c r="D46" i="1"/>
  <c r="L82" i="1"/>
  <c r="L42" i="1"/>
  <c r="L92" i="1"/>
  <c r="L89" i="1"/>
  <c r="C101" i="1"/>
  <c r="B119" i="1" s="1"/>
  <c r="B111" i="1" l="1"/>
  <c r="B116" i="1" s="1"/>
  <c r="K1" i="2"/>
  <c r="O4" i="2" s="1"/>
  <c r="L96" i="1"/>
  <c r="E60" i="1"/>
  <c r="O143" i="2" l="1"/>
  <c r="K60" i="1"/>
  <c r="B110" i="1"/>
  <c r="A3" i="2" l="1"/>
  <c r="J127" i="2" l="1"/>
  <c r="B118" i="1"/>
  <c r="I4" i="2" l="1"/>
  <c r="K44" i="2" l="1"/>
  <c r="K48" i="2"/>
  <c r="K52" i="2"/>
  <c r="K56" i="2"/>
  <c r="K60" i="2"/>
  <c r="K64" i="2"/>
  <c r="K68" i="2"/>
  <c r="K72" i="2"/>
  <c r="K76" i="2"/>
  <c r="K80" i="2"/>
  <c r="K84" i="2"/>
  <c r="K88" i="2"/>
  <c r="K92" i="2"/>
  <c r="K96" i="2"/>
  <c r="K100" i="2"/>
  <c r="K104" i="2"/>
  <c r="K108" i="2"/>
  <c r="K112" i="2"/>
  <c r="K116" i="2"/>
  <c r="K120" i="2"/>
  <c r="K124" i="2"/>
  <c r="K12" i="2"/>
  <c r="K35" i="2"/>
  <c r="K39" i="2"/>
  <c r="K43" i="2"/>
  <c r="K83" i="2"/>
  <c r="K99" i="2"/>
  <c r="K107" i="2"/>
  <c r="K119" i="2"/>
  <c r="K20" i="2"/>
  <c r="K28" i="2"/>
  <c r="K30" i="2"/>
  <c r="K45" i="2"/>
  <c r="K49" i="2"/>
  <c r="K53" i="2"/>
  <c r="K57" i="2"/>
  <c r="K61" i="2"/>
  <c r="K65" i="2"/>
  <c r="K69" i="2"/>
  <c r="K73" i="2"/>
  <c r="K77" i="2"/>
  <c r="K81" i="2"/>
  <c r="K85" i="2"/>
  <c r="K89" i="2"/>
  <c r="K93" i="2"/>
  <c r="K97" i="2"/>
  <c r="K101" i="2"/>
  <c r="K105" i="2"/>
  <c r="K109" i="2"/>
  <c r="K113" i="2"/>
  <c r="K117" i="2"/>
  <c r="K121" i="2"/>
  <c r="K15" i="2"/>
  <c r="K18" i="2"/>
  <c r="K21" i="2"/>
  <c r="K27" i="2"/>
  <c r="K29" i="2"/>
  <c r="K31" i="2"/>
  <c r="K47" i="2"/>
  <c r="K51" i="2"/>
  <c r="K55" i="2"/>
  <c r="K59" i="2"/>
  <c r="K63" i="2"/>
  <c r="K67" i="2"/>
  <c r="K79" i="2"/>
  <c r="K91" i="2"/>
  <c r="K95" i="2"/>
  <c r="K103" i="2"/>
  <c r="K115" i="2"/>
  <c r="K14" i="2"/>
  <c r="K22" i="2"/>
  <c r="K46" i="2"/>
  <c r="K50" i="2"/>
  <c r="K54" i="2"/>
  <c r="K58" i="2"/>
  <c r="K62" i="2"/>
  <c r="K66" i="2"/>
  <c r="K70" i="2"/>
  <c r="K74" i="2"/>
  <c r="K78" i="2"/>
  <c r="K82" i="2"/>
  <c r="K86" i="2"/>
  <c r="K90" i="2"/>
  <c r="K94" i="2"/>
  <c r="K98" i="2"/>
  <c r="K102" i="2"/>
  <c r="K106" i="2"/>
  <c r="K110" i="2"/>
  <c r="K114" i="2"/>
  <c r="K118" i="2"/>
  <c r="K122" i="2"/>
  <c r="K13" i="2"/>
  <c r="K19" i="2"/>
  <c r="K34" i="2"/>
  <c r="K36" i="2"/>
  <c r="K38" i="2"/>
  <c r="K40" i="2"/>
  <c r="K42" i="2"/>
  <c r="K71" i="2"/>
  <c r="K87" i="2"/>
  <c r="K111" i="2"/>
  <c r="K123" i="2"/>
  <c r="K17" i="2"/>
  <c r="K32" i="2"/>
  <c r="K41" i="2"/>
  <c r="K25" i="2"/>
  <c r="K33" i="2"/>
  <c r="K8" i="2"/>
  <c r="K11" i="2"/>
  <c r="K10" i="2"/>
  <c r="K9" i="2"/>
  <c r="G124" i="2" l="1"/>
  <c r="H124" i="2" s="1"/>
  <c r="K126" i="2" l="1"/>
  <c r="H10" i="2" l="1"/>
  <c r="H8" i="2"/>
  <c r="L8" i="2" s="1"/>
  <c r="H11" i="2"/>
  <c r="H7" i="2"/>
  <c r="L7" i="2" s="1"/>
  <c r="H9" i="2" l="1"/>
  <c r="L9" i="2" s="1"/>
  <c r="M9" i="2" s="1"/>
  <c r="M7" i="2"/>
  <c r="L11" i="2"/>
  <c r="M11" i="2" s="1"/>
  <c r="L10" i="2"/>
  <c r="M10" i="2" s="1"/>
  <c r="G126" i="2" l="1"/>
  <c r="B115" i="1" s="1"/>
  <c r="B121" i="1" s="1"/>
  <c r="M8" i="2"/>
  <c r="M126" i="2" s="1"/>
  <c r="L126" i="2"/>
  <c r="M96" i="1" l="1"/>
</calcChain>
</file>

<file path=xl/sharedStrings.xml><?xml version="1.0" encoding="utf-8"?>
<sst xmlns="http://schemas.openxmlformats.org/spreadsheetml/2006/main" count="464" uniqueCount="307">
  <si>
    <t>LIQUIDACION DE EXPENSAS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</si>
  <si>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</si>
  <si>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</si>
  <si>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</si>
  <si>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</si>
  <si>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</si>
  <si>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</si>
  <si>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</si>
  <si>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</si>
  <si>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ESTADO DE CUENTA Y PRORRATEO</t>
  </si>
  <si>
    <t>Piso</t>
  </si>
  <si>
    <t>Dpto.</t>
  </si>
  <si>
    <t>UF</t>
  </si>
  <si>
    <t>Propietario</t>
  </si>
  <si>
    <t xml:space="preserve">Saldo </t>
  </si>
  <si>
    <t xml:space="preserve">Ingreso </t>
  </si>
  <si>
    <t>SALDO</t>
  </si>
  <si>
    <t>Expensas extraor.</t>
  </si>
  <si>
    <t>TOTAL</t>
  </si>
  <si>
    <t>TOTAL EXPENSAS 1er VTO</t>
  </si>
  <si>
    <t>TOTAL EXPENSAS 2do VTO</t>
  </si>
  <si>
    <t>Expensas ord</t>
  </si>
  <si>
    <t>GASTOS ORDINARIOS UNIDADES FUNCIONALES:</t>
  </si>
  <si>
    <t>CAJA EFECTIVO $ (pesos)</t>
  </si>
  <si>
    <t xml:space="preserve">Saldo anterior </t>
  </si>
  <si>
    <t>Ingresos</t>
  </si>
  <si>
    <t xml:space="preserve">  </t>
  </si>
  <si>
    <t>Saldo al cierre</t>
  </si>
  <si>
    <t>CAJA EFECTIVO SUM $ (pesos)</t>
  </si>
  <si>
    <t>COC</t>
  </si>
  <si>
    <t xml:space="preserve"> (%)</t>
  </si>
  <si>
    <t>Gastos bancarios</t>
  </si>
  <si>
    <t>Mantenimiento de cuenta</t>
  </si>
  <si>
    <t xml:space="preserve">TOTAL ORDINARIOS </t>
  </si>
  <si>
    <t>GASTOS ORDINARIOS + PREVISION :</t>
  </si>
  <si>
    <t>Dinero ingreso SUM</t>
  </si>
  <si>
    <t>GASTOS ORDINARIOS SIN PREVISION:</t>
  </si>
  <si>
    <t>SAC</t>
  </si>
  <si>
    <t>TOTAL SAC</t>
  </si>
  <si>
    <t>GASTOS EXTRAORDINARIOS</t>
  </si>
  <si>
    <t>Egresos Extraordinarios</t>
  </si>
  <si>
    <t>Egresos Ordinarios</t>
  </si>
  <si>
    <t>MP:1148</t>
  </si>
  <si>
    <t xml:space="preserve">TOTAL </t>
  </si>
  <si>
    <t>Gastos particulares</t>
  </si>
  <si>
    <t>SUM/ GASTOS PART</t>
  </si>
  <si>
    <t>SE GASTO:</t>
  </si>
  <si>
    <t>SE PRORRATEA EN LAS UF:</t>
  </si>
  <si>
    <t xml:space="preserve">Haberes </t>
  </si>
  <si>
    <t xml:space="preserve">FONDO DE GASTOS ORDINARIOS </t>
  </si>
  <si>
    <t>Articulos de limpieza</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</si>
  <si>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</si>
  <si>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</si>
  <si>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</si>
  <si>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</si>
  <si>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</si>
  <si>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</si>
  <si>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</si>
  <si>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</si>
  <si>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</si>
  <si>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</si>
  <si>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</si>
  <si>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</si>
  <si>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</si>
  <si>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</si>
  <si>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</si>
  <si>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</si>
  <si>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</si>
  <si>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</si>
  <si>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</si>
  <si>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</si>
  <si>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</si>
  <si>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</si>
  <si>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</si>
  <si>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</si>
  <si>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</si>
  <si>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</si>
  <si>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</si>
  <si>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</si>
  <si>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</si>
  <si>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</si>
  <si>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</si>
  <si>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</si>
  <si>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</si>
  <si>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</si>
  <si>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</si>
  <si>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</si>
  <si>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</si>
  <si>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</si>
  <si>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</si>
  <si>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</si>
  <si>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</si>
  <si>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</si>
  <si>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</si>
  <si>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</si>
  <si>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</si>
  <si>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</si>
  <si>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</si>
  <si>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</si>
  <si>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</si>
  <si>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</si>
  <si>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</si>
  <si>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</si>
  <si>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</si>
  <si>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</si>
  <si>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</si>
  <si>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</si>
  <si>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</si>
  <si>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</si>
  <si>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</si>
  <si>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</si>
  <si>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</si>
  <si>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</si>
  <si>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</si>
  <si>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</si>
  <si>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</si>
  <si>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</si>
  <si>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</si>
  <si>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</si>
  <si>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</si>
  <si>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</si>
  <si>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</si>
  <si>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</si>
  <si>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</si>
  <si>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</si>
  <si>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</si>
  <si>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</si>
  <si>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</si>
  <si>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</si>
  <si>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</si>
  <si>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</si>
  <si>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</si>
  <si>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</si>
  <si>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</si>
  <si>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</si>
  <si>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</si>
  <si>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</si>
  <si>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</si>
  <si>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</si>
  <si>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</si>
  <si>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</si>
  <si>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</si>
  <si>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</si>
  <si>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</si>
  <si>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</si>
  <si>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</si>
  <si>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</si>
  <si>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</si>
  <si>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</si>
  <si>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</si>
  <si>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</si>
  <si>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</si>
  <si>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</si>
  <si>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</si>
  <si>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</si>
  <si>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</si>
  <si>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</si>
  <si>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</si>
  <si>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</si>
  <si>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</si>
  <si>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</si>
  <si>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</si>
  <si>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</si>
  <si>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</si>
  <si>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</si>
  <si>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</si>
  <si>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</si>
  <si>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</si>
  <si>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</si>
  <si>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</si>
  <si>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</si>
  <si>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</si>
  <si>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</si>
  <si>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</si>
  <si>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</si>
  <si>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SUBTOTAL</t>
  </si>
  <si>
    <t>UF 93,20%</t>
  </si>
  <si>
    <t>LOCAL 1 (1,08%)</t>
  </si>
  <si>
    <t>LOCAL 2 (1,28%)</t>
  </si>
  <si>
    <t>LOCAL 3 (1,21%)</t>
  </si>
  <si>
    <t>LOCAL 4 (1,49%)</t>
  </si>
  <si>
    <t>LOCAL 5 (1,74%)</t>
  </si>
  <si>
    <t>Fernandez, Cristian</t>
  </si>
  <si>
    <t>Passeri, Hernán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</si>
  <si>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</si>
  <si>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</si>
  <si>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</si>
  <si>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</si>
  <si>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</si>
  <si>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</si>
  <si>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</si>
  <si>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</si>
  <si>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</si>
  <si>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</si>
  <si>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</si>
  <si>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</si>
  <si>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</si>
  <si>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</si>
  <si>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</si>
  <si>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</si>
  <si>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</si>
  <si>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</si>
  <si>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</si>
  <si>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Acosta, Daniela Pilar</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</si>
  <si>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</si>
  <si>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</si>
  <si>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</si>
  <si>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</si>
  <si>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</si>
  <si>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</si>
  <si>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</si>
  <si>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</si>
  <si>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</si>
  <si>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</si>
  <si>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</si>
  <si>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</si>
  <si>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</si>
  <si>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</si>
  <si>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</si>
  <si>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</si>
  <si>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Cadahia, Rosanna Patricia</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</si>
  <si>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</si>
  <si>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</si>
  <si>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</si>
  <si>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</si>
  <si>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</si>
  <si>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</si>
  <si>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</si>
  <si>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</si>
  <si>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</si>
  <si>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</si>
  <si>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</si>
  <si>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</si>
  <si>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</si>
  <si>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</si>
  <si>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</si>
  <si>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</si>
  <si>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</si>
  <si>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</si>
  <si>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</si>
  <si>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</si>
  <si>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</si>
  <si>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Efec. 12/06</t>
  </si>
  <si>
    <t>Federacion patronal - Poliza accidentes personales Sra. Sonia - nro. 9559834</t>
  </si>
  <si>
    <t>Efec. 10/06</t>
  </si>
  <si>
    <t>Federacion patronal - Poliza accidentes personales Sra. Miriam - nro. 9559886</t>
  </si>
  <si>
    <t>Efec. 17/06</t>
  </si>
  <si>
    <t>Sueldo encargada Miriam</t>
  </si>
  <si>
    <t xml:space="preserve">Sueldo encargada Sonia Arzamendia Galeano </t>
  </si>
  <si>
    <t>Plus retiro de basura</t>
  </si>
  <si>
    <t>Plus cochera</t>
  </si>
  <si>
    <t>Plus pileta</t>
  </si>
  <si>
    <t>Adicional remuneracion</t>
  </si>
  <si>
    <t>Monotributo Sra. Sonia</t>
  </si>
  <si>
    <t>Aysa - Cuenta 249011</t>
  </si>
  <si>
    <t>Efect. 03/06</t>
  </si>
  <si>
    <t>Edesur - Cliente 01291636</t>
  </si>
  <si>
    <t>Efect. 06/06</t>
  </si>
  <si>
    <t>Telecentro - Zona coworking - Cliente 7725479</t>
  </si>
  <si>
    <t>Efect. 23/06</t>
  </si>
  <si>
    <t>Transf 25/06</t>
  </si>
  <si>
    <t xml:space="preserve">Victor Martinez - Abono mantenimiento control de accesos </t>
  </si>
  <si>
    <t>IMPUESTOS</t>
  </si>
  <si>
    <t>TOTAL APORTES Y CONTRIBUCIONES</t>
  </si>
  <si>
    <t xml:space="preserve">TOTAL IMPUESTOS </t>
  </si>
  <si>
    <t>ARBA - Impuesto inmobiliario partida 025024270-0</t>
  </si>
  <si>
    <t>PMC 10/06</t>
  </si>
  <si>
    <t>TSG - Partida 197227000</t>
  </si>
  <si>
    <t>TSG - Partida 197229000</t>
  </si>
  <si>
    <t>PMC 09/06</t>
  </si>
  <si>
    <t xml:space="preserve">Mundo plus - adelanto compra tachos de basuras </t>
  </si>
  <si>
    <t>Victor Martinez - Tags</t>
  </si>
  <si>
    <t>COMBUSTIBLE PARA GRUPO ELECTROGENO</t>
  </si>
  <si>
    <t>Gas Lanus SA - Compra infinia diesel</t>
  </si>
  <si>
    <t>Efect 02/07</t>
  </si>
  <si>
    <t xml:space="preserve">Ferreteria CyR - Compra embudo </t>
  </si>
  <si>
    <t>Cerrajeria Citta - Copias de llaves</t>
  </si>
  <si>
    <t>Cerrajeria V&amp;A - Compra candado tacho de basura</t>
  </si>
  <si>
    <t>Tags - Sra Miriam</t>
  </si>
  <si>
    <t>Papelera - compra libro de actas, sopapas, carteles porteria</t>
  </si>
  <si>
    <t>Metrogas - No llego la factura</t>
  </si>
  <si>
    <t>No llego factura</t>
  </si>
  <si>
    <t>Mantenimiento grupo electrogeno - No llego factura</t>
  </si>
  <si>
    <t>LOCAL 1</t>
  </si>
  <si>
    <t>LOCAL 2</t>
  </si>
  <si>
    <t>LOCAL 3</t>
  </si>
  <si>
    <t>LOCAL 4</t>
  </si>
  <si>
    <t>LOCAL 5</t>
  </si>
  <si>
    <t>para copias y pegar las expensas ord del local</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</si>
  <si>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</si>
  <si>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</si>
  <si>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</si>
  <si>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</si>
  <si>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</si>
  <si>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</si>
  <si>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</si>
  <si>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</si>
  <si>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</si>
  <si>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 xml:space="preserve">CBU: </t>
  </si>
  <si>
    <t>HORARIOS DE ATENCION: LUNES A VIERNES - 10 A 16HS - EMERGENCIAS 24HS</t>
  </si>
  <si>
    <t xml:space="preserve">MAIL: elmiradorconsorcios@gmail.com
</t>
  </si>
  <si>
    <t>PERÍODO: JULIO</t>
  </si>
  <si>
    <t>ADS - Abono de mantenimiento ascensores JULIO del 2025</t>
  </si>
  <si>
    <t>AGREGAR MAILS DEL FOLEO</t>
  </si>
  <si>
    <t>Firma</t>
  </si>
  <si>
    <t>__________________________________</t>
  </si>
  <si>
    <t>Aclaracion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</si>
</sst>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s>
  <fonts count="20"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4" tint="0.59999389629810485"/>
      <name val="Calibri"/>
      <family val="2"/>
      <scheme val="minor"/>
    </font>
    <font>
      <sz val="11"/>
      <color theme="4" tint="0.59999389629810485"/>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203">
    <xf numFmtId="0" fontId="0" fillId="0" borderId="0" xfId="0"/>
    <xf numFmtId="0" fontId="0" fillId="0" borderId="18" xfId="0" applyBorder="1"/>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8" fontId="0" fillId="3" borderId="0" xfId="0" applyNumberFormat="1"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10"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0" fontId="12" fillId="0" borderId="1" xfId="0" applyFont="1" applyBorder="1"/>
    <xf numFmtId="0" fontId="0" fillId="0" borderId="1" xfId="0" applyBorder="1" applyAlignment="1">
      <alignment horizontal="center"/>
    </xf>
    <xf numFmtId="1" fontId="13" fillId="3" borderId="0" xfId="0" applyNumberFormat="1" applyFont="1" applyFill="1"/>
    <xf numFmtId="0" fontId="14" fillId="3" borderId="0" xfId="0" applyFont="1" applyFill="1"/>
    <xf numFmtId="44" fontId="4" fillId="2" borderId="0" xfId="1" applyFont="1" applyFill="1" applyBorder="1"/>
    <xf numFmtId="0" fontId="15" fillId="0" borderId="1" xfId="0" applyFont="1" applyBorder="1"/>
    <xf numFmtId="165" fontId="0" fillId="7" borderId="1" xfId="1" applyNumberFormat="1" applyFont="1" applyFill="1" applyBorder="1"/>
    <xf numFmtId="6" fontId="0" fillId="3" borderId="0" xfId="0" applyNumberFormat="1" applyFill="1" applyAlignment="1">
      <alignment horizontal="right" wrapText="1"/>
    </xf>
    <xf numFmtId="0" fontId="4" fillId="2" borderId="6" xfId="0" applyFont="1" applyFill="1" applyBorder="1"/>
    <xf numFmtId="165" fontId="11" fillId="0" borderId="1" xfId="0" applyNumberFormat="1" applyFont="1" applyBorder="1"/>
    <xf numFmtId="165" fontId="15" fillId="0" borderId="1" xfId="0" applyNumberFormat="1" applyFont="1" applyBorder="1"/>
    <xf numFmtId="0" fontId="11"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19" xfId="1" applyFont="1" applyBorder="1"/>
    <xf numFmtId="44"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44" fontId="2" fillId="4" borderId="6" xfId="0" applyNumberFormat="1" applyFont="1" applyFill="1" applyBorder="1"/>
    <xf numFmtId="44" fontId="0" fillId="0" borderId="6" xfId="0" applyNumberFormat="1" applyBorder="1"/>
    <xf numFmtId="0" fontId="16" fillId="0" borderId="0" xfId="0" applyFont="1"/>
    <xf numFmtId="6" fontId="4" fillId="3" borderId="0" xfId="0" applyNumberFormat="1" applyFont="1" applyFill="1" applyAlignment="1">
      <alignment horizontal="right" wrapText="1"/>
    </xf>
    <xf numFmtId="44" fontId="4" fillId="3" borderId="0" xfId="0" applyNumberFormat="1" applyFont="1" applyFill="1"/>
    <xf numFmtId="6" fontId="4" fillId="3" borderId="0" xfId="0" applyNumberFormat="1" applyFont="1" applyFill="1"/>
    <xf numFmtId="44" fontId="3" fillId="0" borderId="0" xfId="0" applyNumberFormat="1" applyFont="1"/>
    <xf numFmtId="0" fontId="0" fillId="0" borderId="1" xfId="0" applyBorder="1" applyAlignment="1">
      <alignment vertical="center"/>
    </xf>
    <xf numFmtId="0" fontId="3" fillId="0" borderId="1" xfId="0" applyFont="1" applyBorder="1" applyAlignment="1">
      <alignment vertical="center" wrapText="1"/>
    </xf>
    <xf numFmtId="44" fontId="10" fillId="4" borderId="6" xfId="0" applyNumberFormat="1" applyFont="1" applyFill="1" applyBorder="1"/>
    <xf numFmtId="0" fontId="0" fillId="2" borderId="0" xfId="0" applyFill="1"/>
    <xf numFmtId="44" fontId="16" fillId="0" borderId="0" xfId="0" applyNumberFormat="1" applyFont="1"/>
    <xf numFmtId="44" fontId="0" fillId="0" borderId="2" xfId="0" applyNumberFormat="1" applyBorder="1"/>
    <xf numFmtId="6" fontId="11" fillId="2" borderId="1" xfId="0" applyNumberFormat="1" applyFont="1" applyFill="1" applyBorder="1"/>
    <xf numFmtId="44" fontId="4" fillId="2" borderId="1" xfId="1" applyFont="1" applyFill="1" applyBorder="1" applyAlignment="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44" fontId="11" fillId="7" borderId="1" xfId="1" applyFont="1" applyFill="1" applyBorder="1"/>
    <xf numFmtId="164" fontId="17" fillId="2" borderId="1" xfId="2" applyFont="1" applyFill="1" applyBorder="1"/>
    <xf numFmtId="43" fontId="0" fillId="0" borderId="0" xfId="0" applyNumberFormat="1"/>
    <xf numFmtId="44" fontId="4" fillId="2" borderId="6" xfId="1" applyFont="1" applyFill="1" applyBorder="1"/>
    <xf numFmtId="44" fontId="4" fillId="0" borderId="6" xfId="1" applyFont="1" applyBorder="1"/>
    <xf numFmtId="0" fontId="4" fillId="0" borderId="0" xfId="0" applyFont="1"/>
    <xf numFmtId="44" fontId="4" fillId="0" borderId="1" xfId="1" applyFont="1" applyBorder="1"/>
    <xf numFmtId="44" fontId="10" fillId="5" borderId="12" xfId="0" applyNumberFormat="1" applyFont="1" applyFill="1" applyBorder="1"/>
    <xf numFmtId="165" fontId="4" fillId="0" borderId="1" xfId="1" applyNumberFormat="1" applyFont="1" applyBorder="1"/>
    <xf numFmtId="165" fontId="4" fillId="2" borderId="1" xfId="1" applyNumberFormat="1" applyFont="1" applyFill="1" applyBorder="1"/>
    <xf numFmtId="0" fontId="2" fillId="2" borderId="0" xfId="0" applyFont="1" applyFill="1" applyAlignment="1">
      <alignment horizontal="center" vertical="center" wrapText="1"/>
    </xf>
    <xf numFmtId="44" fontId="0" fillId="0" borderId="0" xfId="0" applyNumberFormat="1" applyAlignment="1">
      <alignment horizontal="left"/>
    </xf>
    <xf numFmtId="10" fontId="0" fillId="0" borderId="4" xfId="0" applyNumberFormat="1" applyBorder="1"/>
    <xf numFmtId="10" fontId="0" fillId="0" borderId="1" xfId="0" applyNumberFormat="1" applyBorder="1"/>
    <xf numFmtId="0" fontId="0" fillId="2" borderId="0" xfId="0" applyFill="1" applyAlignment="1">
      <alignment horizontal="center" vertical="center" wrapText="1"/>
    </xf>
    <xf numFmtId="0" fontId="0" fillId="10" borderId="1" xfId="0" applyFill="1" applyBorder="1"/>
    <xf numFmtId="44" fontId="4" fillId="10" borderId="6" xfId="1" applyFont="1" applyFill="1" applyBorder="1"/>
    <xf numFmtId="44" fontId="0" fillId="10" borderId="1" xfId="0" applyNumberFormat="1" applyFill="1" applyBorder="1"/>
    <xf numFmtId="0" fontId="2" fillId="10" borderId="1" xfId="0" applyFont="1" applyFill="1" applyBorder="1"/>
    <xf numFmtId="10" fontId="0" fillId="0" borderId="0" xfId="0" applyNumberFormat="1"/>
    <xf numFmtId="0" fontId="0" fillId="0" borderId="4" xfId="0" applyBorder="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44" fontId="10" fillId="8" borderId="27" xfId="1" applyFont="1" applyFill="1" applyBorder="1"/>
    <xf numFmtId="0" fontId="2" fillId="2" borderId="18" xfId="0" applyFont="1" applyFill="1" applyBorder="1"/>
    <xf numFmtId="0" fontId="2" fillId="2" borderId="0" xfId="0" applyFont="1" applyFill="1"/>
    <xf numFmtId="44" fontId="10" fillId="2" borderId="0" xfId="1" applyFont="1" applyFill="1" applyBorder="1"/>
    <xf numFmtId="44" fontId="2" fillId="2" borderId="0" xfId="1" applyFont="1" applyFill="1" applyBorder="1"/>
    <xf numFmtId="44" fontId="2" fillId="2" borderId="19" xfId="0" applyNumberFormat="1" applyFont="1" applyFill="1" applyBorder="1"/>
    <xf numFmtId="0" fontId="11" fillId="2" borderId="1" xfId="0" applyFont="1" applyFill="1" applyBorder="1"/>
    <xf numFmtId="0" fontId="0" fillId="11" borderId="19" xfId="0" applyFill="1" applyBorder="1"/>
    <xf numFmtId="0" fontId="0" fillId="11" borderId="14" xfId="0" applyFill="1" applyBorder="1"/>
    <xf numFmtId="0" fontId="0" fillId="11" borderId="17" xfId="0" applyFill="1" applyBorder="1"/>
    <xf numFmtId="0" fontId="0" fillId="11" borderId="16" xfId="0" applyFill="1" applyBorder="1"/>
    <xf numFmtId="0" fontId="2" fillId="11" borderId="18" xfId="0" applyFont="1" applyFill="1" applyBorder="1"/>
    <xf numFmtId="0" fontId="0" fillId="0" borderId="2" xfId="0" applyBorder="1"/>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wrapText="1"/>
    </xf>
    <xf numFmtId="0" fontId="0" fillId="0" borderId="1" xfId="0" applyBorder="1" applyAlignment="1">
      <alignment vertical="center" wrapText="1"/>
    </xf>
    <xf numFmtId="166" fontId="0" fillId="0" borderId="0" xfId="0" applyNumberFormat="1"/>
    <xf numFmtId="9" fontId="0" fillId="7" borderId="1" xfId="0" applyNumberFormat="1" applyFill="1" applyBorder="1"/>
    <xf numFmtId="0" fontId="9" fillId="11" borderId="18" xfId="0" applyFont="1" applyFill="1" applyBorder="1"/>
    <xf numFmtId="0" fontId="18" fillId="11" borderId="19" xfId="0" applyFont="1" applyFill="1" applyBorder="1"/>
    <xf numFmtId="0" fontId="9" fillId="11" borderId="23" xfId="0" applyFont="1" applyFill="1" applyBorder="1"/>
    <xf numFmtId="0" fontId="9" fillId="11" borderId="9" xfId="0" applyFont="1" applyFill="1" applyBorder="1"/>
    <xf numFmtId="43" fontId="9" fillId="11" borderId="14" xfId="3" applyFont="1" applyFill="1" applyBorder="1" applyAlignment="1">
      <alignment horizontal="left"/>
    </xf>
    <xf numFmtId="0" fontId="9" fillId="11" borderId="0" xfId="0" applyFont="1" applyFill="1"/>
    <xf numFmtId="0" fontId="2" fillId="11" borderId="0" xfId="0" applyFont="1" applyFill="1"/>
    <xf numFmtId="0" fontId="9" fillId="11" borderId="10" xfId="0" applyFont="1" applyFill="1" applyBorder="1"/>
    <xf numFmtId="44" fontId="2" fillId="8" borderId="15" xfId="1" applyFont="1" applyFill="1" applyBorder="1"/>
    <xf numFmtId="44" fontId="2" fillId="8" borderId="13" xfId="0" applyNumberFormat="1" applyFont="1" applyFill="1" applyBorder="1"/>
    <xf numFmtId="44" fontId="10" fillId="4" borderId="0" xfId="0" applyNumberFormat="1" applyFont="1" applyFill="1"/>
    <xf numFmtId="0" fontId="4" fillId="0" borderId="1" xfId="0" applyFont="1" applyBorder="1"/>
    <xf numFmtId="44" fontId="4" fillId="0" borderId="6" xfId="0" applyNumberFormat="1" applyFont="1" applyBorder="1"/>
    <xf numFmtId="0" fontId="4" fillId="2" borderId="1" xfId="0" applyFont="1" applyFill="1" applyBorder="1"/>
    <xf numFmtId="0" fontId="15" fillId="2" borderId="1" xfId="0" applyFont="1" applyFill="1" applyBorder="1"/>
    <xf numFmtId="44" fontId="4" fillId="0" borderId="19" xfId="1" applyFont="1" applyBorder="1"/>
    <xf numFmtId="0" fontId="9" fillId="11" borderId="14" xfId="0" applyFont="1" applyFill="1" applyBorder="1"/>
    <xf numFmtId="0" fontId="2" fillId="11" borderId="14" xfId="0" applyFont="1" applyFill="1" applyBorder="1"/>
    <xf numFmtId="44" fontId="16" fillId="0" borderId="6" xfId="0" applyNumberFormat="1" applyFont="1" applyBorder="1"/>
    <xf numFmtId="44" fontId="16" fillId="2" borderId="6" xfId="1" applyFont="1" applyFill="1" applyBorder="1"/>
    <xf numFmtId="44" fontId="16" fillId="2" borderId="1" xfId="1" applyFont="1" applyFill="1" applyBorder="1"/>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2" borderId="0" xfId="0" applyFont="1"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0" fillId="0" borderId="0" xfId="0" applyAlignment="1">
      <alignment horizontal="center" wrapText="1"/>
    </xf>
    <xf numFmtId="0" fontId="6" fillId="9" borderId="0" xfId="0" applyFont="1" applyFill="1" applyAlignment="1">
      <alignment horizontal="center" vertical="center" wrapText="1"/>
    </xf>
    <xf numFmtId="0" fontId="2" fillId="9" borderId="0" xfId="0" applyFont="1" applyFill="1" applyAlignment="1">
      <alignment horizontal="center" vertical="center" wrapText="1"/>
    </xf>
    <xf numFmtId="44" fontId="0" fillId="3" borderId="0" xfId="0" applyNumberFormat="1" applyFill="1" applyAlignment="1">
      <alignment horizontal="center" wrapText="1"/>
    </xf>
    <xf numFmtId="6" fontId="0" fillId="3" borderId="0" xfId="0" applyNumberFormat="1" applyFill="1" applyAlignment="1">
      <alignment horizontal="center" wrapText="1"/>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0" fillId="3" borderId="22" xfId="0" applyFill="1" applyBorder="1" applyAlignment="1">
      <alignment horizontal="center" vertical="center" wrapText="1"/>
    </xf>
    <xf numFmtId="0" fontId="15" fillId="3" borderId="20"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0" fillId="0" borderId="0" xfId="0" applyBorder="1"/>
    <xf numFmtId="0" fontId="0" fillId="0" borderId="19" xfId="0" applyBorder="1"/>
    <xf numFmtId="0" fontId="0" fillId="0" borderId="23" xfId="0" applyBorder="1"/>
    <xf numFmtId="0" fontId="0" fillId="0" borderId="9" xfId="0" applyBorder="1"/>
    <xf numFmtId="0" fontId="0" fillId="0" borderId="10" xfId="0" applyBorder="1"/>
    <xf numFmtId="0" fontId="0" fillId="0" borderId="16" xfId="0" applyBorder="1" applyAlignment="1">
      <alignment horizontal="left"/>
    </xf>
    <xf numFmtId="0" fontId="0" fillId="0" borderId="14" xfId="0" applyBorder="1" applyAlignment="1">
      <alignment horizontal="left"/>
    </xf>
    <xf numFmtId="0" fontId="0" fillId="0" borderId="17" xfId="0" applyBorder="1" applyAlignment="1">
      <alignment horizontal="left"/>
    </xf>
    <xf numFmtId="44" fontId="0" fillId="0" borderId="0" xfId="0" applyNumberFormat="1" applyBorder="1"/>
    <xf numFmtId="0" fontId="2" fillId="0" borderId="18" xfId="0" applyFont="1" applyBorder="1"/>
    <xf numFmtId="0" fontId="2" fillId="0" borderId="0" xfId="0" applyFont="1" applyBorder="1"/>
    <xf numFmtId="44" fontId="2" fillId="0" borderId="0" xfId="0" applyNumberFormat="1" applyFont="1" applyBorder="1"/>
    <xf numFmtId="0" fontId="0" fillId="0" borderId="0" xfId="0" applyBorder="1" applyAlignment="1">
      <alignment horizontal="center"/>
    </xf>
    <xf numFmtId="0" fontId="0" fillId="0" borderId="19" xfId="0" applyBorder="1" applyAlignment="1">
      <alignment horizontal="center"/>
    </xf>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190500</xdr:colOff>
      <xdr:row>0</xdr:row>
      <xdr:rowOff>28575</xdr:rowOff>
    </xdr:from>
    <xdr:to>
      <xdr:col>3</xdr:col>
      <xdr:colOff>1733550</xdr:colOff>
      <xdr:row>3</xdr:row>
      <xdr:rowOff>133350</xdr:rowOff>
    </xdr:to>
    <xdr:pic>
      <xdr:nvPicPr>
        <xdr:cNvPr id="3" name="1 Imagen" descr="C:\Users\Particular\Desktop\NATI\CONSORCIOS RC\WhatsApp Image 2020-12-10 at 14.53.20.jpeg">
          <a:extLst>
            <a:ext uri="{FF2B5EF4-FFF2-40B4-BE49-F238E27FC236}">
              <a16:creationId xmlns:a16="http://schemas.microsoft.com/office/drawing/2014/main" id="{9A70E3EF-E20B-4665-AE8E-5E10754DE7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28575"/>
          <a:ext cx="2085975" cy="6762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8"/>
  <sheetViews>
    <sheetView topLeftCell="A22" zoomScale="90" zoomScaleNormal="90" workbookViewId="0">
      <selection activeCell="D60" sqref="D60"/>
    </sheetView>
  </sheetViews>
  <sheetFormatPr baseColWidth="10" defaultRowHeight="14.4" x14ac:dyDescent="0.3"/>
  <cols>
    <col min="1" max="1" width="33.44140625" customWidth="1"/>
    <col min="2" max="2" width="36.88671875" customWidth="1"/>
    <col min="3" max="3" width="17.44140625" customWidth="1"/>
    <col min="4" max="4" width="21.6640625" customWidth="1"/>
    <col min="5" max="9" width="15.6640625" customWidth="1"/>
    <col min="10" max="10" width="14.6640625" customWidth="1"/>
    <col min="11" max="11" width="15.88671875" customWidth="1"/>
    <col min="12" max="12" width="16.109375" customWidth="1"/>
    <col min="13" max="13" width="13" bestFit="1" customWidth="1"/>
    <col min="14" max="14" width="14.5546875" bestFit="1" customWidth="1"/>
    <col min="16" max="16" width="18" customWidth="1"/>
    <col min="17" max="17" width="18.33203125" customWidth="1"/>
  </cols>
  <sheetData>
    <row r="1" spans="1:10" ht="18" x14ac:dyDescent="0.35">
      <c r="A1" s="131"/>
      <c r="B1" s="144"/>
      <c r="C1" s="156" t="s">
        <v>300</v>
      </c>
      <c r="D1" s="156"/>
      <c r="E1" s="157"/>
      <c r="F1" s="157"/>
      <c r="G1" s="129"/>
      <c r="H1" s="129"/>
      <c r="I1" s="129"/>
      <c r="J1" s="130"/>
    </row>
    <row r="2" spans="1:10" ht="18" x14ac:dyDescent="0.35">
      <c r="A2" s="132"/>
      <c r="B2" s="145"/>
      <c r="C2" s="145" t="s">
        <v>295</v>
      </c>
      <c r="D2" s="145"/>
      <c r="E2" s="146"/>
      <c r="F2" s="146"/>
      <c r="G2" s="146"/>
      <c r="H2" s="146"/>
      <c r="I2" s="146"/>
      <c r="J2" s="128"/>
    </row>
    <row r="3" spans="1:10" ht="18" x14ac:dyDescent="0.35">
      <c r="A3" s="132"/>
      <c r="B3" s="145"/>
      <c r="C3" s="145" t="s">
        <v>298</v>
      </c>
      <c r="D3" s="145"/>
      <c r="E3" s="145" t="s">
        <v>296</v>
      </c>
      <c r="F3" s="146"/>
      <c r="G3" s="146"/>
      <c r="H3" s="146"/>
      <c r="I3" s="146"/>
      <c r="J3" s="128"/>
    </row>
    <row r="4" spans="1:10" ht="18" customHeight="1" x14ac:dyDescent="0.35">
      <c r="A4" s="132"/>
      <c r="B4" s="145"/>
      <c r="C4" s="145" t="s">
        <v>297</v>
      </c>
      <c r="D4" s="146"/>
      <c r="E4" s="146"/>
      <c r="F4" s="146"/>
      <c r="G4" s="146"/>
      <c r="H4" s="146"/>
      <c r="I4" s="146"/>
      <c r="J4" s="128"/>
    </row>
    <row r="5" spans="1:10" ht="18" x14ac:dyDescent="0.35">
      <c r="A5" s="140"/>
      <c r="B5" s="145"/>
      <c r="C5" s="145" t="s">
        <v>301</v>
      </c>
      <c r="D5" s="145"/>
      <c r="E5" s="145" t="s">
        <v>299</v>
      </c>
      <c r="F5" s="145"/>
      <c r="G5" s="145"/>
      <c r="H5" s="145"/>
      <c r="I5" s="145"/>
      <c r="J5" s="141"/>
    </row>
    <row r="6" spans="1:10" ht="18" x14ac:dyDescent="0.35">
      <c r="A6" s="140"/>
      <c r="B6" s="145"/>
      <c r="C6" s="145" t="s">
        <v>0</v>
      </c>
      <c r="D6" s="145"/>
      <c r="E6" s="145"/>
      <c r="F6" s="145"/>
      <c r="G6" s="145"/>
      <c r="H6" s="145"/>
      <c r="I6" s="145"/>
      <c r="J6" s="141"/>
    </row>
    <row r="7" spans="1:10" ht="18.600000000000001" thickBot="1" x14ac:dyDescent="0.4">
      <c r="A7" s="142"/>
      <c r="B7" s="143"/>
      <c r="C7" s="143"/>
      <c r="D7" s="143"/>
      <c r="E7" s="143"/>
      <c r="F7" s="143"/>
      <c r="G7" s="143"/>
      <c r="H7" s="143"/>
      <c r="I7" s="143"/>
      <c r="J7" s="147"/>
    </row>
    <row r="9" spans="1:10" hidden="1" x14ac:dyDescent="0.3"/>
    <row r="10" spans="1:10" hidden="1" x14ac:dyDescent="0.3"/>
    <row r="11" spans="1:10" hidden="1" x14ac:dyDescent="0.3"/>
    <row r="12" spans="1:10" hidden="1" x14ac:dyDescent="0.3"/>
    <row r="14" spans="1:10" ht="15" customHeight="1" x14ac:dyDescent="0.3">
      <c r="A14" s="161" t="s">
        <v>294</v>
      </c>
      <c r="B14" s="161"/>
      <c r="C14" s="161"/>
      <c r="D14" s="161"/>
      <c r="E14" s="161"/>
      <c r="F14" s="161"/>
      <c r="G14" s="161"/>
      <c r="H14" s="161"/>
      <c r="I14" s="161"/>
      <c r="J14" s="161"/>
    </row>
    <row r="15" spans="1:10" ht="15" customHeight="1" x14ac:dyDescent="0.3">
      <c r="A15" s="161"/>
      <c r="B15" s="161"/>
      <c r="C15" s="161"/>
      <c r="D15" s="161"/>
      <c r="E15" s="161"/>
      <c r="F15" s="161"/>
      <c r="G15" s="161"/>
      <c r="H15" s="161"/>
      <c r="I15" s="161"/>
      <c r="J15" s="161"/>
    </row>
    <row r="16" spans="1:10" ht="15" customHeight="1" x14ac:dyDescent="0.3">
      <c r="A16" s="161"/>
      <c r="B16" s="161"/>
      <c r="C16" s="161"/>
      <c r="D16" s="161"/>
      <c r="E16" s="161"/>
      <c r="F16" s="161"/>
      <c r="G16" s="161"/>
      <c r="H16" s="161"/>
      <c r="I16" s="161"/>
      <c r="J16" s="161"/>
    </row>
    <row r="17" spans="1:10" ht="25.2" customHeight="1" x14ac:dyDescent="0.3">
      <c r="A17" s="161"/>
      <c r="B17" s="161"/>
      <c r="C17" s="161"/>
      <c r="D17" s="161"/>
      <c r="E17" s="161"/>
      <c r="F17" s="161"/>
      <c r="G17" s="161"/>
      <c r="H17" s="161"/>
      <c r="I17" s="161"/>
      <c r="J17" s="161"/>
    </row>
    <row r="18" spans="1:10" ht="47.4" customHeight="1" x14ac:dyDescent="0.3">
      <c r="A18" s="161"/>
      <c r="B18" s="161"/>
      <c r="C18" s="161"/>
      <c r="D18" s="161"/>
      <c r="E18" s="161"/>
      <c r="F18" s="161"/>
      <c r="G18" s="161"/>
      <c r="H18" s="161"/>
      <c r="I18" s="161"/>
      <c r="J18" s="161"/>
    </row>
    <row r="19" spans="1:10" x14ac:dyDescent="0.3">
      <c r="A19" s="2"/>
      <c r="H19" s="113"/>
    </row>
    <row r="20" spans="1:10" ht="15" thickBot="1" x14ac:dyDescent="0.35">
      <c r="H20" s="113"/>
    </row>
    <row r="21" spans="1:10" ht="15" thickBot="1" x14ac:dyDescent="0.35">
      <c r="A21" s="13" t="s">
        <v>22</v>
      </c>
      <c r="B21" s="14"/>
      <c r="C21" s="15"/>
      <c r="D21" s="11"/>
      <c r="E21" s="115" t="s">
        <v>176</v>
      </c>
      <c r="F21" s="115" t="s">
        <v>177</v>
      </c>
      <c r="G21" s="115" t="s">
        <v>178</v>
      </c>
      <c r="H21" s="115" t="s">
        <v>179</v>
      </c>
      <c r="I21" s="115" t="s">
        <v>180</v>
      </c>
      <c r="J21" s="116" t="s">
        <v>181</v>
      </c>
    </row>
    <row r="22" spans="1:10" x14ac:dyDescent="0.3">
      <c r="A22" s="51" t="s">
        <v>248</v>
      </c>
      <c r="B22" s="6"/>
      <c r="C22" s="6"/>
      <c r="D22" s="59"/>
      <c r="E22" s="114"/>
      <c r="F22" s="114"/>
      <c r="G22" s="114"/>
      <c r="H22" s="114"/>
      <c r="I22" s="114"/>
      <c r="J22" s="114"/>
    </row>
    <row r="23" spans="1:10" x14ac:dyDescent="0.3">
      <c r="A23" s="6" t="s">
        <v>48</v>
      </c>
      <c r="B23" s="6"/>
      <c r="C23" s="6"/>
      <c r="D23" s="97">
        <f>481500*2</f>
        <v>963000</v>
      </c>
      <c r="E23" s="63"/>
      <c r="F23" s="63"/>
      <c r="G23" s="63"/>
      <c r="H23" s="63"/>
      <c r="I23" s="63"/>
      <c r="J23" s="63"/>
    </row>
    <row r="24" spans="1:10" x14ac:dyDescent="0.3">
      <c r="A24" s="6" t="s">
        <v>251</v>
      </c>
      <c r="B24" s="6"/>
      <c r="C24" s="6"/>
      <c r="D24" s="97">
        <v>33606.9</v>
      </c>
      <c r="E24" s="63"/>
      <c r="F24" s="63"/>
      <c r="G24" s="63"/>
      <c r="H24" s="63"/>
      <c r="I24" s="63"/>
      <c r="J24" s="63"/>
    </row>
    <row r="25" spans="1:10" x14ac:dyDescent="0.3">
      <c r="A25" s="6" t="s">
        <v>249</v>
      </c>
      <c r="B25" s="6"/>
      <c r="C25" s="6"/>
      <c r="D25" s="97">
        <v>111256.4</v>
      </c>
      <c r="E25" s="63"/>
      <c r="F25" s="63"/>
      <c r="G25" s="63"/>
      <c r="H25" s="63"/>
      <c r="I25" s="63"/>
      <c r="J25" s="63"/>
    </row>
    <row r="26" spans="1:10" x14ac:dyDescent="0.3">
      <c r="A26" s="6" t="s">
        <v>250</v>
      </c>
      <c r="B26" s="6"/>
      <c r="C26" s="6"/>
      <c r="D26" s="97">
        <v>19877.400000000001</v>
      </c>
      <c r="E26" s="63"/>
      <c r="F26" s="63"/>
      <c r="G26" s="63"/>
      <c r="H26" s="63"/>
      <c r="I26" s="63"/>
      <c r="J26" s="63"/>
    </row>
    <row r="27" spans="1:10" x14ac:dyDescent="0.3">
      <c r="A27" s="6" t="s">
        <v>252</v>
      </c>
      <c r="B27" s="6"/>
      <c r="C27" s="6"/>
      <c r="D27" s="97">
        <v>50000</v>
      </c>
      <c r="E27" s="63"/>
      <c r="F27" s="63"/>
      <c r="G27" s="63"/>
      <c r="H27" s="63"/>
      <c r="I27" s="63"/>
      <c r="J27" s="63"/>
    </row>
    <row r="28" spans="1:10" x14ac:dyDescent="0.3">
      <c r="A28" s="6" t="s">
        <v>37</v>
      </c>
      <c r="B28" s="6"/>
      <c r="C28" s="6"/>
      <c r="D28" s="97">
        <v>410000</v>
      </c>
      <c r="E28" s="63"/>
      <c r="F28" s="63"/>
      <c r="G28" s="63"/>
      <c r="H28" s="63"/>
      <c r="I28" s="63"/>
      <c r="J28" s="63"/>
    </row>
    <row r="29" spans="1:10" x14ac:dyDescent="0.3">
      <c r="A29" s="112" t="s">
        <v>175</v>
      </c>
      <c r="B29" s="109"/>
      <c r="C29" s="109"/>
      <c r="D29" s="110">
        <f>SUM(D23:D28)</f>
        <v>1587740.7</v>
      </c>
      <c r="E29" s="111"/>
      <c r="F29" s="111"/>
      <c r="G29" s="111"/>
      <c r="H29" s="111"/>
      <c r="I29" s="111"/>
      <c r="J29" s="111"/>
    </row>
    <row r="30" spans="1:10" x14ac:dyDescent="0.3">
      <c r="A30" s="51" t="s">
        <v>247</v>
      </c>
      <c r="B30" s="6"/>
      <c r="C30" s="6"/>
      <c r="D30" s="59"/>
      <c r="E30" s="6"/>
      <c r="F30" s="6"/>
      <c r="G30" s="6"/>
      <c r="H30" s="6"/>
      <c r="I30" s="6"/>
      <c r="J30" s="6"/>
    </row>
    <row r="31" spans="1:10" x14ac:dyDescent="0.3">
      <c r="A31" s="6" t="s">
        <v>48</v>
      </c>
      <c r="B31" s="6"/>
      <c r="C31" s="6"/>
      <c r="D31" s="97">
        <f>240732</f>
        <v>240732</v>
      </c>
      <c r="E31" s="63"/>
      <c r="F31" s="63"/>
      <c r="G31" s="63"/>
      <c r="H31" s="63"/>
      <c r="I31" s="63"/>
      <c r="J31" s="63"/>
    </row>
    <row r="32" spans="1:10" x14ac:dyDescent="0.3">
      <c r="A32" s="6" t="s">
        <v>251</v>
      </c>
      <c r="B32" s="6"/>
      <c r="C32" s="6"/>
      <c r="D32" s="97">
        <v>33606.9</v>
      </c>
      <c r="E32" s="63"/>
      <c r="F32" s="63"/>
      <c r="G32" s="63"/>
      <c r="H32" s="63"/>
      <c r="I32" s="63"/>
      <c r="J32" s="63"/>
    </row>
    <row r="33" spans="1:12" x14ac:dyDescent="0.3">
      <c r="A33" s="6" t="s">
        <v>249</v>
      </c>
      <c r="B33" s="6"/>
      <c r="C33" s="6"/>
      <c r="D33" s="97">
        <v>111256.4</v>
      </c>
      <c r="E33" s="63"/>
      <c r="F33" s="63"/>
      <c r="G33" s="63"/>
      <c r="H33" s="63"/>
      <c r="I33" s="63"/>
      <c r="J33" s="63"/>
    </row>
    <row r="34" spans="1:12" x14ac:dyDescent="0.3">
      <c r="A34" s="6" t="s">
        <v>250</v>
      </c>
      <c r="B34" s="6"/>
      <c r="C34" s="6"/>
      <c r="D34" s="97">
        <v>19877.400000000001</v>
      </c>
      <c r="E34" s="63"/>
      <c r="F34" s="63"/>
      <c r="G34" s="63"/>
      <c r="H34" s="63"/>
      <c r="I34" s="63"/>
      <c r="J34" s="63"/>
    </row>
    <row r="35" spans="1:12" x14ac:dyDescent="0.3">
      <c r="A35" s="6" t="s">
        <v>252</v>
      </c>
      <c r="B35" s="6"/>
      <c r="C35" s="6"/>
      <c r="D35" s="97">
        <v>50000</v>
      </c>
      <c r="E35" s="63"/>
      <c r="F35" s="63"/>
      <c r="G35" s="63"/>
      <c r="H35" s="63"/>
      <c r="I35" s="63"/>
      <c r="J35" s="63"/>
    </row>
    <row r="36" spans="1:12" x14ac:dyDescent="0.3">
      <c r="A36" s="112" t="s">
        <v>175</v>
      </c>
      <c r="B36" s="109"/>
      <c r="C36" s="109"/>
      <c r="D36" s="110">
        <f>SUM(D31:D35)</f>
        <v>455472.70000000007</v>
      </c>
      <c r="E36" s="111"/>
      <c r="F36" s="111"/>
      <c r="G36" s="111"/>
      <c r="H36" s="111"/>
      <c r="I36" s="111"/>
      <c r="J36" s="111"/>
    </row>
    <row r="37" spans="1:12" ht="15.75" customHeight="1" x14ac:dyDescent="0.3">
      <c r="A37" s="34" t="s">
        <v>1</v>
      </c>
      <c r="B37" s="34"/>
      <c r="C37" s="34"/>
      <c r="D37" s="43">
        <f>D29+D36</f>
        <v>2043213.4</v>
      </c>
      <c r="E37" s="43">
        <f>D37*93.2%</f>
        <v>1904274.8888000001</v>
      </c>
      <c r="F37" s="89">
        <f>$D37*1.08%</f>
        <v>22066.704720000002</v>
      </c>
      <c r="G37" s="89">
        <f>$D37*1.28%</f>
        <v>26153.131519999999</v>
      </c>
      <c r="H37" s="89">
        <f>$D37*1.21%</f>
        <v>24722.882139999998</v>
      </c>
      <c r="I37" s="89">
        <f>$D37*1.49%</f>
        <v>30443.879659999999</v>
      </c>
      <c r="J37" s="89">
        <f>D37*1.74%</f>
        <v>35551.913159999996</v>
      </c>
      <c r="K37" s="44">
        <f>E37+J37+F37+G37+H37+I37</f>
        <v>2043213.4000000001</v>
      </c>
      <c r="L37" s="75" t="str">
        <f>IF(D37=K37, "", "Error")</f>
        <v/>
      </c>
    </row>
    <row r="38" spans="1:12" hidden="1" x14ac:dyDescent="0.3">
      <c r="A38" s="33" t="s">
        <v>37</v>
      </c>
      <c r="B38" s="6"/>
      <c r="C38" s="6"/>
      <c r="D38" s="98">
        <v>0</v>
      </c>
      <c r="E38" s="63">
        <f>D38*91.91%</f>
        <v>0</v>
      </c>
      <c r="F38" s="63"/>
      <c r="G38" s="63"/>
      <c r="H38" s="63"/>
      <c r="I38" s="63"/>
      <c r="J38" s="63">
        <f>D38*8.09%</f>
        <v>0</v>
      </c>
      <c r="L38" s="75"/>
    </row>
    <row r="39" spans="1:12" hidden="1" x14ac:dyDescent="0.3">
      <c r="A39" s="33"/>
      <c r="B39" s="6"/>
      <c r="C39" s="6"/>
      <c r="D39" s="97">
        <v>0</v>
      </c>
      <c r="E39" s="63">
        <f>D39*91.91%</f>
        <v>0</v>
      </c>
      <c r="F39" s="63"/>
      <c r="G39" s="63"/>
      <c r="H39" s="63"/>
      <c r="I39" s="63"/>
      <c r="J39" s="63">
        <f>D39*8.09%</f>
        <v>0</v>
      </c>
      <c r="L39" s="75"/>
    </row>
    <row r="40" spans="1:12" hidden="1" x14ac:dyDescent="0.3">
      <c r="A40" s="33"/>
      <c r="B40" s="6"/>
      <c r="C40" s="6"/>
      <c r="D40" s="97"/>
      <c r="E40" s="6"/>
      <c r="F40" s="6"/>
      <c r="G40" s="6"/>
      <c r="H40" s="6"/>
      <c r="I40" s="6"/>
      <c r="J40" s="6"/>
      <c r="L40" s="75"/>
    </row>
    <row r="41" spans="1:12" ht="0.75" customHeight="1" x14ac:dyDescent="0.3">
      <c r="A41" s="33"/>
      <c r="B41" s="6"/>
      <c r="C41" s="6"/>
      <c r="D41" s="97"/>
      <c r="E41" s="6"/>
      <c r="F41" s="6"/>
      <c r="G41" s="6"/>
      <c r="H41" s="6"/>
      <c r="I41" s="6"/>
      <c r="J41" s="6"/>
      <c r="L41" s="75"/>
    </row>
    <row r="42" spans="1:12" hidden="1" x14ac:dyDescent="0.3">
      <c r="A42" s="34" t="s">
        <v>43</v>
      </c>
      <c r="B42" s="34"/>
      <c r="C42" s="34"/>
      <c r="D42" s="43">
        <f>SUM(D38:D40)</f>
        <v>0</v>
      </c>
      <c r="E42" s="43">
        <f t="shared" ref="E42:J42" si="0">SUM(E38:E40)</f>
        <v>0</v>
      </c>
      <c r="F42" s="43"/>
      <c r="G42" s="43"/>
      <c r="H42" s="43"/>
      <c r="I42" s="43"/>
      <c r="J42" s="43">
        <f t="shared" si="0"/>
        <v>0</v>
      </c>
      <c r="K42" s="44">
        <f>E42+J42</f>
        <v>0</v>
      </c>
      <c r="L42" s="75" t="str">
        <f>IF(D42=K42, "", "Error")</f>
        <v/>
      </c>
    </row>
    <row r="43" spans="1:12" x14ac:dyDescent="0.3">
      <c r="A43" s="33" t="s">
        <v>272</v>
      </c>
      <c r="B43" s="6"/>
      <c r="C43" s="6"/>
      <c r="D43" s="98"/>
      <c r="E43" s="63">
        <f>D43*91.91%</f>
        <v>0</v>
      </c>
      <c r="F43" s="63"/>
      <c r="G43" s="63"/>
      <c r="H43" s="63"/>
      <c r="I43" s="63"/>
      <c r="J43" s="63">
        <f>D43*8.09%</f>
        <v>0</v>
      </c>
      <c r="L43" s="75"/>
    </row>
    <row r="44" spans="1:12" x14ac:dyDescent="0.3">
      <c r="A44" s="6" t="s">
        <v>273</v>
      </c>
      <c r="B44" s="6"/>
      <c r="C44" s="6" t="s">
        <v>274</v>
      </c>
      <c r="D44" s="97">
        <v>79500.009999999995</v>
      </c>
      <c r="E44" s="63">
        <f>D44</f>
        <v>79500.009999999995</v>
      </c>
      <c r="F44" s="63"/>
      <c r="G44" s="63"/>
      <c r="H44" s="63"/>
      <c r="I44" s="63"/>
      <c r="J44" s="63"/>
      <c r="L44" s="75"/>
    </row>
    <row r="45" spans="1:12" x14ac:dyDescent="0.3">
      <c r="A45" s="33"/>
      <c r="B45" s="6"/>
      <c r="C45" s="6"/>
      <c r="D45" s="97"/>
      <c r="E45" s="63">
        <f t="shared" ref="E45" si="1">D45*91.91%</f>
        <v>0</v>
      </c>
      <c r="F45" s="63"/>
      <c r="G45" s="63"/>
      <c r="H45" s="63"/>
      <c r="I45" s="63"/>
      <c r="J45" s="63">
        <f t="shared" ref="J45" si="2">D45*8.09%</f>
        <v>0</v>
      </c>
      <c r="L45" s="75"/>
    </row>
    <row r="46" spans="1:12" x14ac:dyDescent="0.3">
      <c r="A46" s="34" t="s">
        <v>38</v>
      </c>
      <c r="B46" s="34"/>
      <c r="C46" s="34"/>
      <c r="D46" s="43">
        <f>SUM(D39:D45)</f>
        <v>79500.009999999995</v>
      </c>
      <c r="E46" s="43">
        <f t="shared" ref="E46" si="3">SUM(E39:E45)</f>
        <v>79500.009999999995</v>
      </c>
      <c r="F46" s="43"/>
      <c r="G46" s="43"/>
      <c r="H46" s="43"/>
      <c r="I46" s="43"/>
      <c r="J46" s="49"/>
      <c r="K46" s="44">
        <f>E46+J46+F46+G46+H46+I46</f>
        <v>79500.009999999995</v>
      </c>
      <c r="L46" s="75" t="str">
        <f>IF(D46=K46, "", "Error")</f>
        <v/>
      </c>
    </row>
    <row r="47" spans="1:12" x14ac:dyDescent="0.3">
      <c r="A47" s="33" t="s">
        <v>262</v>
      </c>
      <c r="B47" s="36"/>
      <c r="C47" s="36"/>
      <c r="D47" s="97"/>
      <c r="E47" s="50"/>
      <c r="F47" s="50"/>
      <c r="G47" s="50"/>
      <c r="H47" s="50"/>
      <c r="I47" s="50"/>
      <c r="J47" s="50"/>
      <c r="L47" s="75"/>
    </row>
    <row r="48" spans="1:12" x14ac:dyDescent="0.3">
      <c r="A48" s="36" t="s">
        <v>265</v>
      </c>
      <c r="B48" s="36"/>
      <c r="C48" s="36" t="s">
        <v>266</v>
      </c>
      <c r="D48" s="97">
        <v>132512.6</v>
      </c>
      <c r="E48" s="50"/>
      <c r="F48" s="50"/>
      <c r="G48" s="50"/>
      <c r="H48" s="50"/>
      <c r="I48" s="50"/>
      <c r="J48" s="50"/>
      <c r="L48" s="75"/>
    </row>
    <row r="49" spans="1:14" x14ac:dyDescent="0.3">
      <c r="A49" s="36" t="s">
        <v>268</v>
      </c>
      <c r="B49" s="36"/>
      <c r="C49" s="36" t="s">
        <v>269</v>
      </c>
      <c r="D49" s="97">
        <v>669159</v>
      </c>
      <c r="E49" s="50"/>
      <c r="F49" s="50"/>
      <c r="G49" s="50"/>
      <c r="H49" s="50"/>
      <c r="I49" s="50"/>
      <c r="J49" s="50"/>
      <c r="L49" s="75"/>
    </row>
    <row r="50" spans="1:14" x14ac:dyDescent="0.3">
      <c r="A50" s="36" t="s">
        <v>267</v>
      </c>
      <c r="B50" s="36"/>
      <c r="C50" s="36" t="s">
        <v>269</v>
      </c>
      <c r="D50" s="159">
        <v>643422</v>
      </c>
      <c r="E50" s="50"/>
      <c r="F50" s="50"/>
      <c r="G50" s="50"/>
      <c r="H50" s="50"/>
      <c r="I50" s="50"/>
      <c r="J50" s="50"/>
      <c r="L50" s="75"/>
    </row>
    <row r="51" spans="1:14" x14ac:dyDescent="0.3">
      <c r="A51" s="34" t="s">
        <v>264</v>
      </c>
      <c r="B51" s="34"/>
      <c r="C51" s="34"/>
      <c r="D51" s="150">
        <f>SUM(D48:D50)</f>
        <v>1445093.6</v>
      </c>
      <c r="E51" s="43">
        <f>D51*93.2%</f>
        <v>1346827.2352000002</v>
      </c>
      <c r="F51" s="89">
        <f>$D51*1.08%</f>
        <v>15607.010880000002</v>
      </c>
      <c r="G51" s="89">
        <f>$D51*1.28%</f>
        <v>18497.198080000002</v>
      </c>
      <c r="H51" s="89">
        <f>$D51*1.21%</f>
        <v>17485.632560000002</v>
      </c>
      <c r="I51" s="89">
        <f>$D51*1.49%</f>
        <v>21531.894640000002</v>
      </c>
      <c r="J51" s="89">
        <f>D51*1.74%</f>
        <v>25144.628639999999</v>
      </c>
      <c r="K51" s="44">
        <f>E51+J51+F51+G51+H51+I51</f>
        <v>1445093.6000000003</v>
      </c>
      <c r="L51" s="75" t="str">
        <f>IF(D51=K51, "", "Error")</f>
        <v/>
      </c>
    </row>
    <row r="52" spans="1:14" x14ac:dyDescent="0.3">
      <c r="A52" s="33" t="s">
        <v>2</v>
      </c>
      <c r="B52" s="6"/>
      <c r="C52" s="6"/>
      <c r="D52" s="45"/>
      <c r="E52" s="46"/>
      <c r="F52" s="46"/>
      <c r="G52" s="46"/>
      <c r="H52" s="46"/>
      <c r="I52" s="46"/>
      <c r="J52" s="6"/>
      <c r="L52" s="75"/>
    </row>
    <row r="53" spans="1:14" x14ac:dyDescent="0.3">
      <c r="A53" s="6" t="s">
        <v>253</v>
      </c>
      <c r="B53" s="6"/>
      <c r="C53" s="6"/>
      <c r="D53" s="45">
        <v>48854</v>
      </c>
      <c r="E53" s="133"/>
      <c r="F53" s="133"/>
      <c r="G53" s="133"/>
      <c r="H53" s="133"/>
      <c r="I53" s="133"/>
      <c r="J53" s="6"/>
      <c r="L53" s="75"/>
    </row>
    <row r="54" spans="1:14" x14ac:dyDescent="0.3">
      <c r="A54" s="6"/>
      <c r="B54" s="6"/>
      <c r="C54" s="6"/>
      <c r="D54" s="45"/>
      <c r="E54" s="85"/>
      <c r="F54" s="85"/>
      <c r="G54" s="85"/>
      <c r="H54" s="85"/>
      <c r="I54" s="85"/>
      <c r="J54" s="6"/>
      <c r="L54" s="75"/>
    </row>
    <row r="55" spans="1:14" x14ac:dyDescent="0.3">
      <c r="A55" s="34" t="s">
        <v>263</v>
      </c>
      <c r="B55" s="34"/>
      <c r="C55" s="34"/>
      <c r="D55" s="43">
        <f>SUM(D52:D54)</f>
        <v>48854</v>
      </c>
      <c r="E55" s="43">
        <f>D55*93.2%</f>
        <v>45531.928</v>
      </c>
      <c r="F55" s="89">
        <f>$D55*1.08%</f>
        <v>527.6232</v>
      </c>
      <c r="G55" s="89">
        <f>$D55*1.28%</f>
        <v>625.33120000000008</v>
      </c>
      <c r="H55" s="89">
        <f>$D55*1.21%</f>
        <v>591.13339999999994</v>
      </c>
      <c r="I55" s="89">
        <f>$D55*1.49%</f>
        <v>727.92460000000005</v>
      </c>
      <c r="J55" s="89">
        <f>D55*1.74%</f>
        <v>850.05959999999993</v>
      </c>
      <c r="K55" s="44">
        <f>E55+J55+F55+G55+H55+I55</f>
        <v>48854</v>
      </c>
      <c r="L55" s="75" t="str">
        <f>IF(D55=K55, "", "Error")</f>
        <v/>
      </c>
    </row>
    <row r="56" spans="1:14" x14ac:dyDescent="0.3">
      <c r="A56" s="33" t="s">
        <v>237</v>
      </c>
      <c r="B56" s="6"/>
      <c r="C56" s="6"/>
      <c r="D56" s="151"/>
      <c r="E56" s="47"/>
      <c r="F56" s="47"/>
      <c r="G56" s="47"/>
      <c r="H56" s="47"/>
      <c r="I56" s="47"/>
      <c r="J56" s="37"/>
      <c r="L56" s="75"/>
    </row>
    <row r="57" spans="1:14" x14ac:dyDescent="0.3">
      <c r="A57" s="6" t="s">
        <v>241</v>
      </c>
      <c r="B57" s="6"/>
      <c r="C57" s="6" t="s">
        <v>242</v>
      </c>
      <c r="D57" s="160">
        <v>160913</v>
      </c>
      <c r="E57" s="63">
        <f>D57*93.2%</f>
        <v>149970.916</v>
      </c>
      <c r="F57" s="63">
        <f>$D57*1.08%</f>
        <v>1737.8604</v>
      </c>
      <c r="G57" s="63">
        <f>$D57*1.28%</f>
        <v>2059.6864</v>
      </c>
      <c r="H57" s="63">
        <f>$D57*1.21%</f>
        <v>1947.0473</v>
      </c>
      <c r="I57" s="63">
        <f>$D57*1.49%</f>
        <v>2397.6037000000001</v>
      </c>
      <c r="J57" s="63">
        <f>D57*1.74%</f>
        <v>2799.8861999999999</v>
      </c>
      <c r="K57" s="44">
        <f>SUM(E57:J57)</f>
        <v>160913.00000000003</v>
      </c>
      <c r="L57" s="75"/>
    </row>
    <row r="58" spans="1:14" x14ac:dyDescent="0.3">
      <c r="A58" s="6" t="s">
        <v>243</v>
      </c>
      <c r="B58" s="6"/>
      <c r="C58" s="36" t="s">
        <v>244</v>
      </c>
      <c r="D58" s="160">
        <v>7907</v>
      </c>
      <c r="E58" s="63">
        <f t="shared" ref="E58:E59" si="4">D58*93.2%</f>
        <v>7369.3240000000005</v>
      </c>
      <c r="F58" s="63">
        <f>$D58*1.08%</f>
        <v>85.395600000000002</v>
      </c>
      <c r="G58" s="63">
        <f>$D58*1.28%</f>
        <v>101.20960000000001</v>
      </c>
      <c r="H58" s="63">
        <f>$D58*1.21%</f>
        <v>95.674700000000001</v>
      </c>
      <c r="I58" s="63">
        <f>$D58*1.49%</f>
        <v>117.8143</v>
      </c>
      <c r="J58" s="63">
        <f>D58*1.74%</f>
        <v>137.58179999999999</v>
      </c>
      <c r="K58" s="44">
        <f t="shared" ref="K58:K59" si="5">SUM(E58:J58)</f>
        <v>7907</v>
      </c>
      <c r="L58" s="75"/>
    </row>
    <row r="59" spans="1:14" x14ac:dyDescent="0.3">
      <c r="A59" s="6" t="s">
        <v>245</v>
      </c>
      <c r="B59" s="6"/>
      <c r="C59" s="36" t="s">
        <v>246</v>
      </c>
      <c r="D59" s="160">
        <v>7907</v>
      </c>
      <c r="E59" s="63">
        <f t="shared" si="4"/>
        <v>7369.3240000000005</v>
      </c>
      <c r="F59" s="63">
        <f>$D59*1.08%</f>
        <v>85.395600000000002</v>
      </c>
      <c r="G59" s="63">
        <f>$D59*1.28%</f>
        <v>101.20960000000001</v>
      </c>
      <c r="H59" s="63">
        <f>$D59*1.21%</f>
        <v>95.674700000000001</v>
      </c>
      <c r="I59" s="63">
        <f>$D59*1.49%</f>
        <v>117.8143</v>
      </c>
      <c r="J59" s="63">
        <f>D59*1.74%</f>
        <v>137.58179999999999</v>
      </c>
      <c r="K59" s="44">
        <f t="shared" si="5"/>
        <v>7907</v>
      </c>
      <c r="L59" s="75"/>
    </row>
    <row r="60" spans="1:14" x14ac:dyDescent="0.3">
      <c r="A60" s="34" t="s">
        <v>3</v>
      </c>
      <c r="B60" s="35"/>
      <c r="C60" s="35"/>
      <c r="D60" s="43">
        <f>SUM(D57:D59)</f>
        <v>176727</v>
      </c>
      <c r="E60" s="43">
        <f>SUM(E57:E59)</f>
        <v>164709.56399999998</v>
      </c>
      <c r="F60" s="43">
        <f t="shared" ref="F60:I60" si="6">SUM(F57:F59)</f>
        <v>1908.6516000000001</v>
      </c>
      <c r="G60" s="43">
        <f t="shared" si="6"/>
        <v>2262.1056000000003</v>
      </c>
      <c r="H60" s="43">
        <f t="shared" si="6"/>
        <v>2138.3966999999998</v>
      </c>
      <c r="I60" s="43">
        <f t="shared" si="6"/>
        <v>2633.2323000000001</v>
      </c>
      <c r="J60" s="43">
        <f>SUM(J57:J59)</f>
        <v>3075.0497999999998</v>
      </c>
      <c r="K60" s="44">
        <f>E60+J60+F60+G60+H60+I60</f>
        <v>176727.00000000003</v>
      </c>
      <c r="L60" s="75" t="str">
        <f>IF(D60=K60, "", "Error")</f>
        <v/>
      </c>
    </row>
    <row r="61" spans="1:14" x14ac:dyDescent="0.3">
      <c r="A61" s="33" t="s">
        <v>4</v>
      </c>
      <c r="B61" s="6"/>
      <c r="C61" s="6"/>
      <c r="D61" s="100"/>
      <c r="E61" s="47"/>
      <c r="F61" s="47"/>
      <c r="G61" s="47"/>
      <c r="H61" s="47"/>
      <c r="I61" s="47"/>
      <c r="J61" s="6"/>
      <c r="L61" s="75"/>
    </row>
    <row r="62" spans="1:14" ht="16.5" customHeight="1" x14ac:dyDescent="0.3">
      <c r="A62" s="80" t="s">
        <v>254</v>
      </c>
      <c r="B62" s="6"/>
      <c r="C62" s="6" t="s">
        <v>255</v>
      </c>
      <c r="D62" s="152">
        <v>27920.59</v>
      </c>
      <c r="E62" s="74">
        <f>D62*93.2%</f>
        <v>26021.989880000001</v>
      </c>
      <c r="F62" s="63">
        <f>$D62*1.08%</f>
        <v>301.542372</v>
      </c>
      <c r="G62" s="63">
        <f>$D62*1.28%</f>
        <v>357.38355200000001</v>
      </c>
      <c r="H62" s="63">
        <f>$D62*1.21%</f>
        <v>337.83913899999999</v>
      </c>
      <c r="I62" s="63">
        <f>$D62*1.49%</f>
        <v>416.01679100000001</v>
      </c>
      <c r="J62" s="63">
        <f>D62*1.74%</f>
        <v>485.81826599999999</v>
      </c>
      <c r="K62" s="44">
        <f>D62</f>
        <v>27920.59</v>
      </c>
      <c r="L62" s="84">
        <f>SUM(E62:J62)</f>
        <v>27920.59</v>
      </c>
      <c r="M62" s="96">
        <f>L62-D62</f>
        <v>0</v>
      </c>
      <c r="N62" s="96">
        <f>K62-D62</f>
        <v>0</v>
      </c>
    </row>
    <row r="63" spans="1:14" x14ac:dyDescent="0.3">
      <c r="A63" s="6" t="s">
        <v>256</v>
      </c>
      <c r="B63" s="6"/>
      <c r="C63" s="6" t="s">
        <v>257</v>
      </c>
      <c r="D63" s="158">
        <v>1233986.03</v>
      </c>
      <c r="E63" s="74">
        <f>D63*93.2%</f>
        <v>1150074.9799600001</v>
      </c>
      <c r="F63" s="63">
        <f>$D63*1.08%</f>
        <v>13327.049124000001</v>
      </c>
      <c r="G63" s="63">
        <f>$D63*1.28%</f>
        <v>15795.021184000001</v>
      </c>
      <c r="H63" s="63">
        <f>$D63*1.21%</f>
        <v>14931.230963</v>
      </c>
      <c r="I63" s="63">
        <f>$D63*1.49%</f>
        <v>18386.391846999999</v>
      </c>
      <c r="J63" s="63">
        <f>D63*1.74%</f>
        <v>21471.356921999999</v>
      </c>
      <c r="K63" s="44">
        <f t="shared" ref="K63:K69" si="7">D63</f>
        <v>1233986.03</v>
      </c>
      <c r="L63" s="84">
        <f>E63+J63+I63+H63+G63+F63</f>
        <v>1233986.03</v>
      </c>
      <c r="M63" s="96">
        <f>L63-D63</f>
        <v>0</v>
      </c>
      <c r="N63" s="96">
        <f>K63-D63</f>
        <v>0</v>
      </c>
    </row>
    <row r="64" spans="1:14" x14ac:dyDescent="0.3">
      <c r="A64" s="6" t="s">
        <v>258</v>
      </c>
      <c r="B64" s="6"/>
      <c r="C64" s="6" t="s">
        <v>259</v>
      </c>
      <c r="D64" s="45">
        <v>96208.3</v>
      </c>
      <c r="E64" s="74">
        <f>D64</f>
        <v>96208.3</v>
      </c>
      <c r="F64" s="63"/>
      <c r="G64" s="63"/>
      <c r="H64" s="63"/>
      <c r="I64" s="63"/>
      <c r="J64" s="63"/>
      <c r="K64" s="44">
        <f t="shared" si="7"/>
        <v>96208.3</v>
      </c>
      <c r="L64" s="84">
        <f>E64+J64+I64+H64+G64+F64</f>
        <v>96208.3</v>
      </c>
      <c r="M64" s="96">
        <f>L64-D64</f>
        <v>0</v>
      </c>
      <c r="N64" s="96">
        <f>K64-D64</f>
        <v>0</v>
      </c>
    </row>
    <row r="65" spans="1:14" x14ac:dyDescent="0.3">
      <c r="A65" s="6" t="s">
        <v>302</v>
      </c>
      <c r="B65" s="6"/>
      <c r="C65" s="6" t="s">
        <v>260</v>
      </c>
      <c r="D65" s="45">
        <v>149126.03</v>
      </c>
      <c r="E65" s="74">
        <f>D65</f>
        <v>149126.03</v>
      </c>
      <c r="F65" s="63"/>
      <c r="G65" s="63"/>
      <c r="H65" s="63"/>
      <c r="I65" s="63"/>
      <c r="J65" s="63"/>
      <c r="K65" s="44">
        <f t="shared" si="7"/>
        <v>149126.03</v>
      </c>
      <c r="L65" s="84">
        <f>E65+J65+I65+H65+G65+F65</f>
        <v>149126.03</v>
      </c>
      <c r="M65" s="96"/>
      <c r="N65" s="96"/>
    </row>
    <row r="66" spans="1:14" x14ac:dyDescent="0.3">
      <c r="A66" s="36" t="s">
        <v>261</v>
      </c>
      <c r="B66" s="36"/>
      <c r="C66" s="36"/>
      <c r="D66" s="45">
        <v>30000</v>
      </c>
      <c r="E66" s="74">
        <f>D66</f>
        <v>30000</v>
      </c>
      <c r="F66" s="63"/>
      <c r="G66" s="63"/>
      <c r="H66" s="63"/>
      <c r="I66" s="63"/>
      <c r="J66" s="63"/>
      <c r="K66" s="44">
        <f t="shared" si="7"/>
        <v>30000</v>
      </c>
      <c r="L66" s="84">
        <f t="shared" ref="L66:L69" si="8">E66+J66+I66+H66+G66+F66</f>
        <v>30000</v>
      </c>
      <c r="M66" s="96">
        <f>L66-D66</f>
        <v>0</v>
      </c>
      <c r="N66" s="96">
        <f>K66-D66</f>
        <v>0</v>
      </c>
    </row>
    <row r="67" spans="1:14" x14ac:dyDescent="0.3">
      <c r="A67" s="36" t="s">
        <v>280</v>
      </c>
      <c r="B67" s="36"/>
      <c r="C67" s="36"/>
      <c r="D67" s="153"/>
      <c r="E67" s="74">
        <f>D67</f>
        <v>0</v>
      </c>
      <c r="F67" s="74"/>
      <c r="G67" s="74"/>
      <c r="H67" s="74"/>
      <c r="I67" s="74"/>
      <c r="J67" s="63"/>
      <c r="K67" s="44">
        <f t="shared" si="7"/>
        <v>0</v>
      </c>
      <c r="L67" s="84">
        <f t="shared" si="8"/>
        <v>0</v>
      </c>
      <c r="M67" s="96"/>
      <c r="N67" s="96">
        <f>K67-D67</f>
        <v>0</v>
      </c>
    </row>
    <row r="68" spans="1:14" x14ac:dyDescent="0.3">
      <c r="A68" s="80" t="s">
        <v>282</v>
      </c>
      <c r="B68" s="137"/>
      <c r="C68" s="137"/>
      <c r="D68" s="45"/>
      <c r="E68" s="74">
        <f t="shared" ref="E68:E69" si="9">D68</f>
        <v>0</v>
      </c>
      <c r="F68" s="74"/>
      <c r="G68" s="74"/>
      <c r="H68" s="74"/>
      <c r="I68" s="74"/>
      <c r="J68" s="63"/>
      <c r="K68" s="44">
        <f t="shared" si="7"/>
        <v>0</v>
      </c>
      <c r="L68" s="84">
        <f t="shared" si="8"/>
        <v>0</v>
      </c>
      <c r="M68" s="96">
        <f>L68-D68</f>
        <v>0</v>
      </c>
      <c r="N68" s="96">
        <f>K68-D68</f>
        <v>0</v>
      </c>
    </row>
    <row r="69" spans="1:14" ht="15" customHeight="1" x14ac:dyDescent="0.3">
      <c r="A69" s="134"/>
      <c r="B69" s="135"/>
      <c r="C69" s="136"/>
      <c r="D69" s="45"/>
      <c r="E69" s="74">
        <f t="shared" si="9"/>
        <v>0</v>
      </c>
      <c r="F69" s="74"/>
      <c r="G69" s="74"/>
      <c r="H69" s="74"/>
      <c r="I69" s="74"/>
      <c r="J69" s="63"/>
      <c r="K69" s="44">
        <f t="shared" si="7"/>
        <v>0</v>
      </c>
      <c r="L69" s="84">
        <f t="shared" si="8"/>
        <v>0</v>
      </c>
      <c r="M69" s="96">
        <f>L69-D69</f>
        <v>0</v>
      </c>
      <c r="N69" s="96">
        <f>K69-D69</f>
        <v>0</v>
      </c>
    </row>
    <row r="70" spans="1:14" x14ac:dyDescent="0.3">
      <c r="A70" s="80"/>
      <c r="B70" s="81"/>
      <c r="C70" s="81"/>
      <c r="D70" s="87"/>
      <c r="E70" s="74"/>
      <c r="F70" s="74"/>
      <c r="G70" s="74"/>
      <c r="H70" s="74"/>
      <c r="I70" s="74"/>
      <c r="J70" s="63"/>
      <c r="K70" s="44"/>
      <c r="L70" s="84"/>
      <c r="M70" t="str">
        <f>IF(K70=L70, "", "Error")</f>
        <v/>
      </c>
    </row>
    <row r="71" spans="1:14" ht="14.25" customHeight="1" x14ac:dyDescent="0.3">
      <c r="A71" s="34" t="s">
        <v>5</v>
      </c>
      <c r="B71" s="35"/>
      <c r="C71" s="35"/>
      <c r="D71" s="43">
        <f>SUM(D62:D70)</f>
        <v>1537240.9500000002</v>
      </c>
      <c r="E71" s="43">
        <f>SUM(E62:E70)</f>
        <v>1451431.2998400002</v>
      </c>
      <c r="F71" s="43">
        <f t="shared" ref="F71:I71" si="10">SUM(F62:F70)</f>
        <v>13628.591496000001</v>
      </c>
      <c r="G71" s="43">
        <f t="shared" si="10"/>
        <v>16152.404736</v>
      </c>
      <c r="H71" s="43">
        <f t="shared" si="10"/>
        <v>15269.070102</v>
      </c>
      <c r="I71" s="43">
        <f t="shared" si="10"/>
        <v>18802.408638000001</v>
      </c>
      <c r="J71" s="43">
        <f>SUM(J62:J70)</f>
        <v>21957.175187999997</v>
      </c>
      <c r="K71" s="44">
        <f>E71+J71+F71+G71+H71+I71</f>
        <v>1537240.9500000004</v>
      </c>
      <c r="L71" s="75" t="str">
        <f>IF(D71=K71, "", "Error")</f>
        <v/>
      </c>
      <c r="M71" s="96">
        <f>D71-K71</f>
        <v>0</v>
      </c>
    </row>
    <row r="72" spans="1:14" hidden="1" x14ac:dyDescent="0.3">
      <c r="A72" s="6"/>
      <c r="B72" s="6"/>
      <c r="C72" s="6"/>
      <c r="D72" s="100"/>
      <c r="E72" s="47"/>
      <c r="F72" s="47"/>
      <c r="G72" s="47"/>
      <c r="H72" s="47"/>
      <c r="I72" s="47"/>
      <c r="J72" s="6"/>
      <c r="L72" s="75"/>
    </row>
    <row r="73" spans="1:14" hidden="1" x14ac:dyDescent="0.3">
      <c r="A73" s="6"/>
      <c r="B73" s="6"/>
      <c r="C73" s="6"/>
      <c r="D73" s="100"/>
      <c r="E73" s="46"/>
      <c r="F73" s="46"/>
      <c r="G73" s="46"/>
      <c r="H73" s="46"/>
      <c r="I73" s="46"/>
      <c r="J73" s="6"/>
      <c r="L73" s="75"/>
    </row>
    <row r="74" spans="1:14" x14ac:dyDescent="0.3">
      <c r="A74" s="33" t="s">
        <v>238</v>
      </c>
      <c r="B74" s="6"/>
      <c r="C74" s="6"/>
      <c r="D74" s="100"/>
      <c r="E74" s="46"/>
      <c r="F74" s="46"/>
      <c r="G74" s="46"/>
      <c r="H74" s="46"/>
      <c r="I74" s="46"/>
      <c r="J74" s="6"/>
      <c r="L74" s="75"/>
    </row>
    <row r="75" spans="1:14" x14ac:dyDescent="0.3">
      <c r="A75" s="6" t="s">
        <v>50</v>
      </c>
      <c r="B75" s="36" t="s">
        <v>281</v>
      </c>
      <c r="C75" s="6"/>
      <c r="D75" s="45"/>
      <c r="E75" s="74">
        <f>D75*93.2%</f>
        <v>0</v>
      </c>
      <c r="F75" s="63">
        <f>$D75*1.08%</f>
        <v>0</v>
      </c>
      <c r="G75" s="63">
        <f>$D75*1.28%</f>
        <v>0</v>
      </c>
      <c r="H75" s="63">
        <f>$D75*1.21%</f>
        <v>0</v>
      </c>
      <c r="I75" s="63">
        <f>$D75*1.49%</f>
        <v>0</v>
      </c>
      <c r="J75" s="63">
        <f>D75*1.74%</f>
        <v>0</v>
      </c>
      <c r="K75" s="83"/>
      <c r="L75" s="75"/>
    </row>
    <row r="76" spans="1:14" x14ac:dyDescent="0.3">
      <c r="A76" s="6" t="s">
        <v>275</v>
      </c>
      <c r="B76" s="36"/>
      <c r="C76" s="6"/>
      <c r="D76" s="45">
        <v>1800</v>
      </c>
      <c r="E76" s="74">
        <f>D76*93.2%</f>
        <v>1677.6000000000001</v>
      </c>
      <c r="F76" s="63">
        <f>$D76*1.08%</f>
        <v>19.440000000000001</v>
      </c>
      <c r="G76" s="63">
        <f>$D76*1.28%</f>
        <v>23.040000000000003</v>
      </c>
      <c r="H76" s="63">
        <f>$D76*1.21%</f>
        <v>21.78</v>
      </c>
      <c r="I76" s="63">
        <f>$D76*1.49%</f>
        <v>26.82</v>
      </c>
      <c r="J76" s="63">
        <f>D76*1.74%</f>
        <v>31.319999999999997</v>
      </c>
      <c r="K76" s="83"/>
      <c r="L76" s="75"/>
    </row>
    <row r="77" spans="1:14" x14ac:dyDescent="0.3">
      <c r="A77" s="6" t="s">
        <v>277</v>
      </c>
      <c r="B77" s="36"/>
      <c r="C77" s="6"/>
      <c r="D77" s="45">
        <v>6600</v>
      </c>
      <c r="E77" s="85">
        <f t="shared" ref="E77" si="11">D77</f>
        <v>6600</v>
      </c>
      <c r="F77" s="85"/>
      <c r="G77" s="85"/>
      <c r="H77" s="85"/>
      <c r="I77" s="85"/>
      <c r="J77" s="63"/>
      <c r="K77" s="83"/>
      <c r="L77" s="75"/>
    </row>
    <row r="78" spans="1:14" x14ac:dyDescent="0.3">
      <c r="A78" s="6" t="s">
        <v>278</v>
      </c>
      <c r="B78" s="36"/>
      <c r="C78" s="6"/>
      <c r="D78" s="45">
        <v>9000</v>
      </c>
      <c r="E78" s="74">
        <f>D78*93.2%</f>
        <v>8388</v>
      </c>
      <c r="F78" s="63">
        <f>$D78*1.08%</f>
        <v>97.2</v>
      </c>
      <c r="G78" s="63">
        <f>$D78*1.28%</f>
        <v>115.2</v>
      </c>
      <c r="H78" s="63">
        <f>$D78*1.21%</f>
        <v>108.89999999999999</v>
      </c>
      <c r="I78" s="63">
        <f>$D78*1.49%</f>
        <v>134.1</v>
      </c>
      <c r="J78" s="63">
        <f>D78*1.74%</f>
        <v>156.6</v>
      </c>
      <c r="K78" s="83"/>
      <c r="L78" s="75"/>
    </row>
    <row r="79" spans="1:14" x14ac:dyDescent="0.3">
      <c r="A79" s="6" t="s">
        <v>276</v>
      </c>
      <c r="B79" s="36"/>
      <c r="C79" s="6"/>
      <c r="D79" s="45">
        <v>8000</v>
      </c>
      <c r="E79" s="74">
        <f>D79*93.2%</f>
        <v>7456</v>
      </c>
      <c r="F79" s="63">
        <f>$D79*1.08%</f>
        <v>86.4</v>
      </c>
      <c r="G79" s="63">
        <f>$D79*1.28%</f>
        <v>102.4</v>
      </c>
      <c r="H79" s="63">
        <f>$D79*1.21%</f>
        <v>96.8</v>
      </c>
      <c r="I79" s="63">
        <f>$D79*1.49%</f>
        <v>119.2</v>
      </c>
      <c r="J79" s="63">
        <f>D79*1.74%</f>
        <v>139.19999999999999</v>
      </c>
      <c r="K79" s="83"/>
      <c r="L79" s="75"/>
    </row>
    <row r="80" spans="1:14" x14ac:dyDescent="0.3">
      <c r="A80" s="6" t="s">
        <v>270</v>
      </c>
      <c r="B80" s="36"/>
      <c r="C80" s="6"/>
      <c r="D80" s="45">
        <v>707200</v>
      </c>
      <c r="E80" s="85">
        <f>D80</f>
        <v>707200</v>
      </c>
      <c r="F80" s="85"/>
      <c r="G80" s="85"/>
      <c r="H80" s="85"/>
      <c r="I80" s="85"/>
      <c r="J80" s="63"/>
      <c r="K80" s="83"/>
      <c r="L80" s="75"/>
    </row>
    <row r="81" spans="1:14" x14ac:dyDescent="0.3">
      <c r="A81" s="6" t="s">
        <v>279</v>
      </c>
      <c r="B81" s="6"/>
      <c r="C81" s="6"/>
      <c r="D81" s="45">
        <f>9500+1900</f>
        <v>11400</v>
      </c>
      <c r="E81" s="74">
        <f>D81*93.2%</f>
        <v>10624.800000000001</v>
      </c>
      <c r="F81" s="63">
        <f>$D81*1.08%</f>
        <v>123.12</v>
      </c>
      <c r="G81" s="63">
        <f>$D81*1.28%</f>
        <v>145.92000000000002</v>
      </c>
      <c r="H81" s="63">
        <f>$D81*1.21%</f>
        <v>137.94</v>
      </c>
      <c r="I81" s="63">
        <f>$D81*1.49%</f>
        <v>169.86</v>
      </c>
      <c r="J81" s="63">
        <f>D81*1.74%</f>
        <v>198.35999999999999</v>
      </c>
      <c r="L81" s="75"/>
      <c r="M81" s="44"/>
    </row>
    <row r="82" spans="1:14" ht="13.5" customHeight="1" x14ac:dyDescent="0.3">
      <c r="A82" s="34" t="s">
        <v>239</v>
      </c>
      <c r="B82" s="34"/>
      <c r="C82" s="34"/>
      <c r="D82" s="43">
        <f>SUM(D75:D81)</f>
        <v>744000</v>
      </c>
      <c r="E82" s="43">
        <f>SUM(E75:E81)</f>
        <v>741946.4</v>
      </c>
      <c r="F82" s="43">
        <f t="shared" ref="F82:I82" si="12">SUM(F75:F81)</f>
        <v>326.16000000000003</v>
      </c>
      <c r="G82" s="43">
        <f t="shared" si="12"/>
        <v>386.56000000000006</v>
      </c>
      <c r="H82" s="43">
        <f t="shared" si="12"/>
        <v>365.42</v>
      </c>
      <c r="I82" s="43">
        <f t="shared" si="12"/>
        <v>449.98</v>
      </c>
      <c r="J82" s="43">
        <f>SUM(J75:J81)</f>
        <v>525.48</v>
      </c>
      <c r="K82" s="44">
        <f>E82+J82+F82+G82+H82+I82</f>
        <v>744000.00000000012</v>
      </c>
      <c r="L82" s="75" t="str">
        <f>IF(D82=K82, "", "Error")</f>
        <v/>
      </c>
      <c r="N82" s="44"/>
    </row>
    <row r="83" spans="1:14" hidden="1" x14ac:dyDescent="0.3">
      <c r="A83" s="6"/>
      <c r="B83" s="6"/>
      <c r="C83" s="6"/>
      <c r="D83" s="100"/>
      <c r="E83" s="47"/>
      <c r="F83" s="47"/>
      <c r="G83" s="47"/>
      <c r="H83" s="47"/>
      <c r="I83" s="47"/>
      <c r="J83" s="6"/>
      <c r="L83" s="75"/>
    </row>
    <row r="84" spans="1:14" hidden="1" x14ac:dyDescent="0.3">
      <c r="A84" s="6"/>
      <c r="B84" s="6"/>
      <c r="C84" s="6"/>
      <c r="D84" s="100"/>
      <c r="E84" s="46"/>
      <c r="F84" s="46"/>
      <c r="G84" s="46"/>
      <c r="H84" s="46"/>
      <c r="I84" s="46"/>
      <c r="J84" s="6"/>
      <c r="L84" s="75"/>
    </row>
    <row r="85" spans="1:14" x14ac:dyDescent="0.3">
      <c r="A85" s="33" t="s">
        <v>6</v>
      </c>
      <c r="B85" s="6"/>
      <c r="C85" s="6"/>
      <c r="D85" s="100"/>
      <c r="E85" s="46"/>
      <c r="F85" s="46"/>
      <c r="G85" s="46"/>
      <c r="H85" s="46"/>
      <c r="I85" s="46"/>
      <c r="J85" s="6"/>
      <c r="L85" s="75"/>
    </row>
    <row r="86" spans="1:14" ht="14.25" customHeight="1" x14ac:dyDescent="0.3">
      <c r="A86" s="6" t="s">
        <v>7</v>
      </c>
      <c r="B86" s="6" t="s">
        <v>42</v>
      </c>
      <c r="C86" s="6"/>
      <c r="D86" s="45">
        <v>700000</v>
      </c>
      <c r="E86" s="74">
        <f>D86*93.2%</f>
        <v>652400</v>
      </c>
      <c r="F86" s="63">
        <f>$D86*1.08%</f>
        <v>7560</v>
      </c>
      <c r="G86" s="63">
        <f>$D86*1.28%</f>
        <v>8960</v>
      </c>
      <c r="H86" s="63">
        <f>$D86*1.21%</f>
        <v>8470</v>
      </c>
      <c r="I86" s="63">
        <f>$D86*1.49%</f>
        <v>10430</v>
      </c>
      <c r="J86" s="63">
        <f>D86*1.74%</f>
        <v>12180</v>
      </c>
      <c r="L86" s="75"/>
    </row>
    <row r="87" spans="1:14" x14ac:dyDescent="0.3">
      <c r="A87" s="33"/>
      <c r="B87" s="6"/>
      <c r="C87" s="6"/>
      <c r="D87" s="45"/>
      <c r="E87" s="74"/>
      <c r="F87" s="74"/>
      <c r="G87" s="74"/>
      <c r="H87" s="74"/>
      <c r="I87" s="74"/>
      <c r="J87" s="63"/>
      <c r="L87" s="75"/>
      <c r="N87" s="45"/>
    </row>
    <row r="88" spans="1:14" x14ac:dyDescent="0.3">
      <c r="A88" s="6"/>
      <c r="B88" s="6"/>
      <c r="C88" s="6"/>
      <c r="D88" s="100"/>
      <c r="E88" s="48"/>
      <c r="F88" s="48"/>
      <c r="G88" s="48"/>
      <c r="H88" s="48"/>
      <c r="I88" s="48"/>
      <c r="J88" s="6"/>
      <c r="L88" s="75"/>
      <c r="N88" s="44"/>
    </row>
    <row r="89" spans="1:14" x14ac:dyDescent="0.3">
      <c r="A89" s="34" t="s">
        <v>8</v>
      </c>
      <c r="B89" s="34"/>
      <c r="C89" s="34"/>
      <c r="D89" s="43">
        <f>SUM(D86:D88)</f>
        <v>700000</v>
      </c>
      <c r="E89" s="43">
        <f>SUM(E86:E88)</f>
        <v>652400</v>
      </c>
      <c r="F89" s="43">
        <f t="shared" ref="F89:I89" si="13">SUM(F86:F88)</f>
        <v>7560</v>
      </c>
      <c r="G89" s="43">
        <f t="shared" si="13"/>
        <v>8960</v>
      </c>
      <c r="H89" s="43">
        <f t="shared" si="13"/>
        <v>8470</v>
      </c>
      <c r="I89" s="43">
        <f t="shared" si="13"/>
        <v>10430</v>
      </c>
      <c r="J89" s="43">
        <f>SUM(J86:J88)</f>
        <v>12180</v>
      </c>
      <c r="K89" s="44">
        <f>E89+J89+F89+G89+H89+I89</f>
        <v>700000</v>
      </c>
      <c r="L89" s="75" t="str">
        <f>IF(D89=K89, "", "Error")</f>
        <v/>
      </c>
      <c r="N89" s="44"/>
    </row>
    <row r="90" spans="1:14" x14ac:dyDescent="0.3">
      <c r="A90" s="6" t="s">
        <v>31</v>
      </c>
      <c r="B90" s="6"/>
      <c r="C90" s="6"/>
      <c r="D90" s="45"/>
      <c r="E90" s="74">
        <f>D90*93.2%</f>
        <v>0</v>
      </c>
      <c r="F90" s="63">
        <f>$D90*1.08%</f>
        <v>0</v>
      </c>
      <c r="G90" s="63">
        <f>$D90*1.28%</f>
        <v>0</v>
      </c>
      <c r="H90" s="63">
        <f>$D90*1.21%</f>
        <v>0</v>
      </c>
      <c r="I90" s="63">
        <f>$D90*1.49%</f>
        <v>0</v>
      </c>
      <c r="J90" s="63">
        <f>D90*1.74%</f>
        <v>0</v>
      </c>
      <c r="L90" s="75"/>
    </row>
    <row r="91" spans="1:14" x14ac:dyDescent="0.3">
      <c r="A91" s="6" t="s">
        <v>32</v>
      </c>
      <c r="B91" s="6"/>
      <c r="C91" s="52"/>
      <c r="D91" s="45"/>
      <c r="E91" s="74">
        <f>D91*93.2%</f>
        <v>0</v>
      </c>
      <c r="F91" s="63">
        <f>$D91*1.08%</f>
        <v>0</v>
      </c>
      <c r="G91" s="63">
        <f>$D91*1.28%</f>
        <v>0</v>
      </c>
      <c r="H91" s="63">
        <f>$D91*1.21%</f>
        <v>0</v>
      </c>
      <c r="I91" s="63">
        <f>$D91*1.49%</f>
        <v>0</v>
      </c>
      <c r="J91" s="63">
        <f>D91*1.74%</f>
        <v>0</v>
      </c>
      <c r="L91" s="75"/>
    </row>
    <row r="92" spans="1:14" x14ac:dyDescent="0.3">
      <c r="A92" s="34" t="s">
        <v>240</v>
      </c>
      <c r="B92" s="34"/>
      <c r="C92" s="34"/>
      <c r="D92" s="82">
        <f>SUM(D90:D91)</f>
        <v>0</v>
      </c>
      <c r="E92" s="73">
        <f t="shared" ref="E92:J92" si="14">SUM(E90:E91)</f>
        <v>0</v>
      </c>
      <c r="F92" s="73">
        <f t="shared" si="14"/>
        <v>0</v>
      </c>
      <c r="G92" s="73">
        <f t="shared" si="14"/>
        <v>0</v>
      </c>
      <c r="H92" s="73">
        <f t="shared" si="14"/>
        <v>0</v>
      </c>
      <c r="I92" s="73">
        <f t="shared" si="14"/>
        <v>0</v>
      </c>
      <c r="J92" s="73">
        <f t="shared" si="14"/>
        <v>0</v>
      </c>
      <c r="K92" s="44">
        <f>E92+J92+F92+G92+H92+I92</f>
        <v>0</v>
      </c>
      <c r="L92" s="75" t="str">
        <f>IF(D92=K92, "", "Error")</f>
        <v/>
      </c>
    </row>
    <row r="93" spans="1:14" ht="15" thickBot="1" x14ac:dyDescent="0.35">
      <c r="A93" s="117"/>
      <c r="B93" s="117"/>
      <c r="C93" s="117"/>
      <c r="D93" s="118"/>
      <c r="E93" s="10"/>
      <c r="F93" s="10"/>
      <c r="G93" s="10"/>
      <c r="H93" s="10"/>
      <c r="I93" s="10"/>
      <c r="J93" s="117"/>
      <c r="L93" s="75"/>
    </row>
    <row r="94" spans="1:14" ht="15" thickBot="1" x14ac:dyDescent="0.35">
      <c r="A94" s="119" t="s">
        <v>49</v>
      </c>
      <c r="B94" s="120"/>
      <c r="C94" s="120"/>
      <c r="D94" s="121">
        <v>1500000</v>
      </c>
      <c r="E94" s="148">
        <f>D94*93.2%</f>
        <v>1398000</v>
      </c>
      <c r="F94" s="148">
        <f>$D94*1.08%</f>
        <v>16200</v>
      </c>
      <c r="G94" s="148">
        <f>$D94*1.28%</f>
        <v>19200</v>
      </c>
      <c r="H94" s="148">
        <f>$D94*1.21%</f>
        <v>18150</v>
      </c>
      <c r="I94" s="148">
        <f>$D94*1.49%</f>
        <v>22350</v>
      </c>
      <c r="J94" s="149">
        <f>D94*1.74%</f>
        <v>26100</v>
      </c>
      <c r="K94" s="44">
        <f>E94+J94+F94+G94+H94+I94</f>
        <v>1500000</v>
      </c>
      <c r="L94" s="75" t="str">
        <f>IF(D94=K94, "", "Error")</f>
        <v/>
      </c>
    </row>
    <row r="95" spans="1:14" ht="15" thickBot="1" x14ac:dyDescent="0.35">
      <c r="A95" s="122"/>
      <c r="B95" s="123"/>
      <c r="C95" s="123"/>
      <c r="D95" s="124"/>
      <c r="E95" s="125"/>
      <c r="F95" s="125"/>
      <c r="G95" s="125"/>
      <c r="H95" s="125"/>
      <c r="I95" s="125"/>
      <c r="J95" s="126"/>
      <c r="K95" s="44"/>
      <c r="L95" s="75"/>
    </row>
    <row r="96" spans="1:14" ht="15" thickBot="1" x14ac:dyDescent="0.35">
      <c r="A96" s="3" t="s">
        <v>33</v>
      </c>
      <c r="B96" s="12"/>
      <c r="C96" s="4"/>
      <c r="D96" s="101">
        <f>SUM(D94+D51+D46+D92+D89+D82+D71+D60+D42+D37+D55)</f>
        <v>8274628.959999999</v>
      </c>
      <c r="E96" s="101">
        <f t="shared" ref="E96" si="15">SUM(E94+E51+E46+E92+E89+E82+E71+E60+E42+E37+E55)</f>
        <v>7784621.325840001</v>
      </c>
      <c r="F96" s="101">
        <f>SUM(F94+F51+F46+F92+F89+F82+F71+F60+F42+F37+F55)</f>
        <v>77824.741896000007</v>
      </c>
      <c r="G96" s="101">
        <f>SUM(G94+G51+G46+G92+G89+G82+G71+G60+G42+G37+G55)</f>
        <v>92236.731136000002</v>
      </c>
      <c r="H96" s="101">
        <f>SUM(H94+H51+H46+H92+H89+H82+H71+H60+H42+H37+H55)</f>
        <v>87192.534901999999</v>
      </c>
      <c r="I96" s="101">
        <f>SUM(I94+I51+I46+I92+I89+I82+I71+I60+I42+I37+I55)</f>
        <v>107369.319838</v>
      </c>
      <c r="J96" s="101">
        <f>SUM(J94+J51+J46+J92+J89+J82+J71+J60+J42+J37+J55)</f>
        <v>125384.30638799998</v>
      </c>
      <c r="K96" s="44">
        <f>E96+J96+F96+G96+H96+I96</f>
        <v>8274628.9600000009</v>
      </c>
      <c r="L96" s="75" t="str">
        <f>IF(D96=K96, "", "Error")</f>
        <v/>
      </c>
      <c r="M96" s="96">
        <f>D96-K96</f>
        <v>0</v>
      </c>
    </row>
    <row r="97" spans="1:13" ht="15" thickBot="1" x14ac:dyDescent="0.35">
      <c r="D97" s="99"/>
      <c r="E97" s="44"/>
      <c r="F97" s="44"/>
      <c r="G97" s="44"/>
      <c r="H97" s="44"/>
      <c r="I97" s="44"/>
    </row>
    <row r="98" spans="1:13" ht="15" thickBot="1" x14ac:dyDescent="0.35">
      <c r="A98" s="70" t="s">
        <v>44</v>
      </c>
      <c r="B98" s="69"/>
      <c r="C98" s="69"/>
      <c r="E98" s="44"/>
      <c r="F98" s="44"/>
      <c r="G98" s="44"/>
      <c r="H98" s="44"/>
      <c r="I98" s="44"/>
    </row>
    <row r="99" spans="1:13" x14ac:dyDescent="0.3">
      <c r="A99" s="1" t="s">
        <v>271</v>
      </c>
      <c r="C99" s="155">
        <f>90000-9000</f>
        <v>81000</v>
      </c>
      <c r="E99" s="44"/>
      <c r="F99" s="44"/>
      <c r="G99" s="44"/>
      <c r="H99" s="44"/>
      <c r="I99" s="44"/>
    </row>
    <row r="100" spans="1:13" ht="15" thickBot="1" x14ac:dyDescent="0.35">
      <c r="A100" s="1"/>
      <c r="C100" s="67"/>
      <c r="E100" s="44"/>
      <c r="F100" s="44"/>
      <c r="G100" s="44"/>
      <c r="H100" s="44"/>
      <c r="I100" s="44"/>
    </row>
    <row r="101" spans="1:13" ht="15" thickBot="1" x14ac:dyDescent="0.35">
      <c r="A101" s="71" t="s">
        <v>18</v>
      </c>
      <c r="B101" s="72"/>
      <c r="C101" s="68">
        <f>SUM(C99:C100)</f>
        <v>81000</v>
      </c>
      <c r="E101" s="44"/>
      <c r="F101" s="44"/>
      <c r="G101" s="44"/>
      <c r="H101" s="44"/>
      <c r="I101" s="44"/>
    </row>
    <row r="102" spans="1:13" x14ac:dyDescent="0.3">
      <c r="E102" s="44"/>
      <c r="F102" s="44"/>
      <c r="G102" s="44"/>
      <c r="H102" s="44"/>
      <c r="I102" s="44"/>
    </row>
    <row r="103" spans="1:13" x14ac:dyDescent="0.3">
      <c r="E103" s="65"/>
      <c r="F103" s="65"/>
      <c r="G103" s="65"/>
      <c r="H103" s="65"/>
      <c r="I103" s="65"/>
    </row>
    <row r="104" spans="1:13" x14ac:dyDescent="0.3">
      <c r="A104" s="167" t="s">
        <v>39</v>
      </c>
      <c r="B104" s="168"/>
      <c r="C104" s="168"/>
      <c r="D104" s="168"/>
      <c r="E104" s="91" t="s">
        <v>12</v>
      </c>
      <c r="F104" s="91" t="s">
        <v>177</v>
      </c>
      <c r="G104" s="91" t="s">
        <v>178</v>
      </c>
      <c r="H104" s="91" t="s">
        <v>179</v>
      </c>
      <c r="I104" s="91" t="s">
        <v>180</v>
      </c>
      <c r="J104" s="92" t="s">
        <v>181</v>
      </c>
    </row>
    <row r="105" spans="1:13" ht="22.5" customHeight="1" x14ac:dyDescent="0.3">
      <c r="A105" s="169"/>
      <c r="B105" s="170"/>
      <c r="C105" s="93"/>
      <c r="D105" s="45"/>
      <c r="E105" s="74">
        <f>D105</f>
        <v>0</v>
      </c>
      <c r="F105" s="74"/>
      <c r="G105" s="74"/>
      <c r="H105" s="74"/>
      <c r="I105" s="74"/>
      <c r="J105" s="63"/>
    </row>
    <row r="106" spans="1:13" ht="24.75" customHeight="1" x14ac:dyDescent="0.3">
      <c r="A106" s="169"/>
      <c r="B106" s="170"/>
      <c r="C106" s="93"/>
      <c r="D106" s="45"/>
      <c r="E106" s="74"/>
      <c r="F106" s="74"/>
      <c r="G106" s="74"/>
      <c r="H106" s="74"/>
      <c r="I106" s="74"/>
      <c r="J106" s="63"/>
    </row>
    <row r="107" spans="1:13" x14ac:dyDescent="0.3">
      <c r="A107" s="164" t="s">
        <v>18</v>
      </c>
      <c r="B107" s="165"/>
      <c r="C107" s="166"/>
      <c r="D107" s="90">
        <f>SUM(D105:D106)</f>
        <v>0</v>
      </c>
      <c r="E107" s="90">
        <f>SUM(E105:E106)</f>
        <v>0</v>
      </c>
      <c r="F107" s="90"/>
      <c r="G107" s="90"/>
      <c r="H107" s="90"/>
      <c r="I107" s="90"/>
      <c r="J107" s="90">
        <f>SUM(J105:J106)</f>
        <v>0</v>
      </c>
      <c r="L107" s="44">
        <f>E107+J107</f>
        <v>0</v>
      </c>
      <c r="M107" s="75" t="str">
        <f>IF(D107=L107, "", "Error")</f>
        <v/>
      </c>
    </row>
    <row r="109" spans="1:13" ht="15" thickBot="1" x14ac:dyDescent="0.35">
      <c r="E109" s="44"/>
      <c r="F109" s="44"/>
      <c r="G109" s="44"/>
      <c r="H109" s="44"/>
      <c r="I109" s="44"/>
    </row>
    <row r="110" spans="1:13" ht="15" thickBot="1" x14ac:dyDescent="0.35">
      <c r="A110" s="39" t="s">
        <v>34</v>
      </c>
      <c r="B110" s="40">
        <f>D96</f>
        <v>8274628.959999999</v>
      </c>
    </row>
    <row r="111" spans="1:13" ht="15" thickBot="1" x14ac:dyDescent="0.35">
      <c r="A111" s="41" t="s">
        <v>36</v>
      </c>
      <c r="B111" s="42">
        <f>D96-D94</f>
        <v>6774628.959999999</v>
      </c>
    </row>
    <row r="112" spans="1:13" x14ac:dyDescent="0.3">
      <c r="D112" s="163"/>
      <c r="E112" s="163"/>
      <c r="F112" s="104"/>
      <c r="G112" s="104"/>
      <c r="H112" s="104"/>
      <c r="I112" s="104"/>
    </row>
    <row r="113" spans="1:11" x14ac:dyDescent="0.3">
      <c r="A113" s="17" t="s">
        <v>23</v>
      </c>
      <c r="B113" s="18"/>
      <c r="C113" s="19"/>
      <c r="D113" s="163"/>
      <c r="E113" s="163"/>
      <c r="F113" s="104"/>
      <c r="G113" s="104"/>
      <c r="H113" s="104"/>
      <c r="I113" s="104"/>
    </row>
    <row r="114" spans="1:11" x14ac:dyDescent="0.3">
      <c r="A114" s="20" t="s">
        <v>24</v>
      </c>
      <c r="B114" s="9">
        <v>7250000</v>
      </c>
      <c r="C114" s="21"/>
      <c r="D114" s="163"/>
      <c r="E114" s="163"/>
      <c r="F114" s="104"/>
      <c r="G114" s="104"/>
      <c r="H114" s="104"/>
      <c r="I114" s="104"/>
    </row>
    <row r="115" spans="1:11" x14ac:dyDescent="0.3">
      <c r="A115" s="22" t="s">
        <v>25</v>
      </c>
      <c r="B115" s="31">
        <f>PRORRATEO!G126</f>
        <v>0</v>
      </c>
      <c r="C115" s="21" t="s">
        <v>26</v>
      </c>
      <c r="D115" s="163"/>
      <c r="E115" s="163"/>
      <c r="F115" s="104"/>
      <c r="G115" s="104"/>
      <c r="H115" s="104"/>
      <c r="I115" s="104"/>
    </row>
    <row r="116" spans="1:11" x14ac:dyDescent="0.3">
      <c r="A116" s="22" t="s">
        <v>41</v>
      </c>
      <c r="B116" s="95">
        <f>-B111</f>
        <v>-6774628.959999999</v>
      </c>
      <c r="C116" s="19"/>
      <c r="D116" s="163"/>
      <c r="E116" s="163"/>
      <c r="F116" s="104"/>
      <c r="G116" s="104"/>
      <c r="H116" s="104"/>
      <c r="I116" s="104"/>
      <c r="K116" s="45"/>
    </row>
    <row r="117" spans="1:11" x14ac:dyDescent="0.3">
      <c r="A117" s="22" t="s">
        <v>40</v>
      </c>
      <c r="B117" s="95">
        <f>-D107</f>
        <v>0</v>
      </c>
      <c r="C117" s="19"/>
      <c r="D117" s="163"/>
      <c r="E117" s="163"/>
      <c r="F117" s="104"/>
      <c r="G117" s="104"/>
      <c r="H117" s="104"/>
      <c r="I117" s="104"/>
      <c r="K117" s="55"/>
    </row>
    <row r="118" spans="1:11" x14ac:dyDescent="0.3">
      <c r="A118" s="22" t="s">
        <v>35</v>
      </c>
      <c r="B118" s="95">
        <f>-B125</f>
        <v>0</v>
      </c>
      <c r="C118" s="23"/>
    </row>
    <row r="119" spans="1:11" x14ac:dyDescent="0.3">
      <c r="A119" s="22" t="s">
        <v>44</v>
      </c>
      <c r="B119" s="95">
        <f>-C101</f>
        <v>-81000</v>
      </c>
      <c r="C119" s="23"/>
    </row>
    <row r="120" spans="1:11" x14ac:dyDescent="0.3">
      <c r="A120" s="22"/>
      <c r="B120" s="18"/>
      <c r="C120" s="23"/>
    </row>
    <row r="121" spans="1:11" x14ac:dyDescent="0.3">
      <c r="A121" s="20" t="s">
        <v>27</v>
      </c>
      <c r="B121" s="24">
        <f>SUM(B114:B120)</f>
        <v>394371.04000000097</v>
      </c>
      <c r="C121" s="79"/>
    </row>
    <row r="122" spans="1:11" x14ac:dyDescent="0.3">
      <c r="A122" s="23"/>
      <c r="C122" s="19"/>
      <c r="D122" s="26"/>
    </row>
    <row r="123" spans="1:11" x14ac:dyDescent="0.3">
      <c r="C123" s="19"/>
      <c r="D123" s="44"/>
      <c r="E123" s="96"/>
      <c r="F123" s="96"/>
      <c r="G123" s="96"/>
      <c r="H123" s="96"/>
      <c r="I123" s="96"/>
    </row>
    <row r="124" spans="1:11" x14ac:dyDescent="0.3">
      <c r="A124" s="17" t="s">
        <v>28</v>
      </c>
      <c r="B124" s="9">
        <v>0</v>
      </c>
      <c r="C124" s="25"/>
      <c r="D124" s="96"/>
      <c r="E124" s="96"/>
      <c r="F124" s="96"/>
      <c r="G124" s="96"/>
      <c r="H124" s="96"/>
      <c r="I124" s="96"/>
      <c r="J124" s="96"/>
    </row>
    <row r="125" spans="1:11" ht="15" customHeight="1" x14ac:dyDescent="0.3">
      <c r="A125" s="20" t="s">
        <v>289</v>
      </c>
      <c r="B125" s="32"/>
      <c r="C125" s="25"/>
      <c r="D125" s="96"/>
      <c r="E125" s="105"/>
      <c r="F125" s="105"/>
      <c r="G125" s="105"/>
      <c r="H125" s="105"/>
      <c r="I125" s="105"/>
    </row>
    <row r="126" spans="1:11" x14ac:dyDescent="0.3">
      <c r="A126" s="20"/>
      <c r="B126" s="95"/>
      <c r="C126" s="25"/>
      <c r="E126" s="44"/>
      <c r="F126" s="44"/>
      <c r="G126" s="44"/>
      <c r="H126" s="44"/>
      <c r="I126" s="44"/>
    </row>
    <row r="127" spans="1:11" x14ac:dyDescent="0.3">
      <c r="A127" s="37" t="s">
        <v>18</v>
      </c>
      <c r="B127" s="38">
        <f>SUM(B124:B126)</f>
        <v>0</v>
      </c>
      <c r="C127" s="25"/>
    </row>
    <row r="128" spans="1:11" x14ac:dyDescent="0.3">
      <c r="C128" s="26"/>
      <c r="D128" s="96"/>
    </row>
    <row r="129" spans="2:18" x14ac:dyDescent="0.3">
      <c r="B129" s="23"/>
      <c r="C129" s="19"/>
    </row>
    <row r="131" spans="2:18" x14ac:dyDescent="0.3">
      <c r="R131" s="10"/>
    </row>
    <row r="134" spans="2:18" x14ac:dyDescent="0.3">
      <c r="B134" s="162"/>
      <c r="C134" s="162"/>
      <c r="D134" s="162"/>
      <c r="E134" s="162"/>
      <c r="F134" s="108"/>
      <c r="G134" s="108"/>
      <c r="H134" s="108"/>
      <c r="I134" s="108"/>
    </row>
    <row r="135" spans="2:18" x14ac:dyDescent="0.3">
      <c r="B135" s="162"/>
      <c r="C135" s="162"/>
      <c r="D135" s="162"/>
      <c r="E135" s="162"/>
      <c r="F135" s="108"/>
      <c r="G135" s="108"/>
      <c r="H135" s="108"/>
      <c r="I135" s="108"/>
    </row>
    <row r="136" spans="2:18" x14ac:dyDescent="0.3">
      <c r="B136" s="162"/>
      <c r="C136" s="162"/>
      <c r="D136" s="162"/>
      <c r="E136" s="162"/>
      <c r="F136" s="108"/>
      <c r="G136" s="108"/>
      <c r="H136" s="108"/>
      <c r="I136" s="108"/>
    </row>
    <row r="137" spans="2:18" x14ac:dyDescent="0.3">
      <c r="B137" s="162"/>
      <c r="C137" s="162"/>
      <c r="D137" s="162"/>
      <c r="E137" s="162"/>
      <c r="F137" s="108"/>
      <c r="G137" s="108"/>
      <c r="H137" s="108"/>
      <c r="I137" s="108"/>
    </row>
    <row r="138" spans="2:18" x14ac:dyDescent="0.3">
      <c r="B138" s="162"/>
      <c r="C138" s="162"/>
      <c r="D138" s="162"/>
      <c r="E138" s="162"/>
      <c r="F138" s="108"/>
      <c r="G138" s="108"/>
      <c r="H138" s="108"/>
      <c r="I138" s="108"/>
    </row>
  </sheetData>
  <mergeCells count="7">
    <mergeCell ref="A14:J18"/>
    <mergeCell ref="B134:E138"/>
    <mergeCell ref="D112:E117"/>
    <mergeCell ref="A107:C107"/>
    <mergeCell ref="A104:D104"/>
    <mergeCell ref="A106:B106"/>
    <mergeCell ref="A105:B105"/>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47"/>
  <sheetViews>
    <sheetView topLeftCell="C1" zoomScaleNormal="100" workbookViewId="0">
      <selection activeCell="C131" sqref="C131:M138"/>
    </sheetView>
  </sheetViews>
  <sheetFormatPr baseColWidth="10" defaultRowHeight="14.4" x14ac:dyDescent="0.3"/>
  <cols>
    <col min="1" max="1" width="4.5546875" hidden="1" customWidth="1"/>
    <col min="2" max="2" width="5.88671875" hidden="1" customWidth="1"/>
    <col min="3" max="3" width="8.109375" customWidth="1"/>
    <col min="4" max="4" width="43.5546875" customWidth="1"/>
    <col min="5" max="5" width="9.44140625" customWidth="1"/>
    <col min="6" max="7" width="12" bestFit="1" customWidth="1"/>
    <col min="8" max="8" width="11.33203125" customWidth="1"/>
    <col min="9" max="9" width="13.6640625" customWidth="1"/>
    <col min="10" max="10" width="13.33203125" customWidth="1"/>
    <col min="11" max="11" width="10.44140625" customWidth="1"/>
    <col min="12" max="12" width="14.33203125" customWidth="1"/>
    <col min="13" max="13" width="13.6640625" customWidth="1"/>
    <col min="14" max="14" width="11.44140625" customWidth="1"/>
    <col min="15" max="15" width="14.5546875" bestFit="1" customWidth="1"/>
  </cols>
  <sheetData>
    <row r="1" spans="1:17" x14ac:dyDescent="0.3">
      <c r="A1" s="7"/>
      <c r="B1" s="7"/>
      <c r="C1" s="7"/>
      <c r="D1" s="7"/>
      <c r="E1" s="7"/>
      <c r="F1" s="7" t="s">
        <v>9</v>
      </c>
      <c r="G1" s="7"/>
      <c r="H1" s="7"/>
      <c r="I1" s="7"/>
      <c r="J1" s="7" t="s">
        <v>46</v>
      </c>
      <c r="K1" s="180">
        <f>RESUMEN!D96-RESUMEN!D94</f>
        <v>6774628.959999999</v>
      </c>
      <c r="L1" s="181"/>
      <c r="M1" s="77"/>
      <c r="N1" s="64"/>
    </row>
    <row r="2" spans="1:17" x14ac:dyDescent="0.3">
      <c r="A2" s="7"/>
      <c r="B2" s="7"/>
      <c r="C2" s="7"/>
      <c r="D2" s="7"/>
      <c r="E2" s="7"/>
      <c r="F2" s="7"/>
      <c r="G2" s="7"/>
      <c r="H2" s="7"/>
      <c r="I2" s="7"/>
      <c r="J2" s="7" t="s">
        <v>47</v>
      </c>
      <c r="K2" s="7"/>
      <c r="L2" s="77">
        <v>7142595.8599999994</v>
      </c>
      <c r="M2" s="78"/>
      <c r="N2" s="64"/>
    </row>
    <row r="3" spans="1:17" x14ac:dyDescent="0.3">
      <c r="A3" s="7" t="str">
        <f>RESUMEN!C5</f>
        <v>PERÍODO: JULIO</v>
      </c>
      <c r="B3" s="7"/>
      <c r="C3" s="7"/>
      <c r="D3" s="7"/>
      <c r="E3" s="7"/>
      <c r="F3" s="7"/>
      <c r="G3" s="7"/>
      <c r="H3" s="7"/>
      <c r="I3" s="8"/>
      <c r="J3" s="7"/>
      <c r="K3" s="7"/>
      <c r="L3" s="58"/>
      <c r="M3" s="76"/>
      <c r="N3" s="16"/>
    </row>
    <row r="4" spans="1:17" ht="15" thickBot="1" x14ac:dyDescent="0.35">
      <c r="A4" s="7"/>
      <c r="B4" s="7"/>
      <c r="C4" s="7"/>
      <c r="D4" s="7"/>
      <c r="E4" s="7"/>
      <c r="F4" s="7"/>
      <c r="G4" s="7"/>
      <c r="H4" s="7"/>
      <c r="I4" s="53">
        <f>(I3*8.09%)/44</f>
        <v>0</v>
      </c>
      <c r="J4" s="7"/>
      <c r="K4" s="7"/>
      <c r="L4" s="58"/>
      <c r="M4" s="54"/>
      <c r="O4" s="96">
        <f>K1-J126</f>
        <v>-315014.57316000853</v>
      </c>
    </row>
    <row r="5" spans="1:17" x14ac:dyDescent="0.3">
      <c r="A5" s="171" t="s">
        <v>10</v>
      </c>
      <c r="B5" s="173" t="s">
        <v>11</v>
      </c>
      <c r="C5" s="171" t="s">
        <v>12</v>
      </c>
      <c r="D5" s="175" t="s">
        <v>13</v>
      </c>
      <c r="E5" s="171" t="s">
        <v>30</v>
      </c>
      <c r="F5" s="171" t="s">
        <v>14</v>
      </c>
      <c r="G5" s="171" t="s">
        <v>15</v>
      </c>
      <c r="H5" s="184" t="s">
        <v>16</v>
      </c>
      <c r="I5" s="182" t="s">
        <v>17</v>
      </c>
      <c r="J5" s="182" t="s">
        <v>21</v>
      </c>
      <c r="K5" s="187" t="s">
        <v>45</v>
      </c>
      <c r="L5" s="182" t="s">
        <v>19</v>
      </c>
      <c r="M5" s="182" t="s">
        <v>20</v>
      </c>
    </row>
    <row r="6" spans="1:17" x14ac:dyDescent="0.3">
      <c r="A6" s="172"/>
      <c r="B6" s="174"/>
      <c r="C6" s="172"/>
      <c r="D6" s="176"/>
      <c r="E6" s="172"/>
      <c r="F6" s="172"/>
      <c r="G6" s="172"/>
      <c r="H6" s="185"/>
      <c r="I6" s="183"/>
      <c r="J6" s="186"/>
      <c r="K6" s="188"/>
      <c r="L6" s="186"/>
      <c r="M6" s="183"/>
    </row>
    <row r="7" spans="1:17" x14ac:dyDescent="0.3">
      <c r="A7" s="6" t="s">
        <v>125</v>
      </c>
      <c r="B7" s="6"/>
      <c r="C7" s="6" t="s">
        <v>120</v>
      </c>
      <c r="D7" s="62" t="s">
        <v>182</v>
      </c>
      <c r="E7" s="107">
        <v>1.0800000000000001E-2</v>
      </c>
      <c r="F7" s="27"/>
      <c r="G7" s="102"/>
      <c r="H7" s="60">
        <f>F7-G7</f>
        <v>0</v>
      </c>
      <c r="I7" s="27">
        <v>0</v>
      </c>
      <c r="J7" s="27">
        <v>70998.78441600001</v>
      </c>
      <c r="K7" s="36">
        <v>0</v>
      </c>
      <c r="L7" s="5">
        <f t="shared" ref="L7:L11" si="0">J7+I7+H7+K7</f>
        <v>70998.78441600001</v>
      </c>
      <c r="M7" s="9">
        <f>L7*6% + L7</f>
        <v>75258.711480960017</v>
      </c>
      <c r="N7" s="138"/>
      <c r="P7" s="177" t="s">
        <v>288</v>
      </c>
      <c r="Q7" s="177"/>
    </row>
    <row r="8" spans="1:17" x14ac:dyDescent="0.3">
      <c r="A8" s="6"/>
      <c r="B8" s="6"/>
      <c r="C8" s="6" t="s">
        <v>124</v>
      </c>
      <c r="D8" s="62" t="s">
        <v>126</v>
      </c>
      <c r="E8" s="107">
        <v>1.2999999999999999E-2</v>
      </c>
      <c r="F8" s="27"/>
      <c r="G8" s="102"/>
      <c r="H8" s="60">
        <f t="shared" ref="H8:H124" si="1">F8-G8</f>
        <v>0</v>
      </c>
      <c r="I8" s="27">
        <v>0</v>
      </c>
      <c r="J8" s="27">
        <v>84146.707456000004</v>
      </c>
      <c r="K8" s="86">
        <f t="shared" ref="K8:K15" si="2">I$3*E8%+I$4</f>
        <v>0</v>
      </c>
      <c r="L8" s="5">
        <f t="shared" si="0"/>
        <v>84146.707456000004</v>
      </c>
      <c r="M8" s="9">
        <f t="shared" ref="M8:M11" si="3">L8*6% + L8</f>
        <v>89195.509903359998</v>
      </c>
      <c r="N8" s="138"/>
      <c r="P8" s="177"/>
      <c r="Q8" s="177"/>
    </row>
    <row r="9" spans="1:17" x14ac:dyDescent="0.3">
      <c r="A9" s="6" t="s">
        <v>125</v>
      </c>
      <c r="B9" s="6"/>
      <c r="C9" s="6" t="s">
        <v>121</v>
      </c>
      <c r="D9" s="62" t="s">
        <v>183</v>
      </c>
      <c r="E9" s="107">
        <v>1.21E-2</v>
      </c>
      <c r="F9" s="27"/>
      <c r="G9" s="103"/>
      <c r="H9" s="60">
        <f t="shared" si="1"/>
        <v>0</v>
      </c>
      <c r="I9" s="27">
        <v>0</v>
      </c>
      <c r="J9" s="27">
        <v>79544.934391999996</v>
      </c>
      <c r="K9" s="86">
        <f t="shared" si="2"/>
        <v>0</v>
      </c>
      <c r="L9" s="5">
        <f t="shared" si="0"/>
        <v>79544.934391999996</v>
      </c>
      <c r="M9" s="9">
        <f t="shared" si="3"/>
        <v>84317.630455519989</v>
      </c>
      <c r="N9" s="138"/>
      <c r="P9" t="s">
        <v>283</v>
      </c>
      <c r="Q9">
        <f>RESUMEN!F96</f>
        <v>77824.741896000007</v>
      </c>
    </row>
    <row r="10" spans="1:17" x14ac:dyDescent="0.3">
      <c r="A10" s="6" t="s">
        <v>125</v>
      </c>
      <c r="B10" s="6"/>
      <c r="C10" s="6" t="s">
        <v>122</v>
      </c>
      <c r="D10" s="62" t="s">
        <v>184</v>
      </c>
      <c r="E10" s="107">
        <v>1.49E-2</v>
      </c>
      <c r="F10" s="27"/>
      <c r="G10" s="102"/>
      <c r="H10" s="60">
        <f t="shared" si="1"/>
        <v>0</v>
      </c>
      <c r="I10" s="27">
        <v>0</v>
      </c>
      <c r="J10" s="27">
        <v>97952.026647999999</v>
      </c>
      <c r="K10" s="86">
        <f t="shared" si="2"/>
        <v>0</v>
      </c>
      <c r="L10" s="5">
        <f t="shared" si="0"/>
        <v>97952.026647999999</v>
      </c>
      <c r="M10" s="9">
        <f t="shared" si="3"/>
        <v>103829.14824687999</v>
      </c>
      <c r="N10" s="138"/>
      <c r="P10" t="s">
        <v>284</v>
      </c>
      <c r="Q10">
        <f>RESUMEN!G96</f>
        <v>92236.731136000002</v>
      </c>
    </row>
    <row r="11" spans="1:17" x14ac:dyDescent="0.3">
      <c r="A11" s="6" t="s">
        <v>125</v>
      </c>
      <c r="B11" s="6"/>
      <c r="C11" s="6" t="s">
        <v>123</v>
      </c>
      <c r="D11" s="62" t="s">
        <v>126</v>
      </c>
      <c r="E11" s="107">
        <v>1.7399999999999999E-2</v>
      </c>
      <c r="F11" s="27"/>
      <c r="G11" s="102"/>
      <c r="H11" s="60">
        <f t="shared" si="1"/>
        <v>0</v>
      </c>
      <c r="I11" s="27">
        <v>0</v>
      </c>
      <c r="J11" s="27">
        <v>114386.93044799998</v>
      </c>
      <c r="K11" s="86">
        <f t="shared" si="2"/>
        <v>0</v>
      </c>
      <c r="L11" s="5">
        <f t="shared" si="0"/>
        <v>114386.93044799998</v>
      </c>
      <c r="M11" s="9">
        <f t="shared" si="3"/>
        <v>121250.14627487998</v>
      </c>
      <c r="N11" s="138"/>
      <c r="P11" t="s">
        <v>285</v>
      </c>
      <c r="Q11">
        <f>RESUMEN!H96</f>
        <v>87192.534901999999</v>
      </c>
    </row>
    <row r="12" spans="1:17" x14ac:dyDescent="0.3">
      <c r="A12" s="62" t="s">
        <v>127</v>
      </c>
      <c r="B12" s="6"/>
      <c r="C12" s="6" t="s">
        <v>51</v>
      </c>
      <c r="D12" s="127" t="s">
        <v>185</v>
      </c>
      <c r="E12" s="106">
        <v>1.8800000000000001E-2</v>
      </c>
      <c r="F12" s="27"/>
      <c r="G12" s="103"/>
      <c r="H12" s="60">
        <f>F12-G12</f>
        <v>0</v>
      </c>
      <c r="I12" s="27">
        <f t="shared" ref="I12:I43" si="4">L$4*E12</f>
        <v>0</v>
      </c>
      <c r="J12" s="27">
        <f>L$2*E12</f>
        <v>134280.80216799999</v>
      </c>
      <c r="K12" s="86">
        <f t="shared" si="2"/>
        <v>0</v>
      </c>
      <c r="L12" s="9">
        <f>ROUND((J12+I12+H12+K12),0) + N12</f>
        <v>134281.01</v>
      </c>
      <c r="M12" s="9">
        <f>ROUND((L12*6% + L12 ),0) + N12</f>
        <v>142338.01</v>
      </c>
      <c r="N12" s="138">
        <v>0.01</v>
      </c>
      <c r="P12" t="s">
        <v>286</v>
      </c>
      <c r="Q12">
        <f>RESUMEN!I96</f>
        <v>107369.319838</v>
      </c>
    </row>
    <row r="13" spans="1:17" x14ac:dyDescent="0.3">
      <c r="A13" s="62" t="s">
        <v>128</v>
      </c>
      <c r="B13" s="6"/>
      <c r="C13" s="6" t="s">
        <v>52</v>
      </c>
      <c r="D13" s="127" t="s">
        <v>186</v>
      </c>
      <c r="E13" s="106">
        <v>8.3999999999999995E-3</v>
      </c>
      <c r="F13" s="27"/>
      <c r="G13" s="103"/>
      <c r="H13" s="60">
        <f t="shared" si="1"/>
        <v>0</v>
      </c>
      <c r="I13" s="27">
        <f t="shared" si="4"/>
        <v>0</v>
      </c>
      <c r="J13" s="27">
        <f t="shared" ref="J13:J43" si="5">L$2*E13</f>
        <v>59997.805223999989</v>
      </c>
      <c r="K13" s="86">
        <f t="shared" si="2"/>
        <v>0</v>
      </c>
      <c r="L13" s="9">
        <f>ROUND((J13+I13+H13+K13),0) + N13</f>
        <v>59998.02</v>
      </c>
      <c r="M13" s="9">
        <f t="shared" ref="M13:M76" si="6">ROUND((L13*6% + L13 ),0) + N13</f>
        <v>63598.02</v>
      </c>
      <c r="N13" s="138">
        <f>N12+0.01</f>
        <v>0.02</v>
      </c>
      <c r="P13" t="s">
        <v>287</v>
      </c>
      <c r="Q13">
        <f>RESUMEN!J96</f>
        <v>125384.30638799998</v>
      </c>
    </row>
    <row r="14" spans="1:17" x14ac:dyDescent="0.3">
      <c r="A14" s="62" t="s">
        <v>127</v>
      </c>
      <c r="B14" s="6"/>
      <c r="C14" s="6" t="s">
        <v>53</v>
      </c>
      <c r="D14" s="127" t="s">
        <v>187</v>
      </c>
      <c r="E14" s="106">
        <v>2.01E-2</v>
      </c>
      <c r="F14" s="27"/>
      <c r="G14" s="102"/>
      <c r="H14" s="60">
        <f t="shared" si="1"/>
        <v>0</v>
      </c>
      <c r="I14" s="27">
        <f t="shared" si="4"/>
        <v>0</v>
      </c>
      <c r="J14" s="27">
        <f t="shared" si="5"/>
        <v>143566.176786</v>
      </c>
      <c r="K14" s="86">
        <f t="shared" si="2"/>
        <v>0</v>
      </c>
      <c r="L14" s="9">
        <f t="shared" ref="L14:L76" si="7">ROUND((J14+I14+H14+K14),0) + N14</f>
        <v>143566.03</v>
      </c>
      <c r="M14" s="9">
        <f t="shared" si="6"/>
        <v>152180.03</v>
      </c>
      <c r="N14" s="138">
        <f t="shared" ref="N14:N77" si="8">N13+0.01</f>
        <v>0.03</v>
      </c>
    </row>
    <row r="15" spans="1:17" x14ac:dyDescent="0.3">
      <c r="A15" s="62" t="s">
        <v>129</v>
      </c>
      <c r="B15" s="6"/>
      <c r="C15" s="6" t="s">
        <v>54</v>
      </c>
      <c r="D15" s="127" t="s">
        <v>188</v>
      </c>
      <c r="E15" s="106">
        <v>9.4000000000000004E-3</v>
      </c>
      <c r="F15" s="27"/>
      <c r="G15" s="103"/>
      <c r="H15" s="60">
        <f t="shared" si="1"/>
        <v>0</v>
      </c>
      <c r="I15" s="27">
        <f t="shared" si="4"/>
        <v>0</v>
      </c>
      <c r="J15" s="27">
        <f t="shared" si="5"/>
        <v>67140.401083999997</v>
      </c>
      <c r="K15" s="86">
        <f t="shared" si="2"/>
        <v>0</v>
      </c>
      <c r="L15" s="9">
        <f t="shared" si="7"/>
        <v>67140.039999999994</v>
      </c>
      <c r="M15" s="9">
        <f t="shared" si="6"/>
        <v>71168.039999999994</v>
      </c>
      <c r="N15" s="138">
        <f t="shared" si="8"/>
        <v>0.04</v>
      </c>
    </row>
    <row r="16" spans="1:17" x14ac:dyDescent="0.3">
      <c r="A16" s="62" t="s">
        <v>129</v>
      </c>
      <c r="B16" s="6"/>
      <c r="C16" s="6" t="s">
        <v>55</v>
      </c>
      <c r="D16" s="62" t="s">
        <v>189</v>
      </c>
      <c r="E16" s="106">
        <v>8.6999999999999994E-3</v>
      </c>
      <c r="F16" s="27"/>
      <c r="G16" s="103"/>
      <c r="H16" s="60">
        <f t="shared" si="1"/>
        <v>0</v>
      </c>
      <c r="I16" s="27">
        <f t="shared" si="4"/>
        <v>0</v>
      </c>
      <c r="J16" s="27">
        <f t="shared" si="5"/>
        <v>62140.583981999989</v>
      </c>
      <c r="K16" s="86">
        <v>0</v>
      </c>
      <c r="L16" s="9">
        <f t="shared" si="7"/>
        <v>62141.05</v>
      </c>
      <c r="M16" s="9">
        <f t="shared" si="6"/>
        <v>65870.05</v>
      </c>
      <c r="N16" s="138">
        <f t="shared" si="8"/>
        <v>0.05</v>
      </c>
    </row>
    <row r="17" spans="1:14" x14ac:dyDescent="0.3">
      <c r="A17" s="62" t="s">
        <v>129</v>
      </c>
      <c r="B17" s="6"/>
      <c r="C17" s="6" t="s">
        <v>56</v>
      </c>
      <c r="D17" s="62" t="s">
        <v>190</v>
      </c>
      <c r="E17" s="106">
        <v>9.4999999999999998E-3</v>
      </c>
      <c r="F17" s="27"/>
      <c r="G17" s="102"/>
      <c r="H17" s="60">
        <f t="shared" si="1"/>
        <v>0</v>
      </c>
      <c r="I17" s="27">
        <f t="shared" si="4"/>
        <v>0</v>
      </c>
      <c r="J17" s="27">
        <f t="shared" si="5"/>
        <v>67854.660669999997</v>
      </c>
      <c r="K17" s="86">
        <f t="shared" ref="K17:K22" si="9">I$3*E17%+I$4</f>
        <v>0</v>
      </c>
      <c r="L17" s="9">
        <f t="shared" si="7"/>
        <v>67855.06</v>
      </c>
      <c r="M17" s="9">
        <f t="shared" si="6"/>
        <v>71926.06</v>
      </c>
      <c r="N17" s="138">
        <f t="shared" si="8"/>
        <v>6.0000000000000005E-2</v>
      </c>
    </row>
    <row r="18" spans="1:14" x14ac:dyDescent="0.3">
      <c r="A18" s="62" t="s">
        <v>127</v>
      </c>
      <c r="B18" s="6"/>
      <c r="C18" s="6" t="s">
        <v>57</v>
      </c>
      <c r="D18" s="62" t="s">
        <v>190</v>
      </c>
      <c r="E18" s="106">
        <v>1.6500000000000001E-2</v>
      </c>
      <c r="F18" s="27"/>
      <c r="G18" s="102"/>
      <c r="H18" s="60">
        <f t="shared" si="1"/>
        <v>0</v>
      </c>
      <c r="I18" s="27">
        <f t="shared" si="4"/>
        <v>0</v>
      </c>
      <c r="J18" s="27">
        <f t="shared" si="5"/>
        <v>117852.83168999999</v>
      </c>
      <c r="K18" s="86">
        <f t="shared" si="9"/>
        <v>0</v>
      </c>
      <c r="L18" s="9">
        <f t="shared" si="7"/>
        <v>117853.07</v>
      </c>
      <c r="M18" s="9">
        <f t="shared" si="6"/>
        <v>124924.07</v>
      </c>
      <c r="N18" s="138">
        <f t="shared" si="8"/>
        <v>7.0000000000000007E-2</v>
      </c>
    </row>
    <row r="19" spans="1:14" x14ac:dyDescent="0.3">
      <c r="A19" s="62" t="s">
        <v>128</v>
      </c>
      <c r="B19" s="6"/>
      <c r="C19" s="6" t="s">
        <v>58</v>
      </c>
      <c r="D19" s="62" t="s">
        <v>191</v>
      </c>
      <c r="E19" s="106">
        <v>7.3000000000000001E-3</v>
      </c>
      <c r="F19" s="27"/>
      <c r="G19" s="103"/>
      <c r="H19" s="60">
        <f t="shared" si="1"/>
        <v>0</v>
      </c>
      <c r="I19" s="27">
        <f t="shared" si="4"/>
        <v>0</v>
      </c>
      <c r="J19" s="27">
        <f t="shared" si="5"/>
        <v>52140.949777999995</v>
      </c>
      <c r="K19" s="86">
        <f t="shared" si="9"/>
        <v>0</v>
      </c>
      <c r="L19" s="9">
        <f t="shared" si="7"/>
        <v>52141.08</v>
      </c>
      <c r="M19" s="9">
        <f t="shared" si="6"/>
        <v>55270.080000000002</v>
      </c>
      <c r="N19" s="138">
        <f t="shared" si="8"/>
        <v>0.08</v>
      </c>
    </row>
    <row r="20" spans="1:14" x14ac:dyDescent="0.3">
      <c r="A20" s="62" t="s">
        <v>127</v>
      </c>
      <c r="B20" s="6"/>
      <c r="C20" s="6" t="s">
        <v>59</v>
      </c>
      <c r="D20" s="62" t="s">
        <v>190</v>
      </c>
      <c r="E20" s="106">
        <v>1.78E-2</v>
      </c>
      <c r="F20" s="27"/>
      <c r="G20" s="102"/>
      <c r="H20" s="60">
        <f t="shared" si="1"/>
        <v>0</v>
      </c>
      <c r="I20" s="27">
        <f t="shared" si="4"/>
        <v>0</v>
      </c>
      <c r="J20" s="27">
        <f t="shared" si="5"/>
        <v>127138.20630799999</v>
      </c>
      <c r="K20" s="86">
        <f t="shared" si="9"/>
        <v>0</v>
      </c>
      <c r="L20" s="9">
        <f t="shared" si="7"/>
        <v>127138.09</v>
      </c>
      <c r="M20" s="9">
        <f t="shared" si="6"/>
        <v>134766.09</v>
      </c>
      <c r="N20" s="138">
        <f t="shared" si="8"/>
        <v>0.09</v>
      </c>
    </row>
    <row r="21" spans="1:14" x14ac:dyDescent="0.3">
      <c r="A21" s="62" t="s">
        <v>129</v>
      </c>
      <c r="B21" s="6"/>
      <c r="C21" s="6" t="s">
        <v>60</v>
      </c>
      <c r="D21" s="62" t="s">
        <v>191</v>
      </c>
      <c r="E21" s="106">
        <v>9.4000000000000004E-3</v>
      </c>
      <c r="F21" s="27"/>
      <c r="G21" s="102"/>
      <c r="H21" s="60">
        <f t="shared" si="1"/>
        <v>0</v>
      </c>
      <c r="I21" s="27">
        <f t="shared" si="4"/>
        <v>0</v>
      </c>
      <c r="J21" s="27">
        <f t="shared" si="5"/>
        <v>67140.401083999997</v>
      </c>
      <c r="K21" s="86">
        <f t="shared" si="9"/>
        <v>0</v>
      </c>
      <c r="L21" s="9">
        <f t="shared" si="7"/>
        <v>67140.100000000006</v>
      </c>
      <c r="M21" s="9">
        <f t="shared" si="6"/>
        <v>71169.100000000006</v>
      </c>
      <c r="N21" s="138">
        <f t="shared" si="8"/>
        <v>9.9999999999999992E-2</v>
      </c>
    </row>
    <row r="22" spans="1:14" x14ac:dyDescent="0.3">
      <c r="A22" s="62" t="s">
        <v>129</v>
      </c>
      <c r="B22" s="6"/>
      <c r="C22" s="6" t="s">
        <v>61</v>
      </c>
      <c r="D22" s="62" t="s">
        <v>191</v>
      </c>
      <c r="E22" s="106">
        <v>8.6999999999999994E-3</v>
      </c>
      <c r="F22" s="27"/>
      <c r="G22" s="102"/>
      <c r="H22" s="60">
        <f t="shared" si="1"/>
        <v>0</v>
      </c>
      <c r="I22" s="27">
        <f t="shared" si="4"/>
        <v>0</v>
      </c>
      <c r="J22" s="27">
        <f t="shared" si="5"/>
        <v>62140.583981999989</v>
      </c>
      <c r="K22" s="86">
        <f t="shared" si="9"/>
        <v>0</v>
      </c>
      <c r="L22" s="9">
        <f t="shared" si="7"/>
        <v>62141.11</v>
      </c>
      <c r="M22" s="9">
        <f t="shared" si="6"/>
        <v>65870.11</v>
      </c>
      <c r="N22" s="138">
        <f t="shared" si="8"/>
        <v>0.10999999999999999</v>
      </c>
    </row>
    <row r="23" spans="1:14" x14ac:dyDescent="0.3">
      <c r="A23" s="62" t="s">
        <v>129</v>
      </c>
      <c r="B23" s="6"/>
      <c r="C23" s="6" t="s">
        <v>62</v>
      </c>
      <c r="D23" s="62" t="s">
        <v>191</v>
      </c>
      <c r="E23" s="106">
        <v>9.4999999999999998E-3</v>
      </c>
      <c r="F23" s="27"/>
      <c r="G23" s="103"/>
      <c r="H23" s="60">
        <f t="shared" si="1"/>
        <v>0</v>
      </c>
      <c r="I23" s="27">
        <f t="shared" si="4"/>
        <v>0</v>
      </c>
      <c r="J23" s="27">
        <f t="shared" si="5"/>
        <v>67854.660669999997</v>
      </c>
      <c r="K23" s="86">
        <v>0</v>
      </c>
      <c r="L23" s="9">
        <f t="shared" si="7"/>
        <v>67855.12</v>
      </c>
      <c r="M23" s="9">
        <f t="shared" si="6"/>
        <v>71926.12</v>
      </c>
      <c r="N23" s="138">
        <f t="shared" si="8"/>
        <v>0.11999999999999998</v>
      </c>
    </row>
    <row r="24" spans="1:14" x14ac:dyDescent="0.3">
      <c r="A24" s="62" t="s">
        <v>127</v>
      </c>
      <c r="B24" s="6"/>
      <c r="C24" s="6" t="s">
        <v>63</v>
      </c>
      <c r="D24" s="62" t="s">
        <v>192</v>
      </c>
      <c r="E24" s="106">
        <v>1.6400000000000001E-2</v>
      </c>
      <c r="F24" s="27"/>
      <c r="G24" s="102"/>
      <c r="H24" s="60">
        <f t="shared" si="1"/>
        <v>0</v>
      </c>
      <c r="I24" s="27">
        <f t="shared" si="4"/>
        <v>0</v>
      </c>
      <c r="J24" s="27">
        <f t="shared" si="5"/>
        <v>117138.57210400001</v>
      </c>
      <c r="K24" s="86">
        <f>2*9000</f>
        <v>18000</v>
      </c>
      <c r="L24" s="9">
        <f t="shared" si="7"/>
        <v>135139.13</v>
      </c>
      <c r="M24" s="9">
        <f t="shared" si="6"/>
        <v>143247.13</v>
      </c>
      <c r="N24" s="138">
        <f t="shared" si="8"/>
        <v>0.12999999999999998</v>
      </c>
    </row>
    <row r="25" spans="1:14" x14ac:dyDescent="0.3">
      <c r="A25" s="62" t="s">
        <v>128</v>
      </c>
      <c r="B25" s="6"/>
      <c r="C25" s="6" t="s">
        <v>64</v>
      </c>
      <c r="D25" s="62" t="s">
        <v>290</v>
      </c>
      <c r="E25" s="106">
        <v>7.1999999999999998E-3</v>
      </c>
      <c r="F25" s="27"/>
      <c r="G25" s="102"/>
      <c r="H25" s="60">
        <f t="shared" si="1"/>
        <v>0</v>
      </c>
      <c r="I25" s="27">
        <f t="shared" si="4"/>
        <v>0</v>
      </c>
      <c r="J25" s="27">
        <f t="shared" si="5"/>
        <v>51426.690191999995</v>
      </c>
      <c r="K25" s="86">
        <f t="shared" ref="K25:K55" si="10">I$3*E25%+I$4</f>
        <v>0</v>
      </c>
      <c r="L25" s="9">
        <f t="shared" si="7"/>
        <v>51427.14</v>
      </c>
      <c r="M25" s="9">
        <f t="shared" si="6"/>
        <v>54513.14</v>
      </c>
      <c r="N25" s="138">
        <f t="shared" si="8"/>
        <v>0.13999999999999999</v>
      </c>
    </row>
    <row r="26" spans="1:14" x14ac:dyDescent="0.3">
      <c r="A26" s="62" t="s">
        <v>127</v>
      </c>
      <c r="B26" s="6"/>
      <c r="C26" s="6" t="s">
        <v>65</v>
      </c>
      <c r="D26" s="62" t="s">
        <v>193</v>
      </c>
      <c r="E26" s="106">
        <v>1.7299999999999999E-2</v>
      </c>
      <c r="F26" s="27"/>
      <c r="G26" s="103"/>
      <c r="H26" s="61">
        <f t="shared" si="1"/>
        <v>0</v>
      </c>
      <c r="I26" s="27">
        <f t="shared" si="4"/>
        <v>0</v>
      </c>
      <c r="J26" s="27">
        <f t="shared" si="5"/>
        <v>123566.90837799998</v>
      </c>
      <c r="K26" s="86">
        <f>3*9000</f>
        <v>27000</v>
      </c>
      <c r="L26" s="9">
        <f t="shared" si="7"/>
        <v>150567.15</v>
      </c>
      <c r="M26" s="9">
        <f t="shared" si="6"/>
        <v>159601.15</v>
      </c>
      <c r="N26" s="138">
        <f t="shared" si="8"/>
        <v>0.15</v>
      </c>
    </row>
    <row r="27" spans="1:14" x14ac:dyDescent="0.3">
      <c r="A27" s="62" t="s">
        <v>129</v>
      </c>
      <c r="B27" s="6"/>
      <c r="C27" s="6" t="s">
        <v>66</v>
      </c>
      <c r="D27" s="62" t="s">
        <v>191</v>
      </c>
      <c r="E27" s="106">
        <v>9.4000000000000004E-3</v>
      </c>
      <c r="F27" s="27"/>
      <c r="G27" s="102"/>
      <c r="H27" s="60">
        <f t="shared" si="1"/>
        <v>0</v>
      </c>
      <c r="I27" s="27">
        <f t="shared" si="4"/>
        <v>0</v>
      </c>
      <c r="J27" s="27">
        <f t="shared" si="5"/>
        <v>67140.401083999997</v>
      </c>
      <c r="K27" s="86">
        <f t="shared" si="10"/>
        <v>0</v>
      </c>
      <c r="L27" s="9">
        <f t="shared" si="7"/>
        <v>67140.160000000003</v>
      </c>
      <c r="M27" s="9">
        <f t="shared" si="6"/>
        <v>71169.16</v>
      </c>
      <c r="N27" s="138">
        <f t="shared" si="8"/>
        <v>0.16</v>
      </c>
    </row>
    <row r="28" spans="1:14" x14ac:dyDescent="0.3">
      <c r="A28" s="62" t="s">
        <v>129</v>
      </c>
      <c r="B28" s="6"/>
      <c r="C28" s="6" t="s">
        <v>67</v>
      </c>
      <c r="D28" s="62" t="s">
        <v>191</v>
      </c>
      <c r="E28" s="106">
        <v>8.6999999999999994E-3</v>
      </c>
      <c r="F28" s="27"/>
      <c r="G28" s="102"/>
      <c r="H28" s="60">
        <f t="shared" si="1"/>
        <v>0</v>
      </c>
      <c r="I28" s="27">
        <f t="shared" si="4"/>
        <v>0</v>
      </c>
      <c r="J28" s="27">
        <f t="shared" si="5"/>
        <v>62140.583981999989</v>
      </c>
      <c r="K28" s="86">
        <f t="shared" si="10"/>
        <v>0</v>
      </c>
      <c r="L28" s="9">
        <f t="shared" si="7"/>
        <v>62141.17</v>
      </c>
      <c r="M28" s="9">
        <f t="shared" si="6"/>
        <v>65870.17</v>
      </c>
      <c r="N28" s="138">
        <f t="shared" si="8"/>
        <v>0.17</v>
      </c>
    </row>
    <row r="29" spans="1:14" x14ac:dyDescent="0.3">
      <c r="A29" s="62" t="s">
        <v>129</v>
      </c>
      <c r="B29" s="6"/>
      <c r="C29" s="6" t="s">
        <v>68</v>
      </c>
      <c r="D29" s="62" t="s">
        <v>191</v>
      </c>
      <c r="E29" s="106">
        <v>9.4999999999999998E-3</v>
      </c>
      <c r="F29" s="27"/>
      <c r="G29" s="103"/>
      <c r="H29" s="61">
        <f t="shared" si="1"/>
        <v>0</v>
      </c>
      <c r="I29" s="27">
        <f t="shared" si="4"/>
        <v>0</v>
      </c>
      <c r="J29" s="27">
        <f t="shared" si="5"/>
        <v>67854.660669999997</v>
      </c>
      <c r="K29" s="86">
        <f t="shared" si="10"/>
        <v>0</v>
      </c>
      <c r="L29" s="9">
        <f t="shared" si="7"/>
        <v>67855.179999999993</v>
      </c>
      <c r="M29" s="9">
        <f t="shared" si="6"/>
        <v>71926.179999999993</v>
      </c>
      <c r="N29" s="138">
        <f t="shared" si="8"/>
        <v>0.18000000000000002</v>
      </c>
    </row>
    <row r="30" spans="1:14" x14ac:dyDescent="0.3">
      <c r="A30" s="62" t="s">
        <v>127</v>
      </c>
      <c r="B30" s="6"/>
      <c r="C30" s="6" t="s">
        <v>69</v>
      </c>
      <c r="D30" s="62" t="s">
        <v>194</v>
      </c>
      <c r="E30" s="106">
        <v>1.6400000000000001E-2</v>
      </c>
      <c r="F30" s="27"/>
      <c r="G30" s="102"/>
      <c r="H30" s="60">
        <f t="shared" si="1"/>
        <v>0</v>
      </c>
      <c r="I30" s="27">
        <f t="shared" si="4"/>
        <v>0</v>
      </c>
      <c r="J30" s="27">
        <f t="shared" si="5"/>
        <v>117138.57210400001</v>
      </c>
      <c r="K30" s="86">
        <f t="shared" si="10"/>
        <v>0</v>
      </c>
      <c r="L30" s="9">
        <f t="shared" si="7"/>
        <v>117139.19</v>
      </c>
      <c r="M30" s="9">
        <f t="shared" si="6"/>
        <v>124168.19</v>
      </c>
      <c r="N30" s="138">
        <f t="shared" si="8"/>
        <v>0.19000000000000003</v>
      </c>
    </row>
    <row r="31" spans="1:14" x14ac:dyDescent="0.3">
      <c r="A31" s="62" t="s">
        <v>128</v>
      </c>
      <c r="B31" s="6"/>
      <c r="C31" s="6" t="s">
        <v>70</v>
      </c>
      <c r="D31" s="62" t="s">
        <v>232</v>
      </c>
      <c r="E31" s="106">
        <v>7.1999999999999998E-3</v>
      </c>
      <c r="F31" s="27"/>
      <c r="G31" s="102"/>
      <c r="H31" s="60">
        <f t="shared" si="1"/>
        <v>0</v>
      </c>
      <c r="I31" s="27">
        <f t="shared" si="4"/>
        <v>0</v>
      </c>
      <c r="J31" s="27">
        <f t="shared" si="5"/>
        <v>51426.690191999995</v>
      </c>
      <c r="K31" s="86">
        <f t="shared" si="10"/>
        <v>0</v>
      </c>
      <c r="L31" s="9">
        <f t="shared" si="7"/>
        <v>51427.199999999997</v>
      </c>
      <c r="M31" s="9">
        <f t="shared" si="6"/>
        <v>54513.2</v>
      </c>
      <c r="N31" s="138">
        <f t="shared" si="8"/>
        <v>0.20000000000000004</v>
      </c>
    </row>
    <row r="32" spans="1:14" x14ac:dyDescent="0.3">
      <c r="A32" s="62" t="s">
        <v>127</v>
      </c>
      <c r="B32" s="6"/>
      <c r="C32" s="6" t="s">
        <v>71</v>
      </c>
      <c r="D32" s="62" t="s">
        <v>195</v>
      </c>
      <c r="E32" s="106">
        <v>1.7299999999999999E-2</v>
      </c>
      <c r="F32" s="27"/>
      <c r="G32" s="102"/>
      <c r="H32" s="60">
        <f t="shared" si="1"/>
        <v>0</v>
      </c>
      <c r="I32" s="27">
        <f t="shared" si="4"/>
        <v>0</v>
      </c>
      <c r="J32" s="27">
        <f t="shared" si="5"/>
        <v>123566.90837799998</v>
      </c>
      <c r="K32" s="86">
        <f t="shared" si="10"/>
        <v>0</v>
      </c>
      <c r="L32" s="9">
        <f t="shared" si="7"/>
        <v>123567.21</v>
      </c>
      <c r="M32" s="9">
        <f t="shared" si="6"/>
        <v>130981.21</v>
      </c>
      <c r="N32" s="138">
        <f t="shared" si="8"/>
        <v>0.21000000000000005</v>
      </c>
    </row>
    <row r="33" spans="1:16" x14ac:dyDescent="0.3">
      <c r="A33" s="62" t="s">
        <v>129</v>
      </c>
      <c r="B33" s="6"/>
      <c r="C33" s="6" t="s">
        <v>72</v>
      </c>
      <c r="D33" s="62" t="s">
        <v>191</v>
      </c>
      <c r="E33" s="106">
        <v>9.4000000000000004E-3</v>
      </c>
      <c r="F33" s="27"/>
      <c r="G33" s="102"/>
      <c r="H33" s="60">
        <f t="shared" si="1"/>
        <v>0</v>
      </c>
      <c r="I33" s="27">
        <f t="shared" si="4"/>
        <v>0</v>
      </c>
      <c r="J33" s="27">
        <f t="shared" si="5"/>
        <v>67140.401083999997</v>
      </c>
      <c r="K33" s="86">
        <f t="shared" si="10"/>
        <v>0</v>
      </c>
      <c r="L33" s="9">
        <f t="shared" si="7"/>
        <v>67140.22</v>
      </c>
      <c r="M33" s="9">
        <f t="shared" si="6"/>
        <v>71169.22</v>
      </c>
      <c r="N33" s="138">
        <f t="shared" si="8"/>
        <v>0.22000000000000006</v>
      </c>
    </row>
    <row r="34" spans="1:16" x14ac:dyDescent="0.3">
      <c r="A34" s="62" t="s">
        <v>129</v>
      </c>
      <c r="B34" s="6"/>
      <c r="C34" s="6" t="s">
        <v>73</v>
      </c>
      <c r="D34" s="62" t="s">
        <v>191</v>
      </c>
      <c r="E34" s="106">
        <v>8.6999999999999994E-3</v>
      </c>
      <c r="F34" s="27"/>
      <c r="G34" s="102"/>
      <c r="H34" s="60">
        <f t="shared" si="1"/>
        <v>0</v>
      </c>
      <c r="I34" s="27">
        <f t="shared" si="4"/>
        <v>0</v>
      </c>
      <c r="J34" s="27">
        <f t="shared" si="5"/>
        <v>62140.583981999989</v>
      </c>
      <c r="K34" s="86">
        <f t="shared" si="10"/>
        <v>0</v>
      </c>
      <c r="L34" s="9">
        <f t="shared" si="7"/>
        <v>62141.23</v>
      </c>
      <c r="M34" s="9">
        <f t="shared" si="6"/>
        <v>65870.23</v>
      </c>
      <c r="N34" s="138">
        <f t="shared" si="8"/>
        <v>0.23000000000000007</v>
      </c>
    </row>
    <row r="35" spans="1:16" x14ac:dyDescent="0.3">
      <c r="A35" s="62" t="s">
        <v>129</v>
      </c>
      <c r="B35" s="6"/>
      <c r="C35" s="6" t="s">
        <v>74</v>
      </c>
      <c r="D35" s="62" t="s">
        <v>191</v>
      </c>
      <c r="E35" s="106">
        <v>9.4999999999999998E-3</v>
      </c>
      <c r="F35" s="9"/>
      <c r="G35" s="103"/>
      <c r="H35" s="60">
        <f t="shared" si="1"/>
        <v>0</v>
      </c>
      <c r="I35" s="27">
        <f t="shared" si="4"/>
        <v>0</v>
      </c>
      <c r="J35" s="27">
        <f t="shared" si="5"/>
        <v>67854.660669999997</v>
      </c>
      <c r="K35" s="86">
        <f t="shared" si="10"/>
        <v>0</v>
      </c>
      <c r="L35" s="9">
        <f t="shared" si="7"/>
        <v>67855.240000000005</v>
      </c>
      <c r="M35" s="9">
        <f t="shared" si="6"/>
        <v>71927.240000000005</v>
      </c>
      <c r="N35" s="138">
        <f t="shared" si="8"/>
        <v>0.24000000000000007</v>
      </c>
    </row>
    <row r="36" spans="1:16" x14ac:dyDescent="0.3">
      <c r="A36" s="62" t="s">
        <v>127</v>
      </c>
      <c r="B36" s="6"/>
      <c r="C36" s="6" t="s">
        <v>75</v>
      </c>
      <c r="D36" s="62" t="s">
        <v>196</v>
      </c>
      <c r="E36" s="106">
        <v>1.6400000000000001E-2</v>
      </c>
      <c r="F36" s="27"/>
      <c r="G36" s="102"/>
      <c r="H36" s="60">
        <f t="shared" si="1"/>
        <v>0</v>
      </c>
      <c r="I36" s="27">
        <f t="shared" si="4"/>
        <v>0</v>
      </c>
      <c r="J36" s="27">
        <f t="shared" si="5"/>
        <v>117138.57210400001</v>
      </c>
      <c r="K36" s="86">
        <f t="shared" si="10"/>
        <v>0</v>
      </c>
      <c r="L36" s="9">
        <f t="shared" si="7"/>
        <v>117139.25</v>
      </c>
      <c r="M36" s="9">
        <f t="shared" si="6"/>
        <v>124168.25</v>
      </c>
      <c r="N36" s="138">
        <f t="shared" si="8"/>
        <v>0.25000000000000006</v>
      </c>
    </row>
    <row r="37" spans="1:16" x14ac:dyDescent="0.3">
      <c r="A37" s="62" t="s">
        <v>128</v>
      </c>
      <c r="B37" s="6"/>
      <c r="C37" s="6" t="s">
        <v>76</v>
      </c>
      <c r="D37" s="62" t="s">
        <v>197</v>
      </c>
      <c r="E37" s="106">
        <v>7.1999999999999998E-3</v>
      </c>
      <c r="F37" s="27"/>
      <c r="G37" s="102"/>
      <c r="H37" s="60">
        <f t="shared" si="1"/>
        <v>0</v>
      </c>
      <c r="I37" s="27">
        <f t="shared" si="4"/>
        <v>0</v>
      </c>
      <c r="J37" s="27">
        <f t="shared" si="5"/>
        <v>51426.690191999995</v>
      </c>
      <c r="K37" s="86">
        <f>9000*3</f>
        <v>27000</v>
      </c>
      <c r="L37" s="9">
        <f t="shared" si="7"/>
        <v>78427.259999999995</v>
      </c>
      <c r="M37" s="9">
        <f t="shared" si="6"/>
        <v>83133.259999999995</v>
      </c>
      <c r="N37" s="138">
        <f t="shared" si="8"/>
        <v>0.26000000000000006</v>
      </c>
    </row>
    <row r="38" spans="1:16" x14ac:dyDescent="0.3">
      <c r="A38" s="62" t="s">
        <v>127</v>
      </c>
      <c r="B38" s="6"/>
      <c r="C38" s="6" t="s">
        <v>77</v>
      </c>
      <c r="D38" s="62" t="s">
        <v>198</v>
      </c>
      <c r="E38" s="106">
        <v>1.7299999999999999E-2</v>
      </c>
      <c r="F38" s="27"/>
      <c r="G38" s="102"/>
      <c r="H38" s="60">
        <f t="shared" si="1"/>
        <v>0</v>
      </c>
      <c r="I38" s="27">
        <f t="shared" si="4"/>
        <v>0</v>
      </c>
      <c r="J38" s="27">
        <f t="shared" si="5"/>
        <v>123566.90837799998</v>
      </c>
      <c r="K38" s="86">
        <f t="shared" si="10"/>
        <v>0</v>
      </c>
      <c r="L38" s="9">
        <f t="shared" si="7"/>
        <v>123567.27</v>
      </c>
      <c r="M38" s="9">
        <f t="shared" si="6"/>
        <v>130981.27</v>
      </c>
      <c r="N38" s="138">
        <f t="shared" si="8"/>
        <v>0.27000000000000007</v>
      </c>
    </row>
    <row r="39" spans="1:16" x14ac:dyDescent="0.3">
      <c r="A39" s="62" t="s">
        <v>129</v>
      </c>
      <c r="B39" s="6"/>
      <c r="C39" s="6" t="s">
        <v>78</v>
      </c>
      <c r="D39" s="62" t="s">
        <v>126</v>
      </c>
      <c r="E39" s="106">
        <v>9.4000000000000004E-3</v>
      </c>
      <c r="F39" s="27"/>
      <c r="G39" s="102"/>
      <c r="H39" s="60">
        <f t="shared" si="1"/>
        <v>0</v>
      </c>
      <c r="I39" s="27">
        <f t="shared" si="4"/>
        <v>0</v>
      </c>
      <c r="J39" s="27">
        <f t="shared" si="5"/>
        <v>67140.401083999997</v>
      </c>
      <c r="K39" s="86">
        <f t="shared" si="10"/>
        <v>0</v>
      </c>
      <c r="L39" s="9">
        <f t="shared" si="7"/>
        <v>67140.28</v>
      </c>
      <c r="M39" s="9">
        <f t="shared" si="6"/>
        <v>71169.279999999999</v>
      </c>
      <c r="N39" s="138">
        <f t="shared" si="8"/>
        <v>0.28000000000000008</v>
      </c>
      <c r="P39" t="s">
        <v>292</v>
      </c>
    </row>
    <row r="40" spans="1:16" x14ac:dyDescent="0.3">
      <c r="A40" s="62" t="s">
        <v>129</v>
      </c>
      <c r="B40" s="6"/>
      <c r="C40" s="6" t="s">
        <v>79</v>
      </c>
      <c r="D40" s="62" t="s">
        <v>189</v>
      </c>
      <c r="E40" s="106">
        <v>8.6999999999999994E-3</v>
      </c>
      <c r="F40" s="27"/>
      <c r="G40" s="102"/>
      <c r="H40" s="60">
        <f t="shared" si="1"/>
        <v>0</v>
      </c>
      <c r="I40" s="27">
        <f t="shared" si="4"/>
        <v>0</v>
      </c>
      <c r="J40" s="27">
        <f t="shared" si="5"/>
        <v>62140.583981999989</v>
      </c>
      <c r="K40" s="86">
        <f t="shared" si="10"/>
        <v>0</v>
      </c>
      <c r="L40" s="9">
        <f t="shared" si="7"/>
        <v>62141.29</v>
      </c>
      <c r="M40" s="9">
        <f t="shared" si="6"/>
        <v>65870.289999999994</v>
      </c>
      <c r="N40" s="138">
        <f t="shared" si="8"/>
        <v>0.29000000000000009</v>
      </c>
    </row>
    <row r="41" spans="1:16" x14ac:dyDescent="0.3">
      <c r="A41" s="62" t="s">
        <v>129</v>
      </c>
      <c r="B41" s="6"/>
      <c r="C41" s="6" t="s">
        <v>80</v>
      </c>
      <c r="D41" s="62" t="s">
        <v>199</v>
      </c>
      <c r="E41" s="106">
        <v>9.4999999999999998E-3</v>
      </c>
      <c r="F41" s="27"/>
      <c r="G41" s="102"/>
      <c r="H41" s="60">
        <f t="shared" si="1"/>
        <v>0</v>
      </c>
      <c r="I41" s="27">
        <f t="shared" si="4"/>
        <v>0</v>
      </c>
      <c r="J41" s="27">
        <f t="shared" si="5"/>
        <v>67854.660669999997</v>
      </c>
      <c r="K41" s="86">
        <f t="shared" si="10"/>
        <v>0</v>
      </c>
      <c r="L41" s="9">
        <f t="shared" si="7"/>
        <v>67855.3</v>
      </c>
      <c r="M41" s="9">
        <f t="shared" si="6"/>
        <v>71927.3</v>
      </c>
      <c r="N41" s="138">
        <f t="shared" si="8"/>
        <v>0.3000000000000001</v>
      </c>
    </row>
    <row r="42" spans="1:16" x14ac:dyDescent="0.3">
      <c r="A42" s="62" t="s">
        <v>127</v>
      </c>
      <c r="B42" s="6"/>
      <c r="C42" s="6" t="s">
        <v>81</v>
      </c>
      <c r="D42" s="62" t="s">
        <v>200</v>
      </c>
      <c r="E42" s="106">
        <v>1.6400000000000001E-2</v>
      </c>
      <c r="F42" s="27"/>
      <c r="G42" s="102"/>
      <c r="H42" s="60">
        <f t="shared" si="1"/>
        <v>0</v>
      </c>
      <c r="I42" s="27">
        <f t="shared" si="4"/>
        <v>0</v>
      </c>
      <c r="J42" s="27">
        <f t="shared" si="5"/>
        <v>117138.57210400001</v>
      </c>
      <c r="K42" s="86">
        <f t="shared" si="10"/>
        <v>0</v>
      </c>
      <c r="L42" s="9">
        <f t="shared" si="7"/>
        <v>117139.31</v>
      </c>
      <c r="M42" s="9">
        <f t="shared" si="6"/>
        <v>124168.31</v>
      </c>
      <c r="N42" s="138">
        <f t="shared" si="8"/>
        <v>0.31000000000000011</v>
      </c>
    </row>
    <row r="43" spans="1:16" x14ac:dyDescent="0.3">
      <c r="A43" s="62" t="s">
        <v>128</v>
      </c>
      <c r="B43" s="6"/>
      <c r="C43" s="6" t="s">
        <v>82</v>
      </c>
      <c r="D43" s="62" t="s">
        <v>201</v>
      </c>
      <c r="E43" s="106">
        <v>7.1999999999999998E-3</v>
      </c>
      <c r="F43" s="27"/>
      <c r="G43" s="102"/>
      <c r="H43" s="60">
        <f t="shared" si="1"/>
        <v>0</v>
      </c>
      <c r="I43" s="27">
        <f t="shared" si="4"/>
        <v>0</v>
      </c>
      <c r="J43" s="27">
        <f t="shared" si="5"/>
        <v>51426.690191999995</v>
      </c>
      <c r="K43" s="86">
        <f t="shared" si="10"/>
        <v>0</v>
      </c>
      <c r="L43" s="9">
        <f t="shared" si="7"/>
        <v>51427.32</v>
      </c>
      <c r="M43" s="9">
        <f t="shared" si="6"/>
        <v>54513.32</v>
      </c>
      <c r="N43" s="138">
        <f t="shared" si="8"/>
        <v>0.32000000000000012</v>
      </c>
      <c r="O43" s="44"/>
    </row>
    <row r="44" spans="1:16" x14ac:dyDescent="0.3">
      <c r="A44" s="62" t="s">
        <v>127</v>
      </c>
      <c r="B44" s="6"/>
      <c r="C44" s="6" t="s">
        <v>83</v>
      </c>
      <c r="D44" s="62" t="s">
        <v>202</v>
      </c>
      <c r="E44" s="106">
        <v>1.7299999999999999E-2</v>
      </c>
      <c r="F44" s="27"/>
      <c r="G44" s="102"/>
      <c r="H44" s="60">
        <f t="shared" si="1"/>
        <v>0</v>
      </c>
      <c r="I44" s="27">
        <f t="shared" ref="I44:I75" si="11">L$4*E44</f>
        <v>0</v>
      </c>
      <c r="J44" s="27">
        <f t="shared" ref="J44:J75" si="12">L$2*E44</f>
        <v>123566.90837799998</v>
      </c>
      <c r="K44" s="86">
        <f t="shared" si="10"/>
        <v>0</v>
      </c>
      <c r="L44" s="9">
        <f t="shared" si="7"/>
        <v>123567.33</v>
      </c>
      <c r="M44" s="9">
        <f t="shared" si="6"/>
        <v>130981.33</v>
      </c>
      <c r="N44" s="138">
        <f t="shared" si="8"/>
        <v>0.33000000000000013</v>
      </c>
      <c r="O44" s="44"/>
    </row>
    <row r="45" spans="1:16" x14ac:dyDescent="0.3">
      <c r="A45" s="62" t="s">
        <v>129</v>
      </c>
      <c r="B45" s="6"/>
      <c r="C45" s="6" t="s">
        <v>84</v>
      </c>
      <c r="D45" s="62" t="s">
        <v>203</v>
      </c>
      <c r="E45" s="106">
        <v>9.4000000000000004E-3</v>
      </c>
      <c r="F45" s="27"/>
      <c r="G45" s="102"/>
      <c r="H45" s="60">
        <f t="shared" si="1"/>
        <v>0</v>
      </c>
      <c r="I45" s="27">
        <f t="shared" si="11"/>
        <v>0</v>
      </c>
      <c r="J45" s="27">
        <f t="shared" si="12"/>
        <v>67140.401083999997</v>
      </c>
      <c r="K45" s="86">
        <f t="shared" si="10"/>
        <v>0</v>
      </c>
      <c r="L45" s="9">
        <f t="shared" si="7"/>
        <v>67140.34</v>
      </c>
      <c r="M45" s="9">
        <f t="shared" si="6"/>
        <v>71169.34</v>
      </c>
      <c r="N45" s="138">
        <f t="shared" si="8"/>
        <v>0.34000000000000014</v>
      </c>
    </row>
    <row r="46" spans="1:16" x14ac:dyDescent="0.3">
      <c r="A46" s="62" t="s">
        <v>129</v>
      </c>
      <c r="B46" s="6"/>
      <c r="C46" s="6" t="s">
        <v>85</v>
      </c>
      <c r="D46" s="62" t="s">
        <v>233</v>
      </c>
      <c r="E46" s="106">
        <v>8.6999999999999994E-3</v>
      </c>
      <c r="F46" s="27"/>
      <c r="G46" s="102"/>
      <c r="H46" s="60">
        <f t="shared" si="1"/>
        <v>0</v>
      </c>
      <c r="I46" s="27">
        <f t="shared" si="11"/>
        <v>0</v>
      </c>
      <c r="J46" s="27">
        <f t="shared" si="12"/>
        <v>62140.583981999989</v>
      </c>
      <c r="K46" s="86">
        <f t="shared" si="10"/>
        <v>0</v>
      </c>
      <c r="L46" s="9">
        <f t="shared" si="7"/>
        <v>62141.35</v>
      </c>
      <c r="M46" s="9">
        <f t="shared" si="6"/>
        <v>65870.350000000006</v>
      </c>
      <c r="N46" s="138">
        <f t="shared" si="8"/>
        <v>0.35000000000000014</v>
      </c>
    </row>
    <row r="47" spans="1:16" x14ac:dyDescent="0.3">
      <c r="A47" s="62" t="s">
        <v>129</v>
      </c>
      <c r="B47" s="6"/>
      <c r="C47" s="6" t="s">
        <v>86</v>
      </c>
      <c r="D47" s="62" t="s">
        <v>204</v>
      </c>
      <c r="E47" s="106">
        <v>9.4999999999999998E-3</v>
      </c>
      <c r="F47" s="27"/>
      <c r="G47" s="102"/>
      <c r="H47" s="60">
        <f t="shared" si="1"/>
        <v>0</v>
      </c>
      <c r="I47" s="27">
        <f t="shared" si="11"/>
        <v>0</v>
      </c>
      <c r="J47" s="27">
        <f t="shared" si="12"/>
        <v>67854.660669999997</v>
      </c>
      <c r="K47" s="86">
        <f t="shared" si="10"/>
        <v>0</v>
      </c>
      <c r="L47" s="9">
        <f t="shared" si="7"/>
        <v>67855.360000000001</v>
      </c>
      <c r="M47" s="9">
        <f t="shared" si="6"/>
        <v>71927.360000000001</v>
      </c>
      <c r="N47" s="138">
        <f t="shared" si="8"/>
        <v>0.36000000000000015</v>
      </c>
    </row>
    <row r="48" spans="1:16" x14ac:dyDescent="0.3">
      <c r="A48" s="62" t="s">
        <v>127</v>
      </c>
      <c r="B48" s="6"/>
      <c r="C48" s="6" t="s">
        <v>87</v>
      </c>
      <c r="D48" s="62" t="s">
        <v>200</v>
      </c>
      <c r="E48" s="106">
        <v>1.6400000000000001E-2</v>
      </c>
      <c r="F48" s="27"/>
      <c r="G48" s="102"/>
      <c r="H48" s="60">
        <f t="shared" si="1"/>
        <v>0</v>
      </c>
      <c r="I48" s="27">
        <f t="shared" si="11"/>
        <v>0</v>
      </c>
      <c r="J48" s="27">
        <f t="shared" si="12"/>
        <v>117138.57210400001</v>
      </c>
      <c r="K48" s="86">
        <f t="shared" si="10"/>
        <v>0</v>
      </c>
      <c r="L48" s="9">
        <f t="shared" si="7"/>
        <v>117139.37</v>
      </c>
      <c r="M48" s="9">
        <f t="shared" si="6"/>
        <v>124168.37</v>
      </c>
      <c r="N48" s="138">
        <f t="shared" si="8"/>
        <v>0.37000000000000016</v>
      </c>
      <c r="P48" s="64"/>
    </row>
    <row r="49" spans="1:16" x14ac:dyDescent="0.3">
      <c r="A49" s="62" t="s">
        <v>128</v>
      </c>
      <c r="B49" s="6"/>
      <c r="C49" s="6" t="s">
        <v>88</v>
      </c>
      <c r="D49" s="62" t="s">
        <v>205</v>
      </c>
      <c r="E49" s="106">
        <v>7.1999999999999998E-3</v>
      </c>
      <c r="F49" s="27"/>
      <c r="G49" s="102"/>
      <c r="H49" s="60">
        <f t="shared" si="1"/>
        <v>0</v>
      </c>
      <c r="I49" s="27">
        <f t="shared" si="11"/>
        <v>0</v>
      </c>
      <c r="J49" s="27">
        <f t="shared" si="12"/>
        <v>51426.690191999995</v>
      </c>
      <c r="K49" s="86">
        <f t="shared" si="10"/>
        <v>0</v>
      </c>
      <c r="L49" s="9">
        <f t="shared" si="7"/>
        <v>51427.38</v>
      </c>
      <c r="M49" s="9">
        <f t="shared" si="6"/>
        <v>54513.38</v>
      </c>
      <c r="N49" s="138">
        <f t="shared" si="8"/>
        <v>0.38000000000000017</v>
      </c>
    </row>
    <row r="50" spans="1:16" x14ac:dyDescent="0.3">
      <c r="A50" s="62" t="s">
        <v>127</v>
      </c>
      <c r="B50" s="6"/>
      <c r="C50" s="6" t="s">
        <v>89</v>
      </c>
      <c r="D50" s="62" t="s">
        <v>206</v>
      </c>
      <c r="E50" s="106">
        <v>1.7299999999999999E-2</v>
      </c>
      <c r="F50" s="27"/>
      <c r="G50" s="102"/>
      <c r="H50" s="60">
        <f t="shared" si="1"/>
        <v>0</v>
      </c>
      <c r="I50" s="27">
        <f t="shared" si="11"/>
        <v>0</v>
      </c>
      <c r="J50" s="27">
        <f t="shared" si="12"/>
        <v>123566.90837799998</v>
      </c>
      <c r="K50" s="86">
        <f t="shared" si="10"/>
        <v>0</v>
      </c>
      <c r="L50" s="9">
        <f t="shared" si="7"/>
        <v>123567.39</v>
      </c>
      <c r="M50" s="9">
        <f t="shared" si="6"/>
        <v>130981.39</v>
      </c>
      <c r="N50" s="138">
        <f t="shared" si="8"/>
        <v>0.39000000000000018</v>
      </c>
    </row>
    <row r="51" spans="1:16" x14ac:dyDescent="0.3">
      <c r="A51" s="62" t="s">
        <v>129</v>
      </c>
      <c r="B51" s="6"/>
      <c r="C51" s="6" t="s">
        <v>90</v>
      </c>
      <c r="D51" s="62" t="s">
        <v>207</v>
      </c>
      <c r="E51" s="106">
        <v>9.4000000000000004E-3</v>
      </c>
      <c r="F51" s="27"/>
      <c r="G51" s="102"/>
      <c r="H51" s="60">
        <f t="shared" si="1"/>
        <v>0</v>
      </c>
      <c r="I51" s="27">
        <f t="shared" si="11"/>
        <v>0</v>
      </c>
      <c r="J51" s="27">
        <f t="shared" si="12"/>
        <v>67140.401083999997</v>
      </c>
      <c r="K51" s="86">
        <f t="shared" si="10"/>
        <v>0</v>
      </c>
      <c r="L51" s="9">
        <f t="shared" si="7"/>
        <v>67140.399999999994</v>
      </c>
      <c r="M51" s="9">
        <f t="shared" si="6"/>
        <v>71169.399999999994</v>
      </c>
      <c r="N51" s="138">
        <f t="shared" si="8"/>
        <v>0.40000000000000019</v>
      </c>
    </row>
    <row r="52" spans="1:16" x14ac:dyDescent="0.3">
      <c r="A52" s="62" t="s">
        <v>129</v>
      </c>
      <c r="B52" s="6"/>
      <c r="C52" s="6" t="s">
        <v>91</v>
      </c>
      <c r="D52" s="62" t="s">
        <v>126</v>
      </c>
      <c r="E52" s="106">
        <v>8.6999999999999994E-3</v>
      </c>
      <c r="F52" s="27"/>
      <c r="G52" s="102"/>
      <c r="H52" s="60">
        <f t="shared" si="1"/>
        <v>0</v>
      </c>
      <c r="I52" s="27">
        <f t="shared" si="11"/>
        <v>0</v>
      </c>
      <c r="J52" s="27">
        <f t="shared" si="12"/>
        <v>62140.583981999989</v>
      </c>
      <c r="K52" s="86">
        <f t="shared" si="10"/>
        <v>0</v>
      </c>
      <c r="L52" s="9">
        <f t="shared" si="7"/>
        <v>62141.41</v>
      </c>
      <c r="M52" s="9">
        <f t="shared" si="6"/>
        <v>65870.41</v>
      </c>
      <c r="N52" s="138">
        <f t="shared" si="8"/>
        <v>0.4100000000000002</v>
      </c>
      <c r="P52" t="s">
        <v>291</v>
      </c>
    </row>
    <row r="53" spans="1:16" x14ac:dyDescent="0.3">
      <c r="A53" s="62" t="s">
        <v>129</v>
      </c>
      <c r="B53" s="6"/>
      <c r="C53" s="6" t="s">
        <v>92</v>
      </c>
      <c r="D53" s="62" t="s">
        <v>208</v>
      </c>
      <c r="E53" s="106">
        <v>9.4999999999999998E-3</v>
      </c>
      <c r="F53" s="27"/>
      <c r="G53" s="102"/>
      <c r="H53" s="60">
        <f t="shared" si="1"/>
        <v>0</v>
      </c>
      <c r="I53" s="27">
        <f t="shared" si="11"/>
        <v>0</v>
      </c>
      <c r="J53" s="27">
        <f t="shared" si="12"/>
        <v>67854.660669999997</v>
      </c>
      <c r="K53" s="86">
        <f t="shared" si="10"/>
        <v>0</v>
      </c>
      <c r="L53" s="9">
        <f t="shared" si="7"/>
        <v>67855.42</v>
      </c>
      <c r="M53" s="9">
        <f t="shared" si="6"/>
        <v>71927.42</v>
      </c>
      <c r="N53" s="138">
        <f t="shared" si="8"/>
        <v>0.42000000000000021</v>
      </c>
    </row>
    <row r="54" spans="1:16" x14ac:dyDescent="0.3">
      <c r="A54" s="62" t="s">
        <v>127</v>
      </c>
      <c r="B54" s="6"/>
      <c r="C54" s="6" t="s">
        <v>93</v>
      </c>
      <c r="D54" s="62" t="s">
        <v>209</v>
      </c>
      <c r="E54" s="106">
        <v>1.6400000000000001E-2</v>
      </c>
      <c r="F54" s="27"/>
      <c r="G54" s="102"/>
      <c r="H54" s="60">
        <f t="shared" si="1"/>
        <v>0</v>
      </c>
      <c r="I54" s="27">
        <f t="shared" si="11"/>
        <v>0</v>
      </c>
      <c r="J54" s="27">
        <f t="shared" si="12"/>
        <v>117138.57210400001</v>
      </c>
      <c r="K54" s="86">
        <f t="shared" si="10"/>
        <v>0</v>
      </c>
      <c r="L54" s="9">
        <f t="shared" si="7"/>
        <v>117139.43</v>
      </c>
      <c r="M54" s="9">
        <f t="shared" si="6"/>
        <v>124168.43</v>
      </c>
      <c r="N54" s="138">
        <f t="shared" si="8"/>
        <v>0.43000000000000022</v>
      </c>
    </row>
    <row r="55" spans="1:16" x14ac:dyDescent="0.3">
      <c r="A55" s="62" t="s">
        <v>128</v>
      </c>
      <c r="B55" s="6"/>
      <c r="C55" s="6" t="s">
        <v>94</v>
      </c>
      <c r="D55" s="62" t="s">
        <v>209</v>
      </c>
      <c r="E55" s="106">
        <v>7.1999999999999998E-3</v>
      </c>
      <c r="F55" s="27"/>
      <c r="G55" s="102"/>
      <c r="H55" s="60">
        <f t="shared" si="1"/>
        <v>0</v>
      </c>
      <c r="I55" s="27">
        <f t="shared" si="11"/>
        <v>0</v>
      </c>
      <c r="J55" s="27">
        <f t="shared" si="12"/>
        <v>51426.690191999995</v>
      </c>
      <c r="K55" s="86">
        <f t="shared" si="10"/>
        <v>0</v>
      </c>
      <c r="L55" s="9">
        <f t="shared" si="7"/>
        <v>51427.44</v>
      </c>
      <c r="M55" s="9">
        <f t="shared" si="6"/>
        <v>54513.440000000002</v>
      </c>
      <c r="N55" s="138">
        <f t="shared" si="8"/>
        <v>0.44000000000000022</v>
      </c>
    </row>
    <row r="56" spans="1:16" x14ac:dyDescent="0.3">
      <c r="A56" s="62" t="s">
        <v>127</v>
      </c>
      <c r="B56" s="6"/>
      <c r="C56" s="6" t="s">
        <v>95</v>
      </c>
      <c r="D56" s="62" t="s">
        <v>210</v>
      </c>
      <c r="E56" s="106">
        <v>1.7299999999999999E-2</v>
      </c>
      <c r="F56" s="27"/>
      <c r="G56" s="102"/>
      <c r="H56" s="60">
        <f t="shared" si="1"/>
        <v>0</v>
      </c>
      <c r="I56" s="27">
        <f t="shared" si="11"/>
        <v>0</v>
      </c>
      <c r="J56" s="27">
        <f t="shared" si="12"/>
        <v>123566.90837799998</v>
      </c>
      <c r="K56" s="86">
        <f t="shared" ref="K56:K87" si="13">I$3*E56%+I$4</f>
        <v>0</v>
      </c>
      <c r="L56" s="9">
        <f t="shared" si="7"/>
        <v>123567.45</v>
      </c>
      <c r="M56" s="9">
        <f t="shared" si="6"/>
        <v>130981.45</v>
      </c>
      <c r="N56" s="138">
        <f t="shared" si="8"/>
        <v>0.45000000000000023</v>
      </c>
    </row>
    <row r="57" spans="1:16" x14ac:dyDescent="0.3">
      <c r="A57" s="62" t="s">
        <v>129</v>
      </c>
      <c r="B57" s="6"/>
      <c r="C57" s="6" t="s">
        <v>96</v>
      </c>
      <c r="D57" s="62" t="s">
        <v>211</v>
      </c>
      <c r="E57" s="106">
        <v>9.4000000000000004E-3</v>
      </c>
      <c r="F57" s="27"/>
      <c r="G57" s="102"/>
      <c r="H57" s="60">
        <f t="shared" si="1"/>
        <v>0</v>
      </c>
      <c r="I57" s="27">
        <f t="shared" si="11"/>
        <v>0</v>
      </c>
      <c r="J57" s="27">
        <f t="shared" si="12"/>
        <v>67140.401083999997</v>
      </c>
      <c r="K57" s="86">
        <f t="shared" si="13"/>
        <v>0</v>
      </c>
      <c r="L57" s="9">
        <f t="shared" si="7"/>
        <v>67140.460000000006</v>
      </c>
      <c r="M57" s="9">
        <f t="shared" si="6"/>
        <v>71169.460000000006</v>
      </c>
      <c r="N57" s="138">
        <f t="shared" si="8"/>
        <v>0.46000000000000024</v>
      </c>
    </row>
    <row r="58" spans="1:16" x14ac:dyDescent="0.3">
      <c r="A58" s="62" t="s">
        <v>129</v>
      </c>
      <c r="B58" s="6"/>
      <c r="C58" s="6" t="s">
        <v>97</v>
      </c>
      <c r="D58" s="62" t="s">
        <v>189</v>
      </c>
      <c r="E58" s="106">
        <v>8.6999999999999994E-3</v>
      </c>
      <c r="F58" s="27"/>
      <c r="G58" s="102"/>
      <c r="H58" s="60">
        <f t="shared" si="1"/>
        <v>0</v>
      </c>
      <c r="I58" s="27">
        <f t="shared" si="11"/>
        <v>0</v>
      </c>
      <c r="J58" s="27">
        <f t="shared" si="12"/>
        <v>62140.583981999989</v>
      </c>
      <c r="K58" s="86">
        <f t="shared" si="13"/>
        <v>0</v>
      </c>
      <c r="L58" s="9">
        <f t="shared" si="7"/>
        <v>62141.47</v>
      </c>
      <c r="M58" s="9">
        <f t="shared" si="6"/>
        <v>65870.47</v>
      </c>
      <c r="N58" s="138">
        <f t="shared" si="8"/>
        <v>0.47000000000000025</v>
      </c>
    </row>
    <row r="59" spans="1:16" x14ac:dyDescent="0.3">
      <c r="A59" s="62" t="s">
        <v>129</v>
      </c>
      <c r="B59" s="6"/>
      <c r="C59" s="6" t="s">
        <v>98</v>
      </c>
      <c r="D59" s="62" t="s">
        <v>212</v>
      </c>
      <c r="E59" s="106">
        <v>9.4999999999999998E-3</v>
      </c>
      <c r="F59" s="27"/>
      <c r="G59" s="102"/>
      <c r="H59" s="60">
        <f t="shared" si="1"/>
        <v>0</v>
      </c>
      <c r="I59" s="27">
        <f t="shared" si="11"/>
        <v>0</v>
      </c>
      <c r="J59" s="27">
        <f t="shared" si="12"/>
        <v>67854.660669999997</v>
      </c>
      <c r="K59" s="86">
        <f t="shared" si="13"/>
        <v>0</v>
      </c>
      <c r="L59" s="9">
        <f t="shared" si="7"/>
        <v>67855.48</v>
      </c>
      <c r="M59" s="9">
        <f t="shared" si="6"/>
        <v>71927.48</v>
      </c>
      <c r="N59" s="138">
        <f t="shared" si="8"/>
        <v>0.48000000000000026</v>
      </c>
    </row>
    <row r="60" spans="1:16" x14ac:dyDescent="0.3">
      <c r="A60" s="62" t="s">
        <v>127</v>
      </c>
      <c r="B60" s="6"/>
      <c r="C60" s="6" t="s">
        <v>99</v>
      </c>
      <c r="D60" s="62" t="s">
        <v>213</v>
      </c>
      <c r="E60" s="106">
        <v>1.6400000000000001E-2</v>
      </c>
      <c r="F60" s="27"/>
      <c r="G60" s="102"/>
      <c r="H60" s="60">
        <f t="shared" si="1"/>
        <v>0</v>
      </c>
      <c r="I60" s="27">
        <f t="shared" si="11"/>
        <v>0</v>
      </c>
      <c r="J60" s="27">
        <f t="shared" si="12"/>
        <v>117138.57210400001</v>
      </c>
      <c r="K60" s="86">
        <f t="shared" si="13"/>
        <v>0</v>
      </c>
      <c r="L60" s="9">
        <f t="shared" si="7"/>
        <v>117139.49</v>
      </c>
      <c r="M60" s="9">
        <f t="shared" si="6"/>
        <v>124168.49</v>
      </c>
      <c r="N60" s="138">
        <f t="shared" si="8"/>
        <v>0.49000000000000027</v>
      </c>
    </row>
    <row r="61" spans="1:16" x14ac:dyDescent="0.3">
      <c r="A61" s="62" t="s">
        <v>128</v>
      </c>
      <c r="B61" s="6"/>
      <c r="C61" s="6" t="s">
        <v>100</v>
      </c>
      <c r="D61" s="62" t="s">
        <v>214</v>
      </c>
      <c r="E61" s="106">
        <v>7.1999999999999998E-3</v>
      </c>
      <c r="F61" s="27"/>
      <c r="G61" s="102"/>
      <c r="H61" s="60">
        <f t="shared" si="1"/>
        <v>0</v>
      </c>
      <c r="I61" s="27">
        <f t="shared" si="11"/>
        <v>0</v>
      </c>
      <c r="J61" s="27">
        <f t="shared" si="12"/>
        <v>51426.690191999995</v>
      </c>
      <c r="K61" s="86">
        <f t="shared" si="13"/>
        <v>0</v>
      </c>
      <c r="L61" s="9">
        <f t="shared" si="7"/>
        <v>51427.5</v>
      </c>
      <c r="M61" s="9">
        <f t="shared" si="6"/>
        <v>54513.5</v>
      </c>
      <c r="N61" s="138">
        <f t="shared" si="8"/>
        <v>0.50000000000000022</v>
      </c>
    </row>
    <row r="62" spans="1:16" x14ac:dyDescent="0.3">
      <c r="A62" s="62" t="s">
        <v>127</v>
      </c>
      <c r="B62" s="6"/>
      <c r="C62" s="6" t="s">
        <v>101</v>
      </c>
      <c r="D62" s="62" t="s">
        <v>215</v>
      </c>
      <c r="E62" s="106">
        <v>1.7299999999999999E-2</v>
      </c>
      <c r="F62" s="27"/>
      <c r="G62" s="102"/>
      <c r="H62" s="60">
        <f t="shared" si="1"/>
        <v>0</v>
      </c>
      <c r="I62" s="27">
        <f t="shared" si="11"/>
        <v>0</v>
      </c>
      <c r="J62" s="27">
        <f t="shared" si="12"/>
        <v>123566.90837799998</v>
      </c>
      <c r="K62" s="86">
        <f t="shared" si="13"/>
        <v>0</v>
      </c>
      <c r="L62" s="9">
        <f t="shared" si="7"/>
        <v>123567.51</v>
      </c>
      <c r="M62" s="9">
        <f t="shared" si="6"/>
        <v>130982.51</v>
      </c>
      <c r="N62" s="138">
        <f t="shared" si="8"/>
        <v>0.51000000000000023</v>
      </c>
    </row>
    <row r="63" spans="1:16" x14ac:dyDescent="0.3">
      <c r="A63" s="62" t="s">
        <v>129</v>
      </c>
      <c r="B63" s="6"/>
      <c r="C63" s="6" t="s">
        <v>102</v>
      </c>
      <c r="D63" s="62" t="s">
        <v>216</v>
      </c>
      <c r="E63" s="106">
        <v>9.4000000000000004E-3</v>
      </c>
      <c r="F63" s="27"/>
      <c r="G63" s="102"/>
      <c r="H63" s="60">
        <f t="shared" si="1"/>
        <v>0</v>
      </c>
      <c r="I63" s="27">
        <f t="shared" si="11"/>
        <v>0</v>
      </c>
      <c r="J63" s="27">
        <f t="shared" si="12"/>
        <v>67140.401083999997</v>
      </c>
      <c r="K63" s="86">
        <f t="shared" si="13"/>
        <v>0</v>
      </c>
      <c r="L63" s="9">
        <f t="shared" si="7"/>
        <v>67140.52</v>
      </c>
      <c r="M63" s="9">
        <f t="shared" si="6"/>
        <v>71169.52</v>
      </c>
      <c r="N63" s="138">
        <f t="shared" si="8"/>
        <v>0.52000000000000024</v>
      </c>
    </row>
    <row r="64" spans="1:16" x14ac:dyDescent="0.3">
      <c r="A64" s="62" t="s">
        <v>129</v>
      </c>
      <c r="B64" s="6"/>
      <c r="C64" s="6" t="s">
        <v>103</v>
      </c>
      <c r="D64" s="62" t="s">
        <v>126</v>
      </c>
      <c r="E64" s="106">
        <v>8.6999999999999994E-3</v>
      </c>
      <c r="F64" s="27"/>
      <c r="G64" s="102"/>
      <c r="H64" s="60">
        <f t="shared" si="1"/>
        <v>0</v>
      </c>
      <c r="I64" s="27">
        <f t="shared" si="11"/>
        <v>0</v>
      </c>
      <c r="J64" s="27">
        <f t="shared" si="12"/>
        <v>62140.583981999989</v>
      </c>
      <c r="K64" s="86">
        <f t="shared" si="13"/>
        <v>0</v>
      </c>
      <c r="L64" s="9">
        <f t="shared" si="7"/>
        <v>62141.53</v>
      </c>
      <c r="M64" s="9">
        <f t="shared" si="6"/>
        <v>65870.53</v>
      </c>
      <c r="N64" s="138">
        <f t="shared" si="8"/>
        <v>0.53000000000000025</v>
      </c>
      <c r="P64" t="s">
        <v>292</v>
      </c>
    </row>
    <row r="65" spans="1:14" x14ac:dyDescent="0.3">
      <c r="A65" s="62" t="s">
        <v>129</v>
      </c>
      <c r="B65" s="6"/>
      <c r="C65" s="6" t="s">
        <v>104</v>
      </c>
      <c r="D65" s="62" t="s">
        <v>217</v>
      </c>
      <c r="E65" s="106">
        <v>9.4999999999999998E-3</v>
      </c>
      <c r="F65" s="27"/>
      <c r="G65" s="102"/>
      <c r="H65" s="60">
        <f t="shared" si="1"/>
        <v>0</v>
      </c>
      <c r="I65" s="27">
        <f t="shared" si="11"/>
        <v>0</v>
      </c>
      <c r="J65" s="27">
        <f t="shared" si="12"/>
        <v>67854.660669999997</v>
      </c>
      <c r="K65" s="86">
        <f t="shared" si="13"/>
        <v>0</v>
      </c>
      <c r="L65" s="9">
        <f t="shared" si="7"/>
        <v>67855.539999999994</v>
      </c>
      <c r="M65" s="9">
        <f t="shared" si="6"/>
        <v>71927.539999999994</v>
      </c>
      <c r="N65" s="138">
        <f t="shared" si="8"/>
        <v>0.54000000000000026</v>
      </c>
    </row>
    <row r="66" spans="1:14" x14ac:dyDescent="0.3">
      <c r="A66" s="62" t="s">
        <v>130</v>
      </c>
      <c r="B66" s="6"/>
      <c r="C66" s="6" t="s">
        <v>105</v>
      </c>
      <c r="D66" s="62" t="s">
        <v>218</v>
      </c>
      <c r="E66" s="106">
        <v>2.35E-2</v>
      </c>
      <c r="F66" s="27"/>
      <c r="G66" s="102"/>
      <c r="H66" s="60">
        <f t="shared" si="1"/>
        <v>0</v>
      </c>
      <c r="I66" s="27">
        <f t="shared" si="11"/>
        <v>0</v>
      </c>
      <c r="J66" s="27">
        <f t="shared" si="12"/>
        <v>167851.00271</v>
      </c>
      <c r="K66" s="86">
        <f t="shared" si="13"/>
        <v>0</v>
      </c>
      <c r="L66" s="9">
        <f t="shared" si="7"/>
        <v>167851.55</v>
      </c>
      <c r="M66" s="9">
        <f t="shared" si="6"/>
        <v>177923.55</v>
      </c>
      <c r="N66" s="138">
        <f t="shared" si="8"/>
        <v>0.55000000000000027</v>
      </c>
    </row>
    <row r="67" spans="1:14" x14ac:dyDescent="0.3">
      <c r="A67" s="62" t="s">
        <v>127</v>
      </c>
      <c r="B67" s="6"/>
      <c r="C67" s="6" t="s">
        <v>106</v>
      </c>
      <c r="D67" s="62" t="s">
        <v>219</v>
      </c>
      <c r="E67" s="106">
        <v>1.7299999999999999E-2</v>
      </c>
      <c r="F67" s="27"/>
      <c r="G67" s="102"/>
      <c r="H67" s="60">
        <f t="shared" si="1"/>
        <v>0</v>
      </c>
      <c r="I67" s="27">
        <f t="shared" si="11"/>
        <v>0</v>
      </c>
      <c r="J67" s="27">
        <f t="shared" si="12"/>
        <v>123566.90837799998</v>
      </c>
      <c r="K67" s="86">
        <f t="shared" si="13"/>
        <v>0</v>
      </c>
      <c r="L67" s="9">
        <f t="shared" si="7"/>
        <v>123567.56</v>
      </c>
      <c r="M67" s="9">
        <f t="shared" si="6"/>
        <v>130982.56</v>
      </c>
      <c r="N67" s="138">
        <f t="shared" si="8"/>
        <v>0.56000000000000028</v>
      </c>
    </row>
    <row r="68" spans="1:14" x14ac:dyDescent="0.3">
      <c r="A68" s="62" t="s">
        <v>129</v>
      </c>
      <c r="B68" s="6"/>
      <c r="C68" s="6" t="s">
        <v>107</v>
      </c>
      <c r="D68" s="62" t="s">
        <v>220</v>
      </c>
      <c r="E68" s="106">
        <v>9.4000000000000004E-3</v>
      </c>
      <c r="F68" s="27"/>
      <c r="G68" s="102"/>
      <c r="H68" s="60">
        <f t="shared" si="1"/>
        <v>0</v>
      </c>
      <c r="I68" s="27">
        <f t="shared" si="11"/>
        <v>0</v>
      </c>
      <c r="J68" s="27">
        <f t="shared" si="12"/>
        <v>67140.401083999997</v>
      </c>
      <c r="K68" s="86">
        <f t="shared" si="13"/>
        <v>0</v>
      </c>
      <c r="L68" s="9">
        <f t="shared" si="7"/>
        <v>67140.570000000007</v>
      </c>
      <c r="M68" s="9">
        <f t="shared" si="6"/>
        <v>71169.570000000007</v>
      </c>
      <c r="N68" s="138">
        <f t="shared" si="8"/>
        <v>0.57000000000000028</v>
      </c>
    </row>
    <row r="69" spans="1:14" x14ac:dyDescent="0.3">
      <c r="A69" s="62" t="s">
        <v>129</v>
      </c>
      <c r="B69" s="6"/>
      <c r="C69" s="6" t="s">
        <v>108</v>
      </c>
      <c r="D69" s="62" t="s">
        <v>221</v>
      </c>
      <c r="E69" s="106">
        <v>8.6999999999999994E-3</v>
      </c>
      <c r="F69" s="27"/>
      <c r="G69" s="102"/>
      <c r="H69" s="60">
        <f t="shared" si="1"/>
        <v>0</v>
      </c>
      <c r="I69" s="27">
        <f t="shared" si="11"/>
        <v>0</v>
      </c>
      <c r="J69" s="27">
        <f t="shared" si="12"/>
        <v>62140.583981999989</v>
      </c>
      <c r="K69" s="86">
        <f t="shared" si="13"/>
        <v>0</v>
      </c>
      <c r="L69" s="9">
        <f t="shared" si="7"/>
        <v>62141.58</v>
      </c>
      <c r="M69" s="9">
        <f t="shared" si="6"/>
        <v>65870.58</v>
      </c>
      <c r="N69" s="138">
        <f t="shared" si="8"/>
        <v>0.58000000000000029</v>
      </c>
    </row>
    <row r="70" spans="1:14" x14ac:dyDescent="0.3">
      <c r="A70" s="62" t="s">
        <v>129</v>
      </c>
      <c r="B70" s="6"/>
      <c r="C70" s="6" t="s">
        <v>109</v>
      </c>
      <c r="D70" s="62" t="s">
        <v>222</v>
      </c>
      <c r="E70" s="106">
        <v>9.4999999999999998E-3</v>
      </c>
      <c r="F70" s="27"/>
      <c r="G70" s="102"/>
      <c r="H70" s="60">
        <f t="shared" si="1"/>
        <v>0</v>
      </c>
      <c r="I70" s="27">
        <f t="shared" si="11"/>
        <v>0</v>
      </c>
      <c r="J70" s="27">
        <f t="shared" si="12"/>
        <v>67854.660669999997</v>
      </c>
      <c r="K70" s="86">
        <f t="shared" si="13"/>
        <v>0</v>
      </c>
      <c r="L70" s="9">
        <f t="shared" si="7"/>
        <v>67855.59</v>
      </c>
      <c r="M70" s="9">
        <f t="shared" si="6"/>
        <v>71927.59</v>
      </c>
      <c r="N70" s="138">
        <f t="shared" si="8"/>
        <v>0.5900000000000003</v>
      </c>
    </row>
    <row r="71" spans="1:14" x14ac:dyDescent="0.3">
      <c r="A71" s="62" t="s">
        <v>130</v>
      </c>
      <c r="B71" s="6"/>
      <c r="C71" s="6" t="s">
        <v>110</v>
      </c>
      <c r="D71" s="62" t="s">
        <v>223</v>
      </c>
      <c r="E71" s="106">
        <v>2.35E-2</v>
      </c>
      <c r="F71" s="27"/>
      <c r="G71" s="102"/>
      <c r="H71" s="60">
        <f t="shared" si="1"/>
        <v>0</v>
      </c>
      <c r="I71" s="27">
        <f t="shared" si="11"/>
        <v>0</v>
      </c>
      <c r="J71" s="27">
        <f t="shared" si="12"/>
        <v>167851.00271</v>
      </c>
      <c r="K71" s="86">
        <f t="shared" si="13"/>
        <v>0</v>
      </c>
      <c r="L71" s="9">
        <f t="shared" si="7"/>
        <v>167851.6</v>
      </c>
      <c r="M71" s="9">
        <f t="shared" si="6"/>
        <v>177923.6</v>
      </c>
      <c r="N71" s="138">
        <f t="shared" si="8"/>
        <v>0.60000000000000031</v>
      </c>
    </row>
    <row r="72" spans="1:14" x14ac:dyDescent="0.3">
      <c r="A72" s="62" t="s">
        <v>127</v>
      </c>
      <c r="B72" s="6"/>
      <c r="C72" s="6" t="s">
        <v>111</v>
      </c>
      <c r="D72" s="62" t="s">
        <v>224</v>
      </c>
      <c r="E72" s="106">
        <v>1.7299999999999999E-2</v>
      </c>
      <c r="F72" s="27"/>
      <c r="G72" s="102"/>
      <c r="H72" s="60">
        <f t="shared" si="1"/>
        <v>0</v>
      </c>
      <c r="I72" s="27">
        <f t="shared" si="11"/>
        <v>0</v>
      </c>
      <c r="J72" s="27">
        <f t="shared" si="12"/>
        <v>123566.90837799998</v>
      </c>
      <c r="K72" s="86">
        <f t="shared" si="13"/>
        <v>0</v>
      </c>
      <c r="L72" s="9">
        <f t="shared" si="7"/>
        <v>123567.61</v>
      </c>
      <c r="M72" s="9">
        <f t="shared" si="6"/>
        <v>130982.61</v>
      </c>
      <c r="N72" s="138">
        <f t="shared" si="8"/>
        <v>0.61000000000000032</v>
      </c>
    </row>
    <row r="73" spans="1:14" x14ac:dyDescent="0.3">
      <c r="A73" s="62" t="s">
        <v>129</v>
      </c>
      <c r="B73" s="6"/>
      <c r="C73" s="6" t="s">
        <v>112</v>
      </c>
      <c r="D73" s="62" t="s">
        <v>225</v>
      </c>
      <c r="E73" s="106">
        <v>9.4000000000000004E-3</v>
      </c>
      <c r="F73" s="27"/>
      <c r="G73" s="102"/>
      <c r="H73" s="60">
        <f t="shared" si="1"/>
        <v>0</v>
      </c>
      <c r="I73" s="27">
        <f t="shared" si="11"/>
        <v>0</v>
      </c>
      <c r="J73" s="27">
        <f t="shared" si="12"/>
        <v>67140.401083999997</v>
      </c>
      <c r="K73" s="86">
        <f t="shared" si="13"/>
        <v>0</v>
      </c>
      <c r="L73" s="9">
        <f t="shared" si="7"/>
        <v>67140.62</v>
      </c>
      <c r="M73" s="9">
        <f t="shared" si="6"/>
        <v>71169.62</v>
      </c>
      <c r="N73" s="138">
        <f t="shared" si="8"/>
        <v>0.62000000000000033</v>
      </c>
    </row>
    <row r="74" spans="1:14" x14ac:dyDescent="0.3">
      <c r="A74" s="62" t="s">
        <v>129</v>
      </c>
      <c r="B74" s="6"/>
      <c r="C74" s="6" t="s">
        <v>113</v>
      </c>
      <c r="D74" s="62" t="s">
        <v>226</v>
      </c>
      <c r="E74" s="106">
        <v>8.6999999999999994E-3</v>
      </c>
      <c r="F74" s="27"/>
      <c r="G74" s="102"/>
      <c r="H74" s="60">
        <f t="shared" si="1"/>
        <v>0</v>
      </c>
      <c r="I74" s="27">
        <f t="shared" si="11"/>
        <v>0</v>
      </c>
      <c r="J74" s="27">
        <f t="shared" si="12"/>
        <v>62140.583981999989</v>
      </c>
      <c r="K74" s="86">
        <f t="shared" si="13"/>
        <v>0</v>
      </c>
      <c r="L74" s="9">
        <f t="shared" si="7"/>
        <v>62141.63</v>
      </c>
      <c r="M74" s="9">
        <f t="shared" si="6"/>
        <v>65870.63</v>
      </c>
      <c r="N74" s="138">
        <f t="shared" si="8"/>
        <v>0.63000000000000034</v>
      </c>
    </row>
    <row r="75" spans="1:14" x14ac:dyDescent="0.3">
      <c r="A75" s="62" t="s">
        <v>129</v>
      </c>
      <c r="B75" s="6"/>
      <c r="C75" s="6" t="s">
        <v>114</v>
      </c>
      <c r="D75" s="62" t="s">
        <v>227</v>
      </c>
      <c r="E75" s="106">
        <v>9.4999999999999998E-3</v>
      </c>
      <c r="F75" s="27"/>
      <c r="G75" s="102"/>
      <c r="H75" s="60">
        <f t="shared" si="1"/>
        <v>0</v>
      </c>
      <c r="I75" s="27">
        <f t="shared" si="11"/>
        <v>0</v>
      </c>
      <c r="J75" s="27">
        <f t="shared" si="12"/>
        <v>67854.660669999997</v>
      </c>
      <c r="K75" s="86">
        <v>9000</v>
      </c>
      <c r="L75" s="9">
        <f t="shared" si="7"/>
        <v>76855.64</v>
      </c>
      <c r="M75" s="9">
        <f t="shared" si="6"/>
        <v>81467.64</v>
      </c>
      <c r="N75" s="138">
        <f t="shared" si="8"/>
        <v>0.64000000000000035</v>
      </c>
    </row>
    <row r="76" spans="1:14" x14ac:dyDescent="0.3">
      <c r="A76" s="62" t="s">
        <v>130</v>
      </c>
      <c r="B76" s="6"/>
      <c r="C76" s="6" t="s">
        <v>115</v>
      </c>
      <c r="D76" s="62" t="s">
        <v>126</v>
      </c>
      <c r="E76" s="106">
        <v>2.35E-2</v>
      </c>
      <c r="F76" s="27"/>
      <c r="G76" s="102"/>
      <c r="H76" s="60">
        <f t="shared" si="1"/>
        <v>0</v>
      </c>
      <c r="I76" s="27">
        <f t="shared" ref="I76:I107" si="14">L$4*E76</f>
        <v>0</v>
      </c>
      <c r="J76" s="27">
        <f t="shared" ref="J76:J107" si="15">L$2*E76</f>
        <v>167851.00271</v>
      </c>
      <c r="K76" s="86">
        <f t="shared" si="13"/>
        <v>0</v>
      </c>
      <c r="L76" s="9">
        <f t="shared" si="7"/>
        <v>167851.65</v>
      </c>
      <c r="M76" s="9">
        <f t="shared" si="6"/>
        <v>177923.65</v>
      </c>
      <c r="N76" s="138">
        <f t="shared" si="8"/>
        <v>0.65000000000000036</v>
      </c>
    </row>
    <row r="77" spans="1:14" x14ac:dyDescent="0.3">
      <c r="A77" s="62" t="s">
        <v>127</v>
      </c>
      <c r="B77" s="6"/>
      <c r="C77" s="6" t="s">
        <v>116</v>
      </c>
      <c r="D77" s="62" t="s">
        <v>228</v>
      </c>
      <c r="E77" s="106">
        <v>1.7299999999999999E-2</v>
      </c>
      <c r="F77" s="27"/>
      <c r="G77" s="102"/>
      <c r="H77" s="60">
        <f t="shared" si="1"/>
        <v>0</v>
      </c>
      <c r="I77" s="27">
        <f t="shared" si="14"/>
        <v>0</v>
      </c>
      <c r="J77" s="27">
        <f t="shared" si="15"/>
        <v>123566.90837799998</v>
      </c>
      <c r="K77" s="86">
        <f t="shared" si="13"/>
        <v>0</v>
      </c>
      <c r="L77" s="9">
        <f t="shared" ref="L77:L124" si="16">ROUND((J77+I77+H77+K77),0) + N77</f>
        <v>123567.66</v>
      </c>
      <c r="M77" s="9">
        <f t="shared" ref="M77:M124" si="17">ROUND((L77*6% + L77 ),0) + N77</f>
        <v>130982.66</v>
      </c>
      <c r="N77" s="138">
        <f t="shared" si="8"/>
        <v>0.66000000000000036</v>
      </c>
    </row>
    <row r="78" spans="1:14" x14ac:dyDescent="0.3">
      <c r="A78" s="62" t="s">
        <v>129</v>
      </c>
      <c r="B78" s="6"/>
      <c r="C78" s="6" t="s">
        <v>117</v>
      </c>
      <c r="D78" s="62" t="s">
        <v>229</v>
      </c>
      <c r="E78" s="106">
        <v>9.4000000000000004E-3</v>
      </c>
      <c r="F78" s="27"/>
      <c r="G78" s="102"/>
      <c r="H78" s="60">
        <f t="shared" si="1"/>
        <v>0</v>
      </c>
      <c r="I78" s="27">
        <f t="shared" si="14"/>
        <v>0</v>
      </c>
      <c r="J78" s="27">
        <f t="shared" si="15"/>
        <v>67140.401083999997</v>
      </c>
      <c r="K78" s="86">
        <f t="shared" si="13"/>
        <v>0</v>
      </c>
      <c r="L78" s="9">
        <f t="shared" si="16"/>
        <v>67140.67</v>
      </c>
      <c r="M78" s="9">
        <f t="shared" si="17"/>
        <v>71169.67</v>
      </c>
      <c r="N78" s="138">
        <f t="shared" ref="N78:N124" si="18">N77+0.01</f>
        <v>0.67000000000000037</v>
      </c>
    </row>
    <row r="79" spans="1:14" x14ac:dyDescent="0.3">
      <c r="A79" s="62" t="s">
        <v>129</v>
      </c>
      <c r="B79" s="6"/>
      <c r="C79" s="6" t="s">
        <v>118</v>
      </c>
      <c r="D79" s="62" t="s">
        <v>230</v>
      </c>
      <c r="E79" s="106">
        <v>8.6999999999999994E-3</v>
      </c>
      <c r="F79" s="27"/>
      <c r="G79" s="102"/>
      <c r="H79" s="60">
        <f t="shared" si="1"/>
        <v>0</v>
      </c>
      <c r="I79" s="27">
        <f t="shared" si="14"/>
        <v>0</v>
      </c>
      <c r="J79" s="27">
        <f t="shared" si="15"/>
        <v>62140.583981999989</v>
      </c>
      <c r="K79" s="86">
        <f t="shared" si="13"/>
        <v>0</v>
      </c>
      <c r="L79" s="9">
        <f t="shared" si="16"/>
        <v>62141.68</v>
      </c>
      <c r="M79" s="9">
        <f t="shared" si="17"/>
        <v>65870.679999999993</v>
      </c>
      <c r="N79" s="138">
        <f t="shared" si="18"/>
        <v>0.68000000000000038</v>
      </c>
    </row>
    <row r="80" spans="1:14" x14ac:dyDescent="0.3">
      <c r="A80" s="127" t="s">
        <v>129</v>
      </c>
      <c r="B80" s="36"/>
      <c r="C80" s="36" t="s">
        <v>119</v>
      </c>
      <c r="D80" s="127" t="s">
        <v>231</v>
      </c>
      <c r="E80" s="106">
        <v>9.4999999999999998E-3</v>
      </c>
      <c r="F80" s="27"/>
      <c r="G80" s="102"/>
      <c r="H80" s="60">
        <f t="shared" si="1"/>
        <v>0</v>
      </c>
      <c r="I80" s="27">
        <f t="shared" si="14"/>
        <v>0</v>
      </c>
      <c r="J80" s="27">
        <f t="shared" si="15"/>
        <v>67854.660669999997</v>
      </c>
      <c r="K80" s="86">
        <f t="shared" si="13"/>
        <v>0</v>
      </c>
      <c r="L80" s="9">
        <f t="shared" si="16"/>
        <v>67855.69</v>
      </c>
      <c r="M80" s="9">
        <f t="shared" si="17"/>
        <v>71927.69</v>
      </c>
      <c r="N80" s="138">
        <f t="shared" si="18"/>
        <v>0.69000000000000039</v>
      </c>
    </row>
    <row r="81" spans="1:14" x14ac:dyDescent="0.3">
      <c r="A81" s="127"/>
      <c r="B81" s="36"/>
      <c r="C81" s="36" t="s">
        <v>131</v>
      </c>
      <c r="D81" s="127" t="s">
        <v>193</v>
      </c>
      <c r="E81" s="107">
        <v>2.3E-3</v>
      </c>
      <c r="F81" s="27"/>
      <c r="G81" s="102"/>
      <c r="H81" s="60">
        <f t="shared" si="1"/>
        <v>0</v>
      </c>
      <c r="I81" s="27">
        <f t="shared" si="14"/>
        <v>0</v>
      </c>
      <c r="J81" s="27">
        <f t="shared" si="15"/>
        <v>16427.970477999999</v>
      </c>
      <c r="K81" s="86">
        <f t="shared" si="13"/>
        <v>0</v>
      </c>
      <c r="L81" s="9">
        <f t="shared" si="16"/>
        <v>16428.7</v>
      </c>
      <c r="M81" s="9">
        <f t="shared" si="17"/>
        <v>17414.7</v>
      </c>
      <c r="N81" s="138">
        <f t="shared" si="18"/>
        <v>0.7000000000000004</v>
      </c>
    </row>
    <row r="82" spans="1:14" x14ac:dyDescent="0.3">
      <c r="A82" s="127"/>
      <c r="B82" s="36"/>
      <c r="C82" s="36" t="s">
        <v>132</v>
      </c>
      <c r="D82" s="127" t="s">
        <v>126</v>
      </c>
      <c r="E82" s="107">
        <v>2.3E-3</v>
      </c>
      <c r="F82" s="27"/>
      <c r="G82" s="102"/>
      <c r="H82" s="60">
        <f t="shared" si="1"/>
        <v>0</v>
      </c>
      <c r="I82" s="27">
        <f t="shared" si="14"/>
        <v>0</v>
      </c>
      <c r="J82" s="27">
        <f t="shared" si="15"/>
        <v>16427.970477999999</v>
      </c>
      <c r="K82" s="86">
        <f t="shared" si="13"/>
        <v>0</v>
      </c>
      <c r="L82" s="9">
        <f t="shared" si="16"/>
        <v>16428.71</v>
      </c>
      <c r="M82" s="9">
        <f t="shared" si="17"/>
        <v>17414.71</v>
      </c>
      <c r="N82" s="138">
        <f t="shared" si="18"/>
        <v>0.71000000000000041</v>
      </c>
    </row>
    <row r="83" spans="1:14" x14ac:dyDescent="0.3">
      <c r="A83" s="127"/>
      <c r="B83" s="36"/>
      <c r="C83" s="36" t="s">
        <v>133</v>
      </c>
      <c r="D83" s="127" t="s">
        <v>201</v>
      </c>
      <c r="E83" s="107">
        <v>2.3E-3</v>
      </c>
      <c r="F83" s="27"/>
      <c r="G83" s="102"/>
      <c r="H83" s="60">
        <f t="shared" si="1"/>
        <v>0</v>
      </c>
      <c r="I83" s="27">
        <f t="shared" si="14"/>
        <v>0</v>
      </c>
      <c r="J83" s="27">
        <f t="shared" si="15"/>
        <v>16427.970477999999</v>
      </c>
      <c r="K83" s="86">
        <f t="shared" si="13"/>
        <v>0</v>
      </c>
      <c r="L83" s="9">
        <f t="shared" si="16"/>
        <v>16428.72</v>
      </c>
      <c r="M83" s="9">
        <f t="shared" si="17"/>
        <v>17414.72</v>
      </c>
      <c r="N83" s="138">
        <f t="shared" si="18"/>
        <v>0.72000000000000042</v>
      </c>
    </row>
    <row r="84" spans="1:14" x14ac:dyDescent="0.3">
      <c r="A84" s="127"/>
      <c r="B84" s="36"/>
      <c r="C84" s="36" t="s">
        <v>134</v>
      </c>
      <c r="D84" s="127" t="s">
        <v>213</v>
      </c>
      <c r="E84" s="107">
        <v>2.3E-3</v>
      </c>
      <c r="F84" s="27"/>
      <c r="G84" s="102"/>
      <c r="H84" s="60">
        <f t="shared" si="1"/>
        <v>0</v>
      </c>
      <c r="I84" s="27">
        <f t="shared" si="14"/>
        <v>0</v>
      </c>
      <c r="J84" s="27">
        <f t="shared" si="15"/>
        <v>16427.970477999999</v>
      </c>
      <c r="K84" s="86">
        <f t="shared" si="13"/>
        <v>0</v>
      </c>
      <c r="L84" s="9">
        <f t="shared" si="16"/>
        <v>16428.73</v>
      </c>
      <c r="M84" s="9">
        <f t="shared" si="17"/>
        <v>17414.73</v>
      </c>
      <c r="N84" s="138">
        <f t="shared" si="18"/>
        <v>0.73000000000000043</v>
      </c>
    </row>
    <row r="85" spans="1:14" x14ac:dyDescent="0.3">
      <c r="A85" s="127"/>
      <c r="B85" s="36"/>
      <c r="C85" s="36" t="s">
        <v>135</v>
      </c>
      <c r="D85" s="127" t="s">
        <v>208</v>
      </c>
      <c r="E85" s="107">
        <v>2.3E-3</v>
      </c>
      <c r="F85" s="27"/>
      <c r="G85" s="102"/>
      <c r="H85" s="60">
        <f t="shared" si="1"/>
        <v>0</v>
      </c>
      <c r="I85" s="27">
        <f t="shared" si="14"/>
        <v>0</v>
      </c>
      <c r="J85" s="27">
        <f t="shared" si="15"/>
        <v>16427.970477999999</v>
      </c>
      <c r="K85" s="86">
        <f t="shared" si="13"/>
        <v>0</v>
      </c>
      <c r="L85" s="9">
        <f t="shared" si="16"/>
        <v>16428.740000000002</v>
      </c>
      <c r="M85" s="9">
        <f t="shared" si="17"/>
        <v>17414.740000000002</v>
      </c>
      <c r="N85" s="138">
        <f t="shared" si="18"/>
        <v>0.74000000000000044</v>
      </c>
    </row>
    <row r="86" spans="1:14" x14ac:dyDescent="0.3">
      <c r="A86" s="127"/>
      <c r="B86" s="36"/>
      <c r="C86" s="36" t="s">
        <v>136</v>
      </c>
      <c r="D86" s="127" t="s">
        <v>234</v>
      </c>
      <c r="E86" s="107">
        <v>2.3E-3</v>
      </c>
      <c r="F86" s="27"/>
      <c r="G86" s="102"/>
      <c r="H86" s="60">
        <f t="shared" si="1"/>
        <v>0</v>
      </c>
      <c r="I86" s="27">
        <f t="shared" si="14"/>
        <v>0</v>
      </c>
      <c r="J86" s="27">
        <f t="shared" si="15"/>
        <v>16427.970477999999</v>
      </c>
      <c r="K86" s="86">
        <f t="shared" si="13"/>
        <v>0</v>
      </c>
      <c r="L86" s="9">
        <f t="shared" si="16"/>
        <v>16428.75</v>
      </c>
      <c r="M86" s="9">
        <f t="shared" si="17"/>
        <v>17414.75</v>
      </c>
      <c r="N86" s="138">
        <f t="shared" si="18"/>
        <v>0.75000000000000044</v>
      </c>
    </row>
    <row r="87" spans="1:14" x14ac:dyDescent="0.3">
      <c r="A87" s="127"/>
      <c r="B87" s="36"/>
      <c r="C87" s="36" t="s">
        <v>137</v>
      </c>
      <c r="D87" s="127" t="s">
        <v>200</v>
      </c>
      <c r="E87" s="107">
        <v>2.3E-3</v>
      </c>
      <c r="F87" s="27"/>
      <c r="G87" s="102"/>
      <c r="H87" s="60">
        <f t="shared" si="1"/>
        <v>0</v>
      </c>
      <c r="I87" s="27">
        <f t="shared" si="14"/>
        <v>0</v>
      </c>
      <c r="J87" s="27">
        <f t="shared" si="15"/>
        <v>16427.970477999999</v>
      </c>
      <c r="K87" s="86">
        <f t="shared" si="13"/>
        <v>0</v>
      </c>
      <c r="L87" s="9">
        <f t="shared" si="16"/>
        <v>16428.759999999998</v>
      </c>
      <c r="M87" s="9">
        <f t="shared" si="17"/>
        <v>17414.759999999998</v>
      </c>
      <c r="N87" s="138">
        <f t="shared" si="18"/>
        <v>0.76000000000000045</v>
      </c>
    </row>
    <row r="88" spans="1:14" x14ac:dyDescent="0.3">
      <c r="A88" s="127"/>
      <c r="B88" s="36"/>
      <c r="C88" s="36" t="s">
        <v>138</v>
      </c>
      <c r="D88" s="127" t="s">
        <v>200</v>
      </c>
      <c r="E88" s="107">
        <v>2.3E-3</v>
      </c>
      <c r="F88" s="27"/>
      <c r="G88" s="102"/>
      <c r="H88" s="60">
        <f t="shared" si="1"/>
        <v>0</v>
      </c>
      <c r="I88" s="27">
        <f t="shared" si="14"/>
        <v>0</v>
      </c>
      <c r="J88" s="27">
        <f t="shared" si="15"/>
        <v>16427.970477999999</v>
      </c>
      <c r="K88" s="86">
        <f t="shared" ref="K88:K124" si="19">I$3*E88%+I$4</f>
        <v>0</v>
      </c>
      <c r="L88" s="9">
        <f t="shared" si="16"/>
        <v>16428.77</v>
      </c>
      <c r="M88" s="9">
        <f t="shared" si="17"/>
        <v>17414.77</v>
      </c>
      <c r="N88" s="138">
        <f t="shared" si="18"/>
        <v>0.77000000000000046</v>
      </c>
    </row>
    <row r="89" spans="1:14" x14ac:dyDescent="0.3">
      <c r="A89" s="127"/>
      <c r="B89" s="36"/>
      <c r="C89" s="36" t="s">
        <v>139</v>
      </c>
      <c r="D89" s="127" t="s">
        <v>126</v>
      </c>
      <c r="E89" s="107">
        <v>2.3E-3</v>
      </c>
      <c r="F89" s="27"/>
      <c r="G89" s="102"/>
      <c r="H89" s="60">
        <f t="shared" si="1"/>
        <v>0</v>
      </c>
      <c r="I89" s="27">
        <f t="shared" si="14"/>
        <v>0</v>
      </c>
      <c r="J89" s="27">
        <f t="shared" si="15"/>
        <v>16427.970477999999</v>
      </c>
      <c r="K89" s="86">
        <f t="shared" si="19"/>
        <v>0</v>
      </c>
      <c r="L89" s="9">
        <f t="shared" si="16"/>
        <v>16428.78</v>
      </c>
      <c r="M89" s="9">
        <f t="shared" si="17"/>
        <v>17415.78</v>
      </c>
      <c r="N89" s="138">
        <f t="shared" si="18"/>
        <v>0.78000000000000047</v>
      </c>
    </row>
    <row r="90" spans="1:14" x14ac:dyDescent="0.3">
      <c r="A90" s="127"/>
      <c r="B90" s="36"/>
      <c r="C90" s="36" t="s">
        <v>140</v>
      </c>
      <c r="D90" s="127" t="s">
        <v>211</v>
      </c>
      <c r="E90" s="107">
        <v>2.3E-3</v>
      </c>
      <c r="F90" s="27"/>
      <c r="G90" s="102"/>
      <c r="H90" s="60">
        <f t="shared" si="1"/>
        <v>0</v>
      </c>
      <c r="I90" s="27">
        <f t="shared" si="14"/>
        <v>0</v>
      </c>
      <c r="J90" s="27">
        <f t="shared" si="15"/>
        <v>16427.970477999999</v>
      </c>
      <c r="K90" s="86">
        <f t="shared" si="19"/>
        <v>0</v>
      </c>
      <c r="L90" s="9">
        <f t="shared" si="16"/>
        <v>16428.79</v>
      </c>
      <c r="M90" s="9">
        <f t="shared" si="17"/>
        <v>17415.79</v>
      </c>
      <c r="N90" s="138">
        <f t="shared" si="18"/>
        <v>0.79000000000000048</v>
      </c>
    </row>
    <row r="91" spans="1:14" x14ac:dyDescent="0.3">
      <c r="A91" s="127"/>
      <c r="B91" s="36"/>
      <c r="C91" s="36" t="s">
        <v>141</v>
      </c>
      <c r="D91" s="127" t="s">
        <v>193</v>
      </c>
      <c r="E91" s="107">
        <v>2.3E-3</v>
      </c>
      <c r="F91" s="27"/>
      <c r="G91" s="102"/>
      <c r="H91" s="60">
        <f t="shared" si="1"/>
        <v>0</v>
      </c>
      <c r="I91" s="27">
        <f t="shared" si="14"/>
        <v>0</v>
      </c>
      <c r="J91" s="27">
        <f t="shared" si="15"/>
        <v>16427.970477999999</v>
      </c>
      <c r="K91" s="86">
        <f t="shared" si="19"/>
        <v>0</v>
      </c>
      <c r="L91" s="9">
        <f t="shared" si="16"/>
        <v>16428.8</v>
      </c>
      <c r="M91" s="9">
        <f t="shared" si="17"/>
        <v>17415.8</v>
      </c>
      <c r="N91" s="138">
        <f t="shared" si="18"/>
        <v>0.80000000000000049</v>
      </c>
    </row>
    <row r="92" spans="1:14" x14ac:dyDescent="0.3">
      <c r="A92" s="127"/>
      <c r="B92" s="36"/>
      <c r="C92" s="36" t="s">
        <v>142</v>
      </c>
      <c r="D92" s="127" t="s">
        <v>189</v>
      </c>
      <c r="E92" s="107">
        <v>2.3E-3</v>
      </c>
      <c r="F92" s="27"/>
      <c r="G92" s="102"/>
      <c r="H92" s="60">
        <f t="shared" si="1"/>
        <v>0</v>
      </c>
      <c r="I92" s="27">
        <f t="shared" si="14"/>
        <v>0</v>
      </c>
      <c r="J92" s="27">
        <f t="shared" si="15"/>
        <v>16427.970477999999</v>
      </c>
      <c r="K92" s="86">
        <f t="shared" si="19"/>
        <v>0</v>
      </c>
      <c r="L92" s="9">
        <f t="shared" si="16"/>
        <v>16428.810000000001</v>
      </c>
      <c r="M92" s="9">
        <f t="shared" si="17"/>
        <v>17415.810000000001</v>
      </c>
      <c r="N92" s="138">
        <f t="shared" si="18"/>
        <v>0.8100000000000005</v>
      </c>
    </row>
    <row r="93" spans="1:14" x14ac:dyDescent="0.3">
      <c r="A93" s="127"/>
      <c r="B93" s="36"/>
      <c r="C93" s="36" t="s">
        <v>143</v>
      </c>
      <c r="D93" s="127" t="s">
        <v>229</v>
      </c>
      <c r="E93" s="107">
        <v>2.3E-3</v>
      </c>
      <c r="F93" s="27"/>
      <c r="G93" s="102"/>
      <c r="H93" s="60">
        <f t="shared" si="1"/>
        <v>0</v>
      </c>
      <c r="I93" s="27">
        <f t="shared" si="14"/>
        <v>0</v>
      </c>
      <c r="J93" s="27">
        <f t="shared" si="15"/>
        <v>16427.970477999999</v>
      </c>
      <c r="K93" s="86">
        <f t="shared" si="19"/>
        <v>0</v>
      </c>
      <c r="L93" s="9">
        <f t="shared" si="16"/>
        <v>16428.82</v>
      </c>
      <c r="M93" s="9">
        <f t="shared" si="17"/>
        <v>17415.82</v>
      </c>
      <c r="N93" s="138">
        <f t="shared" si="18"/>
        <v>0.82000000000000051</v>
      </c>
    </row>
    <row r="94" spans="1:14" x14ac:dyDescent="0.3">
      <c r="A94" s="127"/>
      <c r="B94" s="36"/>
      <c r="C94" s="36" t="s">
        <v>144</v>
      </c>
      <c r="D94" s="127" t="s">
        <v>235</v>
      </c>
      <c r="E94" s="107">
        <v>2.3E-3</v>
      </c>
      <c r="F94" s="27"/>
      <c r="G94" s="102"/>
      <c r="H94" s="60">
        <f t="shared" si="1"/>
        <v>0</v>
      </c>
      <c r="I94" s="27">
        <f t="shared" si="14"/>
        <v>0</v>
      </c>
      <c r="J94" s="27">
        <f t="shared" si="15"/>
        <v>16427.970477999999</v>
      </c>
      <c r="K94" s="86">
        <f t="shared" si="19"/>
        <v>0</v>
      </c>
      <c r="L94" s="9">
        <f t="shared" si="16"/>
        <v>16428.830000000002</v>
      </c>
      <c r="M94" s="9">
        <f t="shared" si="17"/>
        <v>17415.830000000002</v>
      </c>
      <c r="N94" s="138">
        <f t="shared" si="18"/>
        <v>0.83000000000000052</v>
      </c>
    </row>
    <row r="95" spans="1:14" ht="15.75" customHeight="1" x14ac:dyDescent="0.3">
      <c r="A95" s="127"/>
      <c r="B95" s="36"/>
      <c r="C95" s="36" t="s">
        <v>145</v>
      </c>
      <c r="D95" s="127" t="s">
        <v>224</v>
      </c>
      <c r="E95" s="107">
        <v>2.3E-3</v>
      </c>
      <c r="F95" s="27"/>
      <c r="G95" s="102"/>
      <c r="H95" s="60">
        <f t="shared" si="1"/>
        <v>0</v>
      </c>
      <c r="I95" s="27">
        <f t="shared" si="14"/>
        <v>0</v>
      </c>
      <c r="J95" s="27">
        <f t="shared" si="15"/>
        <v>16427.970477999999</v>
      </c>
      <c r="K95" s="86">
        <f t="shared" si="19"/>
        <v>0</v>
      </c>
      <c r="L95" s="9">
        <f t="shared" si="16"/>
        <v>16428.84</v>
      </c>
      <c r="M95" s="9">
        <f t="shared" si="17"/>
        <v>17415.84</v>
      </c>
      <c r="N95" s="138">
        <f t="shared" si="18"/>
        <v>0.84000000000000052</v>
      </c>
    </row>
    <row r="96" spans="1:14" ht="15.75" customHeight="1" x14ac:dyDescent="0.3">
      <c r="A96" s="127"/>
      <c r="B96" s="36"/>
      <c r="C96" s="36" t="s">
        <v>146</v>
      </c>
      <c r="D96" s="127" t="s">
        <v>232</v>
      </c>
      <c r="E96" s="107">
        <v>2.3E-3</v>
      </c>
      <c r="F96" s="27"/>
      <c r="G96" s="102"/>
      <c r="H96" s="60">
        <f t="shared" si="1"/>
        <v>0</v>
      </c>
      <c r="I96" s="27">
        <f t="shared" si="14"/>
        <v>0</v>
      </c>
      <c r="J96" s="27">
        <f t="shared" si="15"/>
        <v>16427.970477999999</v>
      </c>
      <c r="K96" s="86">
        <f t="shared" si="19"/>
        <v>0</v>
      </c>
      <c r="L96" s="9">
        <f t="shared" si="16"/>
        <v>16428.849999999999</v>
      </c>
      <c r="M96" s="9">
        <f t="shared" si="17"/>
        <v>17415.849999999999</v>
      </c>
      <c r="N96" s="138">
        <f t="shared" si="18"/>
        <v>0.85000000000000053</v>
      </c>
    </row>
    <row r="97" spans="1:14" ht="15.75" customHeight="1" x14ac:dyDescent="0.3">
      <c r="A97" s="127"/>
      <c r="B97" s="36"/>
      <c r="C97" s="36" t="s">
        <v>147</v>
      </c>
      <c r="D97" s="127" t="s">
        <v>215</v>
      </c>
      <c r="E97" s="107">
        <v>2.3E-3</v>
      </c>
      <c r="F97" s="27"/>
      <c r="G97" s="102"/>
      <c r="H97" s="60">
        <f t="shared" si="1"/>
        <v>0</v>
      </c>
      <c r="I97" s="27">
        <f t="shared" si="14"/>
        <v>0</v>
      </c>
      <c r="J97" s="27">
        <f t="shared" si="15"/>
        <v>16427.970477999999</v>
      </c>
      <c r="K97" s="86">
        <f t="shared" si="19"/>
        <v>0</v>
      </c>
      <c r="L97" s="9">
        <f t="shared" si="16"/>
        <v>16428.86</v>
      </c>
      <c r="M97" s="9">
        <f t="shared" si="17"/>
        <v>17415.86</v>
      </c>
      <c r="N97" s="138">
        <f t="shared" si="18"/>
        <v>0.86000000000000054</v>
      </c>
    </row>
    <row r="98" spans="1:14" ht="15.75" customHeight="1" x14ac:dyDescent="0.3">
      <c r="A98" s="127"/>
      <c r="B98" s="36"/>
      <c r="C98" s="36" t="s">
        <v>148</v>
      </c>
      <c r="D98" s="127" t="s">
        <v>126</v>
      </c>
      <c r="E98" s="107">
        <v>2.3E-3</v>
      </c>
      <c r="F98" s="27"/>
      <c r="G98" s="102"/>
      <c r="H98" s="60">
        <f t="shared" si="1"/>
        <v>0</v>
      </c>
      <c r="I98" s="27">
        <f t="shared" si="14"/>
        <v>0</v>
      </c>
      <c r="J98" s="27">
        <f t="shared" si="15"/>
        <v>16427.970477999999</v>
      </c>
      <c r="K98" s="86">
        <f t="shared" si="19"/>
        <v>0</v>
      </c>
      <c r="L98" s="9">
        <f t="shared" si="16"/>
        <v>16428.87</v>
      </c>
      <c r="M98" s="9">
        <f t="shared" si="17"/>
        <v>17415.87</v>
      </c>
      <c r="N98" s="138">
        <f t="shared" si="18"/>
        <v>0.87000000000000055</v>
      </c>
    </row>
    <row r="99" spans="1:14" ht="15.75" customHeight="1" x14ac:dyDescent="0.3">
      <c r="A99" s="127"/>
      <c r="B99" s="36"/>
      <c r="C99" s="36" t="s">
        <v>149</v>
      </c>
      <c r="D99" s="127" t="s">
        <v>236</v>
      </c>
      <c r="E99" s="107">
        <v>2.3E-3</v>
      </c>
      <c r="F99" s="27"/>
      <c r="G99" s="102"/>
      <c r="H99" s="60">
        <f t="shared" si="1"/>
        <v>0</v>
      </c>
      <c r="I99" s="27">
        <f t="shared" si="14"/>
        <v>0</v>
      </c>
      <c r="J99" s="27">
        <f t="shared" si="15"/>
        <v>16427.970477999999</v>
      </c>
      <c r="K99" s="86">
        <f t="shared" si="19"/>
        <v>0</v>
      </c>
      <c r="L99" s="9">
        <f t="shared" si="16"/>
        <v>16428.88</v>
      </c>
      <c r="M99" s="9">
        <f t="shared" si="17"/>
        <v>17415.88</v>
      </c>
      <c r="N99" s="138">
        <f t="shared" si="18"/>
        <v>0.88000000000000056</v>
      </c>
    </row>
    <row r="100" spans="1:14" ht="15.75" customHeight="1" x14ac:dyDescent="0.3">
      <c r="A100" s="127"/>
      <c r="B100" s="36"/>
      <c r="C100" s="36" t="s">
        <v>150</v>
      </c>
      <c r="D100" s="127" t="s">
        <v>212</v>
      </c>
      <c r="E100" s="107">
        <v>2.3E-3</v>
      </c>
      <c r="F100" s="27"/>
      <c r="G100" s="102"/>
      <c r="H100" s="60">
        <f t="shared" si="1"/>
        <v>0</v>
      </c>
      <c r="I100" s="27">
        <f t="shared" si="14"/>
        <v>0</v>
      </c>
      <c r="J100" s="27">
        <f t="shared" si="15"/>
        <v>16427.970477999999</v>
      </c>
      <c r="K100" s="86">
        <f t="shared" si="19"/>
        <v>0</v>
      </c>
      <c r="L100" s="9">
        <f t="shared" si="16"/>
        <v>16428.89</v>
      </c>
      <c r="M100" s="9">
        <f t="shared" si="17"/>
        <v>17415.89</v>
      </c>
      <c r="N100" s="138">
        <f t="shared" si="18"/>
        <v>0.89000000000000057</v>
      </c>
    </row>
    <row r="101" spans="1:14" ht="15.75" customHeight="1" x14ac:dyDescent="0.3">
      <c r="A101" s="127"/>
      <c r="B101" s="36"/>
      <c r="C101" s="36" t="s">
        <v>151</v>
      </c>
      <c r="D101" s="127" t="s">
        <v>218</v>
      </c>
      <c r="E101" s="107">
        <v>2.3E-3</v>
      </c>
      <c r="F101" s="27"/>
      <c r="G101" s="102"/>
      <c r="H101" s="60">
        <f t="shared" si="1"/>
        <v>0</v>
      </c>
      <c r="I101" s="27">
        <f t="shared" si="14"/>
        <v>0</v>
      </c>
      <c r="J101" s="27">
        <f t="shared" si="15"/>
        <v>16427.970477999999</v>
      </c>
      <c r="K101" s="86">
        <f t="shared" si="19"/>
        <v>0</v>
      </c>
      <c r="L101" s="9">
        <f t="shared" si="16"/>
        <v>16428.900000000001</v>
      </c>
      <c r="M101" s="9">
        <f t="shared" si="17"/>
        <v>17415.900000000001</v>
      </c>
      <c r="N101" s="138">
        <f t="shared" si="18"/>
        <v>0.90000000000000058</v>
      </c>
    </row>
    <row r="102" spans="1:14" ht="15.75" customHeight="1" x14ac:dyDescent="0.3">
      <c r="A102" s="127"/>
      <c r="B102" s="36"/>
      <c r="C102" s="36" t="s">
        <v>152</v>
      </c>
      <c r="D102" s="127" t="s">
        <v>187</v>
      </c>
      <c r="E102" s="107">
        <v>2.3E-3</v>
      </c>
      <c r="F102" s="27"/>
      <c r="G102" s="102"/>
      <c r="H102" s="60">
        <f t="shared" si="1"/>
        <v>0</v>
      </c>
      <c r="I102" s="27">
        <f t="shared" si="14"/>
        <v>0</v>
      </c>
      <c r="J102" s="27">
        <f t="shared" si="15"/>
        <v>16427.970477999999</v>
      </c>
      <c r="K102" s="86">
        <f t="shared" si="19"/>
        <v>0</v>
      </c>
      <c r="L102" s="9">
        <f t="shared" si="16"/>
        <v>16428.91</v>
      </c>
      <c r="M102" s="9">
        <f t="shared" si="17"/>
        <v>17415.91</v>
      </c>
      <c r="N102" s="138">
        <f t="shared" si="18"/>
        <v>0.91000000000000059</v>
      </c>
    </row>
    <row r="103" spans="1:14" ht="15.75" customHeight="1" x14ac:dyDescent="0.3">
      <c r="A103" s="127"/>
      <c r="B103" s="36"/>
      <c r="C103" s="36" t="s">
        <v>153</v>
      </c>
      <c r="D103" s="127" t="s">
        <v>217</v>
      </c>
      <c r="E103" s="107">
        <v>2.3E-3</v>
      </c>
      <c r="F103" s="27"/>
      <c r="G103" s="102"/>
      <c r="H103" s="60">
        <f t="shared" si="1"/>
        <v>0</v>
      </c>
      <c r="I103" s="27">
        <f t="shared" si="14"/>
        <v>0</v>
      </c>
      <c r="J103" s="27">
        <f t="shared" si="15"/>
        <v>16427.970477999999</v>
      </c>
      <c r="K103" s="86">
        <f t="shared" si="19"/>
        <v>0</v>
      </c>
      <c r="L103" s="9">
        <f t="shared" si="16"/>
        <v>16428.919999999998</v>
      </c>
      <c r="M103" s="9">
        <f t="shared" si="17"/>
        <v>17415.919999999998</v>
      </c>
      <c r="N103" s="138">
        <f t="shared" si="18"/>
        <v>0.9200000000000006</v>
      </c>
    </row>
    <row r="104" spans="1:14" ht="15.75" customHeight="1" x14ac:dyDescent="0.3">
      <c r="A104" s="127"/>
      <c r="B104" s="36"/>
      <c r="C104" s="36" t="s">
        <v>154</v>
      </c>
      <c r="D104" s="127" t="s">
        <v>202</v>
      </c>
      <c r="E104" s="107">
        <v>2.3E-3</v>
      </c>
      <c r="F104" s="27"/>
      <c r="G104" s="102"/>
      <c r="H104" s="60">
        <f t="shared" si="1"/>
        <v>0</v>
      </c>
      <c r="I104" s="27">
        <f t="shared" si="14"/>
        <v>0</v>
      </c>
      <c r="J104" s="27">
        <f t="shared" si="15"/>
        <v>16427.970477999999</v>
      </c>
      <c r="K104" s="86">
        <f t="shared" si="19"/>
        <v>0</v>
      </c>
      <c r="L104" s="9">
        <f t="shared" si="16"/>
        <v>16428.93</v>
      </c>
      <c r="M104" s="9">
        <f t="shared" si="17"/>
        <v>17415.93</v>
      </c>
      <c r="N104" s="138">
        <f t="shared" si="18"/>
        <v>0.9300000000000006</v>
      </c>
    </row>
    <row r="105" spans="1:14" x14ac:dyDescent="0.3">
      <c r="A105" s="127"/>
      <c r="B105" s="36"/>
      <c r="C105" s="36" t="s">
        <v>155</v>
      </c>
      <c r="D105" s="127" t="s">
        <v>185</v>
      </c>
      <c r="E105" s="107">
        <v>2.3E-3</v>
      </c>
      <c r="F105" s="27"/>
      <c r="G105" s="102"/>
      <c r="H105" s="60">
        <f t="shared" si="1"/>
        <v>0</v>
      </c>
      <c r="I105" s="27">
        <f t="shared" si="14"/>
        <v>0</v>
      </c>
      <c r="J105" s="27">
        <f t="shared" si="15"/>
        <v>16427.970477999999</v>
      </c>
      <c r="K105" s="86">
        <f t="shared" si="19"/>
        <v>0</v>
      </c>
      <c r="L105" s="9">
        <f t="shared" si="16"/>
        <v>16428.939999999999</v>
      </c>
      <c r="M105" s="9">
        <f t="shared" si="17"/>
        <v>17415.939999999999</v>
      </c>
      <c r="N105" s="138">
        <f t="shared" si="18"/>
        <v>0.94000000000000061</v>
      </c>
    </row>
    <row r="106" spans="1:14" x14ac:dyDescent="0.3">
      <c r="A106" s="127"/>
      <c r="B106" s="36"/>
      <c r="C106" s="36" t="s">
        <v>156</v>
      </c>
      <c r="D106" s="127" t="s">
        <v>209</v>
      </c>
      <c r="E106" s="107">
        <v>2.3E-3</v>
      </c>
      <c r="F106" s="27"/>
      <c r="G106" s="102"/>
      <c r="H106" s="60">
        <f t="shared" si="1"/>
        <v>0</v>
      </c>
      <c r="I106" s="27">
        <f t="shared" si="14"/>
        <v>0</v>
      </c>
      <c r="J106" s="27">
        <f t="shared" si="15"/>
        <v>16427.970477999999</v>
      </c>
      <c r="K106" s="86">
        <f t="shared" si="19"/>
        <v>0</v>
      </c>
      <c r="L106" s="9">
        <f t="shared" si="16"/>
        <v>16428.95</v>
      </c>
      <c r="M106" s="9">
        <f t="shared" si="17"/>
        <v>17415.95</v>
      </c>
      <c r="N106" s="138">
        <f t="shared" si="18"/>
        <v>0.95000000000000062</v>
      </c>
    </row>
    <row r="107" spans="1:14" x14ac:dyDescent="0.3">
      <c r="A107" s="127"/>
      <c r="B107" s="36"/>
      <c r="C107" s="36" t="s">
        <v>157</v>
      </c>
      <c r="D107" s="127" t="s">
        <v>231</v>
      </c>
      <c r="E107" s="107">
        <v>2.3E-3</v>
      </c>
      <c r="F107" s="27"/>
      <c r="G107" s="102"/>
      <c r="H107" s="60">
        <f t="shared" si="1"/>
        <v>0</v>
      </c>
      <c r="I107" s="27">
        <f t="shared" si="14"/>
        <v>0</v>
      </c>
      <c r="J107" s="27">
        <f t="shared" si="15"/>
        <v>16427.970477999999</v>
      </c>
      <c r="K107" s="86">
        <f t="shared" si="19"/>
        <v>0</v>
      </c>
      <c r="L107" s="9">
        <f t="shared" si="16"/>
        <v>16428.96</v>
      </c>
      <c r="M107" s="9">
        <f t="shared" si="17"/>
        <v>17415.96</v>
      </c>
      <c r="N107" s="138">
        <f t="shared" si="18"/>
        <v>0.96000000000000063</v>
      </c>
    </row>
    <row r="108" spans="1:14" x14ac:dyDescent="0.3">
      <c r="A108" s="127"/>
      <c r="B108" s="36"/>
      <c r="C108" s="36" t="s">
        <v>158</v>
      </c>
      <c r="D108" s="127" t="s">
        <v>196</v>
      </c>
      <c r="E108" s="107">
        <v>2.3E-3</v>
      </c>
      <c r="F108" s="27"/>
      <c r="G108" s="102"/>
      <c r="H108" s="60">
        <f t="shared" si="1"/>
        <v>0</v>
      </c>
      <c r="I108" s="27">
        <f t="shared" ref="I108:I124" si="20">L$4*E108</f>
        <v>0</v>
      </c>
      <c r="J108" s="27">
        <f t="shared" ref="J108:J124" si="21">L$2*E108</f>
        <v>16427.970477999999</v>
      </c>
      <c r="K108" s="86">
        <f t="shared" si="19"/>
        <v>0</v>
      </c>
      <c r="L108" s="9">
        <f t="shared" si="16"/>
        <v>16428.97</v>
      </c>
      <c r="M108" s="9">
        <f t="shared" si="17"/>
        <v>17415.97</v>
      </c>
      <c r="N108" s="138">
        <f t="shared" si="18"/>
        <v>0.97000000000000064</v>
      </c>
    </row>
    <row r="109" spans="1:14" x14ac:dyDescent="0.3">
      <c r="A109" s="127"/>
      <c r="B109" s="36"/>
      <c r="C109" s="36" t="s">
        <v>159</v>
      </c>
      <c r="D109" s="127" t="s">
        <v>126</v>
      </c>
      <c r="E109" s="107">
        <v>2.3E-3</v>
      </c>
      <c r="F109" s="27"/>
      <c r="G109" s="102"/>
      <c r="H109" s="60">
        <f t="shared" si="1"/>
        <v>0</v>
      </c>
      <c r="I109" s="27">
        <f t="shared" si="20"/>
        <v>0</v>
      </c>
      <c r="J109" s="27">
        <f t="shared" si="21"/>
        <v>16427.970477999999</v>
      </c>
      <c r="K109" s="86">
        <f t="shared" si="19"/>
        <v>0</v>
      </c>
      <c r="L109" s="9">
        <f t="shared" si="16"/>
        <v>16428.98</v>
      </c>
      <c r="M109" s="9">
        <f t="shared" si="17"/>
        <v>17415.98</v>
      </c>
      <c r="N109" s="138">
        <f t="shared" si="18"/>
        <v>0.98000000000000065</v>
      </c>
    </row>
    <row r="110" spans="1:14" x14ac:dyDescent="0.3">
      <c r="A110" s="127"/>
      <c r="B110" s="36"/>
      <c r="C110" s="36" t="s">
        <v>160</v>
      </c>
      <c r="D110" s="127" t="s">
        <v>126</v>
      </c>
      <c r="E110" s="107">
        <v>2.3E-3</v>
      </c>
      <c r="F110" s="27"/>
      <c r="G110" s="102"/>
      <c r="H110" s="60">
        <f t="shared" si="1"/>
        <v>0</v>
      </c>
      <c r="I110" s="27">
        <f t="shared" si="20"/>
        <v>0</v>
      </c>
      <c r="J110" s="27">
        <f t="shared" si="21"/>
        <v>16427.970477999999</v>
      </c>
      <c r="K110" s="86">
        <f t="shared" si="19"/>
        <v>0</v>
      </c>
      <c r="L110" s="9">
        <f t="shared" si="16"/>
        <v>16428.990000000002</v>
      </c>
      <c r="M110" s="9">
        <f t="shared" si="17"/>
        <v>17415.990000000002</v>
      </c>
      <c r="N110" s="138">
        <f t="shared" si="18"/>
        <v>0.99000000000000066</v>
      </c>
    </row>
    <row r="111" spans="1:14" x14ac:dyDescent="0.3">
      <c r="A111" s="127"/>
      <c r="B111" s="36"/>
      <c r="C111" s="36" t="s">
        <v>161</v>
      </c>
      <c r="D111" s="127" t="s">
        <v>126</v>
      </c>
      <c r="E111" s="107">
        <v>2.3E-3</v>
      </c>
      <c r="F111" s="27"/>
      <c r="G111" s="102"/>
      <c r="H111" s="60">
        <f t="shared" si="1"/>
        <v>0</v>
      </c>
      <c r="I111" s="27">
        <f t="shared" si="20"/>
        <v>0</v>
      </c>
      <c r="J111" s="27">
        <f t="shared" si="21"/>
        <v>16427.970477999999</v>
      </c>
      <c r="K111" s="86">
        <f t="shared" si="19"/>
        <v>0</v>
      </c>
      <c r="L111" s="9">
        <f t="shared" si="16"/>
        <v>16429</v>
      </c>
      <c r="M111" s="9">
        <f t="shared" si="17"/>
        <v>17416</v>
      </c>
      <c r="N111" s="138">
        <f t="shared" si="18"/>
        <v>1.0000000000000007</v>
      </c>
    </row>
    <row r="112" spans="1:14" x14ac:dyDescent="0.3">
      <c r="A112" s="154"/>
      <c r="B112" s="36"/>
      <c r="C112" s="36" t="s">
        <v>162</v>
      </c>
      <c r="D112" s="127" t="s">
        <v>229</v>
      </c>
      <c r="E112" s="107">
        <v>2.3E-3</v>
      </c>
      <c r="F112" s="27"/>
      <c r="G112" s="102"/>
      <c r="H112" s="60">
        <f t="shared" si="1"/>
        <v>0</v>
      </c>
      <c r="I112" s="27">
        <f t="shared" si="20"/>
        <v>0</v>
      </c>
      <c r="J112" s="27">
        <f t="shared" si="21"/>
        <v>16427.970477999999</v>
      </c>
      <c r="K112" s="86">
        <f t="shared" si="19"/>
        <v>0</v>
      </c>
      <c r="L112" s="9">
        <f t="shared" si="16"/>
        <v>16429.009999999998</v>
      </c>
      <c r="M112" s="9">
        <f t="shared" si="17"/>
        <v>17416.009999999998</v>
      </c>
      <c r="N112" s="138">
        <f t="shared" si="18"/>
        <v>1.0100000000000007</v>
      </c>
    </row>
    <row r="113" spans="1:15" x14ac:dyDescent="0.3">
      <c r="A113" s="154"/>
      <c r="B113" s="36"/>
      <c r="C113" s="36" t="s">
        <v>163</v>
      </c>
      <c r="D113" s="127" t="s">
        <v>198</v>
      </c>
      <c r="E113" s="107">
        <v>2.3E-3</v>
      </c>
      <c r="F113" s="27"/>
      <c r="G113" s="102"/>
      <c r="H113" s="60">
        <f t="shared" si="1"/>
        <v>0</v>
      </c>
      <c r="I113" s="27">
        <f t="shared" si="20"/>
        <v>0</v>
      </c>
      <c r="J113" s="27">
        <f t="shared" si="21"/>
        <v>16427.970477999999</v>
      </c>
      <c r="K113" s="86">
        <f t="shared" si="19"/>
        <v>0</v>
      </c>
      <c r="L113" s="9">
        <f t="shared" si="16"/>
        <v>16429.02</v>
      </c>
      <c r="M113" s="9">
        <f t="shared" si="17"/>
        <v>17416.02</v>
      </c>
      <c r="N113" s="138">
        <f t="shared" si="18"/>
        <v>1.0200000000000007</v>
      </c>
    </row>
    <row r="114" spans="1:15" x14ac:dyDescent="0.3">
      <c r="A114" s="154"/>
      <c r="B114" s="36"/>
      <c r="C114" s="36" t="s">
        <v>164</v>
      </c>
      <c r="D114" s="127" t="s">
        <v>126</v>
      </c>
      <c r="E114" s="107">
        <v>2.3E-3</v>
      </c>
      <c r="F114" s="27"/>
      <c r="G114" s="102"/>
      <c r="H114" s="60">
        <f t="shared" si="1"/>
        <v>0</v>
      </c>
      <c r="I114" s="27">
        <f t="shared" si="20"/>
        <v>0</v>
      </c>
      <c r="J114" s="27">
        <f t="shared" si="21"/>
        <v>16427.970477999999</v>
      </c>
      <c r="K114" s="86">
        <f t="shared" si="19"/>
        <v>0</v>
      </c>
      <c r="L114" s="9">
        <f t="shared" si="16"/>
        <v>16429.03</v>
      </c>
      <c r="M114" s="9">
        <f t="shared" si="17"/>
        <v>17416.03</v>
      </c>
      <c r="N114" s="138">
        <f t="shared" si="18"/>
        <v>1.0300000000000007</v>
      </c>
    </row>
    <row r="115" spans="1:15" x14ac:dyDescent="0.3">
      <c r="A115" s="154"/>
      <c r="B115" s="36"/>
      <c r="C115" s="36" t="s">
        <v>165</v>
      </c>
      <c r="D115" s="127" t="s">
        <v>228</v>
      </c>
      <c r="E115" s="107">
        <v>2.3E-3</v>
      </c>
      <c r="F115" s="27"/>
      <c r="G115" s="102"/>
      <c r="H115" s="60">
        <f t="shared" si="1"/>
        <v>0</v>
      </c>
      <c r="I115" s="27">
        <f t="shared" si="20"/>
        <v>0</v>
      </c>
      <c r="J115" s="27">
        <f t="shared" si="21"/>
        <v>16427.970477999999</v>
      </c>
      <c r="K115" s="86">
        <f t="shared" si="19"/>
        <v>0</v>
      </c>
      <c r="L115" s="9">
        <f t="shared" si="16"/>
        <v>16429.04</v>
      </c>
      <c r="M115" s="9">
        <f t="shared" si="17"/>
        <v>17416.04</v>
      </c>
      <c r="N115" s="138">
        <f t="shared" si="18"/>
        <v>1.0400000000000007</v>
      </c>
    </row>
    <row r="116" spans="1:15" x14ac:dyDescent="0.3">
      <c r="A116" s="154"/>
      <c r="B116" s="36"/>
      <c r="C116" s="36" t="s">
        <v>166</v>
      </c>
      <c r="D116" s="127" t="s">
        <v>223</v>
      </c>
      <c r="E116" s="107">
        <v>2.3E-3</v>
      </c>
      <c r="F116" s="27"/>
      <c r="G116" s="102"/>
      <c r="H116" s="60">
        <f t="shared" si="1"/>
        <v>0</v>
      </c>
      <c r="I116" s="27">
        <f t="shared" si="20"/>
        <v>0</v>
      </c>
      <c r="J116" s="27">
        <f t="shared" si="21"/>
        <v>16427.970477999999</v>
      </c>
      <c r="K116" s="86">
        <f t="shared" si="19"/>
        <v>0</v>
      </c>
      <c r="L116" s="9">
        <f t="shared" si="16"/>
        <v>16429.05</v>
      </c>
      <c r="M116" s="9">
        <f t="shared" si="17"/>
        <v>17416.05</v>
      </c>
      <c r="N116" s="138">
        <f t="shared" si="18"/>
        <v>1.0500000000000007</v>
      </c>
    </row>
    <row r="117" spans="1:15" x14ac:dyDescent="0.3">
      <c r="A117" s="154"/>
      <c r="B117" s="36"/>
      <c r="C117" s="36" t="s">
        <v>167</v>
      </c>
      <c r="D117" s="127" t="s">
        <v>126</v>
      </c>
      <c r="E117" s="107">
        <v>2.3E-3</v>
      </c>
      <c r="F117" s="27"/>
      <c r="G117" s="102"/>
      <c r="H117" s="60">
        <f t="shared" si="1"/>
        <v>0</v>
      </c>
      <c r="I117" s="27">
        <f t="shared" si="20"/>
        <v>0</v>
      </c>
      <c r="J117" s="27">
        <f t="shared" si="21"/>
        <v>16427.970477999999</v>
      </c>
      <c r="K117" s="86">
        <f t="shared" si="19"/>
        <v>0</v>
      </c>
      <c r="L117" s="9">
        <f t="shared" si="16"/>
        <v>16429.060000000001</v>
      </c>
      <c r="M117" s="9">
        <f t="shared" si="17"/>
        <v>17416.060000000001</v>
      </c>
      <c r="N117" s="138">
        <f t="shared" si="18"/>
        <v>1.0600000000000007</v>
      </c>
    </row>
    <row r="118" spans="1:15" x14ac:dyDescent="0.3">
      <c r="A118" s="154"/>
      <c r="B118" s="36"/>
      <c r="C118" s="36" t="s">
        <v>168</v>
      </c>
      <c r="D118" s="127" t="s">
        <v>126</v>
      </c>
      <c r="E118" s="107">
        <v>2.3E-3</v>
      </c>
      <c r="F118" s="27"/>
      <c r="G118" s="102"/>
      <c r="H118" s="60">
        <f t="shared" si="1"/>
        <v>0</v>
      </c>
      <c r="I118" s="27">
        <f t="shared" si="20"/>
        <v>0</v>
      </c>
      <c r="J118" s="27">
        <f t="shared" si="21"/>
        <v>16427.970477999999</v>
      </c>
      <c r="K118" s="86">
        <f t="shared" si="19"/>
        <v>0</v>
      </c>
      <c r="L118" s="9">
        <f t="shared" si="16"/>
        <v>16429.07</v>
      </c>
      <c r="M118" s="9">
        <f t="shared" si="17"/>
        <v>17416.07</v>
      </c>
      <c r="N118" s="138">
        <f t="shared" si="18"/>
        <v>1.0700000000000007</v>
      </c>
    </row>
    <row r="119" spans="1:15" x14ac:dyDescent="0.3">
      <c r="A119" s="154"/>
      <c r="B119" s="36"/>
      <c r="C119" s="36" t="s">
        <v>169</v>
      </c>
      <c r="D119" s="127" t="s">
        <v>126</v>
      </c>
      <c r="E119" s="107">
        <v>2.3E-3</v>
      </c>
      <c r="F119" s="27"/>
      <c r="G119" s="102"/>
      <c r="H119" s="60">
        <f t="shared" si="1"/>
        <v>0</v>
      </c>
      <c r="I119" s="27">
        <f t="shared" si="20"/>
        <v>0</v>
      </c>
      <c r="J119" s="27">
        <f t="shared" si="21"/>
        <v>16427.970477999999</v>
      </c>
      <c r="K119" s="86">
        <f t="shared" si="19"/>
        <v>0</v>
      </c>
      <c r="L119" s="9">
        <f t="shared" si="16"/>
        <v>16429.080000000002</v>
      </c>
      <c r="M119" s="9">
        <f t="shared" si="17"/>
        <v>17416.080000000002</v>
      </c>
      <c r="N119" s="138">
        <f t="shared" si="18"/>
        <v>1.0800000000000007</v>
      </c>
    </row>
    <row r="120" spans="1:15" x14ac:dyDescent="0.3">
      <c r="A120" s="154"/>
      <c r="B120" s="36"/>
      <c r="C120" s="36" t="s">
        <v>170</v>
      </c>
      <c r="D120" s="127" t="s">
        <v>226</v>
      </c>
      <c r="E120" s="107">
        <v>2.3E-3</v>
      </c>
      <c r="F120" s="27"/>
      <c r="G120" s="102"/>
      <c r="H120" s="60">
        <f t="shared" si="1"/>
        <v>0</v>
      </c>
      <c r="I120" s="27">
        <f t="shared" si="20"/>
        <v>0</v>
      </c>
      <c r="J120" s="27">
        <f t="shared" si="21"/>
        <v>16427.970477999999</v>
      </c>
      <c r="K120" s="86">
        <f t="shared" si="19"/>
        <v>0</v>
      </c>
      <c r="L120" s="9">
        <f t="shared" si="16"/>
        <v>16429.09</v>
      </c>
      <c r="M120" s="9">
        <f t="shared" si="17"/>
        <v>17416.09</v>
      </c>
      <c r="N120" s="138">
        <f t="shared" si="18"/>
        <v>1.0900000000000007</v>
      </c>
    </row>
    <row r="121" spans="1:15" x14ac:dyDescent="0.3">
      <c r="A121" s="154"/>
      <c r="B121" s="36"/>
      <c r="C121" s="36" t="s">
        <v>171</v>
      </c>
      <c r="D121" s="127" t="s">
        <v>219</v>
      </c>
      <c r="E121" s="107">
        <v>2.3E-3</v>
      </c>
      <c r="F121" s="27"/>
      <c r="G121" s="102"/>
      <c r="H121" s="60">
        <f t="shared" si="1"/>
        <v>0</v>
      </c>
      <c r="I121" s="27">
        <f t="shared" si="20"/>
        <v>0</v>
      </c>
      <c r="J121" s="27">
        <f t="shared" si="21"/>
        <v>16427.970477999999</v>
      </c>
      <c r="K121" s="86">
        <f t="shared" si="19"/>
        <v>0</v>
      </c>
      <c r="L121" s="9">
        <f t="shared" si="16"/>
        <v>16429.099999999999</v>
      </c>
      <c r="M121" s="9">
        <f t="shared" si="17"/>
        <v>17416.099999999999</v>
      </c>
      <c r="N121" s="138">
        <f t="shared" si="18"/>
        <v>1.1000000000000008</v>
      </c>
    </row>
    <row r="122" spans="1:15" x14ac:dyDescent="0.3">
      <c r="A122" s="154"/>
      <c r="B122" s="36"/>
      <c r="C122" s="36" t="s">
        <v>172</v>
      </c>
      <c r="D122" s="127" t="s">
        <v>230</v>
      </c>
      <c r="E122" s="107">
        <v>2.3E-3</v>
      </c>
      <c r="F122" s="27"/>
      <c r="G122" s="102"/>
      <c r="H122" s="60">
        <f t="shared" si="1"/>
        <v>0</v>
      </c>
      <c r="I122" s="27">
        <f t="shared" si="20"/>
        <v>0</v>
      </c>
      <c r="J122" s="27">
        <f t="shared" si="21"/>
        <v>16427.970477999999</v>
      </c>
      <c r="K122" s="86">
        <f t="shared" si="19"/>
        <v>0</v>
      </c>
      <c r="L122" s="9">
        <f t="shared" si="16"/>
        <v>16429.11</v>
      </c>
      <c r="M122" s="9">
        <f t="shared" si="17"/>
        <v>17416.11</v>
      </c>
      <c r="N122" s="138">
        <f t="shared" si="18"/>
        <v>1.1100000000000008</v>
      </c>
    </row>
    <row r="123" spans="1:15" x14ac:dyDescent="0.3">
      <c r="A123" s="154" t="s">
        <v>29</v>
      </c>
      <c r="B123" s="36"/>
      <c r="C123" s="36" t="s">
        <v>173</v>
      </c>
      <c r="D123" s="127" t="s">
        <v>210</v>
      </c>
      <c r="E123" s="107">
        <v>2.3E-3</v>
      </c>
      <c r="F123" s="27"/>
      <c r="G123" s="102">
        <f>F123</f>
        <v>0</v>
      </c>
      <c r="H123" s="60">
        <f t="shared" si="1"/>
        <v>0</v>
      </c>
      <c r="I123" s="27">
        <f t="shared" si="20"/>
        <v>0</v>
      </c>
      <c r="J123" s="27">
        <f t="shared" si="21"/>
        <v>16427.970477999999</v>
      </c>
      <c r="K123" s="86">
        <f t="shared" si="19"/>
        <v>0</v>
      </c>
      <c r="L123" s="9">
        <f t="shared" si="16"/>
        <v>16429.12</v>
      </c>
      <c r="M123" s="9">
        <f t="shared" si="17"/>
        <v>17416.12</v>
      </c>
      <c r="N123" s="138">
        <f t="shared" si="18"/>
        <v>1.1200000000000008</v>
      </c>
    </row>
    <row r="124" spans="1:15" x14ac:dyDescent="0.3">
      <c r="A124" s="154" t="s">
        <v>29</v>
      </c>
      <c r="B124" s="36"/>
      <c r="C124" s="36" t="s">
        <v>174</v>
      </c>
      <c r="D124" s="127" t="s">
        <v>126</v>
      </c>
      <c r="E124" s="107">
        <v>2.3E-3</v>
      </c>
      <c r="F124" s="27"/>
      <c r="G124" s="103">
        <f>F124</f>
        <v>0</v>
      </c>
      <c r="H124" s="60">
        <f t="shared" si="1"/>
        <v>0</v>
      </c>
      <c r="I124" s="27">
        <f t="shared" si="20"/>
        <v>0</v>
      </c>
      <c r="J124" s="27">
        <f t="shared" si="21"/>
        <v>16427.970477999999</v>
      </c>
      <c r="K124" s="86">
        <f t="shared" si="19"/>
        <v>0</v>
      </c>
      <c r="L124" s="9">
        <f t="shared" si="16"/>
        <v>16429.13</v>
      </c>
      <c r="M124" s="9">
        <f t="shared" si="17"/>
        <v>17416.13</v>
      </c>
      <c r="N124" s="138">
        <f t="shared" si="18"/>
        <v>1.1300000000000008</v>
      </c>
    </row>
    <row r="125" spans="1:15" x14ac:dyDescent="0.3">
      <c r="A125" s="56" t="s">
        <v>29</v>
      </c>
      <c r="B125" s="6"/>
      <c r="C125" s="6"/>
      <c r="D125" s="62"/>
      <c r="E125" s="6"/>
      <c r="F125" s="27"/>
      <c r="G125" s="102"/>
      <c r="H125" s="60"/>
      <c r="I125" s="27"/>
      <c r="J125" s="27"/>
      <c r="K125" s="86"/>
      <c r="L125" s="5"/>
      <c r="M125" s="9"/>
    </row>
    <row r="126" spans="1:15" ht="14.25" customHeight="1" x14ac:dyDescent="0.3">
      <c r="A126" s="28"/>
      <c r="B126" s="28"/>
      <c r="C126" s="28"/>
      <c r="D126" s="28"/>
      <c r="E126" s="139">
        <f>SUM(E7:E125)</f>
        <v>0.99819999999999809</v>
      </c>
      <c r="F126" s="29">
        <f>SUM(F7:F125)</f>
        <v>0</v>
      </c>
      <c r="G126" s="29">
        <f>SUM(G7:G125)</f>
        <v>0</v>
      </c>
      <c r="H126" s="28"/>
      <c r="I126" s="57">
        <f>SUM(I7:I125)</f>
        <v>0</v>
      </c>
      <c r="J126" s="29">
        <f>SUM(J7:J125)</f>
        <v>7089643.5331600076</v>
      </c>
      <c r="K126" s="94">
        <f>SUM(K7:K125)</f>
        <v>81000</v>
      </c>
      <c r="L126" s="30">
        <f>SUM(L7:L125)</f>
        <v>7170719.7933599995</v>
      </c>
      <c r="M126" s="29">
        <f>SUM(M7:M125)</f>
        <v>7601040.5563615998</v>
      </c>
      <c r="O126" s="64"/>
    </row>
    <row r="127" spans="1:15" hidden="1" x14ac:dyDescent="0.3">
      <c r="J127" s="66">
        <f>J126-K1</f>
        <v>315014.57316000853</v>
      </c>
    </row>
    <row r="128" spans="1:15" ht="15" hidden="1" customHeight="1" x14ac:dyDescent="0.3">
      <c r="C128" s="179"/>
      <c r="D128" s="179"/>
      <c r="E128" s="179"/>
      <c r="F128" s="179"/>
      <c r="G128" s="179"/>
      <c r="H128" s="179"/>
      <c r="I128" s="179"/>
      <c r="J128" s="179"/>
      <c r="K128" s="179"/>
      <c r="L128" s="179"/>
      <c r="M128" s="179"/>
    </row>
    <row r="129" spans="3:15" hidden="1" x14ac:dyDescent="0.3">
      <c r="C129" s="179"/>
      <c r="D129" s="179"/>
      <c r="E129" s="179"/>
      <c r="F129" s="179"/>
      <c r="G129" s="179"/>
      <c r="H129" s="179"/>
      <c r="I129" s="179"/>
      <c r="J129" s="179"/>
      <c r="K129" s="179"/>
      <c r="L129" s="179"/>
      <c r="M129" s="179"/>
    </row>
    <row r="130" spans="3:15" ht="8.25" customHeight="1" x14ac:dyDescent="0.3">
      <c r="C130" s="88"/>
      <c r="D130" s="88"/>
      <c r="E130" s="88"/>
      <c r="F130" s="88"/>
      <c r="G130" s="88"/>
      <c r="H130" s="88"/>
      <c r="I130" s="88"/>
      <c r="J130" s="88"/>
      <c r="K130" s="88"/>
      <c r="L130" s="88"/>
      <c r="M130" s="88"/>
    </row>
    <row r="131" spans="3:15" x14ac:dyDescent="0.3">
      <c r="C131" s="179" t="s">
        <v>294</v>
      </c>
      <c r="D131" s="179"/>
      <c r="E131" s="179"/>
      <c r="F131" s="179"/>
      <c r="G131" s="179"/>
      <c r="H131" s="179"/>
      <c r="I131" s="179"/>
      <c r="J131" s="179"/>
      <c r="K131" s="179"/>
      <c r="L131" s="179"/>
      <c r="M131" s="179"/>
    </row>
    <row r="132" spans="3:15" x14ac:dyDescent="0.3">
      <c r="C132" s="179"/>
      <c r="D132" s="179"/>
      <c r="E132" s="179"/>
      <c r="F132" s="179"/>
      <c r="G132" s="179"/>
      <c r="H132" s="179"/>
      <c r="I132" s="179"/>
      <c r="J132" s="179"/>
      <c r="K132" s="179"/>
      <c r="L132" s="179"/>
      <c r="M132" s="179"/>
    </row>
    <row r="133" spans="3:15" x14ac:dyDescent="0.3">
      <c r="C133" s="179"/>
      <c r="D133" s="179"/>
      <c r="E133" s="179"/>
      <c r="F133" s="179"/>
      <c r="G133" s="179"/>
      <c r="H133" s="179"/>
      <c r="I133" s="179"/>
      <c r="J133" s="179"/>
      <c r="K133" s="179"/>
      <c r="L133" s="179"/>
      <c r="M133" s="179"/>
    </row>
    <row r="134" spans="3:15" x14ac:dyDescent="0.3">
      <c r="C134" s="179"/>
      <c r="D134" s="179"/>
      <c r="E134" s="179"/>
      <c r="F134" s="179"/>
      <c r="G134" s="179"/>
      <c r="H134" s="179"/>
      <c r="I134" s="179"/>
      <c r="J134" s="179"/>
      <c r="K134" s="179"/>
      <c r="L134" s="179"/>
      <c r="M134" s="179"/>
    </row>
    <row r="135" spans="3:15" x14ac:dyDescent="0.3">
      <c r="C135" s="179"/>
      <c r="D135" s="179"/>
      <c r="E135" s="179"/>
      <c r="F135" s="179"/>
      <c r="G135" s="179"/>
      <c r="H135" s="179"/>
      <c r="I135" s="179"/>
      <c r="J135" s="179"/>
      <c r="K135" s="179"/>
      <c r="L135" s="179"/>
      <c r="M135" s="179"/>
    </row>
    <row r="136" spans="3:15" x14ac:dyDescent="0.3">
      <c r="C136" s="179"/>
      <c r="D136" s="179"/>
      <c r="E136" s="179"/>
      <c r="F136" s="179"/>
      <c r="G136" s="179"/>
      <c r="H136" s="179"/>
      <c r="I136" s="179"/>
      <c r="J136" s="179"/>
      <c r="K136" s="179"/>
      <c r="L136" s="179"/>
      <c r="M136" s="179"/>
    </row>
    <row r="137" spans="3:15" x14ac:dyDescent="0.3">
      <c r="C137" s="179"/>
      <c r="D137" s="179"/>
      <c r="E137" s="179"/>
      <c r="F137" s="179"/>
      <c r="G137" s="179"/>
      <c r="H137" s="179"/>
      <c r="I137" s="179"/>
      <c r="J137" s="179"/>
      <c r="K137" s="179"/>
      <c r="L137" s="179"/>
      <c r="M137" s="179"/>
    </row>
    <row r="138" spans="3:15" x14ac:dyDescent="0.3">
      <c r="C138" s="179"/>
      <c r="D138" s="179"/>
      <c r="E138" s="179"/>
      <c r="F138" s="179"/>
      <c r="G138" s="179"/>
      <c r="H138" s="179"/>
      <c r="I138" s="179"/>
      <c r="J138" s="179"/>
      <c r="K138" s="179"/>
      <c r="L138" s="179"/>
      <c r="M138" s="179"/>
    </row>
    <row r="139" spans="3:15" ht="6" customHeight="1" x14ac:dyDescent="0.3">
      <c r="C139" s="88"/>
      <c r="D139" s="88"/>
      <c r="E139" s="88"/>
      <c r="F139" s="88"/>
      <c r="G139" s="88"/>
      <c r="H139" s="88"/>
      <c r="I139" s="88"/>
      <c r="J139" s="88"/>
      <c r="K139" s="88"/>
      <c r="L139" s="88"/>
      <c r="M139" s="88"/>
    </row>
    <row r="140" spans="3:15" ht="45" hidden="1" customHeight="1" x14ac:dyDescent="0.3">
      <c r="C140" s="88"/>
      <c r="D140" s="88"/>
      <c r="E140" s="88"/>
      <c r="F140" s="88"/>
      <c r="G140" s="88"/>
      <c r="H140" s="88"/>
      <c r="I140" s="88"/>
      <c r="J140" s="88"/>
      <c r="K140" s="88"/>
      <c r="L140" s="88"/>
      <c r="M140" s="88"/>
    </row>
    <row r="141" spans="3:15" x14ac:dyDescent="0.3">
      <c r="C141" s="178" t="s">
        <v>293</v>
      </c>
      <c r="D141" s="178"/>
      <c r="E141" s="178"/>
      <c r="F141" s="178"/>
      <c r="G141" s="178"/>
      <c r="H141" s="178"/>
      <c r="I141" s="178"/>
      <c r="J141" s="178"/>
      <c r="K141" s="178"/>
      <c r="L141" s="178"/>
      <c r="M141" s="178"/>
    </row>
    <row r="142" spans="3:15" x14ac:dyDescent="0.3">
      <c r="C142" s="178"/>
      <c r="D142" s="178"/>
      <c r="E142" s="178"/>
      <c r="F142" s="178"/>
      <c r="G142" s="178"/>
      <c r="H142" s="178"/>
      <c r="I142" s="178"/>
      <c r="J142" s="178"/>
      <c r="K142" s="178"/>
      <c r="L142" s="178"/>
      <c r="M142" s="178"/>
    </row>
    <row r="143" spans="3:15" x14ac:dyDescent="0.3">
      <c r="C143" s="178"/>
      <c r="D143" s="178"/>
      <c r="E143" s="178"/>
      <c r="F143" s="178"/>
      <c r="G143" s="178"/>
      <c r="H143" s="178"/>
      <c r="I143" s="178"/>
      <c r="J143" s="178"/>
      <c r="K143" s="178"/>
      <c r="L143" s="178"/>
      <c r="M143" s="178"/>
      <c r="O143" s="96">
        <f>K1-J126</f>
        <v>-315014.57316000853</v>
      </c>
    </row>
    <row r="144" spans="3:15" x14ac:dyDescent="0.3">
      <c r="C144" s="178"/>
      <c r="D144" s="178"/>
      <c r="E144" s="178"/>
      <c r="F144" s="178"/>
      <c r="G144" s="178"/>
      <c r="H144" s="178"/>
      <c r="I144" s="178"/>
      <c r="J144" s="178"/>
      <c r="K144" s="178"/>
      <c r="L144" s="178"/>
      <c r="M144" s="178"/>
    </row>
    <row r="145" spans="3:13" ht="5.25" customHeight="1" x14ac:dyDescent="0.3">
      <c r="C145" s="178"/>
      <c r="D145" s="178"/>
      <c r="E145" s="178"/>
      <c r="F145" s="178"/>
      <c r="G145" s="178"/>
      <c r="H145" s="178"/>
      <c r="I145" s="178"/>
      <c r="J145" s="178"/>
      <c r="K145" s="178"/>
      <c r="L145" s="178"/>
      <c r="M145" s="178"/>
    </row>
    <row r="146" spans="3:13" hidden="1" x14ac:dyDescent="0.3">
      <c r="C146" s="178"/>
      <c r="D146" s="178"/>
      <c r="E146" s="178"/>
      <c r="F146" s="178"/>
      <c r="G146" s="178"/>
      <c r="H146" s="178"/>
      <c r="I146" s="178"/>
      <c r="J146" s="178"/>
      <c r="K146" s="178"/>
      <c r="L146" s="178"/>
      <c r="M146" s="178"/>
    </row>
    <row r="147" spans="3:13" hidden="1" x14ac:dyDescent="0.3">
      <c r="C147" s="178"/>
      <c r="D147" s="178"/>
      <c r="E147" s="178"/>
      <c r="F147" s="178"/>
      <c r="G147" s="178"/>
      <c r="H147" s="178"/>
      <c r="I147" s="178"/>
      <c r="J147" s="178"/>
      <c r="K147" s="178"/>
      <c r="L147" s="178"/>
      <c r="M147" s="178"/>
    </row>
  </sheetData>
  <mergeCells count="18">
    <mergeCell ref="P7:Q8"/>
    <mergeCell ref="F5:F6"/>
    <mergeCell ref="C141:M147"/>
    <mergeCell ref="C128:M129"/>
    <mergeCell ref="K1:L1"/>
    <mergeCell ref="M5:M6"/>
    <mergeCell ref="G5:G6"/>
    <mergeCell ref="H5:H6"/>
    <mergeCell ref="I5:I6"/>
    <mergeCell ref="J5:J6"/>
    <mergeCell ref="K5:K6"/>
    <mergeCell ref="L5:L6"/>
    <mergeCell ref="C131:M138"/>
    <mergeCell ref="A5:A6"/>
    <mergeCell ref="B5:B6"/>
    <mergeCell ref="C5:C6"/>
    <mergeCell ref="D5:D6"/>
    <mergeCell ref="E5:E6"/>
  </mergeCells>
  <phoneticPr fontId="19" type="noConversion"/>
  <pageMargins left="0.25" right="0.25" top="0.75" bottom="0.75" header="0.3" footer="0.3"/>
  <pageSetup paperSize="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B4"/>
  <sheetViews>
    <sheetView workbookViewId="0">
      <selection activeCell="B5" sqref="B5"/>
    </sheetView>
  </sheetViews>
  <sheetFormatPr baseColWidth="10" defaultRowHeight="14.4" x14ac:dyDescent="0.3"/>
  <sheetData>
    <row r="4" spans="2:2" x14ac:dyDescent="0.3">
      <c r="B4" t="s">
        <v>303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9CFE1-42D2-4AD8-B863-5EC1A49F4085}">
  <dimension ref="A2:J26"/>
  <sheetViews>
    <sheetView tabSelected="1" topLeftCell="C16" workbookViewId="0">
      <selection activeCell="J27" sqref="A2:J27"/>
    </sheetView>
  </sheetViews>
  <sheetFormatPr baseColWidth="10" defaultRowHeight="14.4" x14ac:dyDescent="0.3"/>
  <cols>
    <col min="1" max="2" width="11.5546875" hidden="1" customWidth="1"/>
    <col min="7" max="7" width="14.33203125" bestFit="1" customWidth="1"/>
  </cols>
  <sheetData>
    <row r="2" spans="3:10" ht="15" thickBot="1" x14ac:dyDescent="0.35"/>
    <row r="3" spans="3:10" x14ac:dyDescent="0.3">
      <c r="C3" s="194" t="str">
        <f>RESUMEN!C5</f>
        <v>PERÍODO: JULIO</v>
      </c>
      <c r="D3" s="195"/>
      <c r="E3" s="195"/>
      <c r="F3" s="195" t="str">
        <f>RESUMEN!A22</f>
        <v xml:space="preserve">Sueldo encargada Sonia Arzamendia Galeano </v>
      </c>
      <c r="G3" s="195"/>
      <c r="H3" s="195"/>
      <c r="I3" s="195"/>
      <c r="J3" s="196"/>
    </row>
    <row r="4" spans="3:10" x14ac:dyDescent="0.3">
      <c r="C4" s="1"/>
      <c r="D4" s="189"/>
      <c r="E4" s="189"/>
      <c r="F4" s="189"/>
      <c r="G4" s="189"/>
      <c r="H4" s="189"/>
      <c r="I4" s="189"/>
      <c r="J4" s="190"/>
    </row>
    <row r="5" spans="3:10" x14ac:dyDescent="0.3">
      <c r="C5" s="1" t="str">
        <f>RESUMEN!A23</f>
        <v xml:space="preserve">Haberes </v>
      </c>
      <c r="D5" s="189"/>
      <c r="E5" s="189"/>
      <c r="F5" s="189"/>
      <c r="G5" s="197">
        <f>RESUMEN!D23</f>
        <v>963000</v>
      </c>
      <c r="H5" s="201" t="s">
        <v>304</v>
      </c>
      <c r="I5" s="201"/>
      <c r="J5" s="202"/>
    </row>
    <row r="6" spans="3:10" x14ac:dyDescent="0.3">
      <c r="C6" s="1" t="str">
        <f>RESUMEN!A24</f>
        <v>Plus pileta</v>
      </c>
      <c r="D6" s="189"/>
      <c r="E6" s="189"/>
      <c r="F6" s="189"/>
      <c r="G6" s="197">
        <f>RESUMEN!D24</f>
        <v>33606.9</v>
      </c>
      <c r="H6" s="201" t="s">
        <v>305</v>
      </c>
      <c r="I6" s="201"/>
      <c r="J6" s="202"/>
    </row>
    <row r="7" spans="3:10" x14ac:dyDescent="0.3">
      <c r="C7" s="1" t="str">
        <f>RESUMEN!A25</f>
        <v>Plus retiro de basura</v>
      </c>
      <c r="D7" s="189"/>
      <c r="E7" s="189"/>
      <c r="F7" s="189"/>
      <c r="G7" s="197">
        <f>RESUMEN!D25</f>
        <v>111256.4</v>
      </c>
      <c r="H7" s="201"/>
      <c r="I7" s="201"/>
      <c r="J7" s="202"/>
    </row>
    <row r="8" spans="3:10" x14ac:dyDescent="0.3">
      <c r="C8" s="1" t="str">
        <f>RESUMEN!A26</f>
        <v>Plus cochera</v>
      </c>
      <c r="D8" s="189"/>
      <c r="E8" s="189"/>
      <c r="F8" s="189"/>
      <c r="G8" s="197">
        <f>RESUMEN!D26</f>
        <v>19877.400000000001</v>
      </c>
      <c r="H8" s="189"/>
      <c r="I8" s="189"/>
      <c r="J8" s="190"/>
    </row>
    <row r="9" spans="3:10" x14ac:dyDescent="0.3">
      <c r="C9" s="1" t="str">
        <f>RESUMEN!A27</f>
        <v>Adicional remuneracion</v>
      </c>
      <c r="D9" s="189"/>
      <c r="E9" s="189"/>
      <c r="F9" s="189"/>
      <c r="G9" s="197">
        <f>RESUMEN!D27</f>
        <v>50000</v>
      </c>
      <c r="H9" s="201" t="s">
        <v>306</v>
      </c>
      <c r="I9" s="201"/>
      <c r="J9" s="202"/>
    </row>
    <row r="10" spans="3:10" x14ac:dyDescent="0.3">
      <c r="C10" s="1" t="str">
        <f>RESUMEN!A28</f>
        <v>SAC</v>
      </c>
      <c r="D10" s="189"/>
      <c r="E10" s="189"/>
      <c r="F10" s="189"/>
      <c r="G10" s="197">
        <f>RESUMEN!D28</f>
        <v>410000</v>
      </c>
      <c r="H10" s="201" t="s">
        <v>305</v>
      </c>
      <c r="I10" s="201"/>
      <c r="J10" s="202"/>
    </row>
    <row r="11" spans="3:10" x14ac:dyDescent="0.3">
      <c r="C11" s="1"/>
      <c r="D11" s="189"/>
      <c r="E11" s="189"/>
      <c r="F11" s="189"/>
      <c r="G11" s="189"/>
      <c r="H11" s="201"/>
      <c r="I11" s="201"/>
      <c r="J11" s="202"/>
    </row>
    <row r="12" spans="3:10" x14ac:dyDescent="0.3">
      <c r="C12" s="198" t="s">
        <v>18</v>
      </c>
      <c r="D12" s="199"/>
      <c r="E12" s="199"/>
      <c r="F12" s="199"/>
      <c r="G12" s="200">
        <f>SUM(G5:G11)</f>
        <v>1587740.7</v>
      </c>
      <c r="H12" s="189"/>
      <c r="I12" s="189"/>
      <c r="J12" s="190"/>
    </row>
    <row r="13" spans="3:10" ht="15" thickBot="1" x14ac:dyDescent="0.35">
      <c r="C13" s="191"/>
      <c r="D13" s="192"/>
      <c r="E13" s="192"/>
      <c r="F13" s="192"/>
      <c r="G13" s="192"/>
      <c r="H13" s="192"/>
      <c r="I13" s="192"/>
      <c r="J13" s="193"/>
    </row>
    <row r="15" spans="3:10" ht="15" thickBot="1" x14ac:dyDescent="0.35"/>
    <row r="16" spans="3:10" x14ac:dyDescent="0.3">
      <c r="C16" s="194" t="str">
        <f>RESUMEN!C5</f>
        <v>PERÍODO: JULIO</v>
      </c>
      <c r="D16" s="195"/>
      <c r="E16" s="195"/>
      <c r="F16" s="195" t="str">
        <f>RESUMEN!A30</f>
        <v>Sueldo encargada Miriam</v>
      </c>
      <c r="G16" s="195"/>
      <c r="H16" s="195"/>
      <c r="I16" s="195"/>
      <c r="J16" s="196"/>
    </row>
    <row r="17" spans="3:10" x14ac:dyDescent="0.3">
      <c r="C17" s="1"/>
      <c r="D17" s="189"/>
      <c r="E17" s="189"/>
      <c r="F17" s="189"/>
      <c r="G17" s="189"/>
      <c r="H17" s="189"/>
      <c r="I17" s="189"/>
      <c r="J17" s="190"/>
    </row>
    <row r="18" spans="3:10" x14ac:dyDescent="0.3">
      <c r="C18" s="1" t="str">
        <f>RESUMEN!A30</f>
        <v>Sueldo encargada Miriam</v>
      </c>
      <c r="D18" s="189"/>
      <c r="E18" s="189"/>
      <c r="F18" s="189"/>
      <c r="G18" s="197"/>
      <c r="H18" s="201" t="s">
        <v>304</v>
      </c>
      <c r="I18" s="201"/>
      <c r="J18" s="202"/>
    </row>
    <row r="19" spans="3:10" x14ac:dyDescent="0.3">
      <c r="C19" s="1" t="str">
        <f>RESUMEN!A31</f>
        <v xml:space="preserve">Haberes </v>
      </c>
      <c r="D19" s="189"/>
      <c r="E19" s="189"/>
      <c r="F19" s="189"/>
      <c r="G19" s="197">
        <f>RESUMEN!D31</f>
        <v>240732</v>
      </c>
      <c r="H19" s="201" t="s">
        <v>305</v>
      </c>
      <c r="I19" s="201"/>
      <c r="J19" s="202"/>
    </row>
    <row r="20" spans="3:10" x14ac:dyDescent="0.3">
      <c r="C20" s="1" t="str">
        <f>RESUMEN!A32</f>
        <v>Plus pileta</v>
      </c>
      <c r="D20" s="189"/>
      <c r="E20" s="189"/>
      <c r="F20" s="189"/>
      <c r="G20" s="197">
        <f>RESUMEN!D32</f>
        <v>33606.9</v>
      </c>
      <c r="H20" s="201"/>
      <c r="I20" s="201"/>
      <c r="J20" s="202"/>
    </row>
    <row r="21" spans="3:10" x14ac:dyDescent="0.3">
      <c r="C21" s="1" t="str">
        <f>RESUMEN!A33</f>
        <v>Plus retiro de basura</v>
      </c>
      <c r="D21" s="189"/>
      <c r="E21" s="189"/>
      <c r="F21" s="189"/>
      <c r="G21" s="197">
        <f>RESUMEN!D33</f>
        <v>111256.4</v>
      </c>
      <c r="H21" s="189"/>
      <c r="I21" s="189"/>
      <c r="J21" s="190"/>
    </row>
    <row r="22" spans="3:10" x14ac:dyDescent="0.3">
      <c r="C22" s="1" t="str">
        <f>RESUMEN!A34</f>
        <v>Plus cochera</v>
      </c>
      <c r="D22" s="189"/>
      <c r="E22" s="189"/>
      <c r="F22" s="189"/>
      <c r="G22" s="197">
        <f>RESUMEN!D34</f>
        <v>19877.400000000001</v>
      </c>
      <c r="H22" s="201" t="s">
        <v>306</v>
      </c>
      <c r="I22" s="201"/>
      <c r="J22" s="202"/>
    </row>
    <row r="23" spans="3:10" x14ac:dyDescent="0.3">
      <c r="C23" s="1" t="str">
        <f>RESUMEN!A35</f>
        <v>Adicional remuneracion</v>
      </c>
      <c r="D23" s="189"/>
      <c r="E23" s="189"/>
      <c r="F23" s="189"/>
      <c r="G23" s="197">
        <f>RESUMEN!D35</f>
        <v>50000</v>
      </c>
      <c r="H23" s="201" t="s">
        <v>305</v>
      </c>
      <c r="I23" s="201"/>
      <c r="J23" s="202"/>
    </row>
    <row r="24" spans="3:10" x14ac:dyDescent="0.3">
      <c r="C24" s="1"/>
      <c r="D24" s="189"/>
      <c r="E24" s="189"/>
      <c r="F24" s="189"/>
      <c r="G24" s="189"/>
      <c r="H24" s="201"/>
      <c r="I24" s="201"/>
      <c r="J24" s="202"/>
    </row>
    <row r="25" spans="3:10" x14ac:dyDescent="0.3">
      <c r="C25" s="198" t="s">
        <v>18</v>
      </c>
      <c r="D25" s="199"/>
      <c r="E25" s="199"/>
      <c r="F25" s="199"/>
      <c r="G25" s="200">
        <f>SUM(G18:G24)</f>
        <v>455472.70000000007</v>
      </c>
      <c r="H25" s="189"/>
      <c r="I25" s="189"/>
      <c r="J25" s="190"/>
    </row>
    <row r="26" spans="3:10" ht="15" thickBot="1" x14ac:dyDescent="0.35">
      <c r="C26" s="191"/>
      <c r="D26" s="192"/>
      <c r="E26" s="192"/>
      <c r="F26" s="192"/>
      <c r="G26" s="192"/>
      <c r="H26" s="192"/>
      <c r="I26" s="192"/>
      <c r="J26" s="193"/>
    </row>
  </sheetData>
  <mergeCells count="12">
    <mergeCell ref="H23:J24"/>
    <mergeCell ref="H10:J11"/>
    <mergeCell ref="C16:E16"/>
    <mergeCell ref="F16:J16"/>
    <mergeCell ref="H18:J18"/>
    <mergeCell ref="H19:J20"/>
    <mergeCell ref="H22:J22"/>
    <mergeCell ref="C3:E3"/>
    <mergeCell ref="F3:J3"/>
    <mergeCell ref="H5:J5"/>
    <mergeCell ref="H6:J7"/>
    <mergeCell ref="H9:J9"/>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RESUMEN</vt:lpstr>
      <vt:lpstr>PRORRATEO</vt:lpstr>
      <vt:lpstr>ANOTACIONES</vt:lpstr>
      <vt:lpstr>SUELDOS</vt:lpstr>
      <vt:lpstr>PRORRATEO!Área_de_impresión</vt:lpstr>
      <vt:lpstr>RESUMEN!Área_de_impresión</vt:lpstr>
      <vt:lpstr>SUELDOS!Área_de_impresión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2025-11-30T20:03:38Z</cp:lastPrinted>
  <dcterms:created xsi:type="dcterms:W3CDTF">2023-09-17T12:29:07Z</dcterms:created>
  <dcterms:modified xsi:type="dcterms:W3CDTF">2025-11-30T20:03:42Z</dcterms:modified>
</cp:coreProperties>
</file>