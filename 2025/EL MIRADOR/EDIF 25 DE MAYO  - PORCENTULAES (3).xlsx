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EL MIRADOR\"/>
    </mc:Choice>
  </mc:AlternateContent>
  <xr:revisionPtr revIDLastSave="0" documentId="13_ncr:1_{59D7F76B-1D44-4400-A7FA-95C7923C0B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rcentuales" sheetId="2" r:id="rId1"/>
    <sheet name="Hoja1" sheetId="4" r:id="rId2"/>
  </sheets>
  <definedNames>
    <definedName name="_xlnm._FilterDatabase" localSheetId="0" hidden="1">porcentuales!$A$5:$XDX$87</definedName>
    <definedName name="_xlnm.Print_Area" localSheetId="0">porcentuales!$B$1:$N$87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1" i="2" l="1"/>
  <c r="M81" i="2"/>
  <c r="L74" i="2"/>
  <c r="J80" i="2" l="1"/>
  <c r="H84" i="2"/>
  <c r="H81" i="2" l="1"/>
  <c r="G81" i="2"/>
  <c r="J86" i="2"/>
  <c r="J20" i="2"/>
  <c r="K80" i="2"/>
  <c r="I79" i="2"/>
  <c r="K79" i="2" s="1"/>
  <c r="I78" i="2"/>
  <c r="K78" i="2" s="1"/>
  <c r="I77" i="2"/>
  <c r="K77" i="2" s="1"/>
  <c r="I76" i="2"/>
  <c r="K76" i="2" s="1"/>
  <c r="I75" i="2"/>
  <c r="K75" i="2" s="1"/>
  <c r="I74" i="2"/>
  <c r="K74" i="2" s="1"/>
  <c r="I73" i="2"/>
  <c r="K73" i="2" s="1"/>
  <c r="I72" i="2"/>
  <c r="K72" i="2" s="1"/>
  <c r="I71" i="2"/>
  <c r="I70" i="2"/>
  <c r="K70" i="2" s="1"/>
  <c r="I69" i="2"/>
  <c r="I68" i="2"/>
  <c r="K68" i="2" s="1"/>
  <c r="I67" i="2"/>
  <c r="K67" i="2" s="1"/>
  <c r="I66" i="2"/>
  <c r="K66" i="2" s="1"/>
  <c r="I65" i="2"/>
  <c r="K65" i="2" s="1"/>
  <c r="I64" i="2"/>
  <c r="K64" i="2" s="1"/>
  <c r="I63" i="2"/>
  <c r="K63" i="2" s="1"/>
  <c r="I62" i="2"/>
  <c r="K62" i="2" s="1"/>
  <c r="I61" i="2"/>
  <c r="K61" i="2" s="1"/>
  <c r="I60" i="2"/>
  <c r="K60" i="2" s="1"/>
  <c r="I59" i="2"/>
  <c r="I58" i="2"/>
  <c r="I57" i="2"/>
  <c r="I56" i="2"/>
  <c r="K56" i="2" s="1"/>
  <c r="I55" i="2"/>
  <c r="K55" i="2" s="1"/>
  <c r="I54" i="2"/>
  <c r="K54" i="2" s="1"/>
  <c r="I53" i="2"/>
  <c r="K53" i="2" s="1"/>
  <c r="I52" i="2"/>
  <c r="K52" i="2" s="1"/>
  <c r="I51" i="2"/>
  <c r="K51" i="2" s="1"/>
  <c r="I50" i="2"/>
  <c r="K50" i="2" s="1"/>
  <c r="I49" i="2"/>
  <c r="K49" i="2" s="1"/>
  <c r="I48" i="2"/>
  <c r="K48" i="2" s="1"/>
  <c r="I47" i="2"/>
  <c r="I46" i="2"/>
  <c r="K46" i="2" s="1"/>
  <c r="I45" i="2"/>
  <c r="I44" i="2"/>
  <c r="K44" i="2" s="1"/>
  <c r="I43" i="2"/>
  <c r="K43" i="2" s="1"/>
  <c r="I42" i="2"/>
  <c r="K42" i="2" s="1"/>
  <c r="I41" i="2"/>
  <c r="K41" i="2" s="1"/>
  <c r="I40" i="2"/>
  <c r="K40" i="2" s="1"/>
  <c r="I39" i="2"/>
  <c r="K39" i="2" s="1"/>
  <c r="I38" i="2"/>
  <c r="K38" i="2" s="1"/>
  <c r="I37" i="2"/>
  <c r="K37" i="2" s="1"/>
  <c r="I36" i="2"/>
  <c r="K36" i="2" s="1"/>
  <c r="I35" i="2"/>
  <c r="I34" i="2"/>
  <c r="I33" i="2"/>
  <c r="I32" i="2"/>
  <c r="K32" i="2" s="1"/>
  <c r="I31" i="2"/>
  <c r="K31" i="2" s="1"/>
  <c r="I30" i="2"/>
  <c r="K30" i="2" s="1"/>
  <c r="I29" i="2"/>
  <c r="K29" i="2" s="1"/>
  <c r="I28" i="2"/>
  <c r="K28" i="2" s="1"/>
  <c r="I27" i="2"/>
  <c r="K27" i="2" s="1"/>
  <c r="I26" i="2"/>
  <c r="K26" i="2" s="1"/>
  <c r="I25" i="2"/>
  <c r="K25" i="2" s="1"/>
  <c r="I24" i="2"/>
  <c r="K24" i="2" s="1"/>
  <c r="I23" i="2"/>
  <c r="I22" i="2"/>
  <c r="I21" i="2"/>
  <c r="K21" i="2" s="1"/>
  <c r="I20" i="2"/>
  <c r="I19" i="2"/>
  <c r="K19" i="2" s="1"/>
  <c r="I18" i="2"/>
  <c r="K18" i="2" s="1"/>
  <c r="I17" i="2"/>
  <c r="K17" i="2" s="1"/>
  <c r="I16" i="2"/>
  <c r="K16" i="2" s="1"/>
  <c r="I15" i="2"/>
  <c r="K15" i="2" s="1"/>
  <c r="I14" i="2"/>
  <c r="K14" i="2" s="1"/>
  <c r="I13" i="2"/>
  <c r="K13" i="2" s="1"/>
  <c r="I12" i="2"/>
  <c r="K12" i="2" s="1"/>
  <c r="I11" i="2"/>
  <c r="I10" i="2"/>
  <c r="K10" i="2" s="1"/>
  <c r="I9" i="2"/>
  <c r="I8" i="2"/>
  <c r="K8" i="2" s="1"/>
  <c r="I7" i="2"/>
  <c r="K7" i="2" s="1"/>
  <c r="I6" i="2"/>
  <c r="K6" i="2" s="1"/>
  <c r="K20" i="2" l="1"/>
  <c r="K33" i="2"/>
  <c r="K34" i="2"/>
  <c r="K57" i="2"/>
  <c r="K22" i="2"/>
  <c r="K58" i="2"/>
  <c r="K23" i="2"/>
  <c r="K47" i="2"/>
  <c r="K59" i="2"/>
  <c r="K71" i="2"/>
  <c r="I81" i="2"/>
  <c r="K9" i="2"/>
  <c r="K69" i="2"/>
  <c r="K11" i="2"/>
  <c r="J81" i="2"/>
  <c r="K45" i="2"/>
  <c r="K35" i="2"/>
  <c r="K81" i="2" l="1"/>
  <c r="M47" i="2" s="1"/>
  <c r="M11" i="2"/>
  <c r="M69" i="2"/>
  <c r="M57" i="2"/>
  <c r="M45" i="2"/>
  <c r="M39" i="2"/>
  <c r="M15" i="2"/>
  <c r="M26" i="2"/>
  <c r="L68" i="2"/>
  <c r="L80" i="2"/>
  <c r="M67" i="2"/>
  <c r="M55" i="2"/>
  <c r="M31" i="2"/>
  <c r="M13" i="2"/>
  <c r="L43" i="2"/>
  <c r="L13" i="2"/>
  <c r="M78" i="2"/>
  <c r="L36" i="2"/>
  <c r="M77" i="2"/>
  <c r="M27" i="2"/>
  <c r="M68" i="2"/>
  <c r="M38" i="2"/>
  <c r="M8" i="2"/>
  <c r="L44" i="2"/>
  <c r="M79" i="2"/>
  <c r="L55" i="2"/>
  <c r="M66" i="2"/>
  <c r="M30" i="2"/>
  <c r="M12" i="2"/>
  <c r="L66" i="2"/>
  <c r="L48" i="2"/>
  <c r="L18" i="2"/>
  <c r="M6" i="2"/>
  <c r="M58" i="2"/>
  <c r="M52" i="2"/>
  <c r="M40" i="2"/>
  <c r="M34" i="2"/>
  <c r="M28" i="2"/>
  <c r="M22" i="2"/>
  <c r="M16" i="2"/>
  <c r="M10" i="2"/>
  <c r="M21" i="2"/>
  <c r="M32" i="2"/>
  <c r="L62" i="2"/>
  <c r="L38" i="2"/>
  <c r="M25" i="2"/>
  <c r="L67" i="2"/>
  <c r="L37" i="2"/>
  <c r="M72" i="2"/>
  <c r="M42" i="2"/>
  <c r="L60" i="2"/>
  <c r="L24" i="2"/>
  <c r="M75" i="2"/>
  <c r="M63" i="2"/>
  <c r="M51" i="2"/>
  <c r="M9" i="2"/>
  <c r="L56" i="2"/>
  <c r="L26" i="2"/>
  <c r="M73" i="2"/>
  <c r="M61" i="2"/>
  <c r="M37" i="2"/>
  <c r="M19" i="2"/>
  <c r="L19" i="2"/>
  <c r="L79" i="2"/>
  <c r="M60" i="2"/>
  <c r="L72" i="2"/>
  <c r="L42" i="2"/>
  <c r="M74" i="2"/>
  <c r="M50" i="2"/>
  <c r="M14" i="2"/>
  <c r="L50" i="2"/>
  <c r="L8" i="2"/>
  <c r="M7" i="2"/>
  <c r="L73" i="2"/>
  <c r="L61" i="2"/>
  <c r="L7" i="2"/>
  <c r="M48" i="2"/>
  <c r="M18" i="2"/>
  <c r="L54" i="2"/>
  <c r="L30" i="2"/>
  <c r="L22" i="2"/>
  <c r="L6" i="2"/>
  <c r="L34" i="2"/>
  <c r="L33" i="2"/>
  <c r="L15" i="2"/>
  <c r="L39" i="2"/>
  <c r="L59" i="2"/>
  <c r="L23" i="2"/>
  <c r="L64" i="2"/>
  <c r="L17" i="2"/>
  <c r="L52" i="2"/>
  <c r="L46" i="2"/>
  <c r="L63" i="2"/>
  <c r="L16" i="2"/>
  <c r="L69" i="2"/>
  <c r="L41" i="2"/>
  <c r="L78" i="2"/>
  <c r="M80" i="2"/>
  <c r="L75" i="2"/>
  <c r="L28" i="2"/>
  <c r="L29" i="2"/>
  <c r="L10" i="2"/>
  <c r="L70" i="2"/>
  <c r="L35" i="2"/>
  <c r="L45" i="2"/>
  <c r="L47" i="2"/>
  <c r="L76" i="2"/>
  <c r="L51" i="2"/>
  <c r="L40" i="2"/>
  <c r="L21" i="2"/>
  <c r="L27" i="2"/>
  <c r="L53" i="2"/>
  <c r="L77" i="2"/>
  <c r="I82" i="2"/>
  <c r="J82" i="2"/>
  <c r="I83" i="2"/>
  <c r="I84" i="2" s="1"/>
  <c r="M17" i="2" l="1"/>
  <c r="M29" i="2"/>
  <c r="M35" i="2"/>
  <c r="M53" i="2"/>
  <c r="N53" i="2" s="1"/>
  <c r="M59" i="2"/>
  <c r="N59" i="2" s="1"/>
  <c r="N35" i="2"/>
  <c r="N7" i="2"/>
  <c r="N79" i="2"/>
  <c r="N67" i="2"/>
  <c r="M65" i="2"/>
  <c r="N39" i="2"/>
  <c r="N10" i="2"/>
  <c r="M71" i="2"/>
  <c r="N15" i="2"/>
  <c r="N78" i="2"/>
  <c r="N42" i="2"/>
  <c r="L57" i="2"/>
  <c r="N57" i="2" s="1"/>
  <c r="L71" i="2"/>
  <c r="L58" i="2"/>
  <c r="N58" i="2" s="1"/>
  <c r="L31" i="2"/>
  <c r="N31" i="2" s="1"/>
  <c r="M36" i="2"/>
  <c r="N36" i="2" s="1"/>
  <c r="M33" i="2"/>
  <c r="N33" i="2" s="1"/>
  <c r="L20" i="2"/>
  <c r="M46" i="2"/>
  <c r="N46" i="2" s="1"/>
  <c r="L25" i="2"/>
  <c r="N25" i="2" s="1"/>
  <c r="L12" i="2"/>
  <c r="N12" i="2" s="1"/>
  <c r="L32" i="2"/>
  <c r="N32" i="2" s="1"/>
  <c r="M23" i="2"/>
  <c r="N23" i="2" s="1"/>
  <c r="N45" i="2"/>
  <c r="N61" i="2"/>
  <c r="N38" i="2"/>
  <c r="N47" i="2"/>
  <c r="N16" i="2"/>
  <c r="N73" i="2"/>
  <c r="N72" i="2"/>
  <c r="N19" i="2"/>
  <c r="M64" i="2"/>
  <c r="N64" i="2" s="1"/>
  <c r="M49" i="2"/>
  <c r="M24" i="2"/>
  <c r="N24" i="2" s="1"/>
  <c r="M44" i="2"/>
  <c r="N44" i="2" s="1"/>
  <c r="M41" i="2"/>
  <c r="N41" i="2" s="1"/>
  <c r="M20" i="2"/>
  <c r="L65" i="2"/>
  <c r="L11" i="2"/>
  <c r="N11" i="2" s="1"/>
  <c r="L9" i="2"/>
  <c r="N9" i="2" s="1"/>
  <c r="M43" i="2"/>
  <c r="N43" i="2" s="1"/>
  <c r="L49" i="2"/>
  <c r="M76" i="2"/>
  <c r="N76" i="2" s="1"/>
  <c r="M62" i="2"/>
  <c r="N62" i="2" s="1"/>
  <c r="M70" i="2"/>
  <c r="N70" i="2" s="1"/>
  <c r="L14" i="2"/>
  <c r="N14" i="2" s="1"/>
  <c r="M54" i="2"/>
  <c r="N54" i="2" s="1"/>
  <c r="M56" i="2"/>
  <c r="N56" i="2" s="1"/>
  <c r="N13" i="2"/>
  <c r="N8" i="2"/>
  <c r="N22" i="2"/>
  <c r="N50" i="2"/>
  <c r="N51" i="2"/>
  <c r="N26" i="2"/>
  <c r="N37" i="2"/>
  <c r="N55" i="2"/>
  <c r="N77" i="2"/>
  <c r="N27" i="2"/>
  <c r="N52" i="2"/>
  <c r="N60" i="2"/>
  <c r="N18" i="2"/>
  <c r="N74" i="2"/>
  <c r="N69" i="2"/>
  <c r="N68" i="2"/>
  <c r="N63" i="2"/>
  <c r="N29" i="2"/>
  <c r="N21" i="2"/>
  <c r="N28" i="2"/>
  <c r="N17" i="2"/>
  <c r="N30" i="2"/>
  <c r="N48" i="2"/>
  <c r="N80" i="2"/>
  <c r="N34" i="2"/>
  <c r="N6" i="2"/>
  <c r="N40" i="2"/>
  <c r="N75" i="2"/>
  <c r="N66" i="2"/>
  <c r="N71" i="2" l="1"/>
  <c r="N65" i="2"/>
  <c r="N49" i="2"/>
  <c r="N20" i="2"/>
  <c r="XDX40" i="2" l="1"/>
  <c r="N8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</author>
  </authors>
  <commentList>
    <comment ref="L7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Ana:</t>
        </r>
        <r>
          <rPr>
            <sz val="9"/>
            <color indexed="81"/>
            <rFont val="Tahoma"/>
            <family val="2"/>
          </rPr>
          <t xml:space="preserve">
Ajuste decimales en este depto</t>
        </r>
      </text>
    </comment>
  </commentList>
</comments>
</file>

<file path=xl/sharedStrings.xml><?xml version="1.0" encoding="utf-8"?>
<sst xmlns="http://schemas.openxmlformats.org/spreadsheetml/2006/main" count="245" uniqueCount="159">
  <si>
    <t>M2</t>
  </si>
  <si>
    <t>%</t>
  </si>
  <si>
    <t>TOTAL</t>
  </si>
  <si>
    <t>Dto</t>
  </si>
  <si>
    <t>COCH</t>
  </si>
  <si>
    <t>BAUL</t>
  </si>
  <si>
    <t>Adquirentes</t>
  </si>
  <si>
    <t xml:space="preserve">depto </t>
  </si>
  <si>
    <t>Cochera</t>
  </si>
  <si>
    <t>total</t>
  </si>
  <si>
    <t>2ºA</t>
  </si>
  <si>
    <t>2ºB</t>
  </si>
  <si>
    <t>2ºC</t>
  </si>
  <si>
    <t>3ºA</t>
  </si>
  <si>
    <t>3ºB</t>
  </si>
  <si>
    <t>3ºC</t>
  </si>
  <si>
    <t>4ºA</t>
  </si>
  <si>
    <t>4ºB</t>
  </si>
  <si>
    <t>4ºC</t>
  </si>
  <si>
    <t>5ºA</t>
  </si>
  <si>
    <t>5ºB</t>
  </si>
  <si>
    <t>5ºC</t>
  </si>
  <si>
    <t>6ºA</t>
  </si>
  <si>
    <t>6ºB</t>
  </si>
  <si>
    <t>6ºC</t>
  </si>
  <si>
    <t>7ºA</t>
  </si>
  <si>
    <t>7ºB</t>
  </si>
  <si>
    <t>7ºC</t>
  </si>
  <si>
    <t>8ºA</t>
  </si>
  <si>
    <t>8ºB</t>
  </si>
  <si>
    <t>8ºC</t>
  </si>
  <si>
    <t>9ºA</t>
  </si>
  <si>
    <t>9ºB</t>
  </si>
  <si>
    <t>Yudchak, Carlos Alberto</t>
  </si>
  <si>
    <t>9ºC</t>
  </si>
  <si>
    <t>10ºA</t>
  </si>
  <si>
    <t>10ºB</t>
  </si>
  <si>
    <t>10ºC</t>
  </si>
  <si>
    <t>11ºC</t>
  </si>
  <si>
    <t>2ºD</t>
  </si>
  <si>
    <t>2ºE</t>
  </si>
  <si>
    <t>2ºF</t>
  </si>
  <si>
    <t>3ºD</t>
  </si>
  <si>
    <t>3ºE</t>
  </si>
  <si>
    <t>3ºF</t>
  </si>
  <si>
    <t>4ºD</t>
  </si>
  <si>
    <t>4ºE</t>
  </si>
  <si>
    <t>4ºF</t>
  </si>
  <si>
    <t>5ºD</t>
  </si>
  <si>
    <t>5ºE</t>
  </si>
  <si>
    <t>5ºF</t>
  </si>
  <si>
    <t>6ºD</t>
  </si>
  <si>
    <t>6ºE</t>
  </si>
  <si>
    <t>6ºF</t>
  </si>
  <si>
    <t>7ºD</t>
  </si>
  <si>
    <t>7ºE</t>
  </si>
  <si>
    <t>7ºF</t>
  </si>
  <si>
    <t>8ºD</t>
  </si>
  <si>
    <t>8ºE</t>
  </si>
  <si>
    <t>8ºF</t>
  </si>
  <si>
    <t>9ºD</t>
  </si>
  <si>
    <t>9ºE</t>
  </si>
  <si>
    <t>9ºF</t>
  </si>
  <si>
    <t>10ºD</t>
  </si>
  <si>
    <t>10ºE</t>
  </si>
  <si>
    <t>10ºF</t>
  </si>
  <si>
    <t>11ºD</t>
  </si>
  <si>
    <t>11ºE</t>
  </si>
  <si>
    <t>11ºF</t>
  </si>
  <si>
    <t>12ºC</t>
  </si>
  <si>
    <t>12ºD</t>
  </si>
  <si>
    <t>12ºE</t>
  </si>
  <si>
    <t>12ºF</t>
  </si>
  <si>
    <t>13ºC</t>
  </si>
  <si>
    <t>13ºD</t>
  </si>
  <si>
    <t>13ºE</t>
  </si>
  <si>
    <t>13ºF</t>
  </si>
  <si>
    <t>Franco, Lucas Fabián</t>
  </si>
  <si>
    <t>Martinez, Diego</t>
  </si>
  <si>
    <t>Rodriguez, Carlos Alberto Miguel</t>
  </si>
  <si>
    <t xml:space="preserve">Ferraro, José </t>
  </si>
  <si>
    <t>Dieci, Matias Orlando</t>
  </si>
  <si>
    <t xml:space="preserve">Ferraro, Jose </t>
  </si>
  <si>
    <t>Ayala, Roberto Adrian</t>
  </si>
  <si>
    <t>Barral, Carlos Daniel</t>
  </si>
  <si>
    <t>Calzetta, Gabriel Andrés Felipe</t>
  </si>
  <si>
    <t>1-11</t>
  </si>
  <si>
    <t>Osipowicz, Ariel Marcelo</t>
  </si>
  <si>
    <t>Chehab, Gabriel Adrian</t>
  </si>
  <si>
    <t>Carames, José Antonio</t>
  </si>
  <si>
    <t>Di Mito, Vicente Argentino - Serantes, Mabel</t>
  </si>
  <si>
    <t>Morandi, Victoria Ayelen | Calvo, Luciano Ezequiel</t>
  </si>
  <si>
    <t>Nuñez Leonel - Corrieri Giuliana</t>
  </si>
  <si>
    <t>Campelo, Mariano</t>
  </si>
  <si>
    <t>Paes, Yazmin Luciana</t>
  </si>
  <si>
    <t>Gonzalez Fedullo, Roxana y Valeria</t>
  </si>
  <si>
    <t>Acosta, Daniela Pilar</t>
  </si>
  <si>
    <t>Ugalde, Valeria - Rotstein, Matias Roberto</t>
  </si>
  <si>
    <t xml:space="preserve">Puente, Matias </t>
  </si>
  <si>
    <t>Morvillo, Mariana Yanil</t>
  </si>
  <si>
    <t xml:space="preserve">Frontale, Federico Carlos | Celentano, Alejandra Verónica </t>
  </si>
  <si>
    <t>Argul, Sergio Walter - Taboada, María Paz</t>
  </si>
  <si>
    <t>Arias, Mariana Laura</t>
  </si>
  <si>
    <t>Fanjul, Alejandro Rubén Marcelo</t>
  </si>
  <si>
    <t>Franchino, Mauro</t>
  </si>
  <si>
    <t>Cerra, Antonio Osvaldo</t>
  </si>
  <si>
    <t>Rosales, Rubén Darío</t>
  </si>
  <si>
    <t>Lange, Gustavo Daniel</t>
  </si>
  <si>
    <t>Espósito, Franco Ezequiel</t>
  </si>
  <si>
    <t xml:space="preserve">Lobato, Lorena - Vega, Maximiliano  </t>
  </si>
  <si>
    <t>Hecimovic, Mariano Hernán</t>
  </si>
  <si>
    <t>Ramos, Sergio Eugenio</t>
  </si>
  <si>
    <t>11ºA/B</t>
  </si>
  <si>
    <t>Mosquera, Julio Rodolfo | Cuzzolino, Daniela Carol</t>
  </si>
  <si>
    <t>Cadahia, Rosanna Patricia</t>
  </si>
  <si>
    <t>Argúl, Adrián Norberto</t>
  </si>
  <si>
    <t>Lobato, Lorena - Vega, Maximiliano</t>
  </si>
  <si>
    <t>12ºA/B</t>
  </si>
  <si>
    <t>Luciano, Carmen Veronica - Rey, Javier Pablo</t>
  </si>
  <si>
    <t>Hernandez, Marisa Beatriz - Hernandez, Adrian Jose</t>
  </si>
  <si>
    <t>Morini, Micaela</t>
  </si>
  <si>
    <t>Armerding, Jorge</t>
  </si>
  <si>
    <t>Bilyj, Josefa Catalina</t>
  </si>
  <si>
    <t>13ºA/B</t>
  </si>
  <si>
    <t>Argentino, Javier Leonardo</t>
  </si>
  <si>
    <t>Scardigno, Gabriela Susana - Ripoll, Luis Alberto</t>
  </si>
  <si>
    <t xml:space="preserve">Quiñones, Carlos Eduardo </t>
  </si>
  <si>
    <t>Mosquera, José Elias</t>
  </si>
  <si>
    <t>LOC 1</t>
  </si>
  <si>
    <t>Fernandez, Cristian</t>
  </si>
  <si>
    <t>LOC 3</t>
  </si>
  <si>
    <t>Passeri, Hernán</t>
  </si>
  <si>
    <t>LOC 4</t>
  </si>
  <si>
    <t>Cordero, Leandro Emanuel - Orona, Victoria</t>
  </si>
  <si>
    <t>LOC 5</t>
  </si>
  <si>
    <t>Narosky, Eduardo Gabriel - Liberman, Karina Judith</t>
  </si>
  <si>
    <t>Edificio 25 DE MAYO 837 -LANUS -</t>
  </si>
  <si>
    <t>3 amb</t>
  </si>
  <si>
    <t>1 amb</t>
  </si>
  <si>
    <t>2 amb</t>
  </si>
  <si>
    <t>4 amb</t>
  </si>
  <si>
    <t xml:space="preserve"> LOC 2 </t>
  </si>
  <si>
    <t>conf sup</t>
  </si>
  <si>
    <t>total 44 cocheras</t>
  </si>
  <si>
    <t>29-30-31-32-34-37-38-39-44</t>
  </si>
  <si>
    <t>PB</t>
  </si>
  <si>
    <t>1ºP</t>
  </si>
  <si>
    <t>Terranza +Balcon 50%</t>
  </si>
  <si>
    <t>COCHERA</t>
  </si>
  <si>
    <t>COCHERAS SIN VENDER</t>
  </si>
  <si>
    <t>Di Sabato Guillermo Damian</t>
  </si>
  <si>
    <t>Mazzia Alexia</t>
  </si>
  <si>
    <t>Grizak Ruben</t>
  </si>
  <si>
    <t xml:space="preserve">Puisys Guillermo Antonio </t>
  </si>
  <si>
    <t>Silvestre Villarruel Eduardo</t>
  </si>
  <si>
    <t>9-29-30-31-32-34-37-38-39-44</t>
  </si>
  <si>
    <t>vendidas 34 -------s/ vender 10</t>
  </si>
  <si>
    <t>9</t>
  </si>
  <si>
    <t>QUE COCHERA TIENE?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</si>
</sst>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6" formatCode="#,##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54">
    <xf numFmtId="0" fontId="0" fillId="0" borderId="0" xfId="0"/>
    <xf numFmtId="0" fontId="2" fillId="0" borderId="0" xfId="2"/>
    <xf numFmtId="0" fontId="3" fillId="0" borderId="0" xfId="0" applyFont="1"/>
    <xf numFmtId="2" fontId="2" fillId="0" borderId="0" xfId="2" applyNumberFormat="1"/>
    <xf numFmtId="4" fontId="2" fillId="0" borderId="0" xfId="2" applyNumberFormat="1"/>
    <xf numFmtId="0" fontId="4" fillId="0" borderId="0" xfId="2" applyFont="1"/>
    <xf numFmtId="4" fontId="4" fillId="0" borderId="0" xfId="2" applyNumberFormat="1" applyFont="1"/>
    <xf numFmtId="0" fontId="6" fillId="0" borderId="0" xfId="2" applyFont="1"/>
    <xf numFmtId="0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2" applyBorder="1"/>
    <xf numFmtId="0" fontId="0" fillId="0" borderId="5" xfId="0" applyBorder="1"/>
    <xf numFmtId="4" fontId="0" fillId="0" borderId="5" xfId="0" applyNumberFormat="1" applyBorder="1"/>
    <xf numFmtId="10" fontId="0" fillId="0" borderId="5" xfId="0" applyNumberFormat="1" applyBorder="1"/>
    <xf numFmtId="164" fontId="0" fillId="0" borderId="5" xfId="0" applyNumberFormat="1" applyBorder="1"/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2" applyBorder="1"/>
    <xf numFmtId="0" fontId="2" fillId="0" borderId="6" xfId="0" applyFont="1" applyBorder="1"/>
    <xf numFmtId="4" fontId="0" fillId="0" borderId="6" xfId="0" applyNumberFormat="1" applyBorder="1"/>
    <xf numFmtId="0" fontId="0" fillId="0" borderId="6" xfId="0" applyBorder="1"/>
    <xf numFmtId="49" fontId="2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2" fontId="2" fillId="0" borderId="6" xfId="2" applyNumberFormat="1" applyBorder="1"/>
    <xf numFmtId="0" fontId="2" fillId="0" borderId="0" xfId="0" quotePrefix="1" applyFont="1"/>
    <xf numFmtId="164" fontId="0" fillId="0" borderId="6" xfId="1" applyNumberFormat="1" applyFont="1" applyFill="1" applyBorder="1"/>
    <xf numFmtId="0" fontId="2" fillId="0" borderId="6" xfId="2" applyBorder="1" applyAlignment="1">
      <alignment horizontal="center"/>
    </xf>
    <xf numFmtId="0" fontId="4" fillId="0" borderId="6" xfId="2" applyFont="1" applyBorder="1"/>
    <xf numFmtId="4" fontId="2" fillId="0" borderId="6" xfId="2" applyNumberFormat="1" applyBorder="1"/>
    <xf numFmtId="0" fontId="2" fillId="0" borderId="0" xfId="2" applyAlignment="1">
      <alignment horizontal="center"/>
    </xf>
    <xf numFmtId="0" fontId="2" fillId="0" borderId="4" xfId="2" applyBorder="1"/>
    <xf numFmtId="0" fontId="2" fillId="0" borderId="0" xfId="0" applyFont="1"/>
    <xf numFmtId="4" fontId="4" fillId="0" borderId="0" xfId="0" applyNumberFormat="1" applyFont="1"/>
    <xf numFmtId="2" fontId="4" fillId="0" borderId="0" xfId="0" applyNumberFormat="1" applyFont="1"/>
    <xf numFmtId="0" fontId="5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2" borderId="6" xfId="2" applyFill="1" applyBorder="1"/>
    <xf numFmtId="0" fontId="2" fillId="2" borderId="6" xfId="0" applyFont="1" applyFill="1" applyBorder="1"/>
    <xf numFmtId="0" fontId="2" fillId="2" borderId="0" xfId="2" applyFill="1"/>
    <xf numFmtId="166" fontId="0" fillId="0" borderId="6" xfId="0" applyNumberFormat="1" applyBorder="1"/>
  </cellXfs>
  <cellStyles count="3">
    <cellStyle name="Normal" xfId="0" builtinId="0"/>
    <cellStyle name="Normal 2" xfId="2" xr:uid="{00000000-0005-0000-0000-000002000000}"/>
    <cellStyle name="Porcentaje" xfId="1" builtinId="5"/>
  </cellStyles>
  <dxfs count="0"/>
  <tableStyles count="0" defaultTableStyle="TableStyleMedium2" defaultPivotStyle="PivotStyleLight16"/>
  <colors>
    <mruColors>
      <color rgb="FF99FFCC"/>
      <color rgb="FF33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pageSetUpPr fitToPage="1"/>
  </sheetPr>
  <dimension ref="A1:XDX180"/>
  <sheetViews>
    <sheetView tabSelected="1" topLeftCell="A66" workbookViewId="0">
      <selection activeCell="L81" sqref="L81"/>
    </sheetView>
  </sheetViews>
  <sheetFormatPr baseColWidth="10" defaultColWidth="9.140625" defaultRowHeight="9.75" customHeight="1" x14ac:dyDescent="0.2"/>
  <cols>
    <col min="1" max="1" width="9.140625" style="1"/>
    <col min="2" max="2" width="9.140625" style="1" customWidth="1"/>
    <col min="3" max="3" width="9.140625" style="1"/>
    <col min="4" max="4" width="8.42578125" style="1" customWidth="1"/>
    <col min="5" max="5" width="7.85546875" style="1" customWidth="1"/>
    <col min="6" max="6" width="49.7109375" style="1" customWidth="1"/>
    <col min="7" max="8" width="12.7109375" style="1" customWidth="1"/>
    <col min="9" max="10" width="12.28515625" style="3" customWidth="1"/>
    <col min="11" max="11" width="12.7109375" style="1" customWidth="1"/>
    <col min="12" max="12" width="8.7109375" style="4" customWidth="1"/>
    <col min="13" max="13" width="10.42578125" style="4" customWidth="1"/>
    <col min="14" max="14" width="14.7109375" style="4" customWidth="1"/>
    <col min="15" max="16384" width="9.140625" style="1"/>
  </cols>
  <sheetData>
    <row r="1" spans="2:14" ht="15.95" customHeight="1" x14ac:dyDescent="0.2">
      <c r="E1" s="2" t="s">
        <v>136</v>
      </c>
    </row>
    <row r="2" spans="2:14" ht="15.95" customHeight="1" x14ac:dyDescent="0.2">
      <c r="E2" s="5"/>
      <c r="N2" s="6"/>
    </row>
    <row r="3" spans="2:14" ht="15.95" customHeight="1" thickBot="1" x14ac:dyDescent="0.25">
      <c r="F3" s="7"/>
      <c r="L3" s="6"/>
      <c r="M3" s="6"/>
      <c r="N3" s="6"/>
    </row>
    <row r="4" spans="2:14" ht="15.95" customHeight="1" thickBot="1" x14ac:dyDescent="0.3">
      <c r="F4" s="7"/>
      <c r="G4" s="41" t="s">
        <v>0</v>
      </c>
      <c r="H4" s="42"/>
      <c r="I4" s="43"/>
      <c r="J4" s="44"/>
      <c r="K4" s="45"/>
      <c r="L4" s="46" t="s">
        <v>1</v>
      </c>
      <c r="M4" s="46"/>
      <c r="N4" s="47"/>
    </row>
    <row r="5" spans="2:14" ht="15.95" customHeight="1" thickBot="1" x14ac:dyDescent="0.3">
      <c r="B5" s="8"/>
      <c r="C5" s="9" t="s">
        <v>3</v>
      </c>
      <c r="D5" s="10" t="s">
        <v>4</v>
      </c>
      <c r="E5" s="10" t="s">
        <v>5</v>
      </c>
      <c r="F5" s="10" t="s">
        <v>6</v>
      </c>
      <c r="G5" s="11" t="s">
        <v>7</v>
      </c>
      <c r="H5" s="12" t="s">
        <v>147</v>
      </c>
      <c r="I5" s="12" t="s">
        <v>2</v>
      </c>
      <c r="J5" s="12" t="s">
        <v>148</v>
      </c>
      <c r="K5" s="12" t="s">
        <v>2</v>
      </c>
      <c r="L5" s="11" t="s">
        <v>7</v>
      </c>
      <c r="M5" s="12" t="s">
        <v>8</v>
      </c>
      <c r="N5" s="12" t="s">
        <v>9</v>
      </c>
    </row>
    <row r="6" spans="2:14" ht="15.95" customHeight="1" x14ac:dyDescent="0.25">
      <c r="B6" s="8" t="s">
        <v>137</v>
      </c>
      <c r="C6" s="13" t="s">
        <v>10</v>
      </c>
      <c r="D6" s="14">
        <v>25</v>
      </c>
      <c r="E6" s="15"/>
      <c r="F6" s="16" t="s">
        <v>77</v>
      </c>
      <c r="G6" s="17">
        <v>80</v>
      </c>
      <c r="H6" s="17">
        <v>30</v>
      </c>
      <c r="I6" s="17">
        <f>+G6+H6/2</f>
        <v>95</v>
      </c>
      <c r="J6" s="17">
        <v>11.5</v>
      </c>
      <c r="K6" s="17">
        <f>+I6+J6</f>
        <v>106.5</v>
      </c>
      <c r="L6" s="18">
        <f>ROUND(+I6/$K$81,4)</f>
        <v>1.8800000000000001E-2</v>
      </c>
      <c r="M6" s="18">
        <f>ROUND(+J6/$K$81,4)</f>
        <v>2.3E-3</v>
      </c>
      <c r="N6" s="19">
        <f>+L6+M6</f>
        <v>2.1100000000000001E-2</v>
      </c>
    </row>
    <row r="7" spans="2:14" ht="15.95" customHeight="1" x14ac:dyDescent="0.25">
      <c r="B7" s="8" t="s">
        <v>138</v>
      </c>
      <c r="C7" s="20" t="s">
        <v>11</v>
      </c>
      <c r="D7" s="21"/>
      <c r="E7" s="22"/>
      <c r="F7" s="23" t="s">
        <v>78</v>
      </c>
      <c r="G7" s="24">
        <v>35</v>
      </c>
      <c r="H7" s="24">
        <v>15</v>
      </c>
      <c r="I7" s="17">
        <f t="shared" ref="I7:I70" si="0">+G7+H7/2</f>
        <v>42.5</v>
      </c>
      <c r="J7" s="24"/>
      <c r="K7" s="17">
        <f t="shared" ref="K7:K70" si="1">+I7+J7</f>
        <v>42.5</v>
      </c>
      <c r="L7" s="18">
        <f t="shared" ref="L7:L70" si="2">ROUND(+I7/$K$81,4)</f>
        <v>8.3999999999999995E-3</v>
      </c>
      <c r="M7" s="18">
        <f t="shared" ref="M7:M70" si="3">ROUND(+J7/$K$81,4)</f>
        <v>0</v>
      </c>
      <c r="N7" s="19">
        <f t="shared" ref="N7:N70" si="4">+L7+M7</f>
        <v>8.3999999999999995E-3</v>
      </c>
    </row>
    <row r="8" spans="2:14" ht="15.95" customHeight="1" x14ac:dyDescent="0.25">
      <c r="B8" s="8" t="s">
        <v>137</v>
      </c>
      <c r="C8" s="20" t="s">
        <v>12</v>
      </c>
      <c r="D8" s="21">
        <v>22</v>
      </c>
      <c r="E8" s="22"/>
      <c r="F8" s="25" t="s">
        <v>79</v>
      </c>
      <c r="G8" s="24">
        <v>84</v>
      </c>
      <c r="H8" s="24">
        <v>35</v>
      </c>
      <c r="I8" s="17">
        <f t="shared" si="0"/>
        <v>101.5</v>
      </c>
      <c r="J8" s="24">
        <v>11.5</v>
      </c>
      <c r="K8" s="17">
        <f t="shared" si="1"/>
        <v>113</v>
      </c>
      <c r="L8" s="18">
        <f t="shared" si="2"/>
        <v>2.01E-2</v>
      </c>
      <c r="M8" s="18">
        <f t="shared" si="3"/>
        <v>2.3E-3</v>
      </c>
      <c r="N8" s="19">
        <f t="shared" si="4"/>
        <v>2.24E-2</v>
      </c>
    </row>
    <row r="9" spans="2:14" ht="15.95" customHeight="1" x14ac:dyDescent="0.25">
      <c r="B9" s="8" t="s">
        <v>139</v>
      </c>
      <c r="C9" s="20" t="s">
        <v>39</v>
      </c>
      <c r="D9" s="21"/>
      <c r="E9" s="22"/>
      <c r="F9" s="25" t="s">
        <v>80</v>
      </c>
      <c r="G9" s="24">
        <v>45</v>
      </c>
      <c r="H9" s="24">
        <v>5</v>
      </c>
      <c r="I9" s="17">
        <f t="shared" si="0"/>
        <v>47.5</v>
      </c>
      <c r="J9" s="24"/>
      <c r="K9" s="17">
        <f t="shared" si="1"/>
        <v>47.5</v>
      </c>
      <c r="L9" s="18">
        <f t="shared" si="2"/>
        <v>9.4000000000000004E-3</v>
      </c>
      <c r="M9" s="18">
        <f t="shared" si="3"/>
        <v>0</v>
      </c>
      <c r="N9" s="19">
        <f t="shared" si="4"/>
        <v>9.4000000000000004E-3</v>
      </c>
    </row>
    <row r="10" spans="2:14" ht="15.95" customHeight="1" x14ac:dyDescent="0.25">
      <c r="B10" s="8" t="s">
        <v>139</v>
      </c>
      <c r="C10" s="20" t="s">
        <v>40</v>
      </c>
      <c r="D10" s="21"/>
      <c r="E10" s="22"/>
      <c r="F10" s="23" t="s">
        <v>81</v>
      </c>
      <c r="G10" s="24">
        <v>42</v>
      </c>
      <c r="H10" s="24">
        <v>4</v>
      </c>
      <c r="I10" s="17">
        <f t="shared" si="0"/>
        <v>44</v>
      </c>
      <c r="J10" s="24"/>
      <c r="K10" s="17">
        <f t="shared" si="1"/>
        <v>44</v>
      </c>
      <c r="L10" s="18">
        <f t="shared" si="2"/>
        <v>8.6999999999999994E-3</v>
      </c>
      <c r="M10" s="18">
        <f t="shared" si="3"/>
        <v>0</v>
      </c>
      <c r="N10" s="19">
        <f t="shared" si="4"/>
        <v>8.6999999999999994E-3</v>
      </c>
    </row>
    <row r="11" spans="2:14" ht="15.95" customHeight="1" x14ac:dyDescent="0.25">
      <c r="B11" s="8" t="s">
        <v>139</v>
      </c>
      <c r="C11" s="20" t="s">
        <v>41</v>
      </c>
      <c r="D11" s="21"/>
      <c r="E11" s="22"/>
      <c r="F11" s="25" t="s">
        <v>82</v>
      </c>
      <c r="G11" s="24">
        <v>45</v>
      </c>
      <c r="H11" s="24">
        <v>6</v>
      </c>
      <c r="I11" s="17">
        <f t="shared" si="0"/>
        <v>48</v>
      </c>
      <c r="J11" s="24"/>
      <c r="K11" s="17">
        <f t="shared" si="1"/>
        <v>48</v>
      </c>
      <c r="L11" s="18">
        <f t="shared" si="2"/>
        <v>9.4999999999999998E-3</v>
      </c>
      <c r="M11" s="18">
        <f t="shared" si="3"/>
        <v>0</v>
      </c>
      <c r="N11" s="19">
        <f t="shared" si="4"/>
        <v>9.4999999999999998E-3</v>
      </c>
    </row>
    <row r="12" spans="2:14" ht="15.95" customHeight="1" x14ac:dyDescent="0.25">
      <c r="B12" s="8" t="s">
        <v>137</v>
      </c>
      <c r="C12" s="20" t="s">
        <v>13</v>
      </c>
      <c r="D12" s="21"/>
      <c r="E12" s="22"/>
      <c r="F12" s="25" t="s">
        <v>82</v>
      </c>
      <c r="G12" s="24">
        <v>80</v>
      </c>
      <c r="H12" s="24">
        <v>6</v>
      </c>
      <c r="I12" s="17">
        <f t="shared" si="0"/>
        <v>83</v>
      </c>
      <c r="J12" s="24"/>
      <c r="K12" s="17">
        <f t="shared" si="1"/>
        <v>83</v>
      </c>
      <c r="L12" s="18">
        <f t="shared" si="2"/>
        <v>1.6500000000000001E-2</v>
      </c>
      <c r="M12" s="18">
        <f t="shared" si="3"/>
        <v>0</v>
      </c>
      <c r="N12" s="19">
        <f t="shared" si="4"/>
        <v>1.6500000000000001E-2</v>
      </c>
    </row>
    <row r="13" spans="2:14" ht="15.95" customHeight="1" x14ac:dyDescent="0.25">
      <c r="B13" s="8" t="s">
        <v>138</v>
      </c>
      <c r="C13" s="20" t="s">
        <v>14</v>
      </c>
      <c r="D13" s="21"/>
      <c r="E13" s="22"/>
      <c r="F13" s="23" t="s">
        <v>83</v>
      </c>
      <c r="G13" s="24">
        <v>35</v>
      </c>
      <c r="H13" s="24">
        <v>4</v>
      </c>
      <c r="I13" s="17">
        <f t="shared" si="0"/>
        <v>37</v>
      </c>
      <c r="J13" s="24"/>
      <c r="K13" s="17">
        <f t="shared" si="1"/>
        <v>37</v>
      </c>
      <c r="L13" s="18">
        <f t="shared" si="2"/>
        <v>7.3000000000000001E-3</v>
      </c>
      <c r="M13" s="18">
        <f t="shared" si="3"/>
        <v>0</v>
      </c>
      <c r="N13" s="19">
        <f t="shared" si="4"/>
        <v>7.3000000000000001E-3</v>
      </c>
    </row>
    <row r="14" spans="2:14" ht="15.95" customHeight="1" x14ac:dyDescent="0.25">
      <c r="B14" s="8" t="s">
        <v>137</v>
      </c>
      <c r="C14" s="20" t="s">
        <v>15</v>
      </c>
      <c r="D14" s="21"/>
      <c r="E14" s="22"/>
      <c r="F14" s="25" t="s">
        <v>82</v>
      </c>
      <c r="G14" s="24">
        <v>84</v>
      </c>
      <c r="H14" s="24">
        <v>12</v>
      </c>
      <c r="I14" s="17">
        <f t="shared" si="0"/>
        <v>90</v>
      </c>
      <c r="J14" s="24"/>
      <c r="K14" s="17">
        <f t="shared" si="1"/>
        <v>90</v>
      </c>
      <c r="L14" s="18">
        <f t="shared" si="2"/>
        <v>1.78E-2</v>
      </c>
      <c r="M14" s="18">
        <f t="shared" si="3"/>
        <v>0</v>
      </c>
      <c r="N14" s="19">
        <f t="shared" si="4"/>
        <v>1.78E-2</v>
      </c>
    </row>
    <row r="15" spans="2:14" ht="15.95" customHeight="1" x14ac:dyDescent="0.25">
      <c r="B15" s="8" t="s">
        <v>139</v>
      </c>
      <c r="C15" s="20" t="s">
        <v>42</v>
      </c>
      <c r="D15" s="21"/>
      <c r="E15" s="22"/>
      <c r="F15" s="23" t="s">
        <v>83</v>
      </c>
      <c r="G15" s="24">
        <v>45</v>
      </c>
      <c r="H15" s="24">
        <v>5</v>
      </c>
      <c r="I15" s="17">
        <f t="shared" si="0"/>
        <v>47.5</v>
      </c>
      <c r="J15" s="24"/>
      <c r="K15" s="17">
        <f t="shared" si="1"/>
        <v>47.5</v>
      </c>
      <c r="L15" s="18">
        <f t="shared" si="2"/>
        <v>9.4000000000000004E-3</v>
      </c>
      <c r="M15" s="18">
        <f t="shared" si="3"/>
        <v>0</v>
      </c>
      <c r="N15" s="19">
        <f t="shared" si="4"/>
        <v>9.4000000000000004E-3</v>
      </c>
    </row>
    <row r="16" spans="2:14" ht="15.95" customHeight="1" x14ac:dyDescent="0.25">
      <c r="B16" s="8" t="s">
        <v>139</v>
      </c>
      <c r="C16" s="20" t="s">
        <v>43</v>
      </c>
      <c r="D16" s="21"/>
      <c r="E16" s="22"/>
      <c r="F16" s="23" t="s">
        <v>83</v>
      </c>
      <c r="G16" s="24">
        <v>42</v>
      </c>
      <c r="H16" s="24">
        <v>4</v>
      </c>
      <c r="I16" s="17">
        <f t="shared" si="0"/>
        <v>44</v>
      </c>
      <c r="J16" s="24"/>
      <c r="K16" s="17">
        <f t="shared" si="1"/>
        <v>44</v>
      </c>
      <c r="L16" s="18">
        <f t="shared" si="2"/>
        <v>8.6999999999999994E-3</v>
      </c>
      <c r="M16" s="18">
        <f t="shared" si="3"/>
        <v>0</v>
      </c>
      <c r="N16" s="19">
        <f t="shared" si="4"/>
        <v>8.6999999999999994E-3</v>
      </c>
    </row>
    <row r="17" spans="2:14" ht="15.95" customHeight="1" x14ac:dyDescent="0.25">
      <c r="B17" s="8" t="s">
        <v>139</v>
      </c>
      <c r="C17" s="20" t="s">
        <v>44</v>
      </c>
      <c r="D17" s="21"/>
      <c r="E17" s="22"/>
      <c r="F17" s="23" t="s">
        <v>83</v>
      </c>
      <c r="G17" s="24">
        <v>45</v>
      </c>
      <c r="H17" s="24">
        <v>6</v>
      </c>
      <c r="I17" s="17">
        <f t="shared" si="0"/>
        <v>48</v>
      </c>
      <c r="J17" s="24"/>
      <c r="K17" s="17">
        <f t="shared" si="1"/>
        <v>48</v>
      </c>
      <c r="L17" s="18">
        <f t="shared" si="2"/>
        <v>9.4999999999999998E-3</v>
      </c>
      <c r="M17" s="18">
        <f t="shared" si="3"/>
        <v>0</v>
      </c>
      <c r="N17" s="19">
        <f t="shared" si="4"/>
        <v>9.4999999999999998E-3</v>
      </c>
    </row>
    <row r="18" spans="2:14" ht="15.95" customHeight="1" x14ac:dyDescent="0.25">
      <c r="B18" s="8" t="s">
        <v>137</v>
      </c>
      <c r="C18" s="20" t="s">
        <v>16</v>
      </c>
      <c r="D18" s="21"/>
      <c r="E18" s="22"/>
      <c r="F18" s="23" t="s">
        <v>84</v>
      </c>
      <c r="G18" s="24">
        <v>80</v>
      </c>
      <c r="H18" s="24">
        <v>5</v>
      </c>
      <c r="I18" s="17">
        <f t="shared" si="0"/>
        <v>82.5</v>
      </c>
      <c r="J18" s="24"/>
      <c r="K18" s="17">
        <f t="shared" si="1"/>
        <v>82.5</v>
      </c>
      <c r="L18" s="18">
        <f t="shared" si="2"/>
        <v>1.6400000000000001E-2</v>
      </c>
      <c r="M18" s="18">
        <f t="shared" si="3"/>
        <v>0</v>
      </c>
      <c r="N18" s="19">
        <f t="shared" si="4"/>
        <v>1.6400000000000001E-2</v>
      </c>
    </row>
    <row r="19" spans="2:14" ht="15.95" customHeight="1" x14ac:dyDescent="0.25">
      <c r="B19" s="8" t="s">
        <v>138</v>
      </c>
      <c r="C19" s="20" t="s">
        <v>17</v>
      </c>
      <c r="D19" s="21"/>
      <c r="E19" s="22"/>
      <c r="F19" s="23" t="s">
        <v>85</v>
      </c>
      <c r="G19" s="24">
        <v>35</v>
      </c>
      <c r="H19" s="24">
        <v>3</v>
      </c>
      <c r="I19" s="17">
        <f t="shared" si="0"/>
        <v>36.5</v>
      </c>
      <c r="J19" s="24"/>
      <c r="K19" s="17">
        <f t="shared" si="1"/>
        <v>36.5</v>
      </c>
      <c r="L19" s="18">
        <f t="shared" si="2"/>
        <v>7.1999999999999998E-3</v>
      </c>
      <c r="M19" s="18">
        <f t="shared" si="3"/>
        <v>0</v>
      </c>
      <c r="N19" s="19">
        <f t="shared" si="4"/>
        <v>7.1999999999999998E-3</v>
      </c>
    </row>
    <row r="20" spans="2:14" ht="15.95" customHeight="1" x14ac:dyDescent="0.25">
      <c r="B20" s="8" t="s">
        <v>137</v>
      </c>
      <c r="C20" s="20" t="s">
        <v>18</v>
      </c>
      <c r="D20" s="26" t="s">
        <v>86</v>
      </c>
      <c r="E20" s="22"/>
      <c r="F20" s="23" t="s">
        <v>87</v>
      </c>
      <c r="G20" s="24">
        <v>84</v>
      </c>
      <c r="H20" s="24">
        <v>7</v>
      </c>
      <c r="I20" s="17">
        <f t="shared" si="0"/>
        <v>87.5</v>
      </c>
      <c r="J20" s="24">
        <f>11.5*2</f>
        <v>23</v>
      </c>
      <c r="K20" s="17">
        <f t="shared" si="1"/>
        <v>110.5</v>
      </c>
      <c r="L20" s="18">
        <f t="shared" si="2"/>
        <v>1.7299999999999999E-2</v>
      </c>
      <c r="M20" s="18">
        <f t="shared" si="3"/>
        <v>4.5999999999999999E-3</v>
      </c>
      <c r="N20" s="19">
        <f t="shared" si="4"/>
        <v>2.1899999999999999E-2</v>
      </c>
    </row>
    <row r="21" spans="2:14" ht="15.95" customHeight="1" x14ac:dyDescent="0.25">
      <c r="B21" s="8" t="s">
        <v>139</v>
      </c>
      <c r="C21" s="20" t="s">
        <v>45</v>
      </c>
      <c r="D21" s="21"/>
      <c r="E21" s="22"/>
      <c r="F21" s="23" t="s">
        <v>83</v>
      </c>
      <c r="G21" s="24">
        <v>45</v>
      </c>
      <c r="H21" s="24">
        <v>5</v>
      </c>
      <c r="I21" s="17">
        <f t="shared" si="0"/>
        <v>47.5</v>
      </c>
      <c r="J21" s="24"/>
      <c r="K21" s="17">
        <f t="shared" si="1"/>
        <v>47.5</v>
      </c>
      <c r="L21" s="18">
        <f t="shared" si="2"/>
        <v>9.4000000000000004E-3</v>
      </c>
      <c r="M21" s="18">
        <f t="shared" si="3"/>
        <v>0</v>
      </c>
      <c r="N21" s="19">
        <f t="shared" si="4"/>
        <v>9.4000000000000004E-3</v>
      </c>
    </row>
    <row r="22" spans="2:14" ht="15.95" customHeight="1" x14ac:dyDescent="0.25">
      <c r="B22" s="8" t="s">
        <v>139</v>
      </c>
      <c r="C22" s="20" t="s">
        <v>46</v>
      </c>
      <c r="D22" s="21"/>
      <c r="E22" s="22"/>
      <c r="F22" s="23" t="s">
        <v>83</v>
      </c>
      <c r="G22" s="24">
        <v>42</v>
      </c>
      <c r="H22" s="24">
        <v>4</v>
      </c>
      <c r="I22" s="17">
        <f t="shared" si="0"/>
        <v>44</v>
      </c>
      <c r="J22" s="24"/>
      <c r="K22" s="17">
        <f t="shared" si="1"/>
        <v>44</v>
      </c>
      <c r="L22" s="18">
        <f t="shared" si="2"/>
        <v>8.6999999999999994E-3</v>
      </c>
      <c r="M22" s="18">
        <f t="shared" si="3"/>
        <v>0</v>
      </c>
      <c r="N22" s="19">
        <f t="shared" si="4"/>
        <v>8.6999999999999994E-3</v>
      </c>
    </row>
    <row r="23" spans="2:14" ht="15.95" customHeight="1" x14ac:dyDescent="0.25">
      <c r="B23" s="8" t="s">
        <v>139</v>
      </c>
      <c r="C23" s="20" t="s">
        <v>47</v>
      </c>
      <c r="D23" s="21"/>
      <c r="E23" s="22"/>
      <c r="F23" s="23" t="s">
        <v>83</v>
      </c>
      <c r="G23" s="24">
        <v>45</v>
      </c>
      <c r="H23" s="24">
        <v>6</v>
      </c>
      <c r="I23" s="17">
        <f t="shared" si="0"/>
        <v>48</v>
      </c>
      <c r="J23" s="24"/>
      <c r="K23" s="17">
        <f t="shared" si="1"/>
        <v>48</v>
      </c>
      <c r="L23" s="18">
        <f t="shared" si="2"/>
        <v>9.4999999999999998E-3</v>
      </c>
      <c r="M23" s="18">
        <f t="shared" si="3"/>
        <v>0</v>
      </c>
      <c r="N23" s="19">
        <f t="shared" si="4"/>
        <v>9.4999999999999998E-3</v>
      </c>
    </row>
    <row r="24" spans="2:14" ht="15.95" customHeight="1" x14ac:dyDescent="0.25">
      <c r="B24" s="8" t="s">
        <v>137</v>
      </c>
      <c r="C24" s="20" t="s">
        <v>19</v>
      </c>
      <c r="D24" s="21"/>
      <c r="E24" s="22"/>
      <c r="F24" s="23" t="s">
        <v>88</v>
      </c>
      <c r="G24" s="24">
        <v>80</v>
      </c>
      <c r="H24" s="24">
        <v>5</v>
      </c>
      <c r="I24" s="17">
        <f t="shared" si="0"/>
        <v>82.5</v>
      </c>
      <c r="J24" s="24"/>
      <c r="K24" s="17">
        <f t="shared" si="1"/>
        <v>82.5</v>
      </c>
      <c r="L24" s="18">
        <f t="shared" si="2"/>
        <v>1.6400000000000001E-2</v>
      </c>
      <c r="M24" s="18">
        <f t="shared" si="3"/>
        <v>0</v>
      </c>
      <c r="N24" s="19">
        <f t="shared" si="4"/>
        <v>1.6400000000000001E-2</v>
      </c>
    </row>
    <row r="25" spans="2:14" ht="15.95" customHeight="1" x14ac:dyDescent="0.25">
      <c r="B25" s="8" t="s">
        <v>138</v>
      </c>
      <c r="C25" s="20" t="s">
        <v>20</v>
      </c>
      <c r="D25" s="21">
        <v>16</v>
      </c>
      <c r="E25" s="22"/>
      <c r="F25" s="23" t="s">
        <v>89</v>
      </c>
      <c r="G25" s="24">
        <v>35</v>
      </c>
      <c r="H25" s="24">
        <v>3</v>
      </c>
      <c r="I25" s="17">
        <f t="shared" si="0"/>
        <v>36.5</v>
      </c>
      <c r="J25" s="24">
        <v>11.5</v>
      </c>
      <c r="K25" s="17">
        <f t="shared" si="1"/>
        <v>48</v>
      </c>
      <c r="L25" s="18">
        <f t="shared" si="2"/>
        <v>7.1999999999999998E-3</v>
      </c>
      <c r="M25" s="18">
        <f t="shared" si="3"/>
        <v>2.3E-3</v>
      </c>
      <c r="N25" s="19">
        <f t="shared" si="4"/>
        <v>9.4999999999999998E-3</v>
      </c>
    </row>
    <row r="26" spans="2:14" ht="15.95" customHeight="1" x14ac:dyDescent="0.25">
      <c r="B26" s="8" t="s">
        <v>137</v>
      </c>
      <c r="C26" s="20" t="s">
        <v>21</v>
      </c>
      <c r="D26" s="21">
        <v>6</v>
      </c>
      <c r="E26" s="22"/>
      <c r="F26" s="23" t="s">
        <v>90</v>
      </c>
      <c r="G26" s="24">
        <v>84</v>
      </c>
      <c r="H26" s="24">
        <v>7</v>
      </c>
      <c r="I26" s="17">
        <f t="shared" si="0"/>
        <v>87.5</v>
      </c>
      <c r="J26" s="24">
        <v>11.5</v>
      </c>
      <c r="K26" s="17">
        <f t="shared" si="1"/>
        <v>99</v>
      </c>
      <c r="L26" s="18">
        <f t="shared" si="2"/>
        <v>1.7299999999999999E-2</v>
      </c>
      <c r="M26" s="18">
        <f t="shared" si="3"/>
        <v>2.3E-3</v>
      </c>
      <c r="N26" s="19">
        <f t="shared" si="4"/>
        <v>1.9599999999999999E-2</v>
      </c>
    </row>
    <row r="27" spans="2:14" ht="15.95" customHeight="1" x14ac:dyDescent="0.25">
      <c r="B27" s="8" t="s">
        <v>139</v>
      </c>
      <c r="C27" s="20" t="s">
        <v>48</v>
      </c>
      <c r="D27" s="21"/>
      <c r="E27" s="22"/>
      <c r="F27" s="23" t="s">
        <v>83</v>
      </c>
      <c r="G27" s="24">
        <v>45</v>
      </c>
      <c r="H27" s="24">
        <v>5</v>
      </c>
      <c r="I27" s="17">
        <f t="shared" si="0"/>
        <v>47.5</v>
      </c>
      <c r="J27" s="24"/>
      <c r="K27" s="17">
        <f t="shared" si="1"/>
        <v>47.5</v>
      </c>
      <c r="L27" s="18">
        <f t="shared" si="2"/>
        <v>9.4000000000000004E-3</v>
      </c>
      <c r="M27" s="18">
        <f t="shared" si="3"/>
        <v>0</v>
      </c>
      <c r="N27" s="19">
        <f t="shared" si="4"/>
        <v>9.4000000000000004E-3</v>
      </c>
    </row>
    <row r="28" spans="2:14" ht="15.95" customHeight="1" x14ac:dyDescent="0.25">
      <c r="B28" s="8" t="s">
        <v>139</v>
      </c>
      <c r="C28" s="20" t="s">
        <v>49</v>
      </c>
      <c r="D28" s="21"/>
      <c r="E28" s="22"/>
      <c r="F28" s="23" t="s">
        <v>83</v>
      </c>
      <c r="G28" s="24">
        <v>42</v>
      </c>
      <c r="H28" s="24">
        <v>4</v>
      </c>
      <c r="I28" s="17">
        <f t="shared" si="0"/>
        <v>44</v>
      </c>
      <c r="J28" s="24"/>
      <c r="K28" s="17">
        <f t="shared" si="1"/>
        <v>44</v>
      </c>
      <c r="L28" s="18">
        <f t="shared" si="2"/>
        <v>8.6999999999999994E-3</v>
      </c>
      <c r="M28" s="18">
        <f t="shared" si="3"/>
        <v>0</v>
      </c>
      <c r="N28" s="19">
        <f t="shared" si="4"/>
        <v>8.6999999999999994E-3</v>
      </c>
    </row>
    <row r="29" spans="2:14" ht="15.95" customHeight="1" x14ac:dyDescent="0.25">
      <c r="B29" s="8" t="s">
        <v>139</v>
      </c>
      <c r="C29" s="20" t="s">
        <v>50</v>
      </c>
      <c r="D29" s="21"/>
      <c r="E29" s="22"/>
      <c r="F29" s="23" t="s">
        <v>83</v>
      </c>
      <c r="G29" s="24">
        <v>45</v>
      </c>
      <c r="H29" s="24">
        <v>6</v>
      </c>
      <c r="I29" s="17">
        <f t="shared" si="0"/>
        <v>48</v>
      </c>
      <c r="J29" s="24"/>
      <c r="K29" s="17">
        <f t="shared" si="1"/>
        <v>48</v>
      </c>
      <c r="L29" s="18">
        <f t="shared" si="2"/>
        <v>9.4999999999999998E-3</v>
      </c>
      <c r="M29" s="18">
        <f t="shared" si="3"/>
        <v>0</v>
      </c>
      <c r="N29" s="19">
        <f t="shared" si="4"/>
        <v>9.4999999999999998E-3</v>
      </c>
    </row>
    <row r="30" spans="2:14" ht="15.95" customHeight="1" x14ac:dyDescent="0.25">
      <c r="B30" s="8" t="s">
        <v>137</v>
      </c>
      <c r="C30" s="20" t="s">
        <v>22</v>
      </c>
      <c r="D30" s="21">
        <v>28</v>
      </c>
      <c r="E30" s="22"/>
      <c r="F30" s="23" t="s">
        <v>91</v>
      </c>
      <c r="G30" s="24">
        <v>80</v>
      </c>
      <c r="H30" s="24">
        <v>5</v>
      </c>
      <c r="I30" s="17">
        <f t="shared" si="0"/>
        <v>82.5</v>
      </c>
      <c r="J30" s="24">
        <v>11.5</v>
      </c>
      <c r="K30" s="17">
        <f t="shared" si="1"/>
        <v>94</v>
      </c>
      <c r="L30" s="18">
        <f t="shared" si="2"/>
        <v>1.6400000000000001E-2</v>
      </c>
      <c r="M30" s="18">
        <f t="shared" si="3"/>
        <v>2.3E-3</v>
      </c>
      <c r="N30" s="19">
        <f t="shared" si="4"/>
        <v>1.8700000000000001E-2</v>
      </c>
    </row>
    <row r="31" spans="2:14" ht="15.95" customHeight="1" x14ac:dyDescent="0.25">
      <c r="B31" s="8" t="s">
        <v>138</v>
      </c>
      <c r="C31" s="20" t="s">
        <v>23</v>
      </c>
      <c r="D31" s="21"/>
      <c r="E31" s="22"/>
      <c r="F31" s="23" t="s">
        <v>152</v>
      </c>
      <c r="G31" s="24">
        <v>35</v>
      </c>
      <c r="H31" s="24">
        <v>3</v>
      </c>
      <c r="I31" s="17">
        <f t="shared" si="0"/>
        <v>36.5</v>
      </c>
      <c r="J31" s="24"/>
      <c r="K31" s="17">
        <f t="shared" si="1"/>
        <v>36.5</v>
      </c>
      <c r="L31" s="18">
        <f t="shared" si="2"/>
        <v>7.1999999999999998E-3</v>
      </c>
      <c r="M31" s="18">
        <f t="shared" si="3"/>
        <v>0</v>
      </c>
      <c r="N31" s="19">
        <f t="shared" si="4"/>
        <v>7.1999999999999998E-3</v>
      </c>
    </row>
    <row r="32" spans="2:14" ht="15.95" customHeight="1" x14ac:dyDescent="0.25">
      <c r="B32" s="8" t="s">
        <v>137</v>
      </c>
      <c r="C32" s="20" t="s">
        <v>24</v>
      </c>
      <c r="D32" s="21">
        <v>33</v>
      </c>
      <c r="E32" s="22"/>
      <c r="F32" s="25" t="s">
        <v>92</v>
      </c>
      <c r="G32" s="24">
        <v>84</v>
      </c>
      <c r="H32" s="24">
        <v>7</v>
      </c>
      <c r="I32" s="17">
        <f t="shared" si="0"/>
        <v>87.5</v>
      </c>
      <c r="J32" s="24">
        <v>11.5</v>
      </c>
      <c r="K32" s="17">
        <f t="shared" si="1"/>
        <v>99</v>
      </c>
      <c r="L32" s="18">
        <f t="shared" si="2"/>
        <v>1.7299999999999999E-2</v>
      </c>
      <c r="M32" s="18">
        <f t="shared" si="3"/>
        <v>2.3E-3</v>
      </c>
      <c r="N32" s="19">
        <f t="shared" si="4"/>
        <v>1.9599999999999999E-2</v>
      </c>
    </row>
    <row r="33" spans="2:14 16352:16352" ht="15.95" customHeight="1" x14ac:dyDescent="0.25">
      <c r="B33" s="8" t="s">
        <v>139</v>
      </c>
      <c r="C33" s="20" t="s">
        <v>51</v>
      </c>
      <c r="D33" s="21"/>
      <c r="E33" s="22"/>
      <c r="F33" s="23" t="s">
        <v>110</v>
      </c>
      <c r="G33" s="24">
        <v>45</v>
      </c>
      <c r="H33" s="24">
        <v>5</v>
      </c>
      <c r="I33" s="17">
        <f t="shared" si="0"/>
        <v>47.5</v>
      </c>
      <c r="J33" s="24"/>
      <c r="K33" s="17">
        <f t="shared" si="1"/>
        <v>47.5</v>
      </c>
      <c r="L33" s="18">
        <f t="shared" si="2"/>
        <v>9.4000000000000004E-3</v>
      </c>
      <c r="M33" s="18">
        <f t="shared" si="3"/>
        <v>0</v>
      </c>
      <c r="N33" s="19">
        <f t="shared" si="4"/>
        <v>9.4000000000000004E-3</v>
      </c>
    </row>
    <row r="34" spans="2:14 16352:16352" ht="15.95" customHeight="1" x14ac:dyDescent="0.25">
      <c r="B34" s="8" t="s">
        <v>139</v>
      </c>
      <c r="C34" s="20" t="s">
        <v>52</v>
      </c>
      <c r="D34" s="21"/>
      <c r="E34" s="22"/>
      <c r="F34" s="23" t="s">
        <v>81</v>
      </c>
      <c r="G34" s="24">
        <v>42</v>
      </c>
      <c r="H34" s="24">
        <v>4</v>
      </c>
      <c r="I34" s="17">
        <f t="shared" si="0"/>
        <v>44</v>
      </c>
      <c r="J34" s="24"/>
      <c r="K34" s="17">
        <f t="shared" si="1"/>
        <v>44</v>
      </c>
      <c r="L34" s="18">
        <f t="shared" si="2"/>
        <v>8.6999999999999994E-3</v>
      </c>
      <c r="M34" s="18">
        <f t="shared" si="3"/>
        <v>0</v>
      </c>
      <c r="N34" s="19">
        <f t="shared" si="4"/>
        <v>8.6999999999999994E-3</v>
      </c>
    </row>
    <row r="35" spans="2:14 16352:16352" ht="15.95" customHeight="1" x14ac:dyDescent="0.25">
      <c r="B35" s="8" t="s">
        <v>139</v>
      </c>
      <c r="C35" s="20" t="s">
        <v>53</v>
      </c>
      <c r="D35" s="21"/>
      <c r="E35" s="22"/>
      <c r="F35" s="23" t="s">
        <v>151</v>
      </c>
      <c r="G35" s="24">
        <v>45</v>
      </c>
      <c r="H35" s="24">
        <v>6</v>
      </c>
      <c r="I35" s="17">
        <f t="shared" si="0"/>
        <v>48</v>
      </c>
      <c r="J35" s="24"/>
      <c r="K35" s="17">
        <f t="shared" si="1"/>
        <v>48</v>
      </c>
      <c r="L35" s="18">
        <f t="shared" si="2"/>
        <v>9.4999999999999998E-3</v>
      </c>
      <c r="M35" s="18">
        <f t="shared" si="3"/>
        <v>0</v>
      </c>
      <c r="N35" s="19">
        <f t="shared" si="4"/>
        <v>9.4999999999999998E-3</v>
      </c>
    </row>
    <row r="36" spans="2:14 16352:16352" ht="15.95" customHeight="1" x14ac:dyDescent="0.25">
      <c r="B36" s="8" t="s">
        <v>137</v>
      </c>
      <c r="C36" s="20" t="s">
        <v>25</v>
      </c>
      <c r="D36" s="21">
        <v>7</v>
      </c>
      <c r="E36" s="22"/>
      <c r="F36" s="23" t="s">
        <v>93</v>
      </c>
      <c r="G36" s="24">
        <v>80</v>
      </c>
      <c r="H36" s="24">
        <v>5</v>
      </c>
      <c r="I36" s="17">
        <f t="shared" si="0"/>
        <v>82.5</v>
      </c>
      <c r="J36" s="24">
        <v>11.5</v>
      </c>
      <c r="K36" s="17">
        <f t="shared" si="1"/>
        <v>94</v>
      </c>
      <c r="L36" s="18">
        <f t="shared" si="2"/>
        <v>1.6400000000000001E-2</v>
      </c>
      <c r="M36" s="18">
        <f t="shared" si="3"/>
        <v>2.3E-3</v>
      </c>
      <c r="N36" s="19">
        <f t="shared" si="4"/>
        <v>1.8700000000000001E-2</v>
      </c>
    </row>
    <row r="37" spans="2:14 16352:16352" ht="15.95" customHeight="1" x14ac:dyDescent="0.25">
      <c r="B37" s="8" t="s">
        <v>138</v>
      </c>
      <c r="C37" s="20" t="s">
        <v>26</v>
      </c>
      <c r="D37" s="21">
        <v>3</v>
      </c>
      <c r="E37" s="22"/>
      <c r="F37" s="23" t="s">
        <v>94</v>
      </c>
      <c r="G37" s="24">
        <v>35</v>
      </c>
      <c r="H37" s="24">
        <v>3</v>
      </c>
      <c r="I37" s="17">
        <f t="shared" si="0"/>
        <v>36.5</v>
      </c>
      <c r="J37" s="24">
        <v>11.5</v>
      </c>
      <c r="K37" s="17">
        <f t="shared" si="1"/>
        <v>48</v>
      </c>
      <c r="L37" s="18">
        <f t="shared" si="2"/>
        <v>7.1999999999999998E-3</v>
      </c>
      <c r="M37" s="18">
        <f t="shared" si="3"/>
        <v>2.3E-3</v>
      </c>
      <c r="N37" s="19">
        <f t="shared" si="4"/>
        <v>9.4999999999999998E-3</v>
      </c>
    </row>
    <row r="38" spans="2:14 16352:16352" ht="15.95" customHeight="1" x14ac:dyDescent="0.25">
      <c r="B38" s="8" t="s">
        <v>137</v>
      </c>
      <c r="C38" s="20" t="s">
        <v>27</v>
      </c>
      <c r="D38" s="21">
        <v>24</v>
      </c>
      <c r="E38" s="22"/>
      <c r="F38" s="23" t="s">
        <v>95</v>
      </c>
      <c r="G38" s="24">
        <v>84</v>
      </c>
      <c r="H38" s="24">
        <v>7</v>
      </c>
      <c r="I38" s="17">
        <f t="shared" si="0"/>
        <v>87.5</v>
      </c>
      <c r="J38" s="24">
        <v>11.5</v>
      </c>
      <c r="K38" s="17">
        <f t="shared" si="1"/>
        <v>99</v>
      </c>
      <c r="L38" s="18">
        <f t="shared" si="2"/>
        <v>1.7299999999999999E-2</v>
      </c>
      <c r="M38" s="18">
        <f t="shared" si="3"/>
        <v>2.3E-3</v>
      </c>
      <c r="N38" s="19">
        <f t="shared" si="4"/>
        <v>1.9599999999999999E-2</v>
      </c>
    </row>
    <row r="39" spans="2:14 16352:16352" ht="15.95" customHeight="1" x14ac:dyDescent="0.25">
      <c r="B39" s="8" t="s">
        <v>139</v>
      </c>
      <c r="C39" s="20" t="s">
        <v>54</v>
      </c>
      <c r="D39" s="21"/>
      <c r="E39" s="22"/>
      <c r="F39" s="23" t="s">
        <v>96</v>
      </c>
      <c r="G39" s="24">
        <v>45</v>
      </c>
      <c r="H39" s="24">
        <v>5</v>
      </c>
      <c r="I39" s="17">
        <f t="shared" si="0"/>
        <v>47.5</v>
      </c>
      <c r="J39" s="24"/>
      <c r="K39" s="17">
        <f t="shared" si="1"/>
        <v>47.5</v>
      </c>
      <c r="L39" s="18">
        <f t="shared" si="2"/>
        <v>9.4000000000000004E-3</v>
      </c>
      <c r="M39" s="18">
        <f t="shared" si="3"/>
        <v>0</v>
      </c>
      <c r="N39" s="19">
        <f t="shared" si="4"/>
        <v>9.4000000000000004E-3</v>
      </c>
    </row>
    <row r="40" spans="2:14 16352:16352" ht="15.95" customHeight="1" x14ac:dyDescent="0.25">
      <c r="B40" s="8" t="s">
        <v>139</v>
      </c>
      <c r="C40" s="20" t="s">
        <v>55</v>
      </c>
      <c r="D40" s="21">
        <v>2</v>
      </c>
      <c r="E40" s="22"/>
      <c r="F40" s="23" t="s">
        <v>97</v>
      </c>
      <c r="G40" s="24">
        <v>42</v>
      </c>
      <c r="H40" s="24">
        <v>4</v>
      </c>
      <c r="I40" s="17">
        <f t="shared" si="0"/>
        <v>44</v>
      </c>
      <c r="J40" s="24">
        <v>11.5</v>
      </c>
      <c r="K40" s="17">
        <f t="shared" si="1"/>
        <v>55.5</v>
      </c>
      <c r="L40" s="18">
        <f t="shared" si="2"/>
        <v>8.6999999999999994E-3</v>
      </c>
      <c r="M40" s="18">
        <f t="shared" si="3"/>
        <v>2.3E-3</v>
      </c>
      <c r="N40" s="19">
        <f t="shared" si="4"/>
        <v>1.0999999999999999E-2</v>
      </c>
      <c r="XDX40" s="1">
        <f>SUM(A40:XDW40)</f>
        <v>159.02199999999999</v>
      </c>
    </row>
    <row r="41" spans="2:14 16352:16352" ht="15.95" customHeight="1" x14ac:dyDescent="0.25">
      <c r="B41" s="8" t="s">
        <v>139</v>
      </c>
      <c r="C41" s="20" t="s">
        <v>56</v>
      </c>
      <c r="D41" s="21"/>
      <c r="E41" s="22"/>
      <c r="F41" s="23" t="s">
        <v>98</v>
      </c>
      <c r="G41" s="24">
        <v>45</v>
      </c>
      <c r="H41" s="24">
        <v>6</v>
      </c>
      <c r="I41" s="17">
        <f t="shared" si="0"/>
        <v>48</v>
      </c>
      <c r="J41" s="24"/>
      <c r="K41" s="17">
        <f t="shared" si="1"/>
        <v>48</v>
      </c>
      <c r="L41" s="18">
        <f t="shared" si="2"/>
        <v>9.4999999999999998E-3</v>
      </c>
      <c r="M41" s="18">
        <f t="shared" si="3"/>
        <v>0</v>
      </c>
      <c r="N41" s="19">
        <f t="shared" si="4"/>
        <v>9.4999999999999998E-3</v>
      </c>
    </row>
    <row r="42" spans="2:14 16352:16352" ht="15.95" customHeight="1" x14ac:dyDescent="0.25">
      <c r="B42" s="8" t="s">
        <v>137</v>
      </c>
      <c r="C42" s="20" t="s">
        <v>28</v>
      </c>
      <c r="D42" s="21">
        <v>8</v>
      </c>
      <c r="E42" s="22"/>
      <c r="F42" s="23" t="s">
        <v>93</v>
      </c>
      <c r="G42" s="24">
        <v>80</v>
      </c>
      <c r="H42" s="24">
        <v>5</v>
      </c>
      <c r="I42" s="17">
        <f t="shared" si="0"/>
        <v>82.5</v>
      </c>
      <c r="J42" s="24">
        <v>11.5</v>
      </c>
      <c r="K42" s="17">
        <f t="shared" si="1"/>
        <v>94</v>
      </c>
      <c r="L42" s="18">
        <f t="shared" si="2"/>
        <v>1.6400000000000001E-2</v>
      </c>
      <c r="M42" s="18">
        <f t="shared" si="3"/>
        <v>2.3E-3</v>
      </c>
      <c r="N42" s="19">
        <f t="shared" si="4"/>
        <v>1.8700000000000001E-2</v>
      </c>
    </row>
    <row r="43" spans="2:14 16352:16352" ht="15.95" customHeight="1" x14ac:dyDescent="0.25">
      <c r="B43" s="8" t="s">
        <v>138</v>
      </c>
      <c r="C43" s="20" t="s">
        <v>29</v>
      </c>
      <c r="D43" s="21"/>
      <c r="E43" s="22"/>
      <c r="F43" s="23" t="s">
        <v>99</v>
      </c>
      <c r="G43" s="24">
        <v>35</v>
      </c>
      <c r="H43" s="24">
        <v>3</v>
      </c>
      <c r="I43" s="17">
        <f t="shared" si="0"/>
        <v>36.5</v>
      </c>
      <c r="J43" s="24"/>
      <c r="K43" s="17">
        <f t="shared" si="1"/>
        <v>36.5</v>
      </c>
      <c r="L43" s="18">
        <f t="shared" si="2"/>
        <v>7.1999999999999998E-3</v>
      </c>
      <c r="M43" s="18">
        <f t="shared" si="3"/>
        <v>0</v>
      </c>
      <c r="N43" s="19">
        <f t="shared" si="4"/>
        <v>7.1999999999999998E-3</v>
      </c>
    </row>
    <row r="44" spans="2:14 16352:16352" ht="15.95" customHeight="1" x14ac:dyDescent="0.25">
      <c r="B44" s="8" t="s">
        <v>137</v>
      </c>
      <c r="C44" s="20" t="s">
        <v>30</v>
      </c>
      <c r="D44" s="21">
        <v>14</v>
      </c>
      <c r="E44" s="22"/>
      <c r="F44" s="23" t="s">
        <v>100</v>
      </c>
      <c r="G44" s="24">
        <v>84</v>
      </c>
      <c r="H44" s="24">
        <v>7</v>
      </c>
      <c r="I44" s="17">
        <f t="shared" si="0"/>
        <v>87.5</v>
      </c>
      <c r="J44" s="24">
        <v>11.5</v>
      </c>
      <c r="K44" s="17">
        <f t="shared" si="1"/>
        <v>99</v>
      </c>
      <c r="L44" s="18">
        <f t="shared" si="2"/>
        <v>1.7299999999999999E-2</v>
      </c>
      <c r="M44" s="18">
        <f t="shared" si="3"/>
        <v>2.3E-3</v>
      </c>
      <c r="N44" s="19">
        <f t="shared" si="4"/>
        <v>1.9599999999999999E-2</v>
      </c>
    </row>
    <row r="45" spans="2:14 16352:16352" ht="15.95" customHeight="1" x14ac:dyDescent="0.25">
      <c r="B45" s="8" t="s">
        <v>139</v>
      </c>
      <c r="C45" s="20" t="s">
        <v>57</v>
      </c>
      <c r="D45" s="21"/>
      <c r="E45" s="22"/>
      <c r="F45" s="23" t="s">
        <v>101</v>
      </c>
      <c r="G45" s="24">
        <v>45</v>
      </c>
      <c r="H45" s="24">
        <v>5</v>
      </c>
      <c r="I45" s="17">
        <f t="shared" si="0"/>
        <v>47.5</v>
      </c>
      <c r="J45" s="24"/>
      <c r="K45" s="17">
        <f t="shared" si="1"/>
        <v>47.5</v>
      </c>
      <c r="L45" s="18">
        <f t="shared" si="2"/>
        <v>9.4000000000000004E-3</v>
      </c>
      <c r="M45" s="18">
        <f t="shared" si="3"/>
        <v>0</v>
      </c>
      <c r="N45" s="19">
        <f t="shared" si="4"/>
        <v>9.4000000000000004E-3</v>
      </c>
    </row>
    <row r="46" spans="2:14 16352:16352" ht="15.95" customHeight="1" x14ac:dyDescent="0.25">
      <c r="B46" s="8" t="s">
        <v>139</v>
      </c>
      <c r="C46" s="20" t="s">
        <v>58</v>
      </c>
      <c r="D46" s="21"/>
      <c r="E46" s="22"/>
      <c r="F46" s="23" t="s">
        <v>150</v>
      </c>
      <c r="G46" s="24">
        <v>42</v>
      </c>
      <c r="H46" s="24">
        <v>4</v>
      </c>
      <c r="I46" s="17">
        <f t="shared" si="0"/>
        <v>44</v>
      </c>
      <c r="J46" s="24"/>
      <c r="K46" s="17">
        <f t="shared" si="1"/>
        <v>44</v>
      </c>
      <c r="L46" s="18">
        <f t="shared" si="2"/>
        <v>8.6999999999999994E-3</v>
      </c>
      <c r="M46" s="18">
        <f t="shared" si="3"/>
        <v>0</v>
      </c>
      <c r="N46" s="19">
        <f t="shared" si="4"/>
        <v>8.6999999999999994E-3</v>
      </c>
    </row>
    <row r="47" spans="2:14 16352:16352" ht="15.95" customHeight="1" x14ac:dyDescent="0.25">
      <c r="B47" s="8" t="s">
        <v>139</v>
      </c>
      <c r="C47" s="20" t="s">
        <v>59</v>
      </c>
      <c r="D47" s="27">
        <v>5</v>
      </c>
      <c r="E47" s="22"/>
      <c r="F47" s="23" t="s">
        <v>102</v>
      </c>
      <c r="G47" s="24">
        <v>45</v>
      </c>
      <c r="H47" s="24">
        <v>6</v>
      </c>
      <c r="I47" s="17">
        <f t="shared" si="0"/>
        <v>48</v>
      </c>
      <c r="J47" s="24">
        <v>11.5</v>
      </c>
      <c r="K47" s="17">
        <f t="shared" si="1"/>
        <v>59.5</v>
      </c>
      <c r="L47" s="18">
        <f t="shared" si="2"/>
        <v>9.4999999999999998E-3</v>
      </c>
      <c r="M47" s="18">
        <f t="shared" si="3"/>
        <v>2.3E-3</v>
      </c>
      <c r="N47" s="19">
        <f t="shared" si="4"/>
        <v>1.18E-2</v>
      </c>
    </row>
    <row r="48" spans="2:14 16352:16352" ht="15.95" customHeight="1" x14ac:dyDescent="0.25">
      <c r="B48" s="8" t="s">
        <v>137</v>
      </c>
      <c r="C48" s="20" t="s">
        <v>31</v>
      </c>
      <c r="D48" s="21">
        <v>26</v>
      </c>
      <c r="E48" s="22"/>
      <c r="F48" s="23" t="s">
        <v>103</v>
      </c>
      <c r="G48" s="24">
        <v>80</v>
      </c>
      <c r="H48" s="24">
        <v>5</v>
      </c>
      <c r="I48" s="17">
        <f t="shared" si="0"/>
        <v>82.5</v>
      </c>
      <c r="J48" s="24">
        <v>11.5</v>
      </c>
      <c r="K48" s="17">
        <f t="shared" si="1"/>
        <v>94</v>
      </c>
      <c r="L48" s="18">
        <f t="shared" si="2"/>
        <v>1.6400000000000001E-2</v>
      </c>
      <c r="M48" s="18">
        <f t="shared" si="3"/>
        <v>2.3E-3</v>
      </c>
      <c r="N48" s="19">
        <f t="shared" si="4"/>
        <v>1.8700000000000001E-2</v>
      </c>
    </row>
    <row r="49" spans="2:14" ht="15.95" customHeight="1" x14ac:dyDescent="0.25">
      <c r="B49" s="8" t="s">
        <v>138</v>
      </c>
      <c r="C49" s="20" t="s">
        <v>32</v>
      </c>
      <c r="D49" s="21"/>
      <c r="E49" s="22"/>
      <c r="F49" s="23" t="s">
        <v>103</v>
      </c>
      <c r="G49" s="24">
        <v>35</v>
      </c>
      <c r="H49" s="24">
        <v>3</v>
      </c>
      <c r="I49" s="17">
        <f t="shared" si="0"/>
        <v>36.5</v>
      </c>
      <c r="J49" s="24"/>
      <c r="K49" s="17">
        <f t="shared" si="1"/>
        <v>36.5</v>
      </c>
      <c r="L49" s="18">
        <f t="shared" si="2"/>
        <v>7.1999999999999998E-3</v>
      </c>
      <c r="M49" s="18">
        <f t="shared" si="3"/>
        <v>0</v>
      </c>
      <c r="N49" s="19">
        <f t="shared" si="4"/>
        <v>7.1999999999999998E-3</v>
      </c>
    </row>
    <row r="50" spans="2:14" ht="15.95" customHeight="1" x14ac:dyDescent="0.25">
      <c r="B50" s="8" t="s">
        <v>137</v>
      </c>
      <c r="C50" s="20" t="s">
        <v>34</v>
      </c>
      <c r="D50" s="21">
        <v>43</v>
      </c>
      <c r="E50" s="22"/>
      <c r="F50" s="23" t="s">
        <v>104</v>
      </c>
      <c r="G50" s="24">
        <v>84</v>
      </c>
      <c r="H50" s="24">
        <v>7</v>
      </c>
      <c r="I50" s="17">
        <f t="shared" si="0"/>
        <v>87.5</v>
      </c>
      <c r="J50" s="24">
        <v>11.5</v>
      </c>
      <c r="K50" s="17">
        <f t="shared" si="1"/>
        <v>99</v>
      </c>
      <c r="L50" s="18">
        <f t="shared" si="2"/>
        <v>1.7299999999999999E-2</v>
      </c>
      <c r="M50" s="18">
        <f t="shared" si="3"/>
        <v>2.3E-3</v>
      </c>
      <c r="N50" s="19">
        <f t="shared" si="4"/>
        <v>1.9599999999999999E-2</v>
      </c>
    </row>
    <row r="51" spans="2:14" ht="15.95" customHeight="1" x14ac:dyDescent="0.25">
      <c r="B51" s="8" t="s">
        <v>139</v>
      </c>
      <c r="C51" s="20" t="s">
        <v>60</v>
      </c>
      <c r="D51" s="21">
        <v>10</v>
      </c>
      <c r="E51" s="22"/>
      <c r="F51" s="23" t="s">
        <v>105</v>
      </c>
      <c r="G51" s="24">
        <v>45</v>
      </c>
      <c r="H51" s="24">
        <v>5</v>
      </c>
      <c r="I51" s="17">
        <f t="shared" si="0"/>
        <v>47.5</v>
      </c>
      <c r="J51" s="24">
        <v>11.5</v>
      </c>
      <c r="K51" s="17">
        <f t="shared" si="1"/>
        <v>59</v>
      </c>
      <c r="L51" s="18">
        <f t="shared" si="2"/>
        <v>9.4000000000000004E-3</v>
      </c>
      <c r="M51" s="18">
        <f t="shared" si="3"/>
        <v>2.3E-3</v>
      </c>
      <c r="N51" s="19">
        <f t="shared" si="4"/>
        <v>1.17E-2</v>
      </c>
    </row>
    <row r="52" spans="2:14" ht="15.95" customHeight="1" x14ac:dyDescent="0.25">
      <c r="B52" s="8" t="s">
        <v>139</v>
      </c>
      <c r="C52" s="20" t="s">
        <v>61</v>
      </c>
      <c r="D52" s="27">
        <v>12</v>
      </c>
      <c r="E52" s="22"/>
      <c r="F52" s="23" t="s">
        <v>81</v>
      </c>
      <c r="G52" s="24">
        <v>42</v>
      </c>
      <c r="H52" s="24">
        <v>4</v>
      </c>
      <c r="I52" s="17">
        <f t="shared" si="0"/>
        <v>44</v>
      </c>
      <c r="J52" s="24">
        <v>11.5</v>
      </c>
      <c r="K52" s="17">
        <f t="shared" si="1"/>
        <v>55.5</v>
      </c>
      <c r="L52" s="18">
        <f t="shared" si="2"/>
        <v>8.6999999999999994E-3</v>
      </c>
      <c r="M52" s="18">
        <f t="shared" si="3"/>
        <v>2.3E-3</v>
      </c>
      <c r="N52" s="19">
        <f t="shared" si="4"/>
        <v>1.0999999999999999E-2</v>
      </c>
    </row>
    <row r="53" spans="2:14" ht="15.95" customHeight="1" x14ac:dyDescent="0.25">
      <c r="B53" s="8" t="s">
        <v>139</v>
      </c>
      <c r="C53" s="20" t="s">
        <v>62</v>
      </c>
      <c r="D53" s="21">
        <v>20</v>
      </c>
      <c r="E53" s="22"/>
      <c r="F53" s="25" t="s">
        <v>106</v>
      </c>
      <c r="G53" s="24">
        <v>45</v>
      </c>
      <c r="H53" s="24">
        <v>6</v>
      </c>
      <c r="I53" s="17">
        <f t="shared" si="0"/>
        <v>48</v>
      </c>
      <c r="J53" s="24">
        <v>11.5</v>
      </c>
      <c r="K53" s="17">
        <f t="shared" si="1"/>
        <v>59.5</v>
      </c>
      <c r="L53" s="18">
        <f t="shared" si="2"/>
        <v>9.4999999999999998E-3</v>
      </c>
      <c r="M53" s="18">
        <f t="shared" si="3"/>
        <v>2.3E-3</v>
      </c>
      <c r="N53" s="19">
        <f t="shared" si="4"/>
        <v>1.18E-2</v>
      </c>
    </row>
    <row r="54" spans="2:14" ht="15.95" customHeight="1" x14ac:dyDescent="0.25">
      <c r="B54" s="8" t="s">
        <v>137</v>
      </c>
      <c r="C54" s="20" t="s">
        <v>35</v>
      </c>
      <c r="D54" s="21">
        <v>4</v>
      </c>
      <c r="E54" s="22"/>
      <c r="F54" s="23" t="s">
        <v>153</v>
      </c>
      <c r="G54" s="24">
        <v>80</v>
      </c>
      <c r="H54" s="24">
        <v>5</v>
      </c>
      <c r="I54" s="17">
        <f t="shared" si="0"/>
        <v>82.5</v>
      </c>
      <c r="J54" s="24">
        <v>11.5</v>
      </c>
      <c r="K54" s="17">
        <f t="shared" si="1"/>
        <v>94</v>
      </c>
      <c r="L54" s="18">
        <f t="shared" si="2"/>
        <v>1.6400000000000001E-2</v>
      </c>
      <c r="M54" s="18">
        <f t="shared" si="3"/>
        <v>2.3E-3</v>
      </c>
      <c r="N54" s="19">
        <f t="shared" si="4"/>
        <v>1.8700000000000001E-2</v>
      </c>
    </row>
    <row r="55" spans="2:14" ht="15.95" customHeight="1" x14ac:dyDescent="0.25">
      <c r="B55" s="8" t="s">
        <v>138</v>
      </c>
      <c r="C55" s="20" t="s">
        <v>36</v>
      </c>
      <c r="D55" s="21"/>
      <c r="E55" s="22"/>
      <c r="F55" s="23" t="s">
        <v>107</v>
      </c>
      <c r="G55" s="24">
        <v>35</v>
      </c>
      <c r="H55" s="24">
        <v>3</v>
      </c>
      <c r="I55" s="17">
        <f t="shared" si="0"/>
        <v>36.5</v>
      </c>
      <c r="J55" s="24"/>
      <c r="K55" s="17">
        <f t="shared" si="1"/>
        <v>36.5</v>
      </c>
      <c r="L55" s="18">
        <f t="shared" si="2"/>
        <v>7.1999999999999998E-3</v>
      </c>
      <c r="M55" s="18">
        <f t="shared" si="3"/>
        <v>0</v>
      </c>
      <c r="N55" s="19">
        <f t="shared" si="4"/>
        <v>7.1999999999999998E-3</v>
      </c>
    </row>
    <row r="56" spans="2:14" ht="15.95" customHeight="1" x14ac:dyDescent="0.25">
      <c r="B56" s="8" t="s">
        <v>137</v>
      </c>
      <c r="C56" s="20" t="s">
        <v>37</v>
      </c>
      <c r="D56" s="21">
        <v>17</v>
      </c>
      <c r="E56" s="22"/>
      <c r="F56" s="23" t="s">
        <v>108</v>
      </c>
      <c r="G56" s="24">
        <v>84</v>
      </c>
      <c r="H56" s="24">
        <v>7</v>
      </c>
      <c r="I56" s="17">
        <f t="shared" si="0"/>
        <v>87.5</v>
      </c>
      <c r="J56" s="24">
        <v>11.5</v>
      </c>
      <c r="K56" s="17">
        <f t="shared" si="1"/>
        <v>99</v>
      </c>
      <c r="L56" s="18">
        <f t="shared" si="2"/>
        <v>1.7299999999999999E-2</v>
      </c>
      <c r="M56" s="18">
        <f t="shared" si="3"/>
        <v>2.3E-3</v>
      </c>
      <c r="N56" s="19">
        <f t="shared" si="4"/>
        <v>1.9599999999999999E-2</v>
      </c>
    </row>
    <row r="57" spans="2:14" ht="15.95" customHeight="1" x14ac:dyDescent="0.25">
      <c r="B57" s="8" t="s">
        <v>139</v>
      </c>
      <c r="C57" s="20" t="s">
        <v>63</v>
      </c>
      <c r="D57" s="21"/>
      <c r="E57" s="22"/>
      <c r="F57" s="23" t="s">
        <v>109</v>
      </c>
      <c r="G57" s="24">
        <v>45</v>
      </c>
      <c r="H57" s="24">
        <v>5</v>
      </c>
      <c r="I57" s="17">
        <f t="shared" si="0"/>
        <v>47.5</v>
      </c>
      <c r="J57" s="24"/>
      <c r="K57" s="17">
        <f t="shared" si="1"/>
        <v>47.5</v>
      </c>
      <c r="L57" s="18">
        <f t="shared" si="2"/>
        <v>9.4000000000000004E-3</v>
      </c>
      <c r="M57" s="18">
        <f t="shared" si="3"/>
        <v>0</v>
      </c>
      <c r="N57" s="19">
        <f t="shared" si="4"/>
        <v>9.4000000000000004E-3</v>
      </c>
    </row>
    <row r="58" spans="2:14" ht="15.95" customHeight="1" x14ac:dyDescent="0.25">
      <c r="B58" s="8" t="s">
        <v>139</v>
      </c>
      <c r="C58" s="20" t="s">
        <v>64</v>
      </c>
      <c r="D58" s="21"/>
      <c r="E58" s="22"/>
      <c r="F58" s="23" t="s">
        <v>110</v>
      </c>
      <c r="G58" s="24">
        <v>42</v>
      </c>
      <c r="H58" s="24">
        <v>4</v>
      </c>
      <c r="I58" s="17">
        <f t="shared" si="0"/>
        <v>44</v>
      </c>
      <c r="J58" s="24"/>
      <c r="K58" s="17">
        <f t="shared" si="1"/>
        <v>44</v>
      </c>
      <c r="L58" s="18">
        <f t="shared" si="2"/>
        <v>8.6999999999999994E-3</v>
      </c>
      <c r="M58" s="18">
        <f t="shared" si="3"/>
        <v>0</v>
      </c>
      <c r="N58" s="19">
        <f t="shared" si="4"/>
        <v>8.6999999999999994E-3</v>
      </c>
    </row>
    <row r="59" spans="2:14" ht="15.95" customHeight="1" x14ac:dyDescent="0.25">
      <c r="B59" s="8" t="s">
        <v>139</v>
      </c>
      <c r="C59" s="20" t="s">
        <v>65</v>
      </c>
      <c r="D59" s="21">
        <v>23</v>
      </c>
      <c r="E59" s="22"/>
      <c r="F59" s="23" t="s">
        <v>111</v>
      </c>
      <c r="G59" s="24">
        <v>45</v>
      </c>
      <c r="H59" s="24">
        <v>6</v>
      </c>
      <c r="I59" s="17">
        <f t="shared" si="0"/>
        <v>48</v>
      </c>
      <c r="J59" s="24">
        <v>11.5</v>
      </c>
      <c r="K59" s="17">
        <f t="shared" si="1"/>
        <v>59.5</v>
      </c>
      <c r="L59" s="18">
        <f t="shared" si="2"/>
        <v>9.4999999999999998E-3</v>
      </c>
      <c r="M59" s="18">
        <f t="shared" si="3"/>
        <v>2.3E-3</v>
      </c>
      <c r="N59" s="19">
        <f t="shared" si="4"/>
        <v>1.18E-2</v>
      </c>
    </row>
    <row r="60" spans="2:14" ht="15.95" customHeight="1" x14ac:dyDescent="0.25">
      <c r="B60" s="8" t="s">
        <v>140</v>
      </c>
      <c r="C60" s="20" t="s">
        <v>112</v>
      </c>
      <c r="D60" s="28">
        <v>21</v>
      </c>
      <c r="E60" s="22"/>
      <c r="F60" s="29" t="s">
        <v>113</v>
      </c>
      <c r="G60" s="24">
        <v>114</v>
      </c>
      <c r="H60" s="24">
        <v>9</v>
      </c>
      <c r="I60" s="17">
        <f t="shared" si="0"/>
        <v>118.5</v>
      </c>
      <c r="J60" s="24">
        <v>11.5</v>
      </c>
      <c r="K60" s="17">
        <f t="shared" si="1"/>
        <v>130</v>
      </c>
      <c r="L60" s="18">
        <f t="shared" si="2"/>
        <v>2.35E-2</v>
      </c>
      <c r="M60" s="18">
        <f t="shared" si="3"/>
        <v>2.3E-3</v>
      </c>
      <c r="N60" s="19">
        <f t="shared" si="4"/>
        <v>2.58E-2</v>
      </c>
    </row>
    <row r="61" spans="2:14" ht="15.95" customHeight="1" x14ac:dyDescent="0.25">
      <c r="B61" s="8" t="s">
        <v>137</v>
      </c>
      <c r="C61" s="20" t="s">
        <v>38</v>
      </c>
      <c r="D61" s="21">
        <v>41</v>
      </c>
      <c r="E61" s="22"/>
      <c r="F61" s="23" t="s">
        <v>154</v>
      </c>
      <c r="G61" s="24">
        <v>84</v>
      </c>
      <c r="H61" s="24">
        <v>7</v>
      </c>
      <c r="I61" s="17">
        <f t="shared" si="0"/>
        <v>87.5</v>
      </c>
      <c r="J61" s="24">
        <v>11.5</v>
      </c>
      <c r="K61" s="17">
        <f t="shared" si="1"/>
        <v>99</v>
      </c>
      <c r="L61" s="18">
        <f t="shared" si="2"/>
        <v>1.7299999999999999E-2</v>
      </c>
      <c r="M61" s="18">
        <f t="shared" si="3"/>
        <v>2.3E-3</v>
      </c>
      <c r="N61" s="19">
        <f t="shared" si="4"/>
        <v>1.9599999999999999E-2</v>
      </c>
    </row>
    <row r="62" spans="2:14" ht="15.95" customHeight="1" x14ac:dyDescent="0.25">
      <c r="B62" s="8" t="s">
        <v>139</v>
      </c>
      <c r="C62" s="20" t="s">
        <v>66</v>
      </c>
      <c r="D62" s="21"/>
      <c r="E62" s="22"/>
      <c r="F62" s="23" t="s">
        <v>114</v>
      </c>
      <c r="G62" s="24">
        <v>45</v>
      </c>
      <c r="H62" s="24">
        <v>5</v>
      </c>
      <c r="I62" s="17">
        <f t="shared" si="0"/>
        <v>47.5</v>
      </c>
      <c r="J62" s="24"/>
      <c r="K62" s="17">
        <f t="shared" si="1"/>
        <v>47.5</v>
      </c>
      <c r="L62" s="18">
        <f t="shared" si="2"/>
        <v>9.4000000000000004E-3</v>
      </c>
      <c r="M62" s="18">
        <f t="shared" si="3"/>
        <v>0</v>
      </c>
      <c r="N62" s="19">
        <f t="shared" si="4"/>
        <v>9.4000000000000004E-3</v>
      </c>
    </row>
    <row r="63" spans="2:14" ht="15.95" customHeight="1" x14ac:dyDescent="0.25">
      <c r="B63" s="8" t="s">
        <v>139</v>
      </c>
      <c r="C63" s="20" t="s">
        <v>67</v>
      </c>
      <c r="D63" s="21"/>
      <c r="E63" s="22"/>
      <c r="F63" s="25" t="s">
        <v>115</v>
      </c>
      <c r="G63" s="24">
        <v>42</v>
      </c>
      <c r="H63" s="24">
        <v>4</v>
      </c>
      <c r="I63" s="17">
        <f t="shared" si="0"/>
        <v>44</v>
      </c>
      <c r="J63" s="24"/>
      <c r="K63" s="17">
        <f t="shared" si="1"/>
        <v>44</v>
      </c>
      <c r="L63" s="18">
        <f t="shared" si="2"/>
        <v>8.6999999999999994E-3</v>
      </c>
      <c r="M63" s="18">
        <f t="shared" si="3"/>
        <v>0</v>
      </c>
      <c r="N63" s="19">
        <f t="shared" si="4"/>
        <v>8.6999999999999994E-3</v>
      </c>
    </row>
    <row r="64" spans="2:14" ht="15.95" customHeight="1" x14ac:dyDescent="0.25">
      <c r="B64" s="8" t="s">
        <v>139</v>
      </c>
      <c r="C64" s="20" t="s">
        <v>68</v>
      </c>
      <c r="D64" s="21">
        <v>19</v>
      </c>
      <c r="E64" s="22"/>
      <c r="F64" s="23" t="s">
        <v>116</v>
      </c>
      <c r="G64" s="24">
        <v>45</v>
      </c>
      <c r="H64" s="24">
        <v>6</v>
      </c>
      <c r="I64" s="17">
        <f t="shared" si="0"/>
        <v>48</v>
      </c>
      <c r="J64" s="24">
        <v>11.5</v>
      </c>
      <c r="K64" s="17">
        <f t="shared" si="1"/>
        <v>59.5</v>
      </c>
      <c r="L64" s="18">
        <f t="shared" si="2"/>
        <v>9.4999999999999998E-3</v>
      </c>
      <c r="M64" s="18">
        <f t="shared" si="3"/>
        <v>2.3E-3</v>
      </c>
      <c r="N64" s="19">
        <f t="shared" si="4"/>
        <v>1.18E-2</v>
      </c>
    </row>
    <row r="65" spans="1:14" ht="15.95" customHeight="1" x14ac:dyDescent="0.25">
      <c r="B65" s="8" t="s">
        <v>140</v>
      </c>
      <c r="C65" s="20" t="s">
        <v>117</v>
      </c>
      <c r="D65" s="21">
        <v>36</v>
      </c>
      <c r="E65" s="22"/>
      <c r="F65" s="23" t="s">
        <v>118</v>
      </c>
      <c r="G65" s="24">
        <v>114</v>
      </c>
      <c r="H65" s="24">
        <v>9</v>
      </c>
      <c r="I65" s="17">
        <f t="shared" si="0"/>
        <v>118.5</v>
      </c>
      <c r="J65" s="24">
        <v>11.5</v>
      </c>
      <c r="K65" s="17">
        <f t="shared" si="1"/>
        <v>130</v>
      </c>
      <c r="L65" s="18">
        <f t="shared" si="2"/>
        <v>2.35E-2</v>
      </c>
      <c r="M65" s="18">
        <f t="shared" si="3"/>
        <v>2.3E-3</v>
      </c>
      <c r="N65" s="19">
        <f t="shared" si="4"/>
        <v>2.58E-2</v>
      </c>
    </row>
    <row r="66" spans="1:14" ht="15.95" customHeight="1" x14ac:dyDescent="0.25">
      <c r="B66" s="8" t="s">
        <v>137</v>
      </c>
      <c r="C66" s="20" t="s">
        <v>69</v>
      </c>
      <c r="D66" s="21">
        <v>15</v>
      </c>
      <c r="E66" s="22"/>
      <c r="F66" s="23" t="s">
        <v>119</v>
      </c>
      <c r="G66" s="24">
        <v>84</v>
      </c>
      <c r="H66" s="24">
        <v>7</v>
      </c>
      <c r="I66" s="17">
        <f t="shared" si="0"/>
        <v>87.5</v>
      </c>
      <c r="J66" s="24">
        <v>11</v>
      </c>
      <c r="K66" s="17">
        <f t="shared" si="1"/>
        <v>98.5</v>
      </c>
      <c r="L66" s="18">
        <f t="shared" si="2"/>
        <v>1.7299999999999999E-2</v>
      </c>
      <c r="M66" s="18">
        <f t="shared" si="3"/>
        <v>2.2000000000000001E-3</v>
      </c>
      <c r="N66" s="19">
        <f t="shared" si="4"/>
        <v>1.95E-2</v>
      </c>
    </row>
    <row r="67" spans="1:14" ht="15.95" customHeight="1" x14ac:dyDescent="0.25">
      <c r="A67" s="52" t="s">
        <v>158</v>
      </c>
      <c r="B67" s="8" t="s">
        <v>139</v>
      </c>
      <c r="C67" s="48" t="s">
        <v>70</v>
      </c>
      <c r="D67" s="49"/>
      <c r="E67" s="50"/>
      <c r="F67" s="51" t="s">
        <v>120</v>
      </c>
      <c r="G67" s="24">
        <v>45</v>
      </c>
      <c r="H67" s="24">
        <v>5</v>
      </c>
      <c r="I67" s="17">
        <f t="shared" si="0"/>
        <v>47.5</v>
      </c>
      <c r="J67" s="24">
        <v>11.5</v>
      </c>
      <c r="K67" s="17">
        <f t="shared" si="1"/>
        <v>59</v>
      </c>
      <c r="L67" s="18">
        <f t="shared" si="2"/>
        <v>9.4000000000000004E-3</v>
      </c>
      <c r="M67" s="18">
        <f t="shared" si="3"/>
        <v>2.3E-3</v>
      </c>
      <c r="N67" s="19">
        <f t="shared" si="4"/>
        <v>1.17E-2</v>
      </c>
    </row>
    <row r="68" spans="1:14" ht="15.95" customHeight="1" x14ac:dyDescent="0.25">
      <c r="B68" s="8" t="s">
        <v>139</v>
      </c>
      <c r="C68" s="20" t="s">
        <v>71</v>
      </c>
      <c r="D68" s="21">
        <v>40</v>
      </c>
      <c r="E68" s="22"/>
      <c r="F68" s="23" t="s">
        <v>121</v>
      </c>
      <c r="G68" s="24">
        <v>42</v>
      </c>
      <c r="H68" s="24">
        <v>4</v>
      </c>
      <c r="I68" s="17">
        <f t="shared" si="0"/>
        <v>44</v>
      </c>
      <c r="J68" s="24">
        <v>11.5</v>
      </c>
      <c r="K68" s="17">
        <f t="shared" si="1"/>
        <v>55.5</v>
      </c>
      <c r="L68" s="18">
        <f t="shared" si="2"/>
        <v>8.6999999999999994E-3</v>
      </c>
      <c r="M68" s="18">
        <f t="shared" si="3"/>
        <v>2.3E-3</v>
      </c>
      <c r="N68" s="19">
        <f t="shared" si="4"/>
        <v>1.0999999999999999E-2</v>
      </c>
    </row>
    <row r="69" spans="1:14" ht="15.95" customHeight="1" x14ac:dyDescent="0.25">
      <c r="B69" s="8" t="s">
        <v>139</v>
      </c>
      <c r="C69" s="20" t="s">
        <v>72</v>
      </c>
      <c r="D69" s="21"/>
      <c r="E69" s="22"/>
      <c r="F69" s="23" t="s">
        <v>122</v>
      </c>
      <c r="G69" s="24">
        <v>45</v>
      </c>
      <c r="H69" s="24">
        <v>6</v>
      </c>
      <c r="I69" s="17">
        <f t="shared" si="0"/>
        <v>48</v>
      </c>
      <c r="J69" s="24"/>
      <c r="K69" s="17">
        <f t="shared" si="1"/>
        <v>48</v>
      </c>
      <c r="L69" s="18">
        <f t="shared" si="2"/>
        <v>9.4999999999999998E-3</v>
      </c>
      <c r="M69" s="18">
        <f t="shared" si="3"/>
        <v>0</v>
      </c>
      <c r="N69" s="19">
        <f t="shared" si="4"/>
        <v>9.4999999999999998E-3</v>
      </c>
    </row>
    <row r="70" spans="1:14" ht="15.95" customHeight="1" x14ac:dyDescent="0.25">
      <c r="B70" s="8" t="s">
        <v>140</v>
      </c>
      <c r="C70" s="20" t="s">
        <v>123</v>
      </c>
      <c r="D70" s="21"/>
      <c r="E70" s="22"/>
      <c r="F70" s="25"/>
      <c r="G70" s="24">
        <v>114</v>
      </c>
      <c r="H70" s="24">
        <v>9</v>
      </c>
      <c r="I70" s="17">
        <f t="shared" si="0"/>
        <v>118.5</v>
      </c>
      <c r="J70" s="24"/>
      <c r="K70" s="17">
        <f t="shared" si="1"/>
        <v>118.5</v>
      </c>
      <c r="L70" s="18">
        <f t="shared" si="2"/>
        <v>2.35E-2</v>
      </c>
      <c r="M70" s="18">
        <f t="shared" si="3"/>
        <v>0</v>
      </c>
      <c r="N70" s="19">
        <f t="shared" si="4"/>
        <v>2.35E-2</v>
      </c>
    </row>
    <row r="71" spans="1:14" ht="15.95" customHeight="1" x14ac:dyDescent="0.25">
      <c r="B71" s="8" t="s">
        <v>137</v>
      </c>
      <c r="C71" s="20" t="s">
        <v>73</v>
      </c>
      <c r="D71" s="21">
        <v>35</v>
      </c>
      <c r="E71" s="22"/>
      <c r="F71" s="23" t="s">
        <v>124</v>
      </c>
      <c r="G71" s="24">
        <v>84</v>
      </c>
      <c r="H71" s="24">
        <v>7</v>
      </c>
      <c r="I71" s="17">
        <f t="shared" ref="I71:I79" si="5">+G71+H71/2</f>
        <v>87.5</v>
      </c>
      <c r="J71" s="24">
        <v>11.5</v>
      </c>
      <c r="K71" s="17">
        <f t="shared" ref="K71:K80" si="6">+I71+J71</f>
        <v>99</v>
      </c>
      <c r="L71" s="18">
        <f t="shared" ref="L71:L80" si="7">ROUND(+I71/$K$81,4)</f>
        <v>1.7299999999999999E-2</v>
      </c>
      <c r="M71" s="18">
        <f t="shared" ref="M71:M80" si="8">ROUND(+J71/$K$81,4)</f>
        <v>2.3E-3</v>
      </c>
      <c r="N71" s="19">
        <f t="shared" ref="N71:N80" si="9">+L71+M71</f>
        <v>1.9599999999999999E-2</v>
      </c>
    </row>
    <row r="72" spans="1:14" ht="15.95" customHeight="1" x14ac:dyDescent="0.25">
      <c r="B72" s="8" t="s">
        <v>139</v>
      </c>
      <c r="C72" s="20" t="s">
        <v>74</v>
      </c>
      <c r="D72" s="21">
        <v>13</v>
      </c>
      <c r="E72" s="22"/>
      <c r="F72" s="23" t="s">
        <v>125</v>
      </c>
      <c r="G72" s="24">
        <v>45</v>
      </c>
      <c r="H72" s="24">
        <v>5</v>
      </c>
      <c r="I72" s="17">
        <f t="shared" si="5"/>
        <v>47.5</v>
      </c>
      <c r="J72" s="24">
        <v>11.5</v>
      </c>
      <c r="K72" s="17">
        <f t="shared" si="6"/>
        <v>59</v>
      </c>
      <c r="L72" s="18">
        <f t="shared" si="7"/>
        <v>9.4000000000000004E-3</v>
      </c>
      <c r="M72" s="18">
        <f t="shared" si="8"/>
        <v>2.3E-3</v>
      </c>
      <c r="N72" s="19">
        <f t="shared" si="9"/>
        <v>1.17E-2</v>
      </c>
    </row>
    <row r="73" spans="1:14" ht="15.95" customHeight="1" x14ac:dyDescent="0.25">
      <c r="B73" s="8" t="s">
        <v>139</v>
      </c>
      <c r="C73" s="20" t="s">
        <v>75</v>
      </c>
      <c r="D73" s="20">
        <v>42</v>
      </c>
      <c r="E73" s="22"/>
      <c r="F73" s="23" t="s">
        <v>126</v>
      </c>
      <c r="G73" s="24">
        <v>42</v>
      </c>
      <c r="H73" s="24">
        <v>4</v>
      </c>
      <c r="I73" s="17">
        <f t="shared" si="5"/>
        <v>44</v>
      </c>
      <c r="J73" s="24">
        <v>11.5</v>
      </c>
      <c r="K73" s="17">
        <f t="shared" si="6"/>
        <v>55.5</v>
      </c>
      <c r="L73" s="18">
        <f t="shared" si="7"/>
        <v>8.6999999999999994E-3</v>
      </c>
      <c r="M73" s="18">
        <f t="shared" si="8"/>
        <v>2.3E-3</v>
      </c>
      <c r="N73" s="19">
        <f t="shared" si="9"/>
        <v>1.0999999999999999E-2</v>
      </c>
    </row>
    <row r="74" spans="1:14" ht="15.95" customHeight="1" x14ac:dyDescent="0.25">
      <c r="B74" s="8" t="s">
        <v>139</v>
      </c>
      <c r="C74" s="20" t="s">
        <v>76</v>
      </c>
      <c r="D74" s="21">
        <v>27</v>
      </c>
      <c r="E74" s="22"/>
      <c r="F74" s="23" t="s">
        <v>127</v>
      </c>
      <c r="G74" s="24">
        <v>45</v>
      </c>
      <c r="H74" s="24">
        <v>6</v>
      </c>
      <c r="I74" s="17">
        <f t="shared" si="5"/>
        <v>48</v>
      </c>
      <c r="J74" s="24">
        <v>11.5</v>
      </c>
      <c r="K74" s="17">
        <f t="shared" si="6"/>
        <v>59.5</v>
      </c>
      <c r="L74" s="18">
        <f>ROUND(+I74/$K$81,4)</f>
        <v>9.4999999999999998E-3</v>
      </c>
      <c r="M74" s="18">
        <f t="shared" si="8"/>
        <v>2.3E-3</v>
      </c>
      <c r="N74" s="19">
        <f t="shared" si="9"/>
        <v>1.18E-2</v>
      </c>
    </row>
    <row r="75" spans="1:14" ht="15.95" customHeight="1" x14ac:dyDescent="0.25">
      <c r="B75" s="8" t="s">
        <v>142</v>
      </c>
      <c r="C75" s="20" t="s">
        <v>128</v>
      </c>
      <c r="D75" s="21"/>
      <c r="E75" s="22"/>
      <c r="F75" s="23" t="s">
        <v>129</v>
      </c>
      <c r="G75" s="24">
        <v>54.5</v>
      </c>
      <c r="H75" s="24">
        <v>0</v>
      </c>
      <c r="I75" s="17">
        <f t="shared" si="5"/>
        <v>54.5</v>
      </c>
      <c r="J75" s="24"/>
      <c r="K75" s="17">
        <f t="shared" si="6"/>
        <v>54.5</v>
      </c>
      <c r="L75" s="18">
        <f t="shared" si="7"/>
        <v>1.0800000000000001E-2</v>
      </c>
      <c r="M75" s="18">
        <f t="shared" si="8"/>
        <v>0</v>
      </c>
      <c r="N75" s="19">
        <f t="shared" si="9"/>
        <v>1.0800000000000001E-2</v>
      </c>
    </row>
    <row r="76" spans="1:14" ht="15.95" customHeight="1" x14ac:dyDescent="0.25">
      <c r="B76" s="8"/>
      <c r="C76" s="20" t="s">
        <v>141</v>
      </c>
      <c r="D76" s="21">
        <v>18</v>
      </c>
      <c r="E76" s="22"/>
      <c r="F76" s="23" t="s">
        <v>33</v>
      </c>
      <c r="G76" s="24">
        <v>62</v>
      </c>
      <c r="H76" s="24">
        <v>0</v>
      </c>
      <c r="I76" s="17">
        <f t="shared" si="5"/>
        <v>62</v>
      </c>
      <c r="J76" s="24">
        <v>11.5</v>
      </c>
      <c r="K76" s="17">
        <f>+I76+J76</f>
        <v>73.5</v>
      </c>
      <c r="L76" s="18">
        <f>ROUND(+I76/$K$81,4)+0.0005</f>
        <v>1.2800000000000001E-2</v>
      </c>
      <c r="M76" s="18">
        <f t="shared" si="8"/>
        <v>2.3E-3</v>
      </c>
      <c r="N76" s="19">
        <f t="shared" si="9"/>
        <v>1.5100000000000001E-2</v>
      </c>
    </row>
    <row r="77" spans="1:14" ht="15.95" customHeight="1" x14ac:dyDescent="0.25">
      <c r="B77" s="8" t="s">
        <v>142</v>
      </c>
      <c r="C77" s="20" t="s">
        <v>130</v>
      </c>
      <c r="D77" s="21"/>
      <c r="E77" s="22"/>
      <c r="F77" s="23" t="s">
        <v>131</v>
      </c>
      <c r="G77" s="24">
        <v>61</v>
      </c>
      <c r="H77" s="24">
        <v>0</v>
      </c>
      <c r="I77" s="17">
        <f t="shared" si="5"/>
        <v>61</v>
      </c>
      <c r="J77" s="24"/>
      <c r="K77" s="17">
        <f t="shared" si="6"/>
        <v>61</v>
      </c>
      <c r="L77" s="18">
        <f t="shared" si="7"/>
        <v>1.21E-2</v>
      </c>
      <c r="M77" s="18">
        <f t="shared" si="8"/>
        <v>0</v>
      </c>
      <c r="N77" s="19">
        <f t="shared" si="9"/>
        <v>1.21E-2</v>
      </c>
    </row>
    <row r="78" spans="1:14" ht="15.95" customHeight="1" x14ac:dyDescent="0.25">
      <c r="B78" s="8" t="s">
        <v>142</v>
      </c>
      <c r="C78" s="20" t="s">
        <v>132</v>
      </c>
      <c r="D78" s="21"/>
      <c r="E78" s="22"/>
      <c r="F78" s="23" t="s">
        <v>133</v>
      </c>
      <c r="G78" s="30">
        <v>75</v>
      </c>
      <c r="H78" s="24">
        <v>0</v>
      </c>
      <c r="I78" s="17">
        <f t="shared" si="5"/>
        <v>75</v>
      </c>
      <c r="J78" s="24"/>
      <c r="K78" s="17">
        <f t="shared" si="6"/>
        <v>75</v>
      </c>
      <c r="L78" s="18">
        <f t="shared" si="7"/>
        <v>1.49E-2</v>
      </c>
      <c r="M78" s="18">
        <f t="shared" si="8"/>
        <v>0</v>
      </c>
      <c r="N78" s="19">
        <f t="shared" si="9"/>
        <v>1.49E-2</v>
      </c>
    </row>
    <row r="79" spans="1:14" ht="15.95" customHeight="1" x14ac:dyDescent="0.25">
      <c r="B79" s="8" t="s">
        <v>142</v>
      </c>
      <c r="C79" s="20" t="s">
        <v>134</v>
      </c>
      <c r="D79" s="21"/>
      <c r="E79" s="22"/>
      <c r="F79" s="23" t="s">
        <v>135</v>
      </c>
      <c r="G79" s="30">
        <v>88</v>
      </c>
      <c r="H79" s="24">
        <v>0</v>
      </c>
      <c r="I79" s="17">
        <f t="shared" si="5"/>
        <v>88</v>
      </c>
      <c r="J79" s="24"/>
      <c r="K79" s="17">
        <f t="shared" si="6"/>
        <v>88</v>
      </c>
      <c r="L79" s="18">
        <f t="shared" si="7"/>
        <v>1.7399999999999999E-2</v>
      </c>
      <c r="M79" s="18">
        <f t="shared" si="8"/>
        <v>0</v>
      </c>
      <c r="N79" s="19">
        <f t="shared" si="9"/>
        <v>1.7399999999999999E-2</v>
      </c>
    </row>
    <row r="80" spans="1:14" ht="15.95" customHeight="1" x14ac:dyDescent="0.25">
      <c r="B80" s="8"/>
      <c r="C80" s="20"/>
      <c r="D80" s="31" t="s">
        <v>155</v>
      </c>
      <c r="E80" s="22"/>
      <c r="F80" s="23" t="s">
        <v>149</v>
      </c>
      <c r="G80" s="30"/>
      <c r="H80" s="22"/>
      <c r="I80" s="24"/>
      <c r="J80" s="24">
        <f>10*$G$84</f>
        <v>115</v>
      </c>
      <c r="K80" s="17">
        <f t="shared" si="6"/>
        <v>115</v>
      </c>
      <c r="L80" s="18">
        <f t="shared" si="7"/>
        <v>0</v>
      </c>
      <c r="M80" s="18">
        <f t="shared" si="8"/>
        <v>2.2800000000000001E-2</v>
      </c>
      <c r="N80" s="19">
        <f t="shared" si="9"/>
        <v>2.2800000000000001E-2</v>
      </c>
    </row>
    <row r="81" spans="3:14" ht="15.95" customHeight="1" x14ac:dyDescent="0.25">
      <c r="C81" s="20"/>
      <c r="D81" s="21"/>
      <c r="E81" s="22"/>
      <c r="F81" s="23"/>
      <c r="G81" s="24">
        <f>SUM(G6:G80)</f>
        <v>4309.5</v>
      </c>
      <c r="H81" s="24">
        <f t="shared" ref="H81:K81" si="10">SUM(H6:H80)</f>
        <v>435</v>
      </c>
      <c r="I81" s="24">
        <f t="shared" si="10"/>
        <v>4527</v>
      </c>
      <c r="J81" s="24">
        <f t="shared" si="10"/>
        <v>517</v>
      </c>
      <c r="K81" s="24">
        <f t="shared" si="10"/>
        <v>5044</v>
      </c>
      <c r="L81" s="53">
        <f>SUM(L6:L80)</f>
        <v>0.8967999999999996</v>
      </c>
      <c r="M81" s="24">
        <f>SUM(M6:M80)</f>
        <v>0.10319999999999993</v>
      </c>
      <c r="N81" s="32">
        <f t="shared" ref="N81" si="11">SUM(N6:N80)</f>
        <v>1.0000000000000002</v>
      </c>
    </row>
    <row r="82" spans="3:14" ht="15.95" customHeight="1" x14ac:dyDescent="0.2">
      <c r="C82" s="22"/>
      <c r="D82" s="22"/>
      <c r="E82" s="33"/>
      <c r="F82" s="34"/>
      <c r="G82" s="22"/>
      <c r="H82" s="22"/>
      <c r="I82" s="30">
        <f>+I81/K81</f>
        <v>0.89750198255352898</v>
      </c>
      <c r="J82" s="30">
        <f>+J81/K81</f>
        <v>0.10249801744647105</v>
      </c>
      <c r="K82" s="22"/>
      <c r="L82" s="35"/>
      <c r="M82" s="35"/>
      <c r="N82" s="22"/>
    </row>
    <row r="83" spans="3:14" ht="15.95" customHeight="1" thickBot="1" x14ac:dyDescent="0.25">
      <c r="E83" s="36"/>
      <c r="I83" s="3">
        <f>+I81/0.9</f>
        <v>5030</v>
      </c>
      <c r="N83" s="1"/>
    </row>
    <row r="84" spans="3:14" ht="15.95" customHeight="1" thickBot="1" x14ac:dyDescent="0.25">
      <c r="E84" s="36"/>
      <c r="F84" s="1" t="s">
        <v>143</v>
      </c>
      <c r="G84" s="1">
        <v>11.5</v>
      </c>
      <c r="H84" s="37">
        <f>+G84*44</f>
        <v>506</v>
      </c>
      <c r="I84" s="3">
        <f>+I83-I81</f>
        <v>503</v>
      </c>
      <c r="N84" s="1"/>
    </row>
    <row r="85" spans="3:14" ht="15.95" customHeight="1" x14ac:dyDescent="0.2">
      <c r="E85" s="36"/>
      <c r="F85" s="1" t="s">
        <v>156</v>
      </c>
      <c r="N85" s="1"/>
    </row>
    <row r="86" spans="3:14" ht="15.95" customHeight="1" x14ac:dyDescent="0.2">
      <c r="E86" s="36" t="s">
        <v>145</v>
      </c>
      <c r="F86" s="31" t="s">
        <v>157</v>
      </c>
      <c r="G86" s="31"/>
      <c r="J86" s="3">
        <f>32*11.5</f>
        <v>368</v>
      </c>
      <c r="N86" s="1"/>
    </row>
    <row r="87" spans="3:14" ht="15.95" customHeight="1" x14ac:dyDescent="0.2">
      <c r="E87" s="36" t="s">
        <v>146</v>
      </c>
      <c r="F87" s="31" t="s">
        <v>144</v>
      </c>
      <c r="N87" s="1"/>
    </row>
    <row r="88" spans="3:14" ht="15.95" customHeight="1" x14ac:dyDescent="0.2">
      <c r="E88" s="36"/>
      <c r="F88" s="31"/>
      <c r="N88" s="1"/>
    </row>
    <row r="89" spans="3:14" ht="15.95" customHeight="1" x14ac:dyDescent="0.2">
      <c r="E89" s="36"/>
      <c r="F89" s="31"/>
      <c r="N89" s="1"/>
    </row>
    <row r="90" spans="3:14" ht="15.95" customHeight="1" x14ac:dyDescent="0.2">
      <c r="E90" s="36"/>
      <c r="F90" s="38"/>
      <c r="G90" s="39"/>
      <c r="H90" s="39"/>
      <c r="I90" s="38"/>
      <c r="J90" s="38"/>
      <c r="K90" s="40"/>
      <c r="N90" s="39"/>
    </row>
    <row r="91" spans="3:14" ht="15.95" customHeight="1" x14ac:dyDescent="0.2">
      <c r="E91" s="36"/>
      <c r="F91" s="38"/>
      <c r="G91" s="39"/>
      <c r="H91" s="39"/>
      <c r="I91" s="38"/>
      <c r="J91" s="38"/>
      <c r="K91" s="40"/>
      <c r="N91" s="39"/>
    </row>
    <row r="92" spans="3:14" ht="15.95" customHeight="1" x14ac:dyDescent="0.2">
      <c r="E92" s="36"/>
      <c r="F92" s="38"/>
      <c r="G92" s="39"/>
      <c r="H92" s="39"/>
      <c r="I92" s="38"/>
      <c r="J92" s="38"/>
      <c r="K92" s="40"/>
      <c r="N92" s="39"/>
    </row>
    <row r="93" spans="3:14" ht="15.95" customHeight="1" x14ac:dyDescent="0.2">
      <c r="E93" s="36"/>
      <c r="F93" s="38"/>
      <c r="G93" s="39"/>
      <c r="H93" s="39"/>
      <c r="I93" s="38"/>
      <c r="J93" s="38"/>
      <c r="K93" s="40"/>
      <c r="N93" s="39"/>
    </row>
    <row r="94" spans="3:14" ht="15.95" customHeight="1" x14ac:dyDescent="0.2">
      <c r="G94" s="6"/>
      <c r="H94" s="6"/>
      <c r="N94" s="6"/>
    </row>
    <row r="95" spans="3:14" ht="15.95" customHeight="1" x14ac:dyDescent="0.2">
      <c r="G95" s="6"/>
      <c r="H95" s="6"/>
      <c r="N95" s="6"/>
    </row>
    <row r="96" spans="3:14" ht="15.95" customHeight="1" x14ac:dyDescent="0.2">
      <c r="G96" s="6"/>
      <c r="H96" s="6"/>
      <c r="N96" s="6"/>
    </row>
    <row r="97" spans="7:14" ht="15.95" customHeight="1" x14ac:dyDescent="0.2">
      <c r="G97" s="6"/>
      <c r="H97" s="6"/>
      <c r="N97" s="6"/>
    </row>
    <row r="98" spans="7:14" ht="15.95" customHeight="1" x14ac:dyDescent="0.2">
      <c r="G98" s="6"/>
      <c r="H98" s="6"/>
      <c r="N98" s="6"/>
    </row>
    <row r="99" spans="7:14" ht="15.95" customHeight="1" x14ac:dyDescent="0.2">
      <c r="G99" s="6"/>
      <c r="H99" s="6"/>
      <c r="N99" s="6"/>
    </row>
    <row r="100" spans="7:14" ht="15.95" customHeight="1" x14ac:dyDescent="0.2">
      <c r="G100" s="6"/>
      <c r="H100" s="6"/>
    </row>
    <row r="101" spans="7:14" ht="15.95" customHeight="1" x14ac:dyDescent="0.2"/>
    <row r="102" spans="7:14" ht="15.95" customHeight="1" x14ac:dyDescent="0.2"/>
    <row r="103" spans="7:14" ht="15.95" customHeight="1" x14ac:dyDescent="0.2"/>
    <row r="104" spans="7:14" ht="15.95" customHeight="1" x14ac:dyDescent="0.2"/>
    <row r="105" spans="7:14" ht="15.95" customHeight="1" x14ac:dyDescent="0.2"/>
    <row r="106" spans="7:14" ht="15.95" customHeight="1" x14ac:dyDescent="0.2"/>
    <row r="107" spans="7:14" ht="15.95" customHeight="1" x14ac:dyDescent="0.2"/>
    <row r="108" spans="7:14" ht="15.95" customHeight="1" x14ac:dyDescent="0.2"/>
    <row r="109" spans="7:14" ht="15.95" customHeight="1" x14ac:dyDescent="0.2"/>
    <row r="110" spans="7:14" ht="15.95" customHeight="1" x14ac:dyDescent="0.2"/>
    <row r="111" spans="7:14" ht="15.95" customHeight="1" x14ac:dyDescent="0.2"/>
    <row r="112" spans="7:14" ht="15.95" customHeight="1" x14ac:dyDescent="0.2"/>
    <row r="113" ht="15.95" customHeight="1" x14ac:dyDescent="0.2"/>
    <row r="114" ht="15.95" customHeight="1" x14ac:dyDescent="0.2"/>
    <row r="115" ht="15.95" customHeight="1" x14ac:dyDescent="0.2"/>
    <row r="116" ht="15.95" customHeight="1" x14ac:dyDescent="0.2"/>
    <row r="117" ht="15.95" customHeight="1" x14ac:dyDescent="0.2"/>
    <row r="118" ht="15.95" customHeight="1" x14ac:dyDescent="0.2"/>
    <row r="119" ht="15.95" customHeight="1" x14ac:dyDescent="0.2"/>
    <row r="120" ht="15.95" customHeight="1" x14ac:dyDescent="0.2"/>
    <row r="121" ht="15.95" customHeight="1" x14ac:dyDescent="0.2"/>
    <row r="122" ht="15.95" customHeight="1" x14ac:dyDescent="0.2"/>
    <row r="123" ht="15.95" customHeight="1" x14ac:dyDescent="0.2"/>
    <row r="124" ht="15.95" customHeight="1" x14ac:dyDescent="0.2"/>
    <row r="125" ht="15.95" customHeight="1" x14ac:dyDescent="0.2"/>
    <row r="126" ht="15.95" customHeight="1" x14ac:dyDescent="0.2"/>
    <row r="127" ht="15.95" customHeight="1" x14ac:dyDescent="0.2"/>
    <row r="128" ht="15.95" customHeight="1" x14ac:dyDescent="0.2"/>
    <row r="129" spans="5:5" ht="15.95" customHeight="1" x14ac:dyDescent="0.2"/>
    <row r="130" spans="5:5" ht="15.95" customHeight="1" x14ac:dyDescent="0.2"/>
    <row r="131" spans="5:5" ht="15.95" customHeight="1" x14ac:dyDescent="0.2"/>
    <row r="132" spans="5:5" ht="15.95" customHeight="1" x14ac:dyDescent="0.2"/>
    <row r="133" spans="5:5" ht="15.95" customHeight="1" x14ac:dyDescent="0.2"/>
    <row r="134" spans="5:5" ht="15.95" customHeight="1" x14ac:dyDescent="0.2"/>
    <row r="135" spans="5:5" ht="15.95" customHeight="1" x14ac:dyDescent="0.2"/>
    <row r="136" spans="5:5" ht="15.95" customHeight="1" x14ac:dyDescent="0.2"/>
    <row r="137" spans="5:5" ht="15.95" customHeight="1" x14ac:dyDescent="0.2"/>
    <row r="138" spans="5:5" ht="15.95" customHeight="1" x14ac:dyDescent="0.2">
      <c r="E138" s="36"/>
    </row>
    <row r="139" spans="5:5" ht="15.95" customHeight="1" x14ac:dyDescent="0.2">
      <c r="E139" s="36"/>
    </row>
    <row r="140" spans="5:5" ht="15.95" customHeight="1" x14ac:dyDescent="0.2">
      <c r="E140" s="36"/>
    </row>
    <row r="141" spans="5:5" ht="15.95" customHeight="1" x14ac:dyDescent="0.2">
      <c r="E141" s="36"/>
    </row>
    <row r="142" spans="5:5" ht="15.95" customHeight="1" x14ac:dyDescent="0.2">
      <c r="E142" s="36"/>
    </row>
    <row r="143" spans="5:5" ht="15.95" customHeight="1" x14ac:dyDescent="0.2">
      <c r="E143" s="36"/>
    </row>
    <row r="144" spans="5:5" ht="15.95" customHeight="1" x14ac:dyDescent="0.2">
      <c r="E144" s="36"/>
    </row>
    <row r="145" spans="5:5" ht="15.95" customHeight="1" x14ac:dyDescent="0.2">
      <c r="E145" s="36"/>
    </row>
    <row r="146" spans="5:5" ht="15.95" customHeight="1" x14ac:dyDescent="0.2">
      <c r="E146" s="36"/>
    </row>
    <row r="147" spans="5:5" ht="15.95" customHeight="1" x14ac:dyDescent="0.2">
      <c r="E147" s="36"/>
    </row>
    <row r="148" spans="5:5" ht="15.95" customHeight="1" x14ac:dyDescent="0.2">
      <c r="E148" s="36"/>
    </row>
    <row r="149" spans="5:5" ht="15.95" customHeight="1" x14ac:dyDescent="0.2">
      <c r="E149" s="36"/>
    </row>
    <row r="150" spans="5:5" ht="15.95" customHeight="1" x14ac:dyDescent="0.2">
      <c r="E150" s="36"/>
    </row>
    <row r="151" spans="5:5" ht="15.95" customHeight="1" x14ac:dyDescent="0.2">
      <c r="E151" s="36"/>
    </row>
    <row r="152" spans="5:5" ht="15.95" customHeight="1" x14ac:dyDescent="0.2">
      <c r="E152" s="36"/>
    </row>
    <row r="153" spans="5:5" ht="15.95" customHeight="1" x14ac:dyDescent="0.2">
      <c r="E153" s="36"/>
    </row>
    <row r="154" spans="5:5" ht="15.95" customHeight="1" x14ac:dyDescent="0.2">
      <c r="E154" s="36"/>
    </row>
    <row r="155" spans="5:5" ht="15.95" customHeight="1" x14ac:dyDescent="0.2">
      <c r="E155" s="36"/>
    </row>
    <row r="156" spans="5:5" ht="15.95" customHeight="1" x14ac:dyDescent="0.2">
      <c r="E156" s="36"/>
    </row>
    <row r="157" spans="5:5" ht="15.95" customHeight="1" x14ac:dyDescent="0.2">
      <c r="E157" s="36"/>
    </row>
    <row r="158" spans="5:5" ht="15.95" customHeight="1" x14ac:dyDescent="0.2">
      <c r="E158" s="36"/>
    </row>
    <row r="159" spans="5:5" ht="15.95" customHeight="1" x14ac:dyDescent="0.2">
      <c r="E159" s="36"/>
    </row>
    <row r="160" spans="5:5" ht="15.95" customHeight="1" x14ac:dyDescent="0.2">
      <c r="E160" s="36"/>
    </row>
    <row r="161" spans="5:5" ht="15.95" customHeight="1" x14ac:dyDescent="0.2">
      <c r="E161" s="36"/>
    </row>
    <row r="162" spans="5:5" ht="15.95" customHeight="1" x14ac:dyDescent="0.2">
      <c r="E162" s="36"/>
    </row>
    <row r="163" spans="5:5" ht="15.95" customHeight="1" x14ac:dyDescent="0.2">
      <c r="E163" s="36"/>
    </row>
    <row r="164" spans="5:5" ht="15.95" customHeight="1" x14ac:dyDescent="0.2">
      <c r="E164" s="36"/>
    </row>
    <row r="165" spans="5:5" ht="15.95" customHeight="1" x14ac:dyDescent="0.2">
      <c r="E165" s="36"/>
    </row>
    <row r="166" spans="5:5" ht="15.95" customHeight="1" x14ac:dyDescent="0.2">
      <c r="E166" s="36"/>
    </row>
    <row r="167" spans="5:5" ht="9.75" customHeight="1" x14ac:dyDescent="0.2">
      <c r="E167" s="36"/>
    </row>
    <row r="168" spans="5:5" ht="9.75" customHeight="1" x14ac:dyDescent="0.2">
      <c r="E168" s="36"/>
    </row>
    <row r="169" spans="5:5" ht="9.75" customHeight="1" x14ac:dyDescent="0.2">
      <c r="E169" s="36"/>
    </row>
    <row r="170" spans="5:5" ht="9.75" customHeight="1" x14ac:dyDescent="0.2">
      <c r="E170" s="36"/>
    </row>
    <row r="171" spans="5:5" ht="9.75" customHeight="1" x14ac:dyDescent="0.2">
      <c r="E171" s="36"/>
    </row>
    <row r="172" spans="5:5" ht="9.75" customHeight="1" x14ac:dyDescent="0.2">
      <c r="E172" s="36"/>
    </row>
    <row r="173" spans="5:5" ht="9.75" customHeight="1" x14ac:dyDescent="0.2">
      <c r="E173" s="36"/>
    </row>
    <row r="174" spans="5:5" ht="9.75" customHeight="1" x14ac:dyDescent="0.2">
      <c r="E174" s="36"/>
    </row>
    <row r="175" spans="5:5" ht="9.75" customHeight="1" x14ac:dyDescent="0.2">
      <c r="E175" s="36"/>
    </row>
    <row r="176" spans="5:5" ht="9.75" customHeight="1" x14ac:dyDescent="0.2">
      <c r="E176" s="36"/>
    </row>
    <row r="177" spans="5:5" ht="9.75" customHeight="1" x14ac:dyDescent="0.2">
      <c r="E177" s="36"/>
    </row>
    <row r="178" spans="5:5" ht="9.75" customHeight="1" x14ac:dyDescent="0.2">
      <c r="E178" s="36"/>
    </row>
    <row r="179" spans="5:5" ht="9.75" customHeight="1" x14ac:dyDescent="0.2">
      <c r="E179" s="36"/>
    </row>
    <row r="180" spans="5:5" ht="9.75" customHeight="1" x14ac:dyDescent="0.2">
      <c r="E180" s="36"/>
    </row>
  </sheetData>
  <mergeCells count="2">
    <mergeCell ref="G4:K4"/>
    <mergeCell ref="L4:N4"/>
  </mergeCells>
  <pageMargins left="0.70866141732283472" right="0.70866141732283472" top="0.74803149606299213" bottom="0.74803149606299213" header="0.31496062992125984" footer="0.31496062992125984"/>
  <pageSetup paperSize="9" scale="48" orientation="portrait" r:id="rId1"/>
  <ignoredErrors>
    <ignoredError sqref="F86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27" sqref="D27:E28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porcentuales</vt:lpstr>
      <vt:lpstr>Hoja1</vt:lpstr>
      <vt:lpstr>porcentuales!Área_de_impresión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Sistemax</cp:lastModifiedBy>
  <cp:lastPrinted>2025-06-10T13:57:36Z</cp:lastPrinted>
  <dcterms:created xsi:type="dcterms:W3CDTF">2024-02-05T19:03:29Z</dcterms:created>
  <dcterms:modified xsi:type="dcterms:W3CDTF">2025-06-10T16:58:37Z</dcterms:modified>
</cp:coreProperties>
</file>