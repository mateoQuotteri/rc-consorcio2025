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febrero\"/>
    </mc:Choice>
  </mc:AlternateContent>
  <xr:revisionPtr revIDLastSave="0" documentId="13_ncr:1_{25F0931A-2065-419B-BD27-E3B649264E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G18" i="1"/>
  <c r="G25" i="1"/>
  <c r="G27" i="1" l="1"/>
  <c r="G21" i="1"/>
  <c r="G28" i="1" l="1"/>
  <c r="G19" i="1" l="1"/>
  <c r="G29" i="1" l="1"/>
  <c r="G17" i="1" l="1"/>
  <c r="G32" i="1" l="1"/>
  <c r="G31" i="1"/>
  <c r="G20" i="1" l="1"/>
  <c r="G1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J13" i="1" s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33" i="1" l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<sst xmlns="http://schemas.openxmlformats.org/spreadsheetml/2006/main" count="142" uniqueCount="82">
  <si>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</si>
  <si>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</si>
  <si>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</si>
  <si>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</si>
  <si>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</si>
  <si>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</si>
  <si>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</si>
  <si>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</si>
  <si>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</si>
  <si>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</si>
  <si>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</si>
  <si>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</si>
  <si>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</si>
  <si>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</si>
  <si>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</si>
  <si>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</si>
  <si>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</si>
  <si>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</si>
  <si>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</si>
  <si>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</si>
  <si>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</si>
  <si>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</si>
  <si>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</si>
  <si>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</si>
  <si>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</si>
  <si>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</si>
  <si>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</si>
  <si>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</si>
  <si>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</si>
  <si>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</si>
  <si>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</si>
  <si>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</si>
  <si>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</si>
  <si>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</si>
  <si>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</si>
  <si>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</si>
  <si>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</si>
  <si>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</si>
  <si>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</si>
  <si>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</si>
  <si>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</si>
  <si>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</si>
  <si>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</si>
  <si>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</si>
  <si>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</si>
  <si>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</si>
  <si>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</si>
  <si>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</si>
  <si>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</si>
  <si>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</si>
  <si>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</si>
  <si>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</si>
  <si>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</si>
  <si>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</si>
  <si>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</si>
  <si>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</si>
  <si>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</si>
  <si>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</si>
  <si>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</si>
  <si>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</si>
  <si>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</si>
  <si>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</si>
  <si>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</si>
  <si>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</si>
  <si>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</si>
  <si>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</si>
  <si>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</si>
  <si>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</si>
  <si>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</si>
  <si>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</si>
  <si>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</si>
  <si>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</si>
  <si>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</si>
  <si>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</si>
  <si>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</si>
  <si>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David</t>
  </si>
  <si>
    <t>Raquel</t>
  </si>
  <si>
    <t>Yoleidy</t>
  </si>
  <si>
    <t>ALCOLEAS, CRISTIAN</t>
  </si>
  <si>
    <t xml:space="preserve">Ricardo </t>
  </si>
  <si>
    <t>PAWLAK, MARCOS</t>
  </si>
  <si>
    <t>EXPENSAS - VENCIMIENTO 14/03  LIQUIDACION :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</si>
</sst>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6" fontId="9" fillId="3" borderId="1" xfId="2" applyNumberFormat="1" applyFont="1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9" fillId="0" borderId="0" xfId="2" applyNumberFormat="1" applyFont="1"/>
    <xf numFmtId="166" fontId="15" fillId="2" borderId="1" xfId="2" applyNumberFormat="1" applyFont="1" applyFill="1" applyBorder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B10" zoomScaleNormal="100" workbookViewId="0">
      <selection activeCell="L30" sqref="L30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3.7109375" style="6" customWidth="1"/>
    <col min="9" max="9" width="8.42578125" style="6" hidden="1" customWidth="1"/>
    <col min="10" max="10" width="14.85546875" customWidth="1"/>
    <col min="11" max="11" width="11.28515625" customWidth="1"/>
    <col min="12" max="12" width="11.5703125" customWidth="1"/>
    <col min="13" max="13" width="11" customWidth="1"/>
    <col min="14" max="14" width="12.85546875" bestFit="1" customWidth="1"/>
  </cols>
  <sheetData>
    <row r="1" spans="1:14" ht="26.25" customHeight="1" x14ac:dyDescent="0.25">
      <c r="A1" s="67" t="s">
        <v>81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x14ac:dyDescent="0.25">
      <c r="A2" s="13"/>
      <c r="F2" s="7"/>
      <c r="G2" s="7"/>
      <c r="H2" s="7"/>
      <c r="I2" s="25" t="s">
        <v>55</v>
      </c>
      <c r="N2" s="12"/>
    </row>
    <row r="3" spans="1:14" x14ac:dyDescent="0.25">
      <c r="A3" s="14" t="s">
        <v>0</v>
      </c>
      <c r="F3" s="7"/>
      <c r="G3" s="7"/>
      <c r="I3" s="59" t="s">
        <v>71</v>
      </c>
      <c r="J3" s="58"/>
      <c r="N3" s="12"/>
    </row>
    <row r="4" spans="1:14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4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4" x14ac:dyDescent="0.25">
      <c r="A6" s="14"/>
      <c r="F6" s="7"/>
      <c r="G6" s="7"/>
      <c r="H6" s="7"/>
      <c r="I6" s="7"/>
      <c r="N6" s="12"/>
    </row>
    <row r="7" spans="1:14" x14ac:dyDescent="0.25">
      <c r="A7" s="14"/>
      <c r="B7" s="29" t="s">
        <v>56</v>
      </c>
      <c r="C7" s="51">
        <v>937852.52</v>
      </c>
      <c r="D7" s="54"/>
      <c r="F7" s="7"/>
      <c r="G7" s="7"/>
      <c r="H7" s="7"/>
      <c r="I7" s="7"/>
      <c r="N7" s="12"/>
    </row>
    <row r="8" spans="1:14" x14ac:dyDescent="0.25">
      <c r="A8" s="14"/>
      <c r="B8" s="29" t="s">
        <v>57</v>
      </c>
      <c r="C8" s="29"/>
      <c r="D8" s="29"/>
      <c r="F8" s="7"/>
      <c r="G8" s="7"/>
      <c r="H8" s="7"/>
      <c r="I8" s="7"/>
      <c r="N8" s="12"/>
    </row>
    <row r="9" spans="1:14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4" ht="29.25" customHeight="1" x14ac:dyDescent="0.25">
      <c r="A10" s="16" t="s">
        <v>2</v>
      </c>
      <c r="B10" s="17" t="s">
        <v>6</v>
      </c>
      <c r="C10" s="55" t="s">
        <v>3</v>
      </c>
      <c r="D10" s="55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4" x14ac:dyDescent="0.25">
      <c r="A11" s="11">
        <v>1</v>
      </c>
      <c r="B11" s="11" t="s">
        <v>11</v>
      </c>
      <c r="C11" s="56" t="s">
        <v>4</v>
      </c>
      <c r="D11" s="56"/>
      <c r="E11" s="2">
        <v>4.9000000000000004</v>
      </c>
      <c r="F11" s="5">
        <v>45954.773480000003</v>
      </c>
      <c r="G11" s="50">
        <f>F11</f>
        <v>45954.773480000003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45954.773480000003</v>
      </c>
      <c r="M11" s="5">
        <f>C8*E11/100</f>
        <v>0</v>
      </c>
      <c r="N11" s="44">
        <f>K11+L11+M11</f>
        <v>45954.773480000003</v>
      </c>
    </row>
    <row r="12" spans="1:14" x14ac:dyDescent="0.25">
      <c r="A12" s="11">
        <v>2</v>
      </c>
      <c r="B12" s="11" t="s">
        <v>12</v>
      </c>
      <c r="C12" s="56" t="s">
        <v>5</v>
      </c>
      <c r="D12" s="56" t="s">
        <v>74</v>
      </c>
      <c r="E12" s="1">
        <v>3.89</v>
      </c>
      <c r="F12" s="5">
        <v>224865.58677750934</v>
      </c>
      <c r="G12" s="50"/>
      <c r="H12" s="8">
        <f t="shared" ref="H12:H34" si="0">F12-G12</f>
        <v>224865.58677750934</v>
      </c>
      <c r="I12" s="5">
        <v>0</v>
      </c>
      <c r="J12" s="9">
        <f t="shared" ref="J12:J34" si="1">H12*8.8%</f>
        <v>19788.171636420822</v>
      </c>
      <c r="K12" s="44">
        <f>H12+I12+J12</f>
        <v>244653.75841393016</v>
      </c>
      <c r="L12" s="5">
        <f>C7*E12/100</f>
        <v>36482.463027999998</v>
      </c>
      <c r="M12" s="5">
        <f>C8*E12/100</f>
        <v>0</v>
      </c>
      <c r="N12" s="44">
        <f>K12+L12+M12</f>
        <v>281136.22144193016</v>
      </c>
    </row>
    <row r="13" spans="1:14" x14ac:dyDescent="0.25">
      <c r="A13" s="11">
        <v>3</v>
      </c>
      <c r="B13" s="11" t="s">
        <v>14</v>
      </c>
      <c r="C13" s="56" t="s">
        <v>7</v>
      </c>
      <c r="D13" s="56"/>
      <c r="E13" s="3">
        <v>4</v>
      </c>
      <c r="F13" s="5">
        <v>122736.53420779519</v>
      </c>
      <c r="G13" s="50"/>
      <c r="H13" s="8">
        <f t="shared" si="0"/>
        <v>122736.53420779519</v>
      </c>
      <c r="I13" s="5">
        <v>0</v>
      </c>
      <c r="J13" s="9">
        <f t="shared" si="1"/>
        <v>10800.815010285978</v>
      </c>
      <c r="K13" s="44">
        <f>H13+I13+J13</f>
        <v>133537.34921808116</v>
      </c>
      <c r="L13" s="5">
        <f>C7*E13/100</f>
        <v>37514.1008</v>
      </c>
      <c r="M13" s="5">
        <f>C8*E13/100</f>
        <v>0</v>
      </c>
      <c r="N13" s="44">
        <f>K13+L13+M13</f>
        <v>171051.45001808117</v>
      </c>
    </row>
    <row r="14" spans="1:14" x14ac:dyDescent="0.25">
      <c r="A14" s="11">
        <v>4</v>
      </c>
      <c r="B14" s="11" t="s">
        <v>13</v>
      </c>
      <c r="C14" s="56" t="s">
        <v>26</v>
      </c>
      <c r="D14" s="56" t="s">
        <v>67</v>
      </c>
      <c r="E14" s="3">
        <v>4.9000000000000004</v>
      </c>
      <c r="F14" s="5">
        <v>45954.773480000003</v>
      </c>
      <c r="G14" s="50">
        <f t="shared" ref="G14" si="2">F14</f>
        <v>45954.773480000003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45954.773480000003</v>
      </c>
      <c r="M14" s="5">
        <f>C8*E14/100</f>
        <v>0</v>
      </c>
      <c r="N14" s="44">
        <f t="shared" ref="N14:N24" si="3">K14+L14+M14</f>
        <v>45954.773480000003</v>
      </c>
    </row>
    <row r="15" spans="1:14" x14ac:dyDescent="0.25">
      <c r="A15" s="11">
        <v>5</v>
      </c>
      <c r="B15" s="11" t="s">
        <v>15</v>
      </c>
      <c r="C15" s="56" t="s">
        <v>8</v>
      </c>
      <c r="D15" s="56" t="s">
        <v>73</v>
      </c>
      <c r="E15" s="1">
        <v>3.89</v>
      </c>
      <c r="F15" s="5">
        <v>36482.463027999998</v>
      </c>
      <c r="G15" s="50"/>
      <c r="H15" s="8">
        <f t="shared" si="0"/>
        <v>36482.463027999998</v>
      </c>
      <c r="I15" s="8">
        <v>0</v>
      </c>
      <c r="J15" s="9">
        <f t="shared" si="1"/>
        <v>3210.4567464640004</v>
      </c>
      <c r="K15" s="44">
        <f>H15+J15+I15</f>
        <v>39692.919774463997</v>
      </c>
      <c r="L15" s="5">
        <f>C7*E15/100</f>
        <v>36482.463027999998</v>
      </c>
      <c r="M15" s="5">
        <f>C8*E15/100</f>
        <v>0</v>
      </c>
      <c r="N15" s="44">
        <f>K15+L15+M15</f>
        <v>76175.382802463995</v>
      </c>
    </row>
    <row r="16" spans="1:14" x14ac:dyDescent="0.25">
      <c r="A16" s="11">
        <v>6</v>
      </c>
      <c r="B16" s="11" t="s">
        <v>16</v>
      </c>
      <c r="C16" s="56" t="s">
        <v>9</v>
      </c>
      <c r="D16" s="56" t="s">
        <v>79</v>
      </c>
      <c r="E16" s="3">
        <v>4</v>
      </c>
      <c r="F16" s="5">
        <v>85441.412096934684</v>
      </c>
      <c r="G16" s="50">
        <v>74951</v>
      </c>
      <c r="H16" s="8">
        <f t="shared" si="0"/>
        <v>10490.412096934684</v>
      </c>
      <c r="I16" s="5">
        <v>0</v>
      </c>
      <c r="J16" s="9">
        <f t="shared" si="1"/>
        <v>923.15626453025232</v>
      </c>
      <c r="K16" s="44">
        <f>H16+J16+I16</f>
        <v>11413.568361464937</v>
      </c>
      <c r="L16" s="5">
        <f>C7*E16/100</f>
        <v>37514.1008</v>
      </c>
      <c r="M16" s="5">
        <f>C8*E16/100</f>
        <v>0</v>
      </c>
      <c r="N16" s="44">
        <f t="shared" si="3"/>
        <v>48927.669161464939</v>
      </c>
    </row>
    <row r="17" spans="1:14" x14ac:dyDescent="0.25">
      <c r="A17" s="11">
        <v>7</v>
      </c>
      <c r="B17" s="11" t="s">
        <v>17</v>
      </c>
      <c r="C17" s="56" t="s">
        <v>10</v>
      </c>
      <c r="D17" s="56" t="s">
        <v>68</v>
      </c>
      <c r="E17" s="3">
        <v>4.9000000000000004</v>
      </c>
      <c r="F17" s="5">
        <v>45954.773480000003</v>
      </c>
      <c r="G17" s="50">
        <f>F17</f>
        <v>45954.773480000003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45954.773480000003</v>
      </c>
      <c r="M17" s="5">
        <f>C8*E17/100</f>
        <v>0</v>
      </c>
      <c r="N17" s="44">
        <f>K17+L17+M17</f>
        <v>45954.773480000003</v>
      </c>
    </row>
    <row r="18" spans="1:14" x14ac:dyDescent="0.25">
      <c r="A18" s="11">
        <v>8</v>
      </c>
      <c r="B18" s="11" t="s">
        <v>18</v>
      </c>
      <c r="C18" s="56" t="s">
        <v>19</v>
      </c>
      <c r="D18" s="56"/>
      <c r="E18" s="1">
        <v>3.89</v>
      </c>
      <c r="F18" s="5">
        <v>36482.463027999998</v>
      </c>
      <c r="G18" s="50">
        <f>F18+13</f>
        <v>36495.463027999998</v>
      </c>
      <c r="H18" s="8">
        <f t="shared" si="0"/>
        <v>-13</v>
      </c>
      <c r="I18" s="5">
        <v>0</v>
      </c>
      <c r="J18" s="9">
        <f t="shared" si="1"/>
        <v>-1.1440000000000001</v>
      </c>
      <c r="K18" s="44">
        <f>H18+J18+I18</f>
        <v>-14.144</v>
      </c>
      <c r="L18" s="5">
        <f>C7*E18/100</f>
        <v>36482.463027999998</v>
      </c>
      <c r="M18" s="5">
        <f>C8*E18/100</f>
        <v>0</v>
      </c>
      <c r="N18" s="44">
        <f t="shared" si="3"/>
        <v>36468.319027999998</v>
      </c>
    </row>
    <row r="19" spans="1:14" x14ac:dyDescent="0.25">
      <c r="A19" s="11">
        <v>9</v>
      </c>
      <c r="B19" s="11" t="s">
        <v>20</v>
      </c>
      <c r="C19" s="56" t="s">
        <v>21</v>
      </c>
      <c r="D19" s="56" t="s">
        <v>77</v>
      </c>
      <c r="E19" s="3">
        <v>4</v>
      </c>
      <c r="F19" s="5">
        <v>37514.1008</v>
      </c>
      <c r="G19" s="50">
        <f>F19</f>
        <v>37514.1008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4">H19+J19</f>
        <v>0</v>
      </c>
      <c r="L19" s="5">
        <f>C7*E19/100</f>
        <v>37514.1008</v>
      </c>
      <c r="M19" s="5">
        <f>C8*E19/100</f>
        <v>0</v>
      </c>
      <c r="N19" s="44">
        <f t="shared" si="3"/>
        <v>37514.1008</v>
      </c>
    </row>
    <row r="20" spans="1:14" x14ac:dyDescent="0.25">
      <c r="A20" s="11">
        <v>10</v>
      </c>
      <c r="B20" s="11" t="s">
        <v>22</v>
      </c>
      <c r="C20" s="56" t="s">
        <v>78</v>
      </c>
      <c r="D20" s="56"/>
      <c r="E20" s="1">
        <v>12.66</v>
      </c>
      <c r="F20" s="5">
        <v>118732.12903200001</v>
      </c>
      <c r="G20" s="50">
        <f>F20</f>
        <v>118732.12903200001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118732.12903200001</v>
      </c>
      <c r="M20" s="5">
        <f>C8*E20/100</f>
        <v>0</v>
      </c>
      <c r="N20" s="44">
        <f>K20+L20+M20</f>
        <v>118732.12903200001</v>
      </c>
    </row>
    <row r="21" spans="1:14" x14ac:dyDescent="0.25">
      <c r="A21" s="11">
        <v>11</v>
      </c>
      <c r="B21" s="11" t="s">
        <v>23</v>
      </c>
      <c r="C21" s="56" t="s">
        <v>26</v>
      </c>
      <c r="D21" s="56" t="s">
        <v>72</v>
      </c>
      <c r="E21" s="1">
        <v>7.75</v>
      </c>
      <c r="F21" s="5">
        <v>72683.570300000007</v>
      </c>
      <c r="G21" s="62">
        <f>F21</f>
        <v>72683.570300000007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72683.570300000007</v>
      </c>
      <c r="M21" s="5">
        <f>C8*E21/100</f>
        <v>0</v>
      </c>
      <c r="N21" s="44">
        <f t="shared" si="3"/>
        <v>72683.570300000007</v>
      </c>
    </row>
    <row r="22" spans="1:14" x14ac:dyDescent="0.25">
      <c r="A22" s="11">
        <v>12</v>
      </c>
      <c r="B22" s="11" t="s">
        <v>24</v>
      </c>
      <c r="C22" s="56" t="s">
        <v>80</v>
      </c>
      <c r="D22" s="56" t="s">
        <v>75</v>
      </c>
      <c r="E22" s="1">
        <v>7.51</v>
      </c>
      <c r="F22" s="5">
        <v>147063.52823817602</v>
      </c>
      <c r="G22" s="50"/>
      <c r="H22" s="8">
        <f t="shared" si="0"/>
        <v>147063.52823817602</v>
      </c>
      <c r="I22" s="5">
        <v>0</v>
      </c>
      <c r="J22" s="9">
        <f t="shared" si="1"/>
        <v>12941.590484959492</v>
      </c>
      <c r="K22" s="44">
        <f t="shared" ref="K22:K24" si="5">H22+J22+I22</f>
        <v>160005.1187231355</v>
      </c>
      <c r="L22" s="5">
        <f>C7*E22/100</f>
        <v>70432.724252</v>
      </c>
      <c r="M22" s="5">
        <f>C8*E22/100</f>
        <v>0</v>
      </c>
      <c r="N22" s="44">
        <f t="shared" si="3"/>
        <v>230437.84297513549</v>
      </c>
    </row>
    <row r="23" spans="1:14" x14ac:dyDescent="0.25">
      <c r="A23" s="11">
        <v>13</v>
      </c>
      <c r="B23" s="11" t="s">
        <v>28</v>
      </c>
      <c r="C23" s="56" t="s">
        <v>30</v>
      </c>
      <c r="D23" s="56"/>
      <c r="E23" s="1">
        <v>4.45</v>
      </c>
      <c r="F23" s="5">
        <v>157759.94372379838</v>
      </c>
      <c r="G23" s="50"/>
      <c r="H23" s="8">
        <f t="shared" si="0"/>
        <v>157759.94372379838</v>
      </c>
      <c r="I23" s="5">
        <v>0</v>
      </c>
      <c r="J23" s="9">
        <f t="shared" si="1"/>
        <v>13882.875047694259</v>
      </c>
      <c r="K23" s="44">
        <f>H23+J23+I23</f>
        <v>171642.81877149263</v>
      </c>
      <c r="L23" s="5">
        <f>C7*E23/100</f>
        <v>41734.437140000002</v>
      </c>
      <c r="M23" s="5">
        <f>C8*E23/100</f>
        <v>0</v>
      </c>
      <c r="N23" s="44">
        <f>K23+L23+M23</f>
        <v>213377.25591149263</v>
      </c>
    </row>
    <row r="24" spans="1:14" x14ac:dyDescent="0.25">
      <c r="A24" s="11">
        <v>14</v>
      </c>
      <c r="B24" s="11" t="s">
        <v>29</v>
      </c>
      <c r="C24" s="56" t="s">
        <v>31</v>
      </c>
      <c r="D24" s="56"/>
      <c r="E24" s="1">
        <v>6.17</v>
      </c>
      <c r="F24" s="5">
        <v>57865.500483999997</v>
      </c>
      <c r="G24" s="50">
        <f>F24</f>
        <v>57865.500483999997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5"/>
        <v>0</v>
      </c>
      <c r="L24" s="5">
        <f>C7*E24/100</f>
        <v>57865.500483999997</v>
      </c>
      <c r="M24" s="5">
        <f>C8*E24/100</f>
        <v>0</v>
      </c>
      <c r="N24" s="44">
        <f t="shared" si="3"/>
        <v>57865.500483999997</v>
      </c>
    </row>
    <row r="25" spans="1:14" x14ac:dyDescent="0.25">
      <c r="A25" s="11">
        <v>15</v>
      </c>
      <c r="B25" s="11" t="s">
        <v>32</v>
      </c>
      <c r="C25" s="56" t="s">
        <v>5</v>
      </c>
      <c r="D25" s="56" t="s">
        <v>76</v>
      </c>
      <c r="E25" s="1">
        <v>4.45</v>
      </c>
      <c r="F25" s="5">
        <v>87143.592748320007</v>
      </c>
      <c r="G25" s="50">
        <f>41735-26949</f>
        <v>14786</v>
      </c>
      <c r="H25" s="8">
        <f t="shared" si="0"/>
        <v>72357.592748320007</v>
      </c>
      <c r="I25" s="5">
        <v>0</v>
      </c>
      <c r="J25" s="9">
        <f t="shared" si="1"/>
        <v>6367.4681618521608</v>
      </c>
      <c r="K25" s="44">
        <f>H25+J25+I25</f>
        <v>78725.060910172164</v>
      </c>
      <c r="L25" s="5">
        <f>C7*E25/100+1</f>
        <v>41735.437140000002</v>
      </c>
      <c r="M25" s="5">
        <f>C8*E25/100</f>
        <v>0</v>
      </c>
      <c r="N25" s="44">
        <f>K25+L25+M25</f>
        <v>120460.49805017217</v>
      </c>
    </row>
    <row r="26" spans="1:14" x14ac:dyDescent="0.25">
      <c r="A26" s="11">
        <v>16</v>
      </c>
      <c r="B26" s="11" t="s">
        <v>33</v>
      </c>
      <c r="C26" s="56" t="s">
        <v>25</v>
      </c>
      <c r="D26" s="56" t="s">
        <v>69</v>
      </c>
      <c r="E26" s="1">
        <v>9.19</v>
      </c>
      <c r="F26" s="5">
        <v>370951.02764854458</v>
      </c>
      <c r="G26" s="50">
        <v>86190</v>
      </c>
      <c r="H26" s="8">
        <f t="shared" si="0"/>
        <v>284761.02764854458</v>
      </c>
      <c r="I26" s="5">
        <v>0</v>
      </c>
      <c r="J26" s="9">
        <f t="shared" si="1"/>
        <v>25058.970433071925</v>
      </c>
      <c r="K26" s="44">
        <f>H26+J26+I26</f>
        <v>309819.99808161648</v>
      </c>
      <c r="L26" s="5">
        <f>C7*E26/100+1</f>
        <v>86189.646588000003</v>
      </c>
      <c r="M26" s="5">
        <f>C8*E26/100</f>
        <v>0</v>
      </c>
      <c r="N26" s="44">
        <f>K26+L26+M26</f>
        <v>396009.64466961648</v>
      </c>
    </row>
    <row r="27" spans="1:14" x14ac:dyDescent="0.25">
      <c r="A27" s="11">
        <v>17</v>
      </c>
      <c r="B27" s="11" t="s">
        <v>34</v>
      </c>
      <c r="C27" s="56" t="s">
        <v>26</v>
      </c>
      <c r="D27" s="56"/>
      <c r="E27" s="1">
        <v>1.18</v>
      </c>
      <c r="F27" s="5">
        <v>11067.659736</v>
      </c>
      <c r="G27" s="50">
        <f>F27</f>
        <v>11067.659736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6">H27+J27+I27</f>
        <v>0</v>
      </c>
      <c r="L27" s="5">
        <f>C7*E27/100+1</f>
        <v>11067.659736</v>
      </c>
      <c r="M27" s="5">
        <f>C8*E27/100</f>
        <v>0</v>
      </c>
      <c r="N27" s="44">
        <f>K27+L27+M27</f>
        <v>11067.659736</v>
      </c>
    </row>
    <row r="28" spans="1:14" x14ac:dyDescent="0.25">
      <c r="A28" s="11">
        <v>18</v>
      </c>
      <c r="B28" s="11" t="s">
        <v>35</v>
      </c>
      <c r="C28" s="56" t="s">
        <v>43</v>
      </c>
      <c r="D28" s="56"/>
      <c r="E28" s="1">
        <v>1.18</v>
      </c>
      <c r="F28" s="5">
        <v>11067.659736</v>
      </c>
      <c r="G28" s="50">
        <f>F28</f>
        <v>11067.659736</v>
      </c>
      <c r="H28" s="8">
        <f t="shared" si="0"/>
        <v>0</v>
      </c>
      <c r="I28" s="5">
        <v>0</v>
      </c>
      <c r="J28" s="9">
        <f t="shared" si="1"/>
        <v>0</v>
      </c>
      <c r="K28" s="44">
        <f t="shared" si="6"/>
        <v>0</v>
      </c>
      <c r="L28" s="5">
        <f>C7*E28/100+1</f>
        <v>11067.659736</v>
      </c>
      <c r="M28" s="5">
        <f>C8*E28/100</f>
        <v>0</v>
      </c>
      <c r="N28" s="44">
        <f t="shared" ref="N28:N34" si="7">K28+L28+M28</f>
        <v>11067.659736</v>
      </c>
    </row>
    <row r="29" spans="1:14" x14ac:dyDescent="0.25">
      <c r="A29" s="11">
        <v>19</v>
      </c>
      <c r="B29" s="11" t="s">
        <v>36</v>
      </c>
      <c r="C29" s="56" t="s">
        <v>43</v>
      </c>
      <c r="D29" s="56"/>
      <c r="E29" s="1">
        <v>1.18</v>
      </c>
      <c r="F29" s="5">
        <v>11067.659736</v>
      </c>
      <c r="G29" s="50">
        <f t="shared" ref="G29:G33" si="8">F29</f>
        <v>11067.659736</v>
      </c>
      <c r="H29" s="8">
        <f t="shared" si="0"/>
        <v>0</v>
      </c>
      <c r="I29" s="5">
        <v>0</v>
      </c>
      <c r="J29" s="9">
        <f t="shared" si="1"/>
        <v>0</v>
      </c>
      <c r="K29" s="44">
        <f t="shared" si="6"/>
        <v>0</v>
      </c>
      <c r="L29" s="5">
        <f>C7*E29/100+1</f>
        <v>11067.659736</v>
      </c>
      <c r="M29" s="5">
        <f>C8*E29/100</f>
        <v>0</v>
      </c>
      <c r="N29" s="44">
        <f t="shared" si="7"/>
        <v>11067.659736</v>
      </c>
    </row>
    <row r="30" spans="1:14" x14ac:dyDescent="0.25">
      <c r="A30" s="11">
        <v>20</v>
      </c>
      <c r="B30" s="11" t="s">
        <v>37</v>
      </c>
      <c r="C30" s="56" t="s">
        <v>7</v>
      </c>
      <c r="D30" s="56"/>
      <c r="E30" s="1">
        <v>1.18</v>
      </c>
      <c r="F30" s="5">
        <v>36210.549335299584</v>
      </c>
      <c r="G30" s="50"/>
      <c r="H30" s="61">
        <f t="shared" si="0"/>
        <v>36210.549335299584</v>
      </c>
      <c r="I30" s="5">
        <v>0</v>
      </c>
      <c r="J30" s="9">
        <f t="shared" si="1"/>
        <v>3186.5283415063636</v>
      </c>
      <c r="K30" s="44">
        <f t="shared" si="6"/>
        <v>39397.077676805944</v>
      </c>
      <c r="L30" s="5">
        <f>C7*E30/100+1</f>
        <v>11067.659736</v>
      </c>
      <c r="M30" s="5">
        <f>C8*E30/100</f>
        <v>0</v>
      </c>
      <c r="N30" s="44">
        <f>K30+L30+M30</f>
        <v>50464.737412805945</v>
      </c>
    </row>
    <row r="31" spans="1:14" x14ac:dyDescent="0.25">
      <c r="A31" s="11">
        <v>21</v>
      </c>
      <c r="B31" s="11" t="s">
        <v>38</v>
      </c>
      <c r="C31" s="56" t="s">
        <v>78</v>
      </c>
      <c r="D31" s="56"/>
      <c r="E31" s="1">
        <v>1.18</v>
      </c>
      <c r="F31" s="5">
        <v>11067.659736</v>
      </c>
      <c r="G31" s="50">
        <f t="shared" si="8"/>
        <v>11067.659736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6"/>
        <v>0</v>
      </c>
      <c r="L31" s="5">
        <f>C7*E31/100+1</f>
        <v>11067.659736</v>
      </c>
      <c r="M31" s="5">
        <f>C8*E31/100</f>
        <v>0</v>
      </c>
      <c r="N31" s="44">
        <f>K31+L31+M31</f>
        <v>11067.659736</v>
      </c>
    </row>
    <row r="32" spans="1:14" x14ac:dyDescent="0.25">
      <c r="A32" s="11">
        <v>22</v>
      </c>
      <c r="B32" s="11" t="s">
        <v>39</v>
      </c>
      <c r="C32" s="56" t="s">
        <v>21</v>
      </c>
      <c r="D32" s="56"/>
      <c r="E32" s="1">
        <v>1.18</v>
      </c>
      <c r="F32" s="5">
        <v>11067.659736</v>
      </c>
      <c r="G32" s="50">
        <f t="shared" si="8"/>
        <v>11067.659736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6"/>
        <v>0</v>
      </c>
      <c r="L32" s="5">
        <f>C7*E32/100+1</f>
        <v>11067.659736</v>
      </c>
      <c r="M32" s="5">
        <f>C8*E32/100</f>
        <v>0</v>
      </c>
      <c r="N32" s="44">
        <f t="shared" si="7"/>
        <v>11067.659736</v>
      </c>
    </row>
    <row r="33" spans="1:15" x14ac:dyDescent="0.25">
      <c r="A33" s="11">
        <v>23</v>
      </c>
      <c r="B33" s="11" t="s">
        <v>40</v>
      </c>
      <c r="C33" s="56" t="s">
        <v>48</v>
      </c>
      <c r="D33" s="56"/>
      <c r="E33" s="1">
        <v>1.18</v>
      </c>
      <c r="F33" s="5">
        <v>11067.659736</v>
      </c>
      <c r="G33" s="50">
        <f t="shared" si="8"/>
        <v>11067.659736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6"/>
        <v>0</v>
      </c>
      <c r="L33" s="5">
        <f>C7*E33/100+1</f>
        <v>11067.659736</v>
      </c>
      <c r="M33" s="5">
        <f>C8*E33/100</f>
        <v>0</v>
      </c>
      <c r="N33" s="44">
        <f>K33+L33+M33</f>
        <v>11067.659736</v>
      </c>
      <c r="O33" s="60"/>
    </row>
    <row r="34" spans="1:15" x14ac:dyDescent="0.25">
      <c r="A34" s="11">
        <v>24</v>
      </c>
      <c r="B34" s="11" t="s">
        <v>41</v>
      </c>
      <c r="C34" s="56" t="s">
        <v>80</v>
      </c>
      <c r="D34" s="56"/>
      <c r="E34" s="1">
        <v>1.18</v>
      </c>
      <c r="F34" s="5">
        <v>23109.273528767997</v>
      </c>
      <c r="G34" s="50"/>
      <c r="H34" s="8">
        <f t="shared" si="0"/>
        <v>23109.273528767997</v>
      </c>
      <c r="I34" s="5">
        <v>0</v>
      </c>
      <c r="J34" s="9">
        <f t="shared" si="1"/>
        <v>2033.616070531584</v>
      </c>
      <c r="K34" s="44">
        <f t="shared" si="6"/>
        <v>25142.889599299582</v>
      </c>
      <c r="L34" s="5">
        <f>C7*E34/100+1</f>
        <v>11067.659736</v>
      </c>
      <c r="M34" s="5">
        <f>C8*E34/100</f>
        <v>0</v>
      </c>
      <c r="N34" s="44">
        <f t="shared" si="7"/>
        <v>36210.549335299584</v>
      </c>
    </row>
    <row r="35" spans="1:15" s="4" customFormat="1" ht="21" x14ac:dyDescent="0.35">
      <c r="A35" s="64" t="s">
        <v>42</v>
      </c>
      <c r="B35" s="64"/>
      <c r="C35" s="64"/>
      <c r="D35" s="53"/>
      <c r="E35" s="45">
        <f>SUM(E11:E34)</f>
        <v>99.990000000000066</v>
      </c>
      <c r="F35" s="46">
        <f>SUM(F11:F34)</f>
        <v>1819311.9538331458</v>
      </c>
      <c r="G35" s="63">
        <f>SUM(G11:G34)</f>
        <v>703488.0425000001</v>
      </c>
      <c r="H35" s="47">
        <f>SUM(H11:H34)</f>
        <v>1115823.9113331456</v>
      </c>
      <c r="I35" s="47">
        <f>SUM(I12:I34)</f>
        <v>0</v>
      </c>
      <c r="J35" s="48">
        <f>SUM(J11:J34)</f>
        <v>98192.504197316841</v>
      </c>
      <c r="K35" s="48"/>
      <c r="L35" s="47">
        <f>SUM(L11:L34)</f>
        <v>937768.73474800005</v>
      </c>
      <c r="M35" s="52">
        <f>SUM(M11:M34)</f>
        <v>0</v>
      </c>
      <c r="N35" s="57">
        <f>SUM(N11:N34)</f>
        <v>2151785.1502784621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2025-02-03T19:10:46Z</cp:lastPrinted>
  <dcterms:created xsi:type="dcterms:W3CDTF">2021-10-25T13:53:39Z</dcterms:created>
  <dcterms:modified xsi:type="dcterms:W3CDTF">2025-03-28T17:33:11Z</dcterms:modified>
</cp:coreProperties>
</file>