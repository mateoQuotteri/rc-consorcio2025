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Sistemax\Desktop\rc-consorcio2025\2025\FLORES DE ESTRADA\Septiembre\"/>
    </mc:Choice>
  </mc:AlternateContent>
  <xr:revisionPtr revIDLastSave="0" documentId="13_ncr:1_{0BEEFC29-6C19-427D-8778-9F0846DA239F}"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(2)'!$A$1:$M$44</definedName>
  </definedNames>
  <calcPr calcId="181029"/>
  <extLst>
    <ext xmlns:xlwcv="http://schemas.microsoft.com/office/spreadsheetml/2024/workbookCompatibilityVersion" uri="{D14903EA-33C4-47F7-8F05-3474C54BE107}">
      <xlwcv:version setVersion="1"/>
    </ext>
    <ext uri="GoogleSheetsCustomDataVersion1">
      <go:sheetsCustomData xmlns:go="http://customooxmlschemas.google.com/" r:id="" roundtripDataSignature="AMtx7miNZ3Aa6Oth2NTEJUZDCOk7UNfDow=="/>
    </ext>
  </extLst>
</workbook>
</file>

<file path=xl/calcChain.xml><?xml version="1.0" encoding="utf-8"?>
<calcChain xmlns="http://schemas.openxmlformats.org/spreadsheetml/2006/main">
  <c r="M36" i="1" l="1"/>
  <c r="G23" i="1"/>
  <c r="G22" i="1"/>
  <c r="G15" i="1" l="1"/>
  <c r="G20" i="1"/>
  <c r="G12" i="1"/>
  <c r="G11" i="1"/>
  <c r="S22" i="1" l="1"/>
  <c r="S21" i="1"/>
  <c r="J12" i="1" l="1"/>
  <c r="J11" i="1"/>
  <c r="J26" i="1"/>
  <c r="J27" i="1"/>
  <c r="J28" i="1"/>
  <c r="J29" i="1"/>
  <c r="J30" i="1"/>
  <c r="J31" i="1"/>
  <c r="J32" i="1"/>
  <c r="J33" i="1"/>
  <c r="J13" i="1"/>
  <c r="J14" i="1"/>
  <c r="J15" i="1"/>
  <c r="J16" i="1"/>
  <c r="J17" i="1"/>
  <c r="J18" i="1"/>
  <c r="J19" i="1"/>
  <c r="J20" i="1"/>
  <c r="J21" i="1"/>
  <c r="J22" i="1"/>
  <c r="J23" i="1"/>
  <c r="J24" i="1"/>
  <c r="J25" i="1"/>
  <c r="J10" i="1"/>
  <c r="J34" i="1" l="1"/>
  <c r="K10" i="1"/>
  <c r="L9" i="1" l="1"/>
  <c r="L26" i="1" s="1"/>
  <c r="N12" i="1"/>
  <c r="K12" i="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O27" i="2"/>
  <c r="N27" i="2"/>
  <c r="M27" i="2"/>
  <c r="I27" i="2"/>
  <c r="O26" i="2"/>
  <c r="P26" i="2" s="1"/>
  <c r="M26" i="2" s="1"/>
  <c r="N26" i="2"/>
  <c r="I26" i="2"/>
  <c r="O25" i="2"/>
  <c r="P25" i="2" s="1"/>
  <c r="L25" i="2"/>
  <c r="K25" i="2"/>
  <c r="J25" i="2"/>
  <c r="N25" i="2" s="1"/>
  <c r="I25" i="2"/>
  <c r="L24" i="2"/>
  <c r="K24" i="2"/>
  <c r="J24" i="2"/>
  <c r="N24" i="2" s="1"/>
  <c r="I24" i="2"/>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L18" i="2"/>
  <c r="K18" i="2"/>
  <c r="J18" i="2"/>
  <c r="N18" i="2" s="1"/>
  <c r="I18" i="2"/>
  <c r="O17" i="2"/>
  <c r="P17" i="2" s="1"/>
  <c r="L17" i="2"/>
  <c r="K17" i="2"/>
  <c r="J17" i="2"/>
  <c r="N17" i="2" s="1"/>
  <c r="I17" i="2"/>
  <c r="L16" i="2"/>
  <c r="K16" i="2"/>
  <c r="J16" i="2"/>
  <c r="N16" i="2" s="1"/>
  <c r="I16" i="2"/>
  <c r="L15" i="2"/>
  <c r="K15" i="2"/>
  <c r="J15" i="2"/>
  <c r="N15" i="2" s="1"/>
  <c r="I15" i="2"/>
  <c r="L14" i="2"/>
  <c r="K14" i="2"/>
  <c r="J14" i="2"/>
  <c r="N14" i="2" s="1"/>
  <c r="I14" i="2"/>
  <c r="O13" i="2"/>
  <c r="P13" i="2" s="1"/>
  <c r="L13" i="2"/>
  <c r="K13" i="2"/>
  <c r="J13" i="2"/>
  <c r="N13" i="2" s="1"/>
  <c r="I13" i="2"/>
  <c r="L12" i="2"/>
  <c r="K12" i="2"/>
  <c r="J12" i="2"/>
  <c r="N12" i="2" s="1"/>
  <c r="I12" i="2"/>
  <c r="R11" i="2"/>
  <c r="O11" i="2"/>
  <c r="P11" i="2" s="1"/>
  <c r="K11" i="2"/>
  <c r="J11" i="2"/>
  <c r="N11" i="2" s="1"/>
  <c r="I11" i="2"/>
  <c r="R10" i="2"/>
  <c r="L10" i="2"/>
  <c r="K10" i="2"/>
  <c r="J10" i="2"/>
  <c r="N10" i="2" s="1"/>
  <c r="I10" i="2"/>
  <c r="O35" i="1"/>
  <c r="H34" i="1"/>
  <c r="N33" i="1"/>
  <c r="I33" i="1"/>
  <c r="N32" i="1"/>
  <c r="I32" i="1"/>
  <c r="N31" i="1"/>
  <c r="I31" i="1"/>
  <c r="N30" i="1"/>
  <c r="I30" i="1"/>
  <c r="N29" i="1"/>
  <c r="I29" i="1"/>
  <c r="N28" i="1"/>
  <c r="I28" i="1"/>
  <c r="N27" i="1"/>
  <c r="I27" i="1"/>
  <c r="N26" i="1"/>
  <c r="I26" i="1"/>
  <c r="K25" i="1"/>
  <c r="N25" i="1"/>
  <c r="I25" i="1"/>
  <c r="K24" i="1"/>
  <c r="N24" i="1"/>
  <c r="I24" i="1"/>
  <c r="K23" i="1"/>
  <c r="N23" i="1"/>
  <c r="I23" i="1"/>
  <c r="K22" i="1"/>
  <c r="N22" i="1"/>
  <c r="I22" i="1"/>
  <c r="K21" i="1"/>
  <c r="N21" i="1"/>
  <c r="I21" i="1"/>
  <c r="K20" i="1"/>
  <c r="N20" i="1"/>
  <c r="I20" i="1"/>
  <c r="K19" i="1"/>
  <c r="N19" i="1"/>
  <c r="I19" i="1"/>
  <c r="K18" i="1"/>
  <c r="N18" i="1"/>
  <c r="I18" i="1"/>
  <c r="K17" i="1"/>
  <c r="N17" i="1"/>
  <c r="I17" i="1"/>
  <c r="K16" i="1"/>
  <c r="N16" i="1"/>
  <c r="I16" i="1"/>
  <c r="K15" i="1"/>
  <c r="N15" i="1"/>
  <c r="I15" i="1"/>
  <c r="K14" i="1"/>
  <c r="N14" i="1"/>
  <c r="I14" i="1"/>
  <c r="K13" i="1"/>
  <c r="N13" i="1"/>
  <c r="I13" i="1"/>
  <c r="I12" i="1"/>
  <c r="R11" i="1"/>
  <c r="K11" i="1"/>
  <c r="N11" i="1"/>
  <c r="I11" i="1"/>
  <c r="R10" i="1"/>
  <c r="N10" i="1"/>
  <c r="I10" i="1"/>
  <c r="O12" i="2" l="1"/>
  <c r="P12" i="2" s="1"/>
  <c r="O16" i="2"/>
  <c r="P16" i="2" s="1"/>
  <c r="O20" i="2"/>
  <c r="P20" i="2" s="1"/>
  <c r="O24" i="2"/>
  <c r="P24" i="2" s="1"/>
  <c r="I34" i="1"/>
  <c r="L34" i="2"/>
  <c r="O14" i="2"/>
  <c r="P14" i="2" s="1"/>
  <c r="M14" i="2" s="1"/>
  <c r="O18" i="2"/>
  <c r="P18" i="2" s="1"/>
  <c r="I34" i="2"/>
  <c r="O10" i="2"/>
  <c r="P10" i="2" s="1"/>
  <c r="O15" i="2"/>
  <c r="P15" i="2" s="1"/>
  <c r="M15" i="2" s="1"/>
  <c r="O19" i="2"/>
  <c r="P19" i="2" s="1"/>
  <c r="O23" i="2"/>
  <c r="P23" i="2" s="1"/>
  <c r="J34" i="2"/>
  <c r="O34" i="2" s="1"/>
  <c r="L10" i="1"/>
  <c r="M10" i="1" s="1"/>
  <c r="L14" i="1"/>
  <c r="M14" i="1" s="1"/>
  <c r="L18" i="1"/>
  <c r="M18" i="1" s="1"/>
  <c r="L22" i="1"/>
  <c r="M22" i="1" s="1"/>
  <c r="L27" i="1"/>
  <c r="L11" i="1"/>
  <c r="M11" i="1" s="1"/>
  <c r="L15" i="1"/>
  <c r="M15" i="1" s="1"/>
  <c r="L19" i="1"/>
  <c r="M19" i="1" s="1"/>
  <c r="L23" i="1"/>
  <c r="M23" i="1" s="1"/>
  <c r="L13" i="1"/>
  <c r="M13" i="1" s="1"/>
  <c r="L17" i="1"/>
  <c r="M17" i="1" s="1"/>
  <c r="L21" i="1"/>
  <c r="M21" i="1" s="1"/>
  <c r="L25" i="1"/>
  <c r="M25" i="1" s="1"/>
  <c r="L12" i="1"/>
  <c r="M12" i="1" s="1"/>
  <c r="L16" i="1"/>
  <c r="M16" i="1" s="1"/>
  <c r="L20" i="1"/>
  <c r="M20" i="1" s="1"/>
  <c r="L24" i="1"/>
  <c r="M24" i="1" s="1"/>
  <c r="K34" i="1"/>
  <c r="M10" i="2"/>
  <c r="M11" i="2"/>
  <c r="M12" i="2"/>
  <c r="M13" i="2"/>
  <c r="M16" i="2"/>
  <c r="M17" i="2"/>
  <c r="M18" i="2"/>
  <c r="M19" i="2"/>
  <c r="M20" i="2"/>
  <c r="M21" i="2"/>
  <c r="M22" i="2"/>
  <c r="M23" i="2"/>
  <c r="M24" i="2"/>
  <c r="M25" i="2"/>
  <c r="M26" i="1" l="1"/>
  <c r="L28" i="1"/>
  <c r="M27" i="1"/>
  <c r="O34" i="1"/>
  <c r="M34" i="2"/>
  <c r="M28" i="1" l="1"/>
  <c r="L29" i="1"/>
  <c r="O33" i="1"/>
  <c r="P33" i="1" s="1"/>
  <c r="O32" i="1"/>
  <c r="P32" i="1" s="1"/>
  <c r="O31" i="1"/>
  <c r="P31" i="1" s="1"/>
  <c r="O30" i="1"/>
  <c r="P30" i="1" s="1"/>
  <c r="O29" i="1"/>
  <c r="P29" i="1" s="1"/>
  <c r="O28" i="1"/>
  <c r="P28" i="1" s="1"/>
  <c r="O27" i="1"/>
  <c r="P27" i="1" s="1"/>
  <c r="O26" i="1"/>
  <c r="P26" i="1" s="1"/>
  <c r="O24" i="1"/>
  <c r="P24" i="1" s="1"/>
  <c r="O13" i="1"/>
  <c r="P13" i="1" s="1"/>
  <c r="O10" i="1"/>
  <c r="P10" i="1" s="1"/>
  <c r="O17" i="1"/>
  <c r="P17" i="1" s="1"/>
  <c r="O18" i="1"/>
  <c r="P18" i="1" s="1"/>
  <c r="O12" i="1"/>
  <c r="P12" i="1" s="1"/>
  <c r="O15" i="1"/>
  <c r="P15" i="1" s="1"/>
  <c r="O23" i="1"/>
  <c r="P23" i="1" s="1"/>
  <c r="O22" i="1"/>
  <c r="P22" i="1" s="1"/>
  <c r="O20" i="1"/>
  <c r="P20" i="1" s="1"/>
  <c r="O21" i="1"/>
  <c r="P21" i="1" s="1"/>
  <c r="O19" i="1"/>
  <c r="P19" i="1" s="1"/>
  <c r="O16" i="1"/>
  <c r="P16" i="1" s="1"/>
  <c r="O14" i="1"/>
  <c r="P14" i="1" s="1"/>
  <c r="O25" i="1"/>
  <c r="P25" i="1" s="1"/>
  <c r="L30" i="1" l="1"/>
  <c r="M29" i="1"/>
  <c r="O11" i="1"/>
  <c r="P11" i="1" s="1"/>
  <c r="L31" i="1" l="1"/>
  <c r="M30" i="1"/>
  <c r="M31" i="1" l="1"/>
  <c r="L32" i="1"/>
  <c r="L33" i="1" l="1"/>
  <c r="M32" i="1"/>
  <c r="M33" i="1" l="1"/>
  <c r="M34" i="1" s="1"/>
  <c r="L34" i="1"/>
  <c r="K37" i="1" s="1"/>
</calcChain>
</file>

<file path=xl/sharedStrings.xml><?xml version="1.0" encoding="utf-8"?>
<sst xmlns="http://schemas.openxmlformats.org/spreadsheetml/2006/main" count="162" uniqueCount="69">
  <si>
    <t>EDESUR - VENCIMIENTO 6/11</t>
  </si>
  <si>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</si>
  <si>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</si>
  <si>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</si>
  <si>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</si>
  <si>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</si>
  <si>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</si>
  <si>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</si>
  <si>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</si>
  <si>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</si>
  <si>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</si>
  <si>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</si>
  <si>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</si>
  <si>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</si>
  <si>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</si>
  <si>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</si>
  <si>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</si>
  <si>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</si>
  <si>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</si>
  <si>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</si>
  <si>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</si>
  <si>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</si>
  <si>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</si>
  <si>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</si>
  <si>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</si>
  <si>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</si>
  <si>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</si>
  <si>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</si>
  <si>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</si>
  <si>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</si>
  <si>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</si>
  <si>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</si>
  <si>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</si>
  <si>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</si>
  <si>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</si>
  <si>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</si>
  <si>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</si>
  <si>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</si>
  <si>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</si>
  <si>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</si>
  <si>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</si>
  <si>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</si>
  <si>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</si>
  <si>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</si>
  <si>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</si>
  <si>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</si>
  <si>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</si>
  <si>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</si>
  <si>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</si>
  <si>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</si>
  <si>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</si>
  <si>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</si>
  <si>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</si>
  <si>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</si>
  <si>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</si>
  <si>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</si>
  <si>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</si>
  <si>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</si>
  <si>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</si>
  <si>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</si>
  <si>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</si>
  <si>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</si>
  <si>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</si>
  <si>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ALCOLEAS, CRISTIAN</t>
  </si>
  <si>
    <t>PAWLAK, MARCOS</t>
  </si>
  <si>
    <t>Debido al incumplimiento por parte de EDESUR en el pago comprometido para los primeros días del mes, como se había acordado en años anteriores, y ante la necesidad de llegar a fin de mes sin contar con esos fondos en tiempo y forma, nos vimos en la obligación de solicitar un plan de pagos. Esta situación resalta la importancia de prever el gasto ordinario con mayor responsabilidad, a fin de evitar que este tipo de inconvenientes se repitan en el futuro. Se informa que quienes no abonen en tiempo y forma serán desconectados del servicio.</t>
  </si>
  <si>
    <t>7-B</t>
  </si>
  <si>
    <t>EDESUR - VENCIMIENTO 15/10</t>
  </si>
  <si>
    <t>SALDO DEUDOR: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</si>
</sst>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_-&quot;$&quot;\ * #,##0_-;\-&quot;$&quot;\ * #,##0_-;_-&quot;$&quot;\ * &quot;-&quot;??_-;_-@"/>
    <numFmt numFmtId="165" formatCode="_-&quot;$&quot;\ * #,##0.00_-;\-&quot;$&quot;\ * #,##0.00_-;_-&quot;$&quot;\ * &quot;-&quot;??_-;_-@"/>
    <numFmt numFmtId="166" formatCode="0.00;[Red]0.00"/>
  </numFmts>
  <fonts count="14" x14ac:knownFonts="1">
    <font>
      <sz val="11"/>
      <color theme="1"/>
      <name val="Calibri"/>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9"/>
      <color theme="1"/>
      <name val="Calibri"/>
      <family val="2"/>
    </font>
    <font>
      <sz val="11"/>
      <color rgb="FFFF0000"/>
      <name val="Calibri"/>
      <family val="2"/>
    </font>
    <font>
      <sz val="8"/>
      <color theme="1"/>
      <name val="Calibri"/>
      <family val="2"/>
      <scheme val="minor"/>
    </font>
    <font>
      <sz val="10"/>
      <color theme="1"/>
      <name val="Calibri"/>
      <family val="2"/>
      <scheme val="minor"/>
    </font>
    <font>
      <b/>
      <sz val="11"/>
      <color theme="1"/>
      <name val="Calibri"/>
      <family val="2"/>
      <scheme val="minor"/>
    </font>
    <font>
      <b/>
      <sz val="10"/>
      <name val="Calibri"/>
      <family val="2"/>
    </font>
    <font>
      <b/>
      <sz val="12"/>
      <color theme="0"/>
      <name val="Calibri"/>
      <family val="2"/>
      <scheme val="minor"/>
    </font>
  </fonts>
  <fills count="9">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theme="1"/>
        <bgColor indexed="64"/>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1">
    <xf numFmtId="0" fontId="0" fillId="0" borderId="0" xfId="0"/>
    <xf numFmtId="0" fontId="2" fillId="2" borderId="4"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5" xfId="0" applyFont="1" applyBorder="1"/>
    <xf numFmtId="164" fontId="4" fillId="0" borderId="0" xfId="0" applyNumberFormat="1" applyFont="1"/>
    <xf numFmtId="0" fontId="4" fillId="0" borderId="6" xfId="0" applyFont="1" applyBorder="1"/>
    <xf numFmtId="0" fontId="5" fillId="0" borderId="5" xfId="0" applyFont="1" applyBorder="1"/>
    <xf numFmtId="0" fontId="5" fillId="0" borderId="7" xfId="0" applyFont="1" applyBorder="1"/>
    <xf numFmtId="165" fontId="5" fillId="0" borderId="8" xfId="0" applyNumberFormat="1" applyFont="1" applyBorder="1"/>
    <xf numFmtId="0" fontId="4" fillId="0" borderId="8" xfId="0" applyFont="1" applyBorder="1"/>
    <xf numFmtId="164" fontId="4" fillId="0" borderId="8" xfId="0" applyNumberFormat="1" applyFont="1" applyBorder="1"/>
    <xf numFmtId="0" fontId="4" fillId="0" borderId="9" xfId="0" applyFont="1" applyBorder="1"/>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164" fontId="5" fillId="2" borderId="10" xfId="0" applyNumberFormat="1" applyFont="1" applyFill="1" applyBorder="1" applyAlignment="1">
      <alignment horizontal="center" vertical="center" wrapText="1"/>
    </xf>
    <xf numFmtId="165" fontId="5" fillId="2" borderId="10"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0" borderId="10" xfId="0" applyFont="1" applyBorder="1"/>
    <xf numFmtId="164" fontId="4" fillId="0" borderId="10" xfId="0" applyNumberFormat="1" applyFont="1" applyBorder="1"/>
    <xf numFmtId="165" fontId="4" fillId="0" borderId="10" xfId="0" applyNumberFormat="1" applyFont="1" applyBorder="1"/>
    <xf numFmtId="2" fontId="4" fillId="0" borderId="10" xfId="0" applyNumberFormat="1" applyFont="1" applyBorder="1"/>
    <xf numFmtId="166" fontId="4" fillId="0" borderId="0" xfId="0" applyNumberFormat="1" applyFont="1"/>
    <xf numFmtId="2" fontId="4" fillId="0" borderId="10" xfId="0" applyNumberFormat="1" applyFont="1" applyBorder="1" applyAlignment="1">
      <alignment horizontal="center"/>
    </xf>
    <xf numFmtId="9" fontId="4" fillId="0" borderId="0" xfId="0" applyNumberFormat="1" applyFont="1"/>
    <xf numFmtId="0" fontId="6" fillId="0" borderId="0" xfId="0" applyFont="1"/>
    <xf numFmtId="164" fontId="4" fillId="3" borderId="10" xfId="0" applyNumberFormat="1" applyFont="1" applyFill="1" applyBorder="1"/>
    <xf numFmtId="0" fontId="4" fillId="0" borderId="11" xfId="0" applyFont="1" applyBorder="1"/>
    <xf numFmtId="0" fontId="4" fillId="0" borderId="12" xfId="0" applyFont="1" applyBorder="1"/>
    <xf numFmtId="164" fontId="4" fillId="0" borderId="12" xfId="0" applyNumberFormat="1" applyFont="1" applyBorder="1"/>
    <xf numFmtId="165" fontId="4" fillId="0" borderId="12" xfId="0" applyNumberFormat="1" applyFont="1" applyBorder="1"/>
    <xf numFmtId="0" fontId="5" fillId="4" borderId="4" xfId="0" applyFont="1" applyFill="1" applyBorder="1" applyAlignment="1">
      <alignment horizontal="left" vertical="center" wrapText="1"/>
    </xf>
    <xf numFmtId="164" fontId="0" fillId="0" borderId="0" xfId="0" applyNumberFormat="1"/>
    <xf numFmtId="44" fontId="0" fillId="0" borderId="0" xfId="0" applyNumberFormat="1"/>
    <xf numFmtId="0" fontId="7" fillId="2" borderId="10" xfId="0" applyFont="1" applyFill="1" applyBorder="1" applyAlignment="1">
      <alignment horizontal="center" vertical="center" wrapText="1"/>
    </xf>
    <xf numFmtId="0" fontId="4" fillId="6" borderId="10" xfId="0" applyFont="1" applyFill="1" applyBorder="1"/>
    <xf numFmtId="164" fontId="4" fillId="6" borderId="10" xfId="0" applyNumberFormat="1" applyFont="1" applyFill="1" applyBorder="1"/>
    <xf numFmtId="165" fontId="4" fillId="6" borderId="10" xfId="0" applyNumberFormat="1" applyFont="1" applyFill="1" applyBorder="1"/>
    <xf numFmtId="0" fontId="4" fillId="5" borderId="10" xfId="0" applyFont="1" applyFill="1" applyBorder="1"/>
    <xf numFmtId="164" fontId="4" fillId="5" borderId="10" xfId="0" applyNumberFormat="1" applyFont="1" applyFill="1" applyBorder="1"/>
    <xf numFmtId="165" fontId="4" fillId="5" borderId="10" xfId="0" applyNumberFormat="1" applyFont="1" applyFill="1" applyBorder="1"/>
    <xf numFmtId="2" fontId="4" fillId="5" borderId="10" xfId="0" applyNumberFormat="1" applyFont="1" applyFill="1" applyBorder="1"/>
    <xf numFmtId="0" fontId="1" fillId="0" borderId="0" xfId="0" applyFont="1"/>
    <xf numFmtId="0" fontId="4" fillId="7" borderId="10" xfId="0" applyFont="1" applyFill="1" applyBorder="1"/>
    <xf numFmtId="164" fontId="8" fillId="5" borderId="10" xfId="0" applyNumberFormat="1" applyFont="1" applyFill="1" applyBorder="1"/>
    <xf numFmtId="166" fontId="4" fillId="5" borderId="0" xfId="0" applyNumberFormat="1" applyFont="1" applyFill="1"/>
    <xf numFmtId="2" fontId="4" fillId="5" borderId="10" xfId="0" applyNumberFormat="1" applyFont="1" applyFill="1" applyBorder="1" applyAlignment="1">
      <alignment horizontal="center"/>
    </xf>
    <xf numFmtId="0" fontId="0" fillId="5" borderId="0" xfId="0" applyFill="1"/>
    <xf numFmtId="44" fontId="9" fillId="5" borderId="0" xfId="0" applyNumberFormat="1" applyFont="1" applyFill="1"/>
    <xf numFmtId="165" fontId="12" fillId="5" borderId="8" xfId="0" applyNumberFormat="1" applyFont="1" applyFill="1" applyBorder="1"/>
    <xf numFmtId="0" fontId="8" fillId="5" borderId="10" xfId="0" applyFont="1" applyFill="1" applyBorder="1"/>
    <xf numFmtId="0" fontId="10" fillId="5" borderId="14" xfId="0" applyFont="1" applyFill="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5" fillId="4" borderId="1" xfId="0" applyFont="1" applyFill="1" applyBorder="1" applyAlignment="1">
      <alignment horizontal="left" vertical="center" wrapText="1"/>
    </xf>
    <xf numFmtId="0" fontId="3" fillId="0" borderId="13" xfId="0" applyFont="1" applyBorder="1"/>
    <xf numFmtId="0" fontId="11" fillId="6" borderId="0" xfId="0" applyFont="1" applyFill="1" applyAlignment="1">
      <alignment horizontal="left" vertical="center" wrapText="1"/>
    </xf>
    <xf numFmtId="0" fontId="11" fillId="6" borderId="0" xfId="0" applyFont="1" applyFill="1" applyAlignment="1">
      <alignment horizontal="left" vertical="center"/>
    </xf>
    <xf numFmtId="0" fontId="13" fillId="8" borderId="4" xfId="0" applyFont="1" applyFill="1" applyBorder="1"/>
    <xf numFmtId="164" fontId="13" fillId="8" borderId="4"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606425</xdr:colOff>
      <xdr:row>2</xdr:row>
      <xdr:rowOff>73025</xdr:rowOff>
    </xdr:from>
    <xdr:ext cx="1990725" cy="7429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68008" y="528108"/>
          <a:ext cx="1990725" cy="7429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B8" zoomScale="90" zoomScaleNormal="90" workbookViewId="0">
      <selection activeCell="M11" sqref="B11:M11"/>
    </sheetView>
  </sheetViews>
  <sheetFormatPr baseColWidth="10" defaultColWidth="14.42578125" defaultRowHeight="15" customHeight="1" x14ac:dyDescent="0.25"/>
  <cols>
    <col min="1" max="1" width="4.7109375" hidden="1" customWidth="1"/>
    <col min="2" max="2" width="10" customWidth="1"/>
    <col min="3" max="3" width="14.85546875" customWidth="1"/>
    <col min="4" max="4" width="27" customWidth="1"/>
    <col min="5" max="5" width="6.42578125" customWidth="1"/>
    <col min="6" max="6" width="10.42578125" hidden="1" customWidth="1"/>
    <col min="7" max="7" width="8.85546875" hidden="1" customWidth="1"/>
    <col min="8" max="8" width="7.7109375" hidden="1" customWidth="1"/>
    <col min="9" max="9" width="10.42578125" hidden="1" customWidth="1"/>
    <col min="10" max="10" width="13.85546875" hidden="1" customWidth="1"/>
    <col min="11" max="11" width="15.42578125" hidden="1" customWidth="1"/>
    <col min="12" max="12" width="12.7109375" hidden="1" customWidth="1"/>
    <col min="13" max="13" width="13.7109375" customWidth="1"/>
    <col min="14" max="14" width="13.5703125" hidden="1" customWidth="1"/>
    <col min="15" max="15" width="13.7109375" hidden="1" customWidth="1"/>
    <col min="16" max="16" width="19" hidden="1" customWidth="1"/>
    <col min="17" max="17" width="11.5703125" hidden="1" customWidth="1"/>
    <col min="18" max="18" width="0.28515625" hidden="1" customWidth="1"/>
    <col min="19" max="24" width="10.7109375" customWidth="1"/>
    <col min="25" max="25" width="21.85546875" customWidth="1"/>
    <col min="26" max="26" width="10.7109375" customWidth="1"/>
  </cols>
  <sheetData>
    <row r="1" spans="1:25" ht="21" customHeight="1" x14ac:dyDescent="0.25">
      <c r="A1" s="52" t="s">
        <v>67</v>
      </c>
      <c r="B1" s="53"/>
      <c r="C1" s="53"/>
      <c r="D1" s="53"/>
      <c r="E1" s="53"/>
      <c r="F1" s="53"/>
      <c r="G1" s="53"/>
      <c r="H1" s="53"/>
      <c r="I1" s="53"/>
      <c r="J1" s="53"/>
      <c r="K1" s="53"/>
      <c r="L1" s="53"/>
      <c r="M1" s="54"/>
      <c r="N1" s="1"/>
      <c r="O1" s="2"/>
      <c r="P1" s="3"/>
      <c r="Q1" s="3"/>
    </row>
    <row r="2" spans="1:25" x14ac:dyDescent="0.25">
      <c r="A2" s="4"/>
      <c r="B2" s="4"/>
      <c r="C2" s="3"/>
      <c r="D2" s="3"/>
      <c r="E2" s="3"/>
      <c r="F2" s="3"/>
      <c r="G2" s="3"/>
      <c r="H2" s="5"/>
      <c r="I2" s="3"/>
      <c r="J2" s="3"/>
      <c r="K2" s="3"/>
      <c r="L2" s="3"/>
      <c r="M2" s="6"/>
      <c r="N2" s="3"/>
      <c r="O2" s="2"/>
      <c r="P2" s="3"/>
      <c r="Q2" s="3"/>
    </row>
    <row r="3" spans="1:25" x14ac:dyDescent="0.25">
      <c r="A3" s="7" t="s">
        <v>1</v>
      </c>
      <c r="B3" s="7" t="s">
        <v>1</v>
      </c>
      <c r="C3" s="3" t="s">
        <v>2</v>
      </c>
      <c r="E3" s="3"/>
      <c r="F3" s="3"/>
      <c r="G3" s="3"/>
      <c r="H3" s="5"/>
      <c r="I3" s="3"/>
      <c r="J3" s="3"/>
      <c r="K3" s="3"/>
      <c r="L3" s="3"/>
      <c r="M3" s="6"/>
      <c r="N3" s="3"/>
      <c r="O3" s="2"/>
      <c r="P3" s="3"/>
      <c r="Q3" s="3"/>
    </row>
    <row r="4" spans="1:25" x14ac:dyDescent="0.25">
      <c r="A4" s="7" t="s">
        <v>3</v>
      </c>
      <c r="B4" s="7" t="s">
        <v>3</v>
      </c>
      <c r="C4" s="3" t="s">
        <v>4</v>
      </c>
      <c r="E4" s="3"/>
      <c r="F4" s="3"/>
      <c r="G4" s="3"/>
      <c r="H4" s="5"/>
      <c r="I4" s="3"/>
      <c r="J4" s="3"/>
      <c r="K4" s="3"/>
      <c r="L4" s="3"/>
      <c r="M4" s="6"/>
      <c r="N4" s="3"/>
      <c r="O4" s="2"/>
    </row>
    <row r="5" spans="1:25" x14ac:dyDescent="0.25">
      <c r="A5" s="7" t="s">
        <v>5</v>
      </c>
      <c r="B5" s="7" t="s">
        <v>5</v>
      </c>
      <c r="C5" s="3" t="s">
        <v>6</v>
      </c>
      <c r="E5" s="3"/>
      <c r="F5" s="3"/>
      <c r="G5" s="3"/>
      <c r="H5" s="5"/>
      <c r="I5" s="3"/>
      <c r="J5" s="3"/>
      <c r="K5" s="3"/>
      <c r="L5" s="3"/>
      <c r="M5" s="6"/>
      <c r="N5" s="3"/>
      <c r="O5" s="2"/>
    </row>
    <row r="6" spans="1:25" x14ac:dyDescent="0.25">
      <c r="A6" s="7" t="s">
        <v>7</v>
      </c>
      <c r="B6" s="7" t="s">
        <v>7</v>
      </c>
      <c r="C6" s="3" t="s">
        <v>8</v>
      </c>
      <c r="E6" s="3"/>
      <c r="F6" s="3"/>
      <c r="G6" s="3"/>
      <c r="H6" s="5"/>
      <c r="I6" s="3"/>
      <c r="J6" s="3"/>
      <c r="K6" s="3"/>
      <c r="L6" s="3"/>
      <c r="M6" s="6"/>
      <c r="N6" s="3"/>
      <c r="O6" s="2"/>
    </row>
    <row r="7" spans="1:25" hidden="1" x14ac:dyDescent="0.25">
      <c r="A7" s="8" t="s">
        <v>9</v>
      </c>
      <c r="B7" s="8" t="s">
        <v>9</v>
      </c>
      <c r="C7" s="9">
        <v>78050</v>
      </c>
      <c r="E7" s="10"/>
      <c r="F7" s="10"/>
      <c r="G7" s="10"/>
      <c r="H7" s="11"/>
      <c r="I7" s="10"/>
      <c r="J7" s="10"/>
      <c r="K7" s="10"/>
      <c r="L7" s="10"/>
      <c r="M7" s="12"/>
      <c r="N7" s="3"/>
      <c r="O7" s="2"/>
    </row>
    <row r="8" spans="1:25" x14ac:dyDescent="0.25">
      <c r="A8" s="8"/>
      <c r="B8" s="7" t="s">
        <v>9</v>
      </c>
      <c r="C8" s="49">
        <v>1371121.11</v>
      </c>
      <c r="E8" s="10"/>
      <c r="F8" s="10"/>
      <c r="G8" s="10"/>
      <c r="H8" s="11"/>
      <c r="I8" s="10"/>
      <c r="J8" s="10"/>
      <c r="K8" s="10"/>
      <c r="L8" s="10"/>
      <c r="M8" s="12"/>
      <c r="N8" s="3"/>
      <c r="O8" s="2"/>
      <c r="S8" s="42"/>
    </row>
    <row r="9" spans="1:25" ht="36" customHeight="1" x14ac:dyDescent="0.25">
      <c r="A9" s="13" t="s">
        <v>10</v>
      </c>
      <c r="B9" s="13" t="s">
        <v>10</v>
      </c>
      <c r="C9" s="14" t="s">
        <v>11</v>
      </c>
      <c r="D9" s="13" t="s">
        <v>12</v>
      </c>
      <c r="E9" s="13" t="s">
        <v>13</v>
      </c>
      <c r="F9" s="14" t="s">
        <v>14</v>
      </c>
      <c r="G9" s="34" t="s">
        <v>15</v>
      </c>
      <c r="H9" s="15" t="s">
        <v>16</v>
      </c>
      <c r="I9" s="34" t="s">
        <v>17</v>
      </c>
      <c r="J9" s="14" t="s">
        <v>9</v>
      </c>
      <c r="K9" s="14" t="s">
        <v>18</v>
      </c>
      <c r="L9" s="15">
        <f>C8-J34</f>
        <v>1029931.6518000003</v>
      </c>
      <c r="M9" s="14" t="s">
        <v>19</v>
      </c>
      <c r="N9" s="17"/>
      <c r="O9" s="14" t="s">
        <v>20</v>
      </c>
      <c r="P9" s="14" t="s">
        <v>21</v>
      </c>
    </row>
    <row r="10" spans="1:25" x14ac:dyDescent="0.25">
      <c r="A10" s="18">
        <v>1</v>
      </c>
      <c r="B10" s="18">
        <v>1</v>
      </c>
      <c r="C10" s="18" t="s">
        <v>22</v>
      </c>
      <c r="D10" s="18" t="s">
        <v>23</v>
      </c>
      <c r="E10" s="18">
        <v>4.9000000000000004</v>
      </c>
      <c r="F10" s="18">
        <v>19350</v>
      </c>
      <c r="G10" s="50">
        <v>19700.2</v>
      </c>
      <c r="H10" s="19">
        <v>0</v>
      </c>
      <c r="I10" s="20">
        <f t="shared" ref="I10:I33" si="0">H10*7%</f>
        <v>0</v>
      </c>
      <c r="J10" s="20">
        <f>(G10-F10)*93.78</f>
        <v>32841.756000000067</v>
      </c>
      <c r="K10" s="21">
        <f>G10-F10</f>
        <v>350.20000000000073</v>
      </c>
      <c r="L10" s="19">
        <f>L9*E10/100</f>
        <v>50466.650938200022</v>
      </c>
      <c r="M10" s="19">
        <f>J10+L10+3</f>
        <v>83311.406938200089</v>
      </c>
      <c r="N10" s="22">
        <f>J10/C7*100</f>
        <v>42.077842408712449</v>
      </c>
      <c r="O10" s="23">
        <f>J10/L9*100</f>
        <v>3.1887315961795024</v>
      </c>
      <c r="P10" s="20">
        <f>C7*O10/100</f>
        <v>2488.8050108181014</v>
      </c>
      <c r="Q10" s="24">
        <v>0.31</v>
      </c>
      <c r="R10" s="25">
        <f t="shared" ref="R10:R11" si="1">4000*Q10</f>
        <v>1240</v>
      </c>
    </row>
    <row r="11" spans="1:25" x14ac:dyDescent="0.25">
      <c r="A11" s="18">
        <v>2</v>
      </c>
      <c r="B11" s="38">
        <v>2</v>
      </c>
      <c r="C11" s="38" t="s">
        <v>24</v>
      </c>
      <c r="D11" s="38" t="s">
        <v>25</v>
      </c>
      <c r="E11" s="38">
        <v>3.89</v>
      </c>
      <c r="F11" s="38">
        <v>17143.900000000001</v>
      </c>
      <c r="G11" s="50">
        <f>F11+70</f>
        <v>17213.900000000001</v>
      </c>
      <c r="H11" s="39">
        <v>0</v>
      </c>
      <c r="I11" s="40">
        <f t="shared" si="0"/>
        <v>0</v>
      </c>
      <c r="J11" s="40">
        <f>(G11-F11)*93.78</f>
        <v>6564.6</v>
      </c>
      <c r="K11" s="41">
        <f t="shared" ref="K11:K25" si="2">G11-F11</f>
        <v>70</v>
      </c>
      <c r="L11" s="39">
        <f>L9*E11/100</f>
        <v>40064.341255020016</v>
      </c>
      <c r="M11" s="39">
        <f t="shared" ref="M11:M24" si="3">J11+L11+1</f>
        <v>46629.941255020014</v>
      </c>
      <c r="N11" s="22" t="e">
        <f t="shared" ref="N11:N33" si="4">J11/C9*100</f>
        <v>#VALUE!</v>
      </c>
      <c r="O11" s="23">
        <f>L11/L9*100</f>
        <v>3.8900000000000006</v>
      </c>
      <c r="P11" s="20">
        <f>C7*O11/100</f>
        <v>3036.1450000000004</v>
      </c>
      <c r="Q11" s="24">
        <v>0.19</v>
      </c>
      <c r="R11" s="25">
        <f t="shared" si="1"/>
        <v>760</v>
      </c>
      <c r="U11" s="32"/>
    </row>
    <row r="12" spans="1:25" x14ac:dyDescent="0.25">
      <c r="A12" s="38">
        <v>3</v>
      </c>
      <c r="B12" s="38">
        <v>3</v>
      </c>
      <c r="C12" s="38" t="s">
        <v>26</v>
      </c>
      <c r="D12" s="38" t="s">
        <v>27</v>
      </c>
      <c r="E12" s="38">
        <v>4</v>
      </c>
      <c r="F12" s="38">
        <v>11586.3</v>
      </c>
      <c r="G12" s="50">
        <f>F12+85</f>
        <v>11671.3</v>
      </c>
      <c r="H12" s="39">
        <v>0</v>
      </c>
      <c r="I12" s="40">
        <f t="shared" si="0"/>
        <v>0</v>
      </c>
      <c r="J12" s="40">
        <f t="shared" ref="J12:J33" si="5">(G12-F12)*93.78</f>
        <v>7971.3</v>
      </c>
      <c r="K12" s="41">
        <f>G12-F12</f>
        <v>85</v>
      </c>
      <c r="L12" s="39">
        <f>L9*E12/100</f>
        <v>41197.266072000013</v>
      </c>
      <c r="M12" s="39">
        <f t="shared" si="3"/>
        <v>49169.566072000016</v>
      </c>
      <c r="N12" s="22" t="e">
        <f t="shared" si="4"/>
        <v>#VALUE!</v>
      </c>
      <c r="O12" s="23">
        <f>J12/L9*100</f>
        <v>0.77396397965521757</v>
      </c>
      <c r="P12" s="20">
        <f>C7*O12/100</f>
        <v>604.07888612089732</v>
      </c>
    </row>
    <row r="13" spans="1:25" x14ac:dyDescent="0.25">
      <c r="A13" s="18">
        <v>4</v>
      </c>
      <c r="B13" s="38">
        <v>4</v>
      </c>
      <c r="C13" s="38" t="s">
        <v>28</v>
      </c>
      <c r="D13" s="38" t="s">
        <v>29</v>
      </c>
      <c r="E13" s="38">
        <v>4.9000000000000004</v>
      </c>
      <c r="F13" s="38">
        <v>29144.799999999999</v>
      </c>
      <c r="G13" s="50">
        <v>29605.7</v>
      </c>
      <c r="H13" s="26">
        <v>0</v>
      </c>
      <c r="I13" s="40">
        <f t="shared" si="0"/>
        <v>0</v>
      </c>
      <c r="J13" s="40">
        <f t="shared" si="5"/>
        <v>43223.202000000136</v>
      </c>
      <c r="K13" s="41">
        <f t="shared" si="2"/>
        <v>460.90000000000146</v>
      </c>
      <c r="L13" s="39">
        <f>L9*E13/100</f>
        <v>50466.650938200022</v>
      </c>
      <c r="M13" s="39">
        <f t="shared" si="3"/>
        <v>93690.852938200158</v>
      </c>
      <c r="N13" s="22" t="e">
        <f t="shared" si="4"/>
        <v>#VALUE!</v>
      </c>
      <c r="O13" s="23">
        <f>J13/L9*100</f>
        <v>4.1967058614481276</v>
      </c>
      <c r="P13" s="20">
        <f>C7*O13/100</f>
        <v>3275.5289248602635</v>
      </c>
    </row>
    <row r="14" spans="1:25" x14ac:dyDescent="0.25">
      <c r="A14" s="18">
        <v>5</v>
      </c>
      <c r="B14" s="38">
        <v>5</v>
      </c>
      <c r="C14" s="38" t="s">
        <v>30</v>
      </c>
      <c r="D14" s="38" t="s">
        <v>31</v>
      </c>
      <c r="E14" s="38">
        <v>3.89</v>
      </c>
      <c r="F14" s="38">
        <v>6798</v>
      </c>
      <c r="G14" s="50">
        <v>7104.9</v>
      </c>
      <c r="H14" s="26">
        <v>0</v>
      </c>
      <c r="I14" s="40">
        <f t="shared" si="0"/>
        <v>0</v>
      </c>
      <c r="J14" s="40">
        <f t="shared" si="5"/>
        <v>28781.081999999966</v>
      </c>
      <c r="K14" s="41">
        <f t="shared" si="2"/>
        <v>306.89999999999964</v>
      </c>
      <c r="L14" s="39">
        <f>L9*E14/100</f>
        <v>40064.341255020016</v>
      </c>
      <c r="M14" s="39">
        <f t="shared" si="3"/>
        <v>68846.423255019981</v>
      </c>
      <c r="N14" s="22" t="e">
        <f t="shared" si="4"/>
        <v>#VALUE!</v>
      </c>
      <c r="O14" s="23">
        <f>J14/L9*100</f>
        <v>2.7944652394845408</v>
      </c>
      <c r="P14" s="20">
        <f>C7*O14/100</f>
        <v>2181.0801194176838</v>
      </c>
      <c r="R14">
        <v>2540.8200000000002</v>
      </c>
    </row>
    <row r="15" spans="1:25" s="47" customFormat="1" x14ac:dyDescent="0.25">
      <c r="A15" s="38">
        <v>6</v>
      </c>
      <c r="B15" s="38">
        <v>6</v>
      </c>
      <c r="C15" s="38" t="s">
        <v>32</v>
      </c>
      <c r="D15" s="38" t="s">
        <v>33</v>
      </c>
      <c r="E15" s="38">
        <v>4</v>
      </c>
      <c r="F15" s="38">
        <v>13896.7</v>
      </c>
      <c r="G15" s="50">
        <f>F15+270</f>
        <v>14166.7</v>
      </c>
      <c r="H15" s="39">
        <v>0</v>
      </c>
      <c r="I15" s="40">
        <f t="shared" si="0"/>
        <v>0</v>
      </c>
      <c r="J15" s="40">
        <f t="shared" si="5"/>
        <v>25320.6</v>
      </c>
      <c r="K15" s="41">
        <f t="shared" si="2"/>
        <v>270</v>
      </c>
      <c r="L15" s="39">
        <f>L9*E15/100</f>
        <v>41197.266072000013</v>
      </c>
      <c r="M15" s="39">
        <f t="shared" si="3"/>
        <v>66518.866072000004</v>
      </c>
      <c r="N15" s="45" t="e">
        <f t="shared" si="4"/>
        <v>#VALUE!</v>
      </c>
      <c r="O15" s="46">
        <f>J15/L9*100</f>
        <v>2.4584738177283376</v>
      </c>
      <c r="P15" s="40">
        <f>C7*O15/100</f>
        <v>1918.8388147369676</v>
      </c>
      <c r="Y15" s="48"/>
    </row>
    <row r="16" spans="1:25" x14ac:dyDescent="0.25">
      <c r="A16" s="18">
        <v>7</v>
      </c>
      <c r="B16" s="18">
        <v>7</v>
      </c>
      <c r="C16" s="18" t="s">
        <v>34</v>
      </c>
      <c r="D16" s="18" t="s">
        <v>35</v>
      </c>
      <c r="E16" s="18">
        <v>4.9000000000000004</v>
      </c>
      <c r="F16" s="18">
        <v>19390</v>
      </c>
      <c r="G16" s="50">
        <v>19618.5</v>
      </c>
      <c r="H16" s="19">
        <v>0</v>
      </c>
      <c r="I16" s="20">
        <f t="shared" si="0"/>
        <v>0</v>
      </c>
      <c r="J16" s="20">
        <f t="shared" si="5"/>
        <v>21428.73</v>
      </c>
      <c r="K16" s="21">
        <f t="shared" si="2"/>
        <v>228.5</v>
      </c>
      <c r="L16" s="19">
        <f>L9*E16/100</f>
        <v>50466.650938200022</v>
      </c>
      <c r="M16" s="19">
        <f t="shared" si="3"/>
        <v>71896.380938200018</v>
      </c>
      <c r="N16" s="22" t="e">
        <f t="shared" si="4"/>
        <v>#VALUE!</v>
      </c>
      <c r="O16" s="23">
        <f>J16/L9*100</f>
        <v>2.0805972864849078</v>
      </c>
      <c r="P16" s="20">
        <f>C7*O16/100</f>
        <v>1623.9061821014704</v>
      </c>
    </row>
    <row r="17" spans="1:19" x14ac:dyDescent="0.25">
      <c r="A17" s="18">
        <v>8</v>
      </c>
      <c r="B17" s="18">
        <v>8</v>
      </c>
      <c r="C17" s="18" t="s">
        <v>36</v>
      </c>
      <c r="D17" s="18" t="s">
        <v>37</v>
      </c>
      <c r="E17" s="18">
        <v>3.89</v>
      </c>
      <c r="F17" s="18">
        <v>6352.68</v>
      </c>
      <c r="G17" s="50">
        <v>6990.37</v>
      </c>
      <c r="H17" s="26">
        <v>0</v>
      </c>
      <c r="I17" s="20">
        <f t="shared" si="0"/>
        <v>0</v>
      </c>
      <c r="J17" s="20">
        <f t="shared" si="5"/>
        <v>59802.568199999965</v>
      </c>
      <c r="K17" s="21">
        <f t="shared" si="2"/>
        <v>637.6899999999996</v>
      </c>
      <c r="L17" s="19">
        <f>L9*E17/100</f>
        <v>40064.341255020016</v>
      </c>
      <c r="M17" s="19">
        <f t="shared" si="3"/>
        <v>99867.909455019981</v>
      </c>
      <c r="N17" s="22" t="e">
        <f t="shared" si="4"/>
        <v>#VALUE!</v>
      </c>
      <c r="O17" s="23">
        <f>J17/L9*100</f>
        <v>5.8064598845451219</v>
      </c>
      <c r="P17" s="20">
        <f>C7*O17/100</f>
        <v>4531.9419398874679</v>
      </c>
    </row>
    <row r="18" spans="1:19" x14ac:dyDescent="0.25">
      <c r="A18" s="18">
        <v>9</v>
      </c>
      <c r="B18" s="38">
        <v>9</v>
      </c>
      <c r="C18" s="38" t="s">
        <v>38</v>
      </c>
      <c r="D18" s="38" t="s">
        <v>39</v>
      </c>
      <c r="E18" s="38">
        <v>4</v>
      </c>
      <c r="F18" s="38">
        <v>21581.4</v>
      </c>
      <c r="G18" s="50">
        <v>21845.1</v>
      </c>
      <c r="H18" s="44">
        <v>0</v>
      </c>
      <c r="I18" s="40">
        <f t="shared" si="0"/>
        <v>0</v>
      </c>
      <c r="J18" s="40">
        <f t="shared" si="5"/>
        <v>24729.785999999727</v>
      </c>
      <c r="K18" s="41">
        <f t="shared" si="2"/>
        <v>263.69999999999709</v>
      </c>
      <c r="L18" s="39">
        <f>L9*E18/100</f>
        <v>41197.266072000013</v>
      </c>
      <c r="M18" s="39">
        <f t="shared" si="3"/>
        <v>65928.052071999744</v>
      </c>
      <c r="N18" s="22" t="e">
        <f t="shared" si="4"/>
        <v>#VALUE!</v>
      </c>
      <c r="O18" s="23">
        <f>J18/L9*100</f>
        <v>2.4011094286479837</v>
      </c>
      <c r="P18" s="20">
        <f>C7*O18/100</f>
        <v>1874.0659090597514</v>
      </c>
    </row>
    <row r="19" spans="1:19" x14ac:dyDescent="0.25">
      <c r="A19" s="18">
        <v>10</v>
      </c>
      <c r="B19" s="38">
        <v>10</v>
      </c>
      <c r="C19" s="38" t="s">
        <v>40</v>
      </c>
      <c r="D19" s="38" t="s">
        <v>63</v>
      </c>
      <c r="E19" s="38">
        <v>12.66</v>
      </c>
      <c r="F19" s="38">
        <v>23741.3</v>
      </c>
      <c r="G19" s="50">
        <v>23882.6</v>
      </c>
      <c r="H19" s="39">
        <v>0</v>
      </c>
      <c r="I19" s="40">
        <f t="shared" si="0"/>
        <v>0</v>
      </c>
      <c r="J19" s="40">
        <f t="shared" si="5"/>
        <v>13251.113999999932</v>
      </c>
      <c r="K19" s="41">
        <f t="shared" si="2"/>
        <v>141.29999999999927</v>
      </c>
      <c r="L19" s="39">
        <f>L9*E19/100</f>
        <v>130389.34711788004</v>
      </c>
      <c r="M19" s="39">
        <f>J19+L19+1</f>
        <v>143641.46111787998</v>
      </c>
      <c r="N19" s="22" t="e">
        <f t="shared" si="4"/>
        <v>#VALUE!</v>
      </c>
      <c r="O19" s="23">
        <f>J19/L9*100</f>
        <v>1.2866012979444903</v>
      </c>
      <c r="P19" s="20">
        <f>C7*O19/100</f>
        <v>1004.1923130456747</v>
      </c>
    </row>
    <row r="20" spans="1:19" x14ac:dyDescent="0.25">
      <c r="A20" s="38">
        <v>11</v>
      </c>
      <c r="B20" s="38">
        <v>11</v>
      </c>
      <c r="C20" s="38" t="s">
        <v>42</v>
      </c>
      <c r="D20" s="38" t="s">
        <v>29</v>
      </c>
      <c r="E20" s="38">
        <v>7.75</v>
      </c>
      <c r="F20" s="38">
        <v>18345.099999999999</v>
      </c>
      <c r="G20" s="50">
        <f>F20+200</f>
        <v>18545.099999999999</v>
      </c>
      <c r="H20" s="26">
        <v>0</v>
      </c>
      <c r="I20" s="40">
        <f t="shared" si="0"/>
        <v>0</v>
      </c>
      <c r="J20" s="40">
        <f t="shared" si="5"/>
        <v>18756</v>
      </c>
      <c r="K20" s="41">
        <f t="shared" si="2"/>
        <v>200</v>
      </c>
      <c r="L20" s="39">
        <f>L9*E20/100</f>
        <v>79819.703014500032</v>
      </c>
      <c r="M20" s="39">
        <f t="shared" si="3"/>
        <v>98576.703014500032</v>
      </c>
      <c r="N20" s="22" t="e">
        <f t="shared" si="4"/>
        <v>#VALUE!</v>
      </c>
      <c r="O20" s="23">
        <f>J20/L9*100</f>
        <v>1.8210917168358056</v>
      </c>
      <c r="P20" s="20">
        <f>C7*O20/100</f>
        <v>1421.3620849903464</v>
      </c>
    </row>
    <row r="21" spans="1:19" ht="15.75" customHeight="1" x14ac:dyDescent="0.25">
      <c r="A21" s="35">
        <v>12</v>
      </c>
      <c r="B21" s="38">
        <v>12</v>
      </c>
      <c r="C21" s="38" t="s">
        <v>43</v>
      </c>
      <c r="D21" s="51" t="s">
        <v>64</v>
      </c>
      <c r="E21" s="38">
        <v>7.51</v>
      </c>
      <c r="F21" s="38">
        <v>15188.8</v>
      </c>
      <c r="G21" s="50">
        <v>15233</v>
      </c>
      <c r="H21" s="26">
        <v>0</v>
      </c>
      <c r="I21" s="40">
        <f t="shared" si="0"/>
        <v>0</v>
      </c>
      <c r="J21" s="40">
        <f t="shared" si="5"/>
        <v>4145.0760000000682</v>
      </c>
      <c r="K21" s="41">
        <f t="shared" si="2"/>
        <v>44.200000000000728</v>
      </c>
      <c r="L21" s="39">
        <f>L9*E21/100</f>
        <v>77347.867050180022</v>
      </c>
      <c r="M21" s="39">
        <f t="shared" si="3"/>
        <v>81493.943050180096</v>
      </c>
      <c r="N21" s="22" t="e">
        <f t="shared" si="4"/>
        <v>#VALUE!</v>
      </c>
      <c r="O21" s="23">
        <f>J21/L9*100</f>
        <v>0.40246126942071975</v>
      </c>
      <c r="P21" s="20">
        <f>C7*O21/100</f>
        <v>314.12102078287177</v>
      </c>
      <c r="S21">
        <f>G21-F21</f>
        <v>44.200000000000728</v>
      </c>
    </row>
    <row r="22" spans="1:19" ht="15.75" customHeight="1" x14ac:dyDescent="0.25">
      <c r="A22" s="38">
        <v>13</v>
      </c>
      <c r="B22" s="38">
        <v>13</v>
      </c>
      <c r="C22" s="38" t="s">
        <v>45</v>
      </c>
      <c r="D22" s="38" t="s">
        <v>46</v>
      </c>
      <c r="E22" s="38">
        <v>4.45</v>
      </c>
      <c r="F22" s="38">
        <v>11414.2</v>
      </c>
      <c r="G22" s="50">
        <f>F22+193</f>
        <v>11607.2</v>
      </c>
      <c r="H22" s="26">
        <v>0</v>
      </c>
      <c r="I22" s="40">
        <f t="shared" si="0"/>
        <v>0</v>
      </c>
      <c r="J22" s="40">
        <f t="shared" si="5"/>
        <v>18099.54</v>
      </c>
      <c r="K22" s="41">
        <f t="shared" si="2"/>
        <v>193</v>
      </c>
      <c r="L22" s="39">
        <f>L9*E22/100</f>
        <v>45831.958505100018</v>
      </c>
      <c r="M22" s="39">
        <f t="shared" si="3"/>
        <v>63932.498505100019</v>
      </c>
      <c r="N22" s="22" t="e">
        <f t="shared" si="4"/>
        <v>#VALUE!</v>
      </c>
      <c r="O22" s="23">
        <f>J22/L9*100</f>
        <v>1.7573535067465527</v>
      </c>
      <c r="P22" s="20">
        <f>C7*O22/100</f>
        <v>1371.6144120156844</v>
      </c>
      <c r="S22">
        <f>G22-F22</f>
        <v>193</v>
      </c>
    </row>
    <row r="23" spans="1:19" ht="15.75" customHeight="1" x14ac:dyDescent="0.25">
      <c r="A23" s="18">
        <v>14</v>
      </c>
      <c r="B23" s="38">
        <v>14</v>
      </c>
      <c r="C23" s="38" t="s">
        <v>47</v>
      </c>
      <c r="D23" s="38" t="s">
        <v>48</v>
      </c>
      <c r="E23" s="38">
        <v>6.17</v>
      </c>
      <c r="F23" s="38">
        <v>20525.400000000001</v>
      </c>
      <c r="G23" s="50">
        <f>F23</f>
        <v>20525.400000000001</v>
      </c>
      <c r="H23" s="39">
        <v>0</v>
      </c>
      <c r="I23" s="40">
        <f t="shared" si="0"/>
        <v>0</v>
      </c>
      <c r="J23" s="40">
        <f t="shared" si="5"/>
        <v>0</v>
      </c>
      <c r="K23" s="41">
        <f t="shared" si="2"/>
        <v>0</v>
      </c>
      <c r="L23" s="39">
        <f>L9*E23/100</f>
        <v>63546.782916060023</v>
      </c>
      <c r="M23" s="39">
        <f>J23+L23+1</f>
        <v>63547.782916060023</v>
      </c>
      <c r="N23" s="22" t="e">
        <f t="shared" si="4"/>
        <v>#VALUE!</v>
      </c>
      <c r="O23" s="23">
        <f>J23/L9*100</f>
        <v>0</v>
      </c>
      <c r="P23" s="20">
        <f>C7*O23/100</f>
        <v>0</v>
      </c>
    </row>
    <row r="24" spans="1:19" ht="15.75" customHeight="1" x14ac:dyDescent="0.25">
      <c r="A24" s="38">
        <v>15</v>
      </c>
      <c r="B24" s="38">
        <v>15</v>
      </c>
      <c r="C24" s="38" t="s">
        <v>49</v>
      </c>
      <c r="D24" s="38" t="s">
        <v>25</v>
      </c>
      <c r="E24" s="38">
        <v>4.45</v>
      </c>
      <c r="F24" s="38">
        <v>30932.2</v>
      </c>
      <c r="G24" s="50">
        <v>31147.8</v>
      </c>
      <c r="H24" s="39">
        <v>0</v>
      </c>
      <c r="I24" s="40">
        <f t="shared" si="0"/>
        <v>0</v>
      </c>
      <c r="J24" s="40">
        <f t="shared" si="5"/>
        <v>20218.967999999863</v>
      </c>
      <c r="K24" s="41">
        <f t="shared" si="2"/>
        <v>215.59999999999854</v>
      </c>
      <c r="L24" s="39">
        <f>L9*E24/100</f>
        <v>45831.958505100018</v>
      </c>
      <c r="M24" s="39">
        <f t="shared" si="3"/>
        <v>66051.92650509988</v>
      </c>
      <c r="N24" s="22" t="e">
        <f t="shared" si="4"/>
        <v>#VALUE!</v>
      </c>
      <c r="O24" s="23">
        <f>J24/L9*100</f>
        <v>1.9631368707489854</v>
      </c>
      <c r="P24" s="20">
        <f>C7*O24/100</f>
        <v>1532.2283276195831</v>
      </c>
    </row>
    <row r="25" spans="1:19" ht="15.75" customHeight="1" x14ac:dyDescent="0.25">
      <c r="A25" s="38">
        <v>16</v>
      </c>
      <c r="B25" s="38">
        <v>16</v>
      </c>
      <c r="C25" s="38" t="s">
        <v>66</v>
      </c>
      <c r="D25" s="38" t="s">
        <v>41</v>
      </c>
      <c r="E25" s="38">
        <v>9.19</v>
      </c>
      <c r="F25" s="38">
        <v>11746.3</v>
      </c>
      <c r="G25" s="50">
        <v>11917.5</v>
      </c>
      <c r="H25" s="39">
        <v>0</v>
      </c>
      <c r="I25" s="40">
        <f t="shared" si="0"/>
        <v>0</v>
      </c>
      <c r="J25" s="40">
        <f t="shared" si="5"/>
        <v>16055.136000000068</v>
      </c>
      <c r="K25" s="41">
        <f t="shared" si="2"/>
        <v>171.20000000000073</v>
      </c>
      <c r="L25" s="39">
        <f>L9*E25/100</f>
        <v>94650.718800420029</v>
      </c>
      <c r="M25" s="39">
        <f>J25+L25+1</f>
        <v>110706.8548004201</v>
      </c>
      <c r="N25" s="22" t="e">
        <f t="shared" si="4"/>
        <v>#VALUE!</v>
      </c>
      <c r="O25" s="23">
        <f>J25/L9*100</f>
        <v>1.5588545096114563</v>
      </c>
      <c r="P25" s="20">
        <f>C7*O25/100</f>
        <v>1216.6859447517415</v>
      </c>
    </row>
    <row r="26" spans="1:19" ht="15.75" customHeight="1" x14ac:dyDescent="0.25">
      <c r="A26" s="35">
        <v>17</v>
      </c>
      <c r="B26" s="38">
        <v>17</v>
      </c>
      <c r="C26" s="38" t="s">
        <v>51</v>
      </c>
      <c r="D26" s="38" t="s">
        <v>29</v>
      </c>
      <c r="E26" s="38">
        <v>1.18</v>
      </c>
      <c r="F26" s="38">
        <v>0</v>
      </c>
      <c r="G26" s="38">
        <v>0</v>
      </c>
      <c r="H26" s="39">
        <v>0</v>
      </c>
      <c r="I26" s="40">
        <f t="shared" si="0"/>
        <v>0</v>
      </c>
      <c r="J26" s="40">
        <f t="shared" si="5"/>
        <v>0</v>
      </c>
      <c r="K26" s="39"/>
      <c r="L26" s="39">
        <f>L9*E26/100</f>
        <v>12153.193491240005</v>
      </c>
      <c r="M26" s="39">
        <f t="shared" ref="M26:M33" si="6">J26+L26</f>
        <v>12153.193491240005</v>
      </c>
      <c r="N26" s="22" t="e">
        <f t="shared" si="4"/>
        <v>#VALUE!</v>
      </c>
      <c r="O26" s="23">
        <f>J26/L9*100</f>
        <v>0</v>
      </c>
      <c r="P26" s="20">
        <f>C7*O26/100</f>
        <v>0</v>
      </c>
    </row>
    <row r="27" spans="1:19" ht="15.75" customHeight="1" x14ac:dyDescent="0.25">
      <c r="A27" s="18">
        <v>18</v>
      </c>
      <c r="B27" s="35">
        <v>18</v>
      </c>
      <c r="C27" s="35" t="s">
        <v>52</v>
      </c>
      <c r="D27" s="35" t="s">
        <v>53</v>
      </c>
      <c r="E27" s="35">
        <v>1.18</v>
      </c>
      <c r="F27" s="35">
        <v>0</v>
      </c>
      <c r="G27" s="35">
        <v>0</v>
      </c>
      <c r="H27" s="36">
        <v>0</v>
      </c>
      <c r="I27" s="37">
        <f t="shared" si="0"/>
        <v>0</v>
      </c>
      <c r="J27" s="37">
        <f t="shared" si="5"/>
        <v>0</v>
      </c>
      <c r="K27" s="36"/>
      <c r="L27" s="36">
        <f>L26</f>
        <v>12153.193491240005</v>
      </c>
      <c r="M27" s="36">
        <f t="shared" si="6"/>
        <v>12153.193491240005</v>
      </c>
      <c r="N27" s="22" t="e">
        <f t="shared" si="4"/>
        <v>#VALUE!</v>
      </c>
      <c r="O27" s="23">
        <f>J27/L9*100</f>
        <v>0</v>
      </c>
      <c r="P27" s="20">
        <f>C7*O27/100</f>
        <v>0</v>
      </c>
    </row>
    <row r="28" spans="1:19" ht="15.75" customHeight="1" x14ac:dyDescent="0.25">
      <c r="A28" s="18">
        <v>19</v>
      </c>
      <c r="B28" s="35">
        <v>19</v>
      </c>
      <c r="C28" s="35" t="s">
        <v>54</v>
      </c>
      <c r="D28" s="35" t="s">
        <v>53</v>
      </c>
      <c r="E28" s="35">
        <v>1.18</v>
      </c>
      <c r="F28" s="35">
        <v>0</v>
      </c>
      <c r="G28" s="35">
        <v>0</v>
      </c>
      <c r="H28" s="36">
        <v>0</v>
      </c>
      <c r="I28" s="37">
        <f t="shared" si="0"/>
        <v>0</v>
      </c>
      <c r="J28" s="37">
        <f t="shared" si="5"/>
        <v>0</v>
      </c>
      <c r="K28" s="36"/>
      <c r="L28" s="36">
        <f>L27</f>
        <v>12153.193491240005</v>
      </c>
      <c r="M28" s="36">
        <f t="shared" si="6"/>
        <v>12153.193491240005</v>
      </c>
      <c r="N28" s="22" t="e">
        <f t="shared" si="4"/>
        <v>#VALUE!</v>
      </c>
      <c r="O28" s="23">
        <f>J28/L9*100</f>
        <v>0</v>
      </c>
      <c r="P28" s="20">
        <f>C7*O28/100</f>
        <v>0</v>
      </c>
    </row>
    <row r="29" spans="1:19" ht="15.75" customHeight="1" x14ac:dyDescent="0.25">
      <c r="A29" s="38">
        <v>20</v>
      </c>
      <c r="B29" s="38">
        <v>20</v>
      </c>
      <c r="C29" s="38" t="s">
        <v>55</v>
      </c>
      <c r="D29" s="38" t="s">
        <v>27</v>
      </c>
      <c r="E29" s="38">
        <v>1.18</v>
      </c>
      <c r="F29" s="38">
        <v>0</v>
      </c>
      <c r="G29" s="38">
        <v>0</v>
      </c>
      <c r="H29" s="39">
        <v>0</v>
      </c>
      <c r="I29" s="40">
        <f t="shared" si="0"/>
        <v>0</v>
      </c>
      <c r="J29" s="40">
        <f t="shared" si="5"/>
        <v>0</v>
      </c>
      <c r="K29" s="39"/>
      <c r="L29" s="39">
        <f>L28</f>
        <v>12153.193491240005</v>
      </c>
      <c r="M29" s="39">
        <f t="shared" si="6"/>
        <v>12153.193491240005</v>
      </c>
      <c r="N29" s="22" t="e">
        <f t="shared" si="4"/>
        <v>#VALUE!</v>
      </c>
      <c r="O29" s="23">
        <f>J29/L9*100</f>
        <v>0</v>
      </c>
      <c r="P29" s="20">
        <f>C7*O29/100</f>
        <v>0</v>
      </c>
    </row>
    <row r="30" spans="1:19" ht="15.75" customHeight="1" x14ac:dyDescent="0.25">
      <c r="A30" s="18">
        <v>21</v>
      </c>
      <c r="B30" s="18">
        <v>21</v>
      </c>
      <c r="C30" s="18" t="s">
        <v>56</v>
      </c>
      <c r="D30" s="43" t="s">
        <v>63</v>
      </c>
      <c r="E30" s="18">
        <v>1.18</v>
      </c>
      <c r="F30" s="18">
        <v>0</v>
      </c>
      <c r="G30" s="18">
        <v>0</v>
      </c>
      <c r="H30" s="19">
        <v>0</v>
      </c>
      <c r="I30" s="20">
        <f t="shared" si="0"/>
        <v>0</v>
      </c>
      <c r="J30" s="20">
        <f t="shared" si="5"/>
        <v>0</v>
      </c>
      <c r="K30" s="19"/>
      <c r="L30" s="19">
        <f t="shared" ref="L30:L33" si="7">L29</f>
        <v>12153.193491240005</v>
      </c>
      <c r="M30" s="19">
        <f t="shared" si="6"/>
        <v>12153.193491240005</v>
      </c>
      <c r="N30" s="22" t="e">
        <f t="shared" si="4"/>
        <v>#VALUE!</v>
      </c>
      <c r="O30" s="23">
        <f>J30/L9*100</f>
        <v>0</v>
      </c>
      <c r="P30" s="20">
        <f>C7*O30/100</f>
        <v>0</v>
      </c>
    </row>
    <row r="31" spans="1:19" ht="15.75" customHeight="1" x14ac:dyDescent="0.25">
      <c r="A31" s="18">
        <v>22</v>
      </c>
      <c r="B31" s="18">
        <v>22</v>
      </c>
      <c r="C31" s="18" t="s">
        <v>57</v>
      </c>
      <c r="D31" s="18" t="s">
        <v>39</v>
      </c>
      <c r="E31" s="18">
        <v>1.18</v>
      </c>
      <c r="F31" s="18">
        <v>0</v>
      </c>
      <c r="G31" s="18">
        <v>0</v>
      </c>
      <c r="H31" s="19">
        <v>0</v>
      </c>
      <c r="I31" s="20">
        <f t="shared" si="0"/>
        <v>0</v>
      </c>
      <c r="J31" s="20">
        <f t="shared" si="5"/>
        <v>0</v>
      </c>
      <c r="K31" s="19"/>
      <c r="L31" s="19">
        <f t="shared" si="7"/>
        <v>12153.193491240005</v>
      </c>
      <c r="M31" s="19">
        <f t="shared" si="6"/>
        <v>12153.193491240005</v>
      </c>
      <c r="N31" s="22" t="e">
        <f t="shared" si="4"/>
        <v>#VALUE!</v>
      </c>
      <c r="O31" s="23">
        <f>J31/L9*100</f>
        <v>0</v>
      </c>
      <c r="P31" s="20">
        <f>C7*O31/100</f>
        <v>0</v>
      </c>
    </row>
    <row r="32" spans="1:19" ht="15.75" customHeight="1" x14ac:dyDescent="0.25">
      <c r="A32" s="35">
        <v>23</v>
      </c>
      <c r="B32" s="38">
        <v>23</v>
      </c>
      <c r="C32" s="38" t="s">
        <v>58</v>
      </c>
      <c r="D32" s="38" t="s">
        <v>59</v>
      </c>
      <c r="E32" s="38">
        <v>1.18</v>
      </c>
      <c r="F32" s="38">
        <v>0</v>
      </c>
      <c r="G32" s="38">
        <v>0</v>
      </c>
      <c r="H32" s="39">
        <v>0</v>
      </c>
      <c r="I32" s="40">
        <f t="shared" si="0"/>
        <v>0</v>
      </c>
      <c r="J32" s="40">
        <f t="shared" si="5"/>
        <v>0</v>
      </c>
      <c r="K32" s="39"/>
      <c r="L32" s="39">
        <f t="shared" si="7"/>
        <v>12153.193491240005</v>
      </c>
      <c r="M32" s="39">
        <f t="shared" si="6"/>
        <v>12153.193491240005</v>
      </c>
      <c r="N32" s="22" t="e">
        <f t="shared" si="4"/>
        <v>#VALUE!</v>
      </c>
      <c r="O32" s="23">
        <f>J32/L9*100</f>
        <v>0</v>
      </c>
      <c r="P32" s="20">
        <f>C7*O32/100</f>
        <v>0</v>
      </c>
    </row>
    <row r="33" spans="1:16" x14ac:dyDescent="0.25">
      <c r="A33" s="38">
        <v>24</v>
      </c>
      <c r="B33" s="38">
        <v>24</v>
      </c>
      <c r="C33" s="38" t="s">
        <v>60</v>
      </c>
      <c r="D33" s="51" t="s">
        <v>64</v>
      </c>
      <c r="E33" s="38">
        <v>1.18</v>
      </c>
      <c r="F33" s="38">
        <v>0</v>
      </c>
      <c r="G33" s="38">
        <v>0</v>
      </c>
      <c r="H33" s="39">
        <v>0</v>
      </c>
      <c r="I33" s="40">
        <f t="shared" si="0"/>
        <v>0</v>
      </c>
      <c r="J33" s="40">
        <f t="shared" si="5"/>
        <v>0</v>
      </c>
      <c r="K33" s="39"/>
      <c r="L33" s="39">
        <f t="shared" si="7"/>
        <v>12153.193491240005</v>
      </c>
      <c r="M33" s="39">
        <f t="shared" si="6"/>
        <v>12153.193491240005</v>
      </c>
      <c r="N33" s="22" t="e">
        <f t="shared" si="4"/>
        <v>#VALUE!</v>
      </c>
      <c r="O33" s="23">
        <f>J33/L9*100</f>
        <v>0</v>
      </c>
      <c r="P33" s="20">
        <f>C7*O33/100</f>
        <v>0</v>
      </c>
    </row>
    <row r="34" spans="1:16" hidden="1" x14ac:dyDescent="0.25">
      <c r="A34" s="3"/>
      <c r="C34" s="27"/>
      <c r="D34" s="28"/>
      <c r="E34" s="28"/>
      <c r="F34" s="28"/>
      <c r="G34" s="28"/>
      <c r="H34" s="29">
        <f t="shared" ref="H34:I34" si="8">SUM(H10:H33)</f>
        <v>0</v>
      </c>
      <c r="I34" s="30">
        <f t="shared" si="8"/>
        <v>0</v>
      </c>
      <c r="J34" s="30">
        <f>SUM(J10:J33)</f>
        <v>341189.45819999982</v>
      </c>
      <c r="K34" s="29">
        <f>SUM(K10:K33)</f>
        <v>3638.1899999999978</v>
      </c>
      <c r="L34" s="29">
        <f>SUM(L10:L33)</f>
        <v>1029828.6586348205</v>
      </c>
      <c r="M34" s="29">
        <f>SUM(M10:M33)</f>
        <v>1371036.1168348205</v>
      </c>
      <c r="N34" s="5"/>
      <c r="O34" s="2" t="e">
        <f t="shared" ref="O34:O35" si="9">J34/C32*100</f>
        <v>#VALUE!</v>
      </c>
    </row>
    <row r="35" spans="1:16" ht="30" hidden="1" x14ac:dyDescent="0.25">
      <c r="A35" s="31" t="s">
        <v>61</v>
      </c>
      <c r="C35" s="55" t="s">
        <v>62</v>
      </c>
      <c r="D35" s="53"/>
      <c r="E35" s="53"/>
      <c r="F35" s="53"/>
      <c r="G35" s="53"/>
      <c r="H35" s="53"/>
      <c r="I35" s="53"/>
      <c r="J35" s="53"/>
      <c r="K35" s="53"/>
      <c r="L35" s="53"/>
      <c r="M35" s="56"/>
      <c r="N35" s="31"/>
      <c r="O35" s="2" t="e">
        <f t="shared" si="9"/>
        <v>#VALUE!</v>
      </c>
    </row>
    <row r="36" spans="1:16" ht="15.75" x14ac:dyDescent="0.25">
      <c r="B36" s="59" t="s">
        <v>68</v>
      </c>
      <c r="C36" s="59"/>
      <c r="D36" s="59"/>
      <c r="E36" s="59"/>
      <c r="F36" s="59"/>
      <c r="G36" s="59"/>
      <c r="H36" s="59"/>
      <c r="I36" s="59"/>
      <c r="J36" s="59"/>
      <c r="K36" s="59"/>
      <c r="L36" s="59"/>
      <c r="M36" s="60">
        <f>+M28+M27</f>
        <v>24306.386982480009</v>
      </c>
      <c r="O36" s="2"/>
    </row>
    <row r="37" spans="1:16" ht="37.5" hidden="1" customHeight="1" x14ac:dyDescent="0.25">
      <c r="H37" s="5"/>
      <c r="K37" s="33">
        <f>J34+L34</f>
        <v>1371018.1168348202</v>
      </c>
      <c r="L37" s="33"/>
      <c r="O37" s="2"/>
    </row>
    <row r="38" spans="1:16" ht="0.75" customHeight="1" x14ac:dyDescent="0.25">
      <c r="B38" s="57" t="s">
        <v>65</v>
      </c>
      <c r="C38" s="58"/>
      <c r="D38" s="58"/>
      <c r="E38" s="58"/>
      <c r="F38" s="58"/>
      <c r="G38" s="58"/>
      <c r="H38" s="58"/>
      <c r="I38" s="58"/>
      <c r="J38" s="58"/>
      <c r="K38" s="58"/>
      <c r="L38" s="58"/>
      <c r="M38" s="58"/>
      <c r="O38" s="2"/>
    </row>
    <row r="39" spans="1:16" ht="33.75" hidden="1" customHeight="1" x14ac:dyDescent="0.25">
      <c r="B39" s="58"/>
      <c r="C39" s="58"/>
      <c r="D39" s="58"/>
      <c r="E39" s="58"/>
      <c r="F39" s="58"/>
      <c r="G39" s="58"/>
      <c r="H39" s="58"/>
      <c r="I39" s="58"/>
      <c r="J39" s="58"/>
      <c r="K39" s="58"/>
      <c r="L39" s="58"/>
      <c r="M39" s="58"/>
      <c r="O39" s="2"/>
    </row>
    <row r="40" spans="1:16" ht="15.75" hidden="1" customHeight="1" x14ac:dyDescent="0.25">
      <c r="B40" s="58"/>
      <c r="C40" s="58"/>
      <c r="D40" s="58"/>
      <c r="E40" s="58"/>
      <c r="F40" s="58"/>
      <c r="G40" s="58"/>
      <c r="H40" s="58"/>
      <c r="I40" s="58"/>
      <c r="J40" s="58"/>
      <c r="K40" s="58"/>
      <c r="L40" s="58"/>
      <c r="M40" s="58"/>
      <c r="O40" s="2"/>
    </row>
    <row r="41" spans="1:16" ht="15.75" hidden="1" customHeight="1" x14ac:dyDescent="0.25">
      <c r="B41" s="58"/>
      <c r="C41" s="58"/>
      <c r="D41" s="58"/>
      <c r="E41" s="58"/>
      <c r="F41" s="58"/>
      <c r="G41" s="58"/>
      <c r="H41" s="58"/>
      <c r="I41" s="58"/>
      <c r="J41" s="58"/>
      <c r="K41" s="58"/>
      <c r="L41" s="58"/>
      <c r="M41" s="58"/>
      <c r="O41" s="2"/>
    </row>
    <row r="42" spans="1:16" ht="64.5" hidden="1" customHeight="1" x14ac:dyDescent="0.25">
      <c r="B42" s="58"/>
      <c r="C42" s="58"/>
      <c r="D42" s="58"/>
      <c r="E42" s="58"/>
      <c r="F42" s="58"/>
      <c r="G42" s="58"/>
      <c r="H42" s="58"/>
      <c r="I42" s="58"/>
      <c r="J42" s="58"/>
      <c r="K42" s="58"/>
      <c r="L42" s="58"/>
      <c r="M42" s="58"/>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3">
    <mergeCell ref="A1:M1"/>
    <mergeCell ref="C35:M35"/>
    <mergeCell ref="B38:M42"/>
  </mergeCells>
  <pageMargins left="0.25" right="0.25" top="0.75" bottom="0.75" header="0" footer="0"/>
  <pageSetup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1" workbookViewId="0">
      <selection sqref="A1:M1"/>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52" t="s">
        <v>0</v>
      </c>
      <c r="B1" s="53"/>
      <c r="C1" s="53"/>
      <c r="D1" s="53"/>
      <c r="E1" s="53"/>
      <c r="F1" s="53"/>
      <c r="G1" s="53"/>
      <c r="H1" s="53"/>
      <c r="I1" s="53"/>
      <c r="J1" s="53"/>
      <c r="K1" s="53"/>
      <c r="L1" s="53"/>
      <c r="M1" s="54"/>
      <c r="N1" s="1"/>
      <c r="O1" s="2"/>
      <c r="P1" s="3"/>
      <c r="Q1" s="3"/>
    </row>
    <row r="2" spans="1:18" x14ac:dyDescent="0.25">
      <c r="A2" s="4"/>
      <c r="B2" s="4"/>
      <c r="C2" s="3"/>
      <c r="D2" s="3"/>
      <c r="E2" s="3"/>
      <c r="F2" s="3"/>
      <c r="G2" s="3"/>
      <c r="H2" s="5"/>
      <c r="I2" s="3"/>
      <c r="J2" s="3"/>
      <c r="K2" s="3"/>
      <c r="L2" s="3"/>
      <c r="M2" s="6"/>
      <c r="N2" s="3"/>
      <c r="O2" s="2"/>
      <c r="P2" s="3"/>
      <c r="Q2" s="3"/>
    </row>
    <row r="3" spans="1:18" x14ac:dyDescent="0.25">
      <c r="A3" s="7" t="s">
        <v>1</v>
      </c>
      <c r="B3" s="7" t="s">
        <v>1</v>
      </c>
      <c r="C3" s="3" t="s">
        <v>2</v>
      </c>
      <c r="E3" s="3"/>
      <c r="F3" s="3"/>
      <c r="G3" s="3"/>
      <c r="H3" s="5"/>
      <c r="I3" s="3"/>
      <c r="J3" s="3"/>
      <c r="K3" s="3"/>
      <c r="L3" s="3"/>
      <c r="M3" s="6"/>
      <c r="N3" s="3"/>
      <c r="O3" s="2"/>
      <c r="P3" s="3"/>
      <c r="Q3" s="3"/>
    </row>
    <row r="4" spans="1:18" x14ac:dyDescent="0.25">
      <c r="A4" s="7" t="s">
        <v>3</v>
      </c>
      <c r="B4" s="7" t="s">
        <v>3</v>
      </c>
      <c r="C4" s="3" t="s">
        <v>4</v>
      </c>
      <c r="E4" s="3"/>
      <c r="F4" s="3"/>
      <c r="G4" s="3"/>
      <c r="H4" s="5"/>
      <c r="I4" s="3"/>
      <c r="J4" s="3"/>
      <c r="K4" s="3"/>
      <c r="L4" s="3"/>
      <c r="M4" s="6"/>
      <c r="N4" s="3"/>
      <c r="O4" s="2"/>
    </row>
    <row r="5" spans="1:18" x14ac:dyDescent="0.25">
      <c r="A5" s="7" t="s">
        <v>5</v>
      </c>
      <c r="B5" s="7" t="s">
        <v>5</v>
      </c>
      <c r="C5" s="3" t="s">
        <v>6</v>
      </c>
      <c r="E5" s="3"/>
      <c r="F5" s="3"/>
      <c r="G5" s="3"/>
      <c r="H5" s="5"/>
      <c r="I5" s="3"/>
      <c r="J5" s="3"/>
      <c r="K5" s="3"/>
      <c r="L5" s="3"/>
      <c r="M5" s="6"/>
      <c r="N5" s="3"/>
      <c r="O5" s="2"/>
    </row>
    <row r="6" spans="1:18" x14ac:dyDescent="0.25">
      <c r="A6" s="7" t="s">
        <v>7</v>
      </c>
      <c r="B6" s="7" t="s">
        <v>7</v>
      </c>
      <c r="C6" s="3" t="s">
        <v>8</v>
      </c>
      <c r="E6" s="3"/>
      <c r="F6" s="3"/>
      <c r="G6" s="3"/>
      <c r="H6" s="5"/>
      <c r="I6" s="3"/>
      <c r="J6" s="3"/>
      <c r="K6" s="3"/>
      <c r="L6" s="3"/>
      <c r="M6" s="6"/>
      <c r="N6" s="3"/>
      <c r="O6" s="2"/>
    </row>
    <row r="7" spans="1:18" hidden="1" x14ac:dyDescent="0.25">
      <c r="A7" s="8" t="s">
        <v>9</v>
      </c>
      <c r="B7" s="8" t="s">
        <v>9</v>
      </c>
      <c r="C7" s="9">
        <v>78800</v>
      </c>
      <c r="E7" s="10"/>
      <c r="F7" s="10"/>
      <c r="G7" s="10"/>
      <c r="H7" s="11"/>
      <c r="I7" s="10"/>
      <c r="J7" s="10"/>
      <c r="K7" s="10"/>
      <c r="L7" s="10"/>
      <c r="M7" s="12"/>
      <c r="N7" s="3"/>
      <c r="O7" s="2"/>
    </row>
    <row r="8" spans="1:18" x14ac:dyDescent="0.25">
      <c r="A8" s="8"/>
      <c r="B8" s="7" t="s">
        <v>9</v>
      </c>
      <c r="C8" s="9">
        <v>108686.04</v>
      </c>
      <c r="E8" s="10"/>
      <c r="F8" s="10"/>
      <c r="G8" s="10"/>
      <c r="H8" s="11"/>
      <c r="I8" s="10"/>
      <c r="J8" s="10"/>
      <c r="K8" s="10"/>
      <c r="L8" s="10"/>
      <c r="M8" s="12"/>
      <c r="N8" s="3"/>
      <c r="O8" s="2"/>
    </row>
    <row r="9" spans="1:18" ht="45" x14ac:dyDescent="0.25">
      <c r="A9" s="13" t="s">
        <v>10</v>
      </c>
      <c r="B9" s="13" t="s">
        <v>10</v>
      </c>
      <c r="C9" s="14" t="s">
        <v>11</v>
      </c>
      <c r="D9" s="13" t="s">
        <v>12</v>
      </c>
      <c r="E9" s="13" t="s">
        <v>13</v>
      </c>
      <c r="F9" s="14" t="s">
        <v>14</v>
      </c>
      <c r="G9" s="14" t="s">
        <v>15</v>
      </c>
      <c r="H9" s="15" t="s">
        <v>16</v>
      </c>
      <c r="I9" s="14" t="s">
        <v>17</v>
      </c>
      <c r="J9" s="14" t="s">
        <v>9</v>
      </c>
      <c r="K9" s="14" t="s">
        <v>18</v>
      </c>
      <c r="L9" s="16">
        <v>32215.279999999999</v>
      </c>
      <c r="M9" s="14" t="s">
        <v>19</v>
      </c>
      <c r="N9" s="17"/>
      <c r="O9" s="14" t="s">
        <v>20</v>
      </c>
      <c r="P9" s="14" t="s">
        <v>21</v>
      </c>
    </row>
    <row r="10" spans="1:18" x14ac:dyDescent="0.25">
      <c r="A10" s="18">
        <v>1</v>
      </c>
      <c r="B10" s="18">
        <v>1</v>
      </c>
      <c r="C10" s="18" t="s">
        <v>22</v>
      </c>
      <c r="D10" s="18" t="s">
        <v>23</v>
      </c>
      <c r="E10" s="18">
        <v>4.9000000000000004</v>
      </c>
      <c r="F10" s="18">
        <v>8561.6</v>
      </c>
      <c r="G10" s="18">
        <v>9288</v>
      </c>
      <c r="H10" s="19">
        <v>0</v>
      </c>
      <c r="I10" s="20">
        <f t="shared" ref="I10:I33" si="0">H10*7%</f>
        <v>0</v>
      </c>
      <c r="J10" s="20">
        <f t="shared" ref="J10:J23" si="1">(G10-F10)*8.0939</f>
        <v>5879.408959999997</v>
      </c>
      <c r="K10" s="21">
        <f t="shared" ref="K10:K25" si="2">G10-F10</f>
        <v>726.39999999999964</v>
      </c>
      <c r="L10" s="19">
        <f>L9*E10/100</f>
        <v>1578.54872</v>
      </c>
      <c r="M10" s="19">
        <f t="shared" ref="M10:M33" si="3">J10+P10</f>
        <v>20260.703365884405</v>
      </c>
      <c r="N10" s="22">
        <f>J10/C7*100</f>
        <v>7.4611788832487269</v>
      </c>
      <c r="O10" s="23">
        <f>J10/L9*100</f>
        <v>18.250373611528435</v>
      </c>
      <c r="P10" s="20">
        <f>C7*O10/100</f>
        <v>14381.294405884408</v>
      </c>
      <c r="Q10" s="24">
        <v>0.31</v>
      </c>
      <c r="R10" s="25">
        <f t="shared" ref="R10:R11" si="4">4000*Q10</f>
        <v>1240</v>
      </c>
    </row>
    <row r="11" spans="1:18" x14ac:dyDescent="0.25">
      <c r="A11" s="18">
        <v>2</v>
      </c>
      <c r="B11" s="18">
        <v>2</v>
      </c>
      <c r="C11" s="18" t="s">
        <v>24</v>
      </c>
      <c r="D11" s="18" t="s">
        <v>25</v>
      </c>
      <c r="E11" s="18">
        <v>3.89</v>
      </c>
      <c r="F11" s="18">
        <v>13530.5</v>
      </c>
      <c r="G11" s="18">
        <v>13535.5</v>
      </c>
      <c r="H11" s="19">
        <v>0</v>
      </c>
      <c r="I11" s="20">
        <f t="shared" si="0"/>
        <v>0</v>
      </c>
      <c r="J11" s="20">
        <f t="shared" si="1"/>
        <v>40.469499999999996</v>
      </c>
      <c r="K11" s="21">
        <f t="shared" si="2"/>
        <v>5</v>
      </c>
      <c r="L11" s="19">
        <v>1950</v>
      </c>
      <c r="M11" s="19">
        <f t="shared" si="3"/>
        <v>4810.2557629162311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26</v>
      </c>
      <c r="D12" s="18" t="s">
        <v>27</v>
      </c>
      <c r="E12" s="18">
        <v>4</v>
      </c>
      <c r="F12" s="18">
        <v>6342.2</v>
      </c>
      <c r="G12" s="18">
        <v>6559.4</v>
      </c>
      <c r="H12" s="19">
        <v>0</v>
      </c>
      <c r="I12" s="20">
        <f t="shared" si="0"/>
        <v>0</v>
      </c>
      <c r="J12" s="20">
        <f t="shared" si="1"/>
        <v>1757.9950799999986</v>
      </c>
      <c r="K12" s="21">
        <f t="shared" si="2"/>
        <v>217.19999999999982</v>
      </c>
      <c r="L12" s="19">
        <f>L9*E12/100</f>
        <v>1288.6112000000001</v>
      </c>
      <c r="M12" s="19">
        <f t="shared" si="3"/>
        <v>6058.1288147991336</v>
      </c>
      <c r="N12" s="22" t="e">
        <f t="shared" si="5"/>
        <v>#VALUE!</v>
      </c>
      <c r="O12" s="23">
        <f>J12/L9*100</f>
        <v>5.4570225060902731</v>
      </c>
      <c r="P12" s="20">
        <f>C7*O12/100</f>
        <v>4300.1337347991348</v>
      </c>
    </row>
    <row r="13" spans="1:18" x14ac:dyDescent="0.25">
      <c r="A13" s="18">
        <v>4</v>
      </c>
      <c r="B13" s="18">
        <v>4</v>
      </c>
      <c r="C13" s="18" t="s">
        <v>28</v>
      </c>
      <c r="D13" s="18" t="s">
        <v>29</v>
      </c>
      <c r="E13" s="18">
        <v>4.9000000000000004</v>
      </c>
      <c r="F13" s="18">
        <v>14929.7</v>
      </c>
      <c r="G13" s="18">
        <v>15308.8</v>
      </c>
      <c r="H13" s="26">
        <v>0</v>
      </c>
      <c r="I13" s="20">
        <f t="shared" si="0"/>
        <v>0</v>
      </c>
      <c r="J13" s="20">
        <f t="shared" si="1"/>
        <v>3068.397489999988</v>
      </c>
      <c r="K13" s="21">
        <f t="shared" si="2"/>
        <v>379.09999999999854</v>
      </c>
      <c r="L13" s="19">
        <f>L9*E13/100</f>
        <v>1578.54872</v>
      </c>
      <c r="M13" s="19">
        <f t="shared" si="3"/>
        <v>10573.833488445418</v>
      </c>
      <c r="N13" s="22" t="e">
        <f t="shared" si="5"/>
        <v>#VALUE!</v>
      </c>
      <c r="O13" s="23">
        <f>J13/L9*100</f>
        <v>9.5246649726464838</v>
      </c>
      <c r="P13" s="20">
        <f>C7*O13/100</f>
        <v>7505.4359984454295</v>
      </c>
    </row>
    <row r="14" spans="1:18" x14ac:dyDescent="0.25">
      <c r="A14" s="18">
        <v>5</v>
      </c>
      <c r="B14" s="18">
        <v>5</v>
      </c>
      <c r="C14" s="18" t="s">
        <v>30</v>
      </c>
      <c r="D14" s="18" t="s">
        <v>31</v>
      </c>
      <c r="E14" s="18">
        <v>3.89</v>
      </c>
      <c r="F14" s="18">
        <v>2380.8000000000002</v>
      </c>
      <c r="G14" s="18">
        <v>2540.3000000000002</v>
      </c>
      <c r="H14" s="26">
        <v>0</v>
      </c>
      <c r="I14" s="20">
        <f t="shared" si="0"/>
        <v>0</v>
      </c>
      <c r="J14" s="20">
        <f t="shared" si="1"/>
        <v>1290.97705</v>
      </c>
      <c r="K14" s="21">
        <f t="shared" si="2"/>
        <v>159.5</v>
      </c>
      <c r="L14" s="19">
        <f>L9*E14/100</f>
        <v>1253.1743919999999</v>
      </c>
      <c r="M14" s="19">
        <f t="shared" si="3"/>
        <v>4448.7640237590367</v>
      </c>
      <c r="N14" s="22" t="e">
        <f t="shared" si="5"/>
        <v>#VALUE!</v>
      </c>
      <c r="O14" s="23">
        <f>J14/L9*100</f>
        <v>4.0073438753287265</v>
      </c>
      <c r="P14" s="20">
        <f>C7*O14/100</f>
        <v>3157.7869737590368</v>
      </c>
    </row>
    <row r="15" spans="1:18" x14ac:dyDescent="0.25">
      <c r="A15" s="18">
        <v>6</v>
      </c>
      <c r="B15" s="18">
        <v>6</v>
      </c>
      <c r="C15" s="18" t="s">
        <v>32</v>
      </c>
      <c r="D15" s="18" t="s">
        <v>33</v>
      </c>
      <c r="E15" s="18">
        <v>4</v>
      </c>
      <c r="F15" s="18">
        <v>6111.2</v>
      </c>
      <c r="G15" s="18">
        <v>6222.3</v>
      </c>
      <c r="H15" s="19">
        <v>0</v>
      </c>
      <c r="I15" s="20">
        <f t="shared" si="0"/>
        <v>0</v>
      </c>
      <c r="J15" s="20">
        <f t="shared" si="1"/>
        <v>899.23229000000288</v>
      </c>
      <c r="K15" s="21">
        <f t="shared" si="2"/>
        <v>111.10000000000036</v>
      </c>
      <c r="L15" s="19">
        <f>L9*E15/100</f>
        <v>1288.6112000000001</v>
      </c>
      <c r="M15" s="19">
        <f t="shared" si="3"/>
        <v>3098.7942510321664</v>
      </c>
      <c r="N15" s="22" t="e">
        <f t="shared" si="5"/>
        <v>#VALUE!</v>
      </c>
      <c r="O15" s="23">
        <f>J15/L9*100</f>
        <v>2.7913222855738113</v>
      </c>
      <c r="P15" s="20">
        <f>C7*O15/100</f>
        <v>2199.5619610321633</v>
      </c>
    </row>
    <row r="16" spans="1:18" x14ac:dyDescent="0.25">
      <c r="A16" s="18">
        <v>7</v>
      </c>
      <c r="B16" s="18">
        <v>7</v>
      </c>
      <c r="C16" s="18" t="s">
        <v>34</v>
      </c>
      <c r="D16" s="18" t="s">
        <v>35</v>
      </c>
      <c r="E16" s="18">
        <v>4.9000000000000004</v>
      </c>
      <c r="F16" s="18">
        <v>12291.4</v>
      </c>
      <c r="G16" s="18">
        <v>12348.1</v>
      </c>
      <c r="H16" s="19">
        <v>0</v>
      </c>
      <c r="I16" s="20">
        <f t="shared" si="0"/>
        <v>0</v>
      </c>
      <c r="J16" s="20">
        <f t="shared" si="1"/>
        <v>458.92413000000585</v>
      </c>
      <c r="K16" s="21">
        <f t="shared" si="2"/>
        <v>56.700000000000728</v>
      </c>
      <c r="L16" s="19">
        <f>L9*E16/100</f>
        <v>1578.54872</v>
      </c>
      <c r="M16" s="19">
        <f t="shared" si="3"/>
        <v>1581.4728535870881</v>
      </c>
      <c r="N16" s="22" t="e">
        <f t="shared" si="5"/>
        <v>#VALUE!</v>
      </c>
      <c r="O16" s="23">
        <f>J16/L9*100</f>
        <v>1.4245542177501045</v>
      </c>
      <c r="P16" s="20">
        <f>C7*O16/100</f>
        <v>1122.5487235870823</v>
      </c>
    </row>
    <row r="17" spans="1:16" x14ac:dyDescent="0.25">
      <c r="A17" s="18">
        <v>8</v>
      </c>
      <c r="B17" s="18">
        <v>8</v>
      </c>
      <c r="C17" s="18" t="s">
        <v>36</v>
      </c>
      <c r="D17" s="18" t="s">
        <v>37</v>
      </c>
      <c r="E17" s="18">
        <v>3.89</v>
      </c>
      <c r="F17" s="18">
        <v>1525.16</v>
      </c>
      <c r="G17" s="18">
        <v>1650.33</v>
      </c>
      <c r="H17" s="26">
        <v>0</v>
      </c>
      <c r="I17" s="20">
        <f t="shared" si="0"/>
        <v>0</v>
      </c>
      <c r="J17" s="20">
        <f t="shared" si="1"/>
        <v>1013.1134629999987</v>
      </c>
      <c r="K17" s="21">
        <f t="shared" si="2"/>
        <v>125.16999999999985</v>
      </c>
      <c r="L17" s="19">
        <f>L9*E17/100</f>
        <v>1253.1743919999999</v>
      </c>
      <c r="M17" s="19">
        <f t="shared" si="3"/>
        <v>3491.2338109963503</v>
      </c>
      <c r="N17" s="22" t="e">
        <f t="shared" si="5"/>
        <v>#VALUE!</v>
      </c>
      <c r="O17" s="23">
        <f>J17/L9*100</f>
        <v>3.1448227766451162</v>
      </c>
      <c r="P17" s="20">
        <f>C7*O17/100</f>
        <v>2478.1203479963515</v>
      </c>
    </row>
    <row r="18" spans="1:16" x14ac:dyDescent="0.25">
      <c r="A18" s="18">
        <v>9</v>
      </c>
      <c r="B18" s="18">
        <v>9</v>
      </c>
      <c r="C18" s="18" t="s">
        <v>38</v>
      </c>
      <c r="D18" s="18" t="s">
        <v>39</v>
      </c>
      <c r="E18" s="18">
        <v>4</v>
      </c>
      <c r="F18" s="18">
        <v>12904.4</v>
      </c>
      <c r="G18" s="18">
        <v>13160.8</v>
      </c>
      <c r="H18" s="19">
        <v>0</v>
      </c>
      <c r="I18" s="20">
        <f t="shared" si="0"/>
        <v>0</v>
      </c>
      <c r="J18" s="20">
        <f t="shared" si="1"/>
        <v>2075.2759599999968</v>
      </c>
      <c r="K18" s="21">
        <f t="shared" si="2"/>
        <v>256.39999999999964</v>
      </c>
      <c r="L18" s="19">
        <f>L9*E18/100</f>
        <v>1288.6112000000001</v>
      </c>
      <c r="M18" s="19">
        <f t="shared" si="3"/>
        <v>7151.4927629580889</v>
      </c>
      <c r="N18" s="22" t="e">
        <f t="shared" si="5"/>
        <v>#VALUE!</v>
      </c>
      <c r="O18" s="23">
        <f>J18/L9*100</f>
        <v>6.4418994961397109</v>
      </c>
      <c r="P18" s="20">
        <f>C7*O18/100</f>
        <v>5076.2168029580926</v>
      </c>
    </row>
    <row r="19" spans="1:16" x14ac:dyDescent="0.25">
      <c r="A19" s="18">
        <v>10</v>
      </c>
      <c r="B19" s="18">
        <v>10</v>
      </c>
      <c r="C19" s="18" t="s">
        <v>40</v>
      </c>
      <c r="D19" s="18" t="s">
        <v>41</v>
      </c>
      <c r="E19" s="18">
        <v>12.66</v>
      </c>
      <c r="F19" s="18">
        <v>11324.3</v>
      </c>
      <c r="G19" s="18">
        <v>11514.4</v>
      </c>
      <c r="H19" s="19">
        <v>0</v>
      </c>
      <c r="I19" s="20">
        <f t="shared" si="0"/>
        <v>0</v>
      </c>
      <c r="J19" s="20">
        <f t="shared" si="1"/>
        <v>1538.650390000003</v>
      </c>
      <c r="K19" s="21">
        <f t="shared" si="2"/>
        <v>190.10000000000036</v>
      </c>
      <c r="L19" s="19">
        <f>L9*E19/100</f>
        <v>4078.454448</v>
      </c>
      <c r="M19" s="19">
        <f t="shared" si="3"/>
        <v>5302.2573098219091</v>
      </c>
      <c r="N19" s="22" t="e">
        <f t="shared" si="5"/>
        <v>#VALUE!</v>
      </c>
      <c r="O19" s="23">
        <f>J19/L9*100</f>
        <v>4.7761509134795759</v>
      </c>
      <c r="P19" s="20">
        <f>C7*O19/100</f>
        <v>3763.6069198219061</v>
      </c>
    </row>
    <row r="20" spans="1:16" x14ac:dyDescent="0.25">
      <c r="A20" s="18">
        <v>11</v>
      </c>
      <c r="B20" s="18">
        <v>11</v>
      </c>
      <c r="C20" s="18" t="s">
        <v>42</v>
      </c>
      <c r="D20" s="18" t="s">
        <v>29</v>
      </c>
      <c r="E20" s="18">
        <v>7.75</v>
      </c>
      <c r="F20" s="18">
        <v>8132.8</v>
      </c>
      <c r="G20" s="18">
        <v>8306.1</v>
      </c>
      <c r="H20" s="26">
        <v>0</v>
      </c>
      <c r="I20" s="20">
        <f t="shared" si="0"/>
        <v>0</v>
      </c>
      <c r="J20" s="20">
        <f t="shared" si="1"/>
        <v>1402.6728700000015</v>
      </c>
      <c r="K20" s="21">
        <f t="shared" si="2"/>
        <v>173.30000000000018</v>
      </c>
      <c r="L20" s="19">
        <f>L9*E20/100</f>
        <v>2496.6841999999997</v>
      </c>
      <c r="M20" s="19">
        <f t="shared" si="3"/>
        <v>4833.6727606109207</v>
      </c>
      <c r="N20" s="22" t="e">
        <f t="shared" si="5"/>
        <v>#VALUE!</v>
      </c>
      <c r="O20" s="23">
        <f>J20/L9*100</f>
        <v>4.3540607748869533</v>
      </c>
      <c r="P20" s="20">
        <f>C7*O20/100</f>
        <v>3430.999890610919</v>
      </c>
    </row>
    <row r="21" spans="1:16" ht="15.75" customHeight="1" x14ac:dyDescent="0.25">
      <c r="A21" s="18">
        <v>12</v>
      </c>
      <c r="B21" s="18">
        <v>12</v>
      </c>
      <c r="C21" s="18" t="s">
        <v>43</v>
      </c>
      <c r="D21" s="18" t="s">
        <v>44</v>
      </c>
      <c r="E21" s="18">
        <v>7.51</v>
      </c>
      <c r="F21" s="18">
        <v>6998</v>
      </c>
      <c r="G21" s="18">
        <v>7159.5</v>
      </c>
      <c r="H21" s="26">
        <v>0</v>
      </c>
      <c r="I21" s="20">
        <f t="shared" si="0"/>
        <v>0</v>
      </c>
      <c r="J21" s="20">
        <f t="shared" si="1"/>
        <v>1307.1648499999999</v>
      </c>
      <c r="K21" s="21">
        <f t="shared" si="2"/>
        <v>161.5</v>
      </c>
      <c r="L21" s="19">
        <f>L9*E21/100</f>
        <v>2419.3675279999998</v>
      </c>
      <c r="M21" s="19">
        <f t="shared" si="3"/>
        <v>4504.5478986651051</v>
      </c>
      <c r="N21" s="22" t="e">
        <f t="shared" si="5"/>
        <v>#VALUE!</v>
      </c>
      <c r="O21" s="23">
        <f>J21/L9*100</f>
        <v>4.0575927013516564</v>
      </c>
      <c r="P21" s="20">
        <f>C7*O21/100</f>
        <v>3197.383048665105</v>
      </c>
    </row>
    <row r="22" spans="1:16" ht="15.75" customHeight="1" x14ac:dyDescent="0.25">
      <c r="A22" s="18">
        <v>13</v>
      </c>
      <c r="B22" s="18">
        <v>13</v>
      </c>
      <c r="C22" s="18" t="s">
        <v>45</v>
      </c>
      <c r="D22" s="18" t="s">
        <v>46</v>
      </c>
      <c r="E22" s="18">
        <v>4.45</v>
      </c>
      <c r="F22" s="18">
        <v>957.7</v>
      </c>
      <c r="G22" s="18">
        <v>1161.8</v>
      </c>
      <c r="H22" s="26">
        <v>0</v>
      </c>
      <c r="I22" s="20">
        <f t="shared" si="0"/>
        <v>0</v>
      </c>
      <c r="J22" s="20">
        <f t="shared" si="1"/>
        <v>1651.9649899999993</v>
      </c>
      <c r="K22" s="21">
        <f t="shared" si="2"/>
        <v>204.09999999999991</v>
      </c>
      <c r="L22" s="19">
        <f>L9*E22/100</f>
        <v>1433.57996</v>
      </c>
      <c r="M22" s="19">
        <f t="shared" si="3"/>
        <v>5692.7444341643823</v>
      </c>
      <c r="N22" s="22" t="e">
        <f t="shared" si="5"/>
        <v>#VALUE!</v>
      </c>
      <c r="O22" s="23">
        <f>J22/L9*100</f>
        <v>5.1278926956400799</v>
      </c>
      <c r="P22" s="20">
        <f>C7*O22/100</f>
        <v>4040.7794441643828</v>
      </c>
    </row>
    <row r="23" spans="1:16" ht="15.75" customHeight="1" x14ac:dyDescent="0.25">
      <c r="A23" s="18">
        <v>14</v>
      </c>
      <c r="B23" s="18">
        <v>14</v>
      </c>
      <c r="C23" s="18" t="s">
        <v>47</v>
      </c>
      <c r="D23" s="18" t="s">
        <v>48</v>
      </c>
      <c r="E23" s="18">
        <v>6.17</v>
      </c>
      <c r="F23" s="18">
        <v>8293.61</v>
      </c>
      <c r="G23" s="18">
        <v>8479.3700000000008</v>
      </c>
      <c r="H23" s="19">
        <v>0</v>
      </c>
      <c r="I23" s="20">
        <f t="shared" si="0"/>
        <v>0</v>
      </c>
      <c r="J23" s="20">
        <f t="shared" si="1"/>
        <v>1503.5228640000016</v>
      </c>
      <c r="K23" s="21">
        <f t="shared" si="2"/>
        <v>185.76000000000022</v>
      </c>
      <c r="L23" s="19">
        <f>L9*E23/100</f>
        <v>1987.6827760000001</v>
      </c>
      <c r="M23" s="19">
        <f t="shared" si="3"/>
        <v>5181.2063012757335</v>
      </c>
      <c r="N23" s="22" t="e">
        <f t="shared" si="5"/>
        <v>#VALUE!</v>
      </c>
      <c r="O23" s="23">
        <f>J23/L9*100</f>
        <v>4.6671109610098123</v>
      </c>
      <c r="P23" s="20">
        <f>C7*O23/100</f>
        <v>3677.6834372757321</v>
      </c>
    </row>
    <row r="24" spans="1:16" ht="15.75" customHeight="1" x14ac:dyDescent="0.25">
      <c r="A24" s="18">
        <v>15</v>
      </c>
      <c r="B24" s="18">
        <v>15</v>
      </c>
      <c r="C24" s="18" t="s">
        <v>49</v>
      </c>
      <c r="D24" s="18" t="s">
        <v>25</v>
      </c>
      <c r="E24" s="18">
        <v>4.45</v>
      </c>
      <c r="F24" s="18">
        <v>19581.3</v>
      </c>
      <c r="G24" s="18">
        <v>19822.099999999999</v>
      </c>
      <c r="H24" s="19">
        <v>0</v>
      </c>
      <c r="I24" s="20">
        <f t="shared" si="0"/>
        <v>0</v>
      </c>
      <c r="J24" s="20">
        <f>(G24-F24)*8.0939+22</f>
        <v>1971.011119999994</v>
      </c>
      <c r="K24" s="21">
        <f t="shared" si="2"/>
        <v>240.79999999999927</v>
      </c>
      <c r="L24" s="19">
        <f>L9*E24/100</f>
        <v>1433.57996</v>
      </c>
      <c r="M24" s="19">
        <f t="shared" si="3"/>
        <v>6792.1915119133819</v>
      </c>
      <c r="N24" s="22" t="e">
        <f t="shared" si="5"/>
        <v>#VALUE!</v>
      </c>
      <c r="O24" s="23">
        <f>J24/L9*100</f>
        <v>6.1182492283164827</v>
      </c>
      <c r="P24" s="20">
        <f>C7*O24/100</f>
        <v>4821.1803919133881</v>
      </c>
    </row>
    <row r="25" spans="1:16" ht="15.75" customHeight="1" x14ac:dyDescent="0.25">
      <c r="A25" s="18">
        <v>16</v>
      </c>
      <c r="B25" s="18">
        <v>16</v>
      </c>
      <c r="C25" s="18" t="s">
        <v>50</v>
      </c>
      <c r="D25" s="18" t="s">
        <v>41</v>
      </c>
      <c r="E25" s="18">
        <v>9.19</v>
      </c>
      <c r="F25" s="18">
        <v>7472</v>
      </c>
      <c r="G25" s="18">
        <v>7571.2</v>
      </c>
      <c r="H25" s="19">
        <v>0</v>
      </c>
      <c r="I25" s="20">
        <f t="shared" si="0"/>
        <v>0</v>
      </c>
      <c r="J25" s="20">
        <f>(G25-F25)*8.0939</f>
        <v>802.91487999999845</v>
      </c>
      <c r="K25" s="21">
        <f t="shared" si="2"/>
        <v>99.199999999999818</v>
      </c>
      <c r="L25" s="19">
        <f>L9*E25/100</f>
        <v>2960.5842319999997</v>
      </c>
      <c r="M25" s="19">
        <f t="shared" si="3"/>
        <v>2766.8801953410384</v>
      </c>
      <c r="N25" s="22" t="e">
        <f t="shared" si="5"/>
        <v>#VALUE!</v>
      </c>
      <c r="O25" s="23">
        <f>J25/L9*100</f>
        <v>2.4923417707373599</v>
      </c>
      <c r="P25" s="20">
        <f>C7*O25/100</f>
        <v>1963.9653153410397</v>
      </c>
    </row>
    <row r="26" spans="1:16" ht="15.75" customHeight="1" x14ac:dyDescent="0.25">
      <c r="A26" s="18">
        <v>17</v>
      </c>
      <c r="B26" s="18">
        <v>17</v>
      </c>
      <c r="C26" s="18" t="s">
        <v>51</v>
      </c>
      <c r="D26" s="18" t="s">
        <v>29</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52</v>
      </c>
      <c r="D27" s="18" t="s">
        <v>53</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54</v>
      </c>
      <c r="D28" s="18" t="s">
        <v>53</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55</v>
      </c>
      <c r="D29" s="18" t="s">
        <v>27</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56</v>
      </c>
      <c r="D30" s="18" t="s">
        <v>41</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57</v>
      </c>
      <c r="D31" s="18" t="s">
        <v>39</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58</v>
      </c>
      <c r="D32" s="18" t="s">
        <v>59</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60</v>
      </c>
      <c r="D33" s="18" t="s">
        <v>44</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30261.695886999987</v>
      </c>
      <c r="K34" s="29"/>
      <c r="L34" s="29">
        <f t="shared" ref="L34:M34" si="7">SUM(L10:L33)</f>
        <v>29867.761648</v>
      </c>
      <c r="M34" s="29">
        <f t="shared" si="7"/>
        <v>108953.93880078498</v>
      </c>
      <c r="N34" s="5"/>
      <c r="O34" s="2" t="e">
        <f t="shared" ref="O34:O35" si="8">J34/C32*100</f>
        <v>#VALUE!</v>
      </c>
    </row>
    <row r="35" spans="1:16" ht="15.75" hidden="1" customHeight="1" x14ac:dyDescent="0.25">
      <c r="A35" s="31" t="s">
        <v>61</v>
      </c>
      <c r="C35" s="55" t="s">
        <v>62</v>
      </c>
      <c r="D35" s="53"/>
      <c r="E35" s="53"/>
      <c r="F35" s="53"/>
      <c r="G35" s="53"/>
      <c r="H35" s="53"/>
      <c r="I35" s="53"/>
      <c r="J35" s="53"/>
      <c r="K35" s="53"/>
      <c r="L35" s="53"/>
      <c r="M35" s="56"/>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2025-05-29T13:49:51Z</cp:lastPrinted>
  <dcterms:created xsi:type="dcterms:W3CDTF">2021-11-02T15:21:56Z</dcterms:created>
  <dcterms:modified xsi:type="dcterms:W3CDTF">2026-03-05T00:16:43Z</dcterms:modified>
</cp:coreProperties>
</file>