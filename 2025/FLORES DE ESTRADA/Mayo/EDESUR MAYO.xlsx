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5\FLORES DE ESTRADA\Mayo\"/>
    </mc:Choice>
  </mc:AlternateContent>
  <xr:revisionPtr revIDLastSave="0" documentId="13_ncr:1_{FC80CF22-412C-4843-B540-0D0B661865BD}"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M36" i="1" l="1"/>
  <c r="G20" i="1"/>
  <c r="C8" i="1" l="1"/>
  <c r="G22" i="1"/>
  <c r="S22" i="1" s="1"/>
  <c r="S21"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<sst xmlns="http://schemas.openxmlformats.org/spreadsheetml/2006/main" count="161" uniqueCount="68">
  <si>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</si>
  <si>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</si>
  <si>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</si>
  <si>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</si>
  <si>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</si>
  <si>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</si>
  <si>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</si>
  <si>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</si>
  <si>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</si>
  <si>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</si>
  <si>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</si>
  <si>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</si>
  <si>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</si>
  <si>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</si>
  <si>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</si>
  <si>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</si>
  <si>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</si>
  <si>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</si>
  <si>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</si>
  <si>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</si>
  <si>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</si>
  <si>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</si>
  <si>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</si>
  <si>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</si>
  <si>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</si>
  <si>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</si>
  <si>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</si>
  <si>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</si>
  <si>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</si>
  <si>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</si>
  <si>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</si>
  <si>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</si>
  <si>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</si>
  <si>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</si>
  <si>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</si>
  <si>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</si>
  <si>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</si>
  <si>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</si>
  <si>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</si>
  <si>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</si>
  <si>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</si>
  <si>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</si>
  <si>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</si>
  <si>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</si>
  <si>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</si>
  <si>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</si>
  <si>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</si>
  <si>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</si>
  <si>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</si>
  <si>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</si>
  <si>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</si>
  <si>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</si>
  <si>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</si>
  <si>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</si>
  <si>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</si>
  <si>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</si>
  <si>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</si>
  <si>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</si>
  <si>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</si>
  <si>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</si>
  <si>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</si>
  <si>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</si>
  <si>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</si>
  <si>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</si>
  <si>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</si>
  <si>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14/05</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</si>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</sst>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4"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
      <b/>
      <sz val="11"/>
      <color theme="0"/>
      <name val="Calibri"/>
      <family val="2"/>
      <scheme val="minor"/>
    </font>
  </fonts>
  <fills count="11">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0000"/>
        <bgColor theme="0"/>
      </patternFill>
    </fill>
    <fill>
      <patternFill patternType="solid">
        <fgColor theme="1"/>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44" fontId="9" fillId="0" borderId="0" xfId="0" applyNumberFormat="1" applyFont="1"/>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4" fillId="7" borderId="10" xfId="0" applyNumberFormat="1" applyFont="1" applyFill="1" applyBorder="1"/>
    <xf numFmtId="2" fontId="4" fillId="7" borderId="10" xfId="0" applyNumberFormat="1" applyFont="1" applyFill="1" applyBorder="1"/>
    <xf numFmtId="164" fontId="4" fillId="7" borderId="10" xfId="0" applyNumberFormat="1" applyFont="1" applyFill="1" applyBorder="1"/>
    <xf numFmtId="0" fontId="3" fillId="7" borderId="10" xfId="0" applyFont="1" applyFill="1" applyBorder="1"/>
    <xf numFmtId="164" fontId="8" fillId="5" borderId="10" xfId="0" applyNumberFormat="1" applyFont="1" applyFill="1" applyBorder="1"/>
    <xf numFmtId="165" fontId="12" fillId="5" borderId="8" xfId="0" applyNumberFormat="1" applyFont="1" applyFill="1" applyBorder="1"/>
    <xf numFmtId="0" fontId="10" fillId="5" borderId="14" xfId="0" applyFont="1" applyFill="1" applyBorder="1"/>
    <xf numFmtId="0" fontId="4" fillId="8" borderId="10" xfId="0" applyFont="1" applyFill="1" applyBorder="1"/>
    <xf numFmtId="0" fontId="3"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8" borderId="10" xfId="0" applyNumberFormat="1" applyFont="1" applyFill="1" applyBorder="1"/>
    <xf numFmtId="164" fontId="4" fillId="9"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164" fontId="13" fillId="1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2" zoomScale="90" zoomScaleNormal="90" workbookViewId="0">
      <selection activeCell="M36" sqref="M36"/>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10"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2" t="s">
        <v>65</v>
      </c>
      <c r="B1" s="63"/>
      <c r="C1" s="63"/>
      <c r="D1" s="63"/>
      <c r="E1" s="63"/>
      <c r="F1" s="63"/>
      <c r="G1" s="63"/>
      <c r="H1" s="63"/>
      <c r="I1" s="63"/>
      <c r="J1" s="63"/>
      <c r="K1" s="63"/>
      <c r="L1" s="63"/>
      <c r="M1" s="64"/>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4">
        <f>23662 +1419829.7</f>
        <v>1443491.7</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1145908.0662000005</v>
      </c>
      <c r="M9" s="14" t="s">
        <v>19</v>
      </c>
      <c r="N9" s="17"/>
      <c r="O9" s="14" t="s">
        <v>20</v>
      </c>
      <c r="P9" s="14" t="s">
        <v>21</v>
      </c>
    </row>
    <row r="10" spans="1:25" x14ac:dyDescent="0.25">
      <c r="A10" s="18">
        <v>1</v>
      </c>
      <c r="B10" s="18">
        <v>1</v>
      </c>
      <c r="C10" s="18" t="s">
        <v>22</v>
      </c>
      <c r="D10" s="18" t="s">
        <v>23</v>
      </c>
      <c r="E10" s="18">
        <v>4.9000000000000004</v>
      </c>
      <c r="F10" s="18">
        <v>18022.7</v>
      </c>
      <c r="G10" s="41">
        <v>18321.599999999999</v>
      </c>
      <c r="H10" s="19">
        <v>0</v>
      </c>
      <c r="I10" s="20">
        <f t="shared" ref="I10:I33" si="0">H10*7%</f>
        <v>0</v>
      </c>
      <c r="J10" s="20">
        <f>(G10-F10)*93.78</f>
        <v>28030.841999999797</v>
      </c>
      <c r="K10" s="21">
        <f>G10-F10</f>
        <v>298.89999999999782</v>
      </c>
      <c r="L10" s="19">
        <f>L9*E10/100</f>
        <v>56149.495243800033</v>
      </c>
      <c r="M10" s="19">
        <f>J10+L10+3</f>
        <v>84183.337243799833</v>
      </c>
      <c r="N10" s="22">
        <f>J10/C7*100</f>
        <v>35.913955156950408</v>
      </c>
      <c r="O10" s="23">
        <f>J10/L9*100</f>
        <v>2.4461684865308775</v>
      </c>
      <c r="P10" s="20">
        <f>C7*O10/100</f>
        <v>1909.2345037373498</v>
      </c>
      <c r="Q10" s="24">
        <v>0.31</v>
      </c>
      <c r="R10" s="25">
        <f t="shared" ref="R10:R11" si="1">4000*Q10</f>
        <v>1240</v>
      </c>
    </row>
    <row r="11" spans="1:25" x14ac:dyDescent="0.25">
      <c r="A11" s="18">
        <v>2</v>
      </c>
      <c r="B11" s="56">
        <v>2</v>
      </c>
      <c r="C11" s="56" t="s">
        <v>24</v>
      </c>
      <c r="D11" s="56" t="s">
        <v>25</v>
      </c>
      <c r="E11" s="56">
        <v>3.89</v>
      </c>
      <c r="F11" s="56">
        <v>16863.900000000001</v>
      </c>
      <c r="G11" s="57">
        <f>F11+70</f>
        <v>16933.900000000001</v>
      </c>
      <c r="H11" s="58">
        <v>0</v>
      </c>
      <c r="I11" s="59">
        <f t="shared" si="0"/>
        <v>0</v>
      </c>
      <c r="J11" s="59">
        <f>(G11-F11)*93.78</f>
        <v>6564.6</v>
      </c>
      <c r="K11" s="60">
        <f t="shared" ref="K11:K25" si="2">G11-F11</f>
        <v>70</v>
      </c>
      <c r="L11" s="58">
        <f>L9*E11/100</f>
        <v>44575.823775180019</v>
      </c>
      <c r="M11" s="58">
        <f t="shared" ref="M11:M24" si="3">J11+L11+1</f>
        <v>51141.423775180017</v>
      </c>
      <c r="N11" s="22" t="e">
        <f t="shared" ref="N11:N33" si="4">J11/C9*100</f>
        <v>#VALUE!</v>
      </c>
      <c r="O11" s="23">
        <f>L11/L9*100</f>
        <v>3.8900000000000006</v>
      </c>
      <c r="P11" s="20">
        <f>C7*O11/100</f>
        <v>3036.1450000000004</v>
      </c>
      <c r="Q11" s="24">
        <v>0.19</v>
      </c>
      <c r="R11" s="25">
        <f t="shared" si="1"/>
        <v>760</v>
      </c>
      <c r="U11" s="33"/>
    </row>
    <row r="12" spans="1:25" x14ac:dyDescent="0.25">
      <c r="A12" s="43">
        <v>3</v>
      </c>
      <c r="B12" s="43">
        <v>3</v>
      </c>
      <c r="C12" s="43" t="s">
        <v>26</v>
      </c>
      <c r="D12" s="43" t="s">
        <v>27</v>
      </c>
      <c r="E12" s="43">
        <v>4</v>
      </c>
      <c r="F12" s="43">
        <v>11246.3</v>
      </c>
      <c r="G12" s="41">
        <f>F12+85</f>
        <v>11331.3</v>
      </c>
      <c r="H12" s="44">
        <v>0</v>
      </c>
      <c r="I12" s="45">
        <f t="shared" si="0"/>
        <v>0</v>
      </c>
      <c r="J12" s="45">
        <f t="shared" ref="J12:J33" si="5">(G12-F12)*93.78</f>
        <v>7971.3</v>
      </c>
      <c r="K12" s="46">
        <f>G12-F12</f>
        <v>85</v>
      </c>
      <c r="L12" s="44">
        <f>L9*E12/100</f>
        <v>45836.322648000016</v>
      </c>
      <c r="M12" s="44">
        <f t="shared" si="3"/>
        <v>53808.622648000019</v>
      </c>
      <c r="N12" s="22" t="e">
        <f t="shared" si="4"/>
        <v>#VALUE!</v>
      </c>
      <c r="O12" s="23">
        <f>J12/L9*100</f>
        <v>0.69563172082678515</v>
      </c>
      <c r="P12" s="20">
        <f>C7*O12/100</f>
        <v>542.94055810530585</v>
      </c>
    </row>
    <row r="13" spans="1:25" x14ac:dyDescent="0.25">
      <c r="A13" s="18">
        <v>4</v>
      </c>
      <c r="B13" s="18">
        <v>4</v>
      </c>
      <c r="C13" s="18" t="s">
        <v>28</v>
      </c>
      <c r="D13" s="18" t="s">
        <v>29</v>
      </c>
      <c r="E13" s="18">
        <v>4.9000000000000004</v>
      </c>
      <c r="F13" s="18">
        <v>26917.4</v>
      </c>
      <c r="G13" s="41">
        <v>27384.3</v>
      </c>
      <c r="H13" s="26">
        <v>0</v>
      </c>
      <c r="I13" s="20">
        <f t="shared" si="0"/>
        <v>0</v>
      </c>
      <c r="J13" s="20">
        <f t="shared" si="5"/>
        <v>43785.881999999794</v>
      </c>
      <c r="K13" s="21">
        <f t="shared" si="2"/>
        <v>466.89999999999782</v>
      </c>
      <c r="L13" s="19">
        <f>L9*E13/100</f>
        <v>56149.495243800033</v>
      </c>
      <c r="M13" s="19">
        <f t="shared" si="3"/>
        <v>99936.377243799827</v>
      </c>
      <c r="N13" s="22" t="e">
        <f t="shared" si="4"/>
        <v>#VALUE!</v>
      </c>
      <c r="O13" s="23">
        <f>J13/L9*100</f>
        <v>3.8210641229885232</v>
      </c>
      <c r="P13" s="20">
        <f>C7*O13/100</f>
        <v>2982.3405479925423</v>
      </c>
    </row>
    <row r="14" spans="1:25" x14ac:dyDescent="0.25">
      <c r="A14" s="18">
        <v>5</v>
      </c>
      <c r="B14" s="43">
        <v>5</v>
      </c>
      <c r="C14" s="43" t="s">
        <v>30</v>
      </c>
      <c r="D14" s="43" t="s">
        <v>31</v>
      </c>
      <c r="E14" s="43">
        <v>3.89</v>
      </c>
      <c r="F14" s="43">
        <v>5452.6</v>
      </c>
      <c r="G14" s="41">
        <v>5693</v>
      </c>
      <c r="H14" s="26">
        <v>0</v>
      </c>
      <c r="I14" s="45">
        <f t="shared" si="0"/>
        <v>0</v>
      </c>
      <c r="J14" s="45">
        <f t="shared" si="5"/>
        <v>22544.711999999967</v>
      </c>
      <c r="K14" s="46">
        <f t="shared" si="2"/>
        <v>240.39999999999964</v>
      </c>
      <c r="L14" s="44">
        <f>L9*E14/100</f>
        <v>44575.823775180019</v>
      </c>
      <c r="M14" s="44">
        <f t="shared" si="3"/>
        <v>67121.535775179989</v>
      </c>
      <c r="N14" s="22" t="e">
        <f t="shared" si="4"/>
        <v>#VALUE!</v>
      </c>
      <c r="O14" s="23">
        <f>J14/L9*100</f>
        <v>1.9674101845501046</v>
      </c>
      <c r="P14" s="20">
        <f>C7*O14/100</f>
        <v>1535.5636490413567</v>
      </c>
      <c r="R14">
        <v>2540.8200000000002</v>
      </c>
    </row>
    <row r="15" spans="1:25" x14ac:dyDescent="0.25">
      <c r="A15" s="18">
        <v>6</v>
      </c>
      <c r="B15" s="37">
        <v>6</v>
      </c>
      <c r="C15" s="37" t="s">
        <v>32</v>
      </c>
      <c r="D15" s="37" t="s">
        <v>33</v>
      </c>
      <c r="E15" s="37">
        <v>4</v>
      </c>
      <c r="F15" s="37">
        <v>12816.7</v>
      </c>
      <c r="G15" s="42">
        <f>F15+270</f>
        <v>13086.7</v>
      </c>
      <c r="H15" s="38">
        <v>0</v>
      </c>
      <c r="I15" s="39">
        <f t="shared" si="0"/>
        <v>0</v>
      </c>
      <c r="J15" s="39">
        <f t="shared" si="5"/>
        <v>25320.6</v>
      </c>
      <c r="K15" s="40">
        <f t="shared" si="2"/>
        <v>270</v>
      </c>
      <c r="L15" s="38">
        <f>L9*E15/100</f>
        <v>45836.322648000016</v>
      </c>
      <c r="M15" s="38">
        <f t="shared" si="3"/>
        <v>71157.922648000007</v>
      </c>
      <c r="N15" s="22" t="e">
        <f t="shared" si="4"/>
        <v>#VALUE!</v>
      </c>
      <c r="O15" s="23">
        <f>J15/L9*100</f>
        <v>2.2096537014497883</v>
      </c>
      <c r="P15" s="20">
        <f>C7*O15/100</f>
        <v>1724.6347139815598</v>
      </c>
      <c r="Y15" s="36"/>
    </row>
    <row r="16" spans="1:25" x14ac:dyDescent="0.25">
      <c r="A16" s="18">
        <v>7</v>
      </c>
      <c r="B16" s="18">
        <v>7</v>
      </c>
      <c r="C16" s="18" t="s">
        <v>34</v>
      </c>
      <c r="D16" s="18" t="s">
        <v>35</v>
      </c>
      <c r="E16" s="18">
        <v>4.9000000000000004</v>
      </c>
      <c r="F16" s="18">
        <v>17767</v>
      </c>
      <c r="G16" s="41">
        <v>17970.599999999999</v>
      </c>
      <c r="H16" s="19">
        <v>0</v>
      </c>
      <c r="I16" s="20">
        <f t="shared" si="0"/>
        <v>0</v>
      </c>
      <c r="J16" s="20">
        <f t="shared" si="5"/>
        <v>19093.607999999866</v>
      </c>
      <c r="K16" s="21">
        <f t="shared" si="2"/>
        <v>203.59999999999854</v>
      </c>
      <c r="L16" s="19">
        <f>L9*E16/100</f>
        <v>56149.495243800033</v>
      </c>
      <c r="M16" s="19">
        <f t="shared" si="3"/>
        <v>75244.103243799895</v>
      </c>
      <c r="N16" s="22" t="e">
        <f t="shared" si="4"/>
        <v>#VALUE!</v>
      </c>
      <c r="O16" s="23">
        <f>J16/L9*100</f>
        <v>1.6662425689450879</v>
      </c>
      <c r="P16" s="20">
        <f>C7*O16/100</f>
        <v>1300.5023250616412</v>
      </c>
    </row>
    <row r="17" spans="1:19" x14ac:dyDescent="0.25">
      <c r="A17" s="18">
        <v>8</v>
      </c>
      <c r="B17" s="18">
        <v>8</v>
      </c>
      <c r="C17" s="18" t="s">
        <v>36</v>
      </c>
      <c r="D17" s="18" t="s">
        <v>37</v>
      </c>
      <c r="E17" s="18">
        <v>3.89</v>
      </c>
      <c r="F17" s="18">
        <v>5855.11</v>
      </c>
      <c r="G17" s="41">
        <v>5950.95</v>
      </c>
      <c r="H17" s="26">
        <v>0</v>
      </c>
      <c r="I17" s="20">
        <f t="shared" si="0"/>
        <v>0</v>
      </c>
      <c r="J17" s="20">
        <f t="shared" si="5"/>
        <v>8987.8752000000131</v>
      </c>
      <c r="K17" s="21">
        <f t="shared" si="2"/>
        <v>95.840000000000146</v>
      </c>
      <c r="L17" s="19">
        <f>L9*E17/100</f>
        <v>44575.823775180019</v>
      </c>
      <c r="M17" s="19">
        <f t="shared" si="3"/>
        <v>53564.698975180028</v>
      </c>
      <c r="N17" s="22" t="e">
        <f t="shared" si="4"/>
        <v>#VALUE!</v>
      </c>
      <c r="O17" s="23">
        <f>J17/L9*100</f>
        <v>0.78434522498869641</v>
      </c>
      <c r="P17" s="20">
        <f>C7*O17/100</f>
        <v>612.18144810367755</v>
      </c>
    </row>
    <row r="18" spans="1:19" x14ac:dyDescent="0.25">
      <c r="A18" s="18">
        <v>9</v>
      </c>
      <c r="B18" s="43">
        <v>9</v>
      </c>
      <c r="C18" s="43" t="s">
        <v>38</v>
      </c>
      <c r="D18" s="43" t="s">
        <v>39</v>
      </c>
      <c r="E18" s="43">
        <v>4</v>
      </c>
      <c r="F18" s="43">
        <v>19713.599999999999</v>
      </c>
      <c r="G18" s="41">
        <v>19975.5</v>
      </c>
      <c r="H18" s="53">
        <v>0</v>
      </c>
      <c r="I18" s="45">
        <f t="shared" si="0"/>
        <v>0</v>
      </c>
      <c r="J18" s="45">
        <f t="shared" si="5"/>
        <v>24560.982000000138</v>
      </c>
      <c r="K18" s="46">
        <f t="shared" si="2"/>
        <v>261.90000000000146</v>
      </c>
      <c r="L18" s="44">
        <f>L9*E18/100</f>
        <v>45836.322648000016</v>
      </c>
      <c r="M18" s="44">
        <f t="shared" si="3"/>
        <v>70398.30464800015</v>
      </c>
      <c r="N18" s="22" t="e">
        <f t="shared" si="4"/>
        <v>#VALUE!</v>
      </c>
      <c r="O18" s="23">
        <f>J18/L9*100</f>
        <v>2.1433640904063069</v>
      </c>
      <c r="P18" s="20">
        <f>C7*O18/100</f>
        <v>1672.8956725621226</v>
      </c>
    </row>
    <row r="19" spans="1:19" x14ac:dyDescent="0.25">
      <c r="A19" s="18">
        <v>10</v>
      </c>
      <c r="B19" s="48">
        <v>10</v>
      </c>
      <c r="C19" s="48" t="s">
        <v>40</v>
      </c>
      <c r="D19" s="48" t="s">
        <v>63</v>
      </c>
      <c r="E19" s="48">
        <v>12.66</v>
      </c>
      <c r="F19" s="48">
        <v>22979.4</v>
      </c>
      <c r="G19" s="52">
        <v>23140.400000000001</v>
      </c>
      <c r="H19" s="51">
        <v>0</v>
      </c>
      <c r="I19" s="49">
        <f t="shared" si="0"/>
        <v>0</v>
      </c>
      <c r="J19" s="49">
        <f t="shared" si="5"/>
        <v>15098.58</v>
      </c>
      <c r="K19" s="50">
        <f t="shared" si="2"/>
        <v>161</v>
      </c>
      <c r="L19" s="51">
        <f>L9*E19/100</f>
        <v>145071.96118092007</v>
      </c>
      <c r="M19" s="51">
        <f>J19+L19+1</f>
        <v>160171.54118092006</v>
      </c>
      <c r="N19" s="22" t="e">
        <f t="shared" si="4"/>
        <v>#VALUE!</v>
      </c>
      <c r="O19" s="23">
        <f>J19/L9*100</f>
        <v>1.3176083182719107</v>
      </c>
      <c r="P19" s="20">
        <f>C7*O19/100</f>
        <v>1028.3932924112262</v>
      </c>
    </row>
    <row r="20" spans="1:19" x14ac:dyDescent="0.25">
      <c r="A20" s="43">
        <v>11</v>
      </c>
      <c r="B20" s="43">
        <v>11</v>
      </c>
      <c r="C20" s="43" t="s">
        <v>42</v>
      </c>
      <c r="D20" s="43" t="s">
        <v>29</v>
      </c>
      <c r="E20" s="43">
        <v>7.75</v>
      </c>
      <c r="F20" s="43">
        <v>17545.099999999999</v>
      </c>
      <c r="G20" s="41">
        <f>F20+200</f>
        <v>17745.099999999999</v>
      </c>
      <c r="H20" s="26">
        <v>0</v>
      </c>
      <c r="I20" s="45">
        <f t="shared" si="0"/>
        <v>0</v>
      </c>
      <c r="J20" s="45">
        <f t="shared" si="5"/>
        <v>18756</v>
      </c>
      <c r="K20" s="46">
        <f t="shared" si="2"/>
        <v>200</v>
      </c>
      <c r="L20" s="44">
        <f>L9*E20/100</f>
        <v>88807.875130500033</v>
      </c>
      <c r="M20" s="44">
        <f t="shared" si="3"/>
        <v>107564.87513050003</v>
      </c>
      <c r="N20" s="22" t="e">
        <f t="shared" si="4"/>
        <v>#VALUE!</v>
      </c>
      <c r="O20" s="23">
        <f>J20/L9*100</f>
        <v>1.6367805195924356</v>
      </c>
      <c r="P20" s="20">
        <f>C7*O20/100</f>
        <v>1277.5071955418962</v>
      </c>
    </row>
    <row r="21" spans="1:19" ht="15.75" customHeight="1" x14ac:dyDescent="0.25">
      <c r="A21" s="37">
        <v>12</v>
      </c>
      <c r="B21" s="43">
        <v>12</v>
      </c>
      <c r="C21" s="43" t="s">
        <v>43</v>
      </c>
      <c r="D21" s="55" t="s">
        <v>64</v>
      </c>
      <c r="E21" s="43">
        <v>7.51</v>
      </c>
      <c r="F21" s="43">
        <v>14348.5</v>
      </c>
      <c r="G21" s="41">
        <v>14594.4</v>
      </c>
      <c r="H21" s="26">
        <v>0</v>
      </c>
      <c r="I21" s="45">
        <f t="shared" si="0"/>
        <v>0</v>
      </c>
      <c r="J21" s="45">
        <f t="shared" si="5"/>
        <v>23060.501999999968</v>
      </c>
      <c r="K21" s="46">
        <f t="shared" si="2"/>
        <v>245.89999999999964</v>
      </c>
      <c r="L21" s="44">
        <f>L9*E21/100</f>
        <v>86057.695771620027</v>
      </c>
      <c r="M21" s="44">
        <f t="shared" si="3"/>
        <v>109119.19777161999</v>
      </c>
      <c r="N21" s="22" t="e">
        <f t="shared" si="4"/>
        <v>#VALUE!</v>
      </c>
      <c r="O21" s="23">
        <f>J21/L9*100</f>
        <v>2.0124216488388971</v>
      </c>
      <c r="P21" s="20">
        <f>C7*O21/100</f>
        <v>1570.6950969187592</v>
      </c>
      <c r="S21">
        <f>G21-F21</f>
        <v>245.89999999999964</v>
      </c>
    </row>
    <row r="22" spans="1:19" ht="15.75" customHeight="1" x14ac:dyDescent="0.25">
      <c r="A22" s="43">
        <v>13</v>
      </c>
      <c r="B22" s="56">
        <v>13</v>
      </c>
      <c r="C22" s="56" t="s">
        <v>45</v>
      </c>
      <c r="D22" s="56" t="s">
        <v>46</v>
      </c>
      <c r="E22" s="56">
        <v>4.45</v>
      </c>
      <c r="F22" s="56">
        <v>10672.2</v>
      </c>
      <c r="G22" s="57">
        <f>F22+193-30</f>
        <v>10835.2</v>
      </c>
      <c r="H22" s="61">
        <v>0</v>
      </c>
      <c r="I22" s="59">
        <f t="shared" si="0"/>
        <v>0</v>
      </c>
      <c r="J22" s="59">
        <f t="shared" si="5"/>
        <v>15286.14</v>
      </c>
      <c r="K22" s="60">
        <f t="shared" si="2"/>
        <v>163</v>
      </c>
      <c r="L22" s="58">
        <f>L9*E22/100</f>
        <v>50992.908945900024</v>
      </c>
      <c r="M22" s="58">
        <f t="shared" si="3"/>
        <v>66280.048945900024</v>
      </c>
      <c r="N22" s="22" t="e">
        <f t="shared" si="4"/>
        <v>#VALUE!</v>
      </c>
      <c r="O22" s="23">
        <f>J22/L9*100</f>
        <v>1.3339761234678349</v>
      </c>
      <c r="P22" s="20">
        <f>C7*O22/100</f>
        <v>1041.1683643666452</v>
      </c>
      <c r="S22">
        <f>G22-F22</f>
        <v>163</v>
      </c>
    </row>
    <row r="23" spans="1:19" ht="15.75" customHeight="1" x14ac:dyDescent="0.25">
      <c r="A23" s="18">
        <v>14</v>
      </c>
      <c r="B23" s="43">
        <v>14</v>
      </c>
      <c r="C23" s="43" t="s">
        <v>47</v>
      </c>
      <c r="D23" s="43" t="s">
        <v>48</v>
      </c>
      <c r="E23" s="43">
        <v>6.17</v>
      </c>
      <c r="F23" s="43">
        <v>20488.68</v>
      </c>
      <c r="G23" s="41">
        <v>20525.349999999999</v>
      </c>
      <c r="H23" s="44">
        <v>0</v>
      </c>
      <c r="I23" s="45">
        <f t="shared" si="0"/>
        <v>0</v>
      </c>
      <c r="J23" s="45">
        <f t="shared" si="5"/>
        <v>3438.9125999998364</v>
      </c>
      <c r="K23" s="46">
        <f t="shared" si="2"/>
        <v>36.669999999998254</v>
      </c>
      <c r="L23" s="44">
        <f>L9*E23/100</f>
        <v>70702.527684540037</v>
      </c>
      <c r="M23" s="44">
        <f>J23+L23+1</f>
        <v>74142.440284539873</v>
      </c>
      <c r="N23" s="22" t="e">
        <f t="shared" si="4"/>
        <v>#VALUE!</v>
      </c>
      <c r="O23" s="23">
        <f>J23/L9*100</f>
        <v>0.3001037082672588</v>
      </c>
      <c r="P23" s="20">
        <f>C7*O23/100</f>
        <v>234.2309443025955</v>
      </c>
    </row>
    <row r="24" spans="1:19" ht="15.75" customHeight="1" x14ac:dyDescent="0.25">
      <c r="A24" s="18">
        <v>15</v>
      </c>
      <c r="B24" s="37">
        <v>15</v>
      </c>
      <c r="C24" s="37" t="s">
        <v>49</v>
      </c>
      <c r="D24" s="37" t="s">
        <v>25</v>
      </c>
      <c r="E24" s="37">
        <v>4.45</v>
      </c>
      <c r="F24" s="37">
        <v>29965.1</v>
      </c>
      <c r="G24" s="42">
        <v>30195.599999999999</v>
      </c>
      <c r="H24" s="38">
        <v>0</v>
      </c>
      <c r="I24" s="39">
        <f t="shared" si="0"/>
        <v>0</v>
      </c>
      <c r="J24" s="39">
        <f t="shared" si="5"/>
        <v>21616.29</v>
      </c>
      <c r="K24" s="40">
        <f t="shared" si="2"/>
        <v>230.5</v>
      </c>
      <c r="L24" s="38">
        <f>L9*E24/100</f>
        <v>50992.908945900024</v>
      </c>
      <c r="M24" s="38">
        <f t="shared" si="3"/>
        <v>72610.198945900018</v>
      </c>
      <c r="N24" s="22" t="e">
        <f t="shared" si="4"/>
        <v>#VALUE!</v>
      </c>
      <c r="O24" s="23">
        <f>J24/L9*100</f>
        <v>1.8863895488302824</v>
      </c>
      <c r="P24" s="20">
        <f>C7*O24/100</f>
        <v>1472.3270428620353</v>
      </c>
    </row>
    <row r="25" spans="1:19" ht="15.75" customHeight="1" x14ac:dyDescent="0.25">
      <c r="A25" s="18">
        <v>16</v>
      </c>
      <c r="B25" s="37">
        <v>16</v>
      </c>
      <c r="C25" s="37" t="s">
        <v>67</v>
      </c>
      <c r="D25" s="37" t="s">
        <v>41</v>
      </c>
      <c r="E25" s="37">
        <v>9.19</v>
      </c>
      <c r="F25" s="37">
        <v>11147.8</v>
      </c>
      <c r="G25" s="42">
        <v>11291.4</v>
      </c>
      <c r="H25" s="38">
        <v>0</v>
      </c>
      <c r="I25" s="39">
        <f t="shared" si="0"/>
        <v>0</v>
      </c>
      <c r="J25" s="39">
        <f t="shared" si="5"/>
        <v>13466.808000000034</v>
      </c>
      <c r="K25" s="40">
        <f t="shared" si="2"/>
        <v>143.60000000000036</v>
      </c>
      <c r="L25" s="38">
        <f>L9*E25/100</f>
        <v>105308.95128378004</v>
      </c>
      <c r="M25" s="38">
        <f>J25+L25+1</f>
        <v>118776.75928378008</v>
      </c>
      <c r="N25" s="22" t="e">
        <f t="shared" si="4"/>
        <v>#VALUE!</v>
      </c>
      <c r="O25" s="23">
        <f>J25/L9*100</f>
        <v>1.1752084130673719</v>
      </c>
      <c r="P25" s="20">
        <f>C7*O25/100</f>
        <v>917.25016639908381</v>
      </c>
    </row>
    <row r="26" spans="1:19"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13521.715181160005</v>
      </c>
      <c r="M26" s="44">
        <f t="shared" ref="M26:M33" si="6">J26+L26</f>
        <v>13521.715181160005</v>
      </c>
      <c r="N26" s="22" t="e">
        <f t="shared" si="4"/>
        <v>#VALUE!</v>
      </c>
      <c r="O26" s="23">
        <f>J26/L9*100</f>
        <v>0</v>
      </c>
      <c r="P26" s="20">
        <f>C7*O26/100</f>
        <v>0</v>
      </c>
    </row>
    <row r="27" spans="1:19" ht="15.75" customHeight="1" x14ac:dyDescent="0.25">
      <c r="A27" s="18">
        <v>18</v>
      </c>
      <c r="B27" s="37">
        <v>18</v>
      </c>
      <c r="C27" s="37" t="s">
        <v>52</v>
      </c>
      <c r="D27" s="37" t="s">
        <v>53</v>
      </c>
      <c r="E27" s="37">
        <v>1.18</v>
      </c>
      <c r="F27" s="37">
        <v>0</v>
      </c>
      <c r="G27" s="37">
        <v>0</v>
      </c>
      <c r="H27" s="38">
        <v>0</v>
      </c>
      <c r="I27" s="39">
        <f t="shared" si="0"/>
        <v>0</v>
      </c>
      <c r="J27" s="39">
        <f t="shared" si="5"/>
        <v>0</v>
      </c>
      <c r="K27" s="38"/>
      <c r="L27" s="38">
        <f>L26</f>
        <v>13521.715181160005</v>
      </c>
      <c r="M27" s="38">
        <f t="shared" si="6"/>
        <v>13521.715181160005</v>
      </c>
      <c r="N27" s="22" t="e">
        <f t="shared" si="4"/>
        <v>#VALUE!</v>
      </c>
      <c r="O27" s="23">
        <f>J27/L9*100</f>
        <v>0</v>
      </c>
      <c r="P27" s="20">
        <f>C7*O27/100</f>
        <v>0</v>
      </c>
    </row>
    <row r="28" spans="1:19" ht="15.75" customHeight="1" x14ac:dyDescent="0.25">
      <c r="A28" s="18">
        <v>19</v>
      </c>
      <c r="B28" s="37">
        <v>19</v>
      </c>
      <c r="C28" s="37" t="s">
        <v>54</v>
      </c>
      <c r="D28" s="37" t="s">
        <v>53</v>
      </c>
      <c r="E28" s="37">
        <v>1.18</v>
      </c>
      <c r="F28" s="37">
        <v>0</v>
      </c>
      <c r="G28" s="37">
        <v>0</v>
      </c>
      <c r="H28" s="38">
        <v>0</v>
      </c>
      <c r="I28" s="39">
        <f t="shared" si="0"/>
        <v>0</v>
      </c>
      <c r="J28" s="39">
        <f t="shared" si="5"/>
        <v>0</v>
      </c>
      <c r="K28" s="38"/>
      <c r="L28" s="38">
        <f>L27</f>
        <v>13521.715181160005</v>
      </c>
      <c r="M28" s="38">
        <f t="shared" si="6"/>
        <v>13521.715181160005</v>
      </c>
      <c r="N28" s="22" t="e">
        <f t="shared" si="4"/>
        <v>#VALUE!</v>
      </c>
      <c r="O28" s="23">
        <f>J28/L9*100</f>
        <v>0</v>
      </c>
      <c r="P28" s="20">
        <f>C7*O28/100</f>
        <v>0</v>
      </c>
    </row>
    <row r="29" spans="1:19" ht="15.75" customHeight="1" x14ac:dyDescent="0.25">
      <c r="A29" s="43">
        <v>20</v>
      </c>
      <c r="B29" s="43">
        <v>20</v>
      </c>
      <c r="C29" s="43" t="s">
        <v>55</v>
      </c>
      <c r="D29" s="43" t="s">
        <v>27</v>
      </c>
      <c r="E29" s="43">
        <v>1.18</v>
      </c>
      <c r="F29" s="43">
        <v>0</v>
      </c>
      <c r="G29" s="43">
        <v>0</v>
      </c>
      <c r="H29" s="44">
        <v>0</v>
      </c>
      <c r="I29" s="45">
        <f t="shared" si="0"/>
        <v>0</v>
      </c>
      <c r="J29" s="45">
        <f t="shared" si="5"/>
        <v>0</v>
      </c>
      <c r="K29" s="44"/>
      <c r="L29" s="44">
        <f>L28</f>
        <v>13521.715181160005</v>
      </c>
      <c r="M29" s="44">
        <f t="shared" si="6"/>
        <v>13521.715181160005</v>
      </c>
      <c r="N29" s="22" t="e">
        <f t="shared" si="4"/>
        <v>#VALUE!</v>
      </c>
      <c r="O29" s="23">
        <f>J29/L9*100</f>
        <v>0</v>
      </c>
      <c r="P29" s="20">
        <f>C7*O29/100</f>
        <v>0</v>
      </c>
    </row>
    <row r="30" spans="1:19"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13521.715181160005</v>
      </c>
      <c r="M30" s="19">
        <f t="shared" si="6"/>
        <v>13521.715181160005</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13521.715181160005</v>
      </c>
      <c r="M31" s="19">
        <f t="shared" si="6"/>
        <v>13521.715181160005</v>
      </c>
      <c r="N31" s="22" t="e">
        <f t="shared" si="4"/>
        <v>#VALUE!</v>
      </c>
      <c r="O31" s="23">
        <f>J31/L9*100</f>
        <v>0</v>
      </c>
      <c r="P31" s="20">
        <f>C7*O31/100</f>
        <v>0</v>
      </c>
    </row>
    <row r="32" spans="1:19"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13521.715181160005</v>
      </c>
      <c r="M32" s="44">
        <f t="shared" si="6"/>
        <v>13521.715181160005</v>
      </c>
      <c r="N32" s="22" t="e">
        <f t="shared" si="4"/>
        <v>#VALUE!</v>
      </c>
      <c r="O32" s="23">
        <f>J32/L9*100</f>
        <v>0</v>
      </c>
      <c r="P32" s="20">
        <f>C7*O32/100</f>
        <v>0</v>
      </c>
    </row>
    <row r="33" spans="1:16" x14ac:dyDescent="0.25">
      <c r="A33" s="43">
        <v>24</v>
      </c>
      <c r="B33" s="43">
        <v>24</v>
      </c>
      <c r="C33" s="43" t="s">
        <v>60</v>
      </c>
      <c r="D33" s="55" t="s">
        <v>64</v>
      </c>
      <c r="E33" s="43">
        <v>1.18</v>
      </c>
      <c r="F33" s="43">
        <v>0</v>
      </c>
      <c r="G33" s="43">
        <v>0</v>
      </c>
      <c r="H33" s="44">
        <v>0</v>
      </c>
      <c r="I33" s="45">
        <f t="shared" si="0"/>
        <v>0</v>
      </c>
      <c r="J33" s="45">
        <f t="shared" si="5"/>
        <v>0</v>
      </c>
      <c r="K33" s="44"/>
      <c r="L33" s="44">
        <f t="shared" si="7"/>
        <v>13521.715181160005</v>
      </c>
      <c r="M33" s="44">
        <f t="shared" si="6"/>
        <v>13521.715181160005</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297583.63379999943</v>
      </c>
      <c r="K34" s="29">
        <f>SUM(K10:K33)</f>
        <v>3173.2099999999937</v>
      </c>
      <c r="L34" s="29">
        <f>SUM(L10:L33)</f>
        <v>1145793.4753933807</v>
      </c>
      <c r="M34" s="29">
        <f>SUM(M10:M33)</f>
        <v>1443395.10919338</v>
      </c>
      <c r="N34" s="5"/>
      <c r="O34" s="2" t="e">
        <f t="shared" ref="O34:O35" si="9">J34/C32*100</f>
        <v>#VALUE!</v>
      </c>
    </row>
    <row r="35" spans="1:16" ht="30" hidden="1" x14ac:dyDescent="0.25">
      <c r="A35" s="31" t="s">
        <v>61</v>
      </c>
      <c r="C35" s="65" t="s">
        <v>62</v>
      </c>
      <c r="D35" s="63"/>
      <c r="E35" s="63"/>
      <c r="F35" s="63"/>
      <c r="G35" s="63"/>
      <c r="H35" s="63"/>
      <c r="I35" s="63"/>
      <c r="J35" s="63"/>
      <c r="K35" s="63"/>
      <c r="L35" s="63"/>
      <c r="M35" s="66"/>
      <c r="N35" s="31"/>
      <c r="O35" s="2" t="e">
        <f t="shared" si="9"/>
        <v>#VALUE!</v>
      </c>
    </row>
    <row r="36" spans="1:16" x14ac:dyDescent="0.25">
      <c r="H36" s="5"/>
      <c r="J36" s="32"/>
      <c r="L36" s="32"/>
      <c r="M36" s="69">
        <f>M27+M28</f>
        <v>27043.43036232001</v>
      </c>
      <c r="O36" s="2"/>
    </row>
    <row r="37" spans="1:16" ht="37.5" hidden="1" customHeight="1" x14ac:dyDescent="0.25">
      <c r="H37" s="5"/>
      <c r="K37" s="34">
        <f>J34+L34</f>
        <v>1443377.1091933802</v>
      </c>
      <c r="L37" s="34"/>
      <c r="O37" s="2"/>
    </row>
    <row r="38" spans="1:16" ht="15.75" customHeight="1" x14ac:dyDescent="0.25">
      <c r="B38" s="67" t="s">
        <v>66</v>
      </c>
      <c r="C38" s="68"/>
      <c r="D38" s="68"/>
      <c r="E38" s="68"/>
      <c r="F38" s="68"/>
      <c r="G38" s="68"/>
      <c r="H38" s="68"/>
      <c r="I38" s="68"/>
      <c r="J38" s="68"/>
      <c r="K38" s="68"/>
      <c r="L38" s="68"/>
      <c r="M38" s="68"/>
      <c r="O38" s="2"/>
    </row>
    <row r="39" spans="1:16" ht="33.75" customHeight="1" x14ac:dyDescent="0.25">
      <c r="B39" s="68"/>
      <c r="C39" s="68"/>
      <c r="D39" s="68"/>
      <c r="E39" s="68"/>
      <c r="F39" s="68"/>
      <c r="G39" s="68"/>
      <c r="H39" s="68"/>
      <c r="I39" s="68"/>
      <c r="J39" s="68"/>
      <c r="K39" s="68"/>
      <c r="L39" s="68"/>
      <c r="M39" s="68"/>
      <c r="O39" s="2"/>
    </row>
    <row r="40" spans="1:16" ht="15.75" customHeight="1" x14ac:dyDescent="0.25">
      <c r="B40" s="68"/>
      <c r="C40" s="68"/>
      <c r="D40" s="68"/>
      <c r="E40" s="68"/>
      <c r="F40" s="68"/>
      <c r="G40" s="68"/>
      <c r="H40" s="68"/>
      <c r="I40" s="68"/>
      <c r="J40" s="68"/>
      <c r="K40" s="68"/>
      <c r="L40" s="68"/>
      <c r="M40" s="68"/>
      <c r="O40" s="2"/>
    </row>
    <row r="41" spans="1:16" ht="15.75" customHeight="1" x14ac:dyDescent="0.25">
      <c r="B41" s="68"/>
      <c r="C41" s="68"/>
      <c r="D41" s="68"/>
      <c r="E41" s="68"/>
      <c r="F41" s="68"/>
      <c r="G41" s="68"/>
      <c r="H41" s="68"/>
      <c r="I41" s="68"/>
      <c r="J41" s="68"/>
      <c r="K41" s="68"/>
      <c r="L41" s="68"/>
      <c r="M41" s="68"/>
      <c r="O41" s="2"/>
    </row>
    <row r="42" spans="1:16" ht="64.5" customHeight="1" x14ac:dyDescent="0.25">
      <c r="B42" s="68"/>
      <c r="C42" s="68"/>
      <c r="D42" s="68"/>
      <c r="E42" s="68"/>
      <c r="F42" s="68"/>
      <c r="G42" s="68"/>
      <c r="H42" s="68"/>
      <c r="I42" s="68"/>
      <c r="J42" s="68"/>
      <c r="K42" s="68"/>
      <c r="L42" s="68"/>
      <c r="M42" s="68"/>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2" t="s">
        <v>0</v>
      </c>
      <c r="B1" s="63"/>
      <c r="C1" s="63"/>
      <c r="D1" s="63"/>
      <c r="E1" s="63"/>
      <c r="F1" s="63"/>
      <c r="G1" s="63"/>
      <c r="H1" s="63"/>
      <c r="I1" s="63"/>
      <c r="J1" s="63"/>
      <c r="K1" s="63"/>
      <c r="L1" s="63"/>
      <c r="M1" s="64"/>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5" t="s">
        <v>62</v>
      </c>
      <c r="D35" s="63"/>
      <c r="E35" s="63"/>
      <c r="F35" s="63"/>
      <c r="G35" s="63"/>
      <c r="H35" s="63"/>
      <c r="I35" s="63"/>
      <c r="J35" s="63"/>
      <c r="K35" s="63"/>
      <c r="L35" s="63"/>
      <c r="M35" s="66"/>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2026-03-05T00:19:05Z</dcterms:modified>
</cp:coreProperties>
</file>