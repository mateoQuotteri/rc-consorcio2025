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730"/>
  <workbookPr/>
  <mc:AlternateContent xmlns:mc="http://schemas.openxmlformats.org/markup-compatibility/2006">
    <mc:Choice Requires="x15">
      <x15ac:absPath xmlns:x15ac="http://schemas.microsoft.com/office/spreadsheetml/2010/11/ac" url="D:\OneDrive\Desktop\RC CONSORCIO 2025\FLORES DE ESTRADA\Mayo\"/>
    </mc:Choice>
  </mc:AlternateContent>
  <xr:revisionPtr revIDLastSave="0" documentId="13_ncr:1_{86A27130-77C1-4323-87DA-2113D9E96FB0}" xr6:coauthVersionLast="47" xr6:coauthVersionMax="47" xr10:uidLastSave="{00000000-0000-0000-0000-000000000000}"/>
  <bookViews>
    <workbookView xWindow="-120" yWindow="-120" windowWidth="20730" windowHeight="11160" xr2:uid="{00000000-000D-0000-FFFF-FFFF00000000}"/>
  </bookViews>
  <sheets>
    <sheet name="Hoja1 (2)" sheetId="1" r:id="rId1"/>
    <sheet name="Hoja1" sheetId="2" r:id="rId2"/>
    <sheet name="Hoja2" sheetId="3" r:id="rId3"/>
  </sheets>
  <definedNames>
    <definedName name="_xlnm.Print_Area" localSheetId="0">'Hoja1 (2)'!$A$1:$M$44</definedName>
  </definedNames>
  <calcPr calcId="181029"/>
  <extLst>
    <ext uri="GoogleSheetsCustomDataVersion1">
      <go:sheetsCustomData xmlns:go="http://customooxmlschemas.google.com/" r:id="" roundtripDataSignature="AMtx7miNZ3Aa6Oth2NTEJUZDCOk7UNfDow=="/>
    </ext>
  </extLst>
</workbook>
</file>

<file path=xl/calcChain.xml><?xml version="1.0" encoding="utf-8"?>
<calcChain xmlns="http://schemas.openxmlformats.org/spreadsheetml/2006/main">
  <c r="G20" i="1" l="1"/>
  <c r="C8" i="1" l="1"/>
  <c r="G22" i="1"/>
  <c r="S22" i="1" s="1"/>
  <c r="S21" i="1"/>
  <c r="G15" i="1" l="1"/>
  <c r="G11" i="1" l="1"/>
  <c r="G12" i="1" l="1"/>
  <c r="J12" i="1" l="1"/>
  <c r="J11" i="1"/>
  <c r="J26" i="1"/>
  <c r="J27" i="1"/>
  <c r="J28" i="1"/>
  <c r="J29" i="1"/>
  <c r="J30" i="1"/>
  <c r="J31" i="1"/>
  <c r="J32" i="1"/>
  <c r="J33" i="1"/>
  <c r="J13" i="1"/>
  <c r="J14" i="1"/>
  <c r="J15" i="1"/>
  <c r="J16" i="1"/>
  <c r="J17" i="1"/>
  <c r="J18" i="1"/>
  <c r="J19" i="1"/>
  <c r="J20" i="1"/>
  <c r="J21" i="1"/>
  <c r="J22" i="1"/>
  <c r="J23" i="1"/>
  <c r="J24" i="1"/>
  <c r="J25" i="1"/>
  <c r="J10" i="1"/>
  <c r="J34" i="1" l="1"/>
  <c r="K10" i="1"/>
  <c r="L9" i="1" l="1"/>
  <c r="L26" i="1" s="1"/>
  <c r="N12" i="1"/>
  <c r="K12" i="1"/>
  <c r="O35" i="2"/>
  <c r="H34" i="2"/>
  <c r="O33" i="2"/>
  <c r="P33" i="2" s="1"/>
  <c r="M33" i="2" s="1"/>
  <c r="N33" i="2"/>
  <c r="I33" i="2"/>
  <c r="P32" i="2"/>
  <c r="M32" i="2" s="1"/>
  <c r="O32" i="2"/>
  <c r="N32" i="2"/>
  <c r="I32" i="2"/>
  <c r="P31" i="2"/>
  <c r="O31" i="2"/>
  <c r="N31" i="2"/>
  <c r="M31" i="2"/>
  <c r="I31" i="2"/>
  <c r="O30" i="2"/>
  <c r="P30" i="2" s="1"/>
  <c r="M30" i="2" s="1"/>
  <c r="N30" i="2"/>
  <c r="I30" i="2"/>
  <c r="O29" i="2"/>
  <c r="P29" i="2" s="1"/>
  <c r="M29" i="2" s="1"/>
  <c r="N29" i="2"/>
  <c r="I29" i="2"/>
  <c r="P28" i="2"/>
  <c r="M28" i="2" s="1"/>
  <c r="O28" i="2"/>
  <c r="N28" i="2"/>
  <c r="I28" i="2"/>
  <c r="P27" i="2"/>
  <c r="O27" i="2"/>
  <c r="N27" i="2"/>
  <c r="M27" i="2"/>
  <c r="I27" i="2"/>
  <c r="O26" i="2"/>
  <c r="P26" i="2" s="1"/>
  <c r="M26" i="2" s="1"/>
  <c r="N26" i="2"/>
  <c r="I26" i="2"/>
  <c r="O25" i="2"/>
  <c r="P25" i="2" s="1"/>
  <c r="L25" i="2"/>
  <c r="K25" i="2"/>
  <c r="J25" i="2"/>
  <c r="N25" i="2" s="1"/>
  <c r="I25" i="2"/>
  <c r="L24" i="2"/>
  <c r="K24" i="2"/>
  <c r="J24" i="2"/>
  <c r="N24" i="2" s="1"/>
  <c r="I24" i="2"/>
  <c r="L23" i="2"/>
  <c r="K23" i="2"/>
  <c r="J23" i="2"/>
  <c r="N23" i="2" s="1"/>
  <c r="I23" i="2"/>
  <c r="O22" i="2"/>
  <c r="P22" i="2" s="1"/>
  <c r="L22" i="2"/>
  <c r="K22" i="2"/>
  <c r="J22" i="2"/>
  <c r="N22" i="2" s="1"/>
  <c r="I22" i="2"/>
  <c r="O21" i="2"/>
  <c r="P21" i="2" s="1"/>
  <c r="L21" i="2"/>
  <c r="K21" i="2"/>
  <c r="J21" i="2"/>
  <c r="N21" i="2" s="1"/>
  <c r="I21" i="2"/>
  <c r="L20" i="2"/>
  <c r="K20" i="2"/>
  <c r="J20" i="2"/>
  <c r="N20" i="2" s="1"/>
  <c r="I20" i="2"/>
  <c r="L19" i="2"/>
  <c r="K19" i="2"/>
  <c r="J19" i="2"/>
  <c r="N19" i="2" s="1"/>
  <c r="I19" i="2"/>
  <c r="L18" i="2"/>
  <c r="K18" i="2"/>
  <c r="J18" i="2"/>
  <c r="N18" i="2" s="1"/>
  <c r="I18" i="2"/>
  <c r="O17" i="2"/>
  <c r="P17" i="2" s="1"/>
  <c r="L17" i="2"/>
  <c r="K17" i="2"/>
  <c r="J17" i="2"/>
  <c r="N17" i="2" s="1"/>
  <c r="I17" i="2"/>
  <c r="L16" i="2"/>
  <c r="K16" i="2"/>
  <c r="J16" i="2"/>
  <c r="N16" i="2" s="1"/>
  <c r="I16" i="2"/>
  <c r="L15" i="2"/>
  <c r="K15" i="2"/>
  <c r="J15" i="2"/>
  <c r="N15" i="2" s="1"/>
  <c r="I15" i="2"/>
  <c r="L14" i="2"/>
  <c r="K14" i="2"/>
  <c r="J14" i="2"/>
  <c r="N14" i="2" s="1"/>
  <c r="I14" i="2"/>
  <c r="O13" i="2"/>
  <c r="P13" i="2" s="1"/>
  <c r="L13" i="2"/>
  <c r="K13" i="2"/>
  <c r="J13" i="2"/>
  <c r="N13" i="2" s="1"/>
  <c r="I13" i="2"/>
  <c r="L12" i="2"/>
  <c r="K12" i="2"/>
  <c r="J12" i="2"/>
  <c r="N12" i="2" s="1"/>
  <c r="I12" i="2"/>
  <c r="R11" i="2"/>
  <c r="O11" i="2"/>
  <c r="P11" i="2" s="1"/>
  <c r="K11" i="2"/>
  <c r="J11" i="2"/>
  <c r="N11" i="2" s="1"/>
  <c r="I11" i="2"/>
  <c r="R10" i="2"/>
  <c r="L10" i="2"/>
  <c r="K10" i="2"/>
  <c r="J10" i="2"/>
  <c r="N10" i="2" s="1"/>
  <c r="I10" i="2"/>
  <c r="O35" i="1"/>
  <c r="H34" i="1"/>
  <c r="N33" i="1"/>
  <c r="I33" i="1"/>
  <c r="N32" i="1"/>
  <c r="I32" i="1"/>
  <c r="N31" i="1"/>
  <c r="I31" i="1"/>
  <c r="N30" i="1"/>
  <c r="I30" i="1"/>
  <c r="N29" i="1"/>
  <c r="I29" i="1"/>
  <c r="N28" i="1"/>
  <c r="I28" i="1"/>
  <c r="N27" i="1"/>
  <c r="I27" i="1"/>
  <c r="N26" i="1"/>
  <c r="I26" i="1"/>
  <c r="K25" i="1"/>
  <c r="N25" i="1"/>
  <c r="I25" i="1"/>
  <c r="K24" i="1"/>
  <c r="N24" i="1"/>
  <c r="I24" i="1"/>
  <c r="K23" i="1"/>
  <c r="N23" i="1"/>
  <c r="I23" i="1"/>
  <c r="K22" i="1"/>
  <c r="N22" i="1"/>
  <c r="I22" i="1"/>
  <c r="K21" i="1"/>
  <c r="N21" i="1"/>
  <c r="I21" i="1"/>
  <c r="K20" i="1"/>
  <c r="N20" i="1"/>
  <c r="I20" i="1"/>
  <c r="K19" i="1"/>
  <c r="N19" i="1"/>
  <c r="I19" i="1"/>
  <c r="K18" i="1"/>
  <c r="N18" i="1"/>
  <c r="I18" i="1"/>
  <c r="K17" i="1"/>
  <c r="N17" i="1"/>
  <c r="I17" i="1"/>
  <c r="K16" i="1"/>
  <c r="N16" i="1"/>
  <c r="I16" i="1"/>
  <c r="K15" i="1"/>
  <c r="N15" i="1"/>
  <c r="I15" i="1"/>
  <c r="K14" i="1"/>
  <c r="N14" i="1"/>
  <c r="I14" i="1"/>
  <c r="K13" i="1"/>
  <c r="N13" i="1"/>
  <c r="I13" i="1"/>
  <c r="I12" i="1"/>
  <c r="R11" i="1"/>
  <c r="K11" i="1"/>
  <c r="N11" i="1"/>
  <c r="I11" i="1"/>
  <c r="R10" i="1"/>
  <c r="N10" i="1"/>
  <c r="I10" i="1"/>
  <c r="O12" i="2" l="1"/>
  <c r="P12" i="2" s="1"/>
  <c r="O16" i="2"/>
  <c r="P16" i="2" s="1"/>
  <c r="O20" i="2"/>
  <c r="P20" i="2" s="1"/>
  <c r="O24" i="2"/>
  <c r="P24" i="2" s="1"/>
  <c r="I34" i="1"/>
  <c r="L34" i="2"/>
  <c r="O14" i="2"/>
  <c r="P14" i="2" s="1"/>
  <c r="M14" i="2" s="1"/>
  <c r="O18" i="2"/>
  <c r="P18" i="2" s="1"/>
  <c r="I34" i="2"/>
  <c r="O10" i="2"/>
  <c r="P10" i="2" s="1"/>
  <c r="O15" i="2"/>
  <c r="P15" i="2" s="1"/>
  <c r="M15" i="2" s="1"/>
  <c r="O19" i="2"/>
  <c r="P19" i="2" s="1"/>
  <c r="O23" i="2"/>
  <c r="P23" i="2" s="1"/>
  <c r="J34" i="2"/>
  <c r="O34" i="2" s="1"/>
  <c r="L10" i="1"/>
  <c r="M10" i="1" s="1"/>
  <c r="L14" i="1"/>
  <c r="M14" i="1" s="1"/>
  <c r="L18" i="1"/>
  <c r="M18" i="1" s="1"/>
  <c r="L22" i="1"/>
  <c r="M22" i="1" s="1"/>
  <c r="L27" i="1"/>
  <c r="L11" i="1"/>
  <c r="M11" i="1" s="1"/>
  <c r="L15" i="1"/>
  <c r="M15" i="1" s="1"/>
  <c r="L19" i="1"/>
  <c r="M19" i="1" s="1"/>
  <c r="L23" i="1"/>
  <c r="M23" i="1" s="1"/>
  <c r="L13" i="1"/>
  <c r="M13" i="1" s="1"/>
  <c r="L17" i="1"/>
  <c r="M17" i="1" s="1"/>
  <c r="L21" i="1"/>
  <c r="M21" i="1" s="1"/>
  <c r="L25" i="1"/>
  <c r="M25" i="1" s="1"/>
  <c r="L12" i="1"/>
  <c r="M12" i="1" s="1"/>
  <c r="L16" i="1"/>
  <c r="M16" i="1" s="1"/>
  <c r="L20" i="1"/>
  <c r="M20" i="1" s="1"/>
  <c r="L24" i="1"/>
  <c r="M24" i="1" s="1"/>
  <c r="K34" i="1"/>
  <c r="M10" i="2"/>
  <c r="M11" i="2"/>
  <c r="M12" i="2"/>
  <c r="M13" i="2"/>
  <c r="M16" i="2"/>
  <c r="M17" i="2"/>
  <c r="M18" i="2"/>
  <c r="M19" i="2"/>
  <c r="M20" i="2"/>
  <c r="M21" i="2"/>
  <c r="M22" i="2"/>
  <c r="M23" i="2"/>
  <c r="M24" i="2"/>
  <c r="M25" i="2"/>
  <c r="M26" i="1" l="1"/>
  <c r="L28" i="1"/>
  <c r="M27" i="1"/>
  <c r="O34" i="1"/>
  <c r="M34" i="2"/>
  <c r="M28" i="1" l="1"/>
  <c r="L29" i="1"/>
  <c r="O33" i="1"/>
  <c r="P33" i="1" s="1"/>
  <c r="O32" i="1"/>
  <c r="P32" i="1" s="1"/>
  <c r="O31" i="1"/>
  <c r="P31" i="1" s="1"/>
  <c r="O30" i="1"/>
  <c r="P30" i="1" s="1"/>
  <c r="O29" i="1"/>
  <c r="P29" i="1" s="1"/>
  <c r="O28" i="1"/>
  <c r="P28" i="1" s="1"/>
  <c r="O27" i="1"/>
  <c r="P27" i="1" s="1"/>
  <c r="O26" i="1"/>
  <c r="P26" i="1" s="1"/>
  <c r="O24" i="1"/>
  <c r="P24" i="1" s="1"/>
  <c r="O13" i="1"/>
  <c r="P13" i="1" s="1"/>
  <c r="O10" i="1"/>
  <c r="P10" i="1" s="1"/>
  <c r="O17" i="1"/>
  <c r="P17" i="1" s="1"/>
  <c r="O18" i="1"/>
  <c r="P18" i="1" s="1"/>
  <c r="O12" i="1"/>
  <c r="P12" i="1" s="1"/>
  <c r="O15" i="1"/>
  <c r="P15" i="1" s="1"/>
  <c r="O23" i="1"/>
  <c r="P23" i="1" s="1"/>
  <c r="O22" i="1"/>
  <c r="P22" i="1" s="1"/>
  <c r="O20" i="1"/>
  <c r="P20" i="1" s="1"/>
  <c r="O21" i="1"/>
  <c r="P21" i="1" s="1"/>
  <c r="O19" i="1"/>
  <c r="P19" i="1" s="1"/>
  <c r="O16" i="1"/>
  <c r="P16" i="1" s="1"/>
  <c r="O14" i="1"/>
  <c r="P14" i="1" s="1"/>
  <c r="O25" i="1"/>
  <c r="P25" i="1" s="1"/>
  <c r="L30" i="1" l="1"/>
  <c r="M29" i="1"/>
  <c r="O11" i="1"/>
  <c r="P11" i="1" s="1"/>
  <c r="L31" i="1" l="1"/>
  <c r="M30" i="1"/>
  <c r="M31" i="1" l="1"/>
  <c r="L32" i="1"/>
  <c r="L33" i="1" l="1"/>
  <c r="M32" i="1"/>
  <c r="M33" i="1" l="1"/>
  <c r="M34" i="1" s="1"/>
  <c r="L34" i="1"/>
  <c r="K37" i="1" s="1"/>
</calcChain>
</file>

<file path=xl/sharedStrings.xml><?xml version="1.0" encoding="utf-8"?>
<sst xmlns="http://schemas.openxmlformats.org/spreadsheetml/2006/main" count="161" uniqueCount="68">
  <si>
    <t>EDESUR - VENCIMIENTO 6/11</t>
  </si>
  <si>
    <t>Domicilio:</t>
  </si>
  <si>
    <t>FLORES DE ESTRADA 5065</t>
  </si>
  <si>
    <t>Localidad:</t>
  </si>
  <si>
    <t>Lanus</t>
  </si>
  <si>
    <t>CUIT:</t>
  </si>
  <si>
    <t>0-000000-0</t>
  </si>
  <si>
    <t>C.P.:</t>
  </si>
  <si>
    <t>B1824</t>
  </si>
  <si>
    <t xml:space="preserve">EDESUR </t>
  </si>
  <si>
    <t>U.F.</t>
  </si>
  <si>
    <t>PISO - DEPTO</t>
  </si>
  <si>
    <t>PROPIETARIOS</t>
  </si>
  <si>
    <t>%</t>
  </si>
  <si>
    <t>CONSUMO ANT.</t>
  </si>
  <si>
    <t>CONSUMO ACTUAL</t>
  </si>
  <si>
    <t>DEUDA</t>
  </si>
  <si>
    <t>INTERES POR MORA 7%</t>
  </si>
  <si>
    <t>KWH</t>
  </si>
  <si>
    <t>EDESUR FINAL</t>
  </si>
  <si>
    <t>% CONSUMO REAL</t>
  </si>
  <si>
    <t>PRORRATEO FALTANTE</t>
  </si>
  <si>
    <t>1 -A</t>
  </si>
  <si>
    <t>NICOLAU, IGNACIO</t>
  </si>
  <si>
    <t>1-B</t>
  </si>
  <si>
    <t>STARK, CARLOS L. FRANCIS</t>
  </si>
  <si>
    <t>1-C</t>
  </si>
  <si>
    <t>BOSSIO, GERARDO</t>
  </si>
  <si>
    <t>2 -A</t>
  </si>
  <si>
    <t>BEARZOTTI, EDGARDO OSCAR</t>
  </si>
  <si>
    <t>2-B</t>
  </si>
  <si>
    <t>ALONSO,GUSTAVO OSVALDO</t>
  </si>
  <si>
    <t>2-C</t>
  </si>
  <si>
    <t>PUGLIESE, FRANCISCO</t>
  </si>
  <si>
    <t>3-A</t>
  </si>
  <si>
    <t>NIEVA, DANIELA ANTONELA</t>
  </si>
  <si>
    <t>3-B</t>
  </si>
  <si>
    <t>BALBIS, MARISA</t>
  </si>
  <si>
    <t>3-C</t>
  </si>
  <si>
    <t>NIEVA, PEDRO DANIEL</t>
  </si>
  <si>
    <t>4 -A</t>
  </si>
  <si>
    <t xml:space="preserve">MOSQUERA FERNANDO </t>
  </si>
  <si>
    <t>4-B</t>
  </si>
  <si>
    <t>4-C</t>
  </si>
  <si>
    <t>URSO, MATIAS EZEQUIEL</t>
  </si>
  <si>
    <t>6 -A</t>
  </si>
  <si>
    <t>BRESCIA, MELODY ELIZABETH</t>
  </si>
  <si>
    <t>6-B</t>
  </si>
  <si>
    <t>SORIA, JUAN CRUZ</t>
  </si>
  <si>
    <t>7-A</t>
  </si>
  <si>
    <t>7-C</t>
  </si>
  <si>
    <t>0-COCHO 1</t>
  </si>
  <si>
    <t>0-COCHO 2</t>
  </si>
  <si>
    <t>BELON, SERGIO</t>
  </si>
  <si>
    <t>0-COCHO 3</t>
  </si>
  <si>
    <t>0-COCHO 4</t>
  </si>
  <si>
    <t>0-COCHO 5</t>
  </si>
  <si>
    <t>0-COCHO 6</t>
  </si>
  <si>
    <t>0-COCHO 7</t>
  </si>
  <si>
    <t>RUDDOCK</t>
  </si>
  <si>
    <t>0-COCHO 8</t>
  </si>
  <si>
    <t>NOTA:</t>
  </si>
  <si>
    <t>Señores propietarios e inquilinos; EDESUR vence en 10/08 por favor abonar facturas atrasadas. Debido al retraso de varias unidades funcionales, no se junta el monto para abonar dentro de la fecha estipulada la boleta, lo que trae intereses por mora. LA ADMINISTRACION.-</t>
  </si>
  <si>
    <t>ALCOLEAS, CRISTIAN</t>
  </si>
  <si>
    <t>PAWLAK, MARCOS</t>
  </si>
  <si>
    <t>EDESUR - VENCIMIENTO 14/05</t>
  </si>
  <si>
    <t>Debido al incumplimiento por parte de EDESUR en el pago comprometido para los primeros días del mes, como se había acordado en años anteriores, y ante la necesidad de llegar a fin de mes sin contar con esos fondos en tiempo y forma, nos vimos en la obligación de solicitar un plan de pagos. Esta situación resalta la importancia de prever el gasto ordinario con mayor responsabilidad, a fin de evitar que este tipo de inconvenientes se repitan en el futuro. Se informa que quienes no abonen en tiempo y forma serán desconectados del servicio.</t>
  </si>
  <si>
    <t>7-B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</si>
</sst>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 #,##0.00_-;\-&quot;$&quot;\ * #,##0.00_-;_-&quot;$&quot;\ * &quot;-&quot;??_-;_-@_-"/>
    <numFmt numFmtId="165" formatCode="_-&quot;$&quot;\ * #,##0_-;\-&quot;$&quot;\ * #,##0_-;_-&quot;$&quot;\ * &quot;-&quot;??_-;_-@"/>
    <numFmt numFmtId="166" formatCode="_-&quot;$&quot;\ * #,##0.00_-;\-&quot;$&quot;\ * #,##0.00_-;_-&quot;$&quot;\ * &quot;-&quot;??_-;_-@"/>
    <numFmt numFmtId="167" formatCode="0.00;[Red]0.00"/>
  </numFmts>
  <fonts count="13" x14ac:knownFonts="1">
    <font>
      <sz val="11"/>
      <color theme="1"/>
      <name val="Calibri"/>
      <scheme val="minor"/>
    </font>
    <font>
      <sz val="11"/>
      <color theme="1"/>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11"/>
      <color theme="1"/>
      <name val="Calibri"/>
      <family val="2"/>
      <scheme val="minor"/>
    </font>
    <font>
      <b/>
      <sz val="9"/>
      <color theme="1"/>
      <name val="Calibri"/>
      <family val="2"/>
    </font>
    <font>
      <sz val="11"/>
      <color rgb="FFFF0000"/>
      <name val="Calibri"/>
      <family val="2"/>
    </font>
    <font>
      <sz val="8"/>
      <color theme="1"/>
      <name val="Calibri"/>
      <family val="2"/>
      <scheme val="minor"/>
    </font>
    <font>
      <sz val="10"/>
      <color theme="1"/>
      <name val="Calibri"/>
      <family val="2"/>
      <scheme val="minor"/>
    </font>
    <font>
      <b/>
      <sz val="11"/>
      <color theme="1"/>
      <name val="Calibri"/>
      <family val="2"/>
      <scheme val="minor"/>
    </font>
    <font>
      <b/>
      <sz val="10"/>
      <name val="Calibri"/>
      <family val="2"/>
    </font>
  </fonts>
  <fills count="10">
    <fill>
      <patternFill patternType="none"/>
    </fill>
    <fill>
      <patternFill patternType="gray125"/>
    </fill>
    <fill>
      <patternFill patternType="solid">
        <fgColor rgb="FF9CC2E5"/>
        <bgColor rgb="FF9CC2E5"/>
      </patternFill>
    </fill>
    <fill>
      <patternFill patternType="solid">
        <fgColor theme="0"/>
        <bgColor theme="0"/>
      </patternFill>
    </fill>
    <fill>
      <patternFill patternType="solid">
        <fgColor rgb="FFF4B083"/>
        <bgColor rgb="FFF4B083"/>
      </patternFill>
    </fill>
    <fill>
      <patternFill patternType="solid">
        <fgColor theme="0"/>
        <bgColor indexed="64"/>
      </patternFill>
    </fill>
    <fill>
      <patternFill patternType="solid">
        <fgColor rgb="FFFFFF00"/>
        <bgColor indexed="64"/>
      </patternFill>
    </fill>
    <fill>
      <patternFill patternType="solid">
        <fgColor theme="2"/>
        <bgColor indexed="64"/>
      </patternFill>
    </fill>
    <fill>
      <patternFill patternType="solid">
        <fgColor rgb="FFFF0000"/>
        <bgColor indexed="64"/>
      </patternFill>
    </fill>
    <fill>
      <patternFill patternType="solid">
        <fgColor rgb="FFFF0000"/>
        <bgColor theme="0"/>
      </patternFill>
    </fill>
  </fills>
  <borders count="15">
    <border>
      <left/>
      <right/>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right/>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2" fillId="2" borderId="4" xfId="0" applyFont="1" applyFill="1" applyBorder="1" applyAlignment="1">
      <alignment horizontal="center" vertical="center" wrapText="1"/>
    </xf>
    <xf numFmtId="0" fontId="4" fillId="0" borderId="0" xfId="0" applyFont="1" applyAlignment="1">
      <alignment horizontal="center"/>
    </xf>
    <xf numFmtId="0" fontId="4" fillId="0" borderId="0" xfId="0" applyFont="1"/>
    <xf numFmtId="0" fontId="4" fillId="0" borderId="5" xfId="0" applyFont="1" applyBorder="1"/>
    <xf numFmtId="165" fontId="4" fillId="0" borderId="0" xfId="0" applyNumberFormat="1" applyFont="1"/>
    <xf numFmtId="0" fontId="4" fillId="0" borderId="6" xfId="0" applyFont="1" applyBorder="1"/>
    <xf numFmtId="0" fontId="5" fillId="0" borderId="5" xfId="0" applyFont="1" applyBorder="1"/>
    <xf numFmtId="0" fontId="5" fillId="0" borderId="7" xfId="0" applyFont="1" applyBorder="1"/>
    <xf numFmtId="166" fontId="5" fillId="0" borderId="8" xfId="0" applyNumberFormat="1" applyFont="1" applyBorder="1"/>
    <xf numFmtId="0" fontId="4" fillId="0" borderId="8" xfId="0" applyFont="1" applyBorder="1"/>
    <xf numFmtId="165" fontId="4" fillId="0" borderId="8" xfId="0" applyNumberFormat="1" applyFont="1" applyBorder="1"/>
    <xf numFmtId="0" fontId="4" fillId="0" borderId="9" xfId="0" applyFont="1" applyBorder="1"/>
    <xf numFmtId="0" fontId="5" fillId="2" borderId="10" xfId="0" applyFont="1" applyFill="1" applyBorder="1" applyAlignment="1">
      <alignment horizontal="center" vertical="center"/>
    </xf>
    <xf numFmtId="0" fontId="5" fillId="2" borderId="10" xfId="0" applyFont="1" applyFill="1" applyBorder="1" applyAlignment="1">
      <alignment horizontal="center" vertical="center" wrapText="1"/>
    </xf>
    <xf numFmtId="165" fontId="5" fillId="2" borderId="10" xfId="0" applyNumberFormat="1" applyFont="1" applyFill="1" applyBorder="1" applyAlignment="1">
      <alignment horizontal="center" vertical="center" wrapText="1"/>
    </xf>
    <xf numFmtId="166" fontId="5" fillId="2" borderId="10" xfId="0" applyNumberFormat="1" applyFont="1" applyFill="1" applyBorder="1" applyAlignment="1">
      <alignment horizontal="center" vertical="center" wrapText="1"/>
    </xf>
    <xf numFmtId="0" fontId="5" fillId="2" borderId="4" xfId="0" applyFont="1" applyFill="1" applyBorder="1" applyAlignment="1">
      <alignment horizontal="center" vertical="center" wrapText="1"/>
    </xf>
    <xf numFmtId="0" fontId="4" fillId="0" borderId="10" xfId="0" applyFont="1" applyBorder="1"/>
    <xf numFmtId="165" fontId="4" fillId="0" borderId="10" xfId="0" applyNumberFormat="1" applyFont="1" applyBorder="1"/>
    <xf numFmtId="166" fontId="4" fillId="0" borderId="10" xfId="0" applyNumberFormat="1" applyFont="1" applyBorder="1"/>
    <xf numFmtId="2" fontId="4" fillId="0" borderId="10" xfId="0" applyNumberFormat="1" applyFont="1" applyBorder="1"/>
    <xf numFmtId="167" fontId="4" fillId="0" borderId="0" xfId="0" applyNumberFormat="1" applyFont="1"/>
    <xf numFmtId="2" fontId="4" fillId="0" borderId="10" xfId="0" applyNumberFormat="1" applyFont="1" applyBorder="1" applyAlignment="1">
      <alignment horizontal="center"/>
    </xf>
    <xf numFmtId="9" fontId="4" fillId="0" borderId="0" xfId="0" applyNumberFormat="1" applyFont="1"/>
    <xf numFmtId="0" fontId="6" fillId="0" borderId="0" xfId="0" applyFont="1"/>
    <xf numFmtId="165" fontId="4" fillId="3" borderId="10" xfId="0" applyNumberFormat="1" applyFont="1" applyFill="1" applyBorder="1"/>
    <xf numFmtId="0" fontId="4" fillId="0" borderId="11" xfId="0" applyFont="1" applyBorder="1"/>
    <xf numFmtId="0" fontId="4" fillId="0" borderId="12" xfId="0" applyFont="1" applyBorder="1"/>
    <xf numFmtId="165" fontId="4" fillId="0" borderId="12" xfId="0" applyNumberFormat="1" applyFont="1" applyBorder="1"/>
    <xf numFmtId="166" fontId="4" fillId="0" borderId="12" xfId="0" applyNumberFormat="1" applyFont="1" applyBorder="1"/>
    <xf numFmtId="0" fontId="5" fillId="4" borderId="4" xfId="0" applyFont="1" applyFill="1" applyBorder="1" applyAlignment="1">
      <alignment horizontal="left" vertical="center" wrapText="1"/>
    </xf>
    <xf numFmtId="166" fontId="0" fillId="0" borderId="0" xfId="0" applyNumberFormat="1"/>
    <xf numFmtId="165" fontId="0" fillId="0" borderId="0" xfId="0" applyNumberFormat="1"/>
    <xf numFmtId="164" fontId="0" fillId="0" borderId="0" xfId="0" applyNumberFormat="1"/>
    <xf numFmtId="0" fontId="7" fillId="2" borderId="10" xfId="0" applyFont="1" applyFill="1" applyBorder="1" applyAlignment="1">
      <alignment horizontal="center" vertical="center" wrapText="1"/>
    </xf>
    <xf numFmtId="164" fontId="9" fillId="0" borderId="0" xfId="0" applyNumberFormat="1" applyFont="1"/>
    <xf numFmtId="0" fontId="4" fillId="6" borderId="10" xfId="0" applyFont="1" applyFill="1" applyBorder="1"/>
    <xf numFmtId="165" fontId="4" fillId="6" borderId="10" xfId="0" applyNumberFormat="1" applyFont="1" applyFill="1" applyBorder="1"/>
    <xf numFmtId="166" fontId="4" fillId="6" borderId="10" xfId="0" applyNumberFormat="1" applyFont="1" applyFill="1" applyBorder="1"/>
    <xf numFmtId="2" fontId="4" fillId="6" borderId="10" xfId="0" applyNumberFormat="1" applyFont="1" applyFill="1" applyBorder="1"/>
    <xf numFmtId="0" fontId="3" fillId="5" borderId="10" xfId="0" applyFont="1" applyFill="1" applyBorder="1"/>
    <xf numFmtId="0" fontId="3" fillId="6" borderId="10" xfId="0" applyFont="1" applyFill="1" applyBorder="1"/>
    <xf numFmtId="0" fontId="4" fillId="5" borderId="10" xfId="0" applyFont="1" applyFill="1" applyBorder="1"/>
    <xf numFmtId="165" fontId="4" fillId="5" borderId="10" xfId="0" applyNumberFormat="1" applyFont="1" applyFill="1" applyBorder="1"/>
    <xf numFmtId="166" fontId="4" fillId="5" borderId="10" xfId="0" applyNumberFormat="1" applyFont="1" applyFill="1" applyBorder="1"/>
    <xf numFmtId="2" fontId="4" fillId="5" borderId="10" xfId="0" applyNumberFormat="1" applyFont="1" applyFill="1" applyBorder="1"/>
    <xf numFmtId="0" fontId="1" fillId="0" borderId="0" xfId="0" applyFont="1"/>
    <xf numFmtId="0" fontId="4" fillId="7" borderId="10" xfId="0" applyFont="1" applyFill="1" applyBorder="1"/>
    <xf numFmtId="166" fontId="4" fillId="7" borderId="10" xfId="0" applyNumberFormat="1" applyFont="1" applyFill="1" applyBorder="1"/>
    <xf numFmtId="2" fontId="4" fillId="7" borderId="10" xfId="0" applyNumberFormat="1" applyFont="1" applyFill="1" applyBorder="1"/>
    <xf numFmtId="165" fontId="4" fillId="7" borderId="10" xfId="0" applyNumberFormat="1" applyFont="1" applyFill="1" applyBorder="1"/>
    <xf numFmtId="0" fontId="3" fillId="7" borderId="10" xfId="0" applyFont="1" applyFill="1" applyBorder="1"/>
    <xf numFmtId="165" fontId="8" fillId="5" borderId="10" xfId="0" applyNumberFormat="1" applyFont="1" applyFill="1" applyBorder="1"/>
    <xf numFmtId="166" fontId="12" fillId="5" borderId="8" xfId="0" applyNumberFormat="1" applyFont="1" applyFill="1" applyBorder="1"/>
    <xf numFmtId="0" fontId="10" fillId="5" borderId="14" xfId="0" applyFont="1" applyFill="1" applyBorder="1"/>
    <xf numFmtId="0" fontId="2" fillId="2" borderId="1" xfId="0" applyFont="1" applyFill="1" applyBorder="1" applyAlignment="1">
      <alignment horizontal="center" vertical="center" wrapText="1"/>
    </xf>
    <xf numFmtId="0" fontId="3" fillId="0" borderId="2" xfId="0" applyFont="1" applyBorder="1"/>
    <xf numFmtId="0" fontId="3" fillId="0" borderId="3" xfId="0" applyFont="1" applyBorder="1"/>
    <xf numFmtId="0" fontId="5" fillId="4" borderId="1" xfId="0" applyFont="1" applyFill="1" applyBorder="1" applyAlignment="1">
      <alignment horizontal="left" vertical="center" wrapText="1"/>
    </xf>
    <xf numFmtId="0" fontId="3" fillId="0" borderId="13" xfId="0" applyFont="1" applyBorder="1"/>
    <xf numFmtId="0" fontId="11" fillId="6" borderId="0" xfId="0" applyFont="1" applyFill="1" applyAlignment="1">
      <alignment horizontal="left" vertical="center" wrapText="1"/>
    </xf>
    <xf numFmtId="0" fontId="11" fillId="6" borderId="0" xfId="0" applyFont="1" applyFill="1" applyAlignment="1">
      <alignment horizontal="left" vertical="center"/>
    </xf>
    <xf numFmtId="0" fontId="4" fillId="8" borderId="10" xfId="0" applyFont="1" applyFill="1" applyBorder="1"/>
    <xf numFmtId="0" fontId="3" fillId="8" borderId="10" xfId="0" applyFont="1" applyFill="1" applyBorder="1"/>
    <xf numFmtId="165" fontId="4" fillId="8" borderId="10" xfId="0" applyNumberFormat="1" applyFont="1" applyFill="1" applyBorder="1"/>
    <xf numFmtId="166" fontId="4" fillId="8" borderId="10" xfId="0" applyNumberFormat="1" applyFont="1" applyFill="1" applyBorder="1"/>
    <xf numFmtId="2" fontId="4" fillId="8" borderId="10" xfId="0" applyNumberFormat="1" applyFont="1" applyFill="1" applyBorder="1"/>
    <xf numFmtId="165" fontId="4" fillId="9" borderId="10" xfId="0" applyNumberFormat="1" applyFont="1"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_rels/drawing2.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3</xdr:col>
      <xdr:colOff>606425</xdr:colOff>
      <xdr:row>2</xdr:row>
      <xdr:rowOff>73025</xdr:rowOff>
    </xdr:from>
    <xdr:ext cx="1990725" cy="742950"/>
    <xdr:pic>
      <xdr:nvPicPr>
        <xdr:cNvPr id="2" name="image1.jpg">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xfrm>
          <a:off x="2268008" y="528108"/>
          <a:ext cx="1990725" cy="742950"/>
        </a:xfrm>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3</xdr:col>
      <xdr:colOff>771525</xdr:colOff>
      <xdr:row>1</xdr:row>
      <xdr:rowOff>47625</xdr:rowOff>
    </xdr:from>
    <xdr:ext cx="6619875" cy="990600"/>
    <xdr:pic>
      <xdr:nvPicPr>
        <xdr:cNvPr id="2" name="image1.jp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000"/>
  <sheetViews>
    <sheetView tabSelected="1" topLeftCell="B1" zoomScale="90" zoomScaleNormal="90" workbookViewId="0">
      <selection activeCell="M22" sqref="B22:M22"/>
    </sheetView>
  </sheetViews>
  <sheetFormatPr baseColWidth="10" defaultColWidth="14.42578125" defaultRowHeight="15" customHeight="1" x14ac:dyDescent="0.25"/>
  <cols>
    <col min="1" max="1" width="4.7109375" hidden="1" customWidth="1"/>
    <col min="2" max="2" width="10" customWidth="1"/>
    <col min="3" max="3" width="14.85546875" customWidth="1"/>
    <col min="4" max="4" width="27" customWidth="1"/>
    <col min="5" max="5" width="6.42578125" customWidth="1"/>
    <col min="6" max="6" width="10.42578125" hidden="1" customWidth="1"/>
    <col min="7" max="7" width="10" hidden="1" customWidth="1"/>
    <col min="8" max="8" width="7.7109375" hidden="1" customWidth="1"/>
    <col min="9" max="9" width="10.42578125" hidden="1" customWidth="1"/>
    <col min="10" max="10" width="13.85546875" hidden="1" customWidth="1"/>
    <col min="11" max="11" width="15.42578125" hidden="1" customWidth="1"/>
    <col min="12" max="12" width="12.7109375" hidden="1" customWidth="1"/>
    <col min="13" max="13" width="13.7109375" customWidth="1"/>
    <col min="14" max="14" width="13.5703125" hidden="1" customWidth="1"/>
    <col min="15" max="15" width="13.7109375" hidden="1" customWidth="1"/>
    <col min="16" max="16" width="19" hidden="1" customWidth="1"/>
    <col min="17" max="17" width="11.5703125" hidden="1" customWidth="1"/>
    <col min="18" max="18" width="0.28515625" hidden="1" customWidth="1"/>
    <col min="19" max="24" width="10.7109375" customWidth="1"/>
    <col min="25" max="25" width="21.85546875" customWidth="1"/>
    <col min="26" max="26" width="10.7109375" customWidth="1"/>
  </cols>
  <sheetData>
    <row r="1" spans="1:25" ht="21" customHeight="1" x14ac:dyDescent="0.25">
      <c r="A1" s="56" t="s">
        <v>65</v>
      </c>
      <c r="B1" s="57"/>
      <c r="C1" s="57"/>
      <c r="D1" s="57"/>
      <c r="E1" s="57"/>
      <c r="F1" s="57"/>
      <c r="G1" s="57"/>
      <c r="H1" s="57"/>
      <c r="I1" s="57"/>
      <c r="J1" s="57"/>
      <c r="K1" s="57"/>
      <c r="L1" s="57"/>
      <c r="M1" s="58"/>
      <c r="N1" s="1"/>
      <c r="O1" s="2"/>
      <c r="P1" s="3"/>
      <c r="Q1" s="3"/>
    </row>
    <row r="2" spans="1:25" x14ac:dyDescent="0.25">
      <c r="A2" s="4"/>
      <c r="B2" s="4"/>
      <c r="C2" s="3"/>
      <c r="D2" s="3"/>
      <c r="E2" s="3"/>
      <c r="F2" s="3"/>
      <c r="G2" s="3"/>
      <c r="H2" s="5"/>
      <c r="I2" s="3"/>
      <c r="J2" s="3"/>
      <c r="K2" s="3"/>
      <c r="L2" s="3"/>
      <c r="M2" s="6"/>
      <c r="N2" s="3"/>
      <c r="O2" s="2"/>
      <c r="P2" s="3"/>
      <c r="Q2" s="3"/>
    </row>
    <row r="3" spans="1:25" x14ac:dyDescent="0.25">
      <c r="A3" s="7" t="s">
        <v>1</v>
      </c>
      <c r="B3" s="7" t="s">
        <v>1</v>
      </c>
      <c r="C3" s="3" t="s">
        <v>2</v>
      </c>
      <c r="E3" s="3"/>
      <c r="F3" s="3"/>
      <c r="G3" s="3"/>
      <c r="H3" s="5"/>
      <c r="I3" s="3"/>
      <c r="J3" s="3"/>
      <c r="K3" s="3"/>
      <c r="L3" s="3"/>
      <c r="M3" s="6"/>
      <c r="N3" s="3"/>
      <c r="O3" s="2"/>
      <c r="P3" s="3"/>
      <c r="Q3" s="3"/>
    </row>
    <row r="4" spans="1:25" x14ac:dyDescent="0.25">
      <c r="A4" s="7" t="s">
        <v>3</v>
      </c>
      <c r="B4" s="7" t="s">
        <v>3</v>
      </c>
      <c r="C4" s="3" t="s">
        <v>4</v>
      </c>
      <c r="E4" s="3"/>
      <c r="F4" s="3"/>
      <c r="G4" s="3"/>
      <c r="H4" s="5"/>
      <c r="I4" s="3"/>
      <c r="J4" s="3"/>
      <c r="K4" s="3"/>
      <c r="L4" s="3"/>
      <c r="M4" s="6"/>
      <c r="N4" s="3"/>
      <c r="O4" s="2"/>
    </row>
    <row r="5" spans="1:25" x14ac:dyDescent="0.25">
      <c r="A5" s="7" t="s">
        <v>5</v>
      </c>
      <c r="B5" s="7" t="s">
        <v>5</v>
      </c>
      <c r="C5" s="3" t="s">
        <v>6</v>
      </c>
      <c r="E5" s="3"/>
      <c r="F5" s="3"/>
      <c r="G5" s="3"/>
      <c r="H5" s="5"/>
      <c r="I5" s="3"/>
      <c r="J5" s="3"/>
      <c r="K5" s="3"/>
      <c r="L5" s="3"/>
      <c r="M5" s="6"/>
      <c r="N5" s="3"/>
      <c r="O5" s="2"/>
    </row>
    <row r="6" spans="1:25" x14ac:dyDescent="0.25">
      <c r="A6" s="7" t="s">
        <v>7</v>
      </c>
      <c r="B6" s="7" t="s">
        <v>7</v>
      </c>
      <c r="C6" s="3" t="s">
        <v>8</v>
      </c>
      <c r="E6" s="3"/>
      <c r="F6" s="3"/>
      <c r="G6" s="3"/>
      <c r="H6" s="5"/>
      <c r="I6" s="3"/>
      <c r="J6" s="3"/>
      <c r="K6" s="3"/>
      <c r="L6" s="3"/>
      <c r="M6" s="6"/>
      <c r="N6" s="3"/>
      <c r="O6" s="2"/>
    </row>
    <row r="7" spans="1:25" hidden="1" x14ac:dyDescent="0.25">
      <c r="A7" s="8" t="s">
        <v>9</v>
      </c>
      <c r="B7" s="8" t="s">
        <v>9</v>
      </c>
      <c r="C7" s="9">
        <v>78050</v>
      </c>
      <c r="E7" s="10"/>
      <c r="F7" s="10"/>
      <c r="G7" s="10"/>
      <c r="H7" s="11"/>
      <c r="I7" s="10"/>
      <c r="J7" s="10"/>
      <c r="K7" s="10"/>
      <c r="L7" s="10"/>
      <c r="M7" s="12"/>
      <c r="N7" s="3"/>
      <c r="O7" s="2"/>
    </row>
    <row r="8" spans="1:25" x14ac:dyDescent="0.25">
      <c r="A8" s="8"/>
      <c r="B8" s="7" t="s">
        <v>9</v>
      </c>
      <c r="C8" s="54">
        <f>23662 +1419829.7</f>
        <v>1443491.7</v>
      </c>
      <c r="E8" s="10"/>
      <c r="F8" s="10"/>
      <c r="G8" s="10"/>
      <c r="H8" s="11"/>
      <c r="I8" s="10"/>
      <c r="J8" s="10"/>
      <c r="K8" s="10"/>
      <c r="L8" s="10"/>
      <c r="M8" s="12"/>
      <c r="N8" s="3"/>
      <c r="O8" s="2"/>
      <c r="S8" s="47"/>
    </row>
    <row r="9" spans="1:25" ht="36" customHeight="1" x14ac:dyDescent="0.25">
      <c r="A9" s="13" t="s">
        <v>10</v>
      </c>
      <c r="B9" s="13" t="s">
        <v>10</v>
      </c>
      <c r="C9" s="14" t="s">
        <v>11</v>
      </c>
      <c r="D9" s="13" t="s">
        <v>12</v>
      </c>
      <c r="E9" s="13" t="s">
        <v>13</v>
      </c>
      <c r="F9" s="14" t="s">
        <v>14</v>
      </c>
      <c r="G9" s="35" t="s">
        <v>15</v>
      </c>
      <c r="H9" s="15" t="s">
        <v>16</v>
      </c>
      <c r="I9" s="35" t="s">
        <v>17</v>
      </c>
      <c r="J9" s="14" t="s">
        <v>9</v>
      </c>
      <c r="K9" s="14" t="s">
        <v>18</v>
      </c>
      <c r="L9" s="15">
        <f>C8-J34</f>
        <v>1145908.0662000005</v>
      </c>
      <c r="M9" s="14" t="s">
        <v>19</v>
      </c>
      <c r="N9" s="17"/>
      <c r="O9" s="14" t="s">
        <v>20</v>
      </c>
      <c r="P9" s="14" t="s">
        <v>21</v>
      </c>
    </row>
    <row r="10" spans="1:25" x14ac:dyDescent="0.25">
      <c r="A10" s="18">
        <v>1</v>
      </c>
      <c r="B10" s="18">
        <v>1</v>
      </c>
      <c r="C10" s="18" t="s">
        <v>22</v>
      </c>
      <c r="D10" s="18" t="s">
        <v>23</v>
      </c>
      <c r="E10" s="18">
        <v>4.9000000000000004</v>
      </c>
      <c r="F10" s="18">
        <v>18022.7</v>
      </c>
      <c r="G10" s="41">
        <v>18321.599999999999</v>
      </c>
      <c r="H10" s="19">
        <v>0</v>
      </c>
      <c r="I10" s="20">
        <f t="shared" ref="I10:I33" si="0">H10*7%</f>
        <v>0</v>
      </c>
      <c r="J10" s="20">
        <f>(G10-F10)*93.78</f>
        <v>28030.841999999797</v>
      </c>
      <c r="K10" s="21">
        <f>G10-F10</f>
        <v>298.89999999999782</v>
      </c>
      <c r="L10" s="19">
        <f>L9*E10/100</f>
        <v>56149.495243800033</v>
      </c>
      <c r="M10" s="19">
        <f>J10+L10+3</f>
        <v>84183.337243799833</v>
      </c>
      <c r="N10" s="22">
        <f>J10/C7*100</f>
        <v>35.913955156950408</v>
      </c>
      <c r="O10" s="23">
        <f>J10/L9*100</f>
        <v>2.4461684865308775</v>
      </c>
      <c r="P10" s="20">
        <f>C7*O10/100</f>
        <v>1909.2345037373498</v>
      </c>
      <c r="Q10" s="24">
        <v>0.31</v>
      </c>
      <c r="R10" s="25">
        <f t="shared" ref="R10:R11" si="1">4000*Q10</f>
        <v>1240</v>
      </c>
    </row>
    <row r="11" spans="1:25" x14ac:dyDescent="0.25">
      <c r="A11" s="18">
        <v>2</v>
      </c>
      <c r="B11" s="63">
        <v>2</v>
      </c>
      <c r="C11" s="63" t="s">
        <v>24</v>
      </c>
      <c r="D11" s="63" t="s">
        <v>25</v>
      </c>
      <c r="E11" s="63">
        <v>3.89</v>
      </c>
      <c r="F11" s="63">
        <v>16863.900000000001</v>
      </c>
      <c r="G11" s="64">
        <f>F11+70</f>
        <v>16933.900000000001</v>
      </c>
      <c r="H11" s="65">
        <v>0</v>
      </c>
      <c r="I11" s="66">
        <f t="shared" si="0"/>
        <v>0</v>
      </c>
      <c r="J11" s="66">
        <f>(G11-F11)*93.78</f>
        <v>6564.6</v>
      </c>
      <c r="K11" s="67">
        <f t="shared" ref="K11:K25" si="2">G11-F11</f>
        <v>70</v>
      </c>
      <c r="L11" s="65">
        <f>L9*E11/100</f>
        <v>44575.823775180019</v>
      </c>
      <c r="M11" s="65">
        <f t="shared" ref="M11:M24" si="3">J11+L11+1</f>
        <v>51141.423775180017</v>
      </c>
      <c r="N11" s="22" t="e">
        <f t="shared" ref="N11:N33" si="4">J11/C9*100</f>
        <v>#VALUE!</v>
      </c>
      <c r="O11" s="23">
        <f>L11/L9*100</f>
        <v>3.8900000000000006</v>
      </c>
      <c r="P11" s="20">
        <f>C7*O11/100</f>
        <v>3036.1450000000004</v>
      </c>
      <c r="Q11" s="24">
        <v>0.19</v>
      </c>
      <c r="R11" s="25">
        <f t="shared" si="1"/>
        <v>760</v>
      </c>
      <c r="U11" s="33"/>
    </row>
    <row r="12" spans="1:25" x14ac:dyDescent="0.25">
      <c r="A12" s="43">
        <v>3</v>
      </c>
      <c r="B12" s="43">
        <v>3</v>
      </c>
      <c r="C12" s="43" t="s">
        <v>26</v>
      </c>
      <c r="D12" s="43" t="s">
        <v>27</v>
      </c>
      <c r="E12" s="43">
        <v>4</v>
      </c>
      <c r="F12" s="43">
        <v>11246.3</v>
      </c>
      <c r="G12" s="41">
        <f>F12+85</f>
        <v>11331.3</v>
      </c>
      <c r="H12" s="44">
        <v>0</v>
      </c>
      <c r="I12" s="45">
        <f t="shared" si="0"/>
        <v>0</v>
      </c>
      <c r="J12" s="45">
        <f t="shared" ref="J12:J33" si="5">(G12-F12)*93.78</f>
        <v>7971.3</v>
      </c>
      <c r="K12" s="46">
        <f>G12-F12</f>
        <v>85</v>
      </c>
      <c r="L12" s="44">
        <f>L9*E12/100</f>
        <v>45836.322648000016</v>
      </c>
      <c r="M12" s="44">
        <f t="shared" si="3"/>
        <v>53808.622648000019</v>
      </c>
      <c r="N12" s="22" t="e">
        <f t="shared" si="4"/>
        <v>#VALUE!</v>
      </c>
      <c r="O12" s="23">
        <f>J12/L9*100</f>
        <v>0.69563172082678515</v>
      </c>
      <c r="P12" s="20">
        <f>C7*O12/100</f>
        <v>542.94055810530585</v>
      </c>
    </row>
    <row r="13" spans="1:25" x14ac:dyDescent="0.25">
      <c r="A13" s="18">
        <v>4</v>
      </c>
      <c r="B13" s="18">
        <v>4</v>
      </c>
      <c r="C13" s="18" t="s">
        <v>28</v>
      </c>
      <c r="D13" s="18" t="s">
        <v>29</v>
      </c>
      <c r="E13" s="18">
        <v>4.9000000000000004</v>
      </c>
      <c r="F13" s="18">
        <v>26917.4</v>
      </c>
      <c r="G13" s="41">
        <v>27384.3</v>
      </c>
      <c r="H13" s="26">
        <v>0</v>
      </c>
      <c r="I13" s="20">
        <f t="shared" si="0"/>
        <v>0</v>
      </c>
      <c r="J13" s="20">
        <f t="shared" si="5"/>
        <v>43785.881999999794</v>
      </c>
      <c r="K13" s="21">
        <f t="shared" si="2"/>
        <v>466.89999999999782</v>
      </c>
      <c r="L13" s="19">
        <f>L9*E13/100</f>
        <v>56149.495243800033</v>
      </c>
      <c r="M13" s="19">
        <f t="shared" si="3"/>
        <v>99936.377243799827</v>
      </c>
      <c r="N13" s="22" t="e">
        <f t="shared" si="4"/>
        <v>#VALUE!</v>
      </c>
      <c r="O13" s="23">
        <f>J13/L9*100</f>
        <v>3.8210641229885232</v>
      </c>
      <c r="P13" s="20">
        <f>C7*O13/100</f>
        <v>2982.3405479925423</v>
      </c>
    </row>
    <row r="14" spans="1:25" x14ac:dyDescent="0.25">
      <c r="A14" s="18">
        <v>5</v>
      </c>
      <c r="B14" s="43">
        <v>5</v>
      </c>
      <c r="C14" s="43" t="s">
        <v>30</v>
      </c>
      <c r="D14" s="43" t="s">
        <v>31</v>
      </c>
      <c r="E14" s="43">
        <v>3.89</v>
      </c>
      <c r="F14" s="43">
        <v>5452.6</v>
      </c>
      <c r="G14" s="41">
        <v>5693</v>
      </c>
      <c r="H14" s="26">
        <v>0</v>
      </c>
      <c r="I14" s="45">
        <f t="shared" si="0"/>
        <v>0</v>
      </c>
      <c r="J14" s="45">
        <f t="shared" si="5"/>
        <v>22544.711999999967</v>
      </c>
      <c r="K14" s="46">
        <f t="shared" si="2"/>
        <v>240.39999999999964</v>
      </c>
      <c r="L14" s="44">
        <f>L9*E14/100</f>
        <v>44575.823775180019</v>
      </c>
      <c r="M14" s="44">
        <f t="shared" si="3"/>
        <v>67121.535775179989</v>
      </c>
      <c r="N14" s="22" t="e">
        <f t="shared" si="4"/>
        <v>#VALUE!</v>
      </c>
      <c r="O14" s="23">
        <f>J14/L9*100</f>
        <v>1.9674101845501046</v>
      </c>
      <c r="P14" s="20">
        <f>C7*O14/100</f>
        <v>1535.5636490413567</v>
      </c>
      <c r="R14">
        <v>2540.8200000000002</v>
      </c>
    </row>
    <row r="15" spans="1:25" x14ac:dyDescent="0.25">
      <c r="A15" s="18">
        <v>6</v>
      </c>
      <c r="B15" s="37">
        <v>6</v>
      </c>
      <c r="C15" s="37" t="s">
        <v>32</v>
      </c>
      <c r="D15" s="37" t="s">
        <v>33</v>
      </c>
      <c r="E15" s="37">
        <v>4</v>
      </c>
      <c r="F15" s="37">
        <v>12816.7</v>
      </c>
      <c r="G15" s="42">
        <f>F15+270</f>
        <v>13086.7</v>
      </c>
      <c r="H15" s="38">
        <v>0</v>
      </c>
      <c r="I15" s="39">
        <f t="shared" si="0"/>
        <v>0</v>
      </c>
      <c r="J15" s="39">
        <f t="shared" si="5"/>
        <v>25320.6</v>
      </c>
      <c r="K15" s="40">
        <f t="shared" si="2"/>
        <v>270</v>
      </c>
      <c r="L15" s="38">
        <f>L9*E15/100</f>
        <v>45836.322648000016</v>
      </c>
      <c r="M15" s="38">
        <f t="shared" si="3"/>
        <v>71157.922648000007</v>
      </c>
      <c r="N15" s="22" t="e">
        <f t="shared" si="4"/>
        <v>#VALUE!</v>
      </c>
      <c r="O15" s="23">
        <f>J15/L9*100</f>
        <v>2.2096537014497883</v>
      </c>
      <c r="P15" s="20">
        <f>C7*O15/100</f>
        <v>1724.6347139815598</v>
      </c>
      <c r="Y15" s="36"/>
    </row>
    <row r="16" spans="1:25" x14ac:dyDescent="0.25">
      <c r="A16" s="18">
        <v>7</v>
      </c>
      <c r="B16" s="18">
        <v>7</v>
      </c>
      <c r="C16" s="18" t="s">
        <v>34</v>
      </c>
      <c r="D16" s="18" t="s">
        <v>35</v>
      </c>
      <c r="E16" s="18">
        <v>4.9000000000000004</v>
      </c>
      <c r="F16" s="18">
        <v>17767</v>
      </c>
      <c r="G16" s="41">
        <v>17970.599999999999</v>
      </c>
      <c r="H16" s="19">
        <v>0</v>
      </c>
      <c r="I16" s="20">
        <f t="shared" si="0"/>
        <v>0</v>
      </c>
      <c r="J16" s="20">
        <f t="shared" si="5"/>
        <v>19093.607999999866</v>
      </c>
      <c r="K16" s="21">
        <f t="shared" si="2"/>
        <v>203.59999999999854</v>
      </c>
      <c r="L16" s="19">
        <f>L9*E16/100</f>
        <v>56149.495243800033</v>
      </c>
      <c r="M16" s="19">
        <f t="shared" si="3"/>
        <v>75244.103243799895</v>
      </c>
      <c r="N16" s="22" t="e">
        <f t="shared" si="4"/>
        <v>#VALUE!</v>
      </c>
      <c r="O16" s="23">
        <f>J16/L9*100</f>
        <v>1.6662425689450879</v>
      </c>
      <c r="P16" s="20">
        <f>C7*O16/100</f>
        <v>1300.5023250616412</v>
      </c>
    </row>
    <row r="17" spans="1:19" x14ac:dyDescent="0.25">
      <c r="A17" s="18">
        <v>8</v>
      </c>
      <c r="B17" s="18">
        <v>8</v>
      </c>
      <c r="C17" s="18" t="s">
        <v>36</v>
      </c>
      <c r="D17" s="18" t="s">
        <v>37</v>
      </c>
      <c r="E17" s="18">
        <v>3.89</v>
      </c>
      <c r="F17" s="18">
        <v>5855.11</v>
      </c>
      <c r="G17" s="41">
        <v>5950.95</v>
      </c>
      <c r="H17" s="26">
        <v>0</v>
      </c>
      <c r="I17" s="20">
        <f t="shared" si="0"/>
        <v>0</v>
      </c>
      <c r="J17" s="20">
        <f t="shared" si="5"/>
        <v>8987.8752000000131</v>
      </c>
      <c r="K17" s="21">
        <f t="shared" si="2"/>
        <v>95.840000000000146</v>
      </c>
      <c r="L17" s="19">
        <f>L9*E17/100</f>
        <v>44575.823775180019</v>
      </c>
      <c r="M17" s="19">
        <f t="shared" si="3"/>
        <v>53564.698975180028</v>
      </c>
      <c r="N17" s="22" t="e">
        <f t="shared" si="4"/>
        <v>#VALUE!</v>
      </c>
      <c r="O17" s="23">
        <f>J17/L9*100</f>
        <v>0.78434522498869641</v>
      </c>
      <c r="P17" s="20">
        <f>C7*O17/100</f>
        <v>612.18144810367755</v>
      </c>
    </row>
    <row r="18" spans="1:19" x14ac:dyDescent="0.25">
      <c r="A18" s="18">
        <v>9</v>
      </c>
      <c r="B18" s="43">
        <v>9</v>
      </c>
      <c r="C18" s="43" t="s">
        <v>38</v>
      </c>
      <c r="D18" s="43" t="s">
        <v>39</v>
      </c>
      <c r="E18" s="43">
        <v>4</v>
      </c>
      <c r="F18" s="43">
        <v>19713.599999999999</v>
      </c>
      <c r="G18" s="41">
        <v>19975.5</v>
      </c>
      <c r="H18" s="53">
        <v>0</v>
      </c>
      <c r="I18" s="45">
        <f t="shared" si="0"/>
        <v>0</v>
      </c>
      <c r="J18" s="45">
        <f t="shared" si="5"/>
        <v>24560.982000000138</v>
      </c>
      <c r="K18" s="46">
        <f t="shared" si="2"/>
        <v>261.90000000000146</v>
      </c>
      <c r="L18" s="44">
        <f>L9*E18/100</f>
        <v>45836.322648000016</v>
      </c>
      <c r="M18" s="44">
        <f t="shared" si="3"/>
        <v>70398.30464800015</v>
      </c>
      <c r="N18" s="22" t="e">
        <f t="shared" si="4"/>
        <v>#VALUE!</v>
      </c>
      <c r="O18" s="23">
        <f>J18/L9*100</f>
        <v>2.1433640904063069</v>
      </c>
      <c r="P18" s="20">
        <f>C7*O18/100</f>
        <v>1672.8956725621226</v>
      </c>
    </row>
    <row r="19" spans="1:19" x14ac:dyDescent="0.25">
      <c r="A19" s="18">
        <v>10</v>
      </c>
      <c r="B19" s="48">
        <v>10</v>
      </c>
      <c r="C19" s="48" t="s">
        <v>40</v>
      </c>
      <c r="D19" s="48" t="s">
        <v>63</v>
      </c>
      <c r="E19" s="48">
        <v>12.66</v>
      </c>
      <c r="F19" s="48">
        <v>22979.4</v>
      </c>
      <c r="G19" s="52">
        <v>23140.400000000001</v>
      </c>
      <c r="H19" s="51">
        <v>0</v>
      </c>
      <c r="I19" s="49">
        <f t="shared" si="0"/>
        <v>0</v>
      </c>
      <c r="J19" s="49">
        <f t="shared" si="5"/>
        <v>15098.58</v>
      </c>
      <c r="K19" s="50">
        <f t="shared" si="2"/>
        <v>161</v>
      </c>
      <c r="L19" s="51">
        <f>L9*E19/100</f>
        <v>145071.96118092007</v>
      </c>
      <c r="M19" s="51">
        <f>J19+L19+1</f>
        <v>160171.54118092006</v>
      </c>
      <c r="N19" s="22" t="e">
        <f t="shared" si="4"/>
        <v>#VALUE!</v>
      </c>
      <c r="O19" s="23">
        <f>J19/L9*100</f>
        <v>1.3176083182719107</v>
      </c>
      <c r="P19" s="20">
        <f>C7*O19/100</f>
        <v>1028.3932924112262</v>
      </c>
    </row>
    <row r="20" spans="1:19" x14ac:dyDescent="0.25">
      <c r="A20" s="43">
        <v>11</v>
      </c>
      <c r="B20" s="43">
        <v>11</v>
      </c>
      <c r="C20" s="43" t="s">
        <v>42</v>
      </c>
      <c r="D20" s="43" t="s">
        <v>29</v>
      </c>
      <c r="E20" s="43">
        <v>7.75</v>
      </c>
      <c r="F20" s="43">
        <v>17545.099999999999</v>
      </c>
      <c r="G20" s="41">
        <f>F20+200</f>
        <v>17745.099999999999</v>
      </c>
      <c r="H20" s="26">
        <v>0</v>
      </c>
      <c r="I20" s="45">
        <f t="shared" si="0"/>
        <v>0</v>
      </c>
      <c r="J20" s="45">
        <f t="shared" si="5"/>
        <v>18756</v>
      </c>
      <c r="K20" s="46">
        <f t="shared" si="2"/>
        <v>200</v>
      </c>
      <c r="L20" s="44">
        <f>L9*E20/100</f>
        <v>88807.875130500033</v>
      </c>
      <c r="M20" s="44">
        <f t="shared" si="3"/>
        <v>107564.87513050003</v>
      </c>
      <c r="N20" s="22" t="e">
        <f t="shared" si="4"/>
        <v>#VALUE!</v>
      </c>
      <c r="O20" s="23">
        <f>J20/L9*100</f>
        <v>1.6367805195924356</v>
      </c>
      <c r="P20" s="20">
        <f>C7*O20/100</f>
        <v>1277.5071955418962</v>
      </c>
    </row>
    <row r="21" spans="1:19" ht="15.75" customHeight="1" x14ac:dyDescent="0.25">
      <c r="A21" s="37">
        <v>12</v>
      </c>
      <c r="B21" s="43">
        <v>12</v>
      </c>
      <c r="C21" s="43" t="s">
        <v>43</v>
      </c>
      <c r="D21" s="55" t="s">
        <v>64</v>
      </c>
      <c r="E21" s="43">
        <v>7.51</v>
      </c>
      <c r="F21" s="43">
        <v>14348.5</v>
      </c>
      <c r="G21" s="41">
        <v>14594.4</v>
      </c>
      <c r="H21" s="26">
        <v>0</v>
      </c>
      <c r="I21" s="45">
        <f t="shared" si="0"/>
        <v>0</v>
      </c>
      <c r="J21" s="45">
        <f t="shared" si="5"/>
        <v>23060.501999999968</v>
      </c>
      <c r="K21" s="46">
        <f t="shared" si="2"/>
        <v>245.89999999999964</v>
      </c>
      <c r="L21" s="44">
        <f>L9*E21/100</f>
        <v>86057.695771620027</v>
      </c>
      <c r="M21" s="44">
        <f t="shared" si="3"/>
        <v>109119.19777161999</v>
      </c>
      <c r="N21" s="22" t="e">
        <f t="shared" si="4"/>
        <v>#VALUE!</v>
      </c>
      <c r="O21" s="23">
        <f>J21/L9*100</f>
        <v>2.0124216488388971</v>
      </c>
      <c r="P21" s="20">
        <f>C7*O21/100</f>
        <v>1570.6950969187592</v>
      </c>
      <c r="S21">
        <f>G21-F21</f>
        <v>245.89999999999964</v>
      </c>
    </row>
    <row r="22" spans="1:19" ht="15.75" customHeight="1" x14ac:dyDescent="0.25">
      <c r="A22" s="43">
        <v>13</v>
      </c>
      <c r="B22" s="63">
        <v>13</v>
      </c>
      <c r="C22" s="63" t="s">
        <v>45</v>
      </c>
      <c r="D22" s="63" t="s">
        <v>46</v>
      </c>
      <c r="E22" s="63">
        <v>4.45</v>
      </c>
      <c r="F22" s="63">
        <v>10672.2</v>
      </c>
      <c r="G22" s="64">
        <f>F22+193-30</f>
        <v>10835.2</v>
      </c>
      <c r="H22" s="68">
        <v>0</v>
      </c>
      <c r="I22" s="66">
        <f t="shared" si="0"/>
        <v>0</v>
      </c>
      <c r="J22" s="66">
        <f t="shared" si="5"/>
        <v>15286.14</v>
      </c>
      <c r="K22" s="67">
        <f t="shared" si="2"/>
        <v>163</v>
      </c>
      <c r="L22" s="65">
        <f>L9*E22/100</f>
        <v>50992.908945900024</v>
      </c>
      <c r="M22" s="65">
        <f t="shared" si="3"/>
        <v>66280.048945900024</v>
      </c>
      <c r="N22" s="22" t="e">
        <f t="shared" si="4"/>
        <v>#VALUE!</v>
      </c>
      <c r="O22" s="23">
        <f>J22/L9*100</f>
        <v>1.3339761234678349</v>
      </c>
      <c r="P22" s="20">
        <f>C7*O22/100</f>
        <v>1041.1683643666452</v>
      </c>
      <c r="S22">
        <f>G22-F22</f>
        <v>163</v>
      </c>
    </row>
    <row r="23" spans="1:19" ht="15.75" customHeight="1" x14ac:dyDescent="0.25">
      <c r="A23" s="18">
        <v>14</v>
      </c>
      <c r="B23" s="43">
        <v>14</v>
      </c>
      <c r="C23" s="43" t="s">
        <v>47</v>
      </c>
      <c r="D23" s="43" t="s">
        <v>48</v>
      </c>
      <c r="E23" s="43">
        <v>6.17</v>
      </c>
      <c r="F23" s="43">
        <v>20488.68</v>
      </c>
      <c r="G23" s="41">
        <v>20525.349999999999</v>
      </c>
      <c r="H23" s="44">
        <v>0</v>
      </c>
      <c r="I23" s="45">
        <f t="shared" si="0"/>
        <v>0</v>
      </c>
      <c r="J23" s="45">
        <f t="shared" si="5"/>
        <v>3438.9125999998364</v>
      </c>
      <c r="K23" s="46">
        <f t="shared" si="2"/>
        <v>36.669999999998254</v>
      </c>
      <c r="L23" s="44">
        <f>L9*E23/100</f>
        <v>70702.527684540037</v>
      </c>
      <c r="M23" s="44">
        <f>J23+L23+1</f>
        <v>74142.440284539873</v>
      </c>
      <c r="N23" s="22" t="e">
        <f t="shared" si="4"/>
        <v>#VALUE!</v>
      </c>
      <c r="O23" s="23">
        <f>J23/L9*100</f>
        <v>0.3001037082672588</v>
      </c>
      <c r="P23" s="20">
        <f>C7*O23/100</f>
        <v>234.2309443025955</v>
      </c>
    </row>
    <row r="24" spans="1:19" ht="15.75" customHeight="1" x14ac:dyDescent="0.25">
      <c r="A24" s="18">
        <v>15</v>
      </c>
      <c r="B24" s="37">
        <v>15</v>
      </c>
      <c r="C24" s="37" t="s">
        <v>49</v>
      </c>
      <c r="D24" s="37" t="s">
        <v>25</v>
      </c>
      <c r="E24" s="37">
        <v>4.45</v>
      </c>
      <c r="F24" s="37">
        <v>29965.1</v>
      </c>
      <c r="G24" s="42">
        <v>30195.599999999999</v>
      </c>
      <c r="H24" s="38">
        <v>0</v>
      </c>
      <c r="I24" s="39">
        <f t="shared" si="0"/>
        <v>0</v>
      </c>
      <c r="J24" s="39">
        <f t="shared" si="5"/>
        <v>21616.29</v>
      </c>
      <c r="K24" s="40">
        <f t="shared" si="2"/>
        <v>230.5</v>
      </c>
      <c r="L24" s="38">
        <f>L9*E24/100</f>
        <v>50992.908945900024</v>
      </c>
      <c r="M24" s="38">
        <f t="shared" si="3"/>
        <v>72610.198945900018</v>
      </c>
      <c r="N24" s="22" t="e">
        <f t="shared" si="4"/>
        <v>#VALUE!</v>
      </c>
      <c r="O24" s="23">
        <f>J24/L9*100</f>
        <v>1.8863895488302824</v>
      </c>
      <c r="P24" s="20">
        <f>C7*O24/100</f>
        <v>1472.3270428620353</v>
      </c>
    </row>
    <row r="25" spans="1:19" ht="15.75" customHeight="1" x14ac:dyDescent="0.25">
      <c r="A25" s="18">
        <v>16</v>
      </c>
      <c r="B25" s="37">
        <v>16</v>
      </c>
      <c r="C25" s="37" t="s">
        <v>67</v>
      </c>
      <c r="D25" s="37" t="s">
        <v>41</v>
      </c>
      <c r="E25" s="37">
        <v>9.19</v>
      </c>
      <c r="F25" s="37">
        <v>11147.8</v>
      </c>
      <c r="G25" s="42">
        <v>11291.4</v>
      </c>
      <c r="H25" s="38">
        <v>0</v>
      </c>
      <c r="I25" s="39">
        <f t="shared" si="0"/>
        <v>0</v>
      </c>
      <c r="J25" s="39">
        <f t="shared" si="5"/>
        <v>13466.808000000034</v>
      </c>
      <c r="K25" s="40">
        <f t="shared" si="2"/>
        <v>143.60000000000036</v>
      </c>
      <c r="L25" s="38">
        <f>L9*E25/100</f>
        <v>105308.95128378004</v>
      </c>
      <c r="M25" s="38">
        <f>J25+L25+1</f>
        <v>118776.75928378008</v>
      </c>
      <c r="N25" s="22" t="e">
        <f t="shared" si="4"/>
        <v>#VALUE!</v>
      </c>
      <c r="O25" s="23">
        <f>J25/L9*100</f>
        <v>1.1752084130673719</v>
      </c>
      <c r="P25" s="20">
        <f>C7*O25/100</f>
        <v>917.25016639908381</v>
      </c>
    </row>
    <row r="26" spans="1:19" ht="15.75" customHeight="1" x14ac:dyDescent="0.25">
      <c r="A26" s="37">
        <v>17</v>
      </c>
      <c r="B26" s="43">
        <v>17</v>
      </c>
      <c r="C26" s="43" t="s">
        <v>51</v>
      </c>
      <c r="D26" s="43" t="s">
        <v>29</v>
      </c>
      <c r="E26" s="43">
        <v>1.18</v>
      </c>
      <c r="F26" s="43">
        <v>0</v>
      </c>
      <c r="G26" s="43">
        <v>0</v>
      </c>
      <c r="H26" s="44">
        <v>0</v>
      </c>
      <c r="I26" s="45">
        <f t="shared" si="0"/>
        <v>0</v>
      </c>
      <c r="J26" s="45">
        <f t="shared" si="5"/>
        <v>0</v>
      </c>
      <c r="K26" s="44"/>
      <c r="L26" s="44">
        <f>L9*E26/100</f>
        <v>13521.715181160005</v>
      </c>
      <c r="M26" s="44">
        <f t="shared" ref="M26:M33" si="6">J26+L26</f>
        <v>13521.715181160005</v>
      </c>
      <c r="N26" s="22" t="e">
        <f t="shared" si="4"/>
        <v>#VALUE!</v>
      </c>
      <c r="O26" s="23">
        <f>J26/L9*100</f>
        <v>0</v>
      </c>
      <c r="P26" s="20">
        <f>C7*O26/100</f>
        <v>0</v>
      </c>
    </row>
    <row r="27" spans="1:19" ht="15.75" customHeight="1" x14ac:dyDescent="0.25">
      <c r="A27" s="18">
        <v>18</v>
      </c>
      <c r="B27" s="37">
        <v>18</v>
      </c>
      <c r="C27" s="37" t="s">
        <v>52</v>
      </c>
      <c r="D27" s="37" t="s">
        <v>53</v>
      </c>
      <c r="E27" s="37">
        <v>1.18</v>
      </c>
      <c r="F27" s="37">
        <v>0</v>
      </c>
      <c r="G27" s="37">
        <v>0</v>
      </c>
      <c r="H27" s="38">
        <v>0</v>
      </c>
      <c r="I27" s="39">
        <f t="shared" si="0"/>
        <v>0</v>
      </c>
      <c r="J27" s="39">
        <f t="shared" si="5"/>
        <v>0</v>
      </c>
      <c r="K27" s="38"/>
      <c r="L27" s="38">
        <f>L26</f>
        <v>13521.715181160005</v>
      </c>
      <c r="M27" s="38">
        <f t="shared" si="6"/>
        <v>13521.715181160005</v>
      </c>
      <c r="N27" s="22" t="e">
        <f t="shared" si="4"/>
        <v>#VALUE!</v>
      </c>
      <c r="O27" s="23">
        <f>J27/L9*100</f>
        <v>0</v>
      </c>
      <c r="P27" s="20">
        <f>C7*O27/100</f>
        <v>0</v>
      </c>
    </row>
    <row r="28" spans="1:19" ht="15.75" customHeight="1" x14ac:dyDescent="0.25">
      <c r="A28" s="18">
        <v>19</v>
      </c>
      <c r="B28" s="37">
        <v>19</v>
      </c>
      <c r="C28" s="37" t="s">
        <v>54</v>
      </c>
      <c r="D28" s="37" t="s">
        <v>53</v>
      </c>
      <c r="E28" s="37">
        <v>1.18</v>
      </c>
      <c r="F28" s="37">
        <v>0</v>
      </c>
      <c r="G28" s="37">
        <v>0</v>
      </c>
      <c r="H28" s="38">
        <v>0</v>
      </c>
      <c r="I28" s="39">
        <f t="shared" si="0"/>
        <v>0</v>
      </c>
      <c r="J28" s="39">
        <f t="shared" si="5"/>
        <v>0</v>
      </c>
      <c r="K28" s="38"/>
      <c r="L28" s="38">
        <f>L27</f>
        <v>13521.715181160005</v>
      </c>
      <c r="M28" s="38">
        <f t="shared" si="6"/>
        <v>13521.715181160005</v>
      </c>
      <c r="N28" s="22" t="e">
        <f t="shared" si="4"/>
        <v>#VALUE!</v>
      </c>
      <c r="O28" s="23">
        <f>J28/L9*100</f>
        <v>0</v>
      </c>
      <c r="P28" s="20">
        <f>C7*O28/100</f>
        <v>0</v>
      </c>
    </row>
    <row r="29" spans="1:19" ht="15.75" customHeight="1" x14ac:dyDescent="0.25">
      <c r="A29" s="43">
        <v>20</v>
      </c>
      <c r="B29" s="43">
        <v>20</v>
      </c>
      <c r="C29" s="43" t="s">
        <v>55</v>
      </c>
      <c r="D29" s="43" t="s">
        <v>27</v>
      </c>
      <c r="E29" s="43">
        <v>1.18</v>
      </c>
      <c r="F29" s="43">
        <v>0</v>
      </c>
      <c r="G29" s="43">
        <v>0</v>
      </c>
      <c r="H29" s="44">
        <v>0</v>
      </c>
      <c r="I29" s="45">
        <f t="shared" si="0"/>
        <v>0</v>
      </c>
      <c r="J29" s="45">
        <f t="shared" si="5"/>
        <v>0</v>
      </c>
      <c r="K29" s="44"/>
      <c r="L29" s="44">
        <f>L28</f>
        <v>13521.715181160005</v>
      </c>
      <c r="M29" s="44">
        <f t="shared" si="6"/>
        <v>13521.715181160005</v>
      </c>
      <c r="N29" s="22" t="e">
        <f t="shared" si="4"/>
        <v>#VALUE!</v>
      </c>
      <c r="O29" s="23">
        <f>J29/L9*100</f>
        <v>0</v>
      </c>
      <c r="P29" s="20">
        <f>C7*O29/100</f>
        <v>0</v>
      </c>
    </row>
    <row r="30" spans="1:19" ht="15.75" customHeight="1" x14ac:dyDescent="0.25">
      <c r="A30" s="18">
        <v>21</v>
      </c>
      <c r="B30" s="18">
        <v>21</v>
      </c>
      <c r="C30" s="18" t="s">
        <v>56</v>
      </c>
      <c r="D30" s="48" t="s">
        <v>63</v>
      </c>
      <c r="E30" s="18">
        <v>1.18</v>
      </c>
      <c r="F30" s="18">
        <v>0</v>
      </c>
      <c r="G30" s="18">
        <v>0</v>
      </c>
      <c r="H30" s="19">
        <v>0</v>
      </c>
      <c r="I30" s="20">
        <f t="shared" si="0"/>
        <v>0</v>
      </c>
      <c r="J30" s="20">
        <f t="shared" si="5"/>
        <v>0</v>
      </c>
      <c r="K30" s="19"/>
      <c r="L30" s="19">
        <f t="shared" ref="L30:L33" si="7">L29</f>
        <v>13521.715181160005</v>
      </c>
      <c r="M30" s="19">
        <f t="shared" si="6"/>
        <v>13521.715181160005</v>
      </c>
      <c r="N30" s="22" t="e">
        <f t="shared" si="4"/>
        <v>#VALUE!</v>
      </c>
      <c r="O30" s="23">
        <f>J30/L9*100</f>
        <v>0</v>
      </c>
      <c r="P30" s="20">
        <f>C7*O30/100</f>
        <v>0</v>
      </c>
    </row>
    <row r="31" spans="1:19" ht="15.75" customHeight="1" x14ac:dyDescent="0.25">
      <c r="A31" s="18">
        <v>22</v>
      </c>
      <c r="B31" s="18">
        <v>22</v>
      </c>
      <c r="C31" s="18" t="s">
        <v>57</v>
      </c>
      <c r="D31" s="18" t="s">
        <v>39</v>
      </c>
      <c r="E31" s="18">
        <v>1.18</v>
      </c>
      <c r="F31" s="18">
        <v>0</v>
      </c>
      <c r="G31" s="18">
        <v>0</v>
      </c>
      <c r="H31" s="19">
        <v>0</v>
      </c>
      <c r="I31" s="20">
        <f t="shared" si="0"/>
        <v>0</v>
      </c>
      <c r="J31" s="20">
        <f t="shared" si="5"/>
        <v>0</v>
      </c>
      <c r="K31" s="19"/>
      <c r="L31" s="19">
        <f t="shared" si="7"/>
        <v>13521.715181160005</v>
      </c>
      <c r="M31" s="19">
        <f t="shared" si="6"/>
        <v>13521.715181160005</v>
      </c>
      <c r="N31" s="22" t="e">
        <f t="shared" si="4"/>
        <v>#VALUE!</v>
      </c>
      <c r="O31" s="23">
        <f>J31/L9*100</f>
        <v>0</v>
      </c>
      <c r="P31" s="20">
        <f>C7*O31/100</f>
        <v>0</v>
      </c>
    </row>
    <row r="32" spans="1:19" ht="15.75" customHeight="1" x14ac:dyDescent="0.25">
      <c r="A32" s="37">
        <v>23</v>
      </c>
      <c r="B32" s="43">
        <v>23</v>
      </c>
      <c r="C32" s="43" t="s">
        <v>58</v>
      </c>
      <c r="D32" s="43" t="s">
        <v>59</v>
      </c>
      <c r="E32" s="43">
        <v>1.18</v>
      </c>
      <c r="F32" s="43">
        <v>0</v>
      </c>
      <c r="G32" s="43">
        <v>0</v>
      </c>
      <c r="H32" s="44">
        <v>0</v>
      </c>
      <c r="I32" s="45">
        <f t="shared" si="0"/>
        <v>0</v>
      </c>
      <c r="J32" s="45">
        <f t="shared" si="5"/>
        <v>0</v>
      </c>
      <c r="K32" s="44"/>
      <c r="L32" s="44">
        <f t="shared" si="7"/>
        <v>13521.715181160005</v>
      </c>
      <c r="M32" s="44">
        <f t="shared" si="6"/>
        <v>13521.715181160005</v>
      </c>
      <c r="N32" s="22" t="e">
        <f t="shared" si="4"/>
        <v>#VALUE!</v>
      </c>
      <c r="O32" s="23">
        <f>J32/L9*100</f>
        <v>0</v>
      </c>
      <c r="P32" s="20">
        <f>C7*O32/100</f>
        <v>0</v>
      </c>
    </row>
    <row r="33" spans="1:16" x14ac:dyDescent="0.25">
      <c r="A33" s="43">
        <v>24</v>
      </c>
      <c r="B33" s="43">
        <v>24</v>
      </c>
      <c r="C33" s="43" t="s">
        <v>60</v>
      </c>
      <c r="D33" s="55" t="s">
        <v>64</v>
      </c>
      <c r="E33" s="43">
        <v>1.18</v>
      </c>
      <c r="F33" s="43">
        <v>0</v>
      </c>
      <c r="G33" s="43">
        <v>0</v>
      </c>
      <c r="H33" s="44">
        <v>0</v>
      </c>
      <c r="I33" s="45">
        <f t="shared" si="0"/>
        <v>0</v>
      </c>
      <c r="J33" s="45">
        <f t="shared" si="5"/>
        <v>0</v>
      </c>
      <c r="K33" s="44"/>
      <c r="L33" s="44">
        <f t="shared" si="7"/>
        <v>13521.715181160005</v>
      </c>
      <c r="M33" s="44">
        <f t="shared" si="6"/>
        <v>13521.715181160005</v>
      </c>
      <c r="N33" s="22" t="e">
        <f t="shared" si="4"/>
        <v>#VALUE!</v>
      </c>
      <c r="O33" s="23">
        <f>J33/L9*100</f>
        <v>0</v>
      </c>
      <c r="P33" s="20">
        <f>C7*O33/100</f>
        <v>0</v>
      </c>
    </row>
    <row r="34" spans="1:16" hidden="1" x14ac:dyDescent="0.25">
      <c r="A34" s="3"/>
      <c r="C34" s="27"/>
      <c r="D34" s="28"/>
      <c r="E34" s="28"/>
      <c r="F34" s="28"/>
      <c r="G34" s="28"/>
      <c r="H34" s="29">
        <f t="shared" ref="H34:I34" si="8">SUM(H10:H33)</f>
        <v>0</v>
      </c>
      <c r="I34" s="30">
        <f t="shared" si="8"/>
        <v>0</v>
      </c>
      <c r="J34" s="30">
        <f>SUM(J10:J33)</f>
        <v>297583.63379999943</v>
      </c>
      <c r="K34" s="29">
        <f>SUM(K10:K33)</f>
        <v>3173.2099999999937</v>
      </c>
      <c r="L34" s="29">
        <f>SUM(L10:L33)</f>
        <v>1145793.4753933807</v>
      </c>
      <c r="M34" s="29">
        <f>SUM(M10:M33)</f>
        <v>1443395.10919338</v>
      </c>
      <c r="N34" s="5"/>
      <c r="O34" s="2" t="e">
        <f t="shared" ref="O34:O35" si="9">J34/C32*100</f>
        <v>#VALUE!</v>
      </c>
    </row>
    <row r="35" spans="1:16" ht="30" hidden="1" x14ac:dyDescent="0.25">
      <c r="A35" s="31" t="s">
        <v>61</v>
      </c>
      <c r="C35" s="59" t="s">
        <v>62</v>
      </c>
      <c r="D35" s="57"/>
      <c r="E35" s="57"/>
      <c r="F35" s="57"/>
      <c r="G35" s="57"/>
      <c r="H35" s="57"/>
      <c r="I35" s="57"/>
      <c r="J35" s="57"/>
      <c r="K35" s="57"/>
      <c r="L35" s="57"/>
      <c r="M35" s="60"/>
      <c r="N35" s="31"/>
      <c r="O35" s="2" t="e">
        <f t="shared" si="9"/>
        <v>#VALUE!</v>
      </c>
    </row>
    <row r="36" spans="1:16" x14ac:dyDescent="0.25">
      <c r="H36" s="5"/>
      <c r="J36" s="32"/>
      <c r="L36" s="32"/>
      <c r="M36" s="33"/>
      <c r="O36" s="2"/>
    </row>
    <row r="37" spans="1:16" ht="37.5" hidden="1" customHeight="1" x14ac:dyDescent="0.25">
      <c r="H37" s="5"/>
      <c r="K37" s="34">
        <f>J34+L34</f>
        <v>1443377.1091933802</v>
      </c>
      <c r="L37" s="34"/>
      <c r="O37" s="2"/>
    </row>
    <row r="38" spans="1:16" ht="15.75" customHeight="1" x14ac:dyDescent="0.25">
      <c r="B38" s="61" t="s">
        <v>66</v>
      </c>
      <c r="C38" s="62"/>
      <c r="D38" s="62"/>
      <c r="E38" s="62"/>
      <c r="F38" s="62"/>
      <c r="G38" s="62"/>
      <c r="H38" s="62"/>
      <c r="I38" s="62"/>
      <c r="J38" s="62"/>
      <c r="K38" s="62"/>
      <c r="L38" s="62"/>
      <c r="M38" s="62"/>
      <c r="O38" s="2"/>
    </row>
    <row r="39" spans="1:16" ht="33.75" customHeight="1" x14ac:dyDescent="0.25">
      <c r="B39" s="62"/>
      <c r="C39" s="62"/>
      <c r="D39" s="62"/>
      <c r="E39" s="62"/>
      <c r="F39" s="62"/>
      <c r="G39" s="62"/>
      <c r="H39" s="62"/>
      <c r="I39" s="62"/>
      <c r="J39" s="62"/>
      <c r="K39" s="62"/>
      <c r="L39" s="62"/>
      <c r="M39" s="62"/>
      <c r="O39" s="2"/>
    </row>
    <row r="40" spans="1:16" ht="15.75" customHeight="1" x14ac:dyDescent="0.25">
      <c r="B40" s="62"/>
      <c r="C40" s="62"/>
      <c r="D40" s="62"/>
      <c r="E40" s="62"/>
      <c r="F40" s="62"/>
      <c r="G40" s="62"/>
      <c r="H40" s="62"/>
      <c r="I40" s="62"/>
      <c r="J40" s="62"/>
      <c r="K40" s="62"/>
      <c r="L40" s="62"/>
      <c r="M40" s="62"/>
      <c r="O40" s="2"/>
    </row>
    <row r="41" spans="1:16" ht="15.75" customHeight="1" x14ac:dyDescent="0.25">
      <c r="B41" s="62"/>
      <c r="C41" s="62"/>
      <c r="D41" s="62"/>
      <c r="E41" s="62"/>
      <c r="F41" s="62"/>
      <c r="G41" s="62"/>
      <c r="H41" s="62"/>
      <c r="I41" s="62"/>
      <c r="J41" s="62"/>
      <c r="K41" s="62"/>
      <c r="L41" s="62"/>
      <c r="M41" s="62"/>
      <c r="O41" s="2"/>
    </row>
    <row r="42" spans="1:16" ht="64.5" customHeight="1" x14ac:dyDescent="0.25">
      <c r="B42" s="62"/>
      <c r="C42" s="62"/>
      <c r="D42" s="62"/>
      <c r="E42" s="62"/>
      <c r="F42" s="62"/>
      <c r="G42" s="62"/>
      <c r="H42" s="62"/>
      <c r="I42" s="62"/>
      <c r="J42" s="62"/>
      <c r="K42" s="62"/>
      <c r="L42" s="62"/>
      <c r="M42" s="62"/>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3">
    <mergeCell ref="A1:M1"/>
    <mergeCell ref="C35:M35"/>
    <mergeCell ref="B38:M42"/>
  </mergeCells>
  <pageMargins left="0.25" right="0.25" top="0.75" bottom="0.75" header="0" footer="0"/>
  <pageSetup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0"/>
  <sheetViews>
    <sheetView topLeftCell="B1" workbookViewId="0">
      <selection sqref="A1:M1"/>
    </sheetView>
  </sheetViews>
  <sheetFormatPr baseColWidth="10" defaultColWidth="14.42578125" defaultRowHeight="15" customHeight="1" x14ac:dyDescent="0.25"/>
  <cols>
    <col min="1" max="1" width="10" hidden="1" customWidth="1"/>
    <col min="2" max="2" width="10" customWidth="1"/>
    <col min="3" max="3" width="15.85546875" customWidth="1"/>
    <col min="4" max="4" width="27.85546875" customWidth="1"/>
    <col min="5" max="5" width="6.28515625" customWidth="1"/>
    <col min="6" max="7" width="10.7109375" customWidth="1"/>
    <col min="8" max="8" width="7.7109375" customWidth="1"/>
    <col min="9" max="9" width="10.85546875" customWidth="1"/>
    <col min="10" max="10" width="12.5703125" customWidth="1"/>
    <col min="11" max="11" width="6.85546875" customWidth="1"/>
    <col min="12" max="12" width="12.28515625" customWidth="1"/>
    <col min="13" max="13" width="13.42578125" customWidth="1"/>
    <col min="14" max="15" width="9.42578125" hidden="1" customWidth="1"/>
    <col min="16" max="16" width="12.5703125" hidden="1" customWidth="1"/>
    <col min="17" max="17" width="4.5703125" hidden="1" customWidth="1"/>
    <col min="18" max="18" width="5.28515625" hidden="1" customWidth="1"/>
    <col min="19" max="26" width="10.7109375" customWidth="1"/>
  </cols>
  <sheetData>
    <row r="1" spans="1:18" ht="21" customHeight="1" x14ac:dyDescent="0.25">
      <c r="A1" s="56" t="s">
        <v>0</v>
      </c>
      <c r="B1" s="57"/>
      <c r="C1" s="57"/>
      <c r="D1" s="57"/>
      <c r="E1" s="57"/>
      <c r="F1" s="57"/>
      <c r="G1" s="57"/>
      <c r="H1" s="57"/>
      <c r="I1" s="57"/>
      <c r="J1" s="57"/>
      <c r="K1" s="57"/>
      <c r="L1" s="57"/>
      <c r="M1" s="58"/>
      <c r="N1" s="1"/>
      <c r="O1" s="2"/>
      <c r="P1" s="3"/>
      <c r="Q1" s="3"/>
    </row>
    <row r="2" spans="1:18" x14ac:dyDescent="0.25">
      <c r="A2" s="4"/>
      <c r="B2" s="4"/>
      <c r="C2" s="3"/>
      <c r="D2" s="3"/>
      <c r="E2" s="3"/>
      <c r="F2" s="3"/>
      <c r="G2" s="3"/>
      <c r="H2" s="5"/>
      <c r="I2" s="3"/>
      <c r="J2" s="3"/>
      <c r="K2" s="3"/>
      <c r="L2" s="3"/>
      <c r="M2" s="6"/>
      <c r="N2" s="3"/>
      <c r="O2" s="2"/>
      <c r="P2" s="3"/>
      <c r="Q2" s="3"/>
    </row>
    <row r="3" spans="1:18" x14ac:dyDescent="0.25">
      <c r="A3" s="7" t="s">
        <v>1</v>
      </c>
      <c r="B3" s="7" t="s">
        <v>1</v>
      </c>
      <c r="C3" s="3" t="s">
        <v>2</v>
      </c>
      <c r="E3" s="3"/>
      <c r="F3" s="3"/>
      <c r="G3" s="3"/>
      <c r="H3" s="5"/>
      <c r="I3" s="3"/>
      <c r="J3" s="3"/>
      <c r="K3" s="3"/>
      <c r="L3" s="3"/>
      <c r="M3" s="6"/>
      <c r="N3" s="3"/>
      <c r="O3" s="2"/>
      <c r="P3" s="3"/>
      <c r="Q3" s="3"/>
    </row>
    <row r="4" spans="1:18" x14ac:dyDescent="0.25">
      <c r="A4" s="7" t="s">
        <v>3</v>
      </c>
      <c r="B4" s="7" t="s">
        <v>3</v>
      </c>
      <c r="C4" s="3" t="s">
        <v>4</v>
      </c>
      <c r="E4" s="3"/>
      <c r="F4" s="3"/>
      <c r="G4" s="3"/>
      <c r="H4" s="5"/>
      <c r="I4" s="3"/>
      <c r="J4" s="3"/>
      <c r="K4" s="3"/>
      <c r="L4" s="3"/>
      <c r="M4" s="6"/>
      <c r="N4" s="3"/>
      <c r="O4" s="2"/>
    </row>
    <row r="5" spans="1:18" x14ac:dyDescent="0.25">
      <c r="A5" s="7" t="s">
        <v>5</v>
      </c>
      <c r="B5" s="7" t="s">
        <v>5</v>
      </c>
      <c r="C5" s="3" t="s">
        <v>6</v>
      </c>
      <c r="E5" s="3"/>
      <c r="F5" s="3"/>
      <c r="G5" s="3"/>
      <c r="H5" s="5"/>
      <c r="I5" s="3"/>
      <c r="J5" s="3"/>
      <c r="K5" s="3"/>
      <c r="L5" s="3"/>
      <c r="M5" s="6"/>
      <c r="N5" s="3"/>
      <c r="O5" s="2"/>
    </row>
    <row r="6" spans="1:18" x14ac:dyDescent="0.25">
      <c r="A6" s="7" t="s">
        <v>7</v>
      </c>
      <c r="B6" s="7" t="s">
        <v>7</v>
      </c>
      <c r="C6" s="3" t="s">
        <v>8</v>
      </c>
      <c r="E6" s="3"/>
      <c r="F6" s="3"/>
      <c r="G6" s="3"/>
      <c r="H6" s="5"/>
      <c r="I6" s="3"/>
      <c r="J6" s="3"/>
      <c r="K6" s="3"/>
      <c r="L6" s="3"/>
      <c r="M6" s="6"/>
      <c r="N6" s="3"/>
      <c r="O6" s="2"/>
    </row>
    <row r="7" spans="1:18" hidden="1" x14ac:dyDescent="0.25">
      <c r="A7" s="8" t="s">
        <v>9</v>
      </c>
      <c r="B7" s="8" t="s">
        <v>9</v>
      </c>
      <c r="C7" s="9">
        <v>78800</v>
      </c>
      <c r="E7" s="10"/>
      <c r="F7" s="10"/>
      <c r="G7" s="10"/>
      <c r="H7" s="11"/>
      <c r="I7" s="10"/>
      <c r="J7" s="10"/>
      <c r="K7" s="10"/>
      <c r="L7" s="10"/>
      <c r="M7" s="12"/>
      <c r="N7" s="3"/>
      <c r="O7" s="2"/>
    </row>
    <row r="8" spans="1:18" x14ac:dyDescent="0.25">
      <c r="A8" s="8"/>
      <c r="B8" s="7" t="s">
        <v>9</v>
      </c>
      <c r="C8" s="9">
        <v>108686.04</v>
      </c>
      <c r="E8" s="10"/>
      <c r="F8" s="10"/>
      <c r="G8" s="10"/>
      <c r="H8" s="11"/>
      <c r="I8" s="10"/>
      <c r="J8" s="10"/>
      <c r="K8" s="10"/>
      <c r="L8" s="10"/>
      <c r="M8" s="12"/>
      <c r="N8" s="3"/>
      <c r="O8" s="2"/>
    </row>
    <row r="9" spans="1:18" ht="45" x14ac:dyDescent="0.25">
      <c r="A9" s="13" t="s">
        <v>10</v>
      </c>
      <c r="B9" s="13" t="s">
        <v>10</v>
      </c>
      <c r="C9" s="14" t="s">
        <v>11</v>
      </c>
      <c r="D9" s="13" t="s">
        <v>12</v>
      </c>
      <c r="E9" s="13" t="s">
        <v>13</v>
      </c>
      <c r="F9" s="14" t="s">
        <v>14</v>
      </c>
      <c r="G9" s="14" t="s">
        <v>15</v>
      </c>
      <c r="H9" s="15" t="s">
        <v>16</v>
      </c>
      <c r="I9" s="14" t="s">
        <v>17</v>
      </c>
      <c r="J9" s="14" t="s">
        <v>9</v>
      </c>
      <c r="K9" s="14" t="s">
        <v>18</v>
      </c>
      <c r="L9" s="16">
        <v>32215.279999999999</v>
      </c>
      <c r="M9" s="14" t="s">
        <v>19</v>
      </c>
      <c r="N9" s="17"/>
      <c r="O9" s="14" t="s">
        <v>20</v>
      </c>
      <c r="P9" s="14" t="s">
        <v>21</v>
      </c>
    </row>
    <row r="10" spans="1:18" x14ac:dyDescent="0.25">
      <c r="A10" s="18">
        <v>1</v>
      </c>
      <c r="B10" s="18">
        <v>1</v>
      </c>
      <c r="C10" s="18" t="s">
        <v>22</v>
      </c>
      <c r="D10" s="18" t="s">
        <v>23</v>
      </c>
      <c r="E10" s="18">
        <v>4.9000000000000004</v>
      </c>
      <c r="F10" s="18">
        <v>8561.6</v>
      </c>
      <c r="G10" s="18">
        <v>9288</v>
      </c>
      <c r="H10" s="19">
        <v>0</v>
      </c>
      <c r="I10" s="20">
        <f t="shared" ref="I10:I33" si="0">H10*7%</f>
        <v>0</v>
      </c>
      <c r="J10" s="20">
        <f t="shared" ref="J10:J23" si="1">(G10-F10)*8.0939</f>
        <v>5879.408959999997</v>
      </c>
      <c r="K10" s="21">
        <f t="shared" ref="K10:K25" si="2">G10-F10</f>
        <v>726.39999999999964</v>
      </c>
      <c r="L10" s="19">
        <f>L9*E10/100</f>
        <v>1578.54872</v>
      </c>
      <c r="M10" s="19">
        <f t="shared" ref="M10:M33" si="3">J10+P10</f>
        <v>20260.703365884405</v>
      </c>
      <c r="N10" s="22">
        <f>J10/C7*100</f>
        <v>7.4611788832487269</v>
      </c>
      <c r="O10" s="23">
        <f>J10/L9*100</f>
        <v>18.250373611528435</v>
      </c>
      <c r="P10" s="20">
        <f>C7*O10/100</f>
        <v>14381.294405884408</v>
      </c>
      <c r="Q10" s="24">
        <v>0.31</v>
      </c>
      <c r="R10" s="25">
        <f t="shared" ref="R10:R11" si="4">4000*Q10</f>
        <v>1240</v>
      </c>
    </row>
    <row r="11" spans="1:18" x14ac:dyDescent="0.25">
      <c r="A11" s="18">
        <v>2</v>
      </c>
      <c r="B11" s="18">
        <v>2</v>
      </c>
      <c r="C11" s="18" t="s">
        <v>24</v>
      </c>
      <c r="D11" s="18" t="s">
        <v>25</v>
      </c>
      <c r="E11" s="18">
        <v>3.89</v>
      </c>
      <c r="F11" s="18">
        <v>13530.5</v>
      </c>
      <c r="G11" s="18">
        <v>13535.5</v>
      </c>
      <c r="H11" s="19">
        <v>0</v>
      </c>
      <c r="I11" s="20">
        <f t="shared" si="0"/>
        <v>0</v>
      </c>
      <c r="J11" s="20">
        <f t="shared" si="1"/>
        <v>40.469499999999996</v>
      </c>
      <c r="K11" s="21">
        <f t="shared" si="2"/>
        <v>5</v>
      </c>
      <c r="L11" s="19">
        <v>1950</v>
      </c>
      <c r="M11" s="19">
        <f t="shared" si="3"/>
        <v>4810.2557629162311</v>
      </c>
      <c r="N11" s="22" t="e">
        <f t="shared" ref="N11:N33" si="5">J11/C9*100</f>
        <v>#VALUE!</v>
      </c>
      <c r="O11" s="23">
        <f>L11/L9*100</f>
        <v>6.0530282524317656</v>
      </c>
      <c r="P11" s="20">
        <f>C7*O11/100</f>
        <v>4769.786262916231</v>
      </c>
      <c r="Q11" s="24">
        <v>0.19</v>
      </c>
      <c r="R11" s="25">
        <f t="shared" si="4"/>
        <v>760</v>
      </c>
    </row>
    <row r="12" spans="1:18" x14ac:dyDescent="0.25">
      <c r="A12" s="18">
        <v>3</v>
      </c>
      <c r="B12" s="18">
        <v>3</v>
      </c>
      <c r="C12" s="18" t="s">
        <v>26</v>
      </c>
      <c r="D12" s="18" t="s">
        <v>27</v>
      </c>
      <c r="E12" s="18">
        <v>4</v>
      </c>
      <c r="F12" s="18">
        <v>6342.2</v>
      </c>
      <c r="G12" s="18">
        <v>6559.4</v>
      </c>
      <c r="H12" s="19">
        <v>0</v>
      </c>
      <c r="I12" s="20">
        <f t="shared" si="0"/>
        <v>0</v>
      </c>
      <c r="J12" s="20">
        <f t="shared" si="1"/>
        <v>1757.9950799999986</v>
      </c>
      <c r="K12" s="21">
        <f t="shared" si="2"/>
        <v>217.19999999999982</v>
      </c>
      <c r="L12" s="19">
        <f>L9*E12/100</f>
        <v>1288.6112000000001</v>
      </c>
      <c r="M12" s="19">
        <f t="shared" si="3"/>
        <v>6058.1288147991336</v>
      </c>
      <c r="N12" s="22" t="e">
        <f t="shared" si="5"/>
        <v>#VALUE!</v>
      </c>
      <c r="O12" s="23">
        <f>J12/L9*100</f>
        <v>5.4570225060902731</v>
      </c>
      <c r="P12" s="20">
        <f>C7*O12/100</f>
        <v>4300.1337347991348</v>
      </c>
    </row>
    <row r="13" spans="1:18" x14ac:dyDescent="0.25">
      <c r="A13" s="18">
        <v>4</v>
      </c>
      <c r="B13" s="18">
        <v>4</v>
      </c>
      <c r="C13" s="18" t="s">
        <v>28</v>
      </c>
      <c r="D13" s="18" t="s">
        <v>29</v>
      </c>
      <c r="E13" s="18">
        <v>4.9000000000000004</v>
      </c>
      <c r="F13" s="18">
        <v>14929.7</v>
      </c>
      <c r="G13" s="18">
        <v>15308.8</v>
      </c>
      <c r="H13" s="26">
        <v>0</v>
      </c>
      <c r="I13" s="20">
        <f t="shared" si="0"/>
        <v>0</v>
      </c>
      <c r="J13" s="20">
        <f t="shared" si="1"/>
        <v>3068.397489999988</v>
      </c>
      <c r="K13" s="21">
        <f t="shared" si="2"/>
        <v>379.09999999999854</v>
      </c>
      <c r="L13" s="19">
        <f>L9*E13/100</f>
        <v>1578.54872</v>
      </c>
      <c r="M13" s="19">
        <f t="shared" si="3"/>
        <v>10573.833488445418</v>
      </c>
      <c r="N13" s="22" t="e">
        <f t="shared" si="5"/>
        <v>#VALUE!</v>
      </c>
      <c r="O13" s="23">
        <f>J13/L9*100</f>
        <v>9.5246649726464838</v>
      </c>
      <c r="P13" s="20">
        <f>C7*O13/100</f>
        <v>7505.4359984454295</v>
      </c>
    </row>
    <row r="14" spans="1:18" x14ac:dyDescent="0.25">
      <c r="A14" s="18">
        <v>5</v>
      </c>
      <c r="B14" s="18">
        <v>5</v>
      </c>
      <c r="C14" s="18" t="s">
        <v>30</v>
      </c>
      <c r="D14" s="18" t="s">
        <v>31</v>
      </c>
      <c r="E14" s="18">
        <v>3.89</v>
      </c>
      <c r="F14" s="18">
        <v>2380.8000000000002</v>
      </c>
      <c r="G14" s="18">
        <v>2540.3000000000002</v>
      </c>
      <c r="H14" s="26">
        <v>0</v>
      </c>
      <c r="I14" s="20">
        <f t="shared" si="0"/>
        <v>0</v>
      </c>
      <c r="J14" s="20">
        <f t="shared" si="1"/>
        <v>1290.97705</v>
      </c>
      <c r="K14" s="21">
        <f t="shared" si="2"/>
        <v>159.5</v>
      </c>
      <c r="L14" s="19">
        <f>L9*E14/100</f>
        <v>1253.1743919999999</v>
      </c>
      <c r="M14" s="19">
        <f t="shared" si="3"/>
        <v>4448.7640237590367</v>
      </c>
      <c r="N14" s="22" t="e">
        <f t="shared" si="5"/>
        <v>#VALUE!</v>
      </c>
      <c r="O14" s="23">
        <f>J14/L9*100</f>
        <v>4.0073438753287265</v>
      </c>
      <c r="P14" s="20">
        <f>C7*O14/100</f>
        <v>3157.7869737590368</v>
      </c>
    </row>
    <row r="15" spans="1:18" x14ac:dyDescent="0.25">
      <c r="A15" s="18">
        <v>6</v>
      </c>
      <c r="B15" s="18">
        <v>6</v>
      </c>
      <c r="C15" s="18" t="s">
        <v>32</v>
      </c>
      <c r="D15" s="18" t="s">
        <v>33</v>
      </c>
      <c r="E15" s="18">
        <v>4</v>
      </c>
      <c r="F15" s="18">
        <v>6111.2</v>
      </c>
      <c r="G15" s="18">
        <v>6222.3</v>
      </c>
      <c r="H15" s="19">
        <v>0</v>
      </c>
      <c r="I15" s="20">
        <f t="shared" si="0"/>
        <v>0</v>
      </c>
      <c r="J15" s="20">
        <f t="shared" si="1"/>
        <v>899.23229000000288</v>
      </c>
      <c r="K15" s="21">
        <f t="shared" si="2"/>
        <v>111.10000000000036</v>
      </c>
      <c r="L15" s="19">
        <f>L9*E15/100</f>
        <v>1288.6112000000001</v>
      </c>
      <c r="M15" s="19">
        <f t="shared" si="3"/>
        <v>3098.7942510321664</v>
      </c>
      <c r="N15" s="22" t="e">
        <f t="shared" si="5"/>
        <v>#VALUE!</v>
      </c>
      <c r="O15" s="23">
        <f>J15/L9*100</f>
        <v>2.7913222855738113</v>
      </c>
      <c r="P15" s="20">
        <f>C7*O15/100</f>
        <v>2199.5619610321633</v>
      </c>
    </row>
    <row r="16" spans="1:18" x14ac:dyDescent="0.25">
      <c r="A16" s="18">
        <v>7</v>
      </c>
      <c r="B16" s="18">
        <v>7</v>
      </c>
      <c r="C16" s="18" t="s">
        <v>34</v>
      </c>
      <c r="D16" s="18" t="s">
        <v>35</v>
      </c>
      <c r="E16" s="18">
        <v>4.9000000000000004</v>
      </c>
      <c r="F16" s="18">
        <v>12291.4</v>
      </c>
      <c r="G16" s="18">
        <v>12348.1</v>
      </c>
      <c r="H16" s="19">
        <v>0</v>
      </c>
      <c r="I16" s="20">
        <f t="shared" si="0"/>
        <v>0</v>
      </c>
      <c r="J16" s="20">
        <f t="shared" si="1"/>
        <v>458.92413000000585</v>
      </c>
      <c r="K16" s="21">
        <f t="shared" si="2"/>
        <v>56.700000000000728</v>
      </c>
      <c r="L16" s="19">
        <f>L9*E16/100</f>
        <v>1578.54872</v>
      </c>
      <c r="M16" s="19">
        <f t="shared" si="3"/>
        <v>1581.4728535870881</v>
      </c>
      <c r="N16" s="22" t="e">
        <f t="shared" si="5"/>
        <v>#VALUE!</v>
      </c>
      <c r="O16" s="23">
        <f>J16/L9*100</f>
        <v>1.4245542177501045</v>
      </c>
      <c r="P16" s="20">
        <f>C7*O16/100</f>
        <v>1122.5487235870823</v>
      </c>
    </row>
    <row r="17" spans="1:16" x14ac:dyDescent="0.25">
      <c r="A17" s="18">
        <v>8</v>
      </c>
      <c r="B17" s="18">
        <v>8</v>
      </c>
      <c r="C17" s="18" t="s">
        <v>36</v>
      </c>
      <c r="D17" s="18" t="s">
        <v>37</v>
      </c>
      <c r="E17" s="18">
        <v>3.89</v>
      </c>
      <c r="F17" s="18">
        <v>1525.16</v>
      </c>
      <c r="G17" s="18">
        <v>1650.33</v>
      </c>
      <c r="H17" s="26">
        <v>0</v>
      </c>
      <c r="I17" s="20">
        <f t="shared" si="0"/>
        <v>0</v>
      </c>
      <c r="J17" s="20">
        <f t="shared" si="1"/>
        <v>1013.1134629999987</v>
      </c>
      <c r="K17" s="21">
        <f t="shared" si="2"/>
        <v>125.16999999999985</v>
      </c>
      <c r="L17" s="19">
        <f>L9*E17/100</f>
        <v>1253.1743919999999</v>
      </c>
      <c r="M17" s="19">
        <f t="shared" si="3"/>
        <v>3491.2338109963503</v>
      </c>
      <c r="N17" s="22" t="e">
        <f t="shared" si="5"/>
        <v>#VALUE!</v>
      </c>
      <c r="O17" s="23">
        <f>J17/L9*100</f>
        <v>3.1448227766451162</v>
      </c>
      <c r="P17" s="20">
        <f>C7*O17/100</f>
        <v>2478.1203479963515</v>
      </c>
    </row>
    <row r="18" spans="1:16" x14ac:dyDescent="0.25">
      <c r="A18" s="18">
        <v>9</v>
      </c>
      <c r="B18" s="18">
        <v>9</v>
      </c>
      <c r="C18" s="18" t="s">
        <v>38</v>
      </c>
      <c r="D18" s="18" t="s">
        <v>39</v>
      </c>
      <c r="E18" s="18">
        <v>4</v>
      </c>
      <c r="F18" s="18">
        <v>12904.4</v>
      </c>
      <c r="G18" s="18">
        <v>13160.8</v>
      </c>
      <c r="H18" s="19">
        <v>0</v>
      </c>
      <c r="I18" s="20">
        <f t="shared" si="0"/>
        <v>0</v>
      </c>
      <c r="J18" s="20">
        <f t="shared" si="1"/>
        <v>2075.2759599999968</v>
      </c>
      <c r="K18" s="21">
        <f t="shared" si="2"/>
        <v>256.39999999999964</v>
      </c>
      <c r="L18" s="19">
        <f>L9*E18/100</f>
        <v>1288.6112000000001</v>
      </c>
      <c r="M18" s="19">
        <f t="shared" si="3"/>
        <v>7151.4927629580889</v>
      </c>
      <c r="N18" s="22" t="e">
        <f t="shared" si="5"/>
        <v>#VALUE!</v>
      </c>
      <c r="O18" s="23">
        <f>J18/L9*100</f>
        <v>6.4418994961397109</v>
      </c>
      <c r="P18" s="20">
        <f>C7*O18/100</f>
        <v>5076.2168029580926</v>
      </c>
    </row>
    <row r="19" spans="1:16" x14ac:dyDescent="0.25">
      <c r="A19" s="18">
        <v>10</v>
      </c>
      <c r="B19" s="18">
        <v>10</v>
      </c>
      <c r="C19" s="18" t="s">
        <v>40</v>
      </c>
      <c r="D19" s="18" t="s">
        <v>41</v>
      </c>
      <c r="E19" s="18">
        <v>12.66</v>
      </c>
      <c r="F19" s="18">
        <v>11324.3</v>
      </c>
      <c r="G19" s="18">
        <v>11514.4</v>
      </c>
      <c r="H19" s="19">
        <v>0</v>
      </c>
      <c r="I19" s="20">
        <f t="shared" si="0"/>
        <v>0</v>
      </c>
      <c r="J19" s="20">
        <f t="shared" si="1"/>
        <v>1538.650390000003</v>
      </c>
      <c r="K19" s="21">
        <f t="shared" si="2"/>
        <v>190.10000000000036</v>
      </c>
      <c r="L19" s="19">
        <f>L9*E19/100</f>
        <v>4078.454448</v>
      </c>
      <c r="M19" s="19">
        <f t="shared" si="3"/>
        <v>5302.2573098219091</v>
      </c>
      <c r="N19" s="22" t="e">
        <f t="shared" si="5"/>
        <v>#VALUE!</v>
      </c>
      <c r="O19" s="23">
        <f>J19/L9*100</f>
        <v>4.7761509134795759</v>
      </c>
      <c r="P19" s="20">
        <f>C7*O19/100</f>
        <v>3763.6069198219061</v>
      </c>
    </row>
    <row r="20" spans="1:16" x14ac:dyDescent="0.25">
      <c r="A20" s="18">
        <v>11</v>
      </c>
      <c r="B20" s="18">
        <v>11</v>
      </c>
      <c r="C20" s="18" t="s">
        <v>42</v>
      </c>
      <c r="D20" s="18" t="s">
        <v>29</v>
      </c>
      <c r="E20" s="18">
        <v>7.75</v>
      </c>
      <c r="F20" s="18">
        <v>8132.8</v>
      </c>
      <c r="G20" s="18">
        <v>8306.1</v>
      </c>
      <c r="H20" s="26">
        <v>0</v>
      </c>
      <c r="I20" s="20">
        <f t="shared" si="0"/>
        <v>0</v>
      </c>
      <c r="J20" s="20">
        <f t="shared" si="1"/>
        <v>1402.6728700000015</v>
      </c>
      <c r="K20" s="21">
        <f t="shared" si="2"/>
        <v>173.30000000000018</v>
      </c>
      <c r="L20" s="19">
        <f>L9*E20/100</f>
        <v>2496.6841999999997</v>
      </c>
      <c r="M20" s="19">
        <f t="shared" si="3"/>
        <v>4833.6727606109207</v>
      </c>
      <c r="N20" s="22" t="e">
        <f t="shared" si="5"/>
        <v>#VALUE!</v>
      </c>
      <c r="O20" s="23">
        <f>J20/L9*100</f>
        <v>4.3540607748869533</v>
      </c>
      <c r="P20" s="20">
        <f>C7*O20/100</f>
        <v>3430.999890610919</v>
      </c>
    </row>
    <row r="21" spans="1:16" ht="15.75" customHeight="1" x14ac:dyDescent="0.25">
      <c r="A21" s="18">
        <v>12</v>
      </c>
      <c r="B21" s="18">
        <v>12</v>
      </c>
      <c r="C21" s="18" t="s">
        <v>43</v>
      </c>
      <c r="D21" s="18" t="s">
        <v>44</v>
      </c>
      <c r="E21" s="18">
        <v>7.51</v>
      </c>
      <c r="F21" s="18">
        <v>6998</v>
      </c>
      <c r="G21" s="18">
        <v>7159.5</v>
      </c>
      <c r="H21" s="26">
        <v>0</v>
      </c>
      <c r="I21" s="20">
        <f t="shared" si="0"/>
        <v>0</v>
      </c>
      <c r="J21" s="20">
        <f t="shared" si="1"/>
        <v>1307.1648499999999</v>
      </c>
      <c r="K21" s="21">
        <f t="shared" si="2"/>
        <v>161.5</v>
      </c>
      <c r="L21" s="19">
        <f>L9*E21/100</f>
        <v>2419.3675279999998</v>
      </c>
      <c r="M21" s="19">
        <f t="shared" si="3"/>
        <v>4504.5478986651051</v>
      </c>
      <c r="N21" s="22" t="e">
        <f t="shared" si="5"/>
        <v>#VALUE!</v>
      </c>
      <c r="O21" s="23">
        <f>J21/L9*100</f>
        <v>4.0575927013516564</v>
      </c>
      <c r="P21" s="20">
        <f>C7*O21/100</f>
        <v>3197.383048665105</v>
      </c>
    </row>
    <row r="22" spans="1:16" ht="15.75" customHeight="1" x14ac:dyDescent="0.25">
      <c r="A22" s="18">
        <v>13</v>
      </c>
      <c r="B22" s="18">
        <v>13</v>
      </c>
      <c r="C22" s="18" t="s">
        <v>45</v>
      </c>
      <c r="D22" s="18" t="s">
        <v>46</v>
      </c>
      <c r="E22" s="18">
        <v>4.45</v>
      </c>
      <c r="F22" s="18">
        <v>957.7</v>
      </c>
      <c r="G22" s="18">
        <v>1161.8</v>
      </c>
      <c r="H22" s="26">
        <v>0</v>
      </c>
      <c r="I22" s="20">
        <f t="shared" si="0"/>
        <v>0</v>
      </c>
      <c r="J22" s="20">
        <f t="shared" si="1"/>
        <v>1651.9649899999993</v>
      </c>
      <c r="K22" s="21">
        <f t="shared" si="2"/>
        <v>204.09999999999991</v>
      </c>
      <c r="L22" s="19">
        <f>L9*E22/100</f>
        <v>1433.57996</v>
      </c>
      <c r="M22" s="19">
        <f t="shared" si="3"/>
        <v>5692.7444341643823</v>
      </c>
      <c r="N22" s="22" t="e">
        <f t="shared" si="5"/>
        <v>#VALUE!</v>
      </c>
      <c r="O22" s="23">
        <f>J22/L9*100</f>
        <v>5.1278926956400799</v>
      </c>
      <c r="P22" s="20">
        <f>C7*O22/100</f>
        <v>4040.7794441643828</v>
      </c>
    </row>
    <row r="23" spans="1:16" ht="15.75" customHeight="1" x14ac:dyDescent="0.25">
      <c r="A23" s="18">
        <v>14</v>
      </c>
      <c r="B23" s="18">
        <v>14</v>
      </c>
      <c r="C23" s="18" t="s">
        <v>47</v>
      </c>
      <c r="D23" s="18" t="s">
        <v>48</v>
      </c>
      <c r="E23" s="18">
        <v>6.17</v>
      </c>
      <c r="F23" s="18">
        <v>8293.61</v>
      </c>
      <c r="G23" s="18">
        <v>8479.3700000000008</v>
      </c>
      <c r="H23" s="19">
        <v>0</v>
      </c>
      <c r="I23" s="20">
        <f t="shared" si="0"/>
        <v>0</v>
      </c>
      <c r="J23" s="20">
        <f t="shared" si="1"/>
        <v>1503.5228640000016</v>
      </c>
      <c r="K23" s="21">
        <f t="shared" si="2"/>
        <v>185.76000000000022</v>
      </c>
      <c r="L23" s="19">
        <f>L9*E23/100</f>
        <v>1987.6827760000001</v>
      </c>
      <c r="M23" s="19">
        <f t="shared" si="3"/>
        <v>5181.2063012757335</v>
      </c>
      <c r="N23" s="22" t="e">
        <f t="shared" si="5"/>
        <v>#VALUE!</v>
      </c>
      <c r="O23" s="23">
        <f>J23/L9*100</f>
        <v>4.6671109610098123</v>
      </c>
      <c r="P23" s="20">
        <f>C7*O23/100</f>
        <v>3677.6834372757321</v>
      </c>
    </row>
    <row r="24" spans="1:16" ht="15.75" customHeight="1" x14ac:dyDescent="0.25">
      <c r="A24" s="18">
        <v>15</v>
      </c>
      <c r="B24" s="18">
        <v>15</v>
      </c>
      <c r="C24" s="18" t="s">
        <v>49</v>
      </c>
      <c r="D24" s="18" t="s">
        <v>25</v>
      </c>
      <c r="E24" s="18">
        <v>4.45</v>
      </c>
      <c r="F24" s="18">
        <v>19581.3</v>
      </c>
      <c r="G24" s="18">
        <v>19822.099999999999</v>
      </c>
      <c r="H24" s="19">
        <v>0</v>
      </c>
      <c r="I24" s="20">
        <f t="shared" si="0"/>
        <v>0</v>
      </c>
      <c r="J24" s="20">
        <f>(G24-F24)*8.0939+22</f>
        <v>1971.011119999994</v>
      </c>
      <c r="K24" s="21">
        <f t="shared" si="2"/>
        <v>240.79999999999927</v>
      </c>
      <c r="L24" s="19">
        <f>L9*E24/100</f>
        <v>1433.57996</v>
      </c>
      <c r="M24" s="19">
        <f t="shared" si="3"/>
        <v>6792.1915119133819</v>
      </c>
      <c r="N24" s="22" t="e">
        <f t="shared" si="5"/>
        <v>#VALUE!</v>
      </c>
      <c r="O24" s="23">
        <f>J24/L9*100</f>
        <v>6.1182492283164827</v>
      </c>
      <c r="P24" s="20">
        <f>C7*O24/100</f>
        <v>4821.1803919133881</v>
      </c>
    </row>
    <row r="25" spans="1:16" ht="15.75" customHeight="1" x14ac:dyDescent="0.25">
      <c r="A25" s="18">
        <v>16</v>
      </c>
      <c r="B25" s="18">
        <v>16</v>
      </c>
      <c r="C25" s="18" t="s">
        <v>50</v>
      </c>
      <c r="D25" s="18" t="s">
        <v>41</v>
      </c>
      <c r="E25" s="18">
        <v>9.19</v>
      </c>
      <c r="F25" s="18">
        <v>7472</v>
      </c>
      <c r="G25" s="18">
        <v>7571.2</v>
      </c>
      <c r="H25" s="19">
        <v>0</v>
      </c>
      <c r="I25" s="20">
        <f t="shared" si="0"/>
        <v>0</v>
      </c>
      <c r="J25" s="20">
        <f>(G25-F25)*8.0939</f>
        <v>802.91487999999845</v>
      </c>
      <c r="K25" s="21">
        <f t="shared" si="2"/>
        <v>99.199999999999818</v>
      </c>
      <c r="L25" s="19">
        <f>L9*E25/100</f>
        <v>2960.5842319999997</v>
      </c>
      <c r="M25" s="19">
        <f t="shared" si="3"/>
        <v>2766.8801953410384</v>
      </c>
      <c r="N25" s="22" t="e">
        <f t="shared" si="5"/>
        <v>#VALUE!</v>
      </c>
      <c r="O25" s="23">
        <f>J25/L9*100</f>
        <v>2.4923417707373599</v>
      </c>
      <c r="P25" s="20">
        <f>C7*O25/100</f>
        <v>1963.9653153410397</v>
      </c>
    </row>
    <row r="26" spans="1:16" ht="15.75" customHeight="1" x14ac:dyDescent="0.25">
      <c r="A26" s="18">
        <v>17</v>
      </c>
      <c r="B26" s="18">
        <v>17</v>
      </c>
      <c r="C26" s="18" t="s">
        <v>51</v>
      </c>
      <c r="D26" s="18" t="s">
        <v>29</v>
      </c>
      <c r="E26" s="18">
        <v>1.18</v>
      </c>
      <c r="F26" s="18"/>
      <c r="G26" s="18">
        <v>0</v>
      </c>
      <c r="H26" s="19">
        <v>0</v>
      </c>
      <c r="I26" s="20">
        <f t="shared" si="0"/>
        <v>0</v>
      </c>
      <c r="J26" s="20">
        <v>450</v>
      </c>
      <c r="K26" s="19"/>
      <c r="L26" s="19">
        <v>0</v>
      </c>
      <c r="M26" s="19">
        <f t="shared" si="3"/>
        <v>1550.7199068268226</v>
      </c>
      <c r="N26" s="22" t="e">
        <f t="shared" si="5"/>
        <v>#VALUE!</v>
      </c>
      <c r="O26" s="23">
        <f>J26/L9*100</f>
        <v>1.3968526736380997</v>
      </c>
      <c r="P26" s="20">
        <f>C7*O26/100</f>
        <v>1100.7199068268226</v>
      </c>
    </row>
    <row r="27" spans="1:16" ht="15.75" customHeight="1" x14ac:dyDescent="0.25">
      <c r="A27" s="18">
        <v>18</v>
      </c>
      <c r="B27" s="18">
        <v>18</v>
      </c>
      <c r="C27" s="18" t="s">
        <v>52</v>
      </c>
      <c r="D27" s="18" t="s">
        <v>53</v>
      </c>
      <c r="E27" s="18">
        <v>1.18</v>
      </c>
      <c r="F27" s="18"/>
      <c r="G27" s="18">
        <v>0</v>
      </c>
      <c r="H27" s="19">
        <v>0</v>
      </c>
      <c r="I27" s="20">
        <f t="shared" si="0"/>
        <v>0</v>
      </c>
      <c r="J27" s="20">
        <v>450</v>
      </c>
      <c r="K27" s="19"/>
      <c r="L27" s="19">
        <v>0</v>
      </c>
      <c r="M27" s="19">
        <f t="shared" si="3"/>
        <v>1550.7199068268226</v>
      </c>
      <c r="N27" s="22" t="e">
        <f t="shared" si="5"/>
        <v>#VALUE!</v>
      </c>
      <c r="O27" s="23">
        <f>J27/L9*100</f>
        <v>1.3968526736380997</v>
      </c>
      <c r="P27" s="20">
        <f>C7*O27/100</f>
        <v>1100.7199068268226</v>
      </c>
    </row>
    <row r="28" spans="1:16" ht="15.75" customHeight="1" x14ac:dyDescent="0.25">
      <c r="A28" s="18">
        <v>19</v>
      </c>
      <c r="B28" s="18">
        <v>19</v>
      </c>
      <c r="C28" s="18" t="s">
        <v>54</v>
      </c>
      <c r="D28" s="18" t="s">
        <v>53</v>
      </c>
      <c r="E28" s="18">
        <v>1.18</v>
      </c>
      <c r="F28" s="18"/>
      <c r="G28" s="18">
        <v>0</v>
      </c>
      <c r="H28" s="19">
        <v>0</v>
      </c>
      <c r="I28" s="20">
        <f t="shared" si="0"/>
        <v>0</v>
      </c>
      <c r="J28" s="20">
        <v>450</v>
      </c>
      <c r="K28" s="19"/>
      <c r="L28" s="19">
        <v>0</v>
      </c>
      <c r="M28" s="19">
        <f t="shared" si="3"/>
        <v>1550.7199068268226</v>
      </c>
      <c r="N28" s="22" t="e">
        <f t="shared" si="5"/>
        <v>#VALUE!</v>
      </c>
      <c r="O28" s="23">
        <f>J28/L9*100</f>
        <v>1.3968526736380997</v>
      </c>
      <c r="P28" s="20">
        <f>C7*O28/100</f>
        <v>1100.7199068268226</v>
      </c>
    </row>
    <row r="29" spans="1:16" ht="15.75" customHeight="1" x14ac:dyDescent="0.25">
      <c r="A29" s="18">
        <v>20</v>
      </c>
      <c r="B29" s="18">
        <v>20</v>
      </c>
      <c r="C29" s="18" t="s">
        <v>55</v>
      </c>
      <c r="D29" s="18" t="s">
        <v>27</v>
      </c>
      <c r="E29" s="18">
        <v>1.18</v>
      </c>
      <c r="F29" s="18"/>
      <c r="G29" s="18">
        <v>0</v>
      </c>
      <c r="H29" s="19">
        <v>0</v>
      </c>
      <c r="I29" s="20">
        <f t="shared" si="0"/>
        <v>0</v>
      </c>
      <c r="J29" s="20">
        <v>450</v>
      </c>
      <c r="K29" s="19"/>
      <c r="L29" s="19">
        <v>0</v>
      </c>
      <c r="M29" s="19">
        <f t="shared" si="3"/>
        <v>1550.7199068268226</v>
      </c>
      <c r="N29" s="22" t="e">
        <f t="shared" si="5"/>
        <v>#VALUE!</v>
      </c>
      <c r="O29" s="23">
        <f>J29/L9*100</f>
        <v>1.3968526736380997</v>
      </c>
      <c r="P29" s="20">
        <f>C7*O29/100</f>
        <v>1100.7199068268226</v>
      </c>
    </row>
    <row r="30" spans="1:16" ht="15.75" customHeight="1" x14ac:dyDescent="0.25">
      <c r="A30" s="18">
        <v>21</v>
      </c>
      <c r="B30" s="18">
        <v>21</v>
      </c>
      <c r="C30" s="18" t="s">
        <v>56</v>
      </c>
      <c r="D30" s="18" t="s">
        <v>41</v>
      </c>
      <c r="E30" s="18">
        <v>1.18</v>
      </c>
      <c r="F30" s="18"/>
      <c r="G30" s="18">
        <v>0</v>
      </c>
      <c r="H30" s="19">
        <v>0</v>
      </c>
      <c r="I30" s="20">
        <f t="shared" si="0"/>
        <v>0</v>
      </c>
      <c r="J30" s="20">
        <v>450</v>
      </c>
      <c r="K30" s="19"/>
      <c r="L30" s="19">
        <v>0</v>
      </c>
      <c r="M30" s="19">
        <f t="shared" si="3"/>
        <v>1550.7199068268226</v>
      </c>
      <c r="N30" s="22" t="e">
        <f t="shared" si="5"/>
        <v>#VALUE!</v>
      </c>
      <c r="O30" s="23">
        <f>J30/L9*100</f>
        <v>1.3968526736380997</v>
      </c>
      <c r="P30" s="20">
        <f>C7*O30/100</f>
        <v>1100.7199068268226</v>
      </c>
    </row>
    <row r="31" spans="1:16" ht="15.75" customHeight="1" x14ac:dyDescent="0.25">
      <c r="A31" s="18">
        <v>22</v>
      </c>
      <c r="B31" s="18">
        <v>22</v>
      </c>
      <c r="C31" s="18" t="s">
        <v>57</v>
      </c>
      <c r="D31" s="18" t="s">
        <v>39</v>
      </c>
      <c r="E31" s="18">
        <v>1.18</v>
      </c>
      <c r="F31" s="18"/>
      <c r="G31" s="18">
        <v>0</v>
      </c>
      <c r="H31" s="19">
        <v>0</v>
      </c>
      <c r="I31" s="20">
        <f t="shared" si="0"/>
        <v>0</v>
      </c>
      <c r="J31" s="20">
        <v>450</v>
      </c>
      <c r="K31" s="19"/>
      <c r="L31" s="19">
        <v>0</v>
      </c>
      <c r="M31" s="19">
        <f t="shared" si="3"/>
        <v>1550.7199068268226</v>
      </c>
      <c r="N31" s="22" t="e">
        <f t="shared" si="5"/>
        <v>#VALUE!</v>
      </c>
      <c r="O31" s="23">
        <f>J31/L9*100</f>
        <v>1.3968526736380997</v>
      </c>
      <c r="P31" s="20">
        <f>C7*O31/100</f>
        <v>1100.7199068268226</v>
      </c>
    </row>
    <row r="32" spans="1:16" ht="15.75" customHeight="1" x14ac:dyDescent="0.25">
      <c r="A32" s="18">
        <v>23</v>
      </c>
      <c r="B32" s="18">
        <v>23</v>
      </c>
      <c r="C32" s="18" t="s">
        <v>58</v>
      </c>
      <c r="D32" s="18" t="s">
        <v>59</v>
      </c>
      <c r="E32" s="18">
        <v>1.18</v>
      </c>
      <c r="F32" s="18"/>
      <c r="G32" s="18">
        <v>0</v>
      </c>
      <c r="H32" s="19">
        <v>0</v>
      </c>
      <c r="I32" s="20">
        <f t="shared" si="0"/>
        <v>0</v>
      </c>
      <c r="J32" s="20">
        <v>450</v>
      </c>
      <c r="K32" s="19"/>
      <c r="L32" s="19">
        <v>0</v>
      </c>
      <c r="M32" s="19">
        <f t="shared" si="3"/>
        <v>1550.7199068268226</v>
      </c>
      <c r="N32" s="22" t="e">
        <f t="shared" si="5"/>
        <v>#VALUE!</v>
      </c>
      <c r="O32" s="23">
        <f>J32/L9*100</f>
        <v>1.3968526736380997</v>
      </c>
      <c r="P32" s="20">
        <f>C7*O32/100</f>
        <v>1100.7199068268226</v>
      </c>
    </row>
    <row r="33" spans="1:16" ht="15.75" customHeight="1" x14ac:dyDescent="0.25">
      <c r="A33" s="18">
        <v>24</v>
      </c>
      <c r="B33" s="18">
        <v>24</v>
      </c>
      <c r="C33" s="18" t="s">
        <v>60</v>
      </c>
      <c r="D33" s="18" t="s">
        <v>44</v>
      </c>
      <c r="E33" s="18">
        <v>1.18</v>
      </c>
      <c r="F33" s="18"/>
      <c r="G33" s="18">
        <v>0</v>
      </c>
      <c r="H33" s="19">
        <v>0</v>
      </c>
      <c r="I33" s="20">
        <f t="shared" si="0"/>
        <v>0</v>
      </c>
      <c r="J33" s="20">
        <v>450</v>
      </c>
      <c r="K33" s="19"/>
      <c r="L33" s="19">
        <v>0</v>
      </c>
      <c r="M33" s="19">
        <f t="shared" si="3"/>
        <v>1550.7199068268226</v>
      </c>
      <c r="N33" s="22" t="e">
        <f t="shared" si="5"/>
        <v>#VALUE!</v>
      </c>
      <c r="O33" s="23">
        <f>J33/L9*100</f>
        <v>1.3968526736380997</v>
      </c>
      <c r="P33" s="20">
        <f>C7*O33/100</f>
        <v>1100.7199068268226</v>
      </c>
    </row>
    <row r="34" spans="1:16" ht="15.75" hidden="1" customHeight="1" x14ac:dyDescent="0.25">
      <c r="A34" s="3"/>
      <c r="C34" s="27"/>
      <c r="D34" s="28"/>
      <c r="E34" s="28"/>
      <c r="F34" s="28"/>
      <c r="G34" s="28"/>
      <c r="H34" s="29">
        <f t="shared" ref="H34:J34" si="6">SUM(H10:H33)</f>
        <v>0</v>
      </c>
      <c r="I34" s="30">
        <f t="shared" si="6"/>
        <v>0</v>
      </c>
      <c r="J34" s="30">
        <f t="shared" si="6"/>
        <v>30261.695886999987</v>
      </c>
      <c r="K34" s="29"/>
      <c r="L34" s="29">
        <f t="shared" ref="L34:M34" si="7">SUM(L10:L33)</f>
        <v>29867.761648</v>
      </c>
      <c r="M34" s="29">
        <f t="shared" si="7"/>
        <v>108953.93880078498</v>
      </c>
      <c r="N34" s="5"/>
      <c r="O34" s="2" t="e">
        <f t="shared" ref="O34:O35" si="8">J34/C32*100</f>
        <v>#VALUE!</v>
      </c>
    </row>
    <row r="35" spans="1:16" ht="15.75" hidden="1" customHeight="1" x14ac:dyDescent="0.25">
      <c r="A35" s="31" t="s">
        <v>61</v>
      </c>
      <c r="C35" s="59" t="s">
        <v>62</v>
      </c>
      <c r="D35" s="57"/>
      <c r="E35" s="57"/>
      <c r="F35" s="57"/>
      <c r="G35" s="57"/>
      <c r="H35" s="57"/>
      <c r="I35" s="57"/>
      <c r="J35" s="57"/>
      <c r="K35" s="57"/>
      <c r="L35" s="57"/>
      <c r="M35" s="60"/>
      <c r="N35" s="31"/>
      <c r="O35" s="2" t="e">
        <f t="shared" si="8"/>
        <v>#VALUE!</v>
      </c>
    </row>
    <row r="36" spans="1:16" ht="15.75" customHeight="1" x14ac:dyDescent="0.25">
      <c r="H36" s="5"/>
      <c r="O36" s="2"/>
    </row>
    <row r="37" spans="1:16" ht="15.75" customHeight="1" x14ac:dyDescent="0.25">
      <c r="H37" s="5"/>
      <c r="O37" s="2"/>
    </row>
    <row r="38" spans="1:16" ht="15.75" customHeight="1" x14ac:dyDescent="0.25">
      <c r="H38" s="5"/>
      <c r="O38" s="2"/>
    </row>
    <row r="39" spans="1:16" ht="15.75" customHeight="1" x14ac:dyDescent="0.25">
      <c r="H39" s="5"/>
      <c r="O39" s="2"/>
    </row>
    <row r="40" spans="1:16" ht="15.75" customHeight="1" x14ac:dyDescent="0.25">
      <c r="H40" s="5"/>
      <c r="O40" s="2"/>
    </row>
    <row r="41" spans="1:16" ht="15.75" customHeight="1" x14ac:dyDescent="0.25">
      <c r="H41" s="5"/>
      <c r="O41" s="2"/>
    </row>
    <row r="42" spans="1:16" ht="15.75" customHeight="1" x14ac:dyDescent="0.25">
      <c r="H42" s="5"/>
      <c r="O42" s="2"/>
    </row>
    <row r="43" spans="1:16" ht="15.75" customHeight="1" x14ac:dyDescent="0.25">
      <c r="H43" s="5"/>
      <c r="O43" s="2"/>
    </row>
    <row r="44" spans="1:16" ht="15.75" customHeight="1" x14ac:dyDescent="0.25">
      <c r="H44" s="5"/>
      <c r="O44" s="2"/>
    </row>
    <row r="45" spans="1:16" ht="15.75" customHeight="1" x14ac:dyDescent="0.25">
      <c r="H45" s="5"/>
      <c r="O45" s="2"/>
    </row>
    <row r="46" spans="1:16" ht="15.75" customHeight="1" x14ac:dyDescent="0.25">
      <c r="H46" s="5"/>
      <c r="O46" s="2"/>
    </row>
    <row r="47" spans="1:16" ht="15.75" customHeight="1" x14ac:dyDescent="0.25">
      <c r="H47" s="5"/>
      <c r="O47" s="2"/>
    </row>
    <row r="48" spans="1:16" ht="15.75" customHeight="1" x14ac:dyDescent="0.25">
      <c r="H48" s="5"/>
      <c r="O48" s="2"/>
    </row>
    <row r="49" spans="8:15" ht="15.75" customHeight="1" x14ac:dyDescent="0.25">
      <c r="H49" s="5"/>
      <c r="O49" s="2"/>
    </row>
    <row r="50" spans="8:15" ht="15.75" customHeight="1" x14ac:dyDescent="0.25">
      <c r="H50" s="5"/>
      <c r="O50" s="2"/>
    </row>
    <row r="51" spans="8:15" ht="15.75" customHeight="1" x14ac:dyDescent="0.25">
      <c r="H51" s="5"/>
      <c r="O51" s="2"/>
    </row>
    <row r="52" spans="8:15" ht="15.75" customHeight="1" x14ac:dyDescent="0.25">
      <c r="H52" s="5"/>
      <c r="O52" s="2"/>
    </row>
    <row r="53" spans="8:15" ht="15.75" customHeight="1" x14ac:dyDescent="0.25">
      <c r="H53" s="5"/>
      <c r="O53" s="2"/>
    </row>
    <row r="54" spans="8:15" ht="15.75" customHeight="1" x14ac:dyDescent="0.25">
      <c r="H54" s="5"/>
      <c r="O54" s="2"/>
    </row>
    <row r="55" spans="8:15" ht="15.75" customHeight="1" x14ac:dyDescent="0.25">
      <c r="H55" s="5"/>
      <c r="O55" s="2"/>
    </row>
    <row r="56" spans="8:15" ht="15.75" customHeight="1" x14ac:dyDescent="0.25">
      <c r="H56" s="5"/>
      <c r="O56" s="2"/>
    </row>
    <row r="57" spans="8:15" ht="15.75" customHeight="1" x14ac:dyDescent="0.25">
      <c r="H57" s="5"/>
      <c r="O57" s="2"/>
    </row>
    <row r="58" spans="8:15" ht="15.75" customHeight="1" x14ac:dyDescent="0.25">
      <c r="H58" s="5"/>
      <c r="O58" s="2"/>
    </row>
    <row r="59" spans="8:15" ht="15.75" customHeight="1" x14ac:dyDescent="0.25">
      <c r="H59" s="5"/>
      <c r="O59" s="2"/>
    </row>
    <row r="60" spans="8:15" ht="15.75" customHeight="1" x14ac:dyDescent="0.25">
      <c r="H60" s="5"/>
      <c r="O60" s="2"/>
    </row>
    <row r="61" spans="8:15" ht="15.75" customHeight="1" x14ac:dyDescent="0.25">
      <c r="H61" s="5"/>
      <c r="O61" s="2"/>
    </row>
    <row r="62" spans="8:15" ht="15.75" customHeight="1" x14ac:dyDescent="0.25">
      <c r="H62" s="5"/>
      <c r="O62" s="2"/>
    </row>
    <row r="63" spans="8:15" ht="15.75" customHeight="1" x14ac:dyDescent="0.25">
      <c r="H63" s="5"/>
      <c r="O63" s="2"/>
    </row>
    <row r="64" spans="8:15" ht="15.75" customHeight="1" x14ac:dyDescent="0.25">
      <c r="H64" s="5"/>
      <c r="O64" s="2"/>
    </row>
    <row r="65" spans="8:15" ht="15.75" customHeight="1" x14ac:dyDescent="0.25">
      <c r="H65" s="5"/>
      <c r="O65" s="2"/>
    </row>
    <row r="66" spans="8:15" ht="15.75" customHeight="1" x14ac:dyDescent="0.25">
      <c r="H66" s="5"/>
      <c r="O66" s="2"/>
    </row>
    <row r="67" spans="8:15" ht="15.75" customHeight="1" x14ac:dyDescent="0.25">
      <c r="H67" s="5"/>
      <c r="O67" s="2"/>
    </row>
    <row r="68" spans="8:15" ht="15.75" customHeight="1" x14ac:dyDescent="0.25">
      <c r="H68" s="5"/>
      <c r="O68" s="2"/>
    </row>
    <row r="69" spans="8:15" ht="15.75" customHeight="1" x14ac:dyDescent="0.25">
      <c r="H69" s="5"/>
      <c r="O69" s="2"/>
    </row>
    <row r="70" spans="8:15" ht="15.75" customHeight="1" x14ac:dyDescent="0.25">
      <c r="H70" s="5"/>
      <c r="O70" s="2"/>
    </row>
    <row r="71" spans="8:15" ht="15.75" customHeight="1" x14ac:dyDescent="0.25">
      <c r="H71" s="5"/>
      <c r="O71" s="2"/>
    </row>
    <row r="72" spans="8:15" ht="15.75" customHeight="1" x14ac:dyDescent="0.25">
      <c r="H72" s="5"/>
      <c r="O72" s="2"/>
    </row>
    <row r="73" spans="8:15" ht="15.75" customHeight="1" x14ac:dyDescent="0.25">
      <c r="H73" s="5"/>
      <c r="O73" s="2"/>
    </row>
    <row r="74" spans="8:15" ht="15.75" customHeight="1" x14ac:dyDescent="0.25">
      <c r="H74" s="5"/>
      <c r="O74" s="2"/>
    </row>
    <row r="75" spans="8:15" ht="15.75" customHeight="1" x14ac:dyDescent="0.25">
      <c r="H75" s="5"/>
      <c r="O75" s="2"/>
    </row>
    <row r="76" spans="8:15" ht="15.75" customHeight="1" x14ac:dyDescent="0.25">
      <c r="H76" s="5"/>
      <c r="O76" s="2"/>
    </row>
    <row r="77" spans="8:15" ht="15.75" customHeight="1" x14ac:dyDescent="0.25">
      <c r="H77" s="5"/>
      <c r="O77" s="2"/>
    </row>
    <row r="78" spans="8:15" ht="15.75" customHeight="1" x14ac:dyDescent="0.25">
      <c r="H78" s="5"/>
      <c r="O78" s="2"/>
    </row>
    <row r="79" spans="8:15" ht="15.75" customHeight="1" x14ac:dyDescent="0.25">
      <c r="H79" s="5"/>
      <c r="O79" s="2"/>
    </row>
    <row r="80" spans="8:15" ht="15.75" customHeight="1" x14ac:dyDescent="0.25">
      <c r="H80" s="5"/>
      <c r="O80" s="2"/>
    </row>
    <row r="81" spans="8:15" ht="15.75" customHeight="1" x14ac:dyDescent="0.25">
      <c r="H81" s="5"/>
      <c r="O81" s="2"/>
    </row>
    <row r="82" spans="8:15" ht="15.75" customHeight="1" x14ac:dyDescent="0.25">
      <c r="H82" s="5"/>
      <c r="O82" s="2"/>
    </row>
    <row r="83" spans="8:15" ht="15.75" customHeight="1" x14ac:dyDescent="0.25">
      <c r="H83" s="5"/>
      <c r="O83" s="2"/>
    </row>
    <row r="84" spans="8:15" ht="15.75" customHeight="1" x14ac:dyDescent="0.25">
      <c r="H84" s="5"/>
      <c r="O84" s="2"/>
    </row>
    <row r="85" spans="8:15" ht="15.75" customHeight="1" x14ac:dyDescent="0.25">
      <c r="H85" s="5"/>
      <c r="O85" s="2"/>
    </row>
    <row r="86" spans="8:15" ht="15.75" customHeight="1" x14ac:dyDescent="0.25">
      <c r="H86" s="5"/>
      <c r="O86" s="2"/>
    </row>
    <row r="87" spans="8:15" ht="15.75" customHeight="1" x14ac:dyDescent="0.25">
      <c r="H87" s="5"/>
      <c r="O87" s="2"/>
    </row>
    <row r="88" spans="8:15" ht="15.75" customHeight="1" x14ac:dyDescent="0.25">
      <c r="H88" s="5"/>
      <c r="O88" s="2"/>
    </row>
    <row r="89" spans="8:15" ht="15.75" customHeight="1" x14ac:dyDescent="0.25">
      <c r="H89" s="5"/>
      <c r="O89" s="2"/>
    </row>
    <row r="90" spans="8:15" ht="15.75" customHeight="1" x14ac:dyDescent="0.25">
      <c r="H90" s="5"/>
      <c r="O90" s="2"/>
    </row>
    <row r="91" spans="8:15" ht="15.75" customHeight="1" x14ac:dyDescent="0.25">
      <c r="H91" s="5"/>
      <c r="O91" s="2"/>
    </row>
    <row r="92" spans="8:15" ht="15.75" customHeight="1" x14ac:dyDescent="0.25">
      <c r="H92" s="5"/>
      <c r="O92" s="2"/>
    </row>
    <row r="93" spans="8:15" ht="15.75" customHeight="1" x14ac:dyDescent="0.25">
      <c r="H93" s="5"/>
      <c r="O93" s="2"/>
    </row>
    <row r="94" spans="8:15" ht="15.75" customHeight="1" x14ac:dyDescent="0.25">
      <c r="H94" s="5"/>
      <c r="O94" s="2"/>
    </row>
    <row r="95" spans="8:15" ht="15.75" customHeight="1" x14ac:dyDescent="0.25">
      <c r="H95" s="5"/>
      <c r="O95" s="2"/>
    </row>
    <row r="96" spans="8:15" ht="15.75" customHeight="1" x14ac:dyDescent="0.25">
      <c r="H96" s="5"/>
      <c r="O96" s="2"/>
    </row>
    <row r="97" spans="8:15" ht="15.75" customHeight="1" x14ac:dyDescent="0.25">
      <c r="H97" s="5"/>
      <c r="O97" s="2"/>
    </row>
    <row r="98" spans="8:15" ht="15.75" customHeight="1" x14ac:dyDescent="0.25">
      <c r="H98" s="5"/>
      <c r="O98" s="2"/>
    </row>
    <row r="99" spans="8:15" ht="15.75" customHeight="1" x14ac:dyDescent="0.25">
      <c r="H99" s="5"/>
      <c r="O99" s="2"/>
    </row>
    <row r="100" spans="8:15" ht="15.75" customHeight="1" x14ac:dyDescent="0.25">
      <c r="H100" s="5"/>
      <c r="O100" s="2"/>
    </row>
    <row r="101" spans="8:15" ht="15.75" customHeight="1" x14ac:dyDescent="0.25">
      <c r="H101" s="5"/>
      <c r="O101" s="2"/>
    </row>
    <row r="102" spans="8:15" ht="15.75" customHeight="1" x14ac:dyDescent="0.25">
      <c r="H102" s="5"/>
      <c r="O102" s="2"/>
    </row>
    <row r="103" spans="8:15" ht="15.75" customHeight="1" x14ac:dyDescent="0.25">
      <c r="H103" s="5"/>
      <c r="O103" s="2"/>
    </row>
    <row r="104" spans="8:15" ht="15.75" customHeight="1" x14ac:dyDescent="0.25">
      <c r="H104" s="5"/>
      <c r="O104" s="2"/>
    </row>
    <row r="105" spans="8:15" ht="15.75" customHeight="1" x14ac:dyDescent="0.25">
      <c r="H105" s="5"/>
      <c r="O105" s="2"/>
    </row>
    <row r="106" spans="8:15" ht="15.75" customHeight="1" x14ac:dyDescent="0.25">
      <c r="H106" s="5"/>
      <c r="O106" s="2"/>
    </row>
    <row r="107" spans="8:15" ht="15.75" customHeight="1" x14ac:dyDescent="0.25">
      <c r="H107" s="5"/>
      <c r="O107" s="2"/>
    </row>
    <row r="108" spans="8:15" ht="15.75" customHeight="1" x14ac:dyDescent="0.25">
      <c r="H108" s="5"/>
      <c r="O108" s="2"/>
    </row>
    <row r="109" spans="8:15" ht="15.75" customHeight="1" x14ac:dyDescent="0.25">
      <c r="H109" s="5"/>
      <c r="O109" s="2"/>
    </row>
    <row r="110" spans="8:15" ht="15.75" customHeight="1" x14ac:dyDescent="0.25">
      <c r="H110" s="5"/>
      <c r="O110" s="2"/>
    </row>
    <row r="111" spans="8:15" ht="15.75" customHeight="1" x14ac:dyDescent="0.25">
      <c r="H111" s="5"/>
      <c r="O111" s="2"/>
    </row>
    <row r="112" spans="8:15" ht="15.75" customHeight="1" x14ac:dyDescent="0.25">
      <c r="H112" s="5"/>
      <c r="O112" s="2"/>
    </row>
    <row r="113" spans="8:15" ht="15.75" customHeight="1" x14ac:dyDescent="0.25">
      <c r="H113" s="5"/>
      <c r="O113" s="2"/>
    </row>
    <row r="114" spans="8:15" ht="15.75" customHeight="1" x14ac:dyDescent="0.25">
      <c r="H114" s="5"/>
      <c r="O114" s="2"/>
    </row>
    <row r="115" spans="8:15" ht="15.75" customHeight="1" x14ac:dyDescent="0.25">
      <c r="H115" s="5"/>
      <c r="O115" s="2"/>
    </row>
    <row r="116" spans="8:15" ht="15.75" customHeight="1" x14ac:dyDescent="0.25">
      <c r="H116" s="5"/>
      <c r="O116" s="2"/>
    </row>
    <row r="117" spans="8:15" ht="15.75" customHeight="1" x14ac:dyDescent="0.25">
      <c r="H117" s="5"/>
      <c r="O117" s="2"/>
    </row>
    <row r="118" spans="8:15" ht="15.75" customHeight="1" x14ac:dyDescent="0.25">
      <c r="H118" s="5"/>
      <c r="O118" s="2"/>
    </row>
    <row r="119" spans="8:15" ht="15.75" customHeight="1" x14ac:dyDescent="0.25">
      <c r="H119" s="5"/>
      <c r="O119" s="2"/>
    </row>
    <row r="120" spans="8:15" ht="15.75" customHeight="1" x14ac:dyDescent="0.25">
      <c r="H120" s="5"/>
      <c r="O120" s="2"/>
    </row>
    <row r="121" spans="8:15" ht="15.75" customHeight="1" x14ac:dyDescent="0.25">
      <c r="H121" s="5"/>
      <c r="O121" s="2"/>
    </row>
    <row r="122" spans="8:15" ht="15.75" customHeight="1" x14ac:dyDescent="0.25">
      <c r="H122" s="5"/>
      <c r="O122" s="2"/>
    </row>
    <row r="123" spans="8:15" ht="15.75" customHeight="1" x14ac:dyDescent="0.25">
      <c r="H123" s="5"/>
      <c r="O123" s="2"/>
    </row>
    <row r="124" spans="8:15" ht="15.75" customHeight="1" x14ac:dyDescent="0.25">
      <c r="H124" s="5"/>
      <c r="O124" s="2"/>
    </row>
    <row r="125" spans="8:15" ht="15.75" customHeight="1" x14ac:dyDescent="0.25">
      <c r="H125" s="5"/>
      <c r="O125" s="2"/>
    </row>
    <row r="126" spans="8:15" ht="15.75" customHeight="1" x14ac:dyDescent="0.25">
      <c r="H126" s="5"/>
      <c r="O126" s="2"/>
    </row>
    <row r="127" spans="8:15" ht="15.75" customHeight="1" x14ac:dyDescent="0.25">
      <c r="H127" s="5"/>
      <c r="O127" s="2"/>
    </row>
    <row r="128" spans="8:15" ht="15.75" customHeight="1" x14ac:dyDescent="0.25">
      <c r="H128" s="5"/>
      <c r="O128" s="2"/>
    </row>
    <row r="129" spans="8:15" ht="15.75" customHeight="1" x14ac:dyDescent="0.25">
      <c r="H129" s="5"/>
      <c r="O129" s="2"/>
    </row>
    <row r="130" spans="8:15" ht="15.75" customHeight="1" x14ac:dyDescent="0.25">
      <c r="H130" s="5"/>
      <c r="O130" s="2"/>
    </row>
    <row r="131" spans="8:15" ht="15.75" customHeight="1" x14ac:dyDescent="0.25">
      <c r="H131" s="5"/>
      <c r="O131" s="2"/>
    </row>
    <row r="132" spans="8:15" ht="15.75" customHeight="1" x14ac:dyDescent="0.25">
      <c r="H132" s="5"/>
      <c r="O132" s="2"/>
    </row>
    <row r="133" spans="8:15" ht="15.75" customHeight="1" x14ac:dyDescent="0.25">
      <c r="H133" s="5"/>
      <c r="O133" s="2"/>
    </row>
    <row r="134" spans="8:15" ht="15.75" customHeight="1" x14ac:dyDescent="0.25">
      <c r="H134" s="5"/>
      <c r="O134" s="2"/>
    </row>
    <row r="135" spans="8:15" ht="15.75" customHeight="1" x14ac:dyDescent="0.25">
      <c r="H135" s="5"/>
      <c r="O135" s="2"/>
    </row>
    <row r="136" spans="8:15" ht="15.75" customHeight="1" x14ac:dyDescent="0.25">
      <c r="H136" s="5"/>
      <c r="O136" s="2"/>
    </row>
    <row r="137" spans="8:15" ht="15.75" customHeight="1" x14ac:dyDescent="0.25">
      <c r="H137" s="5"/>
      <c r="O137" s="2"/>
    </row>
    <row r="138" spans="8:15" ht="15.75" customHeight="1" x14ac:dyDescent="0.25">
      <c r="H138" s="5"/>
      <c r="O138" s="2"/>
    </row>
    <row r="139" spans="8:15" ht="15.75" customHeight="1" x14ac:dyDescent="0.25">
      <c r="H139" s="5"/>
      <c r="O139" s="2"/>
    </row>
    <row r="140" spans="8:15" ht="15.75" customHeight="1" x14ac:dyDescent="0.25">
      <c r="H140" s="5"/>
      <c r="O140" s="2"/>
    </row>
    <row r="141" spans="8:15" ht="15.75" customHeight="1" x14ac:dyDescent="0.25">
      <c r="H141" s="5"/>
      <c r="O141" s="2"/>
    </row>
    <row r="142" spans="8:15" ht="15.75" customHeight="1" x14ac:dyDescent="0.25">
      <c r="H142" s="5"/>
      <c r="O142" s="2"/>
    </row>
    <row r="143" spans="8:15" ht="15.75" customHeight="1" x14ac:dyDescent="0.25">
      <c r="H143" s="5"/>
      <c r="O143" s="2"/>
    </row>
    <row r="144" spans="8:15" ht="15.75" customHeight="1" x14ac:dyDescent="0.25">
      <c r="H144" s="5"/>
      <c r="O144" s="2"/>
    </row>
    <row r="145" spans="8:15" ht="15.75" customHeight="1" x14ac:dyDescent="0.25">
      <c r="H145" s="5"/>
      <c r="O145" s="2"/>
    </row>
    <row r="146" spans="8:15" ht="15.75" customHeight="1" x14ac:dyDescent="0.25">
      <c r="H146" s="5"/>
      <c r="O146" s="2"/>
    </row>
    <row r="147" spans="8:15" ht="15.75" customHeight="1" x14ac:dyDescent="0.25">
      <c r="H147" s="5"/>
      <c r="O147" s="2"/>
    </row>
    <row r="148" spans="8:15" ht="15.75" customHeight="1" x14ac:dyDescent="0.25">
      <c r="H148" s="5"/>
      <c r="O148" s="2"/>
    </row>
    <row r="149" spans="8:15" ht="15.75" customHeight="1" x14ac:dyDescent="0.25">
      <c r="H149" s="5"/>
      <c r="O149" s="2"/>
    </row>
    <row r="150" spans="8:15" ht="15.75" customHeight="1" x14ac:dyDescent="0.25">
      <c r="H150" s="5"/>
      <c r="O150" s="2"/>
    </row>
    <row r="151" spans="8:15" ht="15.75" customHeight="1" x14ac:dyDescent="0.25">
      <c r="H151" s="5"/>
      <c r="O151" s="2"/>
    </row>
    <row r="152" spans="8:15" ht="15.75" customHeight="1" x14ac:dyDescent="0.25">
      <c r="H152" s="5"/>
      <c r="O152" s="2"/>
    </row>
    <row r="153" spans="8:15" ht="15.75" customHeight="1" x14ac:dyDescent="0.25">
      <c r="H153" s="5"/>
      <c r="O153" s="2"/>
    </row>
    <row r="154" spans="8:15" ht="15.75" customHeight="1" x14ac:dyDescent="0.25">
      <c r="H154" s="5"/>
      <c r="O154" s="2"/>
    </row>
    <row r="155" spans="8:15" ht="15.75" customHeight="1" x14ac:dyDescent="0.25">
      <c r="H155" s="5"/>
      <c r="O155" s="2"/>
    </row>
    <row r="156" spans="8:15" ht="15.75" customHeight="1" x14ac:dyDescent="0.25">
      <c r="H156" s="5"/>
      <c r="O156" s="2"/>
    </row>
    <row r="157" spans="8:15" ht="15.75" customHeight="1" x14ac:dyDescent="0.25">
      <c r="H157" s="5"/>
      <c r="O157" s="2"/>
    </row>
    <row r="158" spans="8:15" ht="15.75" customHeight="1" x14ac:dyDescent="0.25">
      <c r="H158" s="5"/>
      <c r="O158" s="2"/>
    </row>
    <row r="159" spans="8:15" ht="15.75" customHeight="1" x14ac:dyDescent="0.25">
      <c r="H159" s="5"/>
      <c r="O159" s="2"/>
    </row>
    <row r="160" spans="8:15" ht="15.75" customHeight="1" x14ac:dyDescent="0.25">
      <c r="H160" s="5"/>
      <c r="O160" s="2"/>
    </row>
    <row r="161" spans="8:15" ht="15.75" customHeight="1" x14ac:dyDescent="0.25">
      <c r="H161" s="5"/>
      <c r="O161" s="2"/>
    </row>
    <row r="162" spans="8:15" ht="15.75" customHeight="1" x14ac:dyDescent="0.25">
      <c r="H162" s="5"/>
      <c r="O162" s="2"/>
    </row>
    <row r="163" spans="8:15" ht="15.75" customHeight="1" x14ac:dyDescent="0.25">
      <c r="H163" s="5"/>
      <c r="O163" s="2"/>
    </row>
    <row r="164" spans="8:15" ht="15.75" customHeight="1" x14ac:dyDescent="0.25">
      <c r="H164" s="5"/>
      <c r="O164" s="2"/>
    </row>
    <row r="165" spans="8:15" ht="15.75" customHeight="1" x14ac:dyDescent="0.25">
      <c r="H165" s="5"/>
      <c r="O165" s="2"/>
    </row>
    <row r="166" spans="8:15" ht="15.75" customHeight="1" x14ac:dyDescent="0.25">
      <c r="H166" s="5"/>
      <c r="O166" s="2"/>
    </row>
    <row r="167" spans="8:15" ht="15.75" customHeight="1" x14ac:dyDescent="0.25">
      <c r="H167" s="5"/>
      <c r="O167" s="2"/>
    </row>
    <row r="168" spans="8:15" ht="15.75" customHeight="1" x14ac:dyDescent="0.25">
      <c r="H168" s="5"/>
      <c r="O168" s="2"/>
    </row>
    <row r="169" spans="8:15" ht="15.75" customHeight="1" x14ac:dyDescent="0.25">
      <c r="H169" s="5"/>
      <c r="O169" s="2"/>
    </row>
    <row r="170" spans="8:15" ht="15.75" customHeight="1" x14ac:dyDescent="0.25">
      <c r="H170" s="5"/>
      <c r="O170" s="2"/>
    </row>
    <row r="171" spans="8:15" ht="15.75" customHeight="1" x14ac:dyDescent="0.25">
      <c r="H171" s="5"/>
      <c r="O171" s="2"/>
    </row>
    <row r="172" spans="8:15" ht="15.75" customHeight="1" x14ac:dyDescent="0.25">
      <c r="H172" s="5"/>
      <c r="O172" s="2"/>
    </row>
    <row r="173" spans="8:15" ht="15.75" customHeight="1" x14ac:dyDescent="0.25">
      <c r="H173" s="5"/>
      <c r="O173" s="2"/>
    </row>
    <row r="174" spans="8:15" ht="15.75" customHeight="1" x14ac:dyDescent="0.25">
      <c r="H174" s="5"/>
      <c r="O174" s="2"/>
    </row>
    <row r="175" spans="8:15" ht="15.75" customHeight="1" x14ac:dyDescent="0.25">
      <c r="H175" s="5"/>
      <c r="O175" s="2"/>
    </row>
    <row r="176" spans="8:15" ht="15.75" customHeight="1" x14ac:dyDescent="0.25">
      <c r="H176" s="5"/>
      <c r="O176" s="2"/>
    </row>
    <row r="177" spans="8:15" ht="15.75" customHeight="1" x14ac:dyDescent="0.25">
      <c r="H177" s="5"/>
      <c r="O177" s="2"/>
    </row>
    <row r="178" spans="8:15" ht="15.75" customHeight="1" x14ac:dyDescent="0.25">
      <c r="H178" s="5"/>
      <c r="O178" s="2"/>
    </row>
    <row r="179" spans="8:15" ht="15.75" customHeight="1" x14ac:dyDescent="0.25">
      <c r="H179" s="5"/>
      <c r="O179" s="2"/>
    </row>
    <row r="180" spans="8:15" ht="15.75" customHeight="1" x14ac:dyDescent="0.25">
      <c r="H180" s="5"/>
      <c r="O180" s="2"/>
    </row>
    <row r="181" spans="8:15" ht="15.75" customHeight="1" x14ac:dyDescent="0.25">
      <c r="H181" s="5"/>
      <c r="O181" s="2"/>
    </row>
    <row r="182" spans="8:15" ht="15.75" customHeight="1" x14ac:dyDescent="0.25">
      <c r="H182" s="5"/>
      <c r="O182" s="2"/>
    </row>
    <row r="183" spans="8:15" ht="15.75" customHeight="1" x14ac:dyDescent="0.25">
      <c r="H183" s="5"/>
      <c r="O183" s="2"/>
    </row>
    <row r="184" spans="8:15" ht="15.75" customHeight="1" x14ac:dyDescent="0.25">
      <c r="H184" s="5"/>
      <c r="O184" s="2"/>
    </row>
    <row r="185" spans="8:15" ht="15.75" customHeight="1" x14ac:dyDescent="0.25">
      <c r="H185" s="5"/>
      <c r="O185" s="2"/>
    </row>
    <row r="186" spans="8:15" ht="15.75" customHeight="1" x14ac:dyDescent="0.25">
      <c r="H186" s="5"/>
      <c r="O186" s="2"/>
    </row>
    <row r="187" spans="8:15" ht="15.75" customHeight="1" x14ac:dyDescent="0.25">
      <c r="H187" s="5"/>
      <c r="O187" s="2"/>
    </row>
    <row r="188" spans="8:15" ht="15.75" customHeight="1" x14ac:dyDescent="0.25">
      <c r="H188" s="5"/>
      <c r="O188" s="2"/>
    </row>
    <row r="189" spans="8:15" ht="15.75" customHeight="1" x14ac:dyDescent="0.25">
      <c r="H189" s="5"/>
      <c r="O189" s="2"/>
    </row>
    <row r="190" spans="8:15" ht="15.75" customHeight="1" x14ac:dyDescent="0.25">
      <c r="H190" s="5"/>
      <c r="O190" s="2"/>
    </row>
    <row r="191" spans="8:15" ht="15.75" customHeight="1" x14ac:dyDescent="0.25">
      <c r="H191" s="5"/>
      <c r="O191" s="2"/>
    </row>
    <row r="192" spans="8:15" ht="15.75" customHeight="1" x14ac:dyDescent="0.25">
      <c r="H192" s="5"/>
      <c r="O192" s="2"/>
    </row>
    <row r="193" spans="8:15" ht="15.75" customHeight="1" x14ac:dyDescent="0.25">
      <c r="H193" s="5"/>
      <c r="O193" s="2"/>
    </row>
    <row r="194" spans="8:15" ht="15.75" customHeight="1" x14ac:dyDescent="0.25">
      <c r="H194" s="5"/>
      <c r="O194" s="2"/>
    </row>
    <row r="195" spans="8:15" ht="15.75" customHeight="1" x14ac:dyDescent="0.25">
      <c r="H195" s="5"/>
      <c r="O195" s="2"/>
    </row>
    <row r="196" spans="8:15" ht="15.75" customHeight="1" x14ac:dyDescent="0.25">
      <c r="H196" s="5"/>
      <c r="O196" s="2"/>
    </row>
    <row r="197" spans="8:15" ht="15.75" customHeight="1" x14ac:dyDescent="0.25">
      <c r="H197" s="5"/>
      <c r="O197" s="2"/>
    </row>
    <row r="198" spans="8:15" ht="15.75" customHeight="1" x14ac:dyDescent="0.25">
      <c r="H198" s="5"/>
      <c r="O198" s="2"/>
    </row>
    <row r="199" spans="8:15" ht="15.75" customHeight="1" x14ac:dyDescent="0.25">
      <c r="H199" s="5"/>
      <c r="O199" s="2"/>
    </row>
    <row r="200" spans="8:15" ht="15.75" customHeight="1" x14ac:dyDescent="0.25">
      <c r="H200" s="5"/>
      <c r="O200" s="2"/>
    </row>
    <row r="201" spans="8:15" ht="15.75" customHeight="1" x14ac:dyDescent="0.25">
      <c r="H201" s="5"/>
      <c r="O201" s="2"/>
    </row>
    <row r="202" spans="8:15" ht="15.75" customHeight="1" x14ac:dyDescent="0.25">
      <c r="H202" s="5"/>
      <c r="O202" s="2"/>
    </row>
    <row r="203" spans="8:15" ht="15.75" customHeight="1" x14ac:dyDescent="0.25">
      <c r="H203" s="5"/>
      <c r="O203" s="2"/>
    </row>
    <row r="204" spans="8:15" ht="15.75" customHeight="1" x14ac:dyDescent="0.25">
      <c r="H204" s="5"/>
      <c r="O204" s="2"/>
    </row>
    <row r="205" spans="8:15" ht="15.75" customHeight="1" x14ac:dyDescent="0.25">
      <c r="H205" s="5"/>
      <c r="O205" s="2"/>
    </row>
    <row r="206" spans="8:15" ht="15.75" customHeight="1" x14ac:dyDescent="0.25">
      <c r="H206" s="5"/>
      <c r="O206" s="2"/>
    </row>
    <row r="207" spans="8:15" ht="15.75" customHeight="1" x14ac:dyDescent="0.25">
      <c r="H207" s="5"/>
      <c r="O207" s="2"/>
    </row>
    <row r="208" spans="8:15" ht="15.75" customHeight="1" x14ac:dyDescent="0.25">
      <c r="H208" s="5"/>
      <c r="O208" s="2"/>
    </row>
    <row r="209" spans="8:15" ht="15.75" customHeight="1" x14ac:dyDescent="0.25">
      <c r="H209" s="5"/>
      <c r="O209" s="2"/>
    </row>
    <row r="210" spans="8:15" ht="15.75" customHeight="1" x14ac:dyDescent="0.25">
      <c r="H210" s="5"/>
      <c r="O210" s="2"/>
    </row>
    <row r="211" spans="8:15" ht="15.75" customHeight="1" x14ac:dyDescent="0.25">
      <c r="H211" s="5"/>
      <c r="O211" s="2"/>
    </row>
    <row r="212" spans="8:15" ht="15.75" customHeight="1" x14ac:dyDescent="0.25">
      <c r="H212" s="5"/>
      <c r="O212" s="2"/>
    </row>
    <row r="213" spans="8:15" ht="15.75" customHeight="1" x14ac:dyDescent="0.25">
      <c r="H213" s="5"/>
      <c r="O213" s="2"/>
    </row>
    <row r="214" spans="8:15" ht="15.75" customHeight="1" x14ac:dyDescent="0.25">
      <c r="H214" s="5"/>
      <c r="O214" s="2"/>
    </row>
    <row r="215" spans="8:15" ht="15.75" customHeight="1" x14ac:dyDescent="0.25">
      <c r="H215" s="5"/>
      <c r="O215" s="2"/>
    </row>
    <row r="216" spans="8:15" ht="15.75" customHeight="1" x14ac:dyDescent="0.25">
      <c r="H216" s="5"/>
      <c r="O216" s="2"/>
    </row>
    <row r="217" spans="8:15" ht="15.75" customHeight="1" x14ac:dyDescent="0.25">
      <c r="H217" s="5"/>
      <c r="O217" s="2"/>
    </row>
    <row r="218" spans="8:15" ht="15.75" customHeight="1" x14ac:dyDescent="0.25">
      <c r="H218" s="5"/>
      <c r="O218" s="2"/>
    </row>
    <row r="219" spans="8:15" ht="15.75" customHeight="1" x14ac:dyDescent="0.25">
      <c r="H219" s="5"/>
      <c r="O219" s="2"/>
    </row>
    <row r="220" spans="8:15" ht="15.75" customHeight="1" x14ac:dyDescent="0.25">
      <c r="H220" s="5"/>
      <c r="O220" s="2"/>
    </row>
    <row r="221" spans="8:15" ht="15.75" customHeight="1" x14ac:dyDescent="0.25">
      <c r="H221" s="5"/>
      <c r="O221" s="2"/>
    </row>
    <row r="222" spans="8:15" ht="15.75" customHeight="1" x14ac:dyDescent="0.25">
      <c r="H222" s="5"/>
      <c r="O222" s="2"/>
    </row>
    <row r="223" spans="8:15" ht="15.75" customHeight="1" x14ac:dyDescent="0.25">
      <c r="H223" s="5"/>
      <c r="O223" s="2"/>
    </row>
    <row r="224" spans="8:15" ht="15.75" customHeight="1" x14ac:dyDescent="0.25">
      <c r="H224" s="5"/>
      <c r="O224" s="2"/>
    </row>
    <row r="225" spans="8:15" ht="15.75" customHeight="1" x14ac:dyDescent="0.25">
      <c r="H225" s="5"/>
      <c r="O225" s="2"/>
    </row>
    <row r="226" spans="8:15" ht="15.75" customHeight="1" x14ac:dyDescent="0.25">
      <c r="H226" s="5"/>
      <c r="O226" s="2"/>
    </row>
    <row r="227" spans="8:15" ht="15.75" customHeight="1" x14ac:dyDescent="0.25">
      <c r="H227" s="5"/>
      <c r="O227" s="2"/>
    </row>
    <row r="228" spans="8:15" ht="15.75" customHeight="1" x14ac:dyDescent="0.25">
      <c r="H228" s="5"/>
      <c r="O228" s="2"/>
    </row>
    <row r="229" spans="8:15" ht="15.75" customHeight="1" x14ac:dyDescent="0.25">
      <c r="H229" s="5"/>
      <c r="O229" s="2"/>
    </row>
    <row r="230" spans="8:15" ht="15.75" customHeight="1" x14ac:dyDescent="0.25">
      <c r="H230" s="5"/>
      <c r="O230" s="2"/>
    </row>
    <row r="231" spans="8:15" ht="15.75" customHeight="1" x14ac:dyDescent="0.25">
      <c r="H231" s="5"/>
      <c r="O231" s="2"/>
    </row>
    <row r="232" spans="8:15" ht="15.75" customHeight="1" x14ac:dyDescent="0.25">
      <c r="H232" s="5"/>
      <c r="O232" s="2"/>
    </row>
    <row r="233" spans="8:15" ht="15.75" customHeight="1" x14ac:dyDescent="0.25">
      <c r="H233" s="5"/>
      <c r="O233" s="2"/>
    </row>
    <row r="234" spans="8:15" ht="15.75" customHeight="1" x14ac:dyDescent="0.25">
      <c r="H234" s="5"/>
      <c r="O234" s="2"/>
    </row>
    <row r="235" spans="8:15" ht="15.75" customHeight="1" x14ac:dyDescent="0.25">
      <c r="H235" s="5"/>
      <c r="O235" s="2"/>
    </row>
    <row r="236" spans="8:15" ht="15.75" customHeight="1" x14ac:dyDescent="0.25">
      <c r="H236" s="5"/>
      <c r="O236" s="2"/>
    </row>
    <row r="237" spans="8:15" ht="15.75" customHeight="1" x14ac:dyDescent="0.25">
      <c r="H237" s="5"/>
      <c r="O237" s="2"/>
    </row>
    <row r="238" spans="8:15" ht="15.75" customHeight="1" x14ac:dyDescent="0.25">
      <c r="H238" s="5"/>
      <c r="O238" s="2"/>
    </row>
    <row r="239" spans="8:15" ht="15.75" customHeight="1" x14ac:dyDescent="0.25">
      <c r="H239" s="5"/>
      <c r="O239" s="2"/>
    </row>
    <row r="240" spans="8:15" ht="15.75" customHeight="1" x14ac:dyDescent="0.25">
      <c r="H240" s="5"/>
      <c r="O240" s="2"/>
    </row>
    <row r="241" spans="8:15" ht="15.75" customHeight="1" x14ac:dyDescent="0.25">
      <c r="H241" s="5"/>
      <c r="O241" s="2"/>
    </row>
    <row r="242" spans="8:15" ht="15.75" customHeight="1" x14ac:dyDescent="0.25">
      <c r="H242" s="5"/>
      <c r="O242" s="2"/>
    </row>
    <row r="243" spans="8:15" ht="15.75" customHeight="1" x14ac:dyDescent="0.25">
      <c r="H243" s="5"/>
      <c r="O243" s="2"/>
    </row>
    <row r="244" spans="8:15" ht="15.75" customHeight="1" x14ac:dyDescent="0.25">
      <c r="H244" s="5"/>
      <c r="O244" s="2"/>
    </row>
    <row r="245" spans="8:15" ht="15.75" customHeight="1" x14ac:dyDescent="0.25">
      <c r="H245" s="5"/>
      <c r="O245" s="2"/>
    </row>
    <row r="246" spans="8:15" ht="15.75" customHeight="1" x14ac:dyDescent="0.25">
      <c r="H246" s="5"/>
      <c r="O246" s="2"/>
    </row>
    <row r="247" spans="8:15" ht="15.75" customHeight="1" x14ac:dyDescent="0.25">
      <c r="H247" s="5"/>
      <c r="O247" s="2"/>
    </row>
    <row r="248" spans="8:15" ht="15.75" customHeight="1" x14ac:dyDescent="0.25">
      <c r="H248" s="5"/>
      <c r="O248" s="2"/>
    </row>
    <row r="249" spans="8:15" ht="15.75" customHeight="1" x14ac:dyDescent="0.25">
      <c r="H249" s="5"/>
      <c r="O249" s="2"/>
    </row>
    <row r="250" spans="8:15" ht="15.75" customHeight="1" x14ac:dyDescent="0.25">
      <c r="H250" s="5"/>
      <c r="O250" s="2"/>
    </row>
    <row r="251" spans="8:15" ht="15.75" customHeight="1" x14ac:dyDescent="0.25">
      <c r="H251" s="5"/>
      <c r="O251" s="2"/>
    </row>
    <row r="252" spans="8:15" ht="15.75" customHeight="1" x14ac:dyDescent="0.25">
      <c r="H252" s="5"/>
      <c r="O252" s="2"/>
    </row>
    <row r="253" spans="8:15" ht="15.75" customHeight="1" x14ac:dyDescent="0.25">
      <c r="H253" s="5"/>
      <c r="O253" s="2"/>
    </row>
    <row r="254" spans="8:15" ht="15.75" customHeight="1" x14ac:dyDescent="0.25">
      <c r="H254" s="5"/>
      <c r="O254" s="2"/>
    </row>
    <row r="255" spans="8:15" ht="15.75" customHeight="1" x14ac:dyDescent="0.25">
      <c r="H255" s="5"/>
      <c r="O255" s="2"/>
    </row>
    <row r="256" spans="8:15" ht="15.75" customHeight="1" x14ac:dyDescent="0.25">
      <c r="H256" s="5"/>
      <c r="O256" s="2"/>
    </row>
    <row r="257" spans="8:15" ht="15.75" customHeight="1" x14ac:dyDescent="0.25">
      <c r="H257" s="5"/>
      <c r="O257" s="2"/>
    </row>
    <row r="258" spans="8:15" ht="15.75" customHeight="1" x14ac:dyDescent="0.25">
      <c r="H258" s="5"/>
      <c r="O258" s="2"/>
    </row>
    <row r="259" spans="8:15" ht="15.75" customHeight="1" x14ac:dyDescent="0.25">
      <c r="H259" s="5"/>
      <c r="O259" s="2"/>
    </row>
    <row r="260" spans="8:15" ht="15.75" customHeight="1" x14ac:dyDescent="0.25">
      <c r="H260" s="5"/>
      <c r="O260" s="2"/>
    </row>
    <row r="261" spans="8:15" ht="15.75" customHeight="1" x14ac:dyDescent="0.25">
      <c r="H261" s="5"/>
      <c r="O261" s="2"/>
    </row>
    <row r="262" spans="8:15" ht="15.75" customHeight="1" x14ac:dyDescent="0.25">
      <c r="H262" s="5"/>
      <c r="O262" s="2"/>
    </row>
    <row r="263" spans="8:15" ht="15.75" customHeight="1" x14ac:dyDescent="0.25">
      <c r="H263" s="5"/>
      <c r="O263" s="2"/>
    </row>
    <row r="264" spans="8:15" ht="15.75" customHeight="1" x14ac:dyDescent="0.25">
      <c r="H264" s="5"/>
      <c r="O264" s="2"/>
    </row>
    <row r="265" spans="8:15" ht="15.75" customHeight="1" x14ac:dyDescent="0.25">
      <c r="H265" s="5"/>
      <c r="O265" s="2"/>
    </row>
    <row r="266" spans="8:15" ht="15.75" customHeight="1" x14ac:dyDescent="0.25">
      <c r="H266" s="5"/>
      <c r="O266" s="2"/>
    </row>
    <row r="267" spans="8:15" ht="15.75" customHeight="1" x14ac:dyDescent="0.25">
      <c r="H267" s="5"/>
      <c r="O267" s="2"/>
    </row>
    <row r="268" spans="8:15" ht="15.75" customHeight="1" x14ac:dyDescent="0.25">
      <c r="H268" s="5"/>
      <c r="O268" s="2"/>
    </row>
    <row r="269" spans="8:15" ht="15.75" customHeight="1" x14ac:dyDescent="0.25">
      <c r="H269" s="5"/>
      <c r="O269" s="2"/>
    </row>
    <row r="270" spans="8:15" ht="15.75" customHeight="1" x14ac:dyDescent="0.25">
      <c r="H270" s="5"/>
      <c r="O270" s="2"/>
    </row>
    <row r="271" spans="8:15" ht="15.75" customHeight="1" x14ac:dyDescent="0.25">
      <c r="H271" s="5"/>
      <c r="O271" s="2"/>
    </row>
    <row r="272" spans="8:15" ht="15.75" customHeight="1" x14ac:dyDescent="0.25">
      <c r="H272" s="5"/>
      <c r="O272" s="2"/>
    </row>
    <row r="273" spans="8:15" ht="15.75" customHeight="1" x14ac:dyDescent="0.25">
      <c r="H273" s="5"/>
      <c r="O273" s="2"/>
    </row>
    <row r="274" spans="8:15" ht="15.75" customHeight="1" x14ac:dyDescent="0.25">
      <c r="H274" s="5"/>
      <c r="O274" s="2"/>
    </row>
    <row r="275" spans="8:15" ht="15.75" customHeight="1" x14ac:dyDescent="0.25">
      <c r="H275" s="5"/>
      <c r="O275" s="2"/>
    </row>
    <row r="276" spans="8:15" ht="15.75" customHeight="1" x14ac:dyDescent="0.25">
      <c r="H276" s="5"/>
      <c r="O276" s="2"/>
    </row>
    <row r="277" spans="8:15" ht="15.75" customHeight="1" x14ac:dyDescent="0.25">
      <c r="H277" s="5"/>
      <c r="O277" s="2"/>
    </row>
    <row r="278" spans="8:15" ht="15.75" customHeight="1" x14ac:dyDescent="0.25">
      <c r="H278" s="5"/>
      <c r="O278" s="2"/>
    </row>
    <row r="279" spans="8:15" ht="15.75" customHeight="1" x14ac:dyDescent="0.25">
      <c r="H279" s="5"/>
      <c r="O279" s="2"/>
    </row>
    <row r="280" spans="8:15" ht="15.75" customHeight="1" x14ac:dyDescent="0.25">
      <c r="H280" s="5"/>
      <c r="O280" s="2"/>
    </row>
    <row r="281" spans="8:15" ht="15.75" customHeight="1" x14ac:dyDescent="0.25">
      <c r="H281" s="5"/>
      <c r="O281" s="2"/>
    </row>
    <row r="282" spans="8:15" ht="15.75" customHeight="1" x14ac:dyDescent="0.25">
      <c r="H282" s="5"/>
      <c r="O282" s="2"/>
    </row>
    <row r="283" spans="8:15" ht="15.75" customHeight="1" x14ac:dyDescent="0.25">
      <c r="H283" s="5"/>
      <c r="O283" s="2"/>
    </row>
    <row r="284" spans="8:15" ht="15.75" customHeight="1" x14ac:dyDescent="0.25">
      <c r="H284" s="5"/>
      <c r="O284" s="2"/>
    </row>
    <row r="285" spans="8:15" ht="15.75" customHeight="1" x14ac:dyDescent="0.25">
      <c r="H285" s="5"/>
      <c r="O285" s="2"/>
    </row>
    <row r="286" spans="8:15" ht="15.75" customHeight="1" x14ac:dyDescent="0.25">
      <c r="H286" s="5"/>
      <c r="O286" s="2"/>
    </row>
    <row r="287" spans="8:15" ht="15.75" customHeight="1" x14ac:dyDescent="0.25">
      <c r="H287" s="5"/>
      <c r="O287" s="2"/>
    </row>
    <row r="288" spans="8:15" ht="15.75" customHeight="1" x14ac:dyDescent="0.25">
      <c r="H288" s="5"/>
      <c r="O288" s="2"/>
    </row>
    <row r="289" spans="8:15" ht="15.75" customHeight="1" x14ac:dyDescent="0.25">
      <c r="H289" s="5"/>
      <c r="O289" s="2"/>
    </row>
    <row r="290" spans="8:15" ht="15.75" customHeight="1" x14ac:dyDescent="0.25">
      <c r="H290" s="5"/>
      <c r="O290" s="2"/>
    </row>
    <row r="291" spans="8:15" ht="15.75" customHeight="1" x14ac:dyDescent="0.25">
      <c r="H291" s="5"/>
      <c r="O291" s="2"/>
    </row>
    <row r="292" spans="8:15" ht="15.75" customHeight="1" x14ac:dyDescent="0.25">
      <c r="H292" s="5"/>
      <c r="O292" s="2"/>
    </row>
    <row r="293" spans="8:15" ht="15.75" customHeight="1" x14ac:dyDescent="0.25">
      <c r="H293" s="5"/>
      <c r="O293" s="2"/>
    </row>
    <row r="294" spans="8:15" ht="15.75" customHeight="1" x14ac:dyDescent="0.25">
      <c r="H294" s="5"/>
      <c r="O294" s="2"/>
    </row>
    <row r="295" spans="8:15" ht="15.75" customHeight="1" x14ac:dyDescent="0.25">
      <c r="H295" s="5"/>
      <c r="O295" s="2"/>
    </row>
    <row r="296" spans="8:15" ht="15.75" customHeight="1" x14ac:dyDescent="0.25">
      <c r="H296" s="5"/>
      <c r="O296" s="2"/>
    </row>
    <row r="297" spans="8:15" ht="15.75" customHeight="1" x14ac:dyDescent="0.25">
      <c r="H297" s="5"/>
      <c r="O297" s="2"/>
    </row>
    <row r="298" spans="8:15" ht="15.75" customHeight="1" x14ac:dyDescent="0.25">
      <c r="H298" s="5"/>
      <c r="O298" s="2"/>
    </row>
    <row r="299" spans="8:15" ht="15.75" customHeight="1" x14ac:dyDescent="0.25">
      <c r="H299" s="5"/>
      <c r="O299" s="2"/>
    </row>
    <row r="300" spans="8:15" ht="15.75" customHeight="1" x14ac:dyDescent="0.25">
      <c r="H300" s="5"/>
      <c r="O300" s="2"/>
    </row>
    <row r="301" spans="8:15" ht="15.75" customHeight="1" x14ac:dyDescent="0.25">
      <c r="H301" s="5"/>
      <c r="O301" s="2"/>
    </row>
    <row r="302" spans="8:15" ht="15.75" customHeight="1" x14ac:dyDescent="0.25">
      <c r="H302" s="5"/>
      <c r="O302" s="2"/>
    </row>
    <row r="303" spans="8:15" ht="15.75" customHeight="1" x14ac:dyDescent="0.25">
      <c r="H303" s="5"/>
      <c r="O303" s="2"/>
    </row>
    <row r="304" spans="8:15" ht="15.75" customHeight="1" x14ac:dyDescent="0.25">
      <c r="H304" s="5"/>
      <c r="O304" s="2"/>
    </row>
    <row r="305" spans="8:15" ht="15.75" customHeight="1" x14ac:dyDescent="0.25">
      <c r="H305" s="5"/>
      <c r="O305" s="2"/>
    </row>
    <row r="306" spans="8:15" ht="15.75" customHeight="1" x14ac:dyDescent="0.25">
      <c r="H306" s="5"/>
      <c r="O306" s="2"/>
    </row>
    <row r="307" spans="8:15" ht="15.75" customHeight="1" x14ac:dyDescent="0.25">
      <c r="H307" s="5"/>
      <c r="O307" s="2"/>
    </row>
    <row r="308" spans="8:15" ht="15.75" customHeight="1" x14ac:dyDescent="0.25">
      <c r="H308" s="5"/>
      <c r="O308" s="2"/>
    </row>
    <row r="309" spans="8:15" ht="15.75" customHeight="1" x14ac:dyDescent="0.25">
      <c r="H309" s="5"/>
      <c r="O309" s="2"/>
    </row>
    <row r="310" spans="8:15" ht="15.75" customHeight="1" x14ac:dyDescent="0.25">
      <c r="H310" s="5"/>
      <c r="O310" s="2"/>
    </row>
    <row r="311" spans="8:15" ht="15.75" customHeight="1" x14ac:dyDescent="0.25">
      <c r="H311" s="5"/>
      <c r="O311" s="2"/>
    </row>
    <row r="312" spans="8:15" ht="15.75" customHeight="1" x14ac:dyDescent="0.25">
      <c r="H312" s="5"/>
      <c r="O312" s="2"/>
    </row>
    <row r="313" spans="8:15" ht="15.75" customHeight="1" x14ac:dyDescent="0.25">
      <c r="H313" s="5"/>
      <c r="O313" s="2"/>
    </row>
    <row r="314" spans="8:15" ht="15.75" customHeight="1" x14ac:dyDescent="0.25">
      <c r="H314" s="5"/>
      <c r="O314" s="2"/>
    </row>
    <row r="315" spans="8:15" ht="15.75" customHeight="1" x14ac:dyDescent="0.25">
      <c r="H315" s="5"/>
      <c r="O315" s="2"/>
    </row>
    <row r="316" spans="8:15" ht="15.75" customHeight="1" x14ac:dyDescent="0.25">
      <c r="H316" s="5"/>
      <c r="O316" s="2"/>
    </row>
    <row r="317" spans="8:15" ht="15.75" customHeight="1" x14ac:dyDescent="0.25">
      <c r="H317" s="5"/>
      <c r="O317" s="2"/>
    </row>
    <row r="318" spans="8:15" ht="15.75" customHeight="1" x14ac:dyDescent="0.25">
      <c r="H318" s="5"/>
      <c r="O318" s="2"/>
    </row>
    <row r="319" spans="8:15" ht="15.75" customHeight="1" x14ac:dyDescent="0.25">
      <c r="H319" s="5"/>
      <c r="O319" s="2"/>
    </row>
    <row r="320" spans="8:15" ht="15.75" customHeight="1" x14ac:dyDescent="0.25">
      <c r="H320" s="5"/>
      <c r="O320" s="2"/>
    </row>
    <row r="321" spans="8:15" ht="15.75" customHeight="1" x14ac:dyDescent="0.25">
      <c r="H321" s="5"/>
      <c r="O321" s="2"/>
    </row>
    <row r="322" spans="8:15" ht="15.75" customHeight="1" x14ac:dyDescent="0.25">
      <c r="H322" s="5"/>
      <c r="O322" s="2"/>
    </row>
    <row r="323" spans="8:15" ht="15.75" customHeight="1" x14ac:dyDescent="0.25">
      <c r="H323" s="5"/>
      <c r="O323" s="2"/>
    </row>
    <row r="324" spans="8:15" ht="15.75" customHeight="1" x14ac:dyDescent="0.25">
      <c r="H324" s="5"/>
      <c r="O324" s="2"/>
    </row>
    <row r="325" spans="8:15" ht="15.75" customHeight="1" x14ac:dyDescent="0.25">
      <c r="H325" s="5"/>
      <c r="O325" s="2"/>
    </row>
    <row r="326" spans="8:15" ht="15.75" customHeight="1" x14ac:dyDescent="0.25">
      <c r="H326" s="5"/>
      <c r="O326" s="2"/>
    </row>
    <row r="327" spans="8:15" ht="15.75" customHeight="1" x14ac:dyDescent="0.25">
      <c r="H327" s="5"/>
      <c r="O327" s="2"/>
    </row>
    <row r="328" spans="8:15" ht="15.75" customHeight="1" x14ac:dyDescent="0.25">
      <c r="H328" s="5"/>
      <c r="O328" s="2"/>
    </row>
    <row r="329" spans="8:15" ht="15.75" customHeight="1" x14ac:dyDescent="0.25">
      <c r="H329" s="5"/>
      <c r="O329" s="2"/>
    </row>
    <row r="330" spans="8:15" ht="15.75" customHeight="1" x14ac:dyDescent="0.25">
      <c r="H330" s="5"/>
      <c r="O330" s="2"/>
    </row>
    <row r="331" spans="8:15" ht="15.75" customHeight="1" x14ac:dyDescent="0.25">
      <c r="H331" s="5"/>
      <c r="O331" s="2"/>
    </row>
    <row r="332" spans="8:15" ht="15.75" customHeight="1" x14ac:dyDescent="0.25">
      <c r="H332" s="5"/>
      <c r="O332" s="2"/>
    </row>
    <row r="333" spans="8:15" ht="15.75" customHeight="1" x14ac:dyDescent="0.25">
      <c r="H333" s="5"/>
      <c r="O333" s="2"/>
    </row>
    <row r="334" spans="8:15" ht="15.75" customHeight="1" x14ac:dyDescent="0.25">
      <c r="H334" s="5"/>
      <c r="O334" s="2"/>
    </row>
    <row r="335" spans="8:15" ht="15.75" customHeight="1" x14ac:dyDescent="0.25">
      <c r="H335" s="5"/>
      <c r="O335" s="2"/>
    </row>
    <row r="336" spans="8:15" ht="15.75" customHeight="1" x14ac:dyDescent="0.25">
      <c r="H336" s="5"/>
      <c r="O336" s="2"/>
    </row>
    <row r="337" spans="8:15" ht="15.75" customHeight="1" x14ac:dyDescent="0.25">
      <c r="H337" s="5"/>
      <c r="O337" s="2"/>
    </row>
    <row r="338" spans="8:15" ht="15.75" customHeight="1" x14ac:dyDescent="0.25">
      <c r="H338" s="5"/>
      <c r="O338" s="2"/>
    </row>
    <row r="339" spans="8:15" ht="15.75" customHeight="1" x14ac:dyDescent="0.25">
      <c r="H339" s="5"/>
      <c r="O339" s="2"/>
    </row>
    <row r="340" spans="8:15" ht="15.75" customHeight="1" x14ac:dyDescent="0.25">
      <c r="H340" s="5"/>
      <c r="O340" s="2"/>
    </row>
    <row r="341" spans="8:15" ht="15.75" customHeight="1" x14ac:dyDescent="0.25">
      <c r="H341" s="5"/>
      <c r="O341" s="2"/>
    </row>
    <row r="342" spans="8:15" ht="15.75" customHeight="1" x14ac:dyDescent="0.25">
      <c r="H342" s="5"/>
      <c r="O342" s="2"/>
    </row>
    <row r="343" spans="8:15" ht="15.75" customHeight="1" x14ac:dyDescent="0.25">
      <c r="H343" s="5"/>
      <c r="O343" s="2"/>
    </row>
    <row r="344" spans="8:15" ht="15.75" customHeight="1" x14ac:dyDescent="0.25">
      <c r="H344" s="5"/>
      <c r="O344" s="2"/>
    </row>
    <row r="345" spans="8:15" ht="15.75" customHeight="1" x14ac:dyDescent="0.25">
      <c r="H345" s="5"/>
      <c r="O345" s="2"/>
    </row>
    <row r="346" spans="8:15" ht="15.75" customHeight="1" x14ac:dyDescent="0.25">
      <c r="H346" s="5"/>
      <c r="O346" s="2"/>
    </row>
    <row r="347" spans="8:15" ht="15.75" customHeight="1" x14ac:dyDescent="0.25">
      <c r="H347" s="5"/>
      <c r="O347" s="2"/>
    </row>
    <row r="348" spans="8:15" ht="15.75" customHeight="1" x14ac:dyDescent="0.25">
      <c r="H348" s="5"/>
      <c r="O348" s="2"/>
    </row>
    <row r="349" spans="8:15" ht="15.75" customHeight="1" x14ac:dyDescent="0.25">
      <c r="H349" s="5"/>
      <c r="O349" s="2"/>
    </row>
    <row r="350" spans="8:15" ht="15.75" customHeight="1" x14ac:dyDescent="0.25">
      <c r="H350" s="5"/>
      <c r="O350" s="2"/>
    </row>
    <row r="351" spans="8:15" ht="15.75" customHeight="1" x14ac:dyDescent="0.25">
      <c r="H351" s="5"/>
      <c r="O351" s="2"/>
    </row>
    <row r="352" spans="8:15" ht="15.75" customHeight="1" x14ac:dyDescent="0.25">
      <c r="H352" s="5"/>
      <c r="O352" s="2"/>
    </row>
    <row r="353" spans="8:15" ht="15.75" customHeight="1" x14ac:dyDescent="0.25">
      <c r="H353" s="5"/>
      <c r="O353" s="2"/>
    </row>
    <row r="354" spans="8:15" ht="15.75" customHeight="1" x14ac:dyDescent="0.25">
      <c r="H354" s="5"/>
      <c r="O354" s="2"/>
    </row>
    <row r="355" spans="8:15" ht="15.75" customHeight="1" x14ac:dyDescent="0.25">
      <c r="H355" s="5"/>
      <c r="O355" s="2"/>
    </row>
    <row r="356" spans="8:15" ht="15.75" customHeight="1" x14ac:dyDescent="0.25">
      <c r="H356" s="5"/>
      <c r="O356" s="2"/>
    </row>
    <row r="357" spans="8:15" ht="15.75" customHeight="1" x14ac:dyDescent="0.25">
      <c r="H357" s="5"/>
      <c r="O357" s="2"/>
    </row>
    <row r="358" spans="8:15" ht="15.75" customHeight="1" x14ac:dyDescent="0.25">
      <c r="H358" s="5"/>
      <c r="O358" s="2"/>
    </row>
    <row r="359" spans="8:15" ht="15.75" customHeight="1" x14ac:dyDescent="0.25">
      <c r="H359" s="5"/>
      <c r="O359" s="2"/>
    </row>
    <row r="360" spans="8:15" ht="15.75" customHeight="1" x14ac:dyDescent="0.25">
      <c r="H360" s="5"/>
      <c r="O360" s="2"/>
    </row>
    <row r="361" spans="8:15" ht="15.75" customHeight="1" x14ac:dyDescent="0.25">
      <c r="H361" s="5"/>
      <c r="O361" s="2"/>
    </row>
    <row r="362" spans="8:15" ht="15.75" customHeight="1" x14ac:dyDescent="0.25">
      <c r="H362" s="5"/>
      <c r="O362" s="2"/>
    </row>
    <row r="363" spans="8:15" ht="15.75" customHeight="1" x14ac:dyDescent="0.25">
      <c r="H363" s="5"/>
      <c r="O363" s="2"/>
    </row>
    <row r="364" spans="8:15" ht="15.75" customHeight="1" x14ac:dyDescent="0.25">
      <c r="H364" s="5"/>
      <c r="O364" s="2"/>
    </row>
    <row r="365" spans="8:15" ht="15.75" customHeight="1" x14ac:dyDescent="0.25">
      <c r="H365" s="5"/>
      <c r="O365" s="2"/>
    </row>
    <row r="366" spans="8:15" ht="15.75" customHeight="1" x14ac:dyDescent="0.25">
      <c r="H366" s="5"/>
      <c r="O366" s="2"/>
    </row>
    <row r="367" spans="8:15" ht="15.75" customHeight="1" x14ac:dyDescent="0.25">
      <c r="H367" s="5"/>
      <c r="O367" s="2"/>
    </row>
    <row r="368" spans="8:15" ht="15.75" customHeight="1" x14ac:dyDescent="0.25">
      <c r="H368" s="5"/>
      <c r="O368" s="2"/>
    </row>
    <row r="369" spans="8:15" ht="15.75" customHeight="1" x14ac:dyDescent="0.25">
      <c r="H369" s="5"/>
      <c r="O369" s="2"/>
    </row>
    <row r="370" spans="8:15" ht="15.75" customHeight="1" x14ac:dyDescent="0.25">
      <c r="H370" s="5"/>
      <c r="O370" s="2"/>
    </row>
    <row r="371" spans="8:15" ht="15.75" customHeight="1" x14ac:dyDescent="0.25">
      <c r="H371" s="5"/>
      <c r="O371" s="2"/>
    </row>
    <row r="372" spans="8:15" ht="15.75" customHeight="1" x14ac:dyDescent="0.25">
      <c r="H372" s="5"/>
      <c r="O372" s="2"/>
    </row>
    <row r="373" spans="8:15" ht="15.75" customHeight="1" x14ac:dyDescent="0.25">
      <c r="H373" s="5"/>
      <c r="O373" s="2"/>
    </row>
    <row r="374" spans="8:15" ht="15.75" customHeight="1" x14ac:dyDescent="0.25">
      <c r="H374" s="5"/>
      <c r="O374" s="2"/>
    </row>
    <row r="375" spans="8:15" ht="15.75" customHeight="1" x14ac:dyDescent="0.25">
      <c r="H375" s="5"/>
      <c r="O375" s="2"/>
    </row>
    <row r="376" spans="8:15" ht="15.75" customHeight="1" x14ac:dyDescent="0.25">
      <c r="H376" s="5"/>
      <c r="O376" s="2"/>
    </row>
    <row r="377" spans="8:15" ht="15.75" customHeight="1" x14ac:dyDescent="0.25">
      <c r="H377" s="5"/>
      <c r="O377" s="2"/>
    </row>
    <row r="378" spans="8:15" ht="15.75" customHeight="1" x14ac:dyDescent="0.25">
      <c r="H378" s="5"/>
      <c r="O378" s="2"/>
    </row>
    <row r="379" spans="8:15" ht="15.75" customHeight="1" x14ac:dyDescent="0.25">
      <c r="H379" s="5"/>
      <c r="O379" s="2"/>
    </row>
    <row r="380" spans="8:15" ht="15.75" customHeight="1" x14ac:dyDescent="0.25">
      <c r="H380" s="5"/>
      <c r="O380" s="2"/>
    </row>
    <row r="381" spans="8:15" ht="15.75" customHeight="1" x14ac:dyDescent="0.25">
      <c r="H381" s="5"/>
      <c r="O381" s="2"/>
    </row>
    <row r="382" spans="8:15" ht="15.75" customHeight="1" x14ac:dyDescent="0.25">
      <c r="H382" s="5"/>
      <c r="O382" s="2"/>
    </row>
    <row r="383" spans="8:15" ht="15.75" customHeight="1" x14ac:dyDescent="0.25">
      <c r="H383" s="5"/>
      <c r="O383" s="2"/>
    </row>
    <row r="384" spans="8:15" ht="15.75" customHeight="1" x14ac:dyDescent="0.25">
      <c r="H384" s="5"/>
      <c r="O384" s="2"/>
    </row>
    <row r="385" spans="8:15" ht="15.75" customHeight="1" x14ac:dyDescent="0.25">
      <c r="H385" s="5"/>
      <c r="O385" s="2"/>
    </row>
    <row r="386" spans="8:15" ht="15.75" customHeight="1" x14ac:dyDescent="0.25">
      <c r="H386" s="5"/>
      <c r="O386" s="2"/>
    </row>
    <row r="387" spans="8:15" ht="15.75" customHeight="1" x14ac:dyDescent="0.25">
      <c r="H387" s="5"/>
      <c r="O387" s="2"/>
    </row>
    <row r="388" spans="8:15" ht="15.75" customHeight="1" x14ac:dyDescent="0.25">
      <c r="H388" s="5"/>
      <c r="O388" s="2"/>
    </row>
    <row r="389" spans="8:15" ht="15.75" customHeight="1" x14ac:dyDescent="0.25">
      <c r="H389" s="5"/>
      <c r="O389" s="2"/>
    </row>
    <row r="390" spans="8:15" ht="15.75" customHeight="1" x14ac:dyDescent="0.25">
      <c r="H390" s="5"/>
      <c r="O390" s="2"/>
    </row>
    <row r="391" spans="8:15" ht="15.75" customHeight="1" x14ac:dyDescent="0.25">
      <c r="H391" s="5"/>
      <c r="O391" s="2"/>
    </row>
    <row r="392" spans="8:15" ht="15.75" customHeight="1" x14ac:dyDescent="0.25">
      <c r="H392" s="5"/>
      <c r="O392" s="2"/>
    </row>
    <row r="393" spans="8:15" ht="15.75" customHeight="1" x14ac:dyDescent="0.25">
      <c r="H393" s="5"/>
      <c r="O393" s="2"/>
    </row>
    <row r="394" spans="8:15" ht="15.75" customHeight="1" x14ac:dyDescent="0.25">
      <c r="H394" s="5"/>
      <c r="O394" s="2"/>
    </row>
    <row r="395" spans="8:15" ht="15.75" customHeight="1" x14ac:dyDescent="0.25">
      <c r="H395" s="5"/>
      <c r="O395" s="2"/>
    </row>
    <row r="396" spans="8:15" ht="15.75" customHeight="1" x14ac:dyDescent="0.25">
      <c r="H396" s="5"/>
      <c r="O396" s="2"/>
    </row>
    <row r="397" spans="8:15" ht="15.75" customHeight="1" x14ac:dyDescent="0.25">
      <c r="H397" s="5"/>
      <c r="O397" s="2"/>
    </row>
    <row r="398" spans="8:15" ht="15.75" customHeight="1" x14ac:dyDescent="0.25">
      <c r="H398" s="5"/>
      <c r="O398" s="2"/>
    </row>
    <row r="399" spans="8:15" ht="15.75" customHeight="1" x14ac:dyDescent="0.25">
      <c r="H399" s="5"/>
      <c r="O399" s="2"/>
    </row>
    <row r="400" spans="8:15" ht="15.75" customHeight="1" x14ac:dyDescent="0.25">
      <c r="H400" s="5"/>
      <c r="O400" s="2"/>
    </row>
    <row r="401" spans="8:15" ht="15.75" customHeight="1" x14ac:dyDescent="0.25">
      <c r="H401" s="5"/>
      <c r="O401" s="2"/>
    </row>
    <row r="402" spans="8:15" ht="15.75" customHeight="1" x14ac:dyDescent="0.25">
      <c r="H402" s="5"/>
      <c r="O402" s="2"/>
    </row>
    <row r="403" spans="8:15" ht="15.75" customHeight="1" x14ac:dyDescent="0.25">
      <c r="H403" s="5"/>
      <c r="O403" s="2"/>
    </row>
    <row r="404" spans="8:15" ht="15.75" customHeight="1" x14ac:dyDescent="0.25">
      <c r="H404" s="5"/>
      <c r="O404" s="2"/>
    </row>
    <row r="405" spans="8:15" ht="15.75" customHeight="1" x14ac:dyDescent="0.25">
      <c r="H405" s="5"/>
      <c r="O405" s="2"/>
    </row>
    <row r="406" spans="8:15" ht="15.75" customHeight="1" x14ac:dyDescent="0.25">
      <c r="H406" s="5"/>
      <c r="O406" s="2"/>
    </row>
    <row r="407" spans="8:15" ht="15.75" customHeight="1" x14ac:dyDescent="0.25">
      <c r="H407" s="5"/>
      <c r="O407" s="2"/>
    </row>
    <row r="408" spans="8:15" ht="15.75" customHeight="1" x14ac:dyDescent="0.25">
      <c r="H408" s="5"/>
      <c r="O408" s="2"/>
    </row>
    <row r="409" spans="8:15" ht="15.75" customHeight="1" x14ac:dyDescent="0.25">
      <c r="H409" s="5"/>
      <c r="O409" s="2"/>
    </row>
    <row r="410" spans="8:15" ht="15.75" customHeight="1" x14ac:dyDescent="0.25">
      <c r="H410" s="5"/>
      <c r="O410" s="2"/>
    </row>
    <row r="411" spans="8:15" ht="15.75" customHeight="1" x14ac:dyDescent="0.25">
      <c r="H411" s="5"/>
      <c r="O411" s="2"/>
    </row>
    <row r="412" spans="8:15" ht="15.75" customHeight="1" x14ac:dyDescent="0.25">
      <c r="H412" s="5"/>
      <c r="O412" s="2"/>
    </row>
    <row r="413" spans="8:15" ht="15.75" customHeight="1" x14ac:dyDescent="0.25">
      <c r="H413" s="5"/>
      <c r="O413" s="2"/>
    </row>
    <row r="414" spans="8:15" ht="15.75" customHeight="1" x14ac:dyDescent="0.25">
      <c r="H414" s="5"/>
      <c r="O414" s="2"/>
    </row>
    <row r="415" spans="8:15" ht="15.75" customHeight="1" x14ac:dyDescent="0.25">
      <c r="H415" s="5"/>
      <c r="O415" s="2"/>
    </row>
    <row r="416" spans="8:15" ht="15.75" customHeight="1" x14ac:dyDescent="0.25">
      <c r="H416" s="5"/>
      <c r="O416" s="2"/>
    </row>
    <row r="417" spans="8:15" ht="15.75" customHeight="1" x14ac:dyDescent="0.25">
      <c r="H417" s="5"/>
      <c r="O417" s="2"/>
    </row>
    <row r="418" spans="8:15" ht="15.75" customHeight="1" x14ac:dyDescent="0.25">
      <c r="H418" s="5"/>
      <c r="O418" s="2"/>
    </row>
    <row r="419" spans="8:15" ht="15.75" customHeight="1" x14ac:dyDescent="0.25">
      <c r="H419" s="5"/>
      <c r="O419" s="2"/>
    </row>
    <row r="420" spans="8:15" ht="15.75" customHeight="1" x14ac:dyDescent="0.25">
      <c r="H420" s="5"/>
      <c r="O420" s="2"/>
    </row>
    <row r="421" spans="8:15" ht="15.75" customHeight="1" x14ac:dyDescent="0.25">
      <c r="H421" s="5"/>
      <c r="O421" s="2"/>
    </row>
    <row r="422" spans="8:15" ht="15.75" customHeight="1" x14ac:dyDescent="0.25">
      <c r="H422" s="5"/>
      <c r="O422" s="2"/>
    </row>
    <row r="423" spans="8:15" ht="15.75" customHeight="1" x14ac:dyDescent="0.25">
      <c r="H423" s="5"/>
      <c r="O423" s="2"/>
    </row>
    <row r="424" spans="8:15" ht="15.75" customHeight="1" x14ac:dyDescent="0.25">
      <c r="H424" s="5"/>
      <c r="O424" s="2"/>
    </row>
    <row r="425" spans="8:15" ht="15.75" customHeight="1" x14ac:dyDescent="0.25">
      <c r="H425" s="5"/>
      <c r="O425" s="2"/>
    </row>
    <row r="426" spans="8:15" ht="15.75" customHeight="1" x14ac:dyDescent="0.25">
      <c r="H426" s="5"/>
      <c r="O426" s="2"/>
    </row>
    <row r="427" spans="8:15" ht="15.75" customHeight="1" x14ac:dyDescent="0.25">
      <c r="H427" s="5"/>
      <c r="O427" s="2"/>
    </row>
    <row r="428" spans="8:15" ht="15.75" customHeight="1" x14ac:dyDescent="0.25">
      <c r="H428" s="5"/>
      <c r="O428" s="2"/>
    </row>
    <row r="429" spans="8:15" ht="15.75" customHeight="1" x14ac:dyDescent="0.25">
      <c r="H429" s="5"/>
      <c r="O429" s="2"/>
    </row>
    <row r="430" spans="8:15" ht="15.75" customHeight="1" x14ac:dyDescent="0.25">
      <c r="H430" s="5"/>
      <c r="O430" s="2"/>
    </row>
    <row r="431" spans="8:15" ht="15.75" customHeight="1" x14ac:dyDescent="0.25">
      <c r="H431" s="5"/>
      <c r="O431" s="2"/>
    </row>
    <row r="432" spans="8:15" ht="15.75" customHeight="1" x14ac:dyDescent="0.25">
      <c r="H432" s="5"/>
      <c r="O432" s="2"/>
    </row>
    <row r="433" spans="8:15" ht="15.75" customHeight="1" x14ac:dyDescent="0.25">
      <c r="H433" s="5"/>
      <c r="O433" s="2"/>
    </row>
    <row r="434" spans="8:15" ht="15.75" customHeight="1" x14ac:dyDescent="0.25">
      <c r="H434" s="5"/>
      <c r="O434" s="2"/>
    </row>
    <row r="435" spans="8:15" ht="15.75" customHeight="1" x14ac:dyDescent="0.25">
      <c r="H435" s="5"/>
      <c r="O435" s="2"/>
    </row>
    <row r="436" spans="8:15" ht="15.75" customHeight="1" x14ac:dyDescent="0.25">
      <c r="H436" s="5"/>
      <c r="O436" s="2"/>
    </row>
    <row r="437" spans="8:15" ht="15.75" customHeight="1" x14ac:dyDescent="0.25">
      <c r="H437" s="5"/>
      <c r="O437" s="2"/>
    </row>
    <row r="438" spans="8:15" ht="15.75" customHeight="1" x14ac:dyDescent="0.25">
      <c r="H438" s="5"/>
      <c r="O438" s="2"/>
    </row>
    <row r="439" spans="8:15" ht="15.75" customHeight="1" x14ac:dyDescent="0.25">
      <c r="H439" s="5"/>
      <c r="O439" s="2"/>
    </row>
    <row r="440" spans="8:15" ht="15.75" customHeight="1" x14ac:dyDescent="0.25">
      <c r="H440" s="5"/>
      <c r="O440" s="2"/>
    </row>
    <row r="441" spans="8:15" ht="15.75" customHeight="1" x14ac:dyDescent="0.25">
      <c r="H441" s="5"/>
      <c r="O441" s="2"/>
    </row>
    <row r="442" spans="8:15" ht="15.75" customHeight="1" x14ac:dyDescent="0.25">
      <c r="H442" s="5"/>
      <c r="O442" s="2"/>
    </row>
    <row r="443" spans="8:15" ht="15.75" customHeight="1" x14ac:dyDescent="0.25">
      <c r="H443" s="5"/>
      <c r="O443" s="2"/>
    </row>
    <row r="444" spans="8:15" ht="15.75" customHeight="1" x14ac:dyDescent="0.25">
      <c r="H444" s="5"/>
      <c r="O444" s="2"/>
    </row>
    <row r="445" spans="8:15" ht="15.75" customHeight="1" x14ac:dyDescent="0.25">
      <c r="H445" s="5"/>
      <c r="O445" s="2"/>
    </row>
    <row r="446" spans="8:15" ht="15.75" customHeight="1" x14ac:dyDescent="0.25">
      <c r="H446" s="5"/>
      <c r="O446" s="2"/>
    </row>
    <row r="447" spans="8:15" ht="15.75" customHeight="1" x14ac:dyDescent="0.25">
      <c r="H447" s="5"/>
      <c r="O447" s="2"/>
    </row>
    <row r="448" spans="8:15" ht="15.75" customHeight="1" x14ac:dyDescent="0.25">
      <c r="H448" s="5"/>
      <c r="O448" s="2"/>
    </row>
    <row r="449" spans="8:15" ht="15.75" customHeight="1" x14ac:dyDescent="0.25">
      <c r="H449" s="5"/>
      <c r="O449" s="2"/>
    </row>
    <row r="450" spans="8:15" ht="15.75" customHeight="1" x14ac:dyDescent="0.25">
      <c r="H450" s="5"/>
      <c r="O450" s="2"/>
    </row>
    <row r="451" spans="8:15" ht="15.75" customHeight="1" x14ac:dyDescent="0.25">
      <c r="H451" s="5"/>
      <c r="O451" s="2"/>
    </row>
    <row r="452" spans="8:15" ht="15.75" customHeight="1" x14ac:dyDescent="0.25">
      <c r="H452" s="5"/>
      <c r="O452" s="2"/>
    </row>
    <row r="453" spans="8:15" ht="15.75" customHeight="1" x14ac:dyDescent="0.25">
      <c r="H453" s="5"/>
      <c r="O453" s="2"/>
    </row>
    <row r="454" spans="8:15" ht="15.75" customHeight="1" x14ac:dyDescent="0.25">
      <c r="H454" s="5"/>
      <c r="O454" s="2"/>
    </row>
    <row r="455" spans="8:15" ht="15.75" customHeight="1" x14ac:dyDescent="0.25">
      <c r="H455" s="5"/>
      <c r="O455" s="2"/>
    </row>
    <row r="456" spans="8:15" ht="15.75" customHeight="1" x14ac:dyDescent="0.25">
      <c r="H456" s="5"/>
      <c r="O456" s="2"/>
    </row>
    <row r="457" spans="8:15" ht="15.75" customHeight="1" x14ac:dyDescent="0.25">
      <c r="H457" s="5"/>
      <c r="O457" s="2"/>
    </row>
    <row r="458" spans="8:15" ht="15.75" customHeight="1" x14ac:dyDescent="0.25">
      <c r="H458" s="5"/>
      <c r="O458" s="2"/>
    </row>
    <row r="459" spans="8:15" ht="15.75" customHeight="1" x14ac:dyDescent="0.25">
      <c r="H459" s="5"/>
      <c r="O459" s="2"/>
    </row>
    <row r="460" spans="8:15" ht="15.75" customHeight="1" x14ac:dyDescent="0.25">
      <c r="H460" s="5"/>
      <c r="O460" s="2"/>
    </row>
    <row r="461" spans="8:15" ht="15.75" customHeight="1" x14ac:dyDescent="0.25">
      <c r="H461" s="5"/>
      <c r="O461" s="2"/>
    </row>
    <row r="462" spans="8:15" ht="15.75" customHeight="1" x14ac:dyDescent="0.25">
      <c r="H462" s="5"/>
      <c r="O462" s="2"/>
    </row>
    <row r="463" spans="8:15" ht="15.75" customHeight="1" x14ac:dyDescent="0.25">
      <c r="H463" s="5"/>
      <c r="O463" s="2"/>
    </row>
    <row r="464" spans="8:15" ht="15.75" customHeight="1" x14ac:dyDescent="0.25">
      <c r="H464" s="5"/>
      <c r="O464" s="2"/>
    </row>
    <row r="465" spans="8:15" ht="15.75" customHeight="1" x14ac:dyDescent="0.25">
      <c r="H465" s="5"/>
      <c r="O465" s="2"/>
    </row>
    <row r="466" spans="8:15" ht="15.75" customHeight="1" x14ac:dyDescent="0.25">
      <c r="H466" s="5"/>
      <c r="O466" s="2"/>
    </row>
    <row r="467" spans="8:15" ht="15.75" customHeight="1" x14ac:dyDescent="0.25">
      <c r="H467" s="5"/>
      <c r="O467" s="2"/>
    </row>
    <row r="468" spans="8:15" ht="15.75" customHeight="1" x14ac:dyDescent="0.25">
      <c r="H468" s="5"/>
      <c r="O468" s="2"/>
    </row>
    <row r="469" spans="8:15" ht="15.75" customHeight="1" x14ac:dyDescent="0.25">
      <c r="H469" s="5"/>
      <c r="O469" s="2"/>
    </row>
    <row r="470" spans="8:15" ht="15.75" customHeight="1" x14ac:dyDescent="0.25">
      <c r="H470" s="5"/>
      <c r="O470" s="2"/>
    </row>
    <row r="471" spans="8:15" ht="15.75" customHeight="1" x14ac:dyDescent="0.25">
      <c r="H471" s="5"/>
      <c r="O471" s="2"/>
    </row>
    <row r="472" spans="8:15" ht="15.75" customHeight="1" x14ac:dyDescent="0.25">
      <c r="H472" s="5"/>
      <c r="O472" s="2"/>
    </row>
    <row r="473" spans="8:15" ht="15.75" customHeight="1" x14ac:dyDescent="0.25">
      <c r="H473" s="5"/>
      <c r="O473" s="2"/>
    </row>
    <row r="474" spans="8:15" ht="15.75" customHeight="1" x14ac:dyDescent="0.25">
      <c r="H474" s="5"/>
      <c r="O474" s="2"/>
    </row>
    <row r="475" spans="8:15" ht="15.75" customHeight="1" x14ac:dyDescent="0.25">
      <c r="H475" s="5"/>
      <c r="O475" s="2"/>
    </row>
    <row r="476" spans="8:15" ht="15.75" customHeight="1" x14ac:dyDescent="0.25">
      <c r="H476" s="5"/>
      <c r="O476" s="2"/>
    </row>
    <row r="477" spans="8:15" ht="15.75" customHeight="1" x14ac:dyDescent="0.25">
      <c r="H477" s="5"/>
      <c r="O477" s="2"/>
    </row>
    <row r="478" spans="8:15" ht="15.75" customHeight="1" x14ac:dyDescent="0.25">
      <c r="H478" s="5"/>
      <c r="O478" s="2"/>
    </row>
    <row r="479" spans="8:15" ht="15.75" customHeight="1" x14ac:dyDescent="0.25">
      <c r="H479" s="5"/>
      <c r="O479" s="2"/>
    </row>
    <row r="480" spans="8:15" ht="15.75" customHeight="1" x14ac:dyDescent="0.25">
      <c r="H480" s="5"/>
      <c r="O480" s="2"/>
    </row>
    <row r="481" spans="8:15" ht="15.75" customHeight="1" x14ac:dyDescent="0.25">
      <c r="H481" s="5"/>
      <c r="O481" s="2"/>
    </row>
    <row r="482" spans="8:15" ht="15.75" customHeight="1" x14ac:dyDescent="0.25">
      <c r="H482" s="5"/>
      <c r="O482" s="2"/>
    </row>
    <row r="483" spans="8:15" ht="15.75" customHeight="1" x14ac:dyDescent="0.25">
      <c r="H483" s="5"/>
      <c r="O483" s="2"/>
    </row>
    <row r="484" spans="8:15" ht="15.75" customHeight="1" x14ac:dyDescent="0.25">
      <c r="H484" s="5"/>
      <c r="O484" s="2"/>
    </row>
    <row r="485" spans="8:15" ht="15.75" customHeight="1" x14ac:dyDescent="0.25">
      <c r="H485" s="5"/>
      <c r="O485" s="2"/>
    </row>
    <row r="486" spans="8:15" ht="15.75" customHeight="1" x14ac:dyDescent="0.25">
      <c r="H486" s="5"/>
      <c r="O486" s="2"/>
    </row>
    <row r="487" spans="8:15" ht="15.75" customHeight="1" x14ac:dyDescent="0.25">
      <c r="H487" s="5"/>
      <c r="O487" s="2"/>
    </row>
    <row r="488" spans="8:15" ht="15.75" customHeight="1" x14ac:dyDescent="0.25">
      <c r="H488" s="5"/>
      <c r="O488" s="2"/>
    </row>
    <row r="489" spans="8:15" ht="15.75" customHeight="1" x14ac:dyDescent="0.25">
      <c r="H489" s="5"/>
      <c r="O489" s="2"/>
    </row>
    <row r="490" spans="8:15" ht="15.75" customHeight="1" x14ac:dyDescent="0.25">
      <c r="H490" s="5"/>
      <c r="O490" s="2"/>
    </row>
    <row r="491" spans="8:15" ht="15.75" customHeight="1" x14ac:dyDescent="0.25">
      <c r="H491" s="5"/>
      <c r="O491" s="2"/>
    </row>
    <row r="492" spans="8:15" ht="15.75" customHeight="1" x14ac:dyDescent="0.25">
      <c r="H492" s="5"/>
      <c r="O492" s="2"/>
    </row>
    <row r="493" spans="8:15" ht="15.75" customHeight="1" x14ac:dyDescent="0.25">
      <c r="H493" s="5"/>
      <c r="O493" s="2"/>
    </row>
    <row r="494" spans="8:15" ht="15.75" customHeight="1" x14ac:dyDescent="0.25">
      <c r="H494" s="5"/>
      <c r="O494" s="2"/>
    </row>
    <row r="495" spans="8:15" ht="15.75" customHeight="1" x14ac:dyDescent="0.25">
      <c r="H495" s="5"/>
      <c r="O495" s="2"/>
    </row>
    <row r="496" spans="8:15" ht="15.75" customHeight="1" x14ac:dyDescent="0.25">
      <c r="H496" s="5"/>
      <c r="O496" s="2"/>
    </row>
    <row r="497" spans="8:15" ht="15.75" customHeight="1" x14ac:dyDescent="0.25">
      <c r="H497" s="5"/>
      <c r="O497" s="2"/>
    </row>
    <row r="498" spans="8:15" ht="15.75" customHeight="1" x14ac:dyDescent="0.25">
      <c r="H498" s="5"/>
      <c r="O498" s="2"/>
    </row>
    <row r="499" spans="8:15" ht="15.75" customHeight="1" x14ac:dyDescent="0.25">
      <c r="H499" s="5"/>
      <c r="O499" s="2"/>
    </row>
    <row r="500" spans="8:15" ht="15.75" customHeight="1" x14ac:dyDescent="0.25">
      <c r="H500" s="5"/>
      <c r="O500" s="2"/>
    </row>
    <row r="501" spans="8:15" ht="15.75" customHeight="1" x14ac:dyDescent="0.25">
      <c r="H501" s="5"/>
      <c r="O501" s="2"/>
    </row>
    <row r="502" spans="8:15" ht="15.75" customHeight="1" x14ac:dyDescent="0.25">
      <c r="H502" s="5"/>
      <c r="O502" s="2"/>
    </row>
    <row r="503" spans="8:15" ht="15.75" customHeight="1" x14ac:dyDescent="0.25">
      <c r="H503" s="5"/>
      <c r="O503" s="2"/>
    </row>
    <row r="504" spans="8:15" ht="15.75" customHeight="1" x14ac:dyDescent="0.25">
      <c r="H504" s="5"/>
      <c r="O504" s="2"/>
    </row>
    <row r="505" spans="8:15" ht="15.75" customHeight="1" x14ac:dyDescent="0.25">
      <c r="H505" s="5"/>
      <c r="O505" s="2"/>
    </row>
    <row r="506" spans="8:15" ht="15.75" customHeight="1" x14ac:dyDescent="0.25">
      <c r="H506" s="5"/>
      <c r="O506" s="2"/>
    </row>
    <row r="507" spans="8:15" ht="15.75" customHeight="1" x14ac:dyDescent="0.25">
      <c r="H507" s="5"/>
      <c r="O507" s="2"/>
    </row>
    <row r="508" spans="8:15" ht="15.75" customHeight="1" x14ac:dyDescent="0.25">
      <c r="H508" s="5"/>
      <c r="O508" s="2"/>
    </row>
    <row r="509" spans="8:15" ht="15.75" customHeight="1" x14ac:dyDescent="0.25">
      <c r="H509" s="5"/>
      <c r="O509" s="2"/>
    </row>
    <row r="510" spans="8:15" ht="15.75" customHeight="1" x14ac:dyDescent="0.25">
      <c r="H510" s="5"/>
      <c r="O510" s="2"/>
    </row>
    <row r="511" spans="8:15" ht="15.75" customHeight="1" x14ac:dyDescent="0.25">
      <c r="H511" s="5"/>
      <c r="O511" s="2"/>
    </row>
    <row r="512" spans="8:15" ht="15.75" customHeight="1" x14ac:dyDescent="0.25">
      <c r="H512" s="5"/>
      <c r="O512" s="2"/>
    </row>
    <row r="513" spans="8:15" ht="15.75" customHeight="1" x14ac:dyDescent="0.25">
      <c r="H513" s="5"/>
      <c r="O513" s="2"/>
    </row>
    <row r="514" spans="8:15" ht="15.75" customHeight="1" x14ac:dyDescent="0.25">
      <c r="H514" s="5"/>
      <c r="O514" s="2"/>
    </row>
    <row r="515" spans="8:15" ht="15.75" customHeight="1" x14ac:dyDescent="0.25">
      <c r="H515" s="5"/>
      <c r="O515" s="2"/>
    </row>
    <row r="516" spans="8:15" ht="15.75" customHeight="1" x14ac:dyDescent="0.25">
      <c r="H516" s="5"/>
      <c r="O516" s="2"/>
    </row>
    <row r="517" spans="8:15" ht="15.75" customHeight="1" x14ac:dyDescent="0.25">
      <c r="H517" s="5"/>
      <c r="O517" s="2"/>
    </row>
    <row r="518" spans="8:15" ht="15.75" customHeight="1" x14ac:dyDescent="0.25">
      <c r="H518" s="5"/>
      <c r="O518" s="2"/>
    </row>
    <row r="519" spans="8:15" ht="15.75" customHeight="1" x14ac:dyDescent="0.25">
      <c r="H519" s="5"/>
      <c r="O519" s="2"/>
    </row>
    <row r="520" spans="8:15" ht="15.75" customHeight="1" x14ac:dyDescent="0.25">
      <c r="H520" s="5"/>
      <c r="O520" s="2"/>
    </row>
    <row r="521" spans="8:15" ht="15.75" customHeight="1" x14ac:dyDescent="0.25">
      <c r="H521" s="5"/>
      <c r="O521" s="2"/>
    </row>
    <row r="522" spans="8:15" ht="15.75" customHeight="1" x14ac:dyDescent="0.25">
      <c r="H522" s="5"/>
      <c r="O522" s="2"/>
    </row>
    <row r="523" spans="8:15" ht="15.75" customHeight="1" x14ac:dyDescent="0.25">
      <c r="H523" s="5"/>
      <c r="O523" s="2"/>
    </row>
    <row r="524" spans="8:15" ht="15.75" customHeight="1" x14ac:dyDescent="0.25">
      <c r="H524" s="5"/>
      <c r="O524" s="2"/>
    </row>
    <row r="525" spans="8:15" ht="15.75" customHeight="1" x14ac:dyDescent="0.25">
      <c r="H525" s="5"/>
      <c r="O525" s="2"/>
    </row>
    <row r="526" spans="8:15" ht="15.75" customHeight="1" x14ac:dyDescent="0.25">
      <c r="H526" s="5"/>
      <c r="O526" s="2"/>
    </row>
    <row r="527" spans="8:15" ht="15.75" customHeight="1" x14ac:dyDescent="0.25">
      <c r="H527" s="5"/>
      <c r="O527" s="2"/>
    </row>
    <row r="528" spans="8:15" ht="15.75" customHeight="1" x14ac:dyDescent="0.25">
      <c r="H528" s="5"/>
      <c r="O528" s="2"/>
    </row>
    <row r="529" spans="8:15" ht="15.75" customHeight="1" x14ac:dyDescent="0.25">
      <c r="H529" s="5"/>
      <c r="O529" s="2"/>
    </row>
    <row r="530" spans="8:15" ht="15.75" customHeight="1" x14ac:dyDescent="0.25">
      <c r="H530" s="5"/>
      <c r="O530" s="2"/>
    </row>
    <row r="531" spans="8:15" ht="15.75" customHeight="1" x14ac:dyDescent="0.25">
      <c r="H531" s="5"/>
      <c r="O531" s="2"/>
    </row>
    <row r="532" spans="8:15" ht="15.75" customHeight="1" x14ac:dyDescent="0.25">
      <c r="H532" s="5"/>
      <c r="O532" s="2"/>
    </row>
    <row r="533" spans="8:15" ht="15.75" customHeight="1" x14ac:dyDescent="0.25">
      <c r="H533" s="5"/>
      <c r="O533" s="2"/>
    </row>
    <row r="534" spans="8:15" ht="15.75" customHeight="1" x14ac:dyDescent="0.25">
      <c r="H534" s="5"/>
      <c r="O534" s="2"/>
    </row>
    <row r="535" spans="8:15" ht="15.75" customHeight="1" x14ac:dyDescent="0.25">
      <c r="H535" s="5"/>
      <c r="O535" s="2"/>
    </row>
    <row r="536" spans="8:15" ht="15.75" customHeight="1" x14ac:dyDescent="0.25">
      <c r="H536" s="5"/>
      <c r="O536" s="2"/>
    </row>
    <row r="537" spans="8:15" ht="15.75" customHeight="1" x14ac:dyDescent="0.25">
      <c r="H537" s="5"/>
      <c r="O537" s="2"/>
    </row>
    <row r="538" spans="8:15" ht="15.75" customHeight="1" x14ac:dyDescent="0.25">
      <c r="H538" s="5"/>
      <c r="O538" s="2"/>
    </row>
    <row r="539" spans="8:15" ht="15.75" customHeight="1" x14ac:dyDescent="0.25">
      <c r="H539" s="5"/>
      <c r="O539" s="2"/>
    </row>
    <row r="540" spans="8:15" ht="15.75" customHeight="1" x14ac:dyDescent="0.25">
      <c r="H540" s="5"/>
      <c r="O540" s="2"/>
    </row>
    <row r="541" spans="8:15" ht="15.75" customHeight="1" x14ac:dyDescent="0.25">
      <c r="H541" s="5"/>
      <c r="O541" s="2"/>
    </row>
    <row r="542" spans="8:15" ht="15.75" customHeight="1" x14ac:dyDescent="0.25">
      <c r="H542" s="5"/>
      <c r="O542" s="2"/>
    </row>
    <row r="543" spans="8:15" ht="15.75" customHeight="1" x14ac:dyDescent="0.25">
      <c r="H543" s="5"/>
      <c r="O543" s="2"/>
    </row>
    <row r="544" spans="8:15" ht="15.75" customHeight="1" x14ac:dyDescent="0.25">
      <c r="H544" s="5"/>
      <c r="O544" s="2"/>
    </row>
    <row r="545" spans="8:15" ht="15.75" customHeight="1" x14ac:dyDescent="0.25">
      <c r="H545" s="5"/>
      <c r="O545" s="2"/>
    </row>
    <row r="546" spans="8:15" ht="15.75" customHeight="1" x14ac:dyDescent="0.25">
      <c r="H546" s="5"/>
      <c r="O546" s="2"/>
    </row>
    <row r="547" spans="8:15" ht="15.75" customHeight="1" x14ac:dyDescent="0.25">
      <c r="H547" s="5"/>
      <c r="O547" s="2"/>
    </row>
    <row r="548" spans="8:15" ht="15.75" customHeight="1" x14ac:dyDescent="0.25">
      <c r="H548" s="5"/>
      <c r="O548" s="2"/>
    </row>
    <row r="549" spans="8:15" ht="15.75" customHeight="1" x14ac:dyDescent="0.25">
      <c r="H549" s="5"/>
      <c r="O549" s="2"/>
    </row>
    <row r="550" spans="8:15" ht="15.75" customHeight="1" x14ac:dyDescent="0.25">
      <c r="H550" s="5"/>
      <c r="O550" s="2"/>
    </row>
    <row r="551" spans="8:15" ht="15.75" customHeight="1" x14ac:dyDescent="0.25">
      <c r="H551" s="5"/>
      <c r="O551" s="2"/>
    </row>
    <row r="552" spans="8:15" ht="15.75" customHeight="1" x14ac:dyDescent="0.25">
      <c r="H552" s="5"/>
      <c r="O552" s="2"/>
    </row>
    <row r="553" spans="8:15" ht="15.75" customHeight="1" x14ac:dyDescent="0.25">
      <c r="H553" s="5"/>
      <c r="O553" s="2"/>
    </row>
    <row r="554" spans="8:15" ht="15.75" customHeight="1" x14ac:dyDescent="0.25">
      <c r="H554" s="5"/>
      <c r="O554" s="2"/>
    </row>
    <row r="555" spans="8:15" ht="15.75" customHeight="1" x14ac:dyDescent="0.25">
      <c r="H555" s="5"/>
      <c r="O555" s="2"/>
    </row>
    <row r="556" spans="8:15" ht="15.75" customHeight="1" x14ac:dyDescent="0.25">
      <c r="H556" s="5"/>
      <c r="O556" s="2"/>
    </row>
    <row r="557" spans="8:15" ht="15.75" customHeight="1" x14ac:dyDescent="0.25">
      <c r="H557" s="5"/>
      <c r="O557" s="2"/>
    </row>
    <row r="558" spans="8:15" ht="15.75" customHeight="1" x14ac:dyDescent="0.25">
      <c r="H558" s="5"/>
      <c r="O558" s="2"/>
    </row>
    <row r="559" spans="8:15" ht="15.75" customHeight="1" x14ac:dyDescent="0.25">
      <c r="H559" s="5"/>
      <c r="O559" s="2"/>
    </row>
    <row r="560" spans="8:15" ht="15.75" customHeight="1" x14ac:dyDescent="0.25">
      <c r="H560" s="5"/>
      <c r="O560" s="2"/>
    </row>
    <row r="561" spans="8:15" ht="15.75" customHeight="1" x14ac:dyDescent="0.25">
      <c r="H561" s="5"/>
      <c r="O561" s="2"/>
    </row>
    <row r="562" spans="8:15" ht="15.75" customHeight="1" x14ac:dyDescent="0.25">
      <c r="H562" s="5"/>
      <c r="O562" s="2"/>
    </row>
    <row r="563" spans="8:15" ht="15.75" customHeight="1" x14ac:dyDescent="0.25">
      <c r="H563" s="5"/>
      <c r="O563" s="2"/>
    </row>
    <row r="564" spans="8:15" ht="15.75" customHeight="1" x14ac:dyDescent="0.25">
      <c r="H564" s="5"/>
      <c r="O564" s="2"/>
    </row>
    <row r="565" spans="8:15" ht="15.75" customHeight="1" x14ac:dyDescent="0.25">
      <c r="H565" s="5"/>
      <c r="O565" s="2"/>
    </row>
    <row r="566" spans="8:15" ht="15.75" customHeight="1" x14ac:dyDescent="0.25">
      <c r="H566" s="5"/>
      <c r="O566" s="2"/>
    </row>
    <row r="567" spans="8:15" ht="15.75" customHeight="1" x14ac:dyDescent="0.25">
      <c r="H567" s="5"/>
      <c r="O567" s="2"/>
    </row>
    <row r="568" spans="8:15" ht="15.75" customHeight="1" x14ac:dyDescent="0.25">
      <c r="H568" s="5"/>
      <c r="O568" s="2"/>
    </row>
    <row r="569" spans="8:15" ht="15.75" customHeight="1" x14ac:dyDescent="0.25">
      <c r="H569" s="5"/>
      <c r="O569" s="2"/>
    </row>
    <row r="570" spans="8:15" ht="15.75" customHeight="1" x14ac:dyDescent="0.25">
      <c r="H570" s="5"/>
      <c r="O570" s="2"/>
    </row>
    <row r="571" spans="8:15" ht="15.75" customHeight="1" x14ac:dyDescent="0.25">
      <c r="H571" s="5"/>
      <c r="O571" s="2"/>
    </row>
    <row r="572" spans="8:15" ht="15.75" customHeight="1" x14ac:dyDescent="0.25">
      <c r="H572" s="5"/>
      <c r="O572" s="2"/>
    </row>
    <row r="573" spans="8:15" ht="15.75" customHeight="1" x14ac:dyDescent="0.25">
      <c r="H573" s="5"/>
      <c r="O573" s="2"/>
    </row>
    <row r="574" spans="8:15" ht="15.75" customHeight="1" x14ac:dyDescent="0.25">
      <c r="H574" s="5"/>
      <c r="O574" s="2"/>
    </row>
    <row r="575" spans="8:15" ht="15.75" customHeight="1" x14ac:dyDescent="0.25">
      <c r="H575" s="5"/>
      <c r="O575" s="2"/>
    </row>
    <row r="576" spans="8:15" ht="15.75" customHeight="1" x14ac:dyDescent="0.25">
      <c r="H576" s="5"/>
      <c r="O576" s="2"/>
    </row>
    <row r="577" spans="8:15" ht="15.75" customHeight="1" x14ac:dyDescent="0.25">
      <c r="H577" s="5"/>
      <c r="O577" s="2"/>
    </row>
    <row r="578" spans="8:15" ht="15.75" customHeight="1" x14ac:dyDescent="0.25">
      <c r="H578" s="5"/>
      <c r="O578" s="2"/>
    </row>
    <row r="579" spans="8:15" ht="15.75" customHeight="1" x14ac:dyDescent="0.25">
      <c r="H579" s="5"/>
      <c r="O579" s="2"/>
    </row>
    <row r="580" spans="8:15" ht="15.75" customHeight="1" x14ac:dyDescent="0.25">
      <c r="H580" s="5"/>
      <c r="O580" s="2"/>
    </row>
    <row r="581" spans="8:15" ht="15.75" customHeight="1" x14ac:dyDescent="0.25">
      <c r="H581" s="5"/>
      <c r="O581" s="2"/>
    </row>
    <row r="582" spans="8:15" ht="15.75" customHeight="1" x14ac:dyDescent="0.25">
      <c r="H582" s="5"/>
      <c r="O582" s="2"/>
    </row>
    <row r="583" spans="8:15" ht="15.75" customHeight="1" x14ac:dyDescent="0.25">
      <c r="H583" s="5"/>
      <c r="O583" s="2"/>
    </row>
    <row r="584" spans="8:15" ht="15.75" customHeight="1" x14ac:dyDescent="0.25">
      <c r="H584" s="5"/>
      <c r="O584" s="2"/>
    </row>
    <row r="585" spans="8:15" ht="15.75" customHeight="1" x14ac:dyDescent="0.25">
      <c r="H585" s="5"/>
      <c r="O585" s="2"/>
    </row>
    <row r="586" spans="8:15" ht="15.75" customHeight="1" x14ac:dyDescent="0.25">
      <c r="H586" s="5"/>
      <c r="O586" s="2"/>
    </row>
    <row r="587" spans="8:15" ht="15.75" customHeight="1" x14ac:dyDescent="0.25">
      <c r="H587" s="5"/>
      <c r="O587" s="2"/>
    </row>
    <row r="588" spans="8:15" ht="15.75" customHeight="1" x14ac:dyDescent="0.25">
      <c r="H588" s="5"/>
      <c r="O588" s="2"/>
    </row>
    <row r="589" spans="8:15" ht="15.75" customHeight="1" x14ac:dyDescent="0.25">
      <c r="H589" s="5"/>
      <c r="O589" s="2"/>
    </row>
    <row r="590" spans="8:15" ht="15.75" customHeight="1" x14ac:dyDescent="0.25">
      <c r="H590" s="5"/>
      <c r="O590" s="2"/>
    </row>
    <row r="591" spans="8:15" ht="15.75" customHeight="1" x14ac:dyDescent="0.25">
      <c r="H591" s="5"/>
      <c r="O591" s="2"/>
    </row>
    <row r="592" spans="8:15" ht="15.75" customHeight="1" x14ac:dyDescent="0.25">
      <c r="H592" s="5"/>
      <c r="O592" s="2"/>
    </row>
    <row r="593" spans="8:15" ht="15.75" customHeight="1" x14ac:dyDescent="0.25">
      <c r="H593" s="5"/>
      <c r="O593" s="2"/>
    </row>
    <row r="594" spans="8:15" ht="15.75" customHeight="1" x14ac:dyDescent="0.25">
      <c r="H594" s="5"/>
      <c r="O594" s="2"/>
    </row>
    <row r="595" spans="8:15" ht="15.75" customHeight="1" x14ac:dyDescent="0.25">
      <c r="H595" s="5"/>
      <c r="O595" s="2"/>
    </row>
    <row r="596" spans="8:15" ht="15.75" customHeight="1" x14ac:dyDescent="0.25">
      <c r="H596" s="5"/>
      <c r="O596" s="2"/>
    </row>
    <row r="597" spans="8:15" ht="15.75" customHeight="1" x14ac:dyDescent="0.25">
      <c r="H597" s="5"/>
      <c r="O597" s="2"/>
    </row>
    <row r="598" spans="8:15" ht="15.75" customHeight="1" x14ac:dyDescent="0.25">
      <c r="H598" s="5"/>
      <c r="O598" s="2"/>
    </row>
    <row r="599" spans="8:15" ht="15.75" customHeight="1" x14ac:dyDescent="0.25">
      <c r="H599" s="5"/>
      <c r="O599" s="2"/>
    </row>
    <row r="600" spans="8:15" ht="15.75" customHeight="1" x14ac:dyDescent="0.25">
      <c r="H600" s="5"/>
      <c r="O600" s="2"/>
    </row>
    <row r="601" spans="8:15" ht="15.75" customHeight="1" x14ac:dyDescent="0.25">
      <c r="H601" s="5"/>
      <c r="O601" s="2"/>
    </row>
    <row r="602" spans="8:15" ht="15.75" customHeight="1" x14ac:dyDescent="0.25">
      <c r="H602" s="5"/>
      <c r="O602" s="2"/>
    </row>
    <row r="603" spans="8:15" ht="15.75" customHeight="1" x14ac:dyDescent="0.25">
      <c r="H603" s="5"/>
      <c r="O603" s="2"/>
    </row>
    <row r="604" spans="8:15" ht="15.75" customHeight="1" x14ac:dyDescent="0.25">
      <c r="H604" s="5"/>
      <c r="O604" s="2"/>
    </row>
    <row r="605" spans="8:15" ht="15.75" customHeight="1" x14ac:dyDescent="0.25">
      <c r="H605" s="5"/>
      <c r="O605" s="2"/>
    </row>
    <row r="606" spans="8:15" ht="15.75" customHeight="1" x14ac:dyDescent="0.25">
      <c r="H606" s="5"/>
      <c r="O606" s="2"/>
    </row>
    <row r="607" spans="8:15" ht="15.75" customHeight="1" x14ac:dyDescent="0.25">
      <c r="H607" s="5"/>
      <c r="O607" s="2"/>
    </row>
    <row r="608" spans="8:15" ht="15.75" customHeight="1" x14ac:dyDescent="0.25">
      <c r="H608" s="5"/>
      <c r="O608" s="2"/>
    </row>
    <row r="609" spans="8:15" ht="15.75" customHeight="1" x14ac:dyDescent="0.25">
      <c r="H609" s="5"/>
      <c r="O609" s="2"/>
    </row>
    <row r="610" spans="8:15" ht="15.75" customHeight="1" x14ac:dyDescent="0.25">
      <c r="H610" s="5"/>
      <c r="O610" s="2"/>
    </row>
    <row r="611" spans="8:15" ht="15.75" customHeight="1" x14ac:dyDescent="0.25">
      <c r="H611" s="5"/>
      <c r="O611" s="2"/>
    </row>
    <row r="612" spans="8:15" ht="15.75" customHeight="1" x14ac:dyDescent="0.25">
      <c r="H612" s="5"/>
      <c r="O612" s="2"/>
    </row>
    <row r="613" spans="8:15" ht="15.75" customHeight="1" x14ac:dyDescent="0.25">
      <c r="H613" s="5"/>
      <c r="O613" s="2"/>
    </row>
    <row r="614" spans="8:15" ht="15.75" customHeight="1" x14ac:dyDescent="0.25">
      <c r="H614" s="5"/>
      <c r="O614" s="2"/>
    </row>
    <row r="615" spans="8:15" ht="15.75" customHeight="1" x14ac:dyDescent="0.25">
      <c r="H615" s="5"/>
      <c r="O615" s="2"/>
    </row>
    <row r="616" spans="8:15" ht="15.75" customHeight="1" x14ac:dyDescent="0.25">
      <c r="H616" s="5"/>
      <c r="O616" s="2"/>
    </row>
    <row r="617" spans="8:15" ht="15.75" customHeight="1" x14ac:dyDescent="0.25">
      <c r="H617" s="5"/>
      <c r="O617" s="2"/>
    </row>
    <row r="618" spans="8:15" ht="15.75" customHeight="1" x14ac:dyDescent="0.25">
      <c r="H618" s="5"/>
      <c r="O618" s="2"/>
    </row>
    <row r="619" spans="8:15" ht="15.75" customHeight="1" x14ac:dyDescent="0.25">
      <c r="H619" s="5"/>
      <c r="O619" s="2"/>
    </row>
    <row r="620" spans="8:15" ht="15.75" customHeight="1" x14ac:dyDescent="0.25">
      <c r="H620" s="5"/>
      <c r="O620" s="2"/>
    </row>
    <row r="621" spans="8:15" ht="15.75" customHeight="1" x14ac:dyDescent="0.25">
      <c r="H621" s="5"/>
      <c r="O621" s="2"/>
    </row>
    <row r="622" spans="8:15" ht="15.75" customHeight="1" x14ac:dyDescent="0.25">
      <c r="H622" s="5"/>
      <c r="O622" s="2"/>
    </row>
    <row r="623" spans="8:15" ht="15.75" customHeight="1" x14ac:dyDescent="0.25">
      <c r="H623" s="5"/>
      <c r="O623" s="2"/>
    </row>
    <row r="624" spans="8:15" ht="15.75" customHeight="1" x14ac:dyDescent="0.25">
      <c r="H624" s="5"/>
      <c r="O624" s="2"/>
    </row>
    <row r="625" spans="8:15" ht="15.75" customHeight="1" x14ac:dyDescent="0.25">
      <c r="H625" s="5"/>
      <c r="O625" s="2"/>
    </row>
    <row r="626" spans="8:15" ht="15.75" customHeight="1" x14ac:dyDescent="0.25">
      <c r="H626" s="5"/>
      <c r="O626" s="2"/>
    </row>
    <row r="627" spans="8:15" ht="15.75" customHeight="1" x14ac:dyDescent="0.25">
      <c r="H627" s="5"/>
      <c r="O627" s="2"/>
    </row>
    <row r="628" spans="8:15" ht="15.75" customHeight="1" x14ac:dyDescent="0.25">
      <c r="H628" s="5"/>
      <c r="O628" s="2"/>
    </row>
    <row r="629" spans="8:15" ht="15.75" customHeight="1" x14ac:dyDescent="0.25">
      <c r="H629" s="5"/>
      <c r="O629" s="2"/>
    </row>
    <row r="630" spans="8:15" ht="15.75" customHeight="1" x14ac:dyDescent="0.25">
      <c r="H630" s="5"/>
      <c r="O630" s="2"/>
    </row>
    <row r="631" spans="8:15" ht="15.75" customHeight="1" x14ac:dyDescent="0.25">
      <c r="H631" s="5"/>
      <c r="O631" s="2"/>
    </row>
    <row r="632" spans="8:15" ht="15.75" customHeight="1" x14ac:dyDescent="0.25">
      <c r="H632" s="5"/>
      <c r="O632" s="2"/>
    </row>
    <row r="633" spans="8:15" ht="15.75" customHeight="1" x14ac:dyDescent="0.25">
      <c r="H633" s="5"/>
      <c r="O633" s="2"/>
    </row>
    <row r="634" spans="8:15" ht="15.75" customHeight="1" x14ac:dyDescent="0.25">
      <c r="H634" s="5"/>
      <c r="O634" s="2"/>
    </row>
    <row r="635" spans="8:15" ht="15.75" customHeight="1" x14ac:dyDescent="0.25">
      <c r="H635" s="5"/>
      <c r="O635" s="2"/>
    </row>
    <row r="636" spans="8:15" ht="15.75" customHeight="1" x14ac:dyDescent="0.25">
      <c r="H636" s="5"/>
      <c r="O636" s="2"/>
    </row>
    <row r="637" spans="8:15" ht="15.75" customHeight="1" x14ac:dyDescent="0.25">
      <c r="H637" s="5"/>
      <c r="O637" s="2"/>
    </row>
    <row r="638" spans="8:15" ht="15.75" customHeight="1" x14ac:dyDescent="0.25">
      <c r="H638" s="5"/>
      <c r="O638" s="2"/>
    </row>
    <row r="639" spans="8:15" ht="15.75" customHeight="1" x14ac:dyDescent="0.25">
      <c r="H639" s="5"/>
      <c r="O639" s="2"/>
    </row>
    <row r="640" spans="8:15" ht="15.75" customHeight="1" x14ac:dyDescent="0.25">
      <c r="H640" s="5"/>
      <c r="O640" s="2"/>
    </row>
    <row r="641" spans="8:15" ht="15.75" customHeight="1" x14ac:dyDescent="0.25">
      <c r="H641" s="5"/>
      <c r="O641" s="2"/>
    </row>
    <row r="642" spans="8:15" ht="15.75" customHeight="1" x14ac:dyDescent="0.25">
      <c r="H642" s="5"/>
      <c r="O642" s="2"/>
    </row>
    <row r="643" spans="8:15" ht="15.75" customHeight="1" x14ac:dyDescent="0.25">
      <c r="H643" s="5"/>
      <c r="O643" s="2"/>
    </row>
    <row r="644" spans="8:15" ht="15.75" customHeight="1" x14ac:dyDescent="0.25">
      <c r="H644" s="5"/>
      <c r="O644" s="2"/>
    </row>
    <row r="645" spans="8:15" ht="15.75" customHeight="1" x14ac:dyDescent="0.25">
      <c r="H645" s="5"/>
      <c r="O645" s="2"/>
    </row>
    <row r="646" spans="8:15" ht="15.75" customHeight="1" x14ac:dyDescent="0.25">
      <c r="H646" s="5"/>
      <c r="O646" s="2"/>
    </row>
    <row r="647" spans="8:15" ht="15.75" customHeight="1" x14ac:dyDescent="0.25">
      <c r="H647" s="5"/>
      <c r="O647" s="2"/>
    </row>
    <row r="648" spans="8:15" ht="15.75" customHeight="1" x14ac:dyDescent="0.25">
      <c r="H648" s="5"/>
      <c r="O648" s="2"/>
    </row>
    <row r="649" spans="8:15" ht="15.75" customHeight="1" x14ac:dyDescent="0.25">
      <c r="H649" s="5"/>
      <c r="O649" s="2"/>
    </row>
    <row r="650" spans="8:15" ht="15.75" customHeight="1" x14ac:dyDescent="0.25">
      <c r="H650" s="5"/>
      <c r="O650" s="2"/>
    </row>
    <row r="651" spans="8:15" ht="15.75" customHeight="1" x14ac:dyDescent="0.25">
      <c r="H651" s="5"/>
      <c r="O651" s="2"/>
    </row>
    <row r="652" spans="8:15" ht="15.75" customHeight="1" x14ac:dyDescent="0.25">
      <c r="H652" s="5"/>
      <c r="O652" s="2"/>
    </row>
    <row r="653" spans="8:15" ht="15.75" customHeight="1" x14ac:dyDescent="0.25">
      <c r="H653" s="5"/>
      <c r="O653" s="2"/>
    </row>
    <row r="654" spans="8:15" ht="15.75" customHeight="1" x14ac:dyDescent="0.25">
      <c r="H654" s="5"/>
      <c r="O654" s="2"/>
    </row>
    <row r="655" spans="8:15" ht="15.75" customHeight="1" x14ac:dyDescent="0.25">
      <c r="H655" s="5"/>
      <c r="O655" s="2"/>
    </row>
    <row r="656" spans="8:15" ht="15.75" customHeight="1" x14ac:dyDescent="0.25">
      <c r="H656" s="5"/>
      <c r="O656" s="2"/>
    </row>
    <row r="657" spans="8:15" ht="15.75" customHeight="1" x14ac:dyDescent="0.25">
      <c r="H657" s="5"/>
      <c r="O657" s="2"/>
    </row>
    <row r="658" spans="8:15" ht="15.75" customHeight="1" x14ac:dyDescent="0.25">
      <c r="H658" s="5"/>
      <c r="O658" s="2"/>
    </row>
    <row r="659" spans="8:15" ht="15.75" customHeight="1" x14ac:dyDescent="0.25">
      <c r="H659" s="5"/>
      <c r="O659" s="2"/>
    </row>
    <row r="660" spans="8:15" ht="15.75" customHeight="1" x14ac:dyDescent="0.25">
      <c r="H660" s="5"/>
      <c r="O660" s="2"/>
    </row>
    <row r="661" spans="8:15" ht="15.75" customHeight="1" x14ac:dyDescent="0.25">
      <c r="H661" s="5"/>
      <c r="O661" s="2"/>
    </row>
    <row r="662" spans="8:15" ht="15.75" customHeight="1" x14ac:dyDescent="0.25">
      <c r="H662" s="5"/>
      <c r="O662" s="2"/>
    </row>
    <row r="663" spans="8:15" ht="15.75" customHeight="1" x14ac:dyDescent="0.25">
      <c r="H663" s="5"/>
      <c r="O663" s="2"/>
    </row>
    <row r="664" spans="8:15" ht="15.75" customHeight="1" x14ac:dyDescent="0.25">
      <c r="H664" s="5"/>
      <c r="O664" s="2"/>
    </row>
    <row r="665" spans="8:15" ht="15.75" customHeight="1" x14ac:dyDescent="0.25">
      <c r="H665" s="5"/>
      <c r="O665" s="2"/>
    </row>
    <row r="666" spans="8:15" ht="15.75" customHeight="1" x14ac:dyDescent="0.25">
      <c r="H666" s="5"/>
      <c r="O666" s="2"/>
    </row>
    <row r="667" spans="8:15" ht="15.75" customHeight="1" x14ac:dyDescent="0.25">
      <c r="H667" s="5"/>
      <c r="O667" s="2"/>
    </row>
    <row r="668" spans="8:15" ht="15.75" customHeight="1" x14ac:dyDescent="0.25">
      <c r="H668" s="5"/>
      <c r="O668" s="2"/>
    </row>
    <row r="669" spans="8:15" ht="15.75" customHeight="1" x14ac:dyDescent="0.25">
      <c r="H669" s="5"/>
      <c r="O669" s="2"/>
    </row>
    <row r="670" spans="8:15" ht="15.75" customHeight="1" x14ac:dyDescent="0.25">
      <c r="H670" s="5"/>
      <c r="O670" s="2"/>
    </row>
    <row r="671" spans="8:15" ht="15.75" customHeight="1" x14ac:dyDescent="0.25">
      <c r="H671" s="5"/>
      <c r="O671" s="2"/>
    </row>
    <row r="672" spans="8:15" ht="15.75" customHeight="1" x14ac:dyDescent="0.25">
      <c r="H672" s="5"/>
      <c r="O672" s="2"/>
    </row>
    <row r="673" spans="8:15" ht="15.75" customHeight="1" x14ac:dyDescent="0.25">
      <c r="H673" s="5"/>
      <c r="O673" s="2"/>
    </row>
    <row r="674" spans="8:15" ht="15.75" customHeight="1" x14ac:dyDescent="0.25">
      <c r="H674" s="5"/>
      <c r="O674" s="2"/>
    </row>
    <row r="675" spans="8:15" ht="15.75" customHeight="1" x14ac:dyDescent="0.25">
      <c r="H675" s="5"/>
      <c r="O675" s="2"/>
    </row>
    <row r="676" spans="8:15" ht="15.75" customHeight="1" x14ac:dyDescent="0.25">
      <c r="H676" s="5"/>
      <c r="O676" s="2"/>
    </row>
    <row r="677" spans="8:15" ht="15.75" customHeight="1" x14ac:dyDescent="0.25">
      <c r="H677" s="5"/>
      <c r="O677" s="2"/>
    </row>
    <row r="678" spans="8:15" ht="15.75" customHeight="1" x14ac:dyDescent="0.25">
      <c r="H678" s="5"/>
      <c r="O678" s="2"/>
    </row>
    <row r="679" spans="8:15" ht="15.75" customHeight="1" x14ac:dyDescent="0.25">
      <c r="H679" s="5"/>
      <c r="O679" s="2"/>
    </row>
    <row r="680" spans="8:15" ht="15.75" customHeight="1" x14ac:dyDescent="0.25">
      <c r="H680" s="5"/>
      <c r="O680" s="2"/>
    </row>
    <row r="681" spans="8:15" ht="15.75" customHeight="1" x14ac:dyDescent="0.25">
      <c r="H681" s="5"/>
      <c r="O681" s="2"/>
    </row>
    <row r="682" spans="8:15" ht="15.75" customHeight="1" x14ac:dyDescent="0.25">
      <c r="H682" s="5"/>
      <c r="O682" s="2"/>
    </row>
    <row r="683" spans="8:15" ht="15.75" customHeight="1" x14ac:dyDescent="0.25">
      <c r="H683" s="5"/>
      <c r="O683" s="2"/>
    </row>
    <row r="684" spans="8:15" ht="15.75" customHeight="1" x14ac:dyDescent="0.25">
      <c r="H684" s="5"/>
      <c r="O684" s="2"/>
    </row>
    <row r="685" spans="8:15" ht="15.75" customHeight="1" x14ac:dyDescent="0.25">
      <c r="H685" s="5"/>
      <c r="O685" s="2"/>
    </row>
    <row r="686" spans="8:15" ht="15.75" customHeight="1" x14ac:dyDescent="0.25">
      <c r="H686" s="5"/>
      <c r="O686" s="2"/>
    </row>
    <row r="687" spans="8:15" ht="15.75" customHeight="1" x14ac:dyDescent="0.25">
      <c r="H687" s="5"/>
      <c r="O687" s="2"/>
    </row>
    <row r="688" spans="8:15" ht="15.75" customHeight="1" x14ac:dyDescent="0.25">
      <c r="H688" s="5"/>
      <c r="O688" s="2"/>
    </row>
    <row r="689" spans="8:15" ht="15.75" customHeight="1" x14ac:dyDescent="0.25">
      <c r="H689" s="5"/>
      <c r="O689" s="2"/>
    </row>
    <row r="690" spans="8:15" ht="15.75" customHeight="1" x14ac:dyDescent="0.25">
      <c r="H690" s="5"/>
      <c r="O690" s="2"/>
    </row>
    <row r="691" spans="8:15" ht="15.75" customHeight="1" x14ac:dyDescent="0.25">
      <c r="H691" s="5"/>
      <c r="O691" s="2"/>
    </row>
    <row r="692" spans="8:15" ht="15.75" customHeight="1" x14ac:dyDescent="0.25">
      <c r="H692" s="5"/>
      <c r="O692" s="2"/>
    </row>
    <row r="693" spans="8:15" ht="15.75" customHeight="1" x14ac:dyDescent="0.25">
      <c r="H693" s="5"/>
      <c r="O693" s="2"/>
    </row>
    <row r="694" spans="8:15" ht="15.75" customHeight="1" x14ac:dyDescent="0.25">
      <c r="H694" s="5"/>
      <c r="O694" s="2"/>
    </row>
    <row r="695" spans="8:15" ht="15.75" customHeight="1" x14ac:dyDescent="0.25">
      <c r="H695" s="5"/>
      <c r="O695" s="2"/>
    </row>
    <row r="696" spans="8:15" ht="15.75" customHeight="1" x14ac:dyDescent="0.25">
      <c r="H696" s="5"/>
      <c r="O696" s="2"/>
    </row>
    <row r="697" spans="8:15" ht="15.75" customHeight="1" x14ac:dyDescent="0.25">
      <c r="H697" s="5"/>
      <c r="O697" s="2"/>
    </row>
    <row r="698" spans="8:15" ht="15.75" customHeight="1" x14ac:dyDescent="0.25">
      <c r="H698" s="5"/>
      <c r="O698" s="2"/>
    </row>
    <row r="699" spans="8:15" ht="15.75" customHeight="1" x14ac:dyDescent="0.25">
      <c r="H699" s="5"/>
      <c r="O699" s="2"/>
    </row>
    <row r="700" spans="8:15" ht="15.75" customHeight="1" x14ac:dyDescent="0.25">
      <c r="H700" s="5"/>
      <c r="O700" s="2"/>
    </row>
    <row r="701" spans="8:15" ht="15.75" customHeight="1" x14ac:dyDescent="0.25">
      <c r="H701" s="5"/>
      <c r="O701" s="2"/>
    </row>
    <row r="702" spans="8:15" ht="15.75" customHeight="1" x14ac:dyDescent="0.25">
      <c r="H702" s="5"/>
      <c r="O702" s="2"/>
    </row>
    <row r="703" spans="8:15" ht="15.75" customHeight="1" x14ac:dyDescent="0.25">
      <c r="H703" s="5"/>
      <c r="O703" s="2"/>
    </row>
    <row r="704" spans="8:15" ht="15.75" customHeight="1" x14ac:dyDescent="0.25">
      <c r="H704" s="5"/>
      <c r="O704" s="2"/>
    </row>
    <row r="705" spans="8:15" ht="15.75" customHeight="1" x14ac:dyDescent="0.25">
      <c r="H705" s="5"/>
      <c r="O705" s="2"/>
    </row>
    <row r="706" spans="8:15" ht="15.75" customHeight="1" x14ac:dyDescent="0.25">
      <c r="H706" s="5"/>
      <c r="O706" s="2"/>
    </row>
    <row r="707" spans="8:15" ht="15.75" customHeight="1" x14ac:dyDescent="0.25">
      <c r="H707" s="5"/>
      <c r="O707" s="2"/>
    </row>
    <row r="708" spans="8:15" ht="15.75" customHeight="1" x14ac:dyDescent="0.25">
      <c r="H708" s="5"/>
      <c r="O708" s="2"/>
    </row>
    <row r="709" spans="8:15" ht="15.75" customHeight="1" x14ac:dyDescent="0.25">
      <c r="H709" s="5"/>
      <c r="O709" s="2"/>
    </row>
    <row r="710" spans="8:15" ht="15.75" customHeight="1" x14ac:dyDescent="0.25">
      <c r="H710" s="5"/>
      <c r="O710" s="2"/>
    </row>
    <row r="711" spans="8:15" ht="15.75" customHeight="1" x14ac:dyDescent="0.25">
      <c r="H711" s="5"/>
      <c r="O711" s="2"/>
    </row>
    <row r="712" spans="8:15" ht="15.75" customHeight="1" x14ac:dyDescent="0.25">
      <c r="H712" s="5"/>
      <c r="O712" s="2"/>
    </row>
    <row r="713" spans="8:15" ht="15.75" customHeight="1" x14ac:dyDescent="0.25">
      <c r="H713" s="5"/>
      <c r="O713" s="2"/>
    </row>
    <row r="714" spans="8:15" ht="15.75" customHeight="1" x14ac:dyDescent="0.25">
      <c r="H714" s="5"/>
      <c r="O714" s="2"/>
    </row>
    <row r="715" spans="8:15" ht="15.75" customHeight="1" x14ac:dyDescent="0.25">
      <c r="H715" s="5"/>
      <c r="O715" s="2"/>
    </row>
    <row r="716" spans="8:15" ht="15.75" customHeight="1" x14ac:dyDescent="0.25">
      <c r="H716" s="5"/>
      <c r="O716" s="2"/>
    </row>
    <row r="717" spans="8:15" ht="15.75" customHeight="1" x14ac:dyDescent="0.25">
      <c r="H717" s="5"/>
      <c r="O717" s="2"/>
    </row>
    <row r="718" spans="8:15" ht="15.75" customHeight="1" x14ac:dyDescent="0.25">
      <c r="H718" s="5"/>
      <c r="O718" s="2"/>
    </row>
    <row r="719" spans="8:15" ht="15.75" customHeight="1" x14ac:dyDescent="0.25">
      <c r="H719" s="5"/>
      <c r="O719" s="2"/>
    </row>
    <row r="720" spans="8:15" ht="15.75" customHeight="1" x14ac:dyDescent="0.25">
      <c r="H720" s="5"/>
      <c r="O720" s="2"/>
    </row>
    <row r="721" spans="8:15" ht="15.75" customHeight="1" x14ac:dyDescent="0.25">
      <c r="H721" s="5"/>
      <c r="O721" s="2"/>
    </row>
    <row r="722" spans="8:15" ht="15.75" customHeight="1" x14ac:dyDescent="0.25">
      <c r="H722" s="5"/>
      <c r="O722" s="2"/>
    </row>
    <row r="723" spans="8:15" ht="15.75" customHeight="1" x14ac:dyDescent="0.25">
      <c r="H723" s="5"/>
      <c r="O723" s="2"/>
    </row>
    <row r="724" spans="8:15" ht="15.75" customHeight="1" x14ac:dyDescent="0.25">
      <c r="H724" s="5"/>
      <c r="O724" s="2"/>
    </row>
    <row r="725" spans="8:15" ht="15.75" customHeight="1" x14ac:dyDescent="0.25">
      <c r="H725" s="5"/>
      <c r="O725" s="2"/>
    </row>
    <row r="726" spans="8:15" ht="15.75" customHeight="1" x14ac:dyDescent="0.25">
      <c r="H726" s="5"/>
      <c r="O726" s="2"/>
    </row>
    <row r="727" spans="8:15" ht="15.75" customHeight="1" x14ac:dyDescent="0.25">
      <c r="H727" s="5"/>
      <c r="O727" s="2"/>
    </row>
    <row r="728" spans="8:15" ht="15.75" customHeight="1" x14ac:dyDescent="0.25">
      <c r="H728" s="5"/>
      <c r="O728" s="2"/>
    </row>
    <row r="729" spans="8:15" ht="15.75" customHeight="1" x14ac:dyDescent="0.25">
      <c r="H729" s="5"/>
      <c r="O729" s="2"/>
    </row>
    <row r="730" spans="8:15" ht="15.75" customHeight="1" x14ac:dyDescent="0.25">
      <c r="H730" s="5"/>
      <c r="O730" s="2"/>
    </row>
    <row r="731" spans="8:15" ht="15.75" customHeight="1" x14ac:dyDescent="0.25">
      <c r="H731" s="5"/>
      <c r="O731" s="2"/>
    </row>
    <row r="732" spans="8:15" ht="15.75" customHeight="1" x14ac:dyDescent="0.25">
      <c r="H732" s="5"/>
      <c r="O732" s="2"/>
    </row>
    <row r="733" spans="8:15" ht="15.75" customHeight="1" x14ac:dyDescent="0.25">
      <c r="H733" s="5"/>
      <c r="O733" s="2"/>
    </row>
    <row r="734" spans="8:15" ht="15.75" customHeight="1" x14ac:dyDescent="0.25">
      <c r="H734" s="5"/>
      <c r="O734" s="2"/>
    </row>
    <row r="735" spans="8:15" ht="15.75" customHeight="1" x14ac:dyDescent="0.25">
      <c r="H735" s="5"/>
      <c r="O735" s="2"/>
    </row>
    <row r="736" spans="8:15" ht="15.75" customHeight="1" x14ac:dyDescent="0.25">
      <c r="H736" s="5"/>
      <c r="O736" s="2"/>
    </row>
    <row r="737" spans="8:15" ht="15.75" customHeight="1" x14ac:dyDescent="0.25">
      <c r="H737" s="5"/>
      <c r="O737" s="2"/>
    </row>
    <row r="738" spans="8:15" ht="15.75" customHeight="1" x14ac:dyDescent="0.25">
      <c r="H738" s="5"/>
      <c r="O738" s="2"/>
    </row>
    <row r="739" spans="8:15" ht="15.75" customHeight="1" x14ac:dyDescent="0.25">
      <c r="H739" s="5"/>
      <c r="O739" s="2"/>
    </row>
    <row r="740" spans="8:15" ht="15.75" customHeight="1" x14ac:dyDescent="0.25">
      <c r="H740" s="5"/>
      <c r="O740" s="2"/>
    </row>
    <row r="741" spans="8:15" ht="15.75" customHeight="1" x14ac:dyDescent="0.25">
      <c r="H741" s="5"/>
      <c r="O741" s="2"/>
    </row>
    <row r="742" spans="8:15" ht="15.75" customHeight="1" x14ac:dyDescent="0.25">
      <c r="H742" s="5"/>
      <c r="O742" s="2"/>
    </row>
    <row r="743" spans="8:15" ht="15.75" customHeight="1" x14ac:dyDescent="0.25">
      <c r="H743" s="5"/>
      <c r="O743" s="2"/>
    </row>
    <row r="744" spans="8:15" ht="15.75" customHeight="1" x14ac:dyDescent="0.25">
      <c r="H744" s="5"/>
      <c r="O744" s="2"/>
    </row>
    <row r="745" spans="8:15" ht="15.75" customHeight="1" x14ac:dyDescent="0.25">
      <c r="H745" s="5"/>
      <c r="O745" s="2"/>
    </row>
    <row r="746" spans="8:15" ht="15.75" customHeight="1" x14ac:dyDescent="0.25">
      <c r="H746" s="5"/>
      <c r="O746" s="2"/>
    </row>
    <row r="747" spans="8:15" ht="15.75" customHeight="1" x14ac:dyDescent="0.25">
      <c r="H747" s="5"/>
      <c r="O747" s="2"/>
    </row>
    <row r="748" spans="8:15" ht="15.75" customHeight="1" x14ac:dyDescent="0.25">
      <c r="H748" s="5"/>
      <c r="O748" s="2"/>
    </row>
    <row r="749" spans="8:15" ht="15.75" customHeight="1" x14ac:dyDescent="0.25">
      <c r="H749" s="5"/>
      <c r="O749" s="2"/>
    </row>
    <row r="750" spans="8:15" ht="15.75" customHeight="1" x14ac:dyDescent="0.25">
      <c r="H750" s="5"/>
      <c r="O750" s="2"/>
    </row>
    <row r="751" spans="8:15" ht="15.75" customHeight="1" x14ac:dyDescent="0.25">
      <c r="H751" s="5"/>
      <c r="O751" s="2"/>
    </row>
    <row r="752" spans="8:15" ht="15.75" customHeight="1" x14ac:dyDescent="0.25">
      <c r="H752" s="5"/>
      <c r="O752" s="2"/>
    </row>
    <row r="753" spans="8:15" ht="15.75" customHeight="1" x14ac:dyDescent="0.25">
      <c r="H753" s="5"/>
      <c r="O753" s="2"/>
    </row>
    <row r="754" spans="8:15" ht="15.75" customHeight="1" x14ac:dyDescent="0.25">
      <c r="H754" s="5"/>
      <c r="O754" s="2"/>
    </row>
    <row r="755" spans="8:15" ht="15.75" customHeight="1" x14ac:dyDescent="0.25">
      <c r="H755" s="5"/>
      <c r="O755" s="2"/>
    </row>
    <row r="756" spans="8:15" ht="15.75" customHeight="1" x14ac:dyDescent="0.25">
      <c r="H756" s="5"/>
      <c r="O756" s="2"/>
    </row>
    <row r="757" spans="8:15" ht="15.75" customHeight="1" x14ac:dyDescent="0.25">
      <c r="H757" s="5"/>
      <c r="O757" s="2"/>
    </row>
    <row r="758" spans="8:15" ht="15.75" customHeight="1" x14ac:dyDescent="0.25">
      <c r="H758" s="5"/>
      <c r="O758" s="2"/>
    </row>
    <row r="759" spans="8:15" ht="15.75" customHeight="1" x14ac:dyDescent="0.25">
      <c r="H759" s="5"/>
      <c r="O759" s="2"/>
    </row>
    <row r="760" spans="8:15" ht="15.75" customHeight="1" x14ac:dyDescent="0.25">
      <c r="H760" s="5"/>
      <c r="O760" s="2"/>
    </row>
    <row r="761" spans="8:15" ht="15.75" customHeight="1" x14ac:dyDescent="0.25">
      <c r="H761" s="5"/>
      <c r="O761" s="2"/>
    </row>
    <row r="762" spans="8:15" ht="15.75" customHeight="1" x14ac:dyDescent="0.25">
      <c r="H762" s="5"/>
      <c r="O762" s="2"/>
    </row>
    <row r="763" spans="8:15" ht="15.75" customHeight="1" x14ac:dyDescent="0.25">
      <c r="H763" s="5"/>
      <c r="O763" s="2"/>
    </row>
    <row r="764" spans="8:15" ht="15.75" customHeight="1" x14ac:dyDescent="0.25">
      <c r="H764" s="5"/>
      <c r="O764" s="2"/>
    </row>
    <row r="765" spans="8:15" ht="15.75" customHeight="1" x14ac:dyDescent="0.25">
      <c r="H765" s="5"/>
      <c r="O765" s="2"/>
    </row>
    <row r="766" spans="8:15" ht="15.75" customHeight="1" x14ac:dyDescent="0.25">
      <c r="H766" s="5"/>
      <c r="O766" s="2"/>
    </row>
    <row r="767" spans="8:15" ht="15.75" customHeight="1" x14ac:dyDescent="0.25">
      <c r="H767" s="5"/>
      <c r="O767" s="2"/>
    </row>
    <row r="768" spans="8:15" ht="15.75" customHeight="1" x14ac:dyDescent="0.25">
      <c r="H768" s="5"/>
      <c r="O768" s="2"/>
    </row>
    <row r="769" spans="8:15" ht="15.75" customHeight="1" x14ac:dyDescent="0.25">
      <c r="H769" s="5"/>
      <c r="O769" s="2"/>
    </row>
    <row r="770" spans="8:15" ht="15.75" customHeight="1" x14ac:dyDescent="0.25">
      <c r="H770" s="5"/>
      <c r="O770" s="2"/>
    </row>
    <row r="771" spans="8:15" ht="15.75" customHeight="1" x14ac:dyDescent="0.25">
      <c r="H771" s="5"/>
      <c r="O771" s="2"/>
    </row>
    <row r="772" spans="8:15" ht="15.75" customHeight="1" x14ac:dyDescent="0.25">
      <c r="H772" s="5"/>
      <c r="O772" s="2"/>
    </row>
    <row r="773" spans="8:15" ht="15.75" customHeight="1" x14ac:dyDescent="0.25">
      <c r="H773" s="5"/>
      <c r="O773" s="2"/>
    </row>
    <row r="774" spans="8:15" ht="15.75" customHeight="1" x14ac:dyDescent="0.25">
      <c r="H774" s="5"/>
      <c r="O774" s="2"/>
    </row>
    <row r="775" spans="8:15" ht="15.75" customHeight="1" x14ac:dyDescent="0.25">
      <c r="H775" s="5"/>
      <c r="O775" s="2"/>
    </row>
    <row r="776" spans="8:15" ht="15.75" customHeight="1" x14ac:dyDescent="0.25">
      <c r="H776" s="5"/>
      <c r="O776" s="2"/>
    </row>
    <row r="777" spans="8:15" ht="15.75" customHeight="1" x14ac:dyDescent="0.25">
      <c r="H777" s="5"/>
      <c r="O777" s="2"/>
    </row>
    <row r="778" spans="8:15" ht="15.75" customHeight="1" x14ac:dyDescent="0.25">
      <c r="H778" s="5"/>
      <c r="O778" s="2"/>
    </row>
    <row r="779" spans="8:15" ht="15.75" customHeight="1" x14ac:dyDescent="0.25">
      <c r="H779" s="5"/>
      <c r="O779" s="2"/>
    </row>
    <row r="780" spans="8:15" ht="15.75" customHeight="1" x14ac:dyDescent="0.25">
      <c r="H780" s="5"/>
      <c r="O780" s="2"/>
    </row>
    <row r="781" spans="8:15" ht="15.75" customHeight="1" x14ac:dyDescent="0.25">
      <c r="H781" s="5"/>
      <c r="O781" s="2"/>
    </row>
    <row r="782" spans="8:15" ht="15.75" customHeight="1" x14ac:dyDescent="0.25">
      <c r="H782" s="5"/>
      <c r="O782" s="2"/>
    </row>
    <row r="783" spans="8:15" ht="15.75" customHeight="1" x14ac:dyDescent="0.25">
      <c r="H783" s="5"/>
      <c r="O783" s="2"/>
    </row>
    <row r="784" spans="8:15" ht="15.75" customHeight="1" x14ac:dyDescent="0.25">
      <c r="H784" s="5"/>
      <c r="O784" s="2"/>
    </row>
    <row r="785" spans="8:15" ht="15.75" customHeight="1" x14ac:dyDescent="0.25">
      <c r="H785" s="5"/>
      <c r="O785" s="2"/>
    </row>
    <row r="786" spans="8:15" ht="15.75" customHeight="1" x14ac:dyDescent="0.25">
      <c r="H786" s="5"/>
      <c r="O786" s="2"/>
    </row>
    <row r="787" spans="8:15" ht="15.75" customHeight="1" x14ac:dyDescent="0.25">
      <c r="H787" s="5"/>
      <c r="O787" s="2"/>
    </row>
    <row r="788" spans="8:15" ht="15.75" customHeight="1" x14ac:dyDescent="0.25">
      <c r="H788" s="5"/>
      <c r="O788" s="2"/>
    </row>
    <row r="789" spans="8:15" ht="15.75" customHeight="1" x14ac:dyDescent="0.25">
      <c r="H789" s="5"/>
      <c r="O789" s="2"/>
    </row>
    <row r="790" spans="8:15" ht="15.75" customHeight="1" x14ac:dyDescent="0.25">
      <c r="H790" s="5"/>
      <c r="O790" s="2"/>
    </row>
    <row r="791" spans="8:15" ht="15.75" customHeight="1" x14ac:dyDescent="0.25">
      <c r="H791" s="5"/>
      <c r="O791" s="2"/>
    </row>
    <row r="792" spans="8:15" ht="15.75" customHeight="1" x14ac:dyDescent="0.25">
      <c r="H792" s="5"/>
      <c r="O792" s="2"/>
    </row>
    <row r="793" spans="8:15" ht="15.75" customHeight="1" x14ac:dyDescent="0.25">
      <c r="H793" s="5"/>
      <c r="O793" s="2"/>
    </row>
    <row r="794" spans="8:15" ht="15.75" customHeight="1" x14ac:dyDescent="0.25">
      <c r="H794" s="5"/>
      <c r="O794" s="2"/>
    </row>
    <row r="795" spans="8:15" ht="15.75" customHeight="1" x14ac:dyDescent="0.25">
      <c r="H795" s="5"/>
      <c r="O795" s="2"/>
    </row>
    <row r="796" spans="8:15" ht="15.75" customHeight="1" x14ac:dyDescent="0.25">
      <c r="H796" s="5"/>
      <c r="O796" s="2"/>
    </row>
    <row r="797" spans="8:15" ht="15.75" customHeight="1" x14ac:dyDescent="0.25">
      <c r="H797" s="5"/>
      <c r="O797" s="2"/>
    </row>
    <row r="798" spans="8:15" ht="15.75" customHeight="1" x14ac:dyDescent="0.25">
      <c r="H798" s="5"/>
      <c r="O798" s="2"/>
    </row>
    <row r="799" spans="8:15" ht="15.75" customHeight="1" x14ac:dyDescent="0.25">
      <c r="H799" s="5"/>
      <c r="O799" s="2"/>
    </row>
    <row r="800" spans="8:15" ht="15.75" customHeight="1" x14ac:dyDescent="0.25">
      <c r="H800" s="5"/>
      <c r="O800" s="2"/>
    </row>
    <row r="801" spans="8:15" ht="15.75" customHeight="1" x14ac:dyDescent="0.25">
      <c r="H801" s="5"/>
      <c r="O801" s="2"/>
    </row>
    <row r="802" spans="8:15" ht="15.75" customHeight="1" x14ac:dyDescent="0.25">
      <c r="H802" s="5"/>
      <c r="O802" s="2"/>
    </row>
    <row r="803" spans="8:15" ht="15.75" customHeight="1" x14ac:dyDescent="0.25">
      <c r="H803" s="5"/>
      <c r="O803" s="2"/>
    </row>
    <row r="804" spans="8:15" ht="15.75" customHeight="1" x14ac:dyDescent="0.25">
      <c r="H804" s="5"/>
      <c r="O804" s="2"/>
    </row>
    <row r="805" spans="8:15" ht="15.75" customHeight="1" x14ac:dyDescent="0.25">
      <c r="H805" s="5"/>
      <c r="O805" s="2"/>
    </row>
    <row r="806" spans="8:15" ht="15.75" customHeight="1" x14ac:dyDescent="0.25">
      <c r="H806" s="5"/>
      <c r="O806" s="2"/>
    </row>
    <row r="807" spans="8:15" ht="15.75" customHeight="1" x14ac:dyDescent="0.25">
      <c r="H807" s="5"/>
      <c r="O807" s="2"/>
    </row>
    <row r="808" spans="8:15" ht="15.75" customHeight="1" x14ac:dyDescent="0.25">
      <c r="H808" s="5"/>
      <c r="O808" s="2"/>
    </row>
    <row r="809" spans="8:15" ht="15.75" customHeight="1" x14ac:dyDescent="0.25">
      <c r="H809" s="5"/>
      <c r="O809" s="2"/>
    </row>
    <row r="810" spans="8:15" ht="15.75" customHeight="1" x14ac:dyDescent="0.25">
      <c r="H810" s="5"/>
      <c r="O810" s="2"/>
    </row>
    <row r="811" spans="8:15" ht="15.75" customHeight="1" x14ac:dyDescent="0.25">
      <c r="H811" s="5"/>
      <c r="O811" s="2"/>
    </row>
    <row r="812" spans="8:15" ht="15.75" customHeight="1" x14ac:dyDescent="0.25">
      <c r="H812" s="5"/>
      <c r="O812" s="2"/>
    </row>
    <row r="813" spans="8:15" ht="15.75" customHeight="1" x14ac:dyDescent="0.25">
      <c r="H813" s="5"/>
      <c r="O813" s="2"/>
    </row>
    <row r="814" spans="8:15" ht="15.75" customHeight="1" x14ac:dyDescent="0.25">
      <c r="H814" s="5"/>
      <c r="O814" s="2"/>
    </row>
    <row r="815" spans="8:15" ht="15.75" customHeight="1" x14ac:dyDescent="0.25">
      <c r="H815" s="5"/>
      <c r="O815" s="2"/>
    </row>
    <row r="816" spans="8:15" ht="15.75" customHeight="1" x14ac:dyDescent="0.25">
      <c r="H816" s="5"/>
      <c r="O816" s="2"/>
    </row>
    <row r="817" spans="8:15" ht="15.75" customHeight="1" x14ac:dyDescent="0.25">
      <c r="H817" s="5"/>
      <c r="O817" s="2"/>
    </row>
    <row r="818" spans="8:15" ht="15.75" customHeight="1" x14ac:dyDescent="0.25">
      <c r="H818" s="5"/>
      <c r="O818" s="2"/>
    </row>
    <row r="819" spans="8:15" ht="15.75" customHeight="1" x14ac:dyDescent="0.25">
      <c r="H819" s="5"/>
      <c r="O819" s="2"/>
    </row>
    <row r="820" spans="8:15" ht="15.75" customHeight="1" x14ac:dyDescent="0.25">
      <c r="H820" s="5"/>
      <c r="O820" s="2"/>
    </row>
    <row r="821" spans="8:15" ht="15.75" customHeight="1" x14ac:dyDescent="0.25">
      <c r="H821" s="5"/>
      <c r="O821" s="2"/>
    </row>
    <row r="822" spans="8:15" ht="15.75" customHeight="1" x14ac:dyDescent="0.25">
      <c r="H822" s="5"/>
      <c r="O822" s="2"/>
    </row>
    <row r="823" spans="8:15" ht="15.75" customHeight="1" x14ac:dyDescent="0.25">
      <c r="H823" s="5"/>
      <c r="O823" s="2"/>
    </row>
    <row r="824" spans="8:15" ht="15.75" customHeight="1" x14ac:dyDescent="0.25">
      <c r="H824" s="5"/>
      <c r="O824" s="2"/>
    </row>
    <row r="825" spans="8:15" ht="15.75" customHeight="1" x14ac:dyDescent="0.25">
      <c r="H825" s="5"/>
      <c r="O825" s="2"/>
    </row>
    <row r="826" spans="8:15" ht="15.75" customHeight="1" x14ac:dyDescent="0.25">
      <c r="H826" s="5"/>
      <c r="O826" s="2"/>
    </row>
    <row r="827" spans="8:15" ht="15.75" customHeight="1" x14ac:dyDescent="0.25">
      <c r="H827" s="5"/>
      <c r="O827" s="2"/>
    </row>
    <row r="828" spans="8:15" ht="15.75" customHeight="1" x14ac:dyDescent="0.25">
      <c r="H828" s="5"/>
      <c r="O828" s="2"/>
    </row>
    <row r="829" spans="8:15" ht="15.75" customHeight="1" x14ac:dyDescent="0.25">
      <c r="H829" s="5"/>
      <c r="O829" s="2"/>
    </row>
    <row r="830" spans="8:15" ht="15.75" customHeight="1" x14ac:dyDescent="0.25">
      <c r="H830" s="5"/>
      <c r="O830" s="2"/>
    </row>
    <row r="831" spans="8:15" ht="15.75" customHeight="1" x14ac:dyDescent="0.25">
      <c r="H831" s="5"/>
      <c r="O831" s="2"/>
    </row>
    <row r="832" spans="8:15" ht="15.75" customHeight="1" x14ac:dyDescent="0.25">
      <c r="H832" s="5"/>
      <c r="O832" s="2"/>
    </row>
    <row r="833" spans="8:15" ht="15.75" customHeight="1" x14ac:dyDescent="0.25">
      <c r="H833" s="5"/>
      <c r="O833" s="2"/>
    </row>
    <row r="834" spans="8:15" ht="15.75" customHeight="1" x14ac:dyDescent="0.25">
      <c r="H834" s="5"/>
      <c r="O834" s="2"/>
    </row>
    <row r="835" spans="8:15" ht="15.75" customHeight="1" x14ac:dyDescent="0.25">
      <c r="H835" s="5"/>
      <c r="O835" s="2"/>
    </row>
    <row r="836" spans="8:15" ht="15.75" customHeight="1" x14ac:dyDescent="0.25">
      <c r="H836" s="5"/>
      <c r="O836" s="2"/>
    </row>
    <row r="837" spans="8:15" ht="15.75" customHeight="1" x14ac:dyDescent="0.25">
      <c r="H837" s="5"/>
      <c r="O837" s="2"/>
    </row>
    <row r="838" spans="8:15" ht="15.75" customHeight="1" x14ac:dyDescent="0.25">
      <c r="H838" s="5"/>
      <c r="O838" s="2"/>
    </row>
    <row r="839" spans="8:15" ht="15.75" customHeight="1" x14ac:dyDescent="0.25">
      <c r="H839" s="5"/>
      <c r="O839" s="2"/>
    </row>
    <row r="840" spans="8:15" ht="15.75" customHeight="1" x14ac:dyDescent="0.25">
      <c r="H840" s="5"/>
      <c r="O840" s="2"/>
    </row>
    <row r="841" spans="8:15" ht="15.75" customHeight="1" x14ac:dyDescent="0.25">
      <c r="H841" s="5"/>
      <c r="O841" s="2"/>
    </row>
    <row r="842" spans="8:15" ht="15.75" customHeight="1" x14ac:dyDescent="0.25">
      <c r="H842" s="5"/>
      <c r="O842" s="2"/>
    </row>
    <row r="843" spans="8:15" ht="15.75" customHeight="1" x14ac:dyDescent="0.25">
      <c r="H843" s="5"/>
      <c r="O843" s="2"/>
    </row>
    <row r="844" spans="8:15" ht="15.75" customHeight="1" x14ac:dyDescent="0.25">
      <c r="H844" s="5"/>
      <c r="O844" s="2"/>
    </row>
    <row r="845" spans="8:15" ht="15.75" customHeight="1" x14ac:dyDescent="0.25">
      <c r="H845" s="5"/>
      <c r="O845" s="2"/>
    </row>
    <row r="846" spans="8:15" ht="15.75" customHeight="1" x14ac:dyDescent="0.25">
      <c r="H846" s="5"/>
      <c r="O846" s="2"/>
    </row>
    <row r="847" spans="8:15" ht="15.75" customHeight="1" x14ac:dyDescent="0.25">
      <c r="H847" s="5"/>
      <c r="O847" s="2"/>
    </row>
    <row r="848" spans="8:15" ht="15.75" customHeight="1" x14ac:dyDescent="0.25">
      <c r="H848" s="5"/>
      <c r="O848" s="2"/>
    </row>
    <row r="849" spans="8:15" ht="15.75" customHeight="1" x14ac:dyDescent="0.25">
      <c r="H849" s="5"/>
      <c r="O849" s="2"/>
    </row>
    <row r="850" spans="8:15" ht="15.75" customHeight="1" x14ac:dyDescent="0.25">
      <c r="H850" s="5"/>
      <c r="O850" s="2"/>
    </row>
    <row r="851" spans="8:15" ht="15.75" customHeight="1" x14ac:dyDescent="0.25">
      <c r="H851" s="5"/>
      <c r="O851" s="2"/>
    </row>
    <row r="852" spans="8:15" ht="15.75" customHeight="1" x14ac:dyDescent="0.25">
      <c r="H852" s="5"/>
      <c r="O852" s="2"/>
    </row>
    <row r="853" spans="8:15" ht="15.75" customHeight="1" x14ac:dyDescent="0.25">
      <c r="H853" s="5"/>
      <c r="O853" s="2"/>
    </row>
    <row r="854" spans="8:15" ht="15.75" customHeight="1" x14ac:dyDescent="0.25">
      <c r="H854" s="5"/>
      <c r="O854" s="2"/>
    </row>
    <row r="855" spans="8:15" ht="15.75" customHeight="1" x14ac:dyDescent="0.25">
      <c r="H855" s="5"/>
      <c r="O855" s="2"/>
    </row>
    <row r="856" spans="8:15" ht="15.75" customHeight="1" x14ac:dyDescent="0.25">
      <c r="H856" s="5"/>
      <c r="O856" s="2"/>
    </row>
    <row r="857" spans="8:15" ht="15.75" customHeight="1" x14ac:dyDescent="0.25">
      <c r="H857" s="5"/>
      <c r="O857" s="2"/>
    </row>
    <row r="858" spans="8:15" ht="15.75" customHeight="1" x14ac:dyDescent="0.25">
      <c r="H858" s="5"/>
      <c r="O858" s="2"/>
    </row>
    <row r="859" spans="8:15" ht="15.75" customHeight="1" x14ac:dyDescent="0.25">
      <c r="H859" s="5"/>
      <c r="O859" s="2"/>
    </row>
    <row r="860" spans="8:15" ht="15.75" customHeight="1" x14ac:dyDescent="0.25">
      <c r="H860" s="5"/>
      <c r="O860" s="2"/>
    </row>
    <row r="861" spans="8:15" ht="15.75" customHeight="1" x14ac:dyDescent="0.25">
      <c r="H861" s="5"/>
      <c r="O861" s="2"/>
    </row>
    <row r="862" spans="8:15" ht="15.75" customHeight="1" x14ac:dyDescent="0.25">
      <c r="H862" s="5"/>
      <c r="O862" s="2"/>
    </row>
    <row r="863" spans="8:15" ht="15.75" customHeight="1" x14ac:dyDescent="0.25">
      <c r="H863" s="5"/>
      <c r="O863" s="2"/>
    </row>
    <row r="864" spans="8:15" ht="15.75" customHeight="1" x14ac:dyDescent="0.25">
      <c r="H864" s="5"/>
      <c r="O864" s="2"/>
    </row>
    <row r="865" spans="8:15" ht="15.75" customHeight="1" x14ac:dyDescent="0.25">
      <c r="H865" s="5"/>
      <c r="O865" s="2"/>
    </row>
    <row r="866" spans="8:15" ht="15.75" customHeight="1" x14ac:dyDescent="0.25">
      <c r="H866" s="5"/>
      <c r="O866" s="2"/>
    </row>
    <row r="867" spans="8:15" ht="15.75" customHeight="1" x14ac:dyDescent="0.25">
      <c r="H867" s="5"/>
      <c r="O867" s="2"/>
    </row>
    <row r="868" spans="8:15" ht="15.75" customHeight="1" x14ac:dyDescent="0.25">
      <c r="H868" s="5"/>
      <c r="O868" s="2"/>
    </row>
    <row r="869" spans="8:15" ht="15.75" customHeight="1" x14ac:dyDescent="0.25">
      <c r="H869" s="5"/>
      <c r="O869" s="2"/>
    </row>
    <row r="870" spans="8:15" ht="15.75" customHeight="1" x14ac:dyDescent="0.25">
      <c r="H870" s="5"/>
      <c r="O870" s="2"/>
    </row>
    <row r="871" spans="8:15" ht="15.75" customHeight="1" x14ac:dyDescent="0.25">
      <c r="H871" s="5"/>
      <c r="O871" s="2"/>
    </row>
    <row r="872" spans="8:15" ht="15.75" customHeight="1" x14ac:dyDescent="0.25">
      <c r="H872" s="5"/>
      <c r="O872" s="2"/>
    </row>
    <row r="873" spans="8:15" ht="15.75" customHeight="1" x14ac:dyDescent="0.25">
      <c r="H873" s="5"/>
      <c r="O873" s="2"/>
    </row>
    <row r="874" spans="8:15" ht="15.75" customHeight="1" x14ac:dyDescent="0.25">
      <c r="H874" s="5"/>
      <c r="O874" s="2"/>
    </row>
    <row r="875" spans="8:15" ht="15.75" customHeight="1" x14ac:dyDescent="0.25">
      <c r="H875" s="5"/>
      <c r="O875" s="2"/>
    </row>
    <row r="876" spans="8:15" ht="15.75" customHeight="1" x14ac:dyDescent="0.25">
      <c r="H876" s="5"/>
      <c r="O876" s="2"/>
    </row>
    <row r="877" spans="8:15" ht="15.75" customHeight="1" x14ac:dyDescent="0.25">
      <c r="H877" s="5"/>
      <c r="O877" s="2"/>
    </row>
    <row r="878" spans="8:15" ht="15.75" customHeight="1" x14ac:dyDescent="0.25">
      <c r="H878" s="5"/>
      <c r="O878" s="2"/>
    </row>
    <row r="879" spans="8:15" ht="15.75" customHeight="1" x14ac:dyDescent="0.25">
      <c r="H879" s="5"/>
      <c r="O879" s="2"/>
    </row>
    <row r="880" spans="8:15" ht="15.75" customHeight="1" x14ac:dyDescent="0.25">
      <c r="H880" s="5"/>
      <c r="O880" s="2"/>
    </row>
    <row r="881" spans="8:15" ht="15.75" customHeight="1" x14ac:dyDescent="0.25">
      <c r="H881" s="5"/>
      <c r="O881" s="2"/>
    </row>
    <row r="882" spans="8:15" ht="15.75" customHeight="1" x14ac:dyDescent="0.25">
      <c r="H882" s="5"/>
      <c r="O882" s="2"/>
    </row>
    <row r="883" spans="8:15" ht="15.75" customHeight="1" x14ac:dyDescent="0.25">
      <c r="H883" s="5"/>
      <c r="O883" s="2"/>
    </row>
    <row r="884" spans="8:15" ht="15.75" customHeight="1" x14ac:dyDescent="0.25">
      <c r="H884" s="5"/>
      <c r="O884" s="2"/>
    </row>
    <row r="885" spans="8:15" ht="15.75" customHeight="1" x14ac:dyDescent="0.25">
      <c r="H885" s="5"/>
      <c r="O885" s="2"/>
    </row>
    <row r="886" spans="8:15" ht="15.75" customHeight="1" x14ac:dyDescent="0.25">
      <c r="H886" s="5"/>
      <c r="O886" s="2"/>
    </row>
    <row r="887" spans="8:15" ht="15.75" customHeight="1" x14ac:dyDescent="0.25">
      <c r="H887" s="5"/>
      <c r="O887" s="2"/>
    </row>
    <row r="888" spans="8:15" ht="15.75" customHeight="1" x14ac:dyDescent="0.25">
      <c r="H888" s="5"/>
      <c r="O888" s="2"/>
    </row>
    <row r="889" spans="8:15" ht="15.75" customHeight="1" x14ac:dyDescent="0.25">
      <c r="H889" s="5"/>
      <c r="O889" s="2"/>
    </row>
    <row r="890" spans="8:15" ht="15.75" customHeight="1" x14ac:dyDescent="0.25">
      <c r="H890" s="5"/>
      <c r="O890" s="2"/>
    </row>
    <row r="891" spans="8:15" ht="15.75" customHeight="1" x14ac:dyDescent="0.25">
      <c r="H891" s="5"/>
      <c r="O891" s="2"/>
    </row>
    <row r="892" spans="8:15" ht="15.75" customHeight="1" x14ac:dyDescent="0.25">
      <c r="H892" s="5"/>
      <c r="O892" s="2"/>
    </row>
    <row r="893" spans="8:15" ht="15.75" customHeight="1" x14ac:dyDescent="0.25">
      <c r="H893" s="5"/>
      <c r="O893" s="2"/>
    </row>
    <row r="894" spans="8:15" ht="15.75" customHeight="1" x14ac:dyDescent="0.25">
      <c r="H894" s="5"/>
      <c r="O894" s="2"/>
    </row>
    <row r="895" spans="8:15" ht="15.75" customHeight="1" x14ac:dyDescent="0.25">
      <c r="H895" s="5"/>
      <c r="O895" s="2"/>
    </row>
    <row r="896" spans="8:15" ht="15.75" customHeight="1" x14ac:dyDescent="0.25">
      <c r="H896" s="5"/>
      <c r="O896" s="2"/>
    </row>
    <row r="897" spans="8:15" ht="15.75" customHeight="1" x14ac:dyDescent="0.25">
      <c r="H897" s="5"/>
      <c r="O897" s="2"/>
    </row>
    <row r="898" spans="8:15" ht="15.75" customHeight="1" x14ac:dyDescent="0.25">
      <c r="H898" s="5"/>
      <c r="O898" s="2"/>
    </row>
    <row r="899" spans="8:15" ht="15.75" customHeight="1" x14ac:dyDescent="0.25">
      <c r="H899" s="5"/>
      <c r="O899" s="2"/>
    </row>
    <row r="900" spans="8:15" ht="15.75" customHeight="1" x14ac:dyDescent="0.25">
      <c r="H900" s="5"/>
      <c r="O900" s="2"/>
    </row>
    <row r="901" spans="8:15" ht="15.75" customHeight="1" x14ac:dyDescent="0.25">
      <c r="H901" s="5"/>
      <c r="O901" s="2"/>
    </row>
    <row r="902" spans="8:15" ht="15.75" customHeight="1" x14ac:dyDescent="0.25">
      <c r="H902" s="5"/>
      <c r="O902" s="2"/>
    </row>
    <row r="903" spans="8:15" ht="15.75" customHeight="1" x14ac:dyDescent="0.25">
      <c r="H903" s="5"/>
      <c r="O903" s="2"/>
    </row>
    <row r="904" spans="8:15" ht="15.75" customHeight="1" x14ac:dyDescent="0.25">
      <c r="H904" s="5"/>
      <c r="O904" s="2"/>
    </row>
    <row r="905" spans="8:15" ht="15.75" customHeight="1" x14ac:dyDescent="0.25">
      <c r="H905" s="5"/>
      <c r="O905" s="2"/>
    </row>
    <row r="906" spans="8:15" ht="15.75" customHeight="1" x14ac:dyDescent="0.25">
      <c r="H906" s="5"/>
      <c r="O906" s="2"/>
    </row>
    <row r="907" spans="8:15" ht="15.75" customHeight="1" x14ac:dyDescent="0.25">
      <c r="H907" s="5"/>
      <c r="O907" s="2"/>
    </row>
    <row r="908" spans="8:15" ht="15.75" customHeight="1" x14ac:dyDescent="0.25">
      <c r="H908" s="5"/>
      <c r="O908" s="2"/>
    </row>
    <row r="909" spans="8:15" ht="15.75" customHeight="1" x14ac:dyDescent="0.25">
      <c r="H909" s="5"/>
      <c r="O909" s="2"/>
    </row>
    <row r="910" spans="8:15" ht="15.75" customHeight="1" x14ac:dyDescent="0.25">
      <c r="H910" s="5"/>
      <c r="O910" s="2"/>
    </row>
    <row r="911" spans="8:15" ht="15.75" customHeight="1" x14ac:dyDescent="0.25">
      <c r="H911" s="5"/>
      <c r="O911" s="2"/>
    </row>
    <row r="912" spans="8:15" ht="15.75" customHeight="1" x14ac:dyDescent="0.25">
      <c r="H912" s="5"/>
      <c r="O912" s="2"/>
    </row>
    <row r="913" spans="8:15" ht="15.75" customHeight="1" x14ac:dyDescent="0.25">
      <c r="H913" s="5"/>
      <c r="O913" s="2"/>
    </row>
    <row r="914" spans="8:15" ht="15.75" customHeight="1" x14ac:dyDescent="0.25">
      <c r="H914" s="5"/>
      <c r="O914" s="2"/>
    </row>
    <row r="915" spans="8:15" ht="15.75" customHeight="1" x14ac:dyDescent="0.25">
      <c r="H915" s="5"/>
      <c r="O915" s="2"/>
    </row>
    <row r="916" spans="8:15" ht="15.75" customHeight="1" x14ac:dyDescent="0.25">
      <c r="H916" s="5"/>
      <c r="O916" s="2"/>
    </row>
    <row r="917" spans="8:15" ht="15.75" customHeight="1" x14ac:dyDescent="0.25">
      <c r="H917" s="5"/>
      <c r="O917" s="2"/>
    </row>
    <row r="918" spans="8:15" ht="15.75" customHeight="1" x14ac:dyDescent="0.25">
      <c r="H918" s="5"/>
      <c r="O918" s="2"/>
    </row>
    <row r="919" spans="8:15" ht="15.75" customHeight="1" x14ac:dyDescent="0.25">
      <c r="H919" s="5"/>
      <c r="O919" s="2"/>
    </row>
    <row r="920" spans="8:15" ht="15.75" customHeight="1" x14ac:dyDescent="0.25">
      <c r="H920" s="5"/>
      <c r="O920" s="2"/>
    </row>
    <row r="921" spans="8:15" ht="15.75" customHeight="1" x14ac:dyDescent="0.25">
      <c r="H921" s="5"/>
      <c r="O921" s="2"/>
    </row>
    <row r="922" spans="8:15" ht="15.75" customHeight="1" x14ac:dyDescent="0.25">
      <c r="H922" s="5"/>
      <c r="O922" s="2"/>
    </row>
    <row r="923" spans="8:15" ht="15.75" customHeight="1" x14ac:dyDescent="0.25">
      <c r="H923" s="5"/>
      <c r="O923" s="2"/>
    </row>
    <row r="924" spans="8:15" ht="15.75" customHeight="1" x14ac:dyDescent="0.25">
      <c r="H924" s="5"/>
      <c r="O924" s="2"/>
    </row>
    <row r="925" spans="8:15" ht="15.75" customHeight="1" x14ac:dyDescent="0.25">
      <c r="H925" s="5"/>
      <c r="O925" s="2"/>
    </row>
    <row r="926" spans="8:15" ht="15.75" customHeight="1" x14ac:dyDescent="0.25">
      <c r="H926" s="5"/>
      <c r="O926" s="2"/>
    </row>
    <row r="927" spans="8:15" ht="15.75" customHeight="1" x14ac:dyDescent="0.25">
      <c r="H927" s="5"/>
      <c r="O927" s="2"/>
    </row>
    <row r="928" spans="8:15" ht="15.75" customHeight="1" x14ac:dyDescent="0.25">
      <c r="H928" s="5"/>
      <c r="O928" s="2"/>
    </row>
    <row r="929" spans="8:15" ht="15.75" customHeight="1" x14ac:dyDescent="0.25">
      <c r="H929" s="5"/>
      <c r="O929" s="2"/>
    </row>
    <row r="930" spans="8:15" ht="15.75" customHeight="1" x14ac:dyDescent="0.25">
      <c r="H930" s="5"/>
      <c r="O930" s="2"/>
    </row>
    <row r="931" spans="8:15" ht="15.75" customHeight="1" x14ac:dyDescent="0.25">
      <c r="H931" s="5"/>
      <c r="O931" s="2"/>
    </row>
    <row r="932" spans="8:15" ht="15.75" customHeight="1" x14ac:dyDescent="0.25">
      <c r="H932" s="5"/>
      <c r="O932" s="2"/>
    </row>
    <row r="933" spans="8:15" ht="15.75" customHeight="1" x14ac:dyDescent="0.25">
      <c r="H933" s="5"/>
      <c r="O933" s="2"/>
    </row>
    <row r="934" spans="8:15" ht="15.75" customHeight="1" x14ac:dyDescent="0.25">
      <c r="H934" s="5"/>
      <c r="O934" s="2"/>
    </row>
    <row r="935" spans="8:15" ht="15.75" customHeight="1" x14ac:dyDescent="0.25">
      <c r="H935" s="5"/>
      <c r="O935" s="2"/>
    </row>
    <row r="936" spans="8:15" ht="15.75" customHeight="1" x14ac:dyDescent="0.25">
      <c r="H936" s="5"/>
      <c r="O936" s="2"/>
    </row>
    <row r="937" spans="8:15" ht="15.75" customHeight="1" x14ac:dyDescent="0.25">
      <c r="H937" s="5"/>
      <c r="O937" s="2"/>
    </row>
    <row r="938" spans="8:15" ht="15.75" customHeight="1" x14ac:dyDescent="0.25">
      <c r="H938" s="5"/>
      <c r="O938" s="2"/>
    </row>
    <row r="939" spans="8:15" ht="15.75" customHeight="1" x14ac:dyDescent="0.25">
      <c r="H939" s="5"/>
      <c r="O939" s="2"/>
    </row>
    <row r="940" spans="8:15" ht="15.75" customHeight="1" x14ac:dyDescent="0.25">
      <c r="H940" s="5"/>
      <c r="O940" s="2"/>
    </row>
    <row r="941" spans="8:15" ht="15.75" customHeight="1" x14ac:dyDescent="0.25">
      <c r="H941" s="5"/>
      <c r="O941" s="2"/>
    </row>
    <row r="942" spans="8:15" ht="15.75" customHeight="1" x14ac:dyDescent="0.25">
      <c r="H942" s="5"/>
      <c r="O942" s="2"/>
    </row>
    <row r="943" spans="8:15" ht="15.75" customHeight="1" x14ac:dyDescent="0.25">
      <c r="H943" s="5"/>
      <c r="O943" s="2"/>
    </row>
    <row r="944" spans="8:15" ht="15.75" customHeight="1" x14ac:dyDescent="0.25">
      <c r="H944" s="5"/>
      <c r="O944" s="2"/>
    </row>
    <row r="945" spans="8:15" ht="15.75" customHeight="1" x14ac:dyDescent="0.25">
      <c r="H945" s="5"/>
      <c r="O945" s="2"/>
    </row>
    <row r="946" spans="8:15" ht="15.75" customHeight="1" x14ac:dyDescent="0.25">
      <c r="H946" s="5"/>
      <c r="O946" s="2"/>
    </row>
    <row r="947" spans="8:15" ht="15.75" customHeight="1" x14ac:dyDescent="0.25">
      <c r="H947" s="5"/>
      <c r="O947" s="2"/>
    </row>
    <row r="948" spans="8:15" ht="15.75" customHeight="1" x14ac:dyDescent="0.25">
      <c r="H948" s="5"/>
      <c r="O948" s="2"/>
    </row>
    <row r="949" spans="8:15" ht="15.75" customHeight="1" x14ac:dyDescent="0.25">
      <c r="H949" s="5"/>
      <c r="O949" s="2"/>
    </row>
    <row r="950" spans="8:15" ht="15.75" customHeight="1" x14ac:dyDescent="0.25">
      <c r="H950" s="5"/>
      <c r="O950" s="2"/>
    </row>
    <row r="951" spans="8:15" ht="15.75" customHeight="1" x14ac:dyDescent="0.25">
      <c r="H951" s="5"/>
      <c r="O951" s="2"/>
    </row>
    <row r="952" spans="8:15" ht="15.75" customHeight="1" x14ac:dyDescent="0.25">
      <c r="H952" s="5"/>
      <c r="O952" s="2"/>
    </row>
    <row r="953" spans="8:15" ht="15.75" customHeight="1" x14ac:dyDescent="0.25">
      <c r="H953" s="5"/>
      <c r="O953" s="2"/>
    </row>
    <row r="954" spans="8:15" ht="15.75" customHeight="1" x14ac:dyDescent="0.25">
      <c r="H954" s="5"/>
      <c r="O954" s="2"/>
    </row>
    <row r="955" spans="8:15" ht="15.75" customHeight="1" x14ac:dyDescent="0.25">
      <c r="H955" s="5"/>
      <c r="O955" s="2"/>
    </row>
    <row r="956" spans="8:15" ht="15.75" customHeight="1" x14ac:dyDescent="0.25">
      <c r="H956" s="5"/>
      <c r="O956" s="2"/>
    </row>
    <row r="957" spans="8:15" ht="15.75" customHeight="1" x14ac:dyDescent="0.25">
      <c r="H957" s="5"/>
      <c r="O957" s="2"/>
    </row>
    <row r="958" spans="8:15" ht="15.75" customHeight="1" x14ac:dyDescent="0.25">
      <c r="H958" s="5"/>
      <c r="O958" s="2"/>
    </row>
    <row r="959" spans="8:15" ht="15.75" customHeight="1" x14ac:dyDescent="0.25">
      <c r="H959" s="5"/>
      <c r="O959" s="2"/>
    </row>
    <row r="960" spans="8:15" ht="15.75" customHeight="1" x14ac:dyDescent="0.25">
      <c r="H960" s="5"/>
      <c r="O960" s="2"/>
    </row>
    <row r="961" spans="8:15" ht="15.75" customHeight="1" x14ac:dyDescent="0.25">
      <c r="H961" s="5"/>
      <c r="O961" s="2"/>
    </row>
    <row r="962" spans="8:15" ht="15.75" customHeight="1" x14ac:dyDescent="0.25">
      <c r="H962" s="5"/>
      <c r="O962" s="2"/>
    </row>
    <row r="963" spans="8:15" ht="15.75" customHeight="1" x14ac:dyDescent="0.25">
      <c r="H963" s="5"/>
      <c r="O963" s="2"/>
    </row>
    <row r="964" spans="8:15" ht="15.75" customHeight="1" x14ac:dyDescent="0.25">
      <c r="H964" s="5"/>
      <c r="O964" s="2"/>
    </row>
    <row r="965" spans="8:15" ht="15.75" customHeight="1" x14ac:dyDescent="0.25">
      <c r="H965" s="5"/>
      <c r="O965" s="2"/>
    </row>
    <row r="966" spans="8:15" ht="15.75" customHeight="1" x14ac:dyDescent="0.25">
      <c r="H966" s="5"/>
      <c r="O966" s="2"/>
    </row>
    <row r="967" spans="8:15" ht="15.75" customHeight="1" x14ac:dyDescent="0.25">
      <c r="H967" s="5"/>
      <c r="O967" s="2"/>
    </row>
    <row r="968" spans="8:15" ht="15.75" customHeight="1" x14ac:dyDescent="0.25">
      <c r="H968" s="5"/>
      <c r="O968" s="2"/>
    </row>
    <row r="969" spans="8:15" ht="15.75" customHeight="1" x14ac:dyDescent="0.25">
      <c r="H969" s="5"/>
      <c r="O969" s="2"/>
    </row>
    <row r="970" spans="8:15" ht="15.75" customHeight="1" x14ac:dyDescent="0.25">
      <c r="H970" s="5"/>
      <c r="O970" s="2"/>
    </row>
    <row r="971" spans="8:15" ht="15.75" customHeight="1" x14ac:dyDescent="0.25">
      <c r="H971" s="5"/>
      <c r="O971" s="2"/>
    </row>
    <row r="972" spans="8:15" ht="15.75" customHeight="1" x14ac:dyDescent="0.25">
      <c r="H972" s="5"/>
      <c r="O972" s="2"/>
    </row>
    <row r="973" spans="8:15" ht="15.75" customHeight="1" x14ac:dyDescent="0.25">
      <c r="H973" s="5"/>
      <c r="O973" s="2"/>
    </row>
    <row r="974" spans="8:15" ht="15.75" customHeight="1" x14ac:dyDescent="0.25">
      <c r="H974" s="5"/>
      <c r="O974" s="2"/>
    </row>
    <row r="975" spans="8:15" ht="15.75" customHeight="1" x14ac:dyDescent="0.25">
      <c r="H975" s="5"/>
      <c r="O975" s="2"/>
    </row>
    <row r="976" spans="8:15" ht="15.75" customHeight="1" x14ac:dyDescent="0.25">
      <c r="H976" s="5"/>
      <c r="O976" s="2"/>
    </row>
    <row r="977" spans="8:15" ht="15.75" customHeight="1" x14ac:dyDescent="0.25">
      <c r="H977" s="5"/>
      <c r="O977" s="2"/>
    </row>
    <row r="978" spans="8:15" ht="15.75" customHeight="1" x14ac:dyDescent="0.25">
      <c r="H978" s="5"/>
      <c r="O978" s="2"/>
    </row>
    <row r="979" spans="8:15" ht="15.75" customHeight="1" x14ac:dyDescent="0.25">
      <c r="H979" s="5"/>
      <c r="O979" s="2"/>
    </row>
    <row r="980" spans="8:15" ht="15.75" customHeight="1" x14ac:dyDescent="0.25">
      <c r="H980" s="5"/>
      <c r="O980" s="2"/>
    </row>
    <row r="981" spans="8:15" ht="15.75" customHeight="1" x14ac:dyDescent="0.25">
      <c r="H981" s="5"/>
      <c r="O981" s="2"/>
    </row>
    <row r="982" spans="8:15" ht="15.75" customHeight="1" x14ac:dyDescent="0.25">
      <c r="H982" s="5"/>
      <c r="O982" s="2"/>
    </row>
    <row r="983" spans="8:15" ht="15.75" customHeight="1" x14ac:dyDescent="0.25">
      <c r="H983" s="5"/>
      <c r="O983" s="2"/>
    </row>
    <row r="984" spans="8:15" ht="15.75" customHeight="1" x14ac:dyDescent="0.25">
      <c r="H984" s="5"/>
      <c r="O984" s="2"/>
    </row>
    <row r="985" spans="8:15" ht="15.75" customHeight="1" x14ac:dyDescent="0.25">
      <c r="H985" s="5"/>
      <c r="O985" s="2"/>
    </row>
    <row r="986" spans="8:15" ht="15.75" customHeight="1" x14ac:dyDescent="0.25">
      <c r="H986" s="5"/>
      <c r="O986" s="2"/>
    </row>
    <row r="987" spans="8:15" ht="15.75" customHeight="1" x14ac:dyDescent="0.25">
      <c r="H987" s="5"/>
      <c r="O987" s="2"/>
    </row>
    <row r="988" spans="8:15" ht="15.75" customHeight="1" x14ac:dyDescent="0.25">
      <c r="H988" s="5"/>
      <c r="O988" s="2"/>
    </row>
    <row r="989" spans="8:15" ht="15.75" customHeight="1" x14ac:dyDescent="0.25">
      <c r="H989" s="5"/>
      <c r="O989" s="2"/>
    </row>
    <row r="990" spans="8:15" ht="15.75" customHeight="1" x14ac:dyDescent="0.25">
      <c r="H990" s="5"/>
      <c r="O990" s="2"/>
    </row>
    <row r="991" spans="8:15" ht="15.75" customHeight="1" x14ac:dyDescent="0.25">
      <c r="H991" s="5"/>
      <c r="O991" s="2"/>
    </row>
    <row r="992" spans="8:15" ht="15.75" customHeight="1" x14ac:dyDescent="0.25">
      <c r="H992" s="5"/>
      <c r="O992" s="2"/>
    </row>
    <row r="993" spans="8:15" ht="15.75" customHeight="1" x14ac:dyDescent="0.25">
      <c r="H993" s="5"/>
      <c r="O993" s="2"/>
    </row>
    <row r="994" spans="8:15" ht="15.75" customHeight="1" x14ac:dyDescent="0.25">
      <c r="H994" s="5"/>
      <c r="O994" s="2"/>
    </row>
    <row r="995" spans="8:15" ht="15.75" customHeight="1" x14ac:dyDescent="0.25">
      <c r="H995" s="5"/>
      <c r="O995" s="2"/>
    </row>
    <row r="996" spans="8:15" ht="15.75" customHeight="1" x14ac:dyDescent="0.25">
      <c r="H996" s="5"/>
      <c r="O996" s="2"/>
    </row>
    <row r="997" spans="8:15" ht="15.75" customHeight="1" x14ac:dyDescent="0.25">
      <c r="H997" s="5"/>
      <c r="O997" s="2"/>
    </row>
    <row r="998" spans="8:15" ht="15.75" customHeight="1" x14ac:dyDescent="0.25">
      <c r="H998" s="5"/>
      <c r="O998" s="2"/>
    </row>
    <row r="999" spans="8:15" ht="15.75" customHeight="1" x14ac:dyDescent="0.25">
      <c r="H999" s="5"/>
      <c r="O999" s="2"/>
    </row>
    <row r="1000" spans="8:15" ht="15.75" customHeight="1" x14ac:dyDescent="0.25">
      <c r="H1000" s="5"/>
      <c r="O1000" s="2"/>
    </row>
  </sheetData>
  <mergeCells count="2">
    <mergeCell ref="A1:M1"/>
    <mergeCell ref="C35:M35"/>
  </mergeCells>
  <pageMargins left="0.25" right="0.25" top="0.75" bottom="0.75" header="0" footer="0"/>
  <pageSetup scale="80"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1:A1000"/>
  <sheetViews>
    <sheetView workbookViewId="0"/>
  </sheetViews>
  <sheetFormatPr baseColWidth="10" defaultColWidth="14.42578125" defaultRowHeight="15" customHeight="1" x14ac:dyDescent="0.25"/>
  <cols>
    <col min="1" max="26" width="10.7109375" customWidth="1"/>
  </cols>
  <sheetData>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Hoja1 (2)</vt:lpstr>
      <vt:lpstr>Hoja1</vt:lpstr>
      <vt:lpstr>Hoja2</vt:lpstr>
      <vt:lpstr>'Hoja1 (2)'!Área_de_impresión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Sistemax</cp:lastModifiedBy>
  <cp:lastPrinted>2025-05-29T13:49:51Z</cp:lastPrinted>
  <dcterms:created xsi:type="dcterms:W3CDTF">2021-11-02T15:21:56Z</dcterms:created>
  <dcterms:modified xsi:type="dcterms:W3CDTF">2025-05-29T13:49:56Z</dcterms:modified>
</cp:coreProperties>
</file>