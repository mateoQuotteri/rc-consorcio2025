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Sistemax\Desktop\rc-consorcio2025\2025\FLORES DE ESTRADA\Julio\"/>
    </mc:Choice>
  </mc:AlternateContent>
  <xr:revisionPtr revIDLastSave="0" documentId="13_ncr:1_{3DCE55D7-5DB6-4B42-8544-BB9E9736255A}"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xmlns:xlwcv="http://schemas.microsoft.com/office/spreadsheetml/2024/workbookCompatibilityVersion" uri="{D14903EA-33C4-47F7-8F05-3474C54BE107}">
      <xlwcv:version setVersion="1"/>
    </ex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M36" i="1" l="1"/>
  <c r="G25" i="1"/>
  <c r="G24" i="1"/>
  <c r="G20" i="1"/>
  <c r="G12" i="1"/>
  <c r="G15" i="1"/>
  <c r="G11" i="1"/>
  <c r="G22" i="1"/>
  <c r="S22" i="1" l="1"/>
  <c r="S21" i="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<sst xmlns="http://schemas.openxmlformats.org/spreadsheetml/2006/main" count="162" uniqueCount="69">
  <si>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</si>
  <si>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</si>
  <si>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</si>
  <si>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</si>
  <si>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</si>
  <si>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</si>
  <si>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</si>
  <si>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</si>
  <si>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</si>
  <si>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</si>
  <si>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</si>
  <si>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</si>
  <si>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</si>
  <si>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</si>
  <si>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</si>
  <si>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</si>
  <si>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</si>
  <si>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</si>
  <si>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</si>
  <si>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</si>
  <si>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</si>
  <si>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</si>
  <si>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</si>
  <si>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</si>
  <si>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</si>
  <si>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</si>
  <si>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</si>
  <si>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</si>
  <si>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</si>
  <si>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</si>
  <si>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</si>
  <si>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</si>
  <si>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</si>
  <si>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</si>
  <si>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</si>
  <si>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</si>
  <si>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</si>
  <si>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</si>
  <si>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</si>
  <si>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</si>
  <si>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</si>
  <si>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</si>
  <si>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</si>
  <si>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</si>
  <si>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</si>
  <si>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</si>
  <si>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</si>
  <si>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</si>
  <si>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</si>
  <si>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</si>
  <si>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</si>
  <si>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</si>
  <si>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</si>
  <si>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</si>
  <si>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</si>
  <si>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</si>
  <si>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</si>
  <si>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</si>
  <si>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</si>
  <si>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</si>
  <si>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</si>
  <si>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</si>
  <si>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</si>
  <si>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</si>
  <si>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</si>
  <si>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</si>
  <si>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</si>
  <si>
    <t>EDESUR - VENCIMIENTO 14/08</t>
  </si>
  <si>
    <t>SALDO DEUDOR: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</si>
</sst>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
    <numFmt numFmtId="165" formatCode="_-&quot;$&quot;\ * #,##0.00_-;\-&quot;$&quot;\ * #,##0.00_-;_-&quot;$&quot;\ * &quot;-&quot;??_-;_-@"/>
    <numFmt numFmtId="166" formatCode="0.00;[Red]0.00"/>
  </numFmts>
  <fonts count="14"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name val="Calibri"/>
      <family val="2"/>
    </font>
    <font>
      <b/>
      <sz val="12"/>
      <color theme="0"/>
      <name val="Calibri"/>
      <family val="2"/>
      <scheme val="minor"/>
    </font>
  </fonts>
  <fills count="11">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0000"/>
        <bgColor indexed="64"/>
      </patternFill>
    </fill>
    <fill>
      <patternFill patternType="solid">
        <fgColor rgb="FFFFFF00"/>
        <bgColor theme="0"/>
      </patternFill>
    </fill>
    <fill>
      <patternFill patternType="solid">
        <fgColor theme="1"/>
        <bgColor indexed="64"/>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4"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5" fontId="5" fillId="0" borderId="8" xfId="0" applyNumberFormat="1" applyFont="1" applyBorder="1"/>
    <xf numFmtId="0" fontId="4" fillId="0" borderId="8" xfId="0" applyFont="1" applyBorder="1"/>
    <xf numFmtId="164"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4" fontId="5" fillId="2" borderId="10" xfId="0" applyNumberFormat="1"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4" fontId="4" fillId="0" borderId="10" xfId="0" applyNumberFormat="1" applyFont="1" applyBorder="1"/>
    <xf numFmtId="165" fontId="4" fillId="0" borderId="10" xfId="0" applyNumberFormat="1" applyFont="1" applyBorder="1"/>
    <xf numFmtId="2" fontId="4" fillId="0" borderId="10" xfId="0" applyNumberFormat="1" applyFont="1" applyBorder="1"/>
    <xf numFmtId="166"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4" fontId="4" fillId="3" borderId="10" xfId="0" applyNumberFormat="1" applyFont="1" applyFill="1" applyBorder="1"/>
    <xf numFmtId="0" fontId="4" fillId="0" borderId="11" xfId="0" applyFont="1" applyBorder="1"/>
    <xf numFmtId="0" fontId="4" fillId="0" borderId="12" xfId="0" applyFont="1" applyBorder="1"/>
    <xf numFmtId="164" fontId="4" fillId="0" borderId="12" xfId="0" applyNumberFormat="1" applyFont="1" applyBorder="1"/>
    <xf numFmtId="165" fontId="4" fillId="0" borderId="12" xfId="0" applyNumberFormat="1" applyFont="1" applyBorder="1"/>
    <xf numFmtId="0" fontId="5" fillId="4" borderId="4" xfId="0" applyFont="1" applyFill="1" applyBorder="1" applyAlignment="1">
      <alignment horizontal="left" vertical="center" wrapText="1"/>
    </xf>
    <xf numFmtId="164" fontId="0" fillId="0" borderId="0" xfId="0" applyNumberFormat="1"/>
    <xf numFmtId="44" fontId="0" fillId="0" borderId="0" xfId="0" applyNumberFormat="1"/>
    <xf numFmtId="0" fontId="7" fillId="2" borderId="10" xfId="0" applyFont="1" applyFill="1" applyBorder="1" applyAlignment="1">
      <alignment horizontal="center" vertical="center" wrapText="1"/>
    </xf>
    <xf numFmtId="0" fontId="4" fillId="6" borderId="10" xfId="0" applyFont="1" applyFill="1" applyBorder="1"/>
    <xf numFmtId="164" fontId="4" fillId="6" borderId="10" xfId="0" applyNumberFormat="1" applyFont="1" applyFill="1" applyBorder="1"/>
    <xf numFmtId="165" fontId="4" fillId="6" borderId="10" xfId="0" applyNumberFormat="1" applyFont="1" applyFill="1" applyBorder="1"/>
    <xf numFmtId="2" fontId="4" fillId="6" borderId="10" xfId="0" applyNumberFormat="1" applyFont="1" applyFill="1" applyBorder="1"/>
    <xf numFmtId="0" fontId="4" fillId="5" borderId="10" xfId="0" applyFont="1" applyFill="1" applyBorder="1"/>
    <xf numFmtId="164" fontId="4" fillId="5" borderId="10" xfId="0" applyNumberFormat="1" applyFont="1" applyFill="1" applyBorder="1"/>
    <xf numFmtId="165"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4" fontId="8" fillId="5" borderId="10" xfId="0" applyNumberFormat="1" applyFont="1" applyFill="1" applyBorder="1"/>
    <xf numFmtId="0" fontId="4" fillId="8" borderId="10" xfId="0" applyFont="1" applyFill="1" applyBorder="1"/>
    <xf numFmtId="164" fontId="4" fillId="8" borderId="10" xfId="0" applyNumberFormat="1" applyFont="1" applyFill="1" applyBorder="1"/>
    <xf numFmtId="165" fontId="4" fillId="8" borderId="10" xfId="0" applyNumberFormat="1" applyFont="1" applyFill="1" applyBorder="1"/>
    <xf numFmtId="2" fontId="4" fillId="8" borderId="10" xfId="0" applyNumberFormat="1" applyFont="1" applyFill="1" applyBorder="1"/>
    <xf numFmtId="0" fontId="8" fillId="6" borderId="10" xfId="0" applyFont="1" applyFill="1" applyBorder="1"/>
    <xf numFmtId="0" fontId="8" fillId="5" borderId="10" xfId="0" applyFont="1" applyFill="1" applyBorder="1"/>
    <xf numFmtId="166" fontId="4" fillId="5" borderId="0" xfId="0" applyNumberFormat="1" applyFont="1" applyFill="1"/>
    <xf numFmtId="2" fontId="4" fillId="5" borderId="10" xfId="0" applyNumberFormat="1" applyFont="1" applyFill="1" applyBorder="1" applyAlignment="1">
      <alignment horizontal="center"/>
    </xf>
    <xf numFmtId="0" fontId="0" fillId="5" borderId="0" xfId="0" applyFill="1"/>
    <xf numFmtId="44" fontId="9" fillId="5" borderId="0" xfId="0" applyNumberFormat="1" applyFont="1" applyFill="1"/>
    <xf numFmtId="0" fontId="8" fillId="8" borderId="10" xfId="0" applyFont="1" applyFill="1" applyBorder="1"/>
    <xf numFmtId="0" fontId="10" fillId="6" borderId="14" xfId="0" applyFont="1" applyFill="1" applyBorder="1"/>
    <xf numFmtId="164" fontId="4" fillId="9" borderId="10" xfId="0" applyNumberFormat="1" applyFont="1" applyFill="1" applyBorder="1"/>
    <xf numFmtId="165" fontId="12" fillId="5" borderId="8" xfId="0" applyNumberFormat="1" applyFont="1" applyFill="1" applyBorder="1"/>
    <xf numFmtId="0" fontId="13" fillId="10" borderId="4" xfId="0" applyFont="1" applyFill="1" applyBorder="1"/>
    <xf numFmtId="164" fontId="13" fillId="10" borderId="4" xfId="0" applyNumberFormat="1"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12" zoomScale="90" zoomScaleNormal="90" workbookViewId="0">
      <selection activeCell="B36" sqref="B36:M36"/>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42578125" customWidth="1"/>
    <col min="6" max="6" width="10.42578125" hidden="1" customWidth="1"/>
    <col min="7" max="7" width="10" hidden="1" customWidth="1"/>
    <col min="8" max="8" width="7.7109375" hidden="1" customWidth="1"/>
    <col min="9" max="9" width="10.42578125" hidden="1" customWidth="1"/>
    <col min="10" max="10" width="17.5703125" hidden="1" customWidth="1"/>
    <col min="11" max="11" width="15.42578125" hidden="1" customWidth="1"/>
    <col min="12" max="12" width="12.710937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62" t="s">
        <v>67</v>
      </c>
      <c r="B1" s="63"/>
      <c r="C1" s="63"/>
      <c r="D1" s="63"/>
      <c r="E1" s="63"/>
      <c r="F1" s="63"/>
      <c r="G1" s="63"/>
      <c r="H1" s="63"/>
      <c r="I1" s="63"/>
      <c r="J1" s="63"/>
      <c r="K1" s="63"/>
      <c r="L1" s="63"/>
      <c r="M1" s="64"/>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59">
        <v>1547536.3</v>
      </c>
      <c r="E8" s="10"/>
      <c r="F8" s="10"/>
      <c r="G8" s="10"/>
      <c r="H8" s="11"/>
      <c r="I8" s="10"/>
      <c r="J8" s="10"/>
      <c r="K8" s="10"/>
      <c r="L8" s="10"/>
      <c r="M8" s="12"/>
      <c r="N8" s="3"/>
      <c r="O8" s="2"/>
      <c r="S8" s="43"/>
    </row>
    <row r="9" spans="1:25" ht="36" customHeight="1" x14ac:dyDescent="0.25">
      <c r="A9" s="13" t="s">
        <v>10</v>
      </c>
      <c r="B9" s="13" t="s">
        <v>10</v>
      </c>
      <c r="C9" s="14" t="s">
        <v>11</v>
      </c>
      <c r="D9" s="13" t="s">
        <v>12</v>
      </c>
      <c r="E9" s="13" t="s">
        <v>13</v>
      </c>
      <c r="F9" s="14" t="s">
        <v>14</v>
      </c>
      <c r="G9" s="34" t="s">
        <v>15</v>
      </c>
      <c r="H9" s="15" t="s">
        <v>16</v>
      </c>
      <c r="I9" s="34" t="s">
        <v>17</v>
      </c>
      <c r="J9" s="14" t="s">
        <v>9</v>
      </c>
      <c r="K9" s="14" t="s">
        <v>18</v>
      </c>
      <c r="L9" s="15">
        <f>C8-J34</f>
        <v>1202179.2585999998</v>
      </c>
      <c r="M9" s="14" t="s">
        <v>19</v>
      </c>
      <c r="N9" s="17"/>
      <c r="O9" s="14" t="s">
        <v>20</v>
      </c>
      <c r="P9" s="14" t="s">
        <v>21</v>
      </c>
    </row>
    <row r="10" spans="1:25" x14ac:dyDescent="0.25">
      <c r="A10" s="18">
        <v>1</v>
      </c>
      <c r="B10" s="18">
        <v>1</v>
      </c>
      <c r="C10" s="18" t="s">
        <v>22</v>
      </c>
      <c r="D10" s="18" t="s">
        <v>23</v>
      </c>
      <c r="E10" s="18">
        <v>4.9000000000000004</v>
      </c>
      <c r="F10" s="18">
        <v>18790.099999999999</v>
      </c>
      <c r="G10" s="51">
        <v>19096.7</v>
      </c>
      <c r="H10" s="19">
        <v>0</v>
      </c>
      <c r="I10" s="20">
        <f t="shared" ref="I10:I33" si="0">H10*7%</f>
        <v>0</v>
      </c>
      <c r="J10" s="20">
        <f>(G10-F10)*93.78</f>
        <v>28752.948000000204</v>
      </c>
      <c r="K10" s="21">
        <f>G10-F10</f>
        <v>306.60000000000218</v>
      </c>
      <c r="L10" s="19">
        <f>L9*E10/100</f>
        <v>58906.7836714</v>
      </c>
      <c r="M10" s="19">
        <f>J10+L10+3</f>
        <v>87662.731671400208</v>
      </c>
      <c r="N10" s="22">
        <f>J10/C7*100</f>
        <v>36.839139013453178</v>
      </c>
      <c r="O10" s="23">
        <f>J10/L9*100</f>
        <v>2.3917354915509446</v>
      </c>
      <c r="P10" s="20">
        <f>C7*O10/100</f>
        <v>1866.7495511555121</v>
      </c>
      <c r="Q10" s="24">
        <v>0.31</v>
      </c>
      <c r="R10" s="25">
        <f t="shared" ref="R10:R11" si="1">4000*Q10</f>
        <v>1240</v>
      </c>
    </row>
    <row r="11" spans="1:25" x14ac:dyDescent="0.25">
      <c r="A11" s="18">
        <v>2</v>
      </c>
      <c r="B11" s="46">
        <v>2</v>
      </c>
      <c r="C11" s="46" t="s">
        <v>24</v>
      </c>
      <c r="D11" s="46" t="s">
        <v>25</v>
      </c>
      <c r="E11" s="46">
        <v>3.89</v>
      </c>
      <c r="F11" s="46">
        <v>17003.900000000001</v>
      </c>
      <c r="G11" s="56">
        <f>F11+70</f>
        <v>17073.900000000001</v>
      </c>
      <c r="H11" s="47">
        <v>0</v>
      </c>
      <c r="I11" s="48">
        <f t="shared" si="0"/>
        <v>0</v>
      </c>
      <c r="J11" s="48">
        <f>(G11-F11)*93.78</f>
        <v>6564.6</v>
      </c>
      <c r="K11" s="49">
        <f t="shared" ref="K11:K25" si="2">G11-F11</f>
        <v>70</v>
      </c>
      <c r="L11" s="47">
        <f>L9*E11/100</f>
        <v>46764.773159539996</v>
      </c>
      <c r="M11" s="47">
        <f t="shared" ref="M11:M24" si="3">J11+L11+1</f>
        <v>53330.373159539995</v>
      </c>
      <c r="N11" s="22" t="e">
        <f t="shared" ref="N11:N33" si="4">J11/C9*100</f>
        <v>#VALUE!</v>
      </c>
      <c r="O11" s="23">
        <f>L11/L9*100</f>
        <v>3.8900000000000006</v>
      </c>
      <c r="P11" s="20">
        <f>C7*O11/100</f>
        <v>3036.1450000000004</v>
      </c>
      <c r="Q11" s="24">
        <v>0.19</v>
      </c>
      <c r="R11" s="25">
        <f t="shared" si="1"/>
        <v>760</v>
      </c>
      <c r="U11" s="32"/>
    </row>
    <row r="12" spans="1:25" x14ac:dyDescent="0.25">
      <c r="A12" s="39">
        <v>3</v>
      </c>
      <c r="B12" s="39">
        <v>3</v>
      </c>
      <c r="C12" s="39" t="s">
        <v>26</v>
      </c>
      <c r="D12" s="39" t="s">
        <v>27</v>
      </c>
      <c r="E12" s="39">
        <v>4</v>
      </c>
      <c r="F12" s="39">
        <v>11416.3</v>
      </c>
      <c r="G12" s="51">
        <f>F12+85</f>
        <v>11501.3</v>
      </c>
      <c r="H12" s="40">
        <v>0</v>
      </c>
      <c r="I12" s="41">
        <f t="shared" si="0"/>
        <v>0</v>
      </c>
      <c r="J12" s="41">
        <f t="shared" ref="J12:J33" si="5">(G12-F12)*93.78</f>
        <v>7971.3</v>
      </c>
      <c r="K12" s="42">
        <f>G12-F12</f>
        <v>85</v>
      </c>
      <c r="L12" s="40">
        <f>L9*E12/100</f>
        <v>48087.170343999991</v>
      </c>
      <c r="M12" s="40">
        <f t="shared" si="3"/>
        <v>56059.470343999994</v>
      </c>
      <c r="N12" s="22" t="e">
        <f t="shared" si="4"/>
        <v>#VALUE!</v>
      </c>
      <c r="O12" s="23">
        <f>J12/L9*100</f>
        <v>0.66307083099096165</v>
      </c>
      <c r="P12" s="20">
        <f>C7*O12/100</f>
        <v>517.5267835884456</v>
      </c>
    </row>
    <row r="13" spans="1:25" x14ac:dyDescent="0.25">
      <c r="A13" s="18">
        <v>4</v>
      </c>
      <c r="B13" s="39">
        <v>4</v>
      </c>
      <c r="C13" s="39" t="s">
        <v>28</v>
      </c>
      <c r="D13" s="39" t="s">
        <v>29</v>
      </c>
      <c r="E13" s="39">
        <v>4.9000000000000004</v>
      </c>
      <c r="F13" s="39">
        <v>28103</v>
      </c>
      <c r="G13" s="51">
        <v>28598.880000000001</v>
      </c>
      <c r="H13" s="26">
        <v>0</v>
      </c>
      <c r="I13" s="41">
        <f t="shared" si="0"/>
        <v>0</v>
      </c>
      <c r="J13" s="41">
        <f t="shared" si="5"/>
        <v>46503.626400000096</v>
      </c>
      <c r="K13" s="42">
        <f t="shared" si="2"/>
        <v>495.88000000000102</v>
      </c>
      <c r="L13" s="40">
        <f>L9*E13/100</f>
        <v>58906.7836714</v>
      </c>
      <c r="M13" s="40">
        <f t="shared" si="3"/>
        <v>105411.4100714001</v>
      </c>
      <c r="N13" s="22" t="e">
        <f t="shared" si="4"/>
        <v>#VALUE!</v>
      </c>
      <c r="O13" s="23">
        <f>J13/L9*100</f>
        <v>3.8682772196682205</v>
      </c>
      <c r="P13" s="20">
        <f>C7*O13/100</f>
        <v>3019.1903699510463</v>
      </c>
    </row>
    <row r="14" spans="1:25" x14ac:dyDescent="0.25">
      <c r="A14" s="18">
        <v>5</v>
      </c>
      <c r="B14" s="39">
        <v>5</v>
      </c>
      <c r="C14" s="39" t="s">
        <v>30</v>
      </c>
      <c r="D14" s="39" t="s">
        <v>31</v>
      </c>
      <c r="E14" s="39">
        <v>3.89</v>
      </c>
      <c r="F14" s="39">
        <v>6130.2</v>
      </c>
      <c r="G14" s="51">
        <v>6426</v>
      </c>
      <c r="H14" s="26">
        <v>0</v>
      </c>
      <c r="I14" s="41">
        <f t="shared" si="0"/>
        <v>0</v>
      </c>
      <c r="J14" s="41">
        <f t="shared" si="5"/>
        <v>27740.124000000018</v>
      </c>
      <c r="K14" s="42">
        <f t="shared" si="2"/>
        <v>295.80000000000018</v>
      </c>
      <c r="L14" s="40">
        <f>L9*E14/100</f>
        <v>46764.773159539996</v>
      </c>
      <c r="M14" s="40">
        <f t="shared" si="3"/>
        <v>74505.897159540007</v>
      </c>
      <c r="N14" s="22" t="e">
        <f t="shared" si="4"/>
        <v>#VALUE!</v>
      </c>
      <c r="O14" s="23">
        <f>J14/L9*100</f>
        <v>2.307486491848548</v>
      </c>
      <c r="P14" s="20">
        <f>C7*O14/100</f>
        <v>1800.9932068877918</v>
      </c>
      <c r="R14">
        <v>2540.8200000000002</v>
      </c>
    </row>
    <row r="15" spans="1:25" s="54" customFormat="1" x14ac:dyDescent="0.25">
      <c r="A15" s="39">
        <v>6</v>
      </c>
      <c r="B15" s="39">
        <v>6</v>
      </c>
      <c r="C15" s="39" t="s">
        <v>32</v>
      </c>
      <c r="D15" s="39" t="s">
        <v>33</v>
      </c>
      <c r="E15" s="39">
        <v>4</v>
      </c>
      <c r="F15" s="39">
        <v>13356.7</v>
      </c>
      <c r="G15" s="51">
        <f>F15+270</f>
        <v>13626.7</v>
      </c>
      <c r="H15" s="40">
        <v>0</v>
      </c>
      <c r="I15" s="41">
        <f t="shared" si="0"/>
        <v>0</v>
      </c>
      <c r="J15" s="41">
        <f t="shared" si="5"/>
        <v>25320.6</v>
      </c>
      <c r="K15" s="42">
        <f t="shared" si="2"/>
        <v>270</v>
      </c>
      <c r="L15" s="40">
        <f>L9*E15/100</f>
        <v>48087.170343999991</v>
      </c>
      <c r="M15" s="40">
        <f t="shared" si="3"/>
        <v>73408.77034399999</v>
      </c>
      <c r="N15" s="52" t="e">
        <f t="shared" si="4"/>
        <v>#VALUE!</v>
      </c>
      <c r="O15" s="53">
        <f>J15/L9*100</f>
        <v>2.1062249925595249</v>
      </c>
      <c r="P15" s="41">
        <f>C7*O15/100</f>
        <v>1643.9086066927091</v>
      </c>
      <c r="Y15" s="55"/>
    </row>
    <row r="16" spans="1:25" x14ac:dyDescent="0.25">
      <c r="A16" s="18">
        <v>7</v>
      </c>
      <c r="B16" s="18">
        <v>7</v>
      </c>
      <c r="C16" s="18" t="s">
        <v>34</v>
      </c>
      <c r="D16" s="18" t="s">
        <v>35</v>
      </c>
      <c r="E16" s="18">
        <v>4.9000000000000004</v>
      </c>
      <c r="F16" s="18">
        <v>18568</v>
      </c>
      <c r="G16" s="51">
        <v>19037</v>
      </c>
      <c r="H16" s="19">
        <v>0</v>
      </c>
      <c r="I16" s="20">
        <f t="shared" si="0"/>
        <v>0</v>
      </c>
      <c r="J16" s="20">
        <f t="shared" si="5"/>
        <v>43982.82</v>
      </c>
      <c r="K16" s="21">
        <f t="shared" si="2"/>
        <v>469</v>
      </c>
      <c r="L16" s="19">
        <f>L9*E16/100</f>
        <v>58906.7836714</v>
      </c>
      <c r="M16" s="19">
        <f t="shared" si="3"/>
        <v>102890.60367139999</v>
      </c>
      <c r="N16" s="22" t="e">
        <f t="shared" si="4"/>
        <v>#VALUE!</v>
      </c>
      <c r="O16" s="23">
        <f>J16/L9*100</f>
        <v>3.658590820408953</v>
      </c>
      <c r="P16" s="20">
        <f>C7*O16/100</f>
        <v>2855.5301353291875</v>
      </c>
    </row>
    <row r="17" spans="1:19" x14ac:dyDescent="0.25">
      <c r="A17" s="18">
        <v>8</v>
      </c>
      <c r="B17" s="18">
        <v>8</v>
      </c>
      <c r="C17" s="18" t="s">
        <v>36</v>
      </c>
      <c r="D17" s="18" t="s">
        <v>37</v>
      </c>
      <c r="E17" s="18">
        <v>3.89</v>
      </c>
      <c r="F17" s="18">
        <v>6108.1</v>
      </c>
      <c r="G17" s="51">
        <v>6219.7</v>
      </c>
      <c r="H17" s="26">
        <v>0</v>
      </c>
      <c r="I17" s="20">
        <f t="shared" si="0"/>
        <v>0</v>
      </c>
      <c r="J17" s="20">
        <f t="shared" si="5"/>
        <v>10465.847999999949</v>
      </c>
      <c r="K17" s="21">
        <f t="shared" si="2"/>
        <v>111.59999999999945</v>
      </c>
      <c r="L17" s="19">
        <f>L9*E17/100</f>
        <v>46764.773159539996</v>
      </c>
      <c r="M17" s="19">
        <f t="shared" si="3"/>
        <v>57231.621159539944</v>
      </c>
      <c r="N17" s="22" t="e">
        <f t="shared" si="4"/>
        <v>#VALUE!</v>
      </c>
      <c r="O17" s="23">
        <f>J17/L9*100</f>
        <v>0.87057299692459944</v>
      </c>
      <c r="P17" s="20">
        <f>C7*O17/100</f>
        <v>679.4822240996499</v>
      </c>
    </row>
    <row r="18" spans="1:19" x14ac:dyDescent="0.25">
      <c r="A18" s="18">
        <v>9</v>
      </c>
      <c r="B18" s="39">
        <v>9</v>
      </c>
      <c r="C18" s="39" t="s">
        <v>38</v>
      </c>
      <c r="D18" s="39" t="s">
        <v>39</v>
      </c>
      <c r="E18" s="39">
        <v>4</v>
      </c>
      <c r="F18" s="39">
        <v>20633.2</v>
      </c>
      <c r="G18" s="51">
        <v>21089</v>
      </c>
      <c r="H18" s="45">
        <v>0</v>
      </c>
      <c r="I18" s="41">
        <f t="shared" si="0"/>
        <v>0</v>
      </c>
      <c r="J18" s="41">
        <f t="shared" si="5"/>
        <v>42744.923999999934</v>
      </c>
      <c r="K18" s="42">
        <f t="shared" si="2"/>
        <v>455.79999999999927</v>
      </c>
      <c r="L18" s="40">
        <f>L9*E18/100</f>
        <v>48087.170343999991</v>
      </c>
      <c r="M18" s="40">
        <f t="shared" si="3"/>
        <v>90833.094343999925</v>
      </c>
      <c r="N18" s="22" t="e">
        <f t="shared" si="4"/>
        <v>#VALUE!</v>
      </c>
      <c r="O18" s="23">
        <f>J18/L9*100</f>
        <v>3.5556198207727041</v>
      </c>
      <c r="P18" s="20">
        <f>C7*O18/100</f>
        <v>2775.1612701130957</v>
      </c>
    </row>
    <row r="19" spans="1:19" x14ac:dyDescent="0.25">
      <c r="A19" s="18">
        <v>10</v>
      </c>
      <c r="B19" s="35">
        <v>10</v>
      </c>
      <c r="C19" s="35" t="s">
        <v>40</v>
      </c>
      <c r="D19" s="35" t="s">
        <v>63</v>
      </c>
      <c r="E19" s="35">
        <v>12.66</v>
      </c>
      <c r="F19" s="35">
        <v>23373.9</v>
      </c>
      <c r="G19" s="50">
        <v>23559</v>
      </c>
      <c r="H19" s="36">
        <v>0</v>
      </c>
      <c r="I19" s="37">
        <f t="shared" si="0"/>
        <v>0</v>
      </c>
      <c r="J19" s="37">
        <f t="shared" si="5"/>
        <v>17358.677999999865</v>
      </c>
      <c r="K19" s="38">
        <f t="shared" si="2"/>
        <v>185.09999999999854</v>
      </c>
      <c r="L19" s="36">
        <f>L9*E19/100</f>
        <v>152195.89413875996</v>
      </c>
      <c r="M19" s="36">
        <f>J19+L19+1</f>
        <v>169555.57213875983</v>
      </c>
      <c r="N19" s="22" t="e">
        <f t="shared" si="4"/>
        <v>#VALUE!</v>
      </c>
      <c r="O19" s="23">
        <f>J19/L9*100</f>
        <v>1.4439342448991299</v>
      </c>
      <c r="P19" s="20">
        <f>C7*O19/100</f>
        <v>1126.990678143771</v>
      </c>
    </row>
    <row r="20" spans="1:19" x14ac:dyDescent="0.25">
      <c r="A20" s="39">
        <v>11</v>
      </c>
      <c r="B20" s="39">
        <v>11</v>
      </c>
      <c r="C20" s="39" t="s">
        <v>42</v>
      </c>
      <c r="D20" s="39" t="s">
        <v>29</v>
      </c>
      <c r="E20" s="39">
        <v>7.75</v>
      </c>
      <c r="F20" s="39">
        <v>17945.099999999999</v>
      </c>
      <c r="G20" s="51">
        <f>F20+200</f>
        <v>18145.099999999999</v>
      </c>
      <c r="H20" s="26">
        <v>0</v>
      </c>
      <c r="I20" s="41">
        <f t="shared" si="0"/>
        <v>0</v>
      </c>
      <c r="J20" s="41">
        <f t="shared" si="5"/>
        <v>18756</v>
      </c>
      <c r="K20" s="42">
        <f t="shared" si="2"/>
        <v>200</v>
      </c>
      <c r="L20" s="40">
        <f>L9*E20/100</f>
        <v>93168.892541499998</v>
      </c>
      <c r="M20" s="40">
        <f t="shared" si="3"/>
        <v>111925.8925415</v>
      </c>
      <c r="N20" s="22" t="e">
        <f t="shared" si="4"/>
        <v>#VALUE!</v>
      </c>
      <c r="O20" s="23">
        <f>J20/L9*100</f>
        <v>1.5601666611552039</v>
      </c>
      <c r="P20" s="20">
        <f>C7*O20/100</f>
        <v>1217.7100790316365</v>
      </c>
    </row>
    <row r="21" spans="1:19" ht="15.75" customHeight="1" x14ac:dyDescent="0.25">
      <c r="A21" s="35">
        <v>12</v>
      </c>
      <c r="B21" s="35">
        <v>12</v>
      </c>
      <c r="C21" s="35" t="s">
        <v>43</v>
      </c>
      <c r="D21" s="57" t="s">
        <v>64</v>
      </c>
      <c r="E21" s="35">
        <v>7.51</v>
      </c>
      <c r="F21" s="35">
        <v>15067</v>
      </c>
      <c r="G21" s="50">
        <v>15144.8</v>
      </c>
      <c r="H21" s="58">
        <v>0</v>
      </c>
      <c r="I21" s="37">
        <f t="shared" si="0"/>
        <v>0</v>
      </c>
      <c r="J21" s="37">
        <f t="shared" si="5"/>
        <v>7296.0839999999316</v>
      </c>
      <c r="K21" s="38">
        <f t="shared" si="2"/>
        <v>77.799999999999272</v>
      </c>
      <c r="L21" s="36">
        <f>L9*E21/100</f>
        <v>90283.662320859992</v>
      </c>
      <c r="M21" s="36">
        <f t="shared" si="3"/>
        <v>97580.746320859922</v>
      </c>
      <c r="N21" s="22" t="e">
        <f t="shared" si="4"/>
        <v>#VALUE!</v>
      </c>
      <c r="O21" s="23">
        <f>J21/L9*100</f>
        <v>0.60690483118936855</v>
      </c>
      <c r="P21" s="20">
        <f>C7*O21/100</f>
        <v>473.68922074330214</v>
      </c>
      <c r="S21">
        <f>G21-F21</f>
        <v>77.799999999999272</v>
      </c>
    </row>
    <row r="22" spans="1:19" ht="15.75" customHeight="1" x14ac:dyDescent="0.25">
      <c r="A22" s="39">
        <v>13</v>
      </c>
      <c r="B22" s="35">
        <v>13</v>
      </c>
      <c r="C22" s="35" t="s">
        <v>45</v>
      </c>
      <c r="D22" s="35" t="s">
        <v>46</v>
      </c>
      <c r="E22" s="35">
        <v>4.45</v>
      </c>
      <c r="F22" s="35">
        <v>11028.2</v>
      </c>
      <c r="G22" s="50">
        <f>F22+193</f>
        <v>11221.2</v>
      </c>
      <c r="H22" s="58">
        <v>0</v>
      </c>
      <c r="I22" s="37">
        <f t="shared" si="0"/>
        <v>0</v>
      </c>
      <c r="J22" s="37">
        <f t="shared" si="5"/>
        <v>18099.54</v>
      </c>
      <c r="K22" s="38">
        <f t="shared" si="2"/>
        <v>193</v>
      </c>
      <c r="L22" s="36">
        <f>L9*E22/100</f>
        <v>53496.977007699992</v>
      </c>
      <c r="M22" s="36">
        <f t="shared" si="3"/>
        <v>71597.517007699993</v>
      </c>
      <c r="N22" s="22" t="e">
        <f t="shared" si="4"/>
        <v>#VALUE!</v>
      </c>
      <c r="O22" s="23">
        <f>J22/L9*100</f>
        <v>1.5055608280147716</v>
      </c>
      <c r="P22" s="20">
        <f>C7*O22/100</f>
        <v>1175.0902262655293</v>
      </c>
      <c r="S22">
        <f>G22-F22</f>
        <v>193</v>
      </c>
    </row>
    <row r="23" spans="1:19" ht="15.75" customHeight="1" x14ac:dyDescent="0.25">
      <c r="A23" s="18">
        <v>14</v>
      </c>
      <c r="B23" s="39">
        <v>14</v>
      </c>
      <c r="C23" s="39" t="s">
        <v>47</v>
      </c>
      <c r="D23" s="39" t="s">
        <v>48</v>
      </c>
      <c r="E23" s="39">
        <v>6.17</v>
      </c>
      <c r="F23" s="39">
        <v>20525.349999999999</v>
      </c>
      <c r="G23" s="51">
        <v>20525.400000000001</v>
      </c>
      <c r="H23" s="40">
        <v>0</v>
      </c>
      <c r="I23" s="41">
        <f t="shared" si="0"/>
        <v>0</v>
      </c>
      <c r="J23" s="41">
        <f t="shared" si="5"/>
        <v>4.6890000002729355</v>
      </c>
      <c r="K23" s="42">
        <f t="shared" si="2"/>
        <v>5.0000000002910383E-2</v>
      </c>
      <c r="L23" s="40">
        <f>L9*E23/100</f>
        <v>74174.460255619982</v>
      </c>
      <c r="M23" s="40">
        <f>J23+L23+1</f>
        <v>74180.149255620257</v>
      </c>
      <c r="N23" s="22" t="e">
        <f t="shared" si="4"/>
        <v>#VALUE!</v>
      </c>
      <c r="O23" s="23">
        <f>J23/L9*100</f>
        <v>3.9004166531150434E-4</v>
      </c>
      <c r="P23" s="20">
        <f>C7*O23/100</f>
        <v>0.30442751977562915</v>
      </c>
    </row>
    <row r="24" spans="1:19" ht="15.75" customHeight="1" x14ac:dyDescent="0.25">
      <c r="A24" s="39">
        <v>15</v>
      </c>
      <c r="B24" s="39">
        <v>15</v>
      </c>
      <c r="C24" s="39" t="s">
        <v>49</v>
      </c>
      <c r="D24" s="39" t="s">
        <v>25</v>
      </c>
      <c r="E24" s="39">
        <v>4.45</v>
      </c>
      <c r="F24" s="39">
        <v>30484.400000000001</v>
      </c>
      <c r="G24" s="51">
        <f>F24+288</f>
        <v>30772.400000000001</v>
      </c>
      <c r="H24" s="40">
        <v>0</v>
      </c>
      <c r="I24" s="41">
        <f t="shared" si="0"/>
        <v>0</v>
      </c>
      <c r="J24" s="41">
        <f t="shared" si="5"/>
        <v>27008.639999999999</v>
      </c>
      <c r="K24" s="42">
        <f t="shared" si="2"/>
        <v>288</v>
      </c>
      <c r="L24" s="40">
        <f>L9*E24/100</f>
        <v>53496.977007699992</v>
      </c>
      <c r="M24" s="40">
        <f t="shared" si="3"/>
        <v>80506.617007699999</v>
      </c>
      <c r="N24" s="22" t="e">
        <f t="shared" si="4"/>
        <v>#VALUE!</v>
      </c>
      <c r="O24" s="23">
        <f>J24/L9*100</f>
        <v>2.2466399920634936</v>
      </c>
      <c r="P24" s="20">
        <f>C7*O24/100</f>
        <v>1753.5025138055569</v>
      </c>
    </row>
    <row r="25" spans="1:19" ht="15.75" customHeight="1" x14ac:dyDescent="0.25">
      <c r="A25" s="39">
        <v>16</v>
      </c>
      <c r="B25" s="39">
        <v>16</v>
      </c>
      <c r="C25" s="39" t="s">
        <v>66</v>
      </c>
      <c r="D25" s="39" t="s">
        <v>41</v>
      </c>
      <c r="E25" s="39">
        <v>9.19</v>
      </c>
      <c r="F25" s="39">
        <v>11470.8</v>
      </c>
      <c r="G25" s="51">
        <f>F25+179</f>
        <v>11649.8</v>
      </c>
      <c r="H25" s="40">
        <v>0</v>
      </c>
      <c r="I25" s="41">
        <f t="shared" si="0"/>
        <v>0</v>
      </c>
      <c r="J25" s="41">
        <f t="shared" si="5"/>
        <v>16786.62</v>
      </c>
      <c r="K25" s="42">
        <f t="shared" si="2"/>
        <v>179</v>
      </c>
      <c r="L25" s="40">
        <f>L9*E25/100</f>
        <v>110480.27386533999</v>
      </c>
      <c r="M25" s="40">
        <f>J25+L25+1</f>
        <v>127267.89386533998</v>
      </c>
      <c r="N25" s="22" t="e">
        <f t="shared" si="4"/>
        <v>#VALUE!</v>
      </c>
      <c r="O25" s="23">
        <f>J25/L9*100</f>
        <v>1.3963491617339072</v>
      </c>
      <c r="P25" s="20">
        <f>C7*O25/100</f>
        <v>1089.8505207333146</v>
      </c>
    </row>
    <row r="26" spans="1:19" ht="15.75" customHeight="1" x14ac:dyDescent="0.25">
      <c r="A26" s="35">
        <v>17</v>
      </c>
      <c r="B26" s="39">
        <v>17</v>
      </c>
      <c r="C26" s="39" t="s">
        <v>51</v>
      </c>
      <c r="D26" s="39" t="s">
        <v>29</v>
      </c>
      <c r="E26" s="39">
        <v>1.18</v>
      </c>
      <c r="F26" s="39">
        <v>0</v>
      </c>
      <c r="G26" s="39">
        <v>0</v>
      </c>
      <c r="H26" s="40">
        <v>0</v>
      </c>
      <c r="I26" s="41">
        <f t="shared" si="0"/>
        <v>0</v>
      </c>
      <c r="J26" s="41">
        <f t="shared" si="5"/>
        <v>0</v>
      </c>
      <c r="K26" s="40"/>
      <c r="L26" s="40">
        <f>L9*E26/100</f>
        <v>14185.715251479996</v>
      </c>
      <c r="M26" s="40">
        <f t="shared" ref="M26:M33" si="6">J26+L26</f>
        <v>14185.715251479996</v>
      </c>
      <c r="N26" s="22" t="e">
        <f t="shared" si="4"/>
        <v>#VALUE!</v>
      </c>
      <c r="O26" s="23">
        <f>J26/L9*100</f>
        <v>0</v>
      </c>
      <c r="P26" s="20">
        <f>C7*O26/100</f>
        <v>0</v>
      </c>
    </row>
    <row r="27" spans="1:19" ht="15.75" customHeight="1" x14ac:dyDescent="0.25">
      <c r="A27" s="18">
        <v>18</v>
      </c>
      <c r="B27" s="35">
        <v>18</v>
      </c>
      <c r="C27" s="35" t="s">
        <v>52</v>
      </c>
      <c r="D27" s="35" t="s">
        <v>53</v>
      </c>
      <c r="E27" s="35">
        <v>1.18</v>
      </c>
      <c r="F27" s="35">
        <v>0</v>
      </c>
      <c r="G27" s="35">
        <v>0</v>
      </c>
      <c r="H27" s="36">
        <v>0</v>
      </c>
      <c r="I27" s="37">
        <f t="shared" si="0"/>
        <v>0</v>
      </c>
      <c r="J27" s="37">
        <f t="shared" si="5"/>
        <v>0</v>
      </c>
      <c r="K27" s="36"/>
      <c r="L27" s="36">
        <f>L26</f>
        <v>14185.715251479996</v>
      </c>
      <c r="M27" s="36">
        <f t="shared" si="6"/>
        <v>14185.715251479996</v>
      </c>
      <c r="N27" s="22" t="e">
        <f t="shared" si="4"/>
        <v>#VALUE!</v>
      </c>
      <c r="O27" s="23">
        <f>J27/L9*100</f>
        <v>0</v>
      </c>
      <c r="P27" s="20">
        <f>C7*O27/100</f>
        <v>0</v>
      </c>
    </row>
    <row r="28" spans="1:19" ht="15.75" customHeight="1" x14ac:dyDescent="0.25">
      <c r="A28" s="18">
        <v>19</v>
      </c>
      <c r="B28" s="35">
        <v>19</v>
      </c>
      <c r="C28" s="35" t="s">
        <v>54</v>
      </c>
      <c r="D28" s="35" t="s">
        <v>53</v>
      </c>
      <c r="E28" s="35">
        <v>1.18</v>
      </c>
      <c r="F28" s="35">
        <v>0</v>
      </c>
      <c r="G28" s="35">
        <v>0</v>
      </c>
      <c r="H28" s="36">
        <v>0</v>
      </c>
      <c r="I28" s="37">
        <f t="shared" si="0"/>
        <v>0</v>
      </c>
      <c r="J28" s="37">
        <f t="shared" si="5"/>
        <v>0</v>
      </c>
      <c r="K28" s="36"/>
      <c r="L28" s="36">
        <f>L27</f>
        <v>14185.715251479996</v>
      </c>
      <c r="M28" s="36">
        <f t="shared" si="6"/>
        <v>14185.715251479996</v>
      </c>
      <c r="N28" s="22" t="e">
        <f t="shared" si="4"/>
        <v>#VALUE!</v>
      </c>
      <c r="O28" s="23">
        <f>J28/L9*100</f>
        <v>0</v>
      </c>
      <c r="P28" s="20">
        <f>C7*O28/100</f>
        <v>0</v>
      </c>
    </row>
    <row r="29" spans="1:19" ht="15.75" customHeight="1" x14ac:dyDescent="0.25">
      <c r="A29" s="39">
        <v>20</v>
      </c>
      <c r="B29" s="39">
        <v>20</v>
      </c>
      <c r="C29" s="39" t="s">
        <v>55</v>
      </c>
      <c r="D29" s="39" t="s">
        <v>27</v>
      </c>
      <c r="E29" s="39">
        <v>1.18</v>
      </c>
      <c r="F29" s="39">
        <v>0</v>
      </c>
      <c r="G29" s="39">
        <v>0</v>
      </c>
      <c r="H29" s="40">
        <v>0</v>
      </c>
      <c r="I29" s="41">
        <f t="shared" si="0"/>
        <v>0</v>
      </c>
      <c r="J29" s="41">
        <f t="shared" si="5"/>
        <v>0</v>
      </c>
      <c r="K29" s="40"/>
      <c r="L29" s="40">
        <f>L28</f>
        <v>14185.715251479996</v>
      </c>
      <c r="M29" s="40">
        <f t="shared" si="6"/>
        <v>14185.715251479996</v>
      </c>
      <c r="N29" s="22" t="e">
        <f t="shared" si="4"/>
        <v>#VALUE!</v>
      </c>
      <c r="O29" s="23">
        <f>J29/L9*100</f>
        <v>0</v>
      </c>
      <c r="P29" s="20">
        <f>C7*O29/100</f>
        <v>0</v>
      </c>
    </row>
    <row r="30" spans="1:19" ht="15.75" customHeight="1" x14ac:dyDescent="0.25">
      <c r="A30" s="18">
        <v>21</v>
      </c>
      <c r="B30" s="18">
        <v>21</v>
      </c>
      <c r="C30" s="18" t="s">
        <v>56</v>
      </c>
      <c r="D30" s="44" t="s">
        <v>63</v>
      </c>
      <c r="E30" s="18">
        <v>1.18</v>
      </c>
      <c r="F30" s="18">
        <v>0</v>
      </c>
      <c r="G30" s="18">
        <v>0</v>
      </c>
      <c r="H30" s="19">
        <v>0</v>
      </c>
      <c r="I30" s="20">
        <f t="shared" si="0"/>
        <v>0</v>
      </c>
      <c r="J30" s="20">
        <f t="shared" si="5"/>
        <v>0</v>
      </c>
      <c r="K30" s="19"/>
      <c r="L30" s="19">
        <f t="shared" ref="L30:L33" si="7">L29</f>
        <v>14185.715251479996</v>
      </c>
      <c r="M30" s="19">
        <f t="shared" si="6"/>
        <v>14185.715251479996</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14185.715251479996</v>
      </c>
      <c r="M31" s="19">
        <f t="shared" si="6"/>
        <v>14185.715251479996</v>
      </c>
      <c r="N31" s="22" t="e">
        <f t="shared" si="4"/>
        <v>#VALUE!</v>
      </c>
      <c r="O31" s="23">
        <f>J31/L9*100</f>
        <v>0</v>
      </c>
      <c r="P31" s="20">
        <f>C7*O31/100</f>
        <v>0</v>
      </c>
    </row>
    <row r="32" spans="1:19" ht="15.75" customHeight="1" x14ac:dyDescent="0.25">
      <c r="A32" s="35">
        <v>23</v>
      </c>
      <c r="B32" s="39">
        <v>23</v>
      </c>
      <c r="C32" s="39" t="s">
        <v>58</v>
      </c>
      <c r="D32" s="39" t="s">
        <v>59</v>
      </c>
      <c r="E32" s="39">
        <v>1.18</v>
      </c>
      <c r="F32" s="39">
        <v>0</v>
      </c>
      <c r="G32" s="39">
        <v>0</v>
      </c>
      <c r="H32" s="40">
        <v>0</v>
      </c>
      <c r="I32" s="41">
        <f t="shared" si="0"/>
        <v>0</v>
      </c>
      <c r="J32" s="41">
        <f t="shared" si="5"/>
        <v>0</v>
      </c>
      <c r="K32" s="40"/>
      <c r="L32" s="40">
        <f t="shared" si="7"/>
        <v>14185.715251479996</v>
      </c>
      <c r="M32" s="40">
        <f t="shared" si="6"/>
        <v>14185.715251479996</v>
      </c>
      <c r="N32" s="22" t="e">
        <f t="shared" si="4"/>
        <v>#VALUE!</v>
      </c>
      <c r="O32" s="23">
        <f>J32/L9*100</f>
        <v>0</v>
      </c>
      <c r="P32" s="20">
        <f>C7*O32/100</f>
        <v>0</v>
      </c>
    </row>
    <row r="33" spans="1:16" x14ac:dyDescent="0.25">
      <c r="A33" s="39">
        <v>24</v>
      </c>
      <c r="B33" s="35">
        <v>24</v>
      </c>
      <c r="C33" s="35" t="s">
        <v>60</v>
      </c>
      <c r="D33" s="57" t="s">
        <v>64</v>
      </c>
      <c r="E33" s="35">
        <v>1.18</v>
      </c>
      <c r="F33" s="35">
        <v>0</v>
      </c>
      <c r="G33" s="35">
        <v>0</v>
      </c>
      <c r="H33" s="36">
        <v>0</v>
      </c>
      <c r="I33" s="37">
        <f t="shared" si="0"/>
        <v>0</v>
      </c>
      <c r="J33" s="37">
        <f t="shared" si="5"/>
        <v>0</v>
      </c>
      <c r="K33" s="36"/>
      <c r="L33" s="36">
        <f t="shared" si="7"/>
        <v>14185.715251479996</v>
      </c>
      <c r="M33" s="36">
        <f t="shared" si="6"/>
        <v>14185.715251479996</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345357.04140000022</v>
      </c>
      <c r="K34" s="29">
        <f>SUM(K10:K33)</f>
        <v>3682.6300000000028</v>
      </c>
      <c r="L34" s="29">
        <f>SUM(L10:L33)</f>
        <v>1202059.0406741397</v>
      </c>
      <c r="M34" s="29">
        <f>SUM(M10:M33)</f>
        <v>1547434.08207414</v>
      </c>
      <c r="N34" s="5"/>
      <c r="O34" s="2" t="e">
        <f t="shared" ref="O34:O35" si="9">J34/C32*100</f>
        <v>#VALUE!</v>
      </c>
    </row>
    <row r="35" spans="1:16" ht="30" hidden="1" x14ac:dyDescent="0.25">
      <c r="A35" s="31" t="s">
        <v>61</v>
      </c>
      <c r="C35" s="65" t="s">
        <v>62</v>
      </c>
      <c r="D35" s="63"/>
      <c r="E35" s="63"/>
      <c r="F35" s="63"/>
      <c r="G35" s="63"/>
      <c r="H35" s="63"/>
      <c r="I35" s="63"/>
      <c r="J35" s="63"/>
      <c r="K35" s="63"/>
      <c r="L35" s="63"/>
      <c r="M35" s="66"/>
      <c r="N35" s="31"/>
      <c r="O35" s="2" t="e">
        <f t="shared" si="9"/>
        <v>#VALUE!</v>
      </c>
    </row>
    <row r="36" spans="1:16" ht="15.75" x14ac:dyDescent="0.25">
      <c r="B36" s="60" t="s">
        <v>68</v>
      </c>
      <c r="C36" s="60"/>
      <c r="D36" s="60"/>
      <c r="E36" s="60"/>
      <c r="F36" s="60"/>
      <c r="G36" s="60"/>
      <c r="H36" s="60"/>
      <c r="I36" s="60"/>
      <c r="J36" s="60"/>
      <c r="K36" s="60"/>
      <c r="L36" s="60"/>
      <c r="M36" s="61">
        <f>+M28+M27</f>
        <v>28371.430502959993</v>
      </c>
      <c r="O36" s="2"/>
    </row>
    <row r="37" spans="1:16" ht="37.5" hidden="1" customHeight="1" x14ac:dyDescent="0.25">
      <c r="H37" s="5"/>
      <c r="K37" s="33">
        <f>J34+L34</f>
        <v>1547416.08207414</v>
      </c>
      <c r="L37" s="33"/>
      <c r="O37" s="2"/>
    </row>
    <row r="38" spans="1:16" ht="0.75" customHeight="1" x14ac:dyDescent="0.25">
      <c r="B38" s="67" t="s">
        <v>65</v>
      </c>
      <c r="C38" s="68"/>
      <c r="D38" s="68"/>
      <c r="E38" s="68"/>
      <c r="F38" s="68"/>
      <c r="G38" s="68"/>
      <c r="H38" s="68"/>
      <c r="I38" s="68"/>
      <c r="J38" s="68"/>
      <c r="K38" s="68"/>
      <c r="L38" s="68"/>
      <c r="M38" s="68"/>
      <c r="O38" s="2"/>
    </row>
    <row r="39" spans="1:16" ht="33.75" hidden="1" customHeight="1" x14ac:dyDescent="0.25">
      <c r="B39" s="68"/>
      <c r="C39" s="68"/>
      <c r="D39" s="68"/>
      <c r="E39" s="68"/>
      <c r="F39" s="68"/>
      <c r="G39" s="68"/>
      <c r="H39" s="68"/>
      <c r="I39" s="68"/>
      <c r="J39" s="68"/>
      <c r="K39" s="68"/>
      <c r="L39" s="68"/>
      <c r="M39" s="68"/>
      <c r="O39" s="2"/>
    </row>
    <row r="40" spans="1:16" ht="15.75" hidden="1" customHeight="1" x14ac:dyDescent="0.25">
      <c r="B40" s="68"/>
      <c r="C40" s="68"/>
      <c r="D40" s="68"/>
      <c r="E40" s="68"/>
      <c r="F40" s="68"/>
      <c r="G40" s="68"/>
      <c r="H40" s="68"/>
      <c r="I40" s="68"/>
      <c r="J40" s="68"/>
      <c r="K40" s="68"/>
      <c r="L40" s="68"/>
      <c r="M40" s="68"/>
      <c r="O40" s="2"/>
    </row>
    <row r="41" spans="1:16" ht="15.75" hidden="1" customHeight="1" x14ac:dyDescent="0.25">
      <c r="B41" s="68"/>
      <c r="C41" s="68"/>
      <c r="D41" s="68"/>
      <c r="E41" s="68"/>
      <c r="F41" s="68"/>
      <c r="G41" s="68"/>
      <c r="H41" s="68"/>
      <c r="I41" s="68"/>
      <c r="J41" s="68"/>
      <c r="K41" s="68"/>
      <c r="L41" s="68"/>
      <c r="M41" s="68"/>
      <c r="O41" s="2"/>
    </row>
    <row r="42" spans="1:16" ht="64.5" hidden="1" customHeight="1" x14ac:dyDescent="0.25">
      <c r="B42" s="68"/>
      <c r="C42" s="68"/>
      <c r="D42" s="68"/>
      <c r="E42" s="68"/>
      <c r="F42" s="68"/>
      <c r="G42" s="68"/>
      <c r="H42" s="68"/>
      <c r="I42" s="68"/>
      <c r="J42" s="68"/>
      <c r="K42" s="68"/>
      <c r="L42" s="68"/>
      <c r="M42" s="68"/>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62" t="s">
        <v>0</v>
      </c>
      <c r="B1" s="63"/>
      <c r="C1" s="63"/>
      <c r="D1" s="63"/>
      <c r="E1" s="63"/>
      <c r="F1" s="63"/>
      <c r="G1" s="63"/>
      <c r="H1" s="63"/>
      <c r="I1" s="63"/>
      <c r="J1" s="63"/>
      <c r="K1" s="63"/>
      <c r="L1" s="63"/>
      <c r="M1" s="64"/>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65" t="s">
        <v>62</v>
      </c>
      <c r="D35" s="63"/>
      <c r="E35" s="63"/>
      <c r="F35" s="63"/>
      <c r="G35" s="63"/>
      <c r="H35" s="63"/>
      <c r="I35" s="63"/>
      <c r="J35" s="63"/>
      <c r="K35" s="63"/>
      <c r="L35" s="63"/>
      <c r="M35" s="66"/>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2025-05-29T13:49:51Z</cp:lastPrinted>
  <dcterms:created xsi:type="dcterms:W3CDTF">2021-11-02T15:21:56Z</dcterms:created>
  <dcterms:modified xsi:type="dcterms:W3CDTF">2026-03-05T01:22:46Z</dcterms:modified>
</cp:coreProperties>
</file>