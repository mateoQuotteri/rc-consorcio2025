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Octubre\"/>
    </mc:Choice>
  </mc:AlternateContent>
  <xr:revisionPtr revIDLastSave="0" documentId="13_ncr:1_{A2FCD106-40BC-4397-97DD-1576262F8F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'!$A$1:$M$33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H6" i="1"/>
  <c r="H9" i="1"/>
  <c r="H11" i="1"/>
  <c r="H12" i="1"/>
  <c r="I6" i="4"/>
  <c r="I7" i="4"/>
  <c r="I8" i="4"/>
  <c r="I9" i="4"/>
  <c r="I10" i="4"/>
  <c r="I11" i="4"/>
  <c r="I12" i="4"/>
  <c r="I5" i="4"/>
  <c r="G5" i="4"/>
  <c r="G6" i="4"/>
  <c r="G7" i="4"/>
  <c r="G8" i="4"/>
  <c r="G9" i="4"/>
  <c r="G10" i="4"/>
  <c r="G11" i="4"/>
  <c r="G12" i="4"/>
  <c r="E13" i="4"/>
  <c r="C54" i="3"/>
  <c r="C33" i="3"/>
  <c r="G13" i="4" l="1"/>
  <c r="F9" i="1"/>
  <c r="F12" i="1" l="1"/>
  <c r="C24" i="3" l="1"/>
  <c r="F6" i="1" l="1"/>
  <c r="F11" i="1" l="1"/>
  <c r="G1" i="1" l="1"/>
  <c r="J13" i="1" l="1"/>
  <c r="K5" i="1"/>
  <c r="C29" i="3" l="1"/>
  <c r="C22" i="3" l="1"/>
  <c r="C30" i="3" s="1"/>
  <c r="C37" i="3"/>
  <c r="C46" i="3" s="1"/>
  <c r="A2" i="1" l="1"/>
  <c r="J6" i="4" l="1"/>
  <c r="J7" i="4"/>
  <c r="J8" i="4"/>
  <c r="J9" i="4"/>
  <c r="J10" i="4"/>
  <c r="J11" i="4"/>
  <c r="J12" i="4"/>
  <c r="I13" i="4" l="1"/>
  <c r="J5" i="4"/>
  <c r="J13" i="4" s="1"/>
  <c r="C47" i="3" l="1"/>
  <c r="G7" i="1" l="1"/>
  <c r="H7" i="1" s="1"/>
  <c r="G8" i="1"/>
  <c r="H8" i="1" s="1"/>
  <c r="G9" i="1"/>
  <c r="G10" i="1"/>
  <c r="H10" i="1" s="1"/>
  <c r="G5" i="1"/>
  <c r="H5" i="1" s="1"/>
  <c r="G11" i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L6" i="1" s="1"/>
  <c r="M6" i="1" s="1"/>
  <c r="G12" i="1" l="1"/>
  <c r="L12" i="1" s="1"/>
  <c r="M12" i="1" s="1"/>
  <c r="E13" i="1"/>
  <c r="K13" i="1"/>
  <c r="L13" i="1" l="1"/>
  <c r="C43" i="3"/>
  <c r="C48" i="3" s="1"/>
  <c r="H13" i="4" l="1"/>
  <c r="D13" i="4"/>
  <c r="F13" i="4" l="1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<sst xmlns="http://schemas.openxmlformats.org/spreadsheetml/2006/main" count="133" uniqueCount="94">
  <si>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</si>
  <si>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</si>
  <si>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</si>
  <si>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</si>
  <si>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</si>
  <si>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</si>
  <si>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</si>
  <si>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</si>
  <si>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</si>
  <si>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</si>
  <si>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</si>
  <si>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</si>
  <si>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</si>
  <si>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</si>
  <si>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</si>
  <si>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</si>
  <si>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</si>
  <si>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</si>
  <si>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</si>
  <si>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</si>
  <si>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</si>
  <si>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</si>
  <si>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</si>
  <si>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</si>
  <si>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</si>
  <si>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</si>
  <si>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</si>
  <si>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</si>
  <si>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</si>
  <si>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</si>
  <si>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</si>
  <si>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</si>
  <si>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</si>
  <si>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</si>
  <si>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</si>
  <si>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</si>
  <si>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</si>
  <si>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</si>
  <si>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</si>
  <si>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</si>
  <si>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</si>
  <si>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</si>
  <si>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</si>
  <si>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</si>
  <si>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</si>
  <si>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</si>
  <si>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</si>
  <si>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</si>
  <si>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</si>
  <si>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</si>
  <si>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</si>
  <si>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</si>
  <si>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</si>
  <si>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</si>
  <si>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</si>
  <si>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</si>
  <si>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</si>
  <si>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</si>
  <si>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</si>
  <si>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</si>
  <si>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</si>
  <si>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</si>
  <si>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Seguro Sra. Monica</t>
  </si>
  <si>
    <t>Sueldo Sra. Monica</t>
  </si>
  <si>
    <t>Honorarios administracion</t>
  </si>
  <si>
    <t>Pago efectivo</t>
  </si>
  <si>
    <t>Egresos por gastos del mes ordinarios</t>
  </si>
  <si>
    <t>Punitorios mal cobrados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</si>
  <si>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</si>
  <si>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</si>
  <si>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</si>
  <si>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</si>
  <si>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</si>
  <si>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</si>
  <si>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</si>
  <si>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No llego factura</t>
  </si>
  <si>
    <t>Mauro</t>
  </si>
  <si>
    <t>Articulos de limpieza</t>
  </si>
  <si>
    <t>LIQUIDACIÓN EXPENSAS OCTUBRE 2025</t>
  </si>
  <si>
    <t>Período OCTUBRE 2025</t>
  </si>
  <si>
    <t>Vto. 14/11</t>
  </si>
  <si>
    <t>Compra de bomba y colocacion en UF PA 1</t>
  </si>
  <si>
    <t>Gasto particular PA 1 - Arreglo bacha</t>
  </si>
  <si>
    <t>Ferreteria V&amp;A - Compra de manguera</t>
  </si>
  <si>
    <t>Egresos extraordinarios</t>
  </si>
  <si>
    <t>Recarga anual de matafuegos</t>
  </si>
  <si>
    <t>AUMENTADOS EN 0ct 2025</t>
  </si>
  <si>
    <t>Estefania</t>
  </si>
  <si>
    <t>Expensas extraordinarias jun 2024</t>
  </si>
  <si>
    <t>Expensas extr.</t>
  </si>
  <si>
    <t>Intereses (3% c/ mes)</t>
  </si>
  <si>
    <t>Liquidación de mes</t>
  </si>
  <si>
    <t>Gasto Particular</t>
  </si>
  <si>
    <t>LAS EXPENSAS SE TRANSFIEREN A UNA CUENTA DE MERCADO PAGO: ALIAS: carolina.canciani CVU: 0000003100080478547818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</si>
</sst>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right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opLeftCell="A25" workbookViewId="0">
      <selection activeCell="C30" sqref="C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61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78</v>
      </c>
      <c r="C7" s="23" t="s">
        <v>80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84"/>
    </row>
    <row r="17" spans="1:8" ht="14.25" customHeight="1" x14ac:dyDescent="0.25">
      <c r="A17" s="46" t="s">
        <v>49</v>
      </c>
      <c r="B17" s="54" t="s">
        <v>74</v>
      </c>
      <c r="C17" s="51">
        <v>41718</v>
      </c>
      <c r="D17" s="5"/>
      <c r="E17" s="12"/>
    </row>
    <row r="18" spans="1:8" x14ac:dyDescent="0.25">
      <c r="A18" s="46" t="s">
        <v>62</v>
      </c>
      <c r="B18" s="55"/>
      <c r="C18" s="51">
        <v>4519.75</v>
      </c>
      <c r="D18" s="38"/>
      <c r="E18" s="12"/>
    </row>
    <row r="19" spans="1:8" x14ac:dyDescent="0.25">
      <c r="A19" s="46" t="s">
        <v>42</v>
      </c>
      <c r="B19" s="56" t="s">
        <v>65</v>
      </c>
      <c r="C19" s="51">
        <v>16346.58</v>
      </c>
      <c r="D19" s="5"/>
      <c r="E19" s="12"/>
      <c r="F19" s="14"/>
      <c r="H19" s="86"/>
    </row>
    <row r="20" spans="1:8" x14ac:dyDescent="0.25">
      <c r="A20" s="46" t="s">
        <v>31</v>
      </c>
      <c r="B20" s="56" t="s">
        <v>75</v>
      </c>
      <c r="C20" s="100">
        <v>168796.55</v>
      </c>
      <c r="D20" s="38"/>
      <c r="F20" s="12"/>
      <c r="H20" s="86"/>
    </row>
    <row r="21" spans="1:8" x14ac:dyDescent="0.25">
      <c r="A21" s="46" t="s">
        <v>32</v>
      </c>
      <c r="B21" s="56" t="s">
        <v>64</v>
      </c>
      <c r="C21" s="51">
        <v>53465</v>
      </c>
      <c r="D21" s="5"/>
      <c r="E21" s="12"/>
      <c r="H21" t="s">
        <v>86</v>
      </c>
    </row>
    <row r="22" spans="1:8" x14ac:dyDescent="0.25">
      <c r="A22" s="57"/>
      <c r="B22" s="58"/>
      <c r="C22" s="42">
        <f>SUM(C17:C21)</f>
        <v>284845.88</v>
      </c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63</v>
      </c>
      <c r="B24" s="59" t="s">
        <v>79</v>
      </c>
      <c r="C24" s="51">
        <f>68460+68460*5%</f>
        <v>71883</v>
      </c>
      <c r="F24" s="18"/>
    </row>
    <row r="25" spans="1:8" ht="15.75" x14ac:dyDescent="0.25">
      <c r="A25" s="46" t="s">
        <v>85</v>
      </c>
      <c r="B25" s="59"/>
      <c r="C25" s="51">
        <v>60899.97</v>
      </c>
      <c r="F25" s="18"/>
    </row>
    <row r="26" spans="1:8" ht="15.75" x14ac:dyDescent="0.25">
      <c r="A26" s="46" t="s">
        <v>83</v>
      </c>
      <c r="B26" s="59"/>
      <c r="C26" s="51">
        <v>15000</v>
      </c>
      <c r="F26" s="18"/>
    </row>
    <row r="27" spans="1:8" ht="15.75" x14ac:dyDescent="0.25">
      <c r="A27" s="46" t="s">
        <v>77</v>
      </c>
      <c r="B27" s="59"/>
      <c r="C27" s="51"/>
      <c r="F27" s="18"/>
    </row>
    <row r="28" spans="1:8" ht="15.75" x14ac:dyDescent="0.25">
      <c r="A28" s="46" t="s">
        <v>69</v>
      </c>
      <c r="B28" s="56"/>
      <c r="C28" s="52"/>
      <c r="D28" s="5"/>
      <c r="E28" s="12"/>
      <c r="F28" s="18"/>
    </row>
    <row r="29" spans="1:8" ht="15.75" x14ac:dyDescent="0.25">
      <c r="A29" s="57"/>
      <c r="B29" s="58"/>
      <c r="C29" s="42">
        <f>SUM(C23:C28)</f>
        <v>147782.97</v>
      </c>
      <c r="F29" s="18"/>
    </row>
    <row r="30" spans="1:8" ht="15.75" x14ac:dyDescent="0.25">
      <c r="A30" s="49" t="s">
        <v>68</v>
      </c>
      <c r="B30" s="49"/>
      <c r="C30" s="60">
        <f>+C29+C22</f>
        <v>432628.85</v>
      </c>
      <c r="F30" s="18"/>
    </row>
    <row r="31" spans="1:8" ht="15.75" x14ac:dyDescent="0.25">
      <c r="C31" s="43"/>
      <c r="F31" s="18"/>
    </row>
    <row r="32" spans="1:8" ht="15.75" x14ac:dyDescent="0.25">
      <c r="A32" s="19" t="s">
        <v>43</v>
      </c>
      <c r="C32" s="43"/>
      <c r="F32" s="18"/>
    </row>
    <row r="33" spans="1:6" ht="15.75" x14ac:dyDescent="0.25">
      <c r="A33" s="104" t="s">
        <v>81</v>
      </c>
      <c r="B33" s="105"/>
      <c r="C33" s="101">
        <f>68000+40000</f>
        <v>108000</v>
      </c>
      <c r="F33" s="18"/>
    </row>
    <row r="34" spans="1:6" ht="15.75" x14ac:dyDescent="0.25">
      <c r="A34" s="46"/>
      <c r="B34" s="46"/>
      <c r="C34" s="52"/>
      <c r="F34" s="18"/>
    </row>
    <row r="35" spans="1:6" ht="15.75" x14ac:dyDescent="0.25">
      <c r="A35" s="46"/>
      <c r="B35" s="46"/>
      <c r="C35" s="52"/>
      <c r="F35" s="18"/>
    </row>
    <row r="36" spans="1:6" ht="15.75" x14ac:dyDescent="0.25">
      <c r="C36" s="44"/>
      <c r="F36" s="18"/>
    </row>
    <row r="37" spans="1:6" x14ac:dyDescent="0.25">
      <c r="A37" s="19" t="s">
        <v>39</v>
      </c>
      <c r="B37" s="19"/>
      <c r="C37" s="20">
        <f>+C33+C34+C35+C36</f>
        <v>108000</v>
      </c>
      <c r="E37" s="12"/>
    </row>
    <row r="39" spans="1:6" x14ac:dyDescent="0.25">
      <c r="A39" s="29" t="s">
        <v>14</v>
      </c>
      <c r="B39" s="29"/>
      <c r="C39" s="30">
        <f>+C37+C30</f>
        <v>540628.85</v>
      </c>
    </row>
    <row r="41" spans="1:6" x14ac:dyDescent="0.25">
      <c r="A41" s="5" t="s">
        <v>34</v>
      </c>
    </row>
    <row r="42" spans="1:6" x14ac:dyDescent="0.25">
      <c r="A42" s="31" t="s">
        <v>9</v>
      </c>
      <c r="B42" s="28"/>
      <c r="C42" s="33">
        <v>283181.4519533891</v>
      </c>
      <c r="D42" s="6"/>
      <c r="E42" s="6"/>
    </row>
    <row r="43" spans="1:6" x14ac:dyDescent="0.25">
      <c r="A43" t="s">
        <v>8</v>
      </c>
      <c r="C43" s="27">
        <f>'prorrateo '!F13</f>
        <v>344315.93367</v>
      </c>
      <c r="D43" s="12"/>
      <c r="E43" s="12"/>
    </row>
    <row r="44" spans="1:6" x14ac:dyDescent="0.25">
      <c r="A44" t="s">
        <v>67</v>
      </c>
      <c r="C44" s="61"/>
      <c r="D44" s="12"/>
      <c r="E44" s="12"/>
    </row>
    <row r="45" spans="1:6" x14ac:dyDescent="0.25">
      <c r="A45" t="s">
        <v>82</v>
      </c>
      <c r="C45" s="61">
        <v>-20000</v>
      </c>
      <c r="D45" s="12"/>
      <c r="E45" s="12"/>
    </row>
    <row r="46" spans="1:6" x14ac:dyDescent="0.25">
      <c r="A46" t="s">
        <v>84</v>
      </c>
      <c r="C46" s="61">
        <f>-C37</f>
        <v>-108000</v>
      </c>
      <c r="D46" s="12"/>
      <c r="E46" s="12"/>
    </row>
    <row r="47" spans="1:6" x14ac:dyDescent="0.25">
      <c r="A47" t="s">
        <v>66</v>
      </c>
      <c r="C47" s="61">
        <f>-(C30-C28)</f>
        <v>-432628.85</v>
      </c>
    </row>
    <row r="48" spans="1:6" x14ac:dyDescent="0.25">
      <c r="A48" s="31" t="s">
        <v>15</v>
      </c>
      <c r="B48" s="28"/>
      <c r="C48" s="33">
        <f>SUM(C42:C47)</f>
        <v>66868.53562338918</v>
      </c>
      <c r="D48" s="6"/>
    </row>
    <row r="49" spans="1:6" x14ac:dyDescent="0.25">
      <c r="A49" s="15"/>
      <c r="B49" s="14"/>
      <c r="C49" s="16"/>
    </row>
    <row r="50" spans="1:6" x14ac:dyDescent="0.25">
      <c r="A50" s="15"/>
      <c r="B50" s="14"/>
      <c r="C50" s="16"/>
      <c r="F50" s="62"/>
    </row>
    <row r="51" spans="1:6" x14ac:dyDescent="0.25">
      <c r="A51" s="15"/>
      <c r="B51" s="14"/>
      <c r="C51" s="16"/>
    </row>
    <row r="52" spans="1:6" ht="15.75" x14ac:dyDescent="0.25">
      <c r="A52" s="45" t="s">
        <v>60</v>
      </c>
      <c r="B52" s="64"/>
      <c r="C52" s="65">
        <v>109834.99657000002</v>
      </c>
    </row>
    <row r="53" spans="1:6" x14ac:dyDescent="0.25">
      <c r="A53" s="46"/>
      <c r="B53" s="46"/>
      <c r="C53" s="50"/>
    </row>
    <row r="54" spans="1:6" x14ac:dyDescent="0.25">
      <c r="A54" s="49" t="s">
        <v>4</v>
      </c>
      <c r="B54" s="47"/>
      <c r="C54" s="48">
        <f>SUM(C52:C53)</f>
        <v>109834.99657000002</v>
      </c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  <row r="58" spans="1:6" x14ac:dyDescent="0.25">
      <c r="A58" s="14"/>
      <c r="B58" s="14"/>
      <c r="C58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L10" sqref="L10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2" width="12.42578125" customWidth="1"/>
    <col min="13" max="13" width="12.42578125" bestFit="1" customWidth="1"/>
    <col min="15" max="15" width="11.42578125" style="17"/>
  </cols>
  <sheetData>
    <row r="1" spans="1:17" ht="15.75" thickBot="1" x14ac:dyDescent="0.3">
      <c r="A1" s="40" t="s">
        <v>47</v>
      </c>
      <c r="E1" s="103">
        <v>432628.85</v>
      </c>
      <c r="G1" t="str">
        <f>'detalle y gastos'!C7</f>
        <v>Vto. 14/11</v>
      </c>
    </row>
    <row r="2" spans="1:17" x14ac:dyDescent="0.25">
      <c r="A2" s="71" t="str">
        <f>'detalle y gastos'!B7</f>
        <v>LIQUIDACIÓN EXPENSAS OCTUBRE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6"/>
      <c r="B3" s="113" t="s">
        <v>1</v>
      </c>
      <c r="C3" s="110" t="s">
        <v>2</v>
      </c>
      <c r="D3" s="111" t="s">
        <v>54</v>
      </c>
      <c r="E3" s="113" t="s">
        <v>16</v>
      </c>
      <c r="F3" s="108" t="s">
        <v>3</v>
      </c>
      <c r="G3" s="110" t="s">
        <v>52</v>
      </c>
      <c r="H3" s="108" t="s">
        <v>44</v>
      </c>
      <c r="I3" s="110" t="s">
        <v>6</v>
      </c>
      <c r="J3" s="112" t="s">
        <v>92</v>
      </c>
      <c r="K3" s="106" t="s">
        <v>70</v>
      </c>
      <c r="L3" s="106" t="s">
        <v>71</v>
      </c>
      <c r="M3" s="106" t="s">
        <v>72</v>
      </c>
    </row>
    <row r="4" spans="1:17" x14ac:dyDescent="0.25">
      <c r="A4" s="117"/>
      <c r="B4" s="114"/>
      <c r="C4" s="110"/>
      <c r="D4" s="111"/>
      <c r="E4" s="114"/>
      <c r="F4" s="109"/>
      <c r="G4" s="110"/>
      <c r="H4" s="109"/>
      <c r="I4" s="110"/>
      <c r="J4" s="112"/>
      <c r="K4" s="107"/>
      <c r="L4" s="107"/>
      <c r="M4" s="107"/>
    </row>
    <row r="5" spans="1:17" x14ac:dyDescent="0.25">
      <c r="A5" s="68">
        <v>1</v>
      </c>
      <c r="B5" s="11" t="s">
        <v>18</v>
      </c>
      <c r="C5" s="41" t="s">
        <v>26</v>
      </c>
      <c r="D5" s="41" t="s">
        <v>58</v>
      </c>
      <c r="E5" s="37">
        <v>47997.627809999998</v>
      </c>
      <c r="F5" s="85">
        <v>48000</v>
      </c>
      <c r="G5" s="37">
        <f>E5-F5</f>
        <v>-2.372190000001865</v>
      </c>
      <c r="H5" s="37">
        <f>IF(G5&gt;0,G5*3%,0)</f>
        <v>0</v>
      </c>
      <c r="I5" s="74">
        <v>0.121</v>
      </c>
      <c r="J5" s="63"/>
      <c r="K5" s="75">
        <f>E1*I5</f>
        <v>52348.090849999993</v>
      </c>
      <c r="L5" s="75">
        <f>E5-F5+H5+K5+J5</f>
        <v>52345.718659999991</v>
      </c>
      <c r="M5" s="76">
        <f>L5+L5*4%</f>
        <v>54439.547406399994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59</v>
      </c>
      <c r="E6" s="37">
        <v>48394.30242</v>
      </c>
      <c r="F6" s="85">
        <f t="shared" ref="F6:F11" si="0">E6</f>
        <v>48394.30242</v>
      </c>
      <c r="G6" s="37">
        <f t="shared" ref="G6:G12" si="1">E6-F6</f>
        <v>0</v>
      </c>
      <c r="H6" s="37">
        <f t="shared" ref="H6:H12" si="2">IF(G6&gt;0,G6*3%,0)</f>
        <v>0</v>
      </c>
      <c r="I6" s="74">
        <v>0.122</v>
      </c>
      <c r="J6" s="63"/>
      <c r="K6" s="75">
        <f>E1*I6</f>
        <v>52780.719699999994</v>
      </c>
      <c r="L6" s="75">
        <f t="shared" ref="L6:L12" si="3">E6-F6+H6+K6+J6</f>
        <v>52780.719699999994</v>
      </c>
      <c r="M6" s="76">
        <f t="shared" ref="M6:M12" si="4">L6+L6*4%</f>
        <v>54891.948487999995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73</v>
      </c>
      <c r="E7" s="37">
        <v>46410.929369999998</v>
      </c>
      <c r="F7" s="85">
        <f t="shared" si="0"/>
        <v>46410.929369999998</v>
      </c>
      <c r="G7" s="37">
        <f t="shared" si="1"/>
        <v>0</v>
      </c>
      <c r="H7" s="37">
        <f t="shared" si="2"/>
        <v>0</v>
      </c>
      <c r="I7" s="74">
        <v>0.11700000000000001</v>
      </c>
      <c r="J7" s="63"/>
      <c r="K7" s="75">
        <f>E1*I7</f>
        <v>50617.575449999997</v>
      </c>
      <c r="L7" s="75">
        <f t="shared" si="3"/>
        <v>50617.575449999997</v>
      </c>
      <c r="M7" s="76">
        <f t="shared" si="4"/>
        <v>52642.278467999997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76</v>
      </c>
      <c r="E8" s="85">
        <v>46410.929369999998</v>
      </c>
      <c r="F8" s="85">
        <f>E8</f>
        <v>46410.929369999998</v>
      </c>
      <c r="G8" s="37">
        <f t="shared" si="1"/>
        <v>0</v>
      </c>
      <c r="H8" s="37">
        <f t="shared" si="2"/>
        <v>0</v>
      </c>
      <c r="I8" s="74">
        <v>0.11700000000000001</v>
      </c>
      <c r="J8" s="63"/>
      <c r="K8" s="75">
        <f>E1*I8</f>
        <v>50617.575449999997</v>
      </c>
      <c r="L8" s="75">
        <f t="shared" si="3"/>
        <v>50617.575449999997</v>
      </c>
      <c r="M8" s="76">
        <f t="shared" si="4"/>
        <v>52642.278467999997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57</v>
      </c>
      <c r="E9" s="37">
        <v>54344.421570000006</v>
      </c>
      <c r="F9" s="85">
        <f>E9</f>
        <v>54344.421570000006</v>
      </c>
      <c r="G9" s="37">
        <f t="shared" si="1"/>
        <v>0</v>
      </c>
      <c r="H9" s="37">
        <f t="shared" si="2"/>
        <v>0</v>
      </c>
      <c r="I9" s="74">
        <v>0.13700000000000001</v>
      </c>
      <c r="J9" s="63"/>
      <c r="K9" s="75">
        <f>E1*I9</f>
        <v>59270.152450000001</v>
      </c>
      <c r="L9" s="75">
        <f t="shared" si="3"/>
        <v>59270.152450000001</v>
      </c>
      <c r="M9" s="76">
        <f t="shared" si="4"/>
        <v>61640.958548000002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87</v>
      </c>
      <c r="E10" s="37">
        <v>50560.728600000002</v>
      </c>
      <c r="F10" s="85"/>
      <c r="G10" s="37">
        <f t="shared" si="1"/>
        <v>50560.728600000002</v>
      </c>
      <c r="H10" s="37">
        <f t="shared" si="2"/>
        <v>1516.821858</v>
      </c>
      <c r="I10" s="74">
        <v>0.13200000000000001</v>
      </c>
      <c r="J10" s="63">
        <v>20000</v>
      </c>
      <c r="K10" s="75">
        <f>E1*I10</f>
        <v>57107.008199999997</v>
      </c>
      <c r="L10" s="75">
        <f t="shared" si="3"/>
        <v>129184.55865799999</v>
      </c>
      <c r="M10" s="76">
        <f t="shared" si="4"/>
        <v>134351.94100431999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56</v>
      </c>
      <c r="E11" s="37">
        <v>50377.675470000002</v>
      </c>
      <c r="F11" s="85">
        <f t="shared" si="0"/>
        <v>50377.675470000002</v>
      </c>
      <c r="G11" s="37">
        <f t="shared" si="1"/>
        <v>0</v>
      </c>
      <c r="H11" s="37">
        <f t="shared" si="2"/>
        <v>0</v>
      </c>
      <c r="I11" s="74">
        <v>0.127</v>
      </c>
      <c r="J11" s="63"/>
      <c r="K11" s="75">
        <f>E1*I11</f>
        <v>54943.863949999999</v>
      </c>
      <c r="L11" s="75">
        <f t="shared" si="3"/>
        <v>54943.863949999999</v>
      </c>
      <c r="M11" s="76">
        <f t="shared" si="4"/>
        <v>57141.618508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55</v>
      </c>
      <c r="E12" s="37">
        <v>50377.675470000002</v>
      </c>
      <c r="F12" s="85">
        <f>E12</f>
        <v>50377.675470000002</v>
      </c>
      <c r="G12" s="37">
        <f t="shared" si="1"/>
        <v>0</v>
      </c>
      <c r="H12" s="37">
        <f t="shared" si="2"/>
        <v>0</v>
      </c>
      <c r="I12" s="74">
        <v>0.127</v>
      </c>
      <c r="J12" s="63"/>
      <c r="K12" s="75">
        <f>E1*I12</f>
        <v>54943.863949999999</v>
      </c>
      <c r="L12" s="75">
        <f t="shared" si="3"/>
        <v>54943.863949999999</v>
      </c>
      <c r="M12" s="76">
        <f t="shared" si="4"/>
        <v>57141.618508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394874.29008000006</v>
      </c>
      <c r="F13" s="69">
        <f>SUM(F5:F12)</f>
        <v>344315.93367</v>
      </c>
      <c r="G13" s="69"/>
      <c r="H13" s="69">
        <f>SUM(H5:H12)</f>
        <v>1516.821858</v>
      </c>
      <c r="I13" s="70">
        <f t="shared" ref="I13" si="5">SUM(I5:I12)</f>
        <v>1</v>
      </c>
      <c r="J13" s="102">
        <f>SUM(J5:J12)</f>
        <v>20000</v>
      </c>
      <c r="K13" s="80">
        <f>SUM(K5:K12)</f>
        <v>432628.85</v>
      </c>
      <c r="L13" s="80">
        <f>SUM(L5:L12)</f>
        <v>504704.02826799999</v>
      </c>
      <c r="M13" s="81">
        <f>SUM(M5:M12)</f>
        <v>524892.18939872005</v>
      </c>
    </row>
    <row r="15" spans="1:17" x14ac:dyDescent="0.25">
      <c r="C15" s="115" t="s">
        <v>93</v>
      </c>
      <c r="D15" s="115"/>
      <c r="E15" s="115"/>
      <c r="F15" s="115"/>
      <c r="G15" s="115"/>
      <c r="H15" s="115"/>
      <c r="I15" s="115"/>
      <c r="J15" s="115"/>
      <c r="K15" s="115"/>
      <c r="L15" s="115"/>
    </row>
    <row r="16" spans="1:17" ht="15" hidden="1" customHeight="1" x14ac:dyDescent="0.25">
      <c r="A16" s="40" t="s">
        <v>48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</row>
    <row r="17" spans="1:13" ht="15" hidden="1" customHeight="1" x14ac:dyDescent="0.25">
      <c r="A17" s="24" t="s">
        <v>50</v>
      </c>
      <c r="B17" s="2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26"/>
    </row>
    <row r="18" spans="1:13" ht="15" hidden="1" customHeight="1" x14ac:dyDescent="0.25">
      <c r="A18" s="2" t="s">
        <v>0</v>
      </c>
      <c r="B18" s="7" t="s">
        <v>1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6" t="s">
        <v>4</v>
      </c>
    </row>
    <row r="19" spans="1:13" ht="15" hidden="1" customHeight="1" x14ac:dyDescent="0.25">
      <c r="A19" s="2"/>
      <c r="B19" s="7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5" t="e">
        <f>SUM(M20:M27)</f>
        <v>#REF!</v>
      </c>
    </row>
    <row r="29" spans="1:13" x14ac:dyDescent="0.25">
      <c r="C29" s="115"/>
      <c r="D29" s="115"/>
      <c r="E29" s="115"/>
      <c r="F29" s="115"/>
      <c r="G29" s="115"/>
      <c r="H29" s="115"/>
      <c r="I29" s="115"/>
      <c r="J29" s="115"/>
      <c r="K29" s="115"/>
      <c r="L29" s="115"/>
    </row>
    <row r="30" spans="1:13" x14ac:dyDescent="0.25">
      <c r="C30" s="115"/>
      <c r="D30" s="115"/>
      <c r="E30" s="115"/>
      <c r="F30" s="115"/>
      <c r="G30" s="115"/>
      <c r="H30" s="115"/>
      <c r="I30" s="115"/>
      <c r="J30" s="115"/>
      <c r="K30" s="115"/>
      <c r="L30" s="115"/>
    </row>
    <row r="31" spans="1:13" x14ac:dyDescent="0.25">
      <c r="C31" s="115"/>
      <c r="D31" s="115"/>
      <c r="E31" s="115"/>
      <c r="F31" s="115"/>
      <c r="G31" s="115"/>
      <c r="H31" s="115"/>
      <c r="I31" s="115"/>
      <c r="J31" s="115"/>
      <c r="K31" s="115"/>
      <c r="L31" s="115"/>
    </row>
    <row r="32" spans="1:13" x14ac:dyDescent="0.25">
      <c r="C32" s="115"/>
      <c r="D32" s="115"/>
      <c r="E32" s="115"/>
      <c r="F32" s="115"/>
      <c r="G32" s="115"/>
      <c r="H32" s="115"/>
      <c r="I32" s="115"/>
      <c r="J32" s="115"/>
      <c r="K32" s="115"/>
      <c r="L32" s="115"/>
    </row>
    <row r="39" spans="5:5" x14ac:dyDescent="0.25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B5" sqref="B5:B12"/>
    </sheetView>
  </sheetViews>
  <sheetFormatPr baseColWidth="10" defaultRowHeight="15" x14ac:dyDescent="0.25"/>
  <cols>
    <col min="1" max="1" width="6.28515625" customWidth="1"/>
    <col min="3" max="3" width="14.140625" bestFit="1" customWidth="1"/>
    <col min="4" max="4" width="11.85546875" customWidth="1"/>
    <col min="5" max="5" width="13.140625" bestFit="1" customWidth="1"/>
    <col min="6" max="6" width="21.28515625" customWidth="1"/>
    <col min="7" max="7" width="18" customWidth="1"/>
    <col min="8" max="8" width="8.140625" customWidth="1"/>
    <col min="9" max="9" width="12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18">
        <v>108000</v>
      </c>
      <c r="E1" s="118"/>
      <c r="F1" s="93"/>
      <c r="G1" s="93"/>
      <c r="H1" s="93"/>
      <c r="I1" s="93"/>
      <c r="J1" s="94"/>
      <c r="L1" s="17"/>
    </row>
    <row r="2" spans="1:12" x14ac:dyDescent="0.25">
      <c r="A2" s="95" t="s">
        <v>91</v>
      </c>
      <c r="B2" s="88"/>
      <c r="C2" s="89"/>
      <c r="D2" s="57" t="s">
        <v>36</v>
      </c>
      <c r="E2" s="88"/>
      <c r="F2" s="57" t="s">
        <v>48</v>
      </c>
      <c r="G2" s="88"/>
      <c r="H2" s="88"/>
      <c r="I2" s="88"/>
      <c r="J2" s="96"/>
      <c r="L2" s="17"/>
    </row>
    <row r="3" spans="1:12" x14ac:dyDescent="0.25">
      <c r="A3" s="119" t="s">
        <v>0</v>
      </c>
      <c r="B3" s="113" t="s">
        <v>1</v>
      </c>
      <c r="C3" s="113" t="s">
        <v>2</v>
      </c>
      <c r="D3" s="111" t="s">
        <v>9</v>
      </c>
      <c r="E3" s="110" t="s">
        <v>51</v>
      </c>
      <c r="F3" s="111" t="s">
        <v>88</v>
      </c>
      <c r="G3" s="111" t="s">
        <v>90</v>
      </c>
      <c r="H3" s="110" t="s">
        <v>6</v>
      </c>
      <c r="I3" s="122" t="s">
        <v>89</v>
      </c>
      <c r="J3" s="121" t="s">
        <v>53</v>
      </c>
      <c r="L3" s="17"/>
    </row>
    <row r="4" spans="1:12" x14ac:dyDescent="0.25">
      <c r="A4" s="120"/>
      <c r="B4" s="114"/>
      <c r="C4" s="114"/>
      <c r="D4" s="111"/>
      <c r="E4" s="110"/>
      <c r="F4" s="111"/>
      <c r="G4" s="111"/>
      <c r="H4" s="110"/>
      <c r="I4" s="122"/>
      <c r="J4" s="121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0</v>
      </c>
      <c r="E5" s="75">
        <v>0</v>
      </c>
      <c r="F5" s="75">
        <v>42383</v>
      </c>
      <c r="G5" s="90">
        <f>F5*1.48</f>
        <v>62726.84</v>
      </c>
      <c r="H5" s="74">
        <v>0.121</v>
      </c>
      <c r="I5" s="75">
        <f>D$1*H5</f>
        <v>13068</v>
      </c>
      <c r="J5" s="97">
        <f>+F5+G5+I5</f>
        <v>118177.84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0</v>
      </c>
      <c r="E6" s="75">
        <v>0</v>
      </c>
      <c r="F6" s="75">
        <v>54967</v>
      </c>
      <c r="G6" s="90">
        <f t="shared" ref="G6:G12" si="0">F6*1.48</f>
        <v>81351.16</v>
      </c>
      <c r="H6" s="74">
        <v>0.122</v>
      </c>
      <c r="I6" s="75">
        <f t="shared" ref="I6:I12" si="1">D$1*H6</f>
        <v>13176</v>
      </c>
      <c r="J6" s="97">
        <f t="shared" ref="J6:J12" si="2">+F6+G6+I6</f>
        <v>149494.16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v>0</v>
      </c>
      <c r="F7" s="75">
        <v>0</v>
      </c>
      <c r="G7" s="90">
        <f t="shared" si="0"/>
        <v>0</v>
      </c>
      <c r="H7" s="74">
        <v>0.11700000000000001</v>
      </c>
      <c r="I7" s="75">
        <f t="shared" si="1"/>
        <v>12636</v>
      </c>
      <c r="J7" s="97">
        <f t="shared" si="2"/>
        <v>12636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0</v>
      </c>
      <c r="E8" s="75">
        <v>0</v>
      </c>
      <c r="F8" s="75">
        <v>52714</v>
      </c>
      <c r="G8" s="90">
        <f t="shared" si="0"/>
        <v>78016.72</v>
      </c>
      <c r="H8" s="74">
        <v>0.11700000000000001</v>
      </c>
      <c r="I8" s="75">
        <f t="shared" si="1"/>
        <v>12636</v>
      </c>
      <c r="J8" s="97">
        <f t="shared" si="2"/>
        <v>143366.72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0</v>
      </c>
      <c r="E9" s="75">
        <v>0</v>
      </c>
      <c r="F9" s="75">
        <v>47988</v>
      </c>
      <c r="G9" s="90">
        <f t="shared" si="0"/>
        <v>71022.240000000005</v>
      </c>
      <c r="H9" s="74">
        <v>0.13700000000000001</v>
      </c>
      <c r="I9" s="75">
        <f t="shared" si="1"/>
        <v>14796.000000000002</v>
      </c>
      <c r="J9" s="97">
        <f t="shared" si="2"/>
        <v>133806.24000000002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0</v>
      </c>
      <c r="E10" s="75">
        <v>0</v>
      </c>
      <c r="F10" s="75">
        <v>46236</v>
      </c>
      <c r="G10" s="90">
        <f t="shared" si="0"/>
        <v>68429.279999999999</v>
      </c>
      <c r="H10" s="74">
        <v>0.13200000000000001</v>
      </c>
      <c r="I10" s="75">
        <f t="shared" si="1"/>
        <v>14256</v>
      </c>
      <c r="J10" s="97">
        <f t="shared" si="2"/>
        <v>128921.28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v>0</v>
      </c>
      <c r="F11" s="75">
        <v>0</v>
      </c>
      <c r="G11" s="90">
        <f t="shared" si="0"/>
        <v>0</v>
      </c>
      <c r="H11" s="74">
        <v>0.127</v>
      </c>
      <c r="I11" s="75">
        <f t="shared" si="1"/>
        <v>13716</v>
      </c>
      <c r="J11" s="97">
        <f t="shared" si="2"/>
        <v>13716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v>0</v>
      </c>
      <c r="F12" s="75">
        <v>0</v>
      </c>
      <c r="G12" s="90">
        <f t="shared" si="0"/>
        <v>0</v>
      </c>
      <c r="H12" s="74">
        <v>0.127</v>
      </c>
      <c r="I12" s="75">
        <f t="shared" si="1"/>
        <v>13716</v>
      </c>
      <c r="J12" s="97">
        <f t="shared" si="2"/>
        <v>13716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0</v>
      </c>
      <c r="E13" s="80">
        <f>SUM(E5:E12)</f>
        <v>0</v>
      </c>
      <c r="F13" s="80">
        <f t="shared" ref="F13" si="3">SUM(F5:F12)</f>
        <v>244288</v>
      </c>
      <c r="G13" s="80">
        <f>SUM(G5:G12)</f>
        <v>361546.23999999999</v>
      </c>
      <c r="H13" s="70">
        <f t="shared" ref="H13" si="4">SUM(H5:H12)</f>
        <v>1</v>
      </c>
      <c r="I13" s="80">
        <f>SUM(I5:I12)</f>
        <v>108000</v>
      </c>
      <c r="J13" s="81">
        <f>SUM(J5:J12)</f>
        <v>713834.24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2025-11-03T13:04:35Z</cp:lastPrinted>
  <dcterms:created xsi:type="dcterms:W3CDTF">2020-12-10T00:27:53Z</dcterms:created>
  <dcterms:modified xsi:type="dcterms:W3CDTF">2025-12-02T22:58:48Z</dcterms:modified>
</cp:coreProperties>
</file>