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Junio\"/>
    </mc:Choice>
  </mc:AlternateContent>
  <xr:revisionPtr revIDLastSave="0" documentId="13_ncr:1_{76EBEFB5-1610-4FB7-9DA8-82B7F2A991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6" i="1" l="1"/>
  <c r="F10" i="1" l="1"/>
  <c r="C24" i="3" l="1"/>
  <c r="F11" i="1"/>
  <c r="F5" i="1" l="1"/>
  <c r="G1" i="1" l="1"/>
  <c r="J13" i="1" l="1"/>
  <c r="K5" i="1"/>
  <c r="C27" i="3" l="1"/>
  <c r="F7" i="1"/>
  <c r="C22" i="3" l="1"/>
  <c r="C28" i="3" s="1"/>
  <c r="C35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<sst xmlns="http://schemas.openxmlformats.org/spreadsheetml/2006/main" count="154" uniqueCount="92">
  <si>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</si>
  <si>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</si>
  <si>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</si>
  <si>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</si>
  <si>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</si>
  <si>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</si>
  <si>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</si>
  <si>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</si>
  <si>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</si>
  <si>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</si>
  <si>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</si>
  <si>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</si>
  <si>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</si>
  <si>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</si>
  <si>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</si>
  <si>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</si>
  <si>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</si>
  <si>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</si>
  <si>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</si>
  <si>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</si>
  <si>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</si>
  <si>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</si>
  <si>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</si>
  <si>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</si>
  <si>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</si>
  <si>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</si>
  <si>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</si>
  <si>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</si>
  <si>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</si>
  <si>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</si>
  <si>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</si>
  <si>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</si>
  <si>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</si>
  <si>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</si>
  <si>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</si>
  <si>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</si>
  <si>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</si>
  <si>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</si>
  <si>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</si>
  <si>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</si>
  <si>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</si>
  <si>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</si>
  <si>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</si>
  <si>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</si>
  <si>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</si>
  <si>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</si>
  <si>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</si>
  <si>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</si>
  <si>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</si>
  <si>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</si>
  <si>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</si>
  <si>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</si>
  <si>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</si>
  <si>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</si>
  <si>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</si>
  <si>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</si>
  <si>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</si>
  <si>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</si>
  <si>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</si>
  <si>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</si>
  <si>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</si>
  <si>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</si>
  <si>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</si>
  <si>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</si>
  <si>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</si>
  <si>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</si>
  <si>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</si>
  <si>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</si>
  <si>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</si>
  <si>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</si>
  <si>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</si>
  <si>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</si>
  <si>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</si>
  <si>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</si>
  <si>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</si>
  <si>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</si>
  <si>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</si>
  <si>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</si>
  <si>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</si>
  <si>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</si>
  <si>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</si>
  <si>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</si>
  <si>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</si>
  <si>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</si>
  <si>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</si>
  <si>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</si>
  <si>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</si>
  <si>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Vto. 14/07</t>
  </si>
  <si>
    <t>LIQUIDACIÓN EXPENSAS JUNIO 2025</t>
  </si>
  <si>
    <t>Período JUNIO 2025</t>
  </si>
  <si>
    <t>Valeria</t>
  </si>
  <si>
    <t>AUMENTADOS EN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</si>
</sst>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167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5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6" fontId="0" fillId="0" borderId="1" xfId="0" applyNumberFormat="1" applyBorder="1"/>
    <xf numFmtId="165" fontId="0" fillId="0" borderId="1" xfId="2" applyFont="1" applyBorder="1"/>
    <xf numFmtId="165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7" fontId="1" fillId="3" borderId="24" xfId="2" applyNumberFormat="1" applyFont="1" applyFill="1" applyBorder="1"/>
    <xf numFmtId="167" fontId="1" fillId="3" borderId="28" xfId="2" applyNumberFormat="1" applyFont="1" applyFill="1" applyBorder="1"/>
    <xf numFmtId="43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2" fontId="0" fillId="6" borderId="0" xfId="0" applyNumberFormat="1" applyFill="1"/>
    <xf numFmtId="4" fontId="11" fillId="6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abSelected="1" topLeftCell="A16" workbookViewId="0">
      <selection activeCell="H22" sqref="H2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70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88</v>
      </c>
      <c r="C7" s="27" t="s">
        <v>87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"/>
    </row>
    <row r="17" spans="1:8" ht="14.25" customHeight="1" x14ac:dyDescent="0.25">
      <c r="A17" s="77" t="s">
        <v>54</v>
      </c>
      <c r="B17" s="87" t="s">
        <v>77</v>
      </c>
      <c r="C17" s="84">
        <v>37561.17</v>
      </c>
      <c r="D17" s="5"/>
      <c r="E17" s="14"/>
    </row>
    <row r="18" spans="1:8" x14ac:dyDescent="0.25">
      <c r="A18" s="77" t="s">
        <v>71</v>
      </c>
      <c r="B18" s="88"/>
      <c r="C18" s="84">
        <v>3567.21</v>
      </c>
      <c r="D18" s="49"/>
      <c r="E18" s="14"/>
    </row>
    <row r="19" spans="1:8" x14ac:dyDescent="0.25">
      <c r="A19" s="77" t="s">
        <v>46</v>
      </c>
      <c r="B19" s="89" t="s">
        <v>78</v>
      </c>
      <c r="C19" s="84">
        <v>12654.47</v>
      </c>
      <c r="D19" s="5"/>
      <c r="E19" s="14"/>
      <c r="F19" s="18"/>
    </row>
    <row r="20" spans="1:8" x14ac:dyDescent="0.25">
      <c r="A20" s="77" t="s">
        <v>35</v>
      </c>
      <c r="B20" s="89" t="s">
        <v>78</v>
      </c>
      <c r="C20" s="136">
        <v>154881.60999999999</v>
      </c>
      <c r="D20" s="49"/>
      <c r="F20" s="14"/>
    </row>
    <row r="21" spans="1:8" x14ac:dyDescent="0.25">
      <c r="A21" s="77" t="s">
        <v>36</v>
      </c>
      <c r="B21" s="89" t="s">
        <v>76</v>
      </c>
      <c r="C21" s="84">
        <v>44500</v>
      </c>
      <c r="D21" s="5"/>
      <c r="E21" s="14"/>
      <c r="H21" t="s">
        <v>91</v>
      </c>
    </row>
    <row r="22" spans="1:8" x14ac:dyDescent="0.25">
      <c r="A22" s="90"/>
      <c r="B22" s="91"/>
      <c r="C22" s="64">
        <f>SUM(C17:C21)</f>
        <v>253164.46</v>
      </c>
    </row>
    <row r="23" spans="1:8" x14ac:dyDescent="0.25">
      <c r="A23" s="86" t="s">
        <v>37</v>
      </c>
      <c r="B23" s="89"/>
      <c r="C23" s="137"/>
    </row>
    <row r="24" spans="1:8" ht="15.75" x14ac:dyDescent="0.25">
      <c r="A24" s="77" t="s">
        <v>72</v>
      </c>
      <c r="B24" s="92" t="s">
        <v>89</v>
      </c>
      <c r="C24" s="84">
        <f>65200+65200*5%</f>
        <v>68460</v>
      </c>
      <c r="F24" s="22"/>
    </row>
    <row r="25" spans="1:8" ht="15.75" x14ac:dyDescent="0.25">
      <c r="A25" s="77"/>
      <c r="B25" s="92"/>
      <c r="C25" s="99"/>
      <c r="F25" s="22"/>
    </row>
    <row r="26" spans="1:8" ht="15.75" x14ac:dyDescent="0.25">
      <c r="A26" s="77" t="s">
        <v>83</v>
      </c>
      <c r="B26" s="89"/>
      <c r="C26" s="85"/>
      <c r="D26" s="5"/>
      <c r="E26" s="14"/>
      <c r="F26" s="22"/>
    </row>
    <row r="27" spans="1:8" ht="15.75" x14ac:dyDescent="0.25">
      <c r="A27" s="90"/>
      <c r="B27" s="91"/>
      <c r="C27" s="64">
        <f>SUM(C23:C26)</f>
        <v>68460</v>
      </c>
      <c r="F27" s="22"/>
    </row>
    <row r="28" spans="1:8" ht="15.75" x14ac:dyDescent="0.25">
      <c r="A28" s="80" t="s">
        <v>82</v>
      </c>
      <c r="B28" s="80"/>
      <c r="C28" s="93">
        <f>+C27+C22</f>
        <v>321624.45999999996</v>
      </c>
      <c r="F28" s="22"/>
    </row>
    <row r="29" spans="1:8" ht="15.75" x14ac:dyDescent="0.25">
      <c r="C29" s="65"/>
      <c r="F29" s="22"/>
    </row>
    <row r="30" spans="1:8" ht="15.75" x14ac:dyDescent="0.25">
      <c r="A30" s="23" t="s">
        <v>47</v>
      </c>
      <c r="C30" s="65"/>
      <c r="F30" s="22"/>
    </row>
    <row r="31" spans="1:8" ht="15.75" x14ac:dyDescent="0.25">
      <c r="A31" s="77"/>
      <c r="B31" s="77"/>
      <c r="C31" s="84"/>
      <c r="F31" s="22"/>
    </row>
    <row r="32" spans="1:8" ht="15.75" x14ac:dyDescent="0.25">
      <c r="A32" s="77"/>
      <c r="B32" s="77"/>
      <c r="C32" s="85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C34" s="67"/>
      <c r="F34" s="22"/>
    </row>
    <row r="35" spans="1:6" x14ac:dyDescent="0.25">
      <c r="A35" s="23" t="s">
        <v>43</v>
      </c>
      <c r="B35" s="23"/>
      <c r="C35" s="24">
        <f>+C31+C32+C33+C34</f>
        <v>0</v>
      </c>
      <c r="E35" s="14"/>
    </row>
    <row r="37" spans="1:6" x14ac:dyDescent="0.25">
      <c r="A37" s="35" t="s">
        <v>15</v>
      </c>
      <c r="B37" s="35"/>
      <c r="C37" s="36">
        <f>+C35+C28</f>
        <v>321624.45999999996</v>
      </c>
    </row>
    <row r="39" spans="1:6" x14ac:dyDescent="0.25">
      <c r="A39" s="5" t="s">
        <v>38</v>
      </c>
    </row>
    <row r="40" spans="1:6" x14ac:dyDescent="0.25">
      <c r="A40" s="37" t="s">
        <v>10</v>
      </c>
      <c r="B40" s="34"/>
      <c r="C40" s="41">
        <v>260801.88812239992</v>
      </c>
      <c r="D40" s="6"/>
      <c r="E40" s="6"/>
    </row>
    <row r="41" spans="1:6" x14ac:dyDescent="0.25">
      <c r="A41" t="s">
        <v>9</v>
      </c>
      <c r="C41" s="33">
        <f>'prorrateo '!F13</f>
        <v>391672.39302100008</v>
      </c>
      <c r="D41" s="14"/>
      <c r="E41" s="14"/>
    </row>
    <row r="42" spans="1:6" x14ac:dyDescent="0.25">
      <c r="A42" t="s">
        <v>80</v>
      </c>
      <c r="C42" s="94"/>
      <c r="D42" s="14"/>
      <c r="E42" s="14"/>
    </row>
    <row r="43" spans="1:6" x14ac:dyDescent="0.25">
      <c r="A43" t="s">
        <v>79</v>
      </c>
      <c r="C43" s="94">
        <f>-(C28-C26)</f>
        <v>-321624.45999999996</v>
      </c>
    </row>
    <row r="44" spans="1:6" x14ac:dyDescent="0.25">
      <c r="A44" s="37" t="s">
        <v>16</v>
      </c>
      <c r="B44" s="34"/>
      <c r="C44" s="41">
        <f>SUM(C40:C43)</f>
        <v>330849.82114340004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6" t="s">
        <v>69</v>
      </c>
      <c r="B48" s="100"/>
      <c r="C48" s="101">
        <v>109834.99657000002</v>
      </c>
    </row>
    <row r="49" spans="1:3" x14ac:dyDescent="0.25">
      <c r="A49" s="77"/>
      <c r="B49" s="77"/>
      <c r="C49" s="83"/>
    </row>
    <row r="50" spans="1:3" x14ac:dyDescent="0.25">
      <c r="A50" s="80" t="s">
        <v>4</v>
      </c>
      <c r="B50" s="78"/>
      <c r="C50" s="79">
        <f>SUM(C48:C49)</f>
        <v>109834.99657000002</v>
      </c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B1"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321624.45999999996</v>
      </c>
      <c r="G1" t="str">
        <f>'detalle y gastos'!C7</f>
        <v>Vto. 14/07</v>
      </c>
    </row>
    <row r="2" spans="1:17" x14ac:dyDescent="0.25">
      <c r="A2" s="107" t="str">
        <f>'detalle y gastos'!B7</f>
        <v>LIQUIDACIÓN EXPENSAS JUNIO 2025</v>
      </c>
      <c r="B2" s="102"/>
      <c r="C2" s="108"/>
      <c r="D2" s="108"/>
      <c r="E2" s="109" t="s">
        <v>40</v>
      </c>
      <c r="F2" s="102"/>
      <c r="G2" s="102"/>
      <c r="H2" s="102"/>
      <c r="I2" s="102"/>
      <c r="J2" s="102"/>
      <c r="K2" s="102"/>
      <c r="L2" s="102"/>
      <c r="M2" s="103"/>
    </row>
    <row r="3" spans="1:17" x14ac:dyDescent="0.25">
      <c r="A3" s="121"/>
      <c r="B3" s="119" t="s">
        <v>1</v>
      </c>
      <c r="C3" s="127" t="s">
        <v>2</v>
      </c>
      <c r="D3" s="128" t="s">
        <v>60</v>
      </c>
      <c r="E3" s="119" t="s">
        <v>19</v>
      </c>
      <c r="F3" s="125" t="s">
        <v>3</v>
      </c>
      <c r="G3" s="127" t="s">
        <v>58</v>
      </c>
      <c r="H3" s="125" t="s">
        <v>48</v>
      </c>
      <c r="I3" s="127" t="s">
        <v>7</v>
      </c>
      <c r="J3" s="129" t="s">
        <v>81</v>
      </c>
      <c r="K3" s="123" t="s">
        <v>84</v>
      </c>
      <c r="L3" s="123" t="s">
        <v>85</v>
      </c>
      <c r="M3" s="123" t="s">
        <v>86</v>
      </c>
    </row>
    <row r="4" spans="1:17" x14ac:dyDescent="0.25">
      <c r="A4" s="122"/>
      <c r="B4" s="120"/>
      <c r="C4" s="127"/>
      <c r="D4" s="128"/>
      <c r="E4" s="120"/>
      <c r="F4" s="126"/>
      <c r="G4" s="127"/>
      <c r="H4" s="126"/>
      <c r="I4" s="127"/>
      <c r="J4" s="129"/>
      <c r="K4" s="124"/>
      <c r="L4" s="124"/>
      <c r="M4" s="124"/>
    </row>
    <row r="5" spans="1:17" x14ac:dyDescent="0.25">
      <c r="A5" s="104">
        <v>1</v>
      </c>
      <c r="B5" s="12" t="s">
        <v>22</v>
      </c>
      <c r="C5" s="62" t="s">
        <v>30</v>
      </c>
      <c r="D5" s="62" t="s">
        <v>66</v>
      </c>
      <c r="E5" s="47">
        <v>38532.256399999998</v>
      </c>
      <c r="F5" s="138">
        <f>E5</f>
        <v>38532.256399999998</v>
      </c>
      <c r="G5" s="47">
        <f>E5-F5</f>
        <v>0</v>
      </c>
      <c r="H5" s="47">
        <f>IF(G5&gt;0,G5*5%,0)</f>
        <v>0</v>
      </c>
      <c r="I5" s="110">
        <v>0.121</v>
      </c>
      <c r="J5" s="98"/>
      <c r="K5" s="111">
        <f>E1*I5</f>
        <v>38916.559659999992</v>
      </c>
      <c r="L5" s="111">
        <f>E5-F5+H5+K5+J5</f>
        <v>38916.559659999992</v>
      </c>
      <c r="M5" s="112">
        <f>L5+L5*4%</f>
        <v>40473.222046399991</v>
      </c>
    </row>
    <row r="6" spans="1:17" x14ac:dyDescent="0.25">
      <c r="A6" s="104">
        <v>2</v>
      </c>
      <c r="B6" s="12" t="s">
        <v>23</v>
      </c>
      <c r="C6" s="62" t="s">
        <v>31</v>
      </c>
      <c r="D6" s="62" t="s">
        <v>67</v>
      </c>
      <c r="E6" s="47">
        <v>47715.447421000004</v>
      </c>
      <c r="F6" s="138">
        <f>E6</f>
        <v>47715.447421000004</v>
      </c>
      <c r="G6" s="47">
        <f t="shared" ref="G6:G12" si="0">E6-F6</f>
        <v>0</v>
      </c>
      <c r="H6" s="47">
        <f t="shared" ref="H6:H12" si="1">IF(G6&gt;0,G6*5%,0)</f>
        <v>0</v>
      </c>
      <c r="I6" s="110">
        <v>0.122</v>
      </c>
      <c r="J6" s="98"/>
      <c r="K6" s="111">
        <f>E1*I6</f>
        <v>39238.184119999998</v>
      </c>
      <c r="L6" s="111">
        <f t="shared" ref="L6:L12" si="2">E6-F6+H6+K6+J6</f>
        <v>39238.184119999998</v>
      </c>
      <c r="M6" s="112">
        <f t="shared" ref="M6:M12" si="3">L6+L6*4%</f>
        <v>40807.711484799998</v>
      </c>
      <c r="O6" s="135"/>
      <c r="Q6" s="118"/>
    </row>
    <row r="7" spans="1:17" x14ac:dyDescent="0.25">
      <c r="A7" s="104">
        <v>3</v>
      </c>
      <c r="B7" s="12" t="s">
        <v>24</v>
      </c>
      <c r="C7" s="62" t="s">
        <v>32</v>
      </c>
      <c r="D7" s="62" t="s">
        <v>90</v>
      </c>
      <c r="E7" s="47">
        <v>37258.462800000008</v>
      </c>
      <c r="F7" s="138">
        <f>E7</f>
        <v>37258.462800000008</v>
      </c>
      <c r="G7" s="47">
        <f t="shared" si="0"/>
        <v>0</v>
      </c>
      <c r="H7" s="47">
        <f t="shared" si="1"/>
        <v>0</v>
      </c>
      <c r="I7" s="110">
        <v>0.11700000000000001</v>
      </c>
      <c r="J7" s="98"/>
      <c r="K7" s="111">
        <f>E1*I7</f>
        <v>37630.061819999995</v>
      </c>
      <c r="L7" s="111">
        <f t="shared" si="2"/>
        <v>37630.061819999995</v>
      </c>
      <c r="M7" s="112">
        <f t="shared" si="3"/>
        <v>39135.264292799999</v>
      </c>
    </row>
    <row r="8" spans="1:17" x14ac:dyDescent="0.25">
      <c r="A8" s="104">
        <v>4</v>
      </c>
      <c r="B8" s="12" t="s">
        <v>25</v>
      </c>
      <c r="C8" s="62" t="s">
        <v>33</v>
      </c>
      <c r="D8" s="62" t="s">
        <v>62</v>
      </c>
      <c r="E8" s="47">
        <v>165459.88212379918</v>
      </c>
      <c r="F8" s="138">
        <v>100000</v>
      </c>
      <c r="G8" s="47">
        <f t="shared" si="0"/>
        <v>65459.88212379918</v>
      </c>
      <c r="H8" s="47">
        <f t="shared" si="1"/>
        <v>3272.994106189959</v>
      </c>
      <c r="I8" s="110">
        <v>0.11700000000000001</v>
      </c>
      <c r="J8" s="98"/>
      <c r="K8" s="111">
        <f>E1*I8</f>
        <v>37630.061819999995</v>
      </c>
      <c r="L8" s="111">
        <f t="shared" si="2"/>
        <v>106362.93804998914</v>
      </c>
      <c r="M8" s="112">
        <f t="shared" si="3"/>
        <v>110617.45557198871</v>
      </c>
    </row>
    <row r="9" spans="1:17" x14ac:dyDescent="0.25">
      <c r="A9" s="104">
        <v>5</v>
      </c>
      <c r="B9" s="12" t="s">
        <v>26</v>
      </c>
      <c r="C9" s="62" t="s">
        <v>30</v>
      </c>
      <c r="D9" s="62" t="s">
        <v>65</v>
      </c>
      <c r="E9" s="47">
        <v>43627.430800000009</v>
      </c>
      <c r="F9" s="138">
        <f t="shared" ref="F9" si="4">E9</f>
        <v>43627.430800000009</v>
      </c>
      <c r="G9" s="47">
        <f t="shared" si="0"/>
        <v>0</v>
      </c>
      <c r="H9" s="47">
        <f t="shared" si="1"/>
        <v>0</v>
      </c>
      <c r="I9" s="110">
        <v>0.13700000000000001</v>
      </c>
      <c r="J9" s="98"/>
      <c r="K9" s="111">
        <f>E1*I9</f>
        <v>44062.551019999999</v>
      </c>
      <c r="L9" s="111">
        <f t="shared" si="2"/>
        <v>44062.551019999999</v>
      </c>
      <c r="M9" s="112">
        <f t="shared" si="3"/>
        <v>45825.053060799997</v>
      </c>
    </row>
    <row r="10" spans="1:17" x14ac:dyDescent="0.25">
      <c r="A10" s="104">
        <v>6</v>
      </c>
      <c r="B10" s="12" t="s">
        <v>27</v>
      </c>
      <c r="C10" s="62" t="s">
        <v>30</v>
      </c>
      <c r="D10" s="62" t="s">
        <v>64</v>
      </c>
      <c r="E10" s="47">
        <v>42035.188800000004</v>
      </c>
      <c r="F10" s="138">
        <f>E10</f>
        <v>42035.188800000004</v>
      </c>
      <c r="G10" s="47">
        <f t="shared" si="0"/>
        <v>0</v>
      </c>
      <c r="H10" s="47">
        <f t="shared" si="1"/>
        <v>0</v>
      </c>
      <c r="I10" s="110">
        <v>0.13200000000000001</v>
      </c>
      <c r="J10" s="98"/>
      <c r="K10" s="111">
        <f>E1*I10</f>
        <v>42454.428719999996</v>
      </c>
      <c r="L10" s="111">
        <f t="shared" si="2"/>
        <v>42454.428719999996</v>
      </c>
      <c r="M10" s="112">
        <f t="shared" si="3"/>
        <v>44152.605868799998</v>
      </c>
    </row>
    <row r="11" spans="1:17" x14ac:dyDescent="0.25">
      <c r="A11" s="104">
        <v>7</v>
      </c>
      <c r="B11" s="12" t="s">
        <v>28</v>
      </c>
      <c r="C11" s="62" t="s">
        <v>32</v>
      </c>
      <c r="D11" s="62" t="s">
        <v>63</v>
      </c>
      <c r="E11" s="47">
        <v>40442.946800000005</v>
      </c>
      <c r="F11" s="138">
        <f>E11</f>
        <v>40442.946800000005</v>
      </c>
      <c r="G11" s="47">
        <f t="shared" si="0"/>
        <v>0</v>
      </c>
      <c r="H11" s="47">
        <f t="shared" si="1"/>
        <v>0</v>
      </c>
      <c r="I11" s="110">
        <v>0.127</v>
      </c>
      <c r="J11" s="98"/>
      <c r="K11" s="111">
        <f>E1*I11</f>
        <v>40846.306419999994</v>
      </c>
      <c r="L11" s="111">
        <f t="shared" si="2"/>
        <v>40846.306419999994</v>
      </c>
      <c r="M11" s="112">
        <f t="shared" si="3"/>
        <v>42480.158676799991</v>
      </c>
    </row>
    <row r="12" spans="1:17" x14ac:dyDescent="0.25">
      <c r="A12" s="104">
        <v>8</v>
      </c>
      <c r="B12" s="12" t="s">
        <v>29</v>
      </c>
      <c r="C12" s="62" t="s">
        <v>34</v>
      </c>
      <c r="D12" s="62" t="s">
        <v>61</v>
      </c>
      <c r="E12" s="47">
        <v>40442.946800000005</v>
      </c>
      <c r="F12" s="138">
        <v>42060.66</v>
      </c>
      <c r="G12" s="47">
        <f t="shared" si="0"/>
        <v>-1617.7131999999983</v>
      </c>
      <c r="H12" s="47">
        <f t="shared" si="1"/>
        <v>0</v>
      </c>
      <c r="I12" s="110">
        <v>0.127</v>
      </c>
      <c r="J12" s="98"/>
      <c r="K12" s="111">
        <f>E1*I12</f>
        <v>40846.306419999994</v>
      </c>
      <c r="L12" s="111">
        <f t="shared" si="2"/>
        <v>39228.593219999995</v>
      </c>
      <c r="M12" s="112">
        <f t="shared" si="3"/>
        <v>40797.736948799997</v>
      </c>
    </row>
    <row r="13" spans="1:17" ht="15.75" thickBot="1" x14ac:dyDescent="0.3">
      <c r="A13" s="113" t="s">
        <v>11</v>
      </c>
      <c r="B13" s="114"/>
      <c r="C13" s="115"/>
      <c r="D13" s="115"/>
      <c r="E13" s="116">
        <f>SUM(E5:E12)</f>
        <v>455514.56194479926</v>
      </c>
      <c r="F13" s="105">
        <f>SUM(F5:F12)</f>
        <v>391672.39302100008</v>
      </c>
      <c r="G13" s="105"/>
      <c r="H13" s="105">
        <f>SUM(H5:H12)</f>
        <v>3272.994106189959</v>
      </c>
      <c r="I13" s="106">
        <f t="shared" ref="I13" si="5">SUM(I5:I12)</f>
        <v>1</v>
      </c>
      <c r="J13" s="106">
        <f>SUM(J5:J12)</f>
        <v>0</v>
      </c>
      <c r="K13" s="116">
        <f>SUM(K5:K12)</f>
        <v>321624.45999999996</v>
      </c>
      <c r="L13" s="116">
        <f>SUM(L5:L12)</f>
        <v>388739.62302998907</v>
      </c>
      <c r="M13" s="117">
        <f>SUM(M5:M12)</f>
        <v>404289.20795118867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4">
        <v>250000</v>
      </c>
      <c r="I1" s="134"/>
      <c r="J1" s="134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2" t="s">
        <v>74</v>
      </c>
      <c r="M4" s="81" t="s">
        <v>5</v>
      </c>
      <c r="N4" s="130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3"/>
      <c r="M5" s="82" t="s">
        <v>75</v>
      </c>
      <c r="N5" s="131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2025-06-29T14:58:47Z</cp:lastPrinted>
  <dcterms:created xsi:type="dcterms:W3CDTF">2020-12-10T00:27:53Z</dcterms:created>
  <dcterms:modified xsi:type="dcterms:W3CDTF">2025-06-29T14:59:02Z</dcterms:modified>
</cp:coreProperties>
</file>