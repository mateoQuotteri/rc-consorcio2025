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DRAGO\Noviembre\"/>
    </mc:Choice>
  </mc:AlternateContent>
  <xr:revisionPtr revIDLastSave="0" documentId="13_ncr:1_{45D3511C-D059-4994-871C-050D8B7BD10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gastos'!$A$1:$C$48</definedName>
    <definedName name="_xlnm.Print_Area" localSheetId="1">'prorrateo '!$A$1:$M$33</definedName>
  </definedNames>
  <calcPr calcId="181029"/>
</workbook>
</file>

<file path=xl/calcChain.xml><?xml version="1.0" encoding="utf-8"?>
<calcChain xmlns="http://schemas.openxmlformats.org/spreadsheetml/2006/main">
  <c r="C37" i="3" l="1"/>
  <c r="C44" i="3" l="1"/>
  <c r="J6" i="4"/>
  <c r="J7" i="4"/>
  <c r="J8" i="4"/>
  <c r="J9" i="4"/>
  <c r="J10" i="4"/>
  <c r="J11" i="4"/>
  <c r="J12" i="4"/>
  <c r="J5" i="4"/>
  <c r="G6" i="4"/>
  <c r="G7" i="4"/>
  <c r="G8" i="4"/>
  <c r="G9" i="4"/>
  <c r="G10" i="4"/>
  <c r="G11" i="4"/>
  <c r="G12" i="4"/>
  <c r="G5" i="4"/>
  <c r="F6" i="4"/>
  <c r="F7" i="4"/>
  <c r="F8" i="4"/>
  <c r="F9" i="4"/>
  <c r="F10" i="4"/>
  <c r="F11" i="4"/>
  <c r="F12" i="4"/>
  <c r="F5" i="4"/>
  <c r="E7" i="4"/>
  <c r="E11" i="4"/>
  <c r="I6" i="4" l="1"/>
  <c r="I7" i="4"/>
  <c r="I8" i="4"/>
  <c r="I9" i="4"/>
  <c r="I10" i="4"/>
  <c r="I11" i="4"/>
  <c r="I12" i="4"/>
  <c r="I5" i="4"/>
  <c r="E13" i="4"/>
  <c r="C53" i="3"/>
  <c r="G13" i="4" l="1"/>
  <c r="F9" i="1"/>
  <c r="F12" i="1" l="1"/>
  <c r="C24" i="3" l="1"/>
  <c r="F6" i="1" l="1"/>
  <c r="F11" i="1" l="1"/>
  <c r="G1" i="1" l="1"/>
  <c r="J13" i="1" l="1"/>
  <c r="K5" i="1"/>
  <c r="C29" i="3" l="1"/>
  <c r="C22" i="3" l="1"/>
  <c r="C30" i="3" s="1"/>
  <c r="C45" i="3"/>
  <c r="A2" i="1" l="1"/>
  <c r="I13" i="4" l="1"/>
  <c r="J13" i="4"/>
  <c r="C46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L6" i="1" l="1"/>
  <c r="M6" i="1" s="1"/>
  <c r="H6" i="1"/>
  <c r="G12" i="1"/>
  <c r="E13" i="1"/>
  <c r="K13" i="1"/>
  <c r="L12" i="1" l="1"/>
  <c r="M12" i="1" s="1"/>
  <c r="H12" i="1"/>
  <c r="C43" i="3"/>
  <c r="C47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39" i="3" l="1"/>
</calcChain>
</file>

<file path=xl/sharedStrings.xml><?xml version="1.0" encoding="utf-8"?>
<sst xmlns="http://schemas.openxmlformats.org/spreadsheetml/2006/main" count="130" uniqueCount="91">
  <si>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</si>
  <si>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</si>
  <si>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</si>
  <si>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</si>
  <si>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</si>
  <si>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</si>
  <si>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</si>
  <si>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</si>
  <si>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</si>
  <si>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</si>
  <si>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</si>
  <si>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</si>
  <si>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</si>
  <si>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</si>
  <si>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</si>
  <si>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</si>
  <si>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</si>
  <si>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</si>
  <si>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</si>
  <si>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</si>
  <si>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</si>
  <si>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</si>
  <si>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</si>
  <si>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</si>
  <si>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</si>
  <si>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</si>
  <si>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</si>
  <si>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</si>
  <si>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</si>
  <si>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</si>
  <si>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</si>
  <si>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</si>
  <si>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</si>
  <si>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</si>
  <si>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</si>
  <si>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</si>
  <si>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</si>
  <si>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</si>
  <si>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</si>
  <si>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</si>
  <si>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</si>
  <si>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</si>
  <si>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</si>
  <si>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</si>
  <si>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</si>
  <si>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</si>
  <si>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</si>
  <si>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</si>
  <si>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</si>
  <si>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</si>
  <si>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</si>
  <si>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</si>
  <si>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</si>
  <si>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</si>
  <si>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</si>
  <si>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</si>
  <si>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</si>
  <si>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Lucas</t>
  </si>
  <si>
    <t>Damian</t>
  </si>
  <si>
    <t>Enzo</t>
  </si>
  <si>
    <t>CAJA EXTRAORDINARIA</t>
  </si>
  <si>
    <t>MP 1148</t>
  </si>
  <si>
    <t>Seguro Sra. Monica</t>
  </si>
  <si>
    <t>Sueldo Sra. Monica</t>
  </si>
  <si>
    <t>Honorarios administracion</t>
  </si>
  <si>
    <t>Pago efectivo</t>
  </si>
  <si>
    <t>Egresos por gastos del mes ordinarios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</si>
  <si>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</si>
  <si>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</si>
  <si>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</si>
  <si>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</si>
  <si>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</si>
  <si>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</si>
  <si>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</si>
  <si>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</si>
  <si>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</si>
  <si>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AUMENTADOS EN 0ct 2025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</si>
  <si>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</si>
  <si>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</si>
  <si>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</si>
  <si>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</si>
  <si>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</si>
  <si>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Vto. 15/12</t>
  </si>
  <si>
    <t>LIQUIDACIÓN EXPENSAS NOVIEMBRE 2025</t>
  </si>
  <si>
    <t>Período NOVIEMBRE 2025</t>
  </si>
  <si>
    <t>Colocacion de membarana en techo - A dos aguas - Material y mano de obra</t>
  </si>
  <si>
    <t>SALDO</t>
  </si>
  <si>
    <t>Ingresos extraordinarios</t>
  </si>
  <si>
    <t xml:space="preserve">Jardineria - Servicios </t>
  </si>
  <si>
    <t>Nicolas - Fumigacion 22/11</t>
  </si>
  <si>
    <t>Articulos de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</si>
</sst>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right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3" fontId="11" fillId="6" borderId="1" xfId="0" applyNumberFormat="1" applyFont="1" applyFill="1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18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7"/>
  <sheetViews>
    <sheetView topLeftCell="A4" workbookViewId="0">
      <selection activeCell="C30" sqref="C30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17</v>
      </c>
      <c r="C2" t="s">
        <v>61</v>
      </c>
    </row>
    <row r="3" spans="1:3" x14ac:dyDescent="0.3">
      <c r="B3" t="s">
        <v>11</v>
      </c>
    </row>
    <row r="4" spans="1:3" x14ac:dyDescent="0.3">
      <c r="B4" s="4" t="s">
        <v>7</v>
      </c>
    </row>
    <row r="5" spans="1:3" ht="8.25" customHeight="1" x14ac:dyDescent="0.3">
      <c r="A5" s="3"/>
      <c r="B5" s="21"/>
      <c r="C5" s="3"/>
    </row>
    <row r="7" spans="1:3" x14ac:dyDescent="0.3">
      <c r="A7" s="22" t="s">
        <v>35</v>
      </c>
      <c r="B7" s="23" t="s">
        <v>83</v>
      </c>
      <c r="C7" s="23" t="s">
        <v>82</v>
      </c>
    </row>
    <row r="8" spans="1:3" x14ac:dyDescent="0.3">
      <c r="A8" s="3"/>
      <c r="B8" s="3"/>
      <c r="C8" s="3"/>
    </row>
    <row r="10" spans="1:3" x14ac:dyDescent="0.3">
      <c r="A10" s="13" t="s">
        <v>45</v>
      </c>
    </row>
    <row r="11" spans="1:3" x14ac:dyDescent="0.3">
      <c r="A11" t="s">
        <v>37</v>
      </c>
      <c r="B11" t="s">
        <v>40</v>
      </c>
    </row>
    <row r="12" spans="1:3" x14ac:dyDescent="0.3">
      <c r="A12" t="s">
        <v>38</v>
      </c>
      <c r="B12" t="s">
        <v>46</v>
      </c>
    </row>
    <row r="13" spans="1:3" x14ac:dyDescent="0.3">
      <c r="A13" t="s">
        <v>41</v>
      </c>
    </row>
    <row r="15" spans="1:3" x14ac:dyDescent="0.3">
      <c r="A15" s="19" t="s">
        <v>13</v>
      </c>
    </row>
    <row r="16" spans="1:3" x14ac:dyDescent="0.3">
      <c r="A16" s="53" t="s">
        <v>12</v>
      </c>
      <c r="B16" s="46"/>
      <c r="C16" s="84"/>
    </row>
    <row r="17" spans="1:8" ht="14.25" customHeight="1" x14ac:dyDescent="0.3">
      <c r="A17" s="46" t="s">
        <v>49</v>
      </c>
      <c r="B17" s="54" t="s">
        <v>73</v>
      </c>
      <c r="C17" s="51">
        <v>43870.01</v>
      </c>
      <c r="D17" s="5"/>
      <c r="E17" s="12"/>
    </row>
    <row r="18" spans="1:8" x14ac:dyDescent="0.3">
      <c r="A18" s="46" t="s">
        <v>62</v>
      </c>
      <c r="B18" s="55"/>
      <c r="C18" s="51">
        <v>4519.75</v>
      </c>
      <c r="D18" s="38"/>
      <c r="E18" s="12"/>
    </row>
    <row r="19" spans="1:8" x14ac:dyDescent="0.3">
      <c r="A19" s="46" t="s">
        <v>42</v>
      </c>
      <c r="B19" s="56" t="s">
        <v>65</v>
      </c>
      <c r="C19" s="51">
        <v>20706.509999999998</v>
      </c>
      <c r="D19" s="5"/>
      <c r="E19" s="12"/>
      <c r="F19" s="14"/>
      <c r="H19" s="86"/>
    </row>
    <row r="20" spans="1:8" x14ac:dyDescent="0.3">
      <c r="A20" s="46" t="s">
        <v>31</v>
      </c>
      <c r="B20" s="56"/>
      <c r="C20" s="100">
        <v>162865.29999999999</v>
      </c>
      <c r="D20" s="38"/>
      <c r="F20" s="12"/>
      <c r="H20" s="86"/>
    </row>
    <row r="21" spans="1:8" x14ac:dyDescent="0.3">
      <c r="A21" s="46" t="s">
        <v>32</v>
      </c>
      <c r="B21" s="56" t="s">
        <v>64</v>
      </c>
      <c r="C21" s="51">
        <v>53465</v>
      </c>
      <c r="D21" s="5"/>
      <c r="E21" s="12"/>
      <c r="H21" t="s">
        <v>76</v>
      </c>
    </row>
    <row r="22" spans="1:8" x14ac:dyDescent="0.3">
      <c r="A22" s="57"/>
      <c r="B22" s="58"/>
      <c r="C22" s="42">
        <f>SUM(C17:C21)</f>
        <v>285426.57</v>
      </c>
    </row>
    <row r="23" spans="1:8" x14ac:dyDescent="0.3">
      <c r="A23" s="53" t="s">
        <v>33</v>
      </c>
      <c r="B23" s="56"/>
      <c r="C23" s="84"/>
    </row>
    <row r="24" spans="1:8" ht="15.6" x14ac:dyDescent="0.3">
      <c r="A24" s="46" t="s">
        <v>63</v>
      </c>
      <c r="B24" s="59" t="s">
        <v>84</v>
      </c>
      <c r="C24" s="51">
        <f>68460+68460*5%</f>
        <v>71883</v>
      </c>
      <c r="F24" s="18"/>
    </row>
    <row r="25" spans="1:8" ht="15.6" x14ac:dyDescent="0.3">
      <c r="A25" s="46" t="s">
        <v>89</v>
      </c>
      <c r="B25" s="59"/>
      <c r="C25" s="51">
        <v>50000</v>
      </c>
      <c r="F25" s="18"/>
    </row>
    <row r="26" spans="1:8" ht="15.6" x14ac:dyDescent="0.3">
      <c r="A26" s="46" t="s">
        <v>90</v>
      </c>
      <c r="B26" s="59"/>
      <c r="C26" s="51">
        <v>32850</v>
      </c>
      <c r="F26" s="18"/>
    </row>
    <row r="27" spans="1:8" ht="15.6" x14ac:dyDescent="0.3">
      <c r="A27" s="105" t="s">
        <v>88</v>
      </c>
      <c r="B27" s="59"/>
      <c r="C27" s="51">
        <v>90000</v>
      </c>
      <c r="F27" s="18"/>
    </row>
    <row r="28" spans="1:8" ht="15.6" x14ac:dyDescent="0.3">
      <c r="A28" s="46" t="s">
        <v>68</v>
      </c>
      <c r="B28" s="56"/>
      <c r="C28" s="52"/>
      <c r="D28" s="5"/>
      <c r="E28" s="12"/>
      <c r="F28" s="18"/>
    </row>
    <row r="29" spans="1:8" ht="15.6" x14ac:dyDescent="0.3">
      <c r="A29" s="57"/>
      <c r="B29" s="58"/>
      <c r="C29" s="42">
        <f>SUM(C23:C28)</f>
        <v>244733</v>
      </c>
      <c r="F29" s="18"/>
    </row>
    <row r="30" spans="1:8" ht="15.6" x14ac:dyDescent="0.3">
      <c r="A30" s="49" t="s">
        <v>67</v>
      </c>
      <c r="B30" s="49"/>
      <c r="C30" s="60">
        <f>+C29+C22</f>
        <v>530159.57000000007</v>
      </c>
      <c r="F30" s="18"/>
    </row>
    <row r="31" spans="1:8" ht="15.6" x14ac:dyDescent="0.3">
      <c r="C31" s="43"/>
      <c r="F31" s="18"/>
    </row>
    <row r="32" spans="1:8" ht="15.6" x14ac:dyDescent="0.3">
      <c r="A32" s="19" t="s">
        <v>43</v>
      </c>
      <c r="C32" s="43"/>
      <c r="F32" s="18"/>
    </row>
    <row r="33" spans="1:6" ht="15.6" x14ac:dyDescent="0.3">
      <c r="A33" s="108"/>
      <c r="B33" s="109"/>
      <c r="C33" s="101"/>
      <c r="F33" s="18"/>
    </row>
    <row r="34" spans="1:6" ht="15.6" x14ac:dyDescent="0.3">
      <c r="A34" s="105" t="s">
        <v>85</v>
      </c>
      <c r="B34" s="46"/>
      <c r="C34" s="51">
        <v>180000</v>
      </c>
      <c r="F34" s="18"/>
    </row>
    <row r="35" spans="1:6" ht="15.6" x14ac:dyDescent="0.3">
      <c r="A35" s="46"/>
      <c r="B35" s="46"/>
      <c r="C35" s="52"/>
      <c r="F35" s="18"/>
    </row>
    <row r="36" spans="1:6" ht="15.6" x14ac:dyDescent="0.3">
      <c r="C36" s="44"/>
      <c r="F36" s="18"/>
    </row>
    <row r="37" spans="1:6" x14ac:dyDescent="0.3">
      <c r="A37" s="19" t="s">
        <v>39</v>
      </c>
      <c r="B37" s="19"/>
      <c r="C37" s="20">
        <f>SUM(C33:C36)</f>
        <v>180000</v>
      </c>
      <c r="E37" s="12"/>
    </row>
    <row r="39" spans="1:6" x14ac:dyDescent="0.3">
      <c r="A39" s="29" t="s">
        <v>14</v>
      </c>
      <c r="B39" s="29"/>
      <c r="C39" s="30">
        <f>+C37+C30</f>
        <v>710159.57000000007</v>
      </c>
    </row>
    <row r="41" spans="1:6" x14ac:dyDescent="0.3">
      <c r="A41" s="5" t="s">
        <v>34</v>
      </c>
    </row>
    <row r="42" spans="1:6" x14ac:dyDescent="0.3">
      <c r="A42" s="31" t="s">
        <v>9</v>
      </c>
      <c r="B42" s="28"/>
      <c r="C42" s="33">
        <v>66868.53562338918</v>
      </c>
      <c r="D42" s="6"/>
      <c r="E42" s="6"/>
    </row>
    <row r="43" spans="1:6" x14ac:dyDescent="0.3">
      <c r="A43" t="s">
        <v>8</v>
      </c>
      <c r="C43" s="27">
        <f>'prorrateo '!F13</f>
        <v>425923.61005000002</v>
      </c>
      <c r="D43" s="12"/>
      <c r="E43" s="12"/>
    </row>
    <row r="44" spans="1:6" x14ac:dyDescent="0.3">
      <c r="A44" t="s">
        <v>87</v>
      </c>
      <c r="C44" s="106">
        <f>extraordinarias!E13</f>
        <v>26352</v>
      </c>
      <c r="D44" s="12"/>
      <c r="E44" s="12"/>
    </row>
    <row r="45" spans="1:6" x14ac:dyDescent="0.3">
      <c r="A45" t="s">
        <v>75</v>
      </c>
      <c r="C45" s="61">
        <f>-C37</f>
        <v>-180000</v>
      </c>
      <c r="D45" s="12"/>
      <c r="E45" s="12"/>
    </row>
    <row r="46" spans="1:6" x14ac:dyDescent="0.3">
      <c r="A46" t="s">
        <v>66</v>
      </c>
      <c r="C46" s="61">
        <f>-(C30-C28)</f>
        <v>-530159.57000000007</v>
      </c>
    </row>
    <row r="47" spans="1:6" x14ac:dyDescent="0.3">
      <c r="A47" s="31" t="s">
        <v>15</v>
      </c>
      <c r="B47" s="28"/>
      <c r="C47" s="33">
        <f>SUM(C42:C46)</f>
        <v>-191015.42432661087</v>
      </c>
      <c r="D47" s="6"/>
    </row>
    <row r="48" spans="1:6" x14ac:dyDescent="0.3">
      <c r="A48" s="15"/>
      <c r="B48" s="14"/>
      <c r="C48" s="16"/>
    </row>
    <row r="49" spans="1:6" x14ac:dyDescent="0.3">
      <c r="A49" s="15"/>
      <c r="B49" s="14"/>
      <c r="C49" s="16"/>
      <c r="F49" s="62"/>
    </row>
    <row r="50" spans="1:6" ht="2.25" customHeight="1" x14ac:dyDescent="0.3">
      <c r="A50" s="15"/>
      <c r="B50" s="14"/>
      <c r="C50" s="16"/>
    </row>
    <row r="51" spans="1:6" ht="15.6" hidden="1" x14ac:dyDescent="0.3">
      <c r="A51" s="45" t="s">
        <v>60</v>
      </c>
      <c r="B51" s="64"/>
      <c r="C51" s="65">
        <v>109834.99657000002</v>
      </c>
    </row>
    <row r="52" spans="1:6" hidden="1" x14ac:dyDescent="0.3">
      <c r="A52" s="46"/>
      <c r="B52" s="46"/>
      <c r="C52" s="50"/>
    </row>
    <row r="53" spans="1:6" hidden="1" x14ac:dyDescent="0.3">
      <c r="A53" s="49" t="s">
        <v>4</v>
      </c>
      <c r="B53" s="47"/>
      <c r="C53" s="48">
        <f>SUM(C51:C52)</f>
        <v>109834.99657000002</v>
      </c>
    </row>
    <row r="54" spans="1:6" x14ac:dyDescent="0.3">
      <c r="A54" s="14"/>
      <c r="B54" s="14"/>
      <c r="C54" s="14"/>
    </row>
    <row r="55" spans="1:6" x14ac:dyDescent="0.3">
      <c r="A55" s="14"/>
      <c r="B55" s="14"/>
      <c r="C55" s="14"/>
    </row>
    <row r="56" spans="1:6" x14ac:dyDescent="0.3">
      <c r="A56" s="14"/>
      <c r="B56" s="14"/>
      <c r="C56" s="14"/>
    </row>
    <row r="57" spans="1:6" x14ac:dyDescent="0.3">
      <c r="A57" s="14"/>
      <c r="B57" s="14"/>
      <c r="C57" s="14"/>
    </row>
  </sheetData>
  <mergeCells count="1">
    <mergeCell ref="A33:B33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abSelected="1" workbookViewId="0">
      <selection activeCell="G10" sqref="G10"/>
    </sheetView>
  </sheetViews>
  <sheetFormatPr baseColWidth="10" defaultRowHeight="14.4" x14ac:dyDescent="0.3"/>
  <cols>
    <col min="1" max="1" width="5.33203125" style="1" customWidth="1"/>
    <col min="2" max="2" width="8" style="1" customWidth="1"/>
    <col min="3" max="3" width="23.44140625" bestFit="1" customWidth="1"/>
    <col min="4" max="4" width="9.88671875" bestFit="1" customWidth="1"/>
    <col min="5" max="5" width="16.33203125" customWidth="1"/>
    <col min="6" max="6" width="12.44140625" bestFit="1" customWidth="1"/>
    <col min="7" max="7" width="12.44140625" customWidth="1"/>
    <col min="8" max="8" width="9.33203125" bestFit="1" customWidth="1"/>
    <col min="9" max="9" width="10.44140625" customWidth="1"/>
    <col min="10" max="10" width="9.109375" customWidth="1"/>
    <col min="11" max="12" width="12.44140625" customWidth="1"/>
    <col min="13" max="13" width="12.44140625" bestFit="1" customWidth="1"/>
    <col min="15" max="15" width="11.44140625" style="17"/>
  </cols>
  <sheetData>
    <row r="1" spans="1:17" ht="15" thickBot="1" x14ac:dyDescent="0.35">
      <c r="A1" s="40" t="s">
        <v>47</v>
      </c>
      <c r="E1" s="103">
        <v>530159.57000000007</v>
      </c>
      <c r="G1" t="str">
        <f>'detalle y gastos'!C7</f>
        <v>Vto. 15/12</v>
      </c>
    </row>
    <row r="2" spans="1:17" x14ac:dyDescent="0.3">
      <c r="A2" s="71" t="str">
        <f>'detalle y gastos'!B7</f>
        <v>LIQUIDACIÓN EXPENSAS NOVIEMBRE 2025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3">
      <c r="A3" s="113"/>
      <c r="B3" s="111" t="s">
        <v>1</v>
      </c>
      <c r="C3" s="119" t="s">
        <v>2</v>
      </c>
      <c r="D3" s="120" t="s">
        <v>54</v>
      </c>
      <c r="E3" s="111" t="s">
        <v>16</v>
      </c>
      <c r="F3" s="117" t="s">
        <v>3</v>
      </c>
      <c r="G3" s="119" t="s">
        <v>52</v>
      </c>
      <c r="H3" s="117" t="s">
        <v>44</v>
      </c>
      <c r="I3" s="119" t="s">
        <v>6</v>
      </c>
      <c r="J3" s="121" t="s">
        <v>80</v>
      </c>
      <c r="K3" s="115" t="s">
        <v>69</v>
      </c>
      <c r="L3" s="115" t="s">
        <v>70</v>
      </c>
      <c r="M3" s="115" t="s">
        <v>71</v>
      </c>
    </row>
    <row r="4" spans="1:17" x14ac:dyDescent="0.3">
      <c r="A4" s="114"/>
      <c r="B4" s="112"/>
      <c r="C4" s="119"/>
      <c r="D4" s="120"/>
      <c r="E4" s="112"/>
      <c r="F4" s="118"/>
      <c r="G4" s="119"/>
      <c r="H4" s="118"/>
      <c r="I4" s="119"/>
      <c r="J4" s="121"/>
      <c r="K4" s="116"/>
      <c r="L4" s="116"/>
      <c r="M4" s="116"/>
    </row>
    <row r="5" spans="1:17" x14ac:dyDescent="0.3">
      <c r="A5" s="68">
        <v>1</v>
      </c>
      <c r="B5" s="11" t="s">
        <v>18</v>
      </c>
      <c r="C5" s="41" t="s">
        <v>26</v>
      </c>
      <c r="D5" s="41" t="s">
        <v>58</v>
      </c>
      <c r="E5" s="37">
        <v>52345.718659999991</v>
      </c>
      <c r="F5" s="85">
        <v>52350</v>
      </c>
      <c r="G5" s="37">
        <f>E5-F5</f>
        <v>-4.2813400000086403</v>
      </c>
      <c r="H5" s="37">
        <f>IF(G5&gt;0,G5*3%,0)</f>
        <v>0</v>
      </c>
      <c r="I5" s="74">
        <v>0.121</v>
      </c>
      <c r="J5" s="63"/>
      <c r="K5" s="75">
        <f>E1*I5</f>
        <v>64149.307970000009</v>
      </c>
      <c r="L5" s="75">
        <f>E5-F5+H5+K5+J5</f>
        <v>64145.02663</v>
      </c>
      <c r="M5" s="76">
        <f>L5+L5*4%</f>
        <v>66710.827695200001</v>
      </c>
    </row>
    <row r="6" spans="1:17" x14ac:dyDescent="0.3">
      <c r="A6" s="68">
        <v>2</v>
      </c>
      <c r="B6" s="11" t="s">
        <v>19</v>
      </c>
      <c r="C6" s="41" t="s">
        <v>27</v>
      </c>
      <c r="D6" s="41" t="s">
        <v>59</v>
      </c>
      <c r="E6" s="37">
        <v>52780.719699999994</v>
      </c>
      <c r="F6" s="85">
        <f t="shared" ref="F6:F11" si="0">E6</f>
        <v>52780.719699999994</v>
      </c>
      <c r="G6" s="37">
        <f t="shared" ref="G6:G12" si="1">E6-F6</f>
        <v>0</v>
      </c>
      <c r="H6" s="37">
        <f t="shared" ref="H6:H12" si="2">IF(G6&gt;0,G6*3%,0)</f>
        <v>0</v>
      </c>
      <c r="I6" s="74">
        <v>0.122</v>
      </c>
      <c r="J6" s="63"/>
      <c r="K6" s="75">
        <f>E1*I6</f>
        <v>64679.467540000005</v>
      </c>
      <c r="L6" s="75">
        <f t="shared" ref="L6:L12" si="3">E6-F6+H6+K6+J6</f>
        <v>64679.467540000005</v>
      </c>
      <c r="M6" s="76">
        <f t="shared" ref="M6:M12" si="4">L6+L6*4%</f>
        <v>67266.646241599999</v>
      </c>
      <c r="O6" s="83"/>
      <c r="Q6" s="82"/>
    </row>
    <row r="7" spans="1:17" x14ac:dyDescent="0.3">
      <c r="A7" s="68">
        <v>3</v>
      </c>
      <c r="B7" s="11" t="s">
        <v>20</v>
      </c>
      <c r="C7" s="41" t="s">
        <v>28</v>
      </c>
      <c r="D7" s="41" t="s">
        <v>72</v>
      </c>
      <c r="E7" s="37">
        <v>50617.575449999997</v>
      </c>
      <c r="F7" s="85">
        <v>94528</v>
      </c>
      <c r="G7" s="37">
        <f t="shared" si="1"/>
        <v>-43910.424550000003</v>
      </c>
      <c r="H7" s="37">
        <f t="shared" si="2"/>
        <v>0</v>
      </c>
      <c r="I7" s="74">
        <v>0.11700000000000001</v>
      </c>
      <c r="J7" s="63"/>
      <c r="K7" s="75">
        <f>E1*I7</f>
        <v>62028.66969000001</v>
      </c>
      <c r="L7" s="75">
        <f t="shared" si="3"/>
        <v>18118.245140000006</v>
      </c>
      <c r="M7" s="76">
        <f t="shared" si="4"/>
        <v>18842.974945600006</v>
      </c>
    </row>
    <row r="8" spans="1:17" x14ac:dyDescent="0.3">
      <c r="A8" s="68">
        <v>4</v>
      </c>
      <c r="B8" s="11" t="s">
        <v>21</v>
      </c>
      <c r="C8" s="41" t="s">
        <v>29</v>
      </c>
      <c r="D8" s="41" t="s">
        <v>74</v>
      </c>
      <c r="E8" s="85">
        <v>50617.575449999997</v>
      </c>
      <c r="F8" s="107"/>
      <c r="G8" s="37">
        <f t="shared" si="1"/>
        <v>50617.575449999997</v>
      </c>
      <c r="H8" s="37">
        <f t="shared" si="2"/>
        <v>1518.5272634999999</v>
      </c>
      <c r="I8" s="74">
        <v>0.11700000000000001</v>
      </c>
      <c r="J8" s="63"/>
      <c r="K8" s="75">
        <f>E1*I8</f>
        <v>62028.66969000001</v>
      </c>
      <c r="L8" s="75">
        <f t="shared" si="3"/>
        <v>114164.77240350001</v>
      </c>
      <c r="M8" s="76">
        <f t="shared" si="4"/>
        <v>118731.36329964001</v>
      </c>
    </row>
    <row r="9" spans="1:17" x14ac:dyDescent="0.3">
      <c r="A9" s="68">
        <v>5</v>
      </c>
      <c r="B9" s="11" t="s">
        <v>22</v>
      </c>
      <c r="C9" s="41" t="s">
        <v>26</v>
      </c>
      <c r="D9" s="41" t="s">
        <v>57</v>
      </c>
      <c r="E9" s="37">
        <v>59270.152450000001</v>
      </c>
      <c r="F9" s="85">
        <f>E9</f>
        <v>59270.152450000001</v>
      </c>
      <c r="G9" s="37">
        <f t="shared" si="1"/>
        <v>0</v>
      </c>
      <c r="H9" s="37">
        <f t="shared" si="2"/>
        <v>0</v>
      </c>
      <c r="I9" s="74">
        <v>0.13700000000000001</v>
      </c>
      <c r="J9" s="63"/>
      <c r="K9" s="75">
        <f>E1*I9</f>
        <v>72631.86109000002</v>
      </c>
      <c r="L9" s="75">
        <f t="shared" si="3"/>
        <v>72631.86109000002</v>
      </c>
      <c r="M9" s="76">
        <f t="shared" si="4"/>
        <v>75537.135533600027</v>
      </c>
    </row>
    <row r="10" spans="1:17" x14ac:dyDescent="0.3">
      <c r="A10" s="68">
        <v>6</v>
      </c>
      <c r="B10" s="11" t="s">
        <v>23</v>
      </c>
      <c r="C10" s="41" t="s">
        <v>26</v>
      </c>
      <c r="D10" s="41" t="s">
        <v>77</v>
      </c>
      <c r="E10" s="37">
        <v>129184.55865799999</v>
      </c>
      <c r="F10" s="85">
        <v>57107.01</v>
      </c>
      <c r="G10" s="37">
        <f t="shared" si="1"/>
        <v>72077.548657999985</v>
      </c>
      <c r="H10" s="37">
        <f t="shared" si="2"/>
        <v>2162.3264597399993</v>
      </c>
      <c r="I10" s="74">
        <v>0.13200000000000001</v>
      </c>
      <c r="J10" s="63"/>
      <c r="K10" s="75">
        <f>E1*I10</f>
        <v>69981.063240000018</v>
      </c>
      <c r="L10" s="75">
        <f t="shared" si="3"/>
        <v>144220.93835774</v>
      </c>
      <c r="M10" s="76">
        <f t="shared" si="4"/>
        <v>149989.7758920496</v>
      </c>
    </row>
    <row r="11" spans="1:17" x14ac:dyDescent="0.3">
      <c r="A11" s="68">
        <v>7</v>
      </c>
      <c r="B11" s="11" t="s">
        <v>24</v>
      </c>
      <c r="C11" s="41" t="s">
        <v>28</v>
      </c>
      <c r="D11" s="41" t="s">
        <v>56</v>
      </c>
      <c r="E11" s="37">
        <v>54943.863949999999</v>
      </c>
      <c r="F11" s="85">
        <f t="shared" si="0"/>
        <v>54943.863949999999</v>
      </c>
      <c r="G11" s="37">
        <f t="shared" si="1"/>
        <v>0</v>
      </c>
      <c r="H11" s="37">
        <f t="shared" si="2"/>
        <v>0</v>
      </c>
      <c r="I11" s="74">
        <v>0.127</v>
      </c>
      <c r="J11" s="63"/>
      <c r="K11" s="75">
        <f>E1*I11</f>
        <v>67330.265390000015</v>
      </c>
      <c r="L11" s="75">
        <f t="shared" si="3"/>
        <v>67330.265390000015</v>
      </c>
      <c r="M11" s="76">
        <f t="shared" si="4"/>
        <v>70023.476005600009</v>
      </c>
    </row>
    <row r="12" spans="1:17" x14ac:dyDescent="0.3">
      <c r="A12" s="68">
        <v>8</v>
      </c>
      <c r="B12" s="11" t="s">
        <v>25</v>
      </c>
      <c r="C12" s="41" t="s">
        <v>30</v>
      </c>
      <c r="D12" s="41" t="s">
        <v>55</v>
      </c>
      <c r="E12" s="37">
        <v>54943.863949999999</v>
      </c>
      <c r="F12" s="85">
        <f>E12</f>
        <v>54943.863949999999</v>
      </c>
      <c r="G12" s="37">
        <f t="shared" si="1"/>
        <v>0</v>
      </c>
      <c r="H12" s="37">
        <f t="shared" si="2"/>
        <v>0</v>
      </c>
      <c r="I12" s="74">
        <v>0.127</v>
      </c>
      <c r="J12" s="63"/>
      <c r="K12" s="75">
        <f>E1*I12</f>
        <v>67330.265390000015</v>
      </c>
      <c r="L12" s="75">
        <f t="shared" si="3"/>
        <v>67330.265390000015</v>
      </c>
      <c r="M12" s="76">
        <f t="shared" si="4"/>
        <v>70023.476005600009</v>
      </c>
    </row>
    <row r="13" spans="1:17" ht="15" thickBot="1" x14ac:dyDescent="0.35">
      <c r="A13" s="77" t="s">
        <v>10</v>
      </c>
      <c r="B13" s="78"/>
      <c r="C13" s="79"/>
      <c r="D13" s="79"/>
      <c r="E13" s="80">
        <f>SUM(E5:E12)</f>
        <v>504704.02826799999</v>
      </c>
      <c r="F13" s="69">
        <f>SUM(F5:F12)</f>
        <v>425923.61005000002</v>
      </c>
      <c r="G13" s="69"/>
      <c r="H13" s="69">
        <f>SUM(H5:H12)</f>
        <v>3680.8537232399995</v>
      </c>
      <c r="I13" s="70">
        <f t="shared" ref="I13" si="5">SUM(I5:I12)</f>
        <v>1</v>
      </c>
      <c r="J13" s="102">
        <f>SUM(J5:J12)</f>
        <v>0</v>
      </c>
      <c r="K13" s="80">
        <f>SUM(K5:K12)</f>
        <v>530159.57000000007</v>
      </c>
      <c r="L13" s="80">
        <f>SUM(L5:L12)</f>
        <v>612620.84194124001</v>
      </c>
      <c r="M13" s="81">
        <f>SUM(M5:M12)</f>
        <v>637125.67561888974</v>
      </c>
    </row>
    <row r="15" spans="1:17" x14ac:dyDescent="0.3">
      <c r="C15" s="110" t="s">
        <v>81</v>
      </c>
      <c r="D15" s="110"/>
      <c r="E15" s="110"/>
      <c r="F15" s="110"/>
      <c r="G15" s="110"/>
      <c r="H15" s="110"/>
      <c r="I15" s="110"/>
      <c r="J15" s="110"/>
      <c r="K15" s="110"/>
      <c r="L15" s="110"/>
    </row>
    <row r="16" spans="1:17" ht="15" hidden="1" customHeight="1" x14ac:dyDescent="0.3">
      <c r="A16" s="40" t="s">
        <v>48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</row>
    <row r="17" spans="1:13" ht="15" hidden="1" customHeight="1" x14ac:dyDescent="0.3">
      <c r="A17" s="24" t="s">
        <v>50</v>
      </c>
      <c r="B17" s="25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26"/>
    </row>
    <row r="18" spans="1:13" ht="15" hidden="1" customHeight="1" x14ac:dyDescent="0.3">
      <c r="A18" s="2" t="s">
        <v>0</v>
      </c>
      <c r="B18" s="7" t="s">
        <v>1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36" t="s">
        <v>4</v>
      </c>
    </row>
    <row r="19" spans="1:13" ht="15" hidden="1" customHeight="1" x14ac:dyDescent="0.3">
      <c r="A19" s="2"/>
      <c r="B19" s="7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32" t="s">
        <v>5</v>
      </c>
    </row>
    <row r="20" spans="1:13" ht="15" hidden="1" customHeight="1" x14ac:dyDescent="0.3">
      <c r="A20" s="10">
        <v>1</v>
      </c>
      <c r="B20" s="11" t="s">
        <v>18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34" t="e">
        <f>+#REF!+H20+K20</f>
        <v>#REF!</v>
      </c>
    </row>
    <row r="21" spans="1:13" ht="15" hidden="1" customHeight="1" x14ac:dyDescent="0.3">
      <c r="A21" s="10">
        <v>2</v>
      </c>
      <c r="B21" s="11" t="s">
        <v>19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34" t="e">
        <f>+#REF!+H21+K21</f>
        <v>#REF!</v>
      </c>
    </row>
    <row r="22" spans="1:13" ht="15" hidden="1" customHeight="1" x14ac:dyDescent="0.3">
      <c r="A22" s="10">
        <v>3</v>
      </c>
      <c r="B22" s="11" t="s">
        <v>20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34" t="e">
        <f>+#REF!+H22+K22</f>
        <v>#REF!</v>
      </c>
    </row>
    <row r="23" spans="1:13" ht="15" hidden="1" customHeight="1" x14ac:dyDescent="0.3">
      <c r="A23" s="10">
        <v>4</v>
      </c>
      <c r="B23" s="11" t="s">
        <v>21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34" t="e">
        <f>+#REF!+H23+K23</f>
        <v>#REF!</v>
      </c>
    </row>
    <row r="24" spans="1:13" ht="15" hidden="1" customHeight="1" x14ac:dyDescent="0.3">
      <c r="A24" s="10">
        <v>5</v>
      </c>
      <c r="B24" s="11" t="s">
        <v>22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34" t="e">
        <f>+#REF!+H24+K24</f>
        <v>#REF!</v>
      </c>
    </row>
    <row r="25" spans="1:13" ht="15" hidden="1" customHeight="1" x14ac:dyDescent="0.3">
      <c r="A25" s="10">
        <v>6</v>
      </c>
      <c r="B25" s="11" t="s">
        <v>23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34" t="e">
        <f>+#REF!+H25+K25</f>
        <v>#REF!</v>
      </c>
    </row>
    <row r="26" spans="1:13" ht="15" hidden="1" customHeight="1" x14ac:dyDescent="0.3">
      <c r="A26" s="10">
        <v>7</v>
      </c>
      <c r="B26" s="11" t="s">
        <v>24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34" t="e">
        <f>+#REF!+H26+K26</f>
        <v>#REF!</v>
      </c>
    </row>
    <row r="27" spans="1:13" ht="15" hidden="1" customHeight="1" x14ac:dyDescent="0.3">
      <c r="A27" s="10">
        <v>8</v>
      </c>
      <c r="B27" s="11" t="s">
        <v>25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34" t="e">
        <f>+#REF!+H27+K27</f>
        <v>#REF!</v>
      </c>
    </row>
    <row r="28" spans="1:13" ht="15.75" hidden="1" customHeight="1" thickBot="1" x14ac:dyDescent="0.35">
      <c r="A28" s="8" t="s">
        <v>10</v>
      </c>
      <c r="B28" s="9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35" t="e">
        <f>SUM(M20:M27)</f>
        <v>#REF!</v>
      </c>
    </row>
    <row r="29" spans="1:13" x14ac:dyDescent="0.3">
      <c r="C29" s="110"/>
      <c r="D29" s="110"/>
      <c r="E29" s="110"/>
      <c r="F29" s="110"/>
      <c r="G29" s="110"/>
      <c r="H29" s="110"/>
      <c r="I29" s="110"/>
      <c r="J29" s="110"/>
      <c r="K29" s="110"/>
      <c r="L29" s="110"/>
    </row>
    <row r="30" spans="1:13" x14ac:dyDescent="0.3">
      <c r="C30" s="110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3" x14ac:dyDescent="0.3">
      <c r="C31" s="110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3" x14ac:dyDescent="0.3">
      <c r="C32" s="110"/>
      <c r="D32" s="110"/>
      <c r="E32" s="110"/>
      <c r="F32" s="110"/>
      <c r="G32" s="110"/>
      <c r="H32" s="110"/>
      <c r="I32" s="110"/>
      <c r="J32" s="110"/>
      <c r="K32" s="110"/>
      <c r="L32" s="110"/>
    </row>
    <row r="39" spans="5:5" x14ac:dyDescent="0.3">
      <c r="E39" s="39"/>
    </row>
  </sheetData>
  <mergeCells count="14">
    <mergeCell ref="M3:M4"/>
    <mergeCell ref="H3:H4"/>
    <mergeCell ref="F3:F4"/>
    <mergeCell ref="G3:G4"/>
    <mergeCell ref="C3:C4"/>
    <mergeCell ref="D3:D4"/>
    <mergeCell ref="J3:J4"/>
    <mergeCell ref="I3:I4"/>
    <mergeCell ref="E3:E4"/>
    <mergeCell ref="C15:L32"/>
    <mergeCell ref="B3:B4"/>
    <mergeCell ref="A3:A4"/>
    <mergeCell ref="K3:K4"/>
    <mergeCell ref="L3:L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Normal="100" workbookViewId="0">
      <selection activeCell="G5" sqref="G5"/>
    </sheetView>
  </sheetViews>
  <sheetFormatPr baseColWidth="10" defaultRowHeight="14.4" x14ac:dyDescent="0.3"/>
  <cols>
    <col min="1" max="1" width="6.33203125" customWidth="1"/>
    <col min="3" max="3" width="14.109375" bestFit="1" customWidth="1"/>
    <col min="4" max="4" width="14.33203125" customWidth="1"/>
    <col min="5" max="5" width="13.109375" bestFit="1" customWidth="1"/>
    <col min="6" max="6" width="13.109375" customWidth="1"/>
    <col min="7" max="7" width="18" customWidth="1"/>
    <col min="8" max="8" width="11.109375" customWidth="1"/>
    <col min="9" max="9" width="14.6640625" customWidth="1"/>
    <col min="10" max="10" width="13" customWidth="1"/>
  </cols>
  <sheetData>
    <row r="1" spans="1:12" x14ac:dyDescent="0.3">
      <c r="A1" s="91" t="s">
        <v>48</v>
      </c>
      <c r="B1" s="92"/>
      <c r="C1" s="93"/>
      <c r="D1" s="122">
        <v>0</v>
      </c>
      <c r="E1" s="122"/>
      <c r="F1" s="104"/>
      <c r="G1" s="93"/>
      <c r="H1" s="93"/>
      <c r="I1" s="93"/>
      <c r="J1" s="94"/>
      <c r="L1" s="17"/>
    </row>
    <row r="2" spans="1:12" x14ac:dyDescent="0.3">
      <c r="A2" s="95" t="s">
        <v>79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3">
      <c r="A3" s="123" t="s">
        <v>0</v>
      </c>
      <c r="B3" s="111" t="s">
        <v>1</v>
      </c>
      <c r="C3" s="111" t="s">
        <v>2</v>
      </c>
      <c r="D3" s="120" t="s">
        <v>9</v>
      </c>
      <c r="E3" s="119" t="s">
        <v>51</v>
      </c>
      <c r="F3" s="111" t="s">
        <v>86</v>
      </c>
      <c r="G3" s="120" t="s">
        <v>44</v>
      </c>
      <c r="H3" s="119" t="s">
        <v>6</v>
      </c>
      <c r="I3" s="126" t="s">
        <v>78</v>
      </c>
      <c r="J3" s="125" t="s">
        <v>53</v>
      </c>
      <c r="L3" s="17"/>
    </row>
    <row r="4" spans="1:12" x14ac:dyDescent="0.3">
      <c r="A4" s="124"/>
      <c r="B4" s="112"/>
      <c r="C4" s="112"/>
      <c r="D4" s="120"/>
      <c r="E4" s="119"/>
      <c r="F4" s="112"/>
      <c r="G4" s="120"/>
      <c r="H4" s="119"/>
      <c r="I4" s="126"/>
      <c r="J4" s="125"/>
      <c r="L4" s="17"/>
    </row>
    <row r="5" spans="1:12" ht="30" customHeight="1" x14ac:dyDescent="0.3">
      <c r="A5" s="98">
        <v>1</v>
      </c>
      <c r="B5" s="99" t="s">
        <v>18</v>
      </c>
      <c r="C5" s="87" t="s">
        <v>26</v>
      </c>
      <c r="D5" s="75">
        <v>118177.84</v>
      </c>
      <c r="E5" s="75">
        <v>0</v>
      </c>
      <c r="F5" s="75">
        <f>D5-E5</f>
        <v>118177.84</v>
      </c>
      <c r="G5" s="90">
        <f>F5*3%</f>
        <v>3545.3352</v>
      </c>
      <c r="H5" s="74">
        <v>0.121</v>
      </c>
      <c r="I5" s="75">
        <f t="shared" ref="I5:I12" si="0">D$1*H5</f>
        <v>0</v>
      </c>
      <c r="J5" s="97">
        <f>+G5+I5+F5</f>
        <v>121723.1752</v>
      </c>
      <c r="L5" s="17"/>
    </row>
    <row r="6" spans="1:12" ht="30" customHeight="1" x14ac:dyDescent="0.3">
      <c r="A6" s="98">
        <v>2</v>
      </c>
      <c r="B6" s="99" t="s">
        <v>19</v>
      </c>
      <c r="C6" s="87" t="s">
        <v>27</v>
      </c>
      <c r="D6" s="75">
        <v>149494.16</v>
      </c>
      <c r="E6" s="75">
        <v>0</v>
      </c>
      <c r="F6" s="75">
        <f t="shared" ref="F6:F12" si="1">D6-E6</f>
        <v>149494.16</v>
      </c>
      <c r="G6" s="90">
        <f t="shared" ref="G6:G12" si="2">F6*3%</f>
        <v>4484.8248000000003</v>
      </c>
      <c r="H6" s="74">
        <v>0.122</v>
      </c>
      <c r="I6" s="75">
        <f t="shared" si="0"/>
        <v>0</v>
      </c>
      <c r="J6" s="97">
        <f t="shared" ref="J6:J12" si="3">+G6+I6+F6</f>
        <v>153978.98480000001</v>
      </c>
      <c r="L6" s="17"/>
    </row>
    <row r="7" spans="1:12" ht="30" customHeight="1" x14ac:dyDescent="0.3">
      <c r="A7" s="98">
        <v>3</v>
      </c>
      <c r="B7" s="99" t="s">
        <v>20</v>
      </c>
      <c r="C7" s="87" t="s">
        <v>28</v>
      </c>
      <c r="D7" s="75">
        <v>12636</v>
      </c>
      <c r="E7" s="75">
        <f>D7</f>
        <v>12636</v>
      </c>
      <c r="F7" s="75">
        <f t="shared" si="1"/>
        <v>0</v>
      </c>
      <c r="G7" s="90">
        <f t="shared" si="2"/>
        <v>0</v>
      </c>
      <c r="H7" s="74">
        <v>0.11700000000000001</v>
      </c>
      <c r="I7" s="75">
        <f t="shared" si="0"/>
        <v>0</v>
      </c>
      <c r="J7" s="97">
        <f t="shared" si="3"/>
        <v>0</v>
      </c>
      <c r="L7" s="17"/>
    </row>
    <row r="8" spans="1:12" ht="30" customHeight="1" x14ac:dyDescent="0.3">
      <c r="A8" s="98">
        <v>4</v>
      </c>
      <c r="B8" s="99" t="s">
        <v>21</v>
      </c>
      <c r="C8" s="87" t="s">
        <v>29</v>
      </c>
      <c r="D8" s="75">
        <v>143366.72</v>
      </c>
      <c r="E8" s="75">
        <v>0</v>
      </c>
      <c r="F8" s="75">
        <f t="shared" si="1"/>
        <v>143366.72</v>
      </c>
      <c r="G8" s="90">
        <f t="shared" si="2"/>
        <v>4301.0015999999996</v>
      </c>
      <c r="H8" s="74">
        <v>0.11700000000000001</v>
      </c>
      <c r="I8" s="75">
        <f t="shared" si="0"/>
        <v>0</v>
      </c>
      <c r="J8" s="97">
        <f t="shared" si="3"/>
        <v>147667.72159999999</v>
      </c>
      <c r="L8" s="17"/>
    </row>
    <row r="9" spans="1:12" ht="30" customHeight="1" x14ac:dyDescent="0.3">
      <c r="A9" s="98">
        <v>5</v>
      </c>
      <c r="B9" s="99" t="s">
        <v>22</v>
      </c>
      <c r="C9" s="87" t="s">
        <v>26</v>
      </c>
      <c r="D9" s="75">
        <v>133806.24000000002</v>
      </c>
      <c r="E9" s="75">
        <v>0</v>
      </c>
      <c r="F9" s="75">
        <f t="shared" si="1"/>
        <v>133806.24000000002</v>
      </c>
      <c r="G9" s="90">
        <f t="shared" si="2"/>
        <v>4014.1872000000003</v>
      </c>
      <c r="H9" s="74">
        <v>0.13700000000000001</v>
      </c>
      <c r="I9" s="75">
        <f t="shared" si="0"/>
        <v>0</v>
      </c>
      <c r="J9" s="97">
        <f t="shared" si="3"/>
        <v>137820.42720000003</v>
      </c>
      <c r="L9" s="17"/>
    </row>
    <row r="10" spans="1:12" ht="30" customHeight="1" x14ac:dyDescent="0.3">
      <c r="A10" s="98">
        <v>6</v>
      </c>
      <c r="B10" s="99" t="s">
        <v>23</v>
      </c>
      <c r="C10" s="87" t="s">
        <v>26</v>
      </c>
      <c r="D10" s="75">
        <v>128921.28</v>
      </c>
      <c r="E10" s="75">
        <v>0</v>
      </c>
      <c r="F10" s="75">
        <f t="shared" si="1"/>
        <v>128921.28</v>
      </c>
      <c r="G10" s="90">
        <f t="shared" si="2"/>
        <v>3867.6383999999998</v>
      </c>
      <c r="H10" s="74">
        <v>0.13200000000000001</v>
      </c>
      <c r="I10" s="75">
        <f t="shared" si="0"/>
        <v>0</v>
      </c>
      <c r="J10" s="97">
        <f t="shared" si="3"/>
        <v>132788.9184</v>
      </c>
      <c r="L10" s="17"/>
    </row>
    <row r="11" spans="1:12" ht="30" customHeight="1" x14ac:dyDescent="0.3">
      <c r="A11" s="98">
        <v>7</v>
      </c>
      <c r="B11" s="99" t="s">
        <v>24</v>
      </c>
      <c r="C11" s="87" t="s">
        <v>28</v>
      </c>
      <c r="D11" s="75">
        <v>13716</v>
      </c>
      <c r="E11" s="75">
        <f>D11</f>
        <v>13716</v>
      </c>
      <c r="F11" s="75">
        <f t="shared" si="1"/>
        <v>0</v>
      </c>
      <c r="G11" s="90">
        <f t="shared" si="2"/>
        <v>0</v>
      </c>
      <c r="H11" s="74">
        <v>0.127</v>
      </c>
      <c r="I11" s="75">
        <f t="shared" si="0"/>
        <v>0</v>
      </c>
      <c r="J11" s="97">
        <f t="shared" si="3"/>
        <v>0</v>
      </c>
      <c r="L11" s="17"/>
    </row>
    <row r="12" spans="1:12" ht="30" customHeight="1" x14ac:dyDescent="0.3">
      <c r="A12" s="98">
        <v>8</v>
      </c>
      <c r="B12" s="99" t="s">
        <v>25</v>
      </c>
      <c r="C12" s="87" t="s">
        <v>30</v>
      </c>
      <c r="D12" s="75">
        <v>13716</v>
      </c>
      <c r="E12" s="75">
        <v>0</v>
      </c>
      <c r="F12" s="75">
        <f t="shared" si="1"/>
        <v>13716</v>
      </c>
      <c r="G12" s="90">
        <f t="shared" si="2"/>
        <v>411.47999999999996</v>
      </c>
      <c r="H12" s="74">
        <v>0.127</v>
      </c>
      <c r="I12" s="75">
        <f t="shared" si="0"/>
        <v>0</v>
      </c>
      <c r="J12" s="97">
        <f t="shared" si="3"/>
        <v>14127.48</v>
      </c>
      <c r="L12" s="17"/>
    </row>
    <row r="13" spans="1:12" ht="15" thickBot="1" x14ac:dyDescent="0.35">
      <c r="A13" s="77" t="s">
        <v>10</v>
      </c>
      <c r="B13" s="78"/>
      <c r="C13" s="79"/>
      <c r="D13" s="80">
        <f>SUM(D5:D12)</f>
        <v>713834.24</v>
      </c>
      <c r="E13" s="80">
        <f>SUM(E5:E12)</f>
        <v>26352</v>
      </c>
      <c r="F13" s="80"/>
      <c r="G13" s="80">
        <f>SUM(G5:G12)</f>
        <v>20624.467199999999</v>
      </c>
      <c r="H13" s="70">
        <f t="shared" ref="H13" si="4">SUM(H5:H12)</f>
        <v>1</v>
      </c>
      <c r="I13" s="80">
        <f>SUM(I5:I12)</f>
        <v>0</v>
      </c>
      <c r="J13" s="81">
        <f>SUM(J5:J12)</f>
        <v>708106.70719999995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2025-12-04T17:07:51Z</cp:lastPrinted>
  <dcterms:created xsi:type="dcterms:W3CDTF">2020-12-10T00:27:53Z</dcterms:created>
  <dcterms:modified xsi:type="dcterms:W3CDTF">2025-12-04T17:09:16Z</dcterms:modified>
</cp:coreProperties>
</file>