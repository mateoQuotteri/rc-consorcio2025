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Agosto\"/>
    </mc:Choice>
  </mc:AlternateContent>
  <xr:revisionPtr revIDLastSave="0" documentId="13_ncr:1_{EC6E14AE-2678-428A-8776-2ED5B27A9EF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RESUMEN!$A$1:$E$141</definedName>
  </definedNames>
  <calcPr calcId="181029"/>
</workbook>
</file>

<file path=xl/calcChain.xml><?xml version="1.0" encoding="utf-8"?>
<calcChain xmlns="http://schemas.openxmlformats.org/spreadsheetml/2006/main">
  <c r="E85" i="1" l="1"/>
  <c r="H25" i="2" l="1"/>
  <c r="H30" i="2"/>
  <c r="H24" i="2"/>
  <c r="H29" i="2"/>
  <c r="H16" i="2"/>
  <c r="H14" i="2"/>
  <c r="H6" i="2"/>
  <c r="H26" i="2" s="1"/>
  <c r="H27" i="2"/>
  <c r="H10" i="2"/>
  <c r="H15" i="2" s="1"/>
  <c r="N30" i="2" l="1"/>
  <c r="E42" i="1"/>
  <c r="E52" i="1"/>
  <c r="E79" i="1"/>
  <c r="E75" i="1"/>
  <c r="H7" i="2" l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8" i="2" l="1"/>
  <c r="H12" i="2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H23" i="2"/>
  <c r="J23" i="2" s="1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40" i="1"/>
  <c r="B116" i="1" s="1"/>
  <c r="B131" i="1"/>
  <c r="E93" i="1"/>
  <c r="E98" i="1" s="1"/>
  <c r="B103" i="1" s="1"/>
  <c r="E83" i="1"/>
  <c r="E80" i="1"/>
  <c r="E50" i="1"/>
  <c r="E51" i="1" s="1"/>
  <c r="A50" i="1"/>
  <c r="A51" i="1" s="1"/>
  <c r="E45" i="1"/>
  <c r="D37" i="1"/>
  <c r="D28" i="1"/>
  <c r="E38" i="1" l="1"/>
  <c r="E87" i="1" s="1"/>
  <c r="M36" i="2" s="1"/>
  <c r="O36" i="2" s="1"/>
  <c r="P36" i="2" s="1"/>
  <c r="J6" i="2"/>
  <c r="J26" i="2"/>
  <c r="K26" i="2" s="1"/>
  <c r="J9" i="2"/>
  <c r="K9" i="2" s="1"/>
  <c r="J14" i="2"/>
  <c r="K14" i="2" s="1"/>
  <c r="O8" i="2"/>
  <c r="B102" i="1"/>
  <c r="B118" i="1" s="1"/>
  <c r="R10" i="2"/>
  <c r="O7" i="2"/>
  <c r="L37" i="2"/>
  <c r="M37" i="2" l="1"/>
  <c r="O9" i="2"/>
  <c r="P9" i="2" s="1"/>
  <c r="K6" i="2"/>
  <c r="O6" i="2" s="1"/>
  <c r="Q6" i="2" s="1"/>
  <c r="Q36" i="2"/>
  <c r="P8" i="2"/>
  <c r="Q8" i="2"/>
  <c r="B101" i="1"/>
  <c r="B117" i="1" s="1"/>
  <c r="B100" i="1"/>
  <c r="J37" i="2"/>
  <c r="O10" i="2"/>
  <c r="R11" i="2"/>
  <c r="Q9" i="2"/>
  <c r="Q7" i="2"/>
  <c r="P7" i="2"/>
  <c r="H37" i="2"/>
  <c r="B114" i="1" s="1"/>
  <c r="B122" i="1" s="1"/>
  <c r="K37" i="2" l="1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<sst xmlns="http://schemas.openxmlformats.org/spreadsheetml/2006/main" count="225" uniqueCount="188">
  <si>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</si>
  <si>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</si>
  <si>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</si>
  <si>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</si>
  <si>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</si>
  <si>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</si>
  <si>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</si>
  <si>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</si>
  <si>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</si>
  <si>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</si>
  <si>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</si>
  <si>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</si>
  <si>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</si>
  <si>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</si>
  <si>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</si>
  <si>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</si>
  <si>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</si>
  <si>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</si>
  <si>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</si>
  <si>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</si>
  <si>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</si>
  <si>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</si>
  <si>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</si>
  <si>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</si>
  <si>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</si>
  <si>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</si>
  <si>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</si>
  <si>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</si>
  <si>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</si>
  <si>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</si>
  <si>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</si>
  <si>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</si>
  <si>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</si>
  <si>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</si>
  <si>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</si>
  <si>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</si>
  <si>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</si>
  <si>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</si>
  <si>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</si>
  <si>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</si>
  <si>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</si>
  <si>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</si>
  <si>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</si>
  <si>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</si>
  <si>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</si>
  <si>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</si>
  <si>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</si>
  <si>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</si>
  <si>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</si>
  <si>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</si>
  <si>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</si>
  <si>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</si>
  <si>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</si>
  <si>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</si>
  <si>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</si>
  <si>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</si>
  <si>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</si>
  <si>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</si>
  <si>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</si>
  <si>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</si>
  <si>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</si>
  <si>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</si>
  <si>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</si>
  <si>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</si>
  <si>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</si>
  <si>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</si>
  <si>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</si>
  <si>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</si>
  <si>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</si>
  <si>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</si>
  <si>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</si>
  <si>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</si>
  <si>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</si>
  <si>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</si>
  <si>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</si>
  <si>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</si>
  <si>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</si>
  <si>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</si>
  <si>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</si>
  <si>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</si>
  <si>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</si>
  <si>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</si>
  <si>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</si>
  <si>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</si>
  <si>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</si>
  <si>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</si>
  <si>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</si>
  <si>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</si>
  <si>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</si>
  <si>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</si>
  <si>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</si>
  <si>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</si>
  <si>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</si>
  <si>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</si>
  <si>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</si>
  <si>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</si>
  <si>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</si>
  <si>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</si>
  <si>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</si>
  <si>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</si>
  <si>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</si>
  <si>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</si>
  <si>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</si>
  <si>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</si>
  <si>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</si>
  <si>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</si>
  <si>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</si>
  <si>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</si>
  <si>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</si>
  <si>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</si>
  <si>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</si>
  <si>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</si>
  <si>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</si>
  <si>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</si>
  <si>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</si>
  <si>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</si>
  <si>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</si>
  <si>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</si>
  <si>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</si>
  <si>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</si>
  <si>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</si>
  <si>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</si>
  <si>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</si>
  <si>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</si>
  <si>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</si>
  <si>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</si>
  <si>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</si>
  <si>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</si>
  <si>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</si>
  <si>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</si>
  <si>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</si>
  <si>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</si>
  <si>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</si>
  <si>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</si>
  <si>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</si>
  <si>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</si>
  <si>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</si>
  <si>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</si>
  <si>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</si>
  <si>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</si>
  <si>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</si>
  <si>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</si>
  <si>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</si>
  <si>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COPELLO MONICA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</si>
  <si>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</si>
  <si>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</si>
  <si>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</si>
  <si>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</si>
  <si>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</si>
  <si>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</si>
  <si>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</si>
  <si>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</si>
  <si>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</si>
  <si>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</si>
  <si>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</si>
  <si>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</si>
  <si>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</si>
  <si>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</si>
  <si>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</si>
  <si>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</si>
  <si>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</si>
  <si>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</si>
  <si>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Aumentados JULI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</si>
  <si>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</si>
  <si>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>VTO 15/09</t>
  </si>
  <si>
    <t>PERÍODO: AGOSTO</t>
  </si>
  <si>
    <t>Sueldo Ana encargada AGOSTO</t>
  </si>
  <si>
    <t>Claudio Sosa Periodo AGOSTO</t>
  </si>
  <si>
    <t>AGOSTO</t>
  </si>
  <si>
    <t>Sindicatos mes de AGOSTO</t>
  </si>
  <si>
    <t>Ascensores ADS - Mantenimiento de ascensor (Período AGOSTO)</t>
  </si>
  <si>
    <t>AYSA - Mes de AGOSTO</t>
  </si>
  <si>
    <t>GASTOS BANCARIOS AGOSTO Y AGOSTO</t>
  </si>
  <si>
    <t>Transf 12/08</t>
  </si>
  <si>
    <t>Bazar - Los nenes - Articulos de limpieza</t>
  </si>
  <si>
    <t>Vallazza Gustavo - Limpieza y desinfeccion de tanques de agua potable, analisis y certificado correspondiente</t>
  </si>
  <si>
    <t>Debito 12/08</t>
  </si>
  <si>
    <t>Transf 13/08</t>
  </si>
  <si>
    <t>Debito 05/08</t>
  </si>
  <si>
    <t>Debito 23/08</t>
  </si>
  <si>
    <t>Balcazza Leonardo Daniel - Colocacion de placas de durlocks faktantes - Baños 4A - 3A y Trabajo realizado en 6C</t>
  </si>
  <si>
    <t>Transf 07/08 y 22/08</t>
  </si>
  <si>
    <t>EDESUR - 30-65511651-2 - La factura viene en $0</t>
  </si>
  <si>
    <t>CONVENIO DE PAGO 1A: 12 CUOTAS MENSUALES DE $96.000 MAS EXPESAS EN CURSO. ADELANTO DE $200.000</t>
  </si>
  <si>
    <t>CONVENIO DE PAGO 6A: 8 CUOTAS MENSUALES DE $90.000 MAS EXPESAS EN CURSO. ADELANTO DE $200.000 (ABONO MES PASADO)</t>
  </si>
  <si>
    <t>Roxana Goldemberg - Convenio Pago 1A - Abonado por UF</t>
  </si>
  <si>
    <t>Roxana Goldemberg - Convenio Pago 6A - Abonado por UF</t>
  </si>
  <si>
    <t>1 er cuota convenio de pago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</si>
</sst>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"/>
    <numFmt numFmtId="168" formatCode="0.0"/>
    <numFmt numFmtId="169" formatCode="_-* #,##0.00_-;\-* #,##0.00_-;_-* &quot;-&quot;??_-;_-@"/>
    <numFmt numFmtId="170" formatCode="_-[$$-2C0A]\ * #,##0.00_-;\-[$$-2C0A]\ * #,##0.00_-;_-[$$-2C0A]\ * &quot;-&quot;??_-;_-@_-"/>
    <numFmt numFmtId="171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86">
    <xf numFmtId="0" fontId="0" fillId="0" borderId="0" xfId="0" applyBorder="1"/>
    <xf numFmtId="0" fontId="4" fillId="0" borderId="0" xfId="0" applyFont="1" applyBorder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/>
    <xf numFmtId="0" fontId="5" fillId="2" borderId="2" xfId="0" applyFont="1" applyFill="1" applyBorder="1"/>
    <xf numFmtId="0" fontId="4" fillId="0" borderId="8" xfId="0" applyFont="1" applyBorder="1" applyAlignment="1">
      <alignment vertical="top" wrapText="1"/>
    </xf>
    <xf numFmtId="0" fontId="5" fillId="0" borderId="0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10" xfId="0" applyFont="1" applyFill="1" applyBorder="1"/>
    <xf numFmtId="0" fontId="4" fillId="0" borderId="10" xfId="0" applyFont="1" applyBorder="1"/>
    <xf numFmtId="0" fontId="11" fillId="8" borderId="10" xfId="0" applyFont="1" applyFill="1" applyBorder="1"/>
    <xf numFmtId="0" fontId="4" fillId="8" borderId="10" xfId="0" applyFont="1" applyFill="1" applyBorder="1"/>
    <xf numFmtId="0" fontId="12" fillId="0" borderId="10" xfId="0" applyFont="1" applyBorder="1"/>
    <xf numFmtId="0" fontId="5" fillId="6" borderId="10" xfId="0" applyFont="1" applyFill="1" applyBorder="1"/>
    <xf numFmtId="164" fontId="6" fillId="6" borderId="12" xfId="0" applyNumberFormat="1" applyFont="1" applyFill="1" applyBorder="1"/>
    <xf numFmtId="164" fontId="4" fillId="0" borderId="0" xfId="0" applyNumberFormat="1" applyFont="1" applyBorder="1"/>
    <xf numFmtId="165" fontId="13" fillId="6" borderId="13" xfId="0" applyNumberFormat="1" applyFont="1" applyFill="1" applyBorder="1"/>
    <xf numFmtId="0" fontId="4" fillId="0" borderId="10" xfId="0" applyFont="1" applyBorder="1" applyAlignment="1">
      <alignment wrapText="1"/>
    </xf>
    <xf numFmtId="165" fontId="14" fillId="0" borderId="14" xfId="0" applyNumberFormat="1" applyFont="1" applyBorder="1"/>
    <xf numFmtId="164" fontId="6" fillId="6" borderId="15" xfId="0" applyNumberFormat="1" applyFont="1" applyFill="1" applyBorder="1"/>
    <xf numFmtId="165" fontId="6" fillId="6" borderId="10" xfId="0" applyNumberFormat="1" applyFont="1" applyFill="1" applyBorder="1"/>
    <xf numFmtId="0" fontId="4" fillId="0" borderId="10" xfId="0" applyFont="1" applyBorder="1" applyAlignment="1">
      <alignment vertical="center" wrapText="1"/>
    </xf>
    <xf numFmtId="165" fontId="14" fillId="7" borderId="10" xfId="0" applyNumberFormat="1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165" fontId="6" fillId="6" borderId="12" xfId="0" applyNumberFormat="1" applyFont="1" applyFill="1" applyBorder="1"/>
    <xf numFmtId="0" fontId="4" fillId="6" borderId="10" xfId="0" applyFont="1" applyFill="1" applyBorder="1"/>
    <xf numFmtId="165" fontId="14" fillId="6" borderId="13" xfId="0" applyNumberFormat="1" applyFont="1" applyFill="1" applyBorder="1"/>
    <xf numFmtId="0" fontId="4" fillId="7" borderId="10" xfId="0" applyFont="1" applyFill="1" applyBorder="1"/>
    <xf numFmtId="165" fontId="4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5" fontId="14" fillId="7" borderId="10" xfId="0" applyNumberFormat="1" applyFont="1" applyFill="1" applyBorder="1"/>
    <xf numFmtId="16" fontId="4" fillId="0" borderId="16" xfId="0" applyNumberFormat="1" applyFont="1" applyBorder="1" applyAlignment="1">
      <alignment vertical="center" wrapText="1"/>
    </xf>
    <xf numFmtId="16" fontId="4" fillId="0" borderId="8" xfId="0" applyNumberFormat="1" applyFont="1" applyBorder="1" applyAlignment="1">
      <alignment vertical="center" wrapText="1"/>
    </xf>
    <xf numFmtId="165" fontId="14" fillId="0" borderId="10" xfId="0" applyNumberFormat="1" applyFont="1" applyBorder="1"/>
    <xf numFmtId="16" fontId="4" fillId="0" borderId="10" xfId="0" applyNumberFormat="1" applyFont="1" applyBorder="1" applyAlignment="1">
      <alignment vertical="center" wrapText="1"/>
    </xf>
    <xf numFmtId="165" fontId="6" fillId="6" borderId="15" xfId="0" applyNumberFormat="1" applyFont="1" applyFill="1" applyBorder="1"/>
    <xf numFmtId="0" fontId="16" fillId="0" borderId="10" xfId="0" applyFont="1" applyBorder="1"/>
    <xf numFmtId="0" fontId="16" fillId="7" borderId="10" xfId="0" applyFont="1" applyFill="1" applyBorder="1"/>
    <xf numFmtId="165" fontId="6" fillId="6" borderId="20" xfId="0" applyNumberFormat="1" applyFont="1" applyFill="1" applyBorder="1"/>
    <xf numFmtId="0" fontId="5" fillId="6" borderId="10" xfId="0" applyFont="1" applyFill="1" applyBorder="1" applyAlignment="1">
      <alignment wrapText="1"/>
    </xf>
    <xf numFmtId="165" fontId="14" fillId="7" borderId="13" xfId="0" applyNumberFormat="1" applyFont="1" applyFill="1" applyBorder="1"/>
    <xf numFmtId="0" fontId="5" fillId="6" borderId="13" xfId="0" applyFont="1" applyFill="1" applyBorder="1"/>
    <xf numFmtId="0" fontId="14" fillId="0" borderId="22" xfId="0" applyFont="1" applyBorder="1"/>
    <xf numFmtId="0" fontId="5" fillId="9" borderId="10" xfId="0" applyFont="1" applyFill="1" applyBorder="1"/>
    <xf numFmtId="0" fontId="5" fillId="9" borderId="11" xfId="0" applyFont="1" applyFill="1" applyBorder="1"/>
    <xf numFmtId="165" fontId="6" fillId="9" borderId="15" xfId="0" applyNumberFormat="1" applyFont="1" applyFill="1" applyBorder="1"/>
    <xf numFmtId="0" fontId="4" fillId="0" borderId="23" xfId="0" applyFont="1" applyBorder="1"/>
    <xf numFmtId="0" fontId="14" fillId="0" borderId="24" xfId="0" applyFont="1" applyBorder="1"/>
    <xf numFmtId="165" fontId="4" fillId="0" borderId="0" xfId="0" applyNumberFormat="1" applyFont="1" applyBorder="1"/>
    <xf numFmtId="0" fontId="5" fillId="5" borderId="5" xfId="0" applyFont="1" applyFill="1" applyBorder="1"/>
    <xf numFmtId="10" fontId="5" fillId="5" borderId="6" xfId="0" applyNumberFormat="1" applyFont="1" applyFill="1" applyBorder="1"/>
    <xf numFmtId="0" fontId="5" fillId="5" borderId="6" xfId="0" applyFont="1" applyFill="1" applyBorder="1"/>
    <xf numFmtId="165" fontId="6" fillId="5" borderId="7" xfId="0" applyNumberFormat="1" applyFont="1" applyFill="1" applyBorder="1"/>
    <xf numFmtId="0" fontId="5" fillId="6" borderId="4" xfId="0" applyFont="1" applyFill="1" applyBorder="1"/>
    <xf numFmtId="0" fontId="4" fillId="6" borderId="4" xfId="0" applyFont="1" applyFill="1" applyBorder="1"/>
    <xf numFmtId="165" fontId="4" fillId="6" borderId="4" xfId="0" applyNumberFormat="1" applyFont="1" applyFill="1" applyBorder="1"/>
    <xf numFmtId="0" fontId="6" fillId="4" borderId="5" xfId="0" applyFont="1" applyFill="1" applyBorder="1"/>
    <xf numFmtId="165" fontId="6" fillId="4" borderId="7" xfId="0" applyNumberFormat="1" applyFont="1" applyFill="1" applyBorder="1"/>
    <xf numFmtId="166" fontId="14" fillId="0" borderId="0" xfId="0" applyNumberFormat="1" applyFont="1" applyBorder="1"/>
    <xf numFmtId="4" fontId="4" fillId="0" borderId="0" xfId="0" applyNumberFormat="1" applyFont="1" applyBorder="1"/>
    <xf numFmtId="0" fontId="6" fillId="0" borderId="10" xfId="0" applyFont="1" applyBorder="1"/>
    <xf numFmtId="165" fontId="18" fillId="7" borderId="10" xfId="0" applyNumberFormat="1" applyFont="1" applyFill="1" applyBorder="1"/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center" wrapText="1"/>
    </xf>
    <xf numFmtId="0" fontId="5" fillId="0" borderId="10" xfId="0" applyFont="1" applyBorder="1"/>
    <xf numFmtId="165" fontId="5" fillId="0" borderId="10" xfId="0" applyNumberFormat="1" applyFont="1" applyBorder="1"/>
    <xf numFmtId="4" fontId="6" fillId="0" borderId="0" xfId="0" applyNumberFormat="1" applyFont="1" applyBorder="1"/>
    <xf numFmtId="165" fontId="14" fillId="0" borderId="0" xfId="0" applyNumberFormat="1" applyFont="1" applyBorder="1"/>
    <xf numFmtId="4" fontId="6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5" fontId="4" fillId="0" borderId="0" xfId="0" applyNumberFormat="1" applyFont="1" applyBorder="1" applyAlignment="1">
      <alignment wrapText="1"/>
    </xf>
    <xf numFmtId="166" fontId="4" fillId="0" borderId="0" xfId="0" applyNumberFormat="1" applyFont="1" applyBorder="1"/>
    <xf numFmtId="165" fontId="20" fillId="0" borderId="10" xfId="0" applyNumberFormat="1" applyFont="1" applyBorder="1"/>
    <xf numFmtId="14" fontId="4" fillId="0" borderId="10" xfId="0" applyNumberFormat="1" applyFont="1" applyBorder="1"/>
    <xf numFmtId="0" fontId="19" fillId="10" borderId="4" xfId="0" applyFont="1" applyFill="1" applyBorder="1"/>
    <xf numFmtId="165" fontId="19" fillId="10" borderId="4" xfId="0" applyNumberFormat="1" applyFont="1" applyFill="1" applyBorder="1"/>
    <xf numFmtId="0" fontId="4" fillId="0" borderId="26" xfId="0" applyFont="1" applyBorder="1"/>
    <xf numFmtId="0" fontId="4" fillId="2" borderId="4" xfId="0" applyFont="1" applyFill="1" applyBorder="1"/>
    <xf numFmtId="164" fontId="4" fillId="2" borderId="4" xfId="0" applyNumberFormat="1" applyFont="1" applyFill="1" applyBorder="1"/>
    <xf numFmtId="165" fontId="4" fillId="2" borderId="4" xfId="0" applyNumberFormat="1" applyFont="1" applyFill="1" applyBorder="1"/>
    <xf numFmtId="165" fontId="4" fillId="2" borderId="25" xfId="0" applyNumberFormat="1" applyFont="1" applyFill="1" applyBorder="1" applyAlignment="1">
      <alignment vertical="center"/>
    </xf>
    <xf numFmtId="165" fontId="4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5" fontId="21" fillId="0" borderId="10" xfId="0" applyNumberFormat="1" applyFont="1" applyBorder="1"/>
    <xf numFmtId="165" fontId="21" fillId="7" borderId="10" xfId="0" applyNumberFormat="1" applyFont="1" applyFill="1" applyBorder="1"/>
    <xf numFmtId="167" fontId="21" fillId="7" borderId="10" xfId="0" applyNumberFormat="1" applyFont="1" applyFill="1" applyBorder="1"/>
    <xf numFmtId="167" fontId="21" fillId="0" borderId="10" xfId="0" applyNumberFormat="1" applyFont="1" applyBorder="1"/>
    <xf numFmtId="165" fontId="21" fillId="0" borderId="16" xfId="0" applyNumberFormat="1" applyFont="1" applyBorder="1"/>
    <xf numFmtId="165" fontId="21" fillId="0" borderId="34" xfId="0" applyNumberFormat="1" applyFont="1" applyBorder="1"/>
    <xf numFmtId="165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7" fontId="21" fillId="0" borderId="16" xfId="0" applyNumberFormat="1" applyFont="1" applyBorder="1"/>
    <xf numFmtId="165" fontId="22" fillId="0" borderId="10" xfId="0" applyNumberFormat="1" applyFont="1" applyBorder="1"/>
    <xf numFmtId="167" fontId="22" fillId="7" borderId="10" xfId="0" applyNumberFormat="1" applyFont="1" applyFill="1" applyBorder="1"/>
    <xf numFmtId="167" fontId="22" fillId="0" borderId="10" xfId="0" applyNumberFormat="1" applyFont="1" applyBorder="1"/>
    <xf numFmtId="165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5" fontId="21" fillId="6" borderId="15" xfId="0" applyNumberFormat="1" applyFont="1" applyFill="1" applyBorder="1"/>
    <xf numFmtId="167" fontId="21" fillId="6" borderId="15" xfId="0" applyNumberFormat="1" applyFont="1" applyFill="1" applyBorder="1"/>
    <xf numFmtId="165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8" fontId="21" fillId="6" borderId="15" xfId="0" applyNumberFormat="1" applyFont="1" applyFill="1" applyBorder="1" applyAlignment="1">
      <alignment horizontal="center"/>
    </xf>
    <xf numFmtId="0" fontId="7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167" fontId="21" fillId="0" borderId="34" xfId="0" applyNumberFormat="1" applyFont="1" applyBorder="1"/>
    <xf numFmtId="167" fontId="21" fillId="0" borderId="35" xfId="0" applyNumberFormat="1" applyFont="1" applyBorder="1"/>
    <xf numFmtId="0" fontId="17" fillId="10" borderId="27" xfId="0" applyFont="1" applyFill="1"/>
    <xf numFmtId="165" fontId="6" fillId="7" borderId="20" xfId="0" applyNumberFormat="1" applyFont="1" applyFill="1" applyBorder="1"/>
    <xf numFmtId="0" fontId="6" fillId="0" borderId="14" xfId="0" applyFont="1" applyBorder="1"/>
    <xf numFmtId="165" fontId="14" fillId="7" borderId="14" xfId="0" applyNumberFormat="1" applyFont="1" applyFill="1" applyBorder="1"/>
    <xf numFmtId="0" fontId="6" fillId="7" borderId="37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left" wrapText="1"/>
    </xf>
    <xf numFmtId="0" fontId="4" fillId="0" borderId="9" xfId="0" applyFont="1" applyBorder="1"/>
    <xf numFmtId="0" fontId="4" fillId="0" borderId="37" xfId="0" applyFont="1" applyBorder="1" applyAlignment="1">
      <alignment wrapText="1"/>
    </xf>
    <xf numFmtId="0" fontId="4" fillId="0" borderId="27" xfId="0" applyFont="1"/>
    <xf numFmtId="0" fontId="0" fillId="0" borderId="27" xfId="0"/>
    <xf numFmtId="0" fontId="4" fillId="0" borderId="27" xfId="0" applyFont="1" applyAlignment="1">
      <alignment vertical="top" wrapText="1"/>
    </xf>
    <xf numFmtId="165" fontId="28" fillId="7" borderId="10" xfId="0" applyNumberFormat="1" applyFont="1" applyFill="1" applyBorder="1"/>
    <xf numFmtId="164" fontId="27" fillId="6" borderId="21" xfId="0" applyNumberFormat="1" applyFont="1" applyFill="1" applyBorder="1"/>
    <xf numFmtId="0" fontId="4" fillId="0" borderId="20" xfId="0" applyFont="1" applyBorder="1"/>
    <xf numFmtId="0" fontId="5" fillId="6" borderId="14" xfId="0" applyFont="1" applyFill="1" applyBorder="1"/>
    <xf numFmtId="0" fontId="4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0" fontId="29" fillId="7" borderId="10" xfId="0" applyFont="1" applyFill="1" applyBorder="1" applyAlignment="1">
      <alignment horizontal="left" wrapText="1"/>
    </xf>
    <xf numFmtId="16" fontId="14" fillId="7" borderId="10" xfId="0" applyNumberFormat="1" applyFont="1" applyFill="1" applyBorder="1"/>
    <xf numFmtId="165" fontId="21" fillId="14" borderId="10" xfId="0" applyNumberFormat="1" applyFont="1" applyFill="1" applyBorder="1"/>
    <xf numFmtId="167" fontId="21" fillId="14" borderId="10" xfId="0" applyNumberFormat="1" applyFont="1" applyFill="1" applyBorder="1"/>
    <xf numFmtId="165" fontId="21" fillId="14" borderId="16" xfId="0" applyNumberFormat="1" applyFont="1" applyFill="1" applyBorder="1"/>
    <xf numFmtId="167" fontId="21" fillId="14" borderId="34" xfId="0" applyNumberFormat="1" applyFont="1" applyFill="1" applyBorder="1"/>
    <xf numFmtId="167" fontId="21" fillId="14" borderId="16" xfId="0" applyNumberFormat="1" applyFont="1" applyFill="1" applyBorder="1"/>
    <xf numFmtId="167" fontId="21" fillId="14" borderId="35" xfId="0" applyNumberFormat="1" applyFont="1" applyFill="1" applyBorder="1"/>
    <xf numFmtId="0" fontId="4" fillId="0" borderId="1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3" fillId="0" borderId="0" xfId="0" applyFont="1" applyBorder="1"/>
    <xf numFmtId="170" fontId="18" fillId="0" borderId="10" xfId="1" applyNumberFormat="1" applyFont="1" applyBorder="1"/>
    <xf numFmtId="170" fontId="4" fillId="0" borderId="10" xfId="1" applyNumberFormat="1" applyFont="1" applyBorder="1"/>
    <xf numFmtId="170" fontId="19" fillId="10" borderId="4" xfId="1" applyNumberFormat="1" applyFont="1" applyFill="1" applyBorder="1"/>
    <xf numFmtId="164" fontId="7" fillId="7" borderId="10" xfId="0" applyNumberFormat="1" applyFont="1" applyFill="1" applyBorder="1"/>
    <xf numFmtId="164" fontId="31" fillId="8" borderId="10" xfId="0" applyNumberFormat="1" applyFont="1" applyFill="1" applyBorder="1"/>
    <xf numFmtId="164" fontId="7" fillId="7" borderId="11" xfId="0" applyNumberFormat="1" applyFont="1" applyFill="1" applyBorder="1"/>
    <xf numFmtId="164" fontId="31" fillId="8" borderId="11" xfId="0" applyNumberFormat="1" applyFont="1" applyFill="1" applyBorder="1"/>
    <xf numFmtId="164" fontId="27" fillId="6" borderId="11" xfId="0" applyNumberFormat="1" applyFont="1" applyFill="1" applyBorder="1"/>
    <xf numFmtId="164" fontId="32" fillId="6" borderId="10" xfId="0" applyNumberFormat="1" applyFont="1" applyFill="1" applyBorder="1"/>
    <xf numFmtId="165" fontId="27" fillId="6" borderId="11" xfId="0" applyNumberFormat="1" applyFont="1" applyFill="1" applyBorder="1"/>
    <xf numFmtId="165" fontId="27" fillId="6" borderId="10" xfId="0" applyNumberFormat="1" applyFont="1" applyFill="1" applyBorder="1"/>
    <xf numFmtId="165" fontId="7" fillId="7" borderId="10" xfId="0" applyNumberFormat="1" applyFont="1" applyFill="1" applyBorder="1" applyAlignment="1">
      <alignment wrapText="1"/>
    </xf>
    <xf numFmtId="165" fontId="7" fillId="7" borderId="10" xfId="0" applyNumberFormat="1" applyFont="1" applyFill="1" applyBorder="1"/>
    <xf numFmtId="165" fontId="7" fillId="6" borderId="10" xfId="0" applyNumberFormat="1" applyFont="1" applyFill="1" applyBorder="1"/>
    <xf numFmtId="165" fontId="7" fillId="0" borderId="10" xfId="0" applyNumberFormat="1" applyFont="1" applyBorder="1"/>
    <xf numFmtId="165" fontId="7" fillId="6" borderId="21" xfId="0" applyNumberFormat="1" applyFont="1" applyFill="1" applyBorder="1"/>
    <xf numFmtId="165" fontId="7" fillId="7" borderId="11" xfId="0" applyNumberFormat="1" applyFont="1" applyFill="1" applyBorder="1"/>
    <xf numFmtId="0" fontId="32" fillId="6" borderId="10" xfId="0" applyFont="1" applyFill="1" applyBorder="1"/>
    <xf numFmtId="165" fontId="28" fillId="12" borderId="10" xfId="0" applyNumberFormat="1" applyFont="1" applyFill="1" applyBorder="1"/>
    <xf numFmtId="165" fontId="28" fillId="15" borderId="10" xfId="0" applyNumberFormat="1" applyFont="1" applyFill="1" applyBorder="1"/>
    <xf numFmtId="0" fontId="2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1" fillId="0" borderId="0" xfId="0" applyFont="1" applyBorder="1"/>
    <xf numFmtId="0" fontId="0" fillId="17" borderId="0" xfId="0" applyFill="1" applyBorder="1"/>
    <xf numFmtId="0" fontId="4" fillId="14" borderId="10" xfId="0" applyFont="1" applyFill="1" applyBorder="1" applyAlignment="1">
      <alignment wrapText="1"/>
    </xf>
    <xf numFmtId="166" fontId="14" fillId="0" borderId="27" xfId="0" applyNumberFormat="1" applyFont="1"/>
    <xf numFmtId="165" fontId="18" fillId="7" borderId="14" xfId="0" applyNumberFormat="1" applyFont="1" applyFill="1" applyBorder="1"/>
    <xf numFmtId="43" fontId="33" fillId="0" borderId="0" xfId="0" applyNumberFormat="1" applyFont="1" applyBorder="1"/>
    <xf numFmtId="170" fontId="0" fillId="18" borderId="0" xfId="0" applyNumberFormat="1" applyFill="1" applyBorder="1"/>
    <xf numFmtId="0" fontId="4" fillId="0" borderId="27" xfId="0" applyFont="1" applyAlignment="1">
      <alignment horizontal="left" vertical="center" wrapText="1"/>
    </xf>
    <xf numFmtId="1" fontId="23" fillId="19" borderId="10" xfId="0" applyNumberFormat="1" applyFont="1" applyFill="1" applyBorder="1" applyAlignment="1">
      <alignment horizontal="left" vertical="top" shrinkToFit="1"/>
    </xf>
    <xf numFmtId="0" fontId="24" fillId="19" borderId="10" xfId="0" applyFont="1" applyFill="1" applyBorder="1" applyAlignment="1">
      <alignment horizontal="left" vertical="top" wrapText="1"/>
    </xf>
    <xf numFmtId="0" fontId="21" fillId="19" borderId="10" xfId="0" applyFont="1" applyFill="1" applyBorder="1"/>
    <xf numFmtId="0" fontId="21" fillId="19" borderId="10" xfId="0" applyFont="1" applyFill="1" applyBorder="1" applyAlignment="1">
      <alignment horizontal="center"/>
    </xf>
    <xf numFmtId="165" fontId="21" fillId="19" borderId="10" xfId="0" applyNumberFormat="1" applyFont="1" applyFill="1" applyBorder="1"/>
    <xf numFmtId="167" fontId="21" fillId="20" borderId="10" xfId="0" applyNumberFormat="1" applyFont="1" applyFill="1" applyBorder="1"/>
    <xf numFmtId="167" fontId="21" fillId="19" borderId="10" xfId="0" applyNumberFormat="1" applyFont="1" applyFill="1" applyBorder="1"/>
    <xf numFmtId="167" fontId="21" fillId="19" borderId="16" xfId="0" applyNumberFormat="1" applyFont="1" applyFill="1" applyBorder="1"/>
    <xf numFmtId="167" fontId="21" fillId="19" borderId="34" xfId="0" applyNumberFormat="1" applyFont="1" applyFill="1" applyBorder="1"/>
    <xf numFmtId="167" fontId="21" fillId="19" borderId="35" xfId="0" applyNumberFormat="1" applyFont="1" applyFill="1" applyBorder="1"/>
    <xf numFmtId="165" fontId="7" fillId="7" borderId="10" xfId="0" applyNumberFormat="1" applyFont="1" applyFill="1" applyBorder="1" applyAlignment="1">
      <alignment horizontal="right"/>
    </xf>
    <xf numFmtId="165" fontId="7" fillId="7" borderId="13" xfId="0" applyNumberFormat="1" applyFont="1" applyFill="1" applyBorder="1"/>
    <xf numFmtId="0" fontId="5" fillId="9" borderId="37" xfId="0" applyFont="1" applyFill="1" applyBorder="1"/>
    <xf numFmtId="165" fontId="16" fillId="9" borderId="37" xfId="0" applyNumberFormat="1" applyFont="1" applyFill="1" applyBorder="1" applyAlignment="1">
      <alignment vertical="center"/>
    </xf>
    <xf numFmtId="4" fontId="5" fillId="0" borderId="37" xfId="0" applyNumberFormat="1" applyFont="1" applyBorder="1"/>
    <xf numFmtId="171" fontId="4" fillId="2" borderId="4" xfId="0" applyNumberFormat="1" applyFont="1" applyFill="1" applyBorder="1"/>
    <xf numFmtId="0" fontId="6" fillId="2" borderId="27" xfId="0" applyFont="1" applyFill="1"/>
    <xf numFmtId="0" fontId="4" fillId="2" borderId="40" xfId="0" applyFont="1" applyFill="1" applyBorder="1"/>
    <xf numFmtId="169" fontId="4" fillId="2" borderId="41" xfId="0" applyNumberFormat="1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5" fillId="2" borderId="43" xfId="0" applyFont="1" applyFill="1" applyBorder="1"/>
    <xf numFmtId="0" fontId="5" fillId="2" borderId="27" xfId="0" applyFont="1" applyFill="1" applyAlignment="1">
      <alignment vertical="center"/>
    </xf>
    <xf numFmtId="0" fontId="6" fillId="2" borderId="44" xfId="0" applyFont="1" applyFill="1" applyBorder="1"/>
    <xf numFmtId="0" fontId="5" fillId="2" borderId="45" xfId="0" applyFont="1" applyFill="1" applyBorder="1"/>
    <xf numFmtId="0" fontId="5" fillId="2" borderId="46" xfId="0" applyFont="1" applyFill="1" applyBorder="1"/>
    <xf numFmtId="0" fontId="5" fillId="13" borderId="43" xfId="0" applyFont="1" applyFill="1" applyBorder="1"/>
    <xf numFmtId="0" fontId="5" fillId="2" borderId="27" xfId="0" applyFont="1" applyFill="1"/>
    <xf numFmtId="0" fontId="5" fillId="2" borderId="44" xfId="0" applyFont="1" applyFill="1" applyBorder="1"/>
    <xf numFmtId="0" fontId="4" fillId="0" borderId="10" xfId="0" applyFont="1" applyBorder="1" applyAlignment="1">
      <alignment vertical="center"/>
    </xf>
    <xf numFmtId="16" fontId="14" fillId="7" borderId="10" xfId="0" applyNumberFormat="1" applyFont="1" applyFill="1" applyBorder="1" applyAlignment="1">
      <alignment vertical="center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4" fillId="0" borderId="10" xfId="0" applyFont="1" applyBorder="1" applyAlignment="1">
      <alignment horizontal="left" vertical="center" wrapText="1"/>
    </xf>
    <xf numFmtId="0" fontId="0" fillId="0" borderId="9" xfId="0" applyBorder="1"/>
    <xf numFmtId="0" fontId="4" fillId="7" borderId="10" xfId="0" applyFont="1" applyFill="1" applyBorder="1" applyAlignment="1">
      <alignment horizontal="left" vertical="center" wrapText="1"/>
    </xf>
    <xf numFmtId="0" fontId="6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8" fillId="3" borderId="27" xfId="0" applyFont="1" applyFill="1" applyAlignment="1">
      <alignment horizontal="center" vertical="center"/>
    </xf>
    <xf numFmtId="0" fontId="0" fillId="0" borderId="0" xfId="0" applyBorder="1"/>
    <xf numFmtId="0" fontId="19" fillId="10" borderId="27" xfId="0" applyFont="1" applyFill="1" applyAlignment="1">
      <alignment horizontal="center" vertical="center"/>
    </xf>
    <xf numFmtId="165" fontId="7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4" fillId="0" borderId="10" xfId="0" applyFont="1" applyBorder="1" applyAlignment="1">
      <alignment horizontal="left" wrapText="1"/>
    </xf>
    <xf numFmtId="0" fontId="26" fillId="0" borderId="10" xfId="0" applyFont="1" applyBorder="1" applyAlignment="1">
      <alignment horizontal="left" vertical="center" wrapText="1"/>
    </xf>
    <xf numFmtId="0" fontId="6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9" fillId="4" borderId="27" xfId="0" applyFont="1" applyFill="1" applyAlignment="1">
      <alignment horizontal="center" vertical="center" wrapText="1"/>
    </xf>
    <xf numFmtId="0" fontId="5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4" fillId="2" borderId="27" xfId="0" applyFont="1" applyFill="1" applyAlignment="1">
      <alignment horizontal="left"/>
    </xf>
    <xf numFmtId="0" fontId="16" fillId="2" borderId="29" xfId="0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0" fillId="0" borderId="9" xfId="0" applyBorder="1" applyAlignment="1"/>
    <xf numFmtId="0" fontId="4" fillId="14" borderId="10" xfId="0" applyFont="1" applyFill="1" applyBorder="1" applyAlignment="1">
      <alignment horizontal="left" vertical="center" wrapText="1"/>
    </xf>
    <xf numFmtId="0" fontId="0" fillId="14" borderId="9" xfId="0" applyFill="1" applyBorder="1"/>
    <xf numFmtId="0" fontId="4" fillId="14" borderId="10" xfId="0" applyFont="1" applyFill="1" applyBorder="1" applyAlignment="1">
      <alignment horizontal="left" vertical="center" wrapText="1"/>
    </xf>
    <xf numFmtId="165" fontId="7" fillId="7" borderId="10" xfId="0" applyNumberFormat="1" applyFont="1" applyFill="1" applyBorder="1" applyAlignment="1">
      <alignment horizontal="left" vertical="center" wrapText="1"/>
    </xf>
    <xf numFmtId="1" fontId="23" fillId="21" borderId="10" xfId="0" applyNumberFormat="1" applyFont="1" applyFill="1" applyBorder="1" applyAlignment="1">
      <alignment horizontal="left" vertical="top" shrinkToFit="1"/>
    </xf>
    <xf numFmtId="0" fontId="24" fillId="21" borderId="10" xfId="0" applyFont="1" applyFill="1" applyBorder="1" applyAlignment="1">
      <alignment horizontal="left" vertical="top" wrapText="1"/>
    </xf>
    <xf numFmtId="0" fontId="21" fillId="21" borderId="10" xfId="0" applyFont="1" applyFill="1" applyBorder="1" applyAlignment="1">
      <alignment wrapText="1"/>
    </xf>
    <xf numFmtId="0" fontId="21" fillId="21" borderId="10" xfId="0" applyFont="1" applyFill="1" applyBorder="1" applyAlignment="1">
      <alignment horizontal="center"/>
    </xf>
    <xf numFmtId="165" fontId="21" fillId="21" borderId="10" xfId="0" applyNumberFormat="1" applyFont="1" applyFill="1" applyBorder="1"/>
    <xf numFmtId="167" fontId="21" fillId="22" borderId="10" xfId="0" applyNumberFormat="1" applyFont="1" applyFill="1" applyBorder="1"/>
    <xf numFmtId="167" fontId="21" fillId="21" borderId="10" xfId="0" applyNumberFormat="1" applyFont="1" applyFill="1" applyBorder="1"/>
    <xf numFmtId="165" fontId="21" fillId="21" borderId="16" xfId="0" applyNumberFormat="1" applyFont="1" applyFill="1" applyBorder="1"/>
    <xf numFmtId="167" fontId="21" fillId="21" borderId="34" xfId="0" applyNumberFormat="1" applyFont="1" applyFill="1" applyBorder="1"/>
    <xf numFmtId="167" fontId="21" fillId="21" borderId="16" xfId="0" applyNumberFormat="1" applyFont="1" applyFill="1" applyBorder="1"/>
    <xf numFmtId="167" fontId="21" fillId="21" borderId="35" xfId="0" applyNumberFormat="1" applyFont="1" applyFill="1" applyBorder="1"/>
    <xf numFmtId="165" fontId="28" fillId="22" borderId="10" xfId="0" applyNumberFormat="1" applyFont="1" applyFill="1" applyBorder="1"/>
    <xf numFmtId="0" fontId="4" fillId="0" borderId="27" xfId="0" applyFont="1" applyBorder="1"/>
    <xf numFmtId="0" fontId="0" fillId="0" borderId="27" xfId="0" applyBorder="1"/>
    <xf numFmtId="0" fontId="5" fillId="21" borderId="27" xfId="0" applyFont="1" applyFill="1" applyBorder="1" applyAlignment="1">
      <alignment horizontal="left" vertical="center" wrapText="1"/>
    </xf>
    <xf numFmtId="166" fontId="14" fillId="0" borderId="27" xfId="0" applyNumberFormat="1" applyFont="1" applyBorder="1"/>
    <xf numFmtId="165" fontId="29" fillId="7" borderId="10" xfId="0" applyNumberFormat="1" applyFont="1" applyFill="1" applyBorder="1"/>
    <xf numFmtId="164" fontId="7" fillId="14" borderId="10" xfId="0" applyNumberFormat="1" applyFont="1" applyFill="1" applyBorder="1"/>
    <xf numFmtId="165" fontId="7" fillId="14" borderId="10" xfId="0" applyNumberFormat="1" applyFont="1" applyFill="1" applyBorder="1"/>
    <xf numFmtId="165" fontId="7" fillId="7" borderId="20" xfId="0" applyNumberFormat="1" applyFont="1" applyFill="1" applyBorder="1"/>
    <xf numFmtId="165" fontId="7" fillId="7" borderId="10" xfId="0" applyNumberFormat="1" applyFont="1" applyFill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opLeftCell="A3" workbookViewId="0">
      <selection activeCell="E87" sqref="E87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208"/>
      <c r="B1" s="209"/>
      <c r="C1" s="210"/>
      <c r="D1" s="210"/>
      <c r="E1" s="211"/>
      <c r="F1" s="1"/>
      <c r="G1" s="1"/>
      <c r="H1" s="1"/>
    </row>
    <row r="2" spans="1:9" x14ac:dyDescent="0.25">
      <c r="A2" s="212"/>
      <c r="B2" s="213" t="s">
        <v>0</v>
      </c>
      <c r="C2" s="207"/>
      <c r="D2" s="207"/>
      <c r="E2" s="214"/>
      <c r="F2" s="1"/>
      <c r="G2" s="1"/>
      <c r="H2" s="1"/>
    </row>
    <row r="3" spans="1:9" ht="15.75" customHeight="1" thickBot="1" x14ac:dyDescent="0.3">
      <c r="A3" s="212"/>
      <c r="B3" s="227" t="s">
        <v>1</v>
      </c>
      <c r="C3" s="228"/>
      <c r="D3" s="228"/>
      <c r="E3" s="214"/>
      <c r="F3" s="1"/>
      <c r="G3" s="1"/>
      <c r="H3" s="1"/>
    </row>
    <row r="4" spans="1:9" ht="32.25" customHeight="1" thickBot="1" x14ac:dyDescent="0.3">
      <c r="A4" s="212"/>
      <c r="B4" s="229"/>
      <c r="C4" s="229"/>
      <c r="D4" s="229"/>
      <c r="E4" s="214"/>
      <c r="F4" s="1"/>
      <c r="G4" s="1"/>
      <c r="H4" s="1"/>
    </row>
    <row r="5" spans="1:9" ht="15.75" customHeight="1" thickBot="1" x14ac:dyDescent="0.3">
      <c r="A5" s="215" t="s">
        <v>2</v>
      </c>
      <c r="B5" s="2" t="s">
        <v>3</v>
      </c>
      <c r="C5" s="3"/>
      <c r="D5" s="3"/>
      <c r="E5" s="216"/>
      <c r="F5" s="1"/>
      <c r="G5" s="1"/>
      <c r="H5" s="1"/>
    </row>
    <row r="6" spans="1:9" x14ac:dyDescent="0.25">
      <c r="A6" s="217" t="s">
        <v>4</v>
      </c>
      <c r="B6" s="4" t="s">
        <v>165</v>
      </c>
      <c r="C6" s="218"/>
      <c r="D6" s="218" t="s">
        <v>5</v>
      </c>
      <c r="E6" s="219"/>
      <c r="F6" s="1"/>
      <c r="G6" s="136"/>
      <c r="H6" s="136"/>
      <c r="I6" s="137"/>
    </row>
    <row r="7" spans="1:9" ht="15" customHeight="1" thickBot="1" x14ac:dyDescent="0.3">
      <c r="A7" s="240" t="s">
        <v>6</v>
      </c>
      <c r="B7" s="241"/>
      <c r="C7" s="241"/>
      <c r="D7" s="241"/>
      <c r="E7" s="242"/>
      <c r="F7" s="5"/>
      <c r="G7" s="138"/>
      <c r="H7" s="138"/>
      <c r="I7" s="137"/>
    </row>
    <row r="8" spans="1:9" ht="15" customHeight="1" x14ac:dyDescent="0.25">
      <c r="G8" s="137"/>
      <c r="H8" s="137"/>
      <c r="I8" s="137"/>
    </row>
    <row r="9" spans="1:9" x14ac:dyDescent="0.25">
      <c r="A9" s="1"/>
      <c r="B9" s="233" t="s">
        <v>164</v>
      </c>
      <c r="C9" s="234"/>
      <c r="D9" s="1"/>
      <c r="E9" s="1"/>
      <c r="F9" s="1"/>
      <c r="G9" s="1"/>
      <c r="H9" s="1"/>
    </row>
    <row r="10" spans="1:9" x14ac:dyDescent="0.25">
      <c r="A10" s="1"/>
      <c r="B10" s="234"/>
      <c r="C10" s="234"/>
      <c r="D10" s="1"/>
      <c r="E10" s="1"/>
      <c r="F10" s="1"/>
      <c r="G10" s="1"/>
      <c r="H10" s="1"/>
    </row>
    <row r="11" spans="1:9" x14ac:dyDescent="0.25">
      <c r="A11" s="1"/>
      <c r="B11" s="234"/>
      <c r="C11" s="234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43" t="s">
        <v>7</v>
      </c>
      <c r="B14" s="234"/>
      <c r="C14" s="234"/>
      <c r="D14" s="234"/>
      <c r="E14" s="234"/>
      <c r="F14" s="1"/>
      <c r="G14" s="1"/>
      <c r="H14" s="1"/>
    </row>
    <row r="15" spans="1:9" ht="15" customHeight="1" x14ac:dyDescent="0.25">
      <c r="A15" s="234"/>
      <c r="B15" s="234"/>
      <c r="C15" s="234"/>
      <c r="D15" s="234"/>
      <c r="E15" s="234"/>
      <c r="F15" s="1"/>
      <c r="G15" s="1"/>
      <c r="H15" s="1"/>
    </row>
    <row r="16" spans="1:9" ht="15" customHeight="1" x14ac:dyDescent="0.25">
      <c r="A16" s="234"/>
      <c r="B16" s="234"/>
      <c r="C16" s="234"/>
      <c r="D16" s="234"/>
      <c r="E16" s="234"/>
      <c r="F16" s="1"/>
      <c r="G16" s="1"/>
      <c r="H16" s="1"/>
    </row>
    <row r="17" spans="1:26" ht="39" customHeight="1" x14ac:dyDescent="0.25">
      <c r="A17" s="234"/>
      <c r="B17" s="234"/>
      <c r="C17" s="234"/>
      <c r="D17" s="234"/>
      <c r="E17" s="234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166</v>
      </c>
      <c r="B23" s="13"/>
      <c r="C23" s="13"/>
      <c r="D23" s="160">
        <v>613132.9</v>
      </c>
      <c r="E23" s="13"/>
    </row>
    <row r="24" spans="1:26" ht="15.75" hidden="1" customHeight="1" x14ac:dyDescent="0.25">
      <c r="A24" s="13"/>
      <c r="B24" s="13"/>
      <c r="C24" s="13"/>
      <c r="D24" s="160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60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60">
        <v>-151750.41</v>
      </c>
      <c r="E26" s="13"/>
    </row>
    <row r="27" spans="1:26" ht="15.75" customHeight="1" x14ac:dyDescent="0.25">
      <c r="A27" s="13" t="s">
        <v>11</v>
      </c>
      <c r="B27" s="13"/>
      <c r="C27" s="13"/>
      <c r="D27" s="160">
        <v>0.51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4" t="s">
        <v>12</v>
      </c>
      <c r="B28" s="14"/>
      <c r="C28" s="14"/>
      <c r="D28" s="161">
        <f>SUM(D23:D27)</f>
        <v>461383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13" t="s">
        <v>167</v>
      </c>
      <c r="B29" s="13"/>
      <c r="C29" s="13"/>
      <c r="D29" s="160"/>
      <c r="E29" s="13"/>
    </row>
    <row r="30" spans="1:26" ht="0.75" hidden="1" customHeight="1" x14ac:dyDescent="0.25">
      <c r="A30" s="16"/>
      <c r="B30" s="13"/>
      <c r="C30" s="13"/>
      <c r="D30" s="160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idden="1" x14ac:dyDescent="0.25">
      <c r="A31" s="13"/>
      <c r="B31" s="13"/>
      <c r="C31" s="13"/>
      <c r="D31" s="160"/>
      <c r="E31" s="13"/>
    </row>
    <row r="32" spans="1:26" hidden="1" x14ac:dyDescent="0.25">
      <c r="A32" s="13"/>
      <c r="B32" s="13"/>
      <c r="C32" s="13"/>
      <c r="D32" s="162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idden="1" x14ac:dyDescent="0.25">
      <c r="A33" s="13"/>
      <c r="B33" s="13"/>
      <c r="C33" s="13"/>
      <c r="D33" s="162"/>
      <c r="E33" s="13"/>
      <c r="F33" s="1"/>
    </row>
    <row r="34" spans="1:26" hidden="1" x14ac:dyDescent="0.25">
      <c r="A34" s="13" t="s">
        <v>13</v>
      </c>
      <c r="B34" s="13"/>
      <c r="C34" s="13"/>
      <c r="D34" s="162"/>
      <c r="E34" s="13"/>
      <c r="F34" s="1"/>
    </row>
    <row r="35" spans="1:26" hidden="1" x14ac:dyDescent="0.25">
      <c r="A35" s="13" t="s">
        <v>14</v>
      </c>
      <c r="B35" s="13"/>
      <c r="C35" s="13"/>
      <c r="D35" s="162"/>
      <c r="E35" s="1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idden="1" x14ac:dyDescent="0.25">
      <c r="A36" s="13"/>
      <c r="B36" s="13"/>
      <c r="C36" s="13"/>
      <c r="D36" s="162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idden="1" x14ac:dyDescent="0.25">
      <c r="A37" s="14" t="s">
        <v>12</v>
      </c>
      <c r="B37" s="14"/>
      <c r="C37" s="14"/>
      <c r="D37" s="163">
        <f>SUM(D29:D36)</f>
        <v>0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">
      <c r="A38" s="17" t="s">
        <v>15</v>
      </c>
      <c r="B38" s="17"/>
      <c r="C38" s="17"/>
      <c r="D38" s="164"/>
      <c r="E38" s="18">
        <f>D28+D37</f>
        <v>461383</v>
      </c>
      <c r="F38" s="19"/>
    </row>
    <row r="39" spans="1:26" ht="15.75" customHeight="1" x14ac:dyDescent="0.25">
      <c r="A39" s="12" t="s">
        <v>16</v>
      </c>
      <c r="B39" s="12"/>
      <c r="C39" s="12"/>
      <c r="D39" s="165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customHeight="1" x14ac:dyDescent="0.25">
      <c r="A40" s="125" t="s">
        <v>17</v>
      </c>
      <c r="B40" s="185" t="s">
        <v>168</v>
      </c>
      <c r="C40" s="13"/>
      <c r="D40" s="282">
        <v>30000</v>
      </c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thickBot="1" x14ac:dyDescent="0.3">
      <c r="A41" s="220" t="s">
        <v>18</v>
      </c>
      <c r="B41" s="185" t="s">
        <v>168</v>
      </c>
      <c r="C41" s="13"/>
      <c r="D41" s="160">
        <v>125300</v>
      </c>
      <c r="E41" s="22"/>
      <c r="F41" s="1"/>
      <c r="G41" s="1"/>
      <c r="H41" s="1" t="s">
        <v>162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">
      <c r="A42" s="17" t="s">
        <v>19</v>
      </c>
      <c r="B42" s="17"/>
      <c r="C42" s="17"/>
      <c r="D42" s="166"/>
      <c r="E42" s="23">
        <f>SUM(D40:D41)</f>
        <v>155300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2" t="s">
        <v>20</v>
      </c>
      <c r="B43" s="17"/>
      <c r="C43" s="17"/>
      <c r="D43" s="167"/>
      <c r="E43" s="24"/>
      <c r="F43" s="1"/>
    </row>
    <row r="44" spans="1:26" ht="30" customHeight="1" x14ac:dyDescent="0.25">
      <c r="A44" s="239" t="s">
        <v>21</v>
      </c>
      <c r="B44" s="225"/>
      <c r="C44" s="25"/>
      <c r="D44" s="169">
        <v>56041.08</v>
      </c>
      <c r="E44" s="26" t="s">
        <v>179</v>
      </c>
      <c r="F44" s="1"/>
    </row>
    <row r="45" spans="1:26" ht="15.75" customHeight="1" x14ac:dyDescent="0.25">
      <c r="A45" s="17" t="s">
        <v>22</v>
      </c>
      <c r="B45" s="17"/>
      <c r="C45" s="17"/>
      <c r="D45" s="166"/>
      <c r="E45" s="28">
        <f>SUM(D44:D44)</f>
        <v>56041.08</v>
      </c>
      <c r="F45" s="1"/>
    </row>
    <row r="46" spans="1:26" ht="15.75" customHeight="1" x14ac:dyDescent="0.25">
      <c r="A46" s="12" t="s">
        <v>23</v>
      </c>
      <c r="B46" s="29"/>
      <c r="C46" s="29"/>
      <c r="D46" s="170"/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0.75" customHeight="1" x14ac:dyDescent="0.25">
      <c r="A47" s="13"/>
      <c r="B47" s="13"/>
      <c r="C47" s="31"/>
      <c r="D47" s="171"/>
      <c r="E47" s="33"/>
      <c r="F47" s="1"/>
    </row>
    <row r="48" spans="1:26" ht="15.75" customHeight="1" x14ac:dyDescent="0.25">
      <c r="A48" s="13" t="s">
        <v>24</v>
      </c>
      <c r="B48" s="13"/>
      <c r="C48" s="31"/>
      <c r="D48" s="283">
        <v>396693.7</v>
      </c>
      <c r="E48" s="146" t="s">
        <v>173</v>
      </c>
      <c r="F48" s="1"/>
    </row>
    <row r="49" spans="1:26" ht="15.75" customHeight="1" x14ac:dyDescent="0.25">
      <c r="A49" s="13" t="s">
        <v>169</v>
      </c>
      <c r="B49" s="13" t="s">
        <v>25</v>
      </c>
      <c r="C49" s="13"/>
      <c r="D49" s="171">
        <v>32007.51</v>
      </c>
      <c r="E49" s="34" t="s">
        <v>176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3" t="str">
        <f>A49</f>
        <v>Sindicatos mes de AGOSTO</v>
      </c>
      <c r="B50" s="13" t="s">
        <v>26</v>
      </c>
      <c r="C50" s="13"/>
      <c r="D50" s="169">
        <v>70861.06</v>
      </c>
      <c r="E50" s="34" t="str">
        <f>E49</f>
        <v>Debito 12/08</v>
      </c>
      <c r="F50" s="1"/>
      <c r="G50" s="1"/>
      <c r="H50" s="1"/>
    </row>
    <row r="51" spans="1:26" ht="15.75" customHeight="1" x14ac:dyDescent="0.25">
      <c r="A51" s="141" t="str">
        <f>A50</f>
        <v>Sindicatos mes de AGOSTO</v>
      </c>
      <c r="B51" s="141" t="s">
        <v>27</v>
      </c>
      <c r="C51" s="141"/>
      <c r="D51" s="284">
        <v>3556.39</v>
      </c>
      <c r="E51" s="35" t="str">
        <f>E50</f>
        <v>Debito 12/08</v>
      </c>
      <c r="F51" s="1"/>
      <c r="G51" s="1"/>
      <c r="H51" s="1"/>
    </row>
    <row r="52" spans="1:26" ht="15" customHeight="1" thickBot="1" x14ac:dyDescent="0.3">
      <c r="A52" s="142" t="s">
        <v>28</v>
      </c>
      <c r="B52" s="143"/>
      <c r="C52" s="143"/>
      <c r="D52" s="172"/>
      <c r="E52" s="28">
        <f>SUM(D47:D51)</f>
        <v>503118.66000000003</v>
      </c>
      <c r="F52" s="1"/>
      <c r="G52" s="1"/>
      <c r="H52" s="1"/>
    </row>
    <row r="53" spans="1:26" ht="13.5" customHeight="1" x14ac:dyDescent="0.25">
      <c r="A53" s="12" t="s">
        <v>29</v>
      </c>
      <c r="B53" s="29"/>
      <c r="C53" s="29"/>
      <c r="D53" s="170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259" t="s">
        <v>170</v>
      </c>
      <c r="B54" s="260"/>
      <c r="C54" s="13"/>
      <c r="D54" s="201">
        <v>108000</v>
      </c>
      <c r="E54" s="146" t="s">
        <v>173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53" t="s">
        <v>30</v>
      </c>
      <c r="B55" s="154"/>
      <c r="C55" s="13"/>
      <c r="D55" s="201">
        <v>35000</v>
      </c>
      <c r="E55" s="146" t="s">
        <v>173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124" t="s">
        <v>31</v>
      </c>
      <c r="B56" s="123"/>
      <c r="C56" s="37"/>
      <c r="D56" s="285">
        <v>31279.279999999999</v>
      </c>
      <c r="E56" s="144" t="s">
        <v>178</v>
      </c>
      <c r="F56" s="38"/>
      <c r="G56" s="38"/>
      <c r="H56" s="38"/>
    </row>
    <row r="57" spans="1:26" ht="30" customHeight="1" x14ac:dyDescent="0.25">
      <c r="A57" s="261" t="s">
        <v>180</v>
      </c>
      <c r="B57" s="262"/>
      <c r="C57" s="263"/>
      <c r="D57" s="264">
        <v>530000</v>
      </c>
      <c r="E57" s="133" t="s">
        <v>181</v>
      </c>
      <c r="F57" s="38"/>
      <c r="G57" s="38"/>
      <c r="H57" s="38"/>
    </row>
    <row r="58" spans="1:26" s="137" customFormat="1" ht="30" customHeight="1" x14ac:dyDescent="0.25">
      <c r="A58" s="224" t="s">
        <v>175</v>
      </c>
      <c r="B58" s="225"/>
      <c r="C58" s="37"/>
      <c r="D58" s="264">
        <v>350000</v>
      </c>
      <c r="E58" s="221" t="s">
        <v>173</v>
      </c>
      <c r="F58" s="190"/>
      <c r="G58" s="190"/>
      <c r="H58" s="190"/>
    </row>
    <row r="59" spans="1:26" ht="18" customHeight="1" x14ac:dyDescent="0.25">
      <c r="A59" s="224" t="s">
        <v>171</v>
      </c>
      <c r="B59" s="225"/>
      <c r="C59" s="21"/>
      <c r="D59" s="168">
        <v>16994.62</v>
      </c>
      <c r="E59" s="133" t="s">
        <v>177</v>
      </c>
      <c r="F59" s="27"/>
      <c r="G59" s="27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5">
      <c r="A60" s="224" t="s">
        <v>182</v>
      </c>
      <c r="B60" s="225"/>
      <c r="C60" s="21"/>
      <c r="D60" s="168"/>
      <c r="E60" s="145"/>
      <c r="F60" s="27"/>
      <c r="G60" s="27"/>
      <c r="H60" s="27"/>
    </row>
    <row r="61" spans="1:26" ht="14.25" hidden="1" customHeight="1" x14ac:dyDescent="0.25">
      <c r="A61" s="13"/>
      <c r="B61" s="13"/>
      <c r="C61" s="13"/>
      <c r="D61" s="169"/>
      <c r="E61" s="36"/>
      <c r="F61" s="1"/>
      <c r="G61" s="1"/>
      <c r="H61" s="1"/>
    </row>
    <row r="62" spans="1:26" ht="14.25" hidden="1" customHeight="1" x14ac:dyDescent="0.25">
      <c r="A62" s="238"/>
      <c r="B62" s="225"/>
      <c r="C62" s="13"/>
      <c r="D62" s="169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25">
      <c r="A63" s="13"/>
      <c r="B63" s="39"/>
      <c r="C63" s="13"/>
      <c r="D63" s="169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25">
      <c r="A64" s="224"/>
      <c r="B64" s="230"/>
      <c r="C64" s="41"/>
      <c r="D64" s="236"/>
      <c r="E64" s="2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hidden="1" customHeight="1" x14ac:dyDescent="0.25">
      <c r="A65" s="231"/>
      <c r="B65" s="232"/>
      <c r="C65" s="41"/>
      <c r="D65" s="237"/>
      <c r="E65" s="22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hidden="1" customHeight="1" x14ac:dyDescent="0.25">
      <c r="A66" s="224"/>
      <c r="B66" s="225"/>
      <c r="C66" s="13"/>
      <c r="D66" s="173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hidden="1" customHeight="1" x14ac:dyDescent="0.25">
      <c r="A67" s="224"/>
      <c r="B67" s="225"/>
      <c r="C67" s="13"/>
      <c r="D67" s="173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25">
      <c r="A68" s="224"/>
      <c r="B68" s="225"/>
      <c r="C68" s="13"/>
      <c r="D68" s="173"/>
      <c r="E68" s="36"/>
    </row>
    <row r="69" spans="1:26" ht="15.75" hidden="1" customHeight="1" x14ac:dyDescent="0.25">
      <c r="A69" s="13"/>
      <c r="B69" s="43"/>
      <c r="C69" s="13"/>
      <c r="D69" s="173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hidden="1" customHeight="1" x14ac:dyDescent="0.25">
      <c r="A70" s="224"/>
      <c r="B70" s="225"/>
      <c r="C70" s="13"/>
      <c r="D70" s="173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39"/>
      <c r="B71" s="44"/>
      <c r="C71" s="13"/>
      <c r="D71" s="173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.75" hidden="1" customHeight="1" x14ac:dyDescent="0.25">
      <c r="A72" s="224"/>
      <c r="B72" s="225"/>
      <c r="C72" s="13"/>
      <c r="D72" s="173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hidden="1" customHeight="1" x14ac:dyDescent="0.25">
      <c r="A73" s="224"/>
      <c r="B73" s="225"/>
      <c r="C73" s="13"/>
      <c r="D73" s="173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.75" hidden="1" customHeight="1" x14ac:dyDescent="0.25">
      <c r="A74" s="226"/>
      <c r="B74" s="225"/>
      <c r="C74" s="46"/>
      <c r="D74" s="173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">
      <c r="A75" s="17" t="s">
        <v>32</v>
      </c>
      <c r="B75" s="17"/>
      <c r="C75" s="17"/>
      <c r="D75" s="166"/>
      <c r="E75" s="28">
        <f>SUM(D54:D60)</f>
        <v>1071273.9000000001</v>
      </c>
    </row>
    <row r="76" spans="1:26" ht="15.75" customHeight="1" thickBot="1" x14ac:dyDescent="0.3">
      <c r="A76" s="12" t="s">
        <v>33</v>
      </c>
      <c r="B76" s="17"/>
      <c r="C76" s="17"/>
      <c r="D76" s="166"/>
      <c r="E76" s="47"/>
    </row>
    <row r="77" spans="1:26" ht="19.899999999999999" customHeight="1" x14ac:dyDescent="0.25">
      <c r="A77" s="13" t="s">
        <v>174</v>
      </c>
      <c r="B77" s="13"/>
      <c r="C77" s="13"/>
      <c r="D77" s="171">
        <v>35450</v>
      </c>
      <c r="E77" s="146" t="s">
        <v>173</v>
      </c>
    </row>
    <row r="78" spans="1:26" ht="19.899999999999999" customHeight="1" x14ac:dyDescent="0.25">
      <c r="A78" s="13"/>
      <c r="B78" s="13"/>
      <c r="C78" s="13"/>
      <c r="D78" s="171"/>
      <c r="E78" s="49"/>
    </row>
    <row r="79" spans="1:26" ht="15.75" customHeight="1" thickBot="1" x14ac:dyDescent="0.3">
      <c r="A79" s="17" t="s">
        <v>34</v>
      </c>
      <c r="B79" s="12"/>
      <c r="C79" s="12"/>
      <c r="D79" s="174"/>
      <c r="E79" s="50">
        <f>SUM(D77:D78)</f>
        <v>35450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thickBot="1" x14ac:dyDescent="0.3">
      <c r="A80" s="12" t="s">
        <v>172</v>
      </c>
      <c r="B80" s="51"/>
      <c r="C80" s="17"/>
      <c r="D80" s="164"/>
      <c r="E80" s="47">
        <f>850.17+698.43+4797.54+618.63+2.1+2364+10+1202.53+1583.5+3434+961.5+2275.93+1316.37+1224+2364.03+534+4200+154.8+1600+1200+2351.5+457.76+2442+6000</f>
        <v>42642.79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3" t="s">
        <v>35</v>
      </c>
      <c r="B81" s="13"/>
      <c r="C81" s="13"/>
      <c r="D81" s="202">
        <v>49507.040000000001</v>
      </c>
      <c r="E81" s="5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3" t="s">
        <v>36</v>
      </c>
      <c r="B82" s="13"/>
      <c r="C82" s="13"/>
      <c r="D82" s="169">
        <v>30000</v>
      </c>
      <c r="E82" s="4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53" t="s">
        <v>19</v>
      </c>
      <c r="B83" s="53"/>
      <c r="C83" s="53"/>
      <c r="D83" s="140"/>
      <c r="E83" s="28">
        <f>SUM(D81:D82)</f>
        <v>79507.040000000008</v>
      </c>
      <c r="F83" s="1"/>
    </row>
    <row r="84" spans="1:26" ht="15.75" customHeight="1" x14ac:dyDescent="0.25">
      <c r="A84" s="13"/>
      <c r="B84" s="13"/>
      <c r="C84" s="13"/>
      <c r="D84" s="13"/>
      <c r="E84" s="54"/>
      <c r="F84" s="1"/>
    </row>
    <row r="85" spans="1:26" ht="15.75" customHeight="1" x14ac:dyDescent="0.25">
      <c r="A85" s="55" t="s">
        <v>160</v>
      </c>
      <c r="B85" s="55"/>
      <c r="C85" s="55"/>
      <c r="D85" s="56"/>
      <c r="E85" s="57">
        <f>595283.53</f>
        <v>595283.53</v>
      </c>
      <c r="F85" s="1"/>
    </row>
    <row r="86" spans="1:26" ht="15.75" customHeight="1" thickBot="1" x14ac:dyDescent="0.3">
      <c r="A86" s="58"/>
      <c r="B86" s="1"/>
      <c r="C86" s="1"/>
      <c r="D86" s="1"/>
      <c r="E86" s="59"/>
      <c r="F86" s="60"/>
    </row>
    <row r="87" spans="1:26" ht="15.75" customHeight="1" thickBot="1" x14ac:dyDescent="0.3">
      <c r="A87" s="61" t="s">
        <v>37</v>
      </c>
      <c r="B87" s="62"/>
      <c r="C87" s="63"/>
      <c r="D87" s="63"/>
      <c r="E87" s="64">
        <f>(SUM(E31:E85))</f>
        <v>3000000</v>
      </c>
      <c r="F87" s="1"/>
      <c r="G87" s="188"/>
      <c r="H87" s="206"/>
    </row>
    <row r="88" spans="1:26" ht="15.75" customHeight="1" x14ac:dyDescent="0.25"/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7" t="s">
        <v>38</v>
      </c>
      <c r="B90" s="8"/>
      <c r="C90" s="9"/>
      <c r="D90" s="10"/>
      <c r="E90" s="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35"/>
      <c r="B91" s="135"/>
      <c r="C91" s="134"/>
      <c r="D91" s="32"/>
      <c r="E91" s="4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35"/>
      <c r="B92" s="135"/>
      <c r="C92" s="134"/>
      <c r="D92" s="32">
        <v>0</v>
      </c>
      <c r="E92" s="3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65" t="s">
        <v>34</v>
      </c>
      <c r="B93" s="66"/>
      <c r="C93" s="66"/>
      <c r="D93" s="67"/>
      <c r="E93" s="67">
        <f>SUM(D91:D92)</f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203" t="s">
        <v>39</v>
      </c>
      <c r="B96" s="203"/>
      <c r="C96" s="203"/>
      <c r="D96" s="203"/>
      <c r="E96" s="20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61" t="s">
        <v>40</v>
      </c>
      <c r="B98" s="62"/>
      <c r="C98" s="63"/>
      <c r="D98" s="63"/>
      <c r="E98" s="64">
        <f>E93+E96</f>
        <v>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68" t="s">
        <v>41</v>
      </c>
      <c r="B100" s="69">
        <f>E87</f>
        <v>3000000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68" t="s">
        <v>42</v>
      </c>
      <c r="B101" s="69">
        <f>E87-E85</f>
        <v>2404716.4699999997</v>
      </c>
    </row>
    <row r="102" spans="1:26" ht="15.75" customHeight="1" x14ac:dyDescent="0.25">
      <c r="A102" s="68" t="s">
        <v>43</v>
      </c>
      <c r="B102" s="69">
        <f>E98-E96</f>
        <v>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68" t="s">
        <v>44</v>
      </c>
      <c r="B103" s="69">
        <f>E98</f>
        <v>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</row>
    <row r="105" spans="1:26" s="278" customFormat="1" ht="15.75" customHeight="1" x14ac:dyDescent="0.25">
      <c r="A105" s="277"/>
      <c r="B105" s="277"/>
      <c r="C105" s="277"/>
      <c r="D105" s="277"/>
      <c r="E105" s="277"/>
    </row>
    <row r="106" spans="1:26" s="278" customFormat="1" ht="15.75" customHeight="1" x14ac:dyDescent="0.25">
      <c r="A106" s="279" t="s">
        <v>183</v>
      </c>
      <c r="B106" s="279"/>
      <c r="C106" s="277"/>
      <c r="D106" s="277"/>
      <c r="E106" s="277"/>
    </row>
    <row r="107" spans="1:26" s="278" customFormat="1" ht="25.5" customHeight="1" x14ac:dyDescent="0.25">
      <c r="A107" s="279"/>
      <c r="B107" s="279"/>
      <c r="C107" s="277"/>
      <c r="D107" s="277"/>
      <c r="E107" s="277"/>
    </row>
    <row r="108" spans="1:26" ht="15.75" customHeight="1" x14ac:dyDescent="0.25">
      <c r="A108" s="1"/>
      <c r="B108" s="1"/>
      <c r="C108" s="1"/>
      <c r="D108" s="1"/>
      <c r="E108" s="1"/>
    </row>
    <row r="109" spans="1:26" s="278" customFormat="1" ht="15.75" customHeight="1" x14ac:dyDescent="0.25">
      <c r="A109" s="279" t="s">
        <v>184</v>
      </c>
      <c r="B109" s="279"/>
      <c r="C109" s="277"/>
      <c r="D109" s="277"/>
      <c r="E109" s="277"/>
    </row>
    <row r="110" spans="1:26" ht="30.75" customHeight="1" x14ac:dyDescent="0.25">
      <c r="A110" s="279"/>
      <c r="B110" s="279"/>
      <c r="C110" s="1"/>
      <c r="D110" s="1"/>
      <c r="E110" s="1"/>
    </row>
    <row r="111" spans="1:26" ht="15.75" customHeight="1" x14ac:dyDescent="0.25">
      <c r="A111" s="1"/>
      <c r="B111" s="1"/>
      <c r="C111" s="1"/>
      <c r="D111" s="1"/>
      <c r="E111" s="1"/>
    </row>
    <row r="112" spans="1:26" ht="15.75" customHeight="1" x14ac:dyDescent="0.25">
      <c r="A112" s="128" t="s">
        <v>45</v>
      </c>
      <c r="B112" s="129"/>
      <c r="C112" s="70"/>
    </row>
    <row r="113" spans="1:26" ht="19.5" customHeight="1" x14ac:dyDescent="0.25">
      <c r="A113" s="132" t="s">
        <v>46</v>
      </c>
      <c r="B113" s="205">
        <v>480739.1799999983</v>
      </c>
      <c r="C113" s="71"/>
    </row>
    <row r="114" spans="1:26" ht="15" customHeight="1" x14ac:dyDescent="0.25">
      <c r="A114" s="130" t="s">
        <v>47</v>
      </c>
      <c r="B114" s="131">
        <f>'Copia de PRORRATEO'!H37</f>
        <v>3745120.1399999997</v>
      </c>
      <c r="C114" s="70"/>
    </row>
    <row r="115" spans="1:26" s="137" customFormat="1" ht="15" customHeight="1" x14ac:dyDescent="0.25">
      <c r="A115" s="130" t="s">
        <v>161</v>
      </c>
      <c r="B115" s="187"/>
      <c r="C115" s="186"/>
    </row>
    <row r="116" spans="1:26" ht="15.75" customHeight="1" x14ac:dyDescent="0.25">
      <c r="A116" s="72" t="s">
        <v>48</v>
      </c>
      <c r="B116" s="73">
        <f>B140</f>
        <v>0</v>
      </c>
      <c r="C116" s="7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74" t="s">
        <v>49</v>
      </c>
      <c r="B117" s="73">
        <f>-B101</f>
        <v>-2404716.4699999997</v>
      </c>
      <c r="C117" s="7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75" t="s">
        <v>50</v>
      </c>
      <c r="B118" s="73">
        <f>-(B102)</f>
        <v>0</v>
      </c>
      <c r="C118" s="70"/>
    </row>
    <row r="119" spans="1:26" s="278" customFormat="1" ht="15.75" customHeight="1" x14ac:dyDescent="0.25">
      <c r="A119" s="75" t="s">
        <v>187</v>
      </c>
      <c r="B119" s="281">
        <v>90000</v>
      </c>
      <c r="C119" s="280"/>
    </row>
    <row r="120" spans="1:26" ht="24.95" customHeight="1" x14ac:dyDescent="0.25">
      <c r="A120" s="75" t="s">
        <v>185</v>
      </c>
      <c r="B120" s="73">
        <v>-115000</v>
      </c>
      <c r="C120" s="70"/>
    </row>
    <row r="121" spans="1:26" ht="24.95" customHeight="1" x14ac:dyDescent="0.25">
      <c r="A121" s="75" t="s">
        <v>186</v>
      </c>
      <c r="B121" s="73">
        <v>-115000</v>
      </c>
      <c r="C121" s="70"/>
    </row>
    <row r="122" spans="1:26" ht="15.75" customHeight="1" x14ac:dyDescent="0.25">
      <c r="A122" s="76" t="s">
        <v>34</v>
      </c>
      <c r="B122" s="77">
        <f>SUM(B113:B121)</f>
        <v>1681142.8499999987</v>
      </c>
      <c r="C122" s="78"/>
    </row>
    <row r="123" spans="1:26" ht="15.75" customHeight="1" x14ac:dyDescent="0.25">
      <c r="A123" s="1"/>
      <c r="B123" s="60"/>
      <c r="C123" s="78"/>
      <c r="D123" s="60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hidden="1" customHeight="1" x14ac:dyDescent="0.25">
      <c r="A124" s="1"/>
      <c r="B124" s="79"/>
      <c r="C124" s="78"/>
    </row>
    <row r="125" spans="1:26" ht="27" hidden="1" customHeight="1" x14ac:dyDescent="0.25">
      <c r="B125" s="60"/>
      <c r="C125" s="80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7" hidden="1" customHeight="1" x14ac:dyDescent="0.25">
      <c r="A126" s="81" t="s">
        <v>51</v>
      </c>
      <c r="B126" s="32"/>
      <c r="C126" s="80"/>
      <c r="D126" s="82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7" hidden="1" customHeight="1" x14ac:dyDescent="0.25">
      <c r="A127" s="13" t="s">
        <v>52</v>
      </c>
      <c r="B127" s="32">
        <v>0</v>
      </c>
      <c r="C127" s="80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hidden="1" customHeight="1" x14ac:dyDescent="0.25">
      <c r="A128" s="13" t="s">
        <v>53</v>
      </c>
      <c r="B128" s="32">
        <v>0</v>
      </c>
      <c r="C128" s="78"/>
      <c r="D128" s="60"/>
    </row>
    <row r="129" spans="1:26" ht="15.75" hidden="1" customHeight="1" x14ac:dyDescent="0.25">
      <c r="A129" s="13" t="s">
        <v>49</v>
      </c>
      <c r="B129" s="32">
        <v>0</v>
      </c>
      <c r="C129" s="78"/>
    </row>
    <row r="130" spans="1:26" ht="15.75" hidden="1" customHeight="1" x14ac:dyDescent="0.25">
      <c r="A130" s="13" t="s">
        <v>50</v>
      </c>
      <c r="B130" s="32">
        <v>0</v>
      </c>
      <c r="C130" s="83"/>
    </row>
    <row r="131" spans="1:26" ht="15.75" hidden="1" customHeight="1" x14ac:dyDescent="0.25">
      <c r="A131" s="81" t="s">
        <v>54</v>
      </c>
      <c r="B131" s="84">
        <f>SUM(B127:B130)</f>
        <v>0</v>
      </c>
      <c r="C131" s="70"/>
    </row>
    <row r="132" spans="1:26" ht="15.75" hidden="1" customHeight="1" x14ac:dyDescent="0.25"/>
    <row r="133" spans="1:26" ht="60.75" hidden="1" customHeight="1" x14ac:dyDescent="0.25"/>
    <row r="134" spans="1:26" ht="15.75" customHeight="1" x14ac:dyDescent="0.25">
      <c r="A134" s="235" t="s">
        <v>55</v>
      </c>
      <c r="B134" s="234"/>
      <c r="C134" s="234"/>
    </row>
    <row r="135" spans="1:26" ht="15.75" customHeight="1" x14ac:dyDescent="0.25">
      <c r="A135" s="234"/>
      <c r="B135" s="234"/>
      <c r="C135" s="234"/>
    </row>
    <row r="136" spans="1:26" ht="15.75" customHeight="1" x14ac:dyDescent="0.25">
      <c r="A136" s="13"/>
      <c r="B136" s="157"/>
      <c r="C136" s="32">
        <v>11948.17</v>
      </c>
    </row>
    <row r="137" spans="1:26" ht="15.75" customHeight="1" x14ac:dyDescent="0.25">
      <c r="A137" s="13"/>
      <c r="B137" s="158"/>
      <c r="C137" s="32">
        <v>52000</v>
      </c>
    </row>
    <row r="138" spans="1:26" ht="15.75" customHeight="1" x14ac:dyDescent="0.25">
      <c r="A138" s="85"/>
      <c r="B138" s="158"/>
      <c r="C138" s="32">
        <v>61209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72"/>
      <c r="B139" s="158"/>
      <c r="C139" s="32">
        <v>40000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86" t="s">
        <v>34</v>
      </c>
      <c r="B140" s="159">
        <f>SUM(B136:B139)</f>
        <v>0</v>
      </c>
      <c r="C140" s="87"/>
    </row>
    <row r="141" spans="1:26" ht="15.75" customHeight="1" x14ac:dyDescent="0.25">
      <c r="M141" s="88"/>
    </row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24">
    <mergeCell ref="A106:B107"/>
    <mergeCell ref="A109:B110"/>
    <mergeCell ref="B3:D4"/>
    <mergeCell ref="A57:B57"/>
    <mergeCell ref="A64:B65"/>
    <mergeCell ref="B9:C11"/>
    <mergeCell ref="A134:C135"/>
    <mergeCell ref="D64:D65"/>
    <mergeCell ref="A62:B62"/>
    <mergeCell ref="A72:B72"/>
    <mergeCell ref="A68:B68"/>
    <mergeCell ref="A44:B44"/>
    <mergeCell ref="A67:B67"/>
    <mergeCell ref="A54:B54"/>
    <mergeCell ref="A7:E7"/>
    <mergeCell ref="A14:E17"/>
    <mergeCell ref="E64:E65"/>
    <mergeCell ref="A70:B70"/>
    <mergeCell ref="A58:B58"/>
    <mergeCell ref="A66:B66"/>
    <mergeCell ref="A74:B74"/>
    <mergeCell ref="A59:B59"/>
    <mergeCell ref="A60:B60"/>
    <mergeCell ref="A73:B7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H34" sqref="H34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89"/>
      <c r="B1" s="89"/>
      <c r="C1" s="89"/>
      <c r="D1" s="89"/>
      <c r="E1" s="89"/>
      <c r="F1" s="251"/>
      <c r="G1" s="234"/>
      <c r="H1" s="234"/>
      <c r="I1" s="234"/>
      <c r="J1" s="234"/>
      <c r="K1" s="234"/>
      <c r="L1" s="234"/>
      <c r="M1" s="234"/>
      <c r="N1" s="234"/>
      <c r="O1" s="234"/>
      <c r="P1" s="89"/>
      <c r="Q1" s="89"/>
    </row>
    <row r="2" spans="1:21" ht="12.75" customHeight="1" x14ac:dyDescent="0.25">
      <c r="A2" s="89"/>
      <c r="B2" s="89"/>
      <c r="C2" s="89"/>
      <c r="D2" s="89" t="str">
        <f>RESUMEN!B3</f>
        <v>MAIL: consorcioillia1554@gmail.com</v>
      </c>
      <c r="E2" s="89"/>
      <c r="F2" s="89"/>
      <c r="G2" s="89"/>
      <c r="H2" s="89"/>
      <c r="I2" s="89"/>
      <c r="J2" s="89"/>
      <c r="K2" s="89"/>
      <c r="L2" s="90" t="s">
        <v>56</v>
      </c>
      <c r="M2" s="89"/>
      <c r="N2" s="89"/>
      <c r="O2" s="189">
        <v>3000000</v>
      </c>
      <c r="P2" s="91"/>
      <c r="Q2" s="91"/>
      <c r="R2" s="19"/>
    </row>
    <row r="3" spans="1:21" ht="12.75" customHeight="1" thickBot="1" x14ac:dyDescent="0.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 t="s">
        <v>57</v>
      </c>
      <c r="M3" s="89"/>
      <c r="N3" s="89"/>
      <c r="O3" s="92"/>
      <c r="P3" s="92"/>
      <c r="Q3" s="93"/>
    </row>
    <row r="4" spans="1:21" x14ac:dyDescent="0.25">
      <c r="A4" s="258" t="s">
        <v>58</v>
      </c>
      <c r="B4" s="247" t="s">
        <v>59</v>
      </c>
      <c r="C4" s="252" t="s">
        <v>60</v>
      </c>
      <c r="D4" s="252" t="s">
        <v>61</v>
      </c>
      <c r="E4" s="256" t="s">
        <v>62</v>
      </c>
      <c r="F4" s="252" t="s">
        <v>63</v>
      </c>
      <c r="G4" s="252" t="s">
        <v>64</v>
      </c>
      <c r="H4" s="252" t="s">
        <v>65</v>
      </c>
      <c r="I4" s="256" t="s">
        <v>66</v>
      </c>
      <c r="J4" s="257" t="s">
        <v>67</v>
      </c>
      <c r="K4" s="245" t="s">
        <v>68</v>
      </c>
      <c r="L4" s="249" t="s">
        <v>69</v>
      </c>
      <c r="M4" s="245" t="s">
        <v>70</v>
      </c>
      <c r="N4" s="253" t="s">
        <v>71</v>
      </c>
      <c r="O4" s="94" t="s">
        <v>72</v>
      </c>
      <c r="P4" s="255" t="s">
        <v>73</v>
      </c>
      <c r="Q4" s="249" t="s">
        <v>74</v>
      </c>
      <c r="R4" s="1"/>
    </row>
    <row r="5" spans="1:21" ht="15.75" customHeight="1" x14ac:dyDescent="0.25">
      <c r="A5" s="250"/>
      <c r="B5" s="248"/>
      <c r="C5" s="250"/>
      <c r="D5" s="250"/>
      <c r="E5" s="246"/>
      <c r="F5" s="250"/>
      <c r="G5" s="250"/>
      <c r="H5" s="250"/>
      <c r="I5" s="246"/>
      <c r="J5" s="246"/>
      <c r="K5" s="246"/>
      <c r="L5" s="250"/>
      <c r="M5" s="246"/>
      <c r="N5" s="254"/>
      <c r="O5" s="95" t="str">
        <f>RESUMEN!B9</f>
        <v>VTO 15/09</v>
      </c>
      <c r="P5" s="248"/>
      <c r="Q5" s="250"/>
    </row>
    <row r="6" spans="1:21" ht="16.5" customHeight="1" x14ac:dyDescent="0.25">
      <c r="A6" s="13" t="s">
        <v>75</v>
      </c>
      <c r="B6" s="119">
        <v>1</v>
      </c>
      <c r="C6" s="120" t="s">
        <v>76</v>
      </c>
      <c r="D6" s="120" t="s">
        <v>77</v>
      </c>
      <c r="E6" s="96" t="s">
        <v>78</v>
      </c>
      <c r="F6" s="97">
        <v>1.1000000000000001</v>
      </c>
      <c r="G6" s="98">
        <v>64929.01</v>
      </c>
      <c r="H6" s="139">
        <f>G6</f>
        <v>64929.01</v>
      </c>
      <c r="I6" s="100"/>
      <c r="J6" s="101">
        <f t="shared" ref="J6:J36" si="0">G6-H6</f>
        <v>0</v>
      </c>
      <c r="K6" s="101">
        <f t="shared" ref="K6:K36" si="1">IF(J6&gt;0,J6*3%,0)</f>
        <v>0</v>
      </c>
      <c r="L6" s="98">
        <f>O$3*F6%</f>
        <v>0</v>
      </c>
      <c r="M6" s="101">
        <f>O$2*F6%</f>
        <v>33000</v>
      </c>
      <c r="N6" s="102">
        <v>0</v>
      </c>
      <c r="O6" s="126">
        <f>ROUND(SUM(J6:N6),0) + R6</f>
        <v>33000.01</v>
      </c>
      <c r="P6" s="107">
        <f t="shared" ref="P6:P36" si="2">ROUND(O6*6% + O6,0) + R6</f>
        <v>34980.01</v>
      </c>
      <c r="Q6" s="127">
        <f t="shared" ref="Q6:Q36" si="3">ROUND(O6*3%,0) + O6</f>
        <v>33990.01</v>
      </c>
      <c r="R6" s="60">
        <v>0.01</v>
      </c>
    </row>
    <row r="7" spans="1:21" ht="16.5" customHeight="1" x14ac:dyDescent="0.25">
      <c r="A7" s="13" t="s">
        <v>79</v>
      </c>
      <c r="B7" s="178">
        <v>2</v>
      </c>
      <c r="C7" s="179" t="s">
        <v>80</v>
      </c>
      <c r="D7" s="179" t="s">
        <v>81</v>
      </c>
      <c r="E7" s="180"/>
      <c r="F7" s="181">
        <v>0.9</v>
      </c>
      <c r="G7" s="147">
        <v>27000.02</v>
      </c>
      <c r="H7" s="139">
        <f>G7</f>
        <v>27000.02</v>
      </c>
      <c r="I7" s="100"/>
      <c r="J7" s="148">
        <f t="shared" si="0"/>
        <v>0</v>
      </c>
      <c r="K7" s="148">
        <f t="shared" si="1"/>
        <v>0</v>
      </c>
      <c r="L7" s="147">
        <f t="shared" ref="L7:L34" si="4">O$3*F7%</f>
        <v>0</v>
      </c>
      <c r="M7" s="101">
        <f t="shared" ref="M7:M34" si="5">O$2*F7%</f>
        <v>27000.000000000004</v>
      </c>
      <c r="N7" s="149">
        <v>0</v>
      </c>
      <c r="O7" s="150">
        <f t="shared" ref="O7:O34" si="6">ROUND(SUM(J7:N7),0) + R7</f>
        <v>27000.02</v>
      </c>
      <c r="P7" s="151">
        <f t="shared" si="2"/>
        <v>28620.02</v>
      </c>
      <c r="Q7" s="152">
        <f t="shared" si="3"/>
        <v>27810.02</v>
      </c>
      <c r="R7" s="60">
        <f t="shared" ref="R7:R35" si="7">R6+0.01</f>
        <v>0.02</v>
      </c>
      <c r="S7" s="60"/>
    </row>
    <row r="8" spans="1:21" ht="16.5" customHeight="1" x14ac:dyDescent="0.25">
      <c r="A8" s="13" t="s">
        <v>79</v>
      </c>
      <c r="B8" s="178">
        <v>3</v>
      </c>
      <c r="C8" s="179" t="s">
        <v>82</v>
      </c>
      <c r="D8" s="179" t="s">
        <v>83</v>
      </c>
      <c r="E8" s="180" t="s">
        <v>84</v>
      </c>
      <c r="F8" s="181">
        <v>0.8</v>
      </c>
      <c r="G8" s="147">
        <v>24000.03</v>
      </c>
      <c r="H8" s="139">
        <f>G8</f>
        <v>24000.03</v>
      </c>
      <c r="I8" s="100"/>
      <c r="J8" s="148">
        <f t="shared" si="0"/>
        <v>0</v>
      </c>
      <c r="K8" s="148">
        <f t="shared" si="1"/>
        <v>0</v>
      </c>
      <c r="L8" s="147">
        <f t="shared" si="4"/>
        <v>0</v>
      </c>
      <c r="M8" s="101">
        <f t="shared" si="5"/>
        <v>24000</v>
      </c>
      <c r="N8" s="149">
        <v>0</v>
      </c>
      <c r="O8" s="150">
        <f t="shared" si="6"/>
        <v>24000.03</v>
      </c>
      <c r="P8" s="151">
        <f t="shared" si="2"/>
        <v>25440.03</v>
      </c>
      <c r="Q8" s="152">
        <f t="shared" si="3"/>
        <v>24720.03</v>
      </c>
      <c r="R8" s="60">
        <f t="shared" si="7"/>
        <v>0.03</v>
      </c>
    </row>
    <row r="9" spans="1:21" ht="16.5" customHeight="1" x14ac:dyDescent="0.25">
      <c r="A9" s="13" t="s">
        <v>85</v>
      </c>
      <c r="B9" s="178">
        <v>4</v>
      </c>
      <c r="C9" s="179" t="s">
        <v>86</v>
      </c>
      <c r="D9" s="179" t="s">
        <v>87</v>
      </c>
      <c r="E9" s="180"/>
      <c r="F9" s="181">
        <v>0.8</v>
      </c>
      <c r="G9" s="147">
        <v>24000.04</v>
      </c>
      <c r="H9" s="139">
        <f>G9</f>
        <v>24000.04</v>
      </c>
      <c r="I9" s="100"/>
      <c r="J9" s="148">
        <f t="shared" si="0"/>
        <v>0</v>
      </c>
      <c r="K9" s="148">
        <f t="shared" si="1"/>
        <v>0</v>
      </c>
      <c r="L9" s="147">
        <f t="shared" si="4"/>
        <v>0</v>
      </c>
      <c r="M9" s="101">
        <f t="shared" si="5"/>
        <v>24000</v>
      </c>
      <c r="N9" s="149">
        <v>0</v>
      </c>
      <c r="O9" s="150">
        <f t="shared" si="6"/>
        <v>24000.04</v>
      </c>
      <c r="P9" s="151">
        <f t="shared" si="2"/>
        <v>25440.04</v>
      </c>
      <c r="Q9" s="152">
        <f t="shared" si="3"/>
        <v>24720.04</v>
      </c>
      <c r="R9" s="60">
        <f t="shared" si="7"/>
        <v>0.04</v>
      </c>
    </row>
    <row r="10" spans="1:21" ht="16.5" customHeight="1" x14ac:dyDescent="0.25">
      <c r="A10" s="13" t="s">
        <v>85</v>
      </c>
      <c r="B10" s="178">
        <v>5</v>
      </c>
      <c r="C10" s="179" t="s">
        <v>88</v>
      </c>
      <c r="D10" s="179" t="s">
        <v>81</v>
      </c>
      <c r="E10" s="180" t="s">
        <v>89</v>
      </c>
      <c r="F10" s="181">
        <v>0.5</v>
      </c>
      <c r="G10" s="147">
        <v>100940.05</v>
      </c>
      <c r="H10" s="139">
        <f>G10</f>
        <v>100940.05</v>
      </c>
      <c r="I10" s="100"/>
      <c r="J10" s="148">
        <f t="shared" si="0"/>
        <v>0</v>
      </c>
      <c r="K10" s="148">
        <f t="shared" si="1"/>
        <v>0</v>
      </c>
      <c r="L10" s="147">
        <f t="shared" si="4"/>
        <v>0</v>
      </c>
      <c r="M10" s="101">
        <f t="shared" si="5"/>
        <v>15000</v>
      </c>
      <c r="N10" s="149">
        <v>0</v>
      </c>
      <c r="O10" s="150">
        <f t="shared" si="6"/>
        <v>15000.05</v>
      </c>
      <c r="P10" s="151">
        <f t="shared" si="2"/>
        <v>15900.05</v>
      </c>
      <c r="Q10" s="152">
        <f t="shared" si="3"/>
        <v>15450.05</v>
      </c>
      <c r="R10" s="60">
        <f t="shared" si="7"/>
        <v>0.05</v>
      </c>
    </row>
    <row r="11" spans="1:21" ht="16.5" customHeight="1" x14ac:dyDescent="0.25">
      <c r="A11" s="13" t="s">
        <v>90</v>
      </c>
      <c r="B11" s="178">
        <v>6</v>
      </c>
      <c r="C11" s="179" t="s">
        <v>91</v>
      </c>
      <c r="D11" s="179" t="s">
        <v>81</v>
      </c>
      <c r="E11" s="182"/>
      <c r="F11" s="181">
        <v>0.5</v>
      </c>
      <c r="G11" s="147">
        <v>15000.06</v>
      </c>
      <c r="H11" s="139">
        <f>G11</f>
        <v>15000.06</v>
      </c>
      <c r="I11" s="100"/>
      <c r="J11" s="148">
        <f t="shared" si="0"/>
        <v>0</v>
      </c>
      <c r="K11" s="148">
        <f t="shared" si="1"/>
        <v>0</v>
      </c>
      <c r="L11" s="147">
        <f t="shared" si="4"/>
        <v>0</v>
      </c>
      <c r="M11" s="101">
        <f t="shared" si="5"/>
        <v>15000</v>
      </c>
      <c r="N11" s="149">
        <v>0</v>
      </c>
      <c r="O11" s="150">
        <f t="shared" si="6"/>
        <v>15000.06</v>
      </c>
      <c r="P11" s="151">
        <f t="shared" si="2"/>
        <v>15900.06</v>
      </c>
      <c r="Q11" s="152">
        <f t="shared" si="3"/>
        <v>15450.06</v>
      </c>
      <c r="R11" s="60">
        <f t="shared" si="7"/>
        <v>6.0000000000000005E-2</v>
      </c>
    </row>
    <row r="12" spans="1:21" ht="24" customHeight="1" x14ac:dyDescent="0.25">
      <c r="A12" s="13" t="s">
        <v>90</v>
      </c>
      <c r="B12" s="178">
        <v>7</v>
      </c>
      <c r="C12" s="179" t="s">
        <v>92</v>
      </c>
      <c r="D12" s="179" t="s">
        <v>81</v>
      </c>
      <c r="E12" s="180" t="s">
        <v>93</v>
      </c>
      <c r="F12" s="181">
        <v>0.5</v>
      </c>
      <c r="G12" s="147">
        <v>15000.07</v>
      </c>
      <c r="H12" s="139">
        <f>G12</f>
        <v>15000.07</v>
      </c>
      <c r="I12" s="100"/>
      <c r="J12" s="148">
        <f t="shared" si="0"/>
        <v>0</v>
      </c>
      <c r="K12" s="148">
        <f t="shared" si="1"/>
        <v>0</v>
      </c>
      <c r="L12" s="147">
        <f t="shared" si="4"/>
        <v>0</v>
      </c>
      <c r="M12" s="101">
        <f t="shared" si="5"/>
        <v>15000</v>
      </c>
      <c r="N12" s="149">
        <v>0</v>
      </c>
      <c r="O12" s="150">
        <f t="shared" si="6"/>
        <v>15000.07</v>
      </c>
      <c r="P12" s="151">
        <f t="shared" si="2"/>
        <v>15900.07</v>
      </c>
      <c r="Q12" s="152">
        <f t="shared" si="3"/>
        <v>15450.07</v>
      </c>
      <c r="R12" s="60">
        <f t="shared" si="7"/>
        <v>7.0000000000000007E-2</v>
      </c>
    </row>
    <row r="13" spans="1:21" ht="16.5" customHeight="1" x14ac:dyDescent="0.25">
      <c r="A13" s="13" t="s">
        <v>94</v>
      </c>
      <c r="B13" s="265" t="s">
        <v>95</v>
      </c>
      <c r="C13" s="266">
        <v>1</v>
      </c>
      <c r="D13" s="266" t="s">
        <v>96</v>
      </c>
      <c r="E13" s="267" t="s">
        <v>97</v>
      </c>
      <c r="F13" s="268">
        <v>4.4000000000000004</v>
      </c>
      <c r="G13" s="269">
        <v>200000</v>
      </c>
      <c r="H13" s="276">
        <v>200000</v>
      </c>
      <c r="I13" s="270"/>
      <c r="J13" s="271">
        <f t="shared" si="0"/>
        <v>0</v>
      </c>
      <c r="K13" s="271">
        <f t="shared" si="1"/>
        <v>0</v>
      </c>
      <c r="L13" s="269">
        <f t="shared" si="4"/>
        <v>0</v>
      </c>
      <c r="M13" s="271">
        <f t="shared" si="5"/>
        <v>132000</v>
      </c>
      <c r="N13" s="272"/>
      <c r="O13" s="273">
        <f t="shared" si="6"/>
        <v>132000.07999999999</v>
      </c>
      <c r="P13" s="274">
        <f t="shared" si="2"/>
        <v>139920.07999999999</v>
      </c>
      <c r="Q13" s="275">
        <f t="shared" si="3"/>
        <v>135960.07999999999</v>
      </c>
      <c r="R13" s="60">
        <f t="shared" si="7"/>
        <v>0.08</v>
      </c>
    </row>
    <row r="14" spans="1:21" ht="16.5" customHeight="1" x14ac:dyDescent="0.25">
      <c r="A14" s="13" t="s">
        <v>94</v>
      </c>
      <c r="B14" s="119" t="s">
        <v>98</v>
      </c>
      <c r="C14" s="120">
        <f t="shared" ref="C14:C34" si="8">C13+1</f>
        <v>2</v>
      </c>
      <c r="D14" s="120" t="s">
        <v>87</v>
      </c>
      <c r="E14" s="105"/>
      <c r="F14" s="97">
        <v>4.5</v>
      </c>
      <c r="G14" s="98">
        <v>135000.09</v>
      </c>
      <c r="H14" s="139">
        <f>159000-H9</f>
        <v>134999.96</v>
      </c>
      <c r="I14" s="100"/>
      <c r="J14" s="101">
        <f t="shared" si="0"/>
        <v>0.13000000000465661</v>
      </c>
      <c r="K14" s="101">
        <f t="shared" si="1"/>
        <v>3.9000000001396984E-3</v>
      </c>
      <c r="L14" s="98">
        <f t="shared" si="4"/>
        <v>0</v>
      </c>
      <c r="M14" s="101">
        <f t="shared" si="5"/>
        <v>135000</v>
      </c>
      <c r="N14" s="102">
        <v>0</v>
      </c>
      <c r="O14" s="126">
        <f t="shared" si="6"/>
        <v>135000.09</v>
      </c>
      <c r="P14" s="107">
        <f t="shared" si="2"/>
        <v>143100.09</v>
      </c>
      <c r="Q14" s="127">
        <f t="shared" si="3"/>
        <v>139050.09</v>
      </c>
      <c r="R14" s="60">
        <f t="shared" si="7"/>
        <v>0.09</v>
      </c>
      <c r="U14" s="156" t="s">
        <v>99</v>
      </c>
    </row>
    <row r="15" spans="1:21" ht="26.25" customHeight="1" x14ac:dyDescent="0.25">
      <c r="A15" s="13" t="s">
        <v>100</v>
      </c>
      <c r="B15" s="119" t="s">
        <v>101</v>
      </c>
      <c r="C15" s="120">
        <f t="shared" si="8"/>
        <v>3</v>
      </c>
      <c r="D15" s="120" t="s">
        <v>102</v>
      </c>
      <c r="E15" s="105" t="s">
        <v>103</v>
      </c>
      <c r="F15" s="97">
        <v>4.5</v>
      </c>
      <c r="G15" s="98">
        <v>269653.09999999998</v>
      </c>
      <c r="H15" s="175">
        <f>220593-H10</f>
        <v>119652.95</v>
      </c>
      <c r="I15" s="100"/>
      <c r="J15" s="101">
        <f t="shared" si="0"/>
        <v>150000.14999999997</v>
      </c>
      <c r="K15" s="101">
        <f t="shared" si="1"/>
        <v>4500.0044999999991</v>
      </c>
      <c r="L15" s="98">
        <f t="shared" si="4"/>
        <v>0</v>
      </c>
      <c r="M15" s="101">
        <f t="shared" si="5"/>
        <v>135000</v>
      </c>
      <c r="N15" s="102">
        <v>0</v>
      </c>
      <c r="O15" s="126">
        <f t="shared" si="6"/>
        <v>289500.09999999998</v>
      </c>
      <c r="P15" s="107">
        <f t="shared" si="2"/>
        <v>306870.09999999998</v>
      </c>
      <c r="Q15" s="127">
        <f t="shared" si="3"/>
        <v>298185.09999999998</v>
      </c>
      <c r="R15" s="60">
        <f t="shared" si="7"/>
        <v>9.9999999999999992E-2</v>
      </c>
    </row>
    <row r="16" spans="1:21" ht="16.5" customHeight="1" x14ac:dyDescent="0.25">
      <c r="A16" s="13" t="s">
        <v>100</v>
      </c>
      <c r="B16" s="119" t="s">
        <v>104</v>
      </c>
      <c r="C16" s="120">
        <f t="shared" si="8"/>
        <v>4</v>
      </c>
      <c r="D16" s="120" t="s">
        <v>105</v>
      </c>
      <c r="E16" s="105" t="s">
        <v>106</v>
      </c>
      <c r="F16" s="97">
        <v>3.1</v>
      </c>
      <c r="G16" s="98">
        <v>93000.11</v>
      </c>
      <c r="H16" s="139">
        <f>G16</f>
        <v>93000.11</v>
      </c>
      <c r="I16" s="100"/>
      <c r="J16" s="101">
        <f t="shared" si="0"/>
        <v>0</v>
      </c>
      <c r="K16" s="101">
        <f t="shared" si="1"/>
        <v>0</v>
      </c>
      <c r="L16" s="98">
        <f t="shared" si="4"/>
        <v>0</v>
      </c>
      <c r="M16" s="101">
        <f t="shared" si="5"/>
        <v>93000</v>
      </c>
      <c r="N16" s="102">
        <v>0</v>
      </c>
      <c r="O16" s="126">
        <f t="shared" si="6"/>
        <v>93000.11</v>
      </c>
      <c r="P16" s="107">
        <f t="shared" si="2"/>
        <v>98580.11</v>
      </c>
      <c r="Q16" s="127">
        <f t="shared" si="3"/>
        <v>95790.11</v>
      </c>
      <c r="R16" s="60">
        <f t="shared" si="7"/>
        <v>0.10999999999999999</v>
      </c>
    </row>
    <row r="17" spans="1:22" ht="16.5" customHeight="1" x14ac:dyDescent="0.25">
      <c r="A17" s="13" t="s">
        <v>107</v>
      </c>
      <c r="B17" s="178" t="s">
        <v>108</v>
      </c>
      <c r="C17" s="179">
        <f t="shared" si="8"/>
        <v>5</v>
      </c>
      <c r="D17" s="179" t="s">
        <v>109</v>
      </c>
      <c r="E17" s="180" t="s">
        <v>110</v>
      </c>
      <c r="F17" s="181">
        <v>4.4000000000000004</v>
      </c>
      <c r="G17" s="147">
        <v>117389.12</v>
      </c>
      <c r="H17" s="139"/>
      <c r="I17" s="100"/>
      <c r="J17" s="148">
        <f t="shared" si="0"/>
        <v>117389.12</v>
      </c>
      <c r="K17" s="148">
        <f t="shared" si="1"/>
        <v>3521.6735999999996</v>
      </c>
      <c r="L17" s="147">
        <f t="shared" si="4"/>
        <v>0</v>
      </c>
      <c r="M17" s="148">
        <f t="shared" si="5"/>
        <v>132000</v>
      </c>
      <c r="N17" s="149">
        <v>0</v>
      </c>
      <c r="O17" s="150">
        <f t="shared" si="6"/>
        <v>252911.12</v>
      </c>
      <c r="P17" s="151">
        <f t="shared" si="2"/>
        <v>268086.12</v>
      </c>
      <c r="Q17" s="152">
        <f t="shared" si="3"/>
        <v>260498.12</v>
      </c>
      <c r="R17" s="60">
        <f t="shared" si="7"/>
        <v>0.11999999999999998</v>
      </c>
    </row>
    <row r="18" spans="1:22" ht="16.5" customHeight="1" x14ac:dyDescent="0.25">
      <c r="A18" s="13" t="s">
        <v>107</v>
      </c>
      <c r="B18" s="178" t="s">
        <v>111</v>
      </c>
      <c r="C18" s="179">
        <f t="shared" si="8"/>
        <v>6</v>
      </c>
      <c r="D18" s="179" t="s">
        <v>112</v>
      </c>
      <c r="E18" s="180" t="s">
        <v>113</v>
      </c>
      <c r="F18" s="181">
        <v>4.5</v>
      </c>
      <c r="G18" s="147">
        <v>134974.13</v>
      </c>
      <c r="H18" s="139">
        <v>135000</v>
      </c>
      <c r="I18" s="100"/>
      <c r="J18" s="148">
        <f t="shared" si="0"/>
        <v>-25.869999999995343</v>
      </c>
      <c r="K18" s="148">
        <f t="shared" si="1"/>
        <v>0</v>
      </c>
      <c r="L18" s="147">
        <f t="shared" si="4"/>
        <v>0</v>
      </c>
      <c r="M18" s="148">
        <f t="shared" si="5"/>
        <v>135000</v>
      </c>
      <c r="N18" s="149">
        <v>0</v>
      </c>
      <c r="O18" s="150">
        <f t="shared" si="6"/>
        <v>134974.13</v>
      </c>
      <c r="P18" s="151">
        <f t="shared" si="2"/>
        <v>143073.13</v>
      </c>
      <c r="Q18" s="152">
        <f t="shared" si="3"/>
        <v>139023.13</v>
      </c>
      <c r="R18" s="60">
        <f t="shared" si="7"/>
        <v>0.12999999999999998</v>
      </c>
    </row>
    <row r="19" spans="1:22" ht="16.5" customHeight="1" x14ac:dyDescent="0.25">
      <c r="A19" s="13" t="s">
        <v>114</v>
      </c>
      <c r="B19" s="119" t="s">
        <v>115</v>
      </c>
      <c r="C19" s="120">
        <f t="shared" si="8"/>
        <v>7</v>
      </c>
      <c r="D19" s="120" t="s">
        <v>116</v>
      </c>
      <c r="E19" s="105"/>
      <c r="F19" s="97">
        <v>4.5</v>
      </c>
      <c r="G19" s="98">
        <v>135000.14000000001</v>
      </c>
      <c r="H19" s="139">
        <f>G19</f>
        <v>135000.14000000001</v>
      </c>
      <c r="I19" s="100"/>
      <c r="J19" s="101">
        <f t="shared" si="0"/>
        <v>0</v>
      </c>
      <c r="K19" s="101">
        <f t="shared" si="1"/>
        <v>0</v>
      </c>
      <c r="L19" s="98">
        <f t="shared" si="4"/>
        <v>0</v>
      </c>
      <c r="M19" s="101">
        <f t="shared" si="5"/>
        <v>135000</v>
      </c>
      <c r="N19" s="102">
        <v>0</v>
      </c>
      <c r="O19" s="126">
        <f t="shared" si="6"/>
        <v>135000.14000000001</v>
      </c>
      <c r="P19" s="107">
        <f t="shared" si="2"/>
        <v>143100.14000000001</v>
      </c>
      <c r="Q19" s="127">
        <f t="shared" si="3"/>
        <v>139050.14000000001</v>
      </c>
      <c r="R19" s="60">
        <f t="shared" si="7"/>
        <v>0.13999999999999999</v>
      </c>
    </row>
    <row r="20" spans="1:22" ht="16.5" customHeight="1" x14ac:dyDescent="0.25">
      <c r="A20" s="13" t="s">
        <v>114</v>
      </c>
      <c r="B20" s="119" t="s">
        <v>117</v>
      </c>
      <c r="C20" s="120">
        <f t="shared" si="8"/>
        <v>8</v>
      </c>
      <c r="D20" s="120" t="s">
        <v>118</v>
      </c>
      <c r="E20" s="105"/>
      <c r="F20" s="97">
        <v>3.1</v>
      </c>
      <c r="G20" s="98">
        <v>93000.15</v>
      </c>
      <c r="H20" s="139">
        <v>93790</v>
      </c>
      <c r="I20" s="100"/>
      <c r="J20" s="101">
        <f t="shared" si="0"/>
        <v>-789.85000000000582</v>
      </c>
      <c r="K20" s="101">
        <f t="shared" si="1"/>
        <v>0</v>
      </c>
      <c r="L20" s="98">
        <f t="shared" si="4"/>
        <v>0</v>
      </c>
      <c r="M20" s="101">
        <f t="shared" si="5"/>
        <v>93000</v>
      </c>
      <c r="N20" s="102">
        <v>0</v>
      </c>
      <c r="O20" s="126">
        <f t="shared" si="6"/>
        <v>92210.15</v>
      </c>
      <c r="P20" s="107">
        <f t="shared" si="2"/>
        <v>97743.15</v>
      </c>
      <c r="Q20" s="127">
        <f t="shared" si="3"/>
        <v>94976.15</v>
      </c>
      <c r="R20" s="60">
        <f t="shared" si="7"/>
        <v>0.15</v>
      </c>
    </row>
    <row r="21" spans="1:22" ht="16.5" customHeight="1" x14ac:dyDescent="0.25">
      <c r="A21" s="13" t="s">
        <v>119</v>
      </c>
      <c r="B21" s="119" t="s">
        <v>120</v>
      </c>
      <c r="C21" s="120">
        <f t="shared" si="8"/>
        <v>9</v>
      </c>
      <c r="D21" s="120" t="s">
        <v>121</v>
      </c>
      <c r="E21" s="96" t="s">
        <v>122</v>
      </c>
      <c r="F21" s="97">
        <v>4.4000000000000004</v>
      </c>
      <c r="G21" s="98">
        <v>132000.16</v>
      </c>
      <c r="H21" s="139">
        <f>G21</f>
        <v>132000.16</v>
      </c>
      <c r="I21" s="100"/>
      <c r="J21" s="101">
        <f t="shared" si="0"/>
        <v>0</v>
      </c>
      <c r="K21" s="101">
        <f t="shared" si="1"/>
        <v>0</v>
      </c>
      <c r="L21" s="98">
        <f t="shared" si="4"/>
        <v>0</v>
      </c>
      <c r="M21" s="101">
        <f t="shared" si="5"/>
        <v>132000</v>
      </c>
      <c r="N21" s="102">
        <v>0</v>
      </c>
      <c r="O21" s="126">
        <f t="shared" si="6"/>
        <v>132000.16</v>
      </c>
      <c r="P21" s="107">
        <f t="shared" si="2"/>
        <v>139920.16</v>
      </c>
      <c r="Q21" s="127">
        <f t="shared" si="3"/>
        <v>135960.16</v>
      </c>
      <c r="R21" s="60">
        <f t="shared" si="7"/>
        <v>0.16</v>
      </c>
      <c r="T21" s="106"/>
    </row>
    <row r="22" spans="1:22" ht="16.5" customHeight="1" x14ac:dyDescent="0.25">
      <c r="A22" s="13" t="s">
        <v>119</v>
      </c>
      <c r="B22" s="119" t="s">
        <v>123</v>
      </c>
      <c r="C22" s="120">
        <f t="shared" si="8"/>
        <v>10</v>
      </c>
      <c r="D22" s="120" t="s">
        <v>77</v>
      </c>
      <c r="E22" s="105" t="s">
        <v>124</v>
      </c>
      <c r="F22" s="97">
        <v>4.5</v>
      </c>
      <c r="G22" s="99">
        <v>262992.17</v>
      </c>
      <c r="H22" s="139">
        <v>135000</v>
      </c>
      <c r="I22" s="100"/>
      <c r="J22" s="101">
        <f t="shared" si="0"/>
        <v>127992.16999999998</v>
      </c>
      <c r="K22" s="101">
        <f t="shared" si="1"/>
        <v>3839.7650999999992</v>
      </c>
      <c r="L22" s="98">
        <f t="shared" si="4"/>
        <v>0</v>
      </c>
      <c r="M22" s="101">
        <f t="shared" si="5"/>
        <v>135000</v>
      </c>
      <c r="N22" s="102">
        <v>0</v>
      </c>
      <c r="O22" s="126">
        <f t="shared" si="6"/>
        <v>266832.17</v>
      </c>
      <c r="P22" s="107">
        <f t="shared" si="2"/>
        <v>282842.17</v>
      </c>
      <c r="Q22" s="127">
        <f t="shared" si="3"/>
        <v>274837.17</v>
      </c>
      <c r="R22" s="60">
        <f t="shared" si="7"/>
        <v>0.17</v>
      </c>
      <c r="T22" s="155"/>
      <c r="U22" s="183" t="s">
        <v>125</v>
      </c>
    </row>
    <row r="23" spans="1:22" ht="16.5" customHeight="1" x14ac:dyDescent="0.25">
      <c r="A23" s="13" t="s">
        <v>126</v>
      </c>
      <c r="B23" s="119" t="s">
        <v>127</v>
      </c>
      <c r="C23" s="120">
        <f t="shared" si="8"/>
        <v>11</v>
      </c>
      <c r="D23" s="120" t="s">
        <v>128</v>
      </c>
      <c r="E23" s="96"/>
      <c r="F23" s="97">
        <v>4.5</v>
      </c>
      <c r="G23" s="147">
        <v>135000.18</v>
      </c>
      <c r="H23" s="139">
        <f>G23</f>
        <v>135000.18</v>
      </c>
      <c r="I23" s="100"/>
      <c r="J23" s="148">
        <f t="shared" si="0"/>
        <v>0</v>
      </c>
      <c r="K23" s="148">
        <f t="shared" si="1"/>
        <v>0</v>
      </c>
      <c r="L23" s="147">
        <f t="shared" si="4"/>
        <v>0</v>
      </c>
      <c r="M23" s="101">
        <f t="shared" si="5"/>
        <v>135000</v>
      </c>
      <c r="N23" s="149">
        <v>0</v>
      </c>
      <c r="O23" s="150">
        <f t="shared" si="6"/>
        <v>135000.18</v>
      </c>
      <c r="P23" s="151">
        <f t="shared" si="2"/>
        <v>143100.18</v>
      </c>
      <c r="Q23" s="152">
        <f t="shared" si="3"/>
        <v>139050.18</v>
      </c>
      <c r="R23" s="60">
        <f t="shared" si="7"/>
        <v>0.18000000000000002</v>
      </c>
      <c r="T23" s="155"/>
    </row>
    <row r="24" spans="1:22" ht="16.5" customHeight="1" x14ac:dyDescent="0.25">
      <c r="A24" s="13" t="s">
        <v>126</v>
      </c>
      <c r="B24" s="119" t="s">
        <v>129</v>
      </c>
      <c r="C24" s="120">
        <f t="shared" si="8"/>
        <v>12</v>
      </c>
      <c r="D24" s="120" t="s">
        <v>83</v>
      </c>
      <c r="E24" s="105" t="s">
        <v>84</v>
      </c>
      <c r="F24" s="97">
        <v>3.1</v>
      </c>
      <c r="G24" s="98">
        <v>92201.19</v>
      </c>
      <c r="H24" s="139">
        <f>116201-H8</f>
        <v>92200.97</v>
      </c>
      <c r="I24" s="100"/>
      <c r="J24" s="101">
        <f t="shared" si="0"/>
        <v>0.22000000000116415</v>
      </c>
      <c r="K24" s="101">
        <f t="shared" si="1"/>
        <v>6.6000000000349243E-3</v>
      </c>
      <c r="L24" s="98">
        <f t="shared" si="4"/>
        <v>0</v>
      </c>
      <c r="M24" s="101">
        <f t="shared" si="5"/>
        <v>93000</v>
      </c>
      <c r="N24" s="102">
        <v>0</v>
      </c>
      <c r="O24" s="126">
        <f t="shared" si="6"/>
        <v>93000.19</v>
      </c>
      <c r="P24" s="107">
        <f t="shared" si="2"/>
        <v>98580.19</v>
      </c>
      <c r="Q24" s="127">
        <f t="shared" si="3"/>
        <v>95790.19</v>
      </c>
      <c r="R24" s="60">
        <f t="shared" si="7"/>
        <v>0.19000000000000003</v>
      </c>
      <c r="T24" s="155"/>
    </row>
    <row r="25" spans="1:22" ht="16.5" customHeight="1" x14ac:dyDescent="0.25">
      <c r="A25" s="13" t="s">
        <v>130</v>
      </c>
      <c r="B25" s="178" t="s">
        <v>131</v>
      </c>
      <c r="C25" s="179">
        <f t="shared" si="8"/>
        <v>13</v>
      </c>
      <c r="D25" s="179" t="s">
        <v>132</v>
      </c>
      <c r="E25" s="182"/>
      <c r="F25" s="181">
        <v>4.4000000000000004</v>
      </c>
      <c r="G25" s="147">
        <v>369157.2</v>
      </c>
      <c r="H25" s="139">
        <f>136000*2</f>
        <v>272000</v>
      </c>
      <c r="I25" s="100"/>
      <c r="J25" s="100">
        <f t="shared" si="0"/>
        <v>97157.200000000012</v>
      </c>
      <c r="K25" s="148">
        <f t="shared" si="1"/>
        <v>2914.7160000000003</v>
      </c>
      <c r="L25" s="147">
        <f t="shared" si="4"/>
        <v>0</v>
      </c>
      <c r="M25" s="101">
        <f t="shared" si="5"/>
        <v>132000</v>
      </c>
      <c r="N25" s="149">
        <v>0</v>
      </c>
      <c r="O25" s="150">
        <f t="shared" si="6"/>
        <v>232072.2</v>
      </c>
      <c r="P25" s="151">
        <f t="shared" si="2"/>
        <v>245997.2</v>
      </c>
      <c r="Q25" s="152">
        <f t="shared" si="3"/>
        <v>239034.2</v>
      </c>
      <c r="R25" s="60">
        <f t="shared" si="7"/>
        <v>0.20000000000000004</v>
      </c>
      <c r="T25" s="156" t="s">
        <v>133</v>
      </c>
      <c r="U25" s="177"/>
      <c r="V25" s="156"/>
    </row>
    <row r="26" spans="1:22" ht="27.75" customHeight="1" x14ac:dyDescent="0.25">
      <c r="A26" s="13" t="s">
        <v>134</v>
      </c>
      <c r="B26" s="119" t="s">
        <v>135</v>
      </c>
      <c r="C26" s="120">
        <f t="shared" si="8"/>
        <v>14</v>
      </c>
      <c r="D26" s="120" t="s">
        <v>77</v>
      </c>
      <c r="E26" s="105" t="s">
        <v>136</v>
      </c>
      <c r="F26" s="97">
        <v>4.5</v>
      </c>
      <c r="G26" s="98">
        <v>265618.21000000002</v>
      </c>
      <c r="H26" s="139">
        <f>330547-H6</f>
        <v>265617.99</v>
      </c>
      <c r="I26" s="100"/>
      <c r="J26" s="101">
        <f t="shared" si="0"/>
        <v>0.22000000003026798</v>
      </c>
      <c r="K26" s="101">
        <f t="shared" si="1"/>
        <v>6.6000000009080392E-3</v>
      </c>
      <c r="L26" s="98">
        <f t="shared" si="4"/>
        <v>0</v>
      </c>
      <c r="M26" s="101">
        <f t="shared" si="5"/>
        <v>135000</v>
      </c>
      <c r="N26" s="102">
        <v>0</v>
      </c>
      <c r="O26" s="126">
        <f t="shared" si="6"/>
        <v>135000.21</v>
      </c>
      <c r="P26" s="107">
        <f t="shared" si="2"/>
        <v>143100.21</v>
      </c>
      <c r="Q26" s="127">
        <f t="shared" si="3"/>
        <v>139050.21</v>
      </c>
      <c r="R26" s="60">
        <f t="shared" si="7"/>
        <v>0.21000000000000005</v>
      </c>
      <c r="T26" s="155"/>
    </row>
    <row r="27" spans="1:22" ht="24" customHeight="1" x14ac:dyDescent="0.25">
      <c r="A27" s="13" t="s">
        <v>137</v>
      </c>
      <c r="B27" s="119" t="s">
        <v>138</v>
      </c>
      <c r="C27" s="120">
        <f t="shared" si="8"/>
        <v>15</v>
      </c>
      <c r="D27" s="120" t="s">
        <v>139</v>
      </c>
      <c r="E27" s="105" t="s">
        <v>140</v>
      </c>
      <c r="F27" s="97">
        <v>4.5</v>
      </c>
      <c r="G27" s="98">
        <v>280129.21999999997</v>
      </c>
      <c r="H27" s="139">
        <f>131040+14513-H12</f>
        <v>130552.93</v>
      </c>
      <c r="I27" s="100"/>
      <c r="J27" s="101">
        <f t="shared" si="0"/>
        <v>149576.28999999998</v>
      </c>
      <c r="K27" s="101">
        <f t="shared" si="1"/>
        <v>4487.2886999999992</v>
      </c>
      <c r="L27" s="98">
        <f t="shared" si="4"/>
        <v>0</v>
      </c>
      <c r="M27" s="101">
        <f t="shared" si="5"/>
        <v>135000</v>
      </c>
      <c r="N27" s="102">
        <v>0</v>
      </c>
      <c r="O27" s="126">
        <f t="shared" si="6"/>
        <v>289064.21999999997</v>
      </c>
      <c r="P27" s="107">
        <f t="shared" si="2"/>
        <v>306408.21999999997</v>
      </c>
      <c r="Q27" s="127">
        <f t="shared" si="3"/>
        <v>297736.21999999997</v>
      </c>
      <c r="R27" s="60">
        <f t="shared" si="7"/>
        <v>0.22000000000000006</v>
      </c>
      <c r="T27" s="184"/>
    </row>
    <row r="28" spans="1:22" ht="16.5" customHeight="1" x14ac:dyDescent="0.25">
      <c r="A28" s="13" t="s">
        <v>141</v>
      </c>
      <c r="B28" s="119" t="s">
        <v>142</v>
      </c>
      <c r="C28" s="120">
        <f t="shared" si="8"/>
        <v>16</v>
      </c>
      <c r="D28" s="120" t="s">
        <v>143</v>
      </c>
      <c r="E28" s="105" t="s">
        <v>144</v>
      </c>
      <c r="F28" s="97">
        <v>3.1</v>
      </c>
      <c r="G28" s="98">
        <v>93000.23</v>
      </c>
      <c r="H28" s="139"/>
      <c r="I28" s="100"/>
      <c r="J28" s="101">
        <f t="shared" si="0"/>
        <v>93000.23</v>
      </c>
      <c r="K28" s="101">
        <f t="shared" si="1"/>
        <v>2790.0068999999999</v>
      </c>
      <c r="L28" s="98">
        <f t="shared" si="4"/>
        <v>0</v>
      </c>
      <c r="M28" s="101">
        <f t="shared" si="5"/>
        <v>93000</v>
      </c>
      <c r="N28" s="102">
        <v>0</v>
      </c>
      <c r="O28" s="126">
        <f t="shared" si="6"/>
        <v>188790.23</v>
      </c>
      <c r="P28" s="107">
        <f t="shared" si="2"/>
        <v>200118.23</v>
      </c>
      <c r="Q28" s="127">
        <f t="shared" si="3"/>
        <v>194454.23</v>
      </c>
      <c r="R28" s="60">
        <f t="shared" si="7"/>
        <v>0.23000000000000007</v>
      </c>
    </row>
    <row r="29" spans="1:22" ht="16.5" customHeight="1" x14ac:dyDescent="0.25">
      <c r="A29" s="13" t="s">
        <v>145</v>
      </c>
      <c r="B29" s="119" t="s">
        <v>146</v>
      </c>
      <c r="C29" s="120">
        <f t="shared" si="8"/>
        <v>17</v>
      </c>
      <c r="D29" s="120" t="s">
        <v>81</v>
      </c>
      <c r="E29" s="105"/>
      <c r="F29" s="97">
        <v>6.8</v>
      </c>
      <c r="G29" s="98">
        <v>204084.24</v>
      </c>
      <c r="H29" s="139">
        <f>230991-H7-H11</f>
        <v>188990.92</v>
      </c>
      <c r="I29" s="100"/>
      <c r="J29" s="101">
        <f t="shared" si="0"/>
        <v>15093.319999999978</v>
      </c>
      <c r="K29" s="101">
        <f t="shared" si="1"/>
        <v>452.79959999999932</v>
      </c>
      <c r="L29" s="98">
        <f t="shared" si="4"/>
        <v>0</v>
      </c>
      <c r="M29" s="101">
        <f t="shared" si="5"/>
        <v>204000.00000000003</v>
      </c>
      <c r="N29" s="102">
        <v>0</v>
      </c>
      <c r="O29" s="126">
        <f t="shared" si="6"/>
        <v>219546.23999999999</v>
      </c>
      <c r="P29" s="107">
        <f t="shared" si="2"/>
        <v>232719.24</v>
      </c>
      <c r="Q29" s="127">
        <f t="shared" si="3"/>
        <v>226132.24</v>
      </c>
      <c r="R29" s="60">
        <f t="shared" si="7"/>
        <v>0.24000000000000007</v>
      </c>
    </row>
    <row r="30" spans="1:22" ht="16.5" customHeight="1" x14ac:dyDescent="0.25">
      <c r="A30" s="13" t="s">
        <v>145</v>
      </c>
      <c r="B30" s="178" t="s">
        <v>147</v>
      </c>
      <c r="C30" s="179">
        <f t="shared" si="8"/>
        <v>18</v>
      </c>
      <c r="D30" s="179" t="s">
        <v>148</v>
      </c>
      <c r="E30" s="182"/>
      <c r="F30" s="181">
        <v>6.9</v>
      </c>
      <c r="G30" s="147">
        <v>755474.25</v>
      </c>
      <c r="H30" s="139">
        <f>250000*2+140000+115444</f>
        <v>755444</v>
      </c>
      <c r="I30" s="100"/>
      <c r="J30" s="148">
        <f t="shared" si="0"/>
        <v>30.25</v>
      </c>
      <c r="K30" s="148">
        <f t="shared" si="1"/>
        <v>0.90749999999999997</v>
      </c>
      <c r="L30" s="147">
        <f t="shared" si="4"/>
        <v>0</v>
      </c>
      <c r="M30" s="148">
        <f t="shared" si="5"/>
        <v>207000.00000000003</v>
      </c>
      <c r="N30" s="149">
        <f>73204+17800</f>
        <v>91004</v>
      </c>
      <c r="O30" s="150">
        <f t="shared" si="6"/>
        <v>298035.25</v>
      </c>
      <c r="P30" s="151">
        <f t="shared" si="2"/>
        <v>315917.25</v>
      </c>
      <c r="Q30" s="152">
        <f t="shared" si="3"/>
        <v>306976.25</v>
      </c>
      <c r="R30" s="60">
        <f t="shared" si="7"/>
        <v>0.25000000000000006</v>
      </c>
    </row>
    <row r="31" spans="1:22" ht="16.5" customHeight="1" x14ac:dyDescent="0.25">
      <c r="A31" s="13" t="s">
        <v>145</v>
      </c>
      <c r="B31" s="119" t="s">
        <v>149</v>
      </c>
      <c r="C31" s="120">
        <f t="shared" si="8"/>
        <v>19</v>
      </c>
      <c r="D31" s="120" t="s">
        <v>150</v>
      </c>
      <c r="E31" s="96" t="s">
        <v>151</v>
      </c>
      <c r="F31" s="97">
        <v>4.5</v>
      </c>
      <c r="G31" s="98">
        <v>135000.26</v>
      </c>
      <c r="H31" s="139">
        <f>G31</f>
        <v>135000.26</v>
      </c>
      <c r="I31" s="100"/>
      <c r="J31" s="101">
        <f t="shared" si="0"/>
        <v>0</v>
      </c>
      <c r="K31" s="101">
        <f t="shared" si="1"/>
        <v>0</v>
      </c>
      <c r="L31" s="98">
        <f t="shared" si="4"/>
        <v>0</v>
      </c>
      <c r="M31" s="101">
        <f t="shared" si="5"/>
        <v>135000</v>
      </c>
      <c r="N31" s="102">
        <v>0</v>
      </c>
      <c r="O31" s="126">
        <f t="shared" si="6"/>
        <v>135000.26</v>
      </c>
      <c r="P31" s="107">
        <f t="shared" si="2"/>
        <v>143100.26</v>
      </c>
      <c r="Q31" s="127">
        <f t="shared" si="3"/>
        <v>139050.26</v>
      </c>
      <c r="R31" s="60">
        <f t="shared" si="7"/>
        <v>0.26000000000000006</v>
      </c>
    </row>
    <row r="32" spans="1:22" ht="16.5" customHeight="1" x14ac:dyDescent="0.25">
      <c r="A32" s="13" t="s">
        <v>145</v>
      </c>
      <c r="B32" s="119" t="s">
        <v>152</v>
      </c>
      <c r="C32" s="120">
        <f t="shared" si="8"/>
        <v>20</v>
      </c>
      <c r="D32" s="120" t="s">
        <v>153</v>
      </c>
      <c r="E32" s="105" t="s">
        <v>154</v>
      </c>
      <c r="F32" s="97">
        <v>3.1</v>
      </c>
      <c r="G32" s="98">
        <v>182980.27</v>
      </c>
      <c r="H32" s="176">
        <v>93000</v>
      </c>
      <c r="I32" s="100"/>
      <c r="J32" s="101">
        <f t="shared" si="0"/>
        <v>89980.26999999999</v>
      </c>
      <c r="K32" s="101">
        <f t="shared" si="1"/>
        <v>2699.4080999999996</v>
      </c>
      <c r="L32" s="98">
        <f t="shared" si="4"/>
        <v>0</v>
      </c>
      <c r="M32" s="101">
        <f t="shared" si="5"/>
        <v>93000</v>
      </c>
      <c r="N32" s="102">
        <v>0</v>
      </c>
      <c r="O32" s="126">
        <f t="shared" si="6"/>
        <v>185680.27</v>
      </c>
      <c r="P32" s="107">
        <f t="shared" si="2"/>
        <v>196821.27</v>
      </c>
      <c r="Q32" s="127">
        <f t="shared" si="3"/>
        <v>191250.27</v>
      </c>
      <c r="R32" s="60">
        <f t="shared" si="7"/>
        <v>0.27000000000000007</v>
      </c>
    </row>
    <row r="33" spans="1:18" ht="16.5" customHeight="1" x14ac:dyDescent="0.25">
      <c r="A33" s="13" t="s">
        <v>145</v>
      </c>
      <c r="B33" s="191" t="s">
        <v>155</v>
      </c>
      <c r="C33" s="192">
        <f t="shared" si="8"/>
        <v>21</v>
      </c>
      <c r="D33" s="192" t="s">
        <v>156</v>
      </c>
      <c r="E33" s="193" t="s">
        <v>157</v>
      </c>
      <c r="F33" s="194">
        <v>4.5</v>
      </c>
      <c r="G33" s="195">
        <v>135000</v>
      </c>
      <c r="H33" s="276">
        <v>135000</v>
      </c>
      <c r="I33" s="196"/>
      <c r="J33" s="197">
        <f t="shared" si="0"/>
        <v>0</v>
      </c>
      <c r="K33" s="197"/>
      <c r="L33" s="195">
        <f t="shared" si="4"/>
        <v>0</v>
      </c>
      <c r="M33" s="197">
        <f t="shared" si="5"/>
        <v>135000</v>
      </c>
      <c r="N33" s="198"/>
      <c r="O33" s="199">
        <f t="shared" si="6"/>
        <v>135000.28</v>
      </c>
      <c r="P33" s="198">
        <f t="shared" si="2"/>
        <v>143100.28</v>
      </c>
      <c r="Q33" s="200">
        <f t="shared" si="3"/>
        <v>139050.28</v>
      </c>
      <c r="R33" s="60">
        <f t="shared" si="7"/>
        <v>0.28000000000000008</v>
      </c>
    </row>
    <row r="34" spans="1:18" ht="16.5" customHeight="1" x14ac:dyDescent="0.25">
      <c r="A34" s="13" t="s">
        <v>145</v>
      </c>
      <c r="B34" s="119" t="s">
        <v>158</v>
      </c>
      <c r="C34" s="120">
        <f t="shared" si="8"/>
        <v>22</v>
      </c>
      <c r="D34" s="120" t="s">
        <v>159</v>
      </c>
      <c r="E34" s="96"/>
      <c r="F34" s="97">
        <v>3.1</v>
      </c>
      <c r="G34" s="98">
        <v>93000.29</v>
      </c>
      <c r="H34" s="139">
        <f>G34</f>
        <v>93000.29</v>
      </c>
      <c r="I34" s="100"/>
      <c r="J34" s="101">
        <f t="shared" si="0"/>
        <v>0</v>
      </c>
      <c r="K34" s="101">
        <f t="shared" si="1"/>
        <v>0</v>
      </c>
      <c r="L34" s="98">
        <f t="shared" si="4"/>
        <v>0</v>
      </c>
      <c r="M34" s="101">
        <f t="shared" si="5"/>
        <v>93000</v>
      </c>
      <c r="N34" s="102">
        <v>0</v>
      </c>
      <c r="O34" s="126">
        <f t="shared" si="6"/>
        <v>93000.29</v>
      </c>
      <c r="P34" s="107">
        <f t="shared" si="2"/>
        <v>98580.29</v>
      </c>
      <c r="Q34" s="127">
        <f t="shared" si="3"/>
        <v>95790.29</v>
      </c>
      <c r="R34" s="60">
        <f t="shared" si="7"/>
        <v>0.29000000000000009</v>
      </c>
    </row>
    <row r="35" spans="1:18" ht="17.25" customHeight="1" x14ac:dyDescent="0.25">
      <c r="A35" s="13" t="s">
        <v>145</v>
      </c>
      <c r="B35" s="121"/>
      <c r="C35" s="121"/>
      <c r="D35" s="121"/>
      <c r="E35" s="105"/>
      <c r="F35" s="97"/>
      <c r="G35" s="98"/>
      <c r="H35" s="139"/>
      <c r="I35" s="100"/>
      <c r="J35" s="101">
        <f t="shared" si="0"/>
        <v>0</v>
      </c>
      <c r="K35" s="101">
        <f t="shared" si="1"/>
        <v>0</v>
      </c>
      <c r="L35" s="98"/>
      <c r="M35" s="101"/>
      <c r="N35" s="102">
        <v>0</v>
      </c>
      <c r="O35" s="103"/>
      <c r="P35" s="102">
        <f t="shared" si="2"/>
        <v>0.3000000000000001</v>
      </c>
      <c r="Q35" s="104">
        <f t="shared" si="3"/>
        <v>0</v>
      </c>
      <c r="R35" s="60">
        <f t="shared" si="7"/>
        <v>0.3000000000000001</v>
      </c>
    </row>
    <row r="36" spans="1:18" ht="0.75" customHeight="1" x14ac:dyDescent="0.25">
      <c r="A36" s="13" t="s">
        <v>145</v>
      </c>
      <c r="B36" s="96"/>
      <c r="C36" s="96"/>
      <c r="D36" s="96"/>
      <c r="E36" s="96"/>
      <c r="F36" s="97"/>
      <c r="G36" s="108"/>
      <c r="H36" s="99"/>
      <c r="I36" s="109"/>
      <c r="J36" s="110">
        <f t="shared" si="0"/>
        <v>0</v>
      </c>
      <c r="K36" s="101">
        <f t="shared" si="1"/>
        <v>0</v>
      </c>
      <c r="L36" s="108">
        <f>O$3*F36%</f>
        <v>0</v>
      </c>
      <c r="M36" s="110">
        <f>RESUMEN!H$87*F36%</f>
        <v>0</v>
      </c>
      <c r="N36" s="111">
        <v>0</v>
      </c>
      <c r="O36" s="103">
        <f>ROUND(SUM(J36:N36),0) + R36</f>
        <v>0</v>
      </c>
      <c r="P36" s="102">
        <f t="shared" si="2"/>
        <v>0</v>
      </c>
      <c r="Q36" s="104">
        <f t="shared" si="3"/>
        <v>0</v>
      </c>
      <c r="R36" s="60"/>
    </row>
    <row r="37" spans="1:18" ht="16.5" customHeight="1" x14ac:dyDescent="0.25">
      <c r="B37" s="112"/>
      <c r="C37" s="113"/>
      <c r="D37" s="114"/>
      <c r="E37" s="114"/>
      <c r="F37" s="122">
        <f t="shared" ref="F37:Q37" si="9">SUM(F6:F36)</f>
        <v>99.999999999999986</v>
      </c>
      <c r="G37" s="115">
        <f t="shared" si="9"/>
        <v>4584523.9899999993</v>
      </c>
      <c r="H37" s="116">
        <f t="shared" si="9"/>
        <v>3745120.1399999997</v>
      </c>
      <c r="I37" s="115">
        <f t="shared" si="9"/>
        <v>0</v>
      </c>
      <c r="J37" s="116">
        <f t="shared" si="9"/>
        <v>839403.85</v>
      </c>
      <c r="K37" s="115">
        <f t="shared" si="9"/>
        <v>25206.587099999997</v>
      </c>
      <c r="L37" s="116">
        <f t="shared" si="9"/>
        <v>0</v>
      </c>
      <c r="M37" s="115">
        <f t="shared" si="9"/>
        <v>3000000</v>
      </c>
      <c r="N37" s="116">
        <f t="shared" si="9"/>
        <v>91004</v>
      </c>
      <c r="O37" s="117">
        <f t="shared" si="9"/>
        <v>3955618.3499999987</v>
      </c>
      <c r="P37" s="117">
        <f t="shared" si="9"/>
        <v>4192958.6499999985</v>
      </c>
      <c r="Q37" s="117">
        <f t="shared" si="9"/>
        <v>4074285.3499999987</v>
      </c>
    </row>
    <row r="38" spans="1:18" ht="12.75" customHeight="1" x14ac:dyDescent="0.25">
      <c r="D38" s="118"/>
      <c r="E38" s="118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44" t="s">
        <v>163</v>
      </c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Q40" s="1"/>
    </row>
    <row r="41" spans="1:18" ht="12" hidden="1" customHeight="1" x14ac:dyDescent="0.25"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Q41" s="1"/>
    </row>
    <row r="42" spans="1:18" ht="12" hidden="1" customHeight="1" x14ac:dyDescent="0.25"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Q42" s="1"/>
    </row>
    <row r="43" spans="1:18" ht="12" hidden="1" customHeight="1" x14ac:dyDescent="0.25"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Q43" s="1"/>
    </row>
    <row r="44" spans="1:18" ht="12" hidden="1" customHeight="1" x14ac:dyDescent="0.25"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Q44" s="1"/>
    </row>
    <row r="45" spans="1:18" ht="108" customHeight="1" x14ac:dyDescent="0.25"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2025-08-01T13:10:29Z</cp:lastPrinted>
  <dcterms:created xsi:type="dcterms:W3CDTF">2024-11-03T18:47:30Z</dcterms:created>
  <dcterms:modified xsi:type="dcterms:W3CDTF">2025-08-31T16:32:45Z</dcterms:modified>
</cp:coreProperties>
</file>