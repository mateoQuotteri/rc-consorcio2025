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Abril\"/>
    </mc:Choice>
  </mc:AlternateContent>
  <xr:revisionPtr revIDLastSave="0" documentId="13_ncr:1_{24B8EA7A-32B0-49FC-BCD3-EC7471F6F7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RESUMEN!$A$1:$E$137</definedName>
  </definedNames>
  <calcPr calcId="181029"/>
</workbook>
</file>

<file path=xl/calcChain.xml><?xml version="1.0" encoding="utf-8"?>
<calcChain xmlns="http://schemas.openxmlformats.org/spreadsheetml/2006/main">
  <c r="D86" i="1" l="1"/>
  <c r="H11" i="2"/>
  <c r="H7" i="2"/>
  <c r="H14" i="2"/>
  <c r="H18" i="2"/>
  <c r="H21" i="2"/>
  <c r="H26" i="2"/>
  <c r="H29" i="2" l="1"/>
  <c r="B136" i="1" l="1"/>
  <c r="B113" i="1" s="1"/>
  <c r="H23" i="2"/>
  <c r="H16" i="2"/>
  <c r="E77" i="1" l="1"/>
  <c r="E52" i="1"/>
  <c r="H27" i="2"/>
  <c r="H31" i="2"/>
  <c r="H19" i="2"/>
  <c r="H28" i="2"/>
  <c r="E60" i="1" l="1"/>
  <c r="H8" i="2"/>
  <c r="H24" i="2" s="1"/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E85" i="1" l="1"/>
  <c r="H12" i="2" l="1"/>
  <c r="H20" i="2"/>
  <c r="H6" i="2" l="1"/>
  <c r="H34" i="2"/>
  <c r="H9" i="2"/>
  <c r="E84" i="1"/>
  <c r="E50" i="1"/>
  <c r="E51" i="1" s="1"/>
  <c r="N37" i="2" l="1"/>
  <c r="I37" i="2"/>
  <c r="H37" i="2"/>
  <c r="B112" i="1" s="1"/>
  <c r="G37" i="2"/>
  <c r="F37" i="2"/>
  <c r="M36" i="2"/>
  <c r="L36" i="2"/>
  <c r="K36" i="2"/>
  <c r="J36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K25" i="2" s="1"/>
  <c r="M24" i="2"/>
  <c r="L24" i="2"/>
  <c r="J24" i="2"/>
  <c r="K24" i="2" s="1"/>
  <c r="M23" i="2"/>
  <c r="L23" i="2"/>
  <c r="J23" i="2"/>
  <c r="K23" i="2" s="1"/>
  <c r="M22" i="2"/>
  <c r="L22" i="2"/>
  <c r="J22" i="2"/>
  <c r="K22" i="2" s="1"/>
  <c r="M21" i="2"/>
  <c r="L21" i="2"/>
  <c r="J21" i="2"/>
  <c r="K21" i="2" s="1"/>
  <c r="M20" i="2"/>
  <c r="L20" i="2"/>
  <c r="J20" i="2"/>
  <c r="K20" i="2" s="1"/>
  <c r="M19" i="2"/>
  <c r="L19" i="2"/>
  <c r="J19" i="2"/>
  <c r="K19" i="2" s="1"/>
  <c r="M18" i="2"/>
  <c r="L18" i="2"/>
  <c r="J18" i="2"/>
  <c r="K18" i="2" s="1"/>
  <c r="M17" i="2"/>
  <c r="L17" i="2"/>
  <c r="J17" i="2"/>
  <c r="K17" i="2" s="1"/>
  <c r="M16" i="2"/>
  <c r="L16" i="2"/>
  <c r="J16" i="2"/>
  <c r="K16" i="2" s="1"/>
  <c r="M15" i="2"/>
  <c r="L15" i="2"/>
  <c r="J15" i="2"/>
  <c r="K15" i="2" s="1"/>
  <c r="M14" i="2"/>
  <c r="L14" i="2"/>
  <c r="J14" i="2"/>
  <c r="K14" i="2" s="1"/>
  <c r="M13" i="2"/>
  <c r="L13" i="2"/>
  <c r="J13" i="2"/>
  <c r="K13" i="2" s="1"/>
  <c r="M12" i="2"/>
  <c r="L12" i="2"/>
  <c r="J12" i="2"/>
  <c r="K12" i="2" s="1"/>
  <c r="M11" i="2"/>
  <c r="L11" i="2"/>
  <c r="J11" i="2"/>
  <c r="K11" i="2" s="1"/>
  <c r="M10" i="2"/>
  <c r="L10" i="2"/>
  <c r="J10" i="2"/>
  <c r="K10" i="2" s="1"/>
  <c r="M9" i="2"/>
  <c r="L9" i="2"/>
  <c r="J9" i="2"/>
  <c r="K9" i="2" s="1"/>
  <c r="M8" i="2"/>
  <c r="L8" i="2"/>
  <c r="J8" i="2"/>
  <c r="K8" i="2" s="1"/>
  <c r="R7" i="2"/>
  <c r="M7" i="2"/>
  <c r="L7" i="2"/>
  <c r="J7" i="2"/>
  <c r="K7" i="2" s="1"/>
  <c r="M6" i="2"/>
  <c r="L6" i="2"/>
  <c r="J6" i="2"/>
  <c r="K6" i="2" s="1"/>
  <c r="O5" i="2"/>
  <c r="D2" i="2"/>
  <c r="B127" i="1"/>
  <c r="E98" i="1"/>
  <c r="E103" i="1" s="1"/>
  <c r="E88" i="1"/>
  <c r="A50" i="1"/>
  <c r="A51" i="1" s="1"/>
  <c r="E45" i="1"/>
  <c r="E42" i="1"/>
  <c r="D37" i="1"/>
  <c r="D28" i="1"/>
  <c r="E38" i="1" l="1"/>
  <c r="E92" i="1" s="1"/>
  <c r="O36" i="2"/>
  <c r="P36" i="2" s="1"/>
  <c r="O6" i="2"/>
  <c r="Q6" i="2" s="1"/>
  <c r="O7" i="2"/>
  <c r="B108" i="1"/>
  <c r="B107" i="1"/>
  <c r="B115" i="1" s="1"/>
  <c r="J37" i="2"/>
  <c r="L37" i="2"/>
  <c r="K37" i="2"/>
  <c r="M37" i="2"/>
  <c r="R8" i="2"/>
  <c r="Q36" i="2" l="1"/>
  <c r="B106" i="1"/>
  <c r="B114" i="1" s="1"/>
  <c r="B118" i="1" s="1"/>
  <c r="P6" i="2"/>
  <c r="R9" i="2"/>
  <c r="O8" i="2"/>
  <c r="P7" i="2"/>
  <c r="Q7" i="2"/>
  <c r="B105" i="1" l="1"/>
  <c r="Q8" i="2"/>
  <c r="P8" i="2"/>
  <c r="R10" i="2"/>
  <c r="O9" i="2"/>
  <c r="Q9" i="2" l="1"/>
  <c r="P9" i="2"/>
  <c r="O10" i="2"/>
  <c r="R11" i="2"/>
  <c r="R12" i="2" l="1"/>
  <c r="O11" i="2"/>
  <c r="Q10" i="2"/>
  <c r="P10" i="2"/>
  <c r="O12" i="2" l="1"/>
  <c r="R13" i="2"/>
  <c r="Q11" i="2"/>
  <c r="P11" i="2"/>
  <c r="O13" i="2" l="1"/>
  <c r="R14" i="2"/>
  <c r="Q12" i="2"/>
  <c r="P12" i="2"/>
  <c r="P13" i="2" l="1"/>
  <c r="Q13" i="2"/>
  <c r="O14" i="2"/>
  <c r="R15" i="2"/>
  <c r="R16" i="2" l="1"/>
  <c r="O15" i="2"/>
  <c r="P14" i="2"/>
  <c r="Q14" i="2"/>
  <c r="R17" i="2" l="1"/>
  <c r="O16" i="2"/>
  <c r="Q15" i="2"/>
  <c r="P15" i="2"/>
  <c r="Q16" i="2" l="1"/>
  <c r="P16" i="2"/>
  <c r="O17" i="2"/>
  <c r="R18" i="2"/>
  <c r="Q17" i="2" l="1"/>
  <c r="P17" i="2"/>
  <c r="R19" i="2"/>
  <c r="O18" i="2"/>
  <c r="Q18" i="2" l="1"/>
  <c r="P18" i="2"/>
  <c r="O19" i="2"/>
  <c r="R20" i="2"/>
  <c r="O20" i="2" l="1"/>
  <c r="R21" i="2"/>
  <c r="Q19" i="2"/>
  <c r="P19" i="2"/>
  <c r="O21" i="2" l="1"/>
  <c r="R22" i="2"/>
  <c r="Q20" i="2"/>
  <c r="P20" i="2"/>
  <c r="Q21" i="2" l="1"/>
  <c r="P21" i="2"/>
  <c r="O22" i="2"/>
  <c r="R23" i="2"/>
  <c r="O23" i="2" l="1"/>
  <c r="R24" i="2"/>
  <c r="Q22" i="2"/>
  <c r="P22" i="2"/>
  <c r="R25" i="2" l="1"/>
  <c r="O24" i="2"/>
  <c r="Q23" i="2"/>
  <c r="P23" i="2"/>
  <c r="R26" i="2" l="1"/>
  <c r="O25" i="2"/>
  <c r="Q24" i="2"/>
  <c r="P24" i="2"/>
  <c r="Q25" i="2" l="1"/>
  <c r="P25" i="2"/>
  <c r="O26" i="2"/>
  <c r="R27" i="2"/>
  <c r="R28" i="2" l="1"/>
  <c r="O27" i="2"/>
  <c r="Q26" i="2"/>
  <c r="P26" i="2"/>
  <c r="O28" i="2" l="1"/>
  <c r="R29" i="2"/>
  <c r="Q27" i="2"/>
  <c r="P27" i="2"/>
  <c r="O29" i="2" l="1"/>
  <c r="R30" i="2"/>
  <c r="Q28" i="2"/>
  <c r="P28" i="2"/>
  <c r="O30" i="2" l="1"/>
  <c r="R31" i="2"/>
  <c r="P29" i="2"/>
  <c r="Q29" i="2"/>
  <c r="R32" i="2" l="1"/>
  <c r="O31" i="2"/>
  <c r="P30" i="2"/>
  <c r="Q30" i="2"/>
  <c r="Q31" i="2" l="1"/>
  <c r="P31" i="2"/>
  <c r="R33" i="2"/>
  <c r="O32" i="2"/>
  <c r="O33" i="2" l="1"/>
  <c r="R34" i="2"/>
  <c r="Q32" i="2"/>
  <c r="P32" i="2"/>
  <c r="R35" i="2" l="1"/>
  <c r="O34" i="2"/>
  <c r="Q33" i="2"/>
  <c r="P33" i="2"/>
  <c r="Q34" i="2" l="1"/>
  <c r="P34" i="2"/>
  <c r="Q35" i="2"/>
  <c r="P35" i="2"/>
  <c r="O37" i="2"/>
  <c r="P37" i="2" l="1"/>
  <c r="Q37" i="2"/>
</calcChain>
</file>

<file path=xl/sharedStrings.xml><?xml version="1.0" encoding="utf-8"?>
<sst xmlns="http://schemas.openxmlformats.org/spreadsheetml/2006/main" count="220" uniqueCount="185">
  <si>
    <t>TELEFONO: 11 5320-2676</t>
  </si>
  <si>
    <t>LIQUIDACION DE EXPENSAS</t>
  </si>
  <si>
    <t>ADMINISTRADORA: CAROLINA CANCIANI MP:1148</t>
  </si>
  <si>
    <t>CUIT: 30-71612269-3</t>
  </si>
  <si>
    <t>HORARIOS DE ATENCION: LUNES A VIERNES</t>
  </si>
  <si>
    <r>
      <rPr>
        <b/>
        <sz val="10"/>
        <color theme="1"/>
        <rFont val="Trebuchet MS"/>
        <family val="2"/>
      </rPr>
      <t xml:space="preserve">CONS DE COPROP PRESIDENTE ARTURO ILLIA 1554 </t>
    </r>
    <r>
      <rPr>
        <b/>
        <sz val="10"/>
        <color theme="1"/>
        <rFont val="Yu Gothic"/>
        <family val="2"/>
      </rPr>
      <t>PRESIDENTE ARTURO ILLIA 1554</t>
    </r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</si>
  <si>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</si>
  <si>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</si>
  <si>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</si>
  <si>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</si>
  <si>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</si>
  <si>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</si>
  <si>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</si>
  <si>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HONORARIOS administracion RC</t>
  </si>
  <si>
    <t xml:space="preserve">TOTAL </t>
  </si>
  <si>
    <t xml:space="preserve">SEGUROS </t>
  </si>
  <si>
    <t>TOTAL IMPUESTO</t>
  </si>
  <si>
    <t>APORTES Y CONTRIBUCIONES</t>
  </si>
  <si>
    <t>Suther</t>
  </si>
  <si>
    <t>Fatheryh</t>
  </si>
  <si>
    <t>Seracarh</t>
  </si>
  <si>
    <t>TOTAL Aportes y Contribuciones - Sindicato</t>
  </si>
  <si>
    <t>ABONOS Y SERVICIOS</t>
  </si>
  <si>
    <t>EDESUR - 30-65511651-2</t>
  </si>
  <si>
    <t>TOTAL ABONOS Y SERVICIOS</t>
  </si>
  <si>
    <t>GASTOS GENERALES</t>
  </si>
  <si>
    <t>TOTAL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</si>
  <si>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</si>
  <si>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</si>
  <si>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</si>
  <si>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</si>
  <si>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</si>
  <si>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</si>
  <si>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</si>
  <si>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</si>
  <si>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</si>
  <si>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</si>
  <si>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</si>
  <si>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</si>
  <si>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</si>
  <si>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</si>
  <si>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</si>
  <si>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</si>
  <si>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</si>
  <si>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</si>
  <si>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</si>
  <si>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</si>
  <si>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</si>
  <si>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</si>
  <si>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</si>
  <si>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</si>
  <si>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</si>
  <si>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</si>
  <si>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</si>
  <si>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</si>
  <si>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</si>
  <si>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</si>
  <si>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</si>
  <si>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</si>
  <si>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</si>
  <si>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</si>
  <si>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</si>
  <si>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</si>
  <si>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</si>
  <si>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</si>
  <si>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</si>
  <si>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</si>
  <si>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</si>
  <si>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</si>
  <si>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</si>
  <si>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</si>
  <si>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</si>
  <si>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</si>
  <si>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</si>
  <si>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</si>
  <si>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</si>
  <si>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COC</t>
  </si>
  <si>
    <t>VALES OLGA</t>
  </si>
  <si>
    <t>VAZQUEZ DIEGO</t>
  </si>
  <si>
    <t>DI MEGLIO ALICIA</t>
  </si>
  <si>
    <t>TERESA</t>
  </si>
  <si>
    <t>1 A</t>
  </si>
  <si>
    <t>JEREMIAS ERIK</t>
  </si>
  <si>
    <t>1 B</t>
  </si>
  <si>
    <t>1 C</t>
  </si>
  <si>
    <t>CARBALLO CRISTIAN</t>
  </si>
  <si>
    <t>1 D</t>
  </si>
  <si>
    <t>MORVILLO LUIS</t>
  </si>
  <si>
    <t>2 A</t>
  </si>
  <si>
    <t>2 B</t>
  </si>
  <si>
    <t>TOBADA PAULA</t>
  </si>
  <si>
    <t>2 C</t>
  </si>
  <si>
    <t>GOMEZ TIRSO</t>
  </si>
  <si>
    <t>2 D</t>
  </si>
  <si>
    <t>REY-LAMBERTINI</t>
  </si>
  <si>
    <t>3 A</t>
  </si>
  <si>
    <t>MIOZZI MARTIN</t>
  </si>
  <si>
    <t>3 B</t>
  </si>
  <si>
    <t>3 C</t>
  </si>
  <si>
    <t>PIÑEIRO ARIEL</t>
  </si>
  <si>
    <t>3 D</t>
  </si>
  <si>
    <t>4 A</t>
  </si>
  <si>
    <t>HUSERMANN A.</t>
  </si>
  <si>
    <t>4 B</t>
  </si>
  <si>
    <t>4 C</t>
  </si>
  <si>
    <t>PRIETTELA-VENTURA</t>
  </si>
  <si>
    <t>4 D</t>
  </si>
  <si>
    <t>COPELLO MONICA</t>
  </si>
  <si>
    <t>5 A</t>
  </si>
  <si>
    <t>5 B</t>
  </si>
  <si>
    <t>RIVAROLA PAOLA</t>
  </si>
  <si>
    <t>5 C</t>
  </si>
  <si>
    <t>PITTELA MIGUEL</t>
  </si>
  <si>
    <t>5 D</t>
  </si>
  <si>
    <t>SOCINO-MOLINA</t>
  </si>
  <si>
    <t>6 C</t>
  </si>
  <si>
    <t>CURA MARCELA</t>
  </si>
  <si>
    <t>6 D</t>
  </si>
  <si>
    <t>DI PAOLO VANESA</t>
  </si>
  <si>
    <t>TELECOM - 99336146</t>
  </si>
  <si>
    <t>Mercantil Andina - Poliza nro 001175538</t>
  </si>
  <si>
    <t>Contador - Gustavo Padron</t>
  </si>
  <si>
    <t>MAIL: consorcioillia1554@gmail.com</t>
  </si>
  <si>
    <t>Interes 3%</t>
  </si>
  <si>
    <t>Burruchaga matias</t>
  </si>
  <si>
    <t>Juan Gonzales y Micaela</t>
  </si>
  <si>
    <t>Andrea</t>
  </si>
  <si>
    <t>Pedro</t>
  </si>
  <si>
    <t>Pablo Moyano o laura</t>
  </si>
  <si>
    <t>Mariela</t>
  </si>
  <si>
    <t>Banco credicoop
Cbu 1910028555002800979450
Cta corriente 191.028.009794.5
Pueden tranferir siempre enviando el comprobante por favor al mail o celular.</t>
  </si>
  <si>
    <t xml:space="preserve">PREVISION ORDINARIA </t>
  </si>
  <si>
    <t xml:space="preserve">Marina </t>
  </si>
  <si>
    <t>Carolina Tejeda</t>
  </si>
  <si>
    <t>ALONSO MARIA DEL CARMEN</t>
  </si>
  <si>
    <t>Saldo Inicial</t>
  </si>
  <si>
    <t>COMISION BANCARIA</t>
  </si>
  <si>
    <t>A</t>
  </si>
  <si>
    <t>B</t>
  </si>
  <si>
    <t>C</t>
  </si>
  <si>
    <t>D</t>
  </si>
  <si>
    <t>E</t>
  </si>
  <si>
    <t>F</t>
  </si>
  <si>
    <t>G</t>
  </si>
  <si>
    <t>ARCA931 VEP</t>
  </si>
  <si>
    <t>Karen</t>
  </si>
  <si>
    <t xml:space="preserve">Maria Laura </t>
  </si>
  <si>
    <t>Cecilia</t>
  </si>
  <si>
    <t>Dennys</t>
  </si>
  <si>
    <t>Aldana</t>
  </si>
  <si>
    <t>Raquel / Jorge</t>
  </si>
  <si>
    <t>JUAN (4B)</t>
  </si>
  <si>
    <t>PABLO O LAURA (4C)</t>
  </si>
  <si>
    <t>Servicio Fumigacion - Nancy</t>
  </si>
  <si>
    <t>esta es filomena</t>
  </si>
  <si>
    <t>MARCELO AGUILERA</t>
  </si>
  <si>
    <t>MANTENIMIENTO DE CUENTA BANCARIA</t>
  </si>
  <si>
    <t>Efectivo</t>
  </si>
  <si>
    <t>Transf 10/03</t>
  </si>
  <si>
    <t>Transf 10/3/2025</t>
  </si>
  <si>
    <t>Seguro Sra. Cristina</t>
  </si>
  <si>
    <t>Reemplazo vacacional Sra. Cristina</t>
  </si>
  <si>
    <t>Depositos sin identificar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</si>
  <si>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AMARILLAS Y NO ABONEN EXPENSAS DURANTE EL CORRER DEL MES, ANTES DEL SEGUNDO VENCIMIENTO, ESTARAN RECIBIENDO - QUIENES YA ACUMULEN EL TERCER MES SIN ABONAR -  LA CARTA DOCUMENTO, IMUTANDOLE ASI EL GASTO GENERADO POR LA MISMA (ABOGADO, CARTA Y ENVIO)</t>
  </si>
  <si>
    <t>VTO 14/05</t>
  </si>
  <si>
    <t>PERÍODO: ABRIL</t>
  </si>
  <si>
    <t>Sindicatos mes de ABRIL</t>
  </si>
  <si>
    <t>Ascensores ADS - Mantenimiento de ascensor (Período ABRIL)</t>
  </si>
  <si>
    <t>AYSA - Cuota plan de pagos - Mes de ABRIL</t>
  </si>
  <si>
    <t>AYSA - Mes de ABRIL</t>
  </si>
  <si>
    <t>Sueldo Ana encargada ABRIL</t>
  </si>
  <si>
    <t>Claudio Sosa Periodo ABRIL</t>
  </si>
  <si>
    <t>GASTOS BANCARIOS ABRIL Y ABRIL</t>
  </si>
  <si>
    <t>Transf 10/04</t>
  </si>
  <si>
    <t>Debito 23/04</t>
  </si>
  <si>
    <t>Debito 14/04</t>
  </si>
  <si>
    <t>PMC 07/04</t>
  </si>
  <si>
    <t>Transporte villar - destapacion cloacal  camion atmosferico</t>
  </si>
  <si>
    <t>Transf 25/04</t>
  </si>
  <si>
    <t>Antonio Javier Santillan - Plomero cloacal - obra vereda</t>
  </si>
  <si>
    <t>Articulos de limpieza - Los nenes</t>
  </si>
  <si>
    <t>Transf 15/04</t>
  </si>
  <si>
    <t>MATIAS</t>
  </si>
  <si>
    <t>Aumentados Marz</t>
  </si>
  <si>
    <t>Mes de Marzo - Se debe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</si>
</sst>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_ &quot;$&quot;\ * #,##0.00_ ;_ &quot;$&quot;\ * \-#,##0.00_ ;_ &quot;$&quot;\ * &quot;-&quot;??_ ;_ @_ "/>
    <numFmt numFmtId="168" formatCode="_-&quot;$&quot;\ * #,##0_-;\-&quot;$&quot;\ * #,##0_-;_-&quot;$&quot;\ * &quot;-&quot;??_-;_-@"/>
    <numFmt numFmtId="169" formatCode="0.0"/>
    <numFmt numFmtId="170" formatCode="_-[$$-2C0A]\ * #,##0.00_-;\-[$$-2C0A]\ * #,##0.00_-;_-[$$-2C0A]\ * &quot;-&quot;??_-;_-@_-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b/>
      <sz val="10"/>
      <color theme="1"/>
      <name val="Trebuchet MS"/>
      <family val="2"/>
    </font>
    <font>
      <b/>
      <sz val="10"/>
      <color theme="1"/>
      <name val="Yu Gothic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67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2" borderId="4" xfId="0" applyFont="1" applyFill="1" applyBorder="1"/>
    <xf numFmtId="0" fontId="5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8" xfId="0" applyFont="1" applyFill="1" applyBorder="1"/>
    <xf numFmtId="0" fontId="4" fillId="2" borderId="9" xfId="0" applyFont="1" applyFill="1" applyBorder="1"/>
    <xf numFmtId="0" fontId="4" fillId="2" borderId="2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13" xfId="0" applyFont="1" applyBorder="1" applyAlignment="1">
      <alignment vertical="top" wrapText="1"/>
    </xf>
    <xf numFmtId="0" fontId="4" fillId="0" borderId="0" xfId="0" applyFont="1"/>
    <xf numFmtId="0" fontId="4" fillId="5" borderId="1" xfId="0" applyFont="1" applyFill="1" applyBorder="1"/>
    <xf numFmtId="0" fontId="4" fillId="5" borderId="2" xfId="0" applyFont="1" applyFill="1" applyBorder="1"/>
    <xf numFmtId="10" fontId="4" fillId="5" borderId="2" xfId="0" applyNumberFormat="1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9" fillId="6" borderId="23" xfId="0" applyFont="1" applyFill="1" applyBorder="1"/>
    <xf numFmtId="0" fontId="3" fillId="0" borderId="23" xfId="0" applyFont="1" applyBorder="1"/>
    <xf numFmtId="0" fontId="10" fillId="8" borderId="23" xfId="0" applyFont="1" applyFill="1" applyBorder="1"/>
    <xf numFmtId="0" fontId="3" fillId="8" borderId="23" xfId="0" applyFont="1" applyFill="1" applyBorder="1"/>
    <xf numFmtId="0" fontId="11" fillId="0" borderId="23" xfId="0" applyFont="1" applyBorder="1"/>
    <xf numFmtId="0" fontId="4" fillId="6" borderId="23" xfId="0" applyFont="1" applyFill="1" applyBorder="1"/>
    <xf numFmtId="164" fontId="5" fillId="6" borderId="25" xfId="0" applyNumberFormat="1" applyFont="1" applyFill="1" applyBorder="1"/>
    <xf numFmtId="164" fontId="3" fillId="0" borderId="0" xfId="0" applyNumberFormat="1" applyFont="1"/>
    <xf numFmtId="166" fontId="12" fillId="6" borderId="26" xfId="0" applyNumberFormat="1" applyFont="1" applyFill="1" applyBorder="1"/>
    <xf numFmtId="0" fontId="3" fillId="0" borderId="23" xfId="0" applyFont="1" applyBorder="1" applyAlignment="1">
      <alignment wrapText="1"/>
    </xf>
    <xf numFmtId="166" fontId="13" fillId="0" borderId="27" xfId="0" applyNumberFormat="1" applyFont="1" applyBorder="1"/>
    <xf numFmtId="164" fontId="5" fillId="6" borderId="28" xfId="0" applyNumberFormat="1" applyFont="1" applyFill="1" applyBorder="1"/>
    <xf numFmtId="166" fontId="5" fillId="6" borderId="23" xfId="0" applyNumberFormat="1" applyFont="1" applyFill="1" applyBorder="1"/>
    <xf numFmtId="0" fontId="3" fillId="0" borderId="23" xfId="0" applyFont="1" applyBorder="1" applyAlignment="1">
      <alignment vertical="center" wrapText="1"/>
    </xf>
    <xf numFmtId="166" fontId="13" fillId="7" borderId="23" xfId="0" applyNumberFormat="1" applyFont="1" applyFill="1" applyBorder="1" applyAlignment="1">
      <alignment wrapText="1"/>
    </xf>
    <xf numFmtId="0" fontId="3" fillId="0" borderId="0" xfId="0" applyFont="1" applyAlignment="1">
      <alignment wrapText="1"/>
    </xf>
    <xf numFmtId="166" fontId="5" fillId="6" borderId="25" xfId="0" applyNumberFormat="1" applyFont="1" applyFill="1" applyBorder="1"/>
    <xf numFmtId="0" fontId="3" fillId="6" borderId="23" xfId="0" applyFont="1" applyFill="1" applyBorder="1"/>
    <xf numFmtId="166" fontId="13" fillId="6" borderId="26" xfId="0" applyNumberFormat="1" applyFont="1" applyFill="1" applyBorder="1"/>
    <xf numFmtId="0" fontId="3" fillId="7" borderId="23" xfId="0" applyFont="1" applyFill="1" applyBorder="1"/>
    <xf numFmtId="166" fontId="3" fillId="0" borderId="23" xfId="0" applyNumberFormat="1" applyFont="1" applyBorder="1"/>
    <xf numFmtId="0" fontId="13" fillId="7" borderId="23" xfId="0" applyFont="1" applyFill="1" applyBorder="1"/>
    <xf numFmtId="0" fontId="13" fillId="0" borderId="23" xfId="0" applyFont="1" applyBorder="1"/>
    <xf numFmtId="0" fontId="13" fillId="0" borderId="30" xfId="0" applyFont="1" applyBorder="1"/>
    <xf numFmtId="0" fontId="13" fillId="0" borderId="23" xfId="0" applyFont="1" applyBorder="1" applyAlignment="1">
      <alignment horizontal="left"/>
    </xf>
    <xf numFmtId="0" fontId="3" fillId="0" borderId="2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9" xfId="0" applyFont="1" applyBorder="1"/>
    <xf numFmtId="0" fontId="13" fillId="0" borderId="30" xfId="0" applyFont="1" applyBorder="1" applyAlignment="1">
      <alignment horizontal="left"/>
    </xf>
    <xf numFmtId="0" fontId="14" fillId="0" borderId="23" xfId="0" applyFont="1" applyBorder="1"/>
    <xf numFmtId="166" fontId="13" fillId="7" borderId="23" xfId="0" applyNumberFormat="1" applyFont="1" applyFill="1" applyBorder="1"/>
    <xf numFmtId="16" fontId="3" fillId="0" borderId="29" xfId="0" applyNumberFormat="1" applyFont="1" applyBorder="1" applyAlignment="1">
      <alignment vertical="center" wrapText="1"/>
    </xf>
    <xf numFmtId="16" fontId="3" fillId="0" borderId="13" xfId="0" applyNumberFormat="1" applyFont="1" applyBorder="1" applyAlignment="1">
      <alignment vertical="center" wrapText="1"/>
    </xf>
    <xf numFmtId="166" fontId="13" fillId="0" borderId="23" xfId="0" applyNumberFormat="1" applyFont="1" applyBorder="1"/>
    <xf numFmtId="16" fontId="3" fillId="0" borderId="23" xfId="0" applyNumberFormat="1" applyFont="1" applyBorder="1" applyAlignment="1">
      <alignment vertical="center" wrapText="1"/>
    </xf>
    <xf numFmtId="166" fontId="5" fillId="6" borderId="28" xfId="0" applyNumberFormat="1" applyFont="1" applyFill="1" applyBorder="1"/>
    <xf numFmtId="0" fontId="3" fillId="0" borderId="14" xfId="0" applyFont="1" applyBorder="1" applyAlignment="1">
      <alignment wrapText="1"/>
    </xf>
    <xf numFmtId="16" fontId="13" fillId="0" borderId="23" xfId="0" applyNumberFormat="1" applyFont="1" applyBorder="1"/>
    <xf numFmtId="0" fontId="15" fillId="0" borderId="23" xfId="0" applyFont="1" applyBorder="1"/>
    <xf numFmtId="0" fontId="15" fillId="7" borderId="23" xfId="0" applyFont="1" applyFill="1" applyBorder="1"/>
    <xf numFmtId="166" fontId="5" fillId="6" borderId="35" xfId="0" applyNumberFormat="1" applyFont="1" applyFill="1" applyBorder="1"/>
    <xf numFmtId="0" fontId="4" fillId="6" borderId="23" xfId="0" applyFont="1" applyFill="1" applyBorder="1" applyAlignment="1">
      <alignment wrapText="1"/>
    </xf>
    <xf numFmtId="166" fontId="13" fillId="7" borderId="26" xfId="0" applyNumberFormat="1" applyFont="1" applyFill="1" applyBorder="1"/>
    <xf numFmtId="0" fontId="4" fillId="6" borderId="26" xfId="0" applyFont="1" applyFill="1" applyBorder="1"/>
    <xf numFmtId="0" fontId="13" fillId="0" borderId="37" xfId="0" applyFont="1" applyBorder="1"/>
    <xf numFmtId="0" fontId="4" fillId="9" borderId="23" xfId="0" applyFont="1" applyFill="1" applyBorder="1"/>
    <xf numFmtId="0" fontId="4" fillId="9" borderId="24" xfId="0" applyFont="1" applyFill="1" applyBorder="1"/>
    <xf numFmtId="166" fontId="5" fillId="9" borderId="28" xfId="0" applyNumberFormat="1" applyFont="1" applyFill="1" applyBorder="1"/>
    <xf numFmtId="0" fontId="3" fillId="0" borderId="38" xfId="0" applyFont="1" applyBorder="1"/>
    <xf numFmtId="0" fontId="13" fillId="0" borderId="39" xfId="0" applyFont="1" applyBorder="1"/>
    <xf numFmtId="166" fontId="3" fillId="0" borderId="0" xfId="0" applyNumberFormat="1" applyFont="1"/>
    <xf numFmtId="0" fontId="4" fillId="5" borderId="7" xfId="0" applyFont="1" applyFill="1" applyBorder="1"/>
    <xf numFmtId="10" fontId="4" fillId="5" borderId="8" xfId="0" applyNumberFormat="1" applyFont="1" applyFill="1" applyBorder="1"/>
    <xf numFmtId="0" fontId="4" fillId="5" borderId="8" xfId="0" applyFont="1" applyFill="1" applyBorder="1"/>
    <xf numFmtId="166" fontId="5" fillId="5" borderId="9" xfId="0" applyNumberFormat="1" applyFont="1" applyFill="1" applyBorder="1"/>
    <xf numFmtId="0" fontId="4" fillId="6" borderId="5" xfId="0" applyFont="1" applyFill="1" applyBorder="1"/>
    <xf numFmtId="0" fontId="3" fillId="6" borderId="5" xfId="0" applyFont="1" applyFill="1" applyBorder="1"/>
    <xf numFmtId="166" fontId="3" fillId="6" borderId="5" xfId="0" applyNumberFormat="1" applyFont="1" applyFill="1" applyBorder="1"/>
    <xf numFmtId="166" fontId="15" fillId="9" borderId="40" xfId="0" applyNumberFormat="1" applyFont="1" applyFill="1" applyBorder="1" applyAlignment="1">
      <alignment vertical="center"/>
    </xf>
    <xf numFmtId="0" fontId="5" fillId="4" borderId="7" xfId="0" applyFont="1" applyFill="1" applyBorder="1"/>
    <xf numFmtId="166" fontId="5" fillId="4" borderId="9" xfId="0" applyNumberFormat="1" applyFont="1" applyFill="1" applyBorder="1"/>
    <xf numFmtId="167" fontId="13" fillId="0" borderId="0" xfId="0" applyNumberFormat="1" applyFont="1"/>
    <xf numFmtId="4" fontId="3" fillId="0" borderId="0" xfId="0" applyNumberFormat="1" applyFont="1"/>
    <xf numFmtId="0" fontId="5" fillId="0" borderId="23" xfId="0" applyFont="1" applyBorder="1"/>
    <xf numFmtId="166" fontId="17" fillId="7" borderId="23" xfId="0" applyNumberFormat="1" applyFont="1" applyFill="1" applyBorder="1"/>
    <xf numFmtId="0" fontId="5" fillId="0" borderId="23" xfId="0" applyFont="1" applyBorder="1" applyAlignment="1">
      <alignment vertical="top" wrapText="1"/>
    </xf>
    <xf numFmtId="0" fontId="5" fillId="0" borderId="23" xfId="0" applyFont="1" applyBorder="1" applyAlignment="1">
      <alignment vertical="center" wrapText="1"/>
    </xf>
    <xf numFmtId="0" fontId="4" fillId="0" borderId="23" xfId="0" applyFont="1" applyBorder="1"/>
    <xf numFmtId="166" fontId="4" fillId="0" borderId="23" xfId="0" applyNumberFormat="1" applyFont="1" applyBorder="1"/>
    <xf numFmtId="4" fontId="5" fillId="0" borderId="0" xfId="0" applyNumberFormat="1" applyFont="1"/>
    <xf numFmtId="166" fontId="13" fillId="0" borderId="0" xfId="0" applyNumberFormat="1" applyFont="1"/>
    <xf numFmtId="4" fontId="5" fillId="0" borderId="0" xfId="0" applyNumberFormat="1" applyFont="1" applyAlignment="1">
      <alignment wrapText="1"/>
    </xf>
    <xf numFmtId="0" fontId="18" fillId="10" borderId="23" xfId="0" applyFont="1" applyFill="1" applyBorder="1"/>
    <xf numFmtId="166" fontId="3" fillId="0" borderId="0" xfId="0" applyNumberFormat="1" applyFont="1" applyAlignment="1">
      <alignment wrapText="1"/>
    </xf>
    <xf numFmtId="167" fontId="3" fillId="0" borderId="0" xfId="0" applyNumberFormat="1" applyFont="1"/>
    <xf numFmtId="166" fontId="19" fillId="0" borderId="23" xfId="0" applyNumberFormat="1" applyFont="1" applyBorder="1"/>
    <xf numFmtId="14" fontId="3" fillId="0" borderId="23" xfId="0" applyNumberFormat="1" applyFont="1" applyBorder="1"/>
    <xf numFmtId="0" fontId="18" fillId="10" borderId="5" xfId="0" applyFont="1" applyFill="1" applyBorder="1"/>
    <xf numFmtId="166" fontId="18" fillId="10" borderId="5" xfId="0" applyNumberFormat="1" applyFont="1" applyFill="1" applyBorder="1"/>
    <xf numFmtId="0" fontId="3" fillId="0" borderId="41" xfId="0" applyFont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166" fontId="3" fillId="2" borderId="5" xfId="0" applyNumberFormat="1" applyFont="1" applyFill="1" applyBorder="1"/>
    <xf numFmtId="166" fontId="3" fillId="2" borderId="40" xfId="0" applyNumberFormat="1" applyFont="1" applyFill="1" applyBorder="1" applyAlignment="1">
      <alignment vertical="center"/>
    </xf>
    <xf numFmtId="166" fontId="3" fillId="2" borderId="5" xfId="0" applyNumberFormat="1" applyFont="1" applyFill="1" applyBorder="1" applyAlignment="1">
      <alignment vertical="center"/>
    </xf>
    <xf numFmtId="0" fontId="15" fillId="2" borderId="47" xfId="0" applyFont="1" applyFill="1" applyBorder="1" applyAlignment="1">
      <alignment horizontal="center" vertical="center" wrapText="1"/>
    </xf>
    <xf numFmtId="0" fontId="15" fillId="2" borderId="52" xfId="0" applyFont="1" applyFill="1" applyBorder="1" applyAlignment="1">
      <alignment horizontal="center" vertical="center" wrapText="1"/>
    </xf>
    <xf numFmtId="0" fontId="20" fillId="0" borderId="23" xfId="0" applyFont="1" applyBorder="1"/>
    <xf numFmtId="0" fontId="20" fillId="0" borderId="23" xfId="0" applyFont="1" applyBorder="1" applyAlignment="1">
      <alignment horizontal="center"/>
    </xf>
    <xf numFmtId="166" fontId="20" fillId="0" borderId="23" xfId="0" applyNumberFormat="1" applyFont="1" applyBorder="1"/>
    <xf numFmtId="166" fontId="20" fillId="7" borderId="23" xfId="0" applyNumberFormat="1" applyFont="1" applyFill="1" applyBorder="1"/>
    <xf numFmtId="168" fontId="20" fillId="7" borderId="23" xfId="0" applyNumberFormat="1" applyFont="1" applyFill="1" applyBorder="1"/>
    <xf numFmtId="168" fontId="20" fillId="0" borderId="23" xfId="0" applyNumberFormat="1" applyFont="1" applyBorder="1"/>
    <xf numFmtId="166" fontId="20" fillId="0" borderId="29" xfId="0" applyNumberFormat="1" applyFont="1" applyBorder="1"/>
    <xf numFmtId="166" fontId="20" fillId="0" borderId="53" xfId="0" applyNumberFormat="1" applyFont="1" applyBorder="1"/>
    <xf numFmtId="166" fontId="20" fillId="0" borderId="54" xfId="0" applyNumberFormat="1" applyFont="1" applyBorder="1"/>
    <xf numFmtId="0" fontId="20" fillId="0" borderId="23" xfId="0" applyFont="1" applyBorder="1" applyAlignment="1">
      <alignment wrapText="1"/>
    </xf>
    <xf numFmtId="0" fontId="14" fillId="7" borderId="5" xfId="0" applyFont="1" applyFill="1" applyBorder="1"/>
    <xf numFmtId="168" fontId="20" fillId="0" borderId="29" xfId="0" applyNumberFormat="1" applyFont="1" applyBorder="1"/>
    <xf numFmtId="166" fontId="21" fillId="0" borderId="23" xfId="0" applyNumberFormat="1" applyFont="1" applyBorder="1"/>
    <xf numFmtId="168" fontId="21" fillId="7" borderId="23" xfId="0" applyNumberFormat="1" applyFont="1" applyFill="1" applyBorder="1"/>
    <xf numFmtId="168" fontId="21" fillId="0" borderId="23" xfId="0" applyNumberFormat="1" applyFont="1" applyBorder="1"/>
    <xf numFmtId="166" fontId="21" fillId="0" borderId="29" xfId="0" applyNumberFormat="1" applyFont="1" applyBorder="1"/>
    <xf numFmtId="0" fontId="20" fillId="11" borderId="25" xfId="0" applyFont="1" applyFill="1" applyBorder="1"/>
    <xf numFmtId="0" fontId="20" fillId="6" borderId="55" xfId="0" applyFont="1" applyFill="1" applyBorder="1"/>
    <xf numFmtId="0" fontId="20" fillId="6" borderId="28" xfId="0" applyFont="1" applyFill="1" applyBorder="1"/>
    <xf numFmtId="166" fontId="20" fillId="6" borderId="28" xfId="0" applyNumberFormat="1" applyFont="1" applyFill="1" applyBorder="1"/>
    <xf numFmtId="168" fontId="20" fillId="6" borderId="28" xfId="0" applyNumberFormat="1" applyFont="1" applyFill="1" applyBorder="1"/>
    <xf numFmtId="166" fontId="20" fillId="6" borderId="25" xfId="0" applyNumberFormat="1" applyFont="1" applyFill="1" applyBorder="1"/>
    <xf numFmtId="0" fontId="15" fillId="0" borderId="0" xfId="0" applyFont="1"/>
    <xf numFmtId="1" fontId="24" fillId="0" borderId="23" xfId="0" applyNumberFormat="1" applyFont="1" applyBorder="1" applyAlignment="1">
      <alignment horizontal="left" vertical="top" shrinkToFit="1"/>
    </xf>
    <xf numFmtId="0" fontId="25" fillId="0" borderId="23" xfId="0" applyFont="1" applyBorder="1" applyAlignment="1">
      <alignment horizontal="left" vertical="top" wrapText="1"/>
    </xf>
    <xf numFmtId="0" fontId="26" fillId="0" borderId="23" xfId="0" applyFont="1" applyBorder="1"/>
    <xf numFmtId="169" fontId="20" fillId="6" borderId="28" xfId="0" applyNumberFormat="1" applyFont="1" applyFill="1" applyBorder="1" applyAlignment="1">
      <alignment horizontal="center"/>
    </xf>
    <xf numFmtId="0" fontId="6" fillId="0" borderId="14" xfId="0" applyFont="1" applyBorder="1"/>
    <xf numFmtId="0" fontId="27" fillId="0" borderId="29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/>
    </xf>
    <xf numFmtId="0" fontId="4" fillId="13" borderId="4" xfId="0" applyFont="1" applyFill="1" applyBorder="1"/>
    <xf numFmtId="168" fontId="20" fillId="0" borderId="53" xfId="0" applyNumberFormat="1" applyFont="1" applyBorder="1"/>
    <xf numFmtId="168" fontId="20" fillId="0" borderId="54" xfId="0" applyNumberFormat="1" applyFont="1" applyBorder="1"/>
    <xf numFmtId="0" fontId="16" fillId="10" borderId="44" xfId="0" applyFont="1" applyFill="1" applyBorder="1"/>
    <xf numFmtId="166" fontId="5" fillId="7" borderId="35" xfId="0" applyNumberFormat="1" applyFont="1" applyFill="1" applyBorder="1"/>
    <xf numFmtId="0" fontId="5" fillId="0" borderId="27" xfId="0" applyFont="1" applyBorder="1"/>
    <xf numFmtId="166" fontId="13" fillId="7" borderId="27" xfId="0" applyNumberFormat="1" applyFont="1" applyFill="1" applyBorder="1"/>
    <xf numFmtId="0" fontId="5" fillId="7" borderId="56" xfId="0" applyFont="1" applyFill="1" applyBorder="1" applyAlignment="1">
      <alignment vertical="center" wrapText="1"/>
    </xf>
    <xf numFmtId="4" fontId="3" fillId="0" borderId="56" xfId="0" applyNumberFormat="1" applyFont="1" applyBorder="1"/>
    <xf numFmtId="0" fontId="13" fillId="7" borderId="23" xfId="0" applyFont="1" applyFill="1" applyBorder="1" applyAlignment="1">
      <alignment horizontal="left" wrapText="1"/>
    </xf>
    <xf numFmtId="0" fontId="4" fillId="2" borderId="44" xfId="0" applyFont="1" applyFill="1" applyBorder="1" applyAlignment="1">
      <alignment vertical="center"/>
    </xf>
    <xf numFmtId="165" fontId="3" fillId="2" borderId="57" xfId="0" applyNumberFormat="1" applyFont="1" applyFill="1" applyBorder="1"/>
    <xf numFmtId="0" fontId="3" fillId="0" borderId="14" xfId="0" applyFont="1" applyBorder="1"/>
    <xf numFmtId="0" fontId="3" fillId="0" borderId="56" xfId="0" applyFont="1" applyBorder="1" applyAlignment="1">
      <alignment wrapText="1"/>
    </xf>
    <xf numFmtId="0" fontId="3" fillId="0" borderId="44" xfId="0" applyFont="1" applyBorder="1"/>
    <xf numFmtId="0" fontId="0" fillId="0" borderId="44" xfId="0" applyBorder="1"/>
    <xf numFmtId="0" fontId="3" fillId="0" borderId="44" xfId="0" applyFont="1" applyBorder="1" applyAlignment="1">
      <alignment vertical="top" wrapText="1"/>
    </xf>
    <xf numFmtId="166" fontId="29" fillId="7" borderId="23" xfId="0" applyNumberFormat="1" applyFont="1" applyFill="1" applyBorder="1"/>
    <xf numFmtId="164" fontId="28" fillId="6" borderId="36" xfId="0" applyNumberFormat="1" applyFont="1" applyFill="1" applyBorder="1"/>
    <xf numFmtId="0" fontId="3" fillId="0" borderId="35" xfId="0" applyFont="1" applyBorder="1"/>
    <xf numFmtId="0" fontId="4" fillId="6" borderId="27" xfId="0" applyFont="1" applyFill="1" applyBorder="1"/>
    <xf numFmtId="0" fontId="3" fillId="6" borderId="27" xfId="0" applyFont="1" applyFill="1" applyBorder="1"/>
    <xf numFmtId="16" fontId="13" fillId="7" borderId="23" xfId="0" applyNumberFormat="1" applyFont="1" applyFill="1" applyBorder="1" applyAlignment="1">
      <alignment horizontal="left" wrapText="1"/>
    </xf>
    <xf numFmtId="0" fontId="30" fillId="7" borderId="23" xfId="0" applyFont="1" applyFill="1" applyBorder="1" applyAlignment="1">
      <alignment horizontal="left" wrapText="1"/>
    </xf>
    <xf numFmtId="16" fontId="13" fillId="7" borderId="23" xfId="0" applyNumberFormat="1" applyFont="1" applyFill="1" applyBorder="1"/>
    <xf numFmtId="166" fontId="20" fillId="14" borderId="23" xfId="0" applyNumberFormat="1" applyFont="1" applyFill="1" applyBorder="1"/>
    <xf numFmtId="168" fontId="20" fillId="14" borderId="23" xfId="0" applyNumberFormat="1" applyFont="1" applyFill="1" applyBorder="1"/>
    <xf numFmtId="166" fontId="20" fillId="14" borderId="29" xfId="0" applyNumberFormat="1" applyFont="1" applyFill="1" applyBorder="1"/>
    <xf numFmtId="168" fontId="20" fillId="14" borderId="53" xfId="0" applyNumberFormat="1" applyFont="1" applyFill="1" applyBorder="1"/>
    <xf numFmtId="168" fontId="20" fillId="14" borderId="29" xfId="0" applyNumberFormat="1" applyFont="1" applyFill="1" applyBorder="1"/>
    <xf numFmtId="168" fontId="20" fillId="14" borderId="54" xfId="0" applyNumberFormat="1" applyFont="1" applyFill="1" applyBorder="1"/>
    <xf numFmtId="0" fontId="3" fillId="0" borderId="2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3" fillId="15" borderId="23" xfId="0" applyFont="1" applyFill="1" applyBorder="1" applyAlignment="1">
      <alignment horizontal="left" wrapText="1"/>
    </xf>
    <xf numFmtId="0" fontId="0" fillId="16" borderId="0" xfId="0" applyFill="1"/>
    <xf numFmtId="0" fontId="2" fillId="0" borderId="0" xfId="0" applyFont="1"/>
    <xf numFmtId="170" fontId="17" fillId="0" borderId="23" xfId="1" applyNumberFormat="1" applyFont="1" applyBorder="1"/>
    <xf numFmtId="170" fontId="3" fillId="0" borderId="23" xfId="1" applyNumberFormat="1" applyFont="1" applyBorder="1"/>
    <xf numFmtId="170" fontId="18" fillId="10" borderId="5" xfId="1" applyNumberFormat="1" applyFont="1" applyFill="1" applyBorder="1"/>
    <xf numFmtId="1" fontId="24" fillId="18" borderId="23" xfId="0" applyNumberFormat="1" applyFont="1" applyFill="1" applyBorder="1" applyAlignment="1">
      <alignment horizontal="left" vertical="top" shrinkToFit="1"/>
    </xf>
    <xf numFmtId="0" fontId="25" fillId="18" borderId="23" xfId="0" applyFont="1" applyFill="1" applyBorder="1" applyAlignment="1">
      <alignment horizontal="left" vertical="top" wrapText="1"/>
    </xf>
    <xf numFmtId="0" fontId="20" fillId="18" borderId="23" xfId="0" applyFont="1" applyFill="1" applyBorder="1" applyAlignment="1">
      <alignment wrapText="1"/>
    </xf>
    <xf numFmtId="0" fontId="20" fillId="18" borderId="23" xfId="0" applyFont="1" applyFill="1" applyBorder="1" applyAlignment="1">
      <alignment horizontal="center"/>
    </xf>
    <xf numFmtId="166" fontId="20" fillId="18" borderId="23" xfId="0" applyNumberFormat="1" applyFont="1" applyFill="1" applyBorder="1"/>
    <xf numFmtId="168" fontId="20" fillId="17" borderId="23" xfId="0" applyNumberFormat="1" applyFont="1" applyFill="1" applyBorder="1"/>
    <xf numFmtId="168" fontId="20" fillId="18" borderId="23" xfId="0" applyNumberFormat="1" applyFont="1" applyFill="1" applyBorder="1"/>
    <xf numFmtId="166" fontId="20" fillId="18" borderId="29" xfId="0" applyNumberFormat="1" applyFont="1" applyFill="1" applyBorder="1"/>
    <xf numFmtId="168" fontId="20" fillId="18" borderId="53" xfId="0" applyNumberFormat="1" applyFont="1" applyFill="1" applyBorder="1"/>
    <xf numFmtId="168" fontId="20" fillId="18" borderId="29" xfId="0" applyNumberFormat="1" applyFont="1" applyFill="1" applyBorder="1"/>
    <xf numFmtId="168" fontId="20" fillId="18" borderId="54" xfId="0" applyNumberFormat="1" applyFont="1" applyFill="1" applyBorder="1"/>
    <xf numFmtId="0" fontId="20" fillId="18" borderId="23" xfId="0" applyFont="1" applyFill="1" applyBorder="1"/>
    <xf numFmtId="164" fontId="6" fillId="7" borderId="23" xfId="0" applyNumberFormat="1" applyFont="1" applyFill="1" applyBorder="1"/>
    <xf numFmtId="164" fontId="32" fillId="8" borderId="23" xfId="0" applyNumberFormat="1" applyFont="1" applyFill="1" applyBorder="1"/>
    <xf numFmtId="164" fontId="6" fillId="7" borderId="24" xfId="0" applyNumberFormat="1" applyFont="1" applyFill="1" applyBorder="1"/>
    <xf numFmtId="164" fontId="32" fillId="8" borderId="24" xfId="0" applyNumberFormat="1" applyFont="1" applyFill="1" applyBorder="1"/>
    <xf numFmtId="164" fontId="28" fillId="6" borderId="24" xfId="0" applyNumberFormat="1" applyFont="1" applyFill="1" applyBorder="1"/>
    <xf numFmtId="164" fontId="33" fillId="6" borderId="23" xfId="0" applyNumberFormat="1" applyFont="1" applyFill="1" applyBorder="1"/>
    <xf numFmtId="166" fontId="28" fillId="6" borderId="24" xfId="0" applyNumberFormat="1" applyFont="1" applyFill="1" applyBorder="1"/>
    <xf numFmtId="166" fontId="28" fillId="6" borderId="23" xfId="0" applyNumberFormat="1" applyFont="1" applyFill="1" applyBorder="1"/>
    <xf numFmtId="166" fontId="6" fillId="7" borderId="23" xfId="0" applyNumberFormat="1" applyFont="1" applyFill="1" applyBorder="1" applyAlignment="1">
      <alignment wrapText="1"/>
    </xf>
    <xf numFmtId="166" fontId="6" fillId="7" borderId="23" xfId="0" applyNumberFormat="1" applyFont="1" applyFill="1" applyBorder="1"/>
    <xf numFmtId="166" fontId="6" fillId="6" borderId="23" xfId="0" applyNumberFormat="1" applyFont="1" applyFill="1" applyBorder="1"/>
    <xf numFmtId="166" fontId="6" fillId="0" borderId="23" xfId="0" applyNumberFormat="1" applyFont="1" applyBorder="1"/>
    <xf numFmtId="166" fontId="6" fillId="6" borderId="36" xfId="0" applyNumberFormat="1" applyFont="1" applyFill="1" applyBorder="1"/>
    <xf numFmtId="166" fontId="6" fillId="7" borderId="23" xfId="0" applyNumberFormat="1" applyFont="1" applyFill="1" applyBorder="1" applyAlignment="1">
      <alignment horizontal="right"/>
    </xf>
    <xf numFmtId="166" fontId="6" fillId="7" borderId="23" xfId="0" applyNumberFormat="1" applyFont="1" applyFill="1" applyBorder="1" applyAlignment="1">
      <alignment horizontal="left" wrapText="1"/>
    </xf>
    <xf numFmtId="166" fontId="6" fillId="7" borderId="23" xfId="0" applyNumberFormat="1" applyFont="1" applyFill="1" applyBorder="1" applyAlignment="1">
      <alignment horizontal="left" vertical="center" wrapText="1"/>
    </xf>
    <xf numFmtId="166" fontId="6" fillId="15" borderId="23" xfId="0" applyNumberFormat="1" applyFont="1" applyFill="1" applyBorder="1" applyAlignment="1">
      <alignment wrapText="1"/>
    </xf>
    <xf numFmtId="166" fontId="6" fillId="7" borderId="24" xfId="0" applyNumberFormat="1" applyFont="1" applyFill="1" applyBorder="1"/>
    <xf numFmtId="0" fontId="33" fillId="6" borderId="23" xfId="0" applyFont="1" applyFill="1" applyBorder="1"/>
    <xf numFmtId="166" fontId="30" fillId="7" borderId="26" xfId="0" applyNumberFormat="1" applyFont="1" applyFill="1" applyBorder="1"/>
    <xf numFmtId="166" fontId="29" fillId="17" borderId="23" xfId="0" applyNumberFormat="1" applyFont="1" applyFill="1" applyBorder="1"/>
    <xf numFmtId="166" fontId="29" fillId="12" borderId="23" xfId="0" applyNumberFormat="1" applyFont="1" applyFill="1" applyBorder="1"/>
    <xf numFmtId="166" fontId="29" fillId="15" borderId="23" xfId="0" applyNumberFormat="1" applyFont="1" applyFill="1" applyBorder="1"/>
    <xf numFmtId="0" fontId="3" fillId="0" borderId="29" xfId="0" applyFont="1" applyBorder="1" applyAlignment="1">
      <alignment horizontal="left" vertical="center" wrapText="1"/>
    </xf>
    <xf numFmtId="0" fontId="6" fillId="0" borderId="14" xfId="0" applyFont="1" applyBorder="1"/>
    <xf numFmtId="0" fontId="3" fillId="0" borderId="14" xfId="0" applyFont="1" applyBorder="1" applyAlignment="1">
      <alignment horizontal="left" vertical="center" wrapText="1"/>
    </xf>
    <xf numFmtId="0" fontId="3" fillId="7" borderId="29" xfId="0" applyFont="1" applyFill="1" applyBorder="1" applyAlignment="1">
      <alignment horizontal="left" vertical="center" wrapText="1"/>
    </xf>
    <xf numFmtId="0" fontId="18" fillId="10" borderId="15" xfId="0" applyFont="1" applyFill="1" applyBorder="1" applyAlignment="1">
      <alignment horizontal="center" vertical="center"/>
    </xf>
    <xf numFmtId="0" fontId="6" fillId="0" borderId="21" xfId="0" applyFont="1" applyBorder="1"/>
    <xf numFmtId="0" fontId="6" fillId="0" borderId="16" xfId="0" applyFont="1" applyBorder="1"/>
    <xf numFmtId="0" fontId="6" fillId="0" borderId="19" xfId="0" applyFont="1" applyBorder="1"/>
    <xf numFmtId="0" fontId="6" fillId="0" borderId="22" xfId="0" applyFont="1" applyBorder="1"/>
    <xf numFmtId="0" fontId="6" fillId="0" borderId="20" xfId="0" applyFont="1" applyBorder="1"/>
    <xf numFmtId="0" fontId="3" fillId="0" borderId="29" xfId="0" applyFont="1" applyBorder="1" applyAlignment="1">
      <alignment horizontal="left" wrapText="1"/>
    </xf>
    <xf numFmtId="0" fontId="5" fillId="13" borderId="44" xfId="0" applyFont="1" applyFill="1" applyBorder="1" applyAlignment="1">
      <alignment horizontal="left" vertical="center" wrapText="1"/>
    </xf>
    <xf numFmtId="0" fontId="5" fillId="13" borderId="40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166" fontId="6" fillId="7" borderId="30" xfId="0" applyNumberFormat="1" applyFont="1" applyFill="1" applyBorder="1" applyAlignment="1">
      <alignment horizontal="center"/>
    </xf>
    <xf numFmtId="0" fontId="6" fillId="0" borderId="27" xfId="0" applyFont="1" applyBorder="1"/>
    <xf numFmtId="0" fontId="5" fillId="2" borderId="10" xfId="0" applyFont="1" applyFill="1" applyBorder="1" applyAlignment="1">
      <alignment horizontal="left" vertical="top" wrapText="1"/>
    </xf>
    <xf numFmtId="0" fontId="6" fillId="0" borderId="11" xfId="0" applyFont="1" applyBorder="1"/>
    <xf numFmtId="0" fontId="6" fillId="0" borderId="12" xfId="0" applyFont="1" applyBorder="1"/>
    <xf numFmtId="0" fontId="7" fillId="3" borderId="15" xfId="0" applyFont="1" applyFill="1" applyBorder="1" applyAlignment="1">
      <alignment horizontal="center" vertical="center"/>
    </xf>
    <xf numFmtId="0" fontId="6" fillId="0" borderId="17" xfId="0" applyFont="1" applyBorder="1"/>
    <xf numFmtId="0" fontId="6" fillId="0" borderId="18" xfId="0" applyFont="1" applyBorder="1"/>
    <xf numFmtId="0" fontId="8" fillId="4" borderId="15" xfId="0" applyFont="1" applyFill="1" applyBorder="1" applyAlignment="1">
      <alignment horizontal="center" vertical="center" wrapText="1"/>
    </xf>
    <xf numFmtId="0" fontId="0" fillId="0" borderId="0" xfId="0"/>
    <xf numFmtId="0" fontId="27" fillId="0" borderId="29" xfId="0" applyFont="1" applyBorder="1" applyAlignment="1">
      <alignment horizontal="left" vertical="center" wrapText="1"/>
    </xf>
    <xf numFmtId="0" fontId="13" fillId="7" borderId="30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0" fontId="6" fillId="0" borderId="50" xfId="0" applyFont="1" applyBorder="1"/>
    <xf numFmtId="0" fontId="15" fillId="2" borderId="46" xfId="0" applyFont="1" applyFill="1" applyBorder="1" applyAlignment="1">
      <alignment horizontal="center" vertical="center" wrapText="1"/>
    </xf>
    <xf numFmtId="0" fontId="6" fillId="0" borderId="51" xfId="0" applyFont="1" applyBorder="1"/>
    <xf numFmtId="0" fontId="6" fillId="0" borderId="49" xfId="0" applyFont="1" applyBorder="1"/>
    <xf numFmtId="0" fontId="15" fillId="2" borderId="45" xfId="0" applyFont="1" applyFill="1" applyBorder="1" applyAlignment="1">
      <alignment horizontal="center" vertical="center"/>
    </xf>
    <xf numFmtId="0" fontId="6" fillId="0" borderId="48" xfId="0" applyFont="1" applyBorder="1"/>
    <xf numFmtId="0" fontId="20" fillId="2" borderId="45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left"/>
    </xf>
    <xf numFmtId="0" fontId="6" fillId="0" borderId="43" xfId="0" applyFont="1" applyBorder="1"/>
    <xf numFmtId="0" fontId="6" fillId="0" borderId="44" xfId="0" applyFont="1" applyBorder="1"/>
    <xf numFmtId="0" fontId="3" fillId="2" borderId="45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center" vertical="center"/>
    </xf>
    <xf numFmtId="0" fontId="1" fillId="0" borderId="0" xfId="0" applyFont="1"/>
    <xf numFmtId="1" fontId="24" fillId="14" borderId="23" xfId="0" applyNumberFormat="1" applyFont="1" applyFill="1" applyBorder="1" applyAlignment="1">
      <alignment horizontal="left" vertical="top" shrinkToFit="1"/>
    </xf>
    <xf numFmtId="0" fontId="25" fillId="14" borderId="23" xfId="0" applyFont="1" applyFill="1" applyBorder="1" applyAlignment="1">
      <alignment horizontal="left" vertical="top" wrapText="1"/>
    </xf>
    <xf numFmtId="0" fontId="20" fillId="14" borderId="23" xfId="0" applyFont="1" applyFill="1" applyBorder="1" applyAlignment="1">
      <alignment wrapText="1"/>
    </xf>
    <xf numFmtId="0" fontId="20" fillId="14" borderId="23" xfId="0" applyFont="1" applyFill="1" applyBorder="1" applyAlignment="1">
      <alignment horizontal="center"/>
    </xf>
    <xf numFmtId="0" fontId="20" fillId="14" borderId="23" xfId="0" applyFont="1" applyFill="1" applyBorder="1"/>
    <xf numFmtId="164" fontId="6" fillId="14" borderId="23" xfId="0" applyNumberFormat="1" applyFont="1" applyFill="1" applyBorder="1"/>
    <xf numFmtId="166" fontId="6" fillId="14" borderId="23" xfId="0" applyNumberFormat="1" applyFont="1" applyFill="1" applyBorder="1"/>
    <xf numFmtId="166" fontId="6" fillId="7" borderId="35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76200</xdr:rowOff>
    </xdr:from>
    <xdr:ext cx="2038350" cy="857250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76200"/>
          <a:ext cx="2038350" cy="857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111" workbookViewId="0">
      <selection activeCell="D87" sqref="D23:D87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thickBot="1" x14ac:dyDescent="0.3">
      <c r="A1" s="1"/>
      <c r="B1" s="152"/>
      <c r="C1" s="2"/>
      <c r="D1" s="2"/>
      <c r="E1" s="3"/>
      <c r="F1" s="4"/>
      <c r="G1" s="4"/>
      <c r="H1" s="4"/>
    </row>
    <row r="2" spans="1:9" x14ac:dyDescent="0.25">
      <c r="A2" s="5"/>
      <c r="B2" s="151" t="s">
        <v>0</v>
      </c>
      <c r="C2" s="6"/>
      <c r="D2" s="6"/>
      <c r="E2" s="7"/>
      <c r="F2" s="4"/>
      <c r="G2" s="4"/>
      <c r="H2" s="4"/>
    </row>
    <row r="3" spans="1:9" ht="15.75" customHeight="1" x14ac:dyDescent="0.25">
      <c r="A3" s="8"/>
      <c r="B3" s="226" t="s">
        <v>122</v>
      </c>
      <c r="C3" s="226"/>
      <c r="D3" s="226"/>
      <c r="E3" s="9"/>
      <c r="F3" s="4"/>
      <c r="G3" s="4"/>
      <c r="H3" s="4"/>
    </row>
    <row r="4" spans="1:9" ht="32.25" customHeight="1" thickBot="1" x14ac:dyDescent="0.3">
      <c r="A4" s="8"/>
      <c r="B4" s="227"/>
      <c r="C4" s="227"/>
      <c r="D4" s="227"/>
      <c r="E4" s="9"/>
      <c r="F4" s="4"/>
      <c r="G4" s="4"/>
      <c r="H4" s="4"/>
    </row>
    <row r="5" spans="1:9" ht="15.75" thickBot="1" x14ac:dyDescent="0.3">
      <c r="A5" s="10" t="s">
        <v>1</v>
      </c>
      <c r="B5" s="11" t="s">
        <v>2</v>
      </c>
      <c r="C5" s="12"/>
      <c r="D5" s="12"/>
      <c r="E5" s="13"/>
      <c r="F5" s="4"/>
      <c r="G5" s="4"/>
      <c r="H5" s="4"/>
    </row>
    <row r="6" spans="1:9" x14ac:dyDescent="0.25">
      <c r="A6" s="141" t="s">
        <v>3</v>
      </c>
      <c r="B6" s="14" t="s">
        <v>165</v>
      </c>
      <c r="C6" s="15"/>
      <c r="D6" s="15" t="s">
        <v>4</v>
      </c>
      <c r="E6" s="16"/>
      <c r="F6" s="4"/>
      <c r="G6" s="155"/>
      <c r="H6" s="155"/>
      <c r="I6" s="156"/>
    </row>
    <row r="7" spans="1:9" ht="15" customHeight="1" x14ac:dyDescent="0.25">
      <c r="A7" s="234" t="s">
        <v>5</v>
      </c>
      <c r="B7" s="235"/>
      <c r="C7" s="235"/>
      <c r="D7" s="235"/>
      <c r="E7" s="236"/>
      <c r="F7" s="17"/>
      <c r="G7" s="157"/>
      <c r="H7" s="157"/>
      <c r="I7" s="156"/>
    </row>
    <row r="8" spans="1:9" ht="15" customHeight="1" x14ac:dyDescent="0.25">
      <c r="G8" s="156"/>
      <c r="H8" s="156"/>
      <c r="I8" s="156"/>
    </row>
    <row r="9" spans="1:9" x14ac:dyDescent="0.25">
      <c r="A9" s="4"/>
      <c r="B9" s="237" t="s">
        <v>164</v>
      </c>
      <c r="C9" s="221"/>
      <c r="D9" s="4"/>
      <c r="E9" s="4"/>
      <c r="F9" s="4"/>
      <c r="G9" s="4"/>
      <c r="H9" s="4"/>
    </row>
    <row r="10" spans="1:9" x14ac:dyDescent="0.25">
      <c r="A10" s="4"/>
      <c r="B10" s="238"/>
      <c r="C10" s="239"/>
      <c r="D10" s="4"/>
      <c r="E10" s="4"/>
      <c r="F10" s="4"/>
      <c r="G10" s="4"/>
      <c r="H10" s="4"/>
    </row>
    <row r="11" spans="1:9" x14ac:dyDescent="0.25">
      <c r="A11" s="4"/>
      <c r="B11" s="222"/>
      <c r="C11" s="224"/>
      <c r="D11" s="4"/>
      <c r="E11" s="4"/>
      <c r="F11" s="4"/>
      <c r="G11" s="4"/>
      <c r="H11" s="4"/>
    </row>
    <row r="13" spans="1:9" hidden="1" x14ac:dyDescent="0.25">
      <c r="A13" s="4"/>
      <c r="B13" s="4"/>
      <c r="C13" s="4"/>
      <c r="D13" s="4"/>
      <c r="E13" s="4"/>
      <c r="F13" s="4"/>
      <c r="G13" s="4"/>
      <c r="H13" s="4"/>
    </row>
    <row r="14" spans="1:9" ht="15" customHeight="1" x14ac:dyDescent="0.25">
      <c r="A14" s="240" t="s">
        <v>130</v>
      </c>
      <c r="B14" s="220"/>
      <c r="C14" s="220"/>
      <c r="D14" s="220"/>
      <c r="E14" s="221"/>
      <c r="F14" s="4"/>
      <c r="G14" s="4"/>
      <c r="H14" s="4"/>
    </row>
    <row r="15" spans="1:9" ht="15" customHeight="1" x14ac:dyDescent="0.25">
      <c r="A15" s="238"/>
      <c r="B15" s="241"/>
      <c r="C15" s="241"/>
      <c r="D15" s="241"/>
      <c r="E15" s="239"/>
      <c r="F15" s="4"/>
      <c r="G15" s="4"/>
      <c r="H15" s="4"/>
    </row>
    <row r="16" spans="1:9" ht="15" customHeight="1" x14ac:dyDescent="0.25">
      <c r="A16" s="238"/>
      <c r="B16" s="241"/>
      <c r="C16" s="241"/>
      <c r="D16" s="241"/>
      <c r="E16" s="239"/>
      <c r="F16" s="4"/>
      <c r="G16" s="4"/>
      <c r="H16" s="4"/>
    </row>
    <row r="17" spans="1:26" ht="39" customHeight="1" x14ac:dyDescent="0.25">
      <c r="A17" s="222"/>
      <c r="B17" s="223"/>
      <c r="C17" s="223"/>
      <c r="D17" s="223"/>
      <c r="E17" s="224"/>
    </row>
    <row r="18" spans="1:26" ht="14.25" customHeight="1" thickBot="1" x14ac:dyDescent="0.3">
      <c r="A18" s="4"/>
      <c r="B18" s="4"/>
      <c r="C18" s="4"/>
      <c r="D18" s="4"/>
      <c r="E18" s="4"/>
    </row>
    <row r="19" spans="1:26" hidden="1" x14ac:dyDescent="0.25">
      <c r="A19" s="18"/>
      <c r="B19" s="4"/>
      <c r="C19" s="4"/>
      <c r="D19" s="4"/>
      <c r="E19" s="4"/>
    </row>
    <row r="20" spans="1:26" hidden="1" x14ac:dyDescent="0.25">
      <c r="A20" s="4"/>
      <c r="B20" s="4"/>
      <c r="C20" s="4"/>
      <c r="D20" s="4"/>
      <c r="E20" s="4"/>
    </row>
    <row r="21" spans="1:26" ht="15.75" customHeight="1" x14ac:dyDescent="0.25">
      <c r="A21" s="19" t="s">
        <v>6</v>
      </c>
      <c r="B21" s="20"/>
      <c r="C21" s="21"/>
      <c r="D21" s="22"/>
      <c r="E21" s="23"/>
    </row>
    <row r="22" spans="1:26" ht="15.75" customHeight="1" x14ac:dyDescent="0.25">
      <c r="A22" s="24" t="s">
        <v>7</v>
      </c>
      <c r="B22" s="24"/>
      <c r="C22" s="24"/>
      <c r="D22" s="24"/>
      <c r="E22" s="24"/>
    </row>
    <row r="23" spans="1:26" ht="14.25" customHeight="1" x14ac:dyDescent="0.25">
      <c r="A23" s="25" t="s">
        <v>170</v>
      </c>
      <c r="B23" s="25"/>
      <c r="C23" s="25"/>
      <c r="D23" s="192">
        <v>571966.6</v>
      </c>
      <c r="E23" s="25"/>
    </row>
    <row r="24" spans="1:26" ht="15.75" hidden="1" customHeight="1" x14ac:dyDescent="0.25">
      <c r="A24" s="25"/>
      <c r="B24" s="25"/>
      <c r="C24" s="25"/>
      <c r="D24" s="192"/>
      <c r="E24" s="2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 x14ac:dyDescent="0.25">
      <c r="A25" s="25"/>
      <c r="B25" s="25"/>
      <c r="C25" s="25"/>
      <c r="D25" s="192"/>
      <c r="E25" s="2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25" t="s">
        <v>8</v>
      </c>
      <c r="B26" s="25"/>
      <c r="C26" s="25"/>
      <c r="D26" s="192">
        <v>-141561.75</v>
      </c>
      <c r="E26" s="25"/>
    </row>
    <row r="27" spans="1:26" ht="15.75" customHeight="1" x14ac:dyDescent="0.25">
      <c r="A27" s="25" t="s">
        <v>9</v>
      </c>
      <c r="B27" s="25"/>
      <c r="C27" s="25"/>
      <c r="D27" s="192">
        <v>0.15</v>
      </c>
      <c r="E27" s="2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 t="s">
        <v>10</v>
      </c>
      <c r="B28" s="26"/>
      <c r="C28" s="26"/>
      <c r="D28" s="193">
        <f>SUM(D23:D27)</f>
        <v>430405</v>
      </c>
      <c r="E28" s="2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 x14ac:dyDescent="0.25">
      <c r="A29" s="25" t="s">
        <v>171</v>
      </c>
      <c r="B29" s="25"/>
      <c r="C29" s="25"/>
      <c r="D29" s="192"/>
      <c r="E29" s="25"/>
    </row>
    <row r="30" spans="1:26" ht="0.75" hidden="1" customHeight="1" x14ac:dyDescent="0.25">
      <c r="A30" s="28"/>
      <c r="B30" s="25"/>
      <c r="C30" s="25"/>
      <c r="D30" s="192"/>
      <c r="E30" s="2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idden="1" x14ac:dyDescent="0.25">
      <c r="A31" s="25"/>
      <c r="B31" s="25"/>
      <c r="C31" s="25"/>
      <c r="D31" s="192"/>
      <c r="E31" s="25"/>
    </row>
    <row r="32" spans="1:26" hidden="1" x14ac:dyDescent="0.25">
      <c r="A32" s="25"/>
      <c r="B32" s="25"/>
      <c r="C32" s="25"/>
      <c r="D32" s="194"/>
      <c r="E32" s="2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idden="1" x14ac:dyDescent="0.25">
      <c r="A33" s="25"/>
      <c r="B33" s="25"/>
      <c r="C33" s="25"/>
      <c r="D33" s="194"/>
      <c r="E33" s="25"/>
      <c r="F33" s="4"/>
    </row>
    <row r="34" spans="1:26" hidden="1" x14ac:dyDescent="0.25">
      <c r="A34" s="25" t="s">
        <v>161</v>
      </c>
      <c r="B34" s="25"/>
      <c r="C34" s="25"/>
      <c r="D34" s="194"/>
      <c r="E34" s="25"/>
      <c r="F34" s="4"/>
    </row>
    <row r="35" spans="1:26" hidden="1" x14ac:dyDescent="0.25">
      <c r="A35" s="25" t="s">
        <v>160</v>
      </c>
      <c r="B35" s="25"/>
      <c r="C35" s="25"/>
      <c r="D35" s="194"/>
      <c r="E35" s="2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idden="1" x14ac:dyDescent="0.25">
      <c r="A36" s="25"/>
      <c r="B36" s="25"/>
      <c r="C36" s="25"/>
      <c r="D36" s="194"/>
      <c r="E36" s="2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idden="1" x14ac:dyDescent="0.25">
      <c r="A37" s="26" t="s">
        <v>10</v>
      </c>
      <c r="B37" s="26"/>
      <c r="C37" s="26"/>
      <c r="D37" s="195">
        <f>SUM(D29:D36)</f>
        <v>0</v>
      </c>
      <c r="E37" s="2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thickBot="1" x14ac:dyDescent="0.3">
      <c r="A38" s="29" t="s">
        <v>11</v>
      </c>
      <c r="B38" s="29"/>
      <c r="C38" s="29"/>
      <c r="D38" s="196"/>
      <c r="E38" s="30">
        <f>D28+D37</f>
        <v>430405</v>
      </c>
      <c r="F38" s="31"/>
    </row>
    <row r="39" spans="1:26" ht="15.75" customHeight="1" x14ac:dyDescent="0.25">
      <c r="A39" s="24" t="s">
        <v>12</v>
      </c>
      <c r="B39" s="24"/>
      <c r="C39" s="24"/>
      <c r="D39" s="197"/>
      <c r="E39" s="3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9.25" customHeight="1" x14ac:dyDescent="0.25">
      <c r="A40" s="140" t="s">
        <v>121</v>
      </c>
      <c r="B40" s="33" t="s">
        <v>184</v>
      </c>
      <c r="C40" s="25"/>
      <c r="D40" s="264">
        <v>28000</v>
      </c>
      <c r="E40" s="3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9.75" customHeight="1" thickBot="1" x14ac:dyDescent="0.3">
      <c r="A41" s="25" t="s">
        <v>13</v>
      </c>
      <c r="B41" s="33" t="s">
        <v>184</v>
      </c>
      <c r="C41" s="25"/>
      <c r="D41" s="192">
        <v>114000</v>
      </c>
      <c r="E41" s="34"/>
      <c r="F41" s="4"/>
      <c r="G41" s="4"/>
      <c r="H41" s="4" t="s">
        <v>183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29" t="s">
        <v>14</v>
      </c>
      <c r="B42" s="29"/>
      <c r="C42" s="29"/>
      <c r="D42" s="198"/>
      <c r="E42" s="35">
        <f>SUM(D40:D41)</f>
        <v>142000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24" t="s">
        <v>15</v>
      </c>
      <c r="B43" s="29"/>
      <c r="C43" s="29"/>
      <c r="D43" s="199"/>
      <c r="E43" s="36"/>
      <c r="F43" s="4"/>
    </row>
    <row r="44" spans="1:26" ht="30" customHeight="1" x14ac:dyDescent="0.25">
      <c r="A44" s="242" t="s">
        <v>120</v>
      </c>
      <c r="B44" s="216"/>
      <c r="C44" s="37"/>
      <c r="D44" s="201">
        <v>50274.73</v>
      </c>
      <c r="E44" s="38" t="s">
        <v>174</v>
      </c>
      <c r="F44" s="4"/>
    </row>
    <row r="45" spans="1:26" ht="15.75" customHeight="1" x14ac:dyDescent="0.25">
      <c r="A45" s="29" t="s">
        <v>16</v>
      </c>
      <c r="B45" s="29"/>
      <c r="C45" s="29"/>
      <c r="D45" s="198"/>
      <c r="E45" s="40">
        <f>SUM(D44:D44)</f>
        <v>50274.73</v>
      </c>
      <c r="F45" s="4"/>
    </row>
    <row r="46" spans="1:26" ht="15.75" customHeight="1" x14ac:dyDescent="0.25">
      <c r="A46" s="24" t="s">
        <v>17</v>
      </c>
      <c r="B46" s="41"/>
      <c r="C46" s="41"/>
      <c r="D46" s="202"/>
      <c r="E46" s="4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0.75" customHeight="1" x14ac:dyDescent="0.25">
      <c r="A47" s="25"/>
      <c r="B47" s="25"/>
      <c r="C47" s="43"/>
      <c r="D47" s="203"/>
      <c r="E47" s="45"/>
      <c r="F47" s="4"/>
    </row>
    <row r="48" spans="1:26" ht="15.75" customHeight="1" x14ac:dyDescent="0.25">
      <c r="A48" s="25" t="s">
        <v>144</v>
      </c>
      <c r="B48" s="25"/>
      <c r="C48" s="43"/>
      <c r="D48" s="265">
        <v>325993.27</v>
      </c>
      <c r="E48" s="165" t="s">
        <v>159</v>
      </c>
      <c r="F48" s="4"/>
    </row>
    <row r="49" spans="1:26" ht="15.75" customHeight="1" x14ac:dyDescent="0.25">
      <c r="A49" s="25" t="s">
        <v>166</v>
      </c>
      <c r="B49" s="25" t="s">
        <v>18</v>
      </c>
      <c r="C49" s="25"/>
      <c r="D49" s="203">
        <v>27215.61</v>
      </c>
      <c r="E49" s="46" t="s">
        <v>175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25" t="str">
        <f t="shared" ref="A50:A51" si="0">A49</f>
        <v>Sindicatos mes de ABRIL</v>
      </c>
      <c r="B50" s="25" t="s">
        <v>19</v>
      </c>
      <c r="C50" s="25"/>
      <c r="D50" s="201">
        <v>63310.99</v>
      </c>
      <c r="E50" s="46" t="str">
        <f>E49</f>
        <v>Debito 14/04</v>
      </c>
      <c r="F50" s="4"/>
      <c r="G50" s="4"/>
      <c r="H50" s="4"/>
    </row>
    <row r="51" spans="1:26" ht="15.75" customHeight="1" x14ac:dyDescent="0.25">
      <c r="A51" s="160" t="str">
        <f t="shared" si="0"/>
        <v>Sindicatos mes de ABRIL</v>
      </c>
      <c r="B51" s="160" t="s">
        <v>20</v>
      </c>
      <c r="C51" s="160"/>
      <c r="D51" s="266">
        <v>3023.92</v>
      </c>
      <c r="E51" s="47" t="str">
        <f>E50</f>
        <v>Debito 14/04</v>
      </c>
      <c r="F51" s="4"/>
      <c r="G51" s="4"/>
      <c r="H51" s="4"/>
    </row>
    <row r="52" spans="1:26" ht="15" customHeight="1" thickBot="1" x14ac:dyDescent="0.3">
      <c r="A52" s="161" t="s">
        <v>21</v>
      </c>
      <c r="B52" s="162"/>
      <c r="C52" s="162"/>
      <c r="D52" s="204"/>
      <c r="E52" s="40">
        <f>SUM(D47:D51)</f>
        <v>419543.79</v>
      </c>
      <c r="F52" s="4"/>
      <c r="G52" s="4"/>
      <c r="H52" s="4"/>
    </row>
    <row r="53" spans="1:26" ht="13.5" customHeight="1" x14ac:dyDescent="0.25">
      <c r="A53" s="24" t="s">
        <v>22</v>
      </c>
      <c r="B53" s="41"/>
      <c r="C53" s="41"/>
      <c r="D53" s="202"/>
      <c r="E53" s="4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7.75" customHeight="1" x14ac:dyDescent="0.25">
      <c r="A54" s="225" t="s">
        <v>167</v>
      </c>
      <c r="B54" s="216"/>
      <c r="C54" s="25"/>
      <c r="D54" s="205">
        <v>94000</v>
      </c>
      <c r="E54" s="163" t="s">
        <v>173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7.75" customHeight="1" x14ac:dyDescent="0.25">
      <c r="A55" s="215" t="s">
        <v>177</v>
      </c>
      <c r="B55" s="217"/>
      <c r="C55" s="25"/>
      <c r="D55" s="205">
        <v>120000</v>
      </c>
      <c r="E55" s="163" t="s">
        <v>178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7.75" customHeight="1" x14ac:dyDescent="0.25">
      <c r="A56" s="172" t="s">
        <v>153</v>
      </c>
      <c r="B56" s="173"/>
      <c r="C56" s="25"/>
      <c r="D56" s="205">
        <v>30000</v>
      </c>
      <c r="E56" s="163" t="s">
        <v>173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139" t="s">
        <v>119</v>
      </c>
      <c r="B57" s="138"/>
      <c r="C57" s="49"/>
      <c r="D57" s="206">
        <v>18221.25</v>
      </c>
      <c r="E57" s="163" t="s">
        <v>157</v>
      </c>
      <c r="F57" s="50"/>
      <c r="G57" s="50"/>
      <c r="H57" s="50"/>
    </row>
    <row r="58" spans="1:26" ht="33.75" customHeight="1" x14ac:dyDescent="0.25">
      <c r="A58" s="215" t="s">
        <v>180</v>
      </c>
      <c r="B58" s="216"/>
      <c r="C58" s="49"/>
      <c r="D58" s="207">
        <v>43935</v>
      </c>
      <c r="E58" s="150" t="s">
        <v>181</v>
      </c>
      <c r="F58" s="50"/>
      <c r="G58" s="50"/>
      <c r="H58" s="50"/>
    </row>
    <row r="59" spans="1:26" ht="33.75" customHeight="1" x14ac:dyDescent="0.25">
      <c r="A59" s="215" t="s">
        <v>179</v>
      </c>
      <c r="B59" s="216"/>
      <c r="C59" s="49"/>
      <c r="D59" s="207">
        <v>888000</v>
      </c>
      <c r="E59" s="150" t="s">
        <v>178</v>
      </c>
      <c r="F59" s="50"/>
      <c r="G59" s="50"/>
      <c r="H59" s="50"/>
    </row>
    <row r="60" spans="1:26" ht="24.75" customHeight="1" x14ac:dyDescent="0.25">
      <c r="A60" s="215" t="s">
        <v>168</v>
      </c>
      <c r="B60" s="216"/>
      <c r="C60" s="49"/>
      <c r="D60" s="208">
        <v>194652.11</v>
      </c>
      <c r="E60" s="174" t="str">
        <f>E61</f>
        <v>Transf 10/03</v>
      </c>
      <c r="F60" s="50"/>
      <c r="G60" s="50"/>
      <c r="H60" s="50"/>
    </row>
    <row r="61" spans="1:26" ht="21.75" customHeight="1" x14ac:dyDescent="0.25">
      <c r="A61" s="215" t="s">
        <v>169</v>
      </c>
      <c r="B61" s="216"/>
      <c r="C61" s="33"/>
      <c r="D61" s="200">
        <v>331159.59999999998</v>
      </c>
      <c r="E61" s="150" t="s">
        <v>158</v>
      </c>
      <c r="F61" s="39"/>
      <c r="G61" s="39"/>
      <c r="H61" s="3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9.75" customHeight="1" x14ac:dyDescent="0.25">
      <c r="A62" s="215" t="s">
        <v>23</v>
      </c>
      <c r="B62" s="216"/>
      <c r="C62" s="33"/>
      <c r="D62" s="200">
        <v>100499.27</v>
      </c>
      <c r="E62" s="164" t="s">
        <v>176</v>
      </c>
      <c r="F62" s="39"/>
      <c r="G62" s="39"/>
      <c r="H62" s="39"/>
    </row>
    <row r="63" spans="1:26" ht="14.25" hidden="1" customHeight="1" x14ac:dyDescent="0.25">
      <c r="A63" s="25"/>
      <c r="B63" s="25"/>
      <c r="C63" s="25"/>
      <c r="D63" s="201"/>
      <c r="E63" s="48"/>
      <c r="F63" s="4"/>
      <c r="G63" s="4"/>
      <c r="H63" s="4"/>
    </row>
    <row r="64" spans="1:26" ht="14.25" hidden="1" customHeight="1" x14ac:dyDescent="0.25">
      <c r="A64" s="225"/>
      <c r="B64" s="216"/>
      <c r="C64" s="25"/>
      <c r="D64" s="201"/>
      <c r="E64" s="4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hidden="1" customHeight="1" x14ac:dyDescent="0.25">
      <c r="A65" s="25"/>
      <c r="B65" s="51"/>
      <c r="C65" s="25"/>
      <c r="D65" s="201"/>
      <c r="E65" s="5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hidden="1" customHeight="1" x14ac:dyDescent="0.25">
      <c r="A66" s="228"/>
      <c r="B66" s="229"/>
      <c r="C66" s="53"/>
      <c r="D66" s="232"/>
      <c r="E66" s="24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9.5" hidden="1" customHeight="1" x14ac:dyDescent="0.25">
      <c r="A67" s="230"/>
      <c r="B67" s="231"/>
      <c r="C67" s="53"/>
      <c r="D67" s="233"/>
      <c r="E67" s="23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" hidden="1" customHeight="1" x14ac:dyDescent="0.25">
      <c r="A68" s="215"/>
      <c r="B68" s="216"/>
      <c r="C68" s="25"/>
      <c r="D68" s="209"/>
      <c r="E68" s="5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hidden="1" customHeight="1" x14ac:dyDescent="0.25">
      <c r="A69" s="215"/>
      <c r="B69" s="216"/>
      <c r="C69" s="25"/>
      <c r="D69" s="209"/>
      <c r="E69" s="5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3.75" hidden="1" customHeight="1" x14ac:dyDescent="0.25">
      <c r="A70" s="215"/>
      <c r="B70" s="216"/>
      <c r="C70" s="25"/>
      <c r="D70" s="209"/>
      <c r="E70" s="48"/>
    </row>
    <row r="71" spans="1:26" ht="15.75" hidden="1" customHeight="1" x14ac:dyDescent="0.25">
      <c r="A71" s="25"/>
      <c r="B71" s="55"/>
      <c r="C71" s="25"/>
      <c r="D71" s="209"/>
      <c r="E71" s="4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hidden="1" customHeight="1" x14ac:dyDescent="0.25">
      <c r="A72" s="215"/>
      <c r="B72" s="216"/>
      <c r="C72" s="25"/>
      <c r="D72" s="209"/>
      <c r="E72" s="4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 x14ac:dyDescent="0.25">
      <c r="A73" s="51"/>
      <c r="B73" s="56"/>
      <c r="C73" s="25"/>
      <c r="D73" s="209"/>
      <c r="E73" s="4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3.75" hidden="1" customHeight="1" x14ac:dyDescent="0.25">
      <c r="A74" s="215"/>
      <c r="B74" s="216"/>
      <c r="C74" s="25"/>
      <c r="D74" s="209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0" hidden="1" customHeight="1" x14ac:dyDescent="0.25">
      <c r="A75" s="215"/>
      <c r="B75" s="216"/>
      <c r="C75" s="25"/>
      <c r="D75" s="209"/>
      <c r="E75" s="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6.75" hidden="1" customHeight="1" x14ac:dyDescent="0.25">
      <c r="A76" s="218"/>
      <c r="B76" s="216"/>
      <c r="C76" s="58"/>
      <c r="D76" s="209"/>
      <c r="E76" s="5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thickBot="1" x14ac:dyDescent="0.3">
      <c r="A77" s="29" t="s">
        <v>24</v>
      </c>
      <c r="B77" s="29"/>
      <c r="C77" s="29"/>
      <c r="D77" s="198"/>
      <c r="E77" s="40">
        <f>SUM(D54:D62)</f>
        <v>1820467.23</v>
      </c>
    </row>
    <row r="78" spans="1:26" ht="15.75" customHeight="1" thickBot="1" x14ac:dyDescent="0.3">
      <c r="A78" s="24" t="s">
        <v>25</v>
      </c>
      <c r="B78" s="29"/>
      <c r="C78" s="29"/>
      <c r="D78" s="198"/>
      <c r="E78" s="59"/>
    </row>
    <row r="79" spans="1:26" ht="30.75" customHeight="1" x14ac:dyDescent="0.25">
      <c r="A79" s="215"/>
      <c r="B79" s="216"/>
      <c r="C79" s="60"/>
      <c r="D79" s="203"/>
      <c r="E79" s="5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0.75" hidden="1" customHeight="1" x14ac:dyDescent="0.25">
      <c r="A80" s="215"/>
      <c r="B80" s="217"/>
      <c r="C80" s="61"/>
      <c r="D80" s="203"/>
      <c r="E80" s="62"/>
    </row>
    <row r="81" spans="1:26" ht="29.25" hidden="1" customHeight="1" x14ac:dyDescent="0.25">
      <c r="A81" s="218"/>
      <c r="B81" s="216"/>
      <c r="C81" s="25"/>
      <c r="D81" s="203"/>
      <c r="E81" s="62"/>
    </row>
    <row r="82" spans="1:26" ht="15.75" hidden="1" customHeight="1" x14ac:dyDescent="0.25">
      <c r="A82" s="25"/>
      <c r="B82" s="25"/>
      <c r="C82" s="25"/>
      <c r="D82" s="203"/>
      <c r="E82" s="62"/>
    </row>
    <row r="83" spans="1:26" ht="15.75" hidden="1" customHeight="1" x14ac:dyDescent="0.25">
      <c r="A83" s="25"/>
      <c r="B83" s="25"/>
      <c r="C83" s="25"/>
      <c r="D83" s="203"/>
      <c r="E83" s="63"/>
    </row>
    <row r="84" spans="1:26" ht="15.75" customHeight="1" thickBot="1" x14ac:dyDescent="0.3">
      <c r="A84" s="29" t="s">
        <v>26</v>
      </c>
      <c r="B84" s="24"/>
      <c r="C84" s="24"/>
      <c r="D84" s="210"/>
      <c r="E84" s="64">
        <f>SUM(D79:D83)</f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thickBot="1" x14ac:dyDescent="0.3">
      <c r="A85" s="24" t="s">
        <v>172</v>
      </c>
      <c r="B85" s="65"/>
      <c r="C85" s="29"/>
      <c r="D85" s="196"/>
      <c r="E85" s="59">
        <f>850.17+698.43+4797.54+618.63+2.1+2364+10+1202.53+1583.5+3434+961.5+2275.93+1316.37+1224+2364.03+534+4200+154.8+1600+1200+2351.5+457.76+2442+6000</f>
        <v>42642.79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25" t="s">
        <v>136</v>
      </c>
      <c r="B86" s="25"/>
      <c r="C86" s="25"/>
      <c r="D86" s="211">
        <f>28863.9+1273.67+1160.31</f>
        <v>31297.88</v>
      </c>
      <c r="E86" s="6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25" t="s">
        <v>156</v>
      </c>
      <c r="B87" s="25"/>
      <c r="C87" s="25"/>
      <c r="D87" s="201">
        <v>24000</v>
      </c>
      <c r="E87" s="5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67" t="s">
        <v>14</v>
      </c>
      <c r="B88" s="67"/>
      <c r="C88" s="67"/>
      <c r="D88" s="159"/>
      <c r="E88" s="40">
        <f>SUM(D86:D87)</f>
        <v>55297.880000000005</v>
      </c>
      <c r="F88" s="4"/>
    </row>
    <row r="89" spans="1:26" ht="15.75" customHeight="1" x14ac:dyDescent="0.25">
      <c r="A89" s="25"/>
      <c r="B89" s="25"/>
      <c r="C89" s="25"/>
      <c r="D89" s="25"/>
      <c r="E89" s="68"/>
      <c r="F89" s="4"/>
    </row>
    <row r="90" spans="1:26" ht="15.75" customHeight="1" x14ac:dyDescent="0.25">
      <c r="A90" s="69" t="s">
        <v>131</v>
      </c>
      <c r="B90" s="69"/>
      <c r="C90" s="69"/>
      <c r="D90" s="70"/>
      <c r="E90" s="71"/>
      <c r="F90" s="4"/>
    </row>
    <row r="91" spans="1:26" ht="15.75" customHeight="1" x14ac:dyDescent="0.25">
      <c r="A91" s="72"/>
      <c r="B91" s="4"/>
      <c r="C91" s="4"/>
      <c r="D91" s="4"/>
      <c r="E91" s="73"/>
      <c r="F91" s="74"/>
    </row>
    <row r="92" spans="1:26" ht="15.75" customHeight="1" x14ac:dyDescent="0.25">
      <c r="A92" s="75" t="s">
        <v>27</v>
      </c>
      <c r="B92" s="76"/>
      <c r="C92" s="77"/>
      <c r="D92" s="77"/>
      <c r="E92" s="78">
        <f>(SUM(E31:E90))</f>
        <v>2960631.42</v>
      </c>
      <c r="F92" s="4"/>
    </row>
    <row r="93" spans="1:26" ht="15.75" customHeight="1" x14ac:dyDescent="0.25"/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19" t="s">
        <v>28</v>
      </c>
      <c r="B95" s="20"/>
      <c r="C95" s="21"/>
      <c r="D95" s="22"/>
      <c r="E95" s="2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154"/>
      <c r="B96" s="154"/>
      <c r="C96" s="153"/>
      <c r="D96" s="44"/>
      <c r="E96" s="6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154"/>
      <c r="B97" s="154"/>
      <c r="C97" s="153"/>
      <c r="D97" s="44">
        <v>0</v>
      </c>
      <c r="E97" s="4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79" t="s">
        <v>26</v>
      </c>
      <c r="B98" s="80"/>
      <c r="C98" s="80"/>
      <c r="D98" s="81"/>
      <c r="E98" s="81">
        <f>SUM(D96:D97)</f>
        <v>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thickBot="1" x14ac:dyDescent="0.3">
      <c r="A101" s="69" t="s">
        <v>29</v>
      </c>
      <c r="B101" s="69"/>
      <c r="C101" s="69"/>
      <c r="D101" s="70"/>
      <c r="E101" s="82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75" t="s">
        <v>30</v>
      </c>
      <c r="B103" s="76"/>
      <c r="C103" s="77"/>
      <c r="D103" s="77"/>
      <c r="E103" s="78">
        <f>E98+E101</f>
        <v>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83" t="s">
        <v>31</v>
      </c>
      <c r="B105" s="84">
        <f>E92</f>
        <v>2960631.42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83" t="s">
        <v>32</v>
      </c>
      <c r="B106" s="84">
        <f>E92-E90</f>
        <v>2960631.42</v>
      </c>
    </row>
    <row r="107" spans="1:26" ht="15.75" customHeight="1" x14ac:dyDescent="0.25">
      <c r="A107" s="83" t="s">
        <v>33</v>
      </c>
      <c r="B107" s="84">
        <f>E103-E101</f>
        <v>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83" t="s">
        <v>34</v>
      </c>
      <c r="B108" s="84">
        <f>E103</f>
        <v>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</row>
    <row r="110" spans="1:26" ht="15.75" customHeight="1" x14ac:dyDescent="0.25">
      <c r="A110" s="144" t="s">
        <v>35</v>
      </c>
      <c r="B110" s="145"/>
      <c r="C110" s="85"/>
    </row>
    <row r="111" spans="1:26" ht="19.5" customHeight="1" x14ac:dyDescent="0.25">
      <c r="A111" s="148" t="s">
        <v>135</v>
      </c>
      <c r="B111" s="149">
        <v>-165066.10000000056</v>
      </c>
      <c r="C111" s="86"/>
    </row>
    <row r="112" spans="1:26" ht="15" customHeight="1" x14ac:dyDescent="0.25">
      <c r="A112" s="146" t="s">
        <v>37</v>
      </c>
      <c r="B112" s="147">
        <f>'Copia de PRORRATEO'!H37</f>
        <v>2663844.6499999994</v>
      </c>
      <c r="C112" s="85"/>
    </row>
    <row r="113" spans="1:26" ht="15.75" customHeight="1" x14ac:dyDescent="0.25">
      <c r="A113" s="87" t="s">
        <v>162</v>
      </c>
      <c r="B113" s="88">
        <f>B136</f>
        <v>0</v>
      </c>
      <c r="C113" s="8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89" t="s">
        <v>38</v>
      </c>
      <c r="B114" s="88">
        <f>-B106</f>
        <v>-2960631.42</v>
      </c>
      <c r="C114" s="8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90" t="s">
        <v>39</v>
      </c>
      <c r="B115" s="88">
        <f>-(B107)</f>
        <v>0</v>
      </c>
      <c r="C115" s="85"/>
    </row>
    <row r="116" spans="1:26" ht="15.75" hidden="1" customHeight="1" x14ac:dyDescent="0.25">
      <c r="A116" s="90"/>
      <c r="B116" s="88"/>
      <c r="C116" s="85"/>
    </row>
    <row r="117" spans="1:26" ht="15.75" hidden="1" customHeight="1" x14ac:dyDescent="0.25">
      <c r="A117" s="90"/>
      <c r="B117" s="88"/>
      <c r="C117" s="85"/>
    </row>
    <row r="118" spans="1:26" ht="15.75" customHeight="1" x14ac:dyDescent="0.25">
      <c r="A118" s="91" t="s">
        <v>26</v>
      </c>
      <c r="B118" s="92">
        <f>SUM(B111:B117)</f>
        <v>-461852.87000000104</v>
      </c>
      <c r="C118" s="93"/>
    </row>
    <row r="119" spans="1:26" ht="15.75" customHeight="1" x14ac:dyDescent="0.25">
      <c r="A119" s="4"/>
      <c r="B119" s="74"/>
      <c r="C119" s="93"/>
      <c r="D119" s="7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hidden="1" customHeight="1" x14ac:dyDescent="0.25">
      <c r="A120" s="4"/>
      <c r="B120" s="94"/>
      <c r="C120" s="93"/>
    </row>
    <row r="121" spans="1:26" ht="27" hidden="1" customHeight="1" x14ac:dyDescent="0.25">
      <c r="B121" s="74"/>
      <c r="C121" s="95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27" hidden="1" customHeight="1" x14ac:dyDescent="0.25">
      <c r="A122" s="96" t="s">
        <v>40</v>
      </c>
      <c r="B122" s="44"/>
      <c r="C122" s="95"/>
      <c r="D122" s="97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27" hidden="1" customHeight="1" x14ac:dyDescent="0.25">
      <c r="A123" s="25" t="s">
        <v>36</v>
      </c>
      <c r="B123" s="44">
        <v>0</v>
      </c>
      <c r="C123" s="95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hidden="1" customHeight="1" x14ac:dyDescent="0.25">
      <c r="A124" s="25" t="s">
        <v>41</v>
      </c>
      <c r="B124" s="44">
        <v>0</v>
      </c>
      <c r="C124" s="93"/>
      <c r="D124" s="74"/>
    </row>
    <row r="125" spans="1:26" ht="15.75" hidden="1" customHeight="1" x14ac:dyDescent="0.25">
      <c r="A125" s="25" t="s">
        <v>38</v>
      </c>
      <c r="B125" s="44">
        <v>0</v>
      </c>
      <c r="C125" s="93"/>
    </row>
    <row r="126" spans="1:26" ht="15.75" hidden="1" customHeight="1" x14ac:dyDescent="0.25">
      <c r="A126" s="25" t="s">
        <v>39</v>
      </c>
      <c r="B126" s="44">
        <v>0</v>
      </c>
      <c r="C126" s="98"/>
    </row>
    <row r="127" spans="1:26" ht="15.75" hidden="1" customHeight="1" x14ac:dyDescent="0.25">
      <c r="A127" s="96" t="s">
        <v>42</v>
      </c>
      <c r="B127" s="99">
        <f>SUM(B123:B126)</f>
        <v>0</v>
      </c>
      <c r="C127" s="85"/>
    </row>
    <row r="128" spans="1:26" ht="15.75" hidden="1" customHeight="1" x14ac:dyDescent="0.25"/>
    <row r="129" spans="1:26" ht="60.75" hidden="1" customHeight="1" x14ac:dyDescent="0.25"/>
    <row r="130" spans="1:26" ht="15.75" customHeight="1" x14ac:dyDescent="0.25">
      <c r="A130" s="219" t="s">
        <v>43</v>
      </c>
      <c r="B130" s="220"/>
      <c r="C130" s="221"/>
    </row>
    <row r="131" spans="1:26" ht="15.75" customHeight="1" x14ac:dyDescent="0.25">
      <c r="A131" s="222"/>
      <c r="B131" s="223"/>
      <c r="C131" s="224"/>
    </row>
    <row r="132" spans="1:26" ht="15.75" customHeight="1" x14ac:dyDescent="0.25">
      <c r="A132" s="25"/>
      <c r="B132" s="177"/>
      <c r="C132" s="44">
        <v>11948.17</v>
      </c>
    </row>
    <row r="133" spans="1:26" ht="15.75" customHeight="1" x14ac:dyDescent="0.25">
      <c r="A133" s="25"/>
      <c r="B133" s="178"/>
      <c r="C133" s="44">
        <v>52000</v>
      </c>
    </row>
    <row r="134" spans="1:26" ht="15.75" customHeight="1" x14ac:dyDescent="0.25">
      <c r="A134" s="100"/>
      <c r="B134" s="178"/>
      <c r="C134" s="44">
        <v>61209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87"/>
      <c r="B135" s="178"/>
      <c r="C135" s="44">
        <v>40000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101" t="s">
        <v>26</v>
      </c>
      <c r="B136" s="179">
        <f>SUM(B132:B135)</f>
        <v>0</v>
      </c>
      <c r="C136" s="102"/>
    </row>
    <row r="137" spans="1:26" ht="15.75" customHeight="1" x14ac:dyDescent="0.25">
      <c r="M137" s="103"/>
    </row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7">
    <mergeCell ref="A58:B58"/>
    <mergeCell ref="B3:D4"/>
    <mergeCell ref="A80:B80"/>
    <mergeCell ref="A64:B64"/>
    <mergeCell ref="A66:B67"/>
    <mergeCell ref="D66:D67"/>
    <mergeCell ref="A7:E7"/>
    <mergeCell ref="B9:C11"/>
    <mergeCell ref="A14:E17"/>
    <mergeCell ref="A44:B44"/>
    <mergeCell ref="E66:E67"/>
    <mergeCell ref="A54:B54"/>
    <mergeCell ref="A61:B61"/>
    <mergeCell ref="A55:B55"/>
    <mergeCell ref="A130:C131"/>
    <mergeCell ref="A68:B68"/>
    <mergeCell ref="A69:B69"/>
    <mergeCell ref="A70:B70"/>
    <mergeCell ref="A72:B72"/>
    <mergeCell ref="A74:B74"/>
    <mergeCell ref="A75:B75"/>
    <mergeCell ref="A76:B76"/>
    <mergeCell ref="A79:B79"/>
    <mergeCell ref="A62:B62"/>
    <mergeCell ref="A60:B60"/>
    <mergeCell ref="A81:B81"/>
    <mergeCell ref="A59:B5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28" workbookViewId="0">
      <selection activeCell="O2" sqref="O2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7109375" customWidth="1"/>
    <col min="9" max="9" width="11.7109375" hidden="1" customWidth="1"/>
    <col min="10" max="10" width="10.5703125" customWidth="1"/>
    <col min="11" max="11" width="9.7109375" customWidth="1"/>
    <col min="12" max="12" width="11.85546875" hidden="1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04"/>
      <c r="B1" s="104"/>
      <c r="C1" s="104"/>
      <c r="D1" s="104"/>
      <c r="E1" s="104"/>
      <c r="F1" s="253"/>
      <c r="G1" s="254"/>
      <c r="H1" s="254"/>
      <c r="I1" s="254"/>
      <c r="J1" s="254"/>
      <c r="K1" s="254"/>
      <c r="L1" s="254"/>
      <c r="M1" s="254"/>
      <c r="N1" s="254"/>
      <c r="O1" s="255"/>
      <c r="P1" s="104"/>
      <c r="Q1" s="104"/>
    </row>
    <row r="2" spans="1:21" ht="12.75" customHeight="1" x14ac:dyDescent="0.25">
      <c r="A2" s="104"/>
      <c r="B2" s="104"/>
      <c r="C2" s="104"/>
      <c r="D2" s="104" t="str">
        <f>RESUMEN!B3</f>
        <v>MAIL: consorcioillia1554@gmail.com</v>
      </c>
      <c r="E2" s="104"/>
      <c r="F2" s="104"/>
      <c r="G2" s="104"/>
      <c r="H2" s="104"/>
      <c r="I2" s="104"/>
      <c r="J2" s="104"/>
      <c r="K2" s="104"/>
      <c r="L2" s="105" t="s">
        <v>44</v>
      </c>
      <c r="M2" s="104"/>
      <c r="N2" s="104"/>
      <c r="O2" s="106">
        <v>2527092.8400000003</v>
      </c>
      <c r="P2" s="106"/>
      <c r="Q2" s="106"/>
      <c r="R2" s="31"/>
    </row>
    <row r="3" spans="1:21" ht="12.75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 t="s">
        <v>45</v>
      </c>
      <c r="M3" s="104"/>
      <c r="N3" s="104"/>
      <c r="O3" s="107"/>
      <c r="P3" s="107"/>
      <c r="Q3" s="108"/>
    </row>
    <row r="4" spans="1:21" x14ac:dyDescent="0.25">
      <c r="A4" s="256" t="s">
        <v>46</v>
      </c>
      <c r="B4" s="257" t="s">
        <v>47</v>
      </c>
      <c r="C4" s="250" t="s">
        <v>48</v>
      </c>
      <c r="D4" s="250" t="s">
        <v>49</v>
      </c>
      <c r="E4" s="250" t="s">
        <v>50</v>
      </c>
      <c r="F4" s="250" t="s">
        <v>51</v>
      </c>
      <c r="G4" s="250" t="s">
        <v>52</v>
      </c>
      <c r="H4" s="250" t="s">
        <v>53</v>
      </c>
      <c r="I4" s="250" t="s">
        <v>54</v>
      </c>
      <c r="J4" s="252" t="s">
        <v>55</v>
      </c>
      <c r="K4" s="245" t="s">
        <v>123</v>
      </c>
      <c r="L4" s="245" t="s">
        <v>56</v>
      </c>
      <c r="M4" s="245" t="s">
        <v>57</v>
      </c>
      <c r="N4" s="247" t="s">
        <v>58</v>
      </c>
      <c r="O4" s="109" t="s">
        <v>59</v>
      </c>
      <c r="P4" s="247" t="s">
        <v>60</v>
      </c>
      <c r="Q4" s="245" t="s">
        <v>61</v>
      </c>
      <c r="R4" s="4"/>
    </row>
    <row r="5" spans="1:21" ht="15.75" customHeight="1" x14ac:dyDescent="0.25">
      <c r="A5" s="251"/>
      <c r="B5" s="249"/>
      <c r="C5" s="251"/>
      <c r="D5" s="251"/>
      <c r="E5" s="246"/>
      <c r="F5" s="251"/>
      <c r="G5" s="251"/>
      <c r="H5" s="251"/>
      <c r="I5" s="246"/>
      <c r="J5" s="246"/>
      <c r="K5" s="246"/>
      <c r="L5" s="251"/>
      <c r="M5" s="246"/>
      <c r="N5" s="248"/>
      <c r="O5" s="110" t="str">
        <f>RESUMEN!B9</f>
        <v>VTO 14/05</v>
      </c>
      <c r="P5" s="249"/>
      <c r="Q5" s="251"/>
    </row>
    <row r="6" spans="1:21" ht="16.5" customHeight="1" x14ac:dyDescent="0.25">
      <c r="A6" s="25" t="s">
        <v>62</v>
      </c>
      <c r="B6" s="134">
        <v>1</v>
      </c>
      <c r="C6" s="135" t="s">
        <v>137</v>
      </c>
      <c r="D6" s="135" t="s">
        <v>77</v>
      </c>
      <c r="E6" s="111" t="s">
        <v>151</v>
      </c>
      <c r="F6" s="112">
        <v>1.1000000000000001</v>
      </c>
      <c r="G6" s="113">
        <v>27798.01</v>
      </c>
      <c r="H6" s="158">
        <f>G6</f>
        <v>27798.01</v>
      </c>
      <c r="I6" s="115"/>
      <c r="J6" s="116">
        <f t="shared" ref="J6:J36" si="0">G6-H6</f>
        <v>0</v>
      </c>
      <c r="K6" s="116">
        <f t="shared" ref="K6:K36" si="1">IF(J6&gt;0,J6*3%,0)</f>
        <v>0</v>
      </c>
      <c r="L6" s="113">
        <f t="shared" ref="L6:L36" si="2">O$3*F6%</f>
        <v>0</v>
      </c>
      <c r="M6" s="116">
        <f t="shared" ref="M6:M36" si="3">O$2*F6%</f>
        <v>27798.021240000005</v>
      </c>
      <c r="N6" s="117">
        <v>0</v>
      </c>
      <c r="O6" s="142">
        <f t="shared" ref="O6:O36" si="4">ROUND(SUM(J6:N6),0) + R6</f>
        <v>27798.01</v>
      </c>
      <c r="P6" s="122">
        <f t="shared" ref="P6:P36" si="5">ROUND(O6*6% + O6,0) + R6</f>
        <v>29466.01</v>
      </c>
      <c r="Q6" s="143">
        <f t="shared" ref="Q6:Q36" si="6">ROUND(O6*3%,0) + O6</f>
        <v>28632.01</v>
      </c>
      <c r="R6" s="74">
        <v>0.01</v>
      </c>
    </row>
    <row r="7" spans="1:21" ht="16.5" customHeight="1" x14ac:dyDescent="0.25">
      <c r="A7" s="25" t="s">
        <v>63</v>
      </c>
      <c r="B7" s="259">
        <v>2</v>
      </c>
      <c r="C7" s="260" t="s">
        <v>138</v>
      </c>
      <c r="D7" s="260" t="s">
        <v>78</v>
      </c>
      <c r="E7" s="261"/>
      <c r="F7" s="262">
        <v>0.9</v>
      </c>
      <c r="G7" s="166">
        <v>442124.02</v>
      </c>
      <c r="H7" s="158">
        <f>G7</f>
        <v>442124.02</v>
      </c>
      <c r="I7" s="115"/>
      <c r="J7" s="167">
        <f t="shared" si="0"/>
        <v>0</v>
      </c>
      <c r="K7" s="167">
        <f t="shared" si="1"/>
        <v>0</v>
      </c>
      <c r="L7" s="166">
        <f t="shared" si="2"/>
        <v>0</v>
      </c>
      <c r="M7" s="167">
        <f t="shared" si="3"/>
        <v>22743.835560000007</v>
      </c>
      <c r="N7" s="168">
        <v>0</v>
      </c>
      <c r="O7" s="169">
        <f t="shared" si="4"/>
        <v>22744.02</v>
      </c>
      <c r="P7" s="170">
        <f t="shared" si="5"/>
        <v>24109.02</v>
      </c>
      <c r="Q7" s="171">
        <f t="shared" si="6"/>
        <v>23426.02</v>
      </c>
      <c r="R7" s="74">
        <f t="shared" ref="R7:R35" si="7">R6+0.01</f>
        <v>0.02</v>
      </c>
      <c r="S7" s="74"/>
    </row>
    <row r="8" spans="1:21" ht="16.5" customHeight="1" x14ac:dyDescent="0.25">
      <c r="A8" s="25" t="s">
        <v>63</v>
      </c>
      <c r="B8" s="259">
        <v>3</v>
      </c>
      <c r="C8" s="260" t="s">
        <v>139</v>
      </c>
      <c r="D8" s="260" t="s">
        <v>79</v>
      </c>
      <c r="E8" s="261" t="s">
        <v>149</v>
      </c>
      <c r="F8" s="262">
        <v>0.8</v>
      </c>
      <c r="G8" s="166">
        <v>20824.03</v>
      </c>
      <c r="H8" s="158">
        <f>G8</f>
        <v>20824.03</v>
      </c>
      <c r="I8" s="115"/>
      <c r="J8" s="167">
        <f t="shared" si="0"/>
        <v>0</v>
      </c>
      <c r="K8" s="167">
        <f t="shared" si="1"/>
        <v>0</v>
      </c>
      <c r="L8" s="166">
        <f t="shared" si="2"/>
        <v>0</v>
      </c>
      <c r="M8" s="167">
        <f t="shared" si="3"/>
        <v>20216.742720000002</v>
      </c>
      <c r="N8" s="168">
        <v>0</v>
      </c>
      <c r="O8" s="169">
        <f t="shared" si="4"/>
        <v>20217.03</v>
      </c>
      <c r="P8" s="170">
        <f t="shared" si="5"/>
        <v>21430.03</v>
      </c>
      <c r="Q8" s="171">
        <f t="shared" si="6"/>
        <v>20824.03</v>
      </c>
      <c r="R8" s="74">
        <f t="shared" si="7"/>
        <v>0.03</v>
      </c>
    </row>
    <row r="9" spans="1:21" ht="16.5" customHeight="1" x14ac:dyDescent="0.25">
      <c r="A9" s="25" t="s">
        <v>64</v>
      </c>
      <c r="B9" s="259">
        <v>4</v>
      </c>
      <c r="C9" s="260" t="s">
        <v>140</v>
      </c>
      <c r="D9" s="260" t="s">
        <v>80</v>
      </c>
      <c r="E9" s="261"/>
      <c r="F9" s="262">
        <v>0.8</v>
      </c>
      <c r="G9" s="166">
        <v>20217.04</v>
      </c>
      <c r="H9" s="158">
        <f>G9</f>
        <v>20217.04</v>
      </c>
      <c r="I9" s="115"/>
      <c r="J9" s="167">
        <f t="shared" si="0"/>
        <v>0</v>
      </c>
      <c r="K9" s="167">
        <f t="shared" si="1"/>
        <v>0</v>
      </c>
      <c r="L9" s="166">
        <f t="shared" si="2"/>
        <v>0</v>
      </c>
      <c r="M9" s="167">
        <f t="shared" si="3"/>
        <v>20216.742720000002</v>
      </c>
      <c r="N9" s="168">
        <v>0</v>
      </c>
      <c r="O9" s="169">
        <f t="shared" si="4"/>
        <v>20217.04</v>
      </c>
      <c r="P9" s="170">
        <f t="shared" si="5"/>
        <v>21430.04</v>
      </c>
      <c r="Q9" s="171">
        <f t="shared" si="6"/>
        <v>20824.04</v>
      </c>
      <c r="R9" s="74">
        <f t="shared" si="7"/>
        <v>0.04</v>
      </c>
    </row>
    <row r="10" spans="1:21" ht="16.5" customHeight="1" x14ac:dyDescent="0.25">
      <c r="A10" s="25" t="s">
        <v>64</v>
      </c>
      <c r="B10" s="259">
        <v>5</v>
      </c>
      <c r="C10" s="260" t="s">
        <v>141</v>
      </c>
      <c r="D10" s="260" t="s">
        <v>78</v>
      </c>
      <c r="E10" s="261" t="s">
        <v>182</v>
      </c>
      <c r="F10" s="262">
        <v>0.5</v>
      </c>
      <c r="G10" s="166">
        <v>37913.050000000003</v>
      </c>
      <c r="H10" s="158"/>
      <c r="I10" s="115"/>
      <c r="J10" s="167">
        <f t="shared" si="0"/>
        <v>37913.050000000003</v>
      </c>
      <c r="K10" s="167">
        <f t="shared" si="1"/>
        <v>1137.3915</v>
      </c>
      <c r="L10" s="166">
        <f t="shared" si="2"/>
        <v>0</v>
      </c>
      <c r="M10" s="167">
        <f t="shared" si="3"/>
        <v>12635.464200000002</v>
      </c>
      <c r="N10" s="168">
        <v>0</v>
      </c>
      <c r="O10" s="169">
        <f t="shared" si="4"/>
        <v>51686.05</v>
      </c>
      <c r="P10" s="170">
        <f t="shared" si="5"/>
        <v>54787.05</v>
      </c>
      <c r="Q10" s="171">
        <f t="shared" si="6"/>
        <v>53237.05</v>
      </c>
      <c r="R10" s="74">
        <f t="shared" si="7"/>
        <v>0.05</v>
      </c>
    </row>
    <row r="11" spans="1:21" ht="16.5" customHeight="1" x14ac:dyDescent="0.25">
      <c r="A11" s="25" t="s">
        <v>65</v>
      </c>
      <c r="B11" s="259">
        <v>6</v>
      </c>
      <c r="C11" s="260" t="s">
        <v>142</v>
      </c>
      <c r="D11" s="260" t="s">
        <v>78</v>
      </c>
      <c r="E11" s="263"/>
      <c r="F11" s="262">
        <v>0.5</v>
      </c>
      <c r="G11" s="166">
        <v>37913.06</v>
      </c>
      <c r="H11" s="158">
        <f>G11</f>
        <v>37913.06</v>
      </c>
      <c r="I11" s="115"/>
      <c r="J11" s="167">
        <f t="shared" si="0"/>
        <v>0</v>
      </c>
      <c r="K11" s="167">
        <f t="shared" si="1"/>
        <v>0</v>
      </c>
      <c r="L11" s="166">
        <f t="shared" si="2"/>
        <v>0</v>
      </c>
      <c r="M11" s="167">
        <f t="shared" si="3"/>
        <v>12635.464200000002</v>
      </c>
      <c r="N11" s="168">
        <v>0</v>
      </c>
      <c r="O11" s="169">
        <f t="shared" si="4"/>
        <v>12635.06</v>
      </c>
      <c r="P11" s="170">
        <f t="shared" si="5"/>
        <v>13393.06</v>
      </c>
      <c r="Q11" s="171">
        <f t="shared" si="6"/>
        <v>13014.06</v>
      </c>
      <c r="R11" s="74">
        <f t="shared" si="7"/>
        <v>6.0000000000000005E-2</v>
      </c>
    </row>
    <row r="12" spans="1:21" ht="24" customHeight="1" x14ac:dyDescent="0.25">
      <c r="A12" s="25" t="s">
        <v>65</v>
      </c>
      <c r="B12" s="259">
        <v>7</v>
      </c>
      <c r="C12" s="260" t="s">
        <v>143</v>
      </c>
      <c r="D12" s="260" t="s">
        <v>78</v>
      </c>
      <c r="E12" s="261" t="s">
        <v>152</v>
      </c>
      <c r="F12" s="262">
        <v>0.5</v>
      </c>
      <c r="G12" s="166">
        <v>13014</v>
      </c>
      <c r="H12" s="158">
        <f>G12</f>
        <v>13014</v>
      </c>
      <c r="I12" s="115"/>
      <c r="J12" s="167">
        <f t="shared" si="0"/>
        <v>0</v>
      </c>
      <c r="K12" s="167">
        <f t="shared" si="1"/>
        <v>0</v>
      </c>
      <c r="L12" s="166">
        <f t="shared" si="2"/>
        <v>0</v>
      </c>
      <c r="M12" s="167">
        <f t="shared" si="3"/>
        <v>12635.464200000002</v>
      </c>
      <c r="N12" s="168">
        <v>0</v>
      </c>
      <c r="O12" s="169">
        <f t="shared" si="4"/>
        <v>12635.07</v>
      </c>
      <c r="P12" s="170">
        <f t="shared" si="5"/>
        <v>13393.07</v>
      </c>
      <c r="Q12" s="171">
        <f t="shared" si="6"/>
        <v>13014.07</v>
      </c>
      <c r="R12" s="74">
        <f t="shared" si="7"/>
        <v>7.0000000000000007E-2</v>
      </c>
    </row>
    <row r="13" spans="1:21" ht="16.5" customHeight="1" x14ac:dyDescent="0.25">
      <c r="A13" s="25" t="s">
        <v>66</v>
      </c>
      <c r="B13" s="134" t="s">
        <v>81</v>
      </c>
      <c r="C13" s="135">
        <v>1</v>
      </c>
      <c r="D13" s="135" t="s">
        <v>82</v>
      </c>
      <c r="E13" s="120" t="s">
        <v>129</v>
      </c>
      <c r="F13" s="112">
        <v>4.4000000000000004</v>
      </c>
      <c r="G13" s="113">
        <v>470126.08000000002</v>
      </c>
      <c r="H13" s="158"/>
      <c r="I13" s="115"/>
      <c r="J13" s="116">
        <f t="shared" si="0"/>
        <v>470126.08000000002</v>
      </c>
      <c r="K13" s="116">
        <f t="shared" si="1"/>
        <v>14103.7824</v>
      </c>
      <c r="L13" s="113">
        <f t="shared" si="2"/>
        <v>0</v>
      </c>
      <c r="M13" s="116">
        <f t="shared" si="3"/>
        <v>111192.08496000002</v>
      </c>
      <c r="N13" s="117">
        <v>0</v>
      </c>
      <c r="O13" s="142">
        <f t="shared" si="4"/>
        <v>595422.07999999996</v>
      </c>
      <c r="P13" s="122">
        <f t="shared" si="5"/>
        <v>631147.07999999996</v>
      </c>
      <c r="Q13" s="143">
        <f t="shared" si="6"/>
        <v>613285.07999999996</v>
      </c>
      <c r="R13" s="74">
        <f t="shared" si="7"/>
        <v>0.08</v>
      </c>
    </row>
    <row r="14" spans="1:21" ht="16.5" customHeight="1" x14ac:dyDescent="0.25">
      <c r="A14" s="25" t="s">
        <v>66</v>
      </c>
      <c r="B14" s="134" t="s">
        <v>83</v>
      </c>
      <c r="C14" s="135">
        <f>C13+1</f>
        <v>2</v>
      </c>
      <c r="D14" s="135" t="s">
        <v>80</v>
      </c>
      <c r="E14" s="120"/>
      <c r="F14" s="112">
        <v>4.5</v>
      </c>
      <c r="G14" s="113">
        <v>113719.09</v>
      </c>
      <c r="H14" s="158">
        <f>133939-H9</f>
        <v>113721.95999999999</v>
      </c>
      <c r="I14" s="115"/>
      <c r="J14" s="116">
        <f t="shared" si="0"/>
        <v>-2.8699999999953434</v>
      </c>
      <c r="K14" s="116">
        <f t="shared" si="1"/>
        <v>0</v>
      </c>
      <c r="L14" s="113">
        <f t="shared" si="2"/>
        <v>0</v>
      </c>
      <c r="M14" s="116">
        <f t="shared" si="3"/>
        <v>113719.1778</v>
      </c>
      <c r="N14" s="117">
        <v>0</v>
      </c>
      <c r="O14" s="142">
        <f t="shared" si="4"/>
        <v>113716.09</v>
      </c>
      <c r="P14" s="122">
        <f t="shared" si="5"/>
        <v>120539.09</v>
      </c>
      <c r="Q14" s="143">
        <f t="shared" si="6"/>
        <v>117127.09</v>
      </c>
      <c r="R14" s="74">
        <f t="shared" si="7"/>
        <v>0.09</v>
      </c>
      <c r="U14" s="176" t="s">
        <v>154</v>
      </c>
    </row>
    <row r="15" spans="1:21" ht="26.25" customHeight="1" x14ac:dyDescent="0.25">
      <c r="A15" s="25" t="s">
        <v>67</v>
      </c>
      <c r="B15" s="134" t="s">
        <v>84</v>
      </c>
      <c r="C15" s="135">
        <f t="shared" ref="C15:C34" si="8">C14+1</f>
        <v>3</v>
      </c>
      <c r="D15" s="135" t="s">
        <v>85</v>
      </c>
      <c r="E15" s="120" t="s">
        <v>124</v>
      </c>
      <c r="F15" s="112">
        <v>4.5</v>
      </c>
      <c r="G15" s="113">
        <v>110876.1</v>
      </c>
      <c r="H15" s="213">
        <v>114202</v>
      </c>
      <c r="I15" s="115"/>
      <c r="J15" s="116">
        <f t="shared" si="0"/>
        <v>-3325.8999999999942</v>
      </c>
      <c r="K15" s="116">
        <f t="shared" si="1"/>
        <v>0</v>
      </c>
      <c r="L15" s="113">
        <f t="shared" si="2"/>
        <v>0</v>
      </c>
      <c r="M15" s="116">
        <f t="shared" si="3"/>
        <v>113719.1778</v>
      </c>
      <c r="N15" s="117">
        <v>0</v>
      </c>
      <c r="O15" s="142">
        <f t="shared" si="4"/>
        <v>110393.1</v>
      </c>
      <c r="P15" s="122">
        <f t="shared" si="5"/>
        <v>117017.1</v>
      </c>
      <c r="Q15" s="143">
        <f t="shared" si="6"/>
        <v>113705.1</v>
      </c>
      <c r="R15" s="74">
        <f t="shared" si="7"/>
        <v>9.9999999999999992E-2</v>
      </c>
    </row>
    <row r="16" spans="1:21" ht="16.5" customHeight="1" x14ac:dyDescent="0.25">
      <c r="A16" s="25" t="s">
        <v>67</v>
      </c>
      <c r="B16" s="134" t="s">
        <v>86</v>
      </c>
      <c r="C16" s="135">
        <f t="shared" si="8"/>
        <v>4</v>
      </c>
      <c r="D16" s="135" t="s">
        <v>87</v>
      </c>
      <c r="E16" s="120" t="s">
        <v>148</v>
      </c>
      <c r="F16" s="112">
        <v>3.1</v>
      </c>
      <c r="G16" s="113">
        <v>78340.11</v>
      </c>
      <c r="H16" s="158">
        <f>G16</f>
        <v>78340.11</v>
      </c>
      <c r="I16" s="115"/>
      <c r="J16" s="116">
        <f t="shared" si="0"/>
        <v>0</v>
      </c>
      <c r="K16" s="116">
        <f t="shared" si="1"/>
        <v>0</v>
      </c>
      <c r="L16" s="113">
        <f t="shared" si="2"/>
        <v>0</v>
      </c>
      <c r="M16" s="116">
        <f t="shared" si="3"/>
        <v>78339.878040000011</v>
      </c>
      <c r="N16" s="117">
        <v>0</v>
      </c>
      <c r="O16" s="142">
        <f t="shared" si="4"/>
        <v>78340.11</v>
      </c>
      <c r="P16" s="122">
        <f t="shared" si="5"/>
        <v>83041.11</v>
      </c>
      <c r="Q16" s="143">
        <f t="shared" si="6"/>
        <v>80690.11</v>
      </c>
      <c r="R16" s="74">
        <f t="shared" si="7"/>
        <v>0.10999999999999999</v>
      </c>
    </row>
    <row r="17" spans="1:22" ht="16.5" customHeight="1" x14ac:dyDescent="0.25">
      <c r="A17" s="25" t="s">
        <v>68</v>
      </c>
      <c r="B17" s="180" t="s">
        <v>88</v>
      </c>
      <c r="C17" s="181">
        <f t="shared" si="8"/>
        <v>5</v>
      </c>
      <c r="D17" s="181" t="s">
        <v>134</v>
      </c>
      <c r="E17" s="182" t="s">
        <v>127</v>
      </c>
      <c r="F17" s="183">
        <v>4.4000000000000004</v>
      </c>
      <c r="G17" s="184">
        <v>333630.12</v>
      </c>
      <c r="H17" s="212"/>
      <c r="I17" s="185"/>
      <c r="J17" s="186">
        <f t="shared" si="0"/>
        <v>333630.12</v>
      </c>
      <c r="K17" s="186">
        <f t="shared" si="1"/>
        <v>10008.9036</v>
      </c>
      <c r="L17" s="184">
        <f t="shared" si="2"/>
        <v>0</v>
      </c>
      <c r="M17" s="186">
        <f t="shared" si="3"/>
        <v>111192.08496000002</v>
      </c>
      <c r="N17" s="187">
        <v>0</v>
      </c>
      <c r="O17" s="188">
        <f t="shared" si="4"/>
        <v>454831.12</v>
      </c>
      <c r="P17" s="189">
        <f t="shared" si="5"/>
        <v>482121.12</v>
      </c>
      <c r="Q17" s="190">
        <f t="shared" si="6"/>
        <v>468476.12</v>
      </c>
      <c r="R17" s="74">
        <f t="shared" si="7"/>
        <v>0.11999999999999998</v>
      </c>
    </row>
    <row r="18" spans="1:22" ht="16.5" customHeight="1" x14ac:dyDescent="0.25">
      <c r="A18" s="25" t="s">
        <v>68</v>
      </c>
      <c r="B18" s="134" t="s">
        <v>89</v>
      </c>
      <c r="C18" s="135">
        <f t="shared" si="8"/>
        <v>6</v>
      </c>
      <c r="D18" s="135" t="s">
        <v>90</v>
      </c>
      <c r="E18" s="120" t="s">
        <v>145</v>
      </c>
      <c r="F18" s="112">
        <v>4.5</v>
      </c>
      <c r="G18" s="113">
        <v>113404.13</v>
      </c>
      <c r="H18" s="158">
        <f>G18</f>
        <v>113404.13</v>
      </c>
      <c r="I18" s="115"/>
      <c r="J18" s="116">
        <f t="shared" si="0"/>
        <v>0</v>
      </c>
      <c r="K18" s="116">
        <f t="shared" si="1"/>
        <v>0</v>
      </c>
      <c r="L18" s="113">
        <f t="shared" si="2"/>
        <v>0</v>
      </c>
      <c r="M18" s="116">
        <f t="shared" si="3"/>
        <v>113719.1778</v>
      </c>
      <c r="N18" s="117">
        <v>0</v>
      </c>
      <c r="O18" s="142">
        <f t="shared" si="4"/>
        <v>113719.13</v>
      </c>
      <c r="P18" s="122">
        <f t="shared" si="5"/>
        <v>120542.13</v>
      </c>
      <c r="Q18" s="143">
        <f t="shared" si="6"/>
        <v>117131.13</v>
      </c>
      <c r="R18" s="74">
        <f t="shared" si="7"/>
        <v>0.12999999999999998</v>
      </c>
    </row>
    <row r="19" spans="1:22" ht="16.5" customHeight="1" x14ac:dyDescent="0.25">
      <c r="A19" s="25" t="s">
        <v>69</v>
      </c>
      <c r="B19" s="134" t="s">
        <v>91</v>
      </c>
      <c r="C19" s="135">
        <f t="shared" si="8"/>
        <v>7</v>
      </c>
      <c r="D19" s="135" t="s">
        <v>92</v>
      </c>
      <c r="E19" s="120"/>
      <c r="F19" s="112">
        <v>4.5</v>
      </c>
      <c r="G19" s="113">
        <v>113719.14</v>
      </c>
      <c r="H19" s="158">
        <f>G19</f>
        <v>113719.14</v>
      </c>
      <c r="I19" s="115"/>
      <c r="J19" s="116">
        <f t="shared" si="0"/>
        <v>0</v>
      </c>
      <c r="K19" s="116">
        <f t="shared" si="1"/>
        <v>0</v>
      </c>
      <c r="L19" s="113">
        <f t="shared" si="2"/>
        <v>0</v>
      </c>
      <c r="M19" s="116">
        <f t="shared" si="3"/>
        <v>113719.1778</v>
      </c>
      <c r="N19" s="117">
        <v>0</v>
      </c>
      <c r="O19" s="142">
        <f t="shared" si="4"/>
        <v>113719.14</v>
      </c>
      <c r="P19" s="122">
        <f t="shared" si="5"/>
        <v>120542.14</v>
      </c>
      <c r="Q19" s="143">
        <f t="shared" si="6"/>
        <v>117131.14</v>
      </c>
      <c r="R19" s="74">
        <f t="shared" si="7"/>
        <v>0.13999999999999999</v>
      </c>
    </row>
    <row r="20" spans="1:22" ht="16.5" customHeight="1" x14ac:dyDescent="0.25">
      <c r="A20" s="25" t="s">
        <v>69</v>
      </c>
      <c r="B20" s="134" t="s">
        <v>93</v>
      </c>
      <c r="C20" s="135">
        <f t="shared" si="8"/>
        <v>8</v>
      </c>
      <c r="D20" s="135" t="s">
        <v>94</v>
      </c>
      <c r="E20" s="120"/>
      <c r="F20" s="112">
        <v>3.1</v>
      </c>
      <c r="G20" s="113">
        <v>78340.149999999994</v>
      </c>
      <c r="H20" s="158">
        <f>G20</f>
        <v>78340.149999999994</v>
      </c>
      <c r="I20" s="115"/>
      <c r="J20" s="116">
        <f t="shared" si="0"/>
        <v>0</v>
      </c>
      <c r="K20" s="116">
        <f t="shared" si="1"/>
        <v>0</v>
      </c>
      <c r="L20" s="113">
        <f t="shared" si="2"/>
        <v>0</v>
      </c>
      <c r="M20" s="116">
        <f t="shared" si="3"/>
        <v>78339.878040000011</v>
      </c>
      <c r="N20" s="117">
        <v>0</v>
      </c>
      <c r="O20" s="142">
        <f t="shared" si="4"/>
        <v>78340.149999999994</v>
      </c>
      <c r="P20" s="122">
        <f t="shared" si="5"/>
        <v>83041.149999999994</v>
      </c>
      <c r="Q20" s="143">
        <f t="shared" si="6"/>
        <v>80690.149999999994</v>
      </c>
      <c r="R20" s="74">
        <f t="shared" si="7"/>
        <v>0.15</v>
      </c>
    </row>
    <row r="21" spans="1:22" ht="16.5" customHeight="1" x14ac:dyDescent="0.25">
      <c r="A21" s="25" t="s">
        <v>70</v>
      </c>
      <c r="B21" s="134" t="s">
        <v>95</v>
      </c>
      <c r="C21" s="135">
        <f t="shared" si="8"/>
        <v>9</v>
      </c>
      <c r="D21" s="135" t="s">
        <v>96</v>
      </c>
      <c r="E21" s="111" t="s">
        <v>126</v>
      </c>
      <c r="F21" s="112">
        <v>4.4000000000000004</v>
      </c>
      <c r="G21" s="113">
        <v>107719.16</v>
      </c>
      <c r="H21" s="158">
        <f>G21</f>
        <v>107719.16</v>
      </c>
      <c r="I21" s="115"/>
      <c r="J21" s="116">
        <f t="shared" si="0"/>
        <v>0</v>
      </c>
      <c r="K21" s="116">
        <f t="shared" si="1"/>
        <v>0</v>
      </c>
      <c r="L21" s="113">
        <f t="shared" si="2"/>
        <v>0</v>
      </c>
      <c r="M21" s="116">
        <f t="shared" si="3"/>
        <v>111192.08496000002</v>
      </c>
      <c r="N21" s="117">
        <v>0</v>
      </c>
      <c r="O21" s="142">
        <f t="shared" si="4"/>
        <v>111192.16</v>
      </c>
      <c r="P21" s="122">
        <f t="shared" si="5"/>
        <v>117864.16</v>
      </c>
      <c r="Q21" s="143">
        <f t="shared" si="6"/>
        <v>114528.16</v>
      </c>
      <c r="R21" s="74">
        <f t="shared" si="7"/>
        <v>0.16</v>
      </c>
      <c r="T21" s="121"/>
    </row>
    <row r="22" spans="1:22" ht="16.5" customHeight="1" x14ac:dyDescent="0.25">
      <c r="A22" s="25" t="s">
        <v>70</v>
      </c>
      <c r="B22" s="134" t="s">
        <v>97</v>
      </c>
      <c r="C22" s="135">
        <f t="shared" si="8"/>
        <v>10</v>
      </c>
      <c r="D22" s="135" t="s">
        <v>77</v>
      </c>
      <c r="E22" s="120" t="s">
        <v>150</v>
      </c>
      <c r="F22" s="112">
        <v>4.5</v>
      </c>
      <c r="G22" s="114">
        <v>113719.17</v>
      </c>
      <c r="H22" s="158"/>
      <c r="I22" s="115"/>
      <c r="J22" s="116">
        <f t="shared" si="0"/>
        <v>113719.17</v>
      </c>
      <c r="K22" s="116">
        <f t="shared" si="1"/>
        <v>3411.5751</v>
      </c>
      <c r="L22" s="113">
        <f t="shared" si="2"/>
        <v>0</v>
      </c>
      <c r="M22" s="116">
        <f t="shared" si="3"/>
        <v>113719.1778</v>
      </c>
      <c r="N22" s="117">
        <v>0</v>
      </c>
      <c r="O22" s="142">
        <f t="shared" si="4"/>
        <v>230850.17</v>
      </c>
      <c r="P22" s="122">
        <f t="shared" si="5"/>
        <v>244701.17</v>
      </c>
      <c r="Q22" s="143">
        <f t="shared" si="6"/>
        <v>237776.17</v>
      </c>
      <c r="R22" s="74">
        <f t="shared" si="7"/>
        <v>0.17</v>
      </c>
      <c r="T22" s="175"/>
    </row>
    <row r="23" spans="1:22" ht="16.5" customHeight="1" x14ac:dyDescent="0.25">
      <c r="A23" s="25" t="s">
        <v>71</v>
      </c>
      <c r="B23" s="134" t="s">
        <v>98</v>
      </c>
      <c r="C23" s="135">
        <f t="shared" si="8"/>
        <v>11</v>
      </c>
      <c r="D23" s="135" t="s">
        <v>99</v>
      </c>
      <c r="E23" s="111"/>
      <c r="F23" s="112">
        <v>4.5</v>
      </c>
      <c r="G23" s="166">
        <v>113719.18</v>
      </c>
      <c r="H23" s="158">
        <f>G23</f>
        <v>113719.18</v>
      </c>
      <c r="I23" s="115"/>
      <c r="J23" s="167">
        <f t="shared" si="0"/>
        <v>0</v>
      </c>
      <c r="K23" s="167">
        <f t="shared" si="1"/>
        <v>0</v>
      </c>
      <c r="L23" s="166">
        <f t="shared" si="2"/>
        <v>0</v>
      </c>
      <c r="M23" s="167">
        <f t="shared" si="3"/>
        <v>113719.1778</v>
      </c>
      <c r="N23" s="168">
        <v>0</v>
      </c>
      <c r="O23" s="169">
        <f t="shared" si="4"/>
        <v>113719.18</v>
      </c>
      <c r="P23" s="170">
        <f t="shared" si="5"/>
        <v>120542.18</v>
      </c>
      <c r="Q23" s="171">
        <f t="shared" si="6"/>
        <v>117131.18</v>
      </c>
      <c r="R23" s="74">
        <f t="shared" si="7"/>
        <v>0.18000000000000002</v>
      </c>
      <c r="T23" s="175"/>
    </row>
    <row r="24" spans="1:22" ht="16.5" customHeight="1" x14ac:dyDescent="0.25">
      <c r="A24" s="25" t="s">
        <v>71</v>
      </c>
      <c r="B24" s="134" t="s">
        <v>100</v>
      </c>
      <c r="C24" s="135">
        <f t="shared" si="8"/>
        <v>12</v>
      </c>
      <c r="D24" s="135" t="s">
        <v>79</v>
      </c>
      <c r="E24" s="120" t="s">
        <v>149</v>
      </c>
      <c r="F24" s="112">
        <v>3.1</v>
      </c>
      <c r="G24" s="113">
        <v>80606.19</v>
      </c>
      <c r="H24" s="158">
        <f>101430-H8</f>
        <v>80605.97</v>
      </c>
      <c r="I24" s="115"/>
      <c r="J24" s="116">
        <f t="shared" si="0"/>
        <v>0.22000000000116415</v>
      </c>
      <c r="K24" s="116">
        <f t="shared" si="1"/>
        <v>6.6000000000349243E-3</v>
      </c>
      <c r="L24" s="113">
        <f t="shared" si="2"/>
        <v>0</v>
      </c>
      <c r="M24" s="116">
        <f t="shared" si="3"/>
        <v>78339.878040000011</v>
      </c>
      <c r="N24" s="117">
        <v>0</v>
      </c>
      <c r="O24" s="142">
        <f t="shared" si="4"/>
        <v>78340.19</v>
      </c>
      <c r="P24" s="122">
        <f t="shared" si="5"/>
        <v>83041.19</v>
      </c>
      <c r="Q24" s="143">
        <f t="shared" si="6"/>
        <v>80690.19</v>
      </c>
      <c r="R24" s="74">
        <f t="shared" si="7"/>
        <v>0.19000000000000003</v>
      </c>
      <c r="T24" s="175"/>
    </row>
    <row r="25" spans="1:22" ht="16.5" customHeight="1" x14ac:dyDescent="0.25">
      <c r="A25" s="25" t="s">
        <v>72</v>
      </c>
      <c r="B25" s="259" t="s">
        <v>101</v>
      </c>
      <c r="C25" s="260">
        <f t="shared" si="8"/>
        <v>13</v>
      </c>
      <c r="D25" s="260" t="s">
        <v>102</v>
      </c>
      <c r="E25" s="263"/>
      <c r="F25" s="262">
        <v>4.4000000000000004</v>
      </c>
      <c r="G25" s="166">
        <v>239623.2</v>
      </c>
      <c r="H25" s="158">
        <v>197000</v>
      </c>
      <c r="I25" s="115"/>
      <c r="J25" s="115">
        <f t="shared" si="0"/>
        <v>42623.200000000012</v>
      </c>
      <c r="K25" s="167">
        <f t="shared" si="1"/>
        <v>1278.6960000000004</v>
      </c>
      <c r="L25" s="166">
        <f t="shared" si="2"/>
        <v>0</v>
      </c>
      <c r="M25" s="167">
        <f t="shared" si="3"/>
        <v>111192.08496000002</v>
      </c>
      <c r="N25" s="168">
        <v>0</v>
      </c>
      <c r="O25" s="169">
        <f t="shared" si="4"/>
        <v>155094.20000000001</v>
      </c>
      <c r="P25" s="170">
        <f t="shared" si="5"/>
        <v>164400.20000000001</v>
      </c>
      <c r="Q25" s="171">
        <f t="shared" si="6"/>
        <v>159747.20000000001</v>
      </c>
      <c r="R25" s="74">
        <f t="shared" si="7"/>
        <v>0.20000000000000004</v>
      </c>
      <c r="T25" s="176" t="s">
        <v>155</v>
      </c>
      <c r="U25" s="258"/>
      <c r="V25" s="176"/>
    </row>
    <row r="26" spans="1:22" ht="27.75" customHeight="1" x14ac:dyDescent="0.25">
      <c r="A26" s="25" t="s">
        <v>73</v>
      </c>
      <c r="B26" s="134" t="s">
        <v>103</v>
      </c>
      <c r="C26" s="135">
        <f t="shared" si="8"/>
        <v>14</v>
      </c>
      <c r="D26" s="135" t="s">
        <v>77</v>
      </c>
      <c r="E26" s="120" t="s">
        <v>125</v>
      </c>
      <c r="F26" s="112">
        <v>4.5</v>
      </c>
      <c r="G26" s="113">
        <v>122989.21</v>
      </c>
      <c r="H26" s="158">
        <f>150787-H6</f>
        <v>122988.99</v>
      </c>
      <c r="I26" s="115"/>
      <c r="J26" s="116">
        <f t="shared" si="0"/>
        <v>0.22000000000116415</v>
      </c>
      <c r="K26" s="116">
        <f t="shared" si="1"/>
        <v>6.6000000000349243E-3</v>
      </c>
      <c r="L26" s="113">
        <f t="shared" si="2"/>
        <v>0</v>
      </c>
      <c r="M26" s="116">
        <f t="shared" si="3"/>
        <v>113719.1778</v>
      </c>
      <c r="N26" s="117">
        <v>0</v>
      </c>
      <c r="O26" s="142">
        <f t="shared" si="4"/>
        <v>113719.21</v>
      </c>
      <c r="P26" s="122">
        <f t="shared" si="5"/>
        <v>120542.21</v>
      </c>
      <c r="Q26" s="143">
        <f t="shared" si="6"/>
        <v>117131.21</v>
      </c>
      <c r="R26" s="74">
        <f t="shared" si="7"/>
        <v>0.21000000000000005</v>
      </c>
      <c r="T26" s="175"/>
    </row>
    <row r="27" spans="1:22" ht="24" customHeight="1" x14ac:dyDescent="0.25">
      <c r="A27" s="25" t="s">
        <v>74</v>
      </c>
      <c r="B27" s="134" t="s">
        <v>104</v>
      </c>
      <c r="C27" s="135">
        <f t="shared" si="8"/>
        <v>15</v>
      </c>
      <c r="D27" s="135" t="s">
        <v>105</v>
      </c>
      <c r="E27" s="120" t="s">
        <v>128</v>
      </c>
      <c r="F27" s="112">
        <v>4.5</v>
      </c>
      <c r="G27" s="113">
        <v>117131</v>
      </c>
      <c r="H27" s="158">
        <f>G27</f>
        <v>117131</v>
      </c>
      <c r="I27" s="115"/>
      <c r="J27" s="116">
        <f t="shared" si="0"/>
        <v>0</v>
      </c>
      <c r="K27" s="116">
        <f t="shared" si="1"/>
        <v>0</v>
      </c>
      <c r="L27" s="113">
        <f t="shared" si="2"/>
        <v>0</v>
      </c>
      <c r="M27" s="116">
        <f t="shared" si="3"/>
        <v>113719.1778</v>
      </c>
      <c r="N27" s="117">
        <v>0</v>
      </c>
      <c r="O27" s="142">
        <f t="shared" si="4"/>
        <v>113719.22</v>
      </c>
      <c r="P27" s="122">
        <f t="shared" si="5"/>
        <v>120542.22</v>
      </c>
      <c r="Q27" s="143">
        <f t="shared" si="6"/>
        <v>117131.22</v>
      </c>
      <c r="R27" s="74">
        <f t="shared" si="7"/>
        <v>0.22000000000000006</v>
      </c>
      <c r="T27" s="175"/>
    </row>
    <row r="28" spans="1:22" ht="16.5" customHeight="1" x14ac:dyDescent="0.25">
      <c r="A28" s="25" t="s">
        <v>75</v>
      </c>
      <c r="B28" s="134" t="s">
        <v>106</v>
      </c>
      <c r="C28" s="135">
        <f t="shared" si="8"/>
        <v>16</v>
      </c>
      <c r="D28" s="135" t="s">
        <v>107</v>
      </c>
      <c r="E28" s="120" t="s">
        <v>147</v>
      </c>
      <c r="F28" s="112">
        <v>3.1</v>
      </c>
      <c r="G28" s="113">
        <v>80690.23</v>
      </c>
      <c r="H28" s="158">
        <f>G28</f>
        <v>80690.23</v>
      </c>
      <c r="I28" s="115"/>
      <c r="J28" s="116">
        <f t="shared" si="0"/>
        <v>0</v>
      </c>
      <c r="K28" s="116">
        <f t="shared" si="1"/>
        <v>0</v>
      </c>
      <c r="L28" s="113">
        <f t="shared" si="2"/>
        <v>0</v>
      </c>
      <c r="M28" s="116">
        <f t="shared" si="3"/>
        <v>78339.878040000011</v>
      </c>
      <c r="N28" s="117">
        <v>0</v>
      </c>
      <c r="O28" s="142">
        <f t="shared" si="4"/>
        <v>78340.23</v>
      </c>
      <c r="P28" s="122">
        <f t="shared" si="5"/>
        <v>83041.23</v>
      </c>
      <c r="Q28" s="143">
        <f t="shared" si="6"/>
        <v>80690.23</v>
      </c>
      <c r="R28" s="74">
        <f t="shared" si="7"/>
        <v>0.23000000000000007</v>
      </c>
    </row>
    <row r="29" spans="1:22" ht="16.5" customHeight="1" x14ac:dyDescent="0.25">
      <c r="A29" s="25" t="s">
        <v>76</v>
      </c>
      <c r="B29" s="134" t="s">
        <v>108</v>
      </c>
      <c r="C29" s="135">
        <f t="shared" si="8"/>
        <v>17</v>
      </c>
      <c r="D29" s="135" t="s">
        <v>78</v>
      </c>
      <c r="E29" s="120"/>
      <c r="F29" s="112">
        <v>6.8</v>
      </c>
      <c r="G29" s="113">
        <v>300310.24</v>
      </c>
      <c r="H29" s="158">
        <f>780350-H10-H11-H7</f>
        <v>300312.91999999993</v>
      </c>
      <c r="I29" s="115"/>
      <c r="J29" s="116">
        <f t="shared" si="0"/>
        <v>-2.6799999999348074</v>
      </c>
      <c r="K29" s="116">
        <f t="shared" si="1"/>
        <v>0</v>
      </c>
      <c r="L29" s="113">
        <f t="shared" si="2"/>
        <v>0</v>
      </c>
      <c r="M29" s="116">
        <f t="shared" si="3"/>
        <v>171842.31312000004</v>
      </c>
      <c r="N29" s="117">
        <v>0</v>
      </c>
      <c r="O29" s="142">
        <f t="shared" si="4"/>
        <v>171840.24</v>
      </c>
      <c r="P29" s="122">
        <f t="shared" si="5"/>
        <v>182151.24</v>
      </c>
      <c r="Q29" s="143">
        <f t="shared" si="6"/>
        <v>176995.24</v>
      </c>
      <c r="R29" s="74">
        <f t="shared" si="7"/>
        <v>0.24000000000000007</v>
      </c>
    </row>
    <row r="30" spans="1:22" ht="16.5" customHeight="1" x14ac:dyDescent="0.25">
      <c r="A30" s="25" t="s">
        <v>76</v>
      </c>
      <c r="B30" s="180" t="s">
        <v>109</v>
      </c>
      <c r="C30" s="181">
        <f t="shared" si="8"/>
        <v>18</v>
      </c>
      <c r="D30" s="181" t="s">
        <v>110</v>
      </c>
      <c r="E30" s="191"/>
      <c r="F30" s="183">
        <v>6.9</v>
      </c>
      <c r="G30" s="184">
        <v>543858.25</v>
      </c>
      <c r="H30" s="212"/>
      <c r="I30" s="185"/>
      <c r="J30" s="186">
        <f t="shared" si="0"/>
        <v>543858.25</v>
      </c>
      <c r="K30" s="186">
        <f t="shared" si="1"/>
        <v>16315.747499999999</v>
      </c>
      <c r="L30" s="184">
        <f t="shared" si="2"/>
        <v>0</v>
      </c>
      <c r="M30" s="186">
        <f t="shared" si="3"/>
        <v>174369.40596000003</v>
      </c>
      <c r="N30" s="187">
        <v>0</v>
      </c>
      <c r="O30" s="188">
        <f t="shared" si="4"/>
        <v>734543.25</v>
      </c>
      <c r="P30" s="189">
        <f t="shared" si="5"/>
        <v>778616.25</v>
      </c>
      <c r="Q30" s="190">
        <f t="shared" si="6"/>
        <v>756579.25</v>
      </c>
      <c r="R30" s="74">
        <f t="shared" si="7"/>
        <v>0.25000000000000006</v>
      </c>
    </row>
    <row r="31" spans="1:22" ht="16.5" customHeight="1" x14ac:dyDescent="0.25">
      <c r="A31" s="25" t="s">
        <v>76</v>
      </c>
      <c r="B31" s="134" t="s">
        <v>111</v>
      </c>
      <c r="C31" s="135">
        <f t="shared" si="8"/>
        <v>19</v>
      </c>
      <c r="D31" s="135" t="s">
        <v>112</v>
      </c>
      <c r="E31" s="111" t="s">
        <v>133</v>
      </c>
      <c r="F31" s="112">
        <v>4.5</v>
      </c>
      <c r="G31" s="113">
        <v>113719.26</v>
      </c>
      <c r="H31" s="158">
        <f>G31</f>
        <v>113719.26</v>
      </c>
      <c r="I31" s="115"/>
      <c r="J31" s="116">
        <f t="shared" si="0"/>
        <v>0</v>
      </c>
      <c r="K31" s="116">
        <f t="shared" si="1"/>
        <v>0</v>
      </c>
      <c r="L31" s="113">
        <f t="shared" si="2"/>
        <v>0</v>
      </c>
      <c r="M31" s="116">
        <f t="shared" si="3"/>
        <v>113719.1778</v>
      </c>
      <c r="N31" s="117">
        <v>0</v>
      </c>
      <c r="O31" s="142">
        <f t="shared" si="4"/>
        <v>113719.26</v>
      </c>
      <c r="P31" s="122">
        <f t="shared" si="5"/>
        <v>120542.26</v>
      </c>
      <c r="Q31" s="143">
        <f t="shared" si="6"/>
        <v>117131.26</v>
      </c>
      <c r="R31" s="74">
        <f t="shared" si="7"/>
        <v>0.26000000000000006</v>
      </c>
    </row>
    <row r="32" spans="1:22" ht="16.5" customHeight="1" x14ac:dyDescent="0.25">
      <c r="A32" s="25" t="s">
        <v>76</v>
      </c>
      <c r="B32" s="134" t="s">
        <v>113</v>
      </c>
      <c r="C32" s="135">
        <f t="shared" si="8"/>
        <v>20</v>
      </c>
      <c r="D32" s="135" t="s">
        <v>114</v>
      </c>
      <c r="E32" s="120" t="s">
        <v>146</v>
      </c>
      <c r="F32" s="112">
        <v>3.1</v>
      </c>
      <c r="G32" s="113">
        <v>77827.27</v>
      </c>
      <c r="H32" s="214">
        <v>78000</v>
      </c>
      <c r="I32" s="115"/>
      <c r="J32" s="116">
        <f t="shared" si="0"/>
        <v>-172.72999999999593</v>
      </c>
      <c r="K32" s="116">
        <f t="shared" si="1"/>
        <v>0</v>
      </c>
      <c r="L32" s="113">
        <f t="shared" si="2"/>
        <v>0</v>
      </c>
      <c r="M32" s="116">
        <f t="shared" si="3"/>
        <v>78339.878040000011</v>
      </c>
      <c r="N32" s="117">
        <v>0</v>
      </c>
      <c r="O32" s="142">
        <f t="shared" si="4"/>
        <v>78167.27</v>
      </c>
      <c r="P32" s="122">
        <f t="shared" si="5"/>
        <v>82857.27</v>
      </c>
      <c r="Q32" s="143">
        <f t="shared" si="6"/>
        <v>80512.27</v>
      </c>
      <c r="R32" s="74">
        <f t="shared" si="7"/>
        <v>0.27000000000000007</v>
      </c>
    </row>
    <row r="33" spans="1:18" ht="16.5" customHeight="1" x14ac:dyDescent="0.25">
      <c r="A33" s="25" t="s">
        <v>76</v>
      </c>
      <c r="B33" s="134" t="s">
        <v>115</v>
      </c>
      <c r="C33" s="135">
        <f t="shared" si="8"/>
        <v>21</v>
      </c>
      <c r="D33" s="135" t="s">
        <v>116</v>
      </c>
      <c r="E33" s="111" t="s">
        <v>132</v>
      </c>
      <c r="F33" s="112">
        <v>4.5</v>
      </c>
      <c r="G33" s="113">
        <v>329639.28000000003</v>
      </c>
      <c r="H33" s="158">
        <v>100000</v>
      </c>
      <c r="I33" s="115"/>
      <c r="J33" s="116">
        <f t="shared" si="0"/>
        <v>229639.28000000003</v>
      </c>
      <c r="K33" s="116">
        <f t="shared" si="1"/>
        <v>6889.1784000000007</v>
      </c>
      <c r="L33" s="113">
        <f t="shared" si="2"/>
        <v>0</v>
      </c>
      <c r="M33" s="116">
        <f t="shared" si="3"/>
        <v>113719.1778</v>
      </c>
      <c r="N33" s="122">
        <v>42488</v>
      </c>
      <c r="O33" s="142">
        <f t="shared" si="4"/>
        <v>392736.28</v>
      </c>
      <c r="P33" s="122">
        <f t="shared" si="5"/>
        <v>416300.28</v>
      </c>
      <c r="Q33" s="143">
        <f t="shared" si="6"/>
        <v>404518.28</v>
      </c>
      <c r="R33" s="74">
        <f t="shared" si="7"/>
        <v>0.28000000000000008</v>
      </c>
    </row>
    <row r="34" spans="1:18" ht="16.5" customHeight="1" x14ac:dyDescent="0.25">
      <c r="A34" s="25" t="s">
        <v>76</v>
      </c>
      <c r="B34" s="134" t="s">
        <v>117</v>
      </c>
      <c r="C34" s="135">
        <f t="shared" si="8"/>
        <v>22</v>
      </c>
      <c r="D34" s="135" t="s">
        <v>118</v>
      </c>
      <c r="E34" s="111"/>
      <c r="F34" s="112">
        <v>3.1</v>
      </c>
      <c r="G34" s="113">
        <v>78340.289999999994</v>
      </c>
      <c r="H34" s="158">
        <f>G34</f>
        <v>78340.289999999994</v>
      </c>
      <c r="I34" s="115"/>
      <c r="J34" s="116">
        <f t="shared" si="0"/>
        <v>0</v>
      </c>
      <c r="K34" s="116">
        <f t="shared" si="1"/>
        <v>0</v>
      </c>
      <c r="L34" s="113">
        <f t="shared" si="2"/>
        <v>0</v>
      </c>
      <c r="M34" s="116">
        <f t="shared" si="3"/>
        <v>78339.878040000011</v>
      </c>
      <c r="N34" s="117">
        <v>0</v>
      </c>
      <c r="O34" s="142">
        <f t="shared" si="4"/>
        <v>78340.289999999994</v>
      </c>
      <c r="P34" s="122">
        <f t="shared" si="5"/>
        <v>83041.289999999994</v>
      </c>
      <c r="Q34" s="143">
        <f t="shared" si="6"/>
        <v>80690.289999999994</v>
      </c>
      <c r="R34" s="74">
        <f t="shared" si="7"/>
        <v>0.29000000000000009</v>
      </c>
    </row>
    <row r="35" spans="1:18" ht="17.25" customHeight="1" x14ac:dyDescent="0.25">
      <c r="A35" s="25" t="s">
        <v>76</v>
      </c>
      <c r="B35" s="136"/>
      <c r="C35" s="136"/>
      <c r="D35" s="136"/>
      <c r="E35" s="120"/>
      <c r="F35" s="112"/>
      <c r="G35" s="113"/>
      <c r="H35" s="158"/>
      <c r="I35" s="115"/>
      <c r="J35" s="116">
        <f t="shared" si="0"/>
        <v>0</v>
      </c>
      <c r="K35" s="116">
        <f t="shared" si="1"/>
        <v>0</v>
      </c>
      <c r="L35" s="113"/>
      <c r="M35" s="116"/>
      <c r="N35" s="117">
        <v>0</v>
      </c>
      <c r="O35" s="118"/>
      <c r="P35" s="117">
        <f t="shared" si="5"/>
        <v>0.3000000000000001</v>
      </c>
      <c r="Q35" s="119">
        <f t="shared" si="6"/>
        <v>0</v>
      </c>
      <c r="R35" s="74">
        <f t="shared" si="7"/>
        <v>0.3000000000000001</v>
      </c>
    </row>
    <row r="36" spans="1:18" ht="0.75" customHeight="1" x14ac:dyDescent="0.25">
      <c r="A36" s="25" t="s">
        <v>76</v>
      </c>
      <c r="B36" s="111"/>
      <c r="C36" s="111"/>
      <c r="D36" s="111"/>
      <c r="E36" s="111"/>
      <c r="F36" s="112"/>
      <c r="G36" s="123"/>
      <c r="H36" s="114"/>
      <c r="I36" s="124"/>
      <c r="J36" s="125">
        <f t="shared" si="0"/>
        <v>0</v>
      </c>
      <c r="K36" s="116">
        <f t="shared" si="1"/>
        <v>0</v>
      </c>
      <c r="L36" s="123">
        <f t="shared" si="2"/>
        <v>0</v>
      </c>
      <c r="M36" s="125">
        <f t="shared" si="3"/>
        <v>0</v>
      </c>
      <c r="N36" s="126">
        <v>0</v>
      </c>
      <c r="O36" s="118">
        <f t="shared" si="4"/>
        <v>0</v>
      </c>
      <c r="P36" s="117">
        <f t="shared" si="5"/>
        <v>0</v>
      </c>
      <c r="Q36" s="119">
        <f t="shared" si="6"/>
        <v>0</v>
      </c>
      <c r="R36" s="74"/>
    </row>
    <row r="37" spans="1:18" ht="16.5" customHeight="1" x14ac:dyDescent="0.25">
      <c r="B37" s="127"/>
      <c r="C37" s="128"/>
      <c r="D37" s="129"/>
      <c r="E37" s="129"/>
      <c r="F37" s="137">
        <f t="shared" ref="F37:Q37" si="9">SUM(F6:F36)</f>
        <v>99.999999999999986</v>
      </c>
      <c r="G37" s="130">
        <f t="shared" si="9"/>
        <v>4431850.0599999996</v>
      </c>
      <c r="H37" s="131">
        <f t="shared" si="9"/>
        <v>2663844.6499999994</v>
      </c>
      <c r="I37" s="130">
        <f t="shared" si="9"/>
        <v>0</v>
      </c>
      <c r="J37" s="131">
        <f t="shared" si="9"/>
        <v>1768005.4100000001</v>
      </c>
      <c r="K37" s="130">
        <f t="shared" si="9"/>
        <v>53145.287700000001</v>
      </c>
      <c r="L37" s="131">
        <f t="shared" si="9"/>
        <v>0</v>
      </c>
      <c r="M37" s="130">
        <f t="shared" si="9"/>
        <v>2527092.8400000003</v>
      </c>
      <c r="N37" s="131">
        <f t="shared" si="9"/>
        <v>42488</v>
      </c>
      <c r="O37" s="132">
        <f t="shared" si="9"/>
        <v>4390734.3499999996</v>
      </c>
      <c r="P37" s="132">
        <f t="shared" si="9"/>
        <v>4654182.6499999994</v>
      </c>
      <c r="Q37" s="132">
        <f t="shared" si="9"/>
        <v>4522459.3499999996</v>
      </c>
    </row>
    <row r="38" spans="1:18" ht="12.75" customHeight="1" x14ac:dyDescent="0.25">
      <c r="D38" s="133"/>
      <c r="E38" s="133"/>
      <c r="I38" s="4"/>
      <c r="K38" s="4"/>
      <c r="Q38" s="4"/>
    </row>
    <row r="39" spans="1:18" ht="15.75" hidden="1" customHeight="1" x14ac:dyDescent="0.25">
      <c r="E39" s="4"/>
      <c r="I39" s="4"/>
      <c r="K39" s="4"/>
      <c r="Q39" s="4"/>
    </row>
    <row r="40" spans="1:18" ht="9" customHeight="1" x14ac:dyDescent="0.25">
      <c r="D40" s="244" t="s">
        <v>163</v>
      </c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1"/>
      <c r="Q40" s="4"/>
    </row>
    <row r="41" spans="1:18" ht="12" hidden="1" customHeight="1" x14ac:dyDescent="0.25">
      <c r="D41" s="238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39"/>
      <c r="Q41" s="4"/>
    </row>
    <row r="42" spans="1:18" ht="12" hidden="1" customHeight="1" x14ac:dyDescent="0.25">
      <c r="D42" s="238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39"/>
      <c r="Q42" s="4"/>
    </row>
    <row r="43" spans="1:18" ht="12" hidden="1" customHeight="1" x14ac:dyDescent="0.25">
      <c r="D43" s="238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39"/>
      <c r="Q43" s="4"/>
    </row>
    <row r="44" spans="1:18" ht="12" hidden="1" customHeight="1" x14ac:dyDescent="0.25">
      <c r="D44" s="238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39"/>
      <c r="Q44" s="4"/>
    </row>
    <row r="45" spans="1:18" ht="108" customHeight="1" x14ac:dyDescent="0.25">
      <c r="D45" s="222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4"/>
      <c r="Q45" s="4"/>
    </row>
    <row r="46" spans="1:18" ht="15.75" customHeight="1" x14ac:dyDescent="0.25">
      <c r="E46" s="4"/>
      <c r="I46" s="4"/>
      <c r="K46" s="4"/>
      <c r="Q46" s="4"/>
    </row>
    <row r="47" spans="1:18" ht="15.75" customHeight="1" x14ac:dyDescent="0.25">
      <c r="E47" s="4"/>
      <c r="I47" s="4"/>
      <c r="K47" s="4"/>
      <c r="Q47" s="4"/>
    </row>
    <row r="48" spans="1:18" ht="15.75" customHeight="1" x14ac:dyDescent="0.25">
      <c r="E48" s="4"/>
      <c r="I48" s="4"/>
      <c r="K48" s="4"/>
      <c r="Q48" s="4"/>
    </row>
    <row r="49" spans="5:17" ht="15.75" customHeight="1" x14ac:dyDescent="0.25">
      <c r="E49" s="4"/>
      <c r="I49" s="4"/>
      <c r="K49" s="4"/>
      <c r="Q49" s="4"/>
    </row>
    <row r="50" spans="5:17" ht="15.75" customHeight="1" x14ac:dyDescent="0.25">
      <c r="E50" s="4"/>
      <c r="I50" s="4"/>
      <c r="K50" s="4"/>
      <c r="Q50" s="4"/>
    </row>
    <row r="51" spans="5:17" ht="15.75" customHeight="1" x14ac:dyDescent="0.25">
      <c r="E51" s="4"/>
      <c r="I51" s="4"/>
      <c r="K51" s="4"/>
      <c r="Q51" s="4"/>
    </row>
    <row r="52" spans="5:17" ht="15.75" customHeight="1" x14ac:dyDescent="0.25">
      <c r="E52" s="4"/>
      <c r="I52" s="4"/>
      <c r="K52" s="4"/>
      <c r="Q52" s="4"/>
    </row>
    <row r="53" spans="5:17" ht="15.75" customHeight="1" x14ac:dyDescent="0.25">
      <c r="E53" s="4"/>
      <c r="I53" s="4"/>
      <c r="K53" s="4"/>
      <c r="Q53" s="4"/>
    </row>
    <row r="54" spans="5:17" ht="15.75" customHeight="1" x14ac:dyDescent="0.25">
      <c r="E54" s="4"/>
      <c r="I54" s="4"/>
      <c r="K54" s="4"/>
      <c r="Q54" s="4"/>
    </row>
    <row r="55" spans="5:17" ht="15.75" customHeight="1" x14ac:dyDescent="0.25">
      <c r="E55" s="4"/>
      <c r="I55" s="4"/>
      <c r="K55" s="4"/>
      <c r="Q55" s="4"/>
    </row>
    <row r="56" spans="5:17" ht="15.75" customHeight="1" x14ac:dyDescent="0.25">
      <c r="E56" s="4"/>
      <c r="I56" s="4"/>
      <c r="K56" s="4"/>
      <c r="Q56" s="4"/>
    </row>
    <row r="57" spans="5:17" ht="15.75" customHeight="1" x14ac:dyDescent="0.25">
      <c r="E57" s="4"/>
      <c r="I57" s="4"/>
      <c r="K57" s="4"/>
      <c r="Q57" s="4"/>
    </row>
    <row r="58" spans="5:17" ht="15.75" customHeight="1" x14ac:dyDescent="0.25">
      <c r="E58" s="4"/>
      <c r="I58" s="4"/>
      <c r="K58" s="4"/>
      <c r="Q58" s="4"/>
    </row>
    <row r="59" spans="5:17" ht="15.75" customHeight="1" x14ac:dyDescent="0.25">
      <c r="E59" s="4"/>
      <c r="I59" s="4"/>
      <c r="K59" s="4"/>
      <c r="Q59" s="4"/>
    </row>
    <row r="60" spans="5:17" ht="15.75" customHeight="1" x14ac:dyDescent="0.25">
      <c r="E60" s="4"/>
      <c r="I60" s="4"/>
      <c r="K60" s="4"/>
      <c r="Q60" s="4"/>
    </row>
    <row r="61" spans="5:17" ht="15.75" customHeight="1" x14ac:dyDescent="0.25">
      <c r="E61" s="4"/>
      <c r="I61" s="4"/>
      <c r="K61" s="4"/>
      <c r="Q61" s="4"/>
    </row>
    <row r="62" spans="5:17" ht="15.75" customHeight="1" x14ac:dyDescent="0.25">
      <c r="E62" s="4"/>
      <c r="I62" s="4"/>
      <c r="K62" s="4"/>
      <c r="Q62" s="4"/>
    </row>
    <row r="63" spans="5:17" ht="15.75" customHeight="1" x14ac:dyDescent="0.25">
      <c r="E63" s="4"/>
      <c r="I63" s="4"/>
      <c r="K63" s="4"/>
      <c r="Q63" s="4"/>
    </row>
    <row r="64" spans="5:17" ht="15.75" customHeight="1" x14ac:dyDescent="0.25">
      <c r="E64" s="4"/>
      <c r="I64" s="4"/>
      <c r="K64" s="4"/>
      <c r="Q64" s="4"/>
    </row>
    <row r="65" spans="5:17" ht="15.75" customHeight="1" x14ac:dyDescent="0.25">
      <c r="E65" s="4"/>
      <c r="I65" s="4"/>
      <c r="K65" s="4"/>
      <c r="Q65" s="4"/>
    </row>
    <row r="66" spans="5:17" ht="15.75" customHeight="1" x14ac:dyDescent="0.25">
      <c r="E66" s="4"/>
      <c r="I66" s="4"/>
      <c r="K66" s="4"/>
      <c r="Q66" s="4"/>
    </row>
    <row r="67" spans="5:17" ht="15.75" customHeight="1" x14ac:dyDescent="0.25">
      <c r="E67" s="4"/>
      <c r="I67" s="4"/>
      <c r="K67" s="4"/>
      <c r="Q67" s="4"/>
    </row>
    <row r="68" spans="5:17" ht="15.75" customHeight="1" x14ac:dyDescent="0.25">
      <c r="E68" s="4"/>
      <c r="I68" s="4"/>
      <c r="K68" s="4"/>
      <c r="Q68" s="4"/>
    </row>
    <row r="69" spans="5:17" ht="15.75" customHeight="1" x14ac:dyDescent="0.25">
      <c r="E69" s="4"/>
      <c r="I69" s="4"/>
      <c r="K69" s="4"/>
      <c r="Q69" s="4"/>
    </row>
    <row r="70" spans="5:17" ht="15.75" customHeight="1" x14ac:dyDescent="0.25">
      <c r="E70" s="4"/>
      <c r="I70" s="4"/>
      <c r="K70" s="4"/>
      <c r="Q70" s="4"/>
    </row>
    <row r="71" spans="5:17" ht="15.75" customHeight="1" x14ac:dyDescent="0.25">
      <c r="E71" s="4"/>
      <c r="I71" s="4"/>
      <c r="K71" s="4"/>
      <c r="Q71" s="4"/>
    </row>
    <row r="72" spans="5:17" ht="15.75" customHeight="1" x14ac:dyDescent="0.25">
      <c r="E72" s="4"/>
      <c r="I72" s="4"/>
      <c r="K72" s="4"/>
      <c r="Q72" s="4"/>
    </row>
    <row r="73" spans="5:17" ht="15.75" customHeight="1" x14ac:dyDescent="0.25">
      <c r="E73" s="4"/>
      <c r="I73" s="4"/>
      <c r="K73" s="4"/>
      <c r="Q73" s="4"/>
    </row>
    <row r="74" spans="5:17" ht="15.75" customHeight="1" x14ac:dyDescent="0.25">
      <c r="E74" s="4"/>
      <c r="I74" s="4"/>
      <c r="K74" s="4"/>
      <c r="Q74" s="4"/>
    </row>
    <row r="75" spans="5:17" ht="15.75" customHeight="1" x14ac:dyDescent="0.25">
      <c r="E75" s="4"/>
      <c r="I75" s="4"/>
      <c r="K75" s="4"/>
      <c r="Q75" s="4"/>
    </row>
    <row r="76" spans="5:17" ht="15.75" customHeight="1" x14ac:dyDescent="0.25">
      <c r="E76" s="4"/>
      <c r="I76" s="4"/>
      <c r="K76" s="4"/>
      <c r="Q76" s="4"/>
    </row>
    <row r="77" spans="5:17" ht="15.75" customHeight="1" x14ac:dyDescent="0.25">
      <c r="E77" s="4"/>
      <c r="I77" s="4"/>
      <c r="K77" s="4"/>
      <c r="Q77" s="4"/>
    </row>
    <row r="78" spans="5:17" ht="15.75" customHeight="1" x14ac:dyDescent="0.25">
      <c r="E78" s="4"/>
      <c r="I78" s="4"/>
      <c r="K78" s="4"/>
      <c r="Q78" s="4"/>
    </row>
    <row r="79" spans="5:17" ht="15.75" customHeight="1" x14ac:dyDescent="0.25">
      <c r="E79" s="4"/>
      <c r="I79" s="4"/>
      <c r="K79" s="4"/>
      <c r="Q79" s="4"/>
    </row>
    <row r="80" spans="5:17" ht="15.75" customHeight="1" x14ac:dyDescent="0.25">
      <c r="E80" s="4"/>
      <c r="I80" s="4"/>
      <c r="K80" s="4"/>
      <c r="Q80" s="4"/>
    </row>
    <row r="81" spans="5:17" ht="15.75" customHeight="1" x14ac:dyDescent="0.25">
      <c r="E81" s="4"/>
      <c r="I81" s="4"/>
      <c r="K81" s="4"/>
      <c r="Q81" s="4"/>
    </row>
    <row r="82" spans="5:17" ht="15.75" customHeight="1" x14ac:dyDescent="0.25">
      <c r="E82" s="4"/>
      <c r="I82" s="4"/>
      <c r="K82" s="4"/>
      <c r="Q82" s="4"/>
    </row>
    <row r="83" spans="5:17" ht="15.75" customHeight="1" x14ac:dyDescent="0.25">
      <c r="E83" s="4"/>
      <c r="I83" s="4"/>
      <c r="K83" s="4"/>
      <c r="Q83" s="4"/>
    </row>
    <row r="84" spans="5:17" ht="15.75" customHeight="1" x14ac:dyDescent="0.25">
      <c r="E84" s="4"/>
      <c r="I84" s="4"/>
      <c r="K84" s="4"/>
      <c r="Q84" s="4"/>
    </row>
    <row r="85" spans="5:17" ht="15.75" customHeight="1" x14ac:dyDescent="0.25">
      <c r="E85" s="4"/>
      <c r="I85" s="4"/>
      <c r="K85" s="4"/>
      <c r="Q85" s="4"/>
    </row>
    <row r="86" spans="5:17" ht="15.75" customHeight="1" x14ac:dyDescent="0.25">
      <c r="E86" s="4"/>
      <c r="I86" s="4"/>
      <c r="K86" s="4"/>
      <c r="Q86" s="4"/>
    </row>
    <row r="87" spans="5:17" ht="15.75" customHeight="1" x14ac:dyDescent="0.25">
      <c r="E87" s="4"/>
      <c r="I87" s="4"/>
      <c r="K87" s="4"/>
      <c r="Q87" s="4"/>
    </row>
    <row r="88" spans="5:17" ht="15.75" customHeight="1" x14ac:dyDescent="0.25">
      <c r="E88" s="4"/>
      <c r="I88" s="4"/>
      <c r="K88" s="4"/>
      <c r="Q88" s="4"/>
    </row>
    <row r="89" spans="5:17" ht="15.75" customHeight="1" x14ac:dyDescent="0.25">
      <c r="E89" s="4"/>
      <c r="I89" s="4"/>
      <c r="K89" s="4"/>
      <c r="Q89" s="4"/>
    </row>
    <row r="90" spans="5:17" ht="15.75" customHeight="1" x14ac:dyDescent="0.25">
      <c r="E90" s="4"/>
      <c r="I90" s="4"/>
      <c r="K90" s="4"/>
      <c r="Q90" s="4"/>
    </row>
    <row r="91" spans="5:17" ht="15.75" customHeight="1" x14ac:dyDescent="0.25">
      <c r="E91" s="4"/>
      <c r="I91" s="4"/>
      <c r="K91" s="4"/>
      <c r="Q91" s="4"/>
    </row>
    <row r="92" spans="5:17" ht="15.75" customHeight="1" x14ac:dyDescent="0.25">
      <c r="E92" s="4"/>
      <c r="I92" s="4"/>
      <c r="K92" s="4"/>
      <c r="Q92" s="4"/>
    </row>
    <row r="93" spans="5:17" ht="15.75" customHeight="1" x14ac:dyDescent="0.25">
      <c r="E93" s="4"/>
      <c r="I93" s="4"/>
      <c r="K93" s="4"/>
      <c r="Q93" s="4"/>
    </row>
    <row r="94" spans="5:17" ht="15.75" customHeight="1" x14ac:dyDescent="0.25">
      <c r="E94" s="4"/>
      <c r="I94" s="4"/>
      <c r="K94" s="4"/>
      <c r="Q94" s="4"/>
    </row>
    <row r="95" spans="5:17" ht="15.75" customHeight="1" x14ac:dyDescent="0.25">
      <c r="E95" s="4"/>
      <c r="I95" s="4"/>
      <c r="K95" s="4"/>
      <c r="Q95" s="4"/>
    </row>
    <row r="96" spans="5:17" ht="15.75" customHeight="1" x14ac:dyDescent="0.25">
      <c r="E96" s="4"/>
      <c r="I96" s="4"/>
      <c r="K96" s="4"/>
      <c r="Q96" s="4"/>
    </row>
    <row r="97" spans="5:17" ht="15.75" customHeight="1" x14ac:dyDescent="0.25">
      <c r="E97" s="4"/>
      <c r="I97" s="4"/>
      <c r="K97" s="4"/>
      <c r="Q97" s="4"/>
    </row>
    <row r="98" spans="5:17" ht="15.75" customHeight="1" x14ac:dyDescent="0.25">
      <c r="E98" s="4"/>
      <c r="I98" s="4"/>
      <c r="K98" s="4"/>
      <c r="Q98" s="4"/>
    </row>
    <row r="99" spans="5:17" ht="15.75" customHeight="1" x14ac:dyDescent="0.25">
      <c r="E99" s="4"/>
      <c r="I99" s="4"/>
      <c r="K99" s="4"/>
      <c r="Q99" s="4"/>
    </row>
    <row r="100" spans="5:17" ht="15.75" customHeight="1" x14ac:dyDescent="0.25">
      <c r="E100" s="4"/>
      <c r="I100" s="4"/>
      <c r="K100" s="4"/>
      <c r="Q100" s="4"/>
    </row>
    <row r="101" spans="5:17" ht="15.75" customHeight="1" x14ac:dyDescent="0.25">
      <c r="E101" s="4"/>
      <c r="I101" s="4"/>
      <c r="K101" s="4"/>
      <c r="Q101" s="4"/>
    </row>
    <row r="102" spans="5:17" ht="15.75" customHeight="1" x14ac:dyDescent="0.25">
      <c r="E102" s="4"/>
      <c r="I102" s="4"/>
      <c r="K102" s="4"/>
      <c r="Q102" s="4"/>
    </row>
    <row r="103" spans="5:17" ht="15.75" customHeight="1" x14ac:dyDescent="0.25">
      <c r="E103" s="4"/>
      <c r="I103" s="4"/>
      <c r="K103" s="4"/>
      <c r="Q103" s="4"/>
    </row>
    <row r="104" spans="5:17" ht="15.75" customHeight="1" x14ac:dyDescent="0.25">
      <c r="E104" s="4"/>
      <c r="I104" s="4"/>
      <c r="K104" s="4"/>
      <c r="Q104" s="4"/>
    </row>
    <row r="105" spans="5:17" ht="15.75" customHeight="1" x14ac:dyDescent="0.25">
      <c r="E105" s="4"/>
      <c r="I105" s="4"/>
      <c r="K105" s="4"/>
      <c r="Q105" s="4"/>
    </row>
    <row r="106" spans="5:17" ht="15.75" customHeight="1" x14ac:dyDescent="0.25">
      <c r="E106" s="4"/>
      <c r="I106" s="4"/>
      <c r="K106" s="4"/>
      <c r="Q106" s="4"/>
    </row>
    <row r="107" spans="5:17" ht="15.75" customHeight="1" x14ac:dyDescent="0.25">
      <c r="E107" s="4"/>
      <c r="I107" s="4"/>
      <c r="K107" s="4"/>
      <c r="Q107" s="4"/>
    </row>
    <row r="108" spans="5:17" ht="15.75" customHeight="1" x14ac:dyDescent="0.25">
      <c r="E108" s="4"/>
      <c r="I108" s="4"/>
      <c r="K108" s="4"/>
      <c r="Q108" s="4"/>
    </row>
    <row r="109" spans="5:17" ht="15.75" customHeight="1" x14ac:dyDescent="0.25">
      <c r="E109" s="4"/>
      <c r="I109" s="4"/>
      <c r="K109" s="4"/>
      <c r="Q109" s="4"/>
    </row>
    <row r="110" spans="5:17" ht="15.75" customHeight="1" x14ac:dyDescent="0.25">
      <c r="E110" s="4"/>
      <c r="I110" s="4"/>
      <c r="K110" s="4"/>
      <c r="Q110" s="4"/>
    </row>
    <row r="111" spans="5:17" ht="15.75" customHeight="1" x14ac:dyDescent="0.25">
      <c r="E111" s="4"/>
      <c r="I111" s="4"/>
      <c r="K111" s="4"/>
      <c r="Q111" s="4"/>
    </row>
    <row r="112" spans="5:17" ht="15.75" customHeight="1" x14ac:dyDescent="0.25">
      <c r="E112" s="4"/>
      <c r="I112" s="4"/>
      <c r="K112" s="4"/>
      <c r="Q112" s="4"/>
    </row>
    <row r="113" spans="5:17" ht="15.75" customHeight="1" x14ac:dyDescent="0.25">
      <c r="E113" s="4"/>
      <c r="I113" s="4"/>
      <c r="K113" s="4"/>
      <c r="Q113" s="4"/>
    </row>
    <row r="114" spans="5:17" ht="15.75" customHeight="1" x14ac:dyDescent="0.25">
      <c r="E114" s="4"/>
      <c r="I114" s="4"/>
      <c r="K114" s="4"/>
      <c r="Q114" s="4"/>
    </row>
    <row r="115" spans="5:17" ht="15.75" customHeight="1" x14ac:dyDescent="0.25">
      <c r="E115" s="4"/>
      <c r="I115" s="4"/>
      <c r="K115" s="4"/>
      <c r="Q115" s="4"/>
    </row>
    <row r="116" spans="5:17" ht="15.75" customHeight="1" x14ac:dyDescent="0.25">
      <c r="E116" s="4"/>
      <c r="I116" s="4"/>
      <c r="K116" s="4"/>
      <c r="Q116" s="4"/>
    </row>
    <row r="117" spans="5:17" ht="15.75" customHeight="1" x14ac:dyDescent="0.25">
      <c r="E117" s="4"/>
      <c r="I117" s="4"/>
      <c r="K117" s="4"/>
      <c r="Q117" s="4"/>
    </row>
    <row r="118" spans="5:17" ht="15.75" customHeight="1" x14ac:dyDescent="0.25">
      <c r="E118" s="4"/>
      <c r="I118" s="4"/>
      <c r="K118" s="4"/>
      <c r="Q118" s="4"/>
    </row>
    <row r="119" spans="5:17" ht="15.75" customHeight="1" x14ac:dyDescent="0.25">
      <c r="E119" s="4"/>
      <c r="I119" s="4"/>
      <c r="K119" s="4"/>
      <c r="Q119" s="4"/>
    </row>
    <row r="120" spans="5:17" ht="15.75" customHeight="1" x14ac:dyDescent="0.25">
      <c r="E120" s="4"/>
      <c r="I120" s="4"/>
      <c r="K120" s="4"/>
      <c r="Q120" s="4"/>
    </row>
    <row r="121" spans="5:17" ht="15.75" customHeight="1" x14ac:dyDescent="0.25">
      <c r="E121" s="4"/>
      <c r="I121" s="4"/>
      <c r="K121" s="4"/>
      <c r="Q121" s="4"/>
    </row>
    <row r="122" spans="5:17" ht="15.75" customHeight="1" x14ac:dyDescent="0.25">
      <c r="E122" s="4"/>
      <c r="I122" s="4"/>
      <c r="K122" s="4"/>
      <c r="Q122" s="4"/>
    </row>
    <row r="123" spans="5:17" ht="15.75" customHeight="1" x14ac:dyDescent="0.25">
      <c r="E123" s="4"/>
      <c r="I123" s="4"/>
      <c r="K123" s="4"/>
      <c r="Q123" s="4"/>
    </row>
    <row r="124" spans="5:17" ht="15.75" customHeight="1" x14ac:dyDescent="0.25">
      <c r="E124" s="4"/>
      <c r="I124" s="4"/>
      <c r="K124" s="4"/>
      <c r="Q124" s="4"/>
    </row>
    <row r="125" spans="5:17" ht="15.75" customHeight="1" x14ac:dyDescent="0.25">
      <c r="E125" s="4"/>
      <c r="I125" s="4"/>
      <c r="K125" s="4"/>
      <c r="Q125" s="4"/>
    </row>
    <row r="126" spans="5:17" ht="15.75" customHeight="1" x14ac:dyDescent="0.25">
      <c r="E126" s="4"/>
      <c r="I126" s="4"/>
      <c r="K126" s="4"/>
      <c r="Q126" s="4"/>
    </row>
    <row r="127" spans="5:17" ht="15.75" customHeight="1" x14ac:dyDescent="0.25">
      <c r="E127" s="4"/>
      <c r="I127" s="4"/>
      <c r="K127" s="4"/>
      <c r="Q127" s="4"/>
    </row>
    <row r="128" spans="5:17" ht="15.75" customHeight="1" x14ac:dyDescent="0.25">
      <c r="E128" s="4"/>
      <c r="I128" s="4"/>
      <c r="K128" s="4"/>
      <c r="Q128" s="4"/>
    </row>
    <row r="129" spans="5:17" ht="15.75" customHeight="1" x14ac:dyDescent="0.25">
      <c r="E129" s="4"/>
      <c r="I129" s="4"/>
      <c r="K129" s="4"/>
      <c r="Q129" s="4"/>
    </row>
    <row r="130" spans="5:17" ht="15.75" customHeight="1" x14ac:dyDescent="0.25">
      <c r="E130" s="4"/>
      <c r="I130" s="4"/>
      <c r="K130" s="4"/>
      <c r="Q130" s="4"/>
    </row>
    <row r="131" spans="5:17" ht="15.75" customHeight="1" x14ac:dyDescent="0.25">
      <c r="E131" s="4"/>
      <c r="I131" s="4"/>
      <c r="K131" s="4"/>
      <c r="Q131" s="4"/>
    </row>
    <row r="132" spans="5:17" ht="15.75" customHeight="1" x14ac:dyDescent="0.25">
      <c r="E132" s="4"/>
      <c r="I132" s="4"/>
      <c r="K132" s="4"/>
      <c r="Q132" s="4"/>
    </row>
    <row r="133" spans="5:17" ht="15.75" customHeight="1" x14ac:dyDescent="0.25">
      <c r="E133" s="4"/>
      <c r="I133" s="4"/>
      <c r="K133" s="4"/>
      <c r="Q133" s="4"/>
    </row>
    <row r="134" spans="5:17" ht="15.75" customHeight="1" x14ac:dyDescent="0.25">
      <c r="E134" s="4"/>
      <c r="I134" s="4"/>
      <c r="K134" s="4"/>
      <c r="Q134" s="4"/>
    </row>
    <row r="135" spans="5:17" ht="15.75" customHeight="1" x14ac:dyDescent="0.25">
      <c r="E135" s="4"/>
      <c r="I135" s="4"/>
      <c r="K135" s="4"/>
      <c r="Q135" s="4"/>
    </row>
    <row r="136" spans="5:17" ht="15.75" customHeight="1" x14ac:dyDescent="0.25">
      <c r="E136" s="4"/>
      <c r="I136" s="4"/>
      <c r="K136" s="4"/>
      <c r="Q136" s="4"/>
    </row>
    <row r="137" spans="5:17" ht="15.75" customHeight="1" x14ac:dyDescent="0.25">
      <c r="E137" s="4"/>
      <c r="I137" s="4"/>
      <c r="K137" s="4"/>
      <c r="Q137" s="4"/>
    </row>
    <row r="138" spans="5:17" ht="15.75" customHeight="1" x14ac:dyDescent="0.25">
      <c r="E138" s="4"/>
      <c r="I138" s="4"/>
      <c r="K138" s="4"/>
      <c r="Q138" s="4"/>
    </row>
    <row r="139" spans="5:17" ht="15.75" customHeight="1" x14ac:dyDescent="0.25">
      <c r="E139" s="4"/>
      <c r="I139" s="4"/>
      <c r="K139" s="4"/>
      <c r="Q139" s="4"/>
    </row>
    <row r="140" spans="5:17" ht="15.75" customHeight="1" x14ac:dyDescent="0.25">
      <c r="E140" s="4"/>
      <c r="I140" s="4"/>
      <c r="K140" s="4"/>
      <c r="Q140" s="4"/>
    </row>
    <row r="141" spans="5:17" ht="15.75" customHeight="1" x14ac:dyDescent="0.25">
      <c r="E141" s="4"/>
      <c r="I141" s="4"/>
      <c r="K141" s="4"/>
      <c r="Q141" s="4"/>
    </row>
    <row r="142" spans="5:17" ht="15.75" customHeight="1" x14ac:dyDescent="0.25">
      <c r="E142" s="4"/>
      <c r="I142" s="4"/>
      <c r="K142" s="4"/>
      <c r="Q142" s="4"/>
    </row>
    <row r="143" spans="5:17" ht="15.75" customHeight="1" x14ac:dyDescent="0.25">
      <c r="E143" s="4"/>
      <c r="I143" s="4"/>
      <c r="K143" s="4"/>
      <c r="Q143" s="4"/>
    </row>
    <row r="144" spans="5:17" ht="15.75" customHeight="1" x14ac:dyDescent="0.25">
      <c r="E144" s="4"/>
      <c r="I144" s="4"/>
      <c r="K144" s="4"/>
      <c r="Q144" s="4"/>
    </row>
    <row r="145" spans="5:17" ht="15.75" customHeight="1" x14ac:dyDescent="0.25">
      <c r="E145" s="4"/>
      <c r="I145" s="4"/>
      <c r="K145" s="4"/>
      <c r="Q145" s="4"/>
    </row>
    <row r="146" spans="5:17" ht="15.75" customHeight="1" x14ac:dyDescent="0.25">
      <c r="E146" s="4"/>
      <c r="I146" s="4"/>
      <c r="K146" s="4"/>
      <c r="Q146" s="4"/>
    </row>
    <row r="147" spans="5:17" ht="15.75" customHeight="1" x14ac:dyDescent="0.25">
      <c r="E147" s="4"/>
      <c r="I147" s="4"/>
      <c r="K147" s="4"/>
      <c r="Q147" s="4"/>
    </row>
    <row r="148" spans="5:17" ht="15.75" customHeight="1" x14ac:dyDescent="0.25">
      <c r="E148" s="4"/>
      <c r="I148" s="4"/>
      <c r="K148" s="4"/>
      <c r="Q148" s="4"/>
    </row>
    <row r="149" spans="5:17" ht="15.75" customHeight="1" x14ac:dyDescent="0.25">
      <c r="E149" s="4"/>
      <c r="I149" s="4"/>
      <c r="K149" s="4"/>
      <c r="Q149" s="4"/>
    </row>
    <row r="150" spans="5:17" ht="15.75" customHeight="1" x14ac:dyDescent="0.25">
      <c r="E150" s="4"/>
      <c r="I150" s="4"/>
      <c r="K150" s="4"/>
      <c r="Q150" s="4"/>
    </row>
    <row r="151" spans="5:17" ht="15.75" customHeight="1" x14ac:dyDescent="0.25">
      <c r="E151" s="4"/>
      <c r="I151" s="4"/>
      <c r="K151" s="4"/>
      <c r="Q151" s="4"/>
    </row>
    <row r="152" spans="5:17" ht="15.75" customHeight="1" x14ac:dyDescent="0.25">
      <c r="E152" s="4"/>
      <c r="I152" s="4"/>
      <c r="K152" s="4"/>
      <c r="Q152" s="4"/>
    </row>
    <row r="153" spans="5:17" ht="15.75" customHeight="1" x14ac:dyDescent="0.25">
      <c r="E153" s="4"/>
      <c r="I153" s="4"/>
      <c r="K153" s="4"/>
      <c r="Q153" s="4"/>
    </row>
    <row r="154" spans="5:17" ht="15.75" customHeight="1" x14ac:dyDescent="0.25">
      <c r="E154" s="4"/>
      <c r="I154" s="4"/>
      <c r="K154" s="4"/>
      <c r="Q154" s="4"/>
    </row>
    <row r="155" spans="5:17" ht="15.75" customHeight="1" x14ac:dyDescent="0.25">
      <c r="E155" s="4"/>
      <c r="I155" s="4"/>
      <c r="K155" s="4"/>
      <c r="Q155" s="4"/>
    </row>
    <row r="156" spans="5:17" ht="15.75" customHeight="1" x14ac:dyDescent="0.25">
      <c r="E156" s="4"/>
      <c r="I156" s="4"/>
      <c r="K156" s="4"/>
      <c r="Q156" s="4"/>
    </row>
    <row r="157" spans="5:17" ht="15.75" customHeight="1" x14ac:dyDescent="0.25">
      <c r="E157" s="4"/>
      <c r="I157" s="4"/>
      <c r="K157" s="4"/>
      <c r="Q157" s="4"/>
    </row>
    <row r="158" spans="5:17" ht="15.75" customHeight="1" x14ac:dyDescent="0.25">
      <c r="E158" s="4"/>
      <c r="I158" s="4"/>
      <c r="K158" s="4"/>
      <c r="Q158" s="4"/>
    </row>
    <row r="159" spans="5:17" ht="15.75" customHeight="1" x14ac:dyDescent="0.25">
      <c r="E159" s="4"/>
      <c r="I159" s="4"/>
      <c r="K159" s="4"/>
      <c r="Q159" s="4"/>
    </row>
    <row r="160" spans="5:17" ht="15.75" customHeight="1" x14ac:dyDescent="0.25">
      <c r="E160" s="4"/>
      <c r="I160" s="4"/>
      <c r="K160" s="4"/>
      <c r="Q160" s="4"/>
    </row>
    <row r="161" spans="5:17" ht="15.75" customHeight="1" x14ac:dyDescent="0.25">
      <c r="E161" s="4"/>
      <c r="I161" s="4"/>
      <c r="K161" s="4"/>
      <c r="Q161" s="4"/>
    </row>
    <row r="162" spans="5:17" ht="15.75" customHeight="1" x14ac:dyDescent="0.25">
      <c r="E162" s="4"/>
      <c r="I162" s="4"/>
      <c r="K162" s="4"/>
      <c r="Q162" s="4"/>
    </row>
    <row r="163" spans="5:17" ht="15.75" customHeight="1" x14ac:dyDescent="0.25">
      <c r="E163" s="4"/>
      <c r="I163" s="4"/>
      <c r="K163" s="4"/>
      <c r="Q163" s="4"/>
    </row>
    <row r="164" spans="5:17" ht="15.75" customHeight="1" x14ac:dyDescent="0.25">
      <c r="E164" s="4"/>
      <c r="I164" s="4"/>
      <c r="K164" s="4"/>
      <c r="Q164" s="4"/>
    </row>
    <row r="165" spans="5:17" ht="15.75" customHeight="1" x14ac:dyDescent="0.25">
      <c r="E165" s="4"/>
      <c r="I165" s="4"/>
      <c r="K165" s="4"/>
      <c r="Q165" s="4"/>
    </row>
    <row r="166" spans="5:17" ht="15.75" customHeight="1" x14ac:dyDescent="0.25">
      <c r="E166" s="4"/>
      <c r="I166" s="4"/>
      <c r="K166" s="4"/>
      <c r="Q166" s="4"/>
    </row>
    <row r="167" spans="5:17" ht="15.75" customHeight="1" x14ac:dyDescent="0.25">
      <c r="E167" s="4"/>
      <c r="I167" s="4"/>
      <c r="K167" s="4"/>
      <c r="Q167" s="4"/>
    </row>
    <row r="168" spans="5:17" ht="15.75" customHeight="1" x14ac:dyDescent="0.25">
      <c r="E168" s="4"/>
      <c r="I168" s="4"/>
      <c r="K168" s="4"/>
      <c r="Q168" s="4"/>
    </row>
    <row r="169" spans="5:17" ht="15.75" customHeight="1" x14ac:dyDescent="0.25">
      <c r="E169" s="4"/>
      <c r="I169" s="4"/>
      <c r="K169" s="4"/>
      <c r="Q169" s="4"/>
    </row>
    <row r="170" spans="5:17" ht="15.75" customHeight="1" x14ac:dyDescent="0.25">
      <c r="E170" s="4"/>
      <c r="I170" s="4"/>
      <c r="K170" s="4"/>
      <c r="Q170" s="4"/>
    </row>
    <row r="171" spans="5:17" ht="15.75" customHeight="1" x14ac:dyDescent="0.25">
      <c r="E171" s="4"/>
      <c r="I171" s="4"/>
      <c r="K171" s="4"/>
      <c r="Q171" s="4"/>
    </row>
    <row r="172" spans="5:17" ht="15.75" customHeight="1" x14ac:dyDescent="0.25">
      <c r="E172" s="4"/>
      <c r="I172" s="4"/>
      <c r="K172" s="4"/>
      <c r="Q172" s="4"/>
    </row>
    <row r="173" spans="5:17" ht="15.75" customHeight="1" x14ac:dyDescent="0.25">
      <c r="E173" s="4"/>
      <c r="I173" s="4"/>
      <c r="K173" s="4"/>
      <c r="Q173" s="4"/>
    </row>
    <row r="174" spans="5:17" ht="15.75" customHeight="1" x14ac:dyDescent="0.25">
      <c r="E174" s="4"/>
      <c r="I174" s="4"/>
      <c r="K174" s="4"/>
      <c r="Q174" s="4"/>
    </row>
    <row r="175" spans="5:17" ht="15.75" customHeight="1" x14ac:dyDescent="0.25">
      <c r="E175" s="4"/>
      <c r="I175" s="4"/>
      <c r="K175" s="4"/>
      <c r="Q175" s="4"/>
    </row>
    <row r="176" spans="5:17" ht="15.75" customHeight="1" x14ac:dyDescent="0.25">
      <c r="E176" s="4"/>
      <c r="I176" s="4"/>
      <c r="K176" s="4"/>
      <c r="Q176" s="4"/>
    </row>
    <row r="177" spans="5:17" ht="15.75" customHeight="1" x14ac:dyDescent="0.25">
      <c r="E177" s="4"/>
      <c r="I177" s="4"/>
      <c r="K177" s="4"/>
      <c r="Q177" s="4"/>
    </row>
    <row r="178" spans="5:17" ht="15.75" customHeight="1" x14ac:dyDescent="0.25">
      <c r="E178" s="4"/>
      <c r="I178" s="4"/>
      <c r="K178" s="4"/>
      <c r="Q178" s="4"/>
    </row>
    <row r="179" spans="5:17" ht="15.75" customHeight="1" x14ac:dyDescent="0.25">
      <c r="E179" s="4"/>
      <c r="I179" s="4"/>
      <c r="K179" s="4"/>
      <c r="Q179" s="4"/>
    </row>
    <row r="180" spans="5:17" ht="15.75" customHeight="1" x14ac:dyDescent="0.25">
      <c r="E180" s="4"/>
      <c r="I180" s="4"/>
      <c r="K180" s="4"/>
      <c r="Q180" s="4"/>
    </row>
    <row r="181" spans="5:17" ht="15.75" customHeight="1" x14ac:dyDescent="0.25">
      <c r="E181" s="4"/>
      <c r="I181" s="4"/>
      <c r="K181" s="4"/>
      <c r="Q181" s="4"/>
    </row>
    <row r="182" spans="5:17" ht="15.75" customHeight="1" x14ac:dyDescent="0.25">
      <c r="E182" s="4"/>
      <c r="I182" s="4"/>
      <c r="K182" s="4"/>
      <c r="Q182" s="4"/>
    </row>
    <row r="183" spans="5:17" ht="15.75" customHeight="1" x14ac:dyDescent="0.25">
      <c r="E183" s="4"/>
      <c r="I183" s="4"/>
      <c r="K183" s="4"/>
      <c r="Q183" s="4"/>
    </row>
    <row r="184" spans="5:17" ht="15.75" customHeight="1" x14ac:dyDescent="0.25">
      <c r="E184" s="4"/>
      <c r="I184" s="4"/>
      <c r="K184" s="4"/>
      <c r="Q184" s="4"/>
    </row>
    <row r="185" spans="5:17" ht="15.75" customHeight="1" x14ac:dyDescent="0.25">
      <c r="E185" s="4"/>
      <c r="I185" s="4"/>
      <c r="K185" s="4"/>
      <c r="Q185" s="4"/>
    </row>
    <row r="186" spans="5:17" ht="15.75" customHeight="1" x14ac:dyDescent="0.25">
      <c r="E186" s="4"/>
      <c r="I186" s="4"/>
      <c r="K186" s="4"/>
      <c r="Q186" s="4"/>
    </row>
    <row r="187" spans="5:17" ht="15.75" customHeight="1" x14ac:dyDescent="0.25">
      <c r="E187" s="4"/>
      <c r="I187" s="4"/>
      <c r="K187" s="4"/>
      <c r="Q187" s="4"/>
    </row>
    <row r="188" spans="5:17" ht="15.75" customHeight="1" x14ac:dyDescent="0.25">
      <c r="E188" s="4"/>
      <c r="I188" s="4"/>
      <c r="K188" s="4"/>
      <c r="Q188" s="4"/>
    </row>
    <row r="189" spans="5:17" ht="15.75" customHeight="1" x14ac:dyDescent="0.25">
      <c r="E189" s="4"/>
      <c r="I189" s="4"/>
      <c r="K189" s="4"/>
      <c r="Q189" s="4"/>
    </row>
    <row r="190" spans="5:17" ht="15.75" customHeight="1" x14ac:dyDescent="0.25">
      <c r="E190" s="4"/>
      <c r="I190" s="4"/>
      <c r="K190" s="4"/>
      <c r="Q190" s="4"/>
    </row>
    <row r="191" spans="5:17" ht="15.75" customHeight="1" x14ac:dyDescent="0.25">
      <c r="E191" s="4"/>
      <c r="I191" s="4"/>
      <c r="K191" s="4"/>
      <c r="Q191" s="4"/>
    </row>
    <row r="192" spans="5:17" ht="15.75" customHeight="1" x14ac:dyDescent="0.25">
      <c r="E192" s="4"/>
      <c r="I192" s="4"/>
      <c r="K192" s="4"/>
      <c r="Q192" s="4"/>
    </row>
    <row r="193" spans="5:17" ht="15.75" customHeight="1" x14ac:dyDescent="0.25">
      <c r="E193" s="4"/>
      <c r="I193" s="4"/>
      <c r="K193" s="4"/>
      <c r="Q193" s="4"/>
    </row>
    <row r="194" spans="5:17" ht="15.75" customHeight="1" x14ac:dyDescent="0.25">
      <c r="E194" s="4"/>
      <c r="I194" s="4"/>
      <c r="K194" s="4"/>
      <c r="Q194" s="4"/>
    </row>
    <row r="195" spans="5:17" ht="15.75" customHeight="1" x14ac:dyDescent="0.25">
      <c r="E195" s="4"/>
      <c r="I195" s="4"/>
      <c r="K195" s="4"/>
      <c r="Q195" s="4"/>
    </row>
    <row r="196" spans="5:17" ht="15.75" customHeight="1" x14ac:dyDescent="0.25">
      <c r="E196" s="4"/>
      <c r="I196" s="4"/>
      <c r="K196" s="4"/>
      <c r="Q196" s="4"/>
    </row>
    <row r="197" spans="5:17" ht="15.75" customHeight="1" x14ac:dyDescent="0.25">
      <c r="E197" s="4"/>
      <c r="I197" s="4"/>
      <c r="K197" s="4"/>
      <c r="Q197" s="4"/>
    </row>
    <row r="198" spans="5:17" ht="15.75" customHeight="1" x14ac:dyDescent="0.25">
      <c r="E198" s="4"/>
      <c r="I198" s="4"/>
      <c r="K198" s="4"/>
      <c r="Q198" s="4"/>
    </row>
    <row r="199" spans="5:17" ht="15.75" customHeight="1" x14ac:dyDescent="0.25">
      <c r="E199" s="4"/>
      <c r="I199" s="4"/>
      <c r="K199" s="4"/>
      <c r="Q199" s="4"/>
    </row>
    <row r="200" spans="5:17" ht="15.75" customHeight="1" x14ac:dyDescent="0.25">
      <c r="E200" s="4"/>
      <c r="I200" s="4"/>
      <c r="K200" s="4"/>
      <c r="Q200" s="4"/>
    </row>
    <row r="201" spans="5:17" ht="15.75" customHeight="1" x14ac:dyDescent="0.25">
      <c r="E201" s="4"/>
      <c r="I201" s="4"/>
      <c r="K201" s="4"/>
      <c r="Q201" s="4"/>
    </row>
    <row r="202" spans="5:17" ht="15.75" customHeight="1" x14ac:dyDescent="0.25">
      <c r="E202" s="4"/>
      <c r="I202" s="4"/>
      <c r="K202" s="4"/>
      <c r="Q202" s="4"/>
    </row>
    <row r="203" spans="5:17" ht="15.75" customHeight="1" x14ac:dyDescent="0.25">
      <c r="E203" s="4"/>
      <c r="I203" s="4"/>
      <c r="K203" s="4"/>
      <c r="Q203" s="4"/>
    </row>
    <row r="204" spans="5:17" ht="15.75" customHeight="1" x14ac:dyDescent="0.25">
      <c r="E204" s="4"/>
      <c r="I204" s="4"/>
      <c r="K204" s="4"/>
      <c r="Q204" s="4"/>
    </row>
    <row r="205" spans="5:17" ht="15.75" customHeight="1" x14ac:dyDescent="0.25">
      <c r="E205" s="4"/>
      <c r="I205" s="4"/>
      <c r="K205" s="4"/>
      <c r="Q205" s="4"/>
    </row>
    <row r="206" spans="5:17" ht="15.75" customHeight="1" x14ac:dyDescent="0.25">
      <c r="E206" s="4"/>
      <c r="I206" s="4"/>
      <c r="K206" s="4"/>
      <c r="Q206" s="4"/>
    </row>
    <row r="207" spans="5:17" ht="15.75" customHeight="1" x14ac:dyDescent="0.25">
      <c r="E207" s="4"/>
      <c r="I207" s="4"/>
      <c r="K207" s="4"/>
      <c r="Q207" s="4"/>
    </row>
    <row r="208" spans="5:17" ht="15.75" customHeight="1" x14ac:dyDescent="0.25">
      <c r="E208" s="4"/>
      <c r="I208" s="4"/>
      <c r="K208" s="4"/>
      <c r="Q208" s="4"/>
    </row>
    <row r="209" spans="5:17" ht="15.75" customHeight="1" x14ac:dyDescent="0.25">
      <c r="E209" s="4"/>
      <c r="I209" s="4"/>
      <c r="K209" s="4"/>
      <c r="Q209" s="4"/>
    </row>
    <row r="210" spans="5:17" ht="15.75" customHeight="1" x14ac:dyDescent="0.25">
      <c r="E210" s="4"/>
      <c r="I210" s="4"/>
      <c r="K210" s="4"/>
      <c r="Q210" s="4"/>
    </row>
    <row r="211" spans="5:17" ht="15.75" customHeight="1" x14ac:dyDescent="0.25">
      <c r="E211" s="4"/>
      <c r="I211" s="4"/>
      <c r="K211" s="4"/>
      <c r="Q211" s="4"/>
    </row>
    <row r="212" spans="5:17" ht="15.75" customHeight="1" x14ac:dyDescent="0.25">
      <c r="E212" s="4"/>
      <c r="I212" s="4"/>
      <c r="K212" s="4"/>
      <c r="Q212" s="4"/>
    </row>
    <row r="213" spans="5:17" ht="15.75" customHeight="1" x14ac:dyDescent="0.25">
      <c r="E213" s="4"/>
      <c r="I213" s="4"/>
      <c r="K213" s="4"/>
      <c r="Q213" s="4"/>
    </row>
    <row r="214" spans="5:17" ht="15.75" customHeight="1" x14ac:dyDescent="0.25">
      <c r="E214" s="4"/>
      <c r="I214" s="4"/>
      <c r="K214" s="4"/>
      <c r="Q214" s="4"/>
    </row>
    <row r="215" spans="5:17" ht="15.75" customHeight="1" x14ac:dyDescent="0.25">
      <c r="E215" s="4"/>
      <c r="I215" s="4"/>
      <c r="K215" s="4"/>
      <c r="Q215" s="4"/>
    </row>
    <row r="216" spans="5:17" ht="15.75" customHeight="1" x14ac:dyDescent="0.25">
      <c r="E216" s="4"/>
      <c r="I216" s="4"/>
      <c r="K216" s="4"/>
      <c r="Q216" s="4"/>
    </row>
    <row r="217" spans="5:17" ht="15.75" customHeight="1" x14ac:dyDescent="0.25">
      <c r="E217" s="4"/>
      <c r="I217" s="4"/>
      <c r="K217" s="4"/>
      <c r="Q217" s="4"/>
    </row>
    <row r="218" spans="5:17" ht="15.75" customHeight="1" x14ac:dyDescent="0.25">
      <c r="E218" s="4"/>
      <c r="I218" s="4"/>
      <c r="K218" s="4"/>
      <c r="Q218" s="4"/>
    </row>
    <row r="219" spans="5:17" ht="15.75" customHeight="1" x14ac:dyDescent="0.25">
      <c r="E219" s="4"/>
      <c r="I219" s="4"/>
      <c r="K219" s="4"/>
      <c r="Q219" s="4"/>
    </row>
    <row r="220" spans="5:17" ht="15.75" customHeight="1" x14ac:dyDescent="0.25">
      <c r="E220" s="4"/>
      <c r="I220" s="4"/>
      <c r="K220" s="4"/>
      <c r="Q220" s="4"/>
    </row>
    <row r="221" spans="5:17" ht="15.75" customHeight="1" x14ac:dyDescent="0.25">
      <c r="E221" s="4"/>
      <c r="I221" s="4"/>
      <c r="K221" s="4"/>
      <c r="Q221" s="4"/>
    </row>
    <row r="222" spans="5:17" ht="15.75" customHeight="1" x14ac:dyDescent="0.25">
      <c r="E222" s="4"/>
      <c r="I222" s="4"/>
      <c r="K222" s="4"/>
      <c r="Q222" s="4"/>
    </row>
    <row r="223" spans="5:17" ht="15.75" customHeight="1" x14ac:dyDescent="0.25">
      <c r="E223" s="4"/>
      <c r="I223" s="4"/>
      <c r="K223" s="4"/>
      <c r="Q223" s="4"/>
    </row>
    <row r="224" spans="5:17" ht="15.75" customHeight="1" x14ac:dyDescent="0.25">
      <c r="E224" s="4"/>
      <c r="I224" s="4"/>
      <c r="K224" s="4"/>
      <c r="Q224" s="4"/>
    </row>
    <row r="225" spans="5:17" ht="15.75" customHeight="1" x14ac:dyDescent="0.25">
      <c r="E225" s="4"/>
      <c r="I225" s="4"/>
      <c r="K225" s="4"/>
      <c r="Q225" s="4"/>
    </row>
    <row r="226" spans="5:17" ht="15.75" customHeight="1" x14ac:dyDescent="0.25">
      <c r="E226" s="4"/>
      <c r="I226" s="4"/>
      <c r="K226" s="4"/>
      <c r="Q226" s="4"/>
    </row>
    <row r="227" spans="5:17" ht="15.75" customHeight="1" x14ac:dyDescent="0.25">
      <c r="E227" s="4"/>
      <c r="I227" s="4"/>
      <c r="K227" s="4"/>
      <c r="Q227" s="4"/>
    </row>
    <row r="228" spans="5:17" ht="15.75" customHeight="1" x14ac:dyDescent="0.25">
      <c r="E228" s="4"/>
      <c r="I228" s="4"/>
      <c r="K228" s="4"/>
      <c r="Q228" s="4"/>
    </row>
    <row r="229" spans="5:17" ht="15.75" customHeight="1" x14ac:dyDescent="0.25">
      <c r="E229" s="4"/>
      <c r="I229" s="4"/>
      <c r="K229" s="4"/>
      <c r="Q229" s="4"/>
    </row>
    <row r="230" spans="5:17" ht="15.75" customHeight="1" x14ac:dyDescent="0.25">
      <c r="E230" s="4"/>
      <c r="I230" s="4"/>
      <c r="K230" s="4"/>
      <c r="Q230" s="4"/>
    </row>
    <row r="231" spans="5:17" ht="15.75" customHeight="1" x14ac:dyDescent="0.25">
      <c r="E231" s="4"/>
      <c r="I231" s="4"/>
      <c r="K231" s="4"/>
      <c r="Q231" s="4"/>
    </row>
    <row r="232" spans="5:17" ht="15.75" customHeight="1" x14ac:dyDescent="0.25">
      <c r="E232" s="4"/>
      <c r="I232" s="4"/>
      <c r="K232" s="4"/>
      <c r="Q232" s="4"/>
    </row>
    <row r="233" spans="5:17" ht="15.75" customHeight="1" x14ac:dyDescent="0.25">
      <c r="E233" s="4"/>
      <c r="I233" s="4"/>
      <c r="K233" s="4"/>
      <c r="Q233" s="4"/>
    </row>
    <row r="234" spans="5:17" ht="15.75" customHeight="1" x14ac:dyDescent="0.25">
      <c r="E234" s="4"/>
      <c r="I234" s="4"/>
      <c r="K234" s="4"/>
      <c r="Q234" s="4"/>
    </row>
    <row r="235" spans="5:17" ht="15.75" customHeight="1" x14ac:dyDescent="0.25">
      <c r="E235" s="4"/>
      <c r="I235" s="4"/>
      <c r="K235" s="4"/>
      <c r="Q235" s="4"/>
    </row>
    <row r="236" spans="5:17" ht="15.75" customHeight="1" x14ac:dyDescent="0.25">
      <c r="E236" s="4"/>
      <c r="I236" s="4"/>
      <c r="K236" s="4"/>
      <c r="Q236" s="4"/>
    </row>
    <row r="237" spans="5:17" ht="15.75" customHeight="1" x14ac:dyDescent="0.25">
      <c r="E237" s="4"/>
      <c r="I237" s="4"/>
      <c r="K237" s="4"/>
      <c r="Q237" s="4"/>
    </row>
    <row r="238" spans="5:17" ht="15.75" customHeight="1" x14ac:dyDescent="0.25">
      <c r="E238" s="4"/>
      <c r="I238" s="4"/>
      <c r="K238" s="4"/>
      <c r="Q238" s="4"/>
    </row>
    <row r="239" spans="5:17" ht="15.75" customHeight="1" x14ac:dyDescent="0.25">
      <c r="E239" s="4"/>
      <c r="I239" s="4"/>
      <c r="K239" s="4"/>
      <c r="Q239" s="4"/>
    </row>
    <row r="240" spans="5:17" ht="15.75" customHeight="1" x14ac:dyDescent="0.25">
      <c r="E240" s="4"/>
      <c r="I240" s="4"/>
      <c r="K240" s="4"/>
      <c r="Q240" s="4"/>
    </row>
    <row r="241" spans="5:17" ht="15.75" customHeight="1" x14ac:dyDescent="0.25">
      <c r="E241" s="4"/>
      <c r="I241" s="4"/>
      <c r="K241" s="4"/>
      <c r="Q241" s="4"/>
    </row>
    <row r="242" spans="5:17" ht="15.75" customHeight="1" x14ac:dyDescent="0.25">
      <c r="E242" s="4"/>
      <c r="I242" s="4"/>
      <c r="K242" s="4"/>
      <c r="Q242" s="4"/>
    </row>
    <row r="243" spans="5:17" ht="15.75" customHeight="1" x14ac:dyDescent="0.25">
      <c r="E243" s="4"/>
      <c r="I243" s="4"/>
      <c r="K243" s="4"/>
      <c r="Q243" s="4"/>
    </row>
    <row r="244" spans="5:17" ht="15.75" customHeight="1" x14ac:dyDescent="0.25">
      <c r="E244" s="4"/>
      <c r="I244" s="4"/>
      <c r="K244" s="4"/>
      <c r="Q244" s="4"/>
    </row>
    <row r="245" spans="5:17" ht="15.75" customHeight="1" x14ac:dyDescent="0.25">
      <c r="E245" s="4"/>
      <c r="I245" s="4"/>
      <c r="K245" s="4"/>
      <c r="Q245" s="4"/>
    </row>
    <row r="246" spans="5:17" ht="15.75" customHeight="1" x14ac:dyDescent="0.25">
      <c r="E246" s="4"/>
      <c r="I246" s="4"/>
      <c r="K246" s="4"/>
      <c r="Q246" s="4"/>
    </row>
    <row r="247" spans="5:17" ht="15.75" customHeight="1" x14ac:dyDescent="0.25">
      <c r="E247" s="4"/>
      <c r="I247" s="4"/>
      <c r="K247" s="4"/>
      <c r="Q247" s="4"/>
    </row>
    <row r="248" spans="5:17" ht="15.75" customHeight="1" x14ac:dyDescent="0.25">
      <c r="E248" s="4"/>
      <c r="I248" s="4"/>
      <c r="K248" s="4"/>
      <c r="Q248" s="4"/>
    </row>
    <row r="249" spans="5:17" ht="15.75" customHeight="1" x14ac:dyDescent="0.25">
      <c r="E249" s="4"/>
      <c r="I249" s="4"/>
      <c r="K249" s="4"/>
      <c r="Q249" s="4"/>
    </row>
    <row r="250" spans="5:17" ht="15.75" customHeight="1" x14ac:dyDescent="0.25">
      <c r="E250" s="4"/>
      <c r="I250" s="4"/>
      <c r="K250" s="4"/>
      <c r="Q250" s="4"/>
    </row>
    <row r="251" spans="5:17" ht="15.75" customHeight="1" x14ac:dyDescent="0.25">
      <c r="E251" s="4"/>
      <c r="I251" s="4"/>
      <c r="K251" s="4"/>
      <c r="Q251" s="4"/>
    </row>
    <row r="252" spans="5:17" ht="15.75" customHeight="1" x14ac:dyDescent="0.25">
      <c r="E252" s="4"/>
      <c r="I252" s="4"/>
      <c r="K252" s="4"/>
      <c r="Q252" s="4"/>
    </row>
    <row r="253" spans="5:17" ht="15.75" customHeight="1" x14ac:dyDescent="0.25">
      <c r="E253" s="4"/>
      <c r="I253" s="4"/>
      <c r="K253" s="4"/>
      <c r="Q253" s="4"/>
    </row>
    <row r="254" spans="5:17" ht="15.75" customHeight="1" x14ac:dyDescent="0.25">
      <c r="E254" s="4"/>
      <c r="I254" s="4"/>
      <c r="K254" s="4"/>
      <c r="Q254" s="4"/>
    </row>
    <row r="255" spans="5:17" ht="15.75" customHeight="1" x14ac:dyDescent="0.25">
      <c r="E255" s="4"/>
      <c r="I255" s="4"/>
      <c r="K255" s="4"/>
      <c r="Q255" s="4"/>
    </row>
    <row r="256" spans="5:17" ht="15.75" customHeight="1" x14ac:dyDescent="0.25">
      <c r="E256" s="4"/>
      <c r="I256" s="4"/>
      <c r="K256" s="4"/>
      <c r="Q256" s="4"/>
    </row>
    <row r="257" spans="5:17" ht="15.75" customHeight="1" x14ac:dyDescent="0.25">
      <c r="E257" s="4"/>
      <c r="I257" s="4"/>
      <c r="K257" s="4"/>
      <c r="Q257" s="4"/>
    </row>
    <row r="258" spans="5:17" ht="15.75" customHeight="1" x14ac:dyDescent="0.25">
      <c r="E258" s="4"/>
      <c r="I258" s="4"/>
      <c r="K258" s="4"/>
      <c r="Q258" s="4"/>
    </row>
    <row r="259" spans="5:17" ht="15.75" customHeight="1" x14ac:dyDescent="0.25">
      <c r="E259" s="4"/>
      <c r="I259" s="4"/>
      <c r="K259" s="4"/>
      <c r="Q259" s="4"/>
    </row>
    <row r="260" spans="5:17" ht="15.75" customHeight="1" x14ac:dyDescent="0.25">
      <c r="E260" s="4"/>
      <c r="I260" s="4"/>
      <c r="K260" s="4"/>
      <c r="Q260" s="4"/>
    </row>
    <row r="261" spans="5:17" ht="15.75" customHeight="1" x14ac:dyDescent="0.25">
      <c r="E261" s="4"/>
      <c r="I261" s="4"/>
      <c r="K261" s="4"/>
      <c r="Q261" s="4"/>
    </row>
    <row r="262" spans="5:17" ht="15.75" customHeight="1" x14ac:dyDescent="0.25">
      <c r="E262" s="4"/>
      <c r="I262" s="4"/>
      <c r="K262" s="4"/>
      <c r="Q262" s="4"/>
    </row>
    <row r="263" spans="5:17" ht="15.75" customHeight="1" x14ac:dyDescent="0.25">
      <c r="E263" s="4"/>
      <c r="I263" s="4"/>
      <c r="K263" s="4"/>
      <c r="Q263" s="4"/>
    </row>
    <row r="264" spans="5:17" ht="15.75" customHeight="1" x14ac:dyDescent="0.25">
      <c r="E264" s="4"/>
      <c r="I264" s="4"/>
      <c r="K264" s="4"/>
      <c r="Q264" s="4"/>
    </row>
    <row r="265" spans="5:17" ht="15.75" customHeight="1" x14ac:dyDescent="0.25">
      <c r="E265" s="4"/>
      <c r="I265" s="4"/>
      <c r="K265" s="4"/>
      <c r="Q265" s="4"/>
    </row>
    <row r="266" spans="5:17" ht="15.75" customHeight="1" x14ac:dyDescent="0.25">
      <c r="E266" s="4"/>
      <c r="I266" s="4"/>
      <c r="K266" s="4"/>
      <c r="Q266" s="4"/>
    </row>
    <row r="267" spans="5:17" ht="15.75" customHeight="1" x14ac:dyDescent="0.25">
      <c r="E267" s="4"/>
      <c r="I267" s="4"/>
      <c r="K267" s="4"/>
      <c r="Q267" s="4"/>
    </row>
    <row r="268" spans="5:17" ht="15.75" customHeight="1" x14ac:dyDescent="0.25">
      <c r="E268" s="4"/>
      <c r="I268" s="4"/>
      <c r="K268" s="4"/>
      <c r="Q268" s="4"/>
    </row>
    <row r="269" spans="5:17" ht="15.75" customHeight="1" x14ac:dyDescent="0.25">
      <c r="E269" s="4"/>
      <c r="I269" s="4"/>
      <c r="K269" s="4"/>
      <c r="Q269" s="4"/>
    </row>
    <row r="270" spans="5:17" ht="15.75" customHeight="1" x14ac:dyDescent="0.25">
      <c r="E270" s="4"/>
      <c r="I270" s="4"/>
      <c r="K270" s="4"/>
      <c r="Q270" s="4"/>
    </row>
    <row r="271" spans="5:17" ht="15.75" customHeight="1" x14ac:dyDescent="0.25">
      <c r="E271" s="4"/>
      <c r="I271" s="4"/>
      <c r="K271" s="4"/>
      <c r="Q271" s="4"/>
    </row>
    <row r="272" spans="5:17" ht="15.75" customHeight="1" x14ac:dyDescent="0.25">
      <c r="E272" s="4"/>
      <c r="I272" s="4"/>
      <c r="K272" s="4"/>
      <c r="Q272" s="4"/>
    </row>
    <row r="273" spans="5:17" ht="15.75" customHeight="1" x14ac:dyDescent="0.25">
      <c r="E273" s="4"/>
      <c r="I273" s="4"/>
      <c r="K273" s="4"/>
      <c r="Q273" s="4"/>
    </row>
    <row r="274" spans="5:17" ht="15.75" customHeight="1" x14ac:dyDescent="0.25">
      <c r="E274" s="4"/>
      <c r="I274" s="4"/>
      <c r="K274" s="4"/>
      <c r="Q274" s="4"/>
    </row>
    <row r="275" spans="5:17" ht="15.75" customHeight="1" x14ac:dyDescent="0.25">
      <c r="E275" s="4"/>
      <c r="I275" s="4"/>
      <c r="K275" s="4"/>
      <c r="Q275" s="4"/>
    </row>
    <row r="276" spans="5:17" ht="15.75" customHeight="1" x14ac:dyDescent="0.25">
      <c r="E276" s="4"/>
      <c r="I276" s="4"/>
      <c r="K276" s="4"/>
      <c r="Q276" s="4"/>
    </row>
    <row r="277" spans="5:17" ht="15.75" customHeight="1" x14ac:dyDescent="0.25">
      <c r="E277" s="4"/>
      <c r="I277" s="4"/>
      <c r="K277" s="4"/>
      <c r="Q277" s="4"/>
    </row>
    <row r="278" spans="5:17" ht="15.75" customHeight="1" x14ac:dyDescent="0.25">
      <c r="E278" s="4"/>
      <c r="I278" s="4"/>
      <c r="K278" s="4"/>
      <c r="Q278" s="4"/>
    </row>
    <row r="279" spans="5:17" ht="15.75" customHeight="1" x14ac:dyDescent="0.25">
      <c r="E279" s="4"/>
      <c r="I279" s="4"/>
      <c r="K279" s="4"/>
      <c r="Q279" s="4"/>
    </row>
    <row r="280" spans="5:17" ht="15.75" customHeight="1" x14ac:dyDescent="0.25">
      <c r="E280" s="4"/>
      <c r="I280" s="4"/>
      <c r="K280" s="4"/>
      <c r="Q280" s="4"/>
    </row>
    <row r="281" spans="5:17" ht="15.75" customHeight="1" x14ac:dyDescent="0.25">
      <c r="E281" s="4"/>
      <c r="I281" s="4"/>
      <c r="K281" s="4"/>
      <c r="Q281" s="4"/>
    </row>
    <row r="282" spans="5:17" ht="15.75" customHeight="1" x14ac:dyDescent="0.25">
      <c r="E282" s="4"/>
      <c r="I282" s="4"/>
      <c r="K282" s="4"/>
      <c r="Q282" s="4"/>
    </row>
    <row r="283" spans="5:17" ht="15.75" customHeight="1" x14ac:dyDescent="0.25">
      <c r="E283" s="4"/>
      <c r="I283" s="4"/>
      <c r="K283" s="4"/>
      <c r="Q283" s="4"/>
    </row>
    <row r="284" spans="5:17" ht="15.75" customHeight="1" x14ac:dyDescent="0.25">
      <c r="E284" s="4"/>
      <c r="I284" s="4"/>
      <c r="K284" s="4"/>
      <c r="Q284" s="4"/>
    </row>
    <row r="285" spans="5:17" ht="15.75" customHeight="1" x14ac:dyDescent="0.25">
      <c r="E285" s="4"/>
      <c r="I285" s="4"/>
      <c r="K285" s="4"/>
      <c r="Q285" s="4"/>
    </row>
    <row r="286" spans="5:17" ht="15.75" customHeight="1" x14ac:dyDescent="0.25">
      <c r="E286" s="4"/>
      <c r="I286" s="4"/>
      <c r="K286" s="4"/>
      <c r="Q286" s="4"/>
    </row>
    <row r="287" spans="5:17" ht="15.75" customHeight="1" x14ac:dyDescent="0.25">
      <c r="E287" s="4"/>
      <c r="I287" s="4"/>
      <c r="K287" s="4"/>
      <c r="Q287" s="4"/>
    </row>
    <row r="288" spans="5:17" ht="15.75" customHeight="1" x14ac:dyDescent="0.25">
      <c r="E288" s="4"/>
      <c r="I288" s="4"/>
      <c r="K288" s="4"/>
      <c r="Q288" s="4"/>
    </row>
    <row r="289" spans="5:17" ht="15.75" customHeight="1" x14ac:dyDescent="0.25">
      <c r="E289" s="4"/>
      <c r="I289" s="4"/>
      <c r="K289" s="4"/>
      <c r="Q289" s="4"/>
    </row>
    <row r="290" spans="5:17" ht="15.75" customHeight="1" x14ac:dyDescent="0.25">
      <c r="E290" s="4"/>
      <c r="I290" s="4"/>
      <c r="K290" s="4"/>
      <c r="Q290" s="4"/>
    </row>
    <row r="291" spans="5:17" ht="15.75" customHeight="1" x14ac:dyDescent="0.25">
      <c r="E291" s="4"/>
      <c r="I291" s="4"/>
      <c r="K291" s="4"/>
      <c r="Q291" s="4"/>
    </row>
    <row r="292" spans="5:17" ht="15.75" customHeight="1" x14ac:dyDescent="0.25">
      <c r="E292" s="4"/>
      <c r="I292" s="4"/>
      <c r="K292" s="4"/>
      <c r="Q292" s="4"/>
    </row>
    <row r="293" spans="5:17" ht="15.75" customHeight="1" x14ac:dyDescent="0.25">
      <c r="E293" s="4"/>
      <c r="I293" s="4"/>
      <c r="K293" s="4"/>
      <c r="Q293" s="4"/>
    </row>
    <row r="294" spans="5:17" ht="15.75" customHeight="1" x14ac:dyDescent="0.25">
      <c r="E294" s="4"/>
      <c r="I294" s="4"/>
      <c r="K294" s="4"/>
      <c r="Q294" s="4"/>
    </row>
    <row r="295" spans="5:17" ht="15.75" customHeight="1" x14ac:dyDescent="0.25">
      <c r="E295" s="4"/>
      <c r="I295" s="4"/>
      <c r="K295" s="4"/>
      <c r="Q295" s="4"/>
    </row>
    <row r="296" spans="5:17" ht="15.75" customHeight="1" x14ac:dyDescent="0.25">
      <c r="E296" s="4"/>
      <c r="I296" s="4"/>
      <c r="K296" s="4"/>
      <c r="Q296" s="4"/>
    </row>
    <row r="297" spans="5:17" ht="15.75" customHeight="1" x14ac:dyDescent="0.25">
      <c r="E297" s="4"/>
      <c r="I297" s="4"/>
      <c r="K297" s="4"/>
      <c r="Q297" s="4"/>
    </row>
    <row r="298" spans="5:17" ht="15.75" customHeight="1" x14ac:dyDescent="0.25">
      <c r="E298" s="4"/>
      <c r="I298" s="4"/>
      <c r="K298" s="4"/>
      <c r="Q298" s="4"/>
    </row>
    <row r="299" spans="5:17" ht="15.75" customHeight="1" x14ac:dyDescent="0.25">
      <c r="E299" s="4"/>
      <c r="I299" s="4"/>
      <c r="K299" s="4"/>
      <c r="Q299" s="4"/>
    </row>
    <row r="300" spans="5:17" ht="15.75" customHeight="1" x14ac:dyDescent="0.25">
      <c r="E300" s="4"/>
      <c r="I300" s="4"/>
      <c r="K300" s="4"/>
      <c r="Q300" s="4"/>
    </row>
    <row r="301" spans="5:17" ht="15.75" customHeight="1" x14ac:dyDescent="0.25">
      <c r="E301" s="4"/>
      <c r="I301" s="4"/>
      <c r="K301" s="4"/>
      <c r="Q301" s="4"/>
    </row>
    <row r="302" spans="5:17" ht="15.75" customHeight="1" x14ac:dyDescent="0.25">
      <c r="E302" s="4"/>
      <c r="I302" s="4"/>
      <c r="K302" s="4"/>
      <c r="Q302" s="4"/>
    </row>
    <row r="303" spans="5:17" ht="15.75" customHeight="1" x14ac:dyDescent="0.25">
      <c r="E303" s="4"/>
      <c r="I303" s="4"/>
      <c r="K303" s="4"/>
      <c r="Q303" s="4"/>
    </row>
    <row r="304" spans="5:17" ht="15.75" customHeight="1" x14ac:dyDescent="0.25">
      <c r="E304" s="4"/>
      <c r="I304" s="4"/>
      <c r="K304" s="4"/>
      <c r="Q304" s="4"/>
    </row>
    <row r="305" spans="5:17" ht="15.75" customHeight="1" x14ac:dyDescent="0.25">
      <c r="E305" s="4"/>
      <c r="I305" s="4"/>
      <c r="K305" s="4"/>
      <c r="Q305" s="4"/>
    </row>
    <row r="306" spans="5:17" ht="15.75" customHeight="1" x14ac:dyDescent="0.25">
      <c r="E306" s="4"/>
      <c r="I306" s="4"/>
      <c r="K306" s="4"/>
      <c r="Q306" s="4"/>
    </row>
    <row r="307" spans="5:17" ht="15.75" customHeight="1" x14ac:dyDescent="0.25">
      <c r="E307" s="4"/>
      <c r="I307" s="4"/>
      <c r="K307" s="4"/>
      <c r="Q307" s="4"/>
    </row>
    <row r="308" spans="5:17" ht="15.75" customHeight="1" x14ac:dyDescent="0.25">
      <c r="E308" s="4"/>
      <c r="I308" s="4"/>
      <c r="K308" s="4"/>
      <c r="Q308" s="4"/>
    </row>
    <row r="309" spans="5:17" ht="15.75" customHeight="1" x14ac:dyDescent="0.25">
      <c r="E309" s="4"/>
      <c r="I309" s="4"/>
      <c r="K309" s="4"/>
      <c r="Q309" s="4"/>
    </row>
    <row r="310" spans="5:17" ht="15.75" customHeight="1" x14ac:dyDescent="0.25">
      <c r="E310" s="4"/>
      <c r="I310" s="4"/>
      <c r="K310" s="4"/>
      <c r="Q310" s="4"/>
    </row>
    <row r="311" spans="5:17" ht="15.75" customHeight="1" x14ac:dyDescent="0.25">
      <c r="E311" s="4"/>
      <c r="I311" s="4"/>
      <c r="K311" s="4"/>
      <c r="Q311" s="4"/>
    </row>
    <row r="312" spans="5:17" ht="15.75" customHeight="1" x14ac:dyDescent="0.25">
      <c r="E312" s="4"/>
      <c r="I312" s="4"/>
      <c r="K312" s="4"/>
      <c r="Q312" s="4"/>
    </row>
    <row r="313" spans="5:17" ht="15.75" customHeight="1" x14ac:dyDescent="0.25">
      <c r="E313" s="4"/>
      <c r="I313" s="4"/>
      <c r="K313" s="4"/>
      <c r="Q313" s="4"/>
    </row>
    <row r="314" spans="5:17" ht="15.75" customHeight="1" x14ac:dyDescent="0.25">
      <c r="E314" s="4"/>
      <c r="I314" s="4"/>
      <c r="K314" s="4"/>
      <c r="Q314" s="4"/>
    </row>
    <row r="315" spans="5:17" ht="15.75" customHeight="1" x14ac:dyDescent="0.25">
      <c r="E315" s="4"/>
      <c r="I315" s="4"/>
      <c r="K315" s="4"/>
      <c r="Q315" s="4"/>
    </row>
    <row r="316" spans="5:17" ht="15.75" customHeight="1" x14ac:dyDescent="0.25">
      <c r="E316" s="4"/>
      <c r="I316" s="4"/>
      <c r="K316" s="4"/>
      <c r="Q316" s="4"/>
    </row>
    <row r="317" spans="5:17" ht="15.75" customHeight="1" x14ac:dyDescent="0.25">
      <c r="E317" s="4"/>
      <c r="I317" s="4"/>
      <c r="K317" s="4"/>
      <c r="Q317" s="4"/>
    </row>
    <row r="318" spans="5:17" ht="15.75" customHeight="1" x14ac:dyDescent="0.25">
      <c r="E318" s="4"/>
      <c r="I318" s="4"/>
      <c r="K318" s="4"/>
      <c r="Q318" s="4"/>
    </row>
    <row r="319" spans="5:17" ht="15.75" customHeight="1" x14ac:dyDescent="0.25">
      <c r="E319" s="4"/>
      <c r="I319" s="4"/>
      <c r="K319" s="4"/>
      <c r="Q319" s="4"/>
    </row>
    <row r="320" spans="5:17" ht="15.75" customHeight="1" x14ac:dyDescent="0.25">
      <c r="E320" s="4"/>
      <c r="I320" s="4"/>
      <c r="K320" s="4"/>
      <c r="Q320" s="4"/>
    </row>
    <row r="321" spans="5:17" ht="15.75" customHeight="1" x14ac:dyDescent="0.25">
      <c r="E321" s="4"/>
      <c r="I321" s="4"/>
      <c r="K321" s="4"/>
      <c r="Q321" s="4"/>
    </row>
    <row r="322" spans="5:17" ht="15.75" customHeight="1" x14ac:dyDescent="0.25">
      <c r="E322" s="4"/>
      <c r="I322" s="4"/>
      <c r="K322" s="4"/>
      <c r="Q322" s="4"/>
    </row>
    <row r="323" spans="5:17" ht="15.75" customHeight="1" x14ac:dyDescent="0.25">
      <c r="E323" s="4"/>
      <c r="I323" s="4"/>
      <c r="K323" s="4"/>
      <c r="Q323" s="4"/>
    </row>
    <row r="324" spans="5:17" ht="15.75" customHeight="1" x14ac:dyDescent="0.25">
      <c r="E324" s="4"/>
      <c r="I324" s="4"/>
      <c r="K324" s="4"/>
      <c r="Q324" s="4"/>
    </row>
    <row r="325" spans="5:17" ht="15.75" customHeight="1" x14ac:dyDescent="0.25">
      <c r="E325" s="4"/>
      <c r="I325" s="4"/>
      <c r="K325" s="4"/>
      <c r="Q325" s="4"/>
    </row>
    <row r="326" spans="5:17" ht="15.75" customHeight="1" x14ac:dyDescent="0.25">
      <c r="E326" s="4"/>
      <c r="I326" s="4"/>
      <c r="K326" s="4"/>
      <c r="Q326" s="4"/>
    </row>
    <row r="327" spans="5:17" ht="15.75" customHeight="1" x14ac:dyDescent="0.25">
      <c r="E327" s="4"/>
      <c r="I327" s="4"/>
      <c r="K327" s="4"/>
      <c r="Q327" s="4"/>
    </row>
    <row r="328" spans="5:17" ht="15.75" customHeight="1" x14ac:dyDescent="0.25">
      <c r="E328" s="4"/>
      <c r="I328" s="4"/>
      <c r="K328" s="4"/>
      <c r="Q328" s="4"/>
    </row>
    <row r="329" spans="5:17" ht="15.75" customHeight="1" x14ac:dyDescent="0.25">
      <c r="E329" s="4"/>
      <c r="I329" s="4"/>
      <c r="K329" s="4"/>
      <c r="Q329" s="4"/>
    </row>
    <row r="330" spans="5:17" ht="15.75" customHeight="1" x14ac:dyDescent="0.25">
      <c r="E330" s="4"/>
      <c r="I330" s="4"/>
      <c r="K330" s="4"/>
      <c r="Q330" s="4"/>
    </row>
    <row r="331" spans="5:17" ht="15.75" customHeight="1" x14ac:dyDescent="0.25">
      <c r="E331" s="4"/>
      <c r="I331" s="4"/>
      <c r="K331" s="4"/>
      <c r="Q331" s="4"/>
    </row>
    <row r="332" spans="5:17" ht="15.75" customHeight="1" x14ac:dyDescent="0.25">
      <c r="E332" s="4"/>
      <c r="I332" s="4"/>
      <c r="K332" s="4"/>
      <c r="Q332" s="4"/>
    </row>
    <row r="333" spans="5:17" ht="15.75" customHeight="1" x14ac:dyDescent="0.25">
      <c r="E333" s="4"/>
      <c r="I333" s="4"/>
      <c r="K333" s="4"/>
      <c r="Q333" s="4"/>
    </row>
    <row r="334" spans="5:17" ht="15.75" customHeight="1" x14ac:dyDescent="0.25">
      <c r="E334" s="4"/>
      <c r="I334" s="4"/>
      <c r="K334" s="4"/>
      <c r="Q334" s="4"/>
    </row>
    <row r="335" spans="5:17" ht="15.75" customHeight="1" x14ac:dyDescent="0.25">
      <c r="E335" s="4"/>
      <c r="I335" s="4"/>
      <c r="K335" s="4"/>
      <c r="Q335" s="4"/>
    </row>
    <row r="336" spans="5:17" ht="15.75" customHeight="1" x14ac:dyDescent="0.25">
      <c r="E336" s="4"/>
      <c r="I336" s="4"/>
      <c r="K336" s="4"/>
      <c r="Q336" s="4"/>
    </row>
    <row r="337" spans="5:17" ht="15.75" customHeight="1" x14ac:dyDescent="0.25">
      <c r="E337" s="4"/>
      <c r="I337" s="4"/>
      <c r="K337" s="4"/>
      <c r="Q337" s="4"/>
    </row>
    <row r="338" spans="5:17" ht="15.75" customHeight="1" x14ac:dyDescent="0.25">
      <c r="E338" s="4"/>
      <c r="I338" s="4"/>
      <c r="K338" s="4"/>
      <c r="Q338" s="4"/>
    </row>
    <row r="339" spans="5:17" ht="15.75" customHeight="1" x14ac:dyDescent="0.25">
      <c r="E339" s="4"/>
      <c r="I339" s="4"/>
      <c r="K339" s="4"/>
      <c r="Q339" s="4"/>
    </row>
    <row r="340" spans="5:17" ht="15.75" customHeight="1" x14ac:dyDescent="0.25">
      <c r="E340" s="4"/>
      <c r="I340" s="4"/>
      <c r="K340" s="4"/>
      <c r="Q340" s="4"/>
    </row>
    <row r="341" spans="5:17" ht="15.75" customHeight="1" x14ac:dyDescent="0.25">
      <c r="E341" s="4"/>
      <c r="I341" s="4"/>
      <c r="K341" s="4"/>
      <c r="Q341" s="4"/>
    </row>
    <row r="342" spans="5:17" ht="15.75" customHeight="1" x14ac:dyDescent="0.25">
      <c r="E342" s="4"/>
      <c r="I342" s="4"/>
      <c r="K342" s="4"/>
      <c r="Q342" s="4"/>
    </row>
    <row r="343" spans="5:17" ht="15.75" customHeight="1" x14ac:dyDescent="0.25">
      <c r="E343" s="4"/>
      <c r="I343" s="4"/>
      <c r="K343" s="4"/>
      <c r="Q343" s="4"/>
    </row>
    <row r="344" spans="5:17" ht="15.75" customHeight="1" x14ac:dyDescent="0.25">
      <c r="E344" s="4"/>
      <c r="I344" s="4"/>
      <c r="K344" s="4"/>
      <c r="Q344" s="4"/>
    </row>
    <row r="345" spans="5:17" ht="15.75" customHeight="1" x14ac:dyDescent="0.25">
      <c r="E345" s="4"/>
      <c r="I345" s="4"/>
      <c r="K345" s="4"/>
      <c r="Q345" s="4"/>
    </row>
    <row r="346" spans="5:17" ht="15.75" customHeight="1" x14ac:dyDescent="0.25">
      <c r="E346" s="4"/>
      <c r="I346" s="4"/>
      <c r="K346" s="4"/>
      <c r="Q346" s="4"/>
    </row>
    <row r="347" spans="5:17" ht="15.75" customHeight="1" x14ac:dyDescent="0.25">
      <c r="E347" s="4"/>
      <c r="I347" s="4"/>
      <c r="K347" s="4"/>
      <c r="Q347" s="4"/>
    </row>
    <row r="348" spans="5:17" ht="15.75" customHeight="1" x14ac:dyDescent="0.25">
      <c r="E348" s="4"/>
      <c r="I348" s="4"/>
      <c r="K348" s="4"/>
      <c r="Q348" s="4"/>
    </row>
    <row r="349" spans="5:17" ht="15.75" customHeight="1" x14ac:dyDescent="0.25">
      <c r="E349" s="4"/>
      <c r="I349" s="4"/>
      <c r="K349" s="4"/>
      <c r="Q349" s="4"/>
    </row>
    <row r="350" spans="5:17" ht="15.75" customHeight="1" x14ac:dyDescent="0.25">
      <c r="E350" s="4"/>
      <c r="I350" s="4"/>
      <c r="K350" s="4"/>
      <c r="Q350" s="4"/>
    </row>
    <row r="351" spans="5:17" ht="15.75" customHeight="1" x14ac:dyDescent="0.25">
      <c r="E351" s="4"/>
      <c r="I351" s="4"/>
      <c r="K351" s="4"/>
      <c r="Q351" s="4"/>
    </row>
    <row r="352" spans="5:17" ht="15.75" customHeight="1" x14ac:dyDescent="0.25">
      <c r="E352" s="4"/>
      <c r="I352" s="4"/>
      <c r="K352" s="4"/>
      <c r="Q352" s="4"/>
    </row>
    <row r="353" spans="5:17" ht="15.75" customHeight="1" x14ac:dyDescent="0.25">
      <c r="E353" s="4"/>
      <c r="I353" s="4"/>
      <c r="K353" s="4"/>
      <c r="Q353" s="4"/>
    </row>
    <row r="354" spans="5:17" ht="15.75" customHeight="1" x14ac:dyDescent="0.25">
      <c r="E354" s="4"/>
      <c r="I354" s="4"/>
      <c r="K354" s="4"/>
      <c r="Q354" s="4"/>
    </row>
    <row r="355" spans="5:17" ht="15.75" customHeight="1" x14ac:dyDescent="0.25">
      <c r="E355" s="4"/>
      <c r="I355" s="4"/>
      <c r="K355" s="4"/>
      <c r="Q355" s="4"/>
    </row>
    <row r="356" spans="5:17" ht="15.75" customHeight="1" x14ac:dyDescent="0.25">
      <c r="E356" s="4"/>
      <c r="I356" s="4"/>
      <c r="K356" s="4"/>
      <c r="Q356" s="4"/>
    </row>
    <row r="357" spans="5:17" ht="15.75" customHeight="1" x14ac:dyDescent="0.25">
      <c r="E357" s="4"/>
      <c r="I357" s="4"/>
      <c r="K357" s="4"/>
      <c r="Q357" s="4"/>
    </row>
    <row r="358" spans="5:17" ht="15.75" customHeight="1" x14ac:dyDescent="0.25">
      <c r="E358" s="4"/>
      <c r="I358" s="4"/>
      <c r="K358" s="4"/>
      <c r="Q358" s="4"/>
    </row>
    <row r="359" spans="5:17" ht="15.75" customHeight="1" x14ac:dyDescent="0.25">
      <c r="E359" s="4"/>
      <c r="I359" s="4"/>
      <c r="K359" s="4"/>
      <c r="Q359" s="4"/>
    </row>
    <row r="360" spans="5:17" ht="15.75" customHeight="1" x14ac:dyDescent="0.25">
      <c r="E360" s="4"/>
      <c r="I360" s="4"/>
      <c r="K360" s="4"/>
      <c r="Q360" s="4"/>
    </row>
    <row r="361" spans="5:17" ht="15.75" customHeight="1" x14ac:dyDescent="0.25">
      <c r="E361" s="4"/>
      <c r="I361" s="4"/>
      <c r="K361" s="4"/>
      <c r="Q361" s="4"/>
    </row>
    <row r="362" spans="5:17" ht="15.75" customHeight="1" x14ac:dyDescent="0.25">
      <c r="E362" s="4"/>
      <c r="I362" s="4"/>
      <c r="K362" s="4"/>
      <c r="Q362" s="4"/>
    </row>
    <row r="363" spans="5:17" ht="15.75" customHeight="1" x14ac:dyDescent="0.25">
      <c r="E363" s="4"/>
      <c r="I363" s="4"/>
      <c r="K363" s="4"/>
      <c r="Q363" s="4"/>
    </row>
    <row r="364" spans="5:17" ht="15.75" customHeight="1" x14ac:dyDescent="0.25">
      <c r="E364" s="4"/>
      <c r="I364" s="4"/>
      <c r="K364" s="4"/>
      <c r="Q364" s="4"/>
    </row>
    <row r="365" spans="5:17" ht="15.75" customHeight="1" x14ac:dyDescent="0.25">
      <c r="E365" s="4"/>
      <c r="I365" s="4"/>
      <c r="K365" s="4"/>
      <c r="Q365" s="4"/>
    </row>
    <row r="366" spans="5:17" ht="15.75" customHeight="1" x14ac:dyDescent="0.25">
      <c r="E366" s="4"/>
      <c r="I366" s="4"/>
      <c r="K366" s="4"/>
      <c r="Q366" s="4"/>
    </row>
    <row r="367" spans="5:17" ht="15.75" customHeight="1" x14ac:dyDescent="0.25">
      <c r="E367" s="4"/>
      <c r="I367" s="4"/>
      <c r="K367" s="4"/>
      <c r="Q367" s="4"/>
    </row>
    <row r="368" spans="5:17" ht="15.75" customHeight="1" x14ac:dyDescent="0.25">
      <c r="E368" s="4"/>
      <c r="I368" s="4"/>
      <c r="K368" s="4"/>
      <c r="Q368" s="4"/>
    </row>
    <row r="369" spans="5:17" ht="15.75" customHeight="1" x14ac:dyDescent="0.25">
      <c r="E369" s="4"/>
      <c r="I369" s="4"/>
      <c r="K369" s="4"/>
      <c r="Q369" s="4"/>
    </row>
    <row r="370" spans="5:17" ht="15.75" customHeight="1" x14ac:dyDescent="0.25">
      <c r="E370" s="4"/>
      <c r="I370" s="4"/>
      <c r="K370" s="4"/>
      <c r="Q370" s="4"/>
    </row>
    <row r="371" spans="5:17" ht="15.75" customHeight="1" x14ac:dyDescent="0.25">
      <c r="E371" s="4"/>
      <c r="I371" s="4"/>
      <c r="K371" s="4"/>
      <c r="Q371" s="4"/>
    </row>
    <row r="372" spans="5:17" ht="15.75" customHeight="1" x14ac:dyDescent="0.25">
      <c r="E372" s="4"/>
      <c r="I372" s="4"/>
      <c r="K372" s="4"/>
      <c r="Q372" s="4"/>
    </row>
    <row r="373" spans="5:17" ht="15.75" customHeight="1" x14ac:dyDescent="0.25">
      <c r="E373" s="4"/>
      <c r="I373" s="4"/>
      <c r="K373" s="4"/>
      <c r="Q373" s="4"/>
    </row>
    <row r="374" spans="5:17" ht="15.75" customHeight="1" x14ac:dyDescent="0.25">
      <c r="E374" s="4"/>
      <c r="I374" s="4"/>
      <c r="K374" s="4"/>
      <c r="Q374" s="4"/>
    </row>
    <row r="375" spans="5:17" ht="15.75" customHeight="1" x14ac:dyDescent="0.25">
      <c r="E375" s="4"/>
      <c r="I375" s="4"/>
      <c r="K375" s="4"/>
      <c r="Q375" s="4"/>
    </row>
    <row r="376" spans="5:17" ht="15.75" customHeight="1" x14ac:dyDescent="0.25">
      <c r="E376" s="4"/>
      <c r="I376" s="4"/>
      <c r="K376" s="4"/>
      <c r="Q376" s="4"/>
    </row>
    <row r="377" spans="5:17" ht="15.75" customHeight="1" x14ac:dyDescent="0.25">
      <c r="E377" s="4"/>
      <c r="I377" s="4"/>
      <c r="K377" s="4"/>
      <c r="Q377" s="4"/>
    </row>
    <row r="378" spans="5:17" ht="15.75" customHeight="1" x14ac:dyDescent="0.25">
      <c r="E378" s="4"/>
      <c r="I378" s="4"/>
      <c r="K378" s="4"/>
      <c r="Q378" s="4"/>
    </row>
    <row r="379" spans="5:17" ht="15.75" customHeight="1" x14ac:dyDescent="0.25">
      <c r="E379" s="4"/>
      <c r="I379" s="4"/>
      <c r="K379" s="4"/>
      <c r="Q379" s="4"/>
    </row>
    <row r="380" spans="5:17" ht="15.75" customHeight="1" x14ac:dyDescent="0.25">
      <c r="E380" s="4"/>
      <c r="I380" s="4"/>
      <c r="K380" s="4"/>
      <c r="Q380" s="4"/>
    </row>
    <row r="381" spans="5:17" ht="15.75" customHeight="1" x14ac:dyDescent="0.25">
      <c r="E381" s="4"/>
      <c r="I381" s="4"/>
      <c r="K381" s="4"/>
      <c r="Q381" s="4"/>
    </row>
    <row r="382" spans="5:17" ht="15.75" customHeight="1" x14ac:dyDescent="0.25">
      <c r="E382" s="4"/>
      <c r="I382" s="4"/>
      <c r="K382" s="4"/>
      <c r="Q382" s="4"/>
    </row>
    <row r="383" spans="5:17" ht="15.75" customHeight="1" x14ac:dyDescent="0.25">
      <c r="E383" s="4"/>
      <c r="I383" s="4"/>
      <c r="K383" s="4"/>
      <c r="Q383" s="4"/>
    </row>
    <row r="384" spans="5:17" ht="15.75" customHeight="1" x14ac:dyDescent="0.25">
      <c r="E384" s="4"/>
      <c r="I384" s="4"/>
      <c r="K384" s="4"/>
      <c r="Q384" s="4"/>
    </row>
    <row r="385" spans="5:17" ht="15.75" customHeight="1" x14ac:dyDescent="0.25">
      <c r="E385" s="4"/>
      <c r="I385" s="4"/>
      <c r="K385" s="4"/>
      <c r="Q385" s="4"/>
    </row>
    <row r="386" spans="5:17" ht="15.75" customHeight="1" x14ac:dyDescent="0.25">
      <c r="E386" s="4"/>
      <c r="I386" s="4"/>
      <c r="K386" s="4"/>
      <c r="Q386" s="4"/>
    </row>
    <row r="387" spans="5:17" ht="15.75" customHeight="1" x14ac:dyDescent="0.25">
      <c r="E387" s="4"/>
      <c r="I387" s="4"/>
      <c r="K387" s="4"/>
      <c r="Q387" s="4"/>
    </row>
    <row r="388" spans="5:17" ht="15.75" customHeight="1" x14ac:dyDescent="0.25">
      <c r="E388" s="4"/>
      <c r="I388" s="4"/>
      <c r="K388" s="4"/>
      <c r="Q388" s="4"/>
    </row>
    <row r="389" spans="5:17" ht="15.75" customHeight="1" x14ac:dyDescent="0.25">
      <c r="E389" s="4"/>
      <c r="I389" s="4"/>
      <c r="K389" s="4"/>
      <c r="Q389" s="4"/>
    </row>
    <row r="390" spans="5:17" ht="15.75" customHeight="1" x14ac:dyDescent="0.25">
      <c r="E390" s="4"/>
      <c r="I390" s="4"/>
      <c r="K390" s="4"/>
      <c r="Q390" s="4"/>
    </row>
    <row r="391" spans="5:17" ht="15.75" customHeight="1" x14ac:dyDescent="0.25">
      <c r="E391" s="4"/>
      <c r="I391" s="4"/>
      <c r="K391" s="4"/>
      <c r="Q391" s="4"/>
    </row>
    <row r="392" spans="5:17" ht="15.75" customHeight="1" x14ac:dyDescent="0.25">
      <c r="E392" s="4"/>
      <c r="I392" s="4"/>
      <c r="K392" s="4"/>
      <c r="Q392" s="4"/>
    </row>
    <row r="393" spans="5:17" ht="15.75" customHeight="1" x14ac:dyDescent="0.25">
      <c r="E393" s="4"/>
      <c r="I393" s="4"/>
      <c r="K393" s="4"/>
      <c r="Q393" s="4"/>
    </row>
    <row r="394" spans="5:17" ht="15.75" customHeight="1" x14ac:dyDescent="0.25">
      <c r="E394" s="4"/>
      <c r="I394" s="4"/>
      <c r="K394" s="4"/>
      <c r="Q394" s="4"/>
    </row>
    <row r="395" spans="5:17" ht="15.75" customHeight="1" x14ac:dyDescent="0.25">
      <c r="E395" s="4"/>
      <c r="I395" s="4"/>
      <c r="K395" s="4"/>
      <c r="Q395" s="4"/>
    </row>
    <row r="396" spans="5:17" ht="15.75" customHeight="1" x14ac:dyDescent="0.25">
      <c r="E396" s="4"/>
      <c r="I396" s="4"/>
      <c r="K396" s="4"/>
      <c r="Q396" s="4"/>
    </row>
    <row r="397" spans="5:17" ht="15.75" customHeight="1" x14ac:dyDescent="0.25">
      <c r="E397" s="4"/>
      <c r="I397" s="4"/>
      <c r="K397" s="4"/>
      <c r="Q397" s="4"/>
    </row>
    <row r="398" spans="5:17" ht="15.75" customHeight="1" x14ac:dyDescent="0.25">
      <c r="E398" s="4"/>
      <c r="I398" s="4"/>
      <c r="K398" s="4"/>
      <c r="Q398" s="4"/>
    </row>
    <row r="399" spans="5:17" ht="15.75" customHeight="1" x14ac:dyDescent="0.25">
      <c r="E399" s="4"/>
      <c r="I399" s="4"/>
      <c r="K399" s="4"/>
      <c r="Q399" s="4"/>
    </row>
    <row r="400" spans="5:17" ht="15.75" customHeight="1" x14ac:dyDescent="0.25">
      <c r="E400" s="4"/>
      <c r="I400" s="4"/>
      <c r="K400" s="4"/>
      <c r="Q400" s="4"/>
    </row>
    <row r="401" spans="5:17" ht="15.75" customHeight="1" x14ac:dyDescent="0.25">
      <c r="E401" s="4"/>
      <c r="I401" s="4"/>
      <c r="K401" s="4"/>
      <c r="Q401" s="4"/>
    </row>
    <row r="402" spans="5:17" ht="15.75" customHeight="1" x14ac:dyDescent="0.25">
      <c r="E402" s="4"/>
      <c r="I402" s="4"/>
      <c r="K402" s="4"/>
      <c r="Q402" s="4"/>
    </row>
    <row r="403" spans="5:17" ht="15.75" customHeight="1" x14ac:dyDescent="0.25">
      <c r="E403" s="4"/>
      <c r="I403" s="4"/>
      <c r="K403" s="4"/>
      <c r="Q403" s="4"/>
    </row>
    <row r="404" spans="5:17" ht="15.75" customHeight="1" x14ac:dyDescent="0.25">
      <c r="E404" s="4"/>
      <c r="I404" s="4"/>
      <c r="K404" s="4"/>
      <c r="Q404" s="4"/>
    </row>
    <row r="405" spans="5:17" ht="15.75" customHeight="1" x14ac:dyDescent="0.25">
      <c r="E405" s="4"/>
      <c r="I405" s="4"/>
      <c r="K405" s="4"/>
      <c r="Q405" s="4"/>
    </row>
    <row r="406" spans="5:17" ht="15.75" customHeight="1" x14ac:dyDescent="0.25">
      <c r="E406" s="4"/>
      <c r="I406" s="4"/>
      <c r="K406" s="4"/>
      <c r="Q406" s="4"/>
    </row>
    <row r="407" spans="5:17" ht="15.75" customHeight="1" x14ac:dyDescent="0.25">
      <c r="E407" s="4"/>
      <c r="I407" s="4"/>
      <c r="K407" s="4"/>
      <c r="Q407" s="4"/>
    </row>
    <row r="408" spans="5:17" ht="15.75" customHeight="1" x14ac:dyDescent="0.25">
      <c r="E408" s="4"/>
      <c r="I408" s="4"/>
      <c r="K408" s="4"/>
      <c r="Q408" s="4"/>
    </row>
    <row r="409" spans="5:17" ht="15.75" customHeight="1" x14ac:dyDescent="0.25">
      <c r="E409" s="4"/>
      <c r="I409" s="4"/>
      <c r="K409" s="4"/>
      <c r="Q409" s="4"/>
    </row>
    <row r="410" spans="5:17" ht="15.75" customHeight="1" x14ac:dyDescent="0.25">
      <c r="E410" s="4"/>
      <c r="I410" s="4"/>
      <c r="K410" s="4"/>
      <c r="Q410" s="4"/>
    </row>
    <row r="411" spans="5:17" ht="15.75" customHeight="1" x14ac:dyDescent="0.25">
      <c r="E411" s="4"/>
      <c r="I411" s="4"/>
      <c r="K411" s="4"/>
      <c r="Q411" s="4"/>
    </row>
    <row r="412" spans="5:17" ht="15.75" customHeight="1" x14ac:dyDescent="0.25">
      <c r="E412" s="4"/>
      <c r="I412" s="4"/>
      <c r="K412" s="4"/>
      <c r="Q412" s="4"/>
    </row>
    <row r="413" spans="5:17" ht="15.75" customHeight="1" x14ac:dyDescent="0.25">
      <c r="E413" s="4"/>
      <c r="I413" s="4"/>
      <c r="K413" s="4"/>
      <c r="Q413" s="4"/>
    </row>
    <row r="414" spans="5:17" ht="15.75" customHeight="1" x14ac:dyDescent="0.25">
      <c r="E414" s="4"/>
      <c r="I414" s="4"/>
      <c r="K414" s="4"/>
      <c r="Q414" s="4"/>
    </row>
    <row r="415" spans="5:17" ht="15.75" customHeight="1" x14ac:dyDescent="0.25">
      <c r="E415" s="4"/>
      <c r="I415" s="4"/>
      <c r="K415" s="4"/>
      <c r="Q415" s="4"/>
    </row>
    <row r="416" spans="5:17" ht="15.75" customHeight="1" x14ac:dyDescent="0.25">
      <c r="E416" s="4"/>
      <c r="I416" s="4"/>
      <c r="K416" s="4"/>
      <c r="Q416" s="4"/>
    </row>
    <row r="417" spans="5:17" ht="15.75" customHeight="1" x14ac:dyDescent="0.25">
      <c r="E417" s="4"/>
      <c r="I417" s="4"/>
      <c r="K417" s="4"/>
      <c r="Q417" s="4"/>
    </row>
    <row r="418" spans="5:17" ht="15.75" customHeight="1" x14ac:dyDescent="0.25">
      <c r="E418" s="4"/>
      <c r="I418" s="4"/>
      <c r="K418" s="4"/>
      <c r="Q418" s="4"/>
    </row>
    <row r="419" spans="5:17" ht="15.75" customHeight="1" x14ac:dyDescent="0.25">
      <c r="E419" s="4"/>
      <c r="I419" s="4"/>
      <c r="K419" s="4"/>
      <c r="Q419" s="4"/>
    </row>
    <row r="420" spans="5:17" ht="15.75" customHeight="1" x14ac:dyDescent="0.25">
      <c r="E420" s="4"/>
      <c r="I420" s="4"/>
      <c r="K420" s="4"/>
      <c r="Q420" s="4"/>
    </row>
    <row r="421" spans="5:17" ht="15.75" customHeight="1" x14ac:dyDescent="0.25">
      <c r="E421" s="4"/>
      <c r="I421" s="4"/>
      <c r="K421" s="4"/>
      <c r="Q421" s="4"/>
    </row>
    <row r="422" spans="5:17" ht="15.75" customHeight="1" x14ac:dyDescent="0.25">
      <c r="E422" s="4"/>
      <c r="I422" s="4"/>
      <c r="K422" s="4"/>
      <c r="Q422" s="4"/>
    </row>
    <row r="423" spans="5:17" ht="15.75" customHeight="1" x14ac:dyDescent="0.25">
      <c r="E423" s="4"/>
      <c r="I423" s="4"/>
      <c r="K423" s="4"/>
      <c r="Q423" s="4"/>
    </row>
    <row r="424" spans="5:17" ht="15.75" customHeight="1" x14ac:dyDescent="0.25">
      <c r="E424" s="4"/>
      <c r="I424" s="4"/>
      <c r="K424" s="4"/>
      <c r="Q424" s="4"/>
    </row>
    <row r="425" spans="5:17" ht="15.75" customHeight="1" x14ac:dyDescent="0.25">
      <c r="E425" s="4"/>
      <c r="I425" s="4"/>
      <c r="K425" s="4"/>
      <c r="Q425" s="4"/>
    </row>
    <row r="426" spans="5:17" ht="15.75" customHeight="1" x14ac:dyDescent="0.25">
      <c r="E426" s="4"/>
      <c r="I426" s="4"/>
      <c r="K426" s="4"/>
      <c r="Q426" s="4"/>
    </row>
    <row r="427" spans="5:17" ht="15.75" customHeight="1" x14ac:dyDescent="0.25">
      <c r="E427" s="4"/>
      <c r="I427" s="4"/>
      <c r="K427" s="4"/>
      <c r="Q427" s="4"/>
    </row>
    <row r="428" spans="5:17" ht="15.75" customHeight="1" x14ac:dyDescent="0.25">
      <c r="E428" s="4"/>
      <c r="I428" s="4"/>
      <c r="K428" s="4"/>
      <c r="Q428" s="4"/>
    </row>
    <row r="429" spans="5:17" ht="15.75" customHeight="1" x14ac:dyDescent="0.25">
      <c r="E429" s="4"/>
      <c r="I429" s="4"/>
      <c r="K429" s="4"/>
      <c r="Q429" s="4"/>
    </row>
    <row r="430" spans="5:17" ht="15.75" customHeight="1" x14ac:dyDescent="0.25">
      <c r="E430" s="4"/>
      <c r="I430" s="4"/>
      <c r="K430" s="4"/>
      <c r="Q430" s="4"/>
    </row>
    <row r="431" spans="5:17" ht="15.75" customHeight="1" x14ac:dyDescent="0.25">
      <c r="E431" s="4"/>
      <c r="I431" s="4"/>
      <c r="K431" s="4"/>
      <c r="Q431" s="4"/>
    </row>
    <row r="432" spans="5:17" ht="15.75" customHeight="1" x14ac:dyDescent="0.25">
      <c r="E432" s="4"/>
      <c r="I432" s="4"/>
      <c r="K432" s="4"/>
      <c r="Q432" s="4"/>
    </row>
    <row r="433" spans="5:17" ht="15.75" customHeight="1" x14ac:dyDescent="0.25">
      <c r="E433" s="4"/>
      <c r="I433" s="4"/>
      <c r="K433" s="4"/>
      <c r="Q433" s="4"/>
    </row>
    <row r="434" spans="5:17" ht="15.75" customHeight="1" x14ac:dyDescent="0.25">
      <c r="E434" s="4"/>
      <c r="I434" s="4"/>
      <c r="K434" s="4"/>
      <c r="Q434" s="4"/>
    </row>
    <row r="435" spans="5:17" ht="15.75" customHeight="1" x14ac:dyDescent="0.25">
      <c r="E435" s="4"/>
      <c r="I435" s="4"/>
      <c r="K435" s="4"/>
      <c r="Q435" s="4"/>
    </row>
    <row r="436" spans="5:17" ht="15.75" customHeight="1" x14ac:dyDescent="0.25">
      <c r="E436" s="4"/>
      <c r="I436" s="4"/>
      <c r="K436" s="4"/>
      <c r="Q436" s="4"/>
    </row>
    <row r="437" spans="5:17" ht="15.75" customHeight="1" x14ac:dyDescent="0.25">
      <c r="E437" s="4"/>
      <c r="I437" s="4"/>
      <c r="K437" s="4"/>
      <c r="Q437" s="4"/>
    </row>
    <row r="438" spans="5:17" ht="15.75" customHeight="1" x14ac:dyDescent="0.25">
      <c r="E438" s="4"/>
      <c r="I438" s="4"/>
      <c r="K438" s="4"/>
      <c r="Q438" s="4"/>
    </row>
    <row r="439" spans="5:17" ht="15.75" customHeight="1" x14ac:dyDescent="0.25">
      <c r="E439" s="4"/>
      <c r="I439" s="4"/>
      <c r="K439" s="4"/>
      <c r="Q439" s="4"/>
    </row>
    <row r="440" spans="5:17" ht="15.75" customHeight="1" x14ac:dyDescent="0.25">
      <c r="E440" s="4"/>
      <c r="I440" s="4"/>
      <c r="K440" s="4"/>
      <c r="Q440" s="4"/>
    </row>
    <row r="441" spans="5:17" ht="15.75" customHeight="1" x14ac:dyDescent="0.25">
      <c r="E441" s="4"/>
      <c r="I441" s="4"/>
      <c r="K441" s="4"/>
      <c r="Q441" s="4"/>
    </row>
    <row r="442" spans="5:17" ht="15.75" customHeight="1" x14ac:dyDescent="0.25">
      <c r="E442" s="4"/>
      <c r="I442" s="4"/>
      <c r="K442" s="4"/>
      <c r="Q442" s="4"/>
    </row>
    <row r="443" spans="5:17" ht="15.75" customHeight="1" x14ac:dyDescent="0.25">
      <c r="E443" s="4"/>
      <c r="I443" s="4"/>
      <c r="K443" s="4"/>
      <c r="Q443" s="4"/>
    </row>
    <row r="444" spans="5:17" ht="15.75" customHeight="1" x14ac:dyDescent="0.25">
      <c r="E444" s="4"/>
      <c r="I444" s="4"/>
      <c r="K444" s="4"/>
      <c r="Q444" s="4"/>
    </row>
    <row r="445" spans="5:17" ht="15.75" customHeight="1" x14ac:dyDescent="0.25">
      <c r="E445" s="4"/>
      <c r="I445" s="4"/>
      <c r="K445" s="4"/>
      <c r="Q445" s="4"/>
    </row>
    <row r="446" spans="5:17" ht="15.75" customHeight="1" x14ac:dyDescent="0.25">
      <c r="E446" s="4"/>
      <c r="I446" s="4"/>
      <c r="K446" s="4"/>
      <c r="Q446" s="4"/>
    </row>
    <row r="447" spans="5:17" ht="15.75" customHeight="1" x14ac:dyDescent="0.25">
      <c r="E447" s="4"/>
      <c r="I447" s="4"/>
      <c r="K447" s="4"/>
      <c r="Q447" s="4"/>
    </row>
    <row r="448" spans="5:17" ht="15.75" customHeight="1" x14ac:dyDescent="0.25">
      <c r="E448" s="4"/>
      <c r="I448" s="4"/>
      <c r="K448" s="4"/>
      <c r="Q448" s="4"/>
    </row>
    <row r="449" spans="5:17" ht="15.75" customHeight="1" x14ac:dyDescent="0.25">
      <c r="E449" s="4"/>
      <c r="I449" s="4"/>
      <c r="K449" s="4"/>
      <c r="Q449" s="4"/>
    </row>
    <row r="450" spans="5:17" ht="15.75" customHeight="1" x14ac:dyDescent="0.25">
      <c r="E450" s="4"/>
      <c r="I450" s="4"/>
      <c r="K450" s="4"/>
      <c r="Q450" s="4"/>
    </row>
    <row r="451" spans="5:17" ht="15.75" customHeight="1" x14ac:dyDescent="0.25">
      <c r="E451" s="4"/>
      <c r="I451" s="4"/>
      <c r="K451" s="4"/>
      <c r="Q451" s="4"/>
    </row>
    <row r="452" spans="5:17" ht="15.75" customHeight="1" x14ac:dyDescent="0.25">
      <c r="E452" s="4"/>
      <c r="I452" s="4"/>
      <c r="K452" s="4"/>
      <c r="Q452" s="4"/>
    </row>
    <row r="453" spans="5:17" ht="15.75" customHeight="1" x14ac:dyDescent="0.25">
      <c r="E453" s="4"/>
      <c r="I453" s="4"/>
      <c r="K453" s="4"/>
      <c r="Q453" s="4"/>
    </row>
    <row r="454" spans="5:17" ht="15.75" customHeight="1" x14ac:dyDescent="0.25">
      <c r="E454" s="4"/>
      <c r="I454" s="4"/>
      <c r="K454" s="4"/>
      <c r="Q454" s="4"/>
    </row>
    <row r="455" spans="5:17" ht="15.75" customHeight="1" x14ac:dyDescent="0.25">
      <c r="E455" s="4"/>
      <c r="I455" s="4"/>
      <c r="K455" s="4"/>
      <c r="Q455" s="4"/>
    </row>
    <row r="456" spans="5:17" ht="15.75" customHeight="1" x14ac:dyDescent="0.25">
      <c r="E456" s="4"/>
      <c r="I456" s="4"/>
      <c r="K456" s="4"/>
      <c r="Q456" s="4"/>
    </row>
    <row r="457" spans="5:17" ht="15.75" customHeight="1" x14ac:dyDescent="0.25">
      <c r="E457" s="4"/>
      <c r="I457" s="4"/>
      <c r="K457" s="4"/>
      <c r="Q457" s="4"/>
    </row>
    <row r="458" spans="5:17" ht="15.75" customHeight="1" x14ac:dyDescent="0.25">
      <c r="E458" s="4"/>
      <c r="I458" s="4"/>
      <c r="K458" s="4"/>
      <c r="Q458" s="4"/>
    </row>
    <row r="459" spans="5:17" ht="15.75" customHeight="1" x14ac:dyDescent="0.25">
      <c r="E459" s="4"/>
      <c r="I459" s="4"/>
      <c r="K459" s="4"/>
      <c r="Q459" s="4"/>
    </row>
    <row r="460" spans="5:17" ht="15.75" customHeight="1" x14ac:dyDescent="0.25">
      <c r="E460" s="4"/>
      <c r="I460" s="4"/>
      <c r="K460" s="4"/>
      <c r="Q460" s="4"/>
    </row>
    <row r="461" spans="5:17" ht="15.75" customHeight="1" x14ac:dyDescent="0.25">
      <c r="E461" s="4"/>
      <c r="I461" s="4"/>
      <c r="K461" s="4"/>
      <c r="Q461" s="4"/>
    </row>
    <row r="462" spans="5:17" ht="15.75" customHeight="1" x14ac:dyDescent="0.25">
      <c r="E462" s="4"/>
      <c r="I462" s="4"/>
      <c r="K462" s="4"/>
      <c r="Q462" s="4"/>
    </row>
    <row r="463" spans="5:17" ht="15.75" customHeight="1" x14ac:dyDescent="0.25">
      <c r="E463" s="4"/>
      <c r="I463" s="4"/>
      <c r="K463" s="4"/>
      <c r="Q463" s="4"/>
    </row>
    <row r="464" spans="5:17" ht="15.75" customHeight="1" x14ac:dyDescent="0.25">
      <c r="E464" s="4"/>
      <c r="I464" s="4"/>
      <c r="K464" s="4"/>
      <c r="Q464" s="4"/>
    </row>
    <row r="465" spans="5:17" ht="15.75" customHeight="1" x14ac:dyDescent="0.25">
      <c r="E465" s="4"/>
      <c r="I465" s="4"/>
      <c r="K465" s="4"/>
      <c r="Q465" s="4"/>
    </row>
    <row r="466" spans="5:17" ht="15.75" customHeight="1" x14ac:dyDescent="0.25">
      <c r="E466" s="4"/>
      <c r="I466" s="4"/>
      <c r="K466" s="4"/>
      <c r="Q466" s="4"/>
    </row>
    <row r="467" spans="5:17" ht="15.75" customHeight="1" x14ac:dyDescent="0.25">
      <c r="E467" s="4"/>
      <c r="I467" s="4"/>
      <c r="K467" s="4"/>
      <c r="Q467" s="4"/>
    </row>
    <row r="468" spans="5:17" ht="15.75" customHeight="1" x14ac:dyDescent="0.25">
      <c r="E468" s="4"/>
      <c r="I468" s="4"/>
      <c r="K468" s="4"/>
      <c r="Q468" s="4"/>
    </row>
    <row r="469" spans="5:17" ht="15.75" customHeight="1" x14ac:dyDescent="0.25">
      <c r="E469" s="4"/>
      <c r="I469" s="4"/>
      <c r="K469" s="4"/>
      <c r="Q469" s="4"/>
    </row>
    <row r="470" spans="5:17" ht="15.75" customHeight="1" x14ac:dyDescent="0.25">
      <c r="E470" s="4"/>
      <c r="I470" s="4"/>
      <c r="K470" s="4"/>
      <c r="Q470" s="4"/>
    </row>
    <row r="471" spans="5:17" ht="15.75" customHeight="1" x14ac:dyDescent="0.25">
      <c r="E471" s="4"/>
      <c r="I471" s="4"/>
      <c r="K471" s="4"/>
      <c r="Q471" s="4"/>
    </row>
    <row r="472" spans="5:17" ht="15.75" customHeight="1" x14ac:dyDescent="0.25">
      <c r="E472" s="4"/>
      <c r="I472" s="4"/>
      <c r="K472" s="4"/>
      <c r="Q472" s="4"/>
    </row>
    <row r="473" spans="5:17" ht="15.75" customHeight="1" x14ac:dyDescent="0.25">
      <c r="E473" s="4"/>
      <c r="I473" s="4"/>
      <c r="K473" s="4"/>
      <c r="Q473" s="4"/>
    </row>
    <row r="474" spans="5:17" ht="15.75" customHeight="1" x14ac:dyDescent="0.25">
      <c r="E474" s="4"/>
      <c r="I474" s="4"/>
      <c r="K474" s="4"/>
      <c r="Q474" s="4"/>
    </row>
    <row r="475" spans="5:17" ht="15.75" customHeight="1" x14ac:dyDescent="0.25">
      <c r="E475" s="4"/>
      <c r="I475" s="4"/>
      <c r="K475" s="4"/>
      <c r="Q475" s="4"/>
    </row>
    <row r="476" spans="5:17" ht="15.75" customHeight="1" x14ac:dyDescent="0.25">
      <c r="E476" s="4"/>
      <c r="I476" s="4"/>
      <c r="K476" s="4"/>
      <c r="Q476" s="4"/>
    </row>
    <row r="477" spans="5:17" ht="15.75" customHeight="1" x14ac:dyDescent="0.25">
      <c r="E477" s="4"/>
      <c r="I477" s="4"/>
      <c r="K477" s="4"/>
      <c r="Q477" s="4"/>
    </row>
    <row r="478" spans="5:17" ht="15.75" customHeight="1" x14ac:dyDescent="0.25">
      <c r="E478" s="4"/>
      <c r="I478" s="4"/>
      <c r="K478" s="4"/>
      <c r="Q478" s="4"/>
    </row>
    <row r="479" spans="5:17" ht="15.75" customHeight="1" x14ac:dyDescent="0.25">
      <c r="E479" s="4"/>
      <c r="I479" s="4"/>
      <c r="K479" s="4"/>
      <c r="Q479" s="4"/>
    </row>
    <row r="480" spans="5:17" ht="15.75" customHeight="1" x14ac:dyDescent="0.25">
      <c r="E480" s="4"/>
      <c r="I480" s="4"/>
      <c r="K480" s="4"/>
      <c r="Q480" s="4"/>
    </row>
    <row r="481" spans="5:17" ht="15.75" customHeight="1" x14ac:dyDescent="0.25">
      <c r="E481" s="4"/>
      <c r="I481" s="4"/>
      <c r="K481" s="4"/>
      <c r="Q481" s="4"/>
    </row>
    <row r="482" spans="5:17" ht="15.75" customHeight="1" x14ac:dyDescent="0.25">
      <c r="E482" s="4"/>
      <c r="I482" s="4"/>
      <c r="K482" s="4"/>
      <c r="Q482" s="4"/>
    </row>
    <row r="483" spans="5:17" ht="15.75" customHeight="1" x14ac:dyDescent="0.25">
      <c r="E483" s="4"/>
      <c r="I483" s="4"/>
      <c r="K483" s="4"/>
      <c r="Q483" s="4"/>
    </row>
    <row r="484" spans="5:17" ht="15.75" customHeight="1" x14ac:dyDescent="0.25">
      <c r="E484" s="4"/>
      <c r="I484" s="4"/>
      <c r="K484" s="4"/>
      <c r="Q484" s="4"/>
    </row>
    <row r="485" spans="5:17" ht="15.75" customHeight="1" x14ac:dyDescent="0.25">
      <c r="E485" s="4"/>
      <c r="I485" s="4"/>
      <c r="K485" s="4"/>
      <c r="Q485" s="4"/>
    </row>
    <row r="486" spans="5:17" ht="15.75" customHeight="1" x14ac:dyDescent="0.25">
      <c r="E486" s="4"/>
      <c r="I486" s="4"/>
      <c r="K486" s="4"/>
      <c r="Q486" s="4"/>
    </row>
    <row r="487" spans="5:17" ht="15.75" customHeight="1" x14ac:dyDescent="0.25">
      <c r="E487" s="4"/>
      <c r="I487" s="4"/>
      <c r="K487" s="4"/>
      <c r="Q487" s="4"/>
    </row>
    <row r="488" spans="5:17" ht="15.75" customHeight="1" x14ac:dyDescent="0.25">
      <c r="E488" s="4"/>
      <c r="I488" s="4"/>
      <c r="K488" s="4"/>
      <c r="Q488" s="4"/>
    </row>
    <row r="489" spans="5:17" ht="15.75" customHeight="1" x14ac:dyDescent="0.25">
      <c r="E489" s="4"/>
      <c r="I489" s="4"/>
      <c r="K489" s="4"/>
      <c r="Q489" s="4"/>
    </row>
    <row r="490" spans="5:17" ht="15.75" customHeight="1" x14ac:dyDescent="0.25">
      <c r="E490" s="4"/>
      <c r="I490" s="4"/>
      <c r="K490" s="4"/>
      <c r="Q490" s="4"/>
    </row>
    <row r="491" spans="5:17" ht="15.75" customHeight="1" x14ac:dyDescent="0.25">
      <c r="E491" s="4"/>
      <c r="I491" s="4"/>
      <c r="K491" s="4"/>
      <c r="Q491" s="4"/>
    </row>
    <row r="492" spans="5:17" ht="15.75" customHeight="1" x14ac:dyDescent="0.25">
      <c r="E492" s="4"/>
      <c r="I492" s="4"/>
      <c r="K492" s="4"/>
      <c r="Q492" s="4"/>
    </row>
    <row r="493" spans="5:17" ht="15.75" customHeight="1" x14ac:dyDescent="0.25">
      <c r="E493" s="4"/>
      <c r="I493" s="4"/>
      <c r="K493" s="4"/>
      <c r="Q493" s="4"/>
    </row>
    <row r="494" spans="5:17" ht="15.75" customHeight="1" x14ac:dyDescent="0.25">
      <c r="E494" s="4"/>
      <c r="I494" s="4"/>
      <c r="K494" s="4"/>
      <c r="Q494" s="4"/>
    </row>
    <row r="495" spans="5:17" ht="15.75" customHeight="1" x14ac:dyDescent="0.25">
      <c r="E495" s="4"/>
      <c r="I495" s="4"/>
      <c r="K495" s="4"/>
      <c r="Q495" s="4"/>
    </row>
    <row r="496" spans="5:17" ht="15.75" customHeight="1" x14ac:dyDescent="0.25">
      <c r="E496" s="4"/>
      <c r="I496" s="4"/>
      <c r="K496" s="4"/>
      <c r="Q496" s="4"/>
    </row>
    <row r="497" spans="5:17" ht="15.75" customHeight="1" x14ac:dyDescent="0.25">
      <c r="E497" s="4"/>
      <c r="I497" s="4"/>
      <c r="K497" s="4"/>
      <c r="Q497" s="4"/>
    </row>
    <row r="498" spans="5:17" ht="15.75" customHeight="1" x14ac:dyDescent="0.25">
      <c r="E498" s="4"/>
      <c r="I498" s="4"/>
      <c r="K498" s="4"/>
      <c r="Q498" s="4"/>
    </row>
    <row r="499" spans="5:17" ht="15.75" customHeight="1" x14ac:dyDescent="0.25">
      <c r="E499" s="4"/>
      <c r="I499" s="4"/>
      <c r="K499" s="4"/>
      <c r="Q499" s="4"/>
    </row>
    <row r="500" spans="5:17" ht="15.75" customHeight="1" x14ac:dyDescent="0.25">
      <c r="E500" s="4"/>
      <c r="I500" s="4"/>
      <c r="K500" s="4"/>
      <c r="Q500" s="4"/>
    </row>
    <row r="501" spans="5:17" ht="15.75" customHeight="1" x14ac:dyDescent="0.25">
      <c r="E501" s="4"/>
      <c r="I501" s="4"/>
      <c r="K501" s="4"/>
      <c r="Q501" s="4"/>
    </row>
    <row r="502" spans="5:17" ht="15.75" customHeight="1" x14ac:dyDescent="0.25">
      <c r="E502" s="4"/>
      <c r="I502" s="4"/>
      <c r="K502" s="4"/>
      <c r="Q502" s="4"/>
    </row>
    <row r="503" spans="5:17" ht="15.75" customHeight="1" x14ac:dyDescent="0.25">
      <c r="E503" s="4"/>
      <c r="I503" s="4"/>
      <c r="K503" s="4"/>
      <c r="Q503" s="4"/>
    </row>
    <row r="504" spans="5:17" ht="15.75" customHeight="1" x14ac:dyDescent="0.25">
      <c r="E504" s="4"/>
      <c r="I504" s="4"/>
      <c r="K504" s="4"/>
      <c r="Q504" s="4"/>
    </row>
    <row r="505" spans="5:17" ht="15.75" customHeight="1" x14ac:dyDescent="0.25">
      <c r="E505" s="4"/>
      <c r="I505" s="4"/>
      <c r="K505" s="4"/>
      <c r="Q505" s="4"/>
    </row>
    <row r="506" spans="5:17" ht="15.75" customHeight="1" x14ac:dyDescent="0.25">
      <c r="E506" s="4"/>
      <c r="I506" s="4"/>
      <c r="K506" s="4"/>
      <c r="Q506" s="4"/>
    </row>
    <row r="507" spans="5:17" ht="15.75" customHeight="1" x14ac:dyDescent="0.25">
      <c r="E507" s="4"/>
      <c r="I507" s="4"/>
      <c r="K507" s="4"/>
      <c r="Q507" s="4"/>
    </row>
    <row r="508" spans="5:17" ht="15.75" customHeight="1" x14ac:dyDescent="0.25">
      <c r="E508" s="4"/>
      <c r="I508" s="4"/>
      <c r="K508" s="4"/>
      <c r="Q508" s="4"/>
    </row>
    <row r="509" spans="5:17" ht="15.75" customHeight="1" x14ac:dyDescent="0.25">
      <c r="E509" s="4"/>
      <c r="I509" s="4"/>
      <c r="K509" s="4"/>
      <c r="Q509" s="4"/>
    </row>
    <row r="510" spans="5:17" ht="15.75" customHeight="1" x14ac:dyDescent="0.25">
      <c r="E510" s="4"/>
      <c r="I510" s="4"/>
      <c r="K510" s="4"/>
      <c r="Q510" s="4"/>
    </row>
    <row r="511" spans="5:17" ht="15.75" customHeight="1" x14ac:dyDescent="0.25">
      <c r="E511" s="4"/>
      <c r="I511" s="4"/>
      <c r="K511" s="4"/>
      <c r="Q511" s="4"/>
    </row>
    <row r="512" spans="5:17" ht="15.75" customHeight="1" x14ac:dyDescent="0.25">
      <c r="E512" s="4"/>
      <c r="I512" s="4"/>
      <c r="K512" s="4"/>
      <c r="Q512" s="4"/>
    </row>
    <row r="513" spans="5:17" ht="15.75" customHeight="1" x14ac:dyDescent="0.25">
      <c r="E513" s="4"/>
      <c r="I513" s="4"/>
      <c r="K513" s="4"/>
      <c r="Q513" s="4"/>
    </row>
    <row r="514" spans="5:17" ht="15.75" customHeight="1" x14ac:dyDescent="0.25">
      <c r="E514" s="4"/>
      <c r="I514" s="4"/>
      <c r="K514" s="4"/>
      <c r="Q514" s="4"/>
    </row>
    <row r="515" spans="5:17" ht="15.75" customHeight="1" x14ac:dyDescent="0.25">
      <c r="E515" s="4"/>
      <c r="I515" s="4"/>
      <c r="K515" s="4"/>
      <c r="Q515" s="4"/>
    </row>
    <row r="516" spans="5:17" ht="15.75" customHeight="1" x14ac:dyDescent="0.25">
      <c r="E516" s="4"/>
      <c r="I516" s="4"/>
      <c r="K516" s="4"/>
      <c r="Q516" s="4"/>
    </row>
    <row r="517" spans="5:17" ht="15.75" customHeight="1" x14ac:dyDescent="0.25">
      <c r="E517" s="4"/>
      <c r="I517" s="4"/>
      <c r="K517" s="4"/>
      <c r="Q517" s="4"/>
    </row>
    <row r="518" spans="5:17" ht="15.75" customHeight="1" x14ac:dyDescent="0.25">
      <c r="E518" s="4"/>
      <c r="I518" s="4"/>
      <c r="K518" s="4"/>
      <c r="Q518" s="4"/>
    </row>
    <row r="519" spans="5:17" ht="15.75" customHeight="1" x14ac:dyDescent="0.25">
      <c r="E519" s="4"/>
      <c r="I519" s="4"/>
      <c r="K519" s="4"/>
      <c r="Q519" s="4"/>
    </row>
    <row r="520" spans="5:17" ht="15.75" customHeight="1" x14ac:dyDescent="0.25">
      <c r="E520" s="4"/>
      <c r="I520" s="4"/>
      <c r="K520" s="4"/>
      <c r="Q520" s="4"/>
    </row>
    <row r="521" spans="5:17" ht="15.75" customHeight="1" x14ac:dyDescent="0.25">
      <c r="E521" s="4"/>
      <c r="I521" s="4"/>
      <c r="K521" s="4"/>
      <c r="Q521" s="4"/>
    </row>
    <row r="522" spans="5:17" ht="15.75" customHeight="1" x14ac:dyDescent="0.25">
      <c r="E522" s="4"/>
      <c r="I522" s="4"/>
      <c r="K522" s="4"/>
      <c r="Q522" s="4"/>
    </row>
    <row r="523" spans="5:17" ht="15.75" customHeight="1" x14ac:dyDescent="0.25">
      <c r="E523" s="4"/>
      <c r="I523" s="4"/>
      <c r="K523" s="4"/>
      <c r="Q523" s="4"/>
    </row>
    <row r="524" spans="5:17" ht="15.75" customHeight="1" x14ac:dyDescent="0.25">
      <c r="E524" s="4"/>
      <c r="I524" s="4"/>
      <c r="K524" s="4"/>
      <c r="Q524" s="4"/>
    </row>
    <row r="525" spans="5:17" ht="15.75" customHeight="1" x14ac:dyDescent="0.25">
      <c r="E525" s="4"/>
      <c r="I525" s="4"/>
      <c r="K525" s="4"/>
      <c r="Q525" s="4"/>
    </row>
    <row r="526" spans="5:17" ht="15.75" customHeight="1" x14ac:dyDescent="0.25">
      <c r="E526" s="4"/>
      <c r="I526" s="4"/>
      <c r="K526" s="4"/>
      <c r="Q526" s="4"/>
    </row>
    <row r="527" spans="5:17" ht="15.75" customHeight="1" x14ac:dyDescent="0.25">
      <c r="E527" s="4"/>
      <c r="I527" s="4"/>
      <c r="K527" s="4"/>
      <c r="Q527" s="4"/>
    </row>
    <row r="528" spans="5:17" ht="15.75" customHeight="1" x14ac:dyDescent="0.25">
      <c r="E528" s="4"/>
      <c r="I528" s="4"/>
      <c r="K528" s="4"/>
      <c r="Q528" s="4"/>
    </row>
    <row r="529" spans="5:17" ht="15.75" customHeight="1" x14ac:dyDescent="0.25">
      <c r="E529" s="4"/>
      <c r="I529" s="4"/>
      <c r="K529" s="4"/>
      <c r="Q529" s="4"/>
    </row>
    <row r="530" spans="5:17" ht="15.75" customHeight="1" x14ac:dyDescent="0.25">
      <c r="E530" s="4"/>
      <c r="I530" s="4"/>
      <c r="K530" s="4"/>
      <c r="Q530" s="4"/>
    </row>
    <row r="531" spans="5:17" ht="15.75" customHeight="1" x14ac:dyDescent="0.25">
      <c r="E531" s="4"/>
      <c r="I531" s="4"/>
      <c r="K531" s="4"/>
      <c r="Q531" s="4"/>
    </row>
    <row r="532" spans="5:17" ht="15.75" customHeight="1" x14ac:dyDescent="0.25">
      <c r="E532" s="4"/>
      <c r="I532" s="4"/>
      <c r="K532" s="4"/>
      <c r="Q532" s="4"/>
    </row>
    <row r="533" spans="5:17" ht="15.75" customHeight="1" x14ac:dyDescent="0.25">
      <c r="E533" s="4"/>
      <c r="I533" s="4"/>
      <c r="K533" s="4"/>
      <c r="Q533" s="4"/>
    </row>
    <row r="534" spans="5:17" ht="15.75" customHeight="1" x14ac:dyDescent="0.25">
      <c r="E534" s="4"/>
      <c r="I534" s="4"/>
      <c r="K534" s="4"/>
      <c r="Q534" s="4"/>
    </row>
    <row r="535" spans="5:17" ht="15.75" customHeight="1" x14ac:dyDescent="0.25">
      <c r="E535" s="4"/>
      <c r="I535" s="4"/>
      <c r="K535" s="4"/>
      <c r="Q535" s="4"/>
    </row>
    <row r="536" spans="5:17" ht="15.75" customHeight="1" x14ac:dyDescent="0.25">
      <c r="E536" s="4"/>
      <c r="I536" s="4"/>
      <c r="K536" s="4"/>
      <c r="Q536" s="4"/>
    </row>
    <row r="537" spans="5:17" ht="15.75" customHeight="1" x14ac:dyDescent="0.25">
      <c r="E537" s="4"/>
      <c r="I537" s="4"/>
      <c r="K537" s="4"/>
      <c r="Q537" s="4"/>
    </row>
    <row r="538" spans="5:17" ht="15.75" customHeight="1" x14ac:dyDescent="0.25">
      <c r="E538" s="4"/>
      <c r="I538" s="4"/>
      <c r="K538" s="4"/>
      <c r="Q538" s="4"/>
    </row>
    <row r="539" spans="5:17" ht="15.75" customHeight="1" x14ac:dyDescent="0.25">
      <c r="E539" s="4"/>
      <c r="I539" s="4"/>
      <c r="K539" s="4"/>
      <c r="Q539" s="4"/>
    </row>
    <row r="540" spans="5:17" ht="15.75" customHeight="1" x14ac:dyDescent="0.25">
      <c r="E540" s="4"/>
      <c r="I540" s="4"/>
      <c r="K540" s="4"/>
      <c r="Q540" s="4"/>
    </row>
    <row r="541" spans="5:17" ht="15.75" customHeight="1" x14ac:dyDescent="0.25">
      <c r="E541" s="4"/>
      <c r="I541" s="4"/>
      <c r="K541" s="4"/>
      <c r="Q541" s="4"/>
    </row>
    <row r="542" spans="5:17" ht="15.75" customHeight="1" x14ac:dyDescent="0.25">
      <c r="E542" s="4"/>
      <c r="I542" s="4"/>
      <c r="K542" s="4"/>
      <c r="Q542" s="4"/>
    </row>
    <row r="543" spans="5:17" ht="15.75" customHeight="1" x14ac:dyDescent="0.25">
      <c r="E543" s="4"/>
      <c r="I543" s="4"/>
      <c r="K543" s="4"/>
      <c r="Q543" s="4"/>
    </row>
    <row r="544" spans="5:17" ht="15.75" customHeight="1" x14ac:dyDescent="0.25">
      <c r="E544" s="4"/>
      <c r="I544" s="4"/>
      <c r="K544" s="4"/>
      <c r="Q544" s="4"/>
    </row>
    <row r="545" spans="5:17" ht="15.75" customHeight="1" x14ac:dyDescent="0.25">
      <c r="E545" s="4"/>
      <c r="I545" s="4"/>
      <c r="K545" s="4"/>
      <c r="Q545" s="4"/>
    </row>
    <row r="546" spans="5:17" ht="15.75" customHeight="1" x14ac:dyDescent="0.25">
      <c r="E546" s="4"/>
      <c r="I546" s="4"/>
      <c r="K546" s="4"/>
      <c r="Q546" s="4"/>
    </row>
    <row r="547" spans="5:17" ht="15.75" customHeight="1" x14ac:dyDescent="0.25">
      <c r="E547" s="4"/>
      <c r="I547" s="4"/>
      <c r="K547" s="4"/>
      <c r="Q547" s="4"/>
    </row>
    <row r="548" spans="5:17" ht="15.75" customHeight="1" x14ac:dyDescent="0.25">
      <c r="E548" s="4"/>
      <c r="I548" s="4"/>
      <c r="K548" s="4"/>
      <c r="Q548" s="4"/>
    </row>
    <row r="549" spans="5:17" ht="15.75" customHeight="1" x14ac:dyDescent="0.25">
      <c r="E549" s="4"/>
      <c r="I549" s="4"/>
      <c r="K549" s="4"/>
      <c r="Q549" s="4"/>
    </row>
    <row r="550" spans="5:17" ht="15.75" customHeight="1" x14ac:dyDescent="0.25">
      <c r="E550" s="4"/>
      <c r="I550" s="4"/>
      <c r="K550" s="4"/>
      <c r="Q550" s="4"/>
    </row>
    <row r="551" spans="5:17" ht="15.75" customHeight="1" x14ac:dyDescent="0.25">
      <c r="E551" s="4"/>
      <c r="I551" s="4"/>
      <c r="K551" s="4"/>
      <c r="Q551" s="4"/>
    </row>
    <row r="552" spans="5:17" ht="15.75" customHeight="1" x14ac:dyDescent="0.25">
      <c r="E552" s="4"/>
      <c r="I552" s="4"/>
      <c r="K552" s="4"/>
      <c r="Q552" s="4"/>
    </row>
    <row r="553" spans="5:17" ht="15.75" customHeight="1" x14ac:dyDescent="0.25">
      <c r="E553" s="4"/>
      <c r="I553" s="4"/>
      <c r="K553" s="4"/>
      <c r="Q553" s="4"/>
    </row>
    <row r="554" spans="5:17" ht="15.75" customHeight="1" x14ac:dyDescent="0.25">
      <c r="E554" s="4"/>
      <c r="I554" s="4"/>
      <c r="K554" s="4"/>
      <c r="Q554" s="4"/>
    </row>
    <row r="555" spans="5:17" ht="15.75" customHeight="1" x14ac:dyDescent="0.25">
      <c r="E555" s="4"/>
      <c r="I555" s="4"/>
      <c r="K555" s="4"/>
      <c r="Q555" s="4"/>
    </row>
    <row r="556" spans="5:17" ht="15.75" customHeight="1" x14ac:dyDescent="0.25">
      <c r="E556" s="4"/>
      <c r="I556" s="4"/>
      <c r="K556" s="4"/>
      <c r="Q556" s="4"/>
    </row>
    <row r="557" spans="5:17" ht="15.75" customHeight="1" x14ac:dyDescent="0.25">
      <c r="E557" s="4"/>
      <c r="I557" s="4"/>
      <c r="K557" s="4"/>
      <c r="Q557" s="4"/>
    </row>
    <row r="558" spans="5:17" ht="15.75" customHeight="1" x14ac:dyDescent="0.25">
      <c r="E558" s="4"/>
      <c r="I558" s="4"/>
      <c r="K558" s="4"/>
      <c r="Q558" s="4"/>
    </row>
    <row r="559" spans="5:17" ht="15.75" customHeight="1" x14ac:dyDescent="0.25">
      <c r="E559" s="4"/>
      <c r="I559" s="4"/>
      <c r="K559" s="4"/>
      <c r="Q559" s="4"/>
    </row>
    <row r="560" spans="5:17" ht="15.75" customHeight="1" x14ac:dyDescent="0.25">
      <c r="E560" s="4"/>
      <c r="I560" s="4"/>
      <c r="K560" s="4"/>
      <c r="Q560" s="4"/>
    </row>
    <row r="561" spans="5:17" ht="15.75" customHeight="1" x14ac:dyDescent="0.25">
      <c r="E561" s="4"/>
      <c r="I561" s="4"/>
      <c r="K561" s="4"/>
      <c r="Q561" s="4"/>
    </row>
    <row r="562" spans="5:17" ht="15.75" customHeight="1" x14ac:dyDescent="0.25">
      <c r="E562" s="4"/>
      <c r="I562" s="4"/>
      <c r="K562" s="4"/>
      <c r="Q562" s="4"/>
    </row>
    <row r="563" spans="5:17" ht="15.75" customHeight="1" x14ac:dyDescent="0.25">
      <c r="E563" s="4"/>
      <c r="I563" s="4"/>
      <c r="K563" s="4"/>
      <c r="Q563" s="4"/>
    </row>
    <row r="564" spans="5:17" ht="15.75" customHeight="1" x14ac:dyDescent="0.25">
      <c r="E564" s="4"/>
      <c r="I564" s="4"/>
      <c r="K564" s="4"/>
      <c r="Q564" s="4"/>
    </row>
    <row r="565" spans="5:17" ht="15.75" customHeight="1" x14ac:dyDescent="0.25">
      <c r="E565" s="4"/>
      <c r="I565" s="4"/>
      <c r="K565" s="4"/>
      <c r="Q565" s="4"/>
    </row>
    <row r="566" spans="5:17" ht="15.75" customHeight="1" x14ac:dyDescent="0.25">
      <c r="E566" s="4"/>
      <c r="I566" s="4"/>
      <c r="K566" s="4"/>
      <c r="Q566" s="4"/>
    </row>
    <row r="567" spans="5:17" ht="15.75" customHeight="1" x14ac:dyDescent="0.25">
      <c r="E567" s="4"/>
      <c r="I567" s="4"/>
      <c r="K567" s="4"/>
      <c r="Q567" s="4"/>
    </row>
    <row r="568" spans="5:17" ht="15.75" customHeight="1" x14ac:dyDescent="0.25">
      <c r="E568" s="4"/>
      <c r="I568" s="4"/>
      <c r="K568" s="4"/>
      <c r="Q568" s="4"/>
    </row>
    <row r="569" spans="5:17" ht="15.75" customHeight="1" x14ac:dyDescent="0.25">
      <c r="E569" s="4"/>
      <c r="I569" s="4"/>
      <c r="K569" s="4"/>
      <c r="Q569" s="4"/>
    </row>
    <row r="570" spans="5:17" ht="15.75" customHeight="1" x14ac:dyDescent="0.25">
      <c r="E570" s="4"/>
      <c r="I570" s="4"/>
      <c r="K570" s="4"/>
      <c r="Q570" s="4"/>
    </row>
    <row r="571" spans="5:17" ht="15.75" customHeight="1" x14ac:dyDescent="0.25">
      <c r="E571" s="4"/>
      <c r="I571" s="4"/>
      <c r="K571" s="4"/>
      <c r="Q571" s="4"/>
    </row>
    <row r="572" spans="5:17" ht="15.75" customHeight="1" x14ac:dyDescent="0.25">
      <c r="E572" s="4"/>
      <c r="I572" s="4"/>
      <c r="K572" s="4"/>
      <c r="Q572" s="4"/>
    </row>
    <row r="573" spans="5:17" ht="15.75" customHeight="1" x14ac:dyDescent="0.25">
      <c r="E573" s="4"/>
      <c r="I573" s="4"/>
      <c r="K573" s="4"/>
      <c r="Q573" s="4"/>
    </row>
    <row r="574" spans="5:17" ht="15.75" customHeight="1" x14ac:dyDescent="0.25">
      <c r="E574" s="4"/>
      <c r="I574" s="4"/>
      <c r="K574" s="4"/>
      <c r="Q574" s="4"/>
    </row>
    <row r="575" spans="5:17" ht="15.75" customHeight="1" x14ac:dyDescent="0.25">
      <c r="E575" s="4"/>
      <c r="I575" s="4"/>
      <c r="K575" s="4"/>
      <c r="Q575" s="4"/>
    </row>
    <row r="576" spans="5:17" ht="15.75" customHeight="1" x14ac:dyDescent="0.25">
      <c r="E576" s="4"/>
      <c r="I576" s="4"/>
      <c r="K576" s="4"/>
      <c r="Q576" s="4"/>
    </row>
    <row r="577" spans="5:17" ht="15.75" customHeight="1" x14ac:dyDescent="0.25">
      <c r="E577" s="4"/>
      <c r="I577" s="4"/>
      <c r="K577" s="4"/>
      <c r="Q577" s="4"/>
    </row>
    <row r="578" spans="5:17" ht="15.75" customHeight="1" x14ac:dyDescent="0.25">
      <c r="E578" s="4"/>
      <c r="I578" s="4"/>
      <c r="K578" s="4"/>
      <c r="Q578" s="4"/>
    </row>
    <row r="579" spans="5:17" ht="15.75" customHeight="1" x14ac:dyDescent="0.25">
      <c r="E579" s="4"/>
      <c r="I579" s="4"/>
      <c r="K579" s="4"/>
      <c r="Q579" s="4"/>
    </row>
    <row r="580" spans="5:17" ht="15.75" customHeight="1" x14ac:dyDescent="0.25">
      <c r="E580" s="4"/>
      <c r="I580" s="4"/>
      <c r="K580" s="4"/>
      <c r="Q580" s="4"/>
    </row>
    <row r="581" spans="5:17" ht="15.75" customHeight="1" x14ac:dyDescent="0.25">
      <c r="E581" s="4"/>
      <c r="I581" s="4"/>
      <c r="K581" s="4"/>
      <c r="Q581" s="4"/>
    </row>
    <row r="582" spans="5:17" ht="15.75" customHeight="1" x14ac:dyDescent="0.25">
      <c r="E582" s="4"/>
      <c r="I582" s="4"/>
      <c r="K582" s="4"/>
      <c r="Q582" s="4"/>
    </row>
    <row r="583" spans="5:17" ht="15.75" customHeight="1" x14ac:dyDescent="0.25">
      <c r="E583" s="4"/>
      <c r="I583" s="4"/>
      <c r="K583" s="4"/>
      <c r="Q583" s="4"/>
    </row>
    <row r="584" spans="5:17" ht="15.75" customHeight="1" x14ac:dyDescent="0.25">
      <c r="E584" s="4"/>
      <c r="I584" s="4"/>
      <c r="K584" s="4"/>
      <c r="Q584" s="4"/>
    </row>
    <row r="585" spans="5:17" ht="15.75" customHeight="1" x14ac:dyDescent="0.25">
      <c r="E585" s="4"/>
      <c r="I585" s="4"/>
      <c r="K585" s="4"/>
      <c r="Q585" s="4"/>
    </row>
    <row r="586" spans="5:17" ht="15.75" customHeight="1" x14ac:dyDescent="0.25">
      <c r="E586" s="4"/>
      <c r="I586" s="4"/>
      <c r="K586" s="4"/>
      <c r="Q586" s="4"/>
    </row>
    <row r="587" spans="5:17" ht="15.75" customHeight="1" x14ac:dyDescent="0.25">
      <c r="E587" s="4"/>
      <c r="I587" s="4"/>
      <c r="K587" s="4"/>
      <c r="Q587" s="4"/>
    </row>
    <row r="588" spans="5:17" ht="15.75" customHeight="1" x14ac:dyDescent="0.25">
      <c r="E588" s="4"/>
      <c r="I588" s="4"/>
      <c r="K588" s="4"/>
      <c r="Q588" s="4"/>
    </row>
    <row r="589" spans="5:17" ht="15.75" customHeight="1" x14ac:dyDescent="0.25">
      <c r="E589" s="4"/>
      <c r="I589" s="4"/>
      <c r="K589" s="4"/>
      <c r="Q589" s="4"/>
    </row>
    <row r="590" spans="5:17" ht="15.75" customHeight="1" x14ac:dyDescent="0.25">
      <c r="E590" s="4"/>
      <c r="I590" s="4"/>
      <c r="K590" s="4"/>
      <c r="Q590" s="4"/>
    </row>
    <row r="591" spans="5:17" ht="15.75" customHeight="1" x14ac:dyDescent="0.25">
      <c r="E591" s="4"/>
      <c r="I591" s="4"/>
      <c r="K591" s="4"/>
      <c r="Q591" s="4"/>
    </row>
    <row r="592" spans="5:17" ht="15.75" customHeight="1" x14ac:dyDescent="0.25">
      <c r="E592" s="4"/>
      <c r="I592" s="4"/>
      <c r="K592" s="4"/>
      <c r="Q592" s="4"/>
    </row>
    <row r="593" spans="5:17" ht="15.75" customHeight="1" x14ac:dyDescent="0.25">
      <c r="E593" s="4"/>
      <c r="I593" s="4"/>
      <c r="K593" s="4"/>
      <c r="Q593" s="4"/>
    </row>
    <row r="594" spans="5:17" ht="15.75" customHeight="1" x14ac:dyDescent="0.25">
      <c r="E594" s="4"/>
      <c r="I594" s="4"/>
      <c r="K594" s="4"/>
      <c r="Q594" s="4"/>
    </row>
    <row r="595" spans="5:17" ht="15.75" customHeight="1" x14ac:dyDescent="0.25">
      <c r="E595" s="4"/>
      <c r="I595" s="4"/>
      <c r="K595" s="4"/>
      <c r="Q595" s="4"/>
    </row>
    <row r="596" spans="5:17" ht="15.75" customHeight="1" x14ac:dyDescent="0.25">
      <c r="E596" s="4"/>
      <c r="I596" s="4"/>
      <c r="K596" s="4"/>
      <c r="Q596" s="4"/>
    </row>
    <row r="597" spans="5:17" ht="15.75" customHeight="1" x14ac:dyDescent="0.25">
      <c r="E597" s="4"/>
      <c r="I597" s="4"/>
      <c r="K597" s="4"/>
      <c r="Q597" s="4"/>
    </row>
    <row r="598" spans="5:17" ht="15.75" customHeight="1" x14ac:dyDescent="0.25">
      <c r="E598" s="4"/>
      <c r="I598" s="4"/>
      <c r="K598" s="4"/>
      <c r="Q598" s="4"/>
    </row>
    <row r="599" spans="5:17" ht="15.75" customHeight="1" x14ac:dyDescent="0.25">
      <c r="E599" s="4"/>
      <c r="I599" s="4"/>
      <c r="K599" s="4"/>
      <c r="Q599" s="4"/>
    </row>
    <row r="600" spans="5:17" ht="15.75" customHeight="1" x14ac:dyDescent="0.25">
      <c r="E600" s="4"/>
      <c r="I600" s="4"/>
      <c r="K600" s="4"/>
      <c r="Q600" s="4"/>
    </row>
    <row r="601" spans="5:17" ht="15.75" customHeight="1" x14ac:dyDescent="0.25">
      <c r="E601" s="4"/>
      <c r="I601" s="4"/>
      <c r="K601" s="4"/>
      <c r="Q601" s="4"/>
    </row>
    <row r="602" spans="5:17" ht="15.75" customHeight="1" x14ac:dyDescent="0.25">
      <c r="E602" s="4"/>
      <c r="I602" s="4"/>
      <c r="K602" s="4"/>
      <c r="Q602" s="4"/>
    </row>
    <row r="603" spans="5:17" ht="15.75" customHeight="1" x14ac:dyDescent="0.25">
      <c r="E603" s="4"/>
      <c r="I603" s="4"/>
      <c r="K603" s="4"/>
      <c r="Q603" s="4"/>
    </row>
    <row r="604" spans="5:17" ht="15.75" customHeight="1" x14ac:dyDescent="0.25">
      <c r="E604" s="4"/>
      <c r="I604" s="4"/>
      <c r="K604" s="4"/>
      <c r="Q604" s="4"/>
    </row>
    <row r="605" spans="5:17" ht="15.75" customHeight="1" x14ac:dyDescent="0.25">
      <c r="E605" s="4"/>
      <c r="I605" s="4"/>
      <c r="K605" s="4"/>
      <c r="Q605" s="4"/>
    </row>
    <row r="606" spans="5:17" ht="15.75" customHeight="1" x14ac:dyDescent="0.25">
      <c r="E606" s="4"/>
      <c r="I606" s="4"/>
      <c r="K606" s="4"/>
      <c r="Q606" s="4"/>
    </row>
    <row r="607" spans="5:17" ht="15.75" customHeight="1" x14ac:dyDescent="0.25">
      <c r="E607" s="4"/>
      <c r="I607" s="4"/>
      <c r="K607" s="4"/>
      <c r="Q607" s="4"/>
    </row>
    <row r="608" spans="5:17" ht="15.75" customHeight="1" x14ac:dyDescent="0.25">
      <c r="E608" s="4"/>
      <c r="I608" s="4"/>
      <c r="K608" s="4"/>
      <c r="Q608" s="4"/>
    </row>
    <row r="609" spans="5:17" ht="15.75" customHeight="1" x14ac:dyDescent="0.25">
      <c r="E609" s="4"/>
      <c r="I609" s="4"/>
      <c r="K609" s="4"/>
      <c r="Q609" s="4"/>
    </row>
    <row r="610" spans="5:17" ht="15.75" customHeight="1" x14ac:dyDescent="0.25">
      <c r="E610" s="4"/>
      <c r="I610" s="4"/>
      <c r="K610" s="4"/>
      <c r="Q610" s="4"/>
    </row>
    <row r="611" spans="5:17" ht="15.75" customHeight="1" x14ac:dyDescent="0.25">
      <c r="E611" s="4"/>
      <c r="I611" s="4"/>
      <c r="K611" s="4"/>
      <c r="Q611" s="4"/>
    </row>
    <row r="612" spans="5:17" ht="15.75" customHeight="1" x14ac:dyDescent="0.25">
      <c r="E612" s="4"/>
      <c r="I612" s="4"/>
      <c r="K612" s="4"/>
      <c r="Q612" s="4"/>
    </row>
    <row r="613" spans="5:17" ht="15.75" customHeight="1" x14ac:dyDescent="0.25">
      <c r="E613" s="4"/>
      <c r="I613" s="4"/>
      <c r="K613" s="4"/>
      <c r="Q613" s="4"/>
    </row>
    <row r="614" spans="5:17" ht="15.75" customHeight="1" x14ac:dyDescent="0.25">
      <c r="E614" s="4"/>
      <c r="I614" s="4"/>
      <c r="K614" s="4"/>
      <c r="Q614" s="4"/>
    </row>
    <row r="615" spans="5:17" ht="15.75" customHeight="1" x14ac:dyDescent="0.25">
      <c r="E615" s="4"/>
      <c r="I615" s="4"/>
      <c r="K615" s="4"/>
      <c r="Q615" s="4"/>
    </row>
    <row r="616" spans="5:17" ht="15.75" customHeight="1" x14ac:dyDescent="0.25">
      <c r="E616" s="4"/>
      <c r="I616" s="4"/>
      <c r="K616" s="4"/>
      <c r="Q616" s="4"/>
    </row>
    <row r="617" spans="5:17" ht="15.75" customHeight="1" x14ac:dyDescent="0.25">
      <c r="E617" s="4"/>
      <c r="I617" s="4"/>
      <c r="K617" s="4"/>
      <c r="Q617" s="4"/>
    </row>
    <row r="618" spans="5:17" ht="15.75" customHeight="1" x14ac:dyDescent="0.25">
      <c r="E618" s="4"/>
      <c r="I618" s="4"/>
      <c r="K618" s="4"/>
      <c r="Q618" s="4"/>
    </row>
    <row r="619" spans="5:17" ht="15.75" customHeight="1" x14ac:dyDescent="0.25">
      <c r="E619" s="4"/>
      <c r="I619" s="4"/>
      <c r="K619" s="4"/>
      <c r="Q619" s="4"/>
    </row>
    <row r="620" spans="5:17" ht="15.75" customHeight="1" x14ac:dyDescent="0.25">
      <c r="E620" s="4"/>
      <c r="I620" s="4"/>
      <c r="K620" s="4"/>
      <c r="Q620" s="4"/>
    </row>
    <row r="621" spans="5:17" ht="15.75" customHeight="1" x14ac:dyDescent="0.25">
      <c r="E621" s="4"/>
      <c r="I621" s="4"/>
      <c r="K621" s="4"/>
      <c r="Q621" s="4"/>
    </row>
    <row r="622" spans="5:17" ht="15.75" customHeight="1" x14ac:dyDescent="0.25">
      <c r="E622" s="4"/>
      <c r="I622" s="4"/>
      <c r="K622" s="4"/>
      <c r="Q622" s="4"/>
    </row>
    <row r="623" spans="5:17" ht="15.75" customHeight="1" x14ac:dyDescent="0.25">
      <c r="E623" s="4"/>
      <c r="I623" s="4"/>
      <c r="K623" s="4"/>
      <c r="Q623" s="4"/>
    </row>
    <row r="624" spans="5:17" ht="15.75" customHeight="1" x14ac:dyDescent="0.25">
      <c r="E624" s="4"/>
      <c r="I624" s="4"/>
      <c r="K624" s="4"/>
      <c r="Q624" s="4"/>
    </row>
    <row r="625" spans="5:17" ht="15.75" customHeight="1" x14ac:dyDescent="0.25">
      <c r="E625" s="4"/>
      <c r="I625" s="4"/>
      <c r="K625" s="4"/>
      <c r="Q625" s="4"/>
    </row>
    <row r="626" spans="5:17" ht="15.75" customHeight="1" x14ac:dyDescent="0.25">
      <c r="E626" s="4"/>
      <c r="I626" s="4"/>
      <c r="K626" s="4"/>
      <c r="Q626" s="4"/>
    </row>
    <row r="627" spans="5:17" ht="15.75" customHeight="1" x14ac:dyDescent="0.25">
      <c r="E627" s="4"/>
      <c r="I627" s="4"/>
      <c r="K627" s="4"/>
      <c r="Q627" s="4"/>
    </row>
    <row r="628" spans="5:17" ht="15.75" customHeight="1" x14ac:dyDescent="0.25">
      <c r="E628" s="4"/>
      <c r="I628" s="4"/>
      <c r="K628" s="4"/>
      <c r="Q628" s="4"/>
    </row>
    <row r="629" spans="5:17" ht="15.75" customHeight="1" x14ac:dyDescent="0.25">
      <c r="E629" s="4"/>
      <c r="I629" s="4"/>
      <c r="K629" s="4"/>
      <c r="Q629" s="4"/>
    </row>
    <row r="630" spans="5:17" ht="15.75" customHeight="1" x14ac:dyDescent="0.25">
      <c r="E630" s="4"/>
      <c r="I630" s="4"/>
      <c r="K630" s="4"/>
      <c r="Q630" s="4"/>
    </row>
    <row r="631" spans="5:17" ht="15.75" customHeight="1" x14ac:dyDescent="0.25">
      <c r="E631" s="4"/>
      <c r="I631" s="4"/>
      <c r="K631" s="4"/>
      <c r="Q631" s="4"/>
    </row>
    <row r="632" spans="5:17" ht="15.75" customHeight="1" x14ac:dyDescent="0.25">
      <c r="E632" s="4"/>
      <c r="I632" s="4"/>
      <c r="K632" s="4"/>
      <c r="Q632" s="4"/>
    </row>
    <row r="633" spans="5:17" ht="15.75" customHeight="1" x14ac:dyDescent="0.25">
      <c r="E633" s="4"/>
      <c r="I633" s="4"/>
      <c r="K633" s="4"/>
      <c r="Q633" s="4"/>
    </row>
    <row r="634" spans="5:17" ht="15.75" customHeight="1" x14ac:dyDescent="0.25">
      <c r="E634" s="4"/>
      <c r="I634" s="4"/>
      <c r="K634" s="4"/>
      <c r="Q634" s="4"/>
    </row>
    <row r="635" spans="5:17" ht="15.75" customHeight="1" x14ac:dyDescent="0.25">
      <c r="E635" s="4"/>
      <c r="I635" s="4"/>
      <c r="K635" s="4"/>
      <c r="Q635" s="4"/>
    </row>
    <row r="636" spans="5:17" ht="15.75" customHeight="1" x14ac:dyDescent="0.25">
      <c r="E636" s="4"/>
      <c r="I636" s="4"/>
      <c r="K636" s="4"/>
      <c r="Q636" s="4"/>
    </row>
    <row r="637" spans="5:17" ht="15.75" customHeight="1" x14ac:dyDescent="0.25">
      <c r="E637" s="4"/>
      <c r="I637" s="4"/>
      <c r="K637" s="4"/>
      <c r="Q637" s="4"/>
    </row>
    <row r="638" spans="5:17" ht="15.75" customHeight="1" x14ac:dyDescent="0.25">
      <c r="E638" s="4"/>
      <c r="I638" s="4"/>
      <c r="K638" s="4"/>
      <c r="Q638" s="4"/>
    </row>
    <row r="639" spans="5:17" ht="15.75" customHeight="1" x14ac:dyDescent="0.25">
      <c r="E639" s="4"/>
      <c r="I639" s="4"/>
      <c r="K639" s="4"/>
      <c r="Q639" s="4"/>
    </row>
    <row r="640" spans="5:17" ht="15.75" customHeight="1" x14ac:dyDescent="0.25">
      <c r="E640" s="4"/>
      <c r="I640" s="4"/>
      <c r="K640" s="4"/>
      <c r="Q640" s="4"/>
    </row>
    <row r="641" spans="5:17" ht="15.75" customHeight="1" x14ac:dyDescent="0.25">
      <c r="E641" s="4"/>
      <c r="I641" s="4"/>
      <c r="K641" s="4"/>
      <c r="Q641" s="4"/>
    </row>
    <row r="642" spans="5:17" ht="15.75" customHeight="1" x14ac:dyDescent="0.25">
      <c r="E642" s="4"/>
      <c r="I642" s="4"/>
      <c r="K642" s="4"/>
      <c r="Q642" s="4"/>
    </row>
    <row r="643" spans="5:17" ht="15.75" customHeight="1" x14ac:dyDescent="0.25">
      <c r="E643" s="4"/>
      <c r="I643" s="4"/>
      <c r="K643" s="4"/>
      <c r="Q643" s="4"/>
    </row>
    <row r="644" spans="5:17" ht="15.75" customHeight="1" x14ac:dyDescent="0.25">
      <c r="E644" s="4"/>
      <c r="I644" s="4"/>
      <c r="K644" s="4"/>
      <c r="Q644" s="4"/>
    </row>
    <row r="645" spans="5:17" ht="15.75" customHeight="1" x14ac:dyDescent="0.25">
      <c r="E645" s="4"/>
      <c r="I645" s="4"/>
      <c r="K645" s="4"/>
      <c r="Q645" s="4"/>
    </row>
    <row r="646" spans="5:17" ht="15.75" customHeight="1" x14ac:dyDescent="0.25">
      <c r="E646" s="4"/>
      <c r="I646" s="4"/>
      <c r="K646" s="4"/>
      <c r="Q646" s="4"/>
    </row>
    <row r="647" spans="5:17" ht="15.75" customHeight="1" x14ac:dyDescent="0.25">
      <c r="E647" s="4"/>
      <c r="I647" s="4"/>
      <c r="K647" s="4"/>
      <c r="Q647" s="4"/>
    </row>
    <row r="648" spans="5:17" ht="15.75" customHeight="1" x14ac:dyDescent="0.25">
      <c r="E648" s="4"/>
      <c r="I648" s="4"/>
      <c r="K648" s="4"/>
      <c r="Q648" s="4"/>
    </row>
    <row r="649" spans="5:17" ht="15.75" customHeight="1" x14ac:dyDescent="0.25">
      <c r="E649" s="4"/>
      <c r="I649" s="4"/>
      <c r="K649" s="4"/>
      <c r="Q649" s="4"/>
    </row>
    <row r="650" spans="5:17" ht="15.75" customHeight="1" x14ac:dyDescent="0.25">
      <c r="E650" s="4"/>
      <c r="I650" s="4"/>
      <c r="K650" s="4"/>
      <c r="Q650" s="4"/>
    </row>
    <row r="651" spans="5:17" ht="15.75" customHeight="1" x14ac:dyDescent="0.25">
      <c r="E651" s="4"/>
      <c r="I651" s="4"/>
      <c r="K651" s="4"/>
      <c r="Q651" s="4"/>
    </row>
    <row r="652" spans="5:17" ht="15.75" customHeight="1" x14ac:dyDescent="0.25">
      <c r="E652" s="4"/>
      <c r="I652" s="4"/>
      <c r="K652" s="4"/>
      <c r="Q652" s="4"/>
    </row>
    <row r="653" spans="5:17" ht="15.75" customHeight="1" x14ac:dyDescent="0.25">
      <c r="E653" s="4"/>
      <c r="I653" s="4"/>
      <c r="K653" s="4"/>
      <c r="Q653" s="4"/>
    </row>
    <row r="654" spans="5:17" ht="15.75" customHeight="1" x14ac:dyDescent="0.25">
      <c r="E654" s="4"/>
      <c r="I654" s="4"/>
      <c r="K654" s="4"/>
      <c r="Q654" s="4"/>
    </row>
    <row r="655" spans="5:17" ht="15.75" customHeight="1" x14ac:dyDescent="0.25">
      <c r="E655" s="4"/>
      <c r="I655" s="4"/>
      <c r="K655" s="4"/>
      <c r="Q655" s="4"/>
    </row>
    <row r="656" spans="5:17" ht="15.75" customHeight="1" x14ac:dyDescent="0.25">
      <c r="E656" s="4"/>
      <c r="I656" s="4"/>
      <c r="K656" s="4"/>
      <c r="Q656" s="4"/>
    </row>
    <row r="657" spans="5:17" ht="15.75" customHeight="1" x14ac:dyDescent="0.25">
      <c r="E657" s="4"/>
      <c r="I657" s="4"/>
      <c r="K657" s="4"/>
      <c r="Q657" s="4"/>
    </row>
    <row r="658" spans="5:17" ht="15.75" customHeight="1" x14ac:dyDescent="0.25">
      <c r="E658" s="4"/>
      <c r="I658" s="4"/>
      <c r="K658" s="4"/>
      <c r="Q658" s="4"/>
    </row>
    <row r="659" spans="5:17" ht="15.75" customHeight="1" x14ac:dyDescent="0.25">
      <c r="E659" s="4"/>
      <c r="I659" s="4"/>
      <c r="K659" s="4"/>
      <c r="Q659" s="4"/>
    </row>
    <row r="660" spans="5:17" ht="15.75" customHeight="1" x14ac:dyDescent="0.25">
      <c r="E660" s="4"/>
      <c r="I660" s="4"/>
      <c r="K660" s="4"/>
      <c r="Q660" s="4"/>
    </row>
    <row r="661" spans="5:17" ht="15.75" customHeight="1" x14ac:dyDescent="0.25">
      <c r="E661" s="4"/>
      <c r="I661" s="4"/>
      <c r="K661" s="4"/>
      <c r="Q661" s="4"/>
    </row>
    <row r="662" spans="5:17" ht="15.75" customHeight="1" x14ac:dyDescent="0.25">
      <c r="E662" s="4"/>
      <c r="I662" s="4"/>
      <c r="K662" s="4"/>
      <c r="Q662" s="4"/>
    </row>
    <row r="663" spans="5:17" ht="15.75" customHeight="1" x14ac:dyDescent="0.25">
      <c r="E663" s="4"/>
      <c r="I663" s="4"/>
      <c r="K663" s="4"/>
      <c r="Q663" s="4"/>
    </row>
    <row r="664" spans="5:17" ht="15.75" customHeight="1" x14ac:dyDescent="0.25">
      <c r="E664" s="4"/>
      <c r="I664" s="4"/>
      <c r="K664" s="4"/>
      <c r="Q664" s="4"/>
    </row>
    <row r="665" spans="5:17" ht="15.75" customHeight="1" x14ac:dyDescent="0.25">
      <c r="E665" s="4"/>
      <c r="I665" s="4"/>
      <c r="K665" s="4"/>
      <c r="Q665" s="4"/>
    </row>
    <row r="666" spans="5:17" ht="15.75" customHeight="1" x14ac:dyDescent="0.25">
      <c r="E666" s="4"/>
      <c r="I666" s="4"/>
      <c r="K666" s="4"/>
      <c r="Q666" s="4"/>
    </row>
    <row r="667" spans="5:17" ht="15.75" customHeight="1" x14ac:dyDescent="0.25">
      <c r="E667" s="4"/>
      <c r="I667" s="4"/>
      <c r="K667" s="4"/>
      <c r="Q667" s="4"/>
    </row>
    <row r="668" spans="5:17" ht="15.75" customHeight="1" x14ac:dyDescent="0.25">
      <c r="E668" s="4"/>
      <c r="I668" s="4"/>
      <c r="K668" s="4"/>
      <c r="Q668" s="4"/>
    </row>
    <row r="669" spans="5:17" ht="15.75" customHeight="1" x14ac:dyDescent="0.25">
      <c r="E669" s="4"/>
      <c r="I669" s="4"/>
      <c r="K669" s="4"/>
      <c r="Q669" s="4"/>
    </row>
    <row r="670" spans="5:17" ht="15.75" customHeight="1" x14ac:dyDescent="0.25">
      <c r="E670" s="4"/>
      <c r="I670" s="4"/>
      <c r="K670" s="4"/>
      <c r="Q670" s="4"/>
    </row>
    <row r="671" spans="5:17" ht="15.75" customHeight="1" x14ac:dyDescent="0.25">
      <c r="E671" s="4"/>
      <c r="I671" s="4"/>
      <c r="K671" s="4"/>
      <c r="Q671" s="4"/>
    </row>
    <row r="672" spans="5:17" ht="15.75" customHeight="1" x14ac:dyDescent="0.25">
      <c r="E672" s="4"/>
      <c r="I672" s="4"/>
      <c r="K672" s="4"/>
      <c r="Q672" s="4"/>
    </row>
    <row r="673" spans="5:17" ht="15.75" customHeight="1" x14ac:dyDescent="0.25">
      <c r="E673" s="4"/>
      <c r="I673" s="4"/>
      <c r="K673" s="4"/>
      <c r="Q673" s="4"/>
    </row>
    <row r="674" spans="5:17" ht="15.75" customHeight="1" x14ac:dyDescent="0.25">
      <c r="E674" s="4"/>
      <c r="I674" s="4"/>
      <c r="K674" s="4"/>
      <c r="Q674" s="4"/>
    </row>
    <row r="675" spans="5:17" ht="15.75" customHeight="1" x14ac:dyDescent="0.25">
      <c r="E675" s="4"/>
      <c r="I675" s="4"/>
      <c r="K675" s="4"/>
      <c r="Q675" s="4"/>
    </row>
    <row r="676" spans="5:17" ht="15.75" customHeight="1" x14ac:dyDescent="0.25">
      <c r="E676" s="4"/>
      <c r="I676" s="4"/>
      <c r="K676" s="4"/>
      <c r="Q676" s="4"/>
    </row>
    <row r="677" spans="5:17" ht="15.75" customHeight="1" x14ac:dyDescent="0.25">
      <c r="E677" s="4"/>
      <c r="I677" s="4"/>
      <c r="K677" s="4"/>
      <c r="Q677" s="4"/>
    </row>
    <row r="678" spans="5:17" ht="15.75" customHeight="1" x14ac:dyDescent="0.25">
      <c r="E678" s="4"/>
      <c r="I678" s="4"/>
      <c r="K678" s="4"/>
      <c r="Q678" s="4"/>
    </row>
    <row r="679" spans="5:17" ht="15.75" customHeight="1" x14ac:dyDescent="0.25">
      <c r="E679" s="4"/>
      <c r="I679" s="4"/>
      <c r="K679" s="4"/>
      <c r="Q679" s="4"/>
    </row>
    <row r="680" spans="5:17" ht="15.75" customHeight="1" x14ac:dyDescent="0.25">
      <c r="E680" s="4"/>
      <c r="I680" s="4"/>
      <c r="K680" s="4"/>
      <c r="Q680" s="4"/>
    </row>
    <row r="681" spans="5:17" ht="15.75" customHeight="1" x14ac:dyDescent="0.25">
      <c r="E681" s="4"/>
      <c r="I681" s="4"/>
      <c r="K681" s="4"/>
      <c r="Q681" s="4"/>
    </row>
    <row r="682" spans="5:17" ht="15.75" customHeight="1" x14ac:dyDescent="0.25">
      <c r="E682" s="4"/>
      <c r="I682" s="4"/>
      <c r="K682" s="4"/>
      <c r="Q682" s="4"/>
    </row>
    <row r="683" spans="5:17" ht="15.75" customHeight="1" x14ac:dyDescent="0.25">
      <c r="E683" s="4"/>
      <c r="I683" s="4"/>
      <c r="K683" s="4"/>
      <c r="Q683" s="4"/>
    </row>
    <row r="684" spans="5:17" ht="15.75" customHeight="1" x14ac:dyDescent="0.25">
      <c r="E684" s="4"/>
      <c r="I684" s="4"/>
      <c r="K684" s="4"/>
      <c r="Q684" s="4"/>
    </row>
    <row r="685" spans="5:17" ht="15.75" customHeight="1" x14ac:dyDescent="0.25">
      <c r="E685" s="4"/>
      <c r="I685" s="4"/>
      <c r="K685" s="4"/>
      <c r="Q685" s="4"/>
    </row>
    <row r="686" spans="5:17" ht="15.75" customHeight="1" x14ac:dyDescent="0.25">
      <c r="E686" s="4"/>
      <c r="I686" s="4"/>
      <c r="K686" s="4"/>
      <c r="Q686" s="4"/>
    </row>
    <row r="687" spans="5:17" ht="15.75" customHeight="1" x14ac:dyDescent="0.25">
      <c r="E687" s="4"/>
      <c r="I687" s="4"/>
      <c r="K687" s="4"/>
      <c r="Q687" s="4"/>
    </row>
    <row r="688" spans="5:17" ht="15.75" customHeight="1" x14ac:dyDescent="0.25">
      <c r="E688" s="4"/>
      <c r="I688" s="4"/>
      <c r="K688" s="4"/>
      <c r="Q688" s="4"/>
    </row>
    <row r="689" spans="5:17" ht="15.75" customHeight="1" x14ac:dyDescent="0.25">
      <c r="E689" s="4"/>
      <c r="I689" s="4"/>
      <c r="K689" s="4"/>
      <c r="Q689" s="4"/>
    </row>
    <row r="690" spans="5:17" ht="15.75" customHeight="1" x14ac:dyDescent="0.25">
      <c r="E690" s="4"/>
      <c r="I690" s="4"/>
      <c r="K690" s="4"/>
      <c r="Q690" s="4"/>
    </row>
    <row r="691" spans="5:17" ht="15.75" customHeight="1" x14ac:dyDescent="0.25">
      <c r="E691" s="4"/>
      <c r="I691" s="4"/>
      <c r="K691" s="4"/>
      <c r="Q691" s="4"/>
    </row>
    <row r="692" spans="5:17" ht="15.75" customHeight="1" x14ac:dyDescent="0.25">
      <c r="E692" s="4"/>
      <c r="I692" s="4"/>
      <c r="K692" s="4"/>
      <c r="Q692" s="4"/>
    </row>
    <row r="693" spans="5:17" ht="15.75" customHeight="1" x14ac:dyDescent="0.25">
      <c r="E693" s="4"/>
      <c r="I693" s="4"/>
      <c r="K693" s="4"/>
      <c r="Q693" s="4"/>
    </row>
    <row r="694" spans="5:17" ht="15.75" customHeight="1" x14ac:dyDescent="0.25">
      <c r="E694" s="4"/>
      <c r="I694" s="4"/>
      <c r="K694" s="4"/>
      <c r="Q694" s="4"/>
    </row>
    <row r="695" spans="5:17" ht="15.75" customHeight="1" x14ac:dyDescent="0.25">
      <c r="E695" s="4"/>
      <c r="I695" s="4"/>
      <c r="K695" s="4"/>
      <c r="Q695" s="4"/>
    </row>
    <row r="696" spans="5:17" ht="15.75" customHeight="1" x14ac:dyDescent="0.25">
      <c r="E696" s="4"/>
      <c r="I696" s="4"/>
      <c r="K696" s="4"/>
      <c r="Q696" s="4"/>
    </row>
    <row r="697" spans="5:17" ht="15.75" customHeight="1" x14ac:dyDescent="0.25">
      <c r="E697" s="4"/>
      <c r="I697" s="4"/>
      <c r="K697" s="4"/>
      <c r="Q697" s="4"/>
    </row>
    <row r="698" spans="5:17" ht="15.75" customHeight="1" x14ac:dyDescent="0.25">
      <c r="E698" s="4"/>
      <c r="I698" s="4"/>
      <c r="K698" s="4"/>
      <c r="Q698" s="4"/>
    </row>
    <row r="699" spans="5:17" ht="15.75" customHeight="1" x14ac:dyDescent="0.25">
      <c r="E699" s="4"/>
      <c r="I699" s="4"/>
      <c r="K699" s="4"/>
      <c r="Q699" s="4"/>
    </row>
    <row r="700" spans="5:17" ht="15.75" customHeight="1" x14ac:dyDescent="0.25">
      <c r="E700" s="4"/>
      <c r="I700" s="4"/>
      <c r="K700" s="4"/>
      <c r="Q700" s="4"/>
    </row>
    <row r="701" spans="5:17" ht="15.75" customHeight="1" x14ac:dyDescent="0.25">
      <c r="E701" s="4"/>
      <c r="I701" s="4"/>
      <c r="K701" s="4"/>
      <c r="Q701" s="4"/>
    </row>
    <row r="702" spans="5:17" ht="15.75" customHeight="1" x14ac:dyDescent="0.25">
      <c r="E702" s="4"/>
      <c r="I702" s="4"/>
      <c r="K702" s="4"/>
      <c r="Q702" s="4"/>
    </row>
    <row r="703" spans="5:17" ht="15.75" customHeight="1" x14ac:dyDescent="0.25">
      <c r="E703" s="4"/>
      <c r="I703" s="4"/>
      <c r="K703" s="4"/>
      <c r="Q703" s="4"/>
    </row>
    <row r="704" spans="5:17" ht="15.75" customHeight="1" x14ac:dyDescent="0.25">
      <c r="E704" s="4"/>
      <c r="I704" s="4"/>
      <c r="K704" s="4"/>
      <c r="Q704" s="4"/>
    </row>
    <row r="705" spans="5:17" ht="15.75" customHeight="1" x14ac:dyDescent="0.25">
      <c r="E705" s="4"/>
      <c r="I705" s="4"/>
      <c r="K705" s="4"/>
      <c r="Q705" s="4"/>
    </row>
    <row r="706" spans="5:17" ht="15.75" customHeight="1" x14ac:dyDescent="0.25">
      <c r="E706" s="4"/>
      <c r="I706" s="4"/>
      <c r="K706" s="4"/>
      <c r="Q706" s="4"/>
    </row>
    <row r="707" spans="5:17" ht="15.75" customHeight="1" x14ac:dyDescent="0.25">
      <c r="E707" s="4"/>
      <c r="I707" s="4"/>
      <c r="K707" s="4"/>
      <c r="Q707" s="4"/>
    </row>
    <row r="708" spans="5:17" ht="15.75" customHeight="1" x14ac:dyDescent="0.25">
      <c r="E708" s="4"/>
      <c r="I708" s="4"/>
      <c r="K708" s="4"/>
      <c r="Q708" s="4"/>
    </row>
    <row r="709" spans="5:17" ht="15.75" customHeight="1" x14ac:dyDescent="0.25">
      <c r="E709" s="4"/>
      <c r="I709" s="4"/>
      <c r="K709" s="4"/>
      <c r="Q709" s="4"/>
    </row>
    <row r="710" spans="5:17" ht="15.75" customHeight="1" x14ac:dyDescent="0.25">
      <c r="E710" s="4"/>
      <c r="I710" s="4"/>
      <c r="K710" s="4"/>
      <c r="Q710" s="4"/>
    </row>
    <row r="711" spans="5:17" ht="15.75" customHeight="1" x14ac:dyDescent="0.25">
      <c r="E711" s="4"/>
      <c r="I711" s="4"/>
      <c r="K711" s="4"/>
      <c r="Q711" s="4"/>
    </row>
    <row r="712" spans="5:17" ht="15.75" customHeight="1" x14ac:dyDescent="0.25">
      <c r="E712" s="4"/>
      <c r="I712" s="4"/>
      <c r="K712" s="4"/>
      <c r="Q712" s="4"/>
    </row>
    <row r="713" spans="5:17" ht="15.75" customHeight="1" x14ac:dyDescent="0.25">
      <c r="E713" s="4"/>
      <c r="I713" s="4"/>
      <c r="K713" s="4"/>
      <c r="Q713" s="4"/>
    </row>
    <row r="714" spans="5:17" ht="15.75" customHeight="1" x14ac:dyDescent="0.25">
      <c r="E714" s="4"/>
      <c r="I714" s="4"/>
      <c r="K714" s="4"/>
      <c r="Q714" s="4"/>
    </row>
    <row r="715" spans="5:17" ht="15.75" customHeight="1" x14ac:dyDescent="0.25">
      <c r="E715" s="4"/>
      <c r="I715" s="4"/>
      <c r="K715" s="4"/>
      <c r="Q715" s="4"/>
    </row>
    <row r="716" spans="5:17" ht="15.75" customHeight="1" x14ac:dyDescent="0.25">
      <c r="E716" s="4"/>
      <c r="I716" s="4"/>
      <c r="K716" s="4"/>
      <c r="Q716" s="4"/>
    </row>
    <row r="717" spans="5:17" ht="15.75" customHeight="1" x14ac:dyDescent="0.25">
      <c r="E717" s="4"/>
      <c r="I717" s="4"/>
      <c r="K717" s="4"/>
      <c r="Q717" s="4"/>
    </row>
    <row r="718" spans="5:17" ht="15.75" customHeight="1" x14ac:dyDescent="0.25">
      <c r="E718" s="4"/>
      <c r="I718" s="4"/>
      <c r="K718" s="4"/>
      <c r="Q718" s="4"/>
    </row>
    <row r="719" spans="5:17" ht="15.75" customHeight="1" x14ac:dyDescent="0.25">
      <c r="E719" s="4"/>
      <c r="I719" s="4"/>
      <c r="K719" s="4"/>
      <c r="Q719" s="4"/>
    </row>
    <row r="720" spans="5:17" ht="15.75" customHeight="1" x14ac:dyDescent="0.25">
      <c r="E720" s="4"/>
      <c r="I720" s="4"/>
      <c r="K720" s="4"/>
      <c r="Q720" s="4"/>
    </row>
    <row r="721" spans="5:17" ht="15.75" customHeight="1" x14ac:dyDescent="0.25">
      <c r="E721" s="4"/>
      <c r="I721" s="4"/>
      <c r="K721" s="4"/>
      <c r="Q721" s="4"/>
    </row>
    <row r="722" spans="5:17" ht="15.75" customHeight="1" x14ac:dyDescent="0.25">
      <c r="E722" s="4"/>
      <c r="I722" s="4"/>
      <c r="K722" s="4"/>
      <c r="Q722" s="4"/>
    </row>
    <row r="723" spans="5:17" ht="15.75" customHeight="1" x14ac:dyDescent="0.25">
      <c r="E723" s="4"/>
      <c r="I723" s="4"/>
      <c r="K723" s="4"/>
      <c r="Q723" s="4"/>
    </row>
    <row r="724" spans="5:17" ht="15.75" customHeight="1" x14ac:dyDescent="0.25">
      <c r="E724" s="4"/>
      <c r="I724" s="4"/>
      <c r="K724" s="4"/>
      <c r="Q724" s="4"/>
    </row>
    <row r="725" spans="5:17" ht="15.75" customHeight="1" x14ac:dyDescent="0.25">
      <c r="E725" s="4"/>
      <c r="I725" s="4"/>
      <c r="K725" s="4"/>
      <c r="Q725" s="4"/>
    </row>
    <row r="726" spans="5:17" ht="15.75" customHeight="1" x14ac:dyDescent="0.25">
      <c r="E726" s="4"/>
      <c r="I726" s="4"/>
      <c r="K726" s="4"/>
      <c r="Q726" s="4"/>
    </row>
    <row r="727" spans="5:17" ht="15.75" customHeight="1" x14ac:dyDescent="0.25">
      <c r="E727" s="4"/>
      <c r="I727" s="4"/>
      <c r="K727" s="4"/>
      <c r="Q727" s="4"/>
    </row>
    <row r="728" spans="5:17" ht="15.75" customHeight="1" x14ac:dyDescent="0.25">
      <c r="E728" s="4"/>
      <c r="I728" s="4"/>
      <c r="K728" s="4"/>
      <c r="Q728" s="4"/>
    </row>
    <row r="729" spans="5:17" ht="15.75" customHeight="1" x14ac:dyDescent="0.25">
      <c r="E729" s="4"/>
      <c r="I729" s="4"/>
      <c r="K729" s="4"/>
      <c r="Q729" s="4"/>
    </row>
    <row r="730" spans="5:17" ht="15.75" customHeight="1" x14ac:dyDescent="0.25">
      <c r="E730" s="4"/>
      <c r="I730" s="4"/>
      <c r="K730" s="4"/>
      <c r="Q730" s="4"/>
    </row>
    <row r="731" spans="5:17" ht="15.75" customHeight="1" x14ac:dyDescent="0.25">
      <c r="E731" s="4"/>
      <c r="I731" s="4"/>
      <c r="K731" s="4"/>
      <c r="Q731" s="4"/>
    </row>
    <row r="732" spans="5:17" ht="15.75" customHeight="1" x14ac:dyDescent="0.25">
      <c r="E732" s="4"/>
      <c r="I732" s="4"/>
      <c r="K732" s="4"/>
      <c r="Q732" s="4"/>
    </row>
    <row r="733" spans="5:17" ht="15.75" customHeight="1" x14ac:dyDescent="0.25">
      <c r="E733" s="4"/>
      <c r="I733" s="4"/>
      <c r="K733" s="4"/>
      <c r="Q733" s="4"/>
    </row>
    <row r="734" spans="5:17" ht="15.75" customHeight="1" x14ac:dyDescent="0.25">
      <c r="E734" s="4"/>
      <c r="I734" s="4"/>
      <c r="K734" s="4"/>
      <c r="Q734" s="4"/>
    </row>
    <row r="735" spans="5:17" ht="15.75" customHeight="1" x14ac:dyDescent="0.25">
      <c r="E735" s="4"/>
      <c r="I735" s="4"/>
      <c r="K735" s="4"/>
      <c r="Q735" s="4"/>
    </row>
    <row r="736" spans="5:17" ht="15.75" customHeight="1" x14ac:dyDescent="0.25">
      <c r="E736" s="4"/>
      <c r="I736" s="4"/>
      <c r="K736" s="4"/>
      <c r="Q736" s="4"/>
    </row>
    <row r="737" spans="5:17" ht="15.75" customHeight="1" x14ac:dyDescent="0.25">
      <c r="E737" s="4"/>
      <c r="I737" s="4"/>
      <c r="K737" s="4"/>
      <c r="Q737" s="4"/>
    </row>
    <row r="738" spans="5:17" ht="15.75" customHeight="1" x14ac:dyDescent="0.25">
      <c r="E738" s="4"/>
      <c r="I738" s="4"/>
      <c r="K738" s="4"/>
      <c r="Q738" s="4"/>
    </row>
    <row r="739" spans="5:17" ht="15.75" customHeight="1" x14ac:dyDescent="0.25">
      <c r="E739" s="4"/>
      <c r="I739" s="4"/>
      <c r="K739" s="4"/>
      <c r="Q739" s="4"/>
    </row>
    <row r="740" spans="5:17" ht="15.75" customHeight="1" x14ac:dyDescent="0.25">
      <c r="E740" s="4"/>
      <c r="I740" s="4"/>
      <c r="K740" s="4"/>
      <c r="Q740" s="4"/>
    </row>
    <row r="741" spans="5:17" ht="15.75" customHeight="1" x14ac:dyDescent="0.25">
      <c r="E741" s="4"/>
      <c r="I741" s="4"/>
      <c r="K741" s="4"/>
      <c r="Q741" s="4"/>
    </row>
    <row r="742" spans="5:17" ht="15.75" customHeight="1" x14ac:dyDescent="0.25">
      <c r="E742" s="4"/>
      <c r="I742" s="4"/>
      <c r="K742" s="4"/>
      <c r="Q742" s="4"/>
    </row>
    <row r="743" spans="5:17" ht="15.75" customHeight="1" x14ac:dyDescent="0.25">
      <c r="E743" s="4"/>
      <c r="I743" s="4"/>
      <c r="K743" s="4"/>
      <c r="Q743" s="4"/>
    </row>
    <row r="744" spans="5:17" ht="15.75" customHeight="1" x14ac:dyDescent="0.25">
      <c r="E744" s="4"/>
      <c r="I744" s="4"/>
      <c r="K744" s="4"/>
      <c r="Q744" s="4"/>
    </row>
    <row r="745" spans="5:17" ht="15.75" customHeight="1" x14ac:dyDescent="0.25">
      <c r="E745" s="4"/>
      <c r="I745" s="4"/>
      <c r="K745" s="4"/>
      <c r="Q745" s="4"/>
    </row>
    <row r="746" spans="5:17" ht="15.75" customHeight="1" x14ac:dyDescent="0.25">
      <c r="E746" s="4"/>
      <c r="I746" s="4"/>
      <c r="K746" s="4"/>
      <c r="Q746" s="4"/>
    </row>
    <row r="747" spans="5:17" ht="15.75" customHeight="1" x14ac:dyDescent="0.25">
      <c r="E747" s="4"/>
      <c r="I747" s="4"/>
      <c r="K747" s="4"/>
      <c r="Q747" s="4"/>
    </row>
    <row r="748" spans="5:17" ht="15.75" customHeight="1" x14ac:dyDescent="0.25">
      <c r="E748" s="4"/>
      <c r="I748" s="4"/>
      <c r="K748" s="4"/>
      <c r="Q748" s="4"/>
    </row>
    <row r="749" spans="5:17" ht="15.75" customHeight="1" x14ac:dyDescent="0.25">
      <c r="E749" s="4"/>
      <c r="I749" s="4"/>
      <c r="K749" s="4"/>
      <c r="Q749" s="4"/>
    </row>
    <row r="750" spans="5:17" ht="15.75" customHeight="1" x14ac:dyDescent="0.25">
      <c r="E750" s="4"/>
      <c r="I750" s="4"/>
      <c r="K750" s="4"/>
      <c r="Q750" s="4"/>
    </row>
    <row r="751" spans="5:17" ht="15.75" customHeight="1" x14ac:dyDescent="0.25">
      <c r="E751" s="4"/>
      <c r="I751" s="4"/>
      <c r="K751" s="4"/>
      <c r="Q751" s="4"/>
    </row>
    <row r="752" spans="5:17" ht="15.75" customHeight="1" x14ac:dyDescent="0.25">
      <c r="E752" s="4"/>
      <c r="I752" s="4"/>
      <c r="K752" s="4"/>
      <c r="Q752" s="4"/>
    </row>
    <row r="753" spans="5:17" ht="15.75" customHeight="1" x14ac:dyDescent="0.25">
      <c r="E753" s="4"/>
      <c r="I753" s="4"/>
      <c r="K753" s="4"/>
      <c r="Q753" s="4"/>
    </row>
    <row r="754" spans="5:17" ht="15.75" customHeight="1" x14ac:dyDescent="0.25">
      <c r="E754" s="4"/>
      <c r="I754" s="4"/>
      <c r="K754" s="4"/>
      <c r="Q754" s="4"/>
    </row>
    <row r="755" spans="5:17" ht="15.75" customHeight="1" x14ac:dyDescent="0.25">
      <c r="E755" s="4"/>
      <c r="I755" s="4"/>
      <c r="K755" s="4"/>
      <c r="Q755" s="4"/>
    </row>
    <row r="756" spans="5:17" ht="15.75" customHeight="1" x14ac:dyDescent="0.25">
      <c r="E756" s="4"/>
      <c r="I756" s="4"/>
      <c r="K756" s="4"/>
      <c r="Q756" s="4"/>
    </row>
    <row r="757" spans="5:17" ht="15.75" customHeight="1" x14ac:dyDescent="0.25">
      <c r="E757" s="4"/>
      <c r="I757" s="4"/>
      <c r="K757" s="4"/>
      <c r="Q757" s="4"/>
    </row>
    <row r="758" spans="5:17" ht="15.75" customHeight="1" x14ac:dyDescent="0.25">
      <c r="E758" s="4"/>
      <c r="I758" s="4"/>
      <c r="K758" s="4"/>
      <c r="Q758" s="4"/>
    </row>
    <row r="759" spans="5:17" ht="15.75" customHeight="1" x14ac:dyDescent="0.25">
      <c r="E759" s="4"/>
      <c r="I759" s="4"/>
      <c r="K759" s="4"/>
      <c r="Q759" s="4"/>
    </row>
    <row r="760" spans="5:17" ht="15.75" customHeight="1" x14ac:dyDescent="0.25">
      <c r="E760" s="4"/>
      <c r="I760" s="4"/>
      <c r="K760" s="4"/>
      <c r="Q760" s="4"/>
    </row>
    <row r="761" spans="5:17" ht="15.75" customHeight="1" x14ac:dyDescent="0.25">
      <c r="E761" s="4"/>
      <c r="I761" s="4"/>
      <c r="K761" s="4"/>
      <c r="Q761" s="4"/>
    </row>
    <row r="762" spans="5:17" ht="15.75" customHeight="1" x14ac:dyDescent="0.25">
      <c r="E762" s="4"/>
      <c r="I762" s="4"/>
      <c r="K762" s="4"/>
      <c r="Q762" s="4"/>
    </row>
    <row r="763" spans="5:17" ht="15.75" customHeight="1" x14ac:dyDescent="0.25">
      <c r="E763" s="4"/>
      <c r="I763" s="4"/>
      <c r="K763" s="4"/>
      <c r="Q763" s="4"/>
    </row>
    <row r="764" spans="5:17" ht="15.75" customHeight="1" x14ac:dyDescent="0.25">
      <c r="E764" s="4"/>
      <c r="I764" s="4"/>
      <c r="K764" s="4"/>
      <c r="Q764" s="4"/>
    </row>
    <row r="765" spans="5:17" ht="15.75" customHeight="1" x14ac:dyDescent="0.25">
      <c r="E765" s="4"/>
      <c r="I765" s="4"/>
      <c r="K765" s="4"/>
      <c r="Q765" s="4"/>
    </row>
    <row r="766" spans="5:17" ht="15.75" customHeight="1" x14ac:dyDescent="0.25">
      <c r="E766" s="4"/>
      <c r="I766" s="4"/>
      <c r="K766" s="4"/>
      <c r="Q766" s="4"/>
    </row>
    <row r="767" spans="5:17" ht="15.75" customHeight="1" x14ac:dyDescent="0.25">
      <c r="E767" s="4"/>
      <c r="I767" s="4"/>
      <c r="K767" s="4"/>
      <c r="Q767" s="4"/>
    </row>
    <row r="768" spans="5:17" ht="15.75" customHeight="1" x14ac:dyDescent="0.25">
      <c r="E768" s="4"/>
      <c r="I768" s="4"/>
      <c r="K768" s="4"/>
      <c r="Q768" s="4"/>
    </row>
    <row r="769" spans="5:17" ht="15.75" customHeight="1" x14ac:dyDescent="0.25">
      <c r="E769" s="4"/>
      <c r="I769" s="4"/>
      <c r="K769" s="4"/>
      <c r="Q769" s="4"/>
    </row>
    <row r="770" spans="5:17" ht="15.75" customHeight="1" x14ac:dyDescent="0.25">
      <c r="E770" s="4"/>
      <c r="I770" s="4"/>
      <c r="K770" s="4"/>
      <c r="Q770" s="4"/>
    </row>
    <row r="771" spans="5:17" ht="15.75" customHeight="1" x14ac:dyDescent="0.25">
      <c r="E771" s="4"/>
      <c r="I771" s="4"/>
      <c r="K771" s="4"/>
      <c r="Q771" s="4"/>
    </row>
    <row r="772" spans="5:17" ht="15.75" customHeight="1" x14ac:dyDescent="0.25">
      <c r="E772" s="4"/>
      <c r="I772" s="4"/>
      <c r="K772" s="4"/>
      <c r="Q772" s="4"/>
    </row>
    <row r="773" spans="5:17" ht="15.75" customHeight="1" x14ac:dyDescent="0.25">
      <c r="E773" s="4"/>
      <c r="I773" s="4"/>
      <c r="K773" s="4"/>
      <c r="Q773" s="4"/>
    </row>
    <row r="774" spans="5:17" ht="15.75" customHeight="1" x14ac:dyDescent="0.25">
      <c r="E774" s="4"/>
      <c r="I774" s="4"/>
      <c r="K774" s="4"/>
      <c r="Q774" s="4"/>
    </row>
    <row r="775" spans="5:17" ht="15.75" customHeight="1" x14ac:dyDescent="0.25">
      <c r="E775" s="4"/>
      <c r="I775" s="4"/>
      <c r="K775" s="4"/>
      <c r="Q775" s="4"/>
    </row>
    <row r="776" spans="5:17" ht="15.75" customHeight="1" x14ac:dyDescent="0.25">
      <c r="E776" s="4"/>
      <c r="I776" s="4"/>
      <c r="K776" s="4"/>
      <c r="Q776" s="4"/>
    </row>
    <row r="777" spans="5:17" ht="15.75" customHeight="1" x14ac:dyDescent="0.25">
      <c r="E777" s="4"/>
      <c r="I777" s="4"/>
      <c r="K777" s="4"/>
      <c r="Q777" s="4"/>
    </row>
    <row r="778" spans="5:17" ht="15.75" customHeight="1" x14ac:dyDescent="0.25">
      <c r="E778" s="4"/>
      <c r="I778" s="4"/>
      <c r="K778" s="4"/>
      <c r="Q778" s="4"/>
    </row>
    <row r="779" spans="5:17" ht="15.75" customHeight="1" x14ac:dyDescent="0.25">
      <c r="E779" s="4"/>
      <c r="I779" s="4"/>
      <c r="K779" s="4"/>
      <c r="Q779" s="4"/>
    </row>
    <row r="780" spans="5:17" ht="15.75" customHeight="1" x14ac:dyDescent="0.25">
      <c r="E780" s="4"/>
      <c r="I780" s="4"/>
      <c r="K780" s="4"/>
      <c r="Q780" s="4"/>
    </row>
    <row r="781" spans="5:17" ht="15.75" customHeight="1" x14ac:dyDescent="0.25">
      <c r="E781" s="4"/>
      <c r="I781" s="4"/>
      <c r="K781" s="4"/>
      <c r="Q781" s="4"/>
    </row>
    <row r="782" spans="5:17" ht="15.75" customHeight="1" x14ac:dyDescent="0.25">
      <c r="E782" s="4"/>
      <c r="I782" s="4"/>
      <c r="K782" s="4"/>
      <c r="Q782" s="4"/>
    </row>
    <row r="783" spans="5:17" ht="15.75" customHeight="1" x14ac:dyDescent="0.25">
      <c r="E783" s="4"/>
      <c r="I783" s="4"/>
      <c r="K783" s="4"/>
      <c r="Q783" s="4"/>
    </row>
    <row r="784" spans="5:17" ht="15.75" customHeight="1" x14ac:dyDescent="0.25">
      <c r="E784" s="4"/>
      <c r="I784" s="4"/>
      <c r="K784" s="4"/>
      <c r="Q784" s="4"/>
    </row>
    <row r="785" spans="5:17" ht="15.75" customHeight="1" x14ac:dyDescent="0.25">
      <c r="E785" s="4"/>
      <c r="I785" s="4"/>
      <c r="K785" s="4"/>
      <c r="Q785" s="4"/>
    </row>
    <row r="786" spans="5:17" ht="15.75" customHeight="1" x14ac:dyDescent="0.25">
      <c r="E786" s="4"/>
      <c r="I786" s="4"/>
      <c r="K786" s="4"/>
      <c r="Q786" s="4"/>
    </row>
    <row r="787" spans="5:17" ht="15.75" customHeight="1" x14ac:dyDescent="0.25">
      <c r="E787" s="4"/>
      <c r="I787" s="4"/>
      <c r="K787" s="4"/>
      <c r="Q787" s="4"/>
    </row>
    <row r="788" spans="5:17" ht="15.75" customHeight="1" x14ac:dyDescent="0.25">
      <c r="E788" s="4"/>
      <c r="I788" s="4"/>
      <c r="K788" s="4"/>
      <c r="Q788" s="4"/>
    </row>
    <row r="789" spans="5:17" ht="15.75" customHeight="1" x14ac:dyDescent="0.25">
      <c r="E789" s="4"/>
      <c r="I789" s="4"/>
      <c r="K789" s="4"/>
      <c r="Q789" s="4"/>
    </row>
    <row r="790" spans="5:17" ht="15.75" customHeight="1" x14ac:dyDescent="0.25">
      <c r="E790" s="4"/>
      <c r="I790" s="4"/>
      <c r="K790" s="4"/>
      <c r="Q790" s="4"/>
    </row>
    <row r="791" spans="5:17" ht="15.75" customHeight="1" x14ac:dyDescent="0.25">
      <c r="E791" s="4"/>
      <c r="I791" s="4"/>
      <c r="K791" s="4"/>
      <c r="Q791" s="4"/>
    </row>
    <row r="792" spans="5:17" ht="15.75" customHeight="1" x14ac:dyDescent="0.25">
      <c r="E792" s="4"/>
      <c r="I792" s="4"/>
      <c r="K792" s="4"/>
      <c r="Q792" s="4"/>
    </row>
    <row r="793" spans="5:17" ht="15.75" customHeight="1" x14ac:dyDescent="0.25">
      <c r="E793" s="4"/>
      <c r="I793" s="4"/>
      <c r="K793" s="4"/>
      <c r="Q793" s="4"/>
    </row>
    <row r="794" spans="5:17" ht="15.75" customHeight="1" x14ac:dyDescent="0.25">
      <c r="E794" s="4"/>
      <c r="I794" s="4"/>
      <c r="K794" s="4"/>
      <c r="Q794" s="4"/>
    </row>
    <row r="795" spans="5:17" ht="15.75" customHeight="1" x14ac:dyDescent="0.25">
      <c r="E795" s="4"/>
      <c r="I795" s="4"/>
      <c r="K795" s="4"/>
      <c r="Q795" s="4"/>
    </row>
    <row r="796" spans="5:17" ht="15.75" customHeight="1" x14ac:dyDescent="0.25">
      <c r="E796" s="4"/>
      <c r="I796" s="4"/>
      <c r="K796" s="4"/>
      <c r="Q796" s="4"/>
    </row>
    <row r="797" spans="5:17" ht="15.75" customHeight="1" x14ac:dyDescent="0.25">
      <c r="E797" s="4"/>
      <c r="I797" s="4"/>
      <c r="K797" s="4"/>
      <c r="Q797" s="4"/>
    </row>
    <row r="798" spans="5:17" ht="15.75" customHeight="1" x14ac:dyDescent="0.25">
      <c r="E798" s="4"/>
      <c r="I798" s="4"/>
      <c r="K798" s="4"/>
      <c r="Q798" s="4"/>
    </row>
    <row r="799" spans="5:17" ht="15.75" customHeight="1" x14ac:dyDescent="0.25">
      <c r="E799" s="4"/>
      <c r="I799" s="4"/>
      <c r="K799" s="4"/>
      <c r="Q799" s="4"/>
    </row>
    <row r="800" spans="5:17" ht="15.75" customHeight="1" x14ac:dyDescent="0.25">
      <c r="E800" s="4"/>
      <c r="I800" s="4"/>
      <c r="K800" s="4"/>
      <c r="Q800" s="4"/>
    </row>
    <row r="801" spans="5:17" ht="15.75" customHeight="1" x14ac:dyDescent="0.25">
      <c r="E801" s="4"/>
      <c r="I801" s="4"/>
      <c r="K801" s="4"/>
      <c r="Q801" s="4"/>
    </row>
    <row r="802" spans="5:17" ht="15.75" customHeight="1" x14ac:dyDescent="0.25">
      <c r="E802" s="4"/>
      <c r="I802" s="4"/>
      <c r="K802" s="4"/>
      <c r="Q802" s="4"/>
    </row>
    <row r="803" spans="5:17" ht="15.75" customHeight="1" x14ac:dyDescent="0.25">
      <c r="E803" s="4"/>
      <c r="I803" s="4"/>
      <c r="K803" s="4"/>
      <c r="Q803" s="4"/>
    </row>
    <row r="804" spans="5:17" ht="15.75" customHeight="1" x14ac:dyDescent="0.25">
      <c r="E804" s="4"/>
      <c r="I804" s="4"/>
      <c r="K804" s="4"/>
      <c r="Q804" s="4"/>
    </row>
    <row r="805" spans="5:17" ht="15.75" customHeight="1" x14ac:dyDescent="0.25">
      <c r="E805" s="4"/>
      <c r="I805" s="4"/>
      <c r="K805" s="4"/>
      <c r="Q805" s="4"/>
    </row>
    <row r="806" spans="5:17" ht="15.75" customHeight="1" x14ac:dyDescent="0.25">
      <c r="E806" s="4"/>
      <c r="I806" s="4"/>
      <c r="K806" s="4"/>
      <c r="Q806" s="4"/>
    </row>
    <row r="807" spans="5:17" ht="15.75" customHeight="1" x14ac:dyDescent="0.25">
      <c r="E807" s="4"/>
      <c r="I807" s="4"/>
      <c r="K807" s="4"/>
      <c r="Q807" s="4"/>
    </row>
    <row r="808" spans="5:17" ht="15.75" customHeight="1" x14ac:dyDescent="0.25">
      <c r="E808" s="4"/>
      <c r="I808" s="4"/>
      <c r="K808" s="4"/>
      <c r="Q808" s="4"/>
    </row>
    <row r="809" spans="5:17" ht="15.75" customHeight="1" x14ac:dyDescent="0.25">
      <c r="E809" s="4"/>
      <c r="I809" s="4"/>
      <c r="K809" s="4"/>
      <c r="Q809" s="4"/>
    </row>
    <row r="810" spans="5:17" ht="15.75" customHeight="1" x14ac:dyDescent="0.25">
      <c r="E810" s="4"/>
      <c r="I810" s="4"/>
      <c r="K810" s="4"/>
      <c r="Q810" s="4"/>
    </row>
    <row r="811" spans="5:17" ht="15.75" customHeight="1" x14ac:dyDescent="0.25">
      <c r="E811" s="4"/>
      <c r="I811" s="4"/>
      <c r="K811" s="4"/>
      <c r="Q811" s="4"/>
    </row>
    <row r="812" spans="5:17" ht="15.75" customHeight="1" x14ac:dyDescent="0.25">
      <c r="E812" s="4"/>
      <c r="I812" s="4"/>
      <c r="K812" s="4"/>
      <c r="Q812" s="4"/>
    </row>
    <row r="813" spans="5:17" ht="15.75" customHeight="1" x14ac:dyDescent="0.25">
      <c r="E813" s="4"/>
      <c r="I813" s="4"/>
      <c r="K813" s="4"/>
      <c r="Q813" s="4"/>
    </row>
    <row r="814" spans="5:17" ht="15.75" customHeight="1" x14ac:dyDescent="0.25">
      <c r="E814" s="4"/>
      <c r="I814" s="4"/>
      <c r="K814" s="4"/>
      <c r="Q814" s="4"/>
    </row>
    <row r="815" spans="5:17" ht="15.75" customHeight="1" x14ac:dyDescent="0.25">
      <c r="E815" s="4"/>
      <c r="I815" s="4"/>
      <c r="K815" s="4"/>
      <c r="Q815" s="4"/>
    </row>
    <row r="816" spans="5:17" ht="15.75" customHeight="1" x14ac:dyDescent="0.25">
      <c r="E816" s="4"/>
      <c r="I816" s="4"/>
      <c r="K816" s="4"/>
      <c r="Q816" s="4"/>
    </row>
    <row r="817" spans="5:17" ht="15.75" customHeight="1" x14ac:dyDescent="0.25">
      <c r="E817" s="4"/>
      <c r="I817" s="4"/>
      <c r="K817" s="4"/>
      <c r="Q817" s="4"/>
    </row>
    <row r="818" spans="5:17" ht="15.75" customHeight="1" x14ac:dyDescent="0.25">
      <c r="E818" s="4"/>
      <c r="I818" s="4"/>
      <c r="K818" s="4"/>
      <c r="Q818" s="4"/>
    </row>
    <row r="819" spans="5:17" ht="15.75" customHeight="1" x14ac:dyDescent="0.25">
      <c r="E819" s="4"/>
      <c r="I819" s="4"/>
      <c r="K819" s="4"/>
      <c r="Q819" s="4"/>
    </row>
    <row r="820" spans="5:17" ht="15.75" customHeight="1" x14ac:dyDescent="0.25">
      <c r="E820" s="4"/>
      <c r="I820" s="4"/>
      <c r="K820" s="4"/>
      <c r="Q820" s="4"/>
    </row>
    <row r="821" spans="5:17" ht="15.75" customHeight="1" x14ac:dyDescent="0.25">
      <c r="E821" s="4"/>
      <c r="I821" s="4"/>
      <c r="K821" s="4"/>
      <c r="Q821" s="4"/>
    </row>
    <row r="822" spans="5:17" ht="15.75" customHeight="1" x14ac:dyDescent="0.25">
      <c r="E822" s="4"/>
      <c r="I822" s="4"/>
      <c r="K822" s="4"/>
      <c r="Q822" s="4"/>
    </row>
    <row r="823" spans="5:17" ht="15.75" customHeight="1" x14ac:dyDescent="0.25">
      <c r="E823" s="4"/>
      <c r="I823" s="4"/>
      <c r="K823" s="4"/>
      <c r="Q823" s="4"/>
    </row>
    <row r="824" spans="5:17" ht="15.75" customHeight="1" x14ac:dyDescent="0.25">
      <c r="E824" s="4"/>
      <c r="I824" s="4"/>
      <c r="K824" s="4"/>
      <c r="Q824" s="4"/>
    </row>
    <row r="825" spans="5:17" ht="15.75" customHeight="1" x14ac:dyDescent="0.25">
      <c r="E825" s="4"/>
      <c r="I825" s="4"/>
      <c r="K825" s="4"/>
      <c r="Q825" s="4"/>
    </row>
    <row r="826" spans="5:17" ht="15.75" customHeight="1" x14ac:dyDescent="0.25">
      <c r="E826" s="4"/>
      <c r="I826" s="4"/>
      <c r="K826" s="4"/>
      <c r="Q826" s="4"/>
    </row>
    <row r="827" spans="5:17" ht="15.75" customHeight="1" x14ac:dyDescent="0.25">
      <c r="E827" s="4"/>
      <c r="I827" s="4"/>
      <c r="K827" s="4"/>
      <c r="Q827" s="4"/>
    </row>
    <row r="828" spans="5:17" ht="15.75" customHeight="1" x14ac:dyDescent="0.25">
      <c r="E828" s="4"/>
      <c r="I828" s="4"/>
      <c r="K828" s="4"/>
      <c r="Q828" s="4"/>
    </row>
    <row r="829" spans="5:17" ht="15.75" customHeight="1" x14ac:dyDescent="0.25">
      <c r="E829" s="4"/>
      <c r="I829" s="4"/>
      <c r="K829" s="4"/>
      <c r="Q829" s="4"/>
    </row>
    <row r="830" spans="5:17" ht="15.75" customHeight="1" x14ac:dyDescent="0.25">
      <c r="E830" s="4"/>
      <c r="I830" s="4"/>
      <c r="K830" s="4"/>
      <c r="Q830" s="4"/>
    </row>
    <row r="831" spans="5:17" ht="15.75" customHeight="1" x14ac:dyDescent="0.25">
      <c r="E831" s="4"/>
      <c r="I831" s="4"/>
      <c r="K831" s="4"/>
      <c r="Q831" s="4"/>
    </row>
    <row r="832" spans="5:17" ht="15.75" customHeight="1" x14ac:dyDescent="0.25">
      <c r="E832" s="4"/>
      <c r="I832" s="4"/>
      <c r="K832" s="4"/>
      <c r="Q832" s="4"/>
    </row>
    <row r="833" spans="5:17" ht="15.75" customHeight="1" x14ac:dyDescent="0.25">
      <c r="E833" s="4"/>
      <c r="I833" s="4"/>
      <c r="K833" s="4"/>
      <c r="Q833" s="4"/>
    </row>
    <row r="834" spans="5:17" ht="15.75" customHeight="1" x14ac:dyDescent="0.25">
      <c r="E834" s="4"/>
      <c r="I834" s="4"/>
      <c r="K834" s="4"/>
      <c r="Q834" s="4"/>
    </row>
    <row r="835" spans="5:17" ht="15.75" customHeight="1" x14ac:dyDescent="0.25">
      <c r="E835" s="4"/>
      <c r="I835" s="4"/>
      <c r="K835" s="4"/>
      <c r="Q835" s="4"/>
    </row>
    <row r="836" spans="5:17" ht="15.75" customHeight="1" x14ac:dyDescent="0.25">
      <c r="E836" s="4"/>
      <c r="I836" s="4"/>
      <c r="K836" s="4"/>
      <c r="Q836" s="4"/>
    </row>
    <row r="837" spans="5:17" ht="15.75" customHeight="1" x14ac:dyDescent="0.25">
      <c r="E837" s="4"/>
      <c r="I837" s="4"/>
      <c r="K837" s="4"/>
      <c r="Q837" s="4"/>
    </row>
    <row r="838" spans="5:17" ht="15.75" customHeight="1" x14ac:dyDescent="0.25">
      <c r="E838" s="4"/>
      <c r="I838" s="4"/>
      <c r="K838" s="4"/>
      <c r="Q838" s="4"/>
    </row>
    <row r="839" spans="5:17" ht="15.75" customHeight="1" x14ac:dyDescent="0.25">
      <c r="E839" s="4"/>
      <c r="I839" s="4"/>
      <c r="K839" s="4"/>
      <c r="Q839" s="4"/>
    </row>
    <row r="840" spans="5:17" ht="15.75" customHeight="1" x14ac:dyDescent="0.25">
      <c r="E840" s="4"/>
      <c r="I840" s="4"/>
      <c r="K840" s="4"/>
      <c r="Q840" s="4"/>
    </row>
    <row r="841" spans="5:17" ht="15.75" customHeight="1" x14ac:dyDescent="0.25">
      <c r="E841" s="4"/>
      <c r="I841" s="4"/>
      <c r="K841" s="4"/>
      <c r="Q841" s="4"/>
    </row>
    <row r="842" spans="5:17" ht="15.75" customHeight="1" x14ac:dyDescent="0.25">
      <c r="E842" s="4"/>
      <c r="I842" s="4"/>
      <c r="K842" s="4"/>
      <c r="Q842" s="4"/>
    </row>
    <row r="843" spans="5:17" ht="15.75" customHeight="1" x14ac:dyDescent="0.25">
      <c r="E843" s="4"/>
      <c r="I843" s="4"/>
      <c r="K843" s="4"/>
      <c r="Q843" s="4"/>
    </row>
    <row r="844" spans="5:17" ht="15.75" customHeight="1" x14ac:dyDescent="0.25">
      <c r="E844" s="4"/>
      <c r="I844" s="4"/>
      <c r="K844" s="4"/>
      <c r="Q844" s="4"/>
    </row>
    <row r="845" spans="5:17" ht="15.75" customHeight="1" x14ac:dyDescent="0.25">
      <c r="E845" s="4"/>
      <c r="I845" s="4"/>
      <c r="K845" s="4"/>
      <c r="Q845" s="4"/>
    </row>
    <row r="846" spans="5:17" ht="15.75" customHeight="1" x14ac:dyDescent="0.25">
      <c r="E846" s="4"/>
      <c r="I846" s="4"/>
      <c r="K846" s="4"/>
      <c r="Q846" s="4"/>
    </row>
    <row r="847" spans="5:17" ht="15.75" customHeight="1" x14ac:dyDescent="0.25">
      <c r="E847" s="4"/>
      <c r="I847" s="4"/>
      <c r="K847" s="4"/>
      <c r="Q847" s="4"/>
    </row>
    <row r="848" spans="5:17" ht="15.75" customHeight="1" x14ac:dyDescent="0.25">
      <c r="E848" s="4"/>
      <c r="I848" s="4"/>
      <c r="K848" s="4"/>
      <c r="Q848" s="4"/>
    </row>
    <row r="849" spans="5:17" ht="15.75" customHeight="1" x14ac:dyDescent="0.25">
      <c r="E849" s="4"/>
      <c r="I849" s="4"/>
      <c r="K849" s="4"/>
      <c r="Q849" s="4"/>
    </row>
    <row r="850" spans="5:17" ht="15.75" customHeight="1" x14ac:dyDescent="0.25">
      <c r="E850" s="4"/>
      <c r="I850" s="4"/>
      <c r="K850" s="4"/>
      <c r="Q850" s="4"/>
    </row>
    <row r="851" spans="5:17" ht="15.75" customHeight="1" x14ac:dyDescent="0.25">
      <c r="E851" s="4"/>
      <c r="I851" s="4"/>
      <c r="K851" s="4"/>
      <c r="Q851" s="4"/>
    </row>
    <row r="852" spans="5:17" ht="15.75" customHeight="1" x14ac:dyDescent="0.25">
      <c r="E852" s="4"/>
      <c r="I852" s="4"/>
      <c r="K852" s="4"/>
      <c r="Q852" s="4"/>
    </row>
    <row r="853" spans="5:17" ht="15.75" customHeight="1" x14ac:dyDescent="0.25">
      <c r="E853" s="4"/>
      <c r="I853" s="4"/>
      <c r="K853" s="4"/>
      <c r="Q853" s="4"/>
    </row>
    <row r="854" spans="5:17" ht="15.75" customHeight="1" x14ac:dyDescent="0.25">
      <c r="E854" s="4"/>
      <c r="I854" s="4"/>
      <c r="K854" s="4"/>
      <c r="Q854" s="4"/>
    </row>
    <row r="855" spans="5:17" ht="15.75" customHeight="1" x14ac:dyDescent="0.25">
      <c r="E855" s="4"/>
      <c r="I855" s="4"/>
      <c r="K855" s="4"/>
      <c r="Q855" s="4"/>
    </row>
    <row r="856" spans="5:17" ht="15.75" customHeight="1" x14ac:dyDescent="0.25">
      <c r="E856" s="4"/>
      <c r="I856" s="4"/>
      <c r="K856" s="4"/>
      <c r="Q856" s="4"/>
    </row>
    <row r="857" spans="5:17" ht="15.75" customHeight="1" x14ac:dyDescent="0.25">
      <c r="E857" s="4"/>
      <c r="I857" s="4"/>
      <c r="K857" s="4"/>
      <c r="Q857" s="4"/>
    </row>
    <row r="858" spans="5:17" ht="15.75" customHeight="1" x14ac:dyDescent="0.25">
      <c r="E858" s="4"/>
      <c r="I858" s="4"/>
      <c r="K858" s="4"/>
      <c r="Q858" s="4"/>
    </row>
    <row r="859" spans="5:17" ht="15.75" customHeight="1" x14ac:dyDescent="0.25">
      <c r="E859" s="4"/>
      <c r="I859" s="4"/>
      <c r="K859" s="4"/>
      <c r="Q859" s="4"/>
    </row>
    <row r="860" spans="5:17" ht="15.75" customHeight="1" x14ac:dyDescent="0.25">
      <c r="E860" s="4"/>
      <c r="I860" s="4"/>
      <c r="K860" s="4"/>
      <c r="Q860" s="4"/>
    </row>
    <row r="861" spans="5:17" ht="15.75" customHeight="1" x14ac:dyDescent="0.25">
      <c r="E861" s="4"/>
      <c r="I861" s="4"/>
      <c r="K861" s="4"/>
      <c r="Q861" s="4"/>
    </row>
    <row r="862" spans="5:17" ht="15.75" customHeight="1" x14ac:dyDescent="0.25">
      <c r="E862" s="4"/>
      <c r="I862" s="4"/>
      <c r="K862" s="4"/>
      <c r="Q862" s="4"/>
    </row>
    <row r="863" spans="5:17" ht="15.75" customHeight="1" x14ac:dyDescent="0.25">
      <c r="E863" s="4"/>
      <c r="I863" s="4"/>
      <c r="K863" s="4"/>
      <c r="Q863" s="4"/>
    </row>
    <row r="864" spans="5:17" ht="15.75" customHeight="1" x14ac:dyDescent="0.25">
      <c r="E864" s="4"/>
      <c r="I864" s="4"/>
      <c r="K864" s="4"/>
      <c r="Q864" s="4"/>
    </row>
    <row r="865" spans="5:17" ht="15.75" customHeight="1" x14ac:dyDescent="0.25">
      <c r="E865" s="4"/>
      <c r="I865" s="4"/>
      <c r="K865" s="4"/>
      <c r="Q865" s="4"/>
    </row>
    <row r="866" spans="5:17" ht="15.75" customHeight="1" x14ac:dyDescent="0.25">
      <c r="E866" s="4"/>
      <c r="I866" s="4"/>
      <c r="K866" s="4"/>
      <c r="Q866" s="4"/>
    </row>
    <row r="867" spans="5:17" ht="15.75" customHeight="1" x14ac:dyDescent="0.25">
      <c r="E867" s="4"/>
      <c r="I867" s="4"/>
      <c r="K867" s="4"/>
      <c r="Q867" s="4"/>
    </row>
    <row r="868" spans="5:17" ht="15.75" customHeight="1" x14ac:dyDescent="0.25">
      <c r="E868" s="4"/>
      <c r="I868" s="4"/>
      <c r="K868" s="4"/>
      <c r="Q868" s="4"/>
    </row>
    <row r="869" spans="5:17" ht="15.75" customHeight="1" x14ac:dyDescent="0.25">
      <c r="E869" s="4"/>
      <c r="I869" s="4"/>
      <c r="K869" s="4"/>
      <c r="Q869" s="4"/>
    </row>
    <row r="870" spans="5:17" ht="15.75" customHeight="1" x14ac:dyDescent="0.25">
      <c r="E870" s="4"/>
      <c r="I870" s="4"/>
      <c r="K870" s="4"/>
      <c r="Q870" s="4"/>
    </row>
    <row r="871" spans="5:17" ht="15.75" customHeight="1" x14ac:dyDescent="0.25">
      <c r="E871" s="4"/>
      <c r="I871" s="4"/>
      <c r="K871" s="4"/>
      <c r="Q871" s="4"/>
    </row>
    <row r="872" spans="5:17" ht="15.75" customHeight="1" x14ac:dyDescent="0.25">
      <c r="E872" s="4"/>
      <c r="I872" s="4"/>
      <c r="K872" s="4"/>
      <c r="Q872" s="4"/>
    </row>
    <row r="873" spans="5:17" ht="15.75" customHeight="1" x14ac:dyDescent="0.25">
      <c r="E873" s="4"/>
      <c r="I873" s="4"/>
      <c r="K873" s="4"/>
      <c r="Q873" s="4"/>
    </row>
    <row r="874" spans="5:17" ht="15.75" customHeight="1" x14ac:dyDescent="0.25">
      <c r="E874" s="4"/>
      <c r="I874" s="4"/>
      <c r="K874" s="4"/>
      <c r="Q874" s="4"/>
    </row>
    <row r="875" spans="5:17" ht="15.75" customHeight="1" x14ac:dyDescent="0.25">
      <c r="E875" s="4"/>
      <c r="I875" s="4"/>
      <c r="K875" s="4"/>
      <c r="Q875" s="4"/>
    </row>
    <row r="876" spans="5:17" ht="15.75" customHeight="1" x14ac:dyDescent="0.25">
      <c r="E876" s="4"/>
      <c r="I876" s="4"/>
      <c r="K876" s="4"/>
      <c r="Q876" s="4"/>
    </row>
    <row r="877" spans="5:17" ht="15.75" customHeight="1" x14ac:dyDescent="0.25">
      <c r="E877" s="4"/>
      <c r="I877" s="4"/>
      <c r="K877" s="4"/>
      <c r="Q877" s="4"/>
    </row>
    <row r="878" spans="5:17" ht="15.75" customHeight="1" x14ac:dyDescent="0.25">
      <c r="E878" s="4"/>
      <c r="I878" s="4"/>
      <c r="K878" s="4"/>
      <c r="Q878" s="4"/>
    </row>
    <row r="879" spans="5:17" ht="15.75" customHeight="1" x14ac:dyDescent="0.25">
      <c r="E879" s="4"/>
      <c r="I879" s="4"/>
      <c r="K879" s="4"/>
      <c r="Q879" s="4"/>
    </row>
    <row r="880" spans="5:17" ht="15.75" customHeight="1" x14ac:dyDescent="0.25">
      <c r="E880" s="4"/>
      <c r="I880" s="4"/>
      <c r="K880" s="4"/>
      <c r="Q880" s="4"/>
    </row>
    <row r="881" spans="5:17" ht="15.75" customHeight="1" x14ac:dyDescent="0.25">
      <c r="E881" s="4"/>
      <c r="I881" s="4"/>
      <c r="K881" s="4"/>
      <c r="Q881" s="4"/>
    </row>
    <row r="882" spans="5:17" ht="15.75" customHeight="1" x14ac:dyDescent="0.25">
      <c r="E882" s="4"/>
      <c r="I882" s="4"/>
      <c r="K882" s="4"/>
      <c r="Q882" s="4"/>
    </row>
    <row r="883" spans="5:17" ht="15.75" customHeight="1" x14ac:dyDescent="0.25">
      <c r="E883" s="4"/>
      <c r="I883" s="4"/>
      <c r="K883" s="4"/>
      <c r="Q883" s="4"/>
    </row>
    <row r="884" spans="5:17" ht="15.75" customHeight="1" x14ac:dyDescent="0.25">
      <c r="E884" s="4"/>
      <c r="I884" s="4"/>
      <c r="K884" s="4"/>
      <c r="Q884" s="4"/>
    </row>
    <row r="885" spans="5:17" ht="15.75" customHeight="1" x14ac:dyDescent="0.25">
      <c r="E885" s="4"/>
      <c r="I885" s="4"/>
      <c r="K885" s="4"/>
      <c r="Q885" s="4"/>
    </row>
    <row r="886" spans="5:17" ht="15.75" customHeight="1" x14ac:dyDescent="0.25">
      <c r="E886" s="4"/>
      <c r="I886" s="4"/>
      <c r="K886" s="4"/>
      <c r="Q886" s="4"/>
    </row>
    <row r="887" spans="5:17" ht="15.75" customHeight="1" x14ac:dyDescent="0.25">
      <c r="E887" s="4"/>
      <c r="I887" s="4"/>
      <c r="K887" s="4"/>
      <c r="Q887" s="4"/>
    </row>
    <row r="888" spans="5:17" ht="15.75" customHeight="1" x14ac:dyDescent="0.25">
      <c r="E888" s="4"/>
      <c r="I888" s="4"/>
      <c r="K888" s="4"/>
      <c r="Q888" s="4"/>
    </row>
    <row r="889" spans="5:17" ht="15.75" customHeight="1" x14ac:dyDescent="0.25">
      <c r="E889" s="4"/>
      <c r="I889" s="4"/>
      <c r="K889" s="4"/>
      <c r="Q889" s="4"/>
    </row>
    <row r="890" spans="5:17" ht="15.75" customHeight="1" x14ac:dyDescent="0.25">
      <c r="E890" s="4"/>
      <c r="I890" s="4"/>
      <c r="K890" s="4"/>
      <c r="Q890" s="4"/>
    </row>
    <row r="891" spans="5:17" ht="15.75" customHeight="1" x14ac:dyDescent="0.25">
      <c r="E891" s="4"/>
      <c r="I891" s="4"/>
      <c r="K891" s="4"/>
      <c r="Q891" s="4"/>
    </row>
    <row r="892" spans="5:17" ht="15.75" customHeight="1" x14ac:dyDescent="0.25">
      <c r="E892" s="4"/>
      <c r="I892" s="4"/>
      <c r="K892" s="4"/>
      <c r="Q892" s="4"/>
    </row>
    <row r="893" spans="5:17" ht="15.75" customHeight="1" x14ac:dyDescent="0.25">
      <c r="E893" s="4"/>
      <c r="I893" s="4"/>
      <c r="K893" s="4"/>
      <c r="Q893" s="4"/>
    </row>
    <row r="894" spans="5:17" ht="15.75" customHeight="1" x14ac:dyDescent="0.25">
      <c r="E894" s="4"/>
      <c r="I894" s="4"/>
      <c r="K894" s="4"/>
      <c r="Q894" s="4"/>
    </row>
    <row r="895" spans="5:17" ht="15.75" customHeight="1" x14ac:dyDescent="0.25">
      <c r="E895" s="4"/>
      <c r="I895" s="4"/>
      <c r="K895" s="4"/>
      <c r="Q895" s="4"/>
    </row>
    <row r="896" spans="5:17" ht="15.75" customHeight="1" x14ac:dyDescent="0.25">
      <c r="E896" s="4"/>
      <c r="I896" s="4"/>
      <c r="K896" s="4"/>
      <c r="Q896" s="4"/>
    </row>
    <row r="897" spans="5:17" ht="15.75" customHeight="1" x14ac:dyDescent="0.25">
      <c r="E897" s="4"/>
      <c r="I897" s="4"/>
      <c r="K897" s="4"/>
      <c r="Q897" s="4"/>
    </row>
    <row r="898" spans="5:17" ht="15.75" customHeight="1" x14ac:dyDescent="0.25">
      <c r="E898" s="4"/>
      <c r="I898" s="4"/>
      <c r="K898" s="4"/>
      <c r="Q898" s="4"/>
    </row>
    <row r="899" spans="5:17" ht="15.75" customHeight="1" x14ac:dyDescent="0.25">
      <c r="E899" s="4"/>
      <c r="I899" s="4"/>
      <c r="K899" s="4"/>
      <c r="Q899" s="4"/>
    </row>
    <row r="900" spans="5:17" ht="15.75" customHeight="1" x14ac:dyDescent="0.25">
      <c r="E900" s="4"/>
      <c r="I900" s="4"/>
      <c r="K900" s="4"/>
      <c r="Q900" s="4"/>
    </row>
    <row r="901" spans="5:17" ht="15.75" customHeight="1" x14ac:dyDescent="0.25">
      <c r="E901" s="4"/>
      <c r="I901" s="4"/>
      <c r="K901" s="4"/>
      <c r="Q901" s="4"/>
    </row>
    <row r="902" spans="5:17" ht="15.75" customHeight="1" x14ac:dyDescent="0.25">
      <c r="E902" s="4"/>
      <c r="I902" s="4"/>
      <c r="K902" s="4"/>
      <c r="Q902" s="4"/>
    </row>
    <row r="903" spans="5:17" ht="15.75" customHeight="1" x14ac:dyDescent="0.25">
      <c r="E903" s="4"/>
      <c r="I903" s="4"/>
      <c r="K903" s="4"/>
      <c r="Q903" s="4"/>
    </row>
    <row r="904" spans="5:17" ht="15.75" customHeight="1" x14ac:dyDescent="0.25">
      <c r="E904" s="4"/>
      <c r="I904" s="4"/>
      <c r="K904" s="4"/>
      <c r="Q904" s="4"/>
    </row>
    <row r="905" spans="5:17" ht="15.75" customHeight="1" x14ac:dyDescent="0.25">
      <c r="E905" s="4"/>
      <c r="I905" s="4"/>
      <c r="K905" s="4"/>
      <c r="Q905" s="4"/>
    </row>
    <row r="906" spans="5:17" ht="15.75" customHeight="1" x14ac:dyDescent="0.25">
      <c r="E906" s="4"/>
      <c r="I906" s="4"/>
      <c r="K906" s="4"/>
      <c r="Q906" s="4"/>
    </row>
    <row r="907" spans="5:17" ht="15.75" customHeight="1" x14ac:dyDescent="0.25">
      <c r="E907" s="4"/>
      <c r="I907" s="4"/>
      <c r="K907" s="4"/>
      <c r="Q907" s="4"/>
    </row>
    <row r="908" spans="5:17" ht="15.75" customHeight="1" x14ac:dyDescent="0.25">
      <c r="E908" s="4"/>
      <c r="I908" s="4"/>
      <c r="K908" s="4"/>
      <c r="Q908" s="4"/>
    </row>
    <row r="909" spans="5:17" ht="15.75" customHeight="1" x14ac:dyDescent="0.25">
      <c r="E909" s="4"/>
      <c r="I909" s="4"/>
      <c r="K909" s="4"/>
      <c r="Q909" s="4"/>
    </row>
    <row r="910" spans="5:17" ht="15.75" customHeight="1" x14ac:dyDescent="0.25">
      <c r="E910" s="4"/>
      <c r="I910" s="4"/>
      <c r="K910" s="4"/>
      <c r="Q910" s="4"/>
    </row>
    <row r="911" spans="5:17" ht="15.75" customHeight="1" x14ac:dyDescent="0.25">
      <c r="E911" s="4"/>
      <c r="I911" s="4"/>
      <c r="K911" s="4"/>
      <c r="Q911" s="4"/>
    </row>
    <row r="912" spans="5:17" ht="15.75" customHeight="1" x14ac:dyDescent="0.25">
      <c r="E912" s="4"/>
      <c r="I912" s="4"/>
      <c r="K912" s="4"/>
      <c r="Q912" s="4"/>
    </row>
    <row r="913" spans="5:17" ht="15.75" customHeight="1" x14ac:dyDescent="0.25">
      <c r="E913" s="4"/>
      <c r="I913" s="4"/>
      <c r="K913" s="4"/>
      <c r="Q913" s="4"/>
    </row>
    <row r="914" spans="5:17" ht="15.75" customHeight="1" x14ac:dyDescent="0.25">
      <c r="E914" s="4"/>
      <c r="I914" s="4"/>
      <c r="K914" s="4"/>
      <c r="Q914" s="4"/>
    </row>
    <row r="915" spans="5:17" ht="15.75" customHeight="1" x14ac:dyDescent="0.25">
      <c r="E915" s="4"/>
      <c r="I915" s="4"/>
      <c r="K915" s="4"/>
      <c r="Q915" s="4"/>
    </row>
    <row r="916" spans="5:17" ht="15.75" customHeight="1" x14ac:dyDescent="0.25">
      <c r="E916" s="4"/>
      <c r="I916" s="4"/>
      <c r="K916" s="4"/>
      <c r="Q916" s="4"/>
    </row>
    <row r="917" spans="5:17" ht="15.75" customHeight="1" x14ac:dyDescent="0.25">
      <c r="E917" s="4"/>
      <c r="I917" s="4"/>
      <c r="K917" s="4"/>
      <c r="Q917" s="4"/>
    </row>
    <row r="918" spans="5:17" ht="15.75" customHeight="1" x14ac:dyDescent="0.25">
      <c r="E918" s="4"/>
      <c r="I918" s="4"/>
      <c r="K918" s="4"/>
      <c r="Q918" s="4"/>
    </row>
    <row r="919" spans="5:17" ht="15.75" customHeight="1" x14ac:dyDescent="0.25">
      <c r="E919" s="4"/>
      <c r="I919" s="4"/>
      <c r="K919" s="4"/>
      <c r="Q919" s="4"/>
    </row>
    <row r="920" spans="5:17" ht="15.75" customHeight="1" x14ac:dyDescent="0.25">
      <c r="E920" s="4"/>
      <c r="I920" s="4"/>
      <c r="K920" s="4"/>
      <c r="Q920" s="4"/>
    </row>
    <row r="921" spans="5:17" ht="15.75" customHeight="1" x14ac:dyDescent="0.25">
      <c r="E921" s="4"/>
      <c r="I921" s="4"/>
      <c r="K921" s="4"/>
      <c r="Q921" s="4"/>
    </row>
    <row r="922" spans="5:17" ht="15.75" customHeight="1" x14ac:dyDescent="0.25">
      <c r="E922" s="4"/>
      <c r="I922" s="4"/>
      <c r="K922" s="4"/>
      <c r="Q922" s="4"/>
    </row>
    <row r="923" spans="5:17" ht="15.75" customHeight="1" x14ac:dyDescent="0.25">
      <c r="E923" s="4"/>
      <c r="I923" s="4"/>
      <c r="K923" s="4"/>
      <c r="Q923" s="4"/>
    </row>
    <row r="924" spans="5:17" ht="15.75" customHeight="1" x14ac:dyDescent="0.25">
      <c r="E924" s="4"/>
      <c r="I924" s="4"/>
      <c r="K924" s="4"/>
      <c r="Q924" s="4"/>
    </row>
    <row r="925" spans="5:17" ht="15.75" customHeight="1" x14ac:dyDescent="0.25">
      <c r="E925" s="4"/>
      <c r="I925" s="4"/>
      <c r="K925" s="4"/>
      <c r="Q925" s="4"/>
    </row>
    <row r="926" spans="5:17" ht="15.75" customHeight="1" x14ac:dyDescent="0.25">
      <c r="E926" s="4"/>
      <c r="I926" s="4"/>
      <c r="K926" s="4"/>
      <c r="Q926" s="4"/>
    </row>
    <row r="927" spans="5:17" ht="15.75" customHeight="1" x14ac:dyDescent="0.25">
      <c r="E927" s="4"/>
      <c r="I927" s="4"/>
      <c r="K927" s="4"/>
      <c r="Q927" s="4"/>
    </row>
    <row r="928" spans="5:17" ht="15.75" customHeight="1" x14ac:dyDescent="0.25">
      <c r="E928" s="4"/>
      <c r="I928" s="4"/>
      <c r="K928" s="4"/>
      <c r="Q928" s="4"/>
    </row>
    <row r="929" spans="5:17" ht="15.75" customHeight="1" x14ac:dyDescent="0.25">
      <c r="E929" s="4"/>
      <c r="I929" s="4"/>
      <c r="K929" s="4"/>
      <c r="Q929" s="4"/>
    </row>
    <row r="930" spans="5:17" ht="15.75" customHeight="1" x14ac:dyDescent="0.25">
      <c r="E930" s="4"/>
      <c r="I930" s="4"/>
      <c r="K930" s="4"/>
      <c r="Q930" s="4"/>
    </row>
    <row r="931" spans="5:17" ht="15.75" customHeight="1" x14ac:dyDescent="0.25">
      <c r="E931" s="4"/>
      <c r="I931" s="4"/>
      <c r="K931" s="4"/>
      <c r="Q931" s="4"/>
    </row>
    <row r="932" spans="5:17" ht="15.75" customHeight="1" x14ac:dyDescent="0.25">
      <c r="E932" s="4"/>
      <c r="I932" s="4"/>
      <c r="K932" s="4"/>
      <c r="Q932" s="4"/>
    </row>
    <row r="933" spans="5:17" ht="15.75" customHeight="1" x14ac:dyDescent="0.25">
      <c r="E933" s="4"/>
      <c r="I933" s="4"/>
      <c r="K933" s="4"/>
      <c r="Q933" s="4"/>
    </row>
    <row r="934" spans="5:17" ht="15.75" customHeight="1" x14ac:dyDescent="0.25">
      <c r="E934" s="4"/>
      <c r="I934" s="4"/>
      <c r="K934" s="4"/>
      <c r="Q934" s="4"/>
    </row>
    <row r="935" spans="5:17" ht="15.75" customHeight="1" x14ac:dyDescent="0.25">
      <c r="E935" s="4"/>
      <c r="I935" s="4"/>
      <c r="K935" s="4"/>
      <c r="Q935" s="4"/>
    </row>
    <row r="936" spans="5:17" ht="15.75" customHeight="1" x14ac:dyDescent="0.25">
      <c r="E936" s="4"/>
      <c r="I936" s="4"/>
      <c r="K936" s="4"/>
      <c r="Q936" s="4"/>
    </row>
    <row r="937" spans="5:17" ht="15.75" customHeight="1" x14ac:dyDescent="0.25">
      <c r="E937" s="4"/>
      <c r="I937" s="4"/>
      <c r="K937" s="4"/>
      <c r="Q937" s="4"/>
    </row>
    <row r="938" spans="5:17" ht="15.75" customHeight="1" x14ac:dyDescent="0.25">
      <c r="E938" s="4"/>
      <c r="I938" s="4"/>
      <c r="K938" s="4"/>
      <c r="Q938" s="4"/>
    </row>
    <row r="939" spans="5:17" ht="15.75" customHeight="1" x14ac:dyDescent="0.25">
      <c r="E939" s="4"/>
      <c r="I939" s="4"/>
      <c r="K939" s="4"/>
      <c r="Q939" s="4"/>
    </row>
    <row r="940" spans="5:17" ht="15.75" customHeight="1" x14ac:dyDescent="0.25">
      <c r="E940" s="4"/>
      <c r="I940" s="4"/>
      <c r="K940" s="4"/>
      <c r="Q940" s="4"/>
    </row>
    <row r="941" spans="5:17" ht="15.75" customHeight="1" x14ac:dyDescent="0.25">
      <c r="E941" s="4"/>
      <c r="I941" s="4"/>
      <c r="K941" s="4"/>
      <c r="Q941" s="4"/>
    </row>
    <row r="942" spans="5:17" ht="15.75" customHeight="1" x14ac:dyDescent="0.25">
      <c r="E942" s="4"/>
      <c r="I942" s="4"/>
      <c r="K942" s="4"/>
      <c r="Q942" s="4"/>
    </row>
    <row r="943" spans="5:17" ht="15.75" customHeight="1" x14ac:dyDescent="0.25">
      <c r="E943" s="4"/>
      <c r="I943" s="4"/>
      <c r="K943" s="4"/>
      <c r="Q943" s="4"/>
    </row>
    <row r="944" spans="5:17" ht="15.75" customHeight="1" x14ac:dyDescent="0.25">
      <c r="E944" s="4"/>
      <c r="I944" s="4"/>
      <c r="K944" s="4"/>
      <c r="Q944" s="4"/>
    </row>
    <row r="945" spans="5:17" ht="15.75" customHeight="1" x14ac:dyDescent="0.25">
      <c r="E945" s="4"/>
      <c r="I945" s="4"/>
      <c r="K945" s="4"/>
      <c r="Q945" s="4"/>
    </row>
    <row r="946" spans="5:17" ht="15.75" customHeight="1" x14ac:dyDescent="0.25">
      <c r="E946" s="4"/>
      <c r="I946" s="4"/>
      <c r="K946" s="4"/>
      <c r="Q946" s="4"/>
    </row>
    <row r="947" spans="5:17" ht="15.75" customHeight="1" x14ac:dyDescent="0.25">
      <c r="E947" s="4"/>
      <c r="I947" s="4"/>
      <c r="K947" s="4"/>
      <c r="Q947" s="4"/>
    </row>
    <row r="948" spans="5:17" ht="15.75" customHeight="1" x14ac:dyDescent="0.25">
      <c r="E948" s="4"/>
      <c r="I948" s="4"/>
      <c r="K948" s="4"/>
      <c r="Q948" s="4"/>
    </row>
    <row r="949" spans="5:17" ht="15.75" customHeight="1" x14ac:dyDescent="0.25">
      <c r="E949" s="4"/>
      <c r="I949" s="4"/>
      <c r="K949" s="4"/>
      <c r="Q949" s="4"/>
    </row>
    <row r="950" spans="5:17" ht="15.75" customHeight="1" x14ac:dyDescent="0.25">
      <c r="E950" s="4"/>
      <c r="I950" s="4"/>
      <c r="K950" s="4"/>
      <c r="Q950" s="4"/>
    </row>
    <row r="951" spans="5:17" ht="15.75" customHeight="1" x14ac:dyDescent="0.25">
      <c r="E951" s="4"/>
      <c r="I951" s="4"/>
      <c r="K951" s="4"/>
      <c r="Q951" s="4"/>
    </row>
    <row r="952" spans="5:17" ht="15.75" customHeight="1" x14ac:dyDescent="0.25">
      <c r="E952" s="4"/>
      <c r="I952" s="4"/>
      <c r="K952" s="4"/>
      <c r="Q952" s="4"/>
    </row>
    <row r="953" spans="5:17" ht="15.75" customHeight="1" x14ac:dyDescent="0.25">
      <c r="E953" s="4"/>
      <c r="I953" s="4"/>
      <c r="K953" s="4"/>
      <c r="Q953" s="4"/>
    </row>
    <row r="954" spans="5:17" ht="15.75" customHeight="1" x14ac:dyDescent="0.25">
      <c r="E954" s="4"/>
      <c r="I954" s="4"/>
      <c r="K954" s="4"/>
      <c r="Q954" s="4"/>
    </row>
    <row r="955" spans="5:17" ht="15.75" customHeight="1" x14ac:dyDescent="0.25">
      <c r="E955" s="4"/>
      <c r="I955" s="4"/>
      <c r="K955" s="4"/>
      <c r="Q955" s="4"/>
    </row>
    <row r="956" spans="5:17" ht="15.75" customHeight="1" x14ac:dyDescent="0.25">
      <c r="E956" s="4"/>
      <c r="I956" s="4"/>
      <c r="K956" s="4"/>
      <c r="Q956" s="4"/>
    </row>
  </sheetData>
  <mergeCells count="18">
    <mergeCell ref="Q4:Q5"/>
    <mergeCell ref="F1:O1"/>
    <mergeCell ref="A4:A5"/>
    <mergeCell ref="B4:B5"/>
    <mergeCell ref="C4:C5"/>
    <mergeCell ref="D4:D5"/>
    <mergeCell ref="E4:E5"/>
    <mergeCell ref="F4:F5"/>
    <mergeCell ref="L4:L5"/>
    <mergeCell ref="D40:O45"/>
    <mergeCell ref="M4:M5"/>
    <mergeCell ref="N4:N5"/>
    <mergeCell ref="P4:P5"/>
    <mergeCell ref="G4:G5"/>
    <mergeCell ref="H4:H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2025-05-01T17:29:13Z</cp:lastPrinted>
  <dcterms:created xsi:type="dcterms:W3CDTF">2024-11-03T18:47:30Z</dcterms:created>
  <dcterms:modified xsi:type="dcterms:W3CDTF">2025-05-01T17:54:44Z</dcterms:modified>
</cp:coreProperties>
</file>