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febrero\"/>
    </mc:Choice>
  </mc:AlternateContent>
  <xr:revisionPtr revIDLastSave="0" documentId="13_ncr:1_{CCB8FED1-7786-4DE8-89A9-98CB980807B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gastos'!$A$1:$C$64</definedName>
    <definedName name="_xlnm.Print_Area" localSheetId="2">Edesur!$A$1:$N$40</definedName>
    <definedName name="_xlnm.Print_Area" localSheetId="1">'prorrateo '!$A$1:$L$32</definedName>
  </definedNames>
  <calcPr calcId="181029"/>
</workbook>
</file>

<file path=xl/calcChain.xml><?xml version="1.0" encoding="utf-8"?>
<calcChain xmlns="http://schemas.openxmlformats.org/spreadsheetml/2006/main">
  <c r="C51" i="3" l="1"/>
  <c r="F27" i="1"/>
  <c r="F25" i="1"/>
  <c r="F26" i="1"/>
  <c r="F21" i="1"/>
  <c r="F16" i="1"/>
  <c r="F8" i="1" l="1"/>
  <c r="C29" i="3"/>
  <c r="C22" i="3" l="1"/>
  <c r="C23" i="3" l="1"/>
  <c r="C33" i="3"/>
  <c r="L45" i="4" l="1"/>
  <c r="L46" i="4" s="1"/>
  <c r="B28" i="1"/>
  <c r="B1" i="1" l="1"/>
  <c r="F11" i="1"/>
  <c r="F19" i="1"/>
  <c r="O27" i="1" s="1"/>
  <c r="F6" i="1"/>
  <c r="F3" i="1"/>
  <c r="J7" i="4"/>
  <c r="F13" i="1" l="1"/>
  <c r="F24" i="1"/>
  <c r="C34" i="3" l="1"/>
  <c r="C50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J31" i="1"/>
  <c r="D31" i="1"/>
  <c r="F29" i="1"/>
  <c r="G29" i="1" s="1"/>
  <c r="G28" i="1"/>
  <c r="G27" i="1"/>
  <c r="G26" i="1"/>
  <c r="G25" i="1"/>
  <c r="G24" i="1"/>
  <c r="F23" i="1"/>
  <c r="G23" i="1" s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F5" i="1"/>
  <c r="G5" i="1" s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/>
  <c r="O35" i="4" s="1"/>
  <c r="H3" i="1"/>
  <c r="L3" i="1" s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53" i="3" s="1"/>
  <c r="C41" i="3"/>
  <c r="C58" i="3" s="1"/>
  <c r="L31" i="1" l="1"/>
  <c r="C61" i="3" l="1"/>
  <c r="C43" i="3" l="1"/>
</calcChain>
</file>

<file path=xl/sharedStrings.xml><?xml version="1.0" encoding="utf-8"?>
<sst xmlns="http://schemas.openxmlformats.org/spreadsheetml/2006/main" count="185" uniqueCount="137">
  <si>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</si>
  <si>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</si>
  <si>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</si>
  <si>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</si>
  <si>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</si>
  <si>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</si>
  <si>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</si>
  <si>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</si>
  <si>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</si>
  <si>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</si>
  <si>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</si>
  <si>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</si>
  <si>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</si>
  <si>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</si>
  <si>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</si>
  <si>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</si>
  <si>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</si>
  <si>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</si>
  <si>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</si>
  <si>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</si>
  <si>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</si>
  <si>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</si>
  <si>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</si>
  <si>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</si>
  <si>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</si>
  <si>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</si>
  <si>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Seguro de vida Sra Carina</t>
  </si>
  <si>
    <t>Seguro de consorcio obligatorio - cuota 1 federacion patronal - poliza nro. 2027630</t>
  </si>
  <si>
    <t>Ascensores Lema</t>
  </si>
  <si>
    <t>Propietarios</t>
  </si>
  <si>
    <t>SALDO ANTERIOR</t>
  </si>
  <si>
    <t>SALDO ABONADO</t>
  </si>
  <si>
    <t>SALDO</t>
  </si>
  <si>
    <t>SALDO EXPENSA</t>
  </si>
  <si>
    <t>Gastos part</t>
  </si>
  <si>
    <t>A PAGAR</t>
  </si>
  <si>
    <t>Ferrea Nestor</t>
  </si>
  <si>
    <t>1ro. "A"</t>
  </si>
  <si>
    <t>Gnecchi Nicolas</t>
  </si>
  <si>
    <t xml:space="preserve">Martina 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</si>
  <si>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</si>
  <si>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</si>
  <si>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</si>
  <si>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</si>
  <si>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</si>
  <si>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</si>
  <si>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</si>
  <si>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</si>
  <si>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</si>
  <si>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</si>
  <si>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</si>
  <si>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</si>
  <si>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</si>
  <si>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</si>
  <si>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</si>
  <si>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</si>
  <si>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</si>
  <si>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</si>
  <si>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</si>
  <si>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Matias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</si>
  <si>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</si>
  <si>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</si>
  <si>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</si>
  <si>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</si>
  <si>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</si>
  <si>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</si>
  <si>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</si>
  <si>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</si>
  <si>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</si>
  <si>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</si>
  <si>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</si>
  <si>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</si>
  <si>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</si>
  <si>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</si>
  <si>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</si>
  <si>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</si>
  <si>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</si>
  <si>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</si>
  <si>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</si>
  <si>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</si>
  <si>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</si>
  <si>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</si>
  <si>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</si>
  <si>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</si>
  <si>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>Expensas ordinarias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</si>
  <si>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</si>
  <si>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</si>
  <si>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</si>
  <si>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</si>
  <si>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</si>
  <si>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</si>
  <si>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</si>
  <si>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</si>
  <si>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</si>
  <si>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</si>
  <si>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</si>
  <si>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</si>
  <si>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</si>
  <si>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</si>
  <si>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</si>
  <si>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</si>
  <si>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</si>
  <si>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</si>
  <si>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</si>
  <si>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</si>
  <si>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</si>
  <si>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</si>
  <si>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</si>
  <si>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</si>
  <si>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</si>
  <si>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</si>
  <si>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</si>
  <si>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</si>
  <si>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</si>
  <si>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</si>
  <si>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</si>
  <si>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</si>
  <si>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</si>
  <si>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</si>
  <si>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>CAJA CORRESPONDIENTE A EDESUR</t>
  </si>
  <si>
    <t>Prevision realizada en Febrero 2024</t>
  </si>
  <si>
    <t>Egreso de Edesur</t>
  </si>
  <si>
    <t xml:space="preserve">Saldo Final </t>
  </si>
  <si>
    <t>GASTOS RECUPERADOS DEL MES DE DICIEMBRE</t>
  </si>
  <si>
    <t>Christian</t>
  </si>
  <si>
    <t>Vto. 13/03</t>
  </si>
  <si>
    <t>LIQUIDACIÓN EXPENSAS FEBRERO 2025</t>
  </si>
  <si>
    <t>EGRESOS DEL MES DE FEBRERO</t>
  </si>
  <si>
    <t>Doartero - Mano de obra portero electrico - 10/02 - 7A</t>
  </si>
  <si>
    <t>JPL articulos de limpieza</t>
  </si>
  <si>
    <t>TSG del mes 9 al mes 1</t>
  </si>
  <si>
    <t xml:space="preserve">Leonor </t>
  </si>
  <si>
    <t>EXPENSA 9A DOBLEMENTE REGISTRADA COMO INGRESO</t>
  </si>
  <si>
    <t>INGRESOS CORRESPONDIENTES AL PAGO DE EXPENSAS</t>
  </si>
  <si>
    <t>Sueldo personal de limpieza y maestranza</t>
  </si>
  <si>
    <t xml:space="preserve">Suplencia Vacaciones Sra Laura </t>
  </si>
  <si>
    <t>Seguro de vida Sra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</si>
</sst>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sz val="10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2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7" fontId="10" fillId="0" borderId="7" xfId="0" applyNumberFormat="1" applyFont="1" applyBorder="1"/>
    <xf numFmtId="0" fontId="0" fillId="5" borderId="0" xfId="0" applyFill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30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 applyAlignment="1">
      <alignment horizontal="left" vertical="center"/>
    </xf>
    <xf numFmtId="0" fontId="26" fillId="6" borderId="1" xfId="3" applyFont="1" applyFill="1" applyBorder="1"/>
    <xf numFmtId="43" fontId="26" fillId="6" borderId="1" xfId="4" applyFont="1" applyFill="1" applyBorder="1"/>
    <xf numFmtId="0" fontId="25" fillId="6" borderId="15" xfId="0" applyFont="1" applyFill="1" applyBorder="1"/>
    <xf numFmtId="0" fontId="19" fillId="6" borderId="15" xfId="0" applyFont="1" applyFill="1" applyBorder="1"/>
    <xf numFmtId="171" fontId="25" fillId="6" borderId="15" xfId="0" applyNumberFormat="1" applyFont="1" applyFill="1" applyBorder="1"/>
    <xf numFmtId="172" fontId="25" fillId="6" borderId="16" xfId="0" applyNumberFormat="1" applyFont="1" applyFill="1" applyBorder="1"/>
    <xf numFmtId="172" fontId="25" fillId="6" borderId="1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1" fillId="0" borderId="29" xfId="2" applyFont="1" applyBorder="1"/>
    <xf numFmtId="165" fontId="31" fillId="0" borderId="27" xfId="2" applyFont="1" applyBorder="1"/>
    <xf numFmtId="4" fontId="31" fillId="0" borderId="27" xfId="0" applyNumberFormat="1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0" fontId="26" fillId="6" borderId="3" xfId="3" applyFont="1" applyFill="1" applyBorder="1"/>
    <xf numFmtId="43" fontId="26" fillId="6" borderId="3" xfId="4" applyFont="1" applyFill="1" applyBorder="1"/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4" fontId="0" fillId="5" borderId="1" xfId="0" applyNumberFormat="1" applyFont="1" applyFill="1" applyBorder="1"/>
    <xf numFmtId="4" fontId="0" fillId="5" borderId="1" xfId="0" applyNumberFormat="1" applyFont="1" applyFill="1" applyBorder="1" applyAlignment="1">
      <alignment horizontal="right"/>
    </xf>
    <xf numFmtId="165" fontId="1" fillId="2" borderId="1" xfId="2" applyFont="1" applyFill="1" applyBorder="1"/>
    <xf numFmtId="0" fontId="0" fillId="0" borderId="1" xfId="0" applyFont="1" applyBorder="1" applyAlignment="1">
      <alignment horizontal="center"/>
    </xf>
    <xf numFmtId="164" fontId="23" fillId="0" borderId="13" xfId="0" applyNumberFormat="1" applyFont="1" applyBorder="1" applyAlignment="1">
      <alignment horizontal="center"/>
    </xf>
    <xf numFmtId="0" fontId="23" fillId="0" borderId="1" xfId="0" applyFont="1" applyBorder="1"/>
    <xf numFmtId="171" fontId="23" fillId="0" borderId="1" xfId="0" applyNumberFormat="1" applyFont="1" applyBorder="1"/>
    <xf numFmtId="172" fontId="29" fillId="5" borderId="1" xfId="0" applyNumberFormat="1" applyFont="1" applyFill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172" fontId="25" fillId="6" borderId="22" xfId="0" applyNumberFormat="1" applyFont="1" applyFill="1" applyBorder="1"/>
    <xf numFmtId="164" fontId="6" fillId="5" borderId="4" xfId="2" applyNumberFormat="1" applyFont="1" applyFill="1" applyBorder="1"/>
    <xf numFmtId="164" fontId="6" fillId="6" borderId="4" xfId="2" applyNumberFormat="1" applyFont="1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1</xdr:row>
      <xdr:rowOff>180974</xdr:rowOff>
    </xdr:from>
    <xdr:ext cx="2257425" cy="8477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5"/>
  <sheetViews>
    <sheetView workbookViewId="0">
      <selection activeCell="C62" sqref="A1:C62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126</v>
      </c>
      <c r="C7" s="17" t="s">
        <v>125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27</v>
      </c>
      <c r="B18" s="38"/>
      <c r="C18" s="198">
        <v>41473</v>
      </c>
      <c r="D18" s="4"/>
      <c r="E18" s="6"/>
    </row>
    <row r="19" spans="1:6" hidden="1" x14ac:dyDescent="0.25">
      <c r="A19" s="28"/>
      <c r="B19" s="39"/>
      <c r="C19" s="198"/>
      <c r="D19" s="4"/>
      <c r="E19" s="6"/>
      <c r="F19" s="8"/>
    </row>
    <row r="20" spans="1:6" x14ac:dyDescent="0.25">
      <c r="A20" s="28" t="s">
        <v>10</v>
      </c>
      <c r="B20" s="39"/>
      <c r="C20" s="199">
        <v>26917.96</v>
      </c>
      <c r="D20" s="20"/>
      <c r="F20" s="6"/>
    </row>
    <row r="21" spans="1:6" x14ac:dyDescent="0.25">
      <c r="A21" s="28" t="s">
        <v>28</v>
      </c>
      <c r="B21" s="39"/>
      <c r="C21" s="198">
        <v>65000</v>
      </c>
      <c r="D21" s="20"/>
      <c r="F21" s="6"/>
    </row>
    <row r="22" spans="1:6" x14ac:dyDescent="0.25">
      <c r="A22" s="28" t="s">
        <v>11</v>
      </c>
      <c r="B22" s="39" t="s">
        <v>23</v>
      </c>
      <c r="C22" s="198">
        <f>65884 + 65884*10%</f>
        <v>72472.399999999994</v>
      </c>
      <c r="D22" s="4"/>
      <c r="E22" s="6"/>
    </row>
    <row r="23" spans="1:6" x14ac:dyDescent="0.25">
      <c r="A23" s="40"/>
      <c r="B23" s="41"/>
      <c r="C23" s="200">
        <f>SUM(C17:C22)</f>
        <v>205863.36</v>
      </c>
    </row>
    <row r="24" spans="1:6" x14ac:dyDescent="0.25">
      <c r="A24" s="35" t="s">
        <v>12</v>
      </c>
      <c r="B24" s="39"/>
      <c r="C24" s="201"/>
    </row>
    <row r="25" spans="1:6" ht="15.75" x14ac:dyDescent="0.25">
      <c r="A25" s="28" t="s">
        <v>134</v>
      </c>
      <c r="B25" s="42"/>
      <c r="C25" s="198">
        <v>349151.87</v>
      </c>
      <c r="D25" s="45"/>
      <c r="F25" s="12"/>
    </row>
    <row r="26" spans="1:6" ht="15.75" x14ac:dyDescent="0.25">
      <c r="A26" s="28" t="s">
        <v>135</v>
      </c>
      <c r="B26" s="42"/>
      <c r="C26" s="198">
        <v>70000</v>
      </c>
      <c r="D26" s="45"/>
      <c r="E26" s="143"/>
      <c r="F26" s="12"/>
    </row>
    <row r="27" spans="1:6" ht="15.75" x14ac:dyDescent="0.25">
      <c r="A27" s="28" t="s">
        <v>136</v>
      </c>
      <c r="B27" s="42"/>
      <c r="C27" s="198">
        <v>3567.21</v>
      </c>
      <c r="D27" s="45"/>
      <c r="E27" s="143"/>
      <c r="F27" s="12"/>
    </row>
    <row r="28" spans="1:6" ht="15.75" x14ac:dyDescent="0.25">
      <c r="A28" s="28" t="s">
        <v>26</v>
      </c>
      <c r="B28" s="42"/>
      <c r="C28" s="198">
        <v>5684</v>
      </c>
      <c r="D28" s="45"/>
      <c r="F28" s="12"/>
    </row>
    <row r="29" spans="1:6" ht="15.75" x14ac:dyDescent="0.25">
      <c r="A29" s="141" t="s">
        <v>130</v>
      </c>
      <c r="B29" s="142"/>
      <c r="C29" s="198">
        <f>12682+12259+11836+13124+12638</f>
        <v>62539</v>
      </c>
      <c r="D29" s="45"/>
      <c r="F29" s="12"/>
    </row>
    <row r="30" spans="1:6" ht="16.5" customHeight="1" x14ac:dyDescent="0.25">
      <c r="A30" s="189" t="s">
        <v>128</v>
      </c>
      <c r="B30" s="190"/>
      <c r="C30" s="198">
        <v>55000</v>
      </c>
      <c r="F30" s="12"/>
    </row>
    <row r="31" spans="1:6" ht="15.75" x14ac:dyDescent="0.25">
      <c r="A31" s="28" t="s">
        <v>129</v>
      </c>
      <c r="B31" s="42"/>
      <c r="C31" s="198">
        <v>55900</v>
      </c>
      <c r="F31" s="12"/>
    </row>
    <row r="32" spans="1:6" ht="15.75" x14ac:dyDescent="0.25">
      <c r="A32" s="28" t="s">
        <v>115</v>
      </c>
      <c r="B32" s="39"/>
      <c r="C32" s="34"/>
      <c r="D32" s="4"/>
      <c r="E32" s="6"/>
      <c r="F32" s="12"/>
    </row>
    <row r="33" spans="1:6" ht="15.75" x14ac:dyDescent="0.25">
      <c r="A33" s="40"/>
      <c r="B33" s="41"/>
      <c r="C33" s="23">
        <f>SUM(C24:C32)</f>
        <v>601842.08000000007</v>
      </c>
      <c r="F33" s="12"/>
    </row>
    <row r="34" spans="1:6" ht="15.75" x14ac:dyDescent="0.25">
      <c r="A34" s="30" t="s">
        <v>6</v>
      </c>
      <c r="B34" s="30"/>
      <c r="C34" s="43">
        <f>+C33+C23</f>
        <v>807705.44000000006</v>
      </c>
      <c r="F34" s="12"/>
    </row>
    <row r="35" spans="1:6" ht="15.75" x14ac:dyDescent="0.25">
      <c r="C35" s="24"/>
      <c r="F35" s="12"/>
    </row>
    <row r="36" spans="1:6" ht="15.75" x14ac:dyDescent="0.25">
      <c r="A36" s="13" t="s">
        <v>18</v>
      </c>
      <c r="C36" s="24"/>
      <c r="F36" s="12"/>
    </row>
    <row r="37" spans="1:6" ht="15.75" x14ac:dyDescent="0.25">
      <c r="A37" s="28"/>
      <c r="B37" s="28"/>
      <c r="C37" s="33"/>
      <c r="F37" s="12"/>
    </row>
    <row r="38" spans="1:6" ht="15.75" x14ac:dyDescent="0.25">
      <c r="A38" s="28"/>
      <c r="B38" s="28"/>
      <c r="C38" s="34"/>
      <c r="F38" s="12"/>
    </row>
    <row r="39" spans="1:6" ht="15.75" x14ac:dyDescent="0.25">
      <c r="A39" s="28"/>
      <c r="B39" s="28"/>
      <c r="C39" s="34"/>
      <c r="F39" s="12"/>
    </row>
    <row r="40" spans="1:6" ht="15.75" x14ac:dyDescent="0.25">
      <c r="C40" s="25"/>
      <c r="F40" s="12"/>
    </row>
    <row r="41" spans="1:6" x14ac:dyDescent="0.25">
      <c r="A41" s="13" t="s">
        <v>15</v>
      </c>
      <c r="B41" s="13"/>
      <c r="C41" s="14">
        <f>+C37+C38+C39+C40</f>
        <v>0</v>
      </c>
      <c r="E41" s="6"/>
    </row>
    <row r="43" spans="1:6" x14ac:dyDescent="0.25">
      <c r="A43" s="18" t="s">
        <v>7</v>
      </c>
      <c r="B43" s="18"/>
      <c r="C43" s="19">
        <f>+C41+C34</f>
        <v>807705.44000000006</v>
      </c>
    </row>
    <row r="45" spans="1:6" x14ac:dyDescent="0.25">
      <c r="A45" s="4"/>
    </row>
    <row r="46" spans="1:6" x14ac:dyDescent="0.25">
      <c r="A46" s="4"/>
      <c r="C46" s="171"/>
      <c r="D46" s="5"/>
      <c r="E46" s="5"/>
    </row>
    <row r="47" spans="1:6" ht="15" customHeight="1" thickBot="1" x14ac:dyDescent="0.3">
      <c r="A47" s="4"/>
      <c r="C47" s="171"/>
      <c r="D47" s="6"/>
      <c r="E47" s="6"/>
    </row>
    <row r="48" spans="1:6" ht="15.75" thickBot="1" x14ac:dyDescent="0.3">
      <c r="A48" s="172" t="s">
        <v>123</v>
      </c>
      <c r="B48" s="170"/>
      <c r="C48" s="173">
        <v>205716.25531920232</v>
      </c>
      <c r="D48" s="6"/>
      <c r="E48" s="6"/>
    </row>
    <row r="49" spans="1:6" ht="15.75" thickBot="1" x14ac:dyDescent="0.3">
      <c r="A49" s="174" t="s">
        <v>132</v>
      </c>
      <c r="B49" s="169"/>
      <c r="C49" s="175">
        <v>-103733.05</v>
      </c>
      <c r="D49" s="6"/>
      <c r="E49" s="6"/>
    </row>
    <row r="50" spans="1:6" ht="15.75" thickBot="1" x14ac:dyDescent="0.3">
      <c r="A50" s="172" t="s">
        <v>127</v>
      </c>
      <c r="B50" s="170"/>
      <c r="C50" s="176">
        <f>-(C34-C32)</f>
        <v>-807705.44000000006</v>
      </c>
      <c r="D50" s="6"/>
      <c r="E50" s="6"/>
    </row>
    <row r="51" spans="1:6" ht="15.75" thickBot="1" x14ac:dyDescent="0.3">
      <c r="A51" s="172" t="s">
        <v>133</v>
      </c>
      <c r="B51" s="170"/>
      <c r="C51" s="177">
        <f>'prorrateo '!F31</f>
        <v>789572.55506940489</v>
      </c>
    </row>
    <row r="52" spans="1:6" hidden="1" x14ac:dyDescent="0.25">
      <c r="A52" s="178"/>
      <c r="C52" s="179"/>
    </row>
    <row r="53" spans="1:6" ht="15.75" thickBot="1" x14ac:dyDescent="0.3">
      <c r="A53" s="174" t="s">
        <v>8</v>
      </c>
      <c r="B53" s="169"/>
      <c r="C53" s="180">
        <f>SUM(C46:C51)</f>
        <v>83850.320388607099</v>
      </c>
      <c r="D53" s="5"/>
    </row>
    <row r="54" spans="1:6" ht="12.75" customHeight="1" x14ac:dyDescent="0.25">
      <c r="A54" s="9"/>
      <c r="B54" s="8"/>
      <c r="C54" s="10"/>
    </row>
    <row r="55" spans="1:6" hidden="1" x14ac:dyDescent="0.25">
      <c r="A55" s="191"/>
      <c r="B55" s="191"/>
      <c r="C55" s="191"/>
      <c r="F55" s="44"/>
    </row>
    <row r="56" spans="1:6" ht="46.5" hidden="1" customHeight="1" x14ac:dyDescent="0.25">
      <c r="A56" s="192"/>
      <c r="B56" s="192"/>
      <c r="C56" s="192"/>
    </row>
    <row r="57" spans="1:6" ht="0.75" hidden="1" customHeight="1" x14ac:dyDescent="0.25">
      <c r="A57" s="26" t="s">
        <v>21</v>
      </c>
      <c r="B57" s="27"/>
      <c r="C57" s="29"/>
    </row>
    <row r="58" spans="1:6" hidden="1" x14ac:dyDescent="0.25">
      <c r="A58" s="28" t="s">
        <v>24</v>
      </c>
      <c r="B58" s="28"/>
      <c r="C58" s="31">
        <f>-C41</f>
        <v>0</v>
      </c>
    </row>
    <row r="59" spans="1:6" hidden="1" x14ac:dyDescent="0.25">
      <c r="A59" s="28"/>
      <c r="B59" s="28"/>
      <c r="C59" s="31"/>
    </row>
    <row r="60" spans="1:6" hidden="1" x14ac:dyDescent="0.25">
      <c r="A60" s="28"/>
      <c r="B60" s="28"/>
      <c r="C60" s="32"/>
    </row>
    <row r="61" spans="1:6" hidden="1" x14ac:dyDescent="0.25">
      <c r="A61" s="181" t="s">
        <v>0</v>
      </c>
      <c r="B61" s="182"/>
      <c r="C61" s="183">
        <f>SUM(C57:C60)</f>
        <v>0</v>
      </c>
    </row>
    <row r="62" spans="1:6" x14ac:dyDescent="0.25">
      <c r="A62" s="8"/>
      <c r="B62" s="8"/>
      <c r="C62" s="8"/>
    </row>
    <row r="63" spans="1:6" x14ac:dyDescent="0.25">
      <c r="A63" s="8"/>
      <c r="B63" s="8"/>
      <c r="C63" s="8"/>
    </row>
    <row r="64" spans="1:6" x14ac:dyDescent="0.25">
      <c r="A64" s="8"/>
      <c r="B64" s="8"/>
      <c r="C64" s="8"/>
    </row>
    <row r="65" spans="1:3" x14ac:dyDescent="0.25">
      <c r="A65" s="8"/>
      <c r="B65" s="8"/>
      <c r="C65" s="8"/>
    </row>
  </sheetData>
  <mergeCells count="2">
    <mergeCell ref="A30:B30"/>
    <mergeCell ref="A55:C56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topLeftCell="A21" workbookViewId="0">
      <selection activeCell="L32" sqref="A1:L32"/>
    </sheetView>
  </sheetViews>
  <sheetFormatPr baseColWidth="10" defaultRowHeight="15" x14ac:dyDescent="0.25"/>
  <cols>
    <col min="1" max="1" width="18.5703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84</v>
      </c>
      <c r="B1" s="193">
        <f>D1</f>
        <v>807705.44000000006</v>
      </c>
      <c r="C1" s="193"/>
      <c r="D1" s="147">
        <v>807705.44000000006</v>
      </c>
    </row>
    <row r="2" spans="1:12" ht="34.5" customHeight="1" x14ac:dyDescent="0.25">
      <c r="A2" s="46" t="s">
        <v>29</v>
      </c>
      <c r="B2" s="46" t="s">
        <v>20</v>
      </c>
      <c r="C2" s="140" t="s">
        <v>113</v>
      </c>
      <c r="D2" s="47" t="s">
        <v>1</v>
      </c>
      <c r="E2" s="48" t="s">
        <v>30</v>
      </c>
      <c r="F2" s="48" t="s">
        <v>31</v>
      </c>
      <c r="G2" s="49" t="s">
        <v>32</v>
      </c>
      <c r="H2" s="49" t="s">
        <v>116</v>
      </c>
      <c r="I2" s="50" t="s">
        <v>33</v>
      </c>
      <c r="J2" s="50" t="s">
        <v>34</v>
      </c>
      <c r="K2" s="50" t="s">
        <v>17</v>
      </c>
      <c r="L2" s="51" t="s">
        <v>35</v>
      </c>
    </row>
    <row r="3" spans="1:12" x14ac:dyDescent="0.25">
      <c r="A3" s="52" t="s">
        <v>36</v>
      </c>
      <c r="B3" s="53" t="s">
        <v>114</v>
      </c>
      <c r="C3" s="54" t="s">
        <v>37</v>
      </c>
      <c r="D3" s="55">
        <v>5.1100000000000003</v>
      </c>
      <c r="E3" s="131">
        <v>45675.906696000005</v>
      </c>
      <c r="F3" s="216">
        <f>E3</f>
        <v>45675.906696000005</v>
      </c>
      <c r="G3" s="56">
        <f>E3-F3</f>
        <v>0</v>
      </c>
      <c r="H3" s="56">
        <f>IF(G3&gt;0,G3*4%,0)</f>
        <v>0</v>
      </c>
      <c r="I3" s="56">
        <f>B$1*D3/100</f>
        <v>41273.747984000009</v>
      </c>
      <c r="J3" s="56">
        <v>0</v>
      </c>
      <c r="K3" s="56"/>
      <c r="L3" s="57">
        <f>I3+G3+K3+J3+H3</f>
        <v>41273.747984000009</v>
      </c>
    </row>
    <row r="4" spans="1:12" x14ac:dyDescent="0.25">
      <c r="A4" s="58" t="s">
        <v>38</v>
      </c>
      <c r="B4" s="59" t="s">
        <v>39</v>
      </c>
      <c r="C4" s="60" t="s">
        <v>40</v>
      </c>
      <c r="D4" s="61">
        <v>5.09</v>
      </c>
      <c r="E4" s="131">
        <v>45497.136023999999</v>
      </c>
      <c r="F4" s="216">
        <f t="shared" ref="F4:F29" si="0">E4</f>
        <v>45497.136023999999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41112.206896000003</v>
      </c>
      <c r="J4" s="56">
        <v>0</v>
      </c>
      <c r="K4" s="56"/>
      <c r="L4" s="57">
        <f t="shared" ref="L4:L29" si="4">I4+G4+K4+J4+H4</f>
        <v>41112.206896000003</v>
      </c>
    </row>
    <row r="5" spans="1:12" x14ac:dyDescent="0.25">
      <c r="A5" s="58" t="s">
        <v>41</v>
      </c>
      <c r="B5" s="59" t="s">
        <v>42</v>
      </c>
      <c r="C5" s="60" t="s">
        <v>43</v>
      </c>
      <c r="D5" s="61">
        <v>5.04</v>
      </c>
      <c r="E5" s="131">
        <v>45050.209343999995</v>
      </c>
      <c r="F5" s="216">
        <f t="shared" si="0"/>
        <v>45050.209343999995</v>
      </c>
      <c r="G5" s="56">
        <f t="shared" si="1"/>
        <v>0</v>
      </c>
      <c r="H5" s="56">
        <f t="shared" si="2"/>
        <v>0</v>
      </c>
      <c r="I5" s="56">
        <f t="shared" si="3"/>
        <v>40708.354176000001</v>
      </c>
      <c r="J5" s="56">
        <v>0</v>
      </c>
      <c r="K5" s="56"/>
      <c r="L5" s="57">
        <f t="shared" si="4"/>
        <v>40708.354176000001</v>
      </c>
    </row>
    <row r="6" spans="1:12" x14ac:dyDescent="0.25">
      <c r="A6" s="58" t="s">
        <v>44</v>
      </c>
      <c r="B6" s="59"/>
      <c r="C6" s="60" t="s">
        <v>45</v>
      </c>
      <c r="D6" s="61">
        <v>5.21</v>
      </c>
      <c r="E6" s="131">
        <v>46569.760055999999</v>
      </c>
      <c r="F6" s="216">
        <f>E6</f>
        <v>46569.760055999999</v>
      </c>
      <c r="G6" s="56">
        <f t="shared" si="1"/>
        <v>0</v>
      </c>
      <c r="H6" s="56">
        <f t="shared" si="2"/>
        <v>0</v>
      </c>
      <c r="I6" s="56">
        <f t="shared" si="3"/>
        <v>42081.453424000007</v>
      </c>
      <c r="J6" s="56">
        <v>0</v>
      </c>
      <c r="K6" s="56"/>
      <c r="L6" s="57">
        <f t="shared" si="4"/>
        <v>42081.453424000007</v>
      </c>
    </row>
    <row r="7" spans="1:12" x14ac:dyDescent="0.25">
      <c r="A7" s="58" t="s">
        <v>41</v>
      </c>
      <c r="B7" s="59" t="s">
        <v>118</v>
      </c>
      <c r="C7" s="60" t="s">
        <v>46</v>
      </c>
      <c r="D7" s="61">
        <v>5.1100000000000003</v>
      </c>
      <c r="E7" s="131">
        <v>45675.906696000005</v>
      </c>
      <c r="F7" s="216"/>
      <c r="G7" s="56">
        <f t="shared" si="1"/>
        <v>45675.906696000005</v>
      </c>
      <c r="H7" s="56">
        <f t="shared" si="2"/>
        <v>1827.0362678400002</v>
      </c>
      <c r="I7" s="56">
        <f t="shared" si="3"/>
        <v>41273.747984000009</v>
      </c>
      <c r="J7" s="56">
        <v>0</v>
      </c>
      <c r="K7" s="56"/>
      <c r="L7" s="57">
        <f t="shared" si="4"/>
        <v>88776.690947840005</v>
      </c>
    </row>
    <row r="8" spans="1:12" x14ac:dyDescent="0.25">
      <c r="A8" s="58" t="s">
        <v>47</v>
      </c>
      <c r="B8" s="59"/>
      <c r="C8" s="60" t="s">
        <v>48</v>
      </c>
      <c r="D8" s="61">
        <v>5.09</v>
      </c>
      <c r="E8" s="131">
        <v>45412.136023999999</v>
      </c>
      <c r="F8" s="216">
        <f>E8</f>
        <v>45412.136023999999</v>
      </c>
      <c r="G8" s="56">
        <f t="shared" si="1"/>
        <v>0</v>
      </c>
      <c r="H8" s="56">
        <f t="shared" si="2"/>
        <v>0</v>
      </c>
      <c r="I8" s="56">
        <f t="shared" si="3"/>
        <v>41112.206896000003</v>
      </c>
      <c r="J8" s="56">
        <v>0</v>
      </c>
      <c r="K8" s="56"/>
      <c r="L8" s="57">
        <f t="shared" si="4"/>
        <v>41112.206896000003</v>
      </c>
    </row>
    <row r="9" spans="1:12" x14ac:dyDescent="0.25">
      <c r="A9" s="58" t="s">
        <v>49</v>
      </c>
      <c r="B9" s="59"/>
      <c r="C9" s="60" t="s">
        <v>50</v>
      </c>
      <c r="D9" s="61">
        <v>5.1100000000000003</v>
      </c>
      <c r="E9" s="131">
        <v>45675.906696000005</v>
      </c>
      <c r="F9" s="216">
        <f t="shared" si="0"/>
        <v>45675.906696000005</v>
      </c>
      <c r="G9" s="56">
        <f t="shared" si="1"/>
        <v>0</v>
      </c>
      <c r="H9" s="56">
        <f t="shared" si="2"/>
        <v>0</v>
      </c>
      <c r="I9" s="56">
        <f t="shared" si="3"/>
        <v>41273.747984000009</v>
      </c>
      <c r="J9" s="56">
        <v>0</v>
      </c>
      <c r="K9" s="56"/>
      <c r="L9" s="57">
        <f t="shared" si="4"/>
        <v>41273.747984000009</v>
      </c>
    </row>
    <row r="10" spans="1:12" x14ac:dyDescent="0.25">
      <c r="A10" s="148" t="s">
        <v>51</v>
      </c>
      <c r="B10" s="149" t="s">
        <v>124</v>
      </c>
      <c r="C10" s="150" t="s">
        <v>52</v>
      </c>
      <c r="D10" s="151">
        <v>5.09</v>
      </c>
      <c r="E10" s="152">
        <v>155727.94112687037</v>
      </c>
      <c r="F10" s="217"/>
      <c r="G10" s="153">
        <f t="shared" si="1"/>
        <v>155727.94112687037</v>
      </c>
      <c r="H10" s="153">
        <f t="shared" si="2"/>
        <v>6229.1176450748153</v>
      </c>
      <c r="I10" s="153">
        <f t="shared" si="3"/>
        <v>41112.206896000003</v>
      </c>
      <c r="J10" s="153">
        <v>0</v>
      </c>
      <c r="K10" s="153"/>
      <c r="L10" s="154">
        <f t="shared" si="4"/>
        <v>203069.26566794518</v>
      </c>
    </row>
    <row r="11" spans="1:12" x14ac:dyDescent="0.25">
      <c r="A11" s="58" t="s">
        <v>131</v>
      </c>
      <c r="B11" s="59"/>
      <c r="C11" s="60" t="s">
        <v>53</v>
      </c>
      <c r="D11" s="61">
        <v>5.04</v>
      </c>
      <c r="E11" s="131">
        <v>45050.209343999995</v>
      </c>
      <c r="F11" s="216">
        <f>E11</f>
        <v>45050.209343999995</v>
      </c>
      <c r="G11" s="56">
        <f t="shared" si="1"/>
        <v>0</v>
      </c>
      <c r="H11" s="56">
        <f t="shared" si="2"/>
        <v>0</v>
      </c>
      <c r="I11" s="56">
        <f t="shared" si="3"/>
        <v>40708.354176000001</v>
      </c>
      <c r="J11" s="56">
        <v>0</v>
      </c>
      <c r="K11" s="56"/>
      <c r="L11" s="57">
        <f t="shared" si="4"/>
        <v>40708.354176000001</v>
      </c>
    </row>
    <row r="12" spans="1:12" x14ac:dyDescent="0.25">
      <c r="A12" s="58" t="s">
        <v>54</v>
      </c>
      <c r="B12" s="59"/>
      <c r="C12" s="60" t="s">
        <v>55</v>
      </c>
      <c r="D12" s="61">
        <v>5.21</v>
      </c>
      <c r="E12" s="131">
        <v>46569.760055999999</v>
      </c>
      <c r="F12" s="216">
        <f t="shared" si="0"/>
        <v>46569.760055999999</v>
      </c>
      <c r="G12" s="56">
        <f t="shared" si="1"/>
        <v>0</v>
      </c>
      <c r="H12" s="56">
        <f t="shared" si="2"/>
        <v>0</v>
      </c>
      <c r="I12" s="56">
        <f t="shared" si="3"/>
        <v>42081.453424000007</v>
      </c>
      <c r="J12" s="56">
        <v>0</v>
      </c>
      <c r="K12" s="56"/>
      <c r="L12" s="57">
        <f t="shared" si="4"/>
        <v>42081.453424000007</v>
      </c>
    </row>
    <row r="13" spans="1:12" x14ac:dyDescent="0.25">
      <c r="A13" s="58" t="s">
        <v>56</v>
      </c>
      <c r="B13" s="59" t="s">
        <v>57</v>
      </c>
      <c r="C13" s="60" t="s">
        <v>58</v>
      </c>
      <c r="D13" s="61">
        <v>5.1100000000000003</v>
      </c>
      <c r="E13" s="131">
        <v>45675.906696000005</v>
      </c>
      <c r="F13" s="216">
        <f>E13</f>
        <v>45675.906696000005</v>
      </c>
      <c r="G13" s="56">
        <f t="shared" si="1"/>
        <v>0</v>
      </c>
      <c r="H13" s="56">
        <f t="shared" si="2"/>
        <v>0</v>
      </c>
      <c r="I13" s="56">
        <f t="shared" si="3"/>
        <v>41273.747984000009</v>
      </c>
      <c r="J13" s="56">
        <v>0</v>
      </c>
      <c r="K13" s="56"/>
      <c r="L13" s="57">
        <f t="shared" si="4"/>
        <v>41273.747984000009</v>
      </c>
    </row>
    <row r="14" spans="1:12" x14ac:dyDescent="0.25">
      <c r="A14" s="64" t="s">
        <v>56</v>
      </c>
      <c r="B14" s="144" t="s">
        <v>59</v>
      </c>
      <c r="C14" s="65" t="s">
        <v>60</v>
      </c>
      <c r="D14" s="145">
        <v>5.09</v>
      </c>
      <c r="E14" s="131">
        <v>45497.136023999999</v>
      </c>
      <c r="F14" s="216"/>
      <c r="G14" s="66">
        <f t="shared" si="1"/>
        <v>45497.136023999999</v>
      </c>
      <c r="H14" s="66">
        <f t="shared" si="2"/>
        <v>1819.8854409600001</v>
      </c>
      <c r="I14" s="66">
        <f t="shared" si="3"/>
        <v>41112.206896000003</v>
      </c>
      <c r="J14" s="66">
        <v>0</v>
      </c>
      <c r="K14" s="66"/>
      <c r="L14" s="146">
        <f t="shared" si="4"/>
        <v>88429.228360959998</v>
      </c>
    </row>
    <row r="15" spans="1:12" x14ac:dyDescent="0.25">
      <c r="A15" s="58" t="s">
        <v>61</v>
      </c>
      <c r="B15" s="59" t="s">
        <v>62</v>
      </c>
      <c r="C15" s="60" t="s">
        <v>63</v>
      </c>
      <c r="D15" s="61">
        <v>5.04</v>
      </c>
      <c r="E15" s="131">
        <v>45050.209343999995</v>
      </c>
      <c r="F15" s="216"/>
      <c r="G15" s="56">
        <f t="shared" si="1"/>
        <v>45050.209343999995</v>
      </c>
      <c r="H15" s="56">
        <f t="shared" si="2"/>
        <v>1802.0083737599998</v>
      </c>
      <c r="I15" s="56">
        <f t="shared" si="3"/>
        <v>40708.354176000001</v>
      </c>
      <c r="J15" s="56">
        <v>0</v>
      </c>
      <c r="K15" s="56"/>
      <c r="L15" s="57">
        <f t="shared" si="4"/>
        <v>87560.571893760003</v>
      </c>
    </row>
    <row r="16" spans="1:12" x14ac:dyDescent="0.25">
      <c r="A16" s="58" t="s">
        <v>64</v>
      </c>
      <c r="B16" s="59" t="s">
        <v>65</v>
      </c>
      <c r="C16" s="60" t="s">
        <v>66</v>
      </c>
      <c r="D16" s="61">
        <v>5.21</v>
      </c>
      <c r="E16" s="131">
        <v>101462.37119144</v>
      </c>
      <c r="F16" s="216">
        <f>E16</f>
        <v>101462.37119144</v>
      </c>
      <c r="G16" s="56">
        <f t="shared" si="1"/>
        <v>0</v>
      </c>
      <c r="H16" s="56">
        <f t="shared" si="2"/>
        <v>0</v>
      </c>
      <c r="I16" s="56">
        <f t="shared" si="3"/>
        <v>42081.453424000007</v>
      </c>
      <c r="J16" s="56">
        <v>0</v>
      </c>
      <c r="K16" s="56"/>
      <c r="L16" s="57">
        <f t="shared" si="4"/>
        <v>42081.453424000007</v>
      </c>
    </row>
    <row r="17" spans="1:15" x14ac:dyDescent="0.25">
      <c r="A17" s="58" t="s">
        <v>67</v>
      </c>
      <c r="B17" s="59"/>
      <c r="C17" s="60" t="s">
        <v>68</v>
      </c>
      <c r="D17" s="61">
        <v>5.04</v>
      </c>
      <c r="E17" s="131">
        <v>45050.209343999995</v>
      </c>
      <c r="F17" s="216">
        <f t="shared" si="0"/>
        <v>45050.209343999995</v>
      </c>
      <c r="G17" s="56">
        <f t="shared" si="1"/>
        <v>0</v>
      </c>
      <c r="H17" s="56">
        <f t="shared" si="2"/>
        <v>0</v>
      </c>
      <c r="I17" s="56">
        <f t="shared" si="3"/>
        <v>40708.354176000001</v>
      </c>
      <c r="J17" s="56">
        <v>0</v>
      </c>
      <c r="K17" s="56"/>
      <c r="L17" s="57">
        <f t="shared" si="4"/>
        <v>40708.354176000001</v>
      </c>
    </row>
    <row r="18" spans="1:15" ht="21" customHeight="1" x14ac:dyDescent="0.25">
      <c r="A18" s="62" t="s">
        <v>69</v>
      </c>
      <c r="B18" s="63"/>
      <c r="C18" s="60" t="s">
        <v>70</v>
      </c>
      <c r="D18" s="61">
        <v>5.21</v>
      </c>
      <c r="E18" s="131">
        <v>46569.760055999999</v>
      </c>
      <c r="F18" s="216">
        <f t="shared" si="0"/>
        <v>46569.760055999999</v>
      </c>
      <c r="G18" s="56">
        <f t="shared" si="1"/>
        <v>0</v>
      </c>
      <c r="H18" s="56">
        <f t="shared" si="2"/>
        <v>0</v>
      </c>
      <c r="I18" s="56">
        <f t="shared" si="3"/>
        <v>42081.453424000007</v>
      </c>
      <c r="J18" s="56">
        <v>0</v>
      </c>
      <c r="K18" s="56"/>
      <c r="L18" s="57">
        <f t="shared" si="4"/>
        <v>42081.453424000007</v>
      </c>
    </row>
    <row r="19" spans="1:15" x14ac:dyDescent="0.25">
      <c r="A19" s="58" t="s">
        <v>71</v>
      </c>
      <c r="B19" s="59"/>
      <c r="C19" s="60" t="s">
        <v>72</v>
      </c>
      <c r="D19" s="61">
        <v>7.4</v>
      </c>
      <c r="E19" s="131">
        <v>66145.148639999999</v>
      </c>
      <c r="F19" s="216">
        <f>E19</f>
        <v>66145.148639999999</v>
      </c>
      <c r="G19" s="56">
        <f t="shared" si="1"/>
        <v>0</v>
      </c>
      <c r="H19" s="56">
        <f t="shared" si="2"/>
        <v>0</v>
      </c>
      <c r="I19" s="56">
        <f t="shared" si="3"/>
        <v>59770.202560000012</v>
      </c>
      <c r="J19" s="56">
        <v>0</v>
      </c>
      <c r="K19" s="56"/>
      <c r="L19" s="57">
        <f t="shared" si="4"/>
        <v>59770.202560000012</v>
      </c>
    </row>
    <row r="20" spans="1:15" x14ac:dyDescent="0.25">
      <c r="A20" s="148"/>
      <c r="B20" s="149"/>
      <c r="C20" s="150" t="s">
        <v>73</v>
      </c>
      <c r="D20" s="151">
        <v>1.08</v>
      </c>
      <c r="E20" s="152">
        <v>33042.47080884481</v>
      </c>
      <c r="F20" s="217">
        <v>0</v>
      </c>
      <c r="G20" s="153">
        <f t="shared" si="1"/>
        <v>33042.47080884481</v>
      </c>
      <c r="H20" s="153">
        <f t="shared" si="2"/>
        <v>1321.6988323537923</v>
      </c>
      <c r="I20" s="153">
        <f t="shared" si="3"/>
        <v>8723.2187520000007</v>
      </c>
      <c r="J20" s="153">
        <v>0</v>
      </c>
      <c r="K20" s="153"/>
      <c r="L20" s="154">
        <f t="shared" si="4"/>
        <v>43087.388393198606</v>
      </c>
    </row>
    <row r="21" spans="1:15" x14ac:dyDescent="0.25">
      <c r="A21" s="64"/>
      <c r="B21" s="59" t="s">
        <v>65</v>
      </c>
      <c r="C21" s="65" t="s">
        <v>74</v>
      </c>
      <c r="D21" s="61">
        <v>1.08</v>
      </c>
      <c r="E21" s="131">
        <v>21118.741053120004</v>
      </c>
      <c r="F21" s="216">
        <f>E21</f>
        <v>21118.741053120004</v>
      </c>
      <c r="G21" s="56">
        <f t="shared" si="1"/>
        <v>0</v>
      </c>
      <c r="H21" s="56">
        <f t="shared" si="2"/>
        <v>0</v>
      </c>
      <c r="I21" s="56">
        <f t="shared" si="3"/>
        <v>8723.2187520000007</v>
      </c>
      <c r="J21" s="56">
        <v>0</v>
      </c>
      <c r="K21" s="66"/>
      <c r="L21" s="57">
        <f t="shared" si="4"/>
        <v>8723.2187520000007</v>
      </c>
    </row>
    <row r="22" spans="1:15" x14ac:dyDescent="0.25">
      <c r="A22" s="148"/>
      <c r="B22" s="149"/>
      <c r="C22" s="150" t="s">
        <v>75</v>
      </c>
      <c r="D22" s="151">
        <v>1.08</v>
      </c>
      <c r="E22" s="152">
        <v>33042.47080884481</v>
      </c>
      <c r="F22" s="217">
        <v>0</v>
      </c>
      <c r="G22" s="153">
        <f t="shared" si="1"/>
        <v>33042.47080884481</v>
      </c>
      <c r="H22" s="153">
        <f t="shared" si="2"/>
        <v>1321.6988323537923</v>
      </c>
      <c r="I22" s="153">
        <f t="shared" si="3"/>
        <v>8723.2187520000007</v>
      </c>
      <c r="J22" s="153">
        <v>0</v>
      </c>
      <c r="K22" s="153"/>
      <c r="L22" s="154">
        <f t="shared" si="4"/>
        <v>43087.388393198606</v>
      </c>
    </row>
    <row r="23" spans="1:15" x14ac:dyDescent="0.25">
      <c r="A23" s="58"/>
      <c r="B23" s="59" t="s">
        <v>42</v>
      </c>
      <c r="C23" s="60" t="s">
        <v>76</v>
      </c>
      <c r="D23" s="61">
        <v>1.08</v>
      </c>
      <c r="E23" s="131">
        <v>9653.6162880000011</v>
      </c>
      <c r="F23" s="216">
        <f t="shared" si="0"/>
        <v>9653.6162880000011</v>
      </c>
      <c r="G23" s="56">
        <f t="shared" si="1"/>
        <v>0</v>
      </c>
      <c r="H23" s="56">
        <f t="shared" si="2"/>
        <v>0</v>
      </c>
      <c r="I23" s="56">
        <f t="shared" si="3"/>
        <v>8723.2187520000007</v>
      </c>
      <c r="J23" s="56">
        <v>0</v>
      </c>
      <c r="K23" s="56"/>
      <c r="L23" s="57">
        <f t="shared" si="4"/>
        <v>8723.2187520000007</v>
      </c>
    </row>
    <row r="24" spans="1:15" x14ac:dyDescent="0.25">
      <c r="A24" s="58" t="s">
        <v>56</v>
      </c>
      <c r="B24" s="59" t="s">
        <v>57</v>
      </c>
      <c r="C24" s="60" t="s">
        <v>77</v>
      </c>
      <c r="D24" s="61">
        <v>1.08</v>
      </c>
      <c r="E24" s="131">
        <v>9653.6162880000011</v>
      </c>
      <c r="F24" s="216">
        <f>E24</f>
        <v>9653.6162880000011</v>
      </c>
      <c r="G24" s="56">
        <f t="shared" si="1"/>
        <v>0</v>
      </c>
      <c r="H24" s="56">
        <f t="shared" si="2"/>
        <v>0</v>
      </c>
      <c r="I24" s="56">
        <f t="shared" si="3"/>
        <v>8723.2187520000007</v>
      </c>
      <c r="J24" s="56">
        <v>0</v>
      </c>
      <c r="K24" s="56"/>
      <c r="L24" s="57">
        <f t="shared" si="4"/>
        <v>8723.2187520000007</v>
      </c>
    </row>
    <row r="25" spans="1:15" x14ac:dyDescent="0.25">
      <c r="A25" s="58" t="s">
        <v>56</v>
      </c>
      <c r="B25" s="59" t="s">
        <v>59</v>
      </c>
      <c r="C25" s="60" t="s">
        <v>78</v>
      </c>
      <c r="D25" s="61">
        <v>1.08</v>
      </c>
      <c r="E25" s="131">
        <v>9653.6162880000011</v>
      </c>
      <c r="F25" s="216">
        <f t="shared" ref="F25:F27" si="5">E25</f>
        <v>9653.6162880000011</v>
      </c>
      <c r="G25" s="56">
        <f t="shared" si="1"/>
        <v>0</v>
      </c>
      <c r="H25" s="56">
        <f t="shared" si="2"/>
        <v>0</v>
      </c>
      <c r="I25" s="56">
        <f t="shared" si="3"/>
        <v>8723.2187520000007</v>
      </c>
      <c r="J25" s="56">
        <v>0</v>
      </c>
      <c r="K25" s="56"/>
      <c r="L25" s="57">
        <f t="shared" si="4"/>
        <v>8723.2187520000007</v>
      </c>
    </row>
    <row r="26" spans="1:15" x14ac:dyDescent="0.25">
      <c r="A26" s="58" t="s">
        <v>71</v>
      </c>
      <c r="B26" s="59"/>
      <c r="C26" s="60" t="s">
        <v>79</v>
      </c>
      <c r="D26" s="61">
        <v>1.08</v>
      </c>
      <c r="E26" s="131">
        <v>18023.037088000001</v>
      </c>
      <c r="F26" s="216">
        <f t="shared" si="5"/>
        <v>18023.037088000001</v>
      </c>
      <c r="G26" s="56">
        <f t="shared" si="1"/>
        <v>0</v>
      </c>
      <c r="H26" s="56">
        <f t="shared" si="2"/>
        <v>0</v>
      </c>
      <c r="I26" s="56">
        <f t="shared" si="3"/>
        <v>8723.2187520000007</v>
      </c>
      <c r="J26" s="56">
        <v>0</v>
      </c>
      <c r="K26" s="56"/>
      <c r="L26" s="57">
        <f t="shared" si="4"/>
        <v>8723.2187520000007</v>
      </c>
    </row>
    <row r="27" spans="1:15" x14ac:dyDescent="0.25">
      <c r="A27" s="58" t="s">
        <v>71</v>
      </c>
      <c r="B27" s="67"/>
      <c r="C27" s="60" t="s">
        <v>80</v>
      </c>
      <c r="D27" s="61">
        <v>1.08</v>
      </c>
      <c r="E27" s="131">
        <v>41411.89160884481</v>
      </c>
      <c r="F27" s="216">
        <f t="shared" si="5"/>
        <v>41411.89160884481</v>
      </c>
      <c r="G27" s="56">
        <f t="shared" si="1"/>
        <v>0</v>
      </c>
      <c r="H27" s="56">
        <f t="shared" si="2"/>
        <v>0</v>
      </c>
      <c r="I27" s="56">
        <f t="shared" si="3"/>
        <v>8723.2187520000007</v>
      </c>
      <c r="J27" s="56">
        <v>0</v>
      </c>
      <c r="K27" s="56"/>
      <c r="L27" s="57">
        <f t="shared" si="4"/>
        <v>8723.2187520000007</v>
      </c>
      <c r="O27" s="44">
        <f>F27+F26+F19</f>
        <v>125580.07733684481</v>
      </c>
    </row>
    <row r="28" spans="1:15" x14ac:dyDescent="0.25">
      <c r="A28" s="68"/>
      <c r="B28" s="67" t="str">
        <f>B7</f>
        <v>Leandro</v>
      </c>
      <c r="C28" s="60" t="s">
        <v>81</v>
      </c>
      <c r="D28" s="61">
        <v>1.08</v>
      </c>
      <c r="E28" s="131">
        <v>9653.6162880000011</v>
      </c>
      <c r="F28" s="216"/>
      <c r="G28" s="56">
        <f t="shared" si="1"/>
        <v>9653.6162880000011</v>
      </c>
      <c r="H28" s="56">
        <f t="shared" si="2"/>
        <v>386.14465152000002</v>
      </c>
      <c r="I28" s="56">
        <f t="shared" si="3"/>
        <v>8723.2187520000007</v>
      </c>
      <c r="J28" s="56">
        <v>0</v>
      </c>
      <c r="K28" s="56"/>
      <c r="L28" s="57">
        <f t="shared" si="4"/>
        <v>18762.979691520002</v>
      </c>
    </row>
    <row r="29" spans="1:15" x14ac:dyDescent="0.25">
      <c r="A29" s="68" t="s">
        <v>61</v>
      </c>
      <c r="B29" s="67"/>
      <c r="C29" s="60" t="s">
        <v>82</v>
      </c>
      <c r="D29" s="61">
        <v>1.08</v>
      </c>
      <c r="E29" s="131">
        <v>9653.6162880000011</v>
      </c>
      <c r="F29" s="216">
        <f t="shared" si="0"/>
        <v>9653.6162880000011</v>
      </c>
      <c r="G29" s="56">
        <f t="shared" si="1"/>
        <v>0</v>
      </c>
      <c r="H29" s="56">
        <f t="shared" si="2"/>
        <v>0</v>
      </c>
      <c r="I29" s="56">
        <f t="shared" si="3"/>
        <v>8723.2187520000007</v>
      </c>
      <c r="J29" s="56">
        <v>0</v>
      </c>
      <c r="K29" s="56"/>
      <c r="L29" s="57">
        <f t="shared" si="4"/>
        <v>8723.2187520000007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83</v>
      </c>
      <c r="D31" s="76">
        <f>SUM(D3:D30)</f>
        <v>99.999999999999986</v>
      </c>
      <c r="E31" s="75"/>
      <c r="F31" s="138">
        <f>SUM(F3:F30)</f>
        <v>789572.55506940489</v>
      </c>
      <c r="G31" s="77"/>
      <c r="H31" s="77"/>
      <c r="I31" s="139">
        <f>SUM(I3:I30)</f>
        <v>807705.44000000029</v>
      </c>
      <c r="J31" s="138">
        <f>SUM(J3:J30)</f>
        <v>0</v>
      </c>
      <c r="K31" s="138"/>
      <c r="L31" s="138">
        <f>SUM(L3:L29)</f>
        <v>1190102.7811404227</v>
      </c>
    </row>
    <row r="32" spans="1:15" x14ac:dyDescent="0.25">
      <c r="J32" s="22"/>
    </row>
    <row r="40" spans="5:5" x14ac:dyDescent="0.25">
      <c r="E40" s="21"/>
    </row>
  </sheetData>
  <mergeCells count="1">
    <mergeCell ref="B1:C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abSelected="1" topLeftCell="C15" workbookViewId="0">
      <selection activeCell="C35" sqref="C35:N35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194" t="s">
        <v>86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6"/>
      <c r="O1" s="78"/>
    </row>
    <row r="2" spans="1:19" x14ac:dyDescent="0.25">
      <c r="A2" s="79"/>
      <c r="B2" s="79"/>
      <c r="C2" s="203"/>
      <c r="D2" s="203"/>
      <c r="E2" s="203"/>
      <c r="F2" s="203"/>
      <c r="G2" s="203"/>
      <c r="H2" s="204"/>
      <c r="I2" s="203"/>
      <c r="J2" s="203"/>
      <c r="K2" s="203"/>
      <c r="L2" s="203"/>
      <c r="M2" s="203"/>
      <c r="N2" s="203"/>
      <c r="O2" s="80"/>
      <c r="P2" s="11"/>
    </row>
    <row r="3" spans="1:19" x14ac:dyDescent="0.25">
      <c r="A3" s="82"/>
      <c r="B3" s="82"/>
      <c r="C3" s="206"/>
      <c r="D3" s="206"/>
      <c r="E3" s="206"/>
      <c r="F3" s="206"/>
      <c r="G3" s="206"/>
      <c r="H3" s="204"/>
      <c r="I3" s="203"/>
      <c r="J3" s="203"/>
      <c r="K3" s="203"/>
      <c r="L3" s="203"/>
      <c r="M3" s="203"/>
      <c r="N3" s="203"/>
      <c r="O3" s="80"/>
      <c r="P3" s="11"/>
    </row>
    <row r="4" spans="1:19" x14ac:dyDescent="0.25">
      <c r="A4" s="82"/>
      <c r="B4" s="82"/>
      <c r="C4" s="206"/>
      <c r="D4" s="206"/>
      <c r="E4" s="206"/>
      <c r="F4" s="206"/>
      <c r="G4" s="206"/>
      <c r="H4" s="204"/>
      <c r="I4" s="203" t="s">
        <v>85</v>
      </c>
      <c r="J4" s="203"/>
      <c r="K4" s="203"/>
      <c r="L4" s="203"/>
      <c r="M4" s="203"/>
      <c r="N4" s="203"/>
      <c r="O4" s="80"/>
      <c r="P4" s="11"/>
    </row>
    <row r="5" spans="1:19" x14ac:dyDescent="0.25">
      <c r="A5" s="82"/>
      <c r="B5" s="82"/>
      <c r="C5" s="206"/>
      <c r="D5" s="206"/>
      <c r="E5" s="206"/>
      <c r="F5" s="206"/>
      <c r="G5" s="206"/>
      <c r="H5" s="204"/>
      <c r="I5" s="203"/>
      <c r="J5" s="203"/>
      <c r="K5" s="203"/>
      <c r="L5" s="203"/>
      <c r="M5" s="203"/>
      <c r="N5" s="203"/>
      <c r="O5" s="80"/>
      <c r="P5" s="11"/>
    </row>
    <row r="6" spans="1:19" x14ac:dyDescent="0.25">
      <c r="A6" s="82"/>
      <c r="B6" s="82"/>
      <c r="C6" s="203"/>
      <c r="D6" s="28"/>
      <c r="E6" s="203"/>
      <c r="F6" s="203"/>
      <c r="G6" s="203"/>
      <c r="H6" s="204"/>
      <c r="I6" s="203"/>
      <c r="J6" s="203"/>
      <c r="K6" s="203"/>
      <c r="L6" s="203"/>
      <c r="M6" s="203"/>
      <c r="N6" s="203"/>
      <c r="O6" s="80"/>
      <c r="P6" s="11"/>
    </row>
    <row r="7" spans="1:19" ht="19.5" customHeight="1" x14ac:dyDescent="0.25">
      <c r="A7" s="83"/>
      <c r="B7" s="83" t="s">
        <v>86</v>
      </c>
      <c r="C7" s="205">
        <v>549449.35</v>
      </c>
      <c r="D7" s="28"/>
      <c r="E7" s="203"/>
      <c r="F7" s="203" t="s">
        <v>117</v>
      </c>
      <c r="G7" s="203"/>
      <c r="H7" s="204"/>
      <c r="I7" s="203"/>
      <c r="J7" s="203" t="str">
        <f>'detalle y gastos'!C7</f>
        <v>Vto. 13/03</v>
      </c>
      <c r="K7" s="203"/>
      <c r="L7" s="203"/>
      <c r="M7" s="203"/>
      <c r="N7" s="203"/>
      <c r="O7" s="80"/>
      <c r="P7" s="11"/>
    </row>
    <row r="8" spans="1:19" hidden="1" x14ac:dyDescent="0.25">
      <c r="A8" s="83"/>
      <c r="B8" s="82" t="s">
        <v>86</v>
      </c>
      <c r="C8" s="87"/>
      <c r="E8" s="84"/>
      <c r="F8" s="84"/>
      <c r="G8" s="84"/>
      <c r="H8" s="85"/>
      <c r="I8" s="84"/>
      <c r="J8" s="80"/>
      <c r="K8" s="88">
        <f>C8-J38</f>
        <v>-307014.55811000004</v>
      </c>
      <c r="L8" s="202">
        <f>C7-J38</f>
        <v>242434.79188999993</v>
      </c>
      <c r="M8" s="202"/>
      <c r="N8" s="86"/>
      <c r="O8" s="80"/>
      <c r="P8" s="11"/>
    </row>
    <row r="9" spans="1:19" ht="28.5" customHeight="1" x14ac:dyDescent="0.25">
      <c r="A9" s="89" t="s">
        <v>87</v>
      </c>
      <c r="B9" s="89" t="s">
        <v>87</v>
      </c>
      <c r="C9" s="121" t="s">
        <v>88</v>
      </c>
      <c r="D9" s="122" t="s">
        <v>89</v>
      </c>
      <c r="E9" s="122" t="s">
        <v>1</v>
      </c>
      <c r="F9" s="120" t="s">
        <v>90</v>
      </c>
      <c r="G9" s="120" t="s">
        <v>91</v>
      </c>
      <c r="H9" s="123" t="s">
        <v>94</v>
      </c>
      <c r="I9" s="124" t="s">
        <v>92</v>
      </c>
      <c r="J9" s="125" t="s">
        <v>86</v>
      </c>
      <c r="K9" s="126" t="s">
        <v>93</v>
      </c>
      <c r="L9" s="126" t="s">
        <v>93</v>
      </c>
      <c r="M9" s="127" t="s">
        <v>94</v>
      </c>
      <c r="N9" s="120" t="s">
        <v>95</v>
      </c>
      <c r="P9" s="11"/>
    </row>
    <row r="10" spans="1:19" x14ac:dyDescent="0.25">
      <c r="A10" s="100">
        <v>1</v>
      </c>
      <c r="B10" s="90">
        <v>1</v>
      </c>
      <c r="C10" s="117" t="s">
        <v>37</v>
      </c>
      <c r="D10" s="102" t="s">
        <v>96</v>
      </c>
      <c r="E10" s="103">
        <v>5.1100000000000003</v>
      </c>
      <c r="F10" s="104">
        <v>2596.1999999999998</v>
      </c>
      <c r="G10" s="105">
        <v>2778</v>
      </c>
      <c r="H10" s="106">
        <f>G10-F10</f>
        <v>181.80000000000018</v>
      </c>
      <c r="I10" s="107">
        <f t="shared" ref="I10:I37" si="0">H10*7%</f>
        <v>12.726000000000013</v>
      </c>
      <c r="J10" s="118">
        <f>M10*93.787</f>
        <v>17050.47660000002</v>
      </c>
      <c r="K10" s="108">
        <f>K8*E10%</f>
        <v>-15688.443919421004</v>
      </c>
      <c r="L10" s="129">
        <f>L$8*E10/S$12</f>
        <v>12388.417865578998</v>
      </c>
      <c r="M10" s="109">
        <f>G10-F10</f>
        <v>181.80000000000018</v>
      </c>
      <c r="N10" s="106">
        <f>J10+L10</f>
        <v>29438.894465579018</v>
      </c>
      <c r="O10" s="99">
        <f>N10+'prorrateo '!L3</f>
        <v>70712.642449579027</v>
      </c>
      <c r="P10" s="11"/>
    </row>
    <row r="11" spans="1:19" x14ac:dyDescent="0.25">
      <c r="A11" s="101">
        <v>2</v>
      </c>
      <c r="B11" s="91">
        <v>2</v>
      </c>
      <c r="C11" s="117" t="s">
        <v>40</v>
      </c>
      <c r="D11" s="102" t="s">
        <v>97</v>
      </c>
      <c r="E11" s="103">
        <v>5.09</v>
      </c>
      <c r="F11" s="104">
        <v>2643.2</v>
      </c>
      <c r="G11" s="105">
        <v>2853.7</v>
      </c>
      <c r="H11" s="106">
        <f t="shared" ref="H11:H27" si="1">G11-F11</f>
        <v>210.5</v>
      </c>
      <c r="I11" s="107">
        <f t="shared" si="0"/>
        <v>14.735000000000001</v>
      </c>
      <c r="J11" s="118">
        <f t="shared" ref="J11:J26" si="2">M11*93.787</f>
        <v>19742.163500000002</v>
      </c>
      <c r="K11" s="108">
        <f>K8*E11%</f>
        <v>-15627.041007799002</v>
      </c>
      <c r="L11" s="129">
        <f t="shared" ref="L11:L36" si="3">L$8*E11/S$12</f>
        <v>12339.930907200996</v>
      </c>
      <c r="M11" s="109">
        <f t="shared" ref="M11:M26" si="4">G11-F11</f>
        <v>210.5</v>
      </c>
      <c r="N11" s="106">
        <f t="shared" ref="N11:N25" si="5">J11+L11</f>
        <v>32082.094407200999</v>
      </c>
      <c r="O11" s="99">
        <f>N11+'prorrateo '!L4</f>
        <v>73194.301303201006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43</v>
      </c>
      <c r="D12" s="102" t="s">
        <v>98</v>
      </c>
      <c r="E12" s="103">
        <v>5.04</v>
      </c>
      <c r="F12" s="104">
        <v>1025.0999999999999</v>
      </c>
      <c r="G12" s="105">
        <v>1174.9000000000001</v>
      </c>
      <c r="H12" s="106">
        <f t="shared" si="1"/>
        <v>149.80000000000018</v>
      </c>
      <c r="I12" s="107">
        <f t="shared" si="0"/>
        <v>10.486000000000013</v>
      </c>
      <c r="J12" s="118">
        <f t="shared" si="2"/>
        <v>14049.292600000019</v>
      </c>
      <c r="K12" s="108">
        <f>K8*E12%</f>
        <v>-15473.533728744002</v>
      </c>
      <c r="L12" s="129">
        <f t="shared" si="3"/>
        <v>12218.713511255995</v>
      </c>
      <c r="M12" s="109">
        <f>G12-F12</f>
        <v>149.80000000000018</v>
      </c>
      <c r="N12" s="106">
        <f t="shared" si="5"/>
        <v>26268.006111256014</v>
      </c>
      <c r="O12" s="99">
        <f>N12+'prorrateo '!L5</f>
        <v>66976.360287256015</v>
      </c>
      <c r="P12" s="11"/>
      <c r="S12">
        <v>100</v>
      </c>
    </row>
    <row r="13" spans="1:19" x14ac:dyDescent="0.25">
      <c r="A13" s="100">
        <v>4</v>
      </c>
      <c r="B13" s="91" t="s">
        <v>99</v>
      </c>
      <c r="C13" s="207" t="s">
        <v>45</v>
      </c>
      <c r="D13" s="102" t="s">
        <v>100</v>
      </c>
      <c r="E13" s="208">
        <v>5.21</v>
      </c>
      <c r="F13" s="104">
        <v>528.6</v>
      </c>
      <c r="G13" s="105">
        <v>610.79999999999995</v>
      </c>
      <c r="H13" s="106">
        <f t="shared" si="1"/>
        <v>82.199999999999932</v>
      </c>
      <c r="I13" s="209">
        <f t="shared" si="0"/>
        <v>5.753999999999996</v>
      </c>
      <c r="J13" s="118">
        <f t="shared" si="2"/>
        <v>7709.2913999999937</v>
      </c>
      <c r="K13" s="210">
        <f>K8*E13%</f>
        <v>-15995.458477531003</v>
      </c>
      <c r="L13" s="129">
        <f t="shared" si="3"/>
        <v>12630.852657468997</v>
      </c>
      <c r="M13" s="211">
        <f t="shared" si="4"/>
        <v>82.199999999999932</v>
      </c>
      <c r="N13" s="106">
        <f t="shared" si="5"/>
        <v>20340.144057468991</v>
      </c>
      <c r="O13" s="99">
        <f>N13+'prorrateo '!L6</f>
        <v>62421.597481468998</v>
      </c>
      <c r="P13" s="11"/>
    </row>
    <row r="14" spans="1:19" x14ac:dyDescent="0.25">
      <c r="A14" s="100">
        <v>6</v>
      </c>
      <c r="B14" s="91">
        <v>6</v>
      </c>
      <c r="C14" s="155" t="s">
        <v>46</v>
      </c>
      <c r="D14" s="156" t="s">
        <v>101</v>
      </c>
      <c r="E14" s="157">
        <v>5.1100000000000003</v>
      </c>
      <c r="F14" s="158">
        <v>833.8</v>
      </c>
      <c r="G14" s="159">
        <v>1111.03</v>
      </c>
      <c r="H14" s="160">
        <f t="shared" si="1"/>
        <v>277.23</v>
      </c>
      <c r="I14" s="161">
        <f t="shared" si="0"/>
        <v>19.406100000000002</v>
      </c>
      <c r="J14" s="162">
        <f t="shared" si="2"/>
        <v>26000.570010000003</v>
      </c>
      <c r="K14" s="163">
        <f>K8*E14%</f>
        <v>-15688.443919421004</v>
      </c>
      <c r="L14" s="164">
        <f t="shared" si="3"/>
        <v>12388.417865578998</v>
      </c>
      <c r="M14" s="165">
        <f t="shared" si="4"/>
        <v>277.23</v>
      </c>
      <c r="N14" s="160">
        <f t="shared" si="5"/>
        <v>38388.987875578998</v>
      </c>
      <c r="O14" s="99">
        <f>N14+'prorrateo '!L7</f>
        <v>127165.678823419</v>
      </c>
      <c r="P14" s="11"/>
    </row>
    <row r="15" spans="1:19" x14ac:dyDescent="0.25">
      <c r="A15" s="100">
        <v>7</v>
      </c>
      <c r="B15" s="91">
        <v>7</v>
      </c>
      <c r="C15" s="117" t="s">
        <v>48</v>
      </c>
      <c r="D15" s="102" t="s">
        <v>101</v>
      </c>
      <c r="E15" s="103">
        <v>5.09</v>
      </c>
      <c r="F15" s="104">
        <v>1983.6</v>
      </c>
      <c r="G15" s="105">
        <v>2156.6</v>
      </c>
      <c r="H15" s="106">
        <f t="shared" si="1"/>
        <v>173</v>
      </c>
      <c r="I15" s="107">
        <f t="shared" si="0"/>
        <v>12.110000000000001</v>
      </c>
      <c r="J15" s="118">
        <f t="shared" si="2"/>
        <v>16225.151000000002</v>
      </c>
      <c r="K15" s="108">
        <f>K8*E15%</f>
        <v>-15627.041007799002</v>
      </c>
      <c r="L15" s="129">
        <f t="shared" si="3"/>
        <v>12339.930907200996</v>
      </c>
      <c r="M15" s="109">
        <f t="shared" si="4"/>
        <v>173</v>
      </c>
      <c r="N15" s="106">
        <f t="shared" si="5"/>
        <v>28565.081907200998</v>
      </c>
      <c r="O15" s="99">
        <f>N15+'prorrateo '!L8</f>
        <v>69677.288803200994</v>
      </c>
    </row>
    <row r="16" spans="1:19" x14ac:dyDescent="0.25">
      <c r="A16" s="100">
        <v>8</v>
      </c>
      <c r="B16" s="91">
        <v>8</v>
      </c>
      <c r="C16" s="117" t="s">
        <v>50</v>
      </c>
      <c r="D16" s="102" t="s">
        <v>102</v>
      </c>
      <c r="E16" s="103">
        <v>5.1100000000000003</v>
      </c>
      <c r="F16" s="104">
        <v>1754.7</v>
      </c>
      <c r="G16" s="105">
        <v>1835.1</v>
      </c>
      <c r="H16" s="106">
        <f t="shared" si="1"/>
        <v>80.399999999999864</v>
      </c>
      <c r="I16" s="107">
        <f t="shared" si="0"/>
        <v>5.6279999999999912</v>
      </c>
      <c r="J16" s="118">
        <f t="shared" si="2"/>
        <v>7540.4747999999881</v>
      </c>
      <c r="K16" s="108">
        <f>K8*E16%</f>
        <v>-15688.443919421004</v>
      </c>
      <c r="L16" s="129">
        <f t="shared" si="3"/>
        <v>12388.417865578998</v>
      </c>
      <c r="M16" s="109">
        <f t="shared" si="4"/>
        <v>80.399999999999864</v>
      </c>
      <c r="N16" s="106">
        <f t="shared" si="5"/>
        <v>19928.892665578987</v>
      </c>
      <c r="O16" s="99">
        <f>N16+'prorrateo '!L9</f>
        <v>61202.640649579</v>
      </c>
    </row>
    <row r="17" spans="1:15" x14ac:dyDescent="0.25">
      <c r="A17" s="100">
        <v>9</v>
      </c>
      <c r="B17" s="91">
        <v>9</v>
      </c>
      <c r="C17" s="155" t="s">
        <v>52</v>
      </c>
      <c r="D17" s="156" t="s">
        <v>103</v>
      </c>
      <c r="E17" s="157">
        <v>5.09</v>
      </c>
      <c r="F17" s="158">
        <v>2688.9</v>
      </c>
      <c r="G17" s="159">
        <v>2812.4</v>
      </c>
      <c r="H17" s="160">
        <f t="shared" si="1"/>
        <v>123.5</v>
      </c>
      <c r="I17" s="161">
        <f t="shared" si="0"/>
        <v>8.6450000000000014</v>
      </c>
      <c r="J17" s="162">
        <f t="shared" si="2"/>
        <v>11582.694500000001</v>
      </c>
      <c r="K17" s="163">
        <f>K8*E17%</f>
        <v>-15627.041007799002</v>
      </c>
      <c r="L17" s="164">
        <f t="shared" si="3"/>
        <v>12339.930907200996</v>
      </c>
      <c r="M17" s="165">
        <f t="shared" si="4"/>
        <v>123.5</v>
      </c>
      <c r="N17" s="160">
        <f t="shared" si="5"/>
        <v>23922.625407200998</v>
      </c>
      <c r="O17" s="99">
        <f>N17+'prorrateo '!L10</f>
        <v>226991.89107514618</v>
      </c>
    </row>
    <row r="18" spans="1:15" x14ac:dyDescent="0.25">
      <c r="A18" s="100">
        <v>10</v>
      </c>
      <c r="B18" s="91">
        <v>10</v>
      </c>
      <c r="C18" s="117" t="s">
        <v>53</v>
      </c>
      <c r="D18" s="102" t="s">
        <v>104</v>
      </c>
      <c r="E18" s="103">
        <v>5.04</v>
      </c>
      <c r="F18" s="104">
        <v>1413.2</v>
      </c>
      <c r="G18" s="105">
        <v>1540.1</v>
      </c>
      <c r="H18" s="106">
        <f t="shared" si="1"/>
        <v>126.89999999999986</v>
      </c>
      <c r="I18" s="107">
        <f t="shared" si="0"/>
        <v>8.882999999999992</v>
      </c>
      <c r="J18" s="118">
        <f t="shared" si="2"/>
        <v>11901.570299999988</v>
      </c>
      <c r="K18" s="108">
        <f>K8*E18%</f>
        <v>-15473.533728744002</v>
      </c>
      <c r="L18" s="129">
        <f t="shared" si="3"/>
        <v>12218.713511255995</v>
      </c>
      <c r="M18" s="109">
        <f t="shared" si="4"/>
        <v>126.89999999999986</v>
      </c>
      <c r="N18" s="106">
        <f t="shared" si="5"/>
        <v>24120.283811255984</v>
      </c>
      <c r="O18" s="99">
        <f>N18+'prorrateo '!L11</f>
        <v>64828.637987255985</v>
      </c>
    </row>
    <row r="19" spans="1:15" ht="15" customHeight="1" x14ac:dyDescent="0.25">
      <c r="A19" s="100">
        <v>11</v>
      </c>
      <c r="B19" s="91">
        <v>11</v>
      </c>
      <c r="C19" s="117" t="s">
        <v>55</v>
      </c>
      <c r="D19" s="110" t="s">
        <v>105</v>
      </c>
      <c r="E19" s="103">
        <v>5.21</v>
      </c>
      <c r="F19" s="104">
        <v>2073.9</v>
      </c>
      <c r="G19" s="105">
        <v>2358.3000000000002</v>
      </c>
      <c r="H19" s="106">
        <f t="shared" si="1"/>
        <v>284.40000000000009</v>
      </c>
      <c r="I19" s="107">
        <f t="shared" si="0"/>
        <v>19.908000000000008</v>
      </c>
      <c r="J19" s="118">
        <f t="shared" si="2"/>
        <v>26673.02280000001</v>
      </c>
      <c r="K19" s="108">
        <f>K8*E19%</f>
        <v>-15995.458477531003</v>
      </c>
      <c r="L19" s="129">
        <f t="shared" si="3"/>
        <v>12630.852657468997</v>
      </c>
      <c r="M19" s="109">
        <f>G19-F19</f>
        <v>284.40000000000009</v>
      </c>
      <c r="N19" s="106">
        <f t="shared" si="5"/>
        <v>39303.87545746901</v>
      </c>
      <c r="O19" s="99">
        <f>N19+'prorrateo '!L12</f>
        <v>81385.328881469017</v>
      </c>
    </row>
    <row r="20" spans="1:15" ht="15" customHeight="1" x14ac:dyDescent="0.25">
      <c r="A20" s="100">
        <v>12</v>
      </c>
      <c r="B20" s="91">
        <v>12</v>
      </c>
      <c r="C20" s="117" t="s">
        <v>58</v>
      </c>
      <c r="D20" s="110" t="s">
        <v>105</v>
      </c>
      <c r="E20" s="103">
        <v>5.1100000000000003</v>
      </c>
      <c r="F20" s="104">
        <v>3748.9</v>
      </c>
      <c r="G20" s="105">
        <v>4093.8</v>
      </c>
      <c r="H20" s="106">
        <f t="shared" si="1"/>
        <v>344.90000000000009</v>
      </c>
      <c r="I20" s="107">
        <f t="shared" si="0"/>
        <v>24.143000000000008</v>
      </c>
      <c r="J20" s="118">
        <f t="shared" si="2"/>
        <v>32347.136300000009</v>
      </c>
      <c r="K20" s="108">
        <f>K8*E20%</f>
        <v>-15688.443919421004</v>
      </c>
      <c r="L20" s="129">
        <f t="shared" si="3"/>
        <v>12388.417865578998</v>
      </c>
      <c r="M20" s="109">
        <f t="shared" si="4"/>
        <v>344.90000000000009</v>
      </c>
      <c r="N20" s="106">
        <f t="shared" si="5"/>
        <v>44735.554165579008</v>
      </c>
      <c r="O20" s="99">
        <f>N20+'prorrateo '!L13</f>
        <v>86009.302149579016</v>
      </c>
    </row>
    <row r="21" spans="1:15" x14ac:dyDescent="0.25">
      <c r="A21" s="100">
        <v>13</v>
      </c>
      <c r="B21" s="91">
        <v>13</v>
      </c>
      <c r="C21" s="155" t="s">
        <v>60</v>
      </c>
      <c r="D21" s="156" t="s">
        <v>106</v>
      </c>
      <c r="E21" s="157">
        <v>5.09</v>
      </c>
      <c r="F21" s="158">
        <v>3347.4</v>
      </c>
      <c r="G21" s="159">
        <v>3467</v>
      </c>
      <c r="H21" s="160">
        <f t="shared" si="1"/>
        <v>119.59999999999991</v>
      </c>
      <c r="I21" s="161">
        <f t="shared" si="0"/>
        <v>8.3719999999999946</v>
      </c>
      <c r="J21" s="162">
        <f t="shared" si="2"/>
        <v>11216.925199999992</v>
      </c>
      <c r="K21" s="163">
        <f>K8*E21%</f>
        <v>-15627.041007799002</v>
      </c>
      <c r="L21" s="164">
        <f t="shared" si="3"/>
        <v>12339.930907200996</v>
      </c>
      <c r="M21" s="165">
        <f t="shared" si="4"/>
        <v>119.59999999999991</v>
      </c>
      <c r="N21" s="160">
        <f t="shared" si="5"/>
        <v>23556.856107200991</v>
      </c>
      <c r="O21" s="99">
        <f>N21+'prorrateo '!L14</f>
        <v>111986.08446816099</v>
      </c>
    </row>
    <row r="22" spans="1:15" x14ac:dyDescent="0.25">
      <c r="A22" s="100">
        <v>14</v>
      </c>
      <c r="B22" s="91">
        <v>14</v>
      </c>
      <c r="C22" s="155" t="s">
        <v>63</v>
      </c>
      <c r="D22" s="156" t="s">
        <v>107</v>
      </c>
      <c r="E22" s="157">
        <v>5.04</v>
      </c>
      <c r="F22" s="158">
        <v>1491.8</v>
      </c>
      <c r="G22" s="159">
        <v>1742</v>
      </c>
      <c r="H22" s="160">
        <f t="shared" si="1"/>
        <v>250.20000000000005</v>
      </c>
      <c r="I22" s="161">
        <f t="shared" si="0"/>
        <v>17.514000000000006</v>
      </c>
      <c r="J22" s="162">
        <f t="shared" si="2"/>
        <v>23465.507400000006</v>
      </c>
      <c r="K22" s="163">
        <f>K8*E22%</f>
        <v>-15473.533728744002</v>
      </c>
      <c r="L22" s="164">
        <f t="shared" si="3"/>
        <v>12218.713511255995</v>
      </c>
      <c r="M22" s="165">
        <f t="shared" si="4"/>
        <v>250.20000000000005</v>
      </c>
      <c r="N22" s="160">
        <f t="shared" si="5"/>
        <v>35684.220911256001</v>
      </c>
      <c r="O22" s="99">
        <f>N22+'prorrateo '!L15</f>
        <v>123244.79280501601</v>
      </c>
    </row>
    <row r="23" spans="1:15" x14ac:dyDescent="0.25">
      <c r="A23" s="100">
        <v>15</v>
      </c>
      <c r="B23" s="91">
        <v>15</v>
      </c>
      <c r="C23" s="117" t="s">
        <v>66</v>
      </c>
      <c r="D23" s="102" t="s">
        <v>108</v>
      </c>
      <c r="E23" s="103">
        <v>5.21</v>
      </c>
      <c r="F23" s="104">
        <v>3440.6</v>
      </c>
      <c r="G23" s="105">
        <v>3759.7</v>
      </c>
      <c r="H23" s="106">
        <f t="shared" si="1"/>
        <v>319.09999999999991</v>
      </c>
      <c r="I23" s="107">
        <f t="shared" si="0"/>
        <v>22.336999999999996</v>
      </c>
      <c r="J23" s="118">
        <f t="shared" si="2"/>
        <v>29927.431699999994</v>
      </c>
      <c r="K23" s="108">
        <f>K8*E23%</f>
        <v>-15995.458477531003</v>
      </c>
      <c r="L23" s="129">
        <f t="shared" si="3"/>
        <v>12630.852657468997</v>
      </c>
      <c r="M23" s="109">
        <f t="shared" si="4"/>
        <v>319.09999999999991</v>
      </c>
      <c r="N23" s="106">
        <f t="shared" si="5"/>
        <v>42558.28435746899</v>
      </c>
      <c r="O23" s="99">
        <f>N23+'prorrateo '!L16</f>
        <v>84639.737781468997</v>
      </c>
    </row>
    <row r="24" spans="1:15" x14ac:dyDescent="0.25">
      <c r="A24" s="100">
        <v>16</v>
      </c>
      <c r="B24" s="91">
        <v>16</v>
      </c>
      <c r="C24" s="117" t="s">
        <v>68</v>
      </c>
      <c r="D24" s="102" t="s">
        <v>109</v>
      </c>
      <c r="E24" s="103">
        <v>5.04</v>
      </c>
      <c r="F24" s="104">
        <v>1185.4000000000001</v>
      </c>
      <c r="G24" s="105">
        <v>1319.4</v>
      </c>
      <c r="H24" s="106">
        <f t="shared" si="1"/>
        <v>134</v>
      </c>
      <c r="I24" s="107">
        <f t="shared" si="0"/>
        <v>9.3800000000000008</v>
      </c>
      <c r="J24" s="118">
        <f t="shared" si="2"/>
        <v>12567.458000000001</v>
      </c>
      <c r="K24" s="108">
        <f>K8*E24%</f>
        <v>-15473.533728744002</v>
      </c>
      <c r="L24" s="129">
        <f t="shared" si="3"/>
        <v>12218.713511255995</v>
      </c>
      <c r="M24" s="109">
        <f t="shared" si="4"/>
        <v>134</v>
      </c>
      <c r="N24" s="106">
        <f t="shared" si="5"/>
        <v>24786.171511255998</v>
      </c>
      <c r="O24" s="99">
        <f>N24+'prorrateo '!L17</f>
        <v>65494.525687255998</v>
      </c>
    </row>
    <row r="25" spans="1:15" x14ac:dyDescent="0.25">
      <c r="A25" s="100">
        <v>17</v>
      </c>
      <c r="B25" s="91">
        <v>17</v>
      </c>
      <c r="C25" s="117" t="s">
        <v>70</v>
      </c>
      <c r="D25" s="102" t="s">
        <v>110</v>
      </c>
      <c r="E25" s="103">
        <v>5.21</v>
      </c>
      <c r="F25" s="104">
        <v>992.5</v>
      </c>
      <c r="G25" s="105">
        <v>1169.0999999999999</v>
      </c>
      <c r="H25" s="106">
        <f t="shared" si="1"/>
        <v>176.59999999999991</v>
      </c>
      <c r="I25" s="107">
        <f t="shared" si="0"/>
        <v>12.361999999999995</v>
      </c>
      <c r="J25" s="118">
        <f t="shared" si="2"/>
        <v>16562.784199999991</v>
      </c>
      <c r="K25" s="108">
        <f>K8*E25%</f>
        <v>-15995.458477531003</v>
      </c>
      <c r="L25" s="129">
        <f t="shared" si="3"/>
        <v>12630.852657468997</v>
      </c>
      <c r="M25" s="109">
        <f t="shared" si="4"/>
        <v>176.59999999999991</v>
      </c>
      <c r="N25" s="106">
        <f t="shared" si="5"/>
        <v>29193.636857468988</v>
      </c>
      <c r="O25" s="99">
        <f>N25+'prorrateo '!L18</f>
        <v>71275.090281468991</v>
      </c>
    </row>
    <row r="26" spans="1:15" x14ac:dyDescent="0.25">
      <c r="A26" s="100">
        <v>18</v>
      </c>
      <c r="B26" s="91">
        <v>18</v>
      </c>
      <c r="C26" s="117" t="s">
        <v>72</v>
      </c>
      <c r="D26" s="102" t="s">
        <v>111</v>
      </c>
      <c r="E26" s="103">
        <v>7.4</v>
      </c>
      <c r="F26" s="104">
        <v>6567.9</v>
      </c>
      <c r="G26" s="105">
        <v>6807.3</v>
      </c>
      <c r="H26" s="106">
        <f t="shared" si="1"/>
        <v>239.40000000000055</v>
      </c>
      <c r="I26" s="107">
        <f t="shared" si="0"/>
        <v>16.758000000000038</v>
      </c>
      <c r="J26" s="118">
        <f t="shared" si="2"/>
        <v>22452.607800000053</v>
      </c>
      <c r="K26" s="108">
        <f>K8*E26%</f>
        <v>-22719.077300140005</v>
      </c>
      <c r="L26" s="129">
        <f t="shared" si="3"/>
        <v>17940.174599859994</v>
      </c>
      <c r="M26" s="109">
        <f t="shared" si="4"/>
        <v>239.40000000000055</v>
      </c>
      <c r="N26" s="106">
        <f>J26+L26</f>
        <v>40392.782399860051</v>
      </c>
      <c r="O26" s="99">
        <f>N26+'prorrateo '!L19</f>
        <v>100162.98495986007</v>
      </c>
    </row>
    <row r="27" spans="1:15" ht="14.25" customHeight="1" x14ac:dyDescent="0.25">
      <c r="A27" s="100">
        <v>19</v>
      </c>
      <c r="B27" s="92">
        <v>19</v>
      </c>
      <c r="C27" s="184" t="s">
        <v>73</v>
      </c>
      <c r="D27" s="185" t="s">
        <v>105</v>
      </c>
      <c r="E27" s="186">
        <v>1.08</v>
      </c>
      <c r="F27" s="158"/>
      <c r="G27" s="159"/>
      <c r="H27" s="160">
        <f t="shared" si="1"/>
        <v>0</v>
      </c>
      <c r="I27" s="161">
        <f t="shared" si="0"/>
        <v>0</v>
      </c>
      <c r="J27" s="162"/>
      <c r="K27" s="163"/>
      <c r="L27" s="164">
        <f t="shared" si="3"/>
        <v>2618.2957524119997</v>
      </c>
      <c r="M27" s="165">
        <v>0</v>
      </c>
      <c r="N27" s="160">
        <f t="shared" ref="N27:N37" si="6">J27+L27</f>
        <v>2618.2957524119997</v>
      </c>
      <c r="O27" s="99">
        <f>N27+'prorrateo '!L20</f>
        <v>45705.684145610605</v>
      </c>
    </row>
    <row r="28" spans="1:15" x14ac:dyDescent="0.25">
      <c r="A28" s="100">
        <v>20</v>
      </c>
      <c r="B28" s="92"/>
      <c r="C28" s="212" t="s">
        <v>74</v>
      </c>
      <c r="D28" s="104"/>
      <c r="E28" s="104">
        <v>1.08</v>
      </c>
      <c r="F28" s="104"/>
      <c r="G28" s="104"/>
      <c r="H28" s="106">
        <v>0</v>
      </c>
      <c r="I28" s="213">
        <f t="shared" si="0"/>
        <v>0</v>
      </c>
      <c r="J28" s="214"/>
      <c r="K28" s="108"/>
      <c r="L28" s="129">
        <f t="shared" si="3"/>
        <v>2618.2957524119997</v>
      </c>
      <c r="M28" s="109">
        <v>0</v>
      </c>
      <c r="N28" s="106">
        <f t="shared" si="6"/>
        <v>2618.2957524119997</v>
      </c>
      <c r="O28" s="99">
        <f>N28+'prorrateo '!L21</f>
        <v>11341.514504412</v>
      </c>
    </row>
    <row r="29" spans="1:15" x14ac:dyDescent="0.25">
      <c r="A29" s="100"/>
      <c r="B29" s="92"/>
      <c r="C29" s="184" t="s">
        <v>75</v>
      </c>
      <c r="D29" s="158"/>
      <c r="E29" s="158">
        <v>1.08</v>
      </c>
      <c r="F29" s="158"/>
      <c r="G29" s="158"/>
      <c r="H29" s="160"/>
      <c r="I29" s="187"/>
      <c r="J29" s="188"/>
      <c r="K29" s="163"/>
      <c r="L29" s="164">
        <f t="shared" si="3"/>
        <v>2618.2957524119997</v>
      </c>
      <c r="M29" s="165">
        <v>0</v>
      </c>
      <c r="N29" s="160">
        <f t="shared" si="6"/>
        <v>2618.2957524119997</v>
      </c>
      <c r="O29" s="99">
        <f>N29+'prorrateo '!L22</f>
        <v>45705.684145610605</v>
      </c>
    </row>
    <row r="30" spans="1:15" x14ac:dyDescent="0.25">
      <c r="A30" s="100"/>
      <c r="B30" s="92"/>
      <c r="C30" s="212" t="s">
        <v>76</v>
      </c>
      <c r="D30" s="104"/>
      <c r="E30" s="104">
        <v>1.08</v>
      </c>
      <c r="F30" s="104"/>
      <c r="G30" s="104"/>
      <c r="H30" s="106"/>
      <c r="I30" s="213"/>
      <c r="J30" s="214"/>
      <c r="K30" s="108"/>
      <c r="L30" s="129">
        <f t="shared" si="3"/>
        <v>2618.2957524119997</v>
      </c>
      <c r="M30" s="109">
        <v>0</v>
      </c>
      <c r="N30" s="106">
        <f t="shared" si="6"/>
        <v>2618.2957524119997</v>
      </c>
      <c r="O30" s="99">
        <f>N30+'prorrateo '!L23</f>
        <v>11341.514504412</v>
      </c>
    </row>
    <row r="31" spans="1:15" x14ac:dyDescent="0.25">
      <c r="A31" s="100"/>
      <c r="B31" s="92"/>
      <c r="C31" s="212" t="s">
        <v>77</v>
      </c>
      <c r="D31" s="104"/>
      <c r="E31" s="104">
        <v>1.08</v>
      </c>
      <c r="F31" s="104"/>
      <c r="G31" s="104"/>
      <c r="H31" s="106"/>
      <c r="I31" s="213"/>
      <c r="J31" s="214"/>
      <c r="K31" s="108"/>
      <c r="L31" s="129">
        <f t="shared" si="3"/>
        <v>2618.2957524119997</v>
      </c>
      <c r="M31" s="109">
        <v>0</v>
      </c>
      <c r="N31" s="106">
        <f t="shared" si="6"/>
        <v>2618.2957524119997</v>
      </c>
      <c r="O31" s="99">
        <f>N31+'prorrateo '!L24</f>
        <v>11341.514504412</v>
      </c>
    </row>
    <row r="32" spans="1:15" x14ac:dyDescent="0.25">
      <c r="A32" s="100"/>
      <c r="B32" s="92"/>
      <c r="C32" s="132" t="s">
        <v>78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2618.2957524119997</v>
      </c>
      <c r="M32" s="109">
        <v>0</v>
      </c>
      <c r="N32" s="106">
        <f t="shared" si="6"/>
        <v>2618.2957524119997</v>
      </c>
      <c r="O32" s="99">
        <f>N32+'prorrateo '!L25</f>
        <v>11341.514504412</v>
      </c>
    </row>
    <row r="33" spans="1:16" x14ac:dyDescent="0.25">
      <c r="A33" s="100"/>
      <c r="B33" s="92"/>
      <c r="C33" s="132" t="s">
        <v>79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2618.2957524119997</v>
      </c>
      <c r="M33" s="109">
        <v>0</v>
      </c>
      <c r="N33" s="106">
        <f t="shared" si="6"/>
        <v>2618.2957524119997</v>
      </c>
      <c r="O33" s="99">
        <f>N33+'prorrateo '!L26</f>
        <v>11341.514504412</v>
      </c>
    </row>
    <row r="34" spans="1:16" x14ac:dyDescent="0.25">
      <c r="A34" s="100"/>
      <c r="B34" s="92"/>
      <c r="C34" s="132" t="s">
        <v>80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2618.2957524119997</v>
      </c>
      <c r="M34" s="109">
        <v>0</v>
      </c>
      <c r="N34" s="106">
        <f t="shared" si="6"/>
        <v>2618.2957524119997</v>
      </c>
      <c r="O34" s="99">
        <f>N34+'prorrateo '!L27</f>
        <v>11341.514504412</v>
      </c>
    </row>
    <row r="35" spans="1:16" x14ac:dyDescent="0.25">
      <c r="A35" s="100">
        <v>21</v>
      </c>
      <c r="B35" s="92"/>
      <c r="C35" s="184" t="s">
        <v>81</v>
      </c>
      <c r="D35" s="158"/>
      <c r="E35" s="158">
        <v>1.08</v>
      </c>
      <c r="F35" s="158"/>
      <c r="G35" s="158"/>
      <c r="H35" s="160">
        <v>0</v>
      </c>
      <c r="I35" s="187">
        <f t="shared" si="0"/>
        <v>0</v>
      </c>
      <c r="J35" s="215"/>
      <c r="K35" s="163"/>
      <c r="L35" s="164">
        <f t="shared" si="3"/>
        <v>2618.2957524119997</v>
      </c>
      <c r="M35" s="165">
        <v>0</v>
      </c>
      <c r="N35" s="160">
        <f t="shared" si="6"/>
        <v>2618.2957524119997</v>
      </c>
      <c r="O35" s="99">
        <f>N35+'prorrateo '!L28</f>
        <v>21381.275443932002</v>
      </c>
    </row>
    <row r="36" spans="1:16" x14ac:dyDescent="0.25">
      <c r="A36" s="100">
        <v>22</v>
      </c>
      <c r="B36" s="92"/>
      <c r="C36" s="132" t="s">
        <v>82</v>
      </c>
      <c r="D36" s="111"/>
      <c r="E36" s="111">
        <v>1.08</v>
      </c>
      <c r="F36" s="111"/>
      <c r="G36" s="111"/>
      <c r="H36" s="112">
        <v>0</v>
      </c>
      <c r="I36" s="113">
        <f t="shared" si="0"/>
        <v>0</v>
      </c>
      <c r="J36" s="134"/>
      <c r="K36" s="115"/>
      <c r="L36" s="129">
        <f t="shared" si="3"/>
        <v>2618.2957524119997</v>
      </c>
      <c r="M36" s="109">
        <v>0</v>
      </c>
      <c r="N36" s="106">
        <f t="shared" si="6"/>
        <v>2618.2957524119997</v>
      </c>
      <c r="O36" s="99">
        <f>N36+'prorrateo '!L29</f>
        <v>11341.514504412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5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307014.55811000004</v>
      </c>
      <c r="K38" s="115"/>
      <c r="L38" s="115">
        <f>SUM(L10:L37)</f>
        <v>242434.79188999993</v>
      </c>
      <c r="M38" s="116"/>
      <c r="N38" s="112">
        <f>SUM(N10:N37)</f>
        <v>549449.35000000056</v>
      </c>
      <c r="P38" s="44"/>
    </row>
    <row r="39" spans="1:16" hidden="1" x14ac:dyDescent="0.25">
      <c r="A39" s="80"/>
      <c r="C39" s="93"/>
      <c r="D39" s="94"/>
      <c r="E39" s="137">
        <f>SUM(E10:E38)</f>
        <v>99.999999999999986</v>
      </c>
      <c r="F39" s="94"/>
      <c r="G39" s="94"/>
      <c r="H39" s="95"/>
      <c r="I39" s="96">
        <f>SUM(I10:I38)</f>
        <v>229.14710000000002</v>
      </c>
      <c r="J39" s="128"/>
      <c r="K39" s="96"/>
      <c r="L39" s="136">
        <f>L38+J38</f>
        <v>549449.35</v>
      </c>
      <c r="M39" s="95"/>
      <c r="N39" s="95"/>
      <c r="O39" s="81"/>
    </row>
    <row r="40" spans="1:16" ht="30" hidden="1" x14ac:dyDescent="0.25">
      <c r="A40" s="97" t="s">
        <v>112</v>
      </c>
      <c r="C40" s="197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 t="s">
        <v>119</v>
      </c>
    </row>
    <row r="44" spans="1:16" x14ac:dyDescent="0.25">
      <c r="E44" t="s">
        <v>120</v>
      </c>
      <c r="L44" s="166">
        <v>470000</v>
      </c>
    </row>
    <row r="45" spans="1:16" x14ac:dyDescent="0.25">
      <c r="E45" t="s">
        <v>121</v>
      </c>
      <c r="L45" s="98">
        <f>-C7</f>
        <v>-549449.35</v>
      </c>
    </row>
    <row r="46" spans="1:16" x14ac:dyDescent="0.25">
      <c r="E46" s="167" t="s">
        <v>122</v>
      </c>
      <c r="F46" s="167"/>
      <c r="G46" s="167"/>
      <c r="H46" s="167"/>
      <c r="I46" s="167"/>
      <c r="J46" s="167"/>
      <c r="K46" s="167"/>
      <c r="L46" s="168">
        <f>L44+L45</f>
        <v>-79449.349999999977</v>
      </c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2025-03-01T21:59:33Z</cp:lastPrinted>
  <dcterms:created xsi:type="dcterms:W3CDTF">2020-12-10T00:27:53Z</dcterms:created>
  <dcterms:modified xsi:type="dcterms:W3CDTF">2025-03-01T22:23:43Z</dcterms:modified>
</cp:coreProperties>
</file>