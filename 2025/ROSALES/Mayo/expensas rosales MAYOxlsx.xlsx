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ROSALES\Mayo\"/>
    </mc:Choice>
  </mc:AlternateContent>
  <xr:revisionPtr revIDLastSave="0" documentId="13_ncr:1_{7EE8A969-17AF-4435-BA40-6304B19AC5A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desur" sheetId="4" r:id="rId3"/>
  </sheets>
  <definedNames>
    <definedName name="_xlnm.Print_Area" localSheetId="0">'detalle y gastos'!$A$1:$C$63</definedName>
    <definedName name="_xlnm.Print_Area" localSheetId="2">Edesur!$A$1:$N$40</definedName>
    <definedName name="_xlnm.Print_Area" localSheetId="1">'prorrateo '!$A$1:$L$37</definedName>
  </definedNames>
  <calcPr calcId="181029"/>
</workbook>
</file>

<file path=xl/calcChain.xml><?xml version="1.0" encoding="utf-8"?>
<calcChain xmlns="http://schemas.openxmlformats.org/spreadsheetml/2006/main">
  <c r="L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" i="1"/>
  <c r="I3" i="1"/>
  <c r="F29" i="1"/>
  <c r="F15" i="1"/>
  <c r="F27" i="1" l="1"/>
  <c r="F26" i="1"/>
  <c r="F8" i="1" l="1"/>
  <c r="C22" i="3" l="1"/>
  <c r="C31" i="3"/>
  <c r="B28" i="1" l="1"/>
  <c r="B1" i="1" l="1"/>
  <c r="F11" i="1"/>
  <c r="F19" i="1"/>
  <c r="O27" i="1" s="1"/>
  <c r="F6" i="1"/>
  <c r="F3" i="1"/>
  <c r="J7" i="4"/>
  <c r="F13" i="1" l="1"/>
  <c r="F24" i="1"/>
  <c r="C32" i="3" l="1"/>
  <c r="C49" i="3" s="1"/>
  <c r="E39" i="4"/>
  <c r="N37" i="4"/>
  <c r="M25" i="4" l="1"/>
  <c r="M26" i="4"/>
  <c r="M10" i="4"/>
  <c r="J10" i="4" s="1"/>
  <c r="H13" i="4"/>
  <c r="I13" i="4" s="1"/>
  <c r="H15" i="4"/>
  <c r="I15" i="4" s="1"/>
  <c r="M16" i="4"/>
  <c r="J16" i="4" s="1"/>
  <c r="M17" i="4"/>
  <c r="J17" i="4" s="1"/>
  <c r="M22" i="4"/>
  <c r="J22" i="4" s="1"/>
  <c r="M23" i="4"/>
  <c r="J23" i="4" s="1"/>
  <c r="H24" i="4"/>
  <c r="I24" i="4" s="1"/>
  <c r="H25" i="4"/>
  <c r="I25" i="4" s="1"/>
  <c r="H26" i="4"/>
  <c r="I26" i="4" s="1"/>
  <c r="H11" i="4"/>
  <c r="I11" i="4" s="1"/>
  <c r="H12" i="4"/>
  <c r="I12" i="4" s="1"/>
  <c r="H14" i="4"/>
  <c r="I14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7" i="4"/>
  <c r="I27" i="4" s="1"/>
  <c r="I37" i="4"/>
  <c r="I36" i="4"/>
  <c r="I35" i="4"/>
  <c r="I28" i="4"/>
  <c r="M21" i="4"/>
  <c r="J21" i="4" s="1"/>
  <c r="M20" i="4"/>
  <c r="J20" i="4" s="1"/>
  <c r="M19" i="4"/>
  <c r="J19" i="4" s="1"/>
  <c r="M18" i="4"/>
  <c r="J18" i="4" s="1"/>
  <c r="M14" i="4"/>
  <c r="J14" i="4" s="1"/>
  <c r="M13" i="4"/>
  <c r="J13" i="4" s="1"/>
  <c r="M12" i="4"/>
  <c r="M11" i="4"/>
  <c r="J11" i="4" s="1"/>
  <c r="H17" i="4" l="1"/>
  <c r="I17" i="4" s="1"/>
  <c r="H16" i="4"/>
  <c r="I16" i="4" s="1"/>
  <c r="M15" i="4"/>
  <c r="J15" i="4" s="1"/>
  <c r="M24" i="4"/>
  <c r="J24" i="4" s="1"/>
  <c r="J25" i="4"/>
  <c r="J26" i="4"/>
  <c r="H10" i="4"/>
  <c r="I10" i="4" s="1"/>
  <c r="J12" i="4"/>
  <c r="J38" i="4" l="1"/>
  <c r="L8" i="4" s="1"/>
  <c r="L12" i="4" s="1"/>
  <c r="N12" i="4" s="1"/>
  <c r="I39" i="4"/>
  <c r="K8" i="4" l="1"/>
  <c r="K22" i="4" s="1"/>
  <c r="L23" i="4"/>
  <c r="N23" i="4" s="1"/>
  <c r="L31" i="4"/>
  <c r="N31" i="4" s="1"/>
  <c r="L17" i="4"/>
  <c r="N17" i="4" s="1"/>
  <c r="L22" i="4"/>
  <c r="N22" i="4" s="1"/>
  <c r="L29" i="4"/>
  <c r="N29" i="4" s="1"/>
  <c r="L15" i="4"/>
  <c r="N15" i="4" s="1"/>
  <c r="L27" i="4"/>
  <c r="N27" i="4" s="1"/>
  <c r="L13" i="4"/>
  <c r="N13" i="4" s="1"/>
  <c r="L26" i="4"/>
  <c r="N26" i="4" s="1"/>
  <c r="L33" i="4"/>
  <c r="N33" i="4" s="1"/>
  <c r="L28" i="4"/>
  <c r="N28" i="4" s="1"/>
  <c r="L24" i="4"/>
  <c r="N24" i="4" s="1"/>
  <c r="L11" i="4"/>
  <c r="N11" i="4" s="1"/>
  <c r="L34" i="4"/>
  <c r="N34" i="4" s="1"/>
  <c r="L18" i="4"/>
  <c r="N18" i="4" s="1"/>
  <c r="L19" i="4"/>
  <c r="N19" i="4" s="1"/>
  <c r="L25" i="4"/>
  <c r="N25" i="4" s="1"/>
  <c r="L36" i="4"/>
  <c r="N36" i="4" s="1"/>
  <c r="L20" i="4"/>
  <c r="N20" i="4" s="1"/>
  <c r="L35" i="4"/>
  <c r="N35" i="4" s="1"/>
  <c r="L30" i="4"/>
  <c r="N30" i="4" s="1"/>
  <c r="L14" i="4"/>
  <c r="N14" i="4" s="1"/>
  <c r="L10" i="4"/>
  <c r="N10" i="4" s="1"/>
  <c r="L21" i="4"/>
  <c r="N21" i="4" s="1"/>
  <c r="L32" i="4"/>
  <c r="N32" i="4" s="1"/>
  <c r="L16" i="4"/>
  <c r="N16" i="4" s="1"/>
  <c r="K10" i="4" l="1"/>
  <c r="K16" i="4"/>
  <c r="K18" i="4"/>
  <c r="K21" i="4"/>
  <c r="K14" i="4"/>
  <c r="K13" i="4"/>
  <c r="K24" i="4"/>
  <c r="K25" i="4"/>
  <c r="K23" i="4"/>
  <c r="K17" i="4"/>
  <c r="K12" i="4"/>
  <c r="K19" i="4"/>
  <c r="K26" i="4"/>
  <c r="K20" i="4"/>
  <c r="K11" i="4"/>
  <c r="K15" i="4"/>
  <c r="N38" i="4"/>
  <c r="L38" i="4"/>
  <c r="L39" i="4" s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J31" i="1"/>
  <c r="D31" i="1"/>
  <c r="G29" i="1"/>
  <c r="G28" i="1"/>
  <c r="G27" i="1"/>
  <c r="G26" i="1"/>
  <c r="G25" i="1"/>
  <c r="G24" i="1"/>
  <c r="G23" i="1"/>
  <c r="G22" i="1"/>
  <c r="G21" i="1"/>
  <c r="G20" i="1"/>
  <c r="G19" i="1"/>
  <c r="F18" i="1"/>
  <c r="G18" i="1" s="1"/>
  <c r="F17" i="1"/>
  <c r="G17" i="1" s="1"/>
  <c r="G16" i="1"/>
  <c r="G15" i="1"/>
  <c r="G14" i="1"/>
  <c r="G13" i="1"/>
  <c r="F12" i="1"/>
  <c r="G12" i="1" s="1"/>
  <c r="G11" i="1"/>
  <c r="G10" i="1"/>
  <c r="F9" i="1"/>
  <c r="G9" i="1" s="1"/>
  <c r="G8" i="1"/>
  <c r="G7" i="1"/>
  <c r="G6" i="1"/>
  <c r="G5" i="1"/>
  <c r="F4" i="1"/>
  <c r="G4" i="1" s="1"/>
  <c r="G3" i="1"/>
  <c r="H6" i="1" l="1"/>
  <c r="L6" i="1" s="1"/>
  <c r="O13" i="4" s="1"/>
  <c r="H12" i="1"/>
  <c r="L12" i="1" s="1"/>
  <c r="O19" i="4" s="1"/>
  <c r="H24" i="1"/>
  <c r="L24" i="1" s="1"/>
  <c r="O31" i="4" s="1"/>
  <c r="H7" i="1"/>
  <c r="L7" i="1" s="1"/>
  <c r="O14" i="4" s="1"/>
  <c r="H13" i="1"/>
  <c r="L13" i="1" s="1"/>
  <c r="O20" i="4" s="1"/>
  <c r="H17" i="1"/>
  <c r="L17" i="1" s="1"/>
  <c r="O24" i="4" s="1"/>
  <c r="H21" i="1"/>
  <c r="L21" i="1" s="1"/>
  <c r="O28" i="4" s="1"/>
  <c r="H25" i="1"/>
  <c r="L25" i="1" s="1"/>
  <c r="O32" i="4" s="1"/>
  <c r="H4" i="1"/>
  <c r="L4" i="1" s="1"/>
  <c r="O11" i="4" s="1"/>
  <c r="H8" i="1"/>
  <c r="L8" i="1" s="1"/>
  <c r="O15" i="4" s="1"/>
  <c r="H11" i="1"/>
  <c r="L11" i="1" s="1"/>
  <c r="O18" i="4" s="1"/>
  <c r="H14" i="1"/>
  <c r="L14" i="1" s="1"/>
  <c r="O21" i="4" s="1"/>
  <c r="H18" i="1"/>
  <c r="L18" i="1" s="1"/>
  <c r="O25" i="4" s="1"/>
  <c r="H26" i="1"/>
  <c r="L26" i="1" s="1"/>
  <c r="O33" i="4" s="1"/>
  <c r="H9" i="1"/>
  <c r="L9" i="1" s="1"/>
  <c r="O16" i="4" s="1"/>
  <c r="H16" i="1"/>
  <c r="L16" i="1" s="1"/>
  <c r="O23" i="4" s="1"/>
  <c r="H28" i="1"/>
  <c r="L28" i="1" s="1"/>
  <c r="O35" i="4" s="1"/>
  <c r="H3" i="1"/>
  <c r="O10" i="4" s="1"/>
  <c r="H10" i="1"/>
  <c r="L10" i="1" s="1"/>
  <c r="O17" i="4" s="1"/>
  <c r="H29" i="1"/>
  <c r="L29" i="1" s="1"/>
  <c r="O36" i="4" s="1"/>
  <c r="H5" i="1"/>
  <c r="L5" i="1" s="1"/>
  <c r="O12" i="4" s="1"/>
  <c r="H15" i="1"/>
  <c r="L15" i="1" s="1"/>
  <c r="O22" i="4" s="1"/>
  <c r="H19" i="1"/>
  <c r="L19" i="1" s="1"/>
  <c r="O26" i="4" s="1"/>
  <c r="H23" i="1"/>
  <c r="L23" i="1" s="1"/>
  <c r="O30" i="4" s="1"/>
  <c r="H27" i="1"/>
  <c r="L27" i="1" s="1"/>
  <c r="O34" i="4" s="1"/>
  <c r="H22" i="1"/>
  <c r="L22" i="1" s="1"/>
  <c r="O29" i="4" s="1"/>
  <c r="H20" i="1"/>
  <c r="L20" i="1" s="1"/>
  <c r="O27" i="4" s="1"/>
  <c r="I31" i="1"/>
  <c r="F31" i="1"/>
  <c r="C41" i="3"/>
  <c r="C57" i="3" s="1"/>
  <c r="C50" i="3" l="1"/>
  <c r="C52" i="3" s="1"/>
  <c r="L31" i="1"/>
  <c r="C60" i="3" l="1"/>
  <c r="C43" i="3" l="1"/>
</calcChain>
</file>

<file path=xl/sharedStrings.xml><?xml version="1.0" encoding="utf-8"?>
<sst xmlns="http://schemas.openxmlformats.org/spreadsheetml/2006/main" count="184" uniqueCount="135">
  <si>
    <t>TOTAL</t>
  </si>
  <si>
    <t>%</t>
  </si>
  <si>
    <t>consorciosrc13@gmail.com</t>
  </si>
  <si>
    <t>Tel. 11 5320-2676</t>
  </si>
  <si>
    <t>ABONOS y SERVICIOS</t>
  </si>
  <si>
    <t>GASTOS ORDINARIOS</t>
  </si>
  <si>
    <t>TOTAL GASTOS ORDINARIOS (A)</t>
  </si>
  <si>
    <t>TOTAL GENERAL DE GASTOS (A) + (B)</t>
  </si>
  <si>
    <t>Saldo al cierre $ (pesos)</t>
  </si>
  <si>
    <t>CANCIANI, Carolina</t>
  </si>
  <si>
    <t>AYSA</t>
  </si>
  <si>
    <t>RC Adm Cons CANCIANI, Carolina</t>
  </si>
  <si>
    <t>LIMPIEZA / MANTENIMIENTO / GASTOS GENERALES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</si>
  <si>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</si>
  <si>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</si>
  <si>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</si>
  <si>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</si>
  <si>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</si>
  <si>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</si>
  <si>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 xml:space="preserve">Teléfonos útiles </t>
  </si>
  <si>
    <t>Inquilinos</t>
  </si>
  <si>
    <t>CAJA EXTRAORDINARIA</t>
  </si>
  <si>
    <t>MP 1148</t>
  </si>
  <si>
    <t>Honorarios administracion</t>
  </si>
  <si>
    <t>Egreso extraordinario</t>
  </si>
  <si>
    <t>EDIFICIO ROSALES 624</t>
  </si>
  <si>
    <t>Ascensores Lema</t>
  </si>
  <si>
    <t>Propietarios</t>
  </si>
  <si>
    <t>SALDO ANTERIOR</t>
  </si>
  <si>
    <t>SALDO ABONADO</t>
  </si>
  <si>
    <t>SALDO</t>
  </si>
  <si>
    <t>A PAGAR</t>
  </si>
  <si>
    <t>Ferrea Nestor</t>
  </si>
  <si>
    <t>1ro. "A"</t>
  </si>
  <si>
    <t>Gnecchi Nicolas</t>
  </si>
  <si>
    <t>1ro. "B"</t>
  </si>
  <si>
    <t>Triñanes Gaston</t>
  </si>
  <si>
    <t>Leila</t>
  </si>
  <si>
    <t>2do. "A"</t>
  </si>
  <si>
    <t>Nuñez Eva</t>
  </si>
  <si>
    <t>2do. "B"</t>
  </si>
  <si>
    <t>3ro. "A"</t>
  </si>
  <si>
    <t>Grecco Pedro</t>
  </si>
  <si>
    <t>3ro. "B"</t>
  </si>
  <si>
    <t>Mteljan Barbara</t>
  </si>
  <si>
    <t>4to. "A"</t>
  </si>
  <si>
    <t>Carnevalli</t>
  </si>
  <si>
    <t>4to. "B"</t>
  </si>
  <si>
    <t>5to. "A"</t>
  </si>
  <si>
    <t>Strangio Federico</t>
  </si>
  <si>
    <t>5to. "B"</t>
  </si>
  <si>
    <t>Senderowicz Rosalia</t>
  </si>
  <si>
    <t>Alejo</t>
  </si>
  <si>
    <t>6to. "A"</t>
  </si>
  <si>
    <t>6to. "B"</t>
  </si>
  <si>
    <t>Alonso Graciela</t>
  </si>
  <si>
    <t xml:space="preserve">Facundo </t>
  </si>
  <si>
    <t>7mo. "A"</t>
  </si>
  <si>
    <t>Perez Rodriguez</t>
  </si>
  <si>
    <t>Mariel</t>
  </si>
  <si>
    <t>7mo. "B"</t>
  </si>
  <si>
    <t>Mourelos Pablo</t>
  </si>
  <si>
    <t>8vo. "A"</t>
  </si>
  <si>
    <t>Calabria Carlos/Giarrizzo Silvia</t>
  </si>
  <si>
    <t>8vo. "B"</t>
  </si>
  <si>
    <t>Ariel</t>
  </si>
  <si>
    <t>9no. "A"</t>
  </si>
  <si>
    <t xml:space="preserve">COCHERA 1 </t>
  </si>
  <si>
    <t xml:space="preserve">COCHERA 2 </t>
  </si>
  <si>
    <t xml:space="preserve">COCHERA 3 </t>
  </si>
  <si>
    <t xml:space="preserve">COCHERA 4 </t>
  </si>
  <si>
    <t xml:space="preserve">COCHERA 5 </t>
  </si>
  <si>
    <t xml:space="preserve">COCHERA 6 </t>
  </si>
  <si>
    <t xml:space="preserve">COCHERA 7 </t>
  </si>
  <si>
    <t>COCHERA 8</t>
  </si>
  <si>
    <t>COCHERA 9</t>
  </si>
  <si>
    <t>COCHERA 10</t>
  </si>
  <si>
    <t>TOTAL  EXPENSAS</t>
  </si>
  <si>
    <t xml:space="preserve"> </t>
  </si>
  <si>
    <t xml:space="preserve">EDESUR </t>
  </si>
  <si>
    <t>U.F.</t>
  </si>
  <si>
    <t>PISO - DEPTO</t>
  </si>
  <si>
    <t>PROPIETARIOS</t>
  </si>
  <si>
    <t>CONSUMO ANT.</t>
  </si>
  <si>
    <t>CONSUMO ACTUAL</t>
  </si>
  <si>
    <t>INTERES POR MORA 7%</t>
  </si>
  <si>
    <t>PARTES COMUNES</t>
  </si>
  <si>
    <t>KWH</t>
  </si>
  <si>
    <t>EDESUR FINAL</t>
  </si>
  <si>
    <t>ANA MARIA, MENDEZ</t>
  </si>
  <si>
    <t>DANIEL, BALBIS</t>
  </si>
  <si>
    <t>MIRTA SILVIA, BALBIS</t>
  </si>
  <si>
    <t>4 Y 5</t>
  </si>
  <si>
    <t>LUCILA Y MARINA LEONE</t>
  </si>
  <si>
    <t>RICARDO, PLAUL</t>
  </si>
  <si>
    <t>CLAUDIO ERNESTO, BICCAI</t>
  </si>
  <si>
    <t>JAVIER, GASTON ESTELA</t>
  </si>
  <si>
    <t>VALENTINA SOL, DIRESE</t>
  </si>
  <si>
    <t>PEDRO DANIEL, NIEVAS</t>
  </si>
  <si>
    <t>LEONARDO, PASCARELLI</t>
  </si>
  <si>
    <t>LEONOR, LUCIA, LABIANCA</t>
  </si>
  <si>
    <t>ANA LAURA, MEDINA</t>
  </si>
  <si>
    <t>ANGEL ANTONIO, RUDDOCK</t>
  </si>
  <si>
    <t>ALCOLEAS, CRISTIAN FABIO</t>
  </si>
  <si>
    <t>WALTER HUGO, SANDOVAL</t>
  </si>
  <si>
    <t>NOTA:</t>
  </si>
  <si>
    <t>UNIDAD  FUNCIONAL</t>
  </si>
  <si>
    <t>Gabriel</t>
  </si>
  <si>
    <t xml:space="preserve">PREVISION ORDINARIA </t>
  </si>
  <si>
    <t>PUNITORIOS 4%</t>
  </si>
  <si>
    <t>Se abona hasta el</t>
  </si>
  <si>
    <t>Leandro</t>
  </si>
  <si>
    <t xml:space="preserve">Leonor </t>
  </si>
  <si>
    <t>INGRESOS CORRESPONDIENTES AL PAGO DE EXPENSAS</t>
  </si>
  <si>
    <t>Sueldo personal de limpieza y maestranza</t>
  </si>
  <si>
    <t>Seguro de vida Sra encargada</t>
  </si>
  <si>
    <t>Christian / Vanina</t>
  </si>
  <si>
    <t>Subidos en ABR 2025</t>
  </si>
  <si>
    <t>Este mes y el anterior lo cerramos sin TSG - EL mes que viene hay que pasar 3</t>
  </si>
  <si>
    <t>Desobstruccion de colectora pluvial</t>
  </si>
  <si>
    <t>LIQUIDACIÓN EXPENSAS mayo 2025</t>
  </si>
  <si>
    <t>EGRESOS DEL MES DE mayo</t>
  </si>
  <si>
    <t>Vto. 16/06</t>
  </si>
  <si>
    <t>Matias Salvatierra - Desobstruccion de colectora cloacal</t>
  </si>
  <si>
    <t>Fumigacion mes de mayo</t>
  </si>
  <si>
    <t>Casa Koruk - Botas de encargada</t>
  </si>
  <si>
    <t>CAJA ANTERIOR</t>
  </si>
  <si>
    <t>Brian</t>
  </si>
  <si>
    <t>PREVISION EXTRAORDINARIA GASTOS A DEFINIR EN ASAMBLEA</t>
  </si>
  <si>
    <t>Gastos extraordinarios:</t>
  </si>
  <si>
    <t>Expensas ordinarias:</t>
  </si>
  <si>
    <t>ORDINARIAS</t>
  </si>
  <si>
    <t>EXTRAORDINARIAS</t>
  </si>
  <si>
    <t>El 4B abonó parte de la deuda que tiene hasta Octubre de 2024 con la constructora, entendiendo que este mes cancela el resto</t>
  </si>
  <si>
    <t>Seguro de consorcio obligatorio -  federacion patronal - poliza nro. 2027630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</si>
</sst>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0.0000"/>
    <numFmt numFmtId="169" formatCode="&quot;$&quot;\ #,##0.00"/>
    <numFmt numFmtId="170" formatCode="0.0"/>
    <numFmt numFmtId="171" formatCode="_-&quot;$&quot;\ * #,##0_-;\-&quot;$&quot;\ * #,##0_-;_-&quot;$&quot;\ * &quot;-&quot;??_-;_-@"/>
    <numFmt numFmtId="172" formatCode="_-&quot;$&quot;\ * #,##0.00_-;\-&quot;$&quot;\ * #,##0.00_-;_-&quot;$&quot;\ * &quot;-&quot;??_-;_-@"/>
    <numFmt numFmtId="173" formatCode="_-* #,##0_-;\-* #,##0_-;_-* &quot;-&quot;??_-;_-@_-"/>
    <numFmt numFmtId="174" formatCode="_-* #,##0.000000_-;\-* #,##0.000000_-;_-* &quot;-&quot;??_-;_-@_-"/>
    <numFmt numFmtId="175" formatCode="_-[$$-2C0A]\ * #,##0.00_-;\-[$$-2C0A]\ * #,##0.00_-;_-[$$-2C0A]\ * &quot;-&quot;??_-;_-@_-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3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4" fontId="0" fillId="0" borderId="0" xfId="0" applyNumberFormat="1"/>
    <xf numFmtId="0" fontId="4" fillId="0" borderId="0" xfId="0" applyFont="1"/>
    <xf numFmtId="0" fontId="6" fillId="0" borderId="0" xfId="0" applyFont="1"/>
    <xf numFmtId="0" fontId="5" fillId="0" borderId="0" xfId="0" applyFont="1"/>
    <xf numFmtId="4" fontId="6" fillId="0" borderId="0" xfId="0" applyNumberFormat="1" applyFont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165" fontId="8" fillId="3" borderId="0" xfId="2" applyFont="1" applyFill="1"/>
    <xf numFmtId="0" fontId="2" fillId="0" borderId="2" xfId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8" fillId="3" borderId="6" xfId="0" applyFont="1" applyFill="1" applyBorder="1"/>
    <xf numFmtId="165" fontId="8" fillId="3" borderId="7" xfId="2" applyFont="1" applyFill="1" applyBorder="1"/>
    <xf numFmtId="4" fontId="1" fillId="0" borderId="0" xfId="0" applyNumberFormat="1" applyFont="1"/>
    <xf numFmtId="167" fontId="0" fillId="0" borderId="0" xfId="0" applyNumberFormat="1"/>
    <xf numFmtId="166" fontId="0" fillId="0" borderId="0" xfId="0" applyNumberFormat="1"/>
    <xf numFmtId="165" fontId="9" fillId="2" borderId="1" xfId="2" applyFont="1" applyFill="1" applyBorder="1"/>
    <xf numFmtId="0" fontId="10" fillId="0" borderId="0" xfId="0" applyFont="1"/>
    <xf numFmtId="4" fontId="10" fillId="0" borderId="0" xfId="0" applyNumberFormat="1" applyFont="1"/>
    <xf numFmtId="0" fontId="12" fillId="3" borderId="1" xfId="0" applyFont="1" applyFill="1" applyBorder="1"/>
    <xf numFmtId="0" fontId="6" fillId="0" borderId="1" xfId="0" applyFont="1" applyBorder="1"/>
    <xf numFmtId="0" fontId="0" fillId="0" borderId="1" xfId="0" applyBorder="1"/>
    <xf numFmtId="165" fontId="6" fillId="0" borderId="1" xfId="2" applyFont="1" applyBorder="1"/>
    <xf numFmtId="0" fontId="8" fillId="3" borderId="1" xfId="0" applyFont="1" applyFill="1" applyBorder="1"/>
    <xf numFmtId="165" fontId="14" fillId="0" borderId="1" xfId="2" applyFont="1" applyBorder="1"/>
    <xf numFmtId="165" fontId="15" fillId="0" borderId="1" xfId="2" applyFont="1" applyBorder="1"/>
    <xf numFmtId="4" fontId="10" fillId="5" borderId="1" xfId="0" applyNumberFormat="1" applyFont="1" applyFill="1" applyBorder="1"/>
    <xf numFmtId="4" fontId="10" fillId="0" borderId="1" xfId="0" applyNumberFormat="1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13" fillId="0" borderId="1" xfId="0" applyFont="1" applyBorder="1"/>
    <xf numFmtId="16" fontId="10" fillId="0" borderId="1" xfId="0" applyNumberFormat="1" applyFont="1" applyBorder="1"/>
    <xf numFmtId="0" fontId="10" fillId="0" borderId="1" xfId="0" applyFont="1" applyBorder="1"/>
    <xf numFmtId="0" fontId="1" fillId="2" borderId="1" xfId="0" applyFont="1" applyFill="1" applyBorder="1"/>
    <xf numFmtId="0" fontId="10" fillId="2" borderId="1" xfId="0" applyFont="1" applyFill="1" applyBorder="1"/>
    <xf numFmtId="17" fontId="10" fillId="0" borderId="1" xfId="0" applyNumberFormat="1" applyFont="1" applyBorder="1"/>
    <xf numFmtId="165" fontId="8" fillId="3" borderId="1" xfId="0" applyNumberFormat="1" applyFont="1" applyFill="1" applyBorder="1"/>
    <xf numFmtId="164" fontId="0" fillId="0" borderId="0" xfId="0" applyNumberFormat="1"/>
    <xf numFmtId="0" fontId="14" fillId="0" borderId="0" xfId="0" applyFont="1"/>
    <xf numFmtId="0" fontId="16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169" fontId="18" fillId="0" borderId="1" xfId="0" applyNumberFormat="1" applyFont="1" applyBorder="1" applyAlignment="1">
      <alignment horizontal="center" vertical="center" wrapText="1"/>
    </xf>
    <xf numFmtId="169" fontId="18" fillId="0" borderId="1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4" xfId="0" applyFont="1" applyBorder="1"/>
    <xf numFmtId="2" fontId="19" fillId="0" borderId="4" xfId="0" applyNumberFormat="1" applyFont="1" applyBorder="1"/>
    <xf numFmtId="165" fontId="19" fillId="0" borderId="4" xfId="0" applyNumberFormat="1" applyFont="1" applyBorder="1"/>
    <xf numFmtId="165" fontId="19" fillId="0" borderId="1" xfId="0" applyNumberFormat="1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Continuous"/>
    </xf>
    <xf numFmtId="0" fontId="19" fillId="0" borderId="1" xfId="0" applyFont="1" applyBorder="1"/>
    <xf numFmtId="2" fontId="19" fillId="0" borderId="1" xfId="0" applyNumberFormat="1" applyFont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/>
    <xf numFmtId="165" fontId="19" fillId="5" borderId="4" xfId="0" applyNumberFormat="1" applyFont="1" applyFill="1" applyBorder="1"/>
    <xf numFmtId="0" fontId="19" fillId="0" borderId="5" xfId="0" applyFont="1" applyBorder="1" applyAlignment="1">
      <alignment horizontal="centerContinuous"/>
    </xf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Continuous"/>
    </xf>
    <xf numFmtId="0" fontId="19" fillId="0" borderId="6" xfId="0" applyFont="1" applyBorder="1"/>
    <xf numFmtId="168" fontId="19" fillId="0" borderId="6" xfId="0" applyNumberFormat="1" applyFont="1" applyBorder="1" applyAlignment="1">
      <alignment horizontal="center"/>
    </xf>
    <xf numFmtId="165" fontId="19" fillId="0" borderId="6" xfId="0" applyNumberFormat="1" applyFont="1" applyBorder="1"/>
    <xf numFmtId="165" fontId="19" fillId="0" borderId="0" xfId="0" applyNumberFormat="1" applyFont="1"/>
    <xf numFmtId="170" fontId="18" fillId="0" borderId="5" xfId="0" applyNumberFormat="1" applyFont="1" applyBorder="1"/>
    <xf numFmtId="170" fontId="18" fillId="0" borderId="6" xfId="0" applyNumberFormat="1" applyFont="1" applyBorder="1"/>
    <xf numFmtId="170" fontId="17" fillId="0" borderId="6" xfId="0" applyNumberFormat="1" applyFont="1" applyBorder="1"/>
    <xf numFmtId="165" fontId="17" fillId="0" borderId="6" xfId="2" applyFont="1" applyFill="1" applyBorder="1" applyAlignment="1"/>
    <xf numFmtId="0" fontId="21" fillId="8" borderId="0" xfId="0" applyFont="1" applyFill="1" applyAlignment="1">
      <alignment horizontal="center" vertical="center" wrapText="1"/>
    </xf>
    <xf numFmtId="0" fontId="23" fillId="0" borderId="11" xfId="0" applyFont="1" applyBorder="1"/>
    <xf numFmtId="0" fontId="23" fillId="0" borderId="0" xfId="0" applyFont="1"/>
    <xf numFmtId="171" fontId="23" fillId="0" borderId="0" xfId="0" applyNumberFormat="1" applyFont="1"/>
    <xf numFmtId="0" fontId="24" fillId="0" borderId="11" xfId="0" applyFont="1" applyBorder="1"/>
    <xf numFmtId="0" fontId="24" fillId="0" borderId="12" xfId="0" applyFont="1" applyBorder="1"/>
    <xf numFmtId="0" fontId="23" fillId="0" borderId="13" xfId="0" applyFont="1" applyBorder="1"/>
    <xf numFmtId="171" fontId="23" fillId="0" borderId="13" xfId="0" applyNumberFormat="1" applyFont="1" applyBorder="1"/>
    <xf numFmtId="0" fontId="23" fillId="0" borderId="14" xfId="0" applyFont="1" applyBorder="1"/>
    <xf numFmtId="172" fontId="16" fillId="0" borderId="13" xfId="0" applyNumberFormat="1" applyFont="1" applyBorder="1"/>
    <xf numFmtId="164" fontId="23" fillId="0" borderId="13" xfId="0" applyNumberFormat="1" applyFont="1" applyBorder="1"/>
    <xf numFmtId="0" fontId="24" fillId="7" borderId="15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/>
    </xf>
    <xf numFmtId="0" fontId="3" fillId="5" borderId="1" xfId="3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8" xfId="0" applyFont="1" applyBorder="1"/>
    <xf numFmtId="0" fontId="23" fillId="0" borderId="9" xfId="0" applyFont="1" applyBorder="1"/>
    <xf numFmtId="171" fontId="23" fillId="0" borderId="9" xfId="0" applyNumberFormat="1" applyFont="1" applyBorder="1"/>
    <xf numFmtId="172" fontId="23" fillId="0" borderId="9" xfId="0" applyNumberFormat="1" applyFont="1" applyBorder="1"/>
    <xf numFmtId="0" fontId="24" fillId="9" borderId="0" xfId="0" applyFont="1" applyFill="1" applyAlignment="1">
      <alignment horizontal="left" vertical="center" wrapText="1"/>
    </xf>
    <xf numFmtId="172" fontId="0" fillId="0" borderId="0" xfId="0" applyNumberFormat="1"/>
    <xf numFmtId="171" fontId="0" fillId="0" borderId="0" xfId="0" applyNumberFormat="1"/>
    <xf numFmtId="0" fontId="23" fillId="0" borderId="15" xfId="0" applyFont="1" applyBorder="1" applyAlignment="1">
      <alignment horizontal="left"/>
    </xf>
    <xf numFmtId="0" fontId="23" fillId="6" borderId="15" xfId="0" applyFont="1" applyFill="1" applyBorder="1" applyAlignment="1">
      <alignment horizontal="left"/>
    </xf>
    <xf numFmtId="0" fontId="26" fillId="5" borderId="1" xfId="3" applyFont="1" applyFill="1" applyBorder="1"/>
    <xf numFmtId="43" fontId="26" fillId="5" borderId="1" xfId="4" applyFont="1" applyFill="1" applyBorder="1"/>
    <xf numFmtId="0" fontId="25" fillId="5" borderId="15" xfId="0" applyFont="1" applyFill="1" applyBorder="1"/>
    <xf numFmtId="0" fontId="19" fillId="5" borderId="15" xfId="0" applyFont="1" applyFill="1" applyBorder="1"/>
    <xf numFmtId="171" fontId="25" fillId="5" borderId="15" xfId="0" applyNumberFormat="1" applyFont="1" applyFill="1" applyBorder="1"/>
    <xf numFmtId="172" fontId="25" fillId="5" borderId="16" xfId="0" applyNumberFormat="1" applyFont="1" applyFill="1" applyBorder="1"/>
    <xf numFmtId="172" fontId="25" fillId="5" borderId="17" xfId="0" applyNumberFormat="1" applyFont="1" applyFill="1" applyBorder="1"/>
    <xf numFmtId="2" fontId="25" fillId="5" borderId="18" xfId="0" applyNumberFormat="1" applyFont="1" applyFill="1" applyBorder="1"/>
    <xf numFmtId="0" fontId="26" fillId="5" borderId="3" xfId="3" applyFont="1" applyFill="1" applyBorder="1" applyAlignment="1">
      <alignment vertical="center" wrapText="1"/>
    </xf>
    <xf numFmtId="0" fontId="25" fillId="0" borderId="15" xfId="0" applyFont="1" applyBorder="1"/>
    <xf numFmtId="171" fontId="25" fillId="0" borderId="15" xfId="0" applyNumberFormat="1" applyFont="1" applyBorder="1"/>
    <xf numFmtId="172" fontId="25" fillId="0" borderId="15" xfId="0" applyNumberFormat="1" applyFont="1" applyBorder="1"/>
    <xf numFmtId="172" fontId="25" fillId="0" borderId="16" xfId="0" applyNumberFormat="1" applyFont="1" applyBorder="1"/>
    <xf numFmtId="172" fontId="25" fillId="0" borderId="17" xfId="0" applyNumberFormat="1" applyFont="1" applyBorder="1"/>
    <xf numFmtId="171" fontId="25" fillId="0" borderId="18" xfId="0" applyNumberFormat="1" applyFont="1" applyBorder="1"/>
    <xf numFmtId="0" fontId="25" fillId="5" borderId="15" xfId="0" applyFont="1" applyFill="1" applyBorder="1" applyAlignment="1">
      <alignment horizontal="left" vertical="center"/>
    </xf>
    <xf numFmtId="172" fontId="25" fillId="5" borderId="1" xfId="0" applyNumberFormat="1" applyFont="1" applyFill="1" applyBorder="1"/>
    <xf numFmtId="172" fontId="25" fillId="0" borderId="1" xfId="0" applyNumberFormat="1" applyFont="1" applyBorder="1"/>
    <xf numFmtId="0" fontId="27" fillId="7" borderId="15" xfId="0" applyFont="1" applyFill="1" applyBorder="1" applyAlignment="1">
      <alignment horizontal="center" vertical="center" wrapText="1"/>
    </xf>
    <xf numFmtId="0" fontId="27" fillId="7" borderId="15" xfId="0" applyFont="1" applyFill="1" applyBorder="1" applyAlignment="1">
      <alignment horizontal="left" vertical="center" wrapText="1"/>
    </xf>
    <xf numFmtId="0" fontId="27" fillId="7" borderId="15" xfId="0" applyFont="1" applyFill="1" applyBorder="1" applyAlignment="1">
      <alignment horizontal="center" vertical="center"/>
    </xf>
    <xf numFmtId="171" fontId="27" fillId="7" borderId="15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7" borderId="17" xfId="0" applyFont="1" applyFill="1" applyBorder="1" applyAlignment="1">
      <alignment horizontal="center" vertical="center" wrapText="1"/>
    </xf>
    <xf numFmtId="0" fontId="27" fillId="7" borderId="18" xfId="0" applyFont="1" applyFill="1" applyBorder="1" applyAlignment="1">
      <alignment horizontal="center" vertical="center" wrapText="1"/>
    </xf>
    <xf numFmtId="172" fontId="23" fillId="0" borderId="0" xfId="0" applyNumberFormat="1" applyFont="1"/>
    <xf numFmtId="172" fontId="28" fillId="5" borderId="17" xfId="0" applyNumberFormat="1" applyFont="1" applyFill="1" applyBorder="1"/>
    <xf numFmtId="174" fontId="25" fillId="0" borderId="15" xfId="0" applyNumberFormat="1" applyFont="1" applyBorder="1"/>
    <xf numFmtId="164" fontId="20" fillId="5" borderId="1" xfId="2" applyNumberFormat="1" applyFont="1" applyFill="1" applyBorder="1"/>
    <xf numFmtId="0" fontId="25" fillId="0" borderId="15" xfId="0" applyFont="1" applyBorder="1" applyAlignment="1">
      <alignment vertical="center"/>
    </xf>
    <xf numFmtId="172" fontId="25" fillId="0" borderId="21" xfId="0" applyNumberFormat="1" applyFont="1" applyBorder="1"/>
    <xf numFmtId="172" fontId="25" fillId="0" borderId="23" xfId="0" applyNumberFormat="1" applyFont="1" applyBorder="1"/>
    <xf numFmtId="172" fontId="25" fillId="0" borderId="9" xfId="0" applyNumberFormat="1" applyFont="1" applyBorder="1"/>
    <xf numFmtId="173" fontId="23" fillId="0" borderId="9" xfId="0" applyNumberFormat="1" applyFont="1" applyBorder="1"/>
    <xf numFmtId="167" fontId="17" fillId="0" borderId="7" xfId="2" applyNumberFormat="1" applyFont="1" applyFill="1" applyBorder="1" applyAlignment="1"/>
    <xf numFmtId="167" fontId="19" fillId="0" borderId="7" xfId="2" applyNumberFormat="1" applyFont="1" applyFill="1" applyBorder="1" applyAlignment="1"/>
    <xf numFmtId="2" fontId="17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17" fontId="10" fillId="0" borderId="7" xfId="0" applyNumberFormat="1" applyFont="1" applyBorder="1"/>
    <xf numFmtId="0" fontId="19" fillId="5" borderId="1" xfId="0" applyFont="1" applyFill="1" applyBorder="1" applyAlignment="1">
      <alignment horizontal="centerContinuous"/>
    </xf>
    <xf numFmtId="2" fontId="19" fillId="5" borderId="1" xfId="0" applyNumberFormat="1" applyFont="1" applyFill="1" applyBorder="1"/>
    <xf numFmtId="165" fontId="19" fillId="5" borderId="1" xfId="0" applyNumberFormat="1" applyFont="1" applyFill="1" applyBorder="1"/>
    <xf numFmtId="0" fontId="29" fillId="0" borderId="0" xfId="0" applyFont="1"/>
    <xf numFmtId="0" fontId="19" fillId="6" borderId="1" xfId="0" applyFont="1" applyFill="1" applyBorder="1" applyAlignment="1">
      <alignment horizontal="left"/>
    </xf>
    <xf numFmtId="0" fontId="19" fillId="6" borderId="1" xfId="0" applyFont="1" applyFill="1" applyBorder="1" applyAlignment="1">
      <alignment horizontal="centerContinuous"/>
    </xf>
    <xf numFmtId="0" fontId="19" fillId="6" borderId="1" xfId="0" applyFont="1" applyFill="1" applyBorder="1"/>
    <xf numFmtId="2" fontId="19" fillId="6" borderId="1" xfId="0" applyNumberFormat="1" applyFont="1" applyFill="1" applyBorder="1"/>
    <xf numFmtId="164" fontId="20" fillId="6" borderId="1" xfId="2" applyNumberFormat="1" applyFont="1" applyFill="1" applyBorder="1"/>
    <xf numFmtId="165" fontId="19" fillId="6" borderId="4" xfId="0" applyNumberFormat="1" applyFont="1" applyFill="1" applyBorder="1"/>
    <xf numFmtId="165" fontId="19" fillId="6" borderId="1" xfId="0" applyNumberFormat="1" applyFont="1" applyFill="1" applyBorder="1"/>
    <xf numFmtId="0" fontId="25" fillId="6" borderId="15" xfId="0" applyFont="1" applyFill="1" applyBorder="1"/>
    <xf numFmtId="171" fontId="25" fillId="6" borderId="15" xfId="0" applyNumberFormat="1" applyFont="1" applyFill="1" applyBorder="1"/>
    <xf numFmtId="172" fontId="25" fillId="6" borderId="17" xfId="0" applyNumberFormat="1" applyFont="1" applyFill="1" applyBorder="1"/>
    <xf numFmtId="172" fontId="28" fillId="6" borderId="17" xfId="0" applyNumberFormat="1" applyFont="1" applyFill="1" applyBorder="1"/>
    <xf numFmtId="2" fontId="25" fillId="6" borderId="18" xfId="0" applyNumberFormat="1" applyFont="1" applyFill="1" applyBorder="1"/>
    <xf numFmtId="165" fontId="0" fillId="0" borderId="0" xfId="2" applyFont="1"/>
    <xf numFmtId="0" fontId="1" fillId="6" borderId="0" xfId="0" applyFont="1" applyFill="1"/>
    <xf numFmtId="164" fontId="1" fillId="6" borderId="0" xfId="0" applyNumberFormat="1" applyFont="1" applyFill="1"/>
    <xf numFmtId="0" fontId="0" fillId="0" borderId="24" xfId="0" applyBorder="1"/>
    <xf numFmtId="0" fontId="0" fillId="0" borderId="25" xfId="0" applyBorder="1"/>
    <xf numFmtId="165" fontId="9" fillId="0" borderId="0" xfId="2" applyFont="1" applyBorder="1"/>
    <xf numFmtId="0" fontId="1" fillId="0" borderId="26" xfId="0" applyFont="1" applyBorder="1"/>
    <xf numFmtId="165" fontId="9" fillId="0" borderId="27" xfId="2" applyFont="1" applyBorder="1"/>
    <xf numFmtId="0" fontId="1" fillId="0" borderId="28" xfId="0" applyFont="1" applyBorder="1"/>
    <xf numFmtId="165" fontId="30" fillId="0" borderId="27" xfId="2" applyFont="1" applyBorder="1"/>
    <xf numFmtId="0" fontId="1" fillId="0" borderId="30" xfId="0" applyFont="1" applyBorder="1"/>
    <xf numFmtId="4" fontId="14" fillId="0" borderId="31" xfId="0" applyNumberFormat="1" applyFont="1" applyBorder="1"/>
    <xf numFmtId="165" fontId="9" fillId="0" borderId="29" xfId="2" applyFont="1" applyBorder="1"/>
    <xf numFmtId="0" fontId="8" fillId="3" borderId="3" xfId="0" applyFont="1" applyFill="1" applyBorder="1"/>
    <xf numFmtId="0" fontId="11" fillId="3" borderId="3" xfId="0" applyFont="1" applyFill="1" applyBorder="1"/>
    <xf numFmtId="165" fontId="11" fillId="3" borderId="3" xfId="2" applyFont="1" applyFill="1" applyBorder="1"/>
    <xf numFmtId="0" fontId="25" fillId="6" borderId="15" xfId="0" applyFont="1" applyFill="1" applyBorder="1" applyAlignment="1">
      <alignment vertical="center"/>
    </xf>
    <xf numFmtId="172" fontId="25" fillId="6" borderId="15" xfId="0" applyNumberFormat="1" applyFont="1" applyFill="1" applyBorder="1"/>
    <xf numFmtId="172" fontId="25" fillId="6" borderId="21" xfId="0" applyNumberFormat="1" applyFont="1" applyFill="1" applyBorder="1"/>
    <xf numFmtId="0" fontId="23" fillId="0" borderId="1" xfId="0" applyFont="1" applyBorder="1"/>
    <xf numFmtId="171" fontId="23" fillId="0" borderId="1" xfId="0" applyNumberFormat="1" applyFont="1" applyBorder="1"/>
    <xf numFmtId="0" fontId="23" fillId="5" borderId="1" xfId="0" applyFont="1" applyFill="1" applyBorder="1" applyAlignment="1">
      <alignment vertical="center" wrapText="1"/>
    </xf>
    <xf numFmtId="0" fontId="25" fillId="5" borderId="19" xfId="0" applyFont="1" applyFill="1" applyBorder="1" applyAlignment="1">
      <alignment horizontal="left" vertical="center"/>
    </xf>
    <xf numFmtId="43" fontId="26" fillId="5" borderId="3" xfId="4" applyFont="1" applyFill="1" applyBorder="1" applyAlignment="1">
      <alignment horizontal="center" vertical="center" wrapText="1"/>
    </xf>
    <xf numFmtId="172" fontId="25" fillId="5" borderId="8" xfId="0" applyNumberFormat="1" applyFont="1" applyFill="1" applyBorder="1" applyAlignment="1">
      <alignment horizontal="right" vertical="center"/>
    </xf>
    <xf numFmtId="172" fontId="25" fillId="5" borderId="9" xfId="0" applyNumberFormat="1" applyFont="1" applyFill="1" applyBorder="1" applyAlignment="1">
      <alignment horizontal="right" vertical="center"/>
    </xf>
    <xf numFmtId="2" fontId="25" fillId="5" borderId="20" xfId="0" applyNumberFormat="1" applyFont="1" applyFill="1" applyBorder="1" applyAlignment="1">
      <alignment horizontal="right" vertical="center"/>
    </xf>
    <xf numFmtId="0" fontId="25" fillId="5" borderId="15" xfId="0" applyFont="1" applyFill="1" applyBorder="1" applyAlignment="1">
      <alignment vertical="center"/>
    </xf>
    <xf numFmtId="172" fontId="25" fillId="5" borderId="15" xfId="0" applyNumberFormat="1" applyFont="1" applyFill="1" applyBorder="1"/>
    <xf numFmtId="172" fontId="25" fillId="5" borderId="21" xfId="0" applyNumberFormat="1" applyFont="1" applyFill="1" applyBorder="1"/>
    <xf numFmtId="164" fontId="6" fillId="5" borderId="4" xfId="2" applyNumberFormat="1" applyFont="1" applyFill="1" applyBorder="1"/>
    <xf numFmtId="164" fontId="6" fillId="6" borderId="4" xfId="2" applyNumberFormat="1" applyFont="1" applyFill="1" applyBorder="1"/>
    <xf numFmtId="0" fontId="19" fillId="10" borderId="1" xfId="0" applyFont="1" applyFill="1" applyBorder="1" applyAlignment="1">
      <alignment horizontal="left"/>
    </xf>
    <xf numFmtId="0" fontId="19" fillId="10" borderId="1" xfId="0" applyFont="1" applyFill="1" applyBorder="1" applyAlignment="1">
      <alignment horizontal="centerContinuous" vertical="center" wrapText="1"/>
    </xf>
    <xf numFmtId="0" fontId="19" fillId="10" borderId="1" xfId="0" applyFont="1" applyFill="1" applyBorder="1"/>
    <xf numFmtId="2" fontId="19" fillId="10" borderId="1" xfId="0" applyNumberFormat="1" applyFont="1" applyFill="1" applyBorder="1"/>
    <xf numFmtId="164" fontId="20" fillId="10" borderId="1" xfId="2" applyNumberFormat="1" applyFont="1" applyFill="1" applyBorder="1"/>
    <xf numFmtId="165" fontId="19" fillId="10" borderId="4" xfId="0" applyNumberFormat="1" applyFont="1" applyFill="1" applyBorder="1"/>
    <xf numFmtId="165" fontId="19" fillId="10" borderId="1" xfId="0" applyNumberFormat="1" applyFont="1" applyFill="1" applyBorder="1"/>
    <xf numFmtId="0" fontId="25" fillId="10" borderId="15" xfId="0" applyFont="1" applyFill="1" applyBorder="1" applyAlignment="1">
      <alignment horizontal="left" vertical="center"/>
    </xf>
    <xf numFmtId="0" fontId="26" fillId="10" borderId="1" xfId="3" applyFont="1" applyFill="1" applyBorder="1"/>
    <xf numFmtId="43" fontId="26" fillId="10" borderId="1" xfId="4" applyFont="1" applyFill="1" applyBorder="1"/>
    <xf numFmtId="0" fontId="25" fillId="10" borderId="15" xfId="0" applyFont="1" applyFill="1" applyBorder="1"/>
    <xf numFmtId="0" fontId="19" fillId="10" borderId="15" xfId="0" applyFont="1" applyFill="1" applyBorder="1"/>
    <xf numFmtId="171" fontId="25" fillId="10" borderId="15" xfId="0" applyNumberFormat="1" applyFont="1" applyFill="1" applyBorder="1"/>
    <xf numFmtId="172" fontId="25" fillId="10" borderId="16" xfId="0" applyNumberFormat="1" applyFont="1" applyFill="1" applyBorder="1"/>
    <xf numFmtId="172" fontId="25" fillId="10" borderId="1" xfId="0" applyNumberFormat="1" applyFont="1" applyFill="1" applyBorder="1"/>
    <xf numFmtId="172" fontId="25" fillId="10" borderId="17" xfId="0" applyNumberFormat="1" applyFont="1" applyFill="1" applyBorder="1"/>
    <xf numFmtId="172" fontId="28" fillId="10" borderId="17" xfId="0" applyNumberFormat="1" applyFont="1" applyFill="1" applyBorder="1"/>
    <xf numFmtId="2" fontId="25" fillId="10" borderId="18" xfId="0" applyNumberFormat="1" applyFont="1" applyFill="1" applyBorder="1"/>
    <xf numFmtId="0" fontId="25" fillId="10" borderId="15" xfId="0" applyFont="1" applyFill="1" applyBorder="1" applyAlignment="1">
      <alignment vertical="center"/>
    </xf>
    <xf numFmtId="0" fontId="26" fillId="10" borderId="3" xfId="3" applyFont="1" applyFill="1" applyBorder="1"/>
    <xf numFmtId="43" fontId="26" fillId="10" borderId="3" xfId="4" applyFont="1" applyFill="1" applyBorder="1"/>
    <xf numFmtId="4" fontId="1" fillId="0" borderId="27" xfId="0" applyNumberFormat="1" applyFont="1" applyBorder="1"/>
    <xf numFmtId="172" fontId="25" fillId="5" borderId="22" xfId="0" applyNumberFormat="1" applyFont="1" applyFill="1" applyBorder="1"/>
    <xf numFmtId="172" fontId="31" fillId="5" borderId="1" xfId="0" applyNumberFormat="1" applyFont="1" applyFill="1" applyBorder="1"/>
    <xf numFmtId="0" fontId="0" fillId="5" borderId="5" xfId="0" applyFill="1" applyBorder="1"/>
    <xf numFmtId="164" fontId="20" fillId="5" borderId="4" xfId="2" applyNumberFormat="1" applyFont="1" applyFill="1" applyBorder="1"/>
    <xf numFmtId="164" fontId="20" fillId="10" borderId="4" xfId="2" applyNumberFormat="1" applyFont="1" applyFill="1" applyBorder="1"/>
    <xf numFmtId="0" fontId="19" fillId="10" borderId="1" xfId="0" applyFont="1" applyFill="1" applyBorder="1" applyAlignment="1">
      <alignment horizontal="left" vertical="center"/>
    </xf>
    <xf numFmtId="4" fontId="10" fillId="5" borderId="1" xfId="0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" fillId="11" borderId="0" xfId="0" applyFont="1" applyFill="1"/>
    <xf numFmtId="175" fontId="9" fillId="11" borderId="0" xfId="0" applyNumberFormat="1" applyFont="1" applyFill="1"/>
    <xf numFmtId="0" fontId="5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5" fontId="0" fillId="0" borderId="2" xfId="2" applyFont="1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175" fontId="0" fillId="0" borderId="2" xfId="0" applyNumberFormat="1" applyBorder="1" applyAlignment="1">
      <alignment horizontal="center"/>
    </xf>
    <xf numFmtId="0" fontId="21" fillId="7" borderId="8" xfId="0" applyFont="1" applyFill="1" applyBorder="1" applyAlignment="1">
      <alignment horizontal="center" vertical="center" wrapText="1"/>
    </xf>
    <xf numFmtId="0" fontId="22" fillId="0" borderId="9" xfId="0" applyFont="1" applyBorder="1"/>
    <xf numFmtId="0" fontId="22" fillId="0" borderId="10" xfId="0" applyFont="1" applyBorder="1"/>
    <xf numFmtId="0" fontId="24" fillId="9" borderId="8" xfId="0" applyFont="1" applyFill="1" applyBorder="1" applyAlignment="1">
      <alignment horizontal="left" vertical="center" wrapText="1"/>
    </xf>
    <xf numFmtId="164" fontId="23" fillId="0" borderId="13" xfId="0" applyNumberFormat="1" applyFont="1" applyBorder="1" applyAlignment="1">
      <alignment horizontal="center"/>
    </xf>
  </cellXfs>
  <cellStyles count="5">
    <cellStyle name="Hipervínculo" xfId="1" builtinId="8"/>
    <cellStyle name="Millares 2" xfId="4" xr:uid="{00000000-0005-0000-0000-000001000000}"/>
    <cellStyle name="Moneda" xfId="2" builtinId="4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790575</xdr:colOff>
      <xdr:row>1</xdr:row>
      <xdr:rowOff>180974</xdr:rowOff>
    </xdr:from>
    <xdr:ext cx="2257425" cy="84772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447674"/>
          <a:ext cx="225742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64"/>
  <sheetViews>
    <sheetView topLeftCell="A40" workbookViewId="0">
      <selection activeCell="C52" sqref="C52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9</v>
      </c>
      <c r="C2" t="s">
        <v>22</v>
      </c>
    </row>
    <row r="3" spans="1:3" x14ac:dyDescent="0.25">
      <c r="B3" t="s">
        <v>3</v>
      </c>
    </row>
    <row r="4" spans="1:3" x14ac:dyDescent="0.25">
      <c r="B4" s="3" t="s">
        <v>2</v>
      </c>
    </row>
    <row r="5" spans="1:3" ht="8.25" customHeight="1" x14ac:dyDescent="0.25">
      <c r="A5" s="2"/>
      <c r="B5" s="15"/>
      <c r="C5" s="2"/>
    </row>
    <row r="7" spans="1:3" x14ac:dyDescent="0.25">
      <c r="A7" s="16" t="s">
        <v>25</v>
      </c>
      <c r="B7" s="17" t="s">
        <v>120</v>
      </c>
      <c r="C7" s="17" t="s">
        <v>122</v>
      </c>
    </row>
    <row r="8" spans="1:3" x14ac:dyDescent="0.25">
      <c r="A8" s="2"/>
      <c r="B8" s="2"/>
      <c r="C8" s="2"/>
    </row>
    <row r="10" spans="1:3" x14ac:dyDescent="0.25">
      <c r="A10" s="7" t="s">
        <v>19</v>
      </c>
    </row>
    <row r="11" spans="1:3" x14ac:dyDescent="0.25">
      <c r="A11" t="s">
        <v>13</v>
      </c>
    </row>
    <row r="12" spans="1:3" x14ac:dyDescent="0.25">
      <c r="A12" t="s">
        <v>14</v>
      </c>
    </row>
    <row r="13" spans="1:3" x14ac:dyDescent="0.25">
      <c r="A13" t="s">
        <v>16</v>
      </c>
    </row>
    <row r="15" spans="1:3" x14ac:dyDescent="0.25">
      <c r="A15" s="13" t="s">
        <v>5</v>
      </c>
    </row>
    <row r="16" spans="1:3" x14ac:dyDescent="0.25">
      <c r="A16" s="35" t="s">
        <v>4</v>
      </c>
      <c r="B16" s="28"/>
      <c r="C16" s="36"/>
    </row>
    <row r="17" spans="1:6" x14ac:dyDescent="0.25">
      <c r="A17" s="28"/>
      <c r="B17" s="37"/>
      <c r="C17" s="33"/>
      <c r="D17" s="4"/>
      <c r="E17" s="6"/>
    </row>
    <row r="18" spans="1:6" x14ac:dyDescent="0.25">
      <c r="A18" s="28" t="s">
        <v>134</v>
      </c>
      <c r="B18" s="38"/>
      <c r="C18" s="33">
        <v>41473</v>
      </c>
      <c r="D18" s="4"/>
      <c r="E18" s="6"/>
    </row>
    <row r="19" spans="1:6" x14ac:dyDescent="0.25">
      <c r="A19" s="28" t="s">
        <v>10</v>
      </c>
      <c r="B19" s="39"/>
      <c r="C19" s="218">
        <v>307780.02</v>
      </c>
      <c r="D19" s="20"/>
      <c r="F19" s="6"/>
    </row>
    <row r="20" spans="1:6" x14ac:dyDescent="0.25">
      <c r="A20" s="28" t="s">
        <v>26</v>
      </c>
      <c r="B20" s="39"/>
      <c r="C20" s="33">
        <v>65000</v>
      </c>
      <c r="D20" s="20"/>
      <c r="F20" s="6"/>
    </row>
    <row r="21" spans="1:6" x14ac:dyDescent="0.25">
      <c r="A21" s="28" t="s">
        <v>11</v>
      </c>
      <c r="B21" s="39" t="s">
        <v>23</v>
      </c>
      <c r="C21" s="33">
        <v>78682.460000000006</v>
      </c>
      <c r="D21" s="4"/>
      <c r="E21" s="6"/>
      <c r="F21" t="s">
        <v>117</v>
      </c>
    </row>
    <row r="22" spans="1:6" x14ac:dyDescent="0.25">
      <c r="A22" s="40"/>
      <c r="B22" s="41"/>
      <c r="C22" s="23">
        <f>SUM(C17:C21)</f>
        <v>492935.48000000004</v>
      </c>
    </row>
    <row r="23" spans="1:6" x14ac:dyDescent="0.25">
      <c r="A23" s="35" t="s">
        <v>12</v>
      </c>
      <c r="B23" s="39"/>
      <c r="C23" s="219"/>
    </row>
    <row r="24" spans="1:6" ht="15.75" x14ac:dyDescent="0.25">
      <c r="A24" s="28" t="s">
        <v>114</v>
      </c>
      <c r="B24" s="42"/>
      <c r="C24" s="33">
        <v>349151.87</v>
      </c>
      <c r="D24" s="45"/>
      <c r="F24" s="12"/>
    </row>
    <row r="25" spans="1:6" ht="15.75" x14ac:dyDescent="0.25">
      <c r="A25" s="28" t="s">
        <v>115</v>
      </c>
      <c r="B25" s="42"/>
      <c r="C25" s="33">
        <v>5684</v>
      </c>
      <c r="D25" s="45"/>
      <c r="F25" s="12"/>
    </row>
    <row r="26" spans="1:6" ht="15.75" x14ac:dyDescent="0.25">
      <c r="A26" s="140" t="s">
        <v>123</v>
      </c>
      <c r="B26" s="141"/>
      <c r="C26" s="33">
        <v>56650</v>
      </c>
      <c r="D26" s="45"/>
      <c r="F26" s="12"/>
    </row>
    <row r="27" spans="1:6" ht="15.75" x14ac:dyDescent="0.25">
      <c r="A27" s="214" t="s">
        <v>125</v>
      </c>
      <c r="B27" s="141"/>
      <c r="C27" s="33">
        <v>20000</v>
      </c>
      <c r="D27" s="45"/>
      <c r="F27" s="12"/>
    </row>
    <row r="28" spans="1:6" ht="15.75" x14ac:dyDescent="0.25">
      <c r="A28" s="214" t="s">
        <v>119</v>
      </c>
      <c r="B28" s="141"/>
      <c r="C28" s="33">
        <v>76654</v>
      </c>
      <c r="D28" s="45"/>
      <c r="F28" s="12" t="s">
        <v>118</v>
      </c>
    </row>
    <row r="29" spans="1:6" ht="15.75" x14ac:dyDescent="0.25">
      <c r="A29" s="28" t="s">
        <v>124</v>
      </c>
      <c r="B29" s="42"/>
      <c r="C29" s="33">
        <v>45000</v>
      </c>
      <c r="F29" s="12"/>
    </row>
    <row r="30" spans="1:6" ht="15.75" x14ac:dyDescent="0.25">
      <c r="A30" s="28" t="s">
        <v>108</v>
      </c>
      <c r="B30" s="39"/>
      <c r="C30" s="34"/>
      <c r="D30" s="4"/>
      <c r="E30" s="6"/>
      <c r="F30" s="12"/>
    </row>
    <row r="31" spans="1:6" ht="15.75" x14ac:dyDescent="0.25">
      <c r="A31" s="40"/>
      <c r="B31" s="41"/>
      <c r="C31" s="23">
        <f>SUM(C23:C30)</f>
        <v>553139.87</v>
      </c>
      <c r="F31" s="12"/>
    </row>
    <row r="32" spans="1:6" ht="15.75" x14ac:dyDescent="0.25">
      <c r="A32" s="30" t="s">
        <v>6</v>
      </c>
      <c r="B32" s="30"/>
      <c r="C32" s="43">
        <f>+C31+C22</f>
        <v>1046075.3500000001</v>
      </c>
      <c r="F32" s="12"/>
    </row>
    <row r="33" spans="1:6" ht="15.75" x14ac:dyDescent="0.25">
      <c r="C33" s="24"/>
      <c r="F33" s="12"/>
    </row>
    <row r="34" spans="1:6" ht="15.75" x14ac:dyDescent="0.25">
      <c r="A34" s="13" t="s">
        <v>18</v>
      </c>
      <c r="C34" s="24"/>
      <c r="F34" s="12"/>
    </row>
    <row r="35" spans="1:6" ht="15.75" x14ac:dyDescent="0.25">
      <c r="A35" s="28"/>
      <c r="B35" s="28"/>
      <c r="C35" s="33"/>
      <c r="F35" s="12"/>
    </row>
    <row r="36" spans="1:6" ht="15.75" x14ac:dyDescent="0.25">
      <c r="A36" s="28"/>
      <c r="B36" s="28"/>
      <c r="C36" s="34"/>
      <c r="F36" s="12"/>
    </row>
    <row r="37" spans="1:6" ht="15.75" x14ac:dyDescent="0.25">
      <c r="A37" s="28"/>
      <c r="B37" s="28"/>
      <c r="C37" s="34"/>
      <c r="F37" s="12"/>
    </row>
    <row r="38" spans="1:6" ht="15.75" x14ac:dyDescent="0.25">
      <c r="C38" s="25"/>
      <c r="F38" s="12"/>
    </row>
    <row r="39" spans="1:6" ht="15.75" x14ac:dyDescent="0.25">
      <c r="A39" s="220" t="s">
        <v>128</v>
      </c>
      <c r="B39" s="220"/>
      <c r="C39" s="221">
        <v>1000000</v>
      </c>
      <c r="F39" s="12"/>
    </row>
    <row r="40" spans="1:6" ht="15.75" x14ac:dyDescent="0.25">
      <c r="C40" s="25"/>
      <c r="F40" s="12"/>
    </row>
    <row r="41" spans="1:6" x14ac:dyDescent="0.25">
      <c r="A41" s="13" t="s">
        <v>15</v>
      </c>
      <c r="B41" s="13"/>
      <c r="C41" s="14">
        <f>+C35+C36+C37+C40</f>
        <v>0</v>
      </c>
      <c r="E41" s="6"/>
    </row>
    <row r="43" spans="1:6" x14ac:dyDescent="0.25">
      <c r="A43" s="18" t="s">
        <v>7</v>
      </c>
      <c r="B43" s="18"/>
      <c r="C43" s="19">
        <f>+C41+C32</f>
        <v>1046075.3500000001</v>
      </c>
    </row>
    <row r="45" spans="1:6" x14ac:dyDescent="0.25">
      <c r="A45" s="4"/>
    </row>
    <row r="46" spans="1:6" x14ac:dyDescent="0.25">
      <c r="A46" s="4"/>
      <c r="C46" s="163"/>
      <c r="D46" s="5"/>
      <c r="E46" s="5"/>
    </row>
    <row r="47" spans="1:6" ht="15" customHeight="1" thickBot="1" x14ac:dyDescent="0.3">
      <c r="A47" s="4"/>
      <c r="C47" s="163"/>
      <c r="D47" s="6"/>
      <c r="E47" s="6"/>
    </row>
    <row r="48" spans="1:6" ht="15.75" thickBot="1" x14ac:dyDescent="0.3">
      <c r="A48" s="164" t="s">
        <v>126</v>
      </c>
      <c r="B48" s="162"/>
      <c r="C48" s="165">
        <v>-664175.24157355423</v>
      </c>
      <c r="D48" s="6"/>
      <c r="E48" s="6"/>
    </row>
    <row r="49" spans="1:6" ht="15.75" thickBot="1" x14ac:dyDescent="0.3">
      <c r="A49" s="164" t="s">
        <v>121</v>
      </c>
      <c r="B49" s="162"/>
      <c r="C49" s="167">
        <f>-(C32-C30)</f>
        <v>-1046075.3500000001</v>
      </c>
      <c r="D49" s="6"/>
      <c r="E49" s="6"/>
    </row>
    <row r="50" spans="1:6" ht="15.75" thickBot="1" x14ac:dyDescent="0.3">
      <c r="A50" s="164" t="s">
        <v>113</v>
      </c>
      <c r="B50" s="162"/>
      <c r="C50" s="211">
        <f>'prorrateo '!F31</f>
        <v>1137720.7895689341</v>
      </c>
    </row>
    <row r="51" spans="1:6" hidden="1" x14ac:dyDescent="0.25">
      <c r="A51" s="168"/>
      <c r="C51" s="169"/>
    </row>
    <row r="52" spans="1:6" ht="15.75" thickBot="1" x14ac:dyDescent="0.3">
      <c r="A52" s="166" t="s">
        <v>8</v>
      </c>
      <c r="B52" s="161"/>
      <c r="C52" s="170">
        <f>SUM(C46:C50)</f>
        <v>-572529.8020046202</v>
      </c>
      <c r="D52" s="5"/>
    </row>
    <row r="53" spans="1:6" ht="12.75" customHeight="1" x14ac:dyDescent="0.25">
      <c r="A53" s="9"/>
      <c r="B53" s="8"/>
      <c r="C53" s="10"/>
    </row>
    <row r="54" spans="1:6" hidden="1" x14ac:dyDescent="0.25">
      <c r="A54" s="222"/>
      <c r="B54" s="222"/>
      <c r="C54" s="222"/>
      <c r="F54" s="44"/>
    </row>
    <row r="55" spans="1:6" ht="46.5" hidden="1" customHeight="1" x14ac:dyDescent="0.25">
      <c r="A55" s="223"/>
      <c r="B55" s="223"/>
      <c r="C55" s="223"/>
    </row>
    <row r="56" spans="1:6" ht="0.75" hidden="1" customHeight="1" x14ac:dyDescent="0.25">
      <c r="A56" s="26" t="s">
        <v>21</v>
      </c>
      <c r="B56" s="27"/>
      <c r="C56" s="29"/>
    </row>
    <row r="57" spans="1:6" hidden="1" x14ac:dyDescent="0.25">
      <c r="A57" s="28" t="s">
        <v>24</v>
      </c>
      <c r="B57" s="28"/>
      <c r="C57" s="31">
        <f>-C41</f>
        <v>0</v>
      </c>
    </row>
    <row r="58" spans="1:6" hidden="1" x14ac:dyDescent="0.25">
      <c r="A58" s="28"/>
      <c r="B58" s="28"/>
      <c r="C58" s="31"/>
    </row>
    <row r="59" spans="1:6" hidden="1" x14ac:dyDescent="0.25">
      <c r="A59" s="28"/>
      <c r="B59" s="28"/>
      <c r="C59" s="32"/>
    </row>
    <row r="60" spans="1:6" hidden="1" x14ac:dyDescent="0.25">
      <c r="A60" s="171" t="s">
        <v>0</v>
      </c>
      <c r="B60" s="172"/>
      <c r="C60" s="173">
        <f>SUM(C56:C59)</f>
        <v>0</v>
      </c>
    </row>
    <row r="61" spans="1:6" x14ac:dyDescent="0.25">
      <c r="A61" s="8"/>
      <c r="B61" s="8"/>
      <c r="C61" s="8"/>
    </row>
    <row r="62" spans="1:6" x14ac:dyDescent="0.25">
      <c r="A62" s="8"/>
      <c r="B62" s="8"/>
      <c r="C62" s="8"/>
    </row>
    <row r="63" spans="1:6" x14ac:dyDescent="0.25">
      <c r="A63" s="8"/>
      <c r="B63" s="8"/>
      <c r="C63" s="8"/>
    </row>
    <row r="64" spans="1:6" x14ac:dyDescent="0.25">
      <c r="A64" s="8"/>
      <c r="B64" s="8"/>
      <c r="C64" s="8"/>
    </row>
  </sheetData>
  <mergeCells count="1">
    <mergeCell ref="A54:C55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9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0"/>
  <sheetViews>
    <sheetView tabSelected="1" workbookViewId="0">
      <selection activeCell="J13" sqref="J13"/>
    </sheetView>
  </sheetViews>
  <sheetFormatPr baseColWidth="10" defaultRowHeight="15" x14ac:dyDescent="0.25"/>
  <cols>
    <col min="1" max="1" width="19.42578125" style="1" customWidth="1"/>
    <col min="2" max="2" width="12.140625" style="1" customWidth="1"/>
    <col min="3" max="3" width="13.85546875" customWidth="1"/>
    <col min="4" max="4" width="9.85546875" bestFit="1" customWidth="1"/>
    <col min="5" max="5" width="16.28515625" customWidth="1"/>
    <col min="6" max="6" width="12.42578125" bestFit="1" customWidth="1"/>
    <col min="7" max="7" width="10.85546875" bestFit="1" customWidth="1"/>
    <col min="8" max="8" width="10.85546875" customWidth="1"/>
    <col min="9" max="9" width="10.7109375" customWidth="1"/>
    <col min="10" max="10" width="10.5703125" customWidth="1"/>
    <col min="11" max="11" width="0.140625" customWidth="1"/>
    <col min="12" max="12" width="12.42578125" bestFit="1" customWidth="1"/>
    <col min="14" max="14" width="11.42578125" style="11"/>
    <col min="15" max="15" width="13" bestFit="1" customWidth="1"/>
  </cols>
  <sheetData>
    <row r="1" spans="1:12" x14ac:dyDescent="0.25">
      <c r="A1" s="1" t="s">
        <v>130</v>
      </c>
      <c r="B1" s="224">
        <f>D1</f>
        <v>1436145.71</v>
      </c>
      <c r="C1" s="224"/>
      <c r="D1" s="145">
        <v>1436145.71</v>
      </c>
      <c r="E1" t="s">
        <v>129</v>
      </c>
      <c r="G1" s="226">
        <v>1000000</v>
      </c>
      <c r="H1" s="226"/>
    </row>
    <row r="2" spans="1:12" ht="34.5" customHeight="1" x14ac:dyDescent="0.25">
      <c r="A2" s="46" t="s">
        <v>27</v>
      </c>
      <c r="B2" s="46" t="s">
        <v>20</v>
      </c>
      <c r="C2" s="139" t="s">
        <v>106</v>
      </c>
      <c r="D2" s="47" t="s">
        <v>1</v>
      </c>
      <c r="E2" s="48" t="s">
        <v>28</v>
      </c>
      <c r="F2" s="48" t="s">
        <v>29</v>
      </c>
      <c r="G2" s="49" t="s">
        <v>30</v>
      </c>
      <c r="H2" s="49" t="s">
        <v>109</v>
      </c>
      <c r="I2" s="50" t="s">
        <v>131</v>
      </c>
      <c r="J2" s="50" t="s">
        <v>132</v>
      </c>
      <c r="K2" s="50" t="s">
        <v>17</v>
      </c>
      <c r="L2" s="51" t="s">
        <v>31</v>
      </c>
    </row>
    <row r="3" spans="1:12" x14ac:dyDescent="0.25">
      <c r="A3" s="52" t="s">
        <v>32</v>
      </c>
      <c r="B3" s="53" t="s">
        <v>107</v>
      </c>
      <c r="C3" s="54" t="s">
        <v>33</v>
      </c>
      <c r="D3" s="55">
        <v>5.1100000000000003</v>
      </c>
      <c r="E3" s="131">
        <v>73387.045781000008</v>
      </c>
      <c r="F3" s="215">
        <f>E3</f>
        <v>73387.045781000008</v>
      </c>
      <c r="G3" s="56">
        <f>E3-F3</f>
        <v>0</v>
      </c>
      <c r="H3" s="56">
        <f>IF(G3&gt;0,G3*4%,0)</f>
        <v>0</v>
      </c>
      <c r="I3" s="56">
        <f>B$1*D3/100</f>
        <v>73387.045781000008</v>
      </c>
      <c r="J3" s="56">
        <f>G$1*D3/100</f>
        <v>51100</v>
      </c>
      <c r="K3" s="56"/>
      <c r="L3" s="57">
        <f>I3+G3+K3+J3+H3</f>
        <v>124487.04578100001</v>
      </c>
    </row>
    <row r="4" spans="1:12" x14ac:dyDescent="0.25">
      <c r="A4" s="58" t="s">
        <v>34</v>
      </c>
      <c r="B4" s="59" t="s">
        <v>127</v>
      </c>
      <c r="C4" s="60" t="s">
        <v>35</v>
      </c>
      <c r="D4" s="61">
        <v>5.09</v>
      </c>
      <c r="E4" s="131">
        <v>73099.816638999997</v>
      </c>
      <c r="F4" s="215">
        <f t="shared" ref="F4:F18" si="0">E4</f>
        <v>73099.816638999997</v>
      </c>
      <c r="G4" s="56">
        <f t="shared" ref="G4:G29" si="1">E4-F4</f>
        <v>0</v>
      </c>
      <c r="H4" s="56">
        <f t="shared" ref="H4:H29" si="2">IF(G4&gt;0,G4*4%,0)</f>
        <v>0</v>
      </c>
      <c r="I4" s="56">
        <f t="shared" ref="I4:I29" si="3">B$1*D4/100</f>
        <v>73099.816638999997</v>
      </c>
      <c r="J4" s="56">
        <f t="shared" ref="J4:J29" si="4">G$1*D4/100</f>
        <v>50900</v>
      </c>
      <c r="K4" s="56"/>
      <c r="L4" s="57">
        <f t="shared" ref="L4:L29" si="5">I4+G4+K4+J4+H4</f>
        <v>123999.816639</v>
      </c>
    </row>
    <row r="5" spans="1:12" x14ac:dyDescent="0.25">
      <c r="A5" s="58" t="s">
        <v>36</v>
      </c>
      <c r="B5" s="59" t="s">
        <v>37</v>
      </c>
      <c r="C5" s="60" t="s">
        <v>38</v>
      </c>
      <c r="D5" s="61">
        <v>5.04</v>
      </c>
      <c r="E5" s="131">
        <v>72381.743783999991</v>
      </c>
      <c r="F5" s="215"/>
      <c r="G5" s="56">
        <f t="shared" si="1"/>
        <v>72381.743783999991</v>
      </c>
      <c r="H5" s="56">
        <f t="shared" si="2"/>
        <v>2895.2697513599996</v>
      </c>
      <c r="I5" s="56">
        <f t="shared" si="3"/>
        <v>72381.743783999991</v>
      </c>
      <c r="J5" s="56">
        <f t="shared" si="4"/>
        <v>50400</v>
      </c>
      <c r="K5" s="56"/>
      <c r="L5" s="57">
        <f t="shared" si="5"/>
        <v>198058.75731935998</v>
      </c>
    </row>
    <row r="6" spans="1:12" x14ac:dyDescent="0.25">
      <c r="A6" s="58" t="s">
        <v>39</v>
      </c>
      <c r="B6" s="59"/>
      <c r="C6" s="60" t="s">
        <v>40</v>
      </c>
      <c r="D6" s="61">
        <v>5.21</v>
      </c>
      <c r="E6" s="131">
        <v>74823.191491000005</v>
      </c>
      <c r="F6" s="215">
        <f>E6</f>
        <v>74823.191491000005</v>
      </c>
      <c r="G6" s="56">
        <f t="shared" si="1"/>
        <v>0</v>
      </c>
      <c r="H6" s="56">
        <f t="shared" si="2"/>
        <v>0</v>
      </c>
      <c r="I6" s="56">
        <f t="shared" si="3"/>
        <v>74823.191491000005</v>
      </c>
      <c r="J6" s="56">
        <f t="shared" si="4"/>
        <v>52100</v>
      </c>
      <c r="K6" s="56"/>
      <c r="L6" s="57">
        <f t="shared" si="5"/>
        <v>126923.19149100001</v>
      </c>
    </row>
    <row r="7" spans="1:12" x14ac:dyDescent="0.25">
      <c r="A7" s="58" t="s">
        <v>36</v>
      </c>
      <c r="B7" s="59" t="s">
        <v>111</v>
      </c>
      <c r="C7" s="60" t="s">
        <v>41</v>
      </c>
      <c r="D7" s="61">
        <v>5.1100000000000003</v>
      </c>
      <c r="E7" s="131">
        <v>73387.045781000008</v>
      </c>
      <c r="F7" s="215"/>
      <c r="G7" s="56">
        <f t="shared" si="1"/>
        <v>73387.045781000008</v>
      </c>
      <c r="H7" s="56">
        <f t="shared" si="2"/>
        <v>2935.4818312400002</v>
      </c>
      <c r="I7" s="56">
        <f t="shared" si="3"/>
        <v>73387.045781000008</v>
      </c>
      <c r="J7" s="56">
        <f t="shared" si="4"/>
        <v>51100</v>
      </c>
      <c r="K7" s="56"/>
      <c r="L7" s="57">
        <f t="shared" si="5"/>
        <v>200809.57339324002</v>
      </c>
    </row>
    <row r="8" spans="1:12" x14ac:dyDescent="0.25">
      <c r="A8" s="58" t="s">
        <v>42</v>
      </c>
      <c r="B8" s="59"/>
      <c r="C8" s="60" t="s">
        <v>43</v>
      </c>
      <c r="D8" s="61">
        <v>5.09</v>
      </c>
      <c r="E8" s="131">
        <v>73099.816638999997</v>
      </c>
      <c r="F8" s="215">
        <f>E8</f>
        <v>73099.816638999997</v>
      </c>
      <c r="G8" s="56">
        <f t="shared" si="1"/>
        <v>0</v>
      </c>
      <c r="H8" s="56">
        <f t="shared" si="2"/>
        <v>0</v>
      </c>
      <c r="I8" s="56">
        <f t="shared" si="3"/>
        <v>73099.816638999997</v>
      </c>
      <c r="J8" s="56">
        <f t="shared" si="4"/>
        <v>50900</v>
      </c>
      <c r="K8" s="56"/>
      <c r="L8" s="57">
        <f t="shared" si="5"/>
        <v>123999.816639</v>
      </c>
    </row>
    <row r="9" spans="1:12" x14ac:dyDescent="0.25">
      <c r="A9" s="58" t="s">
        <v>44</v>
      </c>
      <c r="B9" s="59"/>
      <c r="C9" s="60" t="s">
        <v>45</v>
      </c>
      <c r="D9" s="61">
        <v>5.1100000000000003</v>
      </c>
      <c r="E9" s="131">
        <v>73387.045781000008</v>
      </c>
      <c r="F9" s="215">
        <f t="shared" si="0"/>
        <v>73387.045781000008</v>
      </c>
      <c r="G9" s="56">
        <f t="shared" si="1"/>
        <v>0</v>
      </c>
      <c r="H9" s="56">
        <f t="shared" si="2"/>
        <v>0</v>
      </c>
      <c r="I9" s="56">
        <f t="shared" si="3"/>
        <v>73387.045781000008</v>
      </c>
      <c r="J9" s="56">
        <f t="shared" si="4"/>
        <v>51100</v>
      </c>
      <c r="K9" s="56"/>
      <c r="L9" s="57">
        <f t="shared" si="5"/>
        <v>124487.04578100001</v>
      </c>
    </row>
    <row r="10" spans="1:12" ht="24.75" customHeight="1" x14ac:dyDescent="0.25">
      <c r="A10" s="217" t="s">
        <v>46</v>
      </c>
      <c r="B10" s="191" t="s">
        <v>116</v>
      </c>
      <c r="C10" s="192" t="s">
        <v>47</v>
      </c>
      <c r="D10" s="193">
        <v>5.09</v>
      </c>
      <c r="E10" s="194">
        <v>340386.24919880956</v>
      </c>
      <c r="F10" s="216"/>
      <c r="G10" s="195">
        <f t="shared" si="1"/>
        <v>340386.24919880956</v>
      </c>
      <c r="H10" s="195">
        <f t="shared" si="2"/>
        <v>13615.449967952383</v>
      </c>
      <c r="I10" s="195">
        <f t="shared" si="3"/>
        <v>73099.816638999997</v>
      </c>
      <c r="J10" s="195">
        <f t="shared" si="4"/>
        <v>50900</v>
      </c>
      <c r="K10" s="195"/>
      <c r="L10" s="196">
        <f t="shared" si="5"/>
        <v>478001.51580576197</v>
      </c>
    </row>
    <row r="11" spans="1:12" x14ac:dyDescent="0.25">
      <c r="A11" s="58" t="s">
        <v>112</v>
      </c>
      <c r="B11" s="59"/>
      <c r="C11" s="60" t="s">
        <v>48</v>
      </c>
      <c r="D11" s="61">
        <v>5.04</v>
      </c>
      <c r="E11" s="131">
        <v>72381.743783999991</v>
      </c>
      <c r="F11" s="215">
        <f>E11</f>
        <v>72381.743783999991</v>
      </c>
      <c r="G11" s="56">
        <f t="shared" si="1"/>
        <v>0</v>
      </c>
      <c r="H11" s="56">
        <f t="shared" si="2"/>
        <v>0</v>
      </c>
      <c r="I11" s="56">
        <f t="shared" si="3"/>
        <v>72381.743783999991</v>
      </c>
      <c r="J11" s="56">
        <f t="shared" si="4"/>
        <v>50400</v>
      </c>
      <c r="K11" s="56"/>
      <c r="L11" s="57">
        <f t="shared" si="5"/>
        <v>122781.74378399999</v>
      </c>
    </row>
    <row r="12" spans="1:12" x14ac:dyDescent="0.25">
      <c r="A12" s="58" t="s">
        <v>49</v>
      </c>
      <c r="B12" s="59"/>
      <c r="C12" s="60" t="s">
        <v>50</v>
      </c>
      <c r="D12" s="61">
        <v>5.21</v>
      </c>
      <c r="E12" s="131">
        <v>74823.191491000005</v>
      </c>
      <c r="F12" s="215">
        <f t="shared" si="0"/>
        <v>74823.191491000005</v>
      </c>
      <c r="G12" s="56">
        <f t="shared" si="1"/>
        <v>0</v>
      </c>
      <c r="H12" s="56">
        <f t="shared" si="2"/>
        <v>0</v>
      </c>
      <c r="I12" s="56">
        <f t="shared" si="3"/>
        <v>74823.191491000005</v>
      </c>
      <c r="J12" s="56">
        <f t="shared" si="4"/>
        <v>52100</v>
      </c>
      <c r="K12" s="56"/>
      <c r="L12" s="57">
        <f t="shared" si="5"/>
        <v>126923.19149100001</v>
      </c>
    </row>
    <row r="13" spans="1:12" x14ac:dyDescent="0.25">
      <c r="A13" s="58" t="s">
        <v>51</v>
      </c>
      <c r="B13" s="59" t="s">
        <v>52</v>
      </c>
      <c r="C13" s="60" t="s">
        <v>53</v>
      </c>
      <c r="D13" s="61">
        <v>5.1100000000000003</v>
      </c>
      <c r="E13" s="131">
        <v>73387.045781000008</v>
      </c>
      <c r="F13" s="215">
        <f>E13</f>
        <v>73387.045781000008</v>
      </c>
      <c r="G13" s="56">
        <f t="shared" si="1"/>
        <v>0</v>
      </c>
      <c r="H13" s="56">
        <f t="shared" si="2"/>
        <v>0</v>
      </c>
      <c r="I13" s="56">
        <f t="shared" si="3"/>
        <v>73387.045781000008</v>
      </c>
      <c r="J13" s="56">
        <f t="shared" si="4"/>
        <v>51100</v>
      </c>
      <c r="K13" s="56"/>
      <c r="L13" s="57">
        <f t="shared" si="5"/>
        <v>124487.04578100001</v>
      </c>
    </row>
    <row r="14" spans="1:12" x14ac:dyDescent="0.25">
      <c r="A14" s="64" t="s">
        <v>51</v>
      </c>
      <c r="B14" s="142"/>
      <c r="C14" s="65" t="s">
        <v>54</v>
      </c>
      <c r="D14" s="143">
        <v>5.09</v>
      </c>
      <c r="E14" s="131">
        <v>73099.816638999997</v>
      </c>
      <c r="F14" s="215"/>
      <c r="G14" s="66">
        <f t="shared" si="1"/>
        <v>73099.816638999997</v>
      </c>
      <c r="H14" s="66">
        <f t="shared" si="2"/>
        <v>2923.9926655599998</v>
      </c>
      <c r="I14" s="66">
        <f t="shared" si="3"/>
        <v>73099.816638999997</v>
      </c>
      <c r="J14" s="56">
        <f t="shared" si="4"/>
        <v>50900</v>
      </c>
      <c r="K14" s="66"/>
      <c r="L14" s="144">
        <f t="shared" si="5"/>
        <v>200023.62594356001</v>
      </c>
    </row>
    <row r="15" spans="1:12" x14ac:dyDescent="0.25">
      <c r="A15" s="58" t="s">
        <v>55</v>
      </c>
      <c r="B15" s="59" t="s">
        <v>56</v>
      </c>
      <c r="C15" s="60" t="s">
        <v>57</v>
      </c>
      <c r="D15" s="61">
        <v>5.04</v>
      </c>
      <c r="E15" s="131">
        <v>214265.93077245081</v>
      </c>
      <c r="F15" s="215">
        <f>E15</f>
        <v>214265.93077245081</v>
      </c>
      <c r="G15" s="56">
        <f t="shared" si="1"/>
        <v>0</v>
      </c>
      <c r="H15" s="56">
        <f t="shared" si="2"/>
        <v>0</v>
      </c>
      <c r="I15" s="56">
        <f t="shared" si="3"/>
        <v>72381.743783999991</v>
      </c>
      <c r="J15" s="56">
        <f t="shared" si="4"/>
        <v>50400</v>
      </c>
      <c r="K15" s="56"/>
      <c r="L15" s="57">
        <f t="shared" si="5"/>
        <v>122781.74378399999</v>
      </c>
    </row>
    <row r="16" spans="1:12" x14ac:dyDescent="0.25">
      <c r="A16" s="58" t="s">
        <v>58</v>
      </c>
      <c r="B16" s="59" t="s">
        <v>59</v>
      </c>
      <c r="C16" s="60" t="s">
        <v>60</v>
      </c>
      <c r="D16" s="61">
        <v>5.21</v>
      </c>
      <c r="E16" s="131">
        <v>74823.191491000005</v>
      </c>
      <c r="F16" s="215"/>
      <c r="G16" s="56">
        <f t="shared" si="1"/>
        <v>74823.191491000005</v>
      </c>
      <c r="H16" s="56">
        <f t="shared" si="2"/>
        <v>2992.9276596400005</v>
      </c>
      <c r="I16" s="56">
        <f t="shared" si="3"/>
        <v>74823.191491000005</v>
      </c>
      <c r="J16" s="56">
        <f t="shared" si="4"/>
        <v>52100</v>
      </c>
      <c r="K16" s="56"/>
      <c r="L16" s="57">
        <f t="shared" si="5"/>
        <v>204739.31064164001</v>
      </c>
    </row>
    <row r="17" spans="1:15" x14ac:dyDescent="0.25">
      <c r="A17" s="58" t="s">
        <v>61</v>
      </c>
      <c r="B17" s="59"/>
      <c r="C17" s="60" t="s">
        <v>62</v>
      </c>
      <c r="D17" s="61">
        <v>5.04</v>
      </c>
      <c r="E17" s="131">
        <v>72381.743783999991</v>
      </c>
      <c r="F17" s="215">
        <f t="shared" si="0"/>
        <v>72381.743783999991</v>
      </c>
      <c r="G17" s="56">
        <f t="shared" si="1"/>
        <v>0</v>
      </c>
      <c r="H17" s="56">
        <f t="shared" si="2"/>
        <v>0</v>
      </c>
      <c r="I17" s="56">
        <f t="shared" si="3"/>
        <v>72381.743783999991</v>
      </c>
      <c r="J17" s="56">
        <f t="shared" si="4"/>
        <v>50400</v>
      </c>
      <c r="K17" s="56"/>
      <c r="L17" s="57">
        <f t="shared" si="5"/>
        <v>122781.74378399999</v>
      </c>
    </row>
    <row r="18" spans="1:15" ht="23.25" customHeight="1" x14ac:dyDescent="0.25">
      <c r="A18" s="62" t="s">
        <v>63</v>
      </c>
      <c r="B18" s="63"/>
      <c r="C18" s="60" t="s">
        <v>64</v>
      </c>
      <c r="D18" s="61">
        <v>5.21</v>
      </c>
      <c r="E18" s="131">
        <v>74823.191491000005</v>
      </c>
      <c r="F18" s="215">
        <f t="shared" si="0"/>
        <v>74823.191491000005</v>
      </c>
      <c r="G18" s="56">
        <f t="shared" si="1"/>
        <v>0</v>
      </c>
      <c r="H18" s="56">
        <f t="shared" si="2"/>
        <v>0</v>
      </c>
      <c r="I18" s="56">
        <f t="shared" si="3"/>
        <v>74823.191491000005</v>
      </c>
      <c r="J18" s="56">
        <f t="shared" si="4"/>
        <v>52100</v>
      </c>
      <c r="K18" s="56"/>
      <c r="L18" s="57">
        <f t="shared" si="5"/>
        <v>126923.19149100001</v>
      </c>
    </row>
    <row r="19" spans="1:15" x14ac:dyDescent="0.25">
      <c r="A19" s="58" t="s">
        <v>65</v>
      </c>
      <c r="B19" s="59"/>
      <c r="C19" s="60" t="s">
        <v>66</v>
      </c>
      <c r="D19" s="61">
        <v>7.4</v>
      </c>
      <c r="E19" s="131">
        <v>106274.78254</v>
      </c>
      <c r="F19" s="215">
        <f>E19</f>
        <v>106274.78254</v>
      </c>
      <c r="G19" s="56">
        <f t="shared" si="1"/>
        <v>0</v>
      </c>
      <c r="H19" s="56">
        <f t="shared" si="2"/>
        <v>0</v>
      </c>
      <c r="I19" s="56">
        <f t="shared" si="3"/>
        <v>106274.78254</v>
      </c>
      <c r="J19" s="56">
        <f t="shared" si="4"/>
        <v>74000</v>
      </c>
      <c r="K19" s="56"/>
      <c r="L19" s="57">
        <f t="shared" si="5"/>
        <v>180274.78253999999</v>
      </c>
    </row>
    <row r="20" spans="1:15" ht="24" x14ac:dyDescent="0.25">
      <c r="A20" s="190"/>
      <c r="B20" s="191" t="s">
        <v>116</v>
      </c>
      <c r="C20" s="192" t="s">
        <v>67</v>
      </c>
      <c r="D20" s="193">
        <v>1.08</v>
      </c>
      <c r="E20" s="194">
        <v>72223.408474403608</v>
      </c>
      <c r="F20" s="216">
        <v>0</v>
      </c>
      <c r="G20" s="195">
        <f t="shared" si="1"/>
        <v>72223.408474403608</v>
      </c>
      <c r="H20" s="195">
        <f t="shared" si="2"/>
        <v>2888.9363389761443</v>
      </c>
      <c r="I20" s="195">
        <f t="shared" si="3"/>
        <v>15510.373668</v>
      </c>
      <c r="J20" s="195">
        <f t="shared" si="4"/>
        <v>10800</v>
      </c>
      <c r="K20" s="195"/>
      <c r="L20" s="196">
        <f t="shared" si="5"/>
        <v>101422.71848137975</v>
      </c>
    </row>
    <row r="21" spans="1:15" x14ac:dyDescent="0.25">
      <c r="A21" s="64"/>
      <c r="B21" s="59" t="s">
        <v>59</v>
      </c>
      <c r="C21" s="65" t="s">
        <v>68</v>
      </c>
      <c r="D21" s="61">
        <v>1.08</v>
      </c>
      <c r="E21" s="131">
        <v>15510.373668</v>
      </c>
      <c r="F21" s="188"/>
      <c r="G21" s="56">
        <f t="shared" si="1"/>
        <v>15510.373668</v>
      </c>
      <c r="H21" s="56">
        <f t="shared" si="2"/>
        <v>620.41494671999999</v>
      </c>
      <c r="I21" s="56">
        <f t="shared" si="3"/>
        <v>15510.373668</v>
      </c>
      <c r="J21" s="56">
        <f t="shared" si="4"/>
        <v>10800</v>
      </c>
      <c r="K21" s="66"/>
      <c r="L21" s="57">
        <f t="shared" si="5"/>
        <v>42441.162282719997</v>
      </c>
    </row>
    <row r="22" spans="1:15" x14ac:dyDescent="0.25">
      <c r="A22" s="146"/>
      <c r="B22" s="147"/>
      <c r="C22" s="148" t="s">
        <v>69</v>
      </c>
      <c r="D22" s="149">
        <v>1.08</v>
      </c>
      <c r="E22" s="150">
        <v>72223.408474403608</v>
      </c>
      <c r="F22" s="189">
        <v>0</v>
      </c>
      <c r="G22" s="151">
        <f t="shared" si="1"/>
        <v>72223.408474403608</v>
      </c>
      <c r="H22" s="151">
        <f t="shared" si="2"/>
        <v>2888.9363389761443</v>
      </c>
      <c r="I22" s="151">
        <f t="shared" si="3"/>
        <v>15510.373668</v>
      </c>
      <c r="J22" s="151">
        <f t="shared" si="4"/>
        <v>10800</v>
      </c>
      <c r="K22" s="151"/>
      <c r="L22" s="152">
        <f t="shared" si="5"/>
        <v>101422.71848137975</v>
      </c>
    </row>
    <row r="23" spans="1:15" x14ac:dyDescent="0.25">
      <c r="A23" s="58"/>
      <c r="B23" s="59" t="s">
        <v>37</v>
      </c>
      <c r="C23" s="60" t="s">
        <v>70</v>
      </c>
      <c r="D23" s="61">
        <v>1.08</v>
      </c>
      <c r="E23" s="131">
        <v>15510.373668</v>
      </c>
      <c r="F23" s="188"/>
      <c r="G23" s="56">
        <f t="shared" si="1"/>
        <v>15510.373668</v>
      </c>
      <c r="H23" s="56">
        <f t="shared" si="2"/>
        <v>620.41494671999999</v>
      </c>
      <c r="I23" s="56">
        <f t="shared" si="3"/>
        <v>15510.373668</v>
      </c>
      <c r="J23" s="56">
        <f t="shared" si="4"/>
        <v>10800</v>
      </c>
      <c r="K23" s="56"/>
      <c r="L23" s="57">
        <f t="shared" si="5"/>
        <v>42441.162282719997</v>
      </c>
    </row>
    <row r="24" spans="1:15" x14ac:dyDescent="0.25">
      <c r="A24" s="58" t="s">
        <v>51</v>
      </c>
      <c r="B24" s="59" t="s">
        <v>52</v>
      </c>
      <c r="C24" s="60" t="s">
        <v>71</v>
      </c>
      <c r="D24" s="61">
        <v>1.08</v>
      </c>
      <c r="E24" s="131">
        <v>15510.373668</v>
      </c>
      <c r="F24" s="215">
        <f>E24</f>
        <v>15510.373668</v>
      </c>
      <c r="G24" s="56">
        <f t="shared" si="1"/>
        <v>0</v>
      </c>
      <c r="H24" s="56">
        <f t="shared" si="2"/>
        <v>0</v>
      </c>
      <c r="I24" s="56">
        <f t="shared" si="3"/>
        <v>15510.373668</v>
      </c>
      <c r="J24" s="56">
        <f t="shared" si="4"/>
        <v>10800</v>
      </c>
      <c r="K24" s="56"/>
      <c r="L24" s="57">
        <f t="shared" si="5"/>
        <v>26310.373668</v>
      </c>
    </row>
    <row r="25" spans="1:15" x14ac:dyDescent="0.25">
      <c r="A25" s="58" t="s">
        <v>51</v>
      </c>
      <c r="B25" s="59"/>
      <c r="C25" s="60" t="s">
        <v>72</v>
      </c>
      <c r="D25" s="61">
        <v>1.08</v>
      </c>
      <c r="E25" s="131">
        <v>15510.373668</v>
      </c>
      <c r="F25" s="215"/>
      <c r="G25" s="56">
        <f t="shared" si="1"/>
        <v>15510.373668</v>
      </c>
      <c r="H25" s="56">
        <f t="shared" si="2"/>
        <v>620.41494671999999</v>
      </c>
      <c r="I25" s="56">
        <f t="shared" si="3"/>
        <v>15510.373668</v>
      </c>
      <c r="J25" s="56">
        <f t="shared" si="4"/>
        <v>10800</v>
      </c>
      <c r="K25" s="56"/>
      <c r="L25" s="57">
        <f t="shared" si="5"/>
        <v>42441.162282719997</v>
      </c>
    </row>
    <row r="26" spans="1:15" x14ac:dyDescent="0.25">
      <c r="A26" s="58" t="s">
        <v>65</v>
      </c>
      <c r="B26" s="59"/>
      <c r="C26" s="60" t="s">
        <v>73</v>
      </c>
      <c r="D26" s="61">
        <v>1.08</v>
      </c>
      <c r="E26" s="131">
        <v>15510.373668</v>
      </c>
      <c r="F26" s="215">
        <f t="shared" ref="F26:F27" si="6">E26</f>
        <v>15510.373668</v>
      </c>
      <c r="G26" s="56">
        <f t="shared" si="1"/>
        <v>0</v>
      </c>
      <c r="H26" s="56">
        <f t="shared" si="2"/>
        <v>0</v>
      </c>
      <c r="I26" s="56">
        <f t="shared" si="3"/>
        <v>15510.373668</v>
      </c>
      <c r="J26" s="56">
        <f t="shared" si="4"/>
        <v>10800</v>
      </c>
      <c r="K26" s="56"/>
      <c r="L26" s="57">
        <f t="shared" si="5"/>
        <v>26310.373668</v>
      </c>
    </row>
    <row r="27" spans="1:15" x14ac:dyDescent="0.25">
      <c r="A27" s="58" t="s">
        <v>65</v>
      </c>
      <c r="B27" s="67"/>
      <c r="C27" s="60" t="s">
        <v>74</v>
      </c>
      <c r="D27" s="61">
        <v>1.08</v>
      </c>
      <c r="E27" s="131">
        <v>15510.373668</v>
      </c>
      <c r="F27" s="215">
        <f t="shared" si="6"/>
        <v>15510.373668</v>
      </c>
      <c r="G27" s="56">
        <f t="shared" si="1"/>
        <v>0</v>
      </c>
      <c r="H27" s="56">
        <f t="shared" si="2"/>
        <v>0</v>
      </c>
      <c r="I27" s="56">
        <f t="shared" si="3"/>
        <v>15510.373668</v>
      </c>
      <c r="J27" s="56">
        <f t="shared" si="4"/>
        <v>10800</v>
      </c>
      <c r="K27" s="56"/>
      <c r="L27" s="57">
        <f t="shared" si="5"/>
        <v>26310.373668</v>
      </c>
      <c r="O27" s="44">
        <f>F27+F26+F19</f>
        <v>137295.52987600002</v>
      </c>
    </row>
    <row r="28" spans="1:15" x14ac:dyDescent="0.25">
      <c r="A28" s="68"/>
      <c r="B28" s="67" t="str">
        <f>B7</f>
        <v>Leandro</v>
      </c>
      <c r="C28" s="60" t="s">
        <v>75</v>
      </c>
      <c r="D28" s="61">
        <v>1.08</v>
      </c>
      <c r="E28" s="131">
        <v>15510.373668</v>
      </c>
      <c r="F28" s="215"/>
      <c r="G28" s="56">
        <f t="shared" si="1"/>
        <v>15510.373668</v>
      </c>
      <c r="H28" s="56">
        <f t="shared" si="2"/>
        <v>620.41494671999999</v>
      </c>
      <c r="I28" s="56">
        <f t="shared" si="3"/>
        <v>15510.373668</v>
      </c>
      <c r="J28" s="56">
        <f t="shared" si="4"/>
        <v>10800</v>
      </c>
      <c r="K28" s="56"/>
      <c r="L28" s="57">
        <f t="shared" si="5"/>
        <v>42441.162282719997</v>
      </c>
    </row>
    <row r="29" spans="1:15" x14ac:dyDescent="0.25">
      <c r="A29" s="68" t="s">
        <v>55</v>
      </c>
      <c r="B29" s="59" t="s">
        <v>56</v>
      </c>
      <c r="C29" s="60" t="s">
        <v>76</v>
      </c>
      <c r="D29" s="61">
        <v>1.08</v>
      </c>
      <c r="E29" s="131">
        <v>35055.122590483195</v>
      </c>
      <c r="F29" s="215">
        <f>E29</f>
        <v>35055.122590483195</v>
      </c>
      <c r="G29" s="56">
        <f t="shared" si="1"/>
        <v>0</v>
      </c>
      <c r="H29" s="56">
        <f t="shared" si="2"/>
        <v>0</v>
      </c>
      <c r="I29" s="56">
        <f t="shared" si="3"/>
        <v>15510.373668</v>
      </c>
      <c r="J29" s="56">
        <f t="shared" si="4"/>
        <v>10800</v>
      </c>
      <c r="K29" s="56"/>
      <c r="L29" s="57">
        <f t="shared" si="5"/>
        <v>26310.373668</v>
      </c>
    </row>
    <row r="30" spans="1:15" x14ac:dyDescent="0.25">
      <c r="A30" s="69"/>
      <c r="B30" s="69"/>
      <c r="C30" s="70"/>
      <c r="D30" s="70"/>
      <c r="E30" s="71"/>
      <c r="F30" s="71"/>
      <c r="G30" s="72"/>
      <c r="H30" s="72"/>
      <c r="I30" s="72"/>
      <c r="J30" s="73"/>
      <c r="K30" s="73"/>
      <c r="L30" s="73"/>
    </row>
    <row r="31" spans="1:15" x14ac:dyDescent="0.25">
      <c r="A31" s="74"/>
      <c r="B31" s="75"/>
      <c r="C31" s="76" t="s">
        <v>77</v>
      </c>
      <c r="D31" s="76">
        <f>SUM(D3:D30)</f>
        <v>99.999999999999986</v>
      </c>
      <c r="E31" s="75"/>
      <c r="F31" s="137">
        <f>SUM(F3:F30)</f>
        <v>1137720.7895689341</v>
      </c>
      <c r="G31" s="77"/>
      <c r="H31" s="77"/>
      <c r="I31" s="138">
        <f>SUM(I3:I30)</f>
        <v>1436145.7100000009</v>
      </c>
      <c r="J31" s="138">
        <f>SUM(J3:J30)</f>
        <v>1000000</v>
      </c>
      <c r="K31" s="137"/>
      <c r="L31" s="137">
        <f>SUM(L3:L29)</f>
        <v>3310334.7228552024</v>
      </c>
    </row>
    <row r="32" spans="1:15" x14ac:dyDescent="0.25">
      <c r="J32" s="22"/>
    </row>
    <row r="33" spans="1:12" x14ac:dyDescent="0.25">
      <c r="A33" s="225" t="s">
        <v>133</v>
      </c>
      <c r="B33" s="225"/>
      <c r="C33" s="225"/>
      <c r="D33" s="225"/>
      <c r="E33" s="225"/>
      <c r="F33" s="225"/>
      <c r="G33" s="225"/>
      <c r="H33" s="225"/>
      <c r="I33" s="225"/>
      <c r="J33" s="225"/>
      <c r="K33" s="225"/>
      <c r="L33" s="225"/>
    </row>
    <row r="34" spans="1:12" x14ac:dyDescent="0.25">
      <c r="A34" s="225"/>
      <c r="B34" s="225"/>
      <c r="C34" s="225"/>
      <c r="D34" s="225"/>
      <c r="E34" s="225"/>
      <c r="F34" s="225"/>
      <c r="G34" s="225"/>
      <c r="H34" s="225"/>
      <c r="I34" s="225"/>
      <c r="J34" s="225"/>
      <c r="K34" s="225"/>
      <c r="L34" s="225"/>
    </row>
    <row r="35" spans="1:12" x14ac:dyDescent="0.25">
      <c r="A35" s="225"/>
      <c r="B35" s="225"/>
      <c r="C35" s="225"/>
      <c r="D35" s="225"/>
      <c r="E35" s="225"/>
      <c r="F35" s="225"/>
      <c r="G35" s="225"/>
      <c r="H35" s="225"/>
      <c r="I35" s="225"/>
      <c r="J35" s="225"/>
      <c r="K35" s="225"/>
      <c r="L35" s="225"/>
    </row>
    <row r="36" spans="1:12" x14ac:dyDescent="0.25">
      <c r="A36" s="225"/>
      <c r="B36" s="225"/>
      <c r="C36" s="225"/>
      <c r="D36" s="225"/>
      <c r="E36" s="225"/>
      <c r="F36" s="225"/>
      <c r="G36" s="225"/>
      <c r="H36" s="225"/>
      <c r="I36" s="225"/>
      <c r="J36" s="225"/>
      <c r="K36" s="225"/>
      <c r="L36" s="225"/>
    </row>
    <row r="40" spans="1:12" x14ac:dyDescent="0.25">
      <c r="E40" s="21"/>
    </row>
  </sheetData>
  <mergeCells count="3">
    <mergeCell ref="B1:C1"/>
    <mergeCell ref="A33:L36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topLeftCell="C16" workbookViewId="0">
      <selection activeCell="N28" sqref="N28"/>
    </sheetView>
  </sheetViews>
  <sheetFormatPr baseColWidth="10" defaultRowHeight="15" x14ac:dyDescent="0.25"/>
  <cols>
    <col min="1" max="1" width="5" hidden="1" customWidth="1"/>
    <col min="2" max="2" width="8.28515625" hidden="1" customWidth="1"/>
    <col min="3" max="3" width="15.140625" customWidth="1"/>
    <col min="4" max="4" width="15.140625" hidden="1" customWidth="1"/>
    <col min="5" max="5" width="9" customWidth="1"/>
    <col min="6" max="6" width="9.28515625" customWidth="1"/>
    <col min="7" max="7" width="9.5703125" customWidth="1"/>
    <col min="8" max="8" width="11.5703125" hidden="1" customWidth="1"/>
    <col min="9" max="9" width="0.140625" hidden="1" customWidth="1"/>
    <col min="10" max="10" width="13.85546875" customWidth="1"/>
    <col min="11" max="11" width="0.140625" customWidth="1"/>
    <col min="12" max="12" width="13.5703125" customWidth="1"/>
    <col min="13" max="13" width="11.85546875" customWidth="1"/>
    <col min="14" max="14" width="12.85546875" customWidth="1"/>
    <col min="15" max="15" width="11.42578125" hidden="1" customWidth="1"/>
  </cols>
  <sheetData>
    <row r="1" spans="1:19" ht="21" customHeight="1" x14ac:dyDescent="0.25">
      <c r="A1" s="227" t="s">
        <v>79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9"/>
      <c r="O1" s="78"/>
    </row>
    <row r="2" spans="1:19" x14ac:dyDescent="0.25">
      <c r="A2" s="79"/>
      <c r="B2" s="79"/>
      <c r="C2" s="177"/>
      <c r="D2" s="177"/>
      <c r="E2" s="177"/>
      <c r="F2" s="177"/>
      <c r="G2" s="177"/>
      <c r="H2" s="178"/>
      <c r="I2" s="177"/>
      <c r="J2" s="177"/>
      <c r="K2" s="177"/>
      <c r="L2" s="177"/>
      <c r="M2" s="177"/>
      <c r="N2" s="177"/>
      <c r="O2" s="80"/>
      <c r="P2" s="11"/>
    </row>
    <row r="3" spans="1:19" x14ac:dyDescent="0.25">
      <c r="A3" s="82"/>
      <c r="B3" s="82"/>
      <c r="C3" s="179"/>
      <c r="D3" s="179"/>
      <c r="E3" s="179"/>
      <c r="F3" s="179"/>
      <c r="G3" s="179"/>
      <c r="H3" s="178"/>
      <c r="I3" s="177"/>
      <c r="J3" s="177"/>
      <c r="K3" s="177"/>
      <c r="L3" s="177"/>
      <c r="M3" s="177"/>
      <c r="N3" s="177"/>
      <c r="O3" s="80"/>
      <c r="P3" s="11"/>
    </row>
    <row r="4" spans="1:19" x14ac:dyDescent="0.25">
      <c r="A4" s="82"/>
      <c r="B4" s="82"/>
      <c r="C4" s="179"/>
      <c r="D4" s="179"/>
      <c r="E4" s="179"/>
      <c r="F4" s="179"/>
      <c r="G4" s="179"/>
      <c r="H4" s="178"/>
      <c r="I4" s="177" t="s">
        <v>78</v>
      </c>
      <c r="J4" s="177"/>
      <c r="K4" s="177"/>
      <c r="L4" s="177"/>
      <c r="M4" s="177"/>
      <c r="N4" s="177"/>
      <c r="O4" s="80"/>
      <c r="P4" s="11"/>
    </row>
    <row r="5" spans="1:19" x14ac:dyDescent="0.25">
      <c r="A5" s="82"/>
      <c r="B5" s="82"/>
      <c r="C5" s="179"/>
      <c r="D5" s="179"/>
      <c r="E5" s="179"/>
      <c r="F5" s="179"/>
      <c r="G5" s="179"/>
      <c r="H5" s="178"/>
      <c r="I5" s="177"/>
      <c r="J5" s="177"/>
      <c r="K5" s="177"/>
      <c r="L5" s="177"/>
      <c r="M5" s="177"/>
      <c r="N5" s="177"/>
      <c r="O5" s="80"/>
      <c r="P5" s="11"/>
    </row>
    <row r="6" spans="1:19" x14ac:dyDescent="0.25">
      <c r="A6" s="82"/>
      <c r="B6" s="82"/>
      <c r="C6" s="177"/>
      <c r="D6" s="28"/>
      <c r="E6" s="177"/>
      <c r="F6" s="177"/>
      <c r="G6" s="177"/>
      <c r="H6" s="178"/>
      <c r="I6" s="177"/>
      <c r="J6" s="177"/>
      <c r="K6" s="177"/>
      <c r="L6" s="177"/>
      <c r="M6" s="177"/>
      <c r="N6" s="177"/>
      <c r="O6" s="80"/>
      <c r="P6" s="11"/>
    </row>
    <row r="7" spans="1:19" ht="19.5" customHeight="1" x14ac:dyDescent="0.25">
      <c r="A7" s="83"/>
      <c r="B7" s="83" t="s">
        <v>79</v>
      </c>
      <c r="C7" s="213">
        <v>804174.23</v>
      </c>
      <c r="D7" s="28"/>
      <c r="E7" s="177"/>
      <c r="F7" s="177" t="s">
        <v>110</v>
      </c>
      <c r="G7" s="177"/>
      <c r="H7" s="178"/>
      <c r="I7" s="177"/>
      <c r="J7" s="177" t="str">
        <f>'detalle y gastos'!C7</f>
        <v>Vto. 16/06</v>
      </c>
      <c r="K7" s="177"/>
      <c r="L7" s="177"/>
      <c r="M7" s="177"/>
      <c r="N7" s="177"/>
      <c r="O7" s="80"/>
      <c r="P7" s="11"/>
    </row>
    <row r="8" spans="1:19" hidden="1" x14ac:dyDescent="0.25">
      <c r="A8" s="83"/>
      <c r="B8" s="82" t="s">
        <v>79</v>
      </c>
      <c r="C8" s="87"/>
      <c r="E8" s="84"/>
      <c r="F8" s="84"/>
      <c r="G8" s="84"/>
      <c r="H8" s="85"/>
      <c r="I8" s="84"/>
      <c r="J8" s="80"/>
      <c r="K8" s="88">
        <f>C8-J38</f>
        <v>-159634.85269999999</v>
      </c>
      <c r="L8" s="231">
        <f>C7-J38</f>
        <v>644539.37730000005</v>
      </c>
      <c r="M8" s="231"/>
      <c r="N8" s="86"/>
      <c r="O8" s="80"/>
      <c r="P8" s="11"/>
    </row>
    <row r="9" spans="1:19" ht="28.5" customHeight="1" x14ac:dyDescent="0.25">
      <c r="A9" s="89" t="s">
        <v>80</v>
      </c>
      <c r="B9" s="89" t="s">
        <v>80</v>
      </c>
      <c r="C9" s="121" t="s">
        <v>81</v>
      </c>
      <c r="D9" s="122" t="s">
        <v>82</v>
      </c>
      <c r="E9" s="122" t="s">
        <v>1</v>
      </c>
      <c r="F9" s="120" t="s">
        <v>83</v>
      </c>
      <c r="G9" s="120" t="s">
        <v>84</v>
      </c>
      <c r="H9" s="123" t="s">
        <v>87</v>
      </c>
      <c r="I9" s="124" t="s">
        <v>85</v>
      </c>
      <c r="J9" s="125" t="s">
        <v>79</v>
      </c>
      <c r="K9" s="126" t="s">
        <v>86</v>
      </c>
      <c r="L9" s="126" t="s">
        <v>86</v>
      </c>
      <c r="M9" s="127" t="s">
        <v>87</v>
      </c>
      <c r="N9" s="120" t="s">
        <v>88</v>
      </c>
      <c r="P9" s="11"/>
    </row>
    <row r="10" spans="1:19" x14ac:dyDescent="0.25">
      <c r="A10" s="100">
        <v>1</v>
      </c>
      <c r="B10" s="90">
        <v>1</v>
      </c>
      <c r="C10" s="117" t="s">
        <v>33</v>
      </c>
      <c r="D10" s="102" t="s">
        <v>89</v>
      </c>
      <c r="E10" s="103">
        <v>5.1100000000000003</v>
      </c>
      <c r="F10" s="104">
        <v>3008.7</v>
      </c>
      <c r="G10" s="105">
        <v>3122.7</v>
      </c>
      <c r="H10" s="106">
        <f>G10-F10</f>
        <v>114</v>
      </c>
      <c r="I10" s="107">
        <f t="shared" ref="I10:I37" si="0">H10*7%</f>
        <v>7.98</v>
      </c>
      <c r="J10" s="118">
        <f>M10*93.787</f>
        <v>10691.718000000001</v>
      </c>
      <c r="K10" s="108">
        <f>K8*E10%</f>
        <v>-8157.3409729700006</v>
      </c>
      <c r="L10" s="129">
        <f>L$8*E10/S$12</f>
        <v>32935.962180030008</v>
      </c>
      <c r="M10" s="109">
        <f>G10-F10</f>
        <v>114</v>
      </c>
      <c r="N10" s="106">
        <f>J10+L10</f>
        <v>43627.680180030009</v>
      </c>
      <c r="O10" s="99">
        <f>N10+'prorrateo '!L3</f>
        <v>168114.72596103002</v>
      </c>
      <c r="P10" s="11"/>
    </row>
    <row r="11" spans="1:19" x14ac:dyDescent="0.25">
      <c r="A11" s="101">
        <v>2</v>
      </c>
      <c r="B11" s="91">
        <v>2</v>
      </c>
      <c r="C11" s="117" t="s">
        <v>35</v>
      </c>
      <c r="D11" s="102" t="s">
        <v>90</v>
      </c>
      <c r="E11" s="103">
        <v>5.09</v>
      </c>
      <c r="F11" s="104">
        <v>3024.8</v>
      </c>
      <c r="G11" s="105">
        <v>3093.6</v>
      </c>
      <c r="H11" s="106">
        <f t="shared" ref="H11:H27" si="1">G11-F11</f>
        <v>68.799999999999727</v>
      </c>
      <c r="I11" s="107">
        <f t="shared" si="0"/>
        <v>4.8159999999999812</v>
      </c>
      <c r="J11" s="118">
        <f t="shared" ref="J11:J26" si="2">M11*93.787</f>
        <v>6452.5455999999749</v>
      </c>
      <c r="K11" s="108">
        <f>K8*E11%</f>
        <v>-8125.4140024299995</v>
      </c>
      <c r="L11" s="129">
        <f t="shared" ref="L11:L36" si="3">L$8*E11/S$12</f>
        <v>32807.054304570003</v>
      </c>
      <c r="M11" s="109">
        <f t="shared" ref="M11:M26" si="4">G11-F11</f>
        <v>68.799999999999727</v>
      </c>
      <c r="N11" s="106">
        <f t="shared" ref="N11:N25" si="5">J11+L11</f>
        <v>39259.599904569979</v>
      </c>
      <c r="O11" s="99">
        <f>N11+'prorrateo '!L4</f>
        <v>163259.41654356997</v>
      </c>
      <c r="P11" s="11"/>
    </row>
    <row r="12" spans="1:19" ht="16.5" customHeight="1" x14ac:dyDescent="0.25">
      <c r="A12" s="100">
        <v>3</v>
      </c>
      <c r="B12" s="91">
        <v>3</v>
      </c>
      <c r="C12" s="117" t="s">
        <v>38</v>
      </c>
      <c r="D12" s="102" t="s">
        <v>91</v>
      </c>
      <c r="E12" s="103">
        <v>5.04</v>
      </c>
      <c r="F12" s="104">
        <v>1270.2</v>
      </c>
      <c r="G12" s="105">
        <v>1314.5</v>
      </c>
      <c r="H12" s="106">
        <f t="shared" si="1"/>
        <v>44.299999999999955</v>
      </c>
      <c r="I12" s="107">
        <f t="shared" si="0"/>
        <v>3.1009999999999973</v>
      </c>
      <c r="J12" s="118">
        <f t="shared" si="2"/>
        <v>4154.7640999999958</v>
      </c>
      <c r="K12" s="108">
        <f>K8*E12%</f>
        <v>-8045.5965760799991</v>
      </c>
      <c r="L12" s="129">
        <f t="shared" si="3"/>
        <v>32484.784615920005</v>
      </c>
      <c r="M12" s="109">
        <f>G12-F12</f>
        <v>44.299999999999955</v>
      </c>
      <c r="N12" s="106">
        <f t="shared" si="5"/>
        <v>36639.548715919998</v>
      </c>
      <c r="O12" s="99">
        <f>N12+'prorrateo '!L5</f>
        <v>234698.30603527999</v>
      </c>
      <c r="P12" s="11"/>
      <c r="S12">
        <v>100</v>
      </c>
    </row>
    <row r="13" spans="1:19" x14ac:dyDescent="0.25">
      <c r="A13" s="100">
        <v>4</v>
      </c>
      <c r="B13" s="91" t="s">
        <v>92</v>
      </c>
      <c r="C13" s="180" t="s">
        <v>40</v>
      </c>
      <c r="D13" s="102" t="s">
        <v>93</v>
      </c>
      <c r="E13" s="181">
        <v>5.21</v>
      </c>
      <c r="F13" s="104">
        <v>706.3</v>
      </c>
      <c r="G13" s="105">
        <v>791.8</v>
      </c>
      <c r="H13" s="106">
        <f t="shared" si="1"/>
        <v>85.5</v>
      </c>
      <c r="I13" s="182">
        <f t="shared" si="0"/>
        <v>5.9850000000000003</v>
      </c>
      <c r="J13" s="118">
        <f t="shared" si="2"/>
        <v>8018.7885000000006</v>
      </c>
      <c r="K13" s="183">
        <f>K8*E13%</f>
        <v>-8316.9758256699988</v>
      </c>
      <c r="L13" s="129">
        <f t="shared" si="3"/>
        <v>33580.501557329997</v>
      </c>
      <c r="M13" s="184">
        <f t="shared" si="4"/>
        <v>85.5</v>
      </c>
      <c r="N13" s="106">
        <f t="shared" si="5"/>
        <v>41599.290057329999</v>
      </c>
      <c r="O13" s="99">
        <f>N13+'prorrateo '!L6</f>
        <v>168522.48154832999</v>
      </c>
      <c r="P13" s="11"/>
    </row>
    <row r="14" spans="1:19" x14ac:dyDescent="0.25">
      <c r="A14" s="100">
        <v>6</v>
      </c>
      <c r="B14" s="91">
        <v>6</v>
      </c>
      <c r="C14" s="117" t="s">
        <v>41</v>
      </c>
      <c r="D14" s="102" t="s">
        <v>94</v>
      </c>
      <c r="E14" s="103">
        <v>5.1100000000000003</v>
      </c>
      <c r="F14" s="104">
        <v>1352.4</v>
      </c>
      <c r="G14" s="105">
        <v>1435.7</v>
      </c>
      <c r="H14" s="106">
        <f t="shared" si="1"/>
        <v>83.299999999999955</v>
      </c>
      <c r="I14" s="107">
        <f t="shared" si="0"/>
        <v>5.8309999999999977</v>
      </c>
      <c r="J14" s="118">
        <f t="shared" si="2"/>
        <v>7812.457099999996</v>
      </c>
      <c r="K14" s="108">
        <f>K8*E14%</f>
        <v>-8157.3409729700006</v>
      </c>
      <c r="L14" s="129">
        <f t="shared" si="3"/>
        <v>32935.962180030008</v>
      </c>
      <c r="M14" s="109">
        <f t="shared" si="4"/>
        <v>83.299999999999955</v>
      </c>
      <c r="N14" s="106">
        <f t="shared" si="5"/>
        <v>40748.419280030008</v>
      </c>
      <c r="O14" s="99">
        <f>N14+'prorrateo '!L7</f>
        <v>241557.99267327003</v>
      </c>
      <c r="P14" s="11"/>
    </row>
    <row r="15" spans="1:19" x14ac:dyDescent="0.25">
      <c r="A15" s="100">
        <v>7</v>
      </c>
      <c r="B15" s="91">
        <v>7</v>
      </c>
      <c r="C15" s="117" t="s">
        <v>43</v>
      </c>
      <c r="D15" s="102" t="s">
        <v>94</v>
      </c>
      <c r="E15" s="103">
        <v>5.09</v>
      </c>
      <c r="F15" s="104">
        <v>2383.1999999999998</v>
      </c>
      <c r="G15" s="105">
        <v>2418</v>
      </c>
      <c r="H15" s="106">
        <f t="shared" si="1"/>
        <v>34.800000000000182</v>
      </c>
      <c r="I15" s="107">
        <f t="shared" si="0"/>
        <v>2.4360000000000128</v>
      </c>
      <c r="J15" s="118">
        <f t="shared" si="2"/>
        <v>3263.7876000000174</v>
      </c>
      <c r="K15" s="108">
        <f>K8*E15%</f>
        <v>-8125.4140024299995</v>
      </c>
      <c r="L15" s="129">
        <f t="shared" si="3"/>
        <v>32807.054304570003</v>
      </c>
      <c r="M15" s="109">
        <f t="shared" si="4"/>
        <v>34.800000000000182</v>
      </c>
      <c r="N15" s="106">
        <f t="shared" si="5"/>
        <v>36070.841904570021</v>
      </c>
      <c r="O15" s="99">
        <f>N15+'prorrateo '!L8</f>
        <v>160070.65854357003</v>
      </c>
    </row>
    <row r="16" spans="1:19" x14ac:dyDescent="0.25">
      <c r="A16" s="100">
        <v>8</v>
      </c>
      <c r="B16" s="91">
        <v>8</v>
      </c>
      <c r="C16" s="117" t="s">
        <v>45</v>
      </c>
      <c r="D16" s="102" t="s">
        <v>95</v>
      </c>
      <c r="E16" s="103">
        <v>5.1100000000000003</v>
      </c>
      <c r="F16" s="104">
        <v>1975.4</v>
      </c>
      <c r="G16" s="105">
        <v>2053.3000000000002</v>
      </c>
      <c r="H16" s="106">
        <f t="shared" si="1"/>
        <v>77.900000000000091</v>
      </c>
      <c r="I16" s="107">
        <f t="shared" si="0"/>
        <v>5.4530000000000065</v>
      </c>
      <c r="J16" s="118">
        <f t="shared" si="2"/>
        <v>7306.0073000000093</v>
      </c>
      <c r="K16" s="108">
        <f>K8*E16%</f>
        <v>-8157.3409729700006</v>
      </c>
      <c r="L16" s="129">
        <f t="shared" si="3"/>
        <v>32935.962180030008</v>
      </c>
      <c r="M16" s="109">
        <f t="shared" si="4"/>
        <v>77.900000000000091</v>
      </c>
      <c r="N16" s="106">
        <f t="shared" si="5"/>
        <v>40241.96948003002</v>
      </c>
      <c r="O16" s="99">
        <f>N16+'prorrateo '!L9</f>
        <v>164729.01526103003</v>
      </c>
    </row>
    <row r="17" spans="1:15" x14ac:dyDescent="0.25">
      <c r="A17" s="100">
        <v>9</v>
      </c>
      <c r="B17" s="91">
        <v>9</v>
      </c>
      <c r="C17" s="197" t="s">
        <v>47</v>
      </c>
      <c r="D17" s="198" t="s">
        <v>96</v>
      </c>
      <c r="E17" s="199">
        <v>5.09</v>
      </c>
      <c r="F17" s="200">
        <v>3022.6</v>
      </c>
      <c r="G17" s="201">
        <v>3139.2</v>
      </c>
      <c r="H17" s="202">
        <f t="shared" si="1"/>
        <v>116.59999999999991</v>
      </c>
      <c r="I17" s="203">
        <f t="shared" si="0"/>
        <v>8.1619999999999937</v>
      </c>
      <c r="J17" s="204">
        <f t="shared" si="2"/>
        <v>10935.564199999992</v>
      </c>
      <c r="K17" s="205">
        <f>K8*E17%</f>
        <v>-8125.4140024299995</v>
      </c>
      <c r="L17" s="206">
        <f t="shared" si="3"/>
        <v>32807.054304570003</v>
      </c>
      <c r="M17" s="207">
        <f t="shared" si="4"/>
        <v>116.59999999999991</v>
      </c>
      <c r="N17" s="202">
        <f t="shared" si="5"/>
        <v>43742.618504569997</v>
      </c>
      <c r="O17" s="99">
        <f>N17+'prorrateo '!L10</f>
        <v>521744.13431033195</v>
      </c>
    </row>
    <row r="18" spans="1:15" x14ac:dyDescent="0.25">
      <c r="A18" s="100">
        <v>10</v>
      </c>
      <c r="B18" s="91">
        <v>10</v>
      </c>
      <c r="C18" s="117" t="s">
        <v>48</v>
      </c>
      <c r="D18" s="102" t="s">
        <v>97</v>
      </c>
      <c r="E18" s="103">
        <v>5.04</v>
      </c>
      <c r="F18" s="104">
        <v>1692.8</v>
      </c>
      <c r="G18" s="105">
        <v>1790</v>
      </c>
      <c r="H18" s="106">
        <f t="shared" si="1"/>
        <v>97.200000000000045</v>
      </c>
      <c r="I18" s="107">
        <f t="shared" si="0"/>
        <v>6.8040000000000038</v>
      </c>
      <c r="J18" s="118">
        <f t="shared" si="2"/>
        <v>9116.096400000004</v>
      </c>
      <c r="K18" s="108">
        <f>K8*E18%</f>
        <v>-8045.5965760799991</v>
      </c>
      <c r="L18" s="129">
        <f t="shared" si="3"/>
        <v>32484.784615920005</v>
      </c>
      <c r="M18" s="109">
        <f t="shared" si="4"/>
        <v>97.200000000000045</v>
      </c>
      <c r="N18" s="106">
        <f t="shared" si="5"/>
        <v>41600.881015920007</v>
      </c>
      <c r="O18" s="99">
        <f>N18+'prorrateo '!L11</f>
        <v>164382.62479992001</v>
      </c>
    </row>
    <row r="19" spans="1:15" ht="15" customHeight="1" x14ac:dyDescent="0.25">
      <c r="A19" s="100">
        <v>11</v>
      </c>
      <c r="B19" s="91">
        <v>11</v>
      </c>
      <c r="C19" s="117" t="s">
        <v>50</v>
      </c>
      <c r="D19" s="110" t="s">
        <v>98</v>
      </c>
      <c r="E19" s="103">
        <v>5.21</v>
      </c>
      <c r="F19" s="104">
        <v>2773.4</v>
      </c>
      <c r="G19" s="105">
        <v>2998.2</v>
      </c>
      <c r="H19" s="106">
        <f t="shared" si="1"/>
        <v>224.79999999999973</v>
      </c>
      <c r="I19" s="107">
        <f t="shared" si="0"/>
        <v>15.735999999999983</v>
      </c>
      <c r="J19" s="118">
        <f t="shared" si="2"/>
        <v>21083.317599999977</v>
      </c>
      <c r="K19" s="108">
        <f>K8*E19%</f>
        <v>-8316.9758256699988</v>
      </c>
      <c r="L19" s="129">
        <f t="shared" si="3"/>
        <v>33580.501557329997</v>
      </c>
      <c r="M19" s="109">
        <f>G19-F19</f>
        <v>224.79999999999973</v>
      </c>
      <c r="N19" s="106">
        <f t="shared" si="5"/>
        <v>54663.81915732997</v>
      </c>
      <c r="O19" s="99">
        <f>N19+'prorrateo '!L12</f>
        <v>181587.01064832998</v>
      </c>
    </row>
    <row r="20" spans="1:15" ht="15" customHeight="1" x14ac:dyDescent="0.25">
      <c r="A20" s="100">
        <v>12</v>
      </c>
      <c r="B20" s="91">
        <v>12</v>
      </c>
      <c r="C20" s="117" t="s">
        <v>53</v>
      </c>
      <c r="D20" s="110" t="s">
        <v>98</v>
      </c>
      <c r="E20" s="103">
        <v>5.1100000000000003</v>
      </c>
      <c r="F20" s="104">
        <v>4496.3</v>
      </c>
      <c r="G20" s="105">
        <v>4665.5</v>
      </c>
      <c r="H20" s="106">
        <f t="shared" si="1"/>
        <v>169.19999999999982</v>
      </c>
      <c r="I20" s="107">
        <f t="shared" si="0"/>
        <v>11.843999999999989</v>
      </c>
      <c r="J20" s="118">
        <f t="shared" si="2"/>
        <v>15868.760399999985</v>
      </c>
      <c r="K20" s="108">
        <f>K8*E20%</f>
        <v>-8157.3409729700006</v>
      </c>
      <c r="L20" s="129">
        <f t="shared" si="3"/>
        <v>32935.962180030008</v>
      </c>
      <c r="M20" s="109">
        <f t="shared" si="4"/>
        <v>169.19999999999982</v>
      </c>
      <c r="N20" s="106">
        <f t="shared" si="5"/>
        <v>48804.722580029993</v>
      </c>
      <c r="O20" s="99">
        <f>N20+'prorrateo '!L13</f>
        <v>173291.76836103</v>
      </c>
    </row>
    <row r="21" spans="1:15" x14ac:dyDescent="0.25">
      <c r="A21" s="100">
        <v>13</v>
      </c>
      <c r="B21" s="91">
        <v>13</v>
      </c>
      <c r="C21" s="117" t="s">
        <v>54</v>
      </c>
      <c r="D21" s="102" t="s">
        <v>99</v>
      </c>
      <c r="E21" s="103">
        <v>5.09</v>
      </c>
      <c r="F21" s="104">
        <v>3467.1</v>
      </c>
      <c r="G21" s="105">
        <v>3467.1</v>
      </c>
      <c r="H21" s="106">
        <f t="shared" si="1"/>
        <v>0</v>
      </c>
      <c r="I21" s="107">
        <f t="shared" si="0"/>
        <v>0</v>
      </c>
      <c r="J21" s="118">
        <f t="shared" si="2"/>
        <v>0</v>
      </c>
      <c r="K21" s="108">
        <f>K8*E21%</f>
        <v>-8125.4140024299995</v>
      </c>
      <c r="L21" s="129">
        <f t="shared" si="3"/>
        <v>32807.054304570003</v>
      </c>
      <c r="M21" s="109">
        <f t="shared" si="4"/>
        <v>0</v>
      </c>
      <c r="N21" s="106">
        <f t="shared" si="5"/>
        <v>32807.054304570003</v>
      </c>
      <c r="O21" s="99">
        <f>N21+'prorrateo '!L14</f>
        <v>232830.68024813</v>
      </c>
    </row>
    <row r="22" spans="1:15" x14ac:dyDescent="0.25">
      <c r="A22" s="100">
        <v>14</v>
      </c>
      <c r="B22" s="91">
        <v>14</v>
      </c>
      <c r="C22" s="117" t="s">
        <v>57</v>
      </c>
      <c r="D22" s="102" t="s">
        <v>100</v>
      </c>
      <c r="E22" s="103">
        <v>5.04</v>
      </c>
      <c r="F22" s="104">
        <v>2015.9</v>
      </c>
      <c r="G22" s="105">
        <v>2097.9</v>
      </c>
      <c r="H22" s="106">
        <f t="shared" si="1"/>
        <v>82</v>
      </c>
      <c r="I22" s="107">
        <f t="shared" si="0"/>
        <v>5.74</v>
      </c>
      <c r="J22" s="118">
        <f t="shared" si="2"/>
        <v>7690.5340000000006</v>
      </c>
      <c r="K22" s="108">
        <f>K8*E22%</f>
        <v>-8045.5965760799991</v>
      </c>
      <c r="L22" s="129">
        <f t="shared" si="3"/>
        <v>32484.784615920005</v>
      </c>
      <c r="M22" s="109">
        <f t="shared" si="4"/>
        <v>82</v>
      </c>
      <c r="N22" s="106">
        <f t="shared" si="5"/>
        <v>40175.318615920005</v>
      </c>
      <c r="O22" s="99">
        <f>N22+'prorrateo '!L15</f>
        <v>162957.06239991999</v>
      </c>
    </row>
    <row r="23" spans="1:15" x14ac:dyDescent="0.25">
      <c r="A23" s="100">
        <v>15</v>
      </c>
      <c r="B23" s="91">
        <v>15</v>
      </c>
      <c r="C23" s="117" t="s">
        <v>60</v>
      </c>
      <c r="D23" s="102" t="s">
        <v>101</v>
      </c>
      <c r="E23" s="103">
        <v>5.21</v>
      </c>
      <c r="F23" s="104">
        <v>4072.7</v>
      </c>
      <c r="G23" s="105">
        <v>4222.8</v>
      </c>
      <c r="H23" s="106">
        <f t="shared" si="1"/>
        <v>150.10000000000036</v>
      </c>
      <c r="I23" s="107">
        <f t="shared" si="0"/>
        <v>10.507000000000026</v>
      </c>
      <c r="J23" s="118">
        <f t="shared" si="2"/>
        <v>14077.428700000035</v>
      </c>
      <c r="K23" s="108">
        <f>K8*E23%</f>
        <v>-8316.9758256699988</v>
      </c>
      <c r="L23" s="129">
        <f t="shared" si="3"/>
        <v>33580.501557329997</v>
      </c>
      <c r="M23" s="109">
        <f t="shared" si="4"/>
        <v>150.10000000000036</v>
      </c>
      <c r="N23" s="106">
        <f t="shared" si="5"/>
        <v>47657.93025733003</v>
      </c>
      <c r="O23" s="99">
        <f>N23+'prorrateo '!L16</f>
        <v>252397.24089897005</v>
      </c>
    </row>
    <row r="24" spans="1:15" x14ac:dyDescent="0.25">
      <c r="A24" s="100">
        <v>16</v>
      </c>
      <c r="B24" s="91">
        <v>16</v>
      </c>
      <c r="C24" s="117" t="s">
        <v>62</v>
      </c>
      <c r="D24" s="102" t="s">
        <v>102</v>
      </c>
      <c r="E24" s="103">
        <v>5.04</v>
      </c>
      <c r="F24" s="104">
        <v>1462.2</v>
      </c>
      <c r="G24" s="105">
        <v>1529.3</v>
      </c>
      <c r="H24" s="106">
        <f t="shared" si="1"/>
        <v>67.099999999999909</v>
      </c>
      <c r="I24" s="107">
        <f t="shared" si="0"/>
        <v>4.6969999999999938</v>
      </c>
      <c r="J24" s="118">
        <f t="shared" si="2"/>
        <v>6293.1076999999923</v>
      </c>
      <c r="K24" s="108">
        <f>K8*E24%</f>
        <v>-8045.5965760799991</v>
      </c>
      <c r="L24" s="129">
        <f t="shared" si="3"/>
        <v>32484.784615920005</v>
      </c>
      <c r="M24" s="109">
        <f t="shared" si="4"/>
        <v>67.099999999999909</v>
      </c>
      <c r="N24" s="106">
        <f t="shared" si="5"/>
        <v>38777.892315919999</v>
      </c>
      <c r="O24" s="99">
        <f>N24+'prorrateo '!L17</f>
        <v>161559.63609992</v>
      </c>
    </row>
    <row r="25" spans="1:15" x14ac:dyDescent="0.25">
      <c r="A25" s="100">
        <v>17</v>
      </c>
      <c r="B25" s="91">
        <v>17</v>
      </c>
      <c r="C25" s="117" t="s">
        <v>64</v>
      </c>
      <c r="D25" s="102" t="s">
        <v>103</v>
      </c>
      <c r="E25" s="103">
        <v>5.21</v>
      </c>
      <c r="F25" s="104">
        <v>1352.5</v>
      </c>
      <c r="G25" s="105">
        <v>1452.3</v>
      </c>
      <c r="H25" s="106">
        <f t="shared" si="1"/>
        <v>99.799999999999955</v>
      </c>
      <c r="I25" s="107">
        <f t="shared" si="0"/>
        <v>6.9859999999999971</v>
      </c>
      <c r="J25" s="118">
        <f t="shared" si="2"/>
        <v>9359.9425999999967</v>
      </c>
      <c r="K25" s="108">
        <f>K8*E25%</f>
        <v>-8316.9758256699988</v>
      </c>
      <c r="L25" s="129">
        <f t="shared" si="3"/>
        <v>33580.501557329997</v>
      </c>
      <c r="M25" s="109">
        <f t="shared" si="4"/>
        <v>99.799999999999955</v>
      </c>
      <c r="N25" s="106">
        <f t="shared" si="5"/>
        <v>42940.444157329992</v>
      </c>
      <c r="O25" s="99">
        <f>N25+'prorrateo '!L18</f>
        <v>169863.63564833</v>
      </c>
    </row>
    <row r="26" spans="1:15" x14ac:dyDescent="0.25">
      <c r="A26" s="100">
        <v>18</v>
      </c>
      <c r="B26" s="91">
        <v>18</v>
      </c>
      <c r="C26" s="117" t="s">
        <v>66</v>
      </c>
      <c r="D26" s="102" t="s">
        <v>104</v>
      </c>
      <c r="E26" s="103">
        <v>7.4</v>
      </c>
      <c r="F26" s="104">
        <v>7102.6</v>
      </c>
      <c r="G26" s="105">
        <v>7289.3</v>
      </c>
      <c r="H26" s="106">
        <f t="shared" si="1"/>
        <v>186.69999999999982</v>
      </c>
      <c r="I26" s="107">
        <f t="shared" si="0"/>
        <v>13.068999999999988</v>
      </c>
      <c r="J26" s="118">
        <f t="shared" si="2"/>
        <v>17510.032899999984</v>
      </c>
      <c r="K26" s="108">
        <f>K8*E26%</f>
        <v>-11812.979099800001</v>
      </c>
      <c r="L26" s="129">
        <f t="shared" si="3"/>
        <v>47695.913920200001</v>
      </c>
      <c r="M26" s="109">
        <f t="shared" si="4"/>
        <v>186.69999999999982</v>
      </c>
      <c r="N26" s="106">
        <f>J26+L26</f>
        <v>65205.946820199984</v>
      </c>
      <c r="O26" s="99">
        <f>N26+'prorrateo '!L19</f>
        <v>245480.72936019997</v>
      </c>
    </row>
    <row r="27" spans="1:15" ht="14.25" customHeight="1" x14ac:dyDescent="0.25">
      <c r="A27" s="100">
        <v>19</v>
      </c>
      <c r="B27" s="92">
        <v>19</v>
      </c>
      <c r="C27" s="208" t="s">
        <v>67</v>
      </c>
      <c r="D27" s="209" t="s">
        <v>98</v>
      </c>
      <c r="E27" s="210">
        <v>1.08</v>
      </c>
      <c r="F27" s="200"/>
      <c r="G27" s="201"/>
      <c r="H27" s="202">
        <f t="shared" si="1"/>
        <v>0</v>
      </c>
      <c r="I27" s="203">
        <f t="shared" si="0"/>
        <v>0</v>
      </c>
      <c r="J27" s="204"/>
      <c r="K27" s="205"/>
      <c r="L27" s="206">
        <f t="shared" si="3"/>
        <v>6961.0252748400007</v>
      </c>
      <c r="M27" s="207">
        <v>0</v>
      </c>
      <c r="N27" s="202">
        <f t="shared" ref="N27:N37" si="6">J27+L27</f>
        <v>6961.0252748400007</v>
      </c>
      <c r="O27" s="99">
        <f>N27+'prorrateo '!L20</f>
        <v>108383.74375621974</v>
      </c>
    </row>
    <row r="28" spans="1:15" x14ac:dyDescent="0.25">
      <c r="A28" s="100">
        <v>20</v>
      </c>
      <c r="B28" s="92"/>
      <c r="C28" s="185" t="s">
        <v>68</v>
      </c>
      <c r="D28" s="104"/>
      <c r="E28" s="104">
        <v>1.08</v>
      </c>
      <c r="F28" s="104"/>
      <c r="G28" s="104"/>
      <c r="H28" s="106">
        <v>0</v>
      </c>
      <c r="I28" s="186">
        <f t="shared" si="0"/>
        <v>0</v>
      </c>
      <c r="J28" s="187"/>
      <c r="K28" s="108"/>
      <c r="L28" s="129">
        <f t="shared" si="3"/>
        <v>6961.0252748400007</v>
      </c>
      <c r="M28" s="109">
        <v>0</v>
      </c>
      <c r="N28" s="106">
        <f t="shared" si="6"/>
        <v>6961.0252748400007</v>
      </c>
      <c r="O28" s="99">
        <f>N28+'prorrateo '!L21</f>
        <v>49402.187557559999</v>
      </c>
    </row>
    <row r="29" spans="1:15" x14ac:dyDescent="0.25">
      <c r="A29" s="100"/>
      <c r="B29" s="92"/>
      <c r="C29" s="174" t="s">
        <v>69</v>
      </c>
      <c r="D29" s="153"/>
      <c r="E29" s="153">
        <v>1.08</v>
      </c>
      <c r="F29" s="153"/>
      <c r="G29" s="153"/>
      <c r="H29" s="154"/>
      <c r="I29" s="175"/>
      <c r="J29" s="176"/>
      <c r="K29" s="155"/>
      <c r="L29" s="156">
        <f t="shared" si="3"/>
        <v>6961.0252748400007</v>
      </c>
      <c r="M29" s="157">
        <v>0</v>
      </c>
      <c r="N29" s="154">
        <f t="shared" si="6"/>
        <v>6961.0252748400007</v>
      </c>
      <c r="O29" s="99">
        <f>N29+'prorrateo '!L22</f>
        <v>108383.74375621974</v>
      </c>
    </row>
    <row r="30" spans="1:15" x14ac:dyDescent="0.25">
      <c r="A30" s="100"/>
      <c r="B30" s="92"/>
      <c r="C30" s="185" t="s">
        <v>70</v>
      </c>
      <c r="D30" s="104"/>
      <c r="E30" s="104">
        <v>1.08</v>
      </c>
      <c r="F30" s="104"/>
      <c r="G30" s="104"/>
      <c r="H30" s="106"/>
      <c r="I30" s="186"/>
      <c r="J30" s="187"/>
      <c r="K30" s="108"/>
      <c r="L30" s="129">
        <f t="shared" si="3"/>
        <v>6961.0252748400007</v>
      </c>
      <c r="M30" s="109">
        <v>0</v>
      </c>
      <c r="N30" s="106">
        <f t="shared" si="6"/>
        <v>6961.0252748400007</v>
      </c>
      <c r="O30" s="99">
        <f>N30+'prorrateo '!L23</f>
        <v>49402.187557559999</v>
      </c>
    </row>
    <row r="31" spans="1:15" x14ac:dyDescent="0.25">
      <c r="A31" s="100"/>
      <c r="B31" s="92"/>
      <c r="C31" s="185" t="s">
        <v>71</v>
      </c>
      <c r="D31" s="104"/>
      <c r="E31" s="104">
        <v>1.08</v>
      </c>
      <c r="F31" s="104"/>
      <c r="G31" s="104"/>
      <c r="H31" s="106"/>
      <c r="I31" s="186"/>
      <c r="J31" s="187"/>
      <c r="K31" s="108"/>
      <c r="L31" s="129">
        <f t="shared" si="3"/>
        <v>6961.0252748400007</v>
      </c>
      <c r="M31" s="109">
        <v>0</v>
      </c>
      <c r="N31" s="106">
        <f t="shared" si="6"/>
        <v>6961.0252748400007</v>
      </c>
      <c r="O31" s="99">
        <f>N31+'prorrateo '!L24</f>
        <v>33271.398942840002</v>
      </c>
    </row>
    <row r="32" spans="1:15" x14ac:dyDescent="0.25">
      <c r="A32" s="100"/>
      <c r="B32" s="92"/>
      <c r="C32" s="132" t="s">
        <v>72</v>
      </c>
      <c r="D32" s="111"/>
      <c r="E32" s="111">
        <v>1.08</v>
      </c>
      <c r="F32" s="111"/>
      <c r="G32" s="111"/>
      <c r="H32" s="112"/>
      <c r="I32" s="113"/>
      <c r="J32" s="133"/>
      <c r="K32" s="115"/>
      <c r="L32" s="129">
        <f t="shared" si="3"/>
        <v>6961.0252748400007</v>
      </c>
      <c r="M32" s="109">
        <v>0</v>
      </c>
      <c r="N32" s="106">
        <f t="shared" si="6"/>
        <v>6961.0252748400007</v>
      </c>
      <c r="O32" s="99">
        <f>N32+'prorrateo '!L25</f>
        <v>49402.187557559999</v>
      </c>
    </row>
    <row r="33" spans="1:16" x14ac:dyDescent="0.25">
      <c r="A33" s="100"/>
      <c r="B33" s="92"/>
      <c r="C33" s="132" t="s">
        <v>73</v>
      </c>
      <c r="D33" s="111"/>
      <c r="E33" s="111">
        <v>1.08</v>
      </c>
      <c r="F33" s="111"/>
      <c r="G33" s="111"/>
      <c r="H33" s="112"/>
      <c r="I33" s="113"/>
      <c r="J33" s="133"/>
      <c r="K33" s="115"/>
      <c r="L33" s="129">
        <f t="shared" si="3"/>
        <v>6961.0252748400007</v>
      </c>
      <c r="M33" s="109">
        <v>0</v>
      </c>
      <c r="N33" s="106">
        <f t="shared" si="6"/>
        <v>6961.0252748400007</v>
      </c>
      <c r="O33" s="99">
        <f>N33+'prorrateo '!L26</f>
        <v>33271.398942840002</v>
      </c>
    </row>
    <row r="34" spans="1:16" x14ac:dyDescent="0.25">
      <c r="A34" s="100"/>
      <c r="B34" s="92"/>
      <c r="C34" s="132" t="s">
        <v>74</v>
      </c>
      <c r="D34" s="111"/>
      <c r="E34" s="111">
        <v>1.08</v>
      </c>
      <c r="F34" s="111"/>
      <c r="G34" s="111"/>
      <c r="H34" s="112"/>
      <c r="I34" s="113"/>
      <c r="J34" s="133"/>
      <c r="K34" s="115"/>
      <c r="L34" s="129">
        <f t="shared" si="3"/>
        <v>6961.0252748400007</v>
      </c>
      <c r="M34" s="109">
        <v>0</v>
      </c>
      <c r="N34" s="106">
        <f t="shared" si="6"/>
        <v>6961.0252748400007</v>
      </c>
      <c r="O34" s="99">
        <f>N34+'prorrateo '!L27</f>
        <v>33271.398942840002</v>
      </c>
    </row>
    <row r="35" spans="1:16" x14ac:dyDescent="0.25">
      <c r="A35" s="100">
        <v>21</v>
      </c>
      <c r="B35" s="92"/>
      <c r="C35" s="185" t="s">
        <v>75</v>
      </c>
      <c r="D35" s="104"/>
      <c r="E35" s="104">
        <v>1.08</v>
      </c>
      <c r="F35" s="104"/>
      <c r="G35" s="104"/>
      <c r="H35" s="106">
        <v>0</v>
      </c>
      <c r="I35" s="186">
        <f t="shared" si="0"/>
        <v>0</v>
      </c>
      <c r="J35" s="212"/>
      <c r="K35" s="108"/>
      <c r="L35" s="129">
        <f t="shared" si="3"/>
        <v>6961.0252748400007</v>
      </c>
      <c r="M35" s="109">
        <v>0</v>
      </c>
      <c r="N35" s="106">
        <f t="shared" si="6"/>
        <v>6961.0252748400007</v>
      </c>
      <c r="O35" s="99">
        <f>N35+'prorrateo '!L28</f>
        <v>49402.187557559999</v>
      </c>
    </row>
    <row r="36" spans="1:16" x14ac:dyDescent="0.25">
      <c r="A36" s="100">
        <v>22</v>
      </c>
      <c r="B36" s="92"/>
      <c r="C36" s="185" t="s">
        <v>76</v>
      </c>
      <c r="D36" s="104"/>
      <c r="E36" s="104">
        <v>1.08</v>
      </c>
      <c r="F36" s="104"/>
      <c r="G36" s="104"/>
      <c r="H36" s="106">
        <v>0</v>
      </c>
      <c r="I36" s="186">
        <f t="shared" si="0"/>
        <v>0</v>
      </c>
      <c r="J36" s="212"/>
      <c r="K36" s="108"/>
      <c r="L36" s="129">
        <f t="shared" si="3"/>
        <v>6961.0252748400007</v>
      </c>
      <c r="M36" s="109">
        <v>0</v>
      </c>
      <c r="N36" s="106">
        <f t="shared" si="6"/>
        <v>6961.0252748400007</v>
      </c>
      <c r="O36" s="99">
        <f>N36+'prorrateo '!L29</f>
        <v>33271.398942840002</v>
      </c>
    </row>
    <row r="37" spans="1:16" x14ac:dyDescent="0.25">
      <c r="A37" s="100">
        <v>23</v>
      </c>
      <c r="B37" s="92"/>
      <c r="C37" s="111"/>
      <c r="D37" s="111"/>
      <c r="E37" s="111"/>
      <c r="F37" s="111"/>
      <c r="G37" s="111"/>
      <c r="H37" s="112">
        <v>0</v>
      </c>
      <c r="I37" s="113">
        <f t="shared" si="0"/>
        <v>0</v>
      </c>
      <c r="J37" s="134"/>
      <c r="K37" s="115"/>
      <c r="L37" s="129">
        <v>0</v>
      </c>
      <c r="M37" s="129">
        <v>0</v>
      </c>
      <c r="N37" s="106">
        <f t="shared" si="6"/>
        <v>0</v>
      </c>
    </row>
    <row r="38" spans="1:16" ht="14.25" customHeight="1" x14ac:dyDescent="0.25">
      <c r="A38" s="100">
        <v>24</v>
      </c>
      <c r="B38" s="92"/>
      <c r="C38" s="111"/>
      <c r="D38" s="111"/>
      <c r="E38" s="130"/>
      <c r="F38" s="111"/>
      <c r="G38" s="111"/>
      <c r="H38" s="112"/>
      <c r="I38" s="114"/>
      <c r="J38" s="119">
        <f>SUM(J10:J37)</f>
        <v>159634.85269999999</v>
      </c>
      <c r="K38" s="115"/>
      <c r="L38" s="115">
        <f>SUM(L10:L37)</f>
        <v>644539.37729999947</v>
      </c>
      <c r="M38" s="116"/>
      <c r="N38" s="112">
        <f>SUM(N10:N37)</f>
        <v>804174.22999999952</v>
      </c>
      <c r="P38" s="44"/>
    </row>
    <row r="39" spans="1:16" hidden="1" x14ac:dyDescent="0.25">
      <c r="A39" s="80"/>
      <c r="C39" s="93"/>
      <c r="D39" s="94"/>
      <c r="E39" s="136">
        <f>SUM(E10:E38)</f>
        <v>99.999999999999986</v>
      </c>
      <c r="F39" s="94"/>
      <c r="G39" s="94"/>
      <c r="H39" s="95"/>
      <c r="I39" s="96">
        <f>SUM(I10:I38)</f>
        <v>119.14699999999996</v>
      </c>
      <c r="J39" s="128"/>
      <c r="K39" s="96"/>
      <c r="L39" s="135">
        <f>L38+J38</f>
        <v>804174.22999999952</v>
      </c>
      <c r="M39" s="95"/>
      <c r="N39" s="95"/>
      <c r="O39" s="81"/>
    </row>
    <row r="40" spans="1:16" ht="30" hidden="1" x14ac:dyDescent="0.25">
      <c r="A40" s="97" t="s">
        <v>105</v>
      </c>
      <c r="C40" s="230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97"/>
    </row>
    <row r="41" spans="1:16" x14ac:dyDescent="0.25">
      <c r="H41" s="81"/>
      <c r="J41" s="98"/>
      <c r="K41" s="98"/>
      <c r="L41" s="98"/>
      <c r="N41" s="99"/>
    </row>
    <row r="43" spans="1:16" x14ac:dyDescent="0.25">
      <c r="E43" s="4"/>
    </row>
    <row r="44" spans="1:16" x14ac:dyDescent="0.25">
      <c r="L44" s="158"/>
    </row>
    <row r="45" spans="1:16" x14ac:dyDescent="0.25">
      <c r="L45" s="98"/>
    </row>
    <row r="46" spans="1:16" x14ac:dyDescent="0.25">
      <c r="E46" s="159"/>
      <c r="F46" s="159"/>
      <c r="G46" s="159"/>
      <c r="H46" s="159"/>
      <c r="I46" s="159"/>
      <c r="J46" s="159"/>
      <c r="K46" s="159"/>
      <c r="L46" s="160"/>
    </row>
  </sheetData>
  <mergeCells count="3">
    <mergeCell ref="A1:N1"/>
    <mergeCell ref="C40:N40"/>
    <mergeCell ref="L8:M8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detalle y gastos</vt:lpstr>
      <vt:lpstr>prorrateo </vt:lpstr>
      <vt:lpstr>Edesur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2025-04-30T15:16:05Z</cp:lastPrinted>
  <dcterms:created xsi:type="dcterms:W3CDTF">2020-12-10T00:27:53Z</dcterms:created>
  <dcterms:modified xsi:type="dcterms:W3CDTF">2025-06-29T15:48:39Z</dcterms:modified>
</cp:coreProperties>
</file>