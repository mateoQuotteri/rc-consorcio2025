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ROSALES\Noviembre\"/>
    </mc:Choice>
  </mc:AlternateContent>
  <xr:revisionPtr revIDLastSave="0" documentId="13_ncr:1_{A56C7D27-D4F4-429E-AB81-99173AF6C8A4}" xr6:coauthVersionLast="47" xr6:coauthVersionMax="47" xr10:uidLastSave="{00000000-0000-0000-0000-000000000000}"/>
  <bookViews>
    <workbookView xWindow="-120" yWindow="-120" windowWidth="20730" windowHeight="11160" xr2:uid="{00000000-000D-0000-FFFF-FFFF00000000}"/>
  </bookViews>
  <sheets>
    <sheet name="detalle y gastos" sheetId="3" r:id="rId1"/>
    <sheet name="prorrateo " sheetId="1" r:id="rId2"/>
    <sheet name="Edesur" sheetId="4" r:id="rId3"/>
  </sheets>
  <definedNames>
    <definedName name="_xlnm.Print_Area" localSheetId="0">'detalle y gastos'!$A$1:$C$64</definedName>
    <definedName name="_xlnm.Print_Area" localSheetId="2">Edesur!$A$1:$N$40</definedName>
    <definedName name="_xlnm.Print_Area" localSheetId="1">'prorrateo '!$A$1:$M$37</definedName>
  </definedNames>
  <calcPr calcId="181029"/>
</workbook>
</file>

<file path=xl/calcChain.xml><?xml version="1.0" encoding="utf-8"?>
<calcChain xmlns="http://schemas.openxmlformats.org/spreadsheetml/2006/main">
  <c r="O4" i="1" l="1"/>
  <c r="O5" i="1"/>
  <c r="O6" i="1"/>
  <c r="O7" i="1"/>
  <c r="O8" i="1"/>
  <c r="O9" i="1"/>
  <c r="O10" i="1"/>
  <c r="O11" i="1"/>
  <c r="O12" i="1"/>
  <c r="O13" i="1"/>
  <c r="O14" i="1"/>
  <c r="O15" i="1"/>
  <c r="O16" i="1"/>
  <c r="O17" i="1"/>
  <c r="O18" i="1"/>
  <c r="O19" i="1"/>
  <c r="O20" i="1"/>
  <c r="O21" i="1"/>
  <c r="O22" i="1"/>
  <c r="O23" i="1"/>
  <c r="O24" i="1"/>
  <c r="O25" i="1"/>
  <c r="O26" i="1"/>
  <c r="O27" i="1"/>
  <c r="O28" i="1"/>
  <c r="O29" i="1"/>
  <c r="B1" i="1"/>
  <c r="J4" i="1"/>
  <c r="J5" i="1"/>
  <c r="J6" i="1"/>
  <c r="J7" i="1"/>
  <c r="J8" i="1"/>
  <c r="J9" i="1"/>
  <c r="J10" i="1"/>
  <c r="J11" i="1"/>
  <c r="J12" i="1"/>
  <c r="J13" i="1"/>
  <c r="J14" i="1"/>
  <c r="J15" i="1"/>
  <c r="J16" i="1"/>
  <c r="J17" i="1"/>
  <c r="J18" i="1"/>
  <c r="J19" i="1"/>
  <c r="J20" i="1"/>
  <c r="J21" i="1"/>
  <c r="J22" i="1"/>
  <c r="J23" i="1"/>
  <c r="J24" i="1"/>
  <c r="J25" i="1"/>
  <c r="J26" i="1"/>
  <c r="J27" i="1"/>
  <c r="J28" i="1"/>
  <c r="J29" i="1"/>
  <c r="J3" i="1"/>
  <c r="C49" i="3"/>
  <c r="C39" i="3"/>
  <c r="C29" i="3"/>
  <c r="C23" i="3"/>
  <c r="F8" i="1"/>
  <c r="F3" i="1"/>
  <c r="F25" i="1"/>
  <c r="F14" i="1" s="1"/>
  <c r="F23" i="1" l="1"/>
  <c r="F5" i="1" s="1"/>
  <c r="F4" i="1" l="1"/>
  <c r="C6" i="4" l="1"/>
  <c r="H10" i="4"/>
  <c r="F18" i="1"/>
  <c r="F17" i="1"/>
  <c r="C25" i="3" l="1"/>
  <c r="C30" i="3" l="1"/>
  <c r="L4" i="1"/>
  <c r="L5" i="1"/>
  <c r="L6" i="1"/>
  <c r="L7" i="1"/>
  <c r="L8" i="1"/>
  <c r="L9" i="1"/>
  <c r="L10" i="1"/>
  <c r="L11" i="1"/>
  <c r="L12" i="1"/>
  <c r="L13" i="1"/>
  <c r="L14" i="1"/>
  <c r="L15" i="1"/>
  <c r="L16" i="1"/>
  <c r="L17" i="1"/>
  <c r="L18" i="1"/>
  <c r="L19" i="1"/>
  <c r="L20" i="1"/>
  <c r="L21" i="1"/>
  <c r="L22" i="1"/>
  <c r="L23" i="1"/>
  <c r="L24" i="1"/>
  <c r="L25" i="1"/>
  <c r="L26" i="1"/>
  <c r="L27" i="1"/>
  <c r="L28" i="1"/>
  <c r="L29" i="1"/>
  <c r="L3" i="1"/>
  <c r="K3" i="1"/>
  <c r="F9" i="1"/>
  <c r="F13" i="1" l="1"/>
  <c r="F29" i="1"/>
  <c r="F15" i="1" s="1"/>
  <c r="F10" i="1" l="1"/>
  <c r="F20" i="1" l="1"/>
  <c r="F24" i="1" l="1"/>
  <c r="F21" i="1" l="1"/>
  <c r="F16" i="1"/>
  <c r="F28" i="1" l="1"/>
  <c r="F26" i="1"/>
  <c r="F27" i="1"/>
  <c r="F7" i="1" l="1"/>
  <c r="K4" i="1" l="1"/>
  <c r="K5" i="1"/>
  <c r="K6" i="1"/>
  <c r="K7" i="1"/>
  <c r="K8" i="1"/>
  <c r="K9" i="1"/>
  <c r="K10" i="1"/>
  <c r="K11" i="1"/>
  <c r="K12" i="1"/>
  <c r="K13" i="1"/>
  <c r="K14" i="1"/>
  <c r="K15" i="1"/>
  <c r="K16" i="1"/>
  <c r="K17" i="1"/>
  <c r="K18" i="1"/>
  <c r="K19" i="1"/>
  <c r="K20" i="1"/>
  <c r="K21" i="1"/>
  <c r="K22" i="1"/>
  <c r="K23" i="1"/>
  <c r="K24" i="1"/>
  <c r="K25" i="1"/>
  <c r="K26" i="1"/>
  <c r="K27" i="1"/>
  <c r="K28" i="1"/>
  <c r="K29" i="1"/>
  <c r="B28" i="1" l="1"/>
  <c r="I3" i="1" l="1"/>
  <c r="M3" i="1" s="1"/>
  <c r="O3" i="1" s="1"/>
  <c r="F11" i="1"/>
  <c r="F19" i="1"/>
  <c r="P27" i="1" s="1"/>
  <c r="J7" i="4"/>
  <c r="E39" i="4" l="1"/>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I10" i="4"/>
  <c r="J12" i="4"/>
  <c r="J38" i="4" l="1"/>
  <c r="L8" i="4" s="1"/>
  <c r="L12" i="4" s="1"/>
  <c r="N12" i="4" s="1"/>
  <c r="I39" i="4"/>
  <c r="K8" i="4" l="1"/>
  <c r="K22" i="4" s="1"/>
  <c r="L23" i="4"/>
  <c r="N23" i="4" s="1"/>
  <c r="L31" i="4"/>
  <c r="N31" i="4" s="1"/>
  <c r="L17" i="4"/>
  <c r="N17" i="4" s="1"/>
  <c r="L22" i="4"/>
  <c r="N22" i="4" s="1"/>
  <c r="L29" i="4"/>
  <c r="N29" i="4" s="1"/>
  <c r="L15" i="4"/>
  <c r="N15" i="4" s="1"/>
  <c r="L27" i="4"/>
  <c r="N27" i="4" s="1"/>
  <c r="L13" i="4"/>
  <c r="N13" i="4" s="1"/>
  <c r="L26" i="4"/>
  <c r="N26" i="4" s="1"/>
  <c r="L33" i="4"/>
  <c r="N33" i="4" s="1"/>
  <c r="L28" i="4"/>
  <c r="N28" i="4" s="1"/>
  <c r="L24" i="4"/>
  <c r="N24" i="4" s="1"/>
  <c r="L11" i="4"/>
  <c r="N11" i="4" s="1"/>
  <c r="L34" i="4"/>
  <c r="N34" i="4" s="1"/>
  <c r="L18" i="4"/>
  <c r="N18" i="4" s="1"/>
  <c r="L19" i="4"/>
  <c r="N19" i="4" s="1"/>
  <c r="L25" i="4"/>
  <c r="N25" i="4" s="1"/>
  <c r="L36" i="4"/>
  <c r="N36" i="4" s="1"/>
  <c r="L20" i="4"/>
  <c r="N20" i="4" s="1"/>
  <c r="L35" i="4"/>
  <c r="N35" i="4" s="1"/>
  <c r="L30" i="4"/>
  <c r="N30" i="4" s="1"/>
  <c r="L14" i="4"/>
  <c r="N14" i="4" s="1"/>
  <c r="L10" i="4"/>
  <c r="N10" i="4" s="1"/>
  <c r="L21" i="4"/>
  <c r="N21" i="4" s="1"/>
  <c r="L32" i="4"/>
  <c r="N32" i="4" s="1"/>
  <c r="L16" i="4"/>
  <c r="N16" i="4" s="1"/>
  <c r="K10" i="4" l="1"/>
  <c r="K16" i="4"/>
  <c r="K18" i="4"/>
  <c r="K21" i="4"/>
  <c r="K14" i="4"/>
  <c r="K13" i="4"/>
  <c r="K24" i="4"/>
  <c r="K25" i="4"/>
  <c r="K23" i="4"/>
  <c r="K17" i="4"/>
  <c r="K12" i="4"/>
  <c r="K19" i="4"/>
  <c r="K26" i="4"/>
  <c r="K20" i="4"/>
  <c r="K11" i="4"/>
  <c r="K15" i="4"/>
  <c r="N38" i="4"/>
  <c r="L38" i="4"/>
  <c r="L39" i="4" s="1"/>
  <c r="I17" i="1"/>
  <c r="M17" i="1" s="1"/>
  <c r="I18" i="1"/>
  <c r="M18" i="1" s="1"/>
  <c r="I19" i="1"/>
  <c r="M19" i="1" s="1"/>
  <c r="I20" i="1"/>
  <c r="M20" i="1" s="1"/>
  <c r="I21" i="1"/>
  <c r="M21" i="1" s="1"/>
  <c r="I22" i="1"/>
  <c r="M22" i="1" s="1"/>
  <c r="I23" i="1"/>
  <c r="M23" i="1" s="1"/>
  <c r="I24" i="1"/>
  <c r="M24" i="1" s="1"/>
  <c r="I25" i="1"/>
  <c r="M25" i="1" s="1"/>
  <c r="I26" i="1"/>
  <c r="M26" i="1" s="1"/>
  <c r="I27" i="1"/>
  <c r="M27" i="1" s="1"/>
  <c r="I28" i="1"/>
  <c r="M28" i="1" s="1"/>
  <c r="I29" i="1"/>
  <c r="M29" i="1" s="1"/>
  <c r="I4" i="1"/>
  <c r="M4" i="1" s="1"/>
  <c r="I5" i="1"/>
  <c r="M5" i="1" s="1"/>
  <c r="I6" i="1"/>
  <c r="M6" i="1" s="1"/>
  <c r="I7" i="1"/>
  <c r="M7" i="1" s="1"/>
  <c r="I8" i="1"/>
  <c r="M8" i="1" s="1"/>
  <c r="I9" i="1"/>
  <c r="M9" i="1" s="1"/>
  <c r="I10" i="1"/>
  <c r="M10" i="1" s="1"/>
  <c r="I11" i="1"/>
  <c r="M11" i="1" s="1"/>
  <c r="I12" i="1"/>
  <c r="M12" i="1" s="1"/>
  <c r="I13" i="1"/>
  <c r="M13" i="1" s="1"/>
  <c r="I14" i="1"/>
  <c r="M14" i="1" s="1"/>
  <c r="I15" i="1"/>
  <c r="M15" i="1" s="1"/>
  <c r="I16" i="1"/>
  <c r="M16" i="1" s="1"/>
  <c r="K31" i="1"/>
  <c r="D31" i="1"/>
  <c r="G29" i="1"/>
  <c r="G28" i="1"/>
  <c r="G27" i="1"/>
  <c r="G26" i="1"/>
  <c r="G25" i="1"/>
  <c r="G24" i="1"/>
  <c r="G23" i="1"/>
  <c r="G22" i="1"/>
  <c r="G21" i="1"/>
  <c r="G20" i="1"/>
  <c r="G19" i="1"/>
  <c r="G18" i="1"/>
  <c r="G17" i="1"/>
  <c r="G16" i="1"/>
  <c r="G15" i="1"/>
  <c r="G14" i="1"/>
  <c r="G13" i="1"/>
  <c r="F12" i="1"/>
  <c r="G12" i="1" s="1"/>
  <c r="G11" i="1"/>
  <c r="G10" i="1"/>
  <c r="G9" i="1"/>
  <c r="G8" i="1"/>
  <c r="G7" i="1"/>
  <c r="G6" i="1"/>
  <c r="G5" i="1"/>
  <c r="G4" i="1"/>
  <c r="G3" i="1"/>
  <c r="H6" i="1" l="1"/>
  <c r="O13" i="4" s="1"/>
  <c r="H12" i="1"/>
  <c r="O19" i="4" s="1"/>
  <c r="H24" i="1"/>
  <c r="O31" i="4" s="1"/>
  <c r="H7" i="1"/>
  <c r="O14" i="4" s="1"/>
  <c r="H13" i="1"/>
  <c r="O20" i="4" s="1"/>
  <c r="H17" i="1"/>
  <c r="O24" i="4" s="1"/>
  <c r="H21" i="1"/>
  <c r="O28" i="4" s="1"/>
  <c r="H25" i="1"/>
  <c r="O32" i="4" s="1"/>
  <c r="H4" i="1"/>
  <c r="O11" i="4" s="1"/>
  <c r="H8" i="1"/>
  <c r="O15" i="4" s="1"/>
  <c r="H11" i="1"/>
  <c r="O18" i="4" s="1"/>
  <c r="H14" i="1"/>
  <c r="O21" i="4" s="1"/>
  <c r="H18" i="1"/>
  <c r="O25" i="4" s="1"/>
  <c r="H26" i="1"/>
  <c r="O33" i="4" s="1"/>
  <c r="H9" i="1"/>
  <c r="O16" i="4" s="1"/>
  <c r="H16" i="1"/>
  <c r="O23" i="4" s="1"/>
  <c r="H28" i="1"/>
  <c r="O35" i="4" s="1"/>
  <c r="H3" i="1"/>
  <c r="O17" i="4"/>
  <c r="H29" i="1"/>
  <c r="O36" i="4" s="1"/>
  <c r="H5" i="1"/>
  <c r="O12" i="4" s="1"/>
  <c r="H15" i="1"/>
  <c r="O22" i="4" s="1"/>
  <c r="H19" i="1"/>
  <c r="O26" i="4" s="1"/>
  <c r="H23" i="1"/>
  <c r="O30" i="4" s="1"/>
  <c r="H27" i="1"/>
  <c r="O34" i="4" s="1"/>
  <c r="H22" i="1"/>
  <c r="O29" i="4" s="1"/>
  <c r="O27" i="4"/>
  <c r="I31" i="1"/>
  <c r="F31" i="1"/>
  <c r="C58" i="3"/>
  <c r="M31" i="1" l="1"/>
  <c r="C50" i="3"/>
  <c r="C53" i="3" s="1"/>
  <c r="O10" i="4" l="1"/>
  <c r="C61" i="3"/>
  <c r="C41" i="3" l="1"/>
</calcChain>
</file>

<file path=xl/sharedStrings.xml><?xml version="1.0" encoding="utf-8"?>
<sst xmlns="http://schemas.openxmlformats.org/spreadsheetml/2006/main" count="195" uniqueCount="126">
  <si>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</si>
  <si>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</si>
  <si>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</si>
  <si>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</si>
  <si>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</si>
  <si>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</si>
  <si>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</si>
  <si>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</si>
  <si>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</si>
  <si>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</si>
  <si>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</si>
  <si>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</si>
  <si>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</si>
  <si>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</si>
  <si>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</si>
  <si>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</si>
  <si>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</si>
  <si>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</si>
  <si>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</si>
  <si>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</si>
  <si>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</si>
  <si>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</si>
  <si>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</si>
  <si>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</si>
  <si>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</si>
  <si>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</si>
  <si>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</si>
  <si>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</si>
  <si>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</si>
  <si>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</si>
  <si>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</si>
  <si>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</si>
  <si>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</si>
  <si>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</si>
  <si>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</si>
  <si>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</si>
  <si>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</si>
  <si>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</si>
  <si>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</si>
  <si>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</si>
  <si>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</si>
  <si>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</si>
  <si>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</si>
  <si>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</si>
  <si>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</si>
  <si>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</si>
  <si>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</si>
  <si>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</si>
  <si>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</si>
  <si>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</si>
  <si>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</si>
  <si>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</si>
  <si>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</si>
  <si>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</si>
  <si>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</si>
  <si>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</si>
  <si>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</si>
  <si>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</si>
  <si>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</si>
  <si>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</si>
  <si>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</si>
  <si>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</si>
  <si>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</si>
  <si>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</si>
  <si>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</si>
  <si>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</si>
  <si>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</si>
  <si>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</si>
  <si>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</si>
  <si>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</si>
  <si>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</si>
  <si>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</si>
  <si>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</si>
  <si>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</si>
  <si>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</si>
  <si>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</si>
  <si>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</si>
  <si>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</si>
  <si>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</si>
  <si>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</si>
  <si>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</si>
  <si>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</si>
  <si>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</si>
  <si>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</si>
  <si>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</si>
  <si>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</si>
  <si>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</si>
  <si>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4 Y 5</t>
  </si>
  <si>
    <t>NOTA:</t>
  </si>
  <si>
    <t>UNIDAD  FUNCIONAL</t>
  </si>
  <si>
    <t>Gabriel</t>
  </si>
  <si>
    <t xml:space="preserve">PREVISION ORDINARIA </t>
  </si>
  <si>
    <t>PUNITORIOS 4%</t>
  </si>
  <si>
    <t>Se abona hasta el</t>
  </si>
  <si>
    <t>Leandro</t>
  </si>
  <si>
    <t xml:space="preserve">Leonor </t>
  </si>
  <si>
    <t>INGRESOS CORRESPONDIENTES AL PAGO DE EXPENSAS</t>
  </si>
  <si>
    <t>Sueldo personal de limpieza y maestranza</t>
  </si>
  <si>
    <t>Seguro de vida Sra encargada</t>
  </si>
  <si>
    <t>Christian / Vanina</t>
  </si>
  <si>
    <t>CAJA ANTERIOR</t>
  </si>
  <si>
    <t>Brian</t>
  </si>
  <si>
    <t>Gastos extraordinarios:</t>
  </si>
  <si>
    <t>Expensas ordinarias:</t>
  </si>
  <si>
    <t>ORDINARIAS</t>
  </si>
  <si>
    <t>Seguro de consorcio obligatorio -  federacion patronal - poliza nro. 2027630</t>
  </si>
  <si>
    <t>Anabella</t>
  </si>
  <si>
    <t xml:space="preserve">CAJA NO REAL, YA QUE DE ESTE FONDO SE PAGA EDESUR DE LAS UNIDADES
</t>
  </si>
  <si>
    <t>ARBA</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</si>
  <si>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</si>
  <si>
    <t>PREVISION EXTRAORDINARIA</t>
  </si>
  <si>
    <t>LAS LINEAS GRISES CORRESPONDEN A PLANES DE PAGO VIGENTES -  RESTA ABONAR 6 CUOTAS DE $107.386,20 + LAS EXPENSAS AL DIA - PARTE DE LA DEUDA CANCELA EDESUR Y EXPENSAS CON TASA DE INTERES MENSUAL</t>
  </si>
  <si>
    <t>Fumigacion</t>
  </si>
  <si>
    <t>EXTRAORD.</t>
  </si>
  <si>
    <t>ARBA:</t>
  </si>
  <si>
    <t>Subidos en 0CT 2025</t>
  </si>
  <si>
    <t>PUNITORIOS MAL COBRADOS</t>
  </si>
  <si>
    <t>Vto. 15/12</t>
  </si>
  <si>
    <t>LIQUIDACIÓN EXPENSAS NOVIEMBRE 2025</t>
  </si>
  <si>
    <t>EGRESOS DEL MES DE NOVIEMBRE</t>
  </si>
  <si>
    <t xml:space="preserve">Cuota 1 revaluo ARBA </t>
  </si>
  <si>
    <t>Sr. Leonardo Balcazza - Mano de obra y materiales - Arreglo medianera</t>
  </si>
  <si>
    <t>TSG MES 10</t>
  </si>
  <si>
    <t>CUOTA PLAN DE PAGOS (4/6)</t>
  </si>
  <si>
    <t>EDESUR</t>
  </si>
  <si>
    <t>SIN EDESUR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</si>
</sst>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0.0000"/>
    <numFmt numFmtId="168" formatCode="&quot;$&quot;\ #,##0.00"/>
    <numFmt numFmtId="169" formatCode="0.0"/>
    <numFmt numFmtId="170" formatCode="_-&quot;$&quot;\ * #,##0_-;\-&quot;$&quot;\ * #,##0_-;_-&quot;$&quot;\ * &quot;-&quot;??_-;_-@"/>
    <numFmt numFmtId="171" formatCode="_-&quot;$&quot;\ * #,##0.00_-;\-&quot;$&quot;\ * #,##0.00_-;_-&quot;$&quot;\ * &quot;-&quot;??_-;_-@"/>
    <numFmt numFmtId="172" formatCode="_-* #,##0_-;\-* #,##0_-;_-* &quot;-&quot;??_-;_-@_-"/>
    <numFmt numFmtId="173" formatCode="_-* #,##0.000000_-;\-* #,##0.000000_-;_-* &quot;-&quot;??_-;_-@_-"/>
    <numFmt numFmtId="174" formatCode="_-[$$-2C0A]\ * #,##0.00_-;\-[$$-2C0A]\ * #,##0.00_-;_-[$$-2C0A]\ * &quot;-&quot;??_-;_-@_-"/>
  </numFmts>
  <fonts count="33"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sz val="8"/>
      <name val="Calibri"/>
      <family val="2"/>
      <scheme val="minor"/>
    </font>
    <font>
      <b/>
      <sz val="12"/>
      <color theme="1"/>
      <name val="Calibri"/>
      <family val="2"/>
      <scheme val="minor"/>
    </font>
    <font>
      <b/>
      <sz val="10"/>
      <name val="Calibri"/>
      <family val="2"/>
    </font>
  </fonts>
  <fills count="14">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0" tint="-0.249977111117893"/>
        <bgColor indexed="64"/>
      </patternFill>
    </fill>
    <fill>
      <patternFill patternType="solid">
        <fgColor rgb="FF09FF09"/>
        <bgColor indexed="64"/>
      </patternFill>
    </fill>
    <fill>
      <patternFill patternType="solid">
        <fgColor theme="9"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0" fontId="3" fillId="0" borderId="0"/>
    <xf numFmtId="43" fontId="3" fillId="0" borderId="0" applyFont="0" applyFill="0" applyBorder="0" applyAlignment="0" applyProtection="0"/>
  </cellStyleXfs>
  <cellXfs count="240">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4"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4"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4" fontId="8" fillId="3" borderId="7" xfId="2" applyFont="1" applyFill="1" applyBorder="1"/>
    <xf numFmtId="4" fontId="1" fillId="0" borderId="0" xfId="0" applyNumberFormat="1" applyFont="1"/>
    <xf numFmtId="166" fontId="0" fillId="0" borderId="0" xfId="0" applyNumberFormat="1"/>
    <xf numFmtId="165" fontId="0" fillId="0" borderId="0" xfId="0" applyNumberFormat="1"/>
    <xf numFmtId="164"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4" fontId="6" fillId="0" borderId="1" xfId="2" applyFont="1" applyBorder="1"/>
    <xf numFmtId="0" fontId="8" fillId="3" borderId="1" xfId="0" applyFont="1" applyFill="1" applyBorder="1"/>
    <xf numFmtId="164" fontId="14" fillId="0" borderId="1" xfId="2" applyFont="1" applyBorder="1"/>
    <xf numFmtId="164"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3" borderId="1" xfId="0" applyNumberFormat="1" applyFont="1" applyFill="1" applyBorder="1"/>
    <xf numFmtId="4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7"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8" fontId="18" fillId="0" borderId="1" xfId="0" applyNumberFormat="1" applyFont="1" applyBorder="1" applyAlignment="1">
      <alignment horizontal="center" vertical="center" wrapText="1"/>
    </xf>
    <xf numFmtId="168"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4" fontId="19" fillId="0" borderId="4" xfId="0" applyNumberFormat="1" applyFont="1" applyBorder="1"/>
    <xf numFmtId="164"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5" borderId="1" xfId="0" applyFont="1" applyFill="1" applyBorder="1" applyAlignment="1">
      <alignment horizontal="left"/>
    </xf>
    <xf numFmtId="0" fontId="19" fillId="5" borderId="1" xfId="0" applyFont="1" applyFill="1" applyBorder="1"/>
    <xf numFmtId="164"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7" fontId="19" fillId="0" borderId="6" xfId="0" applyNumberFormat="1" applyFont="1" applyBorder="1" applyAlignment="1">
      <alignment horizontal="center"/>
    </xf>
    <xf numFmtId="164" fontId="19" fillId="0" borderId="6" xfId="0" applyNumberFormat="1" applyFont="1" applyBorder="1"/>
    <xf numFmtId="164" fontId="19" fillId="0" borderId="0" xfId="0" applyNumberFormat="1" applyFont="1"/>
    <xf numFmtId="169" fontId="18" fillId="0" borderId="5" xfId="0" applyNumberFormat="1" applyFont="1" applyBorder="1"/>
    <xf numFmtId="169" fontId="18" fillId="0" borderId="6" xfId="0" applyNumberFormat="1" applyFont="1" applyBorder="1"/>
    <xf numFmtId="169" fontId="17" fillId="0" borderId="6" xfId="0" applyNumberFormat="1" applyFont="1" applyBorder="1"/>
    <xf numFmtId="164"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0"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0" fontId="23" fillId="0" borderId="13" xfId="0" applyNumberFormat="1" applyFont="1" applyBorder="1"/>
    <xf numFmtId="0" fontId="23" fillId="0" borderId="14" xfId="0" applyFont="1" applyBorder="1"/>
    <xf numFmtId="171" fontId="16" fillId="0" borderId="13" xfId="0" applyNumberFormat="1" applyFont="1" applyBorder="1"/>
    <xf numFmtId="44" fontId="23"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0" fontId="23" fillId="0" borderId="9" xfId="0" applyNumberFormat="1" applyFont="1" applyBorder="1"/>
    <xf numFmtId="171" fontId="23" fillId="0" borderId="9" xfId="0" applyNumberFormat="1" applyFont="1" applyBorder="1"/>
    <xf numFmtId="0" fontId="24" fillId="9" borderId="0" xfId="0" applyFont="1" applyFill="1" applyAlignment="1">
      <alignment horizontal="left" vertical="center" wrapText="1"/>
    </xf>
    <xf numFmtId="171" fontId="0" fillId="0" borderId="0" xfId="0" applyNumberFormat="1"/>
    <xf numFmtId="170"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0" fontId="25" fillId="5" borderId="15" xfId="0" applyNumberFormat="1" applyFont="1" applyFill="1" applyBorder="1"/>
    <xf numFmtId="171" fontId="25" fillId="5" borderId="16" xfId="0" applyNumberFormat="1" applyFont="1" applyFill="1" applyBorder="1"/>
    <xf numFmtId="171" fontId="25" fillId="5" borderId="17"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0" fontId="25" fillId="0" borderId="15" xfId="0" applyNumberFormat="1" applyFont="1" applyBorder="1"/>
    <xf numFmtId="171" fontId="25" fillId="0" borderId="15" xfId="0" applyNumberFormat="1" applyFont="1" applyBorder="1"/>
    <xf numFmtId="171" fontId="25" fillId="0" borderId="16" xfId="0" applyNumberFormat="1" applyFont="1" applyBorder="1"/>
    <xf numFmtId="171" fontId="25" fillId="0" borderId="17" xfId="0" applyNumberFormat="1" applyFont="1" applyBorder="1"/>
    <xf numFmtId="170" fontId="25" fillId="0" borderId="18" xfId="0" applyNumberFormat="1" applyFont="1" applyBorder="1"/>
    <xf numFmtId="0" fontId="25" fillId="5" borderId="15" xfId="0" applyFont="1" applyFill="1" applyBorder="1" applyAlignment="1">
      <alignment horizontal="left" vertical="center"/>
    </xf>
    <xf numFmtId="171" fontId="25" fillId="5" borderId="1" xfId="0" applyNumberFormat="1" applyFont="1" applyFill="1" applyBorder="1"/>
    <xf numFmtId="171"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0"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7" xfId="0" applyFont="1" applyFill="1" applyBorder="1" applyAlignment="1">
      <alignment horizontal="center" vertical="center" wrapText="1"/>
    </xf>
    <xf numFmtId="0" fontId="27" fillId="7" borderId="18" xfId="0" applyFont="1" applyFill="1" applyBorder="1" applyAlignment="1">
      <alignment horizontal="center" vertical="center" wrapText="1"/>
    </xf>
    <xf numFmtId="171" fontId="23" fillId="0" borderId="0" xfId="0" applyNumberFormat="1" applyFont="1"/>
    <xf numFmtId="171" fontId="28" fillId="5" borderId="17" xfId="0" applyNumberFormat="1" applyFont="1" applyFill="1" applyBorder="1"/>
    <xf numFmtId="173" fontId="25" fillId="0" borderId="15" xfId="0" applyNumberFormat="1" applyFont="1" applyBorder="1"/>
    <xf numFmtId="44" fontId="20" fillId="5" borderId="1" xfId="2" applyNumberFormat="1" applyFont="1" applyFill="1" applyBorder="1"/>
    <xf numFmtId="0" fontId="25" fillId="0" borderId="15" xfId="0" applyFont="1" applyBorder="1" applyAlignment="1">
      <alignment vertical="center"/>
    </xf>
    <xf numFmtId="171" fontId="25" fillId="0" borderId="21" xfId="0" applyNumberFormat="1" applyFont="1" applyBorder="1"/>
    <xf numFmtId="171" fontId="25" fillId="0" borderId="23" xfId="0" applyNumberFormat="1" applyFont="1" applyBorder="1"/>
    <xf numFmtId="171" fontId="25" fillId="0" borderId="9" xfId="0" applyNumberFormat="1" applyFont="1" applyBorder="1"/>
    <xf numFmtId="172" fontId="23" fillId="0" borderId="9" xfId="0" applyNumberFormat="1" applyFont="1" applyBorder="1"/>
    <xf numFmtId="166" fontId="17" fillId="0" borderId="7" xfId="2" applyNumberFormat="1" applyFont="1" applyFill="1" applyBorder="1" applyAlignment="1"/>
    <xf numFmtId="166" fontId="19" fillId="0" borderId="7" xfId="2" applyNumberFormat="1" applyFont="1" applyFill="1" applyBorder="1" applyAlignment="1"/>
    <xf numFmtId="2" fontId="17" fillId="0" borderId="1" xfId="0" applyNumberFormat="1" applyFont="1" applyBorder="1" applyAlignment="1">
      <alignment horizontal="center" vertical="center" wrapText="1"/>
    </xf>
    <xf numFmtId="0" fontId="29" fillId="0" borderId="0" xfId="0" applyFont="1"/>
    <xf numFmtId="0" fontId="19" fillId="6" borderId="1" xfId="0" applyFont="1" applyFill="1" applyBorder="1" applyAlignment="1">
      <alignment horizontal="left"/>
    </xf>
    <xf numFmtId="0" fontId="19" fillId="6" borderId="1" xfId="0" applyFont="1" applyFill="1" applyBorder="1" applyAlignment="1">
      <alignment horizontal="centerContinuous"/>
    </xf>
    <xf numFmtId="0" fontId="19" fillId="6" borderId="1" xfId="0" applyFont="1" applyFill="1" applyBorder="1"/>
    <xf numFmtId="2" fontId="19" fillId="6" borderId="1" xfId="0" applyNumberFormat="1" applyFont="1" applyFill="1" applyBorder="1"/>
    <xf numFmtId="44" fontId="20" fillId="6" borderId="1" xfId="2" applyNumberFormat="1" applyFont="1" applyFill="1" applyBorder="1"/>
    <xf numFmtId="164" fontId="19" fillId="6" borderId="4" xfId="0" applyNumberFormat="1" applyFont="1" applyFill="1" applyBorder="1"/>
    <xf numFmtId="164" fontId="19" fillId="6" borderId="1" xfId="0" applyNumberFormat="1" applyFont="1" applyFill="1" applyBorder="1"/>
    <xf numFmtId="0" fontId="25" fillId="6" borderId="15" xfId="0" applyFont="1" applyFill="1" applyBorder="1"/>
    <xf numFmtId="170" fontId="25" fillId="6" borderId="15" xfId="0" applyNumberFormat="1" applyFont="1" applyFill="1" applyBorder="1"/>
    <xf numFmtId="171" fontId="25" fillId="6" borderId="17" xfId="0" applyNumberFormat="1" applyFont="1" applyFill="1" applyBorder="1"/>
    <xf numFmtId="171" fontId="28" fillId="6" borderId="17" xfId="0" applyNumberFormat="1" applyFont="1" applyFill="1" applyBorder="1"/>
    <xf numFmtId="2" fontId="25" fillId="6" borderId="18" xfId="0" applyNumberFormat="1" applyFont="1" applyFill="1" applyBorder="1"/>
    <xf numFmtId="164" fontId="0" fillId="0" borderId="0" xfId="2" applyFont="1"/>
    <xf numFmtId="0" fontId="1" fillId="6" borderId="0" xfId="0" applyFont="1" applyFill="1"/>
    <xf numFmtId="44" fontId="1" fillId="6" borderId="0" xfId="0" applyNumberFormat="1" applyFont="1" applyFill="1"/>
    <xf numFmtId="164" fontId="9" fillId="0" borderId="0" xfId="2" applyFont="1" applyBorder="1"/>
    <xf numFmtId="0" fontId="8" fillId="3" borderId="3" xfId="0" applyFont="1" applyFill="1" applyBorder="1"/>
    <xf numFmtId="0" fontId="11" fillId="3" borderId="3" xfId="0" applyFont="1" applyFill="1" applyBorder="1"/>
    <xf numFmtId="164" fontId="11" fillId="3" borderId="3" xfId="2" applyFont="1" applyFill="1" applyBorder="1"/>
    <xf numFmtId="0" fontId="25" fillId="6" borderId="15" xfId="0" applyFont="1" applyFill="1" applyBorder="1" applyAlignment="1">
      <alignment vertical="center"/>
    </xf>
    <xf numFmtId="171" fontId="25" fillId="6" borderId="15" xfId="0" applyNumberFormat="1" applyFont="1" applyFill="1" applyBorder="1"/>
    <xf numFmtId="171" fontId="25" fillId="6" borderId="21" xfId="0" applyNumberFormat="1" applyFont="1" applyFill="1" applyBorder="1"/>
    <xf numFmtId="0" fontId="23" fillId="0" borderId="1" xfId="0" applyFont="1" applyBorder="1"/>
    <xf numFmtId="170"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1" fontId="25" fillId="5" borderId="8" xfId="0" applyNumberFormat="1" applyFont="1" applyFill="1" applyBorder="1" applyAlignment="1">
      <alignment horizontal="right" vertical="center"/>
    </xf>
    <xf numFmtId="171" fontId="25" fillId="5" borderId="9"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1" fontId="25" fillId="5" borderId="15" xfId="0" applyNumberFormat="1" applyFont="1" applyFill="1" applyBorder="1"/>
    <xf numFmtId="171" fontId="25" fillId="5" borderId="21" xfId="0" applyNumberFormat="1" applyFont="1" applyFill="1" applyBorder="1"/>
    <xf numFmtId="171" fontId="25" fillId="5" borderId="22" xfId="0" applyNumberFormat="1" applyFont="1" applyFill="1" applyBorder="1"/>
    <xf numFmtId="0" fontId="1" fillId="10" borderId="0" xfId="0" applyFont="1" applyFill="1"/>
    <xf numFmtId="174" fontId="9" fillId="10" borderId="0" xfId="0" applyNumberFormat="1" applyFont="1" applyFill="1"/>
    <xf numFmtId="43" fontId="0" fillId="0" borderId="0" xfId="0" applyNumberFormat="1"/>
    <xf numFmtId="2" fontId="19" fillId="5" borderId="1" xfId="0" applyNumberFormat="1" applyFont="1" applyFill="1" applyBorder="1"/>
    <xf numFmtId="0" fontId="19" fillId="11" borderId="1" xfId="0" applyFont="1" applyFill="1" applyBorder="1" applyAlignment="1">
      <alignment horizontal="left" vertical="center"/>
    </xf>
    <xf numFmtId="0" fontId="19" fillId="11" borderId="1" xfId="0" applyFont="1" applyFill="1" applyBorder="1" applyAlignment="1">
      <alignment horizontal="centerContinuous" vertical="center" wrapText="1"/>
    </xf>
    <xf numFmtId="0" fontId="19" fillId="11" borderId="1" xfId="0" applyFont="1" applyFill="1" applyBorder="1"/>
    <xf numFmtId="2" fontId="19" fillId="11" borderId="1" xfId="0" applyNumberFormat="1" applyFont="1" applyFill="1" applyBorder="1"/>
    <xf numFmtId="44" fontId="20" fillId="11" borderId="1" xfId="2" applyNumberFormat="1" applyFont="1" applyFill="1" applyBorder="1"/>
    <xf numFmtId="164" fontId="19" fillId="11" borderId="4" xfId="0" applyNumberFormat="1" applyFont="1" applyFill="1" applyBorder="1"/>
    <xf numFmtId="164" fontId="19" fillId="11" borderId="1" xfId="0" applyNumberFormat="1" applyFont="1" applyFill="1" applyBorder="1"/>
    <xf numFmtId="0" fontId="19" fillId="11" borderId="1" xfId="0" applyFont="1" applyFill="1" applyBorder="1" applyAlignment="1">
      <alignment horizontal="left"/>
    </xf>
    <xf numFmtId="0" fontId="25" fillId="11" borderId="15" xfId="0" applyFont="1" applyFill="1" applyBorder="1" applyAlignment="1">
      <alignment horizontal="left" vertical="center"/>
    </xf>
    <xf numFmtId="0" fontId="26" fillId="11" borderId="1" xfId="3" applyFont="1" applyFill="1" applyBorder="1"/>
    <xf numFmtId="43" fontId="26" fillId="11" borderId="1" xfId="4" applyFont="1" applyFill="1" applyBorder="1"/>
    <xf numFmtId="0" fontId="25" fillId="11" borderId="15" xfId="0" applyFont="1" applyFill="1" applyBorder="1"/>
    <xf numFmtId="0" fontId="19" fillId="11" borderId="15" xfId="0" applyFont="1" applyFill="1" applyBorder="1"/>
    <xf numFmtId="170" fontId="25" fillId="11" borderId="15" xfId="0" applyNumberFormat="1" applyFont="1" applyFill="1" applyBorder="1"/>
    <xf numFmtId="171" fontId="25" fillId="11" borderId="16" xfId="0" applyNumberFormat="1" applyFont="1" applyFill="1" applyBorder="1"/>
    <xf numFmtId="171" fontId="25" fillId="11" borderId="1" xfId="0" applyNumberFormat="1" applyFont="1" applyFill="1" applyBorder="1"/>
    <xf numFmtId="171" fontId="25" fillId="11" borderId="17" xfId="0" applyNumberFormat="1" applyFont="1" applyFill="1" applyBorder="1"/>
    <xf numFmtId="171" fontId="28" fillId="11" borderId="17" xfId="0" applyNumberFormat="1" applyFont="1" applyFill="1" applyBorder="1"/>
    <xf numFmtId="2" fontId="25" fillId="11" borderId="18" xfId="0" applyNumberFormat="1" applyFont="1" applyFill="1" applyBorder="1"/>
    <xf numFmtId="0" fontId="25" fillId="11" borderId="15" xfId="0" applyFont="1" applyFill="1" applyBorder="1" applyAlignment="1">
      <alignment vertical="center"/>
    </xf>
    <xf numFmtId="0" fontId="26" fillId="11" borderId="3" xfId="3" applyFont="1" applyFill="1" applyBorder="1"/>
    <xf numFmtId="43" fontId="26" fillId="11" borderId="3" xfId="4" applyFont="1" applyFill="1" applyBorder="1"/>
    <xf numFmtId="0" fontId="19" fillId="5" borderId="1" xfId="0" applyFont="1" applyFill="1" applyBorder="1" applyAlignment="1">
      <alignment horizontal="centerContinuous"/>
    </xf>
    <xf numFmtId="2" fontId="18" fillId="0" borderId="1" xfId="0" applyNumberFormat="1" applyFont="1" applyBorder="1" applyAlignment="1">
      <alignment horizontal="center" vertical="center" wrapText="1"/>
    </xf>
    <xf numFmtId="0" fontId="1" fillId="0" borderId="1" xfId="0" applyFont="1" applyBorder="1"/>
    <xf numFmtId="164" fontId="9" fillId="0" borderId="1" xfId="2" applyFont="1" applyBorder="1"/>
    <xf numFmtId="4" fontId="1" fillId="0" borderId="1" xfId="0" applyNumberFormat="1" applyFont="1" applyBorder="1"/>
    <xf numFmtId="171" fontId="32" fillId="5" borderId="1" xfId="0" applyNumberFormat="1" applyFont="1" applyFill="1" applyBorder="1"/>
    <xf numFmtId="0" fontId="0" fillId="13" borderId="0" xfId="0" applyFill="1"/>
    <xf numFmtId="0" fontId="19" fillId="5" borderId="1" xfId="0" applyFont="1" applyFill="1" applyBorder="1" applyAlignment="1">
      <alignment horizontal="left" vertical="center" wrapText="1"/>
    </xf>
    <xf numFmtId="0" fontId="19" fillId="5" borderId="1" xfId="0" applyFont="1" applyFill="1" applyBorder="1" applyAlignment="1">
      <alignment horizontal="center" vertical="center" wrapText="1"/>
    </xf>
    <xf numFmtId="0" fontId="0" fillId="5" borderId="0" xfId="0" applyFill="1"/>
    <xf numFmtId="44" fontId="0" fillId="5" borderId="0" xfId="0" applyNumberFormat="1" applyFill="1"/>
    <xf numFmtId="0" fontId="25" fillId="6" borderId="15" xfId="0" applyFont="1" applyFill="1" applyBorder="1" applyAlignment="1">
      <alignment horizontal="left" vertical="center"/>
    </xf>
    <xf numFmtId="0" fontId="26" fillId="6" borderId="1" xfId="3" applyFont="1" applyFill="1" applyBorder="1"/>
    <xf numFmtId="43" fontId="26" fillId="6" borderId="1" xfId="4" applyFont="1" applyFill="1" applyBorder="1"/>
    <xf numFmtId="0" fontId="19" fillId="6" borderId="15" xfId="0" applyFont="1" applyFill="1" applyBorder="1"/>
    <xf numFmtId="171" fontId="25" fillId="6" borderId="16" xfId="0" applyNumberFormat="1" applyFont="1" applyFill="1" applyBorder="1"/>
    <xf numFmtId="171" fontId="25" fillId="6" borderId="1" xfId="0" applyNumberFormat="1" applyFont="1" applyFill="1" applyBorder="1"/>
    <xf numFmtId="0" fontId="23" fillId="6" borderId="15" xfId="0" applyFont="1" applyFill="1" applyBorder="1" applyAlignment="1">
      <alignment horizontal="center"/>
    </xf>
    <xf numFmtId="0" fontId="24" fillId="0" borderId="1" xfId="0" applyFont="1" applyBorder="1"/>
    <xf numFmtId="44" fontId="6" fillId="5" borderId="4" xfId="2" applyNumberFormat="1" applyFont="1" applyFill="1" applyBorder="1"/>
    <xf numFmtId="44" fontId="6" fillId="11" borderId="4" xfId="2" applyNumberFormat="1" applyFont="1" applyFill="1" applyBorder="1"/>
    <xf numFmtId="44" fontId="6" fillId="6" borderId="4" xfId="2" applyNumberFormat="1" applyFont="1" applyFill="1" applyBorder="1"/>
    <xf numFmtId="4" fontId="0" fillId="5" borderId="1" xfId="0" applyNumberFormat="1" applyFill="1" applyBorder="1"/>
    <xf numFmtId="4" fontId="0" fillId="5" borderId="1" xfId="0" applyNumberFormat="1" applyFill="1" applyBorder="1" applyAlignment="1">
      <alignment horizontal="right"/>
    </xf>
    <xf numFmtId="164" fontId="1" fillId="2" borderId="1" xfId="2" applyFont="1" applyFill="1" applyBorder="1"/>
    <xf numFmtId="4" fontId="0" fillId="0" borderId="1" xfId="0" applyNumberFormat="1" applyBorder="1"/>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31" fillId="6" borderId="0" xfId="0" applyFont="1" applyFill="1" applyAlignment="1">
      <alignment horizontal="center" wrapText="1"/>
    </xf>
    <xf numFmtId="0" fontId="31" fillId="6" borderId="0" xfId="0" applyFont="1" applyFill="1" applyAlignment="1">
      <alignment horizontal="center"/>
    </xf>
    <xf numFmtId="0" fontId="1" fillId="12" borderId="0" xfId="0" applyFont="1" applyFill="1" applyAlignment="1">
      <alignment horizontal="left" vertical="center" wrapText="1"/>
    </xf>
    <xf numFmtId="0" fontId="1" fillId="12" borderId="0" xfId="0" applyFont="1" applyFill="1" applyAlignment="1">
      <alignment horizontal="left" vertical="center"/>
    </xf>
    <xf numFmtId="164" fontId="0" fillId="0" borderId="2" xfId="2" applyFont="1" applyBorder="1" applyAlignment="1">
      <alignment horizontal="center"/>
    </xf>
    <xf numFmtId="0" fontId="1" fillId="11" borderId="0" xfId="0" applyFont="1" applyFill="1" applyAlignment="1">
      <alignment horizontal="center" vertical="center" wrapText="1"/>
    </xf>
    <xf numFmtId="174" fontId="0" fillId="0" borderId="2" xfId="0" applyNumberFormat="1" applyBorder="1" applyAlignment="1">
      <alignment horizontal="center"/>
    </xf>
    <xf numFmtId="0" fontId="0" fillId="0" borderId="2" xfId="0" applyBorder="1" applyAlignment="1">
      <alignment horizontal="left"/>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44" fontId="23" fillId="0" borderId="13" xfId="0" applyNumberFormat="1" applyFont="1" applyBorder="1" applyAlignment="1">
      <alignment horizontal="center"/>
    </xf>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390525</xdr:colOff>
      <xdr:row>1</xdr:row>
      <xdr:rowOff>76200</xdr:rowOff>
    </xdr:from>
    <xdr:ext cx="2333625" cy="1028699"/>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1400175" y="342900"/>
          <a:ext cx="2333625" cy="1028699"/>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5"/>
  <sheetViews>
    <sheetView tabSelected="1" topLeftCell="A24" workbookViewId="0">
      <selection activeCell="C30" sqref="C30"/>
    </sheetView>
  </sheetViews>
  <sheetFormatPr baseColWidth="10" defaultRowHeight="15" x14ac:dyDescent="0.25"/>
  <cols>
    <col min="1" max="1" width="38" customWidth="1"/>
    <col min="2" max="2" width="40.28515625" customWidth="1"/>
    <col min="3" max="3" width="16.42578125" customWidth="1"/>
    <col min="4" max="4" width="12.140625" bestFit="1" customWidth="1"/>
    <col min="6" max="6" width="13" bestFit="1" customWidth="1"/>
  </cols>
  <sheetData>
    <row r="2" spans="1:3" x14ac:dyDescent="0.25">
      <c r="B2" t="s">
        <v>9</v>
      </c>
      <c r="C2" t="s">
        <v>21</v>
      </c>
    </row>
    <row r="3" spans="1:3" x14ac:dyDescent="0.25">
      <c r="B3" t="s">
        <v>3</v>
      </c>
    </row>
    <row r="4" spans="1:3" x14ac:dyDescent="0.25">
      <c r="B4" s="3" t="s">
        <v>2</v>
      </c>
    </row>
    <row r="5" spans="1:3" ht="8.25" customHeight="1" x14ac:dyDescent="0.25">
      <c r="A5" s="2"/>
      <c r="B5" s="15"/>
      <c r="C5" s="2"/>
    </row>
    <row r="7" spans="1:3" x14ac:dyDescent="0.25">
      <c r="A7" s="16" t="s">
        <v>24</v>
      </c>
      <c r="B7" s="17" t="s">
        <v>118</v>
      </c>
      <c r="C7" s="17" t="s">
        <v>117</v>
      </c>
    </row>
    <row r="8" spans="1:3" x14ac:dyDescent="0.25">
      <c r="A8" s="2"/>
      <c r="B8" s="2"/>
      <c r="C8" s="2"/>
    </row>
    <row r="10" spans="1:3" x14ac:dyDescent="0.25">
      <c r="A10" s="7" t="s">
        <v>18</v>
      </c>
    </row>
    <row r="11" spans="1:3" x14ac:dyDescent="0.25">
      <c r="A11" t="s">
        <v>13</v>
      </c>
    </row>
    <row r="12" spans="1:3" x14ac:dyDescent="0.25">
      <c r="A12" t="s">
        <v>14</v>
      </c>
    </row>
    <row r="13" spans="1:3" x14ac:dyDescent="0.25">
      <c r="A13" t="s">
        <v>16</v>
      </c>
    </row>
    <row r="15" spans="1:3" x14ac:dyDescent="0.25">
      <c r="A15" s="13" t="s">
        <v>5</v>
      </c>
    </row>
    <row r="16" spans="1:3" x14ac:dyDescent="0.25">
      <c r="A16" s="35" t="s">
        <v>4</v>
      </c>
      <c r="B16" s="28"/>
      <c r="C16" s="36"/>
    </row>
    <row r="17" spans="1:6" x14ac:dyDescent="0.25">
      <c r="A17" s="28"/>
      <c r="B17" s="37"/>
      <c r="C17" s="33"/>
      <c r="D17" s="4"/>
      <c r="E17" s="6"/>
    </row>
    <row r="18" spans="1:6" x14ac:dyDescent="0.25">
      <c r="A18" s="28" t="s">
        <v>105</v>
      </c>
      <c r="B18" s="38"/>
      <c r="C18" s="221">
        <v>76654</v>
      </c>
      <c r="D18" s="4"/>
      <c r="E18" s="6"/>
    </row>
    <row r="19" spans="1:6" x14ac:dyDescent="0.25">
      <c r="A19" s="28" t="s">
        <v>10</v>
      </c>
      <c r="B19" s="39"/>
      <c r="C19" s="222">
        <v>316973.44</v>
      </c>
      <c r="D19" s="20"/>
      <c r="F19" s="6"/>
    </row>
    <row r="20" spans="1:6" x14ac:dyDescent="0.25">
      <c r="A20" s="28" t="s">
        <v>25</v>
      </c>
      <c r="B20" s="39"/>
      <c r="C20" s="221">
        <v>80000</v>
      </c>
      <c r="D20" s="20"/>
      <c r="F20" s="6"/>
    </row>
    <row r="21" spans="1:6" x14ac:dyDescent="0.25">
      <c r="A21" s="28" t="s">
        <v>122</v>
      </c>
      <c r="B21" s="39"/>
      <c r="C21" s="221">
        <v>15748</v>
      </c>
      <c r="D21" s="4"/>
      <c r="E21" s="6"/>
      <c r="F21" t="s">
        <v>115</v>
      </c>
    </row>
    <row r="22" spans="1:6" x14ac:dyDescent="0.25">
      <c r="A22" s="28" t="s">
        <v>11</v>
      </c>
      <c r="B22" s="39" t="s">
        <v>22</v>
      </c>
      <c r="C22" s="221">
        <v>83400</v>
      </c>
    </row>
    <row r="23" spans="1:6" x14ac:dyDescent="0.25">
      <c r="A23" s="40"/>
      <c r="B23" s="41"/>
      <c r="C23" s="223">
        <f>SUM(C17:C22)</f>
        <v>572775.43999999994</v>
      </c>
    </row>
    <row r="24" spans="1:6" ht="15.75" x14ac:dyDescent="0.25">
      <c r="A24" s="35" t="s">
        <v>12</v>
      </c>
      <c r="B24" s="39"/>
      <c r="C24" s="36"/>
      <c r="D24" s="45"/>
      <c r="F24" s="12"/>
    </row>
    <row r="25" spans="1:6" ht="15.75" x14ac:dyDescent="0.25">
      <c r="A25" s="28" t="s">
        <v>97</v>
      </c>
      <c r="B25" s="42"/>
      <c r="C25" s="221">
        <f>349151.87+ (349151.87*10%)</f>
        <v>384067.05699999997</v>
      </c>
      <c r="D25" s="45"/>
      <c r="F25" s="12"/>
    </row>
    <row r="26" spans="1:6" ht="15.75" x14ac:dyDescent="0.25">
      <c r="A26" s="28" t="s">
        <v>98</v>
      </c>
      <c r="B26" s="42"/>
      <c r="C26" s="221">
        <v>5684</v>
      </c>
      <c r="D26" s="45"/>
      <c r="F26" s="12"/>
    </row>
    <row r="27" spans="1:6" ht="15.75" x14ac:dyDescent="0.25">
      <c r="A27" s="28" t="s">
        <v>112</v>
      </c>
      <c r="B27" s="42"/>
      <c r="C27" s="221">
        <v>55000</v>
      </c>
      <c r="F27" s="12"/>
    </row>
    <row r="28" spans="1:6" ht="15.75" x14ac:dyDescent="0.25">
      <c r="A28" s="28" t="s">
        <v>91</v>
      </c>
      <c r="B28" s="39"/>
      <c r="C28" s="34"/>
      <c r="D28" s="4"/>
      <c r="E28" s="6"/>
      <c r="F28" s="12"/>
    </row>
    <row r="29" spans="1:6" ht="15.75" x14ac:dyDescent="0.25">
      <c r="A29" s="40"/>
      <c r="B29" s="41"/>
      <c r="C29" s="23">
        <f>SUM(C24:C28)</f>
        <v>444751.05699999997</v>
      </c>
      <c r="F29" s="12"/>
    </row>
    <row r="30" spans="1:6" ht="15.75" x14ac:dyDescent="0.25">
      <c r="A30" s="30" t="s">
        <v>6</v>
      </c>
      <c r="B30" s="30"/>
      <c r="C30" s="43">
        <f>+C29+C23</f>
        <v>1017526.497</v>
      </c>
      <c r="F30" s="12"/>
    </row>
    <row r="31" spans="1:6" ht="15.75" x14ac:dyDescent="0.25">
      <c r="C31" s="24"/>
      <c r="F31" s="12"/>
    </row>
    <row r="32" spans="1:6" ht="15.75" x14ac:dyDescent="0.25">
      <c r="A32" s="13" t="s">
        <v>17</v>
      </c>
      <c r="C32" s="24"/>
      <c r="F32" s="12"/>
    </row>
    <row r="33" spans="1:6" ht="15.75" x14ac:dyDescent="0.25">
      <c r="A33" s="28" t="s">
        <v>121</v>
      </c>
      <c r="B33" s="28"/>
      <c r="C33" s="221">
        <v>610000</v>
      </c>
      <c r="F33" s="12"/>
    </row>
    <row r="34" spans="1:6" ht="15.75" x14ac:dyDescent="0.25">
      <c r="A34" s="28" t="s">
        <v>120</v>
      </c>
      <c r="B34" s="28"/>
      <c r="C34" s="224">
        <v>1034026.5</v>
      </c>
      <c r="F34" s="12"/>
    </row>
    <row r="35" spans="1:6" ht="15.75" x14ac:dyDescent="0.25">
      <c r="A35" s="28"/>
      <c r="B35" s="28"/>
      <c r="C35" s="34"/>
      <c r="F35" s="12"/>
    </row>
    <row r="36" spans="1:6" ht="15.75" x14ac:dyDescent="0.25">
      <c r="C36" s="25"/>
      <c r="F36" s="12"/>
    </row>
    <row r="37" spans="1:6" ht="15.75" x14ac:dyDescent="0.25">
      <c r="A37" s="173" t="s">
        <v>110</v>
      </c>
      <c r="B37" s="173"/>
      <c r="C37" s="174">
        <v>0</v>
      </c>
      <c r="F37" s="12"/>
    </row>
    <row r="38" spans="1:6" ht="15.75" x14ac:dyDescent="0.25">
      <c r="C38" s="25"/>
      <c r="F38" s="12"/>
    </row>
    <row r="39" spans="1:6" x14ac:dyDescent="0.25">
      <c r="A39" s="13" t="s">
        <v>15</v>
      </c>
      <c r="B39" s="13"/>
      <c r="C39" s="14">
        <f>+C33+C34+C35+C38</f>
        <v>1644026.5</v>
      </c>
      <c r="E39" s="6"/>
    </row>
    <row r="41" spans="1:6" x14ac:dyDescent="0.25">
      <c r="A41" s="18" t="s">
        <v>7</v>
      </c>
      <c r="B41" s="18"/>
      <c r="C41" s="19">
        <f>+C39+C30</f>
        <v>2661552.997</v>
      </c>
    </row>
    <row r="43" spans="1:6" x14ac:dyDescent="0.25">
      <c r="A43" s="229" t="s">
        <v>109</v>
      </c>
      <c r="B43" s="230"/>
      <c r="C43" s="230"/>
    </row>
    <row r="44" spans="1:6" x14ac:dyDescent="0.25">
      <c r="A44" s="230"/>
      <c r="B44" s="230"/>
      <c r="C44" s="230"/>
    </row>
    <row r="45" spans="1:6" x14ac:dyDescent="0.25">
      <c r="A45" s="230"/>
      <c r="B45" s="230"/>
      <c r="C45" s="230"/>
    </row>
    <row r="46" spans="1:6" ht="23.25" customHeight="1" x14ac:dyDescent="0.25">
      <c r="A46" s="230"/>
      <c r="B46" s="230"/>
      <c r="C46" s="230"/>
      <c r="D46" s="5"/>
      <c r="E46" s="5"/>
    </row>
    <row r="47" spans="1:6" ht="15" customHeight="1" x14ac:dyDescent="0.25">
      <c r="A47" s="4"/>
      <c r="C47" s="154"/>
      <c r="D47" s="6"/>
      <c r="E47" s="6"/>
    </row>
    <row r="48" spans="1:6" x14ac:dyDescent="0.25">
      <c r="A48" s="201" t="s">
        <v>100</v>
      </c>
      <c r="B48" s="28"/>
      <c r="C48" s="202">
        <v>1081522.6958899994</v>
      </c>
      <c r="D48" s="6"/>
      <c r="E48" s="6"/>
    </row>
    <row r="49" spans="1:6" x14ac:dyDescent="0.25">
      <c r="A49" s="201" t="s">
        <v>119</v>
      </c>
      <c r="B49" s="28"/>
      <c r="C49" s="31">
        <f>-(C41-C28)</f>
        <v>-2661552.997</v>
      </c>
      <c r="D49" s="6"/>
      <c r="E49" s="6"/>
    </row>
    <row r="50" spans="1:6" x14ac:dyDescent="0.25">
      <c r="A50" s="201" t="s">
        <v>96</v>
      </c>
      <c r="B50" s="28"/>
      <c r="C50" s="203">
        <f>'prorrateo '!F31</f>
        <v>2610074.1626310009</v>
      </c>
    </row>
    <row r="51" spans="1:6" x14ac:dyDescent="0.25">
      <c r="A51" s="201" t="s">
        <v>116</v>
      </c>
      <c r="B51" s="28"/>
      <c r="C51" s="31">
        <v>0</v>
      </c>
    </row>
    <row r="52" spans="1:6" x14ac:dyDescent="0.25">
      <c r="A52" s="201" t="s">
        <v>123</v>
      </c>
      <c r="B52" s="28"/>
      <c r="C52" s="203">
        <v>107386.2</v>
      </c>
    </row>
    <row r="53" spans="1:6" x14ac:dyDescent="0.25">
      <c r="A53" s="201" t="s">
        <v>8</v>
      </c>
      <c r="B53" s="28"/>
      <c r="C53" s="202">
        <f>SUM(C48:C52)</f>
        <v>1137430.0615210002</v>
      </c>
      <c r="D53" s="5"/>
    </row>
    <row r="54" spans="1:6" ht="12.75" customHeight="1" x14ac:dyDescent="0.25">
      <c r="A54" s="9"/>
      <c r="B54" s="8"/>
      <c r="C54" s="10"/>
    </row>
    <row r="55" spans="1:6" hidden="1" x14ac:dyDescent="0.25">
      <c r="A55" s="225"/>
      <c r="B55" s="225"/>
      <c r="C55" s="225"/>
      <c r="F55" s="44"/>
    </row>
    <row r="56" spans="1:6" ht="46.5" hidden="1" customHeight="1" x14ac:dyDescent="0.25">
      <c r="A56" s="226"/>
      <c r="B56" s="226"/>
      <c r="C56" s="226"/>
    </row>
    <row r="57" spans="1:6" ht="0.75" hidden="1" customHeight="1" x14ac:dyDescent="0.25">
      <c r="A57" s="26" t="s">
        <v>20</v>
      </c>
      <c r="B57" s="27"/>
      <c r="C57" s="29"/>
    </row>
    <row r="58" spans="1:6" hidden="1" x14ac:dyDescent="0.25">
      <c r="A58" s="28" t="s">
        <v>23</v>
      </c>
      <c r="B58" s="28"/>
      <c r="C58" s="31">
        <f>-C39</f>
        <v>-1644026.5</v>
      </c>
    </row>
    <row r="59" spans="1:6" hidden="1" x14ac:dyDescent="0.25">
      <c r="A59" s="28"/>
      <c r="B59" s="28"/>
      <c r="C59" s="31"/>
    </row>
    <row r="60" spans="1:6" hidden="1" x14ac:dyDescent="0.25">
      <c r="A60" s="28"/>
      <c r="B60" s="28"/>
      <c r="C60" s="32"/>
    </row>
    <row r="61" spans="1:6" hidden="1" x14ac:dyDescent="0.25">
      <c r="A61" s="155" t="s">
        <v>0</v>
      </c>
      <c r="B61" s="156"/>
      <c r="C61" s="157">
        <f>SUM(C57:C60)</f>
        <v>-1644026.5</v>
      </c>
    </row>
    <row r="62" spans="1:6" x14ac:dyDescent="0.25">
      <c r="A62" s="227" t="s">
        <v>107</v>
      </c>
      <c r="B62" s="228"/>
      <c r="C62" s="228"/>
    </row>
    <row r="63" spans="1:6" x14ac:dyDescent="0.25">
      <c r="A63" s="228"/>
      <c r="B63" s="228"/>
      <c r="C63" s="228"/>
    </row>
    <row r="64" spans="1:6" x14ac:dyDescent="0.25">
      <c r="A64" s="228"/>
      <c r="B64" s="228"/>
      <c r="C64" s="228"/>
    </row>
    <row r="65" spans="1:3" x14ac:dyDescent="0.25">
      <c r="A65" s="8"/>
      <c r="B65" s="8"/>
      <c r="C65" s="8"/>
    </row>
  </sheetData>
  <mergeCells count="3">
    <mergeCell ref="A55:C56"/>
    <mergeCell ref="A62:C64"/>
    <mergeCell ref="A43:C46"/>
  </mergeCells>
  <phoneticPr fontId="30"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87"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40"/>
  <sheetViews>
    <sheetView workbookViewId="0">
      <selection activeCell="D9" sqref="D9"/>
    </sheetView>
  </sheetViews>
  <sheetFormatPr baseColWidth="10" defaultRowHeight="15" x14ac:dyDescent="0.25"/>
  <cols>
    <col min="1" max="1" width="19.42578125" style="1" customWidth="1"/>
    <col min="2" max="2" width="12.140625" style="1" customWidth="1"/>
    <col min="3" max="3" width="13.85546875" customWidth="1"/>
    <col min="4" max="4" width="9.85546875" bestFit="1" customWidth="1"/>
    <col min="5" max="5" width="16.28515625" customWidth="1"/>
    <col min="6" max="6" width="12.42578125" bestFit="1" customWidth="1"/>
    <col min="7" max="7" width="12.140625" customWidth="1"/>
    <col min="8" max="8" width="10.85546875" customWidth="1"/>
    <col min="9" max="10" width="10.7109375" customWidth="1"/>
    <col min="11" max="11" width="10.5703125" customWidth="1"/>
    <col min="12" max="12" width="11.5703125" customWidth="1"/>
    <col min="13" max="13" width="12.42578125" bestFit="1" customWidth="1"/>
    <col min="14" max="14" width="14.5703125" bestFit="1" customWidth="1"/>
    <col min="15" max="15" width="12.42578125" style="11" bestFit="1" customWidth="1"/>
    <col min="16" max="16" width="13" bestFit="1" customWidth="1"/>
  </cols>
  <sheetData>
    <row r="1" spans="1:16" x14ac:dyDescent="0.25">
      <c r="A1" s="1" t="s">
        <v>103</v>
      </c>
      <c r="B1" s="231">
        <f>N1</f>
        <v>1017526.497</v>
      </c>
      <c r="C1" s="231"/>
      <c r="D1" s="138">
        <v>1667839.1270000001</v>
      </c>
      <c r="E1" t="s">
        <v>102</v>
      </c>
      <c r="G1" s="233"/>
      <c r="H1" s="233"/>
      <c r="I1" s="234" t="s">
        <v>114</v>
      </c>
      <c r="J1" s="234"/>
      <c r="K1" s="234"/>
      <c r="L1" s="231">
        <v>1000000</v>
      </c>
      <c r="M1" s="231"/>
      <c r="N1">
        <v>1017526.497</v>
      </c>
    </row>
    <row r="2" spans="1:16" ht="34.5" customHeight="1" x14ac:dyDescent="0.25">
      <c r="A2" s="46" t="s">
        <v>26</v>
      </c>
      <c r="B2" s="46" t="s">
        <v>19</v>
      </c>
      <c r="C2" s="137" t="s">
        <v>89</v>
      </c>
      <c r="D2" s="47" t="s">
        <v>1</v>
      </c>
      <c r="E2" s="48" t="s">
        <v>27</v>
      </c>
      <c r="F2" s="48" t="s">
        <v>28</v>
      </c>
      <c r="G2" s="49" t="s">
        <v>29</v>
      </c>
      <c r="H2" s="200" t="s">
        <v>92</v>
      </c>
      <c r="I2" s="50" t="s">
        <v>104</v>
      </c>
      <c r="J2" s="50" t="s">
        <v>124</v>
      </c>
      <c r="K2" s="50" t="s">
        <v>113</v>
      </c>
      <c r="L2" s="50" t="s">
        <v>108</v>
      </c>
      <c r="M2" s="51" t="s">
        <v>30</v>
      </c>
      <c r="O2" s="11" t="s">
        <v>125</v>
      </c>
    </row>
    <row r="3" spans="1:16" x14ac:dyDescent="0.25">
      <c r="A3" s="52" t="s">
        <v>31</v>
      </c>
      <c r="B3" s="53" t="s">
        <v>90</v>
      </c>
      <c r="C3" s="54" t="s">
        <v>32</v>
      </c>
      <c r="D3" s="55">
        <v>5.1100000000000003</v>
      </c>
      <c r="E3" s="129">
        <v>105505.57938970001</v>
      </c>
      <c r="F3" s="218">
        <f>E3</f>
        <v>105505.57938970001</v>
      </c>
      <c r="G3" s="56">
        <f>E3-F3</f>
        <v>0</v>
      </c>
      <c r="H3" s="56">
        <f>IF(G3&gt;0,G3*4%,0)</f>
        <v>0</v>
      </c>
      <c r="I3" s="56">
        <f>B$1*D3/100</f>
        <v>51995.603996700003</v>
      </c>
      <c r="J3" s="56">
        <f>Edesur!N10</f>
        <v>31008.737138781005</v>
      </c>
      <c r="K3" s="56">
        <f>G$1*D3/100</f>
        <v>0</v>
      </c>
      <c r="L3" s="56">
        <f>L$1*D3/100</f>
        <v>51100</v>
      </c>
      <c r="M3" s="57">
        <f>I3+G3+L3+K3+H3+J3</f>
        <v>134104.34113548099</v>
      </c>
      <c r="N3" s="44"/>
      <c r="O3" s="151">
        <f>M3-J3</f>
        <v>103095.6039967</v>
      </c>
    </row>
    <row r="4" spans="1:16" x14ac:dyDescent="0.25">
      <c r="A4" s="58" t="s">
        <v>33</v>
      </c>
      <c r="B4" s="59" t="s">
        <v>101</v>
      </c>
      <c r="C4" s="60" t="s">
        <v>34</v>
      </c>
      <c r="D4" s="61">
        <v>5.09</v>
      </c>
      <c r="E4" s="129">
        <v>104519.0115643</v>
      </c>
      <c r="F4" s="218">
        <f>E4</f>
        <v>104519.0115643</v>
      </c>
      <c r="G4" s="56">
        <f t="shared" ref="G4:G29" si="0">E4-F4</f>
        <v>0</v>
      </c>
      <c r="H4" s="56">
        <f t="shared" ref="H4:H29" si="1">IF(G4&gt;0,G4*4%,0)</f>
        <v>0</v>
      </c>
      <c r="I4" s="56">
        <f t="shared" ref="I4:I29" si="2">B$1*D4/100</f>
        <v>51792.098697299996</v>
      </c>
      <c r="J4" s="56">
        <f>Edesur!N11</f>
        <v>27414.769973639028</v>
      </c>
      <c r="K4" s="56">
        <f t="shared" ref="K4:K29" si="3">G$1*D4/100</f>
        <v>0</v>
      </c>
      <c r="L4" s="56">
        <f t="shared" ref="L4:L29" si="4">L$1*D4/100</f>
        <v>50900</v>
      </c>
      <c r="M4" s="57">
        <f t="shared" ref="M4:M29" si="5">I4+G4+L4+K4+H4+J4</f>
        <v>130106.86867093903</v>
      </c>
      <c r="N4" s="44"/>
      <c r="O4" s="151">
        <f t="shared" ref="O4:O29" si="6">M4-J4</f>
        <v>102692.09869730001</v>
      </c>
    </row>
    <row r="5" spans="1:16" x14ac:dyDescent="0.25">
      <c r="A5" s="58" t="s">
        <v>35</v>
      </c>
      <c r="B5" s="59"/>
      <c r="C5" s="60" t="s">
        <v>36</v>
      </c>
      <c r="D5" s="61">
        <v>5.04</v>
      </c>
      <c r="E5" s="129">
        <v>407656.00631120004</v>
      </c>
      <c r="F5" s="218">
        <f>497170.55-64957-F23</f>
        <v>377751.01123959996</v>
      </c>
      <c r="G5" s="56">
        <f t="shared" si="0"/>
        <v>29904.995071600075</v>
      </c>
      <c r="H5" s="56">
        <f t="shared" si="1"/>
        <v>1196.199802864003</v>
      </c>
      <c r="I5" s="56">
        <f t="shared" si="2"/>
        <v>51283.335448799997</v>
      </c>
      <c r="J5" s="56">
        <f>Edesur!N12</f>
        <v>27942.198535784013</v>
      </c>
      <c r="K5" s="56">
        <f t="shared" si="3"/>
        <v>0</v>
      </c>
      <c r="L5" s="56">
        <f t="shared" si="4"/>
        <v>50400</v>
      </c>
      <c r="M5" s="57">
        <f t="shared" si="5"/>
        <v>160726.72885904807</v>
      </c>
      <c r="N5" s="44"/>
      <c r="O5" s="151">
        <f t="shared" si="6"/>
        <v>132784.53032326407</v>
      </c>
    </row>
    <row r="6" spans="1:16" x14ac:dyDescent="0.25">
      <c r="A6" s="139" t="s">
        <v>37</v>
      </c>
      <c r="B6" s="140"/>
      <c r="C6" s="141" t="s">
        <v>38</v>
      </c>
      <c r="D6" s="142">
        <v>5.21</v>
      </c>
      <c r="E6" s="143">
        <v>107734.41851670001</v>
      </c>
      <c r="F6" s="220"/>
      <c r="G6" s="144">
        <f t="shared" si="0"/>
        <v>107734.41851670001</v>
      </c>
      <c r="H6" s="144">
        <f t="shared" si="1"/>
        <v>4309.3767406680008</v>
      </c>
      <c r="I6" s="144">
        <f t="shared" si="2"/>
        <v>53013.130493700002</v>
      </c>
      <c r="J6" s="144">
        <f>Edesur!N13</f>
        <v>25698.763824491016</v>
      </c>
      <c r="K6" s="144">
        <f t="shared" si="3"/>
        <v>0</v>
      </c>
      <c r="L6" s="144">
        <f t="shared" si="4"/>
        <v>52100</v>
      </c>
      <c r="M6" s="145">
        <f t="shared" si="5"/>
        <v>242855.68957555902</v>
      </c>
      <c r="O6" s="151">
        <f t="shared" si="6"/>
        <v>217156.92575106802</v>
      </c>
      <c r="P6" s="175"/>
    </row>
    <row r="7" spans="1:16" x14ac:dyDescent="0.25">
      <c r="A7" s="58" t="s">
        <v>35</v>
      </c>
      <c r="B7" s="59" t="s">
        <v>94</v>
      </c>
      <c r="C7" s="60" t="s">
        <v>39</v>
      </c>
      <c r="D7" s="61">
        <v>5.1100000000000003</v>
      </c>
      <c r="E7" s="129">
        <v>105666.57938970001</v>
      </c>
      <c r="F7" s="218">
        <f t="shared" ref="F7:F11" si="7">E7</f>
        <v>105666.57938970001</v>
      </c>
      <c r="G7" s="56">
        <f t="shared" si="0"/>
        <v>0</v>
      </c>
      <c r="H7" s="56">
        <f t="shared" si="1"/>
        <v>0</v>
      </c>
      <c r="I7" s="56">
        <f t="shared" si="2"/>
        <v>51995.603996700003</v>
      </c>
      <c r="J7" s="56">
        <f>Edesur!N14</f>
        <v>27391.372548781012</v>
      </c>
      <c r="K7" s="56">
        <f t="shared" si="3"/>
        <v>0</v>
      </c>
      <c r="L7" s="56">
        <f t="shared" si="4"/>
        <v>51100</v>
      </c>
      <c r="M7" s="57">
        <f t="shared" si="5"/>
        <v>130486.97654548101</v>
      </c>
      <c r="O7" s="151">
        <f t="shared" si="6"/>
        <v>103095.6039967</v>
      </c>
      <c r="P7" s="175"/>
    </row>
    <row r="8" spans="1:16" x14ac:dyDescent="0.25">
      <c r="A8" s="58" t="s">
        <v>40</v>
      </c>
      <c r="B8" s="59"/>
      <c r="C8" s="60" t="s">
        <v>41</v>
      </c>
      <c r="D8" s="61">
        <v>5.09</v>
      </c>
      <c r="E8" s="129">
        <v>105253.0115643</v>
      </c>
      <c r="F8" s="218">
        <f t="shared" si="7"/>
        <v>105253.0115643</v>
      </c>
      <c r="G8" s="56">
        <f t="shared" si="0"/>
        <v>0</v>
      </c>
      <c r="H8" s="56">
        <f t="shared" si="1"/>
        <v>0</v>
      </c>
      <c r="I8" s="56">
        <f t="shared" si="2"/>
        <v>51792.098697299996</v>
      </c>
      <c r="J8" s="56">
        <f>Edesur!N15</f>
        <v>25501.515173639022</v>
      </c>
      <c r="K8" s="56">
        <f t="shared" si="3"/>
        <v>0</v>
      </c>
      <c r="L8" s="56">
        <f t="shared" si="4"/>
        <v>50900</v>
      </c>
      <c r="M8" s="57">
        <f t="shared" si="5"/>
        <v>128193.61387093902</v>
      </c>
      <c r="O8" s="151">
        <f t="shared" si="6"/>
        <v>102692.0986973</v>
      </c>
    </row>
    <row r="9" spans="1:16" x14ac:dyDescent="0.25">
      <c r="A9" s="58" t="s">
        <v>42</v>
      </c>
      <c r="B9" s="59"/>
      <c r="C9" s="60" t="s">
        <v>43</v>
      </c>
      <c r="D9" s="61">
        <v>5.1100000000000003</v>
      </c>
      <c r="E9" s="129">
        <v>105666.57938970001</v>
      </c>
      <c r="F9" s="218">
        <f t="shared" si="7"/>
        <v>105666.57938970001</v>
      </c>
      <c r="G9" s="56">
        <f t="shared" si="0"/>
        <v>0</v>
      </c>
      <c r="H9" s="56">
        <f t="shared" si="1"/>
        <v>0</v>
      </c>
      <c r="I9" s="56">
        <f t="shared" si="2"/>
        <v>51995.603996700003</v>
      </c>
      <c r="J9" s="56">
        <f>Edesur!N16</f>
        <v>26537.910848781001</v>
      </c>
      <c r="K9" s="56">
        <f t="shared" si="3"/>
        <v>0</v>
      </c>
      <c r="L9" s="56">
        <f t="shared" si="4"/>
        <v>51100</v>
      </c>
      <c r="M9" s="57">
        <f t="shared" si="5"/>
        <v>129633.514845481</v>
      </c>
      <c r="O9" s="151">
        <f t="shared" si="6"/>
        <v>103095.6039967</v>
      </c>
      <c r="P9" s="175"/>
    </row>
    <row r="10" spans="1:16" ht="24.75" customHeight="1" x14ac:dyDescent="0.25">
      <c r="A10" s="177" t="s">
        <v>44</v>
      </c>
      <c r="B10" s="178" t="s">
        <v>99</v>
      </c>
      <c r="C10" s="179" t="s">
        <v>45</v>
      </c>
      <c r="D10" s="180">
        <v>5.09</v>
      </c>
      <c r="E10" s="181">
        <v>105253.0115643</v>
      </c>
      <c r="F10" s="219">
        <f t="shared" si="7"/>
        <v>105253.0115643</v>
      </c>
      <c r="G10" s="182">
        <f t="shared" si="0"/>
        <v>0</v>
      </c>
      <c r="H10" s="182"/>
      <c r="I10" s="182">
        <f t="shared" si="2"/>
        <v>51792.098697299996</v>
      </c>
      <c r="J10" s="182">
        <f>Edesur!N17</f>
        <v>20193.170973638986</v>
      </c>
      <c r="K10" s="182">
        <f t="shared" si="3"/>
        <v>0</v>
      </c>
      <c r="L10" s="182">
        <f t="shared" si="4"/>
        <v>50900</v>
      </c>
      <c r="M10" s="183">
        <f t="shared" si="5"/>
        <v>122885.26967093899</v>
      </c>
      <c r="O10" s="151">
        <f t="shared" si="6"/>
        <v>102692.0986973</v>
      </c>
    </row>
    <row r="11" spans="1:16" x14ac:dyDescent="0.25">
      <c r="A11" s="58" t="s">
        <v>95</v>
      </c>
      <c r="B11" s="59"/>
      <c r="C11" s="60" t="s">
        <v>46</v>
      </c>
      <c r="D11" s="61">
        <v>5.04</v>
      </c>
      <c r="E11" s="129">
        <v>104219.09200080001</v>
      </c>
      <c r="F11" s="218">
        <f t="shared" si="7"/>
        <v>104219.09200080001</v>
      </c>
      <c r="G11" s="56">
        <f t="shared" si="0"/>
        <v>0</v>
      </c>
      <c r="H11" s="56">
        <f t="shared" si="1"/>
        <v>0</v>
      </c>
      <c r="I11" s="56">
        <f t="shared" si="2"/>
        <v>51283.335448799997</v>
      </c>
      <c r="J11" s="56">
        <f>Edesur!N18</f>
        <v>25635.038335784</v>
      </c>
      <c r="K11" s="56">
        <f t="shared" si="3"/>
        <v>0</v>
      </c>
      <c r="L11" s="56">
        <f t="shared" si="4"/>
        <v>50400</v>
      </c>
      <c r="M11" s="57">
        <f t="shared" si="5"/>
        <v>127318.37378458401</v>
      </c>
      <c r="O11" s="151">
        <f t="shared" si="6"/>
        <v>101683.3354488</v>
      </c>
    </row>
    <row r="12" spans="1:16" x14ac:dyDescent="0.25">
      <c r="A12" s="58" t="s">
        <v>47</v>
      </c>
      <c r="B12" s="59"/>
      <c r="C12" s="60" t="s">
        <v>48</v>
      </c>
      <c r="D12" s="61">
        <v>5.21</v>
      </c>
      <c r="E12" s="129">
        <v>107734.41851670001</v>
      </c>
      <c r="F12" s="218">
        <f t="shared" ref="F12" si="8">E12</f>
        <v>107734.41851670001</v>
      </c>
      <c r="G12" s="56">
        <f t="shared" si="0"/>
        <v>0</v>
      </c>
      <c r="H12" s="56">
        <f t="shared" si="1"/>
        <v>0</v>
      </c>
      <c r="I12" s="56">
        <f t="shared" si="2"/>
        <v>53013.130493700002</v>
      </c>
      <c r="J12" s="56">
        <f>Edesur!N19</f>
        <v>39279.12142449095</v>
      </c>
      <c r="K12" s="56">
        <f t="shared" si="3"/>
        <v>0</v>
      </c>
      <c r="L12" s="56">
        <f t="shared" si="4"/>
        <v>52100</v>
      </c>
      <c r="M12" s="57">
        <f t="shared" si="5"/>
        <v>144392.25191819097</v>
      </c>
      <c r="O12" s="151">
        <f t="shared" si="6"/>
        <v>105113.13049370002</v>
      </c>
    </row>
    <row r="13" spans="1:16" x14ac:dyDescent="0.25">
      <c r="A13" s="58" t="s">
        <v>49</v>
      </c>
      <c r="B13" s="59" t="s">
        <v>50</v>
      </c>
      <c r="C13" s="60" t="s">
        <v>51</v>
      </c>
      <c r="D13" s="61">
        <v>5.1100000000000003</v>
      </c>
      <c r="E13" s="129">
        <v>105666.57938970001</v>
      </c>
      <c r="F13" s="218">
        <f>E13</f>
        <v>105666.57938970001</v>
      </c>
      <c r="G13" s="56">
        <f t="shared" si="0"/>
        <v>0</v>
      </c>
      <c r="H13" s="56">
        <f t="shared" si="1"/>
        <v>0</v>
      </c>
      <c r="I13" s="56">
        <f t="shared" si="2"/>
        <v>51995.603996700003</v>
      </c>
      <c r="J13" s="56">
        <f>Edesur!N20</f>
        <v>71949.576248780984</v>
      </c>
      <c r="K13" s="56">
        <f t="shared" si="3"/>
        <v>0</v>
      </c>
      <c r="L13" s="56">
        <f t="shared" si="4"/>
        <v>51100</v>
      </c>
      <c r="M13" s="57">
        <f t="shared" si="5"/>
        <v>175045.18024548097</v>
      </c>
      <c r="N13" s="44"/>
      <c r="O13" s="151">
        <f t="shared" si="6"/>
        <v>103095.60399669998</v>
      </c>
    </row>
    <row r="14" spans="1:16" x14ac:dyDescent="0.25">
      <c r="A14" s="62" t="s">
        <v>49</v>
      </c>
      <c r="B14" s="199" t="s">
        <v>106</v>
      </c>
      <c r="C14" s="63" t="s">
        <v>52</v>
      </c>
      <c r="D14" s="176">
        <v>5.09</v>
      </c>
      <c r="E14" s="129">
        <v>371509.96055870003</v>
      </c>
      <c r="F14" s="218">
        <f>580000-F25-84879</f>
        <v>416293.74475960003</v>
      </c>
      <c r="G14" s="64">
        <f t="shared" si="0"/>
        <v>-44783.784200900001</v>
      </c>
      <c r="H14" s="64">
        <f t="shared" si="1"/>
        <v>0</v>
      </c>
      <c r="I14" s="64">
        <f t="shared" si="2"/>
        <v>51792.098697299996</v>
      </c>
      <c r="J14" s="56">
        <f>Edesur!N21</f>
        <v>26064.23717363898</v>
      </c>
      <c r="K14" s="64">
        <f t="shared" si="3"/>
        <v>0</v>
      </c>
      <c r="L14" s="56">
        <f t="shared" si="4"/>
        <v>50900</v>
      </c>
      <c r="M14" s="57">
        <f t="shared" si="5"/>
        <v>83972.551670038971</v>
      </c>
      <c r="O14" s="151">
        <f t="shared" si="6"/>
        <v>57908.314496399995</v>
      </c>
    </row>
    <row r="15" spans="1:16" x14ac:dyDescent="0.25">
      <c r="A15" s="58" t="s">
        <v>53</v>
      </c>
      <c r="B15" s="59" t="s">
        <v>54</v>
      </c>
      <c r="C15" s="60" t="s">
        <v>55</v>
      </c>
      <c r="D15" s="61">
        <v>5.04</v>
      </c>
      <c r="E15" s="129">
        <v>104219.09188079997</v>
      </c>
      <c r="F15" s="218">
        <f>104219-F29+22333.1-0.35</f>
        <v>104219.0874284</v>
      </c>
      <c r="G15" s="56">
        <f t="shared" si="0"/>
        <v>4.4523999677039683E-3</v>
      </c>
      <c r="H15" s="56">
        <f t="shared" si="1"/>
        <v>1.7809599870815873E-4</v>
      </c>
      <c r="I15" s="56">
        <f t="shared" si="2"/>
        <v>51283.335448799997</v>
      </c>
      <c r="J15" s="56">
        <f>Edesur!N22</f>
        <v>22952.730135784008</v>
      </c>
      <c r="K15" s="56">
        <f t="shared" si="3"/>
        <v>0</v>
      </c>
      <c r="L15" s="56">
        <f t="shared" si="4"/>
        <v>50400</v>
      </c>
      <c r="M15" s="57">
        <f t="shared" si="5"/>
        <v>124636.07021507998</v>
      </c>
      <c r="O15" s="151">
        <f t="shared" si="6"/>
        <v>101683.34007929597</v>
      </c>
    </row>
    <row r="16" spans="1:16" x14ac:dyDescent="0.25">
      <c r="A16" s="58" t="s">
        <v>56</v>
      </c>
      <c r="B16" s="59" t="s">
        <v>57</v>
      </c>
      <c r="C16" s="60" t="s">
        <v>58</v>
      </c>
      <c r="D16" s="61">
        <v>5.21</v>
      </c>
      <c r="E16" s="129">
        <v>107734.41851670001</v>
      </c>
      <c r="F16" s="218">
        <f t="shared" ref="F16:F21" si="9">E16</f>
        <v>107734.41851670001</v>
      </c>
      <c r="G16" s="56">
        <f t="shared" si="0"/>
        <v>0</v>
      </c>
      <c r="H16" s="56">
        <f t="shared" si="1"/>
        <v>0</v>
      </c>
      <c r="I16" s="56">
        <f t="shared" si="2"/>
        <v>53013.130493700002</v>
      </c>
      <c r="J16" s="56">
        <f>Edesur!N23</f>
        <v>28971.93012449098</v>
      </c>
      <c r="K16" s="56">
        <f t="shared" si="3"/>
        <v>0</v>
      </c>
      <c r="L16" s="56">
        <f t="shared" si="4"/>
        <v>52100</v>
      </c>
      <c r="M16" s="57">
        <f t="shared" si="5"/>
        <v>134085.060618191</v>
      </c>
      <c r="N16" s="44"/>
      <c r="O16" s="151">
        <f t="shared" si="6"/>
        <v>105113.13049370001</v>
      </c>
    </row>
    <row r="17" spans="1:17" x14ac:dyDescent="0.25">
      <c r="A17" s="58" t="s">
        <v>59</v>
      </c>
      <c r="B17" s="59"/>
      <c r="C17" s="60" t="s">
        <v>60</v>
      </c>
      <c r="D17" s="61">
        <v>5.04</v>
      </c>
      <c r="E17" s="129">
        <v>104219.09200080001</v>
      </c>
      <c r="F17" s="218">
        <f t="shared" si="9"/>
        <v>104219.09200080001</v>
      </c>
      <c r="G17" s="56">
        <f t="shared" si="0"/>
        <v>0</v>
      </c>
      <c r="H17" s="56">
        <f t="shared" si="1"/>
        <v>0</v>
      </c>
      <c r="I17" s="56">
        <f t="shared" si="2"/>
        <v>51283.335448799997</v>
      </c>
      <c r="J17" s="56">
        <f>Edesur!N24</f>
        <v>20176.634935784015</v>
      </c>
      <c r="K17" s="56">
        <f t="shared" si="3"/>
        <v>0</v>
      </c>
      <c r="L17" s="56">
        <f t="shared" si="4"/>
        <v>50400</v>
      </c>
      <c r="M17" s="57">
        <f t="shared" si="5"/>
        <v>121859.97038458401</v>
      </c>
      <c r="O17" s="151">
        <f t="shared" si="6"/>
        <v>101683.3354488</v>
      </c>
    </row>
    <row r="18" spans="1:17" ht="23.25" customHeight="1" x14ac:dyDescent="0.25">
      <c r="A18" s="206" t="s">
        <v>61</v>
      </c>
      <c r="B18" s="207"/>
      <c r="C18" s="63" t="s">
        <v>62</v>
      </c>
      <c r="D18" s="176">
        <v>5.21</v>
      </c>
      <c r="E18" s="129">
        <v>107734.41851670001</v>
      </c>
      <c r="F18" s="218">
        <f t="shared" si="9"/>
        <v>107734.41851670001</v>
      </c>
      <c r="G18" s="64">
        <f t="shared" si="0"/>
        <v>0</v>
      </c>
      <c r="H18" s="64">
        <f t="shared" si="1"/>
        <v>0</v>
      </c>
      <c r="I18" s="64">
        <f t="shared" si="2"/>
        <v>53013.130493700002</v>
      </c>
      <c r="J18" s="56">
        <f>Edesur!N25</f>
        <v>25848.82302449103</v>
      </c>
      <c r="K18" s="64">
        <f t="shared" si="3"/>
        <v>0</v>
      </c>
      <c r="L18" s="64">
        <f t="shared" si="4"/>
        <v>52100</v>
      </c>
      <c r="M18" s="57">
        <f t="shared" si="5"/>
        <v>130961.95351819103</v>
      </c>
      <c r="N18" s="209"/>
      <c r="O18" s="151">
        <f t="shared" si="6"/>
        <v>105113.13049370001</v>
      </c>
      <c r="P18" s="208"/>
      <c r="Q18" s="205"/>
    </row>
    <row r="19" spans="1:17" x14ac:dyDescent="0.25">
      <c r="A19" s="62" t="s">
        <v>63</v>
      </c>
      <c r="B19" s="199"/>
      <c r="C19" s="63" t="s">
        <v>64</v>
      </c>
      <c r="D19" s="176">
        <v>7.4</v>
      </c>
      <c r="E19" s="129">
        <v>153020.095398</v>
      </c>
      <c r="F19" s="218">
        <f t="shared" si="9"/>
        <v>153020.095398</v>
      </c>
      <c r="G19" s="64">
        <f t="shared" si="0"/>
        <v>0</v>
      </c>
      <c r="H19" s="64">
        <f t="shared" si="1"/>
        <v>0</v>
      </c>
      <c r="I19" s="64">
        <f t="shared" si="2"/>
        <v>75296.960778000008</v>
      </c>
      <c r="J19" s="56">
        <f>Edesur!N26</f>
        <v>41293.909002540058</v>
      </c>
      <c r="K19" s="64">
        <f t="shared" si="3"/>
        <v>0</v>
      </c>
      <c r="L19" s="64">
        <f t="shared" si="4"/>
        <v>74000</v>
      </c>
      <c r="M19" s="57">
        <f t="shared" si="5"/>
        <v>190590.86978054006</v>
      </c>
      <c r="O19" s="151">
        <f t="shared" si="6"/>
        <v>149296.96077800001</v>
      </c>
    </row>
    <row r="20" spans="1:17" ht="24" x14ac:dyDescent="0.25">
      <c r="A20" s="184"/>
      <c r="B20" s="178" t="s">
        <v>99</v>
      </c>
      <c r="C20" s="179" t="s">
        <v>65</v>
      </c>
      <c r="D20" s="180">
        <v>1.08</v>
      </c>
      <c r="E20" s="181">
        <v>22332.662571600002</v>
      </c>
      <c r="F20" s="219">
        <f t="shared" si="9"/>
        <v>22332.662571600002</v>
      </c>
      <c r="G20" s="182">
        <f t="shared" si="0"/>
        <v>0</v>
      </c>
      <c r="H20" s="182"/>
      <c r="I20" s="182">
        <f t="shared" si="2"/>
        <v>10989.286167600001</v>
      </c>
      <c r="J20" s="182">
        <f>Edesur!N27</f>
        <v>3801.0370576680034</v>
      </c>
      <c r="K20" s="182">
        <f t="shared" si="3"/>
        <v>0</v>
      </c>
      <c r="L20" s="182">
        <f t="shared" si="4"/>
        <v>10800</v>
      </c>
      <c r="M20" s="183">
        <f t="shared" si="5"/>
        <v>25590.323225268006</v>
      </c>
      <c r="O20" s="151">
        <f t="shared" si="6"/>
        <v>21789.286167600003</v>
      </c>
    </row>
    <row r="21" spans="1:17" x14ac:dyDescent="0.25">
      <c r="A21" s="62"/>
      <c r="B21" s="59" t="s">
        <v>57</v>
      </c>
      <c r="C21" s="63" t="s">
        <v>66</v>
      </c>
      <c r="D21" s="61">
        <v>1.08</v>
      </c>
      <c r="E21" s="129">
        <v>22332.662571600002</v>
      </c>
      <c r="F21" s="218">
        <f t="shared" si="9"/>
        <v>22332.662571600002</v>
      </c>
      <c r="G21" s="56">
        <f t="shared" si="0"/>
        <v>0</v>
      </c>
      <c r="H21" s="56">
        <f t="shared" si="1"/>
        <v>0</v>
      </c>
      <c r="I21" s="56">
        <f t="shared" si="2"/>
        <v>10989.286167600001</v>
      </c>
      <c r="J21" s="56">
        <f>Edesur!N28</f>
        <v>3801.0370576680034</v>
      </c>
      <c r="K21" s="56">
        <f t="shared" si="3"/>
        <v>0</v>
      </c>
      <c r="L21" s="56">
        <f t="shared" si="4"/>
        <v>10800</v>
      </c>
      <c r="M21" s="57">
        <f t="shared" si="5"/>
        <v>25590.323225268006</v>
      </c>
      <c r="O21" s="151">
        <f t="shared" si="6"/>
        <v>21789.286167600003</v>
      </c>
    </row>
    <row r="22" spans="1:17" x14ac:dyDescent="0.25">
      <c r="A22" s="139"/>
      <c r="B22" s="140"/>
      <c r="C22" s="141" t="s">
        <v>67</v>
      </c>
      <c r="D22" s="142">
        <v>1.08</v>
      </c>
      <c r="E22" s="143">
        <v>262598.51501640002</v>
      </c>
      <c r="F22" s="220">
        <v>0</v>
      </c>
      <c r="G22" s="144">
        <f t="shared" si="0"/>
        <v>262598.51501640002</v>
      </c>
      <c r="H22" s="144">
        <f t="shared" si="1"/>
        <v>10503.940600656</v>
      </c>
      <c r="I22" s="144">
        <f t="shared" si="2"/>
        <v>10989.286167600001</v>
      </c>
      <c r="J22" s="144">
        <f>Edesur!N29</f>
        <v>3801.0370576680034</v>
      </c>
      <c r="K22" s="144">
        <f t="shared" si="3"/>
        <v>0</v>
      </c>
      <c r="L22" s="144">
        <f t="shared" si="4"/>
        <v>10800</v>
      </c>
      <c r="M22" s="145">
        <f t="shared" si="5"/>
        <v>298692.77884232404</v>
      </c>
      <c r="O22" s="151">
        <f t="shared" si="6"/>
        <v>294891.74178465601</v>
      </c>
    </row>
    <row r="23" spans="1:17" x14ac:dyDescent="0.25">
      <c r="A23" s="58" t="s">
        <v>35</v>
      </c>
      <c r="B23" s="59"/>
      <c r="C23" s="60" t="s">
        <v>68</v>
      </c>
      <c r="D23" s="61">
        <v>1.08</v>
      </c>
      <c r="E23" s="129">
        <v>54462.538760400006</v>
      </c>
      <c r="F23" s="218">
        <f>E23</f>
        <v>54462.538760400006</v>
      </c>
      <c r="G23" s="56">
        <f t="shared" si="0"/>
        <v>0</v>
      </c>
      <c r="H23" s="56">
        <f t="shared" si="1"/>
        <v>0</v>
      </c>
      <c r="I23" s="56">
        <f t="shared" si="2"/>
        <v>10989.286167600001</v>
      </c>
      <c r="J23" s="56">
        <f>Edesur!N30</f>
        <v>3801.0370576680034</v>
      </c>
      <c r="K23" s="56">
        <f t="shared" si="3"/>
        <v>0</v>
      </c>
      <c r="L23" s="56">
        <f t="shared" si="4"/>
        <v>10800</v>
      </c>
      <c r="M23" s="57">
        <f t="shared" si="5"/>
        <v>25590.323225268006</v>
      </c>
      <c r="O23" s="151">
        <f t="shared" si="6"/>
        <v>21789.286167600003</v>
      </c>
    </row>
    <row r="24" spans="1:17" x14ac:dyDescent="0.25">
      <c r="A24" s="58" t="s">
        <v>49</v>
      </c>
      <c r="B24" s="59" t="s">
        <v>50</v>
      </c>
      <c r="C24" s="60" t="s">
        <v>69</v>
      </c>
      <c r="D24" s="61">
        <v>1.08</v>
      </c>
      <c r="E24" s="129">
        <v>22332.662571600002</v>
      </c>
      <c r="F24" s="218">
        <f t="shared" ref="F24" si="10">E24</f>
        <v>22332.662571600002</v>
      </c>
      <c r="G24" s="56">
        <f t="shared" si="0"/>
        <v>0</v>
      </c>
      <c r="H24" s="56">
        <f t="shared" si="1"/>
        <v>0</v>
      </c>
      <c r="I24" s="56">
        <f t="shared" si="2"/>
        <v>10989.286167600001</v>
      </c>
      <c r="J24" s="56">
        <f>Edesur!N31</f>
        <v>3801.0370576680034</v>
      </c>
      <c r="K24" s="56">
        <f t="shared" si="3"/>
        <v>0</v>
      </c>
      <c r="L24" s="56">
        <f t="shared" si="4"/>
        <v>10800</v>
      </c>
      <c r="M24" s="57">
        <f t="shared" si="5"/>
        <v>25590.323225268006</v>
      </c>
      <c r="O24" s="151">
        <f t="shared" si="6"/>
        <v>21789.286167600003</v>
      </c>
    </row>
    <row r="25" spans="1:17" x14ac:dyDescent="0.25">
      <c r="A25" s="58" t="s">
        <v>49</v>
      </c>
      <c r="B25" s="199" t="s">
        <v>106</v>
      </c>
      <c r="C25" s="60" t="s">
        <v>70</v>
      </c>
      <c r="D25" s="61">
        <v>1.08</v>
      </c>
      <c r="E25" s="129">
        <v>78827.255240400002</v>
      </c>
      <c r="F25" s="218">
        <f>E25</f>
        <v>78827.255240400002</v>
      </c>
      <c r="G25" s="56">
        <f t="shared" si="0"/>
        <v>0</v>
      </c>
      <c r="H25" s="56">
        <f t="shared" si="1"/>
        <v>0</v>
      </c>
      <c r="I25" s="56">
        <f t="shared" si="2"/>
        <v>10989.286167600001</v>
      </c>
      <c r="J25" s="56">
        <f>Edesur!N32</f>
        <v>3801.0370576680034</v>
      </c>
      <c r="K25" s="56">
        <f t="shared" si="3"/>
        <v>0</v>
      </c>
      <c r="L25" s="56">
        <f t="shared" si="4"/>
        <v>10800</v>
      </c>
      <c r="M25" s="57">
        <f t="shared" si="5"/>
        <v>25590.323225268006</v>
      </c>
      <c r="O25" s="151">
        <f t="shared" si="6"/>
        <v>21789.286167600003</v>
      </c>
    </row>
    <row r="26" spans="1:17" x14ac:dyDescent="0.25">
      <c r="A26" s="58" t="s">
        <v>63</v>
      </c>
      <c r="B26" s="59"/>
      <c r="C26" s="60" t="s">
        <v>71</v>
      </c>
      <c r="D26" s="61">
        <v>1.08</v>
      </c>
      <c r="E26" s="129">
        <v>22332.662571600002</v>
      </c>
      <c r="F26" s="218">
        <f t="shared" ref="F26:F28" si="11">E26</f>
        <v>22332.662571600002</v>
      </c>
      <c r="G26" s="56">
        <f t="shared" si="0"/>
        <v>0</v>
      </c>
      <c r="H26" s="56">
        <f t="shared" si="1"/>
        <v>0</v>
      </c>
      <c r="I26" s="56">
        <f t="shared" si="2"/>
        <v>10989.286167600001</v>
      </c>
      <c r="J26" s="56">
        <f>Edesur!N33</f>
        <v>3801.0370576680034</v>
      </c>
      <c r="K26" s="56">
        <f t="shared" si="3"/>
        <v>0</v>
      </c>
      <c r="L26" s="56">
        <f t="shared" si="4"/>
        <v>10800</v>
      </c>
      <c r="M26" s="57">
        <f t="shared" si="5"/>
        <v>25590.323225268006</v>
      </c>
      <c r="O26" s="151">
        <f t="shared" si="6"/>
        <v>21789.286167600003</v>
      </c>
    </row>
    <row r="27" spans="1:17" x14ac:dyDescent="0.25">
      <c r="A27" s="58" t="s">
        <v>63</v>
      </c>
      <c r="B27" s="65"/>
      <c r="C27" s="60" t="s">
        <v>72</v>
      </c>
      <c r="D27" s="61">
        <v>1.08</v>
      </c>
      <c r="E27" s="129">
        <v>22332.662571600002</v>
      </c>
      <c r="F27" s="218">
        <f t="shared" si="11"/>
        <v>22332.662571600002</v>
      </c>
      <c r="G27" s="56">
        <f t="shared" si="0"/>
        <v>0</v>
      </c>
      <c r="H27" s="56">
        <f t="shared" si="1"/>
        <v>0</v>
      </c>
      <c r="I27" s="56">
        <f t="shared" si="2"/>
        <v>10989.286167600001</v>
      </c>
      <c r="J27" s="56">
        <f>Edesur!N34</f>
        <v>3801.0370576680034</v>
      </c>
      <c r="K27" s="56">
        <f t="shared" si="3"/>
        <v>0</v>
      </c>
      <c r="L27" s="56">
        <f t="shared" si="4"/>
        <v>10800</v>
      </c>
      <c r="M27" s="57">
        <f t="shared" si="5"/>
        <v>25590.323225268006</v>
      </c>
      <c r="O27" s="151">
        <f t="shared" si="6"/>
        <v>21789.286167600003</v>
      </c>
      <c r="P27" s="44">
        <f>F27+F26+F19</f>
        <v>197685.4205412</v>
      </c>
    </row>
    <row r="28" spans="1:17" x14ac:dyDescent="0.25">
      <c r="A28" s="66"/>
      <c r="B28" s="65" t="str">
        <f>B7</f>
        <v>Leandro</v>
      </c>
      <c r="C28" s="60" t="s">
        <v>73</v>
      </c>
      <c r="D28" s="61">
        <v>1.08</v>
      </c>
      <c r="E28" s="129">
        <v>22332.662571600002</v>
      </c>
      <c r="F28" s="218">
        <f t="shared" si="11"/>
        <v>22332.662571600002</v>
      </c>
      <c r="G28" s="56">
        <f t="shared" si="0"/>
        <v>0</v>
      </c>
      <c r="H28" s="56">
        <f t="shared" si="1"/>
        <v>0</v>
      </c>
      <c r="I28" s="56">
        <f t="shared" si="2"/>
        <v>10989.286167600001</v>
      </c>
      <c r="J28" s="56">
        <f>Edesur!N35</f>
        <v>3801.0370576680034</v>
      </c>
      <c r="K28" s="56">
        <f t="shared" si="3"/>
        <v>0</v>
      </c>
      <c r="L28" s="56">
        <f t="shared" si="4"/>
        <v>10800</v>
      </c>
      <c r="M28" s="57">
        <f t="shared" si="5"/>
        <v>25590.323225268006</v>
      </c>
      <c r="O28" s="151">
        <f t="shared" si="6"/>
        <v>21789.286167600003</v>
      </c>
    </row>
    <row r="29" spans="1:17" x14ac:dyDescent="0.25">
      <c r="A29" s="66" t="s">
        <v>53</v>
      </c>
      <c r="B29" s="59" t="s">
        <v>54</v>
      </c>
      <c r="C29" s="60" t="s">
        <v>74</v>
      </c>
      <c r="D29" s="61">
        <v>1.08</v>
      </c>
      <c r="E29" s="129">
        <v>22332.662571600002</v>
      </c>
      <c r="F29" s="218">
        <f>E29</f>
        <v>22332.662571600002</v>
      </c>
      <c r="G29" s="56">
        <f t="shared" si="0"/>
        <v>0</v>
      </c>
      <c r="H29" s="56">
        <f t="shared" si="1"/>
        <v>0</v>
      </c>
      <c r="I29" s="56">
        <f t="shared" si="2"/>
        <v>10989.286167600001</v>
      </c>
      <c r="J29" s="56">
        <f>Edesur!N36</f>
        <v>3801.0370576680034</v>
      </c>
      <c r="K29" s="56">
        <f t="shared" si="3"/>
        <v>0</v>
      </c>
      <c r="L29" s="56">
        <f t="shared" si="4"/>
        <v>10800</v>
      </c>
      <c r="M29" s="57">
        <f t="shared" si="5"/>
        <v>25590.323225268006</v>
      </c>
      <c r="O29" s="151">
        <f t="shared" si="6"/>
        <v>21789.286167600003</v>
      </c>
    </row>
    <row r="30" spans="1:17" x14ac:dyDescent="0.25">
      <c r="A30" s="67"/>
      <c r="B30" s="67"/>
      <c r="C30" s="68"/>
      <c r="D30" s="68"/>
      <c r="E30" s="69"/>
      <c r="F30" s="69"/>
      <c r="G30" s="70"/>
      <c r="H30" s="70"/>
      <c r="I30" s="70"/>
      <c r="J30" s="71"/>
      <c r="K30" s="71"/>
      <c r="L30" s="71"/>
      <c r="M30" s="71"/>
    </row>
    <row r="31" spans="1:17" x14ac:dyDescent="0.25">
      <c r="A31" s="72"/>
      <c r="B31" s="73"/>
      <c r="C31" s="74" t="s">
        <v>75</v>
      </c>
      <c r="D31" s="74">
        <f>SUM(D3:D30)</f>
        <v>99.999999999999986</v>
      </c>
      <c r="E31" s="73"/>
      <c r="F31" s="135">
        <f>SUM(F3:F30)</f>
        <v>2610074.1626310009</v>
      </c>
      <c r="G31" s="75"/>
      <c r="H31" s="75"/>
      <c r="I31" s="136">
        <f>SUM(I3:I30)</f>
        <v>1017526.4969999997</v>
      </c>
      <c r="J31" s="136"/>
      <c r="K31" s="136">
        <f>SUM(K3:K30)</f>
        <v>0</v>
      </c>
      <c r="L31" s="135"/>
      <c r="M31" s="135">
        <f>SUM(M3:M29)</f>
        <v>2940860.9731784859</v>
      </c>
    </row>
    <row r="32" spans="1:17" x14ac:dyDescent="0.25">
      <c r="K32" s="22"/>
    </row>
    <row r="33" spans="1:13" x14ac:dyDescent="0.25">
      <c r="A33" s="232" t="s">
        <v>111</v>
      </c>
      <c r="B33" s="232"/>
      <c r="C33" s="232"/>
      <c r="D33" s="232"/>
      <c r="E33" s="232"/>
      <c r="F33" s="232"/>
      <c r="G33" s="232"/>
      <c r="H33" s="232"/>
      <c r="I33" s="232"/>
      <c r="J33" s="232"/>
      <c r="K33" s="232"/>
      <c r="L33" s="232"/>
      <c r="M33" s="232"/>
    </row>
    <row r="34" spans="1:13" x14ac:dyDescent="0.25">
      <c r="A34" s="232"/>
      <c r="B34" s="232"/>
      <c r="C34" s="232"/>
      <c r="D34" s="232"/>
      <c r="E34" s="232"/>
      <c r="F34" s="232"/>
      <c r="G34" s="232"/>
      <c r="H34" s="232"/>
      <c r="I34" s="232"/>
      <c r="J34" s="232"/>
      <c r="K34" s="232"/>
      <c r="L34" s="232"/>
      <c r="M34" s="232"/>
    </row>
    <row r="35" spans="1:13" x14ac:dyDescent="0.25">
      <c r="A35" s="232"/>
      <c r="B35" s="232"/>
      <c r="C35" s="232"/>
      <c r="D35" s="232"/>
      <c r="E35" s="232"/>
      <c r="F35" s="232"/>
      <c r="G35" s="232"/>
      <c r="H35" s="232"/>
      <c r="I35" s="232"/>
      <c r="J35" s="232"/>
      <c r="K35" s="232"/>
      <c r="L35" s="232"/>
      <c r="M35" s="232"/>
    </row>
    <row r="36" spans="1:13" x14ac:dyDescent="0.25">
      <c r="A36" s="232"/>
      <c r="B36" s="232"/>
      <c r="C36" s="232"/>
      <c r="D36" s="232"/>
      <c r="E36" s="232"/>
      <c r="F36" s="232"/>
      <c r="G36" s="232"/>
      <c r="H36" s="232"/>
      <c r="I36" s="232"/>
      <c r="J36" s="232"/>
      <c r="K36" s="232"/>
      <c r="L36" s="232"/>
      <c r="M36" s="232"/>
    </row>
    <row r="40" spans="1:13" x14ac:dyDescent="0.25">
      <c r="E40" s="21"/>
    </row>
  </sheetData>
  <mergeCells count="5">
    <mergeCell ref="B1:C1"/>
    <mergeCell ref="A33:M36"/>
    <mergeCell ref="G1:H1"/>
    <mergeCell ref="I1:K1"/>
    <mergeCell ref="L1:M1"/>
  </mergeCells>
  <printOptions horizontalCentered="1" verticalCentered="1"/>
  <pageMargins left="0.19685039370078741" right="0.19685039370078741" top="0.19685039370078741" bottom="0.19685039370078741" header="0.31496062992125984" footer="0.31496062992125984"/>
  <pageSetup paperSize="9" scale="8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opLeftCell="C24" workbookViewId="0">
      <selection activeCell="G28" sqref="G28"/>
    </sheetView>
  </sheetViews>
  <sheetFormatPr baseColWidth="10" defaultRowHeight="15" x14ac:dyDescent="0.25"/>
  <cols>
    <col min="1" max="1" width="5" hidden="1" customWidth="1"/>
    <col min="2" max="2" width="8.28515625" hidden="1" customWidth="1"/>
    <col min="3" max="3" width="15.140625" customWidth="1"/>
    <col min="4" max="4" width="21.7109375" bestFit="1" customWidth="1"/>
    <col min="5" max="5" width="8.85546875" customWidth="1"/>
    <col min="6" max="6" width="16.42578125" bestFit="1" customWidth="1"/>
    <col min="7" max="7" width="8.7109375" bestFit="1" customWidth="1"/>
    <col min="8" max="8" width="6" bestFit="1" customWidth="1"/>
    <col min="9" max="9" width="10.42578125" bestFit="1" customWidth="1"/>
    <col min="10" max="10" width="11.140625" bestFit="1" customWidth="1"/>
    <col min="11" max="11" width="13" bestFit="1" customWidth="1"/>
    <col min="12" max="12" width="11.140625" bestFit="1" customWidth="1"/>
    <col min="13" max="13" width="5.7109375" bestFit="1" customWidth="1"/>
    <col min="14" max="14" width="12.85546875" customWidth="1"/>
    <col min="15" max="15" width="11.42578125" hidden="1" customWidth="1"/>
  </cols>
  <sheetData>
    <row r="1" spans="1:19" ht="21" customHeight="1" x14ac:dyDescent="0.25">
      <c r="A1" s="235" t="s">
        <v>77</v>
      </c>
      <c r="B1" s="236"/>
      <c r="C1" s="236"/>
      <c r="D1" s="236"/>
      <c r="E1" s="236"/>
      <c r="F1" s="236"/>
      <c r="G1" s="236"/>
      <c r="H1" s="236"/>
      <c r="I1" s="236"/>
      <c r="J1" s="236"/>
      <c r="K1" s="236"/>
      <c r="L1" s="236"/>
      <c r="M1" s="236"/>
      <c r="N1" s="237"/>
      <c r="O1" s="76"/>
    </row>
    <row r="2" spans="1:19" x14ac:dyDescent="0.25">
      <c r="A2" s="77"/>
      <c r="B2" s="77"/>
      <c r="C2" s="161"/>
      <c r="D2" s="161"/>
      <c r="E2" s="161"/>
      <c r="F2" s="161"/>
      <c r="G2" s="161"/>
      <c r="H2" s="162"/>
      <c r="I2" s="161"/>
      <c r="J2" s="161"/>
      <c r="K2" s="161"/>
      <c r="L2" s="161"/>
      <c r="M2" s="161"/>
      <c r="N2" s="161"/>
      <c r="O2" s="78"/>
      <c r="P2" s="11"/>
    </row>
    <row r="3" spans="1:19" x14ac:dyDescent="0.25">
      <c r="A3" s="80"/>
      <c r="B3" s="80"/>
      <c r="C3" s="163"/>
      <c r="D3" s="163"/>
      <c r="E3" s="163"/>
      <c r="F3" s="163"/>
      <c r="G3" s="163"/>
      <c r="H3" s="162"/>
      <c r="I3" s="161"/>
      <c r="J3" s="161"/>
      <c r="K3" s="161"/>
      <c r="L3" s="161"/>
      <c r="M3" s="161"/>
      <c r="N3" s="161"/>
      <c r="O3" s="78"/>
      <c r="P3" s="11"/>
    </row>
    <row r="4" spans="1:19" x14ac:dyDescent="0.25">
      <c r="A4" s="80"/>
      <c r="B4" s="80"/>
      <c r="C4" s="163"/>
      <c r="D4" s="163"/>
      <c r="E4" s="163"/>
      <c r="F4" s="163"/>
      <c r="G4" s="163"/>
      <c r="H4" s="162"/>
      <c r="I4" s="161" t="s">
        <v>76</v>
      </c>
      <c r="J4" s="161"/>
      <c r="K4" s="161"/>
      <c r="L4" s="161"/>
      <c r="M4" s="161"/>
      <c r="N4" s="161"/>
      <c r="O4" s="78"/>
      <c r="P4" s="11"/>
    </row>
    <row r="5" spans="1:19" x14ac:dyDescent="0.25">
      <c r="A5" s="80"/>
      <c r="B5" s="80"/>
      <c r="C5" s="163"/>
      <c r="D5" s="163"/>
      <c r="E5" s="163"/>
      <c r="F5" s="163"/>
      <c r="G5" s="163"/>
      <c r="H5" s="162"/>
      <c r="I5" s="161"/>
      <c r="J5" s="161"/>
      <c r="K5" s="161"/>
      <c r="L5" s="161"/>
      <c r="M5" s="161"/>
      <c r="N5" s="161"/>
      <c r="O5" s="78"/>
      <c r="P5" s="11"/>
    </row>
    <row r="6" spans="1:19" x14ac:dyDescent="0.25">
      <c r="A6" s="80"/>
      <c r="B6" s="80"/>
      <c r="C6" s="217" t="str">
        <f>'detalle y gastos'!C7</f>
        <v>Vto. 15/12</v>
      </c>
      <c r="D6" s="28"/>
      <c r="E6" s="161"/>
      <c r="F6" s="161"/>
      <c r="G6" s="161"/>
      <c r="H6" s="162"/>
      <c r="I6" s="161"/>
      <c r="J6" s="161"/>
      <c r="K6" s="161"/>
      <c r="L6" s="161"/>
      <c r="M6" s="161"/>
      <c r="N6" s="161"/>
      <c r="O6" s="78"/>
      <c r="P6" s="11"/>
    </row>
    <row r="7" spans="1:19" ht="19.5" customHeight="1" x14ac:dyDescent="0.25">
      <c r="A7" s="81"/>
      <c r="B7" s="81" t="s">
        <v>77</v>
      </c>
      <c r="C7" s="204">
        <v>551870.81000000006</v>
      </c>
      <c r="D7" s="28"/>
      <c r="E7" s="161"/>
      <c r="F7" s="161" t="s">
        <v>93</v>
      </c>
      <c r="G7" s="161"/>
      <c r="H7" s="162"/>
      <c r="I7" s="161"/>
      <c r="J7" s="161" t="str">
        <f>'detalle y gastos'!C7</f>
        <v>Vto. 15/12</v>
      </c>
      <c r="K7" s="161"/>
      <c r="L7" s="161"/>
      <c r="M7" s="161"/>
      <c r="N7" s="161"/>
      <c r="O7" s="78"/>
      <c r="P7" s="11"/>
    </row>
    <row r="8" spans="1:19" hidden="1" x14ac:dyDescent="0.25">
      <c r="A8" s="81"/>
      <c r="B8" s="80" t="s">
        <v>77</v>
      </c>
      <c r="C8" s="85"/>
      <c r="E8" s="82"/>
      <c r="F8" s="82"/>
      <c r="G8" s="82"/>
      <c r="H8" s="83"/>
      <c r="I8" s="82"/>
      <c r="J8" s="78"/>
      <c r="K8" s="86">
        <f>C8-J38</f>
        <v>-199922.9342899998</v>
      </c>
      <c r="L8" s="239">
        <f>C7-J38</f>
        <v>351947.87571000028</v>
      </c>
      <c r="M8" s="239"/>
      <c r="N8" s="84"/>
      <c r="O8" s="78"/>
      <c r="P8" s="11"/>
    </row>
    <row r="9" spans="1:19" ht="28.5" customHeight="1" x14ac:dyDescent="0.25">
      <c r="A9" s="87" t="s">
        <v>78</v>
      </c>
      <c r="B9" s="87" t="s">
        <v>78</v>
      </c>
      <c r="C9" s="119" t="s">
        <v>79</v>
      </c>
      <c r="D9" s="120" t="s">
        <v>80</v>
      </c>
      <c r="E9" s="120" t="s">
        <v>1</v>
      </c>
      <c r="F9" s="118" t="s">
        <v>81</v>
      </c>
      <c r="G9" s="118" t="s">
        <v>82</v>
      </c>
      <c r="H9" s="121" t="s">
        <v>85</v>
      </c>
      <c r="I9" s="122" t="s">
        <v>83</v>
      </c>
      <c r="J9" s="123" t="s">
        <v>77</v>
      </c>
      <c r="K9" s="124" t="s">
        <v>84</v>
      </c>
      <c r="L9" s="124" t="s">
        <v>84</v>
      </c>
      <c r="M9" s="125" t="s">
        <v>85</v>
      </c>
      <c r="N9" s="118" t="s">
        <v>86</v>
      </c>
      <c r="P9" s="11"/>
    </row>
    <row r="10" spans="1:19" x14ac:dyDescent="0.25">
      <c r="A10" s="98">
        <v>1</v>
      </c>
      <c r="B10" s="88">
        <v>1</v>
      </c>
      <c r="C10" s="115" t="s">
        <v>32</v>
      </c>
      <c r="D10" s="100" t="s">
        <v>31</v>
      </c>
      <c r="E10" s="101">
        <v>5.1100000000000003</v>
      </c>
      <c r="F10" s="103">
        <v>4302.83</v>
      </c>
      <c r="G10" s="103">
        <v>4441.7</v>
      </c>
      <c r="H10" s="104">
        <f>G10-F10</f>
        <v>138.86999999999989</v>
      </c>
      <c r="I10" s="105">
        <f t="shared" ref="I10:I37" si="0">H10*7%</f>
        <v>9.7208999999999932</v>
      </c>
      <c r="J10" s="116">
        <f>M10*93.787</f>
        <v>13024.200689999991</v>
      </c>
      <c r="K10" s="106">
        <f>K8*E10%</f>
        <v>-10216.061942218992</v>
      </c>
      <c r="L10" s="127">
        <f>L$8*E10/S$12</f>
        <v>17984.536448781015</v>
      </c>
      <c r="M10" s="107">
        <f>G10-F10</f>
        <v>138.86999999999989</v>
      </c>
      <c r="N10" s="104">
        <f>J10+L10</f>
        <v>31008.737138781005</v>
      </c>
      <c r="O10" s="97">
        <f>N10+'prorrateo '!M3</f>
        <v>165113.07827426199</v>
      </c>
      <c r="P10" s="11"/>
    </row>
    <row r="11" spans="1:19" x14ac:dyDescent="0.25">
      <c r="A11" s="99">
        <v>2</v>
      </c>
      <c r="B11" s="89">
        <v>2</v>
      </c>
      <c r="C11" s="115" t="s">
        <v>34</v>
      </c>
      <c r="D11" s="100" t="s">
        <v>33</v>
      </c>
      <c r="E11" s="101">
        <v>5.09</v>
      </c>
      <c r="F11" s="103">
        <v>4106.5</v>
      </c>
      <c r="G11" s="103">
        <v>4207.8</v>
      </c>
      <c r="H11" s="104">
        <f t="shared" ref="H11:H27" si="1">G11-F11</f>
        <v>101.30000000000018</v>
      </c>
      <c r="I11" s="105">
        <f t="shared" si="0"/>
        <v>7.0910000000000135</v>
      </c>
      <c r="J11" s="116">
        <f t="shared" ref="J11:J26" si="2">M11*93.787</f>
        <v>9500.6231000000171</v>
      </c>
      <c r="K11" s="106">
        <f>K8*E11%</f>
        <v>-10176.077355360991</v>
      </c>
      <c r="L11" s="127">
        <f t="shared" ref="L11:L36" si="3">L$8*E11/S$12</f>
        <v>17914.146873639012</v>
      </c>
      <c r="M11" s="107">
        <f t="shared" ref="M11:M26" si="4">G11-F11</f>
        <v>101.30000000000018</v>
      </c>
      <c r="N11" s="104">
        <f t="shared" ref="N11:N25" si="5">J11+L11</f>
        <v>27414.769973639028</v>
      </c>
      <c r="O11" s="97">
        <f>N11+'prorrateo '!M4</f>
        <v>157521.63864457805</v>
      </c>
      <c r="P11" s="11"/>
    </row>
    <row r="12" spans="1:19" ht="16.5" customHeight="1" x14ac:dyDescent="0.25">
      <c r="A12" s="98">
        <v>3</v>
      </c>
      <c r="B12" s="89">
        <v>3</v>
      </c>
      <c r="C12" s="115" t="s">
        <v>36</v>
      </c>
      <c r="D12" s="100" t="s">
        <v>35</v>
      </c>
      <c r="E12" s="101">
        <v>5.04</v>
      </c>
      <c r="F12" s="103">
        <v>1558.7</v>
      </c>
      <c r="G12" s="103">
        <v>1667.5</v>
      </c>
      <c r="H12" s="104">
        <f t="shared" si="1"/>
        <v>108.79999999999995</v>
      </c>
      <c r="I12" s="105">
        <f t="shared" si="0"/>
        <v>7.6159999999999979</v>
      </c>
      <c r="J12" s="116">
        <f t="shared" si="2"/>
        <v>10204.025599999997</v>
      </c>
      <c r="K12" s="106">
        <f>K8*E12%</f>
        <v>-10076.115888215991</v>
      </c>
      <c r="L12" s="127">
        <f t="shared" si="3"/>
        <v>17738.172935784016</v>
      </c>
      <c r="M12" s="107">
        <f>G12-F12</f>
        <v>108.79999999999995</v>
      </c>
      <c r="N12" s="104">
        <f t="shared" si="5"/>
        <v>27942.198535784013</v>
      </c>
      <c r="O12" s="97">
        <f>N12+'prorrateo '!M5</f>
        <v>188668.92739483208</v>
      </c>
      <c r="P12" s="11"/>
      <c r="S12">
        <v>100</v>
      </c>
    </row>
    <row r="13" spans="1:19" x14ac:dyDescent="0.25">
      <c r="A13" s="98">
        <v>4</v>
      </c>
      <c r="B13" s="89" t="s">
        <v>87</v>
      </c>
      <c r="C13" s="164" t="s">
        <v>38</v>
      </c>
      <c r="D13" s="100" t="s">
        <v>37</v>
      </c>
      <c r="E13" s="165">
        <v>5.21</v>
      </c>
      <c r="F13" s="103">
        <v>1204.5999999999999</v>
      </c>
      <c r="G13" s="103">
        <v>1283.0999999999999</v>
      </c>
      <c r="H13" s="104">
        <f t="shared" si="1"/>
        <v>78.5</v>
      </c>
      <c r="I13" s="166">
        <f t="shared" si="0"/>
        <v>5.4950000000000001</v>
      </c>
      <c r="J13" s="116">
        <f t="shared" si="2"/>
        <v>7362.2795000000006</v>
      </c>
      <c r="K13" s="167">
        <f>K8*E13%</f>
        <v>-10415.98487650899</v>
      </c>
      <c r="L13" s="127">
        <f t="shared" si="3"/>
        <v>18336.484324491015</v>
      </c>
      <c r="M13" s="168">
        <f t="shared" si="4"/>
        <v>78.5</v>
      </c>
      <c r="N13" s="104">
        <f t="shared" si="5"/>
        <v>25698.763824491016</v>
      </c>
      <c r="O13" s="97">
        <f>N13+'prorrateo '!M6</f>
        <v>268554.45340005006</v>
      </c>
      <c r="P13" s="11"/>
    </row>
    <row r="14" spans="1:19" x14ac:dyDescent="0.25">
      <c r="A14" s="98">
        <v>6</v>
      </c>
      <c r="B14" s="89">
        <v>6</v>
      </c>
      <c r="C14" s="115" t="s">
        <v>39</v>
      </c>
      <c r="D14" s="100" t="s">
        <v>35</v>
      </c>
      <c r="E14" s="101">
        <v>5.1100000000000003</v>
      </c>
      <c r="F14" s="103">
        <v>1814</v>
      </c>
      <c r="G14" s="103">
        <v>1914.3</v>
      </c>
      <c r="H14" s="104">
        <f t="shared" si="1"/>
        <v>100.29999999999995</v>
      </c>
      <c r="I14" s="105">
        <f t="shared" si="0"/>
        <v>7.0209999999999972</v>
      </c>
      <c r="J14" s="116">
        <f t="shared" si="2"/>
        <v>9406.8360999999968</v>
      </c>
      <c r="K14" s="106">
        <f>K8*E14%</f>
        <v>-10216.061942218992</v>
      </c>
      <c r="L14" s="127">
        <f t="shared" si="3"/>
        <v>17984.536448781015</v>
      </c>
      <c r="M14" s="107">
        <f t="shared" si="4"/>
        <v>100.29999999999995</v>
      </c>
      <c r="N14" s="104">
        <f t="shared" si="5"/>
        <v>27391.372548781012</v>
      </c>
      <c r="O14" s="97">
        <f>N14+'prorrateo '!M7</f>
        <v>157878.34909426203</v>
      </c>
      <c r="P14" s="11"/>
    </row>
    <row r="15" spans="1:19" x14ac:dyDescent="0.25">
      <c r="A15" s="98">
        <v>7</v>
      </c>
      <c r="B15" s="89">
        <v>7</v>
      </c>
      <c r="C15" s="115" t="s">
        <v>41</v>
      </c>
      <c r="D15" s="100" t="s">
        <v>40</v>
      </c>
      <c r="E15" s="101">
        <v>5.09</v>
      </c>
      <c r="F15" s="103">
        <v>3018</v>
      </c>
      <c r="G15" s="103">
        <v>3098.9</v>
      </c>
      <c r="H15" s="104">
        <f t="shared" si="1"/>
        <v>80.900000000000091</v>
      </c>
      <c r="I15" s="105">
        <f t="shared" si="0"/>
        <v>5.6630000000000065</v>
      </c>
      <c r="J15" s="116">
        <f t="shared" si="2"/>
        <v>7587.3683000000092</v>
      </c>
      <c r="K15" s="106">
        <f>K8*E15%</f>
        <v>-10176.077355360991</v>
      </c>
      <c r="L15" s="127">
        <f t="shared" si="3"/>
        <v>17914.146873639012</v>
      </c>
      <c r="M15" s="107">
        <f t="shared" si="4"/>
        <v>80.900000000000091</v>
      </c>
      <c r="N15" s="104">
        <f t="shared" si="5"/>
        <v>25501.515173639022</v>
      </c>
      <c r="O15" s="97">
        <f>N15+'prorrateo '!M8</f>
        <v>153695.12904457803</v>
      </c>
    </row>
    <row r="16" spans="1:19" x14ac:dyDescent="0.25">
      <c r="A16" s="98">
        <v>8</v>
      </c>
      <c r="B16" s="89">
        <v>8</v>
      </c>
      <c r="C16" s="115" t="s">
        <v>43</v>
      </c>
      <c r="D16" s="100" t="s">
        <v>42</v>
      </c>
      <c r="E16" s="101">
        <v>5.1100000000000003</v>
      </c>
      <c r="F16" s="103">
        <v>2516.4</v>
      </c>
      <c r="G16" s="103">
        <v>2607.6</v>
      </c>
      <c r="H16" s="104">
        <f t="shared" si="1"/>
        <v>91.199999999999818</v>
      </c>
      <c r="I16" s="105">
        <f t="shared" si="0"/>
        <v>6.3839999999999879</v>
      </c>
      <c r="J16" s="116">
        <f t="shared" si="2"/>
        <v>8553.3743999999842</v>
      </c>
      <c r="K16" s="106">
        <f>K8*E16%</f>
        <v>-10216.061942218992</v>
      </c>
      <c r="L16" s="127">
        <f t="shared" si="3"/>
        <v>17984.536448781015</v>
      </c>
      <c r="M16" s="107">
        <f t="shared" si="4"/>
        <v>91.199999999999818</v>
      </c>
      <c r="N16" s="104">
        <f t="shared" si="5"/>
        <v>26537.910848781001</v>
      </c>
      <c r="O16" s="97">
        <f>N16+'prorrateo '!M9</f>
        <v>156171.425694262</v>
      </c>
    </row>
    <row r="17" spans="1:15" x14ac:dyDescent="0.25">
      <c r="A17" s="98">
        <v>9</v>
      </c>
      <c r="B17" s="89">
        <v>9</v>
      </c>
      <c r="C17" s="185" t="s">
        <v>45</v>
      </c>
      <c r="D17" s="186" t="s">
        <v>44</v>
      </c>
      <c r="E17" s="187">
        <v>5.09</v>
      </c>
      <c r="F17" s="189">
        <v>3375.8</v>
      </c>
      <c r="G17" s="189">
        <v>3400.1</v>
      </c>
      <c r="H17" s="190">
        <f t="shared" si="1"/>
        <v>24.299999999999727</v>
      </c>
      <c r="I17" s="191">
        <f t="shared" si="0"/>
        <v>1.700999999999981</v>
      </c>
      <c r="J17" s="192">
        <f t="shared" si="2"/>
        <v>2279.0240999999746</v>
      </c>
      <c r="K17" s="193">
        <f>K8*E17%</f>
        <v>-10176.077355360991</v>
      </c>
      <c r="L17" s="194">
        <f t="shared" si="3"/>
        <v>17914.146873639012</v>
      </c>
      <c r="M17" s="195">
        <f t="shared" si="4"/>
        <v>24.299999999999727</v>
      </c>
      <c r="N17" s="190">
        <f t="shared" si="5"/>
        <v>20193.170973638986</v>
      </c>
      <c r="O17" s="97">
        <f>N17+'prorrateo '!M10</f>
        <v>143078.44064457796</v>
      </c>
    </row>
    <row r="18" spans="1:15" x14ac:dyDescent="0.25">
      <c r="A18" s="98">
        <v>10</v>
      </c>
      <c r="B18" s="89">
        <v>10</v>
      </c>
      <c r="C18" s="115" t="s">
        <v>46</v>
      </c>
      <c r="D18" s="100" t="s">
        <v>95</v>
      </c>
      <c r="E18" s="101">
        <v>5.04</v>
      </c>
      <c r="F18" s="103">
        <v>2270.5</v>
      </c>
      <c r="G18" s="103">
        <v>2354.6999999999998</v>
      </c>
      <c r="H18" s="104">
        <f t="shared" si="1"/>
        <v>84.199999999999818</v>
      </c>
      <c r="I18" s="105">
        <f t="shared" si="0"/>
        <v>5.8939999999999877</v>
      </c>
      <c r="J18" s="116">
        <f t="shared" si="2"/>
        <v>7896.8653999999833</v>
      </c>
      <c r="K18" s="106">
        <f>K8*E18%</f>
        <v>-10076.115888215991</v>
      </c>
      <c r="L18" s="127">
        <f t="shared" si="3"/>
        <v>17738.172935784016</v>
      </c>
      <c r="M18" s="107">
        <f t="shared" si="4"/>
        <v>84.199999999999818</v>
      </c>
      <c r="N18" s="104">
        <f t="shared" si="5"/>
        <v>25635.038335784</v>
      </c>
      <c r="O18" s="97">
        <f>N18+'prorrateo '!M11</f>
        <v>152953.41212036801</v>
      </c>
    </row>
    <row r="19" spans="1:15" ht="15" customHeight="1" x14ac:dyDescent="0.25">
      <c r="A19" s="98">
        <v>11</v>
      </c>
      <c r="B19" s="89">
        <v>11</v>
      </c>
      <c r="C19" s="115" t="s">
        <v>48</v>
      </c>
      <c r="D19" s="108" t="s">
        <v>47</v>
      </c>
      <c r="E19" s="101">
        <v>5.21</v>
      </c>
      <c r="F19" s="103">
        <v>4351.6000000000004</v>
      </c>
      <c r="G19" s="103">
        <v>4574.8999999999996</v>
      </c>
      <c r="H19" s="104">
        <f t="shared" si="1"/>
        <v>223.29999999999927</v>
      </c>
      <c r="I19" s="105">
        <f t="shared" si="0"/>
        <v>15.63099999999995</v>
      </c>
      <c r="J19" s="116">
        <f t="shared" si="2"/>
        <v>20942.637099999934</v>
      </c>
      <c r="K19" s="106">
        <f>K8*E19%</f>
        <v>-10415.98487650899</v>
      </c>
      <c r="L19" s="127">
        <f t="shared" si="3"/>
        <v>18336.484324491015</v>
      </c>
      <c r="M19" s="107">
        <f>G19-F19</f>
        <v>223.29999999999927</v>
      </c>
      <c r="N19" s="104">
        <f t="shared" si="5"/>
        <v>39279.12142449095</v>
      </c>
      <c r="O19" s="97">
        <f>N19+'prorrateo '!M12</f>
        <v>183671.37334268191</v>
      </c>
    </row>
    <row r="20" spans="1:15" ht="15" customHeight="1" x14ac:dyDescent="0.25">
      <c r="A20" s="98">
        <v>12</v>
      </c>
      <c r="B20" s="89">
        <v>12</v>
      </c>
      <c r="C20" s="115" t="s">
        <v>51</v>
      </c>
      <c r="D20" s="108" t="s">
        <v>49</v>
      </c>
      <c r="E20" s="101">
        <v>5.1100000000000003</v>
      </c>
      <c r="F20" s="103">
        <v>5489.3</v>
      </c>
      <c r="G20" s="103">
        <v>6064.7</v>
      </c>
      <c r="H20" s="104">
        <f t="shared" si="1"/>
        <v>575.39999999999964</v>
      </c>
      <c r="I20" s="105">
        <f t="shared" si="0"/>
        <v>40.277999999999977</v>
      </c>
      <c r="J20" s="116">
        <f t="shared" si="2"/>
        <v>53965.03979999997</v>
      </c>
      <c r="K20" s="106">
        <f>K8*E20%</f>
        <v>-10216.061942218992</v>
      </c>
      <c r="L20" s="127">
        <f t="shared" si="3"/>
        <v>17984.536448781015</v>
      </c>
      <c r="M20" s="107">
        <f t="shared" si="4"/>
        <v>575.39999999999964</v>
      </c>
      <c r="N20" s="104">
        <f t="shared" si="5"/>
        <v>71949.576248780984</v>
      </c>
      <c r="O20" s="97">
        <f>N20+'prorrateo '!M13</f>
        <v>246994.75649426196</v>
      </c>
    </row>
    <row r="21" spans="1:15" x14ac:dyDescent="0.25">
      <c r="A21" s="98">
        <v>13</v>
      </c>
      <c r="B21" s="89">
        <v>13</v>
      </c>
      <c r="C21" s="210" t="s">
        <v>52</v>
      </c>
      <c r="D21" s="211" t="s">
        <v>49</v>
      </c>
      <c r="E21" s="212">
        <v>5.09</v>
      </c>
      <c r="F21" s="213">
        <v>4112.1000000000004</v>
      </c>
      <c r="G21" s="213">
        <v>4199</v>
      </c>
      <c r="H21" s="147">
        <f t="shared" si="1"/>
        <v>86.899999999999636</v>
      </c>
      <c r="I21" s="214">
        <f t="shared" si="0"/>
        <v>6.0829999999999753</v>
      </c>
      <c r="J21" s="215">
        <f t="shared" si="2"/>
        <v>8150.0902999999662</v>
      </c>
      <c r="K21" s="148">
        <f>K8*E21%</f>
        <v>-10176.077355360991</v>
      </c>
      <c r="L21" s="149">
        <f t="shared" si="3"/>
        <v>17914.146873639012</v>
      </c>
      <c r="M21" s="150">
        <f t="shared" si="4"/>
        <v>86.899999999999636</v>
      </c>
      <c r="N21" s="147">
        <f t="shared" si="5"/>
        <v>26064.23717363898</v>
      </c>
      <c r="O21" s="97">
        <f>N21+'prorrateo '!M14</f>
        <v>110036.78884367795</v>
      </c>
    </row>
    <row r="22" spans="1:15" x14ac:dyDescent="0.25">
      <c r="A22" s="98">
        <v>14</v>
      </c>
      <c r="B22" s="89">
        <v>14</v>
      </c>
      <c r="C22" s="115" t="s">
        <v>55</v>
      </c>
      <c r="D22" s="100" t="s">
        <v>53</v>
      </c>
      <c r="E22" s="101">
        <v>5.04</v>
      </c>
      <c r="F22" s="103">
        <v>2441.5</v>
      </c>
      <c r="G22" s="103">
        <v>2497.1</v>
      </c>
      <c r="H22" s="104">
        <f t="shared" si="1"/>
        <v>55.599999999999909</v>
      </c>
      <c r="I22" s="105">
        <f t="shared" si="0"/>
        <v>3.8919999999999941</v>
      </c>
      <c r="J22" s="116">
        <f t="shared" si="2"/>
        <v>5214.557199999992</v>
      </c>
      <c r="K22" s="106">
        <f>K8*E22%</f>
        <v>-10076.115888215991</v>
      </c>
      <c r="L22" s="127">
        <f t="shared" si="3"/>
        <v>17738.172935784016</v>
      </c>
      <c r="M22" s="107">
        <f t="shared" si="4"/>
        <v>55.599999999999909</v>
      </c>
      <c r="N22" s="104">
        <f t="shared" si="5"/>
        <v>22952.730135784008</v>
      </c>
      <c r="O22" s="97">
        <f>N22+'prorrateo '!M15</f>
        <v>147588.80035086398</v>
      </c>
    </row>
    <row r="23" spans="1:15" x14ac:dyDescent="0.25">
      <c r="A23" s="98">
        <v>15</v>
      </c>
      <c r="B23" s="89">
        <v>15</v>
      </c>
      <c r="C23" s="115" t="s">
        <v>58</v>
      </c>
      <c r="D23" s="100" t="s">
        <v>56</v>
      </c>
      <c r="E23" s="101">
        <v>5.21</v>
      </c>
      <c r="F23" s="103">
        <v>4886.6000000000004</v>
      </c>
      <c r="G23" s="103">
        <v>5000</v>
      </c>
      <c r="H23" s="104">
        <f t="shared" si="1"/>
        <v>113.39999999999964</v>
      </c>
      <c r="I23" s="105">
        <f t="shared" si="0"/>
        <v>7.9379999999999749</v>
      </c>
      <c r="J23" s="116">
        <f t="shared" si="2"/>
        <v>10635.445799999967</v>
      </c>
      <c r="K23" s="106">
        <f>K8*E23%</f>
        <v>-10415.98487650899</v>
      </c>
      <c r="L23" s="127">
        <f t="shared" si="3"/>
        <v>18336.484324491015</v>
      </c>
      <c r="M23" s="107">
        <f t="shared" si="4"/>
        <v>113.39999999999964</v>
      </c>
      <c r="N23" s="104">
        <f t="shared" si="5"/>
        <v>28971.93012449098</v>
      </c>
      <c r="O23" s="97">
        <f>N23+'prorrateo '!M16</f>
        <v>163056.99074268198</v>
      </c>
    </row>
    <row r="24" spans="1:15" x14ac:dyDescent="0.25">
      <c r="A24" s="98">
        <v>16</v>
      </c>
      <c r="B24" s="89">
        <v>16</v>
      </c>
      <c r="C24" s="115" t="s">
        <v>60</v>
      </c>
      <c r="D24" s="100" t="s">
        <v>59</v>
      </c>
      <c r="E24" s="101">
        <v>5.04</v>
      </c>
      <c r="F24" s="103">
        <v>1776.7</v>
      </c>
      <c r="G24" s="103">
        <v>1802.7</v>
      </c>
      <c r="H24" s="104">
        <f t="shared" si="1"/>
        <v>26</v>
      </c>
      <c r="I24" s="105">
        <f t="shared" si="0"/>
        <v>1.8200000000000003</v>
      </c>
      <c r="J24" s="116">
        <f t="shared" si="2"/>
        <v>2438.462</v>
      </c>
      <c r="K24" s="106">
        <f>K8*E24%</f>
        <v>-10076.115888215991</v>
      </c>
      <c r="L24" s="127">
        <f t="shared" si="3"/>
        <v>17738.172935784016</v>
      </c>
      <c r="M24" s="107">
        <f t="shared" si="4"/>
        <v>26</v>
      </c>
      <c r="N24" s="104">
        <f t="shared" si="5"/>
        <v>20176.634935784015</v>
      </c>
      <c r="O24" s="97">
        <f>N24+'prorrateo '!M17</f>
        <v>142036.60532036802</v>
      </c>
    </row>
    <row r="25" spans="1:15" x14ac:dyDescent="0.25">
      <c r="A25" s="98">
        <v>17</v>
      </c>
      <c r="B25" s="89">
        <v>17</v>
      </c>
      <c r="C25" s="115" t="s">
        <v>62</v>
      </c>
      <c r="D25" s="100" t="s">
        <v>61</v>
      </c>
      <c r="E25" s="101">
        <v>5.21</v>
      </c>
      <c r="F25" s="103">
        <v>1869.3</v>
      </c>
      <c r="G25" s="103">
        <v>1949.4</v>
      </c>
      <c r="H25" s="104">
        <f t="shared" si="1"/>
        <v>80.100000000000136</v>
      </c>
      <c r="I25" s="105">
        <f t="shared" si="0"/>
        <v>5.60700000000001</v>
      </c>
      <c r="J25" s="116">
        <f t="shared" si="2"/>
        <v>7512.338700000013</v>
      </c>
      <c r="K25" s="106">
        <f>K8*E25%</f>
        <v>-10415.98487650899</v>
      </c>
      <c r="L25" s="127">
        <f t="shared" si="3"/>
        <v>18336.484324491015</v>
      </c>
      <c r="M25" s="107">
        <f t="shared" si="4"/>
        <v>80.100000000000136</v>
      </c>
      <c r="N25" s="104">
        <f t="shared" si="5"/>
        <v>25848.82302449103</v>
      </c>
      <c r="O25" s="97">
        <f>N25+'prorrateo '!M18</f>
        <v>156810.77654268206</v>
      </c>
    </row>
    <row r="26" spans="1:15" x14ac:dyDescent="0.25">
      <c r="A26" s="98">
        <v>18</v>
      </c>
      <c r="B26" s="89">
        <v>18</v>
      </c>
      <c r="C26" s="115" t="s">
        <v>64</v>
      </c>
      <c r="D26" s="100" t="s">
        <v>63</v>
      </c>
      <c r="E26" s="101">
        <v>7.4</v>
      </c>
      <c r="F26" s="103">
        <v>8914.5</v>
      </c>
      <c r="G26" s="103">
        <v>9077.1</v>
      </c>
      <c r="H26" s="104">
        <f t="shared" si="1"/>
        <v>162.60000000000036</v>
      </c>
      <c r="I26" s="105">
        <f t="shared" si="0"/>
        <v>11.382000000000026</v>
      </c>
      <c r="J26" s="116">
        <f t="shared" si="2"/>
        <v>15249.766200000035</v>
      </c>
      <c r="K26" s="106">
        <f>K8*E26%</f>
        <v>-14794.297137459987</v>
      </c>
      <c r="L26" s="127">
        <f t="shared" si="3"/>
        <v>26044.142802540024</v>
      </c>
      <c r="M26" s="107">
        <f t="shared" si="4"/>
        <v>162.60000000000036</v>
      </c>
      <c r="N26" s="104">
        <f>J26+L26</f>
        <v>41293.909002540058</v>
      </c>
      <c r="O26" s="97">
        <f>N26+'prorrateo '!M19</f>
        <v>231884.77878308011</v>
      </c>
    </row>
    <row r="27" spans="1:15" ht="14.25" customHeight="1" x14ac:dyDescent="0.25">
      <c r="A27" s="98">
        <v>19</v>
      </c>
      <c r="B27" s="90">
        <v>19</v>
      </c>
      <c r="C27" s="196" t="s">
        <v>65</v>
      </c>
      <c r="D27" s="197"/>
      <c r="E27" s="198">
        <v>1.08</v>
      </c>
      <c r="F27" s="188"/>
      <c r="G27" s="189"/>
      <c r="H27" s="190">
        <f t="shared" si="1"/>
        <v>0</v>
      </c>
      <c r="I27" s="191">
        <f t="shared" si="0"/>
        <v>0</v>
      </c>
      <c r="J27" s="192"/>
      <c r="K27" s="193"/>
      <c r="L27" s="194">
        <f t="shared" si="3"/>
        <v>3801.0370576680034</v>
      </c>
      <c r="M27" s="195">
        <v>0</v>
      </c>
      <c r="N27" s="190">
        <f t="shared" ref="N27:N37" si="6">J27+L27</f>
        <v>3801.0370576680034</v>
      </c>
      <c r="O27" s="97">
        <f>N27+'prorrateo '!M20</f>
        <v>29391.36028293601</v>
      </c>
    </row>
    <row r="28" spans="1:15" x14ac:dyDescent="0.25">
      <c r="A28" s="98">
        <v>20</v>
      </c>
      <c r="B28" s="90"/>
      <c r="C28" s="169" t="s">
        <v>66</v>
      </c>
      <c r="D28" s="102"/>
      <c r="E28" s="102">
        <v>1.08</v>
      </c>
      <c r="F28" s="102"/>
      <c r="G28" s="102"/>
      <c r="H28" s="104">
        <v>0</v>
      </c>
      <c r="I28" s="170">
        <f t="shared" si="0"/>
        <v>0</v>
      </c>
      <c r="J28" s="171"/>
      <c r="K28" s="106"/>
      <c r="L28" s="127">
        <f t="shared" si="3"/>
        <v>3801.0370576680034</v>
      </c>
      <c r="M28" s="107">
        <v>0</v>
      </c>
      <c r="N28" s="104">
        <f t="shared" si="6"/>
        <v>3801.0370576680034</v>
      </c>
      <c r="O28" s="97">
        <f>N28+'prorrateo '!M21</f>
        <v>29391.36028293601</v>
      </c>
    </row>
    <row r="29" spans="1:15" x14ac:dyDescent="0.25">
      <c r="A29" s="98"/>
      <c r="B29" s="90"/>
      <c r="C29" s="158" t="s">
        <v>67</v>
      </c>
      <c r="D29" s="146"/>
      <c r="E29" s="146">
        <v>1.08</v>
      </c>
      <c r="F29" s="146"/>
      <c r="G29" s="146"/>
      <c r="H29" s="147"/>
      <c r="I29" s="159"/>
      <c r="J29" s="160"/>
      <c r="K29" s="148"/>
      <c r="L29" s="149">
        <f t="shared" si="3"/>
        <v>3801.0370576680034</v>
      </c>
      <c r="M29" s="150">
        <v>0</v>
      </c>
      <c r="N29" s="147">
        <f t="shared" si="6"/>
        <v>3801.0370576680034</v>
      </c>
      <c r="O29" s="97">
        <f>N29+'prorrateo '!M22</f>
        <v>302493.81589999207</v>
      </c>
    </row>
    <row r="30" spans="1:15" x14ac:dyDescent="0.25">
      <c r="A30" s="98"/>
      <c r="B30" s="90"/>
      <c r="C30" s="169" t="s">
        <v>68</v>
      </c>
      <c r="D30" s="102"/>
      <c r="E30" s="102">
        <v>1.08</v>
      </c>
      <c r="F30" s="102"/>
      <c r="G30" s="102"/>
      <c r="H30" s="104"/>
      <c r="I30" s="170"/>
      <c r="J30" s="171"/>
      <c r="K30" s="106"/>
      <c r="L30" s="127">
        <f t="shared" si="3"/>
        <v>3801.0370576680034</v>
      </c>
      <c r="M30" s="107">
        <v>0</v>
      </c>
      <c r="N30" s="104">
        <f t="shared" si="6"/>
        <v>3801.0370576680034</v>
      </c>
      <c r="O30" s="97">
        <f>N30+'prorrateo '!M23</f>
        <v>29391.36028293601</v>
      </c>
    </row>
    <row r="31" spans="1:15" x14ac:dyDescent="0.25">
      <c r="A31" s="98"/>
      <c r="B31" s="90"/>
      <c r="C31" s="169" t="s">
        <v>69</v>
      </c>
      <c r="D31" s="102" t="s">
        <v>49</v>
      </c>
      <c r="E31" s="102">
        <v>1.08</v>
      </c>
      <c r="F31" s="102"/>
      <c r="G31" s="102"/>
      <c r="H31" s="104"/>
      <c r="I31" s="170"/>
      <c r="J31" s="171"/>
      <c r="K31" s="106"/>
      <c r="L31" s="127">
        <f t="shared" si="3"/>
        <v>3801.0370576680034</v>
      </c>
      <c r="M31" s="107">
        <v>0</v>
      </c>
      <c r="N31" s="104">
        <f t="shared" si="6"/>
        <v>3801.0370576680034</v>
      </c>
      <c r="O31" s="97">
        <f>N31+'prorrateo '!M24</f>
        <v>29391.36028293601</v>
      </c>
    </row>
    <row r="32" spans="1:15" x14ac:dyDescent="0.25">
      <c r="A32" s="99"/>
      <c r="B32" s="216"/>
      <c r="C32" s="158" t="s">
        <v>70</v>
      </c>
      <c r="D32" s="146" t="s">
        <v>49</v>
      </c>
      <c r="E32" s="146">
        <v>1.08</v>
      </c>
      <c r="F32" s="146"/>
      <c r="G32" s="146"/>
      <c r="H32" s="147"/>
      <c r="I32" s="159"/>
      <c r="J32" s="160"/>
      <c r="K32" s="148"/>
      <c r="L32" s="149">
        <f t="shared" si="3"/>
        <v>3801.0370576680034</v>
      </c>
      <c r="M32" s="150">
        <v>0</v>
      </c>
      <c r="N32" s="147">
        <f t="shared" si="6"/>
        <v>3801.0370576680034</v>
      </c>
      <c r="O32" s="97">
        <f>N32+'prorrateo '!M25</f>
        <v>29391.36028293601</v>
      </c>
    </row>
    <row r="33" spans="1:16" x14ac:dyDescent="0.25">
      <c r="A33" s="98"/>
      <c r="B33" s="90"/>
      <c r="C33" s="130" t="s">
        <v>71</v>
      </c>
      <c r="D33" s="109" t="s">
        <v>63</v>
      </c>
      <c r="E33" s="109">
        <v>1.08</v>
      </c>
      <c r="F33" s="109"/>
      <c r="G33" s="109"/>
      <c r="H33" s="110"/>
      <c r="I33" s="111"/>
      <c r="J33" s="131"/>
      <c r="K33" s="113"/>
      <c r="L33" s="127">
        <f t="shared" si="3"/>
        <v>3801.0370576680034</v>
      </c>
      <c r="M33" s="107">
        <v>0</v>
      </c>
      <c r="N33" s="104">
        <f t="shared" si="6"/>
        <v>3801.0370576680034</v>
      </c>
      <c r="O33" s="97">
        <f>N33+'prorrateo '!M26</f>
        <v>29391.36028293601</v>
      </c>
    </row>
    <row r="34" spans="1:16" x14ac:dyDescent="0.25">
      <c r="A34" s="98"/>
      <c r="B34" s="90"/>
      <c r="C34" s="130" t="s">
        <v>72</v>
      </c>
      <c r="D34" s="109" t="s">
        <v>63</v>
      </c>
      <c r="E34" s="109">
        <v>1.08</v>
      </c>
      <c r="F34" s="109"/>
      <c r="G34" s="109"/>
      <c r="H34" s="110"/>
      <c r="I34" s="111"/>
      <c r="J34" s="131"/>
      <c r="K34" s="113"/>
      <c r="L34" s="127">
        <f t="shared" si="3"/>
        <v>3801.0370576680034</v>
      </c>
      <c r="M34" s="107">
        <v>0</v>
      </c>
      <c r="N34" s="104">
        <f t="shared" si="6"/>
        <v>3801.0370576680034</v>
      </c>
      <c r="O34" s="97">
        <f>N34+'prorrateo '!M27</f>
        <v>29391.36028293601</v>
      </c>
    </row>
    <row r="35" spans="1:16" x14ac:dyDescent="0.25">
      <c r="A35" s="98">
        <v>21</v>
      </c>
      <c r="B35" s="90"/>
      <c r="C35" s="169" t="s">
        <v>73</v>
      </c>
      <c r="D35" s="102"/>
      <c r="E35" s="102">
        <v>1.08</v>
      </c>
      <c r="F35" s="102"/>
      <c r="G35" s="102"/>
      <c r="H35" s="104">
        <v>0</v>
      </c>
      <c r="I35" s="170">
        <f t="shared" si="0"/>
        <v>0</v>
      </c>
      <c r="J35" s="172"/>
      <c r="K35" s="106"/>
      <c r="L35" s="127">
        <f t="shared" si="3"/>
        <v>3801.0370576680034</v>
      </c>
      <c r="M35" s="107">
        <v>0</v>
      </c>
      <c r="N35" s="104">
        <f t="shared" si="6"/>
        <v>3801.0370576680034</v>
      </c>
      <c r="O35" s="97">
        <f>N35+'prorrateo '!M28</f>
        <v>29391.36028293601</v>
      </c>
    </row>
    <row r="36" spans="1:16" x14ac:dyDescent="0.25">
      <c r="A36" s="98">
        <v>22</v>
      </c>
      <c r="B36" s="90"/>
      <c r="C36" s="169" t="s">
        <v>74</v>
      </c>
      <c r="D36" s="102" t="s">
        <v>53</v>
      </c>
      <c r="E36" s="102">
        <v>1.08</v>
      </c>
      <c r="F36" s="102"/>
      <c r="G36" s="102"/>
      <c r="H36" s="104">
        <v>0</v>
      </c>
      <c r="I36" s="170">
        <f t="shared" si="0"/>
        <v>0</v>
      </c>
      <c r="J36" s="172"/>
      <c r="K36" s="106"/>
      <c r="L36" s="127">
        <f t="shared" si="3"/>
        <v>3801.0370576680034</v>
      </c>
      <c r="M36" s="107">
        <v>0</v>
      </c>
      <c r="N36" s="104">
        <f t="shared" si="6"/>
        <v>3801.0370576680034</v>
      </c>
      <c r="O36" s="97">
        <f>N36+'prorrateo '!M29</f>
        <v>29391.36028293601</v>
      </c>
    </row>
    <row r="37" spans="1:16" x14ac:dyDescent="0.25">
      <c r="A37" s="98">
        <v>23</v>
      </c>
      <c r="B37" s="90"/>
      <c r="C37" s="109"/>
      <c r="D37" s="109"/>
      <c r="E37" s="109"/>
      <c r="F37" s="109"/>
      <c r="G37" s="109"/>
      <c r="H37" s="110">
        <v>0</v>
      </c>
      <c r="I37" s="111">
        <f t="shared" si="0"/>
        <v>0</v>
      </c>
      <c r="J37" s="132"/>
      <c r="K37" s="113"/>
      <c r="L37" s="127">
        <v>0</v>
      </c>
      <c r="M37" s="127">
        <v>0</v>
      </c>
      <c r="N37" s="104">
        <f t="shared" si="6"/>
        <v>0</v>
      </c>
    </row>
    <row r="38" spans="1:16" ht="14.25" customHeight="1" x14ac:dyDescent="0.25">
      <c r="A38" s="98">
        <v>24</v>
      </c>
      <c r="B38" s="90"/>
      <c r="C38" s="109"/>
      <c r="D38" s="109"/>
      <c r="E38" s="128"/>
      <c r="F38" s="109"/>
      <c r="G38" s="109"/>
      <c r="H38" s="110"/>
      <c r="I38" s="112"/>
      <c r="J38" s="117">
        <f>SUM(J10:J37)</f>
        <v>199922.9342899998</v>
      </c>
      <c r="K38" s="113"/>
      <c r="L38" s="113">
        <f>SUM(L10:L37)</f>
        <v>351947.87571000058</v>
      </c>
      <c r="M38" s="114"/>
      <c r="N38" s="110">
        <f>SUM(N10:N37)</f>
        <v>551870.80999999994</v>
      </c>
      <c r="P38" s="44"/>
    </row>
    <row r="39" spans="1:16" hidden="1" x14ac:dyDescent="0.25">
      <c r="A39" s="78"/>
      <c r="C39" s="91"/>
      <c r="D39" s="92"/>
      <c r="E39" s="134">
        <f>SUM(E10:E38)</f>
        <v>99.999999999999986</v>
      </c>
      <c r="F39" s="92"/>
      <c r="G39" s="92"/>
      <c r="H39" s="93"/>
      <c r="I39" s="94">
        <f>SUM(I10:I38)</f>
        <v>149.21689999999987</v>
      </c>
      <c r="J39" s="126"/>
      <c r="K39" s="94"/>
      <c r="L39" s="133">
        <f>L38+J38</f>
        <v>551870.81000000041</v>
      </c>
      <c r="M39" s="93"/>
      <c r="N39" s="93"/>
      <c r="O39" s="79"/>
    </row>
    <row r="40" spans="1:16" ht="30" hidden="1" x14ac:dyDescent="0.25">
      <c r="A40" s="95" t="s">
        <v>88</v>
      </c>
      <c r="C40" s="238"/>
      <c r="D40" s="236"/>
      <c r="E40" s="236"/>
      <c r="F40" s="236"/>
      <c r="G40" s="236"/>
      <c r="H40" s="236"/>
      <c r="I40" s="236"/>
      <c r="J40" s="236"/>
      <c r="K40" s="236"/>
      <c r="L40" s="236"/>
      <c r="M40" s="236"/>
      <c r="N40" s="236"/>
      <c r="O40" s="95"/>
    </row>
    <row r="41" spans="1:16" x14ac:dyDescent="0.25">
      <c r="H41" s="79"/>
      <c r="J41" s="96"/>
      <c r="K41" s="96"/>
      <c r="L41" s="96"/>
      <c r="N41" s="97"/>
    </row>
    <row r="43" spans="1:16" x14ac:dyDescent="0.25">
      <c r="E43" s="4"/>
    </row>
    <row r="44" spans="1:16" x14ac:dyDescent="0.25">
      <c r="L44" s="151"/>
    </row>
    <row r="45" spans="1:16" x14ac:dyDescent="0.25">
      <c r="L45" s="96"/>
    </row>
    <row r="46" spans="1:16" x14ac:dyDescent="0.25">
      <c r="E46" s="152"/>
      <c r="F46" s="152"/>
      <c r="G46" s="152"/>
      <c r="H46" s="152"/>
      <c r="I46" s="152"/>
      <c r="J46" s="152"/>
      <c r="K46" s="152"/>
      <c r="L46" s="153"/>
    </row>
  </sheetData>
  <mergeCells count="3">
    <mergeCell ref="A1:N1"/>
    <mergeCell ref="C40:N40"/>
    <mergeCell ref="L8:M8"/>
  </mergeCells>
  <pageMargins left="0.7" right="0.7" top="0.75" bottom="0.75" header="0.3" footer="0.3"/>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2025-11-30T17:52:12Z</cp:lastPrinted>
  <dcterms:created xsi:type="dcterms:W3CDTF">2020-12-10T00:27:53Z</dcterms:created>
  <dcterms:modified xsi:type="dcterms:W3CDTF">2025-11-30T17:52:31Z</dcterms:modified>
</cp:coreProperties>
</file>