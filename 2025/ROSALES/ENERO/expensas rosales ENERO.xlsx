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40" windowHeight="7155" activeTab="1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gastos'!$A$1:$C$63</definedName>
    <definedName name="_xlnm.Print_Area" localSheetId="2">Edesur!$A$1:$N$40</definedName>
    <definedName name="_xlnm.Print_Area" localSheetId="1">'prorrateo '!$A$1:$L$33</definedName>
  </definedNames>
  <calcPr calcId="144525"/>
</workbook>
</file>

<file path=xl/calcChain.xml><?xml version="1.0" encoding="utf-8"?>
<calcChain xmlns="http://schemas.openxmlformats.org/spreadsheetml/2006/main">
  <c r="C22" i="3" l="1"/>
  <c r="C23" i="3" l="1"/>
  <c r="C32" i="3"/>
  <c r="O27" i="1" l="1"/>
  <c r="L46" i="4"/>
  <c r="L45" i="4"/>
  <c r="F7" i="1"/>
  <c r="F28" i="1"/>
  <c r="B28" i="1"/>
  <c r="B1" i="1" l="1"/>
  <c r="F25" i="1"/>
  <c r="F11" i="1"/>
  <c r="F19" i="1"/>
  <c r="F14" i="1"/>
  <c r="F8" i="1"/>
  <c r="F6" i="1"/>
  <c r="F3" i="1"/>
  <c r="J7" i="4"/>
  <c r="F13" i="1" l="1"/>
  <c r="F24" i="1"/>
  <c r="C33" i="3" l="1"/>
  <c r="C49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J31" i="1"/>
  <c r="D31" i="1"/>
  <c r="F29" i="1"/>
  <c r="G29" i="1" s="1"/>
  <c r="G28" i="1"/>
  <c r="G27" i="1"/>
  <c r="G26" i="1"/>
  <c r="G25" i="1"/>
  <c r="G24" i="1"/>
  <c r="F23" i="1"/>
  <c r="G23" i="1" s="1"/>
  <c r="G22" i="1"/>
  <c r="G21" i="1"/>
  <c r="G20" i="1"/>
  <c r="G19" i="1"/>
  <c r="F18" i="1"/>
  <c r="G18" i="1" s="1"/>
  <c r="F17" i="1"/>
  <c r="G17" i="1" s="1"/>
  <c r="G16" i="1"/>
  <c r="F15" i="1"/>
  <c r="G15" i="1" s="1"/>
  <c r="G14" i="1"/>
  <c r="G13" i="1"/>
  <c r="G12" i="1"/>
  <c r="F12" i="1"/>
  <c r="G11" i="1"/>
  <c r="G10" i="1"/>
  <c r="G9" i="1"/>
  <c r="F9" i="1"/>
  <c r="G8" i="1"/>
  <c r="G7" i="1"/>
  <c r="G6" i="1"/>
  <c r="F5" i="1"/>
  <c r="G5" i="1" s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/>
  <c r="O14" i="4" s="1"/>
  <c r="L13" i="1"/>
  <c r="O20" i="4" s="1"/>
  <c r="H13" i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/>
  <c r="O18" i="4" s="1"/>
  <c r="H14" i="1"/>
  <c r="L14" i="1" s="1"/>
  <c r="O21" i="4" s="1"/>
  <c r="H18" i="1"/>
  <c r="L18" i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/>
  <c r="O35" i="4" s="1"/>
  <c r="H3" i="1"/>
  <c r="L3" i="1" s="1"/>
  <c r="O10" i="4" s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/>
  <c r="O26" i="4" s="1"/>
  <c r="L23" i="1"/>
  <c r="O30" i="4" s="1"/>
  <c r="H23" i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7" i="3" s="1"/>
  <c r="C52" i="3" s="1"/>
  <c r="C40" i="3"/>
  <c r="C57" i="3" s="1"/>
  <c r="L31" i="1" l="1"/>
  <c r="C60" i="3" l="1"/>
  <c r="C42" i="3" l="1"/>
</calcChain>
</file>

<file path=xl/sharedStrings.xml><?xml version="1.0" encoding="utf-8"?>
<sst xmlns="http://schemas.openxmlformats.org/spreadsheetml/2006/main" count="190" uniqueCount="142">
  <si>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</si>
  <si>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</si>
  <si>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</si>
  <si>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</si>
  <si>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</si>
  <si>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</si>
  <si>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</si>
  <si>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</si>
  <si>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</si>
  <si>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</si>
  <si>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</si>
  <si>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</si>
  <si>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</si>
  <si>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</si>
  <si>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</si>
  <si>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</si>
  <si>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</si>
  <si>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</si>
  <si>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</si>
  <si>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</si>
  <si>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</si>
  <si>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</si>
  <si>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</si>
  <si>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</si>
  <si>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</si>
  <si>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</si>
  <si>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Seguro de vida Sra Carina</t>
  </si>
  <si>
    <t>Articulos de limpieza</t>
  </si>
  <si>
    <t>Seguro de consorcio obligatorio - cuota 1 federacion patronal - poliza nro. 2027630</t>
  </si>
  <si>
    <t>Ascensores Lema</t>
  </si>
  <si>
    <t>Propietarios</t>
  </si>
  <si>
    <t>SALDO ANTERIOR</t>
  </si>
  <si>
    <t>SALDO ABONADO</t>
  </si>
  <si>
    <t>SALDO</t>
  </si>
  <si>
    <t>SALDO EXPENSA</t>
  </si>
  <si>
    <t>Gastos part</t>
  </si>
  <si>
    <t>A PAGAR</t>
  </si>
  <si>
    <t>Ferrea Nestor</t>
  </si>
  <si>
    <t>1ro. "A"</t>
  </si>
  <si>
    <t>Gnecchi Nicolas</t>
  </si>
  <si>
    <t xml:space="preserve">Martina 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</si>
  <si>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</si>
  <si>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</si>
  <si>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</si>
  <si>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</si>
  <si>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</si>
  <si>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</si>
  <si>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</si>
  <si>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</si>
  <si>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</si>
  <si>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</si>
  <si>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</si>
  <si>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</si>
  <si>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</si>
  <si>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Rosario</t>
  </si>
  <si>
    <t>5to. "A"</t>
  </si>
  <si>
    <t>Strangio Federico</t>
  </si>
  <si>
    <t>5to. "B"</t>
  </si>
  <si>
    <t>Senderowicz Rosalia</t>
  </si>
  <si>
    <t>Alejo</t>
  </si>
  <si>
    <t>6to. "A"</t>
  </si>
  <si>
    <t>Matias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</si>
  <si>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</si>
  <si>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</si>
  <si>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</si>
  <si>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</si>
  <si>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</si>
  <si>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</si>
  <si>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</si>
  <si>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</si>
  <si>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</si>
  <si>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</si>
  <si>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</si>
  <si>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</si>
  <si>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</si>
  <si>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</si>
  <si>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</si>
  <si>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</si>
  <si>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</si>
  <si>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</si>
  <si>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</si>
  <si>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</si>
  <si>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</si>
  <si>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</si>
  <si>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</si>
  <si>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</si>
  <si>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>Expensas ordinarias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</si>
  <si>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</si>
  <si>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</si>
  <si>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</si>
  <si>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</si>
  <si>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</si>
  <si>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</si>
  <si>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</si>
  <si>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</si>
  <si>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</si>
  <si>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</si>
  <si>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</si>
  <si>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</si>
  <si>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</si>
  <si>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</si>
  <si>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</si>
  <si>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</si>
  <si>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</si>
  <si>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</si>
  <si>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</si>
  <si>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</si>
  <si>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</si>
  <si>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</si>
  <si>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</si>
  <si>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</si>
  <si>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</si>
  <si>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</si>
  <si>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</si>
  <si>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</si>
  <si>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</si>
  <si>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</si>
  <si>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</si>
  <si>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</si>
  <si>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DICIEMBRE</t>
  </si>
  <si>
    <t>Sueldo personal de limpieza y maestranza DICIEMBRE</t>
  </si>
  <si>
    <t>Clean Home - Lavandina - Raid - Procenex</t>
  </si>
  <si>
    <t>LIQUIDACIÓN EXPENSAS ENERO 2025</t>
  </si>
  <si>
    <t>Vto. 13/02</t>
  </si>
  <si>
    <t>Ferreteria compra de rollo de mangueras</t>
  </si>
  <si>
    <t>Servisur reemplazo termomagnetica tetrapolar UGENCIA 25/1</t>
  </si>
  <si>
    <t>GL COMPRA TETRAPOLAR</t>
  </si>
  <si>
    <t>Vto 8/1</t>
  </si>
  <si>
    <t>Se abona hasta el</t>
  </si>
  <si>
    <t>Debe luz NOVIEMBRE</t>
  </si>
  <si>
    <t>Leandro</t>
  </si>
  <si>
    <t>FEBRERO 2024 SE HIZO UNA PREVISION DE $470,000</t>
  </si>
  <si>
    <t>CAJA CORRESPONDIENTE A EDESUR</t>
  </si>
  <si>
    <t>Prevision realizada en Febrero 2024</t>
  </si>
  <si>
    <t>Egreso de Edesur</t>
  </si>
  <si>
    <t xml:space="preserve">Saldo Final </t>
  </si>
  <si>
    <t>GASTOS RECUPERADOS DEL MES DE DICIEMBRE</t>
  </si>
  <si>
    <t>EGRESOS DEL MES DE ENERO</t>
  </si>
  <si>
    <t>DIFERENCIA EDESUR</t>
  </si>
  <si>
    <t>CAJA A RECUPERAR PEUSTA POR LA ADMINISTRACION NOVIEMBRE 2023</t>
  </si>
  <si>
    <t>Debe luz DICIEMBRE</t>
  </si>
  <si>
    <t>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</si>
</sst>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0.0000"/>
    <numFmt numFmtId="168" formatCode="&quot;$&quot;\ #,##0.00"/>
    <numFmt numFmtId="169" formatCode="0.0"/>
    <numFmt numFmtId="170" formatCode="_-&quot;$&quot;\ * #,##0_-;\-&quot;$&quot;\ * #,##0_-;_-&quot;$&quot;\ * &quot;-&quot;??_-;_-@"/>
    <numFmt numFmtId="171" formatCode="_-&quot;$&quot;\ * #,##0.00_-;\-&quot;$&quot;\ * #,##0.00_-;_-&quot;$&quot;\ * &quot;-&quot;??_-;_-@"/>
    <numFmt numFmtId="172" formatCode="_-* #,##0_-;\-* #,##0_-;_-* &quot;-&quot;??_-;_-@_-"/>
    <numFmt numFmtId="173" formatCode="_-* #,##0.000000_-;\-* #,##0.000000_-;_-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b/>
      <sz val="10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0" fontId="0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 applyBorder="1"/>
    <xf numFmtId="0" fontId="6" fillId="0" borderId="0" xfId="0" applyFont="1" applyBorder="1"/>
    <xf numFmtId="4" fontId="6" fillId="0" borderId="0" xfId="0" applyNumberFormat="1" applyFont="1" applyBorder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4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0" borderId="0" xfId="0" applyFont="1" applyBorder="1"/>
    <xf numFmtId="0" fontId="0" fillId="0" borderId="0" xfId="0" applyFont="1" applyFill="1" applyBorder="1"/>
    <xf numFmtId="0" fontId="8" fillId="3" borderId="6" xfId="0" applyFont="1" applyFill="1" applyBorder="1"/>
    <xf numFmtId="164" fontId="8" fillId="3" borderId="7" xfId="2" applyFont="1" applyFill="1" applyBorder="1"/>
    <xf numFmtId="4" fontId="1" fillId="0" borderId="0" xfId="0" applyNumberFormat="1" applyFont="1"/>
    <xf numFmtId="166" fontId="0" fillId="0" borderId="0" xfId="0" applyNumberFormat="1"/>
    <xf numFmtId="165" fontId="0" fillId="0" borderId="0" xfId="0" applyNumberFormat="1" applyFill="1" applyBorder="1"/>
    <xf numFmtId="164" fontId="9" fillId="2" borderId="1" xfId="2" applyFont="1" applyFill="1" applyBorder="1"/>
    <xf numFmtId="0" fontId="10" fillId="0" borderId="0" xfId="0" applyFont="1"/>
    <xf numFmtId="4" fontId="10" fillId="0" borderId="0" xfId="0" applyNumberFormat="1" applyFont="1" applyBorder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Font="1" applyBorder="1"/>
    <xf numFmtId="164" fontId="6" fillId="0" borderId="1" xfId="2" applyFont="1" applyBorder="1"/>
    <xf numFmtId="0" fontId="8" fillId="3" borderId="1" xfId="0" applyFont="1" applyFill="1" applyBorder="1"/>
    <xf numFmtId="164" fontId="14" fillId="0" borderId="1" xfId="2" applyFont="1" applyBorder="1"/>
    <xf numFmtId="164" fontId="15" fillId="0" borderId="1" xfId="2" applyFont="1" applyBorder="1"/>
    <xf numFmtId="0" fontId="0" fillId="0" borderId="1" xfId="0" applyFont="1" applyFill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Font="1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Fill="1" applyBorder="1"/>
    <xf numFmtId="0" fontId="1" fillId="2" borderId="1" xfId="0" applyFont="1" applyFill="1" applyBorder="1"/>
    <xf numFmtId="0" fontId="10" fillId="2" borderId="1" xfId="0" applyFont="1" applyFill="1" applyBorder="1"/>
    <xf numFmtId="0" fontId="10" fillId="0" borderId="1" xfId="0" applyFont="1" applyBorder="1" applyAlignment="1">
      <alignment horizontal="center"/>
    </xf>
    <xf numFmtId="17" fontId="10" fillId="0" borderId="1" xfId="0" applyNumberFormat="1" applyFont="1" applyBorder="1"/>
    <xf numFmtId="164" fontId="8" fillId="3" borderId="1" xfId="0" applyNumberFormat="1" applyFont="1" applyFill="1" applyBorder="1"/>
    <xf numFmtId="4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 wrapText="1"/>
    </xf>
    <xf numFmtId="168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4" fontId="19" fillId="0" borderId="4" xfId="0" applyNumberFormat="1" applyFont="1" applyBorder="1"/>
    <xf numFmtId="164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4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7" fontId="19" fillId="0" borderId="6" xfId="0" applyNumberFormat="1" applyFont="1" applyBorder="1" applyAlignment="1">
      <alignment horizontal="center"/>
    </xf>
    <xf numFmtId="164" fontId="19" fillId="0" borderId="6" xfId="0" applyNumberFormat="1" applyFont="1" applyBorder="1"/>
    <xf numFmtId="164" fontId="19" fillId="0" borderId="0" xfId="0" applyNumberFormat="1" applyFont="1" applyBorder="1"/>
    <xf numFmtId="169" fontId="18" fillId="0" borderId="5" xfId="0" applyNumberFormat="1" applyFont="1" applyBorder="1"/>
    <xf numFmtId="169" fontId="18" fillId="0" borderId="6" xfId="0" applyNumberFormat="1" applyFont="1" applyBorder="1"/>
    <xf numFmtId="169" fontId="17" fillId="0" borderId="6" xfId="0" applyNumberFormat="1" applyFont="1" applyBorder="1"/>
    <xf numFmtId="164" fontId="17" fillId="0" borderId="6" xfId="2" applyFont="1" applyFill="1" applyBorder="1" applyAlignment="1"/>
    <xf numFmtId="0" fontId="21" fillId="8" borderId="0" xfId="0" applyFont="1" applyFill="1" applyBorder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0" fontId="23" fillId="0" borderId="0" xfId="0" applyNumberFormat="1" applyFont="1"/>
    <xf numFmtId="0" fontId="23" fillId="0" borderId="12" xfId="0" applyFont="1" applyBorder="1"/>
    <xf numFmtId="0" fontId="24" fillId="0" borderId="11" xfId="0" applyFont="1" applyBorder="1"/>
    <xf numFmtId="0" fontId="0" fillId="0" borderId="0" xfId="0" applyFont="1" applyAlignment="1"/>
    <xf numFmtId="0" fontId="24" fillId="0" borderId="13" xfId="0" applyFont="1" applyBorder="1"/>
    <xf numFmtId="0" fontId="23" fillId="0" borderId="14" xfId="0" applyFont="1" applyBorder="1"/>
    <xf numFmtId="170" fontId="23" fillId="0" borderId="14" xfId="0" applyNumberFormat="1" applyFont="1" applyBorder="1"/>
    <xf numFmtId="0" fontId="23" fillId="0" borderId="15" xfId="0" applyFont="1" applyBorder="1"/>
    <xf numFmtId="171" fontId="16" fillId="0" borderId="14" xfId="0" applyNumberFormat="1" applyFont="1" applyBorder="1"/>
    <xf numFmtId="44" fontId="23" fillId="0" borderId="14" xfId="0" applyNumberFormat="1" applyFont="1" applyBorder="1"/>
    <xf numFmtId="0" fontId="24" fillId="7" borderId="16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3" fillId="5" borderId="1" xfId="3" applyFont="1" applyFill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0" fontId="23" fillId="0" borderId="9" xfId="0" applyNumberFormat="1" applyFont="1" applyBorder="1"/>
    <xf numFmtId="171" fontId="23" fillId="0" borderId="9" xfId="0" applyNumberFormat="1" applyFont="1" applyBorder="1"/>
    <xf numFmtId="0" fontId="24" fillId="9" borderId="0" xfId="0" applyFont="1" applyFill="1" applyBorder="1" applyAlignment="1">
      <alignment horizontal="left" vertical="center" wrapText="1"/>
    </xf>
    <xf numFmtId="171" fontId="0" fillId="0" borderId="0" xfId="0" applyNumberFormat="1" applyFont="1" applyAlignment="1"/>
    <xf numFmtId="170" fontId="0" fillId="0" borderId="0" xfId="0" applyNumberFormat="1" applyFont="1" applyAlignment="1"/>
    <xf numFmtId="0" fontId="23" fillId="0" borderId="16" xfId="0" applyFont="1" applyBorder="1" applyAlignment="1">
      <alignment horizontal="left"/>
    </xf>
    <xf numFmtId="0" fontId="23" fillId="6" borderId="16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NumberFormat="1" applyFont="1" applyFill="1" applyBorder="1"/>
    <xf numFmtId="0" fontId="25" fillId="5" borderId="16" xfId="0" applyFont="1" applyFill="1" applyBorder="1"/>
    <xf numFmtId="0" fontId="19" fillId="5" borderId="16" xfId="0" applyFont="1" applyFill="1" applyBorder="1"/>
    <xf numFmtId="170" fontId="25" fillId="5" borderId="16" xfId="0" applyNumberFormat="1" applyFont="1" applyFill="1" applyBorder="1"/>
    <xf numFmtId="171" fontId="25" fillId="5" borderId="17" xfId="0" applyNumberFormat="1" applyFont="1" applyFill="1" applyBorder="1"/>
    <xf numFmtId="171" fontId="25" fillId="5" borderId="18" xfId="0" applyNumberFormat="1" applyFont="1" applyFill="1" applyBorder="1"/>
    <xf numFmtId="2" fontId="25" fillId="5" borderId="19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6" xfId="0" applyFont="1" applyBorder="1"/>
    <xf numFmtId="170" fontId="25" fillId="0" borderId="16" xfId="0" applyNumberFormat="1" applyFont="1" applyBorder="1"/>
    <xf numFmtId="171" fontId="25" fillId="0" borderId="16" xfId="0" applyNumberFormat="1" applyFont="1" applyBorder="1"/>
    <xf numFmtId="171" fontId="25" fillId="0" borderId="17" xfId="0" applyNumberFormat="1" applyFont="1" applyBorder="1"/>
    <xf numFmtId="171" fontId="25" fillId="0" borderId="18" xfId="0" applyNumberFormat="1" applyFont="1" applyBorder="1"/>
    <xf numFmtId="170" fontId="25" fillId="0" borderId="19" xfId="0" applyNumberFormat="1" applyFont="1" applyBorder="1"/>
    <xf numFmtId="0" fontId="25" fillId="5" borderId="16" xfId="0" applyFont="1" applyFill="1" applyBorder="1" applyAlignment="1">
      <alignment horizontal="left" vertical="center"/>
    </xf>
    <xf numFmtId="0" fontId="23" fillId="0" borderId="0" xfId="0" applyFont="1" applyBorder="1"/>
    <xf numFmtId="171" fontId="25" fillId="5" borderId="1" xfId="0" applyNumberFormat="1" applyFont="1" applyFill="1" applyBorder="1"/>
    <xf numFmtId="171" fontId="25" fillId="0" borderId="1" xfId="0" applyNumberFormat="1" applyFont="1" applyBorder="1"/>
    <xf numFmtId="0" fontId="27" fillId="7" borderId="16" xfId="0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left" vertical="center" wrapText="1"/>
    </xf>
    <xf numFmtId="0" fontId="27" fillId="7" borderId="16" xfId="0" applyFont="1" applyFill="1" applyBorder="1" applyAlignment="1">
      <alignment horizontal="center" vertical="center"/>
    </xf>
    <xf numFmtId="170" fontId="27" fillId="7" borderId="16" xfId="0" applyNumberFormat="1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0" fontId="27" fillId="7" borderId="19" xfId="0" applyFont="1" applyFill="1" applyBorder="1" applyAlignment="1">
      <alignment horizontal="center" vertical="center" wrapText="1"/>
    </xf>
    <xf numFmtId="171" fontId="23" fillId="0" borderId="0" xfId="0" applyNumberFormat="1" applyFont="1" applyBorder="1"/>
    <xf numFmtId="171" fontId="28" fillId="5" borderId="18" xfId="0" applyNumberFormat="1" applyFont="1" applyFill="1" applyBorder="1"/>
    <xf numFmtId="173" fontId="25" fillId="0" borderId="16" xfId="0" applyNumberFormat="1" applyFont="1" applyBorder="1"/>
    <xf numFmtId="44" fontId="20" fillId="5" borderId="1" xfId="2" applyNumberFormat="1" applyFont="1" applyFill="1" applyBorder="1"/>
    <xf numFmtId="0" fontId="25" fillId="0" borderId="16" xfId="0" applyFont="1" applyBorder="1" applyAlignment="1">
      <alignment vertical="center"/>
    </xf>
    <xf numFmtId="171" fontId="25" fillId="0" borderId="22" xfId="0" applyNumberFormat="1" applyFont="1" applyBorder="1"/>
    <xf numFmtId="171" fontId="25" fillId="0" borderId="23" xfId="0" applyNumberFormat="1" applyFont="1" applyBorder="1"/>
    <xf numFmtId="171" fontId="25" fillId="0" borderId="24" xfId="0" applyNumberFormat="1" applyFont="1" applyBorder="1"/>
    <xf numFmtId="171" fontId="25" fillId="0" borderId="9" xfId="0" applyNumberFormat="1" applyFont="1" applyBorder="1"/>
    <xf numFmtId="172" fontId="23" fillId="0" borderId="9" xfId="0" applyNumberFormat="1" applyFont="1" applyBorder="1"/>
    <xf numFmtId="166" fontId="17" fillId="0" borderId="7" xfId="2" applyNumberFormat="1" applyFont="1" applyFill="1" applyBorder="1" applyAlignment="1"/>
    <xf numFmtId="166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44" fontId="20" fillId="6" borderId="4" xfId="2" applyNumberFormat="1" applyFont="1" applyFill="1" applyBorder="1"/>
    <xf numFmtId="171" fontId="29" fillId="5" borderId="14" xfId="0" applyNumberFormat="1" applyFont="1" applyFill="1" applyBorder="1"/>
    <xf numFmtId="0" fontId="0" fillId="0" borderId="5" xfId="0" applyFont="1" applyBorder="1"/>
    <xf numFmtId="17" fontId="10" fillId="0" borderId="7" xfId="0" applyNumberFormat="1" applyFont="1" applyBorder="1"/>
    <xf numFmtId="0" fontId="0" fillId="5" borderId="0" xfId="0" applyFill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4" fontId="19" fillId="5" borderId="1" xfId="0" applyNumberFormat="1" applyFont="1" applyFill="1" applyBorder="1"/>
    <xf numFmtId="0" fontId="30" fillId="0" borderId="0" xfId="0" applyFont="1"/>
    <xf numFmtId="0" fontId="0" fillId="0" borderId="5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4" fontId="0" fillId="0" borderId="2" xfId="2" applyFon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44" fontId="23" fillId="0" borderId="18" xfId="0" applyNumberFormat="1" applyFont="1" applyBorder="1" applyAlignment="1">
      <alignment horizontal="center"/>
    </xf>
    <xf numFmtId="44" fontId="20" fillId="5" borderId="4" xfId="2" applyNumberFormat="1" applyFont="1" applyFill="1" applyBorder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44" fontId="20" fillId="6" borderId="1" xfId="2" applyNumberFormat="1" applyFont="1" applyFill="1" applyBorder="1"/>
    <xf numFmtId="164" fontId="19" fillId="6" borderId="4" xfId="0" applyNumberFormat="1" applyFont="1" applyFill="1" applyBorder="1"/>
    <xf numFmtId="164" fontId="19" fillId="6" borderId="1" xfId="0" applyNumberFormat="1" applyFont="1" applyFill="1" applyBorder="1"/>
    <xf numFmtId="0" fontId="25" fillId="6" borderId="16" xfId="0" applyFont="1" applyFill="1" applyBorder="1" applyAlignment="1">
      <alignment horizontal="left" vertical="center"/>
    </xf>
    <xf numFmtId="0" fontId="26" fillId="6" borderId="1" xfId="3" applyFont="1" applyFill="1" applyBorder="1"/>
    <xf numFmtId="43" fontId="26" fillId="6" borderId="1" xfId="4" applyNumberFormat="1" applyFont="1" applyFill="1" applyBorder="1"/>
    <xf numFmtId="0" fontId="25" fillId="6" borderId="16" xfId="0" applyFont="1" applyFill="1" applyBorder="1"/>
    <xf numFmtId="0" fontId="19" fillId="6" borderId="16" xfId="0" applyFont="1" applyFill="1" applyBorder="1"/>
    <xf numFmtId="170" fontId="25" fillId="6" borderId="16" xfId="0" applyNumberFormat="1" applyFont="1" applyFill="1" applyBorder="1"/>
    <xf numFmtId="171" fontId="25" fillId="6" borderId="17" xfId="0" applyNumberFormat="1" applyFont="1" applyFill="1" applyBorder="1"/>
    <xf numFmtId="171" fontId="25" fillId="6" borderId="1" xfId="0" applyNumberFormat="1" applyFont="1" applyFill="1" applyBorder="1"/>
    <xf numFmtId="171" fontId="25" fillId="6" borderId="18" xfId="0" applyNumberFormat="1" applyFont="1" applyFill="1" applyBorder="1"/>
    <xf numFmtId="171" fontId="28" fillId="6" borderId="18" xfId="0" applyNumberFormat="1" applyFont="1" applyFill="1" applyBorder="1"/>
    <xf numFmtId="2" fontId="25" fillId="6" borderId="19" xfId="0" applyNumberFormat="1" applyFont="1" applyFill="1" applyBorder="1"/>
    <xf numFmtId="4" fontId="10" fillId="5" borderId="1" xfId="0" applyNumberFormat="1" applyFont="1" applyFill="1" applyBorder="1" applyAlignment="1">
      <alignment horizontal="right"/>
    </xf>
    <xf numFmtId="0" fontId="23" fillId="6" borderId="0" xfId="0" applyFont="1" applyFill="1" applyAlignment="1">
      <alignment horizontal="center" vertical="center" wrapText="1"/>
    </xf>
    <xf numFmtId="171" fontId="0" fillId="0" borderId="0" xfId="0" applyNumberFormat="1"/>
    <xf numFmtId="164" fontId="0" fillId="0" borderId="0" xfId="2" applyFont="1"/>
    <xf numFmtId="0" fontId="1" fillId="6" borderId="0" xfId="0" applyFont="1" applyFill="1"/>
    <xf numFmtId="44" fontId="1" fillId="6" borderId="0" xfId="0" applyNumberFormat="1" applyFont="1" applyFill="1"/>
    <xf numFmtId="0" fontId="1" fillId="0" borderId="0" xfId="0" applyFont="1" applyBorder="1"/>
    <xf numFmtId="0" fontId="0" fillId="0" borderId="25" xfId="0" applyFont="1" applyBorder="1"/>
    <xf numFmtId="0" fontId="0" fillId="0" borderId="26" xfId="0" applyFont="1" applyBorder="1"/>
    <xf numFmtId="164" fontId="9" fillId="0" borderId="0" xfId="2" applyFont="1" applyBorder="1"/>
    <xf numFmtId="0" fontId="1" fillId="0" borderId="27" xfId="0" applyFont="1" applyBorder="1"/>
    <xf numFmtId="164" fontId="9" fillId="0" borderId="28" xfId="2" applyFont="1" applyBorder="1"/>
    <xf numFmtId="0" fontId="1" fillId="0" borderId="29" xfId="0" applyFont="1" applyBorder="1"/>
    <xf numFmtId="164" fontId="31" fillId="0" borderId="30" xfId="2" applyFont="1" applyBorder="1"/>
    <xf numFmtId="164" fontId="31" fillId="0" borderId="28" xfId="2" applyFont="1" applyBorder="1"/>
    <xf numFmtId="4" fontId="31" fillId="0" borderId="28" xfId="0" applyNumberFormat="1" applyFont="1" applyBorder="1"/>
    <xf numFmtId="0" fontId="1" fillId="0" borderId="31" xfId="0" applyFont="1" applyBorder="1"/>
    <xf numFmtId="4" fontId="14" fillId="0" borderId="32" xfId="0" applyNumberFormat="1" applyFont="1" applyBorder="1"/>
    <xf numFmtId="164" fontId="9" fillId="0" borderId="30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4" fontId="11" fillId="3" borderId="3" xfId="2" applyFont="1" applyFill="1" applyBorder="1"/>
    <xf numFmtId="0" fontId="25" fillId="6" borderId="20" xfId="0" applyFont="1" applyFill="1" applyBorder="1" applyAlignment="1">
      <alignment horizontal="left" vertical="center"/>
    </xf>
    <xf numFmtId="43" fontId="26" fillId="6" borderId="3" xfId="4" applyNumberFormat="1" applyFont="1" applyFill="1" applyBorder="1" applyAlignment="1">
      <alignment horizontal="center" vertical="center" wrapText="1"/>
    </xf>
    <xf numFmtId="171" fontId="25" fillId="6" borderId="8" xfId="0" applyNumberFormat="1" applyFont="1" applyFill="1" applyBorder="1" applyAlignment="1">
      <alignment horizontal="right" vertical="center"/>
    </xf>
    <xf numFmtId="171" fontId="25" fillId="6" borderId="9" xfId="0" applyNumberFormat="1" applyFont="1" applyFill="1" applyBorder="1" applyAlignment="1">
      <alignment horizontal="right" vertical="center"/>
    </xf>
    <xf numFmtId="2" fontId="25" fillId="6" borderId="21" xfId="0" applyNumberFormat="1" applyFont="1" applyFill="1" applyBorder="1" applyAlignment="1">
      <alignment horizontal="right" vertical="center"/>
    </xf>
    <xf numFmtId="0" fontId="25" fillId="6" borderId="16" xfId="0" applyFont="1" applyFill="1" applyBorder="1" applyAlignment="1">
      <alignment vertical="center"/>
    </xf>
    <xf numFmtId="0" fontId="26" fillId="6" borderId="3" xfId="3" applyFont="1" applyFill="1" applyBorder="1"/>
    <xf numFmtId="43" fontId="26" fillId="6" borderId="3" xfId="4" applyNumberFormat="1" applyFont="1" applyFill="1" applyBorder="1"/>
    <xf numFmtId="171" fontId="25" fillId="6" borderId="16" xfId="0" applyNumberFormat="1" applyFont="1" applyFill="1" applyBorder="1"/>
    <xf numFmtId="171" fontId="25" fillId="6" borderId="22" xfId="0" applyNumberFormat="1" applyFont="1" applyFill="1" applyBorder="1"/>
  </cellXfs>
  <cellStyles count="5">
    <cellStyle name="Hipervínculo" xfId="1" builtinId="8"/>
    <cellStyle name="Millares 2" xfId="4"/>
    <cellStyle name="Moneda" xfId="2" builtinId="4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676275</xdr:colOff>
      <xdr:row>1</xdr:row>
      <xdr:rowOff>180974</xdr:rowOff>
    </xdr:from>
    <xdr:ext cx="2257425" cy="847725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0475" y="447674"/>
          <a:ext cx="22574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64"/>
  <sheetViews>
    <sheetView topLeftCell="A44" workbookViewId="0">
      <selection activeCell="C61" sqref="A1:C61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7"/>
      <c r="C5" s="2"/>
    </row>
    <row r="7" spans="1:3" x14ac:dyDescent="0.25">
      <c r="A7" s="18" t="s">
        <v>25</v>
      </c>
      <c r="B7" s="19" t="s">
        <v>122</v>
      </c>
      <c r="C7" s="19" t="s">
        <v>123</v>
      </c>
    </row>
    <row r="8" spans="1:3" x14ac:dyDescent="0.25">
      <c r="A8" s="2"/>
      <c r="B8" s="2"/>
      <c r="C8" s="2"/>
    </row>
    <row r="10" spans="1:3" x14ac:dyDescent="0.25">
      <c r="A10" s="8" t="s">
        <v>19</v>
      </c>
      <c r="B10" s="7"/>
      <c r="C10" s="7"/>
    </row>
    <row r="11" spans="1:3" x14ac:dyDescent="0.25">
      <c r="A11" s="7" t="s">
        <v>13</v>
      </c>
      <c r="B11" s="7"/>
      <c r="C11" s="7"/>
    </row>
    <row r="12" spans="1:3" x14ac:dyDescent="0.25">
      <c r="A12" s="7" t="s">
        <v>14</v>
      </c>
      <c r="B12" s="7"/>
      <c r="C12" s="7"/>
    </row>
    <row r="13" spans="1:3" x14ac:dyDescent="0.25">
      <c r="A13" s="7" t="s">
        <v>16</v>
      </c>
      <c r="C13" s="7"/>
    </row>
    <row r="14" spans="1:3" x14ac:dyDescent="0.25">
      <c r="A14" s="7"/>
      <c r="B14" s="7"/>
      <c r="C14" s="7"/>
    </row>
    <row r="15" spans="1:3" x14ac:dyDescent="0.25">
      <c r="A15" s="15" t="s">
        <v>5</v>
      </c>
      <c r="B15" s="7"/>
      <c r="C15" s="7"/>
    </row>
    <row r="16" spans="1:3" x14ac:dyDescent="0.25">
      <c r="A16" s="40" t="s">
        <v>4</v>
      </c>
      <c r="B16" s="32"/>
      <c r="C16" s="41"/>
    </row>
    <row r="17" spans="1:6" x14ac:dyDescent="0.25">
      <c r="A17" s="32" t="s">
        <v>27</v>
      </c>
      <c r="B17" s="42"/>
      <c r="C17" s="38"/>
      <c r="D17" s="4"/>
      <c r="E17" s="6"/>
    </row>
    <row r="18" spans="1:6" x14ac:dyDescent="0.25">
      <c r="A18" s="32" t="s">
        <v>28</v>
      </c>
      <c r="B18" s="43"/>
      <c r="C18" s="38">
        <v>41473</v>
      </c>
      <c r="D18" s="4"/>
      <c r="E18" s="6"/>
    </row>
    <row r="19" spans="1:6" hidden="1" x14ac:dyDescent="0.25">
      <c r="A19" s="32"/>
      <c r="B19" s="44"/>
      <c r="C19" s="38"/>
      <c r="D19" s="4"/>
      <c r="E19" s="6"/>
      <c r="F19" s="9"/>
    </row>
    <row r="20" spans="1:6" x14ac:dyDescent="0.25">
      <c r="A20" s="32" t="s">
        <v>10</v>
      </c>
      <c r="B20" s="44"/>
      <c r="C20" s="190">
        <v>27484.68</v>
      </c>
      <c r="D20" s="24"/>
      <c r="F20" s="6"/>
    </row>
    <row r="21" spans="1:6" x14ac:dyDescent="0.25">
      <c r="A21" s="32" t="s">
        <v>29</v>
      </c>
      <c r="B21" s="44" t="s">
        <v>119</v>
      </c>
      <c r="C21" s="38">
        <v>65000</v>
      </c>
      <c r="D21" s="24"/>
      <c r="F21" s="6"/>
    </row>
    <row r="22" spans="1:6" x14ac:dyDescent="0.25">
      <c r="A22" s="32" t="s">
        <v>11</v>
      </c>
      <c r="B22" s="45" t="s">
        <v>23</v>
      </c>
      <c r="C22" s="38">
        <f>65884 + 65884*10%</f>
        <v>72472.399999999994</v>
      </c>
      <c r="D22" s="4"/>
      <c r="E22" s="6"/>
    </row>
    <row r="23" spans="1:6" x14ac:dyDescent="0.25">
      <c r="A23" s="46"/>
      <c r="B23" s="47"/>
      <c r="C23" s="27">
        <f>SUM(C17:C22)</f>
        <v>206430.07999999999</v>
      </c>
    </row>
    <row r="24" spans="1:6" x14ac:dyDescent="0.25">
      <c r="A24" s="40" t="s">
        <v>12</v>
      </c>
      <c r="B24" s="44"/>
      <c r="C24" s="48"/>
      <c r="F24" s="20"/>
    </row>
    <row r="25" spans="1:6" ht="15.75" x14ac:dyDescent="0.25">
      <c r="A25" s="32" t="s">
        <v>120</v>
      </c>
      <c r="B25" s="49"/>
      <c r="C25" s="38">
        <v>349151.87</v>
      </c>
      <c r="D25" s="52"/>
      <c r="F25" s="14"/>
    </row>
    <row r="26" spans="1:6" ht="15.75" x14ac:dyDescent="0.25">
      <c r="A26" s="32" t="s">
        <v>124</v>
      </c>
      <c r="B26" s="49"/>
      <c r="C26" s="38">
        <v>16000</v>
      </c>
      <c r="D26" s="52"/>
      <c r="E26" s="156"/>
      <c r="F26" s="14"/>
    </row>
    <row r="27" spans="1:6" ht="15.75" x14ac:dyDescent="0.25">
      <c r="A27" s="32" t="s">
        <v>26</v>
      </c>
      <c r="B27" s="49"/>
      <c r="C27" s="38">
        <v>5684</v>
      </c>
      <c r="D27" s="52"/>
      <c r="F27" s="14"/>
    </row>
    <row r="28" spans="1:6" ht="15.75" x14ac:dyDescent="0.25">
      <c r="A28" s="154" t="s">
        <v>126</v>
      </c>
      <c r="B28" s="155"/>
      <c r="C28" s="38">
        <v>57087.41</v>
      </c>
      <c r="D28" s="52"/>
      <c r="F28" s="14"/>
    </row>
    <row r="29" spans="1:6" ht="29.25" customHeight="1" x14ac:dyDescent="0.25">
      <c r="A29" s="161" t="s">
        <v>125</v>
      </c>
      <c r="B29" s="162"/>
      <c r="C29" s="38">
        <v>50000</v>
      </c>
      <c r="F29" s="14"/>
    </row>
    <row r="30" spans="1:6" ht="15.75" x14ac:dyDescent="0.25">
      <c r="A30" s="32" t="s">
        <v>121</v>
      </c>
      <c r="B30" s="49"/>
      <c r="C30" s="38">
        <v>9500</v>
      </c>
      <c r="F30" s="14"/>
    </row>
    <row r="31" spans="1:6" ht="15.75" x14ac:dyDescent="0.25">
      <c r="A31" s="32" t="s">
        <v>117</v>
      </c>
      <c r="B31" s="45"/>
      <c r="C31" s="39">
        <v>200000</v>
      </c>
      <c r="D31" s="4"/>
      <c r="E31" s="6"/>
      <c r="F31" s="14"/>
    </row>
    <row r="32" spans="1:6" ht="15.75" x14ac:dyDescent="0.25">
      <c r="A32" s="46"/>
      <c r="B32" s="47"/>
      <c r="C32" s="27">
        <f>SUM(C24:C31)</f>
        <v>687423.28</v>
      </c>
      <c r="F32" s="14"/>
    </row>
    <row r="33" spans="1:6" ht="15.75" x14ac:dyDescent="0.25">
      <c r="A33" s="34" t="s">
        <v>6</v>
      </c>
      <c r="B33" s="34"/>
      <c r="C33" s="50">
        <f>+C32+C23</f>
        <v>893853.36</v>
      </c>
      <c r="F33" s="14"/>
    </row>
    <row r="34" spans="1:6" ht="15.75" x14ac:dyDescent="0.25">
      <c r="A34" s="7"/>
      <c r="B34" s="7"/>
      <c r="C34" s="28"/>
      <c r="F34" s="14"/>
    </row>
    <row r="35" spans="1:6" ht="15.75" x14ac:dyDescent="0.25">
      <c r="A35" s="15" t="s">
        <v>18</v>
      </c>
      <c r="B35" s="7"/>
      <c r="C35" s="28"/>
      <c r="F35" s="14"/>
    </row>
    <row r="36" spans="1:6" ht="15.75" x14ac:dyDescent="0.25">
      <c r="A36" s="32"/>
      <c r="B36" s="37"/>
      <c r="C36" s="38"/>
      <c r="F36" s="14"/>
    </row>
    <row r="37" spans="1:6" ht="15.75" x14ac:dyDescent="0.25">
      <c r="A37" s="32"/>
      <c r="B37" s="37"/>
      <c r="C37" s="39"/>
      <c r="F37" s="14"/>
    </row>
    <row r="38" spans="1:6" ht="15.75" x14ac:dyDescent="0.25">
      <c r="A38" s="37"/>
      <c r="B38" s="37"/>
      <c r="C38" s="39"/>
      <c r="F38" s="14"/>
    </row>
    <row r="39" spans="1:6" ht="15.75" x14ac:dyDescent="0.25">
      <c r="A39" s="21"/>
      <c r="B39" s="21"/>
      <c r="C39" s="29"/>
      <c r="F39" s="14"/>
    </row>
    <row r="40" spans="1:6" x14ac:dyDescent="0.25">
      <c r="A40" s="15" t="s">
        <v>15</v>
      </c>
      <c r="B40" s="15"/>
      <c r="C40" s="16">
        <f>+C36+C37+C38+C39</f>
        <v>0</v>
      </c>
      <c r="E40" s="6"/>
    </row>
    <row r="41" spans="1:6" x14ac:dyDescent="0.25">
      <c r="A41" s="7"/>
      <c r="B41" s="7"/>
      <c r="C41" s="7"/>
    </row>
    <row r="42" spans="1:6" x14ac:dyDescent="0.25">
      <c r="A42" s="22" t="s">
        <v>7</v>
      </c>
      <c r="B42" s="22"/>
      <c r="C42" s="23">
        <f>+C40+C33</f>
        <v>893853.36</v>
      </c>
    </row>
    <row r="43" spans="1:6" x14ac:dyDescent="0.25">
      <c r="A43" s="7"/>
      <c r="B43" s="7"/>
      <c r="C43" s="7"/>
    </row>
    <row r="44" spans="1:6" x14ac:dyDescent="0.25">
      <c r="A44" s="4"/>
      <c r="B44" s="7"/>
      <c r="C44" s="7"/>
    </row>
    <row r="45" spans="1:6" x14ac:dyDescent="0.25">
      <c r="A45" s="196"/>
      <c r="B45" s="20"/>
      <c r="C45" s="199"/>
      <c r="D45" s="5"/>
      <c r="E45" s="5"/>
    </row>
    <row r="46" spans="1:6" ht="15" customHeight="1" thickBot="1" x14ac:dyDescent="0.3">
      <c r="A46" s="196"/>
      <c r="B46" s="20"/>
      <c r="C46" s="199"/>
      <c r="D46" s="6"/>
      <c r="E46" s="6"/>
    </row>
    <row r="47" spans="1:6" ht="15.75" thickBot="1" x14ac:dyDescent="0.3">
      <c r="A47" s="200" t="s">
        <v>136</v>
      </c>
      <c r="B47" s="198"/>
      <c r="C47" s="201">
        <f>'prorrateo '!F31</f>
        <v>1270017.7953192024</v>
      </c>
      <c r="D47" s="6"/>
      <c r="E47" s="6"/>
    </row>
    <row r="48" spans="1:6" ht="15.75" thickBot="1" x14ac:dyDescent="0.3">
      <c r="A48" s="202" t="s">
        <v>139</v>
      </c>
      <c r="B48" s="197"/>
      <c r="C48" s="203">
        <v>-291575.07</v>
      </c>
      <c r="D48" s="6"/>
      <c r="E48" s="6"/>
    </row>
    <row r="49" spans="1:6" ht="15.75" thickBot="1" x14ac:dyDescent="0.3">
      <c r="A49" s="200" t="s">
        <v>137</v>
      </c>
      <c r="B49" s="198"/>
      <c r="C49" s="204">
        <f>-(C33-C31)</f>
        <v>-693853.36</v>
      </c>
      <c r="D49" s="6"/>
      <c r="E49" s="6"/>
    </row>
    <row r="50" spans="1:6" ht="15.75" thickBot="1" x14ac:dyDescent="0.3">
      <c r="A50" s="200" t="s">
        <v>138</v>
      </c>
      <c r="B50" s="198"/>
      <c r="C50" s="205">
        <v>-78873.109999999986</v>
      </c>
    </row>
    <row r="51" spans="1:6" hidden="1" x14ac:dyDescent="0.25">
      <c r="A51" s="206"/>
      <c r="B51" s="20"/>
      <c r="C51" s="207"/>
    </row>
    <row r="52" spans="1:6" ht="15.75" thickBot="1" x14ac:dyDescent="0.3">
      <c r="A52" s="202" t="s">
        <v>8</v>
      </c>
      <c r="B52" s="197"/>
      <c r="C52" s="208">
        <f>SUM(C45:C50)</f>
        <v>205716.25531920232</v>
      </c>
      <c r="D52" s="5"/>
    </row>
    <row r="53" spans="1:6" ht="13.5" customHeight="1" x14ac:dyDescent="0.25">
      <c r="A53" s="10"/>
      <c r="B53" s="11"/>
      <c r="C53" s="12"/>
    </row>
    <row r="54" spans="1:6" hidden="1" x14ac:dyDescent="0.25">
      <c r="A54" s="163"/>
      <c r="B54" s="163"/>
      <c r="C54" s="163"/>
      <c r="F54" s="51"/>
    </row>
    <row r="55" spans="1:6" ht="46.5" hidden="1" customHeight="1" x14ac:dyDescent="0.25">
      <c r="A55" s="164"/>
      <c r="B55" s="164"/>
      <c r="C55" s="164"/>
    </row>
    <row r="56" spans="1:6" ht="0.75" customHeight="1" x14ac:dyDescent="0.25">
      <c r="A56" s="30" t="s">
        <v>21</v>
      </c>
      <c r="B56" s="31"/>
      <c r="C56" s="33"/>
    </row>
    <row r="57" spans="1:6" hidden="1" x14ac:dyDescent="0.25">
      <c r="A57" s="32" t="s">
        <v>24</v>
      </c>
      <c r="B57" s="32"/>
      <c r="C57" s="35">
        <f>-C40</f>
        <v>0</v>
      </c>
    </row>
    <row r="58" spans="1:6" hidden="1" x14ac:dyDescent="0.25">
      <c r="A58" s="32"/>
      <c r="B58" s="32"/>
      <c r="C58" s="35"/>
    </row>
    <row r="59" spans="1:6" hidden="1" x14ac:dyDescent="0.25">
      <c r="A59" s="32"/>
      <c r="B59" s="32"/>
      <c r="C59" s="36"/>
    </row>
    <row r="60" spans="1:6" hidden="1" x14ac:dyDescent="0.25">
      <c r="A60" s="209" t="s">
        <v>0</v>
      </c>
      <c r="B60" s="210"/>
      <c r="C60" s="211">
        <f>SUM(C56:C59)</f>
        <v>0</v>
      </c>
    </row>
    <row r="61" spans="1:6" x14ac:dyDescent="0.25">
      <c r="A61" s="11"/>
      <c r="B61" s="11"/>
      <c r="C61" s="11"/>
    </row>
    <row r="62" spans="1:6" x14ac:dyDescent="0.25">
      <c r="A62" s="9"/>
      <c r="B62" s="9"/>
      <c r="C62" s="9"/>
    </row>
    <row r="63" spans="1:6" x14ac:dyDescent="0.25">
      <c r="A63" s="9"/>
      <c r="B63" s="9"/>
      <c r="C63" s="9"/>
    </row>
    <row r="64" spans="1:6" x14ac:dyDescent="0.25">
      <c r="A64" s="9"/>
      <c r="B64" s="9"/>
      <c r="C64" s="9"/>
    </row>
  </sheetData>
  <mergeCells count="2">
    <mergeCell ref="A29:B29"/>
    <mergeCell ref="A54:C55"/>
  </mergeCells>
  <hyperlinks>
    <hyperlink ref="B4" r:id="rId1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workbookViewId="0">
      <selection activeCell="B11" sqref="B11"/>
    </sheetView>
  </sheetViews>
  <sheetFormatPr baseColWidth="10" defaultRowHeight="15" x14ac:dyDescent="0.25"/>
  <cols>
    <col min="1" max="1" width="18.5703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3"/>
    <col min="15" max="15" width="13" bestFit="1" customWidth="1"/>
  </cols>
  <sheetData>
    <row r="1" spans="1:13" x14ac:dyDescent="0.25">
      <c r="A1" s="1" t="s">
        <v>86</v>
      </c>
      <c r="B1" s="165">
        <f>D1</f>
        <v>893853.36</v>
      </c>
      <c r="C1" s="165"/>
      <c r="D1" s="160">
        <v>893853.36</v>
      </c>
    </row>
    <row r="2" spans="1:13" ht="34.5" customHeight="1" x14ac:dyDescent="0.25">
      <c r="A2" s="53" t="s">
        <v>30</v>
      </c>
      <c r="B2" s="53" t="s">
        <v>20</v>
      </c>
      <c r="C2" s="151" t="s">
        <v>115</v>
      </c>
      <c r="D2" s="54" t="s">
        <v>1</v>
      </c>
      <c r="E2" s="55" t="s">
        <v>31</v>
      </c>
      <c r="F2" s="55" t="s">
        <v>32</v>
      </c>
      <c r="G2" s="56" t="s">
        <v>33</v>
      </c>
      <c r="H2" s="56" t="s">
        <v>118</v>
      </c>
      <c r="I2" s="57" t="s">
        <v>34</v>
      </c>
      <c r="J2" s="57" t="s">
        <v>35</v>
      </c>
      <c r="K2" s="57" t="s">
        <v>17</v>
      </c>
      <c r="L2" s="58" t="s">
        <v>36</v>
      </c>
    </row>
    <row r="3" spans="1:13" x14ac:dyDescent="0.25">
      <c r="A3" s="59" t="s">
        <v>37</v>
      </c>
      <c r="B3" s="60" t="s">
        <v>116</v>
      </c>
      <c r="C3" s="61" t="s">
        <v>38</v>
      </c>
      <c r="D3" s="62">
        <v>5.1100000000000003</v>
      </c>
      <c r="E3" s="142">
        <v>106407.62696004001</v>
      </c>
      <c r="F3" s="171">
        <f>E3</f>
        <v>106407.62696004001</v>
      </c>
      <c r="G3" s="63">
        <f>E3-F3</f>
        <v>0</v>
      </c>
      <c r="H3" s="63">
        <f>IF(G3&gt;0,G3*4%,0)</f>
        <v>0</v>
      </c>
      <c r="I3" s="63">
        <f>B$1*D3/100</f>
        <v>45675.906696000005</v>
      </c>
      <c r="J3" s="63">
        <v>0</v>
      </c>
      <c r="K3" s="63"/>
      <c r="L3" s="64">
        <f>I3+G3+K3+J3+H3</f>
        <v>45675.906696000005</v>
      </c>
    </row>
    <row r="4" spans="1:13" x14ac:dyDescent="0.25">
      <c r="A4" s="65" t="s">
        <v>39</v>
      </c>
      <c r="B4" s="66" t="s">
        <v>40</v>
      </c>
      <c r="C4" s="67" t="s">
        <v>41</v>
      </c>
      <c r="D4" s="68">
        <v>5.09</v>
      </c>
      <c r="E4" s="142">
        <v>51956.450368999998</v>
      </c>
      <c r="F4" s="171">
        <f t="shared" ref="F4:F29" si="0">E4</f>
        <v>51956.450368999998</v>
      </c>
      <c r="G4" s="63">
        <f t="shared" ref="G4:G29" si="1">E4-F4</f>
        <v>0</v>
      </c>
      <c r="H4" s="63">
        <f t="shared" ref="H4:H29" si="2">IF(G4&gt;0,G4*4%,0)</f>
        <v>0</v>
      </c>
      <c r="I4" s="63">
        <f t="shared" ref="I4:I29" si="3">B$1*D4/100</f>
        <v>45497.136023999999</v>
      </c>
      <c r="J4" s="63">
        <v>0</v>
      </c>
      <c r="K4" s="63"/>
      <c r="L4" s="64">
        <f t="shared" ref="L4:L29" si="4">I4+G4+K4+J4+H4</f>
        <v>45497.136023999999</v>
      </c>
    </row>
    <row r="5" spans="1:13" x14ac:dyDescent="0.25">
      <c r="A5" s="65" t="s">
        <v>42</v>
      </c>
      <c r="B5" s="66" t="s">
        <v>43</v>
      </c>
      <c r="C5" s="67" t="s">
        <v>44</v>
      </c>
      <c r="D5" s="68">
        <v>5.04</v>
      </c>
      <c r="E5" s="142">
        <v>51446.072663999999</v>
      </c>
      <c r="F5" s="171">
        <f t="shared" si="0"/>
        <v>51446.072663999999</v>
      </c>
      <c r="G5" s="63">
        <f t="shared" si="1"/>
        <v>0</v>
      </c>
      <c r="H5" s="63">
        <f t="shared" si="2"/>
        <v>0</v>
      </c>
      <c r="I5" s="63">
        <f t="shared" si="3"/>
        <v>45050.209343999995</v>
      </c>
      <c r="J5" s="63">
        <v>0</v>
      </c>
      <c r="K5" s="63"/>
      <c r="L5" s="64">
        <f t="shared" si="4"/>
        <v>45050.209343999995</v>
      </c>
    </row>
    <row r="6" spans="1:13" x14ac:dyDescent="0.25">
      <c r="A6" s="65" t="s">
        <v>45</v>
      </c>
      <c r="B6" s="66"/>
      <c r="C6" s="67" t="s">
        <v>46</v>
      </c>
      <c r="D6" s="68">
        <v>5.21</v>
      </c>
      <c r="E6" s="142">
        <v>52362.713722000015</v>
      </c>
      <c r="F6" s="171">
        <f>E6</f>
        <v>52362.713722000015</v>
      </c>
      <c r="G6" s="63">
        <f t="shared" si="1"/>
        <v>0</v>
      </c>
      <c r="H6" s="63">
        <f t="shared" si="2"/>
        <v>0</v>
      </c>
      <c r="I6" s="63">
        <f t="shared" si="3"/>
        <v>46569.760055999999</v>
      </c>
      <c r="J6" s="63">
        <v>0</v>
      </c>
      <c r="K6" s="63"/>
      <c r="L6" s="64">
        <f t="shared" si="4"/>
        <v>46569.760055999999</v>
      </c>
      <c r="M6" t="s">
        <v>129</v>
      </c>
    </row>
    <row r="7" spans="1:13" x14ac:dyDescent="0.25">
      <c r="A7" s="65" t="s">
        <v>42</v>
      </c>
      <c r="B7" s="66" t="s">
        <v>130</v>
      </c>
      <c r="C7" s="67" t="s">
        <v>47</v>
      </c>
      <c r="D7" s="68">
        <v>5.1100000000000003</v>
      </c>
      <c r="E7" s="142">
        <v>52160.601451000002</v>
      </c>
      <c r="F7" s="171">
        <f>E7</f>
        <v>52160.601451000002</v>
      </c>
      <c r="G7" s="63">
        <f t="shared" si="1"/>
        <v>0</v>
      </c>
      <c r="H7" s="63">
        <f t="shared" si="2"/>
        <v>0</v>
      </c>
      <c r="I7" s="63">
        <f t="shared" si="3"/>
        <v>45675.906696000005</v>
      </c>
      <c r="J7" s="63">
        <v>0</v>
      </c>
      <c r="K7" s="63"/>
      <c r="L7" s="64">
        <f t="shared" si="4"/>
        <v>45675.906696000005</v>
      </c>
    </row>
    <row r="8" spans="1:13" x14ac:dyDescent="0.25">
      <c r="A8" s="65" t="s">
        <v>48</v>
      </c>
      <c r="B8" s="66"/>
      <c r="C8" s="67" t="s">
        <v>49</v>
      </c>
      <c r="D8" s="68">
        <v>5.09</v>
      </c>
      <c r="E8" s="142">
        <v>51956.450368999998</v>
      </c>
      <c r="F8" s="171">
        <f>E8+85</f>
        <v>52041.450368999998</v>
      </c>
      <c r="G8" s="63">
        <f t="shared" si="1"/>
        <v>-85</v>
      </c>
      <c r="H8" s="63">
        <f t="shared" si="2"/>
        <v>0</v>
      </c>
      <c r="I8" s="63">
        <f t="shared" si="3"/>
        <v>45497.136023999999</v>
      </c>
      <c r="J8" s="63">
        <v>0</v>
      </c>
      <c r="K8" s="63"/>
      <c r="L8" s="64">
        <f t="shared" si="4"/>
        <v>45412.136023999999</v>
      </c>
    </row>
    <row r="9" spans="1:13" x14ac:dyDescent="0.25">
      <c r="A9" s="65" t="s">
        <v>50</v>
      </c>
      <c r="B9" s="66"/>
      <c r="C9" s="67" t="s">
        <v>51</v>
      </c>
      <c r="D9" s="68">
        <v>5.1100000000000003</v>
      </c>
      <c r="E9" s="142">
        <v>52160.601451000002</v>
      </c>
      <c r="F9" s="171">
        <f t="shared" si="0"/>
        <v>52160.601451000002</v>
      </c>
      <c r="G9" s="63">
        <f t="shared" si="1"/>
        <v>0</v>
      </c>
      <c r="H9" s="63">
        <f t="shared" si="2"/>
        <v>0</v>
      </c>
      <c r="I9" s="63">
        <f t="shared" si="3"/>
        <v>45675.906696000005</v>
      </c>
      <c r="J9" s="63">
        <v>0</v>
      </c>
      <c r="K9" s="63"/>
      <c r="L9" s="64">
        <f t="shared" si="4"/>
        <v>45675.906696000005</v>
      </c>
      <c r="M9" t="s">
        <v>140</v>
      </c>
    </row>
    <row r="10" spans="1:13" x14ac:dyDescent="0.25">
      <c r="A10" s="172" t="s">
        <v>52</v>
      </c>
      <c r="B10" s="173" t="s">
        <v>141</v>
      </c>
      <c r="C10" s="174" t="s">
        <v>53</v>
      </c>
      <c r="D10" s="175">
        <v>5.09</v>
      </c>
      <c r="E10" s="176">
        <v>105991.15875275999</v>
      </c>
      <c r="F10" s="152"/>
      <c r="G10" s="177">
        <f t="shared" si="1"/>
        <v>105991.15875275999</v>
      </c>
      <c r="H10" s="177">
        <f t="shared" si="2"/>
        <v>4239.6463501103999</v>
      </c>
      <c r="I10" s="177">
        <f t="shared" si="3"/>
        <v>45497.136023999999</v>
      </c>
      <c r="J10" s="177">
        <v>0</v>
      </c>
      <c r="K10" s="177"/>
      <c r="L10" s="178">
        <f t="shared" si="4"/>
        <v>155727.94112687037</v>
      </c>
    </row>
    <row r="11" spans="1:13" x14ac:dyDescent="0.25">
      <c r="A11" s="65" t="s">
        <v>54</v>
      </c>
      <c r="B11" s="66"/>
      <c r="C11" s="67" t="s">
        <v>55</v>
      </c>
      <c r="D11" s="68">
        <v>5.04</v>
      </c>
      <c r="E11" s="142">
        <v>120000.05703456001</v>
      </c>
      <c r="F11" s="171">
        <f>E11</f>
        <v>120000.05703456001</v>
      </c>
      <c r="G11" s="63">
        <f t="shared" si="1"/>
        <v>0</v>
      </c>
      <c r="H11" s="63">
        <f t="shared" si="2"/>
        <v>0</v>
      </c>
      <c r="I11" s="63">
        <f t="shared" si="3"/>
        <v>45050.209343999995</v>
      </c>
      <c r="J11" s="63">
        <v>0</v>
      </c>
      <c r="K11" s="63"/>
      <c r="L11" s="64">
        <f t="shared" si="4"/>
        <v>45050.209343999995</v>
      </c>
    </row>
    <row r="12" spans="1:13" x14ac:dyDescent="0.25">
      <c r="A12" s="65" t="s">
        <v>56</v>
      </c>
      <c r="B12" s="66"/>
      <c r="C12" s="67" t="s">
        <v>57</v>
      </c>
      <c r="D12" s="68">
        <v>5.21</v>
      </c>
      <c r="E12" s="142">
        <v>53181.356861000007</v>
      </c>
      <c r="F12" s="171">
        <f t="shared" si="0"/>
        <v>53181.356861000007</v>
      </c>
      <c r="G12" s="63">
        <f t="shared" si="1"/>
        <v>0</v>
      </c>
      <c r="H12" s="63">
        <f t="shared" si="2"/>
        <v>0</v>
      </c>
      <c r="I12" s="63">
        <f t="shared" si="3"/>
        <v>46569.760055999999</v>
      </c>
      <c r="J12" s="63">
        <v>0</v>
      </c>
      <c r="K12" s="63"/>
      <c r="L12" s="64">
        <f t="shared" si="4"/>
        <v>46569.760055999999</v>
      </c>
    </row>
    <row r="13" spans="1:13" x14ac:dyDescent="0.25">
      <c r="A13" s="65" t="s">
        <v>58</v>
      </c>
      <c r="B13" s="66" t="s">
        <v>59</v>
      </c>
      <c r="C13" s="67" t="s">
        <v>60</v>
      </c>
      <c r="D13" s="68">
        <v>5.1100000000000003</v>
      </c>
      <c r="E13" s="142">
        <v>52160.601451000002</v>
      </c>
      <c r="F13" s="171">
        <f>E13</f>
        <v>52160.601451000002</v>
      </c>
      <c r="G13" s="63">
        <f t="shared" si="1"/>
        <v>0</v>
      </c>
      <c r="H13" s="63">
        <f t="shared" si="2"/>
        <v>0</v>
      </c>
      <c r="I13" s="63">
        <f t="shared" si="3"/>
        <v>45675.906696000005</v>
      </c>
      <c r="J13" s="63">
        <v>0</v>
      </c>
      <c r="K13" s="63"/>
      <c r="L13" s="64">
        <f t="shared" si="4"/>
        <v>45675.906696000005</v>
      </c>
    </row>
    <row r="14" spans="1:13" x14ac:dyDescent="0.25">
      <c r="A14" s="71" t="s">
        <v>58</v>
      </c>
      <c r="B14" s="157" t="s">
        <v>61</v>
      </c>
      <c r="C14" s="72" t="s">
        <v>62</v>
      </c>
      <c r="D14" s="158">
        <v>5.09</v>
      </c>
      <c r="E14" s="142">
        <v>105991.15875275999</v>
      </c>
      <c r="F14" s="171">
        <f>E14</f>
        <v>105991.15875275999</v>
      </c>
      <c r="G14" s="73">
        <f t="shared" si="1"/>
        <v>0</v>
      </c>
      <c r="H14" s="73">
        <f t="shared" si="2"/>
        <v>0</v>
      </c>
      <c r="I14" s="73">
        <f t="shared" si="3"/>
        <v>45497.136023999999</v>
      </c>
      <c r="J14" s="73">
        <v>0</v>
      </c>
      <c r="K14" s="73"/>
      <c r="L14" s="159">
        <f t="shared" si="4"/>
        <v>45497.136023999999</v>
      </c>
    </row>
    <row r="15" spans="1:13" x14ac:dyDescent="0.25">
      <c r="A15" s="65" t="s">
        <v>63</v>
      </c>
      <c r="B15" s="66" t="s">
        <v>64</v>
      </c>
      <c r="C15" s="67" t="s">
        <v>65</v>
      </c>
      <c r="D15" s="68">
        <v>5.04</v>
      </c>
      <c r="E15" s="142">
        <v>51446.072663999999</v>
      </c>
      <c r="F15" s="171">
        <f t="shared" si="0"/>
        <v>51446.072663999999</v>
      </c>
      <c r="G15" s="63">
        <f t="shared" si="1"/>
        <v>0</v>
      </c>
      <c r="H15" s="63">
        <f t="shared" si="2"/>
        <v>0</v>
      </c>
      <c r="I15" s="63">
        <f t="shared" si="3"/>
        <v>45050.209343999995</v>
      </c>
      <c r="J15" s="63">
        <v>0</v>
      </c>
      <c r="K15" s="63"/>
      <c r="L15" s="64">
        <f t="shared" si="4"/>
        <v>45050.209343999995</v>
      </c>
    </row>
    <row r="16" spans="1:13" x14ac:dyDescent="0.25">
      <c r="A16" s="65" t="s">
        <v>66</v>
      </c>
      <c r="B16" s="66" t="s">
        <v>67</v>
      </c>
      <c r="C16" s="67" t="s">
        <v>68</v>
      </c>
      <c r="D16" s="68">
        <v>5.21</v>
      </c>
      <c r="E16" s="142">
        <v>52781.356861000007</v>
      </c>
      <c r="F16" s="171">
        <v>0</v>
      </c>
      <c r="G16" s="63">
        <f t="shared" si="1"/>
        <v>52781.356861000007</v>
      </c>
      <c r="H16" s="63">
        <f t="shared" si="2"/>
        <v>2111.2542744400002</v>
      </c>
      <c r="I16" s="63">
        <f t="shared" si="3"/>
        <v>46569.760055999999</v>
      </c>
      <c r="J16" s="63">
        <v>0</v>
      </c>
      <c r="K16" s="63"/>
      <c r="L16" s="64">
        <f t="shared" si="4"/>
        <v>101462.37119144</v>
      </c>
    </row>
    <row r="17" spans="1:15" x14ac:dyDescent="0.25">
      <c r="A17" s="65" t="s">
        <v>69</v>
      </c>
      <c r="B17" s="66"/>
      <c r="C17" s="67" t="s">
        <v>70</v>
      </c>
      <c r="D17" s="68">
        <v>5.04</v>
      </c>
      <c r="E17" s="142">
        <v>51446.072663999999</v>
      </c>
      <c r="F17" s="171">
        <f t="shared" si="0"/>
        <v>51446.072663999999</v>
      </c>
      <c r="G17" s="63">
        <f t="shared" si="1"/>
        <v>0</v>
      </c>
      <c r="H17" s="63">
        <f t="shared" si="2"/>
        <v>0</v>
      </c>
      <c r="I17" s="63">
        <f t="shared" si="3"/>
        <v>45050.209343999995</v>
      </c>
      <c r="J17" s="63">
        <v>0</v>
      </c>
      <c r="K17" s="63"/>
      <c r="L17" s="64">
        <f t="shared" si="4"/>
        <v>45050.209343999995</v>
      </c>
    </row>
    <row r="18" spans="1:15" ht="21" customHeight="1" x14ac:dyDescent="0.25">
      <c r="A18" s="69" t="s">
        <v>71</v>
      </c>
      <c r="B18" s="70"/>
      <c r="C18" s="67" t="s">
        <v>72</v>
      </c>
      <c r="D18" s="68">
        <v>5.21</v>
      </c>
      <c r="E18" s="142">
        <v>53181.356861000007</v>
      </c>
      <c r="F18" s="171">
        <f t="shared" si="0"/>
        <v>53181.356861000007</v>
      </c>
      <c r="G18" s="63">
        <f t="shared" si="1"/>
        <v>0</v>
      </c>
      <c r="H18" s="63">
        <f t="shared" si="2"/>
        <v>0</v>
      </c>
      <c r="I18" s="63">
        <f t="shared" si="3"/>
        <v>46569.760055999999</v>
      </c>
      <c r="J18" s="63">
        <v>0</v>
      </c>
      <c r="K18" s="63"/>
      <c r="L18" s="64">
        <f t="shared" si="4"/>
        <v>46569.760055999999</v>
      </c>
    </row>
    <row r="19" spans="1:15" x14ac:dyDescent="0.25">
      <c r="A19" s="65" t="s">
        <v>73</v>
      </c>
      <c r="B19" s="66"/>
      <c r="C19" s="67" t="s">
        <v>74</v>
      </c>
      <c r="D19" s="68">
        <v>7.4</v>
      </c>
      <c r="E19" s="142">
        <v>275000.40194660181</v>
      </c>
      <c r="F19" s="171">
        <f>E19</f>
        <v>275000.40194660181</v>
      </c>
      <c r="G19" s="63">
        <f t="shared" si="1"/>
        <v>0</v>
      </c>
      <c r="H19" s="63">
        <f t="shared" si="2"/>
        <v>0</v>
      </c>
      <c r="I19" s="63">
        <f t="shared" si="3"/>
        <v>66145.148639999999</v>
      </c>
      <c r="J19" s="63">
        <v>0</v>
      </c>
      <c r="K19" s="63"/>
      <c r="L19" s="64">
        <f t="shared" si="4"/>
        <v>66145.148639999999</v>
      </c>
    </row>
    <row r="20" spans="1:15" x14ac:dyDescent="0.25">
      <c r="A20" s="172"/>
      <c r="B20" s="173"/>
      <c r="C20" s="174" t="s">
        <v>75</v>
      </c>
      <c r="D20" s="175">
        <v>1.08</v>
      </c>
      <c r="E20" s="176">
        <v>22489.283193120005</v>
      </c>
      <c r="F20" s="152">
        <v>0</v>
      </c>
      <c r="G20" s="177">
        <f t="shared" si="1"/>
        <v>22489.283193120005</v>
      </c>
      <c r="H20" s="177">
        <f t="shared" si="2"/>
        <v>899.5713277248002</v>
      </c>
      <c r="I20" s="177">
        <f t="shared" si="3"/>
        <v>9653.6162880000011</v>
      </c>
      <c r="J20" s="177">
        <v>0</v>
      </c>
      <c r="K20" s="177"/>
      <c r="L20" s="178">
        <f t="shared" si="4"/>
        <v>33042.47080884481</v>
      </c>
    </row>
    <row r="21" spans="1:15" x14ac:dyDescent="0.25">
      <c r="A21" s="71"/>
      <c r="B21" s="66" t="s">
        <v>67</v>
      </c>
      <c r="C21" s="72" t="s">
        <v>76</v>
      </c>
      <c r="D21" s="68">
        <v>1.08</v>
      </c>
      <c r="E21" s="142">
        <v>11024.158428000002</v>
      </c>
      <c r="F21" s="171">
        <v>0</v>
      </c>
      <c r="G21" s="63">
        <f t="shared" si="1"/>
        <v>11024.158428000002</v>
      </c>
      <c r="H21" s="63">
        <f t="shared" si="2"/>
        <v>440.96633712000011</v>
      </c>
      <c r="I21" s="63">
        <f t="shared" si="3"/>
        <v>9653.6162880000011</v>
      </c>
      <c r="J21" s="63">
        <v>0</v>
      </c>
      <c r="K21" s="73"/>
      <c r="L21" s="64">
        <f t="shared" si="4"/>
        <v>21118.741053120004</v>
      </c>
    </row>
    <row r="22" spans="1:15" x14ac:dyDescent="0.25">
      <c r="A22" s="172"/>
      <c r="B22" s="173"/>
      <c r="C22" s="174" t="s">
        <v>77</v>
      </c>
      <c r="D22" s="175">
        <v>1.08</v>
      </c>
      <c r="E22" s="176">
        <v>22489.283193120005</v>
      </c>
      <c r="F22" s="152">
        <v>0</v>
      </c>
      <c r="G22" s="177">
        <f t="shared" si="1"/>
        <v>22489.283193120005</v>
      </c>
      <c r="H22" s="177">
        <f t="shared" si="2"/>
        <v>899.5713277248002</v>
      </c>
      <c r="I22" s="177">
        <f t="shared" si="3"/>
        <v>9653.6162880000011</v>
      </c>
      <c r="J22" s="177">
        <v>0</v>
      </c>
      <c r="K22" s="177"/>
      <c r="L22" s="178">
        <f t="shared" si="4"/>
        <v>33042.47080884481</v>
      </c>
    </row>
    <row r="23" spans="1:15" x14ac:dyDescent="0.25">
      <c r="A23" s="65"/>
      <c r="B23" s="66" t="s">
        <v>43</v>
      </c>
      <c r="C23" s="67" t="s">
        <v>78</v>
      </c>
      <c r="D23" s="68">
        <v>1.08</v>
      </c>
      <c r="E23" s="142">
        <v>11024.158428000002</v>
      </c>
      <c r="F23" s="171">
        <f t="shared" si="0"/>
        <v>11024.158428000002</v>
      </c>
      <c r="G23" s="63">
        <f t="shared" si="1"/>
        <v>0</v>
      </c>
      <c r="H23" s="63">
        <f t="shared" si="2"/>
        <v>0</v>
      </c>
      <c r="I23" s="63">
        <f t="shared" si="3"/>
        <v>9653.6162880000011</v>
      </c>
      <c r="J23" s="63">
        <v>0</v>
      </c>
      <c r="K23" s="63"/>
      <c r="L23" s="64">
        <f t="shared" si="4"/>
        <v>9653.6162880000011</v>
      </c>
    </row>
    <row r="24" spans="1:15" x14ac:dyDescent="0.25">
      <c r="A24" s="65" t="s">
        <v>58</v>
      </c>
      <c r="B24" s="66" t="s">
        <v>59</v>
      </c>
      <c r="C24" s="67" t="s">
        <v>79</v>
      </c>
      <c r="D24" s="68">
        <v>1.08</v>
      </c>
      <c r="E24" s="142">
        <v>11024.158428000002</v>
      </c>
      <c r="F24" s="171">
        <f>E24</f>
        <v>11024.158428000002</v>
      </c>
      <c r="G24" s="63">
        <f t="shared" si="1"/>
        <v>0</v>
      </c>
      <c r="H24" s="63">
        <f t="shared" si="2"/>
        <v>0</v>
      </c>
      <c r="I24" s="63">
        <f t="shared" si="3"/>
        <v>9653.6162880000011</v>
      </c>
      <c r="J24" s="63">
        <v>0</v>
      </c>
      <c r="K24" s="63"/>
      <c r="L24" s="64">
        <f t="shared" si="4"/>
        <v>9653.6162880000011</v>
      </c>
    </row>
    <row r="25" spans="1:15" x14ac:dyDescent="0.25">
      <c r="A25" s="65" t="s">
        <v>58</v>
      </c>
      <c r="B25" s="66" t="s">
        <v>61</v>
      </c>
      <c r="C25" s="67" t="s">
        <v>80</v>
      </c>
      <c r="D25" s="68">
        <v>1.08</v>
      </c>
      <c r="E25" s="142">
        <v>22489.283193120005</v>
      </c>
      <c r="F25" s="171">
        <f>E25</f>
        <v>22489.283193120005</v>
      </c>
      <c r="G25" s="63">
        <f t="shared" si="1"/>
        <v>0</v>
      </c>
      <c r="H25" s="63">
        <f t="shared" si="2"/>
        <v>0</v>
      </c>
      <c r="I25" s="63">
        <f t="shared" si="3"/>
        <v>9653.6162880000011</v>
      </c>
      <c r="J25" s="63">
        <v>0</v>
      </c>
      <c r="K25" s="63"/>
      <c r="L25" s="64">
        <f t="shared" si="4"/>
        <v>9653.6162880000011</v>
      </c>
    </row>
    <row r="26" spans="1:15" x14ac:dyDescent="0.25">
      <c r="A26" s="65" t="s">
        <v>73</v>
      </c>
      <c r="B26" s="66"/>
      <c r="C26" s="67" t="s">
        <v>81</v>
      </c>
      <c r="D26" s="68">
        <v>1.08</v>
      </c>
      <c r="E26" s="142">
        <v>30536.803193120006</v>
      </c>
      <c r="F26" s="171">
        <v>22489.283193120005</v>
      </c>
      <c r="G26" s="63">
        <f t="shared" si="1"/>
        <v>8047.52</v>
      </c>
      <c r="H26" s="63">
        <f t="shared" si="2"/>
        <v>321.9008</v>
      </c>
      <c r="I26" s="63">
        <f t="shared" si="3"/>
        <v>9653.6162880000011</v>
      </c>
      <c r="J26" s="63">
        <v>0</v>
      </c>
      <c r="K26" s="63"/>
      <c r="L26" s="64">
        <f t="shared" si="4"/>
        <v>18023.037088000001</v>
      </c>
    </row>
    <row r="27" spans="1:15" x14ac:dyDescent="0.25">
      <c r="A27" s="65" t="s">
        <v>73</v>
      </c>
      <c r="B27" s="74"/>
      <c r="C27" s="67" t="s">
        <v>82</v>
      </c>
      <c r="D27" s="68">
        <v>1.08</v>
      </c>
      <c r="E27" s="142">
        <v>30536.803193120006</v>
      </c>
      <c r="F27" s="171"/>
      <c r="G27" s="63">
        <f t="shared" si="1"/>
        <v>30536.803193120006</v>
      </c>
      <c r="H27" s="63">
        <f t="shared" si="2"/>
        <v>1221.4721277248002</v>
      </c>
      <c r="I27" s="63">
        <f t="shared" si="3"/>
        <v>9653.6162880000011</v>
      </c>
      <c r="J27" s="63">
        <v>0</v>
      </c>
      <c r="K27" s="63"/>
      <c r="L27" s="64">
        <f t="shared" si="4"/>
        <v>41411.89160884481</v>
      </c>
      <c r="O27" s="51">
        <f>F27+F26+F19</f>
        <v>297489.68513972184</v>
      </c>
    </row>
    <row r="28" spans="1:15" x14ac:dyDescent="0.25">
      <c r="A28" s="75"/>
      <c r="B28" s="74" t="str">
        <f>B7</f>
        <v>Leandro</v>
      </c>
      <c r="C28" s="67" t="s">
        <v>83</v>
      </c>
      <c r="D28" s="68">
        <v>1.08</v>
      </c>
      <c r="E28" s="142">
        <v>11024.158428000002</v>
      </c>
      <c r="F28" s="171">
        <f>E28</f>
        <v>11024.158428000002</v>
      </c>
      <c r="G28" s="63">
        <f t="shared" si="1"/>
        <v>0</v>
      </c>
      <c r="H28" s="63">
        <f t="shared" si="2"/>
        <v>0</v>
      </c>
      <c r="I28" s="63">
        <f t="shared" si="3"/>
        <v>9653.6162880000011</v>
      </c>
      <c r="J28" s="63">
        <v>0</v>
      </c>
      <c r="K28" s="63"/>
      <c r="L28" s="64">
        <f t="shared" si="4"/>
        <v>9653.6162880000011</v>
      </c>
    </row>
    <row r="29" spans="1:15" x14ac:dyDescent="0.25">
      <c r="A29" s="75" t="s">
        <v>63</v>
      </c>
      <c r="B29" s="74"/>
      <c r="C29" s="67" t="s">
        <v>84</v>
      </c>
      <c r="D29" s="68">
        <v>1.08</v>
      </c>
      <c r="E29" s="142">
        <v>11024.158428000002</v>
      </c>
      <c r="F29" s="171">
        <f t="shared" si="0"/>
        <v>11024.158428000002</v>
      </c>
      <c r="G29" s="63">
        <f t="shared" si="1"/>
        <v>0</v>
      </c>
      <c r="H29" s="63">
        <f t="shared" si="2"/>
        <v>0</v>
      </c>
      <c r="I29" s="63">
        <f t="shared" si="3"/>
        <v>9653.6162880000011</v>
      </c>
      <c r="J29" s="63">
        <v>0</v>
      </c>
      <c r="K29" s="63"/>
      <c r="L29" s="64">
        <f t="shared" si="4"/>
        <v>9653.6162880000011</v>
      </c>
    </row>
    <row r="30" spans="1:15" x14ac:dyDescent="0.25">
      <c r="A30" s="76"/>
      <c r="B30" s="76"/>
      <c r="C30" s="77"/>
      <c r="D30" s="77"/>
      <c r="E30" s="78"/>
      <c r="F30" s="78"/>
      <c r="G30" s="79"/>
      <c r="H30" s="79"/>
      <c r="I30" s="79"/>
      <c r="J30" s="80"/>
      <c r="K30" s="80"/>
      <c r="L30" s="80"/>
    </row>
    <row r="31" spans="1:15" x14ac:dyDescent="0.25">
      <c r="A31" s="81"/>
      <c r="B31" s="82"/>
      <c r="C31" s="83" t="s">
        <v>85</v>
      </c>
      <c r="D31" s="83">
        <f>SUM(D3:D30)</f>
        <v>99.999999999999986</v>
      </c>
      <c r="E31" s="82"/>
      <c r="F31" s="149">
        <f>SUM(F3:F30)</f>
        <v>1270017.7953192024</v>
      </c>
      <c r="G31" s="84"/>
      <c r="H31" s="84"/>
      <c r="I31" s="150">
        <f>SUM(I3:I30)</f>
        <v>893853.3600000001</v>
      </c>
      <c r="J31" s="149">
        <f>SUM(J3:J30)</f>
        <v>0</v>
      </c>
      <c r="K31" s="149"/>
      <c r="L31" s="149">
        <f>SUM(L3:L29)</f>
        <v>1157262.3061659648</v>
      </c>
    </row>
    <row r="32" spans="1:15" x14ac:dyDescent="0.25">
      <c r="J32" s="26"/>
    </row>
    <row r="40" spans="5:5" x14ac:dyDescent="0.25">
      <c r="E40" s="25"/>
    </row>
  </sheetData>
  <mergeCells count="1">
    <mergeCell ref="B1:C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opLeftCell="C28" workbookViewId="0">
      <selection activeCell="C29" sqref="C29:N29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166" t="s">
        <v>88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8"/>
      <c r="O1" s="85"/>
    </row>
    <row r="2" spans="1:19" x14ac:dyDescent="0.25">
      <c r="A2" s="86"/>
      <c r="B2" s="86"/>
      <c r="C2" s="87"/>
      <c r="D2" s="87"/>
      <c r="E2" s="87"/>
      <c r="F2" s="87"/>
      <c r="G2" s="87"/>
      <c r="H2" s="88"/>
      <c r="I2" s="87"/>
      <c r="J2" s="87"/>
      <c r="K2" s="87"/>
      <c r="L2" s="87"/>
      <c r="M2" s="87"/>
      <c r="N2" s="89"/>
      <c r="O2" s="87"/>
      <c r="P2" s="13"/>
    </row>
    <row r="3" spans="1:19" x14ac:dyDescent="0.25">
      <c r="A3" s="90"/>
      <c r="B3" s="90"/>
      <c r="C3" s="191" t="s">
        <v>131</v>
      </c>
      <c r="D3" s="191"/>
      <c r="E3" s="191"/>
      <c r="F3" s="191"/>
      <c r="G3" s="191"/>
      <c r="H3" s="88"/>
      <c r="I3" s="87"/>
      <c r="J3" s="87"/>
      <c r="K3" s="87"/>
      <c r="L3" s="87"/>
      <c r="M3" s="87"/>
      <c r="N3" s="89"/>
      <c r="O3" s="87"/>
      <c r="P3" s="13"/>
    </row>
    <row r="4" spans="1:19" x14ac:dyDescent="0.25">
      <c r="A4" s="90"/>
      <c r="B4" s="90"/>
      <c r="C4" s="191"/>
      <c r="D4" s="191"/>
      <c r="E4" s="191"/>
      <c r="F4" s="191"/>
      <c r="G4" s="191"/>
      <c r="H4" s="88"/>
      <c r="I4" s="87" t="s">
        <v>87</v>
      </c>
      <c r="J4" s="87"/>
      <c r="K4" s="87"/>
      <c r="L4" s="87"/>
      <c r="M4" s="87"/>
      <c r="N4" s="89"/>
      <c r="O4" s="87"/>
      <c r="P4" s="13"/>
    </row>
    <row r="5" spans="1:19" x14ac:dyDescent="0.25">
      <c r="A5" s="90"/>
      <c r="B5" s="90"/>
      <c r="C5" s="191"/>
      <c r="D5" s="191"/>
      <c r="E5" s="191"/>
      <c r="F5" s="191"/>
      <c r="G5" s="191"/>
      <c r="H5" s="88"/>
      <c r="I5" s="87"/>
      <c r="J5" s="87"/>
      <c r="K5" s="87"/>
      <c r="L5" s="87"/>
      <c r="M5" s="87"/>
      <c r="N5" s="89"/>
      <c r="O5" s="87"/>
      <c r="P5" s="13"/>
    </row>
    <row r="6" spans="1:19" x14ac:dyDescent="0.25">
      <c r="A6" s="90"/>
      <c r="B6" s="90"/>
      <c r="C6" s="87"/>
      <c r="D6" s="91"/>
      <c r="E6" s="87"/>
      <c r="F6" s="87"/>
      <c r="G6" s="87"/>
      <c r="H6" s="88"/>
      <c r="I6" s="87"/>
      <c r="J6" s="87"/>
      <c r="K6" s="87"/>
      <c r="L6" s="87"/>
      <c r="M6" s="87"/>
      <c r="N6" s="89"/>
      <c r="O6" s="87"/>
      <c r="P6" s="13"/>
    </row>
    <row r="7" spans="1:19" ht="19.5" customHeight="1" x14ac:dyDescent="0.25">
      <c r="A7" s="92"/>
      <c r="B7" s="92" t="s">
        <v>88</v>
      </c>
      <c r="C7" s="153">
        <v>548873.11</v>
      </c>
      <c r="D7" s="91"/>
      <c r="E7" s="93" t="s">
        <v>127</v>
      </c>
      <c r="F7" s="93" t="s">
        <v>128</v>
      </c>
      <c r="G7" s="93"/>
      <c r="H7" s="94"/>
      <c r="I7" s="93"/>
      <c r="J7" s="93" t="str">
        <f>'detalle y gastos'!C7</f>
        <v>Vto. 13/02</v>
      </c>
      <c r="K7" s="93"/>
      <c r="L7" s="93"/>
      <c r="M7" s="93"/>
      <c r="N7" s="95"/>
      <c r="O7" s="87"/>
      <c r="P7" s="13"/>
    </row>
    <row r="8" spans="1:19" hidden="1" x14ac:dyDescent="0.25">
      <c r="A8" s="92"/>
      <c r="B8" s="90" t="s">
        <v>88</v>
      </c>
      <c r="C8" s="96"/>
      <c r="D8" s="91"/>
      <c r="E8" s="93"/>
      <c r="F8" s="93"/>
      <c r="G8" s="93"/>
      <c r="H8" s="94"/>
      <c r="I8" s="93"/>
      <c r="J8" s="128"/>
      <c r="K8" s="97">
        <f>C8-J38</f>
        <v>-260005.70009999996</v>
      </c>
      <c r="L8" s="170">
        <f>C7-J38</f>
        <v>288867.40990000003</v>
      </c>
      <c r="M8" s="170"/>
      <c r="N8" s="95"/>
      <c r="O8" s="87"/>
      <c r="P8" s="13"/>
    </row>
    <row r="9" spans="1:19" ht="28.5" customHeight="1" x14ac:dyDescent="0.25">
      <c r="A9" s="98" t="s">
        <v>89</v>
      </c>
      <c r="B9" s="98" t="s">
        <v>89</v>
      </c>
      <c r="C9" s="132" t="s">
        <v>90</v>
      </c>
      <c r="D9" s="133" t="s">
        <v>91</v>
      </c>
      <c r="E9" s="133" t="s">
        <v>1</v>
      </c>
      <c r="F9" s="131" t="s">
        <v>92</v>
      </c>
      <c r="G9" s="131" t="s">
        <v>93</v>
      </c>
      <c r="H9" s="134" t="s">
        <v>96</v>
      </c>
      <c r="I9" s="135" t="s">
        <v>94</v>
      </c>
      <c r="J9" s="136" t="s">
        <v>88</v>
      </c>
      <c r="K9" s="137" t="s">
        <v>95</v>
      </c>
      <c r="L9" s="137" t="s">
        <v>95</v>
      </c>
      <c r="M9" s="138" t="s">
        <v>96</v>
      </c>
      <c r="N9" s="131" t="s">
        <v>97</v>
      </c>
      <c r="O9" s="91"/>
      <c r="P9" s="13"/>
    </row>
    <row r="10" spans="1:19" x14ac:dyDescent="0.25">
      <c r="A10" s="110">
        <v>1</v>
      </c>
      <c r="B10" s="99">
        <v>1</v>
      </c>
      <c r="C10" s="127" t="s">
        <v>38</v>
      </c>
      <c r="D10" s="112" t="s">
        <v>98</v>
      </c>
      <c r="E10" s="113">
        <v>5.1100000000000003</v>
      </c>
      <c r="F10" s="114">
        <v>2459.4</v>
      </c>
      <c r="G10" s="115">
        <v>2596.1999999999998</v>
      </c>
      <c r="H10" s="116">
        <f>G10-F10</f>
        <v>136.79999999999973</v>
      </c>
      <c r="I10" s="117">
        <f t="shared" ref="I10:I37" si="0">H10*7%</f>
        <v>9.575999999999981</v>
      </c>
      <c r="J10" s="129">
        <f>M10*93.787</f>
        <v>12830.061599999975</v>
      </c>
      <c r="K10" s="118">
        <f>K8*E10%</f>
        <v>-13286.291275109999</v>
      </c>
      <c r="L10" s="140">
        <f>L$8*E10/S$12</f>
        <v>14761.124645890002</v>
      </c>
      <c r="M10" s="119">
        <f>G10-F10</f>
        <v>136.79999999999973</v>
      </c>
      <c r="N10" s="116">
        <f>J10+L10</f>
        <v>27591.186245889978</v>
      </c>
      <c r="O10" s="109">
        <f>N10+'prorrateo '!L3</f>
        <v>73267.092941889976</v>
      </c>
      <c r="P10" s="13"/>
    </row>
    <row r="11" spans="1:19" x14ac:dyDescent="0.25">
      <c r="A11" s="111">
        <v>2</v>
      </c>
      <c r="B11" s="100">
        <v>2</v>
      </c>
      <c r="C11" s="127" t="s">
        <v>41</v>
      </c>
      <c r="D11" s="112" t="s">
        <v>99</v>
      </c>
      <c r="E11" s="113">
        <v>5.09</v>
      </c>
      <c r="F11" s="114">
        <v>2452.1</v>
      </c>
      <c r="G11" s="115">
        <v>2643.2</v>
      </c>
      <c r="H11" s="116">
        <f t="shared" ref="H11:H27" si="1">G11-F11</f>
        <v>191.09999999999991</v>
      </c>
      <c r="I11" s="117">
        <f t="shared" si="0"/>
        <v>13.376999999999995</v>
      </c>
      <c r="J11" s="129">
        <f t="shared" ref="J11:J26" si="2">M11*93.787</f>
        <v>17922.695699999993</v>
      </c>
      <c r="K11" s="118">
        <f>K8*E11%</f>
        <v>-13234.290135089997</v>
      </c>
      <c r="L11" s="140">
        <f t="shared" ref="L11:L36" si="3">L$8*E11/S$12</f>
        <v>14703.351163910002</v>
      </c>
      <c r="M11" s="119">
        <f t="shared" ref="M11:M26" si="4">G11-F11</f>
        <v>191.09999999999991</v>
      </c>
      <c r="N11" s="116">
        <f t="shared" ref="N11:N25" si="5">J11+L11</f>
        <v>32626.046863909993</v>
      </c>
      <c r="O11" s="109">
        <f>N11+'prorrateo '!L4</f>
        <v>78123.182887909992</v>
      </c>
      <c r="P11" s="13"/>
    </row>
    <row r="12" spans="1:19" ht="16.5" customHeight="1" x14ac:dyDescent="0.25">
      <c r="A12" s="110">
        <v>3</v>
      </c>
      <c r="B12" s="100">
        <v>3</v>
      </c>
      <c r="C12" s="127" t="s">
        <v>44</v>
      </c>
      <c r="D12" s="112" t="s">
        <v>100</v>
      </c>
      <c r="E12" s="113">
        <v>5.04</v>
      </c>
      <c r="F12" s="114">
        <v>878.4</v>
      </c>
      <c r="G12" s="115">
        <v>1025.0999999999999</v>
      </c>
      <c r="H12" s="116">
        <f t="shared" si="1"/>
        <v>146.69999999999993</v>
      </c>
      <c r="I12" s="117">
        <f t="shared" si="0"/>
        <v>10.268999999999997</v>
      </c>
      <c r="J12" s="129">
        <f t="shared" si="2"/>
        <v>13758.552899999995</v>
      </c>
      <c r="K12" s="118">
        <f>K8*E12%</f>
        <v>-13104.287285039998</v>
      </c>
      <c r="L12" s="140">
        <f t="shared" si="3"/>
        <v>14558.917458960002</v>
      </c>
      <c r="M12" s="119">
        <f>G12-F12</f>
        <v>146.69999999999993</v>
      </c>
      <c r="N12" s="116">
        <f t="shared" si="5"/>
        <v>28317.470358959996</v>
      </c>
      <c r="O12" s="109">
        <f>N12+'prorrateo '!L5</f>
        <v>73367.679702959984</v>
      </c>
      <c r="P12" s="13"/>
      <c r="S12">
        <v>100</v>
      </c>
    </row>
    <row r="13" spans="1:19" x14ac:dyDescent="0.25">
      <c r="A13" s="110">
        <v>4</v>
      </c>
      <c r="B13" s="101" t="s">
        <v>101</v>
      </c>
      <c r="C13" s="212" t="s">
        <v>46</v>
      </c>
      <c r="D13" s="180" t="s">
        <v>102</v>
      </c>
      <c r="E13" s="213">
        <v>5.21</v>
      </c>
      <c r="F13" s="182">
        <v>496.5</v>
      </c>
      <c r="G13" s="183">
        <v>528.6</v>
      </c>
      <c r="H13" s="184">
        <f t="shared" si="1"/>
        <v>32.100000000000023</v>
      </c>
      <c r="I13" s="214">
        <f t="shared" si="0"/>
        <v>2.2470000000000017</v>
      </c>
      <c r="J13" s="186">
        <f t="shared" si="2"/>
        <v>3010.5627000000022</v>
      </c>
      <c r="K13" s="215">
        <f>K8*E13%</f>
        <v>-13546.296975209998</v>
      </c>
      <c r="L13" s="188">
        <f t="shared" si="3"/>
        <v>15049.99205579</v>
      </c>
      <c r="M13" s="216">
        <f t="shared" si="4"/>
        <v>32.100000000000023</v>
      </c>
      <c r="N13" s="184">
        <f t="shared" si="5"/>
        <v>18060.554755790003</v>
      </c>
      <c r="O13" s="109">
        <f>N13+'prorrateo '!L6</f>
        <v>64630.314811789998</v>
      </c>
      <c r="P13" s="13"/>
    </row>
    <row r="14" spans="1:19" x14ac:dyDescent="0.25">
      <c r="A14" s="110">
        <v>6</v>
      </c>
      <c r="B14" s="100">
        <v>6</v>
      </c>
      <c r="C14" s="127" t="s">
        <v>47</v>
      </c>
      <c r="D14" s="112" t="s">
        <v>103</v>
      </c>
      <c r="E14" s="113">
        <v>5.1100000000000003</v>
      </c>
      <c r="F14" s="114">
        <v>686</v>
      </c>
      <c r="G14" s="115">
        <v>833.8</v>
      </c>
      <c r="H14" s="116">
        <f t="shared" si="1"/>
        <v>147.79999999999995</v>
      </c>
      <c r="I14" s="117">
        <f t="shared" si="0"/>
        <v>10.345999999999998</v>
      </c>
      <c r="J14" s="129">
        <f t="shared" si="2"/>
        <v>13861.718599999997</v>
      </c>
      <c r="K14" s="118">
        <f>K8*E14%</f>
        <v>-13286.291275109999</v>
      </c>
      <c r="L14" s="140">
        <f t="shared" si="3"/>
        <v>14761.124645890002</v>
      </c>
      <c r="M14" s="119">
        <f t="shared" si="4"/>
        <v>147.79999999999995</v>
      </c>
      <c r="N14" s="116">
        <f t="shared" si="5"/>
        <v>28622.843245889999</v>
      </c>
      <c r="O14" s="109">
        <f>N14+'prorrateo '!L7</f>
        <v>74298.749941890012</v>
      </c>
      <c r="P14" s="13"/>
    </row>
    <row r="15" spans="1:19" x14ac:dyDescent="0.25">
      <c r="A15" s="110">
        <v>7</v>
      </c>
      <c r="B15" s="100">
        <v>7</v>
      </c>
      <c r="C15" s="127" t="s">
        <v>49</v>
      </c>
      <c r="D15" s="112" t="s">
        <v>103</v>
      </c>
      <c r="E15" s="113">
        <v>5.09</v>
      </c>
      <c r="F15" s="114">
        <v>1845.2</v>
      </c>
      <c r="G15" s="115">
        <v>1983.6</v>
      </c>
      <c r="H15" s="116">
        <f t="shared" si="1"/>
        <v>138.39999999999986</v>
      </c>
      <c r="I15" s="117">
        <f t="shared" si="0"/>
        <v>9.6879999999999917</v>
      </c>
      <c r="J15" s="129">
        <f t="shared" si="2"/>
        <v>12980.120799999988</v>
      </c>
      <c r="K15" s="118">
        <f>K8*E15%</f>
        <v>-13234.290135089997</v>
      </c>
      <c r="L15" s="140">
        <f t="shared" si="3"/>
        <v>14703.351163910002</v>
      </c>
      <c r="M15" s="119">
        <f t="shared" si="4"/>
        <v>138.39999999999986</v>
      </c>
      <c r="N15" s="116">
        <f t="shared" si="5"/>
        <v>27683.471963909989</v>
      </c>
      <c r="O15" s="109">
        <f>N15+'prorrateo '!L8</f>
        <v>73095.607987909985</v>
      </c>
    </row>
    <row r="16" spans="1:19" x14ac:dyDescent="0.25">
      <c r="A16" s="110">
        <v>8</v>
      </c>
      <c r="B16" s="100">
        <v>8</v>
      </c>
      <c r="C16" s="179" t="s">
        <v>51</v>
      </c>
      <c r="D16" s="180" t="s">
        <v>104</v>
      </c>
      <c r="E16" s="181">
        <v>5.1100000000000003</v>
      </c>
      <c r="F16" s="182">
        <v>1662.8</v>
      </c>
      <c r="G16" s="183">
        <v>1754.7</v>
      </c>
      <c r="H16" s="184">
        <f t="shared" si="1"/>
        <v>91.900000000000091</v>
      </c>
      <c r="I16" s="185">
        <f t="shared" si="0"/>
        <v>6.4330000000000069</v>
      </c>
      <c r="J16" s="186">
        <f t="shared" si="2"/>
        <v>8619.0253000000084</v>
      </c>
      <c r="K16" s="187">
        <f>K8*E16%</f>
        <v>-13286.291275109999</v>
      </c>
      <c r="L16" s="188">
        <f t="shared" si="3"/>
        <v>14761.124645890002</v>
      </c>
      <c r="M16" s="189">
        <f t="shared" si="4"/>
        <v>91.900000000000091</v>
      </c>
      <c r="N16" s="184">
        <f t="shared" si="5"/>
        <v>23380.149945890011</v>
      </c>
      <c r="O16" s="109">
        <f>N16+'prorrateo '!L9</f>
        <v>69056.056641890013</v>
      </c>
    </row>
    <row r="17" spans="1:15" x14ac:dyDescent="0.25">
      <c r="A17" s="110">
        <v>9</v>
      </c>
      <c r="B17" s="100">
        <v>9</v>
      </c>
      <c r="C17" s="179" t="s">
        <v>53</v>
      </c>
      <c r="D17" s="180" t="s">
        <v>105</v>
      </c>
      <c r="E17" s="181">
        <v>5.09</v>
      </c>
      <c r="F17" s="182">
        <v>2617.6999999999998</v>
      </c>
      <c r="G17" s="183">
        <v>2688.9</v>
      </c>
      <c r="H17" s="184">
        <f t="shared" si="1"/>
        <v>71.200000000000273</v>
      </c>
      <c r="I17" s="185">
        <f t="shared" si="0"/>
        <v>4.9840000000000195</v>
      </c>
      <c r="J17" s="186">
        <f t="shared" si="2"/>
        <v>6677.6344000000263</v>
      </c>
      <c r="K17" s="187">
        <f>K8*E17%</f>
        <v>-13234.290135089997</v>
      </c>
      <c r="L17" s="188">
        <f t="shared" si="3"/>
        <v>14703.351163910002</v>
      </c>
      <c r="M17" s="189">
        <f t="shared" si="4"/>
        <v>71.200000000000273</v>
      </c>
      <c r="N17" s="184">
        <f t="shared" si="5"/>
        <v>21380.985563910028</v>
      </c>
      <c r="O17" s="109">
        <f>N17+'prorrateo '!L10</f>
        <v>177108.92669078038</v>
      </c>
    </row>
    <row r="18" spans="1:15" x14ac:dyDescent="0.25">
      <c r="A18" s="110">
        <v>10</v>
      </c>
      <c r="B18" s="100">
        <v>10</v>
      </c>
      <c r="C18" s="127" t="s">
        <v>55</v>
      </c>
      <c r="D18" s="112" t="s">
        <v>106</v>
      </c>
      <c r="E18" s="113">
        <v>5.04</v>
      </c>
      <c r="F18" s="114">
        <v>1309</v>
      </c>
      <c r="G18" s="115">
        <v>1413.2</v>
      </c>
      <c r="H18" s="116">
        <f t="shared" si="1"/>
        <v>104.20000000000005</v>
      </c>
      <c r="I18" s="117">
        <f t="shared" si="0"/>
        <v>7.294000000000004</v>
      </c>
      <c r="J18" s="129">
        <f t="shared" si="2"/>
        <v>9772.605400000004</v>
      </c>
      <c r="K18" s="118">
        <f>K8*E18%</f>
        <v>-13104.287285039998</v>
      </c>
      <c r="L18" s="140">
        <f t="shared" si="3"/>
        <v>14558.917458960002</v>
      </c>
      <c r="M18" s="119">
        <f t="shared" si="4"/>
        <v>104.20000000000005</v>
      </c>
      <c r="N18" s="116">
        <f t="shared" si="5"/>
        <v>24331.522858960008</v>
      </c>
      <c r="O18" s="109">
        <f>N18+'prorrateo '!L11</f>
        <v>69381.732202960004</v>
      </c>
    </row>
    <row r="19" spans="1:15" ht="15" customHeight="1" x14ac:dyDescent="0.25">
      <c r="A19" s="110">
        <v>11</v>
      </c>
      <c r="B19" s="100">
        <v>11</v>
      </c>
      <c r="C19" s="127" t="s">
        <v>57</v>
      </c>
      <c r="D19" s="120" t="s">
        <v>107</v>
      </c>
      <c r="E19" s="113">
        <v>5.21</v>
      </c>
      <c r="F19" s="114">
        <v>1838.5</v>
      </c>
      <c r="G19" s="115">
        <v>2073.9</v>
      </c>
      <c r="H19" s="116">
        <f t="shared" si="1"/>
        <v>235.40000000000009</v>
      </c>
      <c r="I19" s="117">
        <f t="shared" si="0"/>
        <v>16.478000000000009</v>
      </c>
      <c r="J19" s="129">
        <f t="shared" si="2"/>
        <v>22077.459800000011</v>
      </c>
      <c r="K19" s="118">
        <f>K8*E19%</f>
        <v>-13546.296975209998</v>
      </c>
      <c r="L19" s="140">
        <f t="shared" si="3"/>
        <v>15049.99205579</v>
      </c>
      <c r="M19" s="119">
        <f>G19-F19</f>
        <v>235.40000000000009</v>
      </c>
      <c r="N19" s="116">
        <f t="shared" si="5"/>
        <v>37127.451855790016</v>
      </c>
      <c r="O19" s="109">
        <f>N19+'prorrateo '!L12</f>
        <v>83697.211911790015</v>
      </c>
    </row>
    <row r="20" spans="1:15" ht="15" customHeight="1" x14ac:dyDescent="0.25">
      <c r="A20" s="110">
        <v>12</v>
      </c>
      <c r="B20" s="100">
        <v>12</v>
      </c>
      <c r="C20" s="127" t="s">
        <v>60</v>
      </c>
      <c r="D20" s="120" t="s">
        <v>107</v>
      </c>
      <c r="E20" s="113">
        <v>5.1100000000000003</v>
      </c>
      <c r="F20" s="114">
        <v>3464.2</v>
      </c>
      <c r="G20" s="115">
        <v>3748.9</v>
      </c>
      <c r="H20" s="116">
        <f t="shared" si="1"/>
        <v>284.70000000000027</v>
      </c>
      <c r="I20" s="117">
        <f t="shared" si="0"/>
        <v>19.92900000000002</v>
      </c>
      <c r="J20" s="129">
        <f t="shared" si="2"/>
        <v>26701.158900000028</v>
      </c>
      <c r="K20" s="118">
        <f>K8*E20%</f>
        <v>-13286.291275109999</v>
      </c>
      <c r="L20" s="140">
        <f t="shared" si="3"/>
        <v>14761.124645890002</v>
      </c>
      <c r="M20" s="119">
        <f t="shared" si="4"/>
        <v>284.70000000000027</v>
      </c>
      <c r="N20" s="116">
        <f t="shared" si="5"/>
        <v>41462.28354589003</v>
      </c>
      <c r="O20" s="109">
        <f>N20+'prorrateo '!L13</f>
        <v>87138.190241890028</v>
      </c>
    </row>
    <row r="21" spans="1:15" x14ac:dyDescent="0.25">
      <c r="A21" s="110">
        <v>13</v>
      </c>
      <c r="B21" s="100">
        <v>13</v>
      </c>
      <c r="C21" s="127" t="s">
        <v>62</v>
      </c>
      <c r="D21" s="112" t="s">
        <v>108</v>
      </c>
      <c r="E21" s="113">
        <v>5.09</v>
      </c>
      <c r="F21" s="114">
        <v>3080.2</v>
      </c>
      <c r="G21" s="115">
        <v>3347.4</v>
      </c>
      <c r="H21" s="116">
        <f t="shared" si="1"/>
        <v>267.20000000000027</v>
      </c>
      <c r="I21" s="117">
        <f t="shared" si="0"/>
        <v>18.704000000000022</v>
      </c>
      <c r="J21" s="129">
        <f t="shared" si="2"/>
        <v>25059.886400000029</v>
      </c>
      <c r="K21" s="118">
        <f>K8*E21%</f>
        <v>-13234.290135089997</v>
      </c>
      <c r="L21" s="140">
        <f t="shared" si="3"/>
        <v>14703.351163910002</v>
      </c>
      <c r="M21" s="119">
        <f t="shared" si="4"/>
        <v>267.20000000000027</v>
      </c>
      <c r="N21" s="116">
        <f t="shared" si="5"/>
        <v>39763.237563910028</v>
      </c>
      <c r="O21" s="109">
        <f>N21+'prorrateo '!L14</f>
        <v>85260.373587910028</v>
      </c>
    </row>
    <row r="22" spans="1:15" x14ac:dyDescent="0.25">
      <c r="A22" s="110">
        <v>14</v>
      </c>
      <c r="B22" s="100">
        <v>14</v>
      </c>
      <c r="C22" s="127" t="s">
        <v>65</v>
      </c>
      <c r="D22" s="112" t="s">
        <v>109</v>
      </c>
      <c r="E22" s="113">
        <v>5.04</v>
      </c>
      <c r="F22" s="114">
        <v>1377.7</v>
      </c>
      <c r="G22" s="115">
        <v>1491.8</v>
      </c>
      <c r="H22" s="116">
        <f t="shared" si="1"/>
        <v>114.09999999999991</v>
      </c>
      <c r="I22" s="117">
        <f t="shared" si="0"/>
        <v>7.9869999999999948</v>
      </c>
      <c r="J22" s="129">
        <f t="shared" si="2"/>
        <v>10701.096699999993</v>
      </c>
      <c r="K22" s="118">
        <f>K8*E22%</f>
        <v>-13104.287285039998</v>
      </c>
      <c r="L22" s="140">
        <f t="shared" si="3"/>
        <v>14558.917458960002</v>
      </c>
      <c r="M22" s="119">
        <f t="shared" si="4"/>
        <v>114.09999999999991</v>
      </c>
      <c r="N22" s="116">
        <f t="shared" si="5"/>
        <v>25260.014158959995</v>
      </c>
      <c r="O22" s="109">
        <f>N22+'prorrateo '!L15</f>
        <v>70310.223502959998</v>
      </c>
    </row>
    <row r="23" spans="1:15" x14ac:dyDescent="0.25">
      <c r="A23" s="110">
        <v>15</v>
      </c>
      <c r="B23" s="100">
        <v>15</v>
      </c>
      <c r="C23" s="127" t="s">
        <v>68</v>
      </c>
      <c r="D23" s="112" t="s">
        <v>110</v>
      </c>
      <c r="E23" s="113">
        <v>5.21</v>
      </c>
      <c r="F23" s="114">
        <v>3130.5</v>
      </c>
      <c r="G23" s="115">
        <v>3440.6</v>
      </c>
      <c r="H23" s="116">
        <f t="shared" si="1"/>
        <v>310.09999999999991</v>
      </c>
      <c r="I23" s="117">
        <f t="shared" si="0"/>
        <v>21.706999999999997</v>
      </c>
      <c r="J23" s="129">
        <f t="shared" si="2"/>
        <v>29083.348699999995</v>
      </c>
      <c r="K23" s="118">
        <f>K8*E23%</f>
        <v>-13546.296975209998</v>
      </c>
      <c r="L23" s="140">
        <f t="shared" si="3"/>
        <v>15049.99205579</v>
      </c>
      <c r="M23" s="119">
        <f t="shared" si="4"/>
        <v>310.09999999999991</v>
      </c>
      <c r="N23" s="116">
        <f t="shared" si="5"/>
        <v>44133.340755789992</v>
      </c>
      <c r="O23" s="109">
        <f>N23+'prorrateo '!L16</f>
        <v>145595.71194722998</v>
      </c>
    </row>
    <row r="24" spans="1:15" x14ac:dyDescent="0.25">
      <c r="A24" s="110">
        <v>16</v>
      </c>
      <c r="B24" s="100">
        <v>16</v>
      </c>
      <c r="C24" s="127" t="s">
        <v>70</v>
      </c>
      <c r="D24" s="112" t="s">
        <v>111</v>
      </c>
      <c r="E24" s="113">
        <v>5.04</v>
      </c>
      <c r="F24" s="114">
        <v>1092.2</v>
      </c>
      <c r="G24" s="115">
        <v>1185.4000000000001</v>
      </c>
      <c r="H24" s="116">
        <f t="shared" si="1"/>
        <v>93.200000000000045</v>
      </c>
      <c r="I24" s="117">
        <f t="shared" si="0"/>
        <v>6.5240000000000036</v>
      </c>
      <c r="J24" s="129">
        <f t="shared" si="2"/>
        <v>8740.9484000000048</v>
      </c>
      <c r="K24" s="118">
        <f>K8*E24%</f>
        <v>-13104.287285039998</v>
      </c>
      <c r="L24" s="140">
        <f t="shared" si="3"/>
        <v>14558.917458960002</v>
      </c>
      <c r="M24" s="119">
        <f t="shared" si="4"/>
        <v>93.200000000000045</v>
      </c>
      <c r="N24" s="116">
        <f t="shared" si="5"/>
        <v>23299.865858960009</v>
      </c>
      <c r="O24" s="109">
        <f>N24+'prorrateo '!L17</f>
        <v>68350.075202959997</v>
      </c>
    </row>
    <row r="25" spans="1:15" x14ac:dyDescent="0.25">
      <c r="A25" s="110">
        <v>17</v>
      </c>
      <c r="B25" s="100">
        <v>17</v>
      </c>
      <c r="C25" s="127" t="s">
        <v>72</v>
      </c>
      <c r="D25" s="112" t="s">
        <v>112</v>
      </c>
      <c r="E25" s="113">
        <v>5.21</v>
      </c>
      <c r="F25" s="114">
        <v>926.9</v>
      </c>
      <c r="G25" s="115">
        <v>992.5</v>
      </c>
      <c r="H25" s="116">
        <f t="shared" si="1"/>
        <v>65.600000000000023</v>
      </c>
      <c r="I25" s="117">
        <f t="shared" si="0"/>
        <v>4.5920000000000023</v>
      </c>
      <c r="J25" s="129">
        <f t="shared" si="2"/>
        <v>6152.4272000000028</v>
      </c>
      <c r="K25" s="118">
        <f>K8*E25%</f>
        <v>-13546.296975209998</v>
      </c>
      <c r="L25" s="140">
        <f t="shared" si="3"/>
        <v>15049.99205579</v>
      </c>
      <c r="M25" s="119">
        <f t="shared" si="4"/>
        <v>65.600000000000023</v>
      </c>
      <c r="N25" s="116">
        <f t="shared" si="5"/>
        <v>21202.419255790002</v>
      </c>
      <c r="O25" s="109">
        <f>N25+'prorrateo '!L18</f>
        <v>67772.179311790009</v>
      </c>
    </row>
    <row r="26" spans="1:15" x14ac:dyDescent="0.25">
      <c r="A26" s="110">
        <v>18</v>
      </c>
      <c r="B26" s="100">
        <v>18</v>
      </c>
      <c r="C26" s="127" t="s">
        <v>74</v>
      </c>
      <c r="D26" s="112" t="s">
        <v>113</v>
      </c>
      <c r="E26" s="113">
        <v>7.4</v>
      </c>
      <c r="F26" s="114">
        <v>6226.1</v>
      </c>
      <c r="G26" s="115">
        <v>6567.9</v>
      </c>
      <c r="H26" s="116">
        <f t="shared" si="1"/>
        <v>341.79999999999927</v>
      </c>
      <c r="I26" s="117">
        <f t="shared" si="0"/>
        <v>23.925999999999952</v>
      </c>
      <c r="J26" s="129">
        <f t="shared" si="2"/>
        <v>32056.396599999935</v>
      </c>
      <c r="K26" s="118">
        <f>K8*E26%</f>
        <v>-19240.421807399998</v>
      </c>
      <c r="L26" s="140">
        <f t="shared" si="3"/>
        <v>21376.188332600002</v>
      </c>
      <c r="M26" s="119">
        <f t="shared" si="4"/>
        <v>341.79999999999927</v>
      </c>
      <c r="N26" s="116">
        <f>J26+L26</f>
        <v>53432.584932599937</v>
      </c>
      <c r="O26" s="109">
        <f>N26+'prorrateo '!L19</f>
        <v>119577.73357259994</v>
      </c>
    </row>
    <row r="27" spans="1:15" ht="14.25" customHeight="1" x14ac:dyDescent="0.25">
      <c r="A27" s="110">
        <v>19</v>
      </c>
      <c r="B27" s="102">
        <v>19</v>
      </c>
      <c r="C27" s="217" t="s">
        <v>75</v>
      </c>
      <c r="D27" s="218" t="s">
        <v>107</v>
      </c>
      <c r="E27" s="219">
        <v>1.08</v>
      </c>
      <c r="F27" s="182"/>
      <c r="G27" s="183"/>
      <c r="H27" s="184">
        <f t="shared" si="1"/>
        <v>0</v>
      </c>
      <c r="I27" s="185">
        <f t="shared" si="0"/>
        <v>0</v>
      </c>
      <c r="J27" s="186"/>
      <c r="K27" s="187"/>
      <c r="L27" s="188">
        <f t="shared" si="3"/>
        <v>3119.7680269200005</v>
      </c>
      <c r="M27" s="189">
        <v>0</v>
      </c>
      <c r="N27" s="184">
        <f t="shared" ref="N27:N37" si="6">J27+L27</f>
        <v>3119.7680269200005</v>
      </c>
      <c r="O27" s="109">
        <f>N27+'prorrateo '!L20</f>
        <v>36162.238835764809</v>
      </c>
    </row>
    <row r="28" spans="1:15" x14ac:dyDescent="0.25">
      <c r="A28" s="110">
        <v>20</v>
      </c>
      <c r="B28" s="102"/>
      <c r="C28" s="143" t="s">
        <v>76</v>
      </c>
      <c r="D28" s="121"/>
      <c r="E28" s="121">
        <v>1.08</v>
      </c>
      <c r="F28" s="121"/>
      <c r="G28" s="121"/>
      <c r="H28" s="122">
        <v>0</v>
      </c>
      <c r="I28" s="123">
        <f t="shared" si="0"/>
        <v>0</v>
      </c>
      <c r="J28" s="144"/>
      <c r="K28" s="125"/>
      <c r="L28" s="140">
        <f t="shared" si="3"/>
        <v>3119.7680269200005</v>
      </c>
      <c r="M28" s="119">
        <v>0</v>
      </c>
      <c r="N28" s="116">
        <f t="shared" si="6"/>
        <v>3119.7680269200005</v>
      </c>
      <c r="O28" s="109">
        <f>N28+'prorrateo '!L21</f>
        <v>24238.509080040003</v>
      </c>
    </row>
    <row r="29" spans="1:15" x14ac:dyDescent="0.25">
      <c r="A29" s="110"/>
      <c r="B29" s="102"/>
      <c r="C29" s="217" t="s">
        <v>77</v>
      </c>
      <c r="D29" s="182"/>
      <c r="E29" s="182">
        <v>1.08</v>
      </c>
      <c r="F29" s="182"/>
      <c r="G29" s="182"/>
      <c r="H29" s="184"/>
      <c r="I29" s="220"/>
      <c r="J29" s="221"/>
      <c r="K29" s="187"/>
      <c r="L29" s="188">
        <f t="shared" si="3"/>
        <v>3119.7680269200005</v>
      </c>
      <c r="M29" s="189">
        <v>0</v>
      </c>
      <c r="N29" s="184">
        <f t="shared" si="6"/>
        <v>3119.7680269200005</v>
      </c>
      <c r="O29" s="109">
        <f>N29+'prorrateo '!L22</f>
        <v>36162.238835764809</v>
      </c>
    </row>
    <row r="30" spans="1:15" x14ac:dyDescent="0.25">
      <c r="A30" s="110"/>
      <c r="B30" s="102"/>
      <c r="C30" s="143" t="s">
        <v>78</v>
      </c>
      <c r="D30" s="121"/>
      <c r="E30" s="121">
        <v>1.08</v>
      </c>
      <c r="F30" s="121"/>
      <c r="G30" s="121"/>
      <c r="H30" s="122"/>
      <c r="I30" s="123"/>
      <c r="J30" s="144"/>
      <c r="K30" s="125"/>
      <c r="L30" s="140">
        <f t="shared" si="3"/>
        <v>3119.7680269200005</v>
      </c>
      <c r="M30" s="119">
        <v>0</v>
      </c>
      <c r="N30" s="116">
        <f t="shared" si="6"/>
        <v>3119.7680269200005</v>
      </c>
      <c r="O30" s="109">
        <f>N30+'prorrateo '!L23</f>
        <v>12773.384314920002</v>
      </c>
    </row>
    <row r="31" spans="1:15" x14ac:dyDescent="0.25">
      <c r="A31" s="110"/>
      <c r="B31" s="102"/>
      <c r="C31" s="143" t="s">
        <v>79</v>
      </c>
      <c r="D31" s="121"/>
      <c r="E31" s="121">
        <v>1.08</v>
      </c>
      <c r="F31" s="121"/>
      <c r="G31" s="121"/>
      <c r="H31" s="122"/>
      <c r="I31" s="123"/>
      <c r="J31" s="144"/>
      <c r="K31" s="125"/>
      <c r="L31" s="140">
        <f t="shared" si="3"/>
        <v>3119.7680269200005</v>
      </c>
      <c r="M31" s="119">
        <v>0</v>
      </c>
      <c r="N31" s="116">
        <f t="shared" si="6"/>
        <v>3119.7680269200005</v>
      </c>
      <c r="O31" s="109">
        <f>N31+'prorrateo '!L24</f>
        <v>12773.384314920002</v>
      </c>
    </row>
    <row r="32" spans="1:15" x14ac:dyDescent="0.25">
      <c r="A32" s="110"/>
      <c r="B32" s="102"/>
      <c r="C32" s="143" t="s">
        <v>80</v>
      </c>
      <c r="D32" s="121"/>
      <c r="E32" s="121">
        <v>1.08</v>
      </c>
      <c r="F32" s="121"/>
      <c r="G32" s="121"/>
      <c r="H32" s="122"/>
      <c r="I32" s="123"/>
      <c r="J32" s="144"/>
      <c r="K32" s="125"/>
      <c r="L32" s="140">
        <f t="shared" si="3"/>
        <v>3119.7680269200005</v>
      </c>
      <c r="M32" s="119">
        <v>0</v>
      </c>
      <c r="N32" s="116">
        <f t="shared" si="6"/>
        <v>3119.7680269200005</v>
      </c>
      <c r="O32" s="109">
        <f>N32+'prorrateo '!L25</f>
        <v>12773.384314920002</v>
      </c>
    </row>
    <row r="33" spans="1:16" x14ac:dyDescent="0.25">
      <c r="A33" s="110"/>
      <c r="B33" s="102"/>
      <c r="C33" s="143" t="s">
        <v>81</v>
      </c>
      <c r="D33" s="121"/>
      <c r="E33" s="121">
        <v>1.08</v>
      </c>
      <c r="F33" s="121"/>
      <c r="G33" s="121"/>
      <c r="H33" s="122"/>
      <c r="I33" s="123"/>
      <c r="J33" s="144"/>
      <c r="K33" s="125"/>
      <c r="L33" s="140">
        <f t="shared" si="3"/>
        <v>3119.7680269200005</v>
      </c>
      <c r="M33" s="119">
        <v>0</v>
      </c>
      <c r="N33" s="116">
        <f t="shared" si="6"/>
        <v>3119.7680269200005</v>
      </c>
      <c r="O33" s="109">
        <f>N33+'prorrateo '!L26</f>
        <v>21142.80511492</v>
      </c>
    </row>
    <row r="34" spans="1:16" x14ac:dyDescent="0.25">
      <c r="A34" s="110"/>
      <c r="B34" s="102"/>
      <c r="C34" s="143" t="s">
        <v>82</v>
      </c>
      <c r="D34" s="121"/>
      <c r="E34" s="121">
        <v>1.08</v>
      </c>
      <c r="F34" s="121"/>
      <c r="G34" s="121"/>
      <c r="H34" s="122"/>
      <c r="I34" s="123"/>
      <c r="J34" s="144"/>
      <c r="K34" s="125"/>
      <c r="L34" s="140">
        <f t="shared" si="3"/>
        <v>3119.7680269200005</v>
      </c>
      <c r="M34" s="119">
        <v>0</v>
      </c>
      <c r="N34" s="116">
        <f t="shared" si="6"/>
        <v>3119.7680269200005</v>
      </c>
      <c r="O34" s="109">
        <f>N34+'prorrateo '!L27</f>
        <v>44531.659635764809</v>
      </c>
    </row>
    <row r="35" spans="1:16" x14ac:dyDescent="0.25">
      <c r="A35" s="110">
        <v>21</v>
      </c>
      <c r="B35" s="102"/>
      <c r="C35" s="143" t="s">
        <v>83</v>
      </c>
      <c r="D35" s="121"/>
      <c r="E35" s="121">
        <v>1.08</v>
      </c>
      <c r="F35" s="121"/>
      <c r="G35" s="121"/>
      <c r="H35" s="122">
        <v>0</v>
      </c>
      <c r="I35" s="123">
        <f t="shared" si="0"/>
        <v>0</v>
      </c>
      <c r="J35" s="145"/>
      <c r="K35" s="125"/>
      <c r="L35" s="140">
        <f t="shared" si="3"/>
        <v>3119.7680269200005</v>
      </c>
      <c r="M35" s="119">
        <v>0</v>
      </c>
      <c r="N35" s="116">
        <f t="shared" si="6"/>
        <v>3119.7680269200005</v>
      </c>
      <c r="O35" s="109">
        <f>N35+'prorrateo '!L28</f>
        <v>12773.384314920002</v>
      </c>
    </row>
    <row r="36" spans="1:16" x14ac:dyDescent="0.25">
      <c r="A36" s="110">
        <v>22</v>
      </c>
      <c r="B36" s="102"/>
      <c r="C36" s="143" t="s">
        <v>84</v>
      </c>
      <c r="D36" s="121"/>
      <c r="E36" s="121">
        <v>1.08</v>
      </c>
      <c r="F36" s="121"/>
      <c r="G36" s="121"/>
      <c r="H36" s="122">
        <v>0</v>
      </c>
      <c r="I36" s="123">
        <f t="shared" si="0"/>
        <v>0</v>
      </c>
      <c r="J36" s="145"/>
      <c r="K36" s="125"/>
      <c r="L36" s="140">
        <f t="shared" si="3"/>
        <v>3119.7680269200005</v>
      </c>
      <c r="M36" s="119">
        <v>0</v>
      </c>
      <c r="N36" s="116">
        <f t="shared" si="6"/>
        <v>3119.7680269200005</v>
      </c>
      <c r="O36" s="109">
        <f>N36+'prorrateo '!L29</f>
        <v>12773.384314920002</v>
      </c>
    </row>
    <row r="37" spans="1:16" x14ac:dyDescent="0.25">
      <c r="A37" s="110">
        <v>23</v>
      </c>
      <c r="B37" s="102"/>
      <c r="C37" s="121"/>
      <c r="D37" s="121"/>
      <c r="E37" s="121"/>
      <c r="F37" s="121"/>
      <c r="G37" s="121"/>
      <c r="H37" s="122">
        <v>0</v>
      </c>
      <c r="I37" s="123">
        <f t="shared" si="0"/>
        <v>0</v>
      </c>
      <c r="J37" s="146"/>
      <c r="K37" s="125"/>
      <c r="L37" s="140">
        <v>0</v>
      </c>
      <c r="M37" s="140">
        <v>0</v>
      </c>
      <c r="N37" s="116">
        <f t="shared" si="6"/>
        <v>0</v>
      </c>
      <c r="O37" s="91"/>
    </row>
    <row r="38" spans="1:16" ht="14.25" customHeight="1" x14ac:dyDescent="0.25">
      <c r="A38" s="110">
        <v>24</v>
      </c>
      <c r="B38" s="102"/>
      <c r="C38" s="121"/>
      <c r="D38" s="121"/>
      <c r="E38" s="141"/>
      <c r="F38" s="121"/>
      <c r="G38" s="121"/>
      <c r="H38" s="122"/>
      <c r="I38" s="124"/>
      <c r="J38" s="130">
        <f>SUM(J10:J37)</f>
        <v>260005.70009999996</v>
      </c>
      <c r="K38" s="125"/>
      <c r="L38" s="125">
        <f>SUM(L10:L37)</f>
        <v>288867.40989999985</v>
      </c>
      <c r="M38" s="126"/>
      <c r="N38" s="122">
        <f>SUM(N10:N37)</f>
        <v>548873.11000000022</v>
      </c>
      <c r="O38" s="91"/>
      <c r="P38" s="51"/>
    </row>
    <row r="39" spans="1:16" hidden="1" x14ac:dyDescent="0.25">
      <c r="A39" s="87"/>
      <c r="B39" s="91"/>
      <c r="C39" s="103"/>
      <c r="D39" s="104"/>
      <c r="E39" s="148">
        <f>SUM(E10:E38)</f>
        <v>99.999999999999986</v>
      </c>
      <c r="F39" s="104"/>
      <c r="G39" s="104"/>
      <c r="H39" s="105"/>
      <c r="I39" s="106">
        <f>SUM(I10:I38)</f>
        <v>194.06100000000001</v>
      </c>
      <c r="J39" s="139"/>
      <c r="K39" s="106"/>
      <c r="L39" s="147">
        <f>L38+J38</f>
        <v>548873.10999999987</v>
      </c>
      <c r="M39" s="105"/>
      <c r="N39" s="105"/>
      <c r="O39" s="88"/>
    </row>
    <row r="40" spans="1:16" ht="30" hidden="1" x14ac:dyDescent="0.25">
      <c r="A40" s="107" t="s">
        <v>114</v>
      </c>
      <c r="B40" s="91"/>
      <c r="C40" s="169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07"/>
    </row>
    <row r="41" spans="1:16" x14ac:dyDescent="0.25">
      <c r="A41" s="91"/>
      <c r="B41" s="91"/>
      <c r="C41" s="91"/>
      <c r="D41" s="91"/>
      <c r="E41" s="91"/>
      <c r="F41" s="91"/>
      <c r="G41" s="91"/>
      <c r="H41" s="88"/>
      <c r="I41" s="91"/>
      <c r="J41" s="108"/>
      <c r="K41" s="108"/>
      <c r="L41" s="108"/>
      <c r="M41" s="91"/>
      <c r="N41" s="109"/>
      <c r="O41" s="91"/>
    </row>
    <row r="43" spans="1:16" x14ac:dyDescent="0.25">
      <c r="E43" s="4" t="s">
        <v>132</v>
      </c>
    </row>
    <row r="44" spans="1:16" x14ac:dyDescent="0.25">
      <c r="E44" t="s">
        <v>133</v>
      </c>
      <c r="L44" s="193">
        <v>470000</v>
      </c>
    </row>
    <row r="45" spans="1:16" x14ac:dyDescent="0.25">
      <c r="E45" t="s">
        <v>134</v>
      </c>
      <c r="L45" s="192">
        <f>-C7</f>
        <v>-548873.11</v>
      </c>
    </row>
    <row r="46" spans="1:16" x14ac:dyDescent="0.25">
      <c r="E46" s="194" t="s">
        <v>135</v>
      </c>
      <c r="F46" s="194"/>
      <c r="G46" s="194"/>
      <c r="H46" s="194"/>
      <c r="I46" s="194"/>
      <c r="J46" s="194"/>
      <c r="K46" s="194"/>
      <c r="L46" s="195">
        <f>L44+L45</f>
        <v>-78873.109999999986</v>
      </c>
    </row>
  </sheetData>
  <mergeCells count="4">
    <mergeCell ref="A1:N1"/>
    <mergeCell ref="C40:N40"/>
    <mergeCell ref="L8:M8"/>
    <mergeCell ref="C3:G5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2025-01-29T01:36:59Z</cp:lastPrinted>
  <dcterms:created xsi:type="dcterms:W3CDTF">2020-12-10T00:27:53Z</dcterms:created>
  <dcterms:modified xsi:type="dcterms:W3CDTF">2025-01-29T01:37:04Z</dcterms:modified>
</cp:coreProperties>
</file>