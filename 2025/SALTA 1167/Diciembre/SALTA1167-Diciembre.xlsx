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LTA 1167\Diciembre\"/>
    </mc:Choice>
  </mc:AlternateContent>
  <xr:revisionPtr revIDLastSave="0" documentId="13_ncr:1_{D52AE0A0-9FB9-4125-9F30-EDD3B686CE4C}" xr6:coauthVersionLast="47" xr6:coauthVersionMax="47" xr10:uidLastSave="{00000000-0000-0000-0000-000000000000}"/>
  <bookViews>
    <workbookView xWindow="-120" yWindow="-120" windowWidth="20730" windowHeight="11160" tabRatio="850" activeTab="2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PRORRATEO!$A$1:$O$44</definedName>
    <definedName name="_xlnm.Print_Area" localSheetId="0">RESUMEN!$A$1:$E$97</definedName>
  </definedNames>
  <calcPr calcId="181029"/>
</workbook>
</file>

<file path=xl/calcChain.xml><?xml version="1.0" encoding="utf-8"?>
<calcChain xmlns="http://schemas.openxmlformats.org/spreadsheetml/2006/main">
  <c r="E24" i="1" l="1"/>
  <c r="E27" i="1"/>
  <c r="D49" i="1"/>
  <c r="G23" i="3" l="1"/>
  <c r="G24" i="3"/>
  <c r="G25" i="3"/>
  <c r="G26" i="3"/>
  <c r="G27" i="3"/>
  <c r="G28" i="3"/>
  <c r="G29" i="3"/>
  <c r="G22" i="3"/>
  <c r="E30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  <c r="E21" i="3"/>
  <c r="E42" i="1"/>
  <c r="G26" i="2"/>
  <c r="G32" i="2"/>
  <c r="G16" i="2" s="1"/>
  <c r="G22" i="2"/>
  <c r="B79" i="1"/>
  <c r="G33" i="2"/>
  <c r="G14" i="2"/>
  <c r="E34" i="1"/>
  <c r="G19" i="2"/>
  <c r="G21" i="2"/>
  <c r="B85" i="1" l="1"/>
  <c r="E33" i="3"/>
  <c r="G30" i="3"/>
  <c r="I30" i="3" s="1"/>
  <c r="G21" i="3"/>
  <c r="I21" i="3" s="1"/>
  <c r="J29" i="2" s="1"/>
  <c r="G24" i="2"/>
  <c r="G17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3" i="2"/>
  <c r="L13" i="2"/>
  <c r="G31" i="2"/>
  <c r="G34" i="2"/>
  <c r="G23" i="2" s="1"/>
  <c r="G35" i="2"/>
  <c r="G15" i="2"/>
  <c r="G20" i="2"/>
  <c r="G29" i="2"/>
  <c r="G13" i="2" s="1"/>
  <c r="G30" i="2"/>
  <c r="G28" i="2"/>
  <c r="G18" i="2"/>
  <c r="E46" i="1"/>
  <c r="I22" i="3"/>
  <c r="J30" i="2" s="1"/>
  <c r="J15" i="2"/>
  <c r="J18" i="2"/>
  <c r="I23" i="3"/>
  <c r="J31" i="2" s="1"/>
  <c r="I24" i="3"/>
  <c r="J32" i="2" s="1"/>
  <c r="I25" i="3"/>
  <c r="J33" i="2" s="1"/>
  <c r="I26" i="3"/>
  <c r="J34" i="2" s="1"/>
  <c r="I27" i="3"/>
  <c r="J35" i="2" s="1"/>
  <c r="I28" i="3"/>
  <c r="I29" i="3"/>
  <c r="I6" i="3"/>
  <c r="J14" i="2" s="1"/>
  <c r="I7" i="3"/>
  <c r="I8" i="3"/>
  <c r="J16" i="2" s="1"/>
  <c r="I9" i="3"/>
  <c r="J17" i="2" s="1"/>
  <c r="I10" i="3"/>
  <c r="I11" i="3"/>
  <c r="J19" i="2" s="1"/>
  <c r="I12" i="3"/>
  <c r="J20" i="2" s="1"/>
  <c r="I13" i="3"/>
  <c r="J21" i="2" s="1"/>
  <c r="I14" i="3"/>
  <c r="J22" i="2" s="1"/>
  <c r="I15" i="3"/>
  <c r="J23" i="2" s="1"/>
  <c r="I16" i="3"/>
  <c r="J24" i="2" s="1"/>
  <c r="I17" i="3"/>
  <c r="J25" i="2" s="1"/>
  <c r="I18" i="3"/>
  <c r="J26" i="2" s="1"/>
  <c r="I19" i="3"/>
  <c r="J27" i="2" s="1"/>
  <c r="I5" i="3"/>
  <c r="J13" i="2" s="1"/>
  <c r="I31" i="3"/>
  <c r="G33" i="3" l="1"/>
  <c r="I33" i="3" s="1"/>
  <c r="J28" i="2"/>
  <c r="L31" i="2" l="1"/>
  <c r="L32" i="2"/>
  <c r="L33" i="2"/>
  <c r="L34" i="2"/>
  <c r="L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50" i="1" l="1"/>
  <c r="E54" i="1" l="1"/>
  <c r="G27" i="2"/>
  <c r="L14" i="2" l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C39" i="2" l="1"/>
  <c r="H24" i="2" l="1"/>
  <c r="E62" i="1" l="1"/>
  <c r="E67" i="1" s="1"/>
  <c r="B71" i="1" s="1"/>
  <c r="B84" i="1" l="1"/>
  <c r="B88" i="1" s="1"/>
  <c r="B96" i="1"/>
  <c r="B77" i="1" l="1"/>
  <c r="H27" i="2" l="1"/>
  <c r="M12" i="2" l="1"/>
  <c r="P14" i="2" l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M31" i="2" l="1"/>
  <c r="O31" i="2" s="1"/>
  <c r="P32" i="2"/>
  <c r="G36" i="2"/>
  <c r="B78" i="1" s="1"/>
  <c r="F36" i="2"/>
  <c r="P33" i="2" l="1"/>
  <c r="M32" i="2"/>
  <c r="O32" i="2" s="1"/>
  <c r="H14" i="2"/>
  <c r="H15" i="2"/>
  <c r="H16" i="2"/>
  <c r="H17" i="2"/>
  <c r="H18" i="2"/>
  <c r="H19" i="2"/>
  <c r="H20" i="2"/>
  <c r="H21" i="2"/>
  <c r="H22" i="2"/>
  <c r="H23" i="2"/>
  <c r="H25" i="2"/>
  <c r="H26" i="2"/>
  <c r="H28" i="2"/>
  <c r="H29" i="2"/>
  <c r="H30" i="2"/>
  <c r="H13" i="2"/>
  <c r="P34" i="2" l="1"/>
  <c r="M33" i="2"/>
  <c r="O33" i="2" s="1"/>
  <c r="B72" i="1"/>
  <c r="H36" i="2"/>
  <c r="I30" i="2"/>
  <c r="I18" i="2"/>
  <c r="I29" i="2"/>
  <c r="I25" i="2"/>
  <c r="I21" i="2"/>
  <c r="I17" i="2"/>
  <c r="I26" i="2"/>
  <c r="I14" i="2"/>
  <c r="I28" i="2"/>
  <c r="I24" i="2"/>
  <c r="I20" i="2"/>
  <c r="I16" i="2"/>
  <c r="I22" i="2"/>
  <c r="I27" i="2"/>
  <c r="I23" i="2"/>
  <c r="I19" i="2"/>
  <c r="I15" i="2"/>
  <c r="I13" i="2"/>
  <c r="J36" i="2"/>
  <c r="P35" i="2" l="1"/>
  <c r="M35" i="2" s="1"/>
  <c r="O35" i="2" s="1"/>
  <c r="M34" i="2"/>
  <c r="O34" i="2" s="1"/>
  <c r="I36" i="2"/>
  <c r="M14" i="2" l="1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13" i="2"/>
  <c r="M36" i="2" l="1"/>
  <c r="O30" i="2"/>
  <c r="O26" i="2"/>
  <c r="O22" i="2"/>
  <c r="O18" i="2"/>
  <c r="O14" i="2"/>
  <c r="O13" i="2"/>
  <c r="O29" i="2"/>
  <c r="O25" i="2"/>
  <c r="O21" i="2"/>
  <c r="O17" i="2"/>
  <c r="O28" i="2"/>
  <c r="O24" i="2"/>
  <c r="O20" i="2"/>
  <c r="O16" i="2"/>
  <c r="O27" i="2"/>
  <c r="O23" i="2"/>
  <c r="O19" i="2"/>
  <c r="O15" i="2"/>
  <c r="N21" i="2"/>
  <c r="N28" i="2"/>
  <c r="N24" i="2"/>
  <c r="N20" i="2"/>
  <c r="N16" i="2"/>
  <c r="N13" i="2"/>
  <c r="N25" i="2"/>
  <c r="N27" i="2"/>
  <c r="N23" i="2"/>
  <c r="N19" i="2"/>
  <c r="N15" i="2"/>
  <c r="N29" i="2"/>
  <c r="N17" i="2"/>
  <c r="N30" i="2"/>
  <c r="N26" i="2"/>
  <c r="N22" i="2"/>
  <c r="N18" i="2"/>
  <c r="N14" i="2"/>
  <c r="K36" i="2"/>
  <c r="O36" i="2" l="1"/>
  <c r="B70" i="1"/>
  <c r="B76" i="1" s="1"/>
  <c r="B81" i="1" s="1"/>
  <c r="B69" i="1" l="1"/>
  <c r="L36" i="2" l="1"/>
  <c r="N36" i="2" l="1"/>
</calcChain>
</file>

<file path=xl/sharedStrings.xml><?xml version="1.0" encoding="utf-8"?>
<sst xmlns="http://schemas.openxmlformats.org/spreadsheetml/2006/main" count="186" uniqueCount="143">
  <si>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</si>
  <si>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</si>
  <si>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</si>
  <si>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</si>
  <si>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</si>
  <si>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</si>
  <si>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</si>
  <si>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</si>
  <si>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</si>
  <si>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</si>
  <si>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</si>
  <si>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</si>
  <si>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</si>
  <si>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</si>
  <si>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</si>
  <si>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</si>
  <si>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</si>
  <si>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</si>
  <si>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</si>
  <si>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</si>
  <si>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</si>
  <si>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</si>
  <si>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</si>
  <si>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</si>
  <si>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</si>
  <si>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</si>
  <si>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</si>
  <si>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</si>
  <si>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</si>
  <si>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</si>
  <si>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</si>
  <si>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</si>
  <si>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</si>
  <si>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</si>
  <si>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</si>
  <si>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</si>
  <si>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</si>
  <si>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</si>
  <si>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</si>
  <si>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</si>
  <si>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</si>
  <si>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</si>
  <si>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</si>
  <si>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</si>
  <si>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</si>
  <si>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</si>
  <si>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</si>
  <si>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</si>
  <si>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</si>
  <si>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</si>
  <si>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</si>
  <si>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</si>
  <si>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</si>
  <si>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</si>
  <si>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</si>
  <si>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</si>
  <si>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</si>
  <si>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</si>
  <si>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</si>
  <si>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</si>
  <si>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</si>
  <si>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</si>
  <si>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</si>
  <si>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</si>
  <si>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</si>
  <si>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</si>
  <si>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</si>
  <si>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</si>
  <si>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</si>
  <si>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</si>
  <si>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</si>
  <si>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</si>
  <si>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</si>
  <si>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</si>
  <si>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</si>
  <si>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</si>
  <si>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</si>
  <si>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</si>
  <si>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</si>
  <si>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</si>
  <si>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</si>
  <si>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</si>
  <si>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</si>
  <si>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</si>
  <si>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</si>
  <si>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</si>
  <si>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</si>
  <si>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</si>
  <si>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</si>
  <si>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</si>
  <si>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</si>
  <si>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</si>
  <si>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</si>
  <si>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</si>
  <si>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</si>
  <si>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</si>
  <si>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</si>
  <si>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</si>
  <si>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</si>
  <si>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</si>
  <si>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</si>
  <si>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</si>
  <si>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</si>
  <si>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</si>
  <si>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</si>
  <si>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</si>
  <si>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</si>
  <si>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</si>
  <si>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</si>
  <si>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</si>
  <si>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</si>
  <si>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</si>
  <si>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</si>
  <si>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</si>
  <si>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</si>
  <si>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</si>
  <si>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</si>
  <si>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</si>
  <si>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</si>
  <si>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</si>
  <si>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</si>
  <si>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Indugar SRL - Compra de pinturas trabajo en medianera</t>
  </si>
  <si>
    <t>Gastos bancarios</t>
  </si>
  <si>
    <t>Bonificacion apertura de cuenta bancaria (pago de servicios)</t>
  </si>
  <si>
    <t>VTO 15/01</t>
  </si>
  <si>
    <t>PERÍODO: DICIEMBRE</t>
  </si>
  <si>
    <t xml:space="preserve">Chavez Pablo - Impermeabilizacion de medianera </t>
  </si>
  <si>
    <t>Transf 16/12</t>
  </si>
  <si>
    <t>Transf 22/12</t>
  </si>
  <si>
    <t>Transf 02/12</t>
  </si>
  <si>
    <t>Debito 09/12</t>
  </si>
  <si>
    <t>Lema - Ascensores - Servicio de mantenimiento - Se abona a mes vencido</t>
  </si>
  <si>
    <t>Pintureria Gianonni - Bricol para ceramicos</t>
  </si>
  <si>
    <t>Sr.  Pucheta</t>
  </si>
  <si>
    <t>QUIENES ESTAN MARCADOS DE COLOR VERDE NO HAN ABONADO A LA CUENTA BANCARIA CORRESPONDIENTE. REITERAMOS QUE LOS DATOS DE LA CUENTA EN DONDE DEBEN ABONAR LAS EXPENSAS SON: CONSORCIO DE PROPIETARIOS EDIFICIO CALLE SALTA 1167/1169  - C DE P SALTA 1167 1169 LANUS - CTA CTE $   039 - 22273/6                                                                                                                 CBU: 0720039720000002227368</t>
  </si>
  <si>
    <t>Alejo Moreno</t>
  </si>
  <si>
    <t>QUIENES ESTAN EN VIOLETA NO ESTAN RESPETANDO LOS CENTAVOS AL ABONAR.</t>
  </si>
  <si>
    <t>Totales</t>
  </si>
  <si>
    <t>Bonificado x EDESUR Noviembre</t>
  </si>
  <si>
    <t>Sr. Hector Piletero</t>
  </si>
  <si>
    <t>Transf 30/12</t>
  </si>
  <si>
    <t>Transf 29/12</t>
  </si>
  <si>
    <t>Federacion patronal  Seguro obligatorio de consorcio - Poliza nro. 1-2249124-0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</si>
</sst>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26" xfId="1" applyFont="1" applyBorder="1"/>
    <xf numFmtId="44" fontId="17" fillId="0" borderId="6" xfId="1" applyFont="1" applyBorder="1"/>
    <xf numFmtId="44" fontId="17" fillId="0" borderId="29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8" xfId="1" applyFont="1" applyBorder="1"/>
    <xf numFmtId="0" fontId="13" fillId="4" borderId="27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30" xfId="0" applyFont="1" applyFill="1" applyBorder="1" applyAlignment="1">
      <alignment horizontal="left" vertical="center" wrapText="1"/>
    </xf>
    <xf numFmtId="44" fontId="2" fillId="10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13" fillId="11" borderId="1" xfId="0" applyFont="1" applyFill="1" applyBorder="1"/>
    <xf numFmtId="0" fontId="13" fillId="11" borderId="1" xfId="0" applyFont="1" applyFill="1" applyBorder="1" applyAlignment="1">
      <alignment wrapText="1"/>
    </xf>
    <xf numFmtId="0" fontId="13" fillId="11" borderId="1" xfId="0" applyFont="1" applyFill="1" applyBorder="1" applyAlignment="1">
      <alignment horizontal="center"/>
    </xf>
    <xf numFmtId="44" fontId="17" fillId="11" borderId="1" xfId="1" applyFont="1" applyFill="1" applyBorder="1"/>
    <xf numFmtId="165" fontId="13" fillId="11" borderId="1" xfId="0" applyNumberFormat="1" applyFont="1" applyFill="1" applyBorder="1"/>
    <xf numFmtId="44" fontId="13" fillId="11" borderId="1" xfId="1" applyFont="1" applyFill="1" applyBorder="1"/>
    <xf numFmtId="165" fontId="13" fillId="11" borderId="6" xfId="1" applyNumberFormat="1" applyFont="1" applyFill="1" applyBorder="1"/>
    <xf numFmtId="44" fontId="17" fillId="11" borderId="26" xfId="1" applyFont="1" applyFill="1" applyBorder="1"/>
    <xf numFmtId="44" fontId="17" fillId="11" borderId="6" xfId="1" applyFont="1" applyFill="1" applyBorder="1"/>
    <xf numFmtId="44" fontId="17" fillId="11" borderId="29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44" fontId="17" fillId="12" borderId="1" xfId="1" applyFont="1" applyFill="1" applyBorder="1"/>
    <xf numFmtId="165" fontId="13" fillId="12" borderId="1" xfId="0" applyNumberFormat="1" applyFont="1" applyFill="1" applyBorder="1"/>
    <xf numFmtId="44" fontId="13" fillId="12" borderId="1" xfId="1" applyFont="1" applyFill="1" applyBorder="1"/>
    <xf numFmtId="165" fontId="13" fillId="12" borderId="6" xfId="1" applyNumberFormat="1" applyFont="1" applyFill="1" applyBorder="1"/>
    <xf numFmtId="44" fontId="17" fillId="12" borderId="26" xfId="1" applyFont="1" applyFill="1" applyBorder="1"/>
    <xf numFmtId="44" fontId="17" fillId="12" borderId="6" xfId="1" applyFont="1" applyFill="1" applyBorder="1"/>
    <xf numFmtId="44" fontId="17" fillId="12" borderId="29" xfId="1" applyFont="1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44" fontId="4" fillId="2" borderId="1" xfId="1" applyFont="1" applyFill="1" applyBorder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A74" workbookViewId="0">
      <selection activeCell="D22" sqref="D22:D54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3"/>
      <c r="B1" s="51" t="s">
        <v>78</v>
      </c>
      <c r="C1" s="51"/>
      <c r="D1" s="51"/>
      <c r="E1" s="52"/>
    </row>
    <row r="2" spans="1:5" x14ac:dyDescent="0.25">
      <c r="A2" s="14"/>
      <c r="B2" s="53" t="s">
        <v>14</v>
      </c>
      <c r="C2" s="53"/>
      <c r="D2" s="53"/>
      <c r="E2" s="54"/>
    </row>
    <row r="3" spans="1:5" ht="70.5" customHeight="1" thickBot="1" x14ac:dyDescent="0.3">
      <c r="A3" s="14"/>
      <c r="B3" s="201" t="s">
        <v>80</v>
      </c>
      <c r="C3" s="201"/>
      <c r="D3" s="201"/>
      <c r="E3" s="202"/>
    </row>
    <row r="4" spans="1:5" ht="15.75" thickBot="1" x14ac:dyDescent="0.3">
      <c r="A4" s="17" t="s">
        <v>0</v>
      </c>
      <c r="B4" s="71" t="s">
        <v>22</v>
      </c>
      <c r="C4" s="18"/>
      <c r="D4" s="18"/>
      <c r="E4" s="19"/>
    </row>
    <row r="5" spans="1:5" ht="15.75" thickBot="1" x14ac:dyDescent="0.3">
      <c r="A5" s="14" t="s">
        <v>79</v>
      </c>
      <c r="B5" s="18" t="s">
        <v>125</v>
      </c>
      <c r="C5" s="15"/>
      <c r="D5" s="53" t="s">
        <v>15</v>
      </c>
      <c r="E5" s="16"/>
    </row>
    <row r="6" spans="1:5" ht="15.75" thickBot="1" x14ac:dyDescent="0.3">
      <c r="A6" s="17" t="s">
        <v>26</v>
      </c>
      <c r="B6" s="18"/>
      <c r="C6" s="18"/>
      <c r="D6" s="18" t="s">
        <v>16</v>
      </c>
      <c r="E6" s="19"/>
    </row>
    <row r="8" spans="1:5" x14ac:dyDescent="0.25">
      <c r="B8" s="204" t="s">
        <v>124</v>
      </c>
      <c r="C8" s="204"/>
    </row>
    <row r="9" spans="1:5" x14ac:dyDescent="0.25">
      <c r="B9" s="204"/>
      <c r="C9" s="204"/>
    </row>
    <row r="10" spans="1:5" x14ac:dyDescent="0.25">
      <c r="B10" s="204"/>
      <c r="C10" s="204"/>
    </row>
    <row r="12" spans="1:5" hidden="1" x14ac:dyDescent="0.25"/>
    <row r="13" spans="1:5" ht="15" customHeight="1" x14ac:dyDescent="0.25">
      <c r="A13" s="203" t="s">
        <v>106</v>
      </c>
      <c r="B13" s="203"/>
      <c r="C13" s="203"/>
      <c r="D13" s="203"/>
      <c r="E13" s="203"/>
    </row>
    <row r="14" spans="1:5" ht="15" customHeight="1" x14ac:dyDescent="0.25">
      <c r="A14" s="203"/>
      <c r="B14" s="203"/>
      <c r="C14" s="203"/>
      <c r="D14" s="203"/>
      <c r="E14" s="203"/>
    </row>
    <row r="15" spans="1:5" ht="15" customHeight="1" x14ac:dyDescent="0.25">
      <c r="A15" s="203"/>
      <c r="B15" s="203"/>
      <c r="C15" s="203"/>
      <c r="D15" s="203"/>
      <c r="E15" s="203"/>
    </row>
    <row r="16" spans="1:5" ht="53.25" customHeight="1" x14ac:dyDescent="0.25">
      <c r="A16" s="203"/>
      <c r="B16" s="203"/>
      <c r="C16" s="203"/>
      <c r="D16" s="203"/>
      <c r="E16" s="203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109</v>
      </c>
      <c r="B20" s="10"/>
      <c r="C20" s="11"/>
      <c r="D20" s="7"/>
      <c r="E20" s="12"/>
    </row>
    <row r="21" spans="1:8" x14ac:dyDescent="0.25">
      <c r="A21" s="25" t="s">
        <v>81</v>
      </c>
      <c r="B21" s="25"/>
      <c r="C21" s="25"/>
      <c r="D21" s="119"/>
      <c r="E21" s="104"/>
    </row>
    <row r="22" spans="1:8" ht="15" customHeight="1" x14ac:dyDescent="0.25">
      <c r="A22" s="196" t="s">
        <v>120</v>
      </c>
      <c r="B22" s="197"/>
      <c r="C22" s="39"/>
      <c r="D22" s="120">
        <v>464897.27</v>
      </c>
      <c r="E22" s="113" t="s">
        <v>129</v>
      </c>
      <c r="H22" s="93"/>
    </row>
    <row r="23" spans="1:8" ht="15" customHeight="1" x14ac:dyDescent="0.25">
      <c r="A23" s="196"/>
      <c r="B23" s="197"/>
      <c r="C23" s="39"/>
      <c r="D23" s="120"/>
      <c r="E23" s="113"/>
      <c r="H23" s="93"/>
    </row>
    <row r="24" spans="1:8" x14ac:dyDescent="0.25">
      <c r="A24" s="21" t="s">
        <v>9</v>
      </c>
      <c r="B24" s="21"/>
      <c r="C24" s="21"/>
      <c r="D24" s="121"/>
      <c r="E24" s="134">
        <f>SUM(D22:D23)</f>
        <v>464897.27</v>
      </c>
    </row>
    <row r="25" spans="1:8" x14ac:dyDescent="0.25">
      <c r="A25" s="25" t="s">
        <v>18</v>
      </c>
      <c r="B25" s="21"/>
      <c r="C25" s="21"/>
      <c r="D25" s="122"/>
      <c r="E25" s="133"/>
    </row>
    <row r="26" spans="1:8" ht="30" customHeight="1" x14ac:dyDescent="0.25">
      <c r="A26" s="196" t="s">
        <v>142</v>
      </c>
      <c r="B26" s="197"/>
      <c r="C26" s="41"/>
      <c r="D26" s="195">
        <v>74591</v>
      </c>
      <c r="E26" s="106" t="s">
        <v>130</v>
      </c>
    </row>
    <row r="27" spans="1:8" x14ac:dyDescent="0.25">
      <c r="A27" s="21" t="s">
        <v>1</v>
      </c>
      <c r="B27" s="21"/>
      <c r="C27" s="21"/>
      <c r="D27" s="121"/>
      <c r="E27" s="105">
        <f>SUM(D26:D26)</f>
        <v>74591</v>
      </c>
    </row>
    <row r="28" spans="1:8" x14ac:dyDescent="0.25">
      <c r="A28" s="25" t="s">
        <v>10</v>
      </c>
      <c r="B28" s="108"/>
      <c r="C28" s="108"/>
      <c r="D28" s="123"/>
      <c r="E28" s="109"/>
    </row>
    <row r="29" spans="1:8" ht="14.25" customHeight="1" x14ac:dyDescent="0.25">
      <c r="A29" s="5" t="s">
        <v>70</v>
      </c>
      <c r="B29" s="5"/>
      <c r="C29" s="5"/>
      <c r="D29" s="114">
        <v>0</v>
      </c>
      <c r="E29" s="113"/>
    </row>
    <row r="30" spans="1:8" x14ac:dyDescent="0.25">
      <c r="A30" s="5" t="s">
        <v>69</v>
      </c>
      <c r="B30" s="5"/>
      <c r="C30" s="5"/>
      <c r="D30" s="114">
        <v>5494.37</v>
      </c>
      <c r="E30" s="113" t="s">
        <v>129</v>
      </c>
    </row>
    <row r="31" spans="1:8" x14ac:dyDescent="0.25">
      <c r="A31" s="5" t="s">
        <v>69</v>
      </c>
      <c r="B31" s="130"/>
      <c r="C31" s="5"/>
      <c r="D31" s="114">
        <v>323182.89</v>
      </c>
      <c r="E31" s="113" t="s">
        <v>129</v>
      </c>
    </row>
    <row r="32" spans="1:8" x14ac:dyDescent="0.25">
      <c r="A32" s="205" t="s">
        <v>71</v>
      </c>
      <c r="B32" s="206"/>
      <c r="C32" s="5"/>
      <c r="D32" s="114">
        <v>358176.46</v>
      </c>
      <c r="E32" s="113" t="s">
        <v>129</v>
      </c>
    </row>
    <row r="33" spans="1:5" x14ac:dyDescent="0.25">
      <c r="A33" s="116" t="s">
        <v>82</v>
      </c>
      <c r="B33" s="112"/>
      <c r="C33" s="5"/>
      <c r="D33" s="114">
        <v>21236.33</v>
      </c>
      <c r="E33" s="113" t="s">
        <v>129</v>
      </c>
    </row>
    <row r="34" spans="1:5" ht="15.75" thickBot="1" x14ac:dyDescent="0.3">
      <c r="A34" s="21" t="s">
        <v>2</v>
      </c>
      <c r="B34" s="21"/>
      <c r="C34" s="21"/>
      <c r="D34" s="124"/>
      <c r="E34" s="107">
        <f>SUM(D29:D33)</f>
        <v>708090.04999999993</v>
      </c>
    </row>
    <row r="35" spans="1:5" ht="15" customHeight="1" thickBot="1" x14ac:dyDescent="0.3">
      <c r="A35" s="25"/>
      <c r="B35" s="21"/>
      <c r="C35" s="21"/>
      <c r="D35" s="121"/>
      <c r="E35" s="110"/>
    </row>
    <row r="36" spans="1:5" ht="33" customHeight="1" x14ac:dyDescent="0.25">
      <c r="A36" s="196" t="s">
        <v>131</v>
      </c>
      <c r="B36" s="197"/>
      <c r="C36" s="5"/>
      <c r="D36" s="114"/>
      <c r="E36" s="115"/>
    </row>
    <row r="37" spans="1:5" ht="33" customHeight="1" x14ac:dyDescent="0.25">
      <c r="A37" s="131" t="s">
        <v>139</v>
      </c>
      <c r="B37" s="132"/>
      <c r="C37" s="5"/>
      <c r="D37" s="78">
        <v>82600</v>
      </c>
      <c r="E37" s="115" t="s">
        <v>140</v>
      </c>
    </row>
    <row r="38" spans="1:5" ht="19.149999999999999" customHeight="1" x14ac:dyDescent="0.25">
      <c r="A38" s="196" t="s">
        <v>126</v>
      </c>
      <c r="B38" s="197"/>
      <c r="C38" s="5"/>
      <c r="D38" s="78">
        <v>1537000</v>
      </c>
      <c r="E38" s="115" t="s">
        <v>128</v>
      </c>
    </row>
    <row r="39" spans="1:5" ht="19.149999999999999" customHeight="1" x14ac:dyDescent="0.25">
      <c r="A39" s="196" t="s">
        <v>126</v>
      </c>
      <c r="B39" s="197"/>
      <c r="C39" s="5"/>
      <c r="D39" s="78">
        <v>90000</v>
      </c>
      <c r="E39" s="115" t="s">
        <v>141</v>
      </c>
    </row>
    <row r="40" spans="1:5" ht="18" customHeight="1" x14ac:dyDescent="0.25">
      <c r="A40" s="196" t="s">
        <v>121</v>
      </c>
      <c r="B40" s="197"/>
      <c r="C40" s="5"/>
      <c r="D40" s="78">
        <v>42370</v>
      </c>
      <c r="E40" s="115" t="s">
        <v>127</v>
      </c>
    </row>
    <row r="41" spans="1:5" ht="19.5" customHeight="1" x14ac:dyDescent="0.25">
      <c r="A41" s="196" t="s">
        <v>132</v>
      </c>
      <c r="B41" s="197"/>
      <c r="C41" s="5"/>
      <c r="D41" s="78">
        <v>24884.21</v>
      </c>
      <c r="E41" s="115" t="s">
        <v>133</v>
      </c>
    </row>
    <row r="42" spans="1:5" x14ac:dyDescent="0.25">
      <c r="A42" s="21" t="s">
        <v>6</v>
      </c>
      <c r="B42" s="25"/>
      <c r="C42" s="25"/>
      <c r="D42" s="24"/>
      <c r="E42" s="105">
        <f>SUM(D36:D41)</f>
        <v>1776854.21</v>
      </c>
    </row>
    <row r="43" spans="1:5" x14ac:dyDescent="0.25">
      <c r="A43" s="25" t="s">
        <v>11</v>
      </c>
      <c r="B43" s="25"/>
      <c r="C43" s="25"/>
      <c r="D43" s="119"/>
      <c r="E43" s="104"/>
    </row>
    <row r="44" spans="1:5" ht="15.75" customHeight="1" x14ac:dyDescent="0.25">
      <c r="A44" s="196" t="s">
        <v>29</v>
      </c>
      <c r="B44" s="197"/>
      <c r="C44" s="39"/>
      <c r="D44" s="120">
        <v>140000</v>
      </c>
      <c r="E44" s="137"/>
    </row>
    <row r="45" spans="1:5" ht="15.75" customHeight="1" x14ac:dyDescent="0.25">
      <c r="A45" s="131"/>
      <c r="B45" s="132"/>
      <c r="C45" s="39"/>
      <c r="D45" s="147"/>
      <c r="E45" s="137"/>
    </row>
    <row r="46" spans="1:5" x14ac:dyDescent="0.25">
      <c r="A46" s="21" t="s">
        <v>9</v>
      </c>
      <c r="B46" s="21"/>
      <c r="C46" s="21"/>
      <c r="D46" s="121"/>
      <c r="E46" s="134">
        <f>SUM(D44:D45)</f>
        <v>140000</v>
      </c>
    </row>
    <row r="47" spans="1:5" x14ac:dyDescent="0.25">
      <c r="A47" s="25" t="s">
        <v>8</v>
      </c>
      <c r="B47" s="49"/>
      <c r="C47" s="21"/>
      <c r="D47" s="118"/>
      <c r="E47" s="105"/>
    </row>
    <row r="48" spans="1:5" x14ac:dyDescent="0.25">
      <c r="A48" s="5" t="s">
        <v>28</v>
      </c>
      <c r="B48" s="5"/>
      <c r="C48" s="5"/>
      <c r="D48" s="114"/>
      <c r="E48" s="111"/>
    </row>
    <row r="49" spans="1:8" x14ac:dyDescent="0.25">
      <c r="A49" s="5" t="s">
        <v>122</v>
      </c>
      <c r="B49" s="5"/>
      <c r="C49" s="5"/>
      <c r="D49" s="114">
        <f>40662.21-311.85-1485-4686.04-151.2-720-450+720+151.2+540</f>
        <v>34269.32</v>
      </c>
      <c r="E49" s="29"/>
    </row>
    <row r="50" spans="1:8" x14ac:dyDescent="0.25">
      <c r="A50" s="38" t="s">
        <v>9</v>
      </c>
      <c r="B50" s="38"/>
      <c r="C50" s="38"/>
      <c r="D50" s="80"/>
      <c r="E50" s="135">
        <f>SUM(D48:D49)</f>
        <v>34269.32</v>
      </c>
    </row>
    <row r="51" spans="1:8" x14ac:dyDescent="0.25">
      <c r="A51" s="5"/>
      <c r="B51" s="5"/>
      <c r="C51" s="5"/>
      <c r="D51" s="75"/>
      <c r="E51" s="81"/>
    </row>
    <row r="52" spans="1:8" x14ac:dyDescent="0.25">
      <c r="A52" s="22" t="s">
        <v>105</v>
      </c>
      <c r="B52" s="22"/>
      <c r="C52" s="22"/>
      <c r="D52" s="82"/>
      <c r="E52" s="136"/>
    </row>
    <row r="53" spans="1:8" ht="15.75" thickBot="1" x14ac:dyDescent="0.3">
      <c r="A53" s="1"/>
      <c r="D53" s="83"/>
      <c r="E53" s="84"/>
      <c r="F53" s="31"/>
    </row>
    <row r="54" spans="1:8" ht="15.75" thickBot="1" x14ac:dyDescent="0.3">
      <c r="A54" s="3" t="s">
        <v>101</v>
      </c>
      <c r="B54" s="8"/>
      <c r="C54" s="4"/>
      <c r="D54" s="85"/>
      <c r="E54" s="86">
        <f>(SUM(E21:E52))</f>
        <v>3198701.8499999996</v>
      </c>
      <c r="F54" s="103"/>
      <c r="G54" s="31"/>
    </row>
    <row r="55" spans="1:8" x14ac:dyDescent="0.25">
      <c r="D55" s="83"/>
      <c r="E55" s="83"/>
    </row>
    <row r="56" spans="1:8" ht="15.75" thickBot="1" x14ac:dyDescent="0.3">
      <c r="D56" s="83"/>
      <c r="E56" s="83"/>
      <c r="H56" s="125"/>
    </row>
    <row r="57" spans="1:8" x14ac:dyDescent="0.25">
      <c r="A57" s="9" t="s">
        <v>102</v>
      </c>
      <c r="B57" s="10"/>
      <c r="C57" s="11"/>
      <c r="D57" s="87"/>
      <c r="E57" s="88"/>
    </row>
    <row r="58" spans="1:8" ht="15" customHeight="1" x14ac:dyDescent="0.25">
      <c r="A58" s="77"/>
      <c r="B58" s="112"/>
      <c r="C58" s="5"/>
      <c r="D58" s="78"/>
      <c r="E58" s="76"/>
    </row>
    <row r="59" spans="1:8" ht="15" customHeight="1" x14ac:dyDescent="0.25">
      <c r="A59" s="200"/>
      <c r="B59" s="200"/>
      <c r="C59" s="5"/>
      <c r="D59" s="114"/>
      <c r="E59" s="76"/>
    </row>
    <row r="60" spans="1:8" ht="15.75" customHeight="1" x14ac:dyDescent="0.25">
      <c r="A60" s="5"/>
      <c r="B60" s="5"/>
      <c r="C60" s="5"/>
      <c r="D60" s="5"/>
      <c r="E60" s="5"/>
    </row>
    <row r="61" spans="1:8" x14ac:dyDescent="0.25">
      <c r="A61" s="77"/>
      <c r="B61" s="79"/>
      <c r="C61" s="5"/>
      <c r="D61" s="78"/>
      <c r="E61" s="76"/>
    </row>
    <row r="62" spans="1:8" x14ac:dyDescent="0.25">
      <c r="A62" s="36"/>
      <c r="B62" s="35"/>
      <c r="C62" s="35"/>
      <c r="D62" s="42"/>
      <c r="E62" s="42">
        <f>SUM(D58:D61)</f>
        <v>0</v>
      </c>
    </row>
    <row r="63" spans="1:8" ht="15" customHeight="1" x14ac:dyDescent="0.25"/>
    <row r="64" spans="1:8" ht="15.75" hidden="1" thickBot="1" x14ac:dyDescent="0.3"/>
    <row r="65" spans="1:5" ht="15.75" thickBot="1" x14ac:dyDescent="0.3">
      <c r="A65" s="22" t="s">
        <v>104</v>
      </c>
      <c r="B65" s="22"/>
      <c r="C65" s="22"/>
      <c r="D65" s="23"/>
      <c r="E65" s="74"/>
    </row>
    <row r="66" spans="1:5" ht="15.75" thickBot="1" x14ac:dyDescent="0.3"/>
    <row r="67" spans="1:5" ht="15.75" thickBot="1" x14ac:dyDescent="0.3">
      <c r="A67" s="3" t="s">
        <v>103</v>
      </c>
      <c r="B67" s="8"/>
      <c r="C67" s="4"/>
      <c r="D67" s="4"/>
      <c r="E67" s="50">
        <f>E62+E65</f>
        <v>0</v>
      </c>
    </row>
    <row r="68" spans="1:5" ht="15.75" thickBot="1" x14ac:dyDescent="0.3"/>
    <row r="69" spans="1:5" ht="15.75" thickBot="1" x14ac:dyDescent="0.3">
      <c r="A69" s="72" t="s">
        <v>110</v>
      </c>
      <c r="B69" s="73">
        <f>E54</f>
        <v>3198701.8499999996</v>
      </c>
    </row>
    <row r="70" spans="1:5" ht="15.75" thickBot="1" x14ac:dyDescent="0.3">
      <c r="A70" s="72" t="s">
        <v>111</v>
      </c>
      <c r="B70" s="73">
        <f>E54-E52</f>
        <v>3198701.8499999996</v>
      </c>
    </row>
    <row r="71" spans="1:5" ht="15.75" thickBot="1" x14ac:dyDescent="0.3">
      <c r="A71" s="72" t="s">
        <v>112</v>
      </c>
      <c r="B71" s="73">
        <f>E67-E65</f>
        <v>0</v>
      </c>
    </row>
    <row r="72" spans="1:5" ht="15.75" thickBot="1" x14ac:dyDescent="0.3">
      <c r="A72" s="72" t="s">
        <v>113</v>
      </c>
      <c r="B72" s="73">
        <f>E67</f>
        <v>0</v>
      </c>
    </row>
    <row r="74" spans="1:5" s="28" customFormat="1" x14ac:dyDescent="0.25">
      <c r="A74"/>
      <c r="B74" s="30"/>
      <c r="C74" s="27"/>
    </row>
    <row r="75" spans="1:5" s="28" customFormat="1" x14ac:dyDescent="0.25">
      <c r="A75" s="95" t="s">
        <v>114</v>
      </c>
      <c r="B75" s="150">
        <v>115565.9499999996</v>
      </c>
      <c r="C75" s="27"/>
      <c r="D75" s="34"/>
    </row>
    <row r="76" spans="1:5" x14ac:dyDescent="0.25">
      <c r="A76" s="41" t="s">
        <v>107</v>
      </c>
      <c r="B76" s="100">
        <f>-B70</f>
        <v>-3198701.8499999996</v>
      </c>
    </row>
    <row r="77" spans="1:5" x14ac:dyDescent="0.25">
      <c r="A77" s="41" t="s">
        <v>27</v>
      </c>
      <c r="B77" s="100">
        <f>B96</f>
        <v>0</v>
      </c>
    </row>
    <row r="78" spans="1:5" x14ac:dyDescent="0.25">
      <c r="A78" s="41" t="s">
        <v>116</v>
      </c>
      <c r="B78" s="101">
        <f>PRORRATEO!G36-B86</f>
        <v>1986908.7200000002</v>
      </c>
    </row>
    <row r="79" spans="1:5" ht="30" x14ac:dyDescent="0.25">
      <c r="A79" s="41" t="s">
        <v>123</v>
      </c>
      <c r="B79" s="101">
        <f>102287.66+2747.19</f>
        <v>105034.85</v>
      </c>
    </row>
    <row r="80" spans="1:5" x14ac:dyDescent="0.25">
      <c r="A80" s="102" t="s">
        <v>25</v>
      </c>
      <c r="B80" s="126"/>
    </row>
    <row r="81" spans="1:5" ht="15.75" thickBot="1" x14ac:dyDescent="0.3">
      <c r="A81" s="98" t="s">
        <v>118</v>
      </c>
      <c r="B81" s="99">
        <f>SUM(B75:C80)</f>
        <v>-991192.32999999973</v>
      </c>
    </row>
    <row r="82" spans="1:5" x14ac:dyDescent="0.25">
      <c r="A82" s="96"/>
      <c r="B82" s="96"/>
      <c r="D82" s="31"/>
      <c r="E82" s="30"/>
    </row>
    <row r="83" spans="1:5" x14ac:dyDescent="0.25">
      <c r="A83" s="95" t="s">
        <v>115</v>
      </c>
      <c r="B83" s="150">
        <v>2000000</v>
      </c>
      <c r="D83" s="30"/>
      <c r="E83" s="31"/>
    </row>
    <row r="84" spans="1:5" x14ac:dyDescent="0.25">
      <c r="A84" s="41" t="s">
        <v>108</v>
      </c>
      <c r="B84" s="100">
        <f>-B71</f>
        <v>0</v>
      </c>
      <c r="D84" s="31"/>
    </row>
    <row r="85" spans="1:5" x14ac:dyDescent="0.25">
      <c r="A85" s="41" t="s">
        <v>27</v>
      </c>
      <c r="B85" s="100">
        <f>B104</f>
        <v>0</v>
      </c>
      <c r="D85" s="31"/>
    </row>
    <row r="86" spans="1:5" x14ac:dyDescent="0.25">
      <c r="A86" s="41" t="s">
        <v>117</v>
      </c>
      <c r="B86" s="101">
        <v>0</v>
      </c>
    </row>
    <row r="87" spans="1:5" x14ac:dyDescent="0.25">
      <c r="A87" s="102" t="s">
        <v>25</v>
      </c>
      <c r="B87" s="126"/>
    </row>
    <row r="88" spans="1:5" ht="15.75" thickBot="1" x14ac:dyDescent="0.3">
      <c r="A88" s="98" t="s">
        <v>119</v>
      </c>
      <c r="B88" s="99">
        <f>SUM(B83:C87)</f>
        <v>2000000</v>
      </c>
    </row>
    <row r="89" spans="1:5" x14ac:dyDescent="0.25">
      <c r="A89" s="96"/>
      <c r="B89" s="96"/>
    </row>
    <row r="90" spans="1:5" x14ac:dyDescent="0.25">
      <c r="A90" s="96"/>
      <c r="B90" s="96"/>
    </row>
    <row r="91" spans="1:5" ht="34.5" customHeight="1" x14ac:dyDescent="0.25"/>
    <row r="92" spans="1:5" x14ac:dyDescent="0.25">
      <c r="A92" s="199" t="s">
        <v>19</v>
      </c>
      <c r="B92" s="199"/>
      <c r="C92" s="199"/>
    </row>
    <row r="93" spans="1:5" x14ac:dyDescent="0.25">
      <c r="A93" s="199"/>
      <c r="B93" s="199"/>
      <c r="C93" s="199"/>
    </row>
    <row r="94" spans="1:5" ht="35.25" customHeight="1" x14ac:dyDescent="0.25">
      <c r="A94" s="90"/>
      <c r="B94" s="26"/>
      <c r="C94" s="26">
        <v>40000</v>
      </c>
      <c r="E94" s="103"/>
    </row>
    <row r="95" spans="1:5" ht="27" customHeight="1" x14ac:dyDescent="0.25">
      <c r="A95" s="90"/>
      <c r="B95" s="92"/>
      <c r="C95" s="89"/>
      <c r="D95" s="103"/>
    </row>
    <row r="96" spans="1:5" x14ac:dyDescent="0.25">
      <c r="A96" s="32" t="s">
        <v>6</v>
      </c>
      <c r="B96" s="91">
        <f>SUM(B94:B95)</f>
        <v>0</v>
      </c>
      <c r="C96" s="33"/>
    </row>
    <row r="97" spans="1:13" x14ac:dyDescent="0.25">
      <c r="M97" s="6"/>
    </row>
    <row r="98" spans="1:13" ht="15" customHeight="1" x14ac:dyDescent="0.25">
      <c r="A98" s="198"/>
      <c r="B98" s="198"/>
      <c r="C98" s="198"/>
      <c r="D98" s="198"/>
      <c r="E98" s="198"/>
    </row>
    <row r="99" spans="1:13" x14ac:dyDescent="0.25">
      <c r="A99" s="198"/>
      <c r="B99" s="198"/>
      <c r="C99" s="198"/>
      <c r="D99" s="198"/>
      <c r="E99" s="198"/>
    </row>
    <row r="100" spans="1:13" x14ac:dyDescent="0.25">
      <c r="A100" s="198"/>
      <c r="B100" s="198"/>
      <c r="C100" s="198"/>
      <c r="D100" s="198"/>
      <c r="E100" s="198"/>
    </row>
    <row r="101" spans="1:13" x14ac:dyDescent="0.25">
      <c r="A101" s="198"/>
      <c r="B101" s="198"/>
      <c r="C101" s="198"/>
      <c r="D101" s="198"/>
      <c r="E101" s="198"/>
    </row>
  </sheetData>
  <mergeCells count="16">
    <mergeCell ref="A36:B36"/>
    <mergeCell ref="A40:B40"/>
    <mergeCell ref="A38:B38"/>
    <mergeCell ref="A22:B22"/>
    <mergeCell ref="B3:E3"/>
    <mergeCell ref="A13:E16"/>
    <mergeCell ref="B8:C10"/>
    <mergeCell ref="A26:B26"/>
    <mergeCell ref="A32:B32"/>
    <mergeCell ref="A23:B23"/>
    <mergeCell ref="A39:B39"/>
    <mergeCell ref="A44:B44"/>
    <mergeCell ref="A41:B41"/>
    <mergeCell ref="A98:E101"/>
    <mergeCell ref="A92:C93"/>
    <mergeCell ref="A59:B5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topLeftCell="A13" zoomScaleNormal="100" workbookViewId="0">
      <selection activeCell="G13" sqref="G13:G35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12.28515625" customWidth="1"/>
    <col min="11" max="11" width="12.42578125" customWidth="1"/>
    <col min="12" max="12" width="14.5703125" bestFit="1" customWidth="1"/>
    <col min="13" max="13" width="14.7109375" customWidth="1"/>
    <col min="14" max="14" width="12" hidden="1" customWidth="1"/>
    <col min="15" max="15" width="14.28515625" customWidth="1"/>
    <col min="16" max="16" width="7.28515625" hidden="1" customWidth="1"/>
    <col min="17" max="17" width="12" bestFit="1" customWidth="1"/>
    <col min="18" max="18" width="13" bestFit="1" customWidth="1"/>
  </cols>
  <sheetData>
    <row r="1" spans="1:16" ht="12.95" customHeight="1" x14ac:dyDescent="0.25">
      <c r="A1" s="161"/>
      <c r="B1" s="162"/>
      <c r="C1" s="163"/>
      <c r="D1" s="163"/>
      <c r="E1" s="210"/>
      <c r="F1" s="210"/>
      <c r="G1" s="210"/>
      <c r="H1" s="210"/>
      <c r="I1" s="210"/>
      <c r="J1" s="210"/>
      <c r="K1" s="210"/>
      <c r="L1" s="210"/>
      <c r="M1" s="210"/>
      <c r="N1" s="162"/>
      <c r="O1" s="164"/>
    </row>
    <row r="2" spans="1:16" ht="12.95" customHeight="1" x14ac:dyDescent="0.25">
      <c r="A2" s="165"/>
      <c r="B2" s="166"/>
      <c r="C2" s="167"/>
      <c r="D2" s="168"/>
      <c r="E2" s="168" t="s">
        <v>100</v>
      </c>
      <c r="F2" s="168"/>
      <c r="G2" s="169">
        <v>0</v>
      </c>
      <c r="H2" s="168"/>
      <c r="I2" s="168"/>
      <c r="J2" s="170"/>
      <c r="K2" s="168" t="s">
        <v>99</v>
      </c>
      <c r="L2" s="171">
        <v>2000000</v>
      </c>
      <c r="M2" s="172"/>
      <c r="N2" s="173"/>
      <c r="O2" s="174"/>
      <c r="P2" s="20"/>
    </row>
    <row r="3" spans="1:16" ht="12.95" customHeight="1" thickBot="1" x14ac:dyDescent="0.3">
      <c r="A3" s="165"/>
      <c r="B3" s="166"/>
      <c r="C3" s="167"/>
      <c r="D3" s="167"/>
      <c r="E3" s="167"/>
      <c r="F3" s="167"/>
      <c r="G3" s="175"/>
      <c r="H3" s="167"/>
      <c r="I3" s="167"/>
      <c r="J3" s="176"/>
      <c r="K3" s="167"/>
      <c r="L3" s="167"/>
      <c r="M3" s="172"/>
      <c r="N3" s="173"/>
      <c r="O3" s="174"/>
      <c r="P3" s="20"/>
    </row>
    <row r="4" spans="1:16" ht="12.95" customHeight="1" x14ac:dyDescent="0.25">
      <c r="A4" s="220" t="s">
        <v>98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  <c r="P4" s="20"/>
    </row>
    <row r="5" spans="1:16" ht="12.95" customHeight="1" x14ac:dyDescent="0.2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  <c r="P5" s="20"/>
    </row>
    <row r="6" spans="1:16" ht="12.95" customHeight="1" x14ac:dyDescent="0.25">
      <c r="A6" s="223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20"/>
    </row>
    <row r="7" spans="1:16" ht="12.95" customHeight="1" x14ac:dyDescent="0.25">
      <c r="A7" s="223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20"/>
    </row>
    <row r="8" spans="1:16" ht="24.75" customHeight="1" thickBot="1" x14ac:dyDescent="0.3">
      <c r="A8" s="226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8"/>
    </row>
    <row r="9" spans="1:16" ht="48" customHeight="1" thickBot="1" x14ac:dyDescent="0.3">
      <c r="A9" s="231" t="s">
        <v>134</v>
      </c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</row>
    <row r="10" spans="1:16" ht="48" customHeight="1" thickBot="1" x14ac:dyDescent="0.3">
      <c r="A10" s="233" t="s">
        <v>136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</row>
    <row r="11" spans="1:16" x14ac:dyDescent="0.25">
      <c r="A11" s="207" t="s">
        <v>3</v>
      </c>
      <c r="B11" s="127"/>
      <c r="C11" s="207" t="s">
        <v>4</v>
      </c>
      <c r="D11" s="207" t="s">
        <v>13</v>
      </c>
      <c r="E11" s="207" t="s">
        <v>7</v>
      </c>
      <c r="F11" s="211" t="s">
        <v>24</v>
      </c>
      <c r="G11" s="207" t="s">
        <v>5</v>
      </c>
      <c r="H11" s="215" t="s">
        <v>17</v>
      </c>
      <c r="I11" s="211" t="s">
        <v>23</v>
      </c>
      <c r="J11" s="211" t="s">
        <v>83</v>
      </c>
      <c r="K11" s="211" t="s">
        <v>99</v>
      </c>
      <c r="L11" s="218" t="s">
        <v>100</v>
      </c>
      <c r="M11" s="45" t="s">
        <v>21</v>
      </c>
      <c r="N11" s="213" t="s">
        <v>12</v>
      </c>
      <c r="O11" s="229" t="s">
        <v>20</v>
      </c>
    </row>
    <row r="12" spans="1:16" ht="15.75" customHeight="1" x14ac:dyDescent="0.25">
      <c r="A12" s="209"/>
      <c r="B12" s="128"/>
      <c r="C12" s="209"/>
      <c r="D12" s="208"/>
      <c r="E12" s="209"/>
      <c r="F12" s="212"/>
      <c r="G12" s="209"/>
      <c r="H12" s="216"/>
      <c r="I12" s="212"/>
      <c r="J12" s="217"/>
      <c r="K12" s="212"/>
      <c r="L12" s="219"/>
      <c r="M12" s="43" t="str">
        <f>RESUMEN!B8</f>
        <v>VTO 15/01</v>
      </c>
      <c r="N12" s="214"/>
      <c r="O12" s="230"/>
    </row>
    <row r="13" spans="1:16" ht="17.100000000000001" customHeight="1" x14ac:dyDescent="0.25">
      <c r="A13" s="46">
        <v>1</v>
      </c>
      <c r="B13" s="46" t="s">
        <v>30</v>
      </c>
      <c r="C13" s="46" t="s">
        <v>31</v>
      </c>
      <c r="D13" s="46"/>
      <c r="E13" s="55">
        <v>12</v>
      </c>
      <c r="F13" s="56">
        <v>232082.01</v>
      </c>
      <c r="G13" s="57">
        <f>256082.01-G29-G30</f>
        <v>232081.66</v>
      </c>
      <c r="H13" s="58">
        <f t="shared" ref="H13:H35" si="0">F13-G13</f>
        <v>0.35000000000582077</v>
      </c>
      <c r="I13" s="58">
        <f>IF(H13&gt;0,H13*3%,0)</f>
        <v>1.0500000000174623E-2</v>
      </c>
      <c r="J13" s="59">
        <f>EDESUR!I5</f>
        <v>0</v>
      </c>
      <c r="K13" s="117">
        <f>L$2*E13/100</f>
        <v>240000</v>
      </c>
      <c r="L13" s="117">
        <f>G$2*E13/100</f>
        <v>0</v>
      </c>
      <c r="M13" s="60">
        <f>ROUND(SUM(H13:L13),0) + P13</f>
        <v>240000.01</v>
      </c>
      <c r="N13" s="61">
        <f>ROUND(M13*6% + M13,0) + P13</f>
        <v>254400.01</v>
      </c>
      <c r="O13" s="62">
        <f>ROUND(M13*3%,0) + M13</f>
        <v>247200.01</v>
      </c>
      <c r="P13" s="31">
        <v>0.01</v>
      </c>
    </row>
    <row r="14" spans="1:16" ht="17.100000000000001" customHeight="1" x14ac:dyDescent="0.25">
      <c r="A14" s="46">
        <v>2</v>
      </c>
      <c r="B14" s="46" t="s">
        <v>32</v>
      </c>
      <c r="C14" s="46" t="s">
        <v>33</v>
      </c>
      <c r="D14" s="47"/>
      <c r="E14" s="55">
        <v>6.6</v>
      </c>
      <c r="F14" s="56">
        <v>132000.01999999999</v>
      </c>
      <c r="G14" s="57">
        <f>F14</f>
        <v>132000.01999999999</v>
      </c>
      <c r="H14" s="58">
        <f t="shared" si="0"/>
        <v>0</v>
      </c>
      <c r="I14" s="58">
        <f t="shared" ref="I14:I35" si="1">IF(H14&gt;0,H14*3%,0)</f>
        <v>0</v>
      </c>
      <c r="J14" s="59">
        <f>EDESUR!I6</f>
        <v>0</v>
      </c>
      <c r="K14" s="117">
        <f t="shared" ref="K14:K35" si="2">L$2*E14/100</f>
        <v>132000</v>
      </c>
      <c r="L14" s="117">
        <f t="shared" ref="L14:L35" si="3">G$2*E14/100</f>
        <v>0</v>
      </c>
      <c r="M14" s="60">
        <f t="shared" ref="M14:M35" si="4">ROUND(SUM(H14:L14),0) + P14</f>
        <v>132000.01999999999</v>
      </c>
      <c r="N14" s="61">
        <f t="shared" ref="N14:N30" si="5">ROUND(M14*6% + M14,0) + P14</f>
        <v>139920.01999999999</v>
      </c>
      <c r="O14" s="62">
        <f t="shared" ref="O14:O35" si="6">ROUND(M14*3%,0) + M14</f>
        <v>135960.01999999999</v>
      </c>
      <c r="P14" s="31">
        <f>P13+0.01</f>
        <v>0.02</v>
      </c>
    </row>
    <row r="15" spans="1:16" ht="17.100000000000001" customHeight="1" x14ac:dyDescent="0.25">
      <c r="A15" s="46">
        <v>3</v>
      </c>
      <c r="B15" s="46" t="s">
        <v>34</v>
      </c>
      <c r="C15" s="46" t="s">
        <v>35</v>
      </c>
      <c r="D15" s="47" t="s">
        <v>72</v>
      </c>
      <c r="E15" s="55">
        <v>5.4</v>
      </c>
      <c r="F15" s="56">
        <v>108000.03</v>
      </c>
      <c r="G15" s="57">
        <f>F15</f>
        <v>108000.03</v>
      </c>
      <c r="H15" s="58">
        <f t="shared" si="0"/>
        <v>0</v>
      </c>
      <c r="I15" s="58">
        <f t="shared" si="1"/>
        <v>0</v>
      </c>
      <c r="J15" s="59">
        <f>EDESUR!I7</f>
        <v>0</v>
      </c>
      <c r="K15" s="117">
        <f t="shared" si="2"/>
        <v>108000</v>
      </c>
      <c r="L15" s="117">
        <f t="shared" si="3"/>
        <v>0</v>
      </c>
      <c r="M15" s="60">
        <f t="shared" si="4"/>
        <v>108000.03</v>
      </c>
      <c r="N15" s="61">
        <f t="shared" si="5"/>
        <v>114480.03</v>
      </c>
      <c r="O15" s="62">
        <f t="shared" si="6"/>
        <v>111240.03</v>
      </c>
      <c r="P15" s="31">
        <f t="shared" ref="P15:P30" si="7">P14+0.01</f>
        <v>0.03</v>
      </c>
    </row>
    <row r="16" spans="1:16" ht="17.100000000000001" customHeight="1" x14ac:dyDescent="0.25">
      <c r="A16" s="46">
        <v>4</v>
      </c>
      <c r="B16" s="46" t="s">
        <v>36</v>
      </c>
      <c r="C16" s="46" t="s">
        <v>37</v>
      </c>
      <c r="D16" s="47" t="s">
        <v>73</v>
      </c>
      <c r="E16" s="55">
        <v>6.6</v>
      </c>
      <c r="F16" s="56">
        <v>129700.04</v>
      </c>
      <c r="G16" s="57">
        <f>154060-G32</f>
        <v>129700</v>
      </c>
      <c r="H16" s="58">
        <f t="shared" si="0"/>
        <v>3.9999999993597157E-2</v>
      </c>
      <c r="I16" s="58">
        <f t="shared" si="1"/>
        <v>1.1999999998079146E-3</v>
      </c>
      <c r="J16" s="59">
        <f>EDESUR!I8</f>
        <v>0</v>
      </c>
      <c r="K16" s="117">
        <f t="shared" si="2"/>
        <v>132000</v>
      </c>
      <c r="L16" s="117">
        <f t="shared" si="3"/>
        <v>0</v>
      </c>
      <c r="M16" s="60">
        <f t="shared" si="4"/>
        <v>132000.04</v>
      </c>
      <c r="N16" s="61">
        <f t="shared" si="5"/>
        <v>139920.04</v>
      </c>
      <c r="O16" s="62">
        <f t="shared" si="6"/>
        <v>135960.04</v>
      </c>
      <c r="P16" s="31">
        <f t="shared" si="7"/>
        <v>0.04</v>
      </c>
    </row>
    <row r="17" spans="1:17" ht="17.100000000000001" customHeight="1" x14ac:dyDescent="0.25">
      <c r="A17" s="177">
        <v>5</v>
      </c>
      <c r="B17" s="177" t="s">
        <v>38</v>
      </c>
      <c r="C17" s="177" t="s">
        <v>39</v>
      </c>
      <c r="D17" s="177" t="s">
        <v>97</v>
      </c>
      <c r="E17" s="178">
        <v>6.6</v>
      </c>
      <c r="F17" s="179">
        <v>132000.04999999999</v>
      </c>
      <c r="G17" s="179">
        <f t="shared" ref="G17:G21" si="8">F17</f>
        <v>132000.04999999999</v>
      </c>
      <c r="H17" s="180">
        <f t="shared" si="0"/>
        <v>0</v>
      </c>
      <c r="I17" s="180">
        <f t="shared" si="1"/>
        <v>0</v>
      </c>
      <c r="J17" s="181">
        <f>EDESUR!I9</f>
        <v>0</v>
      </c>
      <c r="K17" s="182">
        <f t="shared" si="2"/>
        <v>132000</v>
      </c>
      <c r="L17" s="182">
        <f t="shared" si="3"/>
        <v>0</v>
      </c>
      <c r="M17" s="183">
        <f t="shared" si="4"/>
        <v>132000.04999999999</v>
      </c>
      <c r="N17" s="184">
        <f t="shared" si="5"/>
        <v>139920.04999999999</v>
      </c>
      <c r="O17" s="185">
        <f t="shared" si="6"/>
        <v>135960.04999999999</v>
      </c>
      <c r="P17" s="31">
        <f t="shared" si="7"/>
        <v>0.05</v>
      </c>
      <c r="Q17" t="s">
        <v>135</v>
      </c>
    </row>
    <row r="18" spans="1:17" ht="17.100000000000001" customHeight="1" x14ac:dyDescent="0.25">
      <c r="A18" s="46">
        <v>6</v>
      </c>
      <c r="B18" s="46" t="s">
        <v>40</v>
      </c>
      <c r="C18" s="46" t="s">
        <v>41</v>
      </c>
      <c r="D18" s="46" t="s">
        <v>94</v>
      </c>
      <c r="E18" s="55">
        <v>5.4</v>
      </c>
      <c r="F18" s="56">
        <v>108000.06</v>
      </c>
      <c r="G18" s="57">
        <f t="shared" si="8"/>
        <v>108000.06</v>
      </c>
      <c r="H18" s="58">
        <f t="shared" si="0"/>
        <v>0</v>
      </c>
      <c r="I18" s="58">
        <f t="shared" si="1"/>
        <v>0</v>
      </c>
      <c r="J18" s="59">
        <f>EDESUR!I10</f>
        <v>0</v>
      </c>
      <c r="K18" s="117">
        <f t="shared" si="2"/>
        <v>108000</v>
      </c>
      <c r="L18" s="117">
        <f t="shared" si="3"/>
        <v>0</v>
      </c>
      <c r="M18" s="60">
        <f t="shared" si="4"/>
        <v>108000.06</v>
      </c>
      <c r="N18" s="61">
        <f t="shared" si="5"/>
        <v>114480.06</v>
      </c>
      <c r="O18" s="62">
        <f t="shared" si="6"/>
        <v>111240.06</v>
      </c>
      <c r="P18" s="31">
        <f t="shared" si="7"/>
        <v>6.0000000000000005E-2</v>
      </c>
    </row>
    <row r="19" spans="1:17" ht="17.100000000000001" customHeight="1" x14ac:dyDescent="0.25">
      <c r="A19" s="151">
        <v>7</v>
      </c>
      <c r="B19" s="151" t="s">
        <v>42</v>
      </c>
      <c r="C19" s="151" t="s">
        <v>43</v>
      </c>
      <c r="D19" s="151" t="s">
        <v>95</v>
      </c>
      <c r="E19" s="153">
        <v>5.4</v>
      </c>
      <c r="F19" s="154">
        <v>108000.07</v>
      </c>
      <c r="G19" s="154">
        <f t="shared" si="8"/>
        <v>108000.07</v>
      </c>
      <c r="H19" s="155">
        <f t="shared" si="0"/>
        <v>0</v>
      </c>
      <c r="I19" s="155">
        <f t="shared" si="1"/>
        <v>0</v>
      </c>
      <c r="J19" s="156">
        <f>EDESUR!I11</f>
        <v>0</v>
      </c>
      <c r="K19" s="157">
        <f t="shared" si="2"/>
        <v>108000</v>
      </c>
      <c r="L19" s="157">
        <f t="shared" si="3"/>
        <v>0</v>
      </c>
      <c r="M19" s="158">
        <f t="shared" si="4"/>
        <v>108000.07</v>
      </c>
      <c r="N19" s="159">
        <f t="shared" si="5"/>
        <v>114480.07</v>
      </c>
      <c r="O19" s="160">
        <f t="shared" si="6"/>
        <v>111240.07</v>
      </c>
      <c r="P19" s="31">
        <f t="shared" si="7"/>
        <v>7.0000000000000007E-2</v>
      </c>
    </row>
    <row r="20" spans="1:17" ht="17.100000000000001" customHeight="1" x14ac:dyDescent="0.25">
      <c r="A20" s="151">
        <v>8</v>
      </c>
      <c r="B20" s="151" t="s">
        <v>44</v>
      </c>
      <c r="C20" s="151" t="s">
        <v>45</v>
      </c>
      <c r="D20" s="152" t="s">
        <v>74</v>
      </c>
      <c r="E20" s="153">
        <v>6.6</v>
      </c>
      <c r="F20" s="154">
        <v>132000.07999999999</v>
      </c>
      <c r="G20" s="154">
        <f t="shared" si="8"/>
        <v>132000.07999999999</v>
      </c>
      <c r="H20" s="155">
        <f t="shared" si="0"/>
        <v>0</v>
      </c>
      <c r="I20" s="155">
        <f t="shared" si="1"/>
        <v>0</v>
      </c>
      <c r="J20" s="156">
        <f>EDESUR!I12</f>
        <v>0</v>
      </c>
      <c r="K20" s="157">
        <f t="shared" si="2"/>
        <v>132000</v>
      </c>
      <c r="L20" s="157">
        <f t="shared" si="3"/>
        <v>0</v>
      </c>
      <c r="M20" s="158">
        <f t="shared" si="4"/>
        <v>132000.07999999999</v>
      </c>
      <c r="N20" s="159">
        <f t="shared" si="5"/>
        <v>139920.07999999999</v>
      </c>
      <c r="O20" s="160">
        <f t="shared" si="6"/>
        <v>135960.07999999999</v>
      </c>
      <c r="P20" s="31">
        <f t="shared" si="7"/>
        <v>0.08</v>
      </c>
    </row>
    <row r="21" spans="1:17" ht="17.100000000000001" customHeight="1" x14ac:dyDescent="0.25">
      <c r="A21" s="46">
        <v>9</v>
      </c>
      <c r="B21" s="46" t="s">
        <v>46</v>
      </c>
      <c r="C21" s="46" t="s">
        <v>47</v>
      </c>
      <c r="D21" s="47" t="s">
        <v>77</v>
      </c>
      <c r="E21" s="55">
        <v>6.6</v>
      </c>
      <c r="F21" s="56">
        <v>132000.09</v>
      </c>
      <c r="G21" s="57">
        <f t="shared" si="8"/>
        <v>132000.09</v>
      </c>
      <c r="H21" s="58">
        <f t="shared" si="0"/>
        <v>0</v>
      </c>
      <c r="I21" s="58">
        <f t="shared" si="1"/>
        <v>0</v>
      </c>
      <c r="J21" s="59">
        <f>EDESUR!I13</f>
        <v>0</v>
      </c>
      <c r="K21" s="117">
        <f t="shared" si="2"/>
        <v>132000</v>
      </c>
      <c r="L21" s="117">
        <f t="shared" si="3"/>
        <v>0</v>
      </c>
      <c r="M21" s="60">
        <f t="shared" si="4"/>
        <v>132000.09</v>
      </c>
      <c r="N21" s="61">
        <f t="shared" si="5"/>
        <v>139920.09</v>
      </c>
      <c r="O21" s="62">
        <f t="shared" si="6"/>
        <v>135960.09</v>
      </c>
      <c r="P21" s="31">
        <f t="shared" si="7"/>
        <v>0.09</v>
      </c>
    </row>
    <row r="22" spans="1:17" ht="17.100000000000001" customHeight="1" x14ac:dyDescent="0.25">
      <c r="A22" s="46">
        <v>10</v>
      </c>
      <c r="B22" s="46" t="s">
        <v>48</v>
      </c>
      <c r="C22" s="46" t="s">
        <v>49</v>
      </c>
      <c r="D22" s="47" t="s">
        <v>75</v>
      </c>
      <c r="E22" s="55">
        <v>5.4</v>
      </c>
      <c r="F22" s="56">
        <v>68000.100000000006</v>
      </c>
      <c r="G22" s="57">
        <f>F22</f>
        <v>68000.100000000006</v>
      </c>
      <c r="H22" s="58">
        <f t="shared" si="0"/>
        <v>0</v>
      </c>
      <c r="I22" s="58">
        <f t="shared" si="1"/>
        <v>0</v>
      </c>
      <c r="J22" s="59">
        <f>EDESUR!I14</f>
        <v>0</v>
      </c>
      <c r="K22" s="117">
        <f t="shared" si="2"/>
        <v>108000</v>
      </c>
      <c r="L22" s="117">
        <f t="shared" si="3"/>
        <v>0</v>
      </c>
      <c r="M22" s="60">
        <f t="shared" si="4"/>
        <v>108000.1</v>
      </c>
      <c r="N22" s="61">
        <f t="shared" si="5"/>
        <v>114480.1</v>
      </c>
      <c r="O22" s="62">
        <f t="shared" si="6"/>
        <v>111240.1</v>
      </c>
      <c r="P22" s="31">
        <f t="shared" si="7"/>
        <v>9.9999999999999992E-2</v>
      </c>
    </row>
    <row r="23" spans="1:17" ht="17.100000000000001" customHeight="1" x14ac:dyDescent="0.25">
      <c r="A23" s="46">
        <v>11</v>
      </c>
      <c r="B23" s="46" t="s">
        <v>50</v>
      </c>
      <c r="C23" s="46" t="s">
        <v>51</v>
      </c>
      <c r="D23" s="47"/>
      <c r="E23" s="55">
        <v>5.4</v>
      </c>
      <c r="F23" s="56">
        <v>108000.11</v>
      </c>
      <c r="G23" s="57">
        <f>114000.11-G34</f>
        <v>108000.11</v>
      </c>
      <c r="H23" s="58">
        <f t="shared" si="0"/>
        <v>0</v>
      </c>
      <c r="I23" s="58">
        <f t="shared" si="1"/>
        <v>0</v>
      </c>
      <c r="J23" s="59">
        <f>EDESUR!I15</f>
        <v>0</v>
      </c>
      <c r="K23" s="117">
        <f t="shared" si="2"/>
        <v>108000</v>
      </c>
      <c r="L23" s="117">
        <f t="shared" si="3"/>
        <v>0</v>
      </c>
      <c r="M23" s="60">
        <f t="shared" si="4"/>
        <v>108000.11</v>
      </c>
      <c r="N23" s="61">
        <f t="shared" si="5"/>
        <v>114480.11</v>
      </c>
      <c r="O23" s="62">
        <f t="shared" si="6"/>
        <v>111240.11</v>
      </c>
      <c r="P23" s="31">
        <f t="shared" si="7"/>
        <v>0.10999999999999999</v>
      </c>
      <c r="Q23" t="s">
        <v>96</v>
      </c>
    </row>
    <row r="24" spans="1:17" ht="30" customHeight="1" x14ac:dyDescent="0.25">
      <c r="A24" s="46">
        <v>12</v>
      </c>
      <c r="B24" s="46" t="s">
        <v>52</v>
      </c>
      <c r="C24" s="46" t="s">
        <v>53</v>
      </c>
      <c r="D24" s="47" t="s">
        <v>76</v>
      </c>
      <c r="E24" s="55">
        <v>6.6</v>
      </c>
      <c r="F24" s="56">
        <v>132000.12</v>
      </c>
      <c r="G24" s="57">
        <f>F24</f>
        <v>132000.12</v>
      </c>
      <c r="H24" s="58">
        <f t="shared" si="0"/>
        <v>0</v>
      </c>
      <c r="I24" s="58">
        <f t="shared" si="1"/>
        <v>0</v>
      </c>
      <c r="J24" s="59">
        <f>EDESUR!I16</f>
        <v>0</v>
      </c>
      <c r="K24" s="117">
        <f t="shared" si="2"/>
        <v>132000</v>
      </c>
      <c r="L24" s="117">
        <f t="shared" si="3"/>
        <v>0</v>
      </c>
      <c r="M24" s="60">
        <f t="shared" si="4"/>
        <v>132000.12</v>
      </c>
      <c r="N24" s="61">
        <f t="shared" si="5"/>
        <v>139920.12</v>
      </c>
      <c r="O24" s="62">
        <f t="shared" si="6"/>
        <v>135960.12</v>
      </c>
      <c r="P24" s="31">
        <f t="shared" si="7"/>
        <v>0.11999999999999998</v>
      </c>
    </row>
    <row r="25" spans="1:17" ht="17.100000000000001" customHeight="1" x14ac:dyDescent="0.25">
      <c r="A25" s="46">
        <v>13</v>
      </c>
      <c r="B25" s="46" t="s">
        <v>54</v>
      </c>
      <c r="C25" s="46" t="s">
        <v>55</v>
      </c>
      <c r="D25" s="47" t="s">
        <v>93</v>
      </c>
      <c r="E25" s="55">
        <v>6.6</v>
      </c>
      <c r="F25" s="56">
        <v>128040.13</v>
      </c>
      <c r="G25" s="57">
        <v>131881.13</v>
      </c>
      <c r="H25" s="58">
        <f t="shared" si="0"/>
        <v>-3841</v>
      </c>
      <c r="I25" s="58">
        <f t="shared" si="1"/>
        <v>0</v>
      </c>
      <c r="J25" s="59">
        <f>EDESUR!I17</f>
        <v>0</v>
      </c>
      <c r="K25" s="117">
        <f t="shared" si="2"/>
        <v>132000</v>
      </c>
      <c r="L25" s="117">
        <f t="shared" si="3"/>
        <v>0</v>
      </c>
      <c r="M25" s="60">
        <f t="shared" si="4"/>
        <v>128159.13</v>
      </c>
      <c r="N25" s="61">
        <f t="shared" si="5"/>
        <v>135849.13</v>
      </c>
      <c r="O25" s="62">
        <f t="shared" si="6"/>
        <v>132004.13</v>
      </c>
      <c r="P25" s="31">
        <f t="shared" si="7"/>
        <v>0.12999999999999998</v>
      </c>
    </row>
    <row r="26" spans="1:17" ht="17.100000000000001" customHeight="1" x14ac:dyDescent="0.25">
      <c r="A26" s="46">
        <v>14</v>
      </c>
      <c r="B26" s="46" t="s">
        <v>56</v>
      </c>
      <c r="C26" s="46" t="s">
        <v>57</v>
      </c>
      <c r="D26" s="47"/>
      <c r="E26" s="55">
        <v>5.4</v>
      </c>
      <c r="F26" s="56">
        <v>108000.14</v>
      </c>
      <c r="G26" s="57">
        <f>F26+RESUMEN!D41</f>
        <v>132884.35</v>
      </c>
      <c r="H26" s="58">
        <f t="shared" si="0"/>
        <v>-24884.210000000006</v>
      </c>
      <c r="I26" s="58">
        <f t="shared" si="1"/>
        <v>0</v>
      </c>
      <c r="J26" s="59">
        <f>EDESUR!I18</f>
        <v>0</v>
      </c>
      <c r="K26" s="117">
        <f t="shared" si="2"/>
        <v>108000</v>
      </c>
      <c r="L26" s="117">
        <f t="shared" si="3"/>
        <v>0</v>
      </c>
      <c r="M26" s="60">
        <f t="shared" si="4"/>
        <v>83116.14</v>
      </c>
      <c r="N26" s="61">
        <f t="shared" si="5"/>
        <v>88103.14</v>
      </c>
      <c r="O26" s="62">
        <f t="shared" si="6"/>
        <v>85609.14</v>
      </c>
      <c r="P26" s="31">
        <f t="shared" si="7"/>
        <v>0.13999999999999999</v>
      </c>
    </row>
    <row r="27" spans="1:17" ht="17.100000000000001" customHeight="1" x14ac:dyDescent="0.25">
      <c r="A27" s="46">
        <v>15</v>
      </c>
      <c r="B27" s="46" t="s">
        <v>58</v>
      </c>
      <c r="C27" s="46" t="s">
        <v>59</v>
      </c>
      <c r="D27" s="47"/>
      <c r="E27" s="55">
        <v>5.4</v>
      </c>
      <c r="F27" s="56">
        <v>108000.15</v>
      </c>
      <c r="G27" s="57">
        <f>F27</f>
        <v>108000.15</v>
      </c>
      <c r="H27" s="58">
        <f t="shared" si="0"/>
        <v>0</v>
      </c>
      <c r="I27" s="58">
        <f t="shared" si="1"/>
        <v>0</v>
      </c>
      <c r="J27" s="59">
        <f>EDESUR!I19</f>
        <v>0</v>
      </c>
      <c r="K27" s="117">
        <f t="shared" si="2"/>
        <v>108000</v>
      </c>
      <c r="L27" s="117">
        <f t="shared" si="3"/>
        <v>0</v>
      </c>
      <c r="M27" s="60">
        <f t="shared" si="4"/>
        <v>108000.15</v>
      </c>
      <c r="N27" s="61">
        <f t="shared" si="5"/>
        <v>114480.15</v>
      </c>
      <c r="O27" s="62">
        <f t="shared" si="6"/>
        <v>111240.15</v>
      </c>
      <c r="P27" s="31">
        <f t="shared" si="7"/>
        <v>0.15</v>
      </c>
    </row>
    <row r="28" spans="1:17" ht="17.100000000000001" customHeight="1" x14ac:dyDescent="0.25">
      <c r="A28" s="46">
        <v>16</v>
      </c>
      <c r="B28" s="46" t="s">
        <v>60</v>
      </c>
      <c r="C28" s="46" t="s">
        <v>41</v>
      </c>
      <c r="D28" s="46" t="s">
        <v>94</v>
      </c>
      <c r="E28" s="55">
        <v>0.7</v>
      </c>
      <c r="F28" s="56">
        <v>14000.16</v>
      </c>
      <c r="G28" s="57">
        <f>F28</f>
        <v>14000.16</v>
      </c>
      <c r="H28" s="58">
        <f t="shared" si="0"/>
        <v>0</v>
      </c>
      <c r="I28" s="58">
        <f t="shared" si="1"/>
        <v>0</v>
      </c>
      <c r="J28" s="59">
        <f>EDESUR!I22</f>
        <v>0</v>
      </c>
      <c r="K28" s="117">
        <f t="shared" si="2"/>
        <v>14000</v>
      </c>
      <c r="L28" s="117">
        <f t="shared" si="3"/>
        <v>0</v>
      </c>
      <c r="M28" s="60">
        <f t="shared" si="4"/>
        <v>14000.16</v>
      </c>
      <c r="N28" s="61">
        <f t="shared" si="5"/>
        <v>14840.16</v>
      </c>
      <c r="O28" s="62">
        <f t="shared" si="6"/>
        <v>14420.16</v>
      </c>
      <c r="P28" s="31">
        <f t="shared" si="7"/>
        <v>0.16</v>
      </c>
    </row>
    <row r="29" spans="1:17" ht="17.100000000000001" customHeight="1" x14ac:dyDescent="0.25">
      <c r="A29" s="46">
        <v>17</v>
      </c>
      <c r="B29" s="46" t="s">
        <v>61</v>
      </c>
      <c r="C29" s="46" t="s">
        <v>31</v>
      </c>
      <c r="D29" s="47"/>
      <c r="E29" s="55">
        <v>0.6</v>
      </c>
      <c r="F29" s="57">
        <v>12000.17</v>
      </c>
      <c r="G29" s="57">
        <f t="shared" ref="G29:G31" si="9">F29</f>
        <v>12000.17</v>
      </c>
      <c r="H29" s="58">
        <f t="shared" si="0"/>
        <v>0</v>
      </c>
      <c r="I29" s="58">
        <f t="shared" si="1"/>
        <v>0</v>
      </c>
      <c r="J29" s="59">
        <f>EDESUR!I21</f>
        <v>0</v>
      </c>
      <c r="K29" s="117">
        <f t="shared" si="2"/>
        <v>12000</v>
      </c>
      <c r="L29" s="117">
        <f t="shared" si="3"/>
        <v>0</v>
      </c>
      <c r="M29" s="60">
        <f t="shared" si="4"/>
        <v>12000.17</v>
      </c>
      <c r="N29" s="61">
        <f t="shared" si="5"/>
        <v>12720.17</v>
      </c>
      <c r="O29" s="62">
        <f t="shared" si="6"/>
        <v>12360.17</v>
      </c>
      <c r="P29" s="31">
        <f t="shared" si="7"/>
        <v>0.17</v>
      </c>
    </row>
    <row r="30" spans="1:17" ht="17.100000000000001" customHeight="1" x14ac:dyDescent="0.25">
      <c r="A30" s="46">
        <v>18</v>
      </c>
      <c r="B30" s="46" t="s">
        <v>62</v>
      </c>
      <c r="C30" s="46" t="s">
        <v>31</v>
      </c>
      <c r="D30" s="94"/>
      <c r="E30" s="55">
        <v>0.6</v>
      </c>
      <c r="F30" s="56">
        <v>12000.18</v>
      </c>
      <c r="G30" s="57">
        <f t="shared" si="9"/>
        <v>12000.18</v>
      </c>
      <c r="H30" s="58">
        <f t="shared" si="0"/>
        <v>0</v>
      </c>
      <c r="I30" s="58">
        <f t="shared" si="1"/>
        <v>0</v>
      </c>
      <c r="J30" s="59">
        <f>EDESUR!I22</f>
        <v>0</v>
      </c>
      <c r="K30" s="117">
        <f t="shared" si="2"/>
        <v>12000</v>
      </c>
      <c r="L30" s="117">
        <f t="shared" si="3"/>
        <v>0</v>
      </c>
      <c r="M30" s="60">
        <f t="shared" si="4"/>
        <v>12000.18</v>
      </c>
      <c r="N30" s="61">
        <f t="shared" si="5"/>
        <v>12720.18</v>
      </c>
      <c r="O30" s="62">
        <f t="shared" si="6"/>
        <v>12360.18</v>
      </c>
      <c r="P30" s="31">
        <f t="shared" si="7"/>
        <v>0.18000000000000002</v>
      </c>
    </row>
    <row r="31" spans="1:17" x14ac:dyDescent="0.25">
      <c r="A31" s="46">
        <v>19</v>
      </c>
      <c r="B31" s="46" t="s">
        <v>63</v>
      </c>
      <c r="C31" s="46" t="s">
        <v>53</v>
      </c>
      <c r="D31" s="47"/>
      <c r="E31" s="55">
        <v>0.6</v>
      </c>
      <c r="F31" s="56">
        <v>12000.19</v>
      </c>
      <c r="G31" s="57">
        <f t="shared" si="9"/>
        <v>12000.19</v>
      </c>
      <c r="H31" s="58">
        <f t="shared" si="0"/>
        <v>0</v>
      </c>
      <c r="I31" s="58">
        <f t="shared" si="1"/>
        <v>0</v>
      </c>
      <c r="J31" s="59">
        <f>EDESUR!I23</f>
        <v>0</v>
      </c>
      <c r="K31" s="117">
        <f t="shared" si="2"/>
        <v>12000</v>
      </c>
      <c r="L31" s="117">
        <f t="shared" si="3"/>
        <v>0</v>
      </c>
      <c r="M31" s="60">
        <f t="shared" si="4"/>
        <v>12000.19</v>
      </c>
      <c r="N31" s="61"/>
      <c r="O31" s="62">
        <f t="shared" si="6"/>
        <v>12360.19</v>
      </c>
      <c r="P31" s="31">
        <f>P30+0.01</f>
        <v>0.19000000000000003</v>
      </c>
    </row>
    <row r="32" spans="1:17" x14ac:dyDescent="0.25">
      <c r="A32" s="63">
        <v>20</v>
      </c>
      <c r="B32" s="63" t="s">
        <v>64</v>
      </c>
      <c r="C32" s="46" t="s">
        <v>37</v>
      </c>
      <c r="D32" s="47" t="s">
        <v>73</v>
      </c>
      <c r="E32" s="55">
        <v>0.6</v>
      </c>
      <c r="F32" s="65">
        <v>24360</v>
      </c>
      <c r="G32" s="57">
        <f>F32</f>
        <v>24360</v>
      </c>
      <c r="H32" s="58">
        <f t="shared" si="0"/>
        <v>0</v>
      </c>
      <c r="I32" s="58">
        <f t="shared" si="1"/>
        <v>0</v>
      </c>
      <c r="J32" s="59">
        <f>EDESUR!I24</f>
        <v>0</v>
      </c>
      <c r="K32" s="117">
        <f t="shared" si="2"/>
        <v>12000</v>
      </c>
      <c r="L32" s="117">
        <f t="shared" si="3"/>
        <v>0</v>
      </c>
      <c r="M32" s="60">
        <f t="shared" si="4"/>
        <v>12000.2</v>
      </c>
      <c r="N32" s="61"/>
      <c r="O32" s="62">
        <f t="shared" si="6"/>
        <v>12360.2</v>
      </c>
      <c r="P32" s="31">
        <f t="shared" ref="P32:P35" si="10">P31+0.01</f>
        <v>0.20000000000000004</v>
      </c>
    </row>
    <row r="33" spans="1:16" x14ac:dyDescent="0.25">
      <c r="A33" s="63">
        <v>21</v>
      </c>
      <c r="B33" s="63" t="s">
        <v>65</v>
      </c>
      <c r="C33" s="48" t="s">
        <v>49</v>
      </c>
      <c r="D33" s="47" t="s">
        <v>75</v>
      </c>
      <c r="E33" s="55">
        <v>0.3</v>
      </c>
      <c r="F33" s="65">
        <v>6000</v>
      </c>
      <c r="G33" s="194">
        <f>F33</f>
        <v>6000</v>
      </c>
      <c r="H33" s="58">
        <f t="shared" si="0"/>
        <v>0</v>
      </c>
      <c r="I33" s="58">
        <f t="shared" si="1"/>
        <v>0</v>
      </c>
      <c r="J33" s="59">
        <f>EDESUR!I25</f>
        <v>0</v>
      </c>
      <c r="K33" s="117">
        <f t="shared" si="2"/>
        <v>6000</v>
      </c>
      <c r="L33" s="117">
        <f t="shared" si="3"/>
        <v>0</v>
      </c>
      <c r="M33" s="60">
        <f t="shared" si="4"/>
        <v>6000.21</v>
      </c>
      <c r="N33" s="61"/>
      <c r="O33" s="62">
        <f t="shared" si="6"/>
        <v>6180.21</v>
      </c>
      <c r="P33" s="31">
        <f t="shared" si="10"/>
        <v>0.21000000000000005</v>
      </c>
    </row>
    <row r="34" spans="1:16" x14ac:dyDescent="0.25">
      <c r="A34" s="64">
        <v>22</v>
      </c>
      <c r="B34" s="64" t="s">
        <v>66</v>
      </c>
      <c r="C34" s="46" t="s">
        <v>51</v>
      </c>
      <c r="D34" s="47"/>
      <c r="E34" s="55">
        <v>0.3</v>
      </c>
      <c r="F34" s="65">
        <v>6000</v>
      </c>
      <c r="G34" s="194">
        <f>F34</f>
        <v>6000</v>
      </c>
      <c r="H34" s="58">
        <f t="shared" si="0"/>
        <v>0</v>
      </c>
      <c r="I34" s="58">
        <f t="shared" si="1"/>
        <v>0</v>
      </c>
      <c r="J34" s="59">
        <f>EDESUR!I26</f>
        <v>0</v>
      </c>
      <c r="K34" s="117">
        <f t="shared" si="2"/>
        <v>6000</v>
      </c>
      <c r="L34" s="117">
        <f t="shared" si="3"/>
        <v>0</v>
      </c>
      <c r="M34" s="60">
        <f t="shared" si="4"/>
        <v>6000.22</v>
      </c>
      <c r="N34" s="61"/>
      <c r="O34" s="62">
        <f t="shared" si="6"/>
        <v>6180.22</v>
      </c>
      <c r="P34" s="31">
        <f t="shared" si="10"/>
        <v>0.22000000000000006</v>
      </c>
    </row>
    <row r="35" spans="1:16" ht="17.100000000000001" customHeight="1" thickBot="1" x14ac:dyDescent="0.3">
      <c r="A35" s="46">
        <v>23</v>
      </c>
      <c r="B35" s="66" t="s">
        <v>67</v>
      </c>
      <c r="C35" s="66" t="s">
        <v>68</v>
      </c>
      <c r="D35" s="47" t="s">
        <v>72</v>
      </c>
      <c r="E35" s="55">
        <v>0.3</v>
      </c>
      <c r="F35" s="65">
        <v>6000</v>
      </c>
      <c r="G35" s="194">
        <f>F35</f>
        <v>6000</v>
      </c>
      <c r="H35" s="58">
        <f t="shared" si="0"/>
        <v>0</v>
      </c>
      <c r="I35" s="58">
        <f t="shared" si="1"/>
        <v>0</v>
      </c>
      <c r="J35" s="59">
        <f>EDESUR!I27</f>
        <v>0</v>
      </c>
      <c r="K35" s="117">
        <f t="shared" si="2"/>
        <v>6000</v>
      </c>
      <c r="L35" s="117">
        <f t="shared" si="3"/>
        <v>0</v>
      </c>
      <c r="M35" s="60">
        <f t="shared" si="4"/>
        <v>6000.23</v>
      </c>
      <c r="N35" s="67"/>
      <c r="O35" s="62">
        <f t="shared" si="6"/>
        <v>6180.23</v>
      </c>
      <c r="P35" s="31">
        <f t="shared" si="10"/>
        <v>0.23000000000000007</v>
      </c>
    </row>
    <row r="36" spans="1:16" ht="17.100000000000001" customHeight="1" thickBot="1" x14ac:dyDescent="0.3">
      <c r="A36" s="68"/>
      <c r="B36" s="68"/>
      <c r="C36" s="69"/>
      <c r="D36" s="69"/>
      <c r="E36" s="129">
        <f>SUM(E13:E35)</f>
        <v>99.999999999999986</v>
      </c>
      <c r="F36" s="40">
        <f>SUM(F13:F35)</f>
        <v>1958183.9000000001</v>
      </c>
      <c r="G36" s="44">
        <f>SUM(G13:G35)</f>
        <v>1986908.7200000002</v>
      </c>
      <c r="H36" s="44">
        <f>SUM(H13:H35)</f>
        <v>-28724.820000000007</v>
      </c>
      <c r="I36" s="44">
        <f t="shared" ref="I36:N36" si="11">SUM(I13:I35)</f>
        <v>1.1699999999982537E-2</v>
      </c>
      <c r="J36" s="44">
        <f t="shared" si="11"/>
        <v>0</v>
      </c>
      <c r="K36" s="97">
        <f t="shared" si="11"/>
        <v>2000000</v>
      </c>
      <c r="L36" s="44">
        <f t="shared" si="11"/>
        <v>0</v>
      </c>
      <c r="M36" s="70">
        <f>SUM(M13:M35)</f>
        <v>1971277.76</v>
      </c>
      <c r="N36" s="70">
        <f t="shared" si="11"/>
        <v>2045033.7100000002</v>
      </c>
      <c r="O36" s="70">
        <f>SUM(O13:O35)</f>
        <v>2030415.76</v>
      </c>
    </row>
    <row r="37" spans="1:16" ht="12.75" customHeight="1" x14ac:dyDescent="0.25">
      <c r="C37" s="37"/>
      <c r="D37" s="37"/>
    </row>
    <row r="38" spans="1:16" hidden="1" x14ac:dyDescent="0.25"/>
    <row r="39" spans="1:16" ht="9" customHeight="1" x14ac:dyDescent="0.25">
      <c r="C39" s="19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98"/>
      <c r="E39" s="198"/>
      <c r="F39" s="198"/>
      <c r="G39" s="198"/>
      <c r="H39" s="198"/>
      <c r="I39" s="198"/>
      <c r="J39" s="198"/>
      <c r="K39" s="198"/>
      <c r="L39" s="198"/>
      <c r="M39" s="198"/>
    </row>
    <row r="40" spans="1:16" ht="12" hidden="1" customHeight="1" x14ac:dyDescent="0.25"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</row>
    <row r="41" spans="1:16" ht="12" hidden="1" customHeight="1" x14ac:dyDescent="0.25"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</row>
    <row r="42" spans="1:16" ht="12" hidden="1" customHeight="1" x14ac:dyDescent="0.25"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</row>
    <row r="43" spans="1:16" ht="12" hidden="1" customHeight="1" x14ac:dyDescent="0.25"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</row>
    <row r="44" spans="1:16" ht="67.5" customHeight="1" x14ac:dyDescent="0.25"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</row>
  </sheetData>
  <mergeCells count="18">
    <mergeCell ref="E1:M1"/>
    <mergeCell ref="I11:I12"/>
    <mergeCell ref="F11:F12"/>
    <mergeCell ref="N11:N12"/>
    <mergeCell ref="G11:G12"/>
    <mergeCell ref="H11:H12"/>
    <mergeCell ref="J11:J12"/>
    <mergeCell ref="K11:K12"/>
    <mergeCell ref="L11:L12"/>
    <mergeCell ref="A4:O8"/>
    <mergeCell ref="O11:O12"/>
    <mergeCell ref="A9:O9"/>
    <mergeCell ref="A10:O10"/>
    <mergeCell ref="C39:M44"/>
    <mergeCell ref="D11:D12"/>
    <mergeCell ref="A11:A12"/>
    <mergeCell ref="C11:C12"/>
    <mergeCell ref="E11:E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tabSelected="1" workbookViewId="0">
      <selection activeCell="G3" sqref="G3"/>
    </sheetView>
  </sheetViews>
  <sheetFormatPr baseColWidth="10" defaultRowHeight="15" x14ac:dyDescent="0.25"/>
  <cols>
    <col min="4" max="4" width="4" customWidth="1"/>
    <col min="5" max="5" width="21.710937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38" t="s">
        <v>84</v>
      </c>
      <c r="C3" s="138" t="s">
        <v>85</v>
      </c>
      <c r="E3" s="140" t="s">
        <v>91</v>
      </c>
      <c r="G3" s="193" t="s">
        <v>138</v>
      </c>
      <c r="I3" s="236" t="s">
        <v>92</v>
      </c>
      <c r="J3" s="237"/>
    </row>
    <row r="4" spans="2:10" x14ac:dyDescent="0.25">
      <c r="B4" s="138"/>
      <c r="C4" s="138"/>
      <c r="E4" s="138"/>
      <c r="G4" s="141"/>
      <c r="I4" s="236"/>
      <c r="J4" s="237"/>
    </row>
    <row r="5" spans="2:10" x14ac:dyDescent="0.25">
      <c r="B5" s="138">
        <v>1</v>
      </c>
      <c r="C5" s="138" t="s">
        <v>86</v>
      </c>
      <c r="E5" s="142">
        <v>26132.02</v>
      </c>
      <c r="F5" s="2"/>
      <c r="G5" s="143">
        <f>E5</f>
        <v>26132.02</v>
      </c>
      <c r="I5" s="234">
        <f>E5-G5</f>
        <v>0</v>
      </c>
      <c r="J5" s="235"/>
    </row>
    <row r="6" spans="2:10" x14ac:dyDescent="0.25">
      <c r="B6" s="138">
        <v>1</v>
      </c>
      <c r="C6" s="138" t="s">
        <v>87</v>
      </c>
      <c r="E6" s="142">
        <v>12925.66</v>
      </c>
      <c r="F6" s="2"/>
      <c r="G6" s="143">
        <f t="shared" ref="G6:G19" si="0">E6</f>
        <v>12925.66</v>
      </c>
      <c r="I6" s="234">
        <f t="shared" ref="I6:I21" si="1">E6-G6</f>
        <v>0</v>
      </c>
      <c r="J6" s="235"/>
    </row>
    <row r="7" spans="2:10" x14ac:dyDescent="0.25">
      <c r="B7" s="138">
        <v>1</v>
      </c>
      <c r="C7" s="138" t="s">
        <v>88</v>
      </c>
      <c r="E7" s="142">
        <v>10709.96</v>
      </c>
      <c r="F7" s="2"/>
      <c r="G7" s="143">
        <f t="shared" si="0"/>
        <v>10709.96</v>
      </c>
      <c r="I7" s="234">
        <f t="shared" si="1"/>
        <v>0</v>
      </c>
      <c r="J7" s="235"/>
    </row>
    <row r="8" spans="2:10" x14ac:dyDescent="0.25">
      <c r="B8" s="138">
        <v>2</v>
      </c>
      <c r="C8" s="138" t="s">
        <v>86</v>
      </c>
      <c r="E8" s="142">
        <v>5448.33</v>
      </c>
      <c r="F8" s="2"/>
      <c r="G8" s="143">
        <f t="shared" si="0"/>
        <v>5448.33</v>
      </c>
      <c r="I8" s="234">
        <f t="shared" si="1"/>
        <v>0</v>
      </c>
      <c r="J8" s="235"/>
    </row>
    <row r="9" spans="2:10" x14ac:dyDescent="0.25">
      <c r="B9" s="139">
        <v>2</v>
      </c>
      <c r="C9" s="139" t="s">
        <v>89</v>
      </c>
      <c r="E9" s="142">
        <v>2716.04</v>
      </c>
      <c r="F9" s="2"/>
      <c r="G9" s="143">
        <f t="shared" si="0"/>
        <v>2716.04</v>
      </c>
      <c r="I9" s="234">
        <f t="shared" si="1"/>
        <v>0</v>
      </c>
      <c r="J9" s="235"/>
    </row>
    <row r="10" spans="2:10" x14ac:dyDescent="0.25">
      <c r="B10" s="139">
        <v>2</v>
      </c>
      <c r="C10" s="139" t="s">
        <v>87</v>
      </c>
      <c r="E10" s="142">
        <v>2716.04</v>
      </c>
      <c r="F10" s="2"/>
      <c r="G10" s="143">
        <f t="shared" si="0"/>
        <v>2716.04</v>
      </c>
      <c r="I10" s="234">
        <f t="shared" si="1"/>
        <v>0</v>
      </c>
      <c r="J10" s="235"/>
    </row>
    <row r="11" spans="2:10" x14ac:dyDescent="0.25">
      <c r="B11" s="139">
        <v>2</v>
      </c>
      <c r="C11" s="139" t="s">
        <v>88</v>
      </c>
      <c r="E11" s="142">
        <v>2222.21</v>
      </c>
      <c r="F11" s="2"/>
      <c r="G11" s="143">
        <f t="shared" si="0"/>
        <v>2222.21</v>
      </c>
      <c r="I11" s="234">
        <f t="shared" si="1"/>
        <v>0</v>
      </c>
      <c r="J11" s="235"/>
    </row>
    <row r="12" spans="2:10" x14ac:dyDescent="0.25">
      <c r="B12" s="139">
        <v>3</v>
      </c>
      <c r="C12" s="139" t="s">
        <v>86</v>
      </c>
      <c r="E12" s="142">
        <v>2222.21</v>
      </c>
      <c r="F12" s="2"/>
      <c r="G12" s="143">
        <f t="shared" si="0"/>
        <v>2222.21</v>
      </c>
      <c r="I12" s="234">
        <f t="shared" si="1"/>
        <v>0</v>
      </c>
      <c r="J12" s="235"/>
    </row>
    <row r="13" spans="2:10" x14ac:dyDescent="0.25">
      <c r="B13" s="138">
        <v>3</v>
      </c>
      <c r="C13" s="138" t="s">
        <v>89</v>
      </c>
      <c r="E13" s="142">
        <v>24018.62</v>
      </c>
      <c r="F13" s="2"/>
      <c r="G13" s="143">
        <f t="shared" si="0"/>
        <v>24018.62</v>
      </c>
      <c r="I13" s="234">
        <f t="shared" si="1"/>
        <v>0</v>
      </c>
      <c r="J13" s="235"/>
    </row>
    <row r="14" spans="2:10" x14ac:dyDescent="0.25">
      <c r="B14" s="139">
        <v>3</v>
      </c>
      <c r="C14" s="139" t="s">
        <v>87</v>
      </c>
      <c r="E14" s="142">
        <v>2716.04</v>
      </c>
      <c r="F14" s="2"/>
      <c r="G14" s="143">
        <f t="shared" si="0"/>
        <v>2716.04</v>
      </c>
      <c r="I14" s="234">
        <f t="shared" si="1"/>
        <v>0</v>
      </c>
      <c r="J14" s="235"/>
    </row>
    <row r="15" spans="2:10" x14ac:dyDescent="0.25">
      <c r="B15" s="139">
        <v>3</v>
      </c>
      <c r="C15" s="139" t="s">
        <v>88</v>
      </c>
      <c r="E15" s="142">
        <v>2222.21</v>
      </c>
      <c r="F15" s="2"/>
      <c r="G15" s="143">
        <f t="shared" si="0"/>
        <v>2222.21</v>
      </c>
      <c r="I15" s="234">
        <f t="shared" si="1"/>
        <v>0</v>
      </c>
      <c r="J15" s="235"/>
    </row>
    <row r="16" spans="2:10" x14ac:dyDescent="0.25">
      <c r="B16" s="138">
        <v>4</v>
      </c>
      <c r="C16" s="138" t="s">
        <v>86</v>
      </c>
      <c r="E16" s="142">
        <v>36166.800000000003</v>
      </c>
      <c r="F16" s="2"/>
      <c r="G16" s="143">
        <f t="shared" si="0"/>
        <v>36166.800000000003</v>
      </c>
      <c r="I16" s="234">
        <f t="shared" si="1"/>
        <v>0</v>
      </c>
      <c r="J16" s="235"/>
    </row>
    <row r="17" spans="2:10" x14ac:dyDescent="0.25">
      <c r="B17" s="139">
        <v>4</v>
      </c>
      <c r="C17" s="139" t="s">
        <v>89</v>
      </c>
      <c r="E17" s="142">
        <v>2716.04</v>
      </c>
      <c r="F17" s="2"/>
      <c r="G17" s="143">
        <f t="shared" si="0"/>
        <v>2716.04</v>
      </c>
      <c r="I17" s="234">
        <f t="shared" si="1"/>
        <v>0</v>
      </c>
      <c r="J17" s="235"/>
    </row>
    <row r="18" spans="2:10" x14ac:dyDescent="0.25">
      <c r="B18" s="138">
        <v>4</v>
      </c>
      <c r="C18" s="138" t="s">
        <v>87</v>
      </c>
      <c r="E18" s="142">
        <v>9014.634</v>
      </c>
      <c r="F18" s="2"/>
      <c r="G18" s="143">
        <f t="shared" si="0"/>
        <v>9014.634</v>
      </c>
      <c r="I18" s="234">
        <f t="shared" si="1"/>
        <v>0</v>
      </c>
      <c r="J18" s="235"/>
    </row>
    <row r="19" spans="2:10" x14ac:dyDescent="0.25">
      <c r="B19" s="139">
        <v>4</v>
      </c>
      <c r="C19" s="139" t="s">
        <v>88</v>
      </c>
      <c r="E19" s="142">
        <v>2222.21</v>
      </c>
      <c r="F19" s="2"/>
      <c r="G19" s="143">
        <f t="shared" si="0"/>
        <v>2222.21</v>
      </c>
      <c r="I19" s="234">
        <f t="shared" si="1"/>
        <v>0</v>
      </c>
      <c r="J19" s="235"/>
    </row>
    <row r="20" spans="2:10" x14ac:dyDescent="0.25">
      <c r="B20" s="138"/>
      <c r="C20" s="138"/>
      <c r="E20" s="138"/>
      <c r="G20" s="141"/>
      <c r="I20" s="234"/>
      <c r="J20" s="235"/>
    </row>
    <row r="21" spans="2:10" x14ac:dyDescent="0.25">
      <c r="B21" s="186" t="s">
        <v>137</v>
      </c>
      <c r="C21" s="186"/>
      <c r="D21" s="187"/>
      <c r="E21" s="188">
        <f>SUM(E5:E20)</f>
        <v>144169.02399999998</v>
      </c>
      <c r="F21" s="189"/>
      <c r="G21" s="188">
        <f>SUM(G5:G20)</f>
        <v>144169.02399999998</v>
      </c>
      <c r="I21" s="234">
        <f t="shared" si="1"/>
        <v>0</v>
      </c>
      <c r="J21" s="235"/>
    </row>
    <row r="22" spans="2:10" x14ac:dyDescent="0.25">
      <c r="B22" s="138" t="s">
        <v>90</v>
      </c>
      <c r="C22" s="138">
        <v>1</v>
      </c>
      <c r="E22" s="148">
        <v>288.06</v>
      </c>
      <c r="G22" s="149">
        <f>E22</f>
        <v>288.06</v>
      </c>
      <c r="I22" s="234">
        <f t="shared" ref="I22" si="2">E22-G22</f>
        <v>0</v>
      </c>
      <c r="J22" s="235"/>
    </row>
    <row r="23" spans="2:10" x14ac:dyDescent="0.25">
      <c r="B23" s="138" t="s">
        <v>90</v>
      </c>
      <c r="C23" s="138">
        <v>2</v>
      </c>
      <c r="E23" s="148">
        <v>246.91</v>
      </c>
      <c r="G23" s="149">
        <f t="shared" ref="G23:G29" si="3">E23</f>
        <v>246.91</v>
      </c>
      <c r="I23" s="234">
        <f t="shared" ref="I23:I31" si="4">E23-G23</f>
        <v>0</v>
      </c>
      <c r="J23" s="235"/>
    </row>
    <row r="24" spans="2:10" x14ac:dyDescent="0.25">
      <c r="B24" s="138" t="s">
        <v>90</v>
      </c>
      <c r="C24" s="138">
        <v>3</v>
      </c>
      <c r="E24" s="148">
        <v>246.91</v>
      </c>
      <c r="G24" s="149">
        <f t="shared" si="3"/>
        <v>246.91</v>
      </c>
      <c r="I24" s="234">
        <f t="shared" si="4"/>
        <v>0</v>
      </c>
      <c r="J24" s="235"/>
    </row>
    <row r="25" spans="2:10" x14ac:dyDescent="0.25">
      <c r="B25" s="138" t="s">
        <v>90</v>
      </c>
      <c r="C25" s="138">
        <v>4</v>
      </c>
      <c r="E25" s="148">
        <v>246.91</v>
      </c>
      <c r="G25" s="149">
        <f t="shared" si="3"/>
        <v>246.91</v>
      </c>
      <c r="I25" s="234">
        <f t="shared" si="4"/>
        <v>0</v>
      </c>
      <c r="J25" s="235"/>
    </row>
    <row r="26" spans="2:10" x14ac:dyDescent="0.25">
      <c r="B26" s="138" t="s">
        <v>90</v>
      </c>
      <c r="C26" s="138">
        <v>5</v>
      </c>
      <c r="E26" s="148">
        <v>246.91</v>
      </c>
      <c r="G26" s="149">
        <f t="shared" si="3"/>
        <v>246.91</v>
      </c>
      <c r="I26" s="234">
        <f t="shared" si="4"/>
        <v>0</v>
      </c>
      <c r="J26" s="235"/>
    </row>
    <row r="27" spans="2:10" x14ac:dyDescent="0.25">
      <c r="B27" s="138" t="s">
        <v>90</v>
      </c>
      <c r="C27" s="138">
        <v>6</v>
      </c>
      <c r="E27" s="148">
        <v>123.46</v>
      </c>
      <c r="G27" s="149">
        <f t="shared" si="3"/>
        <v>123.46</v>
      </c>
      <c r="I27" s="234">
        <f t="shared" si="4"/>
        <v>0</v>
      </c>
      <c r="J27" s="235"/>
    </row>
    <row r="28" spans="2:10" x14ac:dyDescent="0.25">
      <c r="B28" s="138" t="s">
        <v>90</v>
      </c>
      <c r="C28" s="138">
        <v>7</v>
      </c>
      <c r="E28" s="148">
        <v>123.46</v>
      </c>
      <c r="G28" s="149">
        <f t="shared" si="3"/>
        <v>123.46</v>
      </c>
      <c r="I28" s="234">
        <f t="shared" si="4"/>
        <v>0</v>
      </c>
      <c r="J28" s="235"/>
    </row>
    <row r="29" spans="2:10" x14ac:dyDescent="0.25">
      <c r="B29" s="138" t="s">
        <v>90</v>
      </c>
      <c r="C29" s="138">
        <v>8</v>
      </c>
      <c r="E29" s="148">
        <v>123.46</v>
      </c>
      <c r="G29" s="149">
        <f t="shared" si="3"/>
        <v>123.46</v>
      </c>
      <c r="I29" s="234">
        <f t="shared" si="4"/>
        <v>0</v>
      </c>
      <c r="J29" s="235"/>
    </row>
    <row r="30" spans="2:10" x14ac:dyDescent="0.25">
      <c r="B30" s="191" t="s">
        <v>137</v>
      </c>
      <c r="C30" s="192"/>
      <c r="D30" s="190"/>
      <c r="E30" s="188">
        <f>SUM(E22:E29)</f>
        <v>1646.0800000000002</v>
      </c>
      <c r="F30" s="190"/>
      <c r="G30" s="188">
        <f>SUM(G22:G29)</f>
        <v>1646.0800000000002</v>
      </c>
      <c r="I30" s="234">
        <f t="shared" si="4"/>
        <v>0</v>
      </c>
      <c r="J30" s="235"/>
    </row>
    <row r="31" spans="2:10" x14ac:dyDescent="0.25">
      <c r="E31" s="146"/>
      <c r="G31" s="143"/>
      <c r="I31" s="234">
        <f t="shared" si="4"/>
        <v>0</v>
      </c>
      <c r="J31" s="235"/>
    </row>
    <row r="32" spans="2:10" x14ac:dyDescent="0.25">
      <c r="E32" s="144"/>
      <c r="G32" s="145"/>
      <c r="I32" s="234"/>
      <c r="J32" s="235"/>
    </row>
    <row r="33" spans="5:10" x14ac:dyDescent="0.25">
      <c r="E33" s="146">
        <f>E30+E21</f>
        <v>145815.10399999996</v>
      </c>
      <c r="G33" s="143">
        <f>G21+G30</f>
        <v>145815.10399999996</v>
      </c>
      <c r="I33" s="234">
        <f>E33-G33</f>
        <v>0</v>
      </c>
      <c r="J33" s="235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2025-12-30T18:05:20Z</cp:lastPrinted>
  <dcterms:created xsi:type="dcterms:W3CDTF">2023-09-17T12:29:07Z</dcterms:created>
  <dcterms:modified xsi:type="dcterms:W3CDTF">2025-12-30T18:07:09Z</dcterms:modified>
</cp:coreProperties>
</file>