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GALERIA\Octubre\"/>
    </mc:Choice>
  </mc:AlternateContent>
  <xr:revisionPtr revIDLastSave="0" documentId="13_ncr:1_{5174E3FD-0178-4A29-85F8-54A23DC806EB}"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RESUMEN!$A$1:$E$95</definedName>
  </definedNames>
  <calcPr calcId="181029"/>
</workbook>
</file>

<file path=xl/calcChain.xml><?xml version="1.0" encoding="utf-8"?>
<calcChain xmlns="http://schemas.openxmlformats.org/spreadsheetml/2006/main">
  <c r="E42" i="1" l="1"/>
  <c r="D38" i="1"/>
  <c r="G7" i="2" l="1"/>
  <c r="G18" i="2"/>
  <c r="G12" i="2"/>
  <c r="D34" i="1"/>
  <c r="G34" i="2" l="1"/>
  <c r="G24" i="2"/>
  <c r="G8" i="2"/>
  <c r="I9" i="2" l="1"/>
  <c r="I16" i="2"/>
  <c r="I17" i="2"/>
  <c r="I31" i="2"/>
  <c r="E32" i="1"/>
  <c r="E26" i="1"/>
  <c r="B94" i="1"/>
  <c r="B74" i="1" s="1"/>
  <c r="E36" i="1"/>
  <c r="D39" i="1" l="1"/>
  <c r="E40" i="1" s="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E44" i="1" s="1"/>
  <c r="H56" i="14" l="1"/>
  <c r="H26" i="14" l="1"/>
  <c r="H40" i="14"/>
  <c r="H71" i="14"/>
  <c r="E53" i="1" l="1"/>
  <c r="E58" i="1" s="1"/>
  <c r="B62" i="1" s="1"/>
  <c r="B76"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3"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I21"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B72" i="1"/>
  <c r="E34" i="2"/>
  <c r="F34" i="2"/>
  <c r="C10" i="8"/>
  <c r="B8" i="2"/>
  <c r="C28" i="3" s="1"/>
  <c r="B9" i="2" l="1"/>
  <c r="B10" i="2" s="1"/>
  <c r="Q53" i="14"/>
  <c r="P53" i="14"/>
  <c r="Q23" i="14"/>
  <c r="P23" i="14"/>
  <c r="R25" i="14"/>
  <c r="O24" i="14"/>
  <c r="R55" i="14"/>
  <c r="O54" i="14"/>
  <c r="H8" i="2"/>
  <c r="I8" i="2" s="1"/>
  <c r="H10" i="2"/>
  <c r="I10" i="2" s="1"/>
  <c r="H11" i="2"/>
  <c r="I11" i="2" s="1"/>
  <c r="H12" i="2"/>
  <c r="I12" i="2" s="1"/>
  <c r="H13" i="2"/>
  <c r="I13" i="2" s="1"/>
  <c r="H14" i="2"/>
  <c r="I14" i="2" s="1"/>
  <c r="H15" i="2"/>
  <c r="I15" i="2" s="1"/>
  <c r="H18" i="2"/>
  <c r="I18" i="2" s="1"/>
  <c r="H19" i="2"/>
  <c r="I19" i="2" s="1"/>
  <c r="H20" i="2"/>
  <c r="I20" i="2" s="1"/>
  <c r="H22" i="2"/>
  <c r="I22" i="2" s="1"/>
  <c r="H23" i="2"/>
  <c r="I23" i="2" s="1"/>
  <c r="H24" i="2"/>
  <c r="I24" i="2" s="1"/>
  <c r="H25" i="2"/>
  <c r="I25" i="2" s="1"/>
  <c r="H26" i="2"/>
  <c r="I26" i="2" s="1"/>
  <c r="H27" i="2"/>
  <c r="I27" i="2" s="1"/>
  <c r="H28" i="2"/>
  <c r="I28" i="2" s="1"/>
  <c r="H29" i="2"/>
  <c r="I29" i="2" s="1"/>
  <c r="H30" i="2"/>
  <c r="I30" i="2" s="1"/>
  <c r="H32" i="2"/>
  <c r="I32" i="2" s="1"/>
  <c r="H7" i="2"/>
  <c r="I7" i="2" l="1"/>
  <c r="M7" i="2" s="1"/>
  <c r="H34" i="2"/>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3"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B61" i="1"/>
  <c r="B75" i="1" s="1"/>
  <c r="B77"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86" i="1"/>
  <c r="C131" i="8" l="1"/>
  <c r="B17" i="2"/>
  <c r="C62" i="4"/>
  <c r="Q60" i="14"/>
  <c r="P60" i="14"/>
  <c r="P30" i="14"/>
  <c r="Q30" i="14"/>
  <c r="O31" i="14"/>
  <c r="F29" i="15" s="1"/>
  <c r="R32" i="14"/>
  <c r="O61" i="14"/>
  <c r="F59" i="15" s="1"/>
  <c r="R62" i="14"/>
  <c r="B60"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<sst xmlns="http://schemas.openxmlformats.org/spreadsheetml/2006/main" count="1320" uniqueCount="280">
  <si>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</si>
  <si>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</si>
  <si>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</si>
  <si>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</si>
  <si>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</si>
  <si>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</si>
  <si>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</si>
  <si>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</si>
  <si>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</si>
  <si>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</si>
  <si>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</si>
  <si>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</si>
  <si>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</si>
  <si>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</si>
  <si>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</si>
  <si>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</si>
  <si>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</si>
  <si>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</si>
  <si>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</si>
  <si>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</si>
  <si>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</si>
  <si>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</si>
  <si>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</si>
  <si>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</si>
  <si>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</si>
  <si>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</si>
  <si>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</si>
  <si>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</si>
  <si>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</si>
  <si>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</si>
  <si>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</si>
  <si>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</si>
  <si>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</si>
  <si>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</si>
  <si>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</si>
  <si>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</si>
  <si>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</si>
  <si>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</si>
  <si>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</si>
  <si>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</si>
  <si>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</si>
  <si>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</si>
  <si>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</si>
  <si>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</si>
  <si>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</si>
  <si>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</si>
  <si>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</si>
  <si>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</si>
  <si>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</si>
  <si>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</si>
  <si>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</si>
  <si>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</si>
  <si>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</si>
  <si>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</si>
  <si>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</si>
  <si>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</si>
  <si>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</si>
  <si>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</si>
  <si>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</si>
  <si>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</si>
  <si>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</si>
  <si>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</si>
  <si>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</si>
  <si>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</si>
  <si>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</si>
  <si>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</si>
  <si>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</si>
  <si>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</si>
  <si>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</si>
  <si>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</si>
  <si>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</si>
  <si>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</si>
  <si>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</si>
  <si>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</si>
  <si>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</si>
  <si>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</si>
  <si>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</si>
  <si>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</si>
  <si>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</si>
  <si>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</si>
  <si>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</si>
  <si>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</si>
  <si>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</si>
  <si>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</si>
  <si>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</si>
  <si>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</si>
  <si>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</si>
  <si>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</si>
  <si>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</si>
  <si>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</si>
  <si>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</si>
  <si>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</si>
  <si>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</si>
  <si>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</si>
  <si>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</si>
  <si>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</si>
  <si>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</si>
  <si>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</si>
  <si>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</si>
  <si>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</si>
  <si>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</si>
  <si>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</si>
  <si>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</si>
  <si>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</si>
  <si>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</si>
  <si>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</si>
  <si>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</si>
  <si>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</si>
  <si>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</si>
  <si>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</si>
  <si>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</si>
  <si>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</si>
  <si>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</si>
  <si>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</si>
  <si>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</si>
  <si>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</si>
  <si>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</si>
  <si>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</si>
  <si>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</si>
  <si>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</si>
  <si>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</si>
  <si>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</si>
  <si>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</si>
  <si>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</si>
  <si>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</si>
  <si>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</si>
  <si>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</si>
  <si>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</si>
  <si>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</si>
  <si>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</si>
  <si>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</si>
  <si>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</si>
  <si>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</si>
  <si>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</si>
  <si>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</si>
  <si>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</si>
  <si>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</si>
  <si>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</si>
  <si>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</si>
  <si>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</si>
  <si>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</si>
  <si>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</si>
  <si>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</si>
  <si>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</si>
  <si>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</si>
  <si>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</si>
  <si>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</si>
  <si>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</si>
  <si>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</si>
  <si>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</si>
  <si>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</si>
  <si>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</si>
  <si>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</si>
  <si>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</si>
  <si>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</si>
  <si>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</si>
  <si>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</si>
  <si>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</si>
  <si>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</si>
  <si>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</si>
  <si>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</si>
  <si>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</si>
  <si>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</si>
  <si>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</si>
  <si>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</si>
  <si>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</si>
  <si>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</si>
  <si>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</si>
  <si>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</si>
  <si>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</si>
  <si>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</si>
  <si>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</si>
  <si>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</si>
  <si>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</si>
  <si>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</si>
  <si>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</si>
  <si>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</si>
  <si>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</si>
  <si>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</si>
  <si>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</si>
  <si>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</si>
  <si>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</si>
  <si>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</si>
  <si>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</si>
  <si>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</si>
  <si>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</si>
  <si>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</si>
  <si>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</si>
  <si>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</si>
  <si>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</si>
  <si>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</si>
  <si>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</si>
  <si>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</si>
  <si>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</si>
  <si>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</si>
  <si>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</si>
  <si>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</si>
  <si>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</si>
  <si>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</si>
  <si>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</si>
  <si>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</si>
  <si>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</si>
  <si>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</si>
  <si>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</si>
  <si>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</si>
  <si>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</si>
  <si>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</si>
  <si>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</si>
  <si>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</si>
  <si>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</si>
  <si>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</si>
  <si>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</si>
  <si>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</si>
  <si>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</si>
  <si>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</si>
  <si>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</si>
  <si>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</si>
  <si>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</si>
  <si>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</si>
  <si>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</si>
  <si>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</si>
  <si>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</si>
  <si>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</si>
  <si>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</si>
  <si>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</si>
  <si>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</si>
  <si>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</si>
  <si>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</si>
  <si>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</si>
  <si>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</si>
  <si>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</si>
  <si>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</si>
  <si>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</si>
  <si>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</si>
  <si>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</si>
  <si>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</si>
  <si>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</si>
  <si>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</si>
  <si>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</si>
  <si>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</si>
  <si>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</si>
  <si>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</si>
  <si>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</si>
  <si>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</si>
  <si>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</si>
  <si>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</si>
  <si>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</si>
  <si>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</si>
  <si>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</si>
  <si>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</si>
  <si>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</si>
  <si>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</si>
  <si>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</si>
  <si>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</si>
  <si>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</si>
  <si>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</si>
  <si>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</si>
  <si>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</si>
  <si>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</si>
  <si>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</si>
  <si>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</si>
  <si>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</si>
  <si>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</si>
  <si>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</si>
  <si>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VTO 14/11</t>
  </si>
  <si>
    <t>CUIT DEL EDIFICIO: 30-66055743-8 - PERÍODO: OCTUBRE - HORARIOS DE ATENCION: LUNES A VIERNES 10 A 16HS</t>
  </si>
  <si>
    <t xml:space="preserve">Mercantil andina seguro integral de consorcio - Poliza nro. 001166139 -  OCTUBRE </t>
  </si>
  <si>
    <t>GASTOS BANCARIOS - MES DE OCTUBRE</t>
  </si>
  <si>
    <t>COMISION POR CUENTA - OCTUBRE</t>
  </si>
  <si>
    <t>Honorarios administracion rc - Se adeuda SEPTIEMBRE Y OCTUBRE</t>
  </si>
  <si>
    <t>Falta de fondos</t>
  </si>
  <si>
    <t>Servisur - Cambio de luces en toda la galeria, mano de obra y materiales</t>
  </si>
  <si>
    <t>Debito 07/10</t>
  </si>
  <si>
    <t>Sra. Silvana mantenimiento y limpieza - 10 dias</t>
  </si>
  <si>
    <t xml:space="preserve">Pendiente para Noviembre: </t>
  </si>
  <si>
    <t>Sra. Silvana mantenimiento y limpieza - 10 dias .- $159300</t>
  </si>
  <si>
    <t>PREVISION ORDINARIA - HONORARIOS DE ADMINISTARCION + SERVICIO DE LIMPIEZA</t>
  </si>
  <si>
    <t>Debito 08/10</t>
  </si>
  <si>
    <t>Transf 07/10 - 15/10 y 23/10</t>
  </si>
  <si>
    <t>Transferencia no identificada Jonahtan Barrios - 14-10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</si>
</sst>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63">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8" fontId="10" fillId="4" borderId="13" xfId="1" applyNumberFormat="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44" fontId="19" fillId="9" borderId="6" xfId="1" applyFont="1" applyFill="1" applyBorder="1"/>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6" fontId="0" fillId="3" borderId="0" xfId="0" applyNumberFormat="1" applyFill="1" applyAlignment="1">
      <alignment horizontal="center"/>
    </xf>
    <xf numFmtId="166" fontId="0" fillId="3" borderId="8" xfId="0" applyNumberFormat="1" applyFill="1" applyBorder="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0" fontId="16" fillId="2" borderId="1" xfId="1" applyNumberFormat="1" applyFont="1" applyFill="1" applyBorder="1" applyAlignment="1">
      <alignment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
  <sheetViews>
    <sheetView workbookViewId="0">
      <selection activeCell="A60" sqref="A59:A60"/>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5" t="s">
        <v>256</v>
      </c>
      <c r="C1" s="95"/>
      <c r="D1" s="95"/>
      <c r="E1" s="96"/>
    </row>
    <row r="2" spans="1:5" ht="22.5" customHeight="1" x14ac:dyDescent="0.25">
      <c r="A2" s="17"/>
      <c r="B2" s="97" t="s">
        <v>125</v>
      </c>
      <c r="C2" s="97"/>
      <c r="D2" s="97"/>
      <c r="E2" s="98"/>
    </row>
    <row r="3" spans="1:5" ht="32.25" customHeight="1" thickBot="1" x14ac:dyDescent="0.3">
      <c r="A3" s="17"/>
      <c r="B3" s="138" t="s">
        <v>121</v>
      </c>
      <c r="C3" s="97"/>
      <c r="D3" s="138"/>
      <c r="E3" s="98"/>
    </row>
    <row r="4" spans="1:5" ht="15.75" thickBot="1" x14ac:dyDescent="0.3">
      <c r="A4" s="20" t="s">
        <v>0</v>
      </c>
      <c r="B4" s="137" t="s">
        <v>253</v>
      </c>
      <c r="C4" s="21"/>
      <c r="D4" s="21"/>
      <c r="E4" s="22"/>
    </row>
    <row r="5" spans="1:5" ht="15.75" thickBot="1" x14ac:dyDescent="0.3">
      <c r="A5" s="17" t="s">
        <v>265</v>
      </c>
      <c r="B5" s="21"/>
      <c r="C5" s="18"/>
      <c r="D5" s="97"/>
      <c r="E5" s="19"/>
    </row>
    <row r="6" spans="1:5" ht="15.75" thickBot="1" x14ac:dyDescent="0.3">
      <c r="A6" s="20" t="s">
        <v>254</v>
      </c>
      <c r="B6" s="21"/>
      <c r="C6" s="21"/>
      <c r="D6" s="21"/>
      <c r="E6" s="22"/>
    </row>
    <row r="8" spans="1:5" x14ac:dyDescent="0.25">
      <c r="B8" s="211" t="s">
        <v>264</v>
      </c>
      <c r="C8" s="211"/>
    </row>
    <row r="9" spans="1:5" x14ac:dyDescent="0.25">
      <c r="B9" s="211"/>
      <c r="C9" s="211"/>
    </row>
    <row r="10" spans="1:5" x14ac:dyDescent="0.25">
      <c r="B10" s="211"/>
      <c r="C10" s="211"/>
    </row>
    <row r="12" spans="1:5" hidden="1" x14ac:dyDescent="0.25"/>
    <row r="13" spans="1:5" ht="15" customHeight="1" x14ac:dyDescent="0.25">
      <c r="A13" s="219" t="s">
        <v>255</v>
      </c>
      <c r="B13" s="219"/>
      <c r="C13" s="219"/>
      <c r="D13" s="219"/>
      <c r="E13" s="219"/>
    </row>
    <row r="14" spans="1:5" ht="15" customHeight="1" x14ac:dyDescent="0.25">
      <c r="A14" s="219"/>
      <c r="B14" s="219"/>
      <c r="C14" s="219"/>
      <c r="D14" s="219"/>
      <c r="E14" s="219"/>
    </row>
    <row r="15" spans="1:5" ht="15" customHeight="1" x14ac:dyDescent="0.25">
      <c r="A15" s="219"/>
      <c r="B15" s="219"/>
      <c r="C15" s="219"/>
      <c r="D15" s="219"/>
      <c r="E15" s="219"/>
    </row>
    <row r="16" spans="1:5" ht="53.25" customHeight="1" x14ac:dyDescent="0.25">
      <c r="A16" s="219"/>
      <c r="B16" s="219"/>
      <c r="C16" s="219"/>
      <c r="D16" s="219"/>
      <c r="E16" s="219"/>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3"/>
      <c r="G21" s="23"/>
    </row>
    <row r="22" spans="1:8" ht="28.5" customHeight="1" thickBot="1" x14ac:dyDescent="0.3">
      <c r="A22" s="212" t="s">
        <v>269</v>
      </c>
      <c r="B22" s="220"/>
      <c r="C22" s="6"/>
      <c r="D22" s="209"/>
      <c r="E22" s="190" t="s">
        <v>270</v>
      </c>
      <c r="H22" s="23"/>
    </row>
    <row r="23" spans="1:8" ht="15.75" thickBot="1" x14ac:dyDescent="0.3">
      <c r="A23" s="32" t="s">
        <v>35</v>
      </c>
      <c r="B23" s="32"/>
      <c r="C23" s="32"/>
      <c r="D23" s="46"/>
      <c r="E23" s="144">
        <f>SUM(D22:D22)</f>
        <v>0</v>
      </c>
    </row>
    <row r="24" spans="1:8" x14ac:dyDescent="0.25">
      <c r="A24" s="40" t="s">
        <v>201</v>
      </c>
      <c r="B24" s="41"/>
      <c r="C24" s="41"/>
      <c r="D24" s="188"/>
      <c r="E24" s="158"/>
    </row>
    <row r="25" spans="1:8" s="49" customFormat="1" ht="29.25" customHeight="1" x14ac:dyDescent="0.25">
      <c r="A25" s="212" t="s">
        <v>266</v>
      </c>
      <c r="B25" s="213"/>
      <c r="C25" s="187"/>
      <c r="D25" s="210">
        <v>111486</v>
      </c>
      <c r="E25" s="174" t="s">
        <v>277</v>
      </c>
    </row>
    <row r="26" spans="1:8" ht="15.75" thickBot="1" x14ac:dyDescent="0.3">
      <c r="A26" s="32" t="s">
        <v>1</v>
      </c>
      <c r="B26" s="32"/>
      <c r="C26" s="32"/>
      <c r="D26" s="189"/>
      <c r="E26" s="145">
        <f>SUM(D25:D25)</f>
        <v>111486</v>
      </c>
      <c r="G26" s="206"/>
    </row>
    <row r="27" spans="1:8" x14ac:dyDescent="0.25">
      <c r="A27" s="42" t="s">
        <v>37</v>
      </c>
      <c r="B27" s="33"/>
      <c r="C27" s="33"/>
      <c r="D27" s="47"/>
      <c r="E27" s="146"/>
    </row>
    <row r="28" spans="1:8" ht="14.25" customHeight="1" x14ac:dyDescent="0.25">
      <c r="A28" s="6" t="s">
        <v>249</v>
      </c>
      <c r="B28" s="6" t="s">
        <v>250</v>
      </c>
      <c r="C28" s="6"/>
      <c r="D28" s="173"/>
      <c r="E28" s="156"/>
    </row>
    <row r="29" spans="1:8" ht="14.25" customHeight="1" x14ac:dyDescent="0.25">
      <c r="A29" s="6" t="s">
        <v>248</v>
      </c>
      <c r="B29" s="6"/>
      <c r="C29" s="6"/>
      <c r="D29" s="173">
        <v>753904.2</v>
      </c>
      <c r="E29" s="156" t="s">
        <v>272</v>
      </c>
    </row>
    <row r="30" spans="1:8" ht="14.25" customHeight="1" x14ac:dyDescent="0.25">
      <c r="A30" s="6"/>
      <c r="B30" s="6"/>
      <c r="C30" s="6"/>
      <c r="D30" s="173"/>
      <c r="E30" s="156"/>
    </row>
    <row r="31" spans="1:8" ht="14.25" customHeight="1" x14ac:dyDescent="0.25">
      <c r="A31" s="6"/>
      <c r="B31" s="6"/>
      <c r="C31" s="6"/>
      <c r="D31" s="173"/>
      <c r="E31" s="156"/>
    </row>
    <row r="32" spans="1:8" ht="15.75" thickBot="1" x14ac:dyDescent="0.3">
      <c r="A32" s="32" t="s">
        <v>2</v>
      </c>
      <c r="B32" s="32"/>
      <c r="C32" s="32"/>
      <c r="D32" s="46"/>
      <c r="E32" s="145">
        <f>SUM(D28:D31)</f>
        <v>753904.2</v>
      </c>
    </row>
    <row r="33" spans="1:10" ht="15.75" thickBot="1" x14ac:dyDescent="0.3">
      <c r="A33" s="42" t="s">
        <v>36</v>
      </c>
      <c r="B33" s="32"/>
      <c r="C33" s="32"/>
      <c r="D33" s="46"/>
      <c r="E33" s="148"/>
    </row>
    <row r="34" spans="1:10" ht="33.75" customHeight="1" x14ac:dyDescent="0.25">
      <c r="A34" s="212" t="s">
        <v>271</v>
      </c>
      <c r="B34" s="213"/>
      <c r="C34" s="6"/>
      <c r="D34" s="173">
        <f>285725+69575+300000</f>
        <v>655300</v>
      </c>
      <c r="E34" s="262" t="s">
        <v>278</v>
      </c>
    </row>
    <row r="35" spans="1:10" x14ac:dyDescent="0.25">
      <c r="A35" s="65" t="s">
        <v>273</v>
      </c>
      <c r="B35" s="6"/>
      <c r="C35" s="6"/>
      <c r="D35" s="45"/>
      <c r="E35" s="190" t="s">
        <v>270</v>
      </c>
      <c r="H35" t="s">
        <v>274</v>
      </c>
      <c r="J35" s="65" t="s">
        <v>275</v>
      </c>
    </row>
    <row r="36" spans="1:10" ht="15.75" thickBot="1" x14ac:dyDescent="0.3">
      <c r="A36" s="32" t="s">
        <v>9</v>
      </c>
      <c r="B36" s="42"/>
      <c r="C36" s="42"/>
      <c r="D36" s="40"/>
      <c r="E36" s="158">
        <f>SUM(D34:D35)</f>
        <v>655300</v>
      </c>
    </row>
    <row r="37" spans="1:10" ht="15.75" thickBot="1" x14ac:dyDescent="0.3">
      <c r="A37" s="42" t="s">
        <v>28</v>
      </c>
      <c r="B37" s="93"/>
      <c r="C37" s="32"/>
      <c r="D37" s="34"/>
      <c r="E37" s="148"/>
    </row>
    <row r="38" spans="1:10" x14ac:dyDescent="0.25">
      <c r="A38" s="6" t="s">
        <v>267</v>
      </c>
      <c r="B38" s="6"/>
      <c r="C38" s="6"/>
      <c r="D38" s="173">
        <f>30569.65-2098</f>
        <v>28471.65</v>
      </c>
      <c r="E38" s="159"/>
    </row>
    <row r="39" spans="1:10" x14ac:dyDescent="0.25">
      <c r="A39" s="6" t="s">
        <v>268</v>
      </c>
      <c r="B39" s="6"/>
      <c r="C39" s="6"/>
      <c r="D39" s="173">
        <f>44400</f>
        <v>44400</v>
      </c>
      <c r="E39" s="157"/>
    </row>
    <row r="40" spans="1:10" ht="15.75" thickBot="1" x14ac:dyDescent="0.3">
      <c r="A40" s="64" t="s">
        <v>35</v>
      </c>
      <c r="B40" s="64"/>
      <c r="C40" s="64"/>
      <c r="D40" s="160"/>
      <c r="E40" s="145">
        <f>SUM(D38:D39)</f>
        <v>72871.649999999994</v>
      </c>
    </row>
    <row r="41" spans="1:10" ht="15.75" thickBot="1" x14ac:dyDescent="0.3">
      <c r="A41" s="6"/>
      <c r="B41" s="6"/>
      <c r="C41" s="6"/>
      <c r="D41" s="142"/>
      <c r="E41" s="161"/>
    </row>
    <row r="42" spans="1:10" ht="15.75" thickBot="1" x14ac:dyDescent="0.3">
      <c r="A42" s="35" t="s">
        <v>276</v>
      </c>
      <c r="B42" s="35"/>
      <c r="C42" s="35"/>
      <c r="D42" s="162"/>
      <c r="E42" s="163">
        <f>3000000-1595659.85+2098</f>
        <v>1406438.15</v>
      </c>
    </row>
    <row r="43" spans="1:10" ht="15.75" thickBot="1" x14ac:dyDescent="0.3">
      <c r="A43" s="1"/>
      <c r="D43" s="164"/>
      <c r="E43" s="165"/>
      <c r="F43" s="56"/>
    </row>
    <row r="44" spans="1:10" ht="15.75" thickBot="1" x14ac:dyDescent="0.3">
      <c r="A44" s="4" t="s">
        <v>29</v>
      </c>
      <c r="B44" s="11"/>
      <c r="C44" s="5"/>
      <c r="D44" s="166"/>
      <c r="E44" s="167">
        <f>(SUM(E21:E42))</f>
        <v>3000000</v>
      </c>
      <c r="F44" s="56"/>
    </row>
    <row r="45" spans="1:10" x14ac:dyDescent="0.25">
      <c r="D45" s="164"/>
      <c r="E45" s="164"/>
    </row>
    <row r="46" spans="1:10" ht="15.75" thickBot="1" x14ac:dyDescent="0.3">
      <c r="D46" s="164"/>
      <c r="E46" s="164"/>
    </row>
    <row r="47" spans="1:10" x14ac:dyDescent="0.25">
      <c r="A47" s="12" t="s">
        <v>40</v>
      </c>
      <c r="B47" s="13"/>
      <c r="C47" s="14"/>
      <c r="D47" s="168"/>
      <c r="E47" s="169"/>
    </row>
    <row r="48" spans="1:10" ht="30" hidden="1" customHeight="1" x14ac:dyDescent="0.25">
      <c r="A48" s="212"/>
      <c r="B48" s="213"/>
      <c r="C48" s="6"/>
      <c r="D48" s="155"/>
      <c r="E48" s="147"/>
    </row>
    <row r="49" spans="1:5" ht="34.5" hidden="1" customHeight="1" x14ac:dyDescent="0.25">
      <c r="A49" s="212"/>
      <c r="B49" s="213"/>
      <c r="C49" s="6"/>
      <c r="D49" s="155"/>
      <c r="E49" s="147"/>
    </row>
    <row r="50" spans="1:5" ht="0.75" customHeight="1" x14ac:dyDescent="0.25">
      <c r="A50" s="217"/>
      <c r="B50" s="218"/>
      <c r="C50" s="6"/>
      <c r="D50" s="155"/>
      <c r="E50" s="147"/>
    </row>
    <row r="51" spans="1:5" ht="30" customHeight="1" x14ac:dyDescent="0.25">
      <c r="A51" s="217"/>
      <c r="B51" s="218"/>
      <c r="C51" s="65"/>
      <c r="D51" s="155"/>
      <c r="E51" s="147"/>
    </row>
    <row r="52" spans="1:5" x14ac:dyDescent="0.25">
      <c r="A52" s="175"/>
      <c r="B52" s="176"/>
      <c r="C52" s="65"/>
      <c r="D52" s="155"/>
      <c r="E52" s="147"/>
    </row>
    <row r="53" spans="1:5" x14ac:dyDescent="0.25">
      <c r="A53" s="62"/>
      <c r="B53" s="61"/>
      <c r="C53" s="61"/>
      <c r="D53" s="84"/>
      <c r="E53" s="84">
        <f>SUM(D48:D52)</f>
        <v>0</v>
      </c>
    </row>
    <row r="54" spans="1:5" ht="15" customHeight="1" x14ac:dyDescent="0.25"/>
    <row r="55" spans="1:5" ht="15.75" hidden="1" thickBot="1" x14ac:dyDescent="0.3"/>
    <row r="56" spans="1:5" x14ac:dyDescent="0.25">
      <c r="A56" s="35" t="s">
        <v>41</v>
      </c>
      <c r="B56" s="35"/>
      <c r="C56" s="35"/>
      <c r="D56" s="36"/>
      <c r="E56" s="178"/>
    </row>
    <row r="57" spans="1:5" ht="15.75" thickBot="1" x14ac:dyDescent="0.3"/>
    <row r="58" spans="1:5" ht="15.75" thickBot="1" x14ac:dyDescent="0.3">
      <c r="A58" s="4" t="s">
        <v>42</v>
      </c>
      <c r="B58" s="11"/>
      <c r="C58" s="5"/>
      <c r="D58" s="5"/>
      <c r="E58" s="94">
        <f>E53+E56</f>
        <v>0</v>
      </c>
    </row>
    <row r="59" spans="1:5" ht="15.75" thickBot="1" x14ac:dyDescent="0.3"/>
    <row r="60" spans="1:5" ht="15.75" thickBot="1" x14ac:dyDescent="0.3">
      <c r="A60" s="139" t="s">
        <v>30</v>
      </c>
      <c r="B60" s="140">
        <f>E44</f>
        <v>3000000</v>
      </c>
      <c r="D60" s="56"/>
    </row>
    <row r="61" spans="1:5" ht="15.75" thickBot="1" x14ac:dyDescent="0.3">
      <c r="A61" s="139" t="s">
        <v>31</v>
      </c>
      <c r="B61" s="140">
        <f>E44-E42</f>
        <v>1593561.85</v>
      </c>
    </row>
    <row r="62" spans="1:5" ht="15.75" thickBot="1" x14ac:dyDescent="0.3">
      <c r="A62" s="139" t="s">
        <v>43</v>
      </c>
      <c r="B62" s="140">
        <f>E58-E56</f>
        <v>0</v>
      </c>
    </row>
    <row r="63" spans="1:5" ht="15.75" thickBot="1" x14ac:dyDescent="0.3">
      <c r="A63" s="139" t="s">
        <v>221</v>
      </c>
      <c r="B63" s="140">
        <f>E58</f>
        <v>0</v>
      </c>
    </row>
    <row r="64" spans="1:5" ht="14.25" customHeight="1" x14ac:dyDescent="0.25"/>
    <row r="65" spans="1:6" hidden="1" x14ac:dyDescent="0.25"/>
    <row r="66" spans="1:6" hidden="1" x14ac:dyDescent="0.25">
      <c r="A66" s="216"/>
      <c r="B66" s="216"/>
      <c r="C66" s="216"/>
      <c r="D66" s="216"/>
      <c r="E66" s="216"/>
    </row>
    <row r="67" spans="1:6" hidden="1" x14ac:dyDescent="0.25">
      <c r="A67" s="216"/>
      <c r="B67" s="216"/>
      <c r="C67" s="216"/>
      <c r="D67" s="216"/>
      <c r="E67" s="216"/>
    </row>
    <row r="68" spans="1:6" ht="38.25" hidden="1" customHeight="1" x14ac:dyDescent="0.25">
      <c r="A68" s="216"/>
      <c r="B68" s="216"/>
      <c r="C68" s="216"/>
      <c r="D68" s="216"/>
      <c r="E68" s="216"/>
    </row>
    <row r="70" spans="1:6" x14ac:dyDescent="0.25">
      <c r="A70" s="24" t="s">
        <v>206</v>
      </c>
      <c r="B70" s="51"/>
      <c r="C70" s="25"/>
    </row>
    <row r="71" spans="1:6" ht="17.25" customHeight="1" x14ac:dyDescent="0.25">
      <c r="A71" s="38" t="s">
        <v>262</v>
      </c>
      <c r="B71" s="177">
        <v>940446.90999999992</v>
      </c>
      <c r="C71" s="27"/>
    </row>
    <row r="72" spans="1:6" ht="14.25" customHeight="1" x14ac:dyDescent="0.25">
      <c r="A72" s="26" t="s">
        <v>228</v>
      </c>
      <c r="B72" s="52">
        <f>PRORRATEO!G34</f>
        <v>1009547.5799999998</v>
      </c>
      <c r="C72" s="25"/>
    </row>
    <row r="73" spans="1:6" x14ac:dyDescent="0.25">
      <c r="A73" s="26" t="s">
        <v>229</v>
      </c>
      <c r="B73" s="52">
        <f>'PRORRATEO (2)'!H81</f>
        <v>0</v>
      </c>
      <c r="C73" s="25"/>
    </row>
    <row r="74" spans="1:6" x14ac:dyDescent="0.25">
      <c r="A74" s="26" t="s">
        <v>258</v>
      </c>
      <c r="B74" s="52">
        <f>B94</f>
        <v>70000</v>
      </c>
      <c r="C74" s="25"/>
    </row>
    <row r="75" spans="1:6" x14ac:dyDescent="0.25">
      <c r="A75" s="50" t="s">
        <v>44</v>
      </c>
      <c r="B75" s="157">
        <f>-B61</f>
        <v>-1593561.85</v>
      </c>
      <c r="C75" s="25"/>
    </row>
    <row r="76" spans="1:6" x14ac:dyDescent="0.25">
      <c r="A76" s="29" t="s">
        <v>45</v>
      </c>
      <c r="B76" s="157">
        <f>-(B62)</f>
        <v>0</v>
      </c>
      <c r="C76" s="25"/>
    </row>
    <row r="77" spans="1:6" x14ac:dyDescent="0.25">
      <c r="A77" s="37" t="s">
        <v>35</v>
      </c>
      <c r="B77" s="177">
        <f>SUM(B71:B76)</f>
        <v>426432.63999999966</v>
      </c>
      <c r="C77" s="28"/>
      <c r="D77" s="206"/>
      <c r="E77" s="206"/>
      <c r="F77" s="206"/>
    </row>
    <row r="78" spans="1:6" ht="34.5" customHeight="1" x14ac:dyDescent="0.25">
      <c r="B78" s="53"/>
      <c r="C78" s="28"/>
      <c r="D78" s="56"/>
    </row>
    <row r="79" spans="1:6" ht="14.25" hidden="1" customHeight="1" x14ac:dyDescent="0.25">
      <c r="B79" s="54"/>
      <c r="C79" s="28"/>
    </row>
    <row r="80" spans="1:6" s="49" customFormat="1" ht="27" hidden="1" customHeight="1" x14ac:dyDescent="0.25">
      <c r="A80"/>
      <c r="B80" s="53"/>
      <c r="C80" s="48"/>
    </row>
    <row r="81" spans="1:13" s="49" customFormat="1" ht="27" hidden="1" customHeight="1" x14ac:dyDescent="0.25">
      <c r="A81" s="39" t="s">
        <v>33</v>
      </c>
      <c r="B81" s="44"/>
      <c r="C81" s="48"/>
      <c r="D81" s="59"/>
    </row>
    <row r="82" spans="1:13" s="49" customFormat="1" ht="27" hidden="1" customHeight="1" x14ac:dyDescent="0.25">
      <c r="A82" s="6" t="s">
        <v>32</v>
      </c>
      <c r="B82" s="45">
        <v>0</v>
      </c>
      <c r="C82" s="48"/>
    </row>
    <row r="83" spans="1:13" ht="14.25" hidden="1" customHeight="1" x14ac:dyDescent="0.25">
      <c r="A83" s="6" t="s">
        <v>25</v>
      </c>
      <c r="B83" s="44">
        <v>0</v>
      </c>
      <c r="C83" s="28"/>
      <c r="D83" s="56"/>
    </row>
    <row r="84" spans="1:13" hidden="1" x14ac:dyDescent="0.25">
      <c r="A84" s="6" t="s">
        <v>44</v>
      </c>
      <c r="B84" s="44">
        <v>0</v>
      </c>
      <c r="C84" s="28"/>
    </row>
    <row r="85" spans="1:13" hidden="1" x14ac:dyDescent="0.25">
      <c r="A85" s="6" t="s">
        <v>45</v>
      </c>
      <c r="B85" s="44">
        <v>0</v>
      </c>
      <c r="C85" s="30"/>
    </row>
    <row r="86" spans="1:13" hidden="1" x14ac:dyDescent="0.25">
      <c r="A86" s="39" t="s">
        <v>34</v>
      </c>
      <c r="B86" s="60">
        <f>SUM(B82:B85)</f>
        <v>0</v>
      </c>
      <c r="C86" s="25"/>
    </row>
    <row r="87" spans="1:13" hidden="1" x14ac:dyDescent="0.25"/>
    <row r="88" spans="1:13" ht="60.75" hidden="1" customHeight="1" x14ac:dyDescent="0.25"/>
    <row r="89" spans="1:13" x14ac:dyDescent="0.25">
      <c r="A89" s="215" t="s">
        <v>205</v>
      </c>
      <c r="B89" s="215"/>
      <c r="C89" s="215"/>
    </row>
    <row r="90" spans="1:13" ht="27.75" customHeight="1" x14ac:dyDescent="0.25">
      <c r="A90" s="215"/>
      <c r="B90" s="215"/>
      <c r="C90" s="215"/>
    </row>
    <row r="91" spans="1:13" ht="32.25" customHeight="1" x14ac:dyDescent="0.25">
      <c r="A91" s="171" t="s">
        <v>279</v>
      </c>
      <c r="B91" s="44">
        <v>56000</v>
      </c>
      <c r="C91" s="44">
        <v>40000</v>
      </c>
    </row>
    <row r="92" spans="1:13" ht="32.25" customHeight="1" x14ac:dyDescent="0.25">
      <c r="A92" s="171" t="s">
        <v>279</v>
      </c>
      <c r="B92" s="44">
        <v>14000</v>
      </c>
      <c r="C92" s="170"/>
    </row>
    <row r="93" spans="1:13" ht="24.75" customHeight="1" x14ac:dyDescent="0.25">
      <c r="A93" s="207"/>
      <c r="B93" s="208"/>
      <c r="C93" s="170"/>
    </row>
    <row r="94" spans="1:13" x14ac:dyDescent="0.25">
      <c r="A94" s="57" t="s">
        <v>9</v>
      </c>
      <c r="B94" s="172">
        <f>SUM(B91:B93)</f>
        <v>70000</v>
      </c>
      <c r="C94" s="58"/>
    </row>
    <row r="95" spans="1:13" x14ac:dyDescent="0.25">
      <c r="M95" s="9"/>
    </row>
    <row r="96" spans="1:13" ht="15" customHeight="1" x14ac:dyDescent="0.25">
      <c r="A96" s="214"/>
      <c r="B96" s="214"/>
      <c r="C96" s="214"/>
      <c r="D96" s="214"/>
      <c r="E96" s="214"/>
    </row>
    <row r="97" spans="1:5" x14ac:dyDescent="0.25">
      <c r="A97" s="214"/>
      <c r="B97" s="214"/>
      <c r="C97" s="214"/>
      <c r="D97" s="214"/>
      <c r="E97" s="214"/>
    </row>
    <row r="98" spans="1:5" x14ac:dyDescent="0.25">
      <c r="A98" s="214"/>
      <c r="B98" s="214"/>
      <c r="C98" s="214"/>
      <c r="D98" s="214"/>
      <c r="E98" s="214"/>
    </row>
    <row r="99" spans="1:5" x14ac:dyDescent="0.25">
      <c r="A99" s="214"/>
      <c r="B99" s="214"/>
      <c r="C99" s="214"/>
      <c r="D99" s="214"/>
      <c r="E99" s="214"/>
    </row>
  </sheetData>
  <mergeCells count="12">
    <mergeCell ref="B8:C10"/>
    <mergeCell ref="A25:B25"/>
    <mergeCell ref="A96:E99"/>
    <mergeCell ref="A89:C90"/>
    <mergeCell ref="A66:E68"/>
    <mergeCell ref="A49:B49"/>
    <mergeCell ref="A48:B48"/>
    <mergeCell ref="A50:B50"/>
    <mergeCell ref="A51:B51"/>
    <mergeCell ref="A13:E16"/>
    <mergeCell ref="A22:B22"/>
    <mergeCell ref="A34:B34"/>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28" zoomScaleNormal="100" workbookViewId="0">
      <selection activeCell="L4" sqref="L4:M4"/>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36" t="s">
        <v>251</v>
      </c>
      <c r="D1" s="237"/>
      <c r="E1" s="237"/>
      <c r="F1" s="237"/>
      <c r="G1" s="7"/>
      <c r="H1" s="7"/>
      <c r="I1" s="7"/>
      <c r="J1" s="8"/>
      <c r="K1" s="7"/>
      <c r="L1" s="7"/>
      <c r="M1" s="67"/>
      <c r="N1" s="67"/>
      <c r="O1" s="67"/>
      <c r="P1" s="23"/>
    </row>
    <row r="2" spans="1:18" ht="12.95" customHeight="1" x14ac:dyDescent="0.25">
      <c r="A2" s="7"/>
      <c r="B2" s="7"/>
      <c r="C2" s="237"/>
      <c r="D2" s="237"/>
      <c r="E2" s="237"/>
      <c r="F2" s="237"/>
      <c r="G2" s="7"/>
      <c r="H2" s="7"/>
      <c r="I2" s="7"/>
      <c r="J2" s="8"/>
      <c r="K2" s="7"/>
      <c r="L2" s="7"/>
      <c r="M2" s="67"/>
      <c r="N2" s="67"/>
      <c r="O2" s="67"/>
      <c r="P2" s="23"/>
    </row>
    <row r="3" spans="1:18" ht="12.95" customHeight="1" x14ac:dyDescent="0.25">
      <c r="A3" s="7"/>
      <c r="B3" s="7"/>
      <c r="C3" s="237"/>
      <c r="D3" s="237"/>
      <c r="E3" s="237"/>
      <c r="F3" s="237"/>
      <c r="G3" s="7"/>
      <c r="H3" s="7"/>
      <c r="I3" s="7"/>
      <c r="J3" s="8" t="s">
        <v>252</v>
      </c>
      <c r="K3" s="7"/>
      <c r="L3" s="239">
        <v>3000000</v>
      </c>
      <c r="M3" s="239"/>
      <c r="N3" s="67"/>
      <c r="O3" s="67"/>
      <c r="P3" s="23"/>
    </row>
    <row r="4" spans="1:18" ht="41.25" customHeight="1" thickBot="1" x14ac:dyDescent="0.3">
      <c r="A4" s="7"/>
      <c r="B4" s="7"/>
      <c r="C4" s="238"/>
      <c r="D4" s="238"/>
      <c r="E4" s="238"/>
      <c r="F4" s="238"/>
      <c r="G4" s="7"/>
      <c r="H4" s="7"/>
      <c r="I4" s="7"/>
      <c r="J4" s="180" t="s">
        <v>252</v>
      </c>
      <c r="K4" s="7"/>
      <c r="L4" s="240"/>
      <c r="M4" s="240"/>
      <c r="N4" s="68"/>
      <c r="O4" s="85"/>
    </row>
    <row r="5" spans="1:18" x14ac:dyDescent="0.25">
      <c r="A5" s="241" t="s">
        <v>3</v>
      </c>
      <c r="B5" s="224" t="s">
        <v>5</v>
      </c>
      <c r="C5" s="224" t="s">
        <v>6</v>
      </c>
      <c r="D5" s="224" t="s">
        <v>122</v>
      </c>
      <c r="E5" s="224" t="s">
        <v>27</v>
      </c>
      <c r="F5" s="224" t="s">
        <v>225</v>
      </c>
      <c r="G5" s="224" t="s">
        <v>25</v>
      </c>
      <c r="H5" s="233" t="s">
        <v>126</v>
      </c>
      <c r="I5" s="233" t="s">
        <v>259</v>
      </c>
      <c r="J5" s="228" t="s">
        <v>8</v>
      </c>
      <c r="K5" s="228" t="s">
        <v>47</v>
      </c>
      <c r="L5" s="231" t="s">
        <v>220</v>
      </c>
      <c r="M5" s="88" t="s">
        <v>219</v>
      </c>
      <c r="N5" s="226" t="s">
        <v>46</v>
      </c>
      <c r="O5" s="221" t="s">
        <v>218</v>
      </c>
      <c r="R5" s="56"/>
    </row>
    <row r="6" spans="1:18" ht="15.75" customHeight="1" x14ac:dyDescent="0.25">
      <c r="A6" s="242"/>
      <c r="B6" s="235"/>
      <c r="C6" s="235"/>
      <c r="D6" s="225"/>
      <c r="E6" s="235"/>
      <c r="F6" s="235"/>
      <c r="G6" s="235"/>
      <c r="H6" s="234"/>
      <c r="I6" s="234"/>
      <c r="J6" s="229"/>
      <c r="K6" s="230"/>
      <c r="L6" s="232"/>
      <c r="M6" s="86" t="str">
        <f>RESUMEN!B8</f>
        <v>VTO 14/11</v>
      </c>
      <c r="N6" s="227"/>
      <c r="O6" s="222"/>
    </row>
    <row r="7" spans="1:18" ht="17.100000000000001" customHeight="1" x14ac:dyDescent="0.25">
      <c r="A7" s="6" t="s">
        <v>10</v>
      </c>
      <c r="B7" s="90">
        <v>1</v>
      </c>
      <c r="C7" s="90" t="s">
        <v>230</v>
      </c>
      <c r="D7" s="90"/>
      <c r="E7" s="99">
        <v>6.8</v>
      </c>
      <c r="F7" s="100">
        <v>170000.01</v>
      </c>
      <c r="G7" s="101">
        <f>151000+19000</f>
        <v>170000</v>
      </c>
      <c r="H7" s="103">
        <f>F7-G7</f>
        <v>1.0000000009313226E-2</v>
      </c>
      <c r="I7" s="103">
        <f>IF(H7&gt;0,H7*15%,0)</f>
        <v>1.5000000013969839E-3</v>
      </c>
      <c r="J7" s="181">
        <f t="shared" ref="J7:J32" si="0">L$4*E7/100</f>
        <v>0</v>
      </c>
      <c r="K7" s="181">
        <f t="shared" ref="K7:K32" si="1">L$3*E7/100</f>
        <v>204000</v>
      </c>
      <c r="L7" s="106">
        <v>0</v>
      </c>
      <c r="M7" s="107">
        <f t="shared" ref="M7:M32" si="2">ROUND(SUM(H7:L7),0) + P7</f>
        <v>204000.01</v>
      </c>
      <c r="N7" s="108">
        <f>ROUND(M7*6% + M7,0) + P7</f>
        <v>216240.01</v>
      </c>
      <c r="O7" s="109">
        <f>ROUND(M7*3%,0) + M7</f>
        <v>210120.01</v>
      </c>
      <c r="P7" s="56">
        <v>0.01</v>
      </c>
    </row>
    <row r="8" spans="1:18" ht="17.100000000000001" customHeight="1" x14ac:dyDescent="0.25">
      <c r="A8" s="6" t="s">
        <v>11</v>
      </c>
      <c r="B8" s="191">
        <f>B7+1</f>
        <v>2</v>
      </c>
      <c r="C8" s="191" t="s">
        <v>231</v>
      </c>
      <c r="D8" s="200"/>
      <c r="E8" s="192">
        <v>5.0999999999999996</v>
      </c>
      <c r="F8" s="193">
        <v>127500.02</v>
      </c>
      <c r="G8" s="193">
        <f>F8</f>
        <v>127500.02</v>
      </c>
      <c r="H8" s="194">
        <f>F8-G8</f>
        <v>0</v>
      </c>
      <c r="I8" s="194">
        <f>IF(H8&gt;0,H8*15%,0)</f>
        <v>0</v>
      </c>
      <c r="J8" s="195">
        <f t="shared" si="0"/>
        <v>0</v>
      </c>
      <c r="K8" s="195">
        <f t="shared" si="1"/>
        <v>152999.99999999997</v>
      </c>
      <c r="L8" s="196">
        <v>0</v>
      </c>
      <c r="M8" s="197">
        <f t="shared" si="2"/>
        <v>153000.01999999999</v>
      </c>
      <c r="N8" s="198">
        <f t="shared" ref="N8:N32" si="3">ROUND(M8*6% + M8,0) + P8</f>
        <v>162180.01999999999</v>
      </c>
      <c r="O8" s="199">
        <f t="shared" ref="O8:O32" si="4">ROUND(M8*3%,0) + M8</f>
        <v>157590.01999999999</v>
      </c>
      <c r="P8" s="56">
        <f>P7+0.01</f>
        <v>0.02</v>
      </c>
      <c r="Q8" s="56"/>
    </row>
    <row r="9" spans="1:18" ht="17.100000000000001" customHeight="1" x14ac:dyDescent="0.25">
      <c r="A9" s="6" t="s">
        <v>11</v>
      </c>
      <c r="B9" s="90">
        <f t="shared" ref="B9:B32" si="5">B8+1</f>
        <v>3</v>
      </c>
      <c r="C9" s="90" t="s">
        <v>232</v>
      </c>
      <c r="D9" s="91"/>
      <c r="E9" s="182">
        <v>5.6</v>
      </c>
      <c r="F9" s="101" t="s">
        <v>247</v>
      </c>
      <c r="G9" s="101" t="s">
        <v>247</v>
      </c>
      <c r="H9" s="103"/>
      <c r="I9" s="103">
        <f t="shared" ref="I9:I32" si="6">IF(H9&gt;0,H9*15%,0)</f>
        <v>0</v>
      </c>
      <c r="J9" s="181">
        <f t="shared" si="0"/>
        <v>0</v>
      </c>
      <c r="K9" s="181">
        <f t="shared" si="1"/>
        <v>168000</v>
      </c>
      <c r="L9" s="106">
        <v>0</v>
      </c>
      <c r="M9" s="107">
        <f t="shared" si="2"/>
        <v>168000.03</v>
      </c>
      <c r="N9" s="108">
        <f t="shared" si="3"/>
        <v>178080.03</v>
      </c>
      <c r="O9" s="101" t="s">
        <v>247</v>
      </c>
      <c r="P9" s="56">
        <f t="shared" ref="P9:P32" si="7">P8+0.01</f>
        <v>0.03</v>
      </c>
    </row>
    <row r="10" spans="1:18" ht="17.100000000000001" customHeight="1" x14ac:dyDescent="0.25">
      <c r="A10" s="6" t="s">
        <v>12</v>
      </c>
      <c r="B10" s="90">
        <f t="shared" si="5"/>
        <v>4</v>
      </c>
      <c r="C10" s="90" t="s">
        <v>233</v>
      </c>
      <c r="D10" s="91"/>
      <c r="E10" s="182">
        <v>2.8</v>
      </c>
      <c r="F10" s="100">
        <v>-12823.96</v>
      </c>
      <c r="G10" s="101"/>
      <c r="H10" s="103">
        <f t="shared" ref="H10:H15" si="8">F10-G10</f>
        <v>-12823.96</v>
      </c>
      <c r="I10" s="103">
        <f t="shared" si="6"/>
        <v>0</v>
      </c>
      <c r="J10" s="181">
        <f t="shared" si="0"/>
        <v>0</v>
      </c>
      <c r="K10" s="181">
        <f t="shared" si="1"/>
        <v>84000</v>
      </c>
      <c r="L10" s="106">
        <v>0</v>
      </c>
      <c r="M10" s="107">
        <f t="shared" si="2"/>
        <v>71176.039999999994</v>
      </c>
      <c r="N10" s="108">
        <f t="shared" si="3"/>
        <v>75447.039999999994</v>
      </c>
      <c r="O10" s="109">
        <f t="shared" si="4"/>
        <v>73311.039999999994</v>
      </c>
      <c r="P10" s="56">
        <f t="shared" si="7"/>
        <v>0.04</v>
      </c>
      <c r="R10" s="56" t="s">
        <v>261</v>
      </c>
    </row>
    <row r="11" spans="1:18" ht="17.100000000000001" customHeight="1" x14ac:dyDescent="0.25">
      <c r="A11" s="6" t="s">
        <v>12</v>
      </c>
      <c r="B11" s="90">
        <f t="shared" si="5"/>
        <v>5</v>
      </c>
      <c r="C11" s="90" t="s">
        <v>234</v>
      </c>
      <c r="D11" s="91"/>
      <c r="E11" s="182">
        <v>2.8</v>
      </c>
      <c r="F11" s="100">
        <v>169055.05</v>
      </c>
      <c r="G11" s="101">
        <v>99055</v>
      </c>
      <c r="H11" s="103">
        <f t="shared" si="8"/>
        <v>70000.049999999988</v>
      </c>
      <c r="I11" s="103">
        <f t="shared" si="6"/>
        <v>10500.007499999998</v>
      </c>
      <c r="J11" s="181">
        <f t="shared" si="0"/>
        <v>0</v>
      </c>
      <c r="K11" s="181">
        <f t="shared" si="1"/>
        <v>84000</v>
      </c>
      <c r="L11" s="106">
        <v>0</v>
      </c>
      <c r="M11" s="107">
        <f t="shared" si="2"/>
        <v>164500.04999999999</v>
      </c>
      <c r="N11" s="108">
        <f t="shared" si="3"/>
        <v>174370.05</v>
      </c>
      <c r="O11" s="109">
        <f t="shared" si="4"/>
        <v>169435.05</v>
      </c>
      <c r="P11" s="56">
        <f t="shared" si="7"/>
        <v>0.05</v>
      </c>
      <c r="R11" s="56"/>
    </row>
    <row r="12" spans="1:18" ht="17.100000000000001" customHeight="1" x14ac:dyDescent="0.25">
      <c r="A12" s="6" t="s">
        <v>13</v>
      </c>
      <c r="B12" s="90">
        <f t="shared" si="5"/>
        <v>6</v>
      </c>
      <c r="C12" s="90" t="s">
        <v>235</v>
      </c>
      <c r="D12" s="90"/>
      <c r="E12" s="182">
        <v>2.8</v>
      </c>
      <c r="F12" s="100">
        <v>69391.06</v>
      </c>
      <c r="G12" s="101">
        <f>F12</f>
        <v>69391.06</v>
      </c>
      <c r="H12" s="103">
        <f t="shared" si="8"/>
        <v>0</v>
      </c>
      <c r="I12" s="103">
        <f t="shared" si="6"/>
        <v>0</v>
      </c>
      <c r="J12" s="181">
        <f t="shared" si="0"/>
        <v>0</v>
      </c>
      <c r="K12" s="181">
        <f t="shared" si="1"/>
        <v>84000</v>
      </c>
      <c r="L12" s="106">
        <v>0</v>
      </c>
      <c r="M12" s="107">
        <f t="shared" si="2"/>
        <v>84000.06</v>
      </c>
      <c r="N12" s="108">
        <f t="shared" si="3"/>
        <v>89040.06</v>
      </c>
      <c r="O12" s="109">
        <f t="shared" si="4"/>
        <v>86520.06</v>
      </c>
      <c r="P12" s="56">
        <f t="shared" si="7"/>
        <v>6.0000000000000005E-2</v>
      </c>
      <c r="R12" t="s">
        <v>260</v>
      </c>
    </row>
    <row r="13" spans="1:18" ht="17.100000000000001" customHeight="1" x14ac:dyDescent="0.25">
      <c r="A13" s="6" t="s">
        <v>13</v>
      </c>
      <c r="B13" s="191">
        <f t="shared" si="5"/>
        <v>7</v>
      </c>
      <c r="C13" s="191" t="s">
        <v>236</v>
      </c>
      <c r="D13" s="191"/>
      <c r="E13" s="192">
        <v>4</v>
      </c>
      <c r="F13" s="193">
        <v>662810.06999999995</v>
      </c>
      <c r="G13" s="193">
        <v>0</v>
      </c>
      <c r="H13" s="194">
        <f t="shared" si="8"/>
        <v>662810.06999999995</v>
      </c>
      <c r="I13" s="194">
        <f t="shared" si="6"/>
        <v>99421.510499999989</v>
      </c>
      <c r="J13" s="195">
        <f t="shared" si="0"/>
        <v>0</v>
      </c>
      <c r="K13" s="195">
        <f t="shared" si="1"/>
        <v>120000</v>
      </c>
      <c r="L13" s="196">
        <v>0</v>
      </c>
      <c r="M13" s="197">
        <f t="shared" si="2"/>
        <v>882232.07</v>
      </c>
      <c r="N13" s="198">
        <f t="shared" si="3"/>
        <v>935166.07</v>
      </c>
      <c r="O13" s="199">
        <f t="shared" si="4"/>
        <v>908699.07</v>
      </c>
      <c r="P13" s="56">
        <f t="shared" si="7"/>
        <v>7.0000000000000007E-2</v>
      </c>
    </row>
    <row r="14" spans="1:18" ht="17.100000000000001" customHeight="1" x14ac:dyDescent="0.25">
      <c r="A14" s="6" t="s">
        <v>14</v>
      </c>
      <c r="B14" s="90">
        <f t="shared" si="5"/>
        <v>8</v>
      </c>
      <c r="C14" s="90" t="s">
        <v>237</v>
      </c>
      <c r="D14" s="91"/>
      <c r="E14" s="182">
        <v>3.2</v>
      </c>
      <c r="F14" s="100">
        <v>752887.08</v>
      </c>
      <c r="G14" s="101">
        <v>0</v>
      </c>
      <c r="H14" s="103">
        <f t="shared" si="8"/>
        <v>752887.08</v>
      </c>
      <c r="I14" s="103">
        <f t="shared" si="6"/>
        <v>112933.06199999999</v>
      </c>
      <c r="J14" s="181">
        <f t="shared" si="0"/>
        <v>0</v>
      </c>
      <c r="K14" s="181">
        <f t="shared" si="1"/>
        <v>96000</v>
      </c>
      <c r="L14" s="106">
        <v>0</v>
      </c>
      <c r="M14" s="107">
        <f t="shared" si="2"/>
        <v>961820.08</v>
      </c>
      <c r="N14" s="108">
        <f t="shared" si="3"/>
        <v>1019529.08</v>
      </c>
      <c r="O14" s="109">
        <f t="shared" si="4"/>
        <v>990675.08</v>
      </c>
      <c r="P14" s="56">
        <f t="shared" si="7"/>
        <v>0.08</v>
      </c>
    </row>
    <row r="15" spans="1:18" ht="17.100000000000001" customHeight="1" x14ac:dyDescent="0.25">
      <c r="A15" s="6" t="s">
        <v>14</v>
      </c>
      <c r="B15" s="90">
        <f t="shared" si="5"/>
        <v>9</v>
      </c>
      <c r="C15" s="90" t="s">
        <v>238</v>
      </c>
      <c r="D15" s="91"/>
      <c r="E15" s="182">
        <v>2.8</v>
      </c>
      <c r="F15" s="100">
        <v>686006.09</v>
      </c>
      <c r="G15" s="101">
        <v>0</v>
      </c>
      <c r="H15" s="103">
        <f t="shared" si="8"/>
        <v>686006.09</v>
      </c>
      <c r="I15" s="103">
        <f t="shared" si="6"/>
        <v>102900.9135</v>
      </c>
      <c r="J15" s="181">
        <f t="shared" si="0"/>
        <v>0</v>
      </c>
      <c r="K15" s="181">
        <f t="shared" si="1"/>
        <v>84000</v>
      </c>
      <c r="L15" s="106">
        <v>0</v>
      </c>
      <c r="M15" s="107">
        <f t="shared" si="2"/>
        <v>872907.09</v>
      </c>
      <c r="N15" s="108">
        <f t="shared" si="3"/>
        <v>925282.09</v>
      </c>
      <c r="O15" s="109">
        <f t="shared" si="4"/>
        <v>899094.09</v>
      </c>
      <c r="P15" s="56">
        <f t="shared" si="7"/>
        <v>0.09</v>
      </c>
    </row>
    <row r="16" spans="1:18" ht="17.100000000000001" customHeight="1" x14ac:dyDescent="0.25">
      <c r="A16" s="6" t="s">
        <v>15</v>
      </c>
      <c r="B16" s="90">
        <f t="shared" si="5"/>
        <v>10</v>
      </c>
      <c r="C16" s="90" t="s">
        <v>239</v>
      </c>
      <c r="D16" s="91"/>
      <c r="E16" s="182">
        <v>2.8</v>
      </c>
      <c r="F16" s="101" t="s">
        <v>247</v>
      </c>
      <c r="G16" s="101" t="s">
        <v>247</v>
      </c>
      <c r="H16" s="90"/>
      <c r="I16" s="103">
        <f t="shared" si="6"/>
        <v>0</v>
      </c>
      <c r="J16" s="181">
        <f t="shared" si="0"/>
        <v>0</v>
      </c>
      <c r="K16" s="181">
        <f t="shared" si="1"/>
        <v>84000</v>
      </c>
      <c r="L16" s="106">
        <v>0</v>
      </c>
      <c r="M16" s="107">
        <f t="shared" si="2"/>
        <v>84000.1</v>
      </c>
      <c r="N16" s="108">
        <f t="shared" si="3"/>
        <v>89040.1</v>
      </c>
      <c r="O16" s="101" t="s">
        <v>247</v>
      </c>
      <c r="P16" s="56">
        <f t="shared" si="7"/>
        <v>9.9999999999999992E-2</v>
      </c>
    </row>
    <row r="17" spans="1:18" ht="17.100000000000001" customHeight="1" x14ac:dyDescent="0.25">
      <c r="A17" s="6" t="s">
        <v>15</v>
      </c>
      <c r="B17" s="90">
        <f t="shared" si="5"/>
        <v>11</v>
      </c>
      <c r="C17" s="90" t="s">
        <v>240</v>
      </c>
      <c r="D17" s="91"/>
      <c r="E17" s="182">
        <v>2.8</v>
      </c>
      <c r="F17" s="101" t="s">
        <v>247</v>
      </c>
      <c r="G17" s="101" t="s">
        <v>247</v>
      </c>
      <c r="H17" s="103"/>
      <c r="I17" s="103">
        <f t="shared" si="6"/>
        <v>0</v>
      </c>
      <c r="J17" s="181">
        <f t="shared" si="0"/>
        <v>0</v>
      </c>
      <c r="K17" s="181">
        <f t="shared" si="1"/>
        <v>84000</v>
      </c>
      <c r="L17" s="106">
        <v>0</v>
      </c>
      <c r="M17" s="107">
        <f t="shared" si="2"/>
        <v>84000.11</v>
      </c>
      <c r="N17" s="108">
        <f t="shared" si="3"/>
        <v>89040.11</v>
      </c>
      <c r="O17" s="101" t="s">
        <v>247</v>
      </c>
      <c r="P17" s="56">
        <f t="shared" si="7"/>
        <v>0.10999999999999999</v>
      </c>
    </row>
    <row r="18" spans="1:18" ht="17.100000000000001" customHeight="1" x14ac:dyDescent="0.25">
      <c r="A18" s="6" t="s">
        <v>16</v>
      </c>
      <c r="B18" s="90">
        <f t="shared" si="5"/>
        <v>12</v>
      </c>
      <c r="C18" s="90" t="s">
        <v>233</v>
      </c>
      <c r="D18" s="91"/>
      <c r="E18" s="182">
        <v>2.8</v>
      </c>
      <c r="F18" s="100">
        <v>70000.12</v>
      </c>
      <c r="G18" s="101">
        <f>F18</f>
        <v>70000.12</v>
      </c>
      <c r="H18" s="103">
        <f t="shared" ref="H18:H30" si="9">F18-G18</f>
        <v>0</v>
      </c>
      <c r="I18" s="103">
        <f t="shared" si="6"/>
        <v>0</v>
      </c>
      <c r="J18" s="181">
        <f t="shared" si="0"/>
        <v>0</v>
      </c>
      <c r="K18" s="181">
        <f t="shared" si="1"/>
        <v>84000</v>
      </c>
      <c r="L18" s="106">
        <v>0</v>
      </c>
      <c r="M18" s="107">
        <f t="shared" si="2"/>
        <v>84000.12</v>
      </c>
      <c r="N18" s="108">
        <f t="shared" si="3"/>
        <v>89040.12</v>
      </c>
      <c r="O18" s="109">
        <f t="shared" si="4"/>
        <v>86520.12</v>
      </c>
      <c r="P18" s="56">
        <f t="shared" si="7"/>
        <v>0.11999999999999998</v>
      </c>
    </row>
    <row r="19" spans="1:18" ht="17.100000000000001" customHeight="1" x14ac:dyDescent="0.25">
      <c r="A19" s="6" t="s">
        <v>16</v>
      </c>
      <c r="B19" s="191">
        <f t="shared" si="5"/>
        <v>13</v>
      </c>
      <c r="C19" s="191" t="s">
        <v>241</v>
      </c>
      <c r="D19" s="200"/>
      <c r="E19" s="192">
        <v>5.0999999999999996</v>
      </c>
      <c r="F19" s="193">
        <v>535652.13</v>
      </c>
      <c r="G19" s="193"/>
      <c r="H19" s="194">
        <f t="shared" si="9"/>
        <v>535652.13</v>
      </c>
      <c r="I19" s="194">
        <f t="shared" si="6"/>
        <v>80347.819499999998</v>
      </c>
      <c r="J19" s="195">
        <f t="shared" si="0"/>
        <v>0</v>
      </c>
      <c r="K19" s="195">
        <f t="shared" si="1"/>
        <v>152999.99999999997</v>
      </c>
      <c r="L19" s="196">
        <v>0</v>
      </c>
      <c r="M19" s="197">
        <f t="shared" si="2"/>
        <v>769000.13</v>
      </c>
      <c r="N19" s="198">
        <f t="shared" si="3"/>
        <v>815140.13</v>
      </c>
      <c r="O19" s="199">
        <f t="shared" si="4"/>
        <v>792070.13</v>
      </c>
      <c r="P19" s="56">
        <f t="shared" si="7"/>
        <v>0.12999999999999998</v>
      </c>
    </row>
    <row r="20" spans="1:18" ht="17.100000000000001" customHeight="1" x14ac:dyDescent="0.25">
      <c r="A20" s="6" t="s">
        <v>17</v>
      </c>
      <c r="B20" s="191">
        <f t="shared" si="5"/>
        <v>14</v>
      </c>
      <c r="C20" s="191" t="s">
        <v>237</v>
      </c>
      <c r="D20" s="200"/>
      <c r="E20" s="192">
        <v>2.6</v>
      </c>
      <c r="F20" s="193">
        <v>497289.14</v>
      </c>
      <c r="G20" s="193">
        <v>0</v>
      </c>
      <c r="H20" s="194">
        <f t="shared" si="9"/>
        <v>497289.14</v>
      </c>
      <c r="I20" s="194">
        <f t="shared" si="6"/>
        <v>74593.370999999999</v>
      </c>
      <c r="J20" s="195">
        <f t="shared" si="0"/>
        <v>0</v>
      </c>
      <c r="K20" s="195">
        <f t="shared" si="1"/>
        <v>78000</v>
      </c>
      <c r="L20" s="196">
        <v>0</v>
      </c>
      <c r="M20" s="197">
        <f t="shared" si="2"/>
        <v>649883.14</v>
      </c>
      <c r="N20" s="198">
        <f t="shared" si="3"/>
        <v>688876.14</v>
      </c>
      <c r="O20" s="199">
        <f t="shared" si="4"/>
        <v>669379.14</v>
      </c>
      <c r="P20" s="56">
        <f t="shared" si="7"/>
        <v>0.13999999999999999</v>
      </c>
    </row>
    <row r="21" spans="1:18" ht="17.100000000000001" customHeight="1" x14ac:dyDescent="0.25">
      <c r="A21" s="6" t="s">
        <v>17</v>
      </c>
      <c r="B21" s="90">
        <f t="shared" si="5"/>
        <v>15</v>
      </c>
      <c r="C21" s="90" t="s">
        <v>242</v>
      </c>
      <c r="D21" s="91"/>
      <c r="E21" s="182">
        <v>2.8</v>
      </c>
      <c r="F21" s="100">
        <v>66500.149999999994</v>
      </c>
      <c r="G21" s="101">
        <v>66500</v>
      </c>
      <c r="H21" s="103">
        <f t="shared" si="9"/>
        <v>0.14999999999417923</v>
      </c>
      <c r="I21" s="103">
        <f t="shared" si="6"/>
        <v>2.2499999999126885E-2</v>
      </c>
      <c r="J21" s="181">
        <f t="shared" si="0"/>
        <v>0</v>
      </c>
      <c r="K21" s="181">
        <f t="shared" si="1"/>
        <v>84000</v>
      </c>
      <c r="L21" s="106">
        <v>0</v>
      </c>
      <c r="M21" s="107">
        <f t="shared" si="2"/>
        <v>84000.15</v>
      </c>
      <c r="N21" s="108">
        <f t="shared" si="3"/>
        <v>89040.15</v>
      </c>
      <c r="O21" s="109">
        <f t="shared" si="4"/>
        <v>86520.15</v>
      </c>
      <c r="P21" s="56">
        <f t="shared" si="7"/>
        <v>0.15</v>
      </c>
    </row>
    <row r="22" spans="1:18" ht="17.100000000000001" customHeight="1" x14ac:dyDescent="0.25">
      <c r="A22" s="6" t="s">
        <v>18</v>
      </c>
      <c r="B22" s="90">
        <f t="shared" si="5"/>
        <v>16</v>
      </c>
      <c r="C22" s="90" t="s">
        <v>257</v>
      </c>
      <c r="D22" s="90"/>
      <c r="E22" s="182">
        <v>2.6</v>
      </c>
      <c r="F22" s="100">
        <v>61910.16</v>
      </c>
      <c r="G22" s="101">
        <v>63800</v>
      </c>
      <c r="H22" s="103">
        <f t="shared" si="9"/>
        <v>-1889.8399999999965</v>
      </c>
      <c r="I22" s="103">
        <f t="shared" si="6"/>
        <v>0</v>
      </c>
      <c r="J22" s="181">
        <f t="shared" si="0"/>
        <v>0</v>
      </c>
      <c r="K22" s="181">
        <f t="shared" si="1"/>
        <v>78000</v>
      </c>
      <c r="L22" s="106">
        <v>0</v>
      </c>
      <c r="M22" s="107">
        <f t="shared" si="2"/>
        <v>76110.16</v>
      </c>
      <c r="N22" s="108">
        <f t="shared" si="3"/>
        <v>80677.16</v>
      </c>
      <c r="O22" s="109">
        <f t="shared" si="4"/>
        <v>78393.16</v>
      </c>
      <c r="P22" s="56">
        <f t="shared" si="7"/>
        <v>0.16</v>
      </c>
      <c r="R22" s="55"/>
    </row>
    <row r="23" spans="1:18" ht="17.100000000000001" customHeight="1" x14ac:dyDescent="0.25">
      <c r="A23" s="6" t="s">
        <v>18</v>
      </c>
      <c r="B23" s="191">
        <f t="shared" si="5"/>
        <v>17</v>
      </c>
      <c r="C23" s="191" t="s">
        <v>243</v>
      </c>
      <c r="D23" s="200"/>
      <c r="E23" s="192">
        <v>4.5</v>
      </c>
      <c r="F23" s="193">
        <v>479724.17</v>
      </c>
      <c r="G23" s="193"/>
      <c r="H23" s="194">
        <f t="shared" si="9"/>
        <v>479724.17</v>
      </c>
      <c r="I23" s="194">
        <f t="shared" si="6"/>
        <v>71958.625499999995</v>
      </c>
      <c r="J23" s="195">
        <f t="shared" si="0"/>
        <v>0</v>
      </c>
      <c r="K23" s="195">
        <f t="shared" si="1"/>
        <v>135000</v>
      </c>
      <c r="L23" s="196">
        <v>0</v>
      </c>
      <c r="M23" s="197">
        <f t="shared" si="2"/>
        <v>686683.17</v>
      </c>
      <c r="N23" s="198">
        <f t="shared" si="3"/>
        <v>727884.17</v>
      </c>
      <c r="O23" s="199">
        <f t="shared" si="4"/>
        <v>707283.17</v>
      </c>
      <c r="P23" s="56">
        <f t="shared" si="7"/>
        <v>0.17</v>
      </c>
    </row>
    <row r="24" spans="1:18" ht="17.100000000000001" customHeight="1" x14ac:dyDescent="0.25">
      <c r="A24" s="6" t="s">
        <v>19</v>
      </c>
      <c r="B24" s="90">
        <f t="shared" si="5"/>
        <v>18</v>
      </c>
      <c r="C24" s="90" t="s">
        <v>235</v>
      </c>
      <c r="D24" s="90"/>
      <c r="E24" s="182">
        <v>2.8</v>
      </c>
      <c r="F24" s="100">
        <v>70000.179999999993</v>
      </c>
      <c r="G24" s="101">
        <f>F24</f>
        <v>70000.179999999993</v>
      </c>
      <c r="H24" s="103">
        <f t="shared" si="9"/>
        <v>0</v>
      </c>
      <c r="I24" s="103">
        <f t="shared" si="6"/>
        <v>0</v>
      </c>
      <c r="J24" s="181">
        <f t="shared" si="0"/>
        <v>0</v>
      </c>
      <c r="K24" s="181">
        <f t="shared" si="1"/>
        <v>84000</v>
      </c>
      <c r="L24" s="106">
        <v>0</v>
      </c>
      <c r="M24" s="107">
        <f t="shared" si="2"/>
        <v>84000.18</v>
      </c>
      <c r="N24" s="108">
        <f t="shared" si="3"/>
        <v>89040.18</v>
      </c>
      <c r="O24" s="109">
        <f t="shared" si="4"/>
        <v>86520.18</v>
      </c>
      <c r="P24" s="56">
        <f t="shared" si="7"/>
        <v>0.18000000000000002</v>
      </c>
    </row>
    <row r="25" spans="1:18" ht="17.100000000000001" customHeight="1" x14ac:dyDescent="0.25">
      <c r="A25" s="6" t="s">
        <v>19</v>
      </c>
      <c r="B25" s="90">
        <f t="shared" si="5"/>
        <v>19</v>
      </c>
      <c r="C25" s="90" t="s">
        <v>244</v>
      </c>
      <c r="D25" s="91"/>
      <c r="E25" s="182">
        <v>2.8</v>
      </c>
      <c r="F25" s="100">
        <v>399567.19</v>
      </c>
      <c r="G25" s="101">
        <v>70000</v>
      </c>
      <c r="H25" s="103">
        <f t="shared" si="9"/>
        <v>329567.19</v>
      </c>
      <c r="I25" s="103">
        <f t="shared" si="6"/>
        <v>49435.078499999996</v>
      </c>
      <c r="J25" s="181">
        <f t="shared" si="0"/>
        <v>0</v>
      </c>
      <c r="K25" s="181">
        <f t="shared" si="1"/>
        <v>84000</v>
      </c>
      <c r="L25" s="106">
        <v>0</v>
      </c>
      <c r="M25" s="107">
        <f t="shared" si="2"/>
        <v>463002.19</v>
      </c>
      <c r="N25" s="108">
        <f t="shared" si="3"/>
        <v>490782.19</v>
      </c>
      <c r="O25" s="109">
        <f t="shared" si="4"/>
        <v>476892.19</v>
      </c>
      <c r="P25" s="56">
        <f t="shared" si="7"/>
        <v>0.19000000000000003</v>
      </c>
    </row>
    <row r="26" spans="1:18" ht="17.100000000000001" customHeight="1" x14ac:dyDescent="0.25">
      <c r="A26" s="6" t="s">
        <v>20</v>
      </c>
      <c r="B26" s="89">
        <f t="shared" si="5"/>
        <v>20</v>
      </c>
      <c r="C26" s="89" t="s">
        <v>233</v>
      </c>
      <c r="D26" s="89"/>
      <c r="E26" s="115">
        <v>2.8</v>
      </c>
      <c r="F26" s="101">
        <v>70001.2</v>
      </c>
      <c r="G26" s="101">
        <v>72101.2</v>
      </c>
      <c r="H26" s="141">
        <f t="shared" si="9"/>
        <v>-2100</v>
      </c>
      <c r="I26" s="103">
        <f t="shared" si="6"/>
        <v>0</v>
      </c>
      <c r="J26" s="201">
        <f t="shared" si="0"/>
        <v>0</v>
      </c>
      <c r="K26" s="201">
        <f t="shared" si="1"/>
        <v>84000</v>
      </c>
      <c r="L26" s="202">
        <v>0</v>
      </c>
      <c r="M26" s="203">
        <f t="shared" si="2"/>
        <v>81900.2</v>
      </c>
      <c r="N26" s="204">
        <f t="shared" si="3"/>
        <v>86814.2</v>
      </c>
      <c r="O26" s="205">
        <f t="shared" si="4"/>
        <v>84357.2</v>
      </c>
      <c r="P26" s="56">
        <f t="shared" si="7"/>
        <v>0.20000000000000004</v>
      </c>
    </row>
    <row r="27" spans="1:18" ht="17.100000000000001" customHeight="1" x14ac:dyDescent="0.25">
      <c r="A27" s="6" t="s">
        <v>21</v>
      </c>
      <c r="B27" s="191">
        <f t="shared" si="5"/>
        <v>21</v>
      </c>
      <c r="C27" s="191" t="s">
        <v>236</v>
      </c>
      <c r="D27" s="200"/>
      <c r="E27" s="192">
        <v>3</v>
      </c>
      <c r="F27" s="193">
        <v>497108.21</v>
      </c>
      <c r="G27" s="193">
        <v>0</v>
      </c>
      <c r="H27" s="194">
        <f t="shared" si="9"/>
        <v>497108.21</v>
      </c>
      <c r="I27" s="194">
        <f t="shared" si="6"/>
        <v>74566.231499999994</v>
      </c>
      <c r="J27" s="195">
        <f t="shared" si="0"/>
        <v>0</v>
      </c>
      <c r="K27" s="195">
        <f t="shared" si="1"/>
        <v>90000</v>
      </c>
      <c r="L27" s="196">
        <v>0</v>
      </c>
      <c r="M27" s="197">
        <f t="shared" si="2"/>
        <v>661674.21</v>
      </c>
      <c r="N27" s="198">
        <f t="shared" si="3"/>
        <v>701375.21</v>
      </c>
      <c r="O27" s="199">
        <f t="shared" si="4"/>
        <v>681524.21</v>
      </c>
      <c r="P27" s="56">
        <f t="shared" si="7"/>
        <v>0.21000000000000005</v>
      </c>
    </row>
    <row r="28" spans="1:18" ht="17.100000000000001" customHeight="1" x14ac:dyDescent="0.25">
      <c r="A28" s="6" t="s">
        <v>22</v>
      </c>
      <c r="B28" s="191">
        <f t="shared" si="5"/>
        <v>22</v>
      </c>
      <c r="C28" s="191" t="s">
        <v>236</v>
      </c>
      <c r="D28" s="200"/>
      <c r="E28" s="192">
        <v>4.0999999999999996</v>
      </c>
      <c r="F28" s="193">
        <v>679381.22</v>
      </c>
      <c r="G28" s="193">
        <v>0</v>
      </c>
      <c r="H28" s="194">
        <f t="shared" si="9"/>
        <v>679381.22</v>
      </c>
      <c r="I28" s="194">
        <f t="shared" si="6"/>
        <v>101907.18299999999</v>
      </c>
      <c r="J28" s="195">
        <f t="shared" si="0"/>
        <v>0</v>
      </c>
      <c r="K28" s="195">
        <f t="shared" si="1"/>
        <v>122999.99999999999</v>
      </c>
      <c r="L28" s="196">
        <v>0</v>
      </c>
      <c r="M28" s="197">
        <f t="shared" si="2"/>
        <v>904288.22</v>
      </c>
      <c r="N28" s="198">
        <f t="shared" si="3"/>
        <v>958546.22</v>
      </c>
      <c r="O28" s="199">
        <f t="shared" si="4"/>
        <v>931417.22</v>
      </c>
      <c r="P28" s="56">
        <f t="shared" si="7"/>
        <v>0.22000000000000006</v>
      </c>
    </row>
    <row r="29" spans="1:18" ht="17.100000000000001" customHeight="1" x14ac:dyDescent="0.25">
      <c r="A29" s="6" t="s">
        <v>23</v>
      </c>
      <c r="B29" s="90">
        <f t="shared" si="5"/>
        <v>23</v>
      </c>
      <c r="C29" s="90" t="s">
        <v>245</v>
      </c>
      <c r="D29" s="91"/>
      <c r="E29" s="182">
        <v>5.0999999999999996</v>
      </c>
      <c r="F29" s="100">
        <v>131280.22999999998</v>
      </c>
      <c r="G29" s="101">
        <v>131200</v>
      </c>
      <c r="H29" s="103">
        <f t="shared" si="9"/>
        <v>80.229999999981374</v>
      </c>
      <c r="I29" s="103">
        <f t="shared" si="6"/>
        <v>12.034499999997205</v>
      </c>
      <c r="J29" s="181">
        <f t="shared" si="0"/>
        <v>0</v>
      </c>
      <c r="K29" s="181">
        <f t="shared" si="1"/>
        <v>152999.99999999997</v>
      </c>
      <c r="L29" s="106">
        <v>0</v>
      </c>
      <c r="M29" s="107">
        <f t="shared" si="2"/>
        <v>153092.23000000001</v>
      </c>
      <c r="N29" s="108">
        <f t="shared" si="3"/>
        <v>162278.23000000001</v>
      </c>
      <c r="O29" s="109">
        <f t="shared" si="4"/>
        <v>157685.23000000001</v>
      </c>
      <c r="P29" s="56">
        <f t="shared" si="7"/>
        <v>0.23000000000000007</v>
      </c>
    </row>
    <row r="30" spans="1:18" ht="17.100000000000001" customHeight="1" x14ac:dyDescent="0.25">
      <c r="A30" s="6" t="s">
        <v>26</v>
      </c>
      <c r="B30" s="191">
        <f t="shared" si="5"/>
        <v>24</v>
      </c>
      <c r="C30" s="191" t="s">
        <v>236</v>
      </c>
      <c r="D30" s="200"/>
      <c r="E30" s="192">
        <v>5.9</v>
      </c>
      <c r="F30" s="193">
        <v>977645.24</v>
      </c>
      <c r="G30" s="193">
        <v>0</v>
      </c>
      <c r="H30" s="194">
        <f t="shared" si="9"/>
        <v>977645.24</v>
      </c>
      <c r="I30" s="194">
        <f t="shared" si="6"/>
        <v>146646.78599999999</v>
      </c>
      <c r="J30" s="195">
        <f t="shared" si="0"/>
        <v>0</v>
      </c>
      <c r="K30" s="195">
        <f t="shared" si="1"/>
        <v>177000</v>
      </c>
      <c r="L30" s="196">
        <v>0</v>
      </c>
      <c r="M30" s="197">
        <f t="shared" si="2"/>
        <v>1301292.24</v>
      </c>
      <c r="N30" s="198">
        <f t="shared" si="3"/>
        <v>1379370.24</v>
      </c>
      <c r="O30" s="199">
        <f t="shared" si="4"/>
        <v>1340331.24</v>
      </c>
      <c r="P30" s="56">
        <f t="shared" si="7"/>
        <v>0.24000000000000007</v>
      </c>
    </row>
    <row r="31" spans="1:18" ht="17.100000000000001" customHeight="1" x14ac:dyDescent="0.25">
      <c r="A31" s="6" t="s">
        <v>26</v>
      </c>
      <c r="B31" s="90">
        <f t="shared" si="5"/>
        <v>25</v>
      </c>
      <c r="C31" s="90" t="s">
        <v>246</v>
      </c>
      <c r="D31" s="90"/>
      <c r="E31" s="182">
        <v>5.5</v>
      </c>
      <c r="F31" s="101" t="s">
        <v>247</v>
      </c>
      <c r="G31" s="101" t="s">
        <v>247</v>
      </c>
      <c r="H31" s="103"/>
      <c r="I31" s="103">
        <f t="shared" si="6"/>
        <v>0</v>
      </c>
      <c r="J31" s="181">
        <f t="shared" si="0"/>
        <v>0</v>
      </c>
      <c r="K31" s="181">
        <f t="shared" si="1"/>
        <v>165000</v>
      </c>
      <c r="L31" s="106">
        <v>0</v>
      </c>
      <c r="M31" s="185">
        <f t="shared" si="2"/>
        <v>165000.25</v>
      </c>
      <c r="N31" s="186">
        <f t="shared" si="3"/>
        <v>174900.25</v>
      </c>
      <c r="O31" s="101" t="s">
        <v>247</v>
      </c>
      <c r="P31" s="56">
        <f t="shared" si="7"/>
        <v>0.25000000000000006</v>
      </c>
    </row>
    <row r="32" spans="1:18" ht="17.100000000000001" customHeight="1" x14ac:dyDescent="0.25">
      <c r="A32" s="6" t="s">
        <v>26</v>
      </c>
      <c r="B32" s="90">
        <f t="shared" si="5"/>
        <v>26</v>
      </c>
      <c r="C32" s="90" t="s">
        <v>238</v>
      </c>
      <c r="D32" s="90"/>
      <c r="E32" s="182">
        <v>6.1</v>
      </c>
      <c r="F32" s="100">
        <v>1170821.26</v>
      </c>
      <c r="G32" s="101">
        <v>0</v>
      </c>
      <c r="H32" s="103">
        <f>F32-G32</f>
        <v>1170821.26</v>
      </c>
      <c r="I32" s="103">
        <f t="shared" si="6"/>
        <v>175623.18899999998</v>
      </c>
      <c r="J32" s="181">
        <f t="shared" si="0"/>
        <v>0</v>
      </c>
      <c r="K32" s="181">
        <f t="shared" si="1"/>
        <v>183000</v>
      </c>
      <c r="L32" s="106">
        <v>0</v>
      </c>
      <c r="M32" s="107">
        <f t="shared" si="2"/>
        <v>1529444.26</v>
      </c>
      <c r="N32" s="179">
        <f t="shared" si="3"/>
        <v>1621211.26</v>
      </c>
      <c r="O32" s="109">
        <f t="shared" si="4"/>
        <v>1575327.26</v>
      </c>
      <c r="P32" s="183">
        <f t="shared" si="7"/>
        <v>0.26000000000000006</v>
      </c>
      <c r="Q32" s="184"/>
    </row>
    <row r="33" spans="1:16" ht="17.100000000000001" customHeight="1" thickBot="1" x14ac:dyDescent="0.3">
      <c r="A33" s="6" t="s">
        <v>26</v>
      </c>
      <c r="B33" s="90"/>
      <c r="C33" s="90"/>
      <c r="D33" s="91"/>
      <c r="E33" s="99"/>
      <c r="F33" s="100"/>
      <c r="G33" s="101"/>
      <c r="H33" s="103"/>
      <c r="I33" s="103"/>
      <c r="J33" s="105"/>
      <c r="K33" s="105"/>
      <c r="L33" s="106"/>
      <c r="M33" s="107"/>
      <c r="N33" s="108"/>
      <c r="O33" s="109"/>
      <c r="P33" s="56"/>
    </row>
    <row r="34" spans="1:16" ht="17.100000000000001" customHeight="1" thickBot="1" x14ac:dyDescent="0.3">
      <c r="B34" s="133"/>
      <c r="C34" s="134"/>
      <c r="D34" s="134"/>
      <c r="E34" s="135">
        <f>SUM(E7:E33)</f>
        <v>99.999999999999972</v>
      </c>
      <c r="F34" s="66">
        <f>SUM(F7:F33)</f>
        <v>8331706.0199999996</v>
      </c>
      <c r="G34" s="87">
        <f>SUM(G7:G33)</f>
        <v>1009547.5799999998</v>
      </c>
      <c r="H34" s="87">
        <f>SUM(H7:H32)</f>
        <v>7322158.4399999995</v>
      </c>
      <c r="I34" s="87"/>
      <c r="J34" s="87">
        <f t="shared" ref="J34:O34" si="10">SUM(J7:J33)</f>
        <v>0</v>
      </c>
      <c r="K34" s="66">
        <f t="shared" si="10"/>
        <v>3000000</v>
      </c>
      <c r="L34" s="87">
        <f t="shared" si="10"/>
        <v>0</v>
      </c>
      <c r="M34" s="136">
        <f t="shared" si="10"/>
        <v>11423006.51</v>
      </c>
      <c r="N34" s="136">
        <f t="shared" si="10"/>
        <v>12108390.510000002</v>
      </c>
      <c r="O34" s="136">
        <f t="shared" si="10"/>
        <v>11249665.02</v>
      </c>
    </row>
    <row r="35" spans="1:16" ht="12.75" customHeight="1" x14ac:dyDescent="0.25">
      <c r="C35" s="63"/>
      <c r="D35" s="63"/>
    </row>
    <row r="36" spans="1:16" hidden="1" x14ac:dyDescent="0.25"/>
    <row r="37" spans="1:16" ht="9" customHeight="1" x14ac:dyDescent="0.25">
      <c r="C37" s="223" t="s">
        <v>263</v>
      </c>
      <c r="D37" s="223"/>
      <c r="E37" s="223"/>
      <c r="F37" s="223"/>
      <c r="G37" s="223"/>
      <c r="H37" s="223"/>
      <c r="I37" s="223"/>
      <c r="J37" s="223"/>
      <c r="K37" s="223"/>
      <c r="L37" s="223"/>
      <c r="M37" s="223"/>
    </row>
    <row r="38" spans="1:16" ht="12" hidden="1" customHeight="1" x14ac:dyDescent="0.25">
      <c r="C38" s="223"/>
      <c r="D38" s="223"/>
      <c r="E38" s="223"/>
      <c r="F38" s="223"/>
      <c r="G38" s="223"/>
      <c r="H38" s="223"/>
      <c r="I38" s="223"/>
      <c r="J38" s="223"/>
      <c r="K38" s="223"/>
      <c r="L38" s="223"/>
      <c r="M38" s="223"/>
    </row>
    <row r="39" spans="1:16" ht="12" hidden="1" customHeight="1" x14ac:dyDescent="0.25">
      <c r="C39" s="223"/>
      <c r="D39" s="223"/>
      <c r="E39" s="223"/>
      <c r="F39" s="223"/>
      <c r="G39" s="223"/>
      <c r="H39" s="223"/>
      <c r="I39" s="223"/>
      <c r="J39" s="223"/>
      <c r="K39" s="223"/>
      <c r="L39" s="223"/>
      <c r="M39" s="223"/>
    </row>
    <row r="40" spans="1:16" ht="12" hidden="1" customHeight="1" x14ac:dyDescent="0.25">
      <c r="C40" s="223"/>
      <c r="D40" s="223"/>
      <c r="E40" s="223"/>
      <c r="F40" s="223"/>
      <c r="G40" s="223"/>
      <c r="H40" s="223"/>
      <c r="I40" s="223"/>
      <c r="J40" s="223"/>
      <c r="K40" s="223"/>
      <c r="L40" s="223"/>
      <c r="M40" s="223"/>
    </row>
    <row r="41" spans="1:16" ht="12" hidden="1" customHeight="1" x14ac:dyDescent="0.25">
      <c r="C41" s="223"/>
      <c r="D41" s="223"/>
      <c r="E41" s="223"/>
      <c r="F41" s="223"/>
      <c r="G41" s="223"/>
      <c r="H41" s="223"/>
      <c r="I41" s="223"/>
      <c r="J41" s="223"/>
      <c r="K41" s="223"/>
      <c r="L41" s="223"/>
      <c r="M41" s="223"/>
    </row>
    <row r="42" spans="1:16" ht="70.5" customHeight="1" x14ac:dyDescent="0.25">
      <c r="C42" s="223"/>
      <c r="D42" s="223"/>
      <c r="E42" s="223"/>
      <c r="F42" s="223"/>
      <c r="G42" s="223"/>
      <c r="H42" s="223"/>
      <c r="I42" s="223"/>
      <c r="J42" s="223"/>
      <c r="K42" s="223"/>
      <c r="L42" s="223"/>
      <c r="M42" s="223"/>
    </row>
  </sheetData>
  <mergeCells count="18">
    <mergeCell ref="C1:F4"/>
    <mergeCell ref="L3:M3"/>
    <mergeCell ref="L4:M4"/>
    <mergeCell ref="A5:A6"/>
    <mergeCell ref="B5:B6"/>
    <mergeCell ref="C5:C6"/>
    <mergeCell ref="E5:E6"/>
    <mergeCell ref="F5:F6"/>
    <mergeCell ref="O5:O6"/>
    <mergeCell ref="C37:M42"/>
    <mergeCell ref="D5:D6"/>
    <mergeCell ref="N5:N6"/>
    <mergeCell ref="J5:J6"/>
    <mergeCell ref="K5:K6"/>
    <mergeCell ref="L5:L6"/>
    <mergeCell ref="I5:I6"/>
    <mergeCell ref="G5:G6"/>
    <mergeCell ref="H5:H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227</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224</v>
      </c>
      <c r="M2" s="7"/>
      <c r="N2" s="7"/>
      <c r="O2" s="67">
        <v>0</v>
      </c>
      <c r="P2" s="67"/>
      <c r="Q2" s="67"/>
      <c r="R2" s="23"/>
    </row>
    <row r="3" spans="1:19" ht="12.95" customHeight="1" thickBot="1" x14ac:dyDescent="0.3">
      <c r="A3" s="7"/>
      <c r="B3" s="7"/>
      <c r="C3" s="7"/>
      <c r="D3" s="7" t="s">
        <v>124</v>
      </c>
      <c r="E3" s="7"/>
      <c r="F3" s="7"/>
      <c r="G3" s="7"/>
      <c r="H3" s="7"/>
      <c r="I3" s="7"/>
      <c r="J3" s="7"/>
      <c r="K3" s="7"/>
      <c r="L3" s="7"/>
      <c r="M3" s="7"/>
      <c r="N3" s="7"/>
      <c r="O3" s="68"/>
      <c r="P3" s="68"/>
      <c r="Q3" s="85"/>
    </row>
    <row r="4" spans="1:19" x14ac:dyDescent="0.25">
      <c r="A4" s="241" t="s">
        <v>3</v>
      </c>
      <c r="B4" s="243" t="s">
        <v>4</v>
      </c>
      <c r="C4" s="224" t="s">
        <v>5</v>
      </c>
      <c r="D4" s="224" t="s">
        <v>6</v>
      </c>
      <c r="E4" s="224" t="s">
        <v>122</v>
      </c>
      <c r="F4" s="224" t="s">
        <v>27</v>
      </c>
      <c r="G4" s="224" t="s">
        <v>226</v>
      </c>
      <c r="H4" s="224" t="s">
        <v>7</v>
      </c>
      <c r="I4" s="224" t="s">
        <v>123</v>
      </c>
      <c r="J4" s="233" t="s">
        <v>126</v>
      </c>
      <c r="K4" s="228" t="s">
        <v>48</v>
      </c>
      <c r="L4" s="228" t="s">
        <v>8</v>
      </c>
      <c r="M4" s="228" t="s">
        <v>222</v>
      </c>
      <c r="N4" s="231" t="s">
        <v>220</v>
      </c>
      <c r="O4" s="88" t="s">
        <v>219</v>
      </c>
      <c r="P4" s="226" t="s">
        <v>46</v>
      </c>
      <c r="Q4" s="221" t="s">
        <v>218</v>
      </c>
    </row>
    <row r="5" spans="1:19" ht="15.75" customHeight="1" x14ac:dyDescent="0.25">
      <c r="A5" s="242"/>
      <c r="B5" s="244"/>
      <c r="C5" s="235"/>
      <c r="D5" s="235"/>
      <c r="E5" s="225"/>
      <c r="F5" s="235"/>
      <c r="G5" s="235"/>
      <c r="H5" s="235"/>
      <c r="I5" s="225"/>
      <c r="J5" s="234"/>
      <c r="K5" s="230"/>
      <c r="L5" s="229"/>
      <c r="M5" s="230"/>
      <c r="N5" s="232"/>
      <c r="O5" s="86" t="str">
        <f>RESUMEN!B8</f>
        <v>VTO 14/11</v>
      </c>
      <c r="P5" s="227"/>
      <c r="Q5" s="222"/>
    </row>
    <row r="6" spans="1:19" ht="17.100000000000001" customHeight="1" x14ac:dyDescent="0.25">
      <c r="A6" s="6" t="s">
        <v>10</v>
      </c>
      <c r="B6" s="90" t="s">
        <v>127</v>
      </c>
      <c r="C6" s="90">
        <v>1</v>
      </c>
      <c r="D6" s="90" t="s">
        <v>49</v>
      </c>
      <c r="E6" s="90"/>
      <c r="F6" s="99">
        <v>1.65</v>
      </c>
      <c r="G6" s="100">
        <v>0</v>
      </c>
      <c r="H6" s="101">
        <f>G6</f>
        <v>0</v>
      </c>
      <c r="I6" s="102"/>
      <c r="J6" s="103">
        <f>G6-H6</f>
        <v>0</v>
      </c>
      <c r="K6" s="103">
        <f>IF(J6&gt;0,J6*3%,0)</f>
        <v>0</v>
      </c>
      <c r="L6" s="104">
        <v>0</v>
      </c>
      <c r="M6" s="105">
        <f t="shared" ref="M6:M69" si="0">O$2*F6%</f>
        <v>0</v>
      </c>
      <c r="N6" s="106">
        <v>0</v>
      </c>
      <c r="O6" s="107">
        <f>ROUND(SUM(J6:N6),0) + R6</f>
        <v>0.01</v>
      </c>
      <c r="P6" s="108">
        <f>ROUND(O6*6% + O6,0) + R6</f>
        <v>0.01</v>
      </c>
      <c r="Q6" s="109">
        <f>ROUND(O6*3%,0) + O6</f>
        <v>0.01</v>
      </c>
      <c r="R6" s="56">
        <v>0.01</v>
      </c>
    </row>
    <row r="7" spans="1:19" ht="17.100000000000001" customHeight="1" x14ac:dyDescent="0.25">
      <c r="A7" s="6" t="s">
        <v>11</v>
      </c>
      <c r="B7" s="90" t="s">
        <v>128</v>
      </c>
      <c r="C7" s="90">
        <f>C6+1</f>
        <v>2</v>
      </c>
      <c r="D7" s="90" t="s">
        <v>58</v>
      </c>
      <c r="E7" s="91"/>
      <c r="F7" s="99">
        <v>1.1599999999999999</v>
      </c>
      <c r="G7" s="100">
        <v>0</v>
      </c>
      <c r="H7" s="101">
        <f t="shared" ref="H7:H18" si="1">G7</f>
        <v>0</v>
      </c>
      <c r="I7" s="102"/>
      <c r="J7" s="103">
        <f t="shared" ref="J7:J70" si="2">G7-H7</f>
        <v>0</v>
      </c>
      <c r="K7" s="103">
        <f t="shared" ref="K7:K70" si="3">IF(J7&gt;0,J7*3%,0)</f>
        <v>0</v>
      </c>
      <c r="L7" s="104">
        <v>0</v>
      </c>
      <c r="M7" s="105">
        <f t="shared" si="0"/>
        <v>0</v>
      </c>
      <c r="N7" s="106">
        <v>0</v>
      </c>
      <c r="O7" s="107">
        <f t="shared" ref="O7:O70" si="4">ROUND(SUM(J7:N7),0) + R7</f>
        <v>0.02</v>
      </c>
      <c r="P7" s="108">
        <f t="shared" ref="P7:P70" si="5">ROUND(O7*6% + O7,0) + R7</f>
        <v>0.02</v>
      </c>
      <c r="Q7" s="109">
        <f t="shared" ref="Q7:Q70" si="6">ROUND(O7*3%,0) + O7</f>
        <v>0.02</v>
      </c>
      <c r="R7" s="56">
        <f>R6+0.01</f>
        <v>0.02</v>
      </c>
      <c r="S7" s="56"/>
    </row>
    <row r="8" spans="1:19" ht="17.100000000000001" customHeight="1" x14ac:dyDescent="0.25">
      <c r="A8" s="6" t="s">
        <v>11</v>
      </c>
      <c r="B8" s="90" t="s">
        <v>129</v>
      </c>
      <c r="C8" s="90">
        <f t="shared" ref="C8:C35" si="7">C7+1</f>
        <v>3</v>
      </c>
      <c r="D8" s="90" t="s">
        <v>59</v>
      </c>
      <c r="E8" s="91"/>
      <c r="F8" s="99">
        <v>1.19</v>
      </c>
      <c r="G8" s="100">
        <v>0</v>
      </c>
      <c r="H8" s="101">
        <f t="shared" si="1"/>
        <v>0</v>
      </c>
      <c r="I8" s="102"/>
      <c r="J8" s="103">
        <f t="shared" si="2"/>
        <v>0</v>
      </c>
      <c r="K8" s="103">
        <f t="shared" si="3"/>
        <v>0</v>
      </c>
      <c r="L8" s="104">
        <v>0</v>
      </c>
      <c r="M8" s="105">
        <f t="shared" si="0"/>
        <v>0</v>
      </c>
      <c r="N8" s="106">
        <v>0</v>
      </c>
      <c r="O8" s="107">
        <f t="shared" si="4"/>
        <v>0.03</v>
      </c>
      <c r="P8" s="108">
        <f t="shared" si="5"/>
        <v>0.03</v>
      </c>
      <c r="Q8" s="109">
        <f t="shared" si="6"/>
        <v>0.03</v>
      </c>
      <c r="R8" s="56">
        <f t="shared" ref="R8:R71" si="8">R7+0.01</f>
        <v>0.03</v>
      </c>
    </row>
    <row r="9" spans="1:19" ht="17.100000000000001" customHeight="1" x14ac:dyDescent="0.25">
      <c r="A9" s="6" t="s">
        <v>12</v>
      </c>
      <c r="B9" s="90" t="s">
        <v>130</v>
      </c>
      <c r="C9" s="90">
        <f t="shared" si="7"/>
        <v>4</v>
      </c>
      <c r="D9" s="90" t="s">
        <v>60</v>
      </c>
      <c r="E9" s="91"/>
      <c r="F9" s="99">
        <v>1.22</v>
      </c>
      <c r="G9" s="100">
        <v>0</v>
      </c>
      <c r="H9" s="101">
        <f t="shared" si="1"/>
        <v>0</v>
      </c>
      <c r="I9" s="102"/>
      <c r="J9" s="103">
        <f t="shared" si="2"/>
        <v>0</v>
      </c>
      <c r="K9" s="103">
        <f t="shared" si="3"/>
        <v>0</v>
      </c>
      <c r="L9" s="104">
        <v>0</v>
      </c>
      <c r="M9" s="105">
        <f t="shared" si="0"/>
        <v>0</v>
      </c>
      <c r="N9" s="106">
        <v>0</v>
      </c>
      <c r="O9" s="107">
        <f t="shared" si="4"/>
        <v>0.04</v>
      </c>
      <c r="P9" s="108">
        <f t="shared" si="5"/>
        <v>0.04</v>
      </c>
      <c r="Q9" s="109">
        <f t="shared" si="6"/>
        <v>0.04</v>
      </c>
      <c r="R9" s="56">
        <f t="shared" si="8"/>
        <v>0.04</v>
      </c>
    </row>
    <row r="10" spans="1:19" ht="17.100000000000001" customHeight="1" x14ac:dyDescent="0.25">
      <c r="A10" s="6" t="s">
        <v>12</v>
      </c>
      <c r="B10" s="90" t="s">
        <v>131</v>
      </c>
      <c r="C10" s="90">
        <f t="shared" si="7"/>
        <v>5</v>
      </c>
      <c r="D10" s="90" t="s">
        <v>61</v>
      </c>
      <c r="E10" s="91"/>
      <c r="F10" s="99">
        <v>1.67</v>
      </c>
      <c r="G10" s="100"/>
      <c r="H10" s="101"/>
      <c r="I10" s="102"/>
      <c r="J10" s="103">
        <f t="shared" si="2"/>
        <v>0</v>
      </c>
      <c r="K10" s="103">
        <f t="shared" si="3"/>
        <v>0</v>
      </c>
      <c r="L10" s="104">
        <v>0</v>
      </c>
      <c r="M10" s="105">
        <f t="shared" si="0"/>
        <v>0</v>
      </c>
      <c r="N10" s="106">
        <v>0</v>
      </c>
      <c r="O10" s="107">
        <f t="shared" si="4"/>
        <v>0.05</v>
      </c>
      <c r="P10" s="108">
        <f t="shared" si="5"/>
        <v>0.05</v>
      </c>
      <c r="Q10" s="109">
        <f t="shared" si="6"/>
        <v>0.05</v>
      </c>
      <c r="R10" s="56">
        <f t="shared" si="8"/>
        <v>0.05</v>
      </c>
    </row>
    <row r="11" spans="1:19" ht="17.100000000000001" customHeight="1" x14ac:dyDescent="0.25">
      <c r="A11" s="6" t="s">
        <v>13</v>
      </c>
      <c r="B11" s="90" t="s">
        <v>132</v>
      </c>
      <c r="C11" s="90">
        <f t="shared" si="7"/>
        <v>6</v>
      </c>
      <c r="D11" s="90" t="s">
        <v>50</v>
      </c>
      <c r="E11" s="90"/>
      <c r="F11" s="99">
        <v>1.71</v>
      </c>
      <c r="G11" s="100">
        <v>0</v>
      </c>
      <c r="H11" s="101">
        <f t="shared" si="1"/>
        <v>0</v>
      </c>
      <c r="I11" s="102"/>
      <c r="J11" s="103">
        <f t="shared" si="2"/>
        <v>0</v>
      </c>
      <c r="K11" s="103">
        <f t="shared" si="3"/>
        <v>0</v>
      </c>
      <c r="L11" s="104">
        <v>0</v>
      </c>
      <c r="M11" s="105">
        <f t="shared" si="0"/>
        <v>0</v>
      </c>
      <c r="N11" s="106">
        <v>0</v>
      </c>
      <c r="O11" s="107">
        <f t="shared" si="4"/>
        <v>6.0000000000000005E-2</v>
      </c>
      <c r="P11" s="108">
        <f t="shared" si="5"/>
        <v>6.0000000000000005E-2</v>
      </c>
      <c r="Q11" s="109">
        <f t="shared" si="6"/>
        <v>6.0000000000000005E-2</v>
      </c>
      <c r="R11" s="56">
        <f t="shared" si="8"/>
        <v>6.0000000000000005E-2</v>
      </c>
    </row>
    <row r="12" spans="1:19" ht="17.100000000000001" customHeight="1" x14ac:dyDescent="0.25">
      <c r="A12" s="6" t="s">
        <v>13</v>
      </c>
      <c r="B12" s="90" t="s">
        <v>133</v>
      </c>
      <c r="C12" s="90">
        <f t="shared" si="7"/>
        <v>7</v>
      </c>
      <c r="D12" s="90" t="s">
        <v>51</v>
      </c>
      <c r="E12" s="90"/>
      <c r="F12" s="99">
        <v>1.1299999999999999</v>
      </c>
      <c r="G12" s="100">
        <v>0</v>
      </c>
      <c r="H12" s="101">
        <f t="shared" si="1"/>
        <v>0</v>
      </c>
      <c r="I12" s="102"/>
      <c r="J12" s="103">
        <f t="shared" si="2"/>
        <v>0</v>
      </c>
      <c r="K12" s="103">
        <f t="shared" si="3"/>
        <v>0</v>
      </c>
      <c r="L12" s="104">
        <v>0</v>
      </c>
      <c r="M12" s="105">
        <f t="shared" si="0"/>
        <v>0</v>
      </c>
      <c r="N12" s="106">
        <v>0</v>
      </c>
      <c r="O12" s="107">
        <f t="shared" si="4"/>
        <v>7.0000000000000007E-2</v>
      </c>
      <c r="P12" s="108">
        <f t="shared" si="5"/>
        <v>7.0000000000000007E-2</v>
      </c>
      <c r="Q12" s="109">
        <f t="shared" si="6"/>
        <v>7.0000000000000007E-2</v>
      </c>
      <c r="R12" s="56">
        <f t="shared" si="8"/>
        <v>7.0000000000000007E-2</v>
      </c>
    </row>
    <row r="13" spans="1:19" ht="17.100000000000001" customHeight="1" x14ac:dyDescent="0.25">
      <c r="A13" s="6" t="s">
        <v>14</v>
      </c>
      <c r="B13" s="90" t="s">
        <v>134</v>
      </c>
      <c r="C13" s="90">
        <f t="shared" si="7"/>
        <v>8</v>
      </c>
      <c r="D13" s="90" t="s">
        <v>62</v>
      </c>
      <c r="E13" s="91"/>
      <c r="F13" s="99">
        <v>1.1299999999999999</v>
      </c>
      <c r="G13" s="100">
        <v>0</v>
      </c>
      <c r="H13" s="101">
        <f t="shared" si="1"/>
        <v>0</v>
      </c>
      <c r="I13" s="102"/>
      <c r="J13" s="103">
        <f t="shared" si="2"/>
        <v>0</v>
      </c>
      <c r="K13" s="103">
        <f t="shared" si="3"/>
        <v>0</v>
      </c>
      <c r="L13" s="104">
        <v>0</v>
      </c>
      <c r="M13" s="105">
        <f t="shared" si="0"/>
        <v>0</v>
      </c>
      <c r="N13" s="106">
        <v>0</v>
      </c>
      <c r="O13" s="107">
        <f t="shared" si="4"/>
        <v>0.08</v>
      </c>
      <c r="P13" s="108">
        <f t="shared" si="5"/>
        <v>0.08</v>
      </c>
      <c r="Q13" s="109">
        <f t="shared" si="6"/>
        <v>0.08</v>
      </c>
      <c r="R13" s="56">
        <f t="shared" si="8"/>
        <v>0.08</v>
      </c>
    </row>
    <row r="14" spans="1:19" ht="17.100000000000001" customHeight="1" x14ac:dyDescent="0.25">
      <c r="A14" s="6" t="s">
        <v>14</v>
      </c>
      <c r="B14" s="90" t="s">
        <v>135</v>
      </c>
      <c r="C14" s="90">
        <f t="shared" si="7"/>
        <v>9</v>
      </c>
      <c r="D14" s="90" t="s">
        <v>56</v>
      </c>
      <c r="E14" s="91"/>
      <c r="F14" s="99">
        <v>1.1299999999999999</v>
      </c>
      <c r="G14" s="100">
        <v>0</v>
      </c>
      <c r="H14" s="101">
        <f t="shared" si="1"/>
        <v>0</v>
      </c>
      <c r="I14" s="102"/>
      <c r="J14" s="103">
        <f t="shared" si="2"/>
        <v>0</v>
      </c>
      <c r="K14" s="103">
        <f t="shared" si="3"/>
        <v>0</v>
      </c>
      <c r="L14" s="104">
        <v>0</v>
      </c>
      <c r="M14" s="105">
        <f t="shared" si="0"/>
        <v>0</v>
      </c>
      <c r="N14" s="106">
        <v>0</v>
      </c>
      <c r="O14" s="107">
        <f t="shared" si="4"/>
        <v>0.09</v>
      </c>
      <c r="P14" s="108">
        <f t="shared" si="5"/>
        <v>0.09</v>
      </c>
      <c r="Q14" s="109">
        <f t="shared" si="6"/>
        <v>0.09</v>
      </c>
      <c r="R14" s="56">
        <f t="shared" si="8"/>
        <v>0.09</v>
      </c>
    </row>
    <row r="15" spans="1:19" ht="17.100000000000001" customHeight="1" x14ac:dyDescent="0.25">
      <c r="A15" s="6" t="s">
        <v>15</v>
      </c>
      <c r="B15" s="90" t="s">
        <v>136</v>
      </c>
      <c r="C15" s="90">
        <f t="shared" si="7"/>
        <v>10</v>
      </c>
      <c r="D15" s="90" t="s">
        <v>57</v>
      </c>
      <c r="E15" s="91"/>
      <c r="F15" s="99">
        <v>1.67</v>
      </c>
      <c r="G15" s="100">
        <v>0</v>
      </c>
      <c r="H15" s="101">
        <f t="shared" si="1"/>
        <v>0</v>
      </c>
      <c r="I15" s="102"/>
      <c r="J15" s="103">
        <f t="shared" si="2"/>
        <v>0</v>
      </c>
      <c r="K15" s="103">
        <f t="shared" si="3"/>
        <v>0</v>
      </c>
      <c r="L15" s="104">
        <v>0</v>
      </c>
      <c r="M15" s="105">
        <f t="shared" si="0"/>
        <v>0</v>
      </c>
      <c r="N15" s="106">
        <v>0</v>
      </c>
      <c r="O15" s="107">
        <f t="shared" si="4"/>
        <v>9.9999999999999992E-2</v>
      </c>
      <c r="P15" s="108">
        <f t="shared" si="5"/>
        <v>9.9999999999999992E-2</v>
      </c>
      <c r="Q15" s="109">
        <f t="shared" si="6"/>
        <v>9.9999999999999992E-2</v>
      </c>
      <c r="R15" s="56">
        <f t="shared" si="8"/>
        <v>9.9999999999999992E-2</v>
      </c>
    </row>
    <row r="16" spans="1:19" ht="17.100000000000001" customHeight="1" x14ac:dyDescent="0.25">
      <c r="A16" s="6" t="s">
        <v>15</v>
      </c>
      <c r="B16" s="90" t="s">
        <v>137</v>
      </c>
      <c r="C16" s="90">
        <f t="shared" si="7"/>
        <v>11</v>
      </c>
      <c r="D16" s="90" t="s">
        <v>63</v>
      </c>
      <c r="E16" s="91"/>
      <c r="F16" s="99">
        <v>1.71</v>
      </c>
      <c r="G16" s="100">
        <v>0</v>
      </c>
      <c r="H16" s="101">
        <f t="shared" si="1"/>
        <v>0</v>
      </c>
      <c r="I16" s="102"/>
      <c r="J16" s="103">
        <f t="shared" si="2"/>
        <v>0</v>
      </c>
      <c r="K16" s="103">
        <f t="shared" si="3"/>
        <v>0</v>
      </c>
      <c r="L16" s="104">
        <v>0</v>
      </c>
      <c r="M16" s="105">
        <f t="shared" si="0"/>
        <v>0</v>
      </c>
      <c r="N16" s="106">
        <v>0</v>
      </c>
      <c r="O16" s="107">
        <f t="shared" si="4"/>
        <v>0.10999999999999999</v>
      </c>
      <c r="P16" s="108">
        <f t="shared" si="5"/>
        <v>0.10999999999999999</v>
      </c>
      <c r="Q16" s="109">
        <f t="shared" si="6"/>
        <v>0.10999999999999999</v>
      </c>
      <c r="R16" s="56">
        <f t="shared" si="8"/>
        <v>0.10999999999999999</v>
      </c>
    </row>
    <row r="17" spans="1:20" ht="17.100000000000001" customHeight="1" x14ac:dyDescent="0.25">
      <c r="A17" s="6" t="s">
        <v>16</v>
      </c>
      <c r="B17" s="90" t="s">
        <v>138</v>
      </c>
      <c r="C17" s="90">
        <f t="shared" si="7"/>
        <v>12</v>
      </c>
      <c r="D17" s="90" t="s">
        <v>64</v>
      </c>
      <c r="E17" s="91"/>
      <c r="F17" s="99">
        <v>1.1299999999999999</v>
      </c>
      <c r="G17" s="100">
        <v>0</v>
      </c>
      <c r="H17" s="101">
        <f t="shared" si="1"/>
        <v>0</v>
      </c>
      <c r="I17" s="102"/>
      <c r="J17" s="103">
        <f t="shared" si="2"/>
        <v>0</v>
      </c>
      <c r="K17" s="103">
        <f t="shared" si="3"/>
        <v>0</v>
      </c>
      <c r="L17" s="104">
        <v>0</v>
      </c>
      <c r="M17" s="105">
        <f t="shared" si="0"/>
        <v>0</v>
      </c>
      <c r="N17" s="106">
        <v>0</v>
      </c>
      <c r="O17" s="107">
        <f t="shared" si="4"/>
        <v>0.11999999999999998</v>
      </c>
      <c r="P17" s="108">
        <f t="shared" si="5"/>
        <v>0.11999999999999998</v>
      </c>
      <c r="Q17" s="109">
        <f t="shared" si="6"/>
        <v>0.11999999999999998</v>
      </c>
      <c r="R17" s="56">
        <f t="shared" si="8"/>
        <v>0.11999999999999998</v>
      </c>
    </row>
    <row r="18" spans="1:20" ht="17.100000000000001" customHeight="1" x14ac:dyDescent="0.25">
      <c r="A18" s="6" t="s">
        <v>16</v>
      </c>
      <c r="B18" s="90" t="s">
        <v>139</v>
      </c>
      <c r="C18" s="90">
        <f t="shared" si="7"/>
        <v>13</v>
      </c>
      <c r="D18" s="90" t="s">
        <v>65</v>
      </c>
      <c r="E18" s="91"/>
      <c r="F18" s="99">
        <v>1.1299999999999999</v>
      </c>
      <c r="G18" s="100">
        <v>0</v>
      </c>
      <c r="H18" s="101">
        <f t="shared" si="1"/>
        <v>0</v>
      </c>
      <c r="I18" s="102"/>
      <c r="J18" s="103">
        <f t="shared" si="2"/>
        <v>0</v>
      </c>
      <c r="K18" s="103">
        <f t="shared" si="3"/>
        <v>0</v>
      </c>
      <c r="L18" s="104">
        <v>0</v>
      </c>
      <c r="M18" s="105">
        <f t="shared" si="0"/>
        <v>0</v>
      </c>
      <c r="N18" s="106">
        <v>0</v>
      </c>
      <c r="O18" s="107">
        <f t="shared" si="4"/>
        <v>0.12999999999999998</v>
      </c>
      <c r="P18" s="108">
        <f t="shared" si="5"/>
        <v>0.12999999999999998</v>
      </c>
      <c r="Q18" s="109">
        <f t="shared" si="6"/>
        <v>0.12999999999999998</v>
      </c>
      <c r="R18" s="56">
        <f t="shared" si="8"/>
        <v>0.12999999999999998</v>
      </c>
    </row>
    <row r="19" spans="1:20" ht="17.100000000000001" customHeight="1" x14ac:dyDescent="0.25">
      <c r="A19" s="6" t="s">
        <v>17</v>
      </c>
      <c r="B19" s="90" t="s">
        <v>140</v>
      </c>
      <c r="C19" s="90">
        <f t="shared" si="7"/>
        <v>14</v>
      </c>
      <c r="D19" s="90" t="s">
        <v>66</v>
      </c>
      <c r="E19" s="91"/>
      <c r="F19" s="99">
        <v>1.1299999999999999</v>
      </c>
      <c r="G19" s="100"/>
      <c r="H19" s="101"/>
      <c r="I19" s="102"/>
      <c r="J19" s="103">
        <f t="shared" si="2"/>
        <v>0</v>
      </c>
      <c r="K19" s="103">
        <f t="shared" si="3"/>
        <v>0</v>
      </c>
      <c r="L19" s="104">
        <v>0</v>
      </c>
      <c r="M19" s="105">
        <f t="shared" si="0"/>
        <v>0</v>
      </c>
      <c r="N19" s="106">
        <v>0</v>
      </c>
      <c r="O19" s="107">
        <f t="shared" si="4"/>
        <v>0.13999999999999999</v>
      </c>
      <c r="P19" s="108">
        <f t="shared" si="5"/>
        <v>0.13999999999999999</v>
      </c>
      <c r="Q19" s="109">
        <f t="shared" si="6"/>
        <v>0.13999999999999999</v>
      </c>
      <c r="R19" s="56">
        <f t="shared" si="8"/>
        <v>0.13999999999999999</v>
      </c>
    </row>
    <row r="20" spans="1:20" ht="17.100000000000001" customHeight="1" x14ac:dyDescent="0.25">
      <c r="A20" s="6" t="s">
        <v>17</v>
      </c>
      <c r="B20" s="90" t="s">
        <v>141</v>
      </c>
      <c r="C20" s="90">
        <f t="shared" si="7"/>
        <v>15</v>
      </c>
      <c r="D20" s="90" t="s">
        <v>67</v>
      </c>
      <c r="E20" s="91"/>
      <c r="F20" s="99">
        <v>1.67</v>
      </c>
      <c r="G20" s="100">
        <v>0</v>
      </c>
      <c r="H20" s="101">
        <f t="shared" ref="H20:H25" si="9">G20</f>
        <v>0</v>
      </c>
      <c r="I20" s="102"/>
      <c r="J20" s="103">
        <f>G20-H20</f>
        <v>0</v>
      </c>
      <c r="K20" s="103">
        <f t="shared" si="3"/>
        <v>0</v>
      </c>
      <c r="L20" s="104">
        <v>0</v>
      </c>
      <c r="M20" s="105">
        <f t="shared" si="0"/>
        <v>0</v>
      </c>
      <c r="N20" s="106">
        <v>0</v>
      </c>
      <c r="O20" s="107">
        <f t="shared" si="4"/>
        <v>0.15</v>
      </c>
      <c r="P20" s="108">
        <f t="shared" si="5"/>
        <v>0.15</v>
      </c>
      <c r="Q20" s="109">
        <f t="shared" si="6"/>
        <v>0.15</v>
      </c>
      <c r="R20" s="56">
        <f t="shared" si="8"/>
        <v>0.15</v>
      </c>
    </row>
    <row r="21" spans="1:20" ht="17.100000000000001" customHeight="1" x14ac:dyDescent="0.25">
      <c r="A21" s="6" t="s">
        <v>18</v>
      </c>
      <c r="B21" s="90" t="s">
        <v>142</v>
      </c>
      <c r="C21" s="90">
        <f t="shared" si="7"/>
        <v>16</v>
      </c>
      <c r="D21" s="90" t="s">
        <v>52</v>
      </c>
      <c r="E21" s="90"/>
      <c r="F21" s="99">
        <v>1.71</v>
      </c>
      <c r="G21" s="100">
        <v>0</v>
      </c>
      <c r="H21" s="101">
        <f t="shared" si="9"/>
        <v>0</v>
      </c>
      <c r="I21" s="102"/>
      <c r="J21" s="103">
        <f t="shared" si="2"/>
        <v>0</v>
      </c>
      <c r="K21" s="103">
        <f t="shared" si="3"/>
        <v>0</v>
      </c>
      <c r="L21" s="104">
        <v>0</v>
      </c>
      <c r="M21" s="105">
        <f t="shared" si="0"/>
        <v>0</v>
      </c>
      <c r="N21" s="106">
        <v>0</v>
      </c>
      <c r="O21" s="107">
        <f t="shared" si="4"/>
        <v>0.16</v>
      </c>
      <c r="P21" s="108">
        <f t="shared" si="5"/>
        <v>0.16</v>
      </c>
      <c r="Q21" s="109">
        <f t="shared" si="6"/>
        <v>0.16</v>
      </c>
      <c r="R21" s="56">
        <f t="shared" si="8"/>
        <v>0.16</v>
      </c>
      <c r="T21" s="55"/>
    </row>
    <row r="22" spans="1:20" ht="17.100000000000001" customHeight="1" x14ac:dyDescent="0.25">
      <c r="A22" s="6" t="s">
        <v>18</v>
      </c>
      <c r="B22" s="90" t="s">
        <v>143</v>
      </c>
      <c r="C22" s="90">
        <f t="shared" si="7"/>
        <v>17</v>
      </c>
      <c r="D22" s="90" t="s">
        <v>68</v>
      </c>
      <c r="E22" s="91"/>
      <c r="F22" s="99">
        <v>1.1299999999999999</v>
      </c>
      <c r="G22" s="100">
        <v>0</v>
      </c>
      <c r="H22" s="101">
        <f t="shared" si="9"/>
        <v>0</v>
      </c>
      <c r="I22" s="102"/>
      <c r="J22" s="103">
        <f t="shared" si="2"/>
        <v>0</v>
      </c>
      <c r="K22" s="103">
        <f t="shared" si="3"/>
        <v>0</v>
      </c>
      <c r="L22" s="104">
        <v>0</v>
      </c>
      <c r="M22" s="105">
        <f t="shared" si="0"/>
        <v>0</v>
      </c>
      <c r="N22" s="106">
        <v>0</v>
      </c>
      <c r="O22" s="107">
        <f t="shared" si="4"/>
        <v>0.17</v>
      </c>
      <c r="P22" s="108">
        <f t="shared" si="5"/>
        <v>0.17</v>
      </c>
      <c r="Q22" s="109">
        <f t="shared" si="6"/>
        <v>0.17</v>
      </c>
      <c r="R22" s="56">
        <f t="shared" si="8"/>
        <v>0.17</v>
      </c>
    </row>
    <row r="23" spans="1:20" ht="17.100000000000001" customHeight="1" x14ac:dyDescent="0.25">
      <c r="A23" s="6" t="s">
        <v>19</v>
      </c>
      <c r="B23" s="90" t="s">
        <v>144</v>
      </c>
      <c r="C23" s="90">
        <f t="shared" si="7"/>
        <v>18</v>
      </c>
      <c r="D23" s="90" t="s">
        <v>69</v>
      </c>
      <c r="E23" s="90"/>
      <c r="F23" s="99">
        <v>1.1299999999999999</v>
      </c>
      <c r="G23" s="100">
        <v>0</v>
      </c>
      <c r="H23" s="101">
        <f t="shared" si="9"/>
        <v>0</v>
      </c>
      <c r="I23" s="102"/>
      <c r="J23" s="103">
        <f t="shared" si="2"/>
        <v>0</v>
      </c>
      <c r="K23" s="103">
        <f t="shared" si="3"/>
        <v>0</v>
      </c>
      <c r="L23" s="104">
        <v>0</v>
      </c>
      <c r="M23" s="105">
        <f t="shared" si="0"/>
        <v>0</v>
      </c>
      <c r="N23" s="106">
        <v>0</v>
      </c>
      <c r="O23" s="107">
        <f t="shared" si="4"/>
        <v>0.18000000000000002</v>
      </c>
      <c r="P23" s="108">
        <f t="shared" si="5"/>
        <v>0.18000000000000002</v>
      </c>
      <c r="Q23" s="109">
        <f t="shared" si="6"/>
        <v>0.18000000000000002</v>
      </c>
      <c r="R23" s="56">
        <f t="shared" si="8"/>
        <v>0.18000000000000002</v>
      </c>
    </row>
    <row r="24" spans="1:20" ht="17.100000000000001" customHeight="1" x14ac:dyDescent="0.25">
      <c r="A24" s="6" t="s">
        <v>19</v>
      </c>
      <c r="B24" s="90" t="s">
        <v>145</v>
      </c>
      <c r="C24" s="90">
        <f t="shared" si="7"/>
        <v>19</v>
      </c>
      <c r="D24" s="90" t="s">
        <v>70</v>
      </c>
      <c r="E24" s="91"/>
      <c r="F24" s="99">
        <v>1.1299999999999999</v>
      </c>
      <c r="G24" s="100">
        <v>0</v>
      </c>
      <c r="H24" s="101">
        <f t="shared" si="9"/>
        <v>0</v>
      </c>
      <c r="I24" s="102"/>
      <c r="J24" s="103">
        <f t="shared" si="2"/>
        <v>0</v>
      </c>
      <c r="K24" s="103">
        <f t="shared" si="3"/>
        <v>0</v>
      </c>
      <c r="L24" s="104">
        <v>0</v>
      </c>
      <c r="M24" s="105">
        <f t="shared" si="0"/>
        <v>0</v>
      </c>
      <c r="N24" s="106">
        <v>0</v>
      </c>
      <c r="O24" s="107">
        <f t="shared" si="4"/>
        <v>0.19000000000000003</v>
      </c>
      <c r="P24" s="108">
        <f t="shared" si="5"/>
        <v>0.19000000000000003</v>
      </c>
      <c r="Q24" s="109">
        <f t="shared" si="6"/>
        <v>0.19000000000000003</v>
      </c>
      <c r="R24" s="56">
        <f t="shared" si="8"/>
        <v>0.19000000000000003</v>
      </c>
    </row>
    <row r="25" spans="1:20" ht="17.100000000000001" customHeight="1" x14ac:dyDescent="0.25">
      <c r="A25" s="6" t="s">
        <v>20</v>
      </c>
      <c r="B25" s="90" t="s">
        <v>146</v>
      </c>
      <c r="C25" s="90">
        <f t="shared" si="7"/>
        <v>20</v>
      </c>
      <c r="D25" s="90" t="s">
        <v>53</v>
      </c>
      <c r="E25" s="90"/>
      <c r="F25" s="99">
        <v>1.67</v>
      </c>
      <c r="G25" s="100">
        <v>0</v>
      </c>
      <c r="H25" s="101">
        <f t="shared" si="9"/>
        <v>0</v>
      </c>
      <c r="I25" s="102"/>
      <c r="J25" s="141">
        <f t="shared" si="2"/>
        <v>0</v>
      </c>
      <c r="K25" s="103">
        <f t="shared" si="3"/>
        <v>0</v>
      </c>
      <c r="L25" s="104">
        <v>0</v>
      </c>
      <c r="M25" s="105">
        <f t="shared" si="0"/>
        <v>0</v>
      </c>
      <c r="N25" s="106">
        <v>0</v>
      </c>
      <c r="O25" s="107">
        <f t="shared" si="4"/>
        <v>0.20000000000000004</v>
      </c>
      <c r="P25" s="108">
        <f t="shared" si="5"/>
        <v>0.20000000000000004</v>
      </c>
      <c r="Q25" s="109">
        <f t="shared" si="6"/>
        <v>0.20000000000000004</v>
      </c>
      <c r="R25" s="56">
        <f t="shared" si="8"/>
        <v>0.20000000000000004</v>
      </c>
    </row>
    <row r="26" spans="1:20" ht="17.100000000000001" customHeight="1" x14ac:dyDescent="0.25">
      <c r="A26" s="6" t="s">
        <v>21</v>
      </c>
      <c r="B26" s="90" t="s">
        <v>147</v>
      </c>
      <c r="C26" s="90">
        <f t="shared" si="7"/>
        <v>21</v>
      </c>
      <c r="D26" s="90" t="s">
        <v>71</v>
      </c>
      <c r="E26" s="91"/>
      <c r="F26" s="99">
        <v>1.71</v>
      </c>
      <c r="G26" s="100">
        <v>0</v>
      </c>
      <c r="H26" s="101">
        <f>G26</f>
        <v>0</v>
      </c>
      <c r="I26" s="102"/>
      <c r="J26" s="103">
        <f t="shared" si="2"/>
        <v>0</v>
      </c>
      <c r="K26" s="103">
        <f t="shared" si="3"/>
        <v>0</v>
      </c>
      <c r="L26" s="104">
        <v>0</v>
      </c>
      <c r="M26" s="105">
        <f t="shared" si="0"/>
        <v>0</v>
      </c>
      <c r="N26" s="106">
        <v>0</v>
      </c>
      <c r="O26" s="107">
        <f t="shared" si="4"/>
        <v>0.21000000000000005</v>
      </c>
      <c r="P26" s="108">
        <f t="shared" si="5"/>
        <v>0.21000000000000005</v>
      </c>
      <c r="Q26" s="109">
        <f t="shared" si="6"/>
        <v>0.21000000000000005</v>
      </c>
      <c r="R26" s="56">
        <f t="shared" si="8"/>
        <v>0.21000000000000005</v>
      </c>
    </row>
    <row r="27" spans="1:20" ht="17.100000000000001" customHeight="1" x14ac:dyDescent="0.25">
      <c r="A27" s="6" t="s">
        <v>22</v>
      </c>
      <c r="B27" s="90" t="s">
        <v>148</v>
      </c>
      <c r="C27" s="90">
        <f t="shared" si="7"/>
        <v>22</v>
      </c>
      <c r="D27" s="90" t="s">
        <v>72</v>
      </c>
      <c r="E27" s="91"/>
      <c r="F27" s="99">
        <v>1.1299999999999999</v>
      </c>
      <c r="G27" s="100">
        <v>0</v>
      </c>
      <c r="H27" s="101">
        <f>G27</f>
        <v>0</v>
      </c>
      <c r="I27" s="102"/>
      <c r="J27" s="103">
        <f t="shared" si="2"/>
        <v>0</v>
      </c>
      <c r="K27" s="103">
        <f t="shared" si="3"/>
        <v>0</v>
      </c>
      <c r="L27" s="104">
        <v>0</v>
      </c>
      <c r="M27" s="105">
        <f t="shared" si="0"/>
        <v>0</v>
      </c>
      <c r="N27" s="106">
        <v>0</v>
      </c>
      <c r="O27" s="107">
        <f t="shared" si="4"/>
        <v>0.22000000000000006</v>
      </c>
      <c r="P27" s="108">
        <f t="shared" si="5"/>
        <v>0.22000000000000006</v>
      </c>
      <c r="Q27" s="109">
        <f t="shared" si="6"/>
        <v>0.22000000000000006</v>
      </c>
      <c r="R27" s="56">
        <f t="shared" si="8"/>
        <v>0.22000000000000006</v>
      </c>
    </row>
    <row r="28" spans="1:20" ht="17.100000000000001" customHeight="1" x14ac:dyDescent="0.25">
      <c r="A28" s="6" t="s">
        <v>23</v>
      </c>
      <c r="B28" s="90" t="s">
        <v>149</v>
      </c>
      <c r="C28" s="90">
        <f t="shared" si="7"/>
        <v>23</v>
      </c>
      <c r="D28" s="90" t="s">
        <v>73</v>
      </c>
      <c r="E28" s="91"/>
      <c r="F28" s="99">
        <v>1.1299999999999999</v>
      </c>
      <c r="G28" s="100">
        <v>0</v>
      </c>
      <c r="H28" s="101">
        <f>G28</f>
        <v>0</v>
      </c>
      <c r="I28" s="102"/>
      <c r="J28" s="103">
        <f t="shared" si="2"/>
        <v>0</v>
      </c>
      <c r="K28" s="103">
        <f t="shared" si="3"/>
        <v>0</v>
      </c>
      <c r="L28" s="104">
        <v>0</v>
      </c>
      <c r="M28" s="105">
        <f t="shared" si="0"/>
        <v>0</v>
      </c>
      <c r="N28" s="106">
        <v>0</v>
      </c>
      <c r="O28" s="107">
        <f t="shared" si="4"/>
        <v>0.23000000000000007</v>
      </c>
      <c r="P28" s="108">
        <f t="shared" si="5"/>
        <v>0.23000000000000007</v>
      </c>
      <c r="Q28" s="109">
        <f t="shared" si="6"/>
        <v>0.23000000000000007</v>
      </c>
      <c r="R28" s="56">
        <f t="shared" si="8"/>
        <v>0.23000000000000007</v>
      </c>
    </row>
    <row r="29" spans="1:20" ht="17.100000000000001" customHeight="1" x14ac:dyDescent="0.25">
      <c r="A29" s="6" t="s">
        <v>26</v>
      </c>
      <c r="B29" s="90" t="s">
        <v>150</v>
      </c>
      <c r="C29" s="90">
        <f t="shared" si="7"/>
        <v>24</v>
      </c>
      <c r="D29" s="90" t="s">
        <v>74</v>
      </c>
      <c r="E29" s="91"/>
      <c r="F29" s="99">
        <v>1.1299999999999999</v>
      </c>
      <c r="G29" s="100"/>
      <c r="H29" s="101">
        <f>G29</f>
        <v>0</v>
      </c>
      <c r="I29" s="102"/>
      <c r="J29" s="103">
        <f t="shared" si="2"/>
        <v>0</v>
      </c>
      <c r="K29" s="103">
        <f t="shared" si="3"/>
        <v>0</v>
      </c>
      <c r="L29" s="104">
        <v>0</v>
      </c>
      <c r="M29" s="105">
        <f t="shared" si="0"/>
        <v>0</v>
      </c>
      <c r="N29" s="106">
        <v>0</v>
      </c>
      <c r="O29" s="107">
        <f t="shared" si="4"/>
        <v>0.24000000000000007</v>
      </c>
      <c r="P29" s="108">
        <f t="shared" si="5"/>
        <v>0.24000000000000007</v>
      </c>
      <c r="Q29" s="109">
        <f t="shared" si="6"/>
        <v>0.24000000000000007</v>
      </c>
      <c r="R29" s="56">
        <f t="shared" si="8"/>
        <v>0.24000000000000007</v>
      </c>
    </row>
    <row r="30" spans="1:20" ht="17.100000000000001" customHeight="1" x14ac:dyDescent="0.25">
      <c r="A30" s="6" t="s">
        <v>26</v>
      </c>
      <c r="B30" s="90" t="s">
        <v>151</v>
      </c>
      <c r="C30" s="90">
        <f t="shared" si="7"/>
        <v>25</v>
      </c>
      <c r="D30" s="90" t="s">
        <v>75</v>
      </c>
      <c r="E30" s="90"/>
      <c r="F30" s="99">
        <v>1.67</v>
      </c>
      <c r="G30" s="100">
        <v>0</v>
      </c>
      <c r="H30" s="101">
        <f t="shared" ref="H30:H35" si="10">G30</f>
        <v>0</v>
      </c>
      <c r="I30" s="102"/>
      <c r="J30" s="103">
        <f t="shared" si="2"/>
        <v>0</v>
      </c>
      <c r="K30" s="103">
        <f t="shared" si="3"/>
        <v>0</v>
      </c>
      <c r="L30" s="104">
        <v>0</v>
      </c>
      <c r="M30" s="105">
        <f t="shared" si="0"/>
        <v>0</v>
      </c>
      <c r="N30" s="106">
        <v>0</v>
      </c>
      <c r="O30" s="107">
        <f t="shared" si="4"/>
        <v>0.25000000000000006</v>
      </c>
      <c r="P30" s="108">
        <f t="shared" si="5"/>
        <v>0.25000000000000006</v>
      </c>
      <c r="Q30" s="109">
        <f t="shared" si="6"/>
        <v>0.25000000000000006</v>
      </c>
      <c r="R30" s="56">
        <f t="shared" si="8"/>
        <v>0.25000000000000006</v>
      </c>
    </row>
    <row r="31" spans="1:20" ht="17.100000000000001" customHeight="1" x14ac:dyDescent="0.25">
      <c r="A31" s="6" t="s">
        <v>26</v>
      </c>
      <c r="B31" s="90" t="s">
        <v>152</v>
      </c>
      <c r="C31" s="90">
        <f t="shared" si="7"/>
        <v>26</v>
      </c>
      <c r="D31" s="90" t="s">
        <v>202</v>
      </c>
      <c r="E31" s="90"/>
      <c r="F31" s="99">
        <v>1.71</v>
      </c>
      <c r="G31" s="100">
        <v>0</v>
      </c>
      <c r="H31" s="101">
        <f t="shared" si="10"/>
        <v>0</v>
      </c>
      <c r="I31" s="102"/>
      <c r="J31" s="103">
        <f t="shared" si="2"/>
        <v>0</v>
      </c>
      <c r="K31" s="103">
        <f t="shared" si="3"/>
        <v>0</v>
      </c>
      <c r="L31" s="104">
        <v>0</v>
      </c>
      <c r="M31" s="105">
        <f t="shared" si="0"/>
        <v>0</v>
      </c>
      <c r="N31" s="106">
        <v>0</v>
      </c>
      <c r="O31" s="107">
        <f t="shared" si="4"/>
        <v>0.26000000000000006</v>
      </c>
      <c r="P31" s="108">
        <f t="shared" si="5"/>
        <v>0.26000000000000006</v>
      </c>
      <c r="Q31" s="109">
        <f t="shared" si="6"/>
        <v>0.26000000000000006</v>
      </c>
      <c r="R31" s="56">
        <f t="shared" si="8"/>
        <v>0.26000000000000006</v>
      </c>
    </row>
    <row r="32" spans="1:20" ht="17.100000000000001" customHeight="1" x14ac:dyDescent="0.25">
      <c r="A32" s="6" t="s">
        <v>26</v>
      </c>
      <c r="B32" s="90" t="s">
        <v>153</v>
      </c>
      <c r="C32" s="90">
        <f t="shared" si="7"/>
        <v>27</v>
      </c>
      <c r="D32" s="90" t="s">
        <v>76</v>
      </c>
      <c r="E32" s="91"/>
      <c r="F32" s="99">
        <v>1.1299999999999999</v>
      </c>
      <c r="G32" s="100">
        <v>0</v>
      </c>
      <c r="H32" s="101">
        <f t="shared" si="10"/>
        <v>0</v>
      </c>
      <c r="I32" s="102"/>
      <c r="J32" s="103">
        <f t="shared" si="2"/>
        <v>0</v>
      </c>
      <c r="K32" s="103">
        <f t="shared" si="3"/>
        <v>0</v>
      </c>
      <c r="L32" s="104">
        <v>0</v>
      </c>
      <c r="M32" s="105">
        <f t="shared" si="0"/>
        <v>0</v>
      </c>
      <c r="N32" s="106">
        <v>0</v>
      </c>
      <c r="O32" s="107">
        <f t="shared" si="4"/>
        <v>0.27000000000000007</v>
      </c>
      <c r="P32" s="108">
        <f t="shared" si="5"/>
        <v>0.27000000000000007</v>
      </c>
      <c r="Q32" s="109">
        <f t="shared" si="6"/>
        <v>0.27000000000000007</v>
      </c>
      <c r="R32" s="56">
        <f t="shared" si="8"/>
        <v>0.27000000000000007</v>
      </c>
    </row>
    <row r="33" spans="1:18" ht="17.100000000000001" customHeight="1" x14ac:dyDescent="0.25">
      <c r="A33" s="6" t="s">
        <v>26</v>
      </c>
      <c r="B33" s="90" t="s">
        <v>154</v>
      </c>
      <c r="C33" s="90">
        <f t="shared" si="7"/>
        <v>28</v>
      </c>
      <c r="D33" s="90" t="s">
        <v>54</v>
      </c>
      <c r="E33" s="90"/>
      <c r="F33" s="99">
        <v>1.1299999999999999</v>
      </c>
      <c r="G33" s="100">
        <v>0</v>
      </c>
      <c r="H33" s="101">
        <f t="shared" si="10"/>
        <v>0</v>
      </c>
      <c r="I33" s="102"/>
      <c r="J33" s="103">
        <f t="shared" si="2"/>
        <v>0</v>
      </c>
      <c r="K33" s="103">
        <f t="shared" si="3"/>
        <v>0</v>
      </c>
      <c r="L33" s="104">
        <v>0</v>
      </c>
      <c r="M33" s="105">
        <f t="shared" si="0"/>
        <v>0</v>
      </c>
      <c r="N33" s="149">
        <v>42488</v>
      </c>
      <c r="O33" s="107">
        <f t="shared" si="4"/>
        <v>42488.28</v>
      </c>
      <c r="P33" s="108">
        <f t="shared" si="5"/>
        <v>45038.28</v>
      </c>
      <c r="Q33" s="109">
        <f t="shared" si="6"/>
        <v>43763.28</v>
      </c>
      <c r="R33" s="56">
        <f t="shared" si="8"/>
        <v>0.28000000000000008</v>
      </c>
    </row>
    <row r="34" spans="1:18" ht="17.100000000000001" customHeight="1" x14ac:dyDescent="0.25">
      <c r="A34" s="6" t="s">
        <v>26</v>
      </c>
      <c r="B34" s="90" t="s">
        <v>155</v>
      </c>
      <c r="C34" s="90">
        <f t="shared" si="7"/>
        <v>29</v>
      </c>
      <c r="D34" s="90" t="s">
        <v>55</v>
      </c>
      <c r="E34" s="90"/>
      <c r="F34" s="99">
        <v>1.1299999999999999</v>
      </c>
      <c r="G34" s="100">
        <v>0</v>
      </c>
      <c r="H34" s="101">
        <f t="shared" si="10"/>
        <v>0</v>
      </c>
      <c r="I34" s="102"/>
      <c r="J34" s="103">
        <f t="shared" si="2"/>
        <v>0</v>
      </c>
      <c r="K34" s="103">
        <f t="shared" si="3"/>
        <v>0</v>
      </c>
      <c r="L34" s="104">
        <v>0</v>
      </c>
      <c r="M34" s="105">
        <f t="shared" si="0"/>
        <v>0</v>
      </c>
      <c r="N34" s="106">
        <v>0</v>
      </c>
      <c r="O34" s="107">
        <f t="shared" si="4"/>
        <v>0.29000000000000009</v>
      </c>
      <c r="P34" s="108">
        <f t="shared" si="5"/>
        <v>0.29000000000000009</v>
      </c>
      <c r="Q34" s="109">
        <f t="shared" si="6"/>
        <v>0.29000000000000009</v>
      </c>
      <c r="R34" s="56">
        <f t="shared" si="8"/>
        <v>0.29000000000000009</v>
      </c>
    </row>
    <row r="35" spans="1:18" ht="17.100000000000001" customHeight="1" x14ac:dyDescent="0.25">
      <c r="A35" s="6" t="s">
        <v>26</v>
      </c>
      <c r="B35" s="90" t="s">
        <v>156</v>
      </c>
      <c r="C35" s="90">
        <f t="shared" si="7"/>
        <v>30</v>
      </c>
      <c r="D35" s="90" t="s">
        <v>77</v>
      </c>
      <c r="E35" s="91"/>
      <c r="F35" s="99">
        <v>1.67</v>
      </c>
      <c r="G35" s="100">
        <v>0</v>
      </c>
      <c r="H35" s="101">
        <f t="shared" si="10"/>
        <v>0</v>
      </c>
      <c r="I35" s="102"/>
      <c r="J35" s="103">
        <f t="shared" si="2"/>
        <v>0</v>
      </c>
      <c r="K35" s="103">
        <f t="shared" si="3"/>
        <v>0</v>
      </c>
      <c r="L35" s="104">
        <v>0</v>
      </c>
      <c r="M35" s="105">
        <f t="shared" si="0"/>
        <v>0</v>
      </c>
      <c r="N35" s="106">
        <v>0</v>
      </c>
      <c r="O35" s="107">
        <f t="shared" si="4"/>
        <v>0.3000000000000001</v>
      </c>
      <c r="P35" s="108">
        <f t="shared" si="5"/>
        <v>0.3000000000000001</v>
      </c>
      <c r="Q35" s="109">
        <f t="shared" si="6"/>
        <v>0.3000000000000001</v>
      </c>
      <c r="R35" s="56">
        <f t="shared" si="8"/>
        <v>0.3000000000000001</v>
      </c>
    </row>
    <row r="36" spans="1:18" ht="0.75" customHeight="1" x14ac:dyDescent="0.25">
      <c r="A36" s="6" t="s">
        <v>26</v>
      </c>
      <c r="B36" s="90"/>
      <c r="C36" s="90"/>
      <c r="D36" s="90"/>
      <c r="E36" s="90"/>
      <c r="F36" s="99"/>
      <c r="G36" s="100">
        <v>0</v>
      </c>
      <c r="H36" s="101"/>
      <c r="I36" s="110"/>
      <c r="J36" s="111">
        <f t="shared" si="2"/>
        <v>0</v>
      </c>
      <c r="K36" s="103">
        <f t="shared" si="3"/>
        <v>0</v>
      </c>
      <c r="L36" s="104">
        <v>0</v>
      </c>
      <c r="M36" s="112">
        <f t="shared" si="0"/>
        <v>0</v>
      </c>
      <c r="N36" s="113">
        <v>0</v>
      </c>
      <c r="O36" s="107">
        <f t="shared" si="4"/>
        <v>0</v>
      </c>
      <c r="P36" s="108">
        <f t="shared" si="5"/>
        <v>0</v>
      </c>
      <c r="Q36" s="109">
        <f t="shared" si="6"/>
        <v>0</v>
      </c>
      <c r="R36" s="56"/>
    </row>
    <row r="37" spans="1:18" ht="17.100000000000001" customHeight="1" x14ac:dyDescent="0.25">
      <c r="A37" s="6" t="s">
        <v>26</v>
      </c>
      <c r="B37" s="90" t="s">
        <v>157</v>
      </c>
      <c r="C37" s="90">
        <v>31</v>
      </c>
      <c r="D37" s="90" t="s">
        <v>94</v>
      </c>
      <c r="E37" s="91"/>
      <c r="F37" s="99">
        <v>1.71</v>
      </c>
      <c r="G37" s="100">
        <v>0</v>
      </c>
      <c r="H37" s="101">
        <f>G37</f>
        <v>0</v>
      </c>
      <c r="I37" s="102"/>
      <c r="J37" s="103">
        <f t="shared" si="2"/>
        <v>0</v>
      </c>
      <c r="K37" s="103">
        <f t="shared" si="3"/>
        <v>0</v>
      </c>
      <c r="L37" s="104">
        <v>0</v>
      </c>
      <c r="M37" s="105">
        <f t="shared" si="0"/>
        <v>0</v>
      </c>
      <c r="N37" s="106">
        <v>0</v>
      </c>
      <c r="O37" s="107">
        <f t="shared" si="4"/>
        <v>0.31</v>
      </c>
      <c r="P37" s="108">
        <f t="shared" si="5"/>
        <v>0.31</v>
      </c>
      <c r="Q37" s="109">
        <f t="shared" si="6"/>
        <v>0.31</v>
      </c>
      <c r="R37" s="56">
        <v>0.31</v>
      </c>
    </row>
    <row r="38" spans="1:18" ht="17.100000000000001" customHeight="1" x14ac:dyDescent="0.25">
      <c r="A38" s="6" t="s">
        <v>26</v>
      </c>
      <c r="B38" s="90" t="s">
        <v>158</v>
      </c>
      <c r="C38" s="90">
        <f>C37+1</f>
        <v>32</v>
      </c>
      <c r="D38" s="90" t="s">
        <v>95</v>
      </c>
      <c r="E38" s="91"/>
      <c r="F38" s="99">
        <v>1.1299999999999999</v>
      </c>
      <c r="G38" s="100">
        <v>0</v>
      </c>
      <c r="H38" s="101">
        <f>G38</f>
        <v>0</v>
      </c>
      <c r="I38" s="102"/>
      <c r="J38" s="103">
        <f t="shared" si="2"/>
        <v>0</v>
      </c>
      <c r="K38" s="103">
        <f t="shared" si="3"/>
        <v>0</v>
      </c>
      <c r="L38" s="104">
        <v>0</v>
      </c>
      <c r="M38" s="105">
        <f t="shared" si="0"/>
        <v>0</v>
      </c>
      <c r="N38" s="106">
        <v>0</v>
      </c>
      <c r="O38" s="107">
        <f t="shared" si="4"/>
        <v>0.32</v>
      </c>
      <c r="P38" s="108">
        <f t="shared" si="5"/>
        <v>0.32</v>
      </c>
      <c r="Q38" s="109">
        <f t="shared" si="6"/>
        <v>0.32</v>
      </c>
      <c r="R38" s="56">
        <f t="shared" si="8"/>
        <v>0.32</v>
      </c>
    </row>
    <row r="39" spans="1:18" ht="17.100000000000001" customHeight="1" x14ac:dyDescent="0.25">
      <c r="A39" s="6" t="s">
        <v>26</v>
      </c>
      <c r="B39" s="90" t="s">
        <v>159</v>
      </c>
      <c r="C39" s="90">
        <f t="shared" ref="C39:C80" si="11">C38+1</f>
        <v>33</v>
      </c>
      <c r="D39" s="90" t="s">
        <v>78</v>
      </c>
      <c r="E39" s="90"/>
      <c r="F39" s="99">
        <v>1.1299999999999999</v>
      </c>
      <c r="G39" s="100">
        <v>0</v>
      </c>
      <c r="H39" s="101">
        <f>G39</f>
        <v>0</v>
      </c>
      <c r="I39" s="102"/>
      <c r="J39" s="103">
        <f t="shared" si="2"/>
        <v>0</v>
      </c>
      <c r="K39" s="103">
        <f t="shared" si="3"/>
        <v>0</v>
      </c>
      <c r="L39" s="104">
        <v>0</v>
      </c>
      <c r="M39" s="105">
        <f t="shared" si="0"/>
        <v>0</v>
      </c>
      <c r="N39" s="106">
        <v>0</v>
      </c>
      <c r="O39" s="107">
        <f t="shared" si="4"/>
        <v>0.33</v>
      </c>
      <c r="P39" s="108">
        <f t="shared" si="5"/>
        <v>0.33</v>
      </c>
      <c r="Q39" s="109">
        <f t="shared" si="6"/>
        <v>0.33</v>
      </c>
      <c r="R39" s="56">
        <f t="shared" si="8"/>
        <v>0.33</v>
      </c>
    </row>
    <row r="40" spans="1:18" ht="17.100000000000001" customHeight="1" x14ac:dyDescent="0.25">
      <c r="A40" s="6" t="s">
        <v>26</v>
      </c>
      <c r="B40" s="90" t="s">
        <v>160</v>
      </c>
      <c r="C40" s="90">
        <f t="shared" si="11"/>
        <v>34</v>
      </c>
      <c r="D40" s="90" t="s">
        <v>96</v>
      </c>
      <c r="E40" s="91"/>
      <c r="F40" s="99">
        <v>1.1299999999999999</v>
      </c>
      <c r="G40" s="100">
        <v>0</v>
      </c>
      <c r="H40" s="101">
        <f>G40</f>
        <v>0</v>
      </c>
      <c r="I40" s="102"/>
      <c r="J40" s="103">
        <f t="shared" si="2"/>
        <v>0</v>
      </c>
      <c r="K40" s="103">
        <f t="shared" si="3"/>
        <v>0</v>
      </c>
      <c r="L40" s="104">
        <v>0</v>
      </c>
      <c r="M40" s="105">
        <f t="shared" si="0"/>
        <v>0</v>
      </c>
      <c r="N40" s="106">
        <v>0</v>
      </c>
      <c r="O40" s="107">
        <f t="shared" si="4"/>
        <v>0.34</v>
      </c>
      <c r="P40" s="108">
        <f t="shared" si="5"/>
        <v>0.34</v>
      </c>
      <c r="Q40" s="109">
        <f t="shared" si="6"/>
        <v>0.34</v>
      </c>
      <c r="R40" s="56">
        <f t="shared" si="8"/>
        <v>0.34</v>
      </c>
    </row>
    <row r="41" spans="1:18" ht="17.100000000000001" customHeight="1" x14ac:dyDescent="0.25">
      <c r="A41" s="6" t="s">
        <v>26</v>
      </c>
      <c r="B41" s="90" t="s">
        <v>161</v>
      </c>
      <c r="C41" s="90">
        <f t="shared" si="11"/>
        <v>35</v>
      </c>
      <c r="D41" s="90" t="s">
        <v>97</v>
      </c>
      <c r="E41" s="91"/>
      <c r="F41" s="99">
        <v>1.67</v>
      </c>
      <c r="G41" s="100">
        <v>0</v>
      </c>
      <c r="H41" s="101">
        <f t="shared" ref="H41:H46" si="12">G41</f>
        <v>0</v>
      </c>
      <c r="I41" s="102"/>
      <c r="J41" s="103">
        <f t="shared" si="2"/>
        <v>0</v>
      </c>
      <c r="K41" s="103">
        <f t="shared" si="3"/>
        <v>0</v>
      </c>
      <c r="L41" s="104">
        <v>0</v>
      </c>
      <c r="M41" s="105">
        <f t="shared" si="0"/>
        <v>0</v>
      </c>
      <c r="N41" s="106">
        <v>0</v>
      </c>
      <c r="O41" s="107">
        <f t="shared" si="4"/>
        <v>0.35000000000000003</v>
      </c>
      <c r="P41" s="108">
        <f t="shared" si="5"/>
        <v>0.35000000000000003</v>
      </c>
      <c r="Q41" s="109">
        <f t="shared" si="6"/>
        <v>0.35000000000000003</v>
      </c>
      <c r="R41" s="56">
        <f t="shared" si="8"/>
        <v>0.35000000000000003</v>
      </c>
    </row>
    <row r="42" spans="1:18" ht="17.100000000000001" customHeight="1" x14ac:dyDescent="0.25">
      <c r="A42" s="31"/>
      <c r="B42" s="89" t="s">
        <v>162</v>
      </c>
      <c r="C42" s="90">
        <f t="shared" si="11"/>
        <v>36</v>
      </c>
      <c r="D42" s="89" t="s">
        <v>98</v>
      </c>
      <c r="E42" s="114"/>
      <c r="F42" s="115">
        <v>1.71</v>
      </c>
      <c r="G42" s="100">
        <v>0</v>
      </c>
      <c r="H42" s="101">
        <f t="shared" si="12"/>
        <v>0</v>
      </c>
      <c r="I42" s="102"/>
      <c r="J42" s="103">
        <f t="shared" si="2"/>
        <v>0</v>
      </c>
      <c r="K42" s="103">
        <f t="shared" si="3"/>
        <v>0</v>
      </c>
      <c r="L42" s="104">
        <v>0</v>
      </c>
      <c r="M42" s="105">
        <f t="shared" si="0"/>
        <v>0</v>
      </c>
      <c r="N42" s="106">
        <v>0</v>
      </c>
      <c r="O42" s="107">
        <f t="shared" si="4"/>
        <v>0.36000000000000004</v>
      </c>
      <c r="P42" s="108">
        <f t="shared" si="5"/>
        <v>0.36000000000000004</v>
      </c>
      <c r="Q42" s="109">
        <f t="shared" si="6"/>
        <v>0.36000000000000004</v>
      </c>
      <c r="R42" s="56">
        <f t="shared" si="8"/>
        <v>0.36000000000000004</v>
      </c>
    </row>
    <row r="43" spans="1:18" ht="17.100000000000001" customHeight="1" x14ac:dyDescent="0.25">
      <c r="B43" s="90" t="s">
        <v>163</v>
      </c>
      <c r="C43" s="116">
        <f t="shared" si="11"/>
        <v>37</v>
      </c>
      <c r="D43" s="89" t="s">
        <v>79</v>
      </c>
      <c r="E43" s="89"/>
      <c r="F43" s="115">
        <v>1.1299999999999999</v>
      </c>
      <c r="G43" s="100">
        <v>0</v>
      </c>
      <c r="H43" s="101">
        <f t="shared" si="12"/>
        <v>0</v>
      </c>
      <c r="I43" s="102"/>
      <c r="J43" s="103">
        <f t="shared" si="2"/>
        <v>0</v>
      </c>
      <c r="K43" s="103">
        <f t="shared" si="3"/>
        <v>0</v>
      </c>
      <c r="L43" s="104">
        <v>0</v>
      </c>
      <c r="M43" s="105">
        <f t="shared" si="0"/>
        <v>0</v>
      </c>
      <c r="N43" s="106">
        <v>0</v>
      </c>
      <c r="O43" s="107">
        <f t="shared" si="4"/>
        <v>0.37000000000000005</v>
      </c>
      <c r="P43" s="108">
        <f t="shared" si="5"/>
        <v>0.37000000000000005</v>
      </c>
      <c r="Q43" s="109">
        <f t="shared" si="6"/>
        <v>0.37000000000000005</v>
      </c>
      <c r="R43" s="56">
        <f t="shared" si="8"/>
        <v>0.37000000000000005</v>
      </c>
    </row>
    <row r="44" spans="1:18" ht="17.100000000000001" customHeight="1" x14ac:dyDescent="0.25">
      <c r="B44" s="90" t="s">
        <v>164</v>
      </c>
      <c r="C44" s="116">
        <f t="shared" si="11"/>
        <v>38</v>
      </c>
      <c r="D44" s="89" t="s">
        <v>99</v>
      </c>
      <c r="E44" s="114"/>
      <c r="F44" s="115">
        <v>1.1299999999999999</v>
      </c>
      <c r="G44" s="100">
        <v>0</v>
      </c>
      <c r="H44" s="101">
        <f t="shared" si="12"/>
        <v>0</v>
      </c>
      <c r="I44" s="102"/>
      <c r="J44" s="103">
        <f t="shared" si="2"/>
        <v>0</v>
      </c>
      <c r="K44" s="103">
        <f t="shared" si="3"/>
        <v>0</v>
      </c>
      <c r="L44" s="104">
        <v>0</v>
      </c>
      <c r="M44" s="105">
        <f t="shared" si="0"/>
        <v>0</v>
      </c>
      <c r="N44" s="106">
        <v>0</v>
      </c>
      <c r="O44" s="107">
        <f t="shared" si="4"/>
        <v>0.38000000000000006</v>
      </c>
      <c r="P44" s="108">
        <f t="shared" si="5"/>
        <v>0.38000000000000006</v>
      </c>
      <c r="Q44" s="109">
        <f t="shared" si="6"/>
        <v>0.38000000000000006</v>
      </c>
      <c r="R44" s="56">
        <f t="shared" si="8"/>
        <v>0.38000000000000006</v>
      </c>
    </row>
    <row r="45" spans="1:18" ht="17.100000000000001" customHeight="1" x14ac:dyDescent="0.25">
      <c r="B45" s="90" t="s">
        <v>165</v>
      </c>
      <c r="C45" s="116">
        <f t="shared" si="11"/>
        <v>39</v>
      </c>
      <c r="D45" s="89" t="s">
        <v>80</v>
      </c>
      <c r="E45" s="89"/>
      <c r="F45" s="115">
        <v>1.1299999999999999</v>
      </c>
      <c r="G45" s="100">
        <v>0</v>
      </c>
      <c r="H45" s="101">
        <f t="shared" si="12"/>
        <v>0</v>
      </c>
      <c r="I45" s="102"/>
      <c r="J45" s="103">
        <f t="shared" si="2"/>
        <v>0</v>
      </c>
      <c r="K45" s="103">
        <f t="shared" si="3"/>
        <v>0</v>
      </c>
      <c r="L45" s="104">
        <v>0</v>
      </c>
      <c r="M45" s="105">
        <f t="shared" si="0"/>
        <v>0</v>
      </c>
      <c r="N45" s="106">
        <v>0</v>
      </c>
      <c r="O45" s="107">
        <f t="shared" si="4"/>
        <v>0.39000000000000007</v>
      </c>
      <c r="P45" s="108">
        <f t="shared" si="5"/>
        <v>0.39000000000000007</v>
      </c>
      <c r="Q45" s="109">
        <f t="shared" si="6"/>
        <v>0.39000000000000007</v>
      </c>
      <c r="R45" s="56">
        <f t="shared" si="8"/>
        <v>0.39000000000000007</v>
      </c>
    </row>
    <row r="46" spans="1:18" ht="17.100000000000001" customHeight="1" x14ac:dyDescent="0.25">
      <c r="B46" s="90" t="s">
        <v>166</v>
      </c>
      <c r="C46" s="116">
        <f t="shared" si="11"/>
        <v>40</v>
      </c>
      <c r="D46" s="89" t="s">
        <v>81</v>
      </c>
      <c r="E46" s="89"/>
      <c r="F46" s="115">
        <v>1.67</v>
      </c>
      <c r="G46" s="100"/>
      <c r="H46" s="101">
        <f t="shared" si="12"/>
        <v>0</v>
      </c>
      <c r="I46" s="102"/>
      <c r="J46" s="103">
        <f t="shared" si="2"/>
        <v>0</v>
      </c>
      <c r="K46" s="103">
        <f t="shared" si="3"/>
        <v>0</v>
      </c>
      <c r="L46" s="104">
        <v>0</v>
      </c>
      <c r="M46" s="105">
        <f t="shared" si="0"/>
        <v>0</v>
      </c>
      <c r="N46" s="106">
        <v>0</v>
      </c>
      <c r="O46" s="107">
        <f t="shared" si="4"/>
        <v>0.40000000000000008</v>
      </c>
      <c r="P46" s="108">
        <f t="shared" si="5"/>
        <v>0.40000000000000008</v>
      </c>
      <c r="Q46" s="109">
        <f t="shared" si="6"/>
        <v>0.40000000000000008</v>
      </c>
      <c r="R46" s="56">
        <f t="shared" si="8"/>
        <v>0.40000000000000008</v>
      </c>
    </row>
    <row r="47" spans="1:18" ht="17.100000000000001" customHeight="1" x14ac:dyDescent="0.25">
      <c r="B47" s="90" t="s">
        <v>167</v>
      </c>
      <c r="C47" s="116">
        <f t="shared" si="11"/>
        <v>41</v>
      </c>
      <c r="D47" s="89" t="s">
        <v>100</v>
      </c>
      <c r="E47" s="114"/>
      <c r="F47" s="115">
        <v>1.71</v>
      </c>
      <c r="G47" s="100">
        <v>0</v>
      </c>
      <c r="H47" s="101">
        <f t="shared" ref="H47:H55" si="13">G47</f>
        <v>0</v>
      </c>
      <c r="I47" s="102"/>
      <c r="J47" s="103">
        <f t="shared" si="2"/>
        <v>0</v>
      </c>
      <c r="K47" s="103">
        <f t="shared" si="3"/>
        <v>0</v>
      </c>
      <c r="L47" s="104">
        <v>0</v>
      </c>
      <c r="M47" s="105">
        <f t="shared" si="0"/>
        <v>0</v>
      </c>
      <c r="N47" s="106">
        <v>0</v>
      </c>
      <c r="O47" s="107">
        <f t="shared" si="4"/>
        <v>0.41000000000000009</v>
      </c>
      <c r="P47" s="108">
        <f t="shared" si="5"/>
        <v>0.41000000000000009</v>
      </c>
      <c r="Q47" s="109">
        <f t="shared" si="6"/>
        <v>0.41000000000000009</v>
      </c>
      <c r="R47" s="56">
        <f t="shared" si="8"/>
        <v>0.41000000000000009</v>
      </c>
    </row>
    <row r="48" spans="1:18" ht="17.100000000000001" customHeight="1" x14ac:dyDescent="0.25">
      <c r="B48" s="90" t="s">
        <v>168</v>
      </c>
      <c r="C48" s="116">
        <f t="shared" si="11"/>
        <v>42</v>
      </c>
      <c r="D48" s="89" t="s">
        <v>101</v>
      </c>
      <c r="E48" s="114"/>
      <c r="F48" s="115">
        <v>1.1299999999999999</v>
      </c>
      <c r="G48" s="100">
        <v>0</v>
      </c>
      <c r="H48" s="101">
        <f t="shared" si="13"/>
        <v>0</v>
      </c>
      <c r="I48" s="102"/>
      <c r="J48" s="103">
        <f t="shared" si="2"/>
        <v>0</v>
      </c>
      <c r="K48" s="103">
        <f t="shared" si="3"/>
        <v>0</v>
      </c>
      <c r="L48" s="104">
        <v>0</v>
      </c>
      <c r="M48" s="105">
        <f t="shared" si="0"/>
        <v>0</v>
      </c>
      <c r="N48" s="106">
        <v>0</v>
      </c>
      <c r="O48" s="107">
        <f t="shared" si="4"/>
        <v>0.4200000000000001</v>
      </c>
      <c r="P48" s="108">
        <f t="shared" si="5"/>
        <v>0.4200000000000001</v>
      </c>
      <c r="Q48" s="109">
        <f t="shared" si="6"/>
        <v>0.4200000000000001</v>
      </c>
      <c r="R48" s="56">
        <f t="shared" si="8"/>
        <v>0.4200000000000001</v>
      </c>
    </row>
    <row r="49" spans="2:18" ht="17.100000000000001" customHeight="1" x14ac:dyDescent="0.25">
      <c r="B49" s="90" t="s">
        <v>169</v>
      </c>
      <c r="C49" s="116">
        <f t="shared" si="11"/>
        <v>43</v>
      </c>
      <c r="D49" s="89" t="s">
        <v>102</v>
      </c>
      <c r="E49" s="114"/>
      <c r="F49" s="115">
        <v>1.1299999999999999</v>
      </c>
      <c r="G49" s="100">
        <v>0</v>
      </c>
      <c r="H49" s="101">
        <f t="shared" si="13"/>
        <v>0</v>
      </c>
      <c r="I49" s="102"/>
      <c r="J49" s="103">
        <f t="shared" si="2"/>
        <v>0</v>
      </c>
      <c r="K49" s="103">
        <f t="shared" si="3"/>
        <v>0</v>
      </c>
      <c r="L49" s="104">
        <v>0</v>
      </c>
      <c r="M49" s="105">
        <f t="shared" si="0"/>
        <v>0</v>
      </c>
      <c r="N49" s="106">
        <v>0</v>
      </c>
      <c r="O49" s="107">
        <f t="shared" si="4"/>
        <v>0.4300000000000001</v>
      </c>
      <c r="P49" s="108">
        <f t="shared" si="5"/>
        <v>0.4300000000000001</v>
      </c>
      <c r="Q49" s="109">
        <f t="shared" si="6"/>
        <v>0.4300000000000001</v>
      </c>
      <c r="R49" s="56">
        <f t="shared" si="8"/>
        <v>0.4300000000000001</v>
      </c>
    </row>
    <row r="50" spans="2:18" ht="17.100000000000001" customHeight="1" x14ac:dyDescent="0.25">
      <c r="B50" s="90" t="s">
        <v>170</v>
      </c>
      <c r="C50" s="116">
        <f t="shared" si="11"/>
        <v>44</v>
      </c>
      <c r="D50" s="89" t="s">
        <v>82</v>
      </c>
      <c r="E50" s="89"/>
      <c r="F50" s="115">
        <v>1.1299999999999999</v>
      </c>
      <c r="G50" s="100">
        <v>0</v>
      </c>
      <c r="H50" s="101">
        <f t="shared" si="13"/>
        <v>0</v>
      </c>
      <c r="I50" s="102"/>
      <c r="J50" s="103">
        <f t="shared" si="2"/>
        <v>0</v>
      </c>
      <c r="K50" s="103">
        <f t="shared" si="3"/>
        <v>0</v>
      </c>
      <c r="L50" s="104">
        <v>0</v>
      </c>
      <c r="M50" s="105">
        <f t="shared" si="0"/>
        <v>0</v>
      </c>
      <c r="N50" s="106">
        <v>0</v>
      </c>
      <c r="O50" s="107">
        <f t="shared" si="4"/>
        <v>0.44000000000000011</v>
      </c>
      <c r="P50" s="108">
        <f t="shared" si="5"/>
        <v>0.44000000000000011</v>
      </c>
      <c r="Q50" s="109">
        <f t="shared" si="6"/>
        <v>0.44000000000000011</v>
      </c>
      <c r="R50" s="56">
        <f t="shared" si="8"/>
        <v>0.44000000000000011</v>
      </c>
    </row>
    <row r="51" spans="2:18" ht="17.100000000000001" customHeight="1" x14ac:dyDescent="0.25">
      <c r="B51" s="90" t="s">
        <v>171</v>
      </c>
      <c r="C51" s="116">
        <f t="shared" si="11"/>
        <v>45</v>
      </c>
      <c r="D51" s="89" t="s">
        <v>83</v>
      </c>
      <c r="E51" s="89"/>
      <c r="F51" s="115">
        <v>1.67</v>
      </c>
      <c r="G51" s="100">
        <v>0</v>
      </c>
      <c r="H51" s="101">
        <f t="shared" si="13"/>
        <v>0</v>
      </c>
      <c r="I51" s="102"/>
      <c r="J51" s="103">
        <f t="shared" si="2"/>
        <v>0</v>
      </c>
      <c r="K51" s="103">
        <f t="shared" si="3"/>
        <v>0</v>
      </c>
      <c r="L51" s="104">
        <v>0</v>
      </c>
      <c r="M51" s="105">
        <f t="shared" si="0"/>
        <v>0</v>
      </c>
      <c r="N51" s="106">
        <v>0</v>
      </c>
      <c r="O51" s="107">
        <f t="shared" si="4"/>
        <v>0.45000000000000012</v>
      </c>
      <c r="P51" s="108">
        <f t="shared" si="5"/>
        <v>0.45000000000000012</v>
      </c>
      <c r="Q51" s="109">
        <f t="shared" si="6"/>
        <v>0.45000000000000012</v>
      </c>
      <c r="R51" s="56">
        <f t="shared" si="8"/>
        <v>0.45000000000000012</v>
      </c>
    </row>
    <row r="52" spans="2:18" ht="17.100000000000001" customHeight="1" x14ac:dyDescent="0.25">
      <c r="B52" s="90" t="s">
        <v>172</v>
      </c>
      <c r="C52" s="116">
        <f t="shared" si="11"/>
        <v>46</v>
      </c>
      <c r="D52" s="89" t="s">
        <v>103</v>
      </c>
      <c r="E52" s="114"/>
      <c r="F52" s="115">
        <v>1.71</v>
      </c>
      <c r="G52" s="100">
        <v>0</v>
      </c>
      <c r="H52" s="101">
        <f t="shared" si="13"/>
        <v>0</v>
      </c>
      <c r="I52" s="102"/>
      <c r="J52" s="103">
        <f t="shared" si="2"/>
        <v>0</v>
      </c>
      <c r="K52" s="103">
        <f t="shared" si="3"/>
        <v>0</v>
      </c>
      <c r="L52" s="104">
        <v>0</v>
      </c>
      <c r="M52" s="105">
        <f t="shared" si="0"/>
        <v>0</v>
      </c>
      <c r="N52" s="106">
        <v>0</v>
      </c>
      <c r="O52" s="107">
        <f t="shared" si="4"/>
        <v>0.46000000000000013</v>
      </c>
      <c r="P52" s="108">
        <f t="shared" si="5"/>
        <v>0.46000000000000013</v>
      </c>
      <c r="Q52" s="109">
        <f t="shared" si="6"/>
        <v>0.46000000000000013</v>
      </c>
      <c r="R52" s="56">
        <f t="shared" si="8"/>
        <v>0.46000000000000013</v>
      </c>
    </row>
    <row r="53" spans="2:18" ht="17.100000000000001" customHeight="1" x14ac:dyDescent="0.25">
      <c r="B53" s="90" t="s">
        <v>173</v>
      </c>
      <c r="C53" s="116">
        <f t="shared" si="11"/>
        <v>47</v>
      </c>
      <c r="D53" s="89" t="s">
        <v>84</v>
      </c>
      <c r="E53" s="89"/>
      <c r="F53" s="115">
        <v>1.1299999999999999</v>
      </c>
      <c r="G53" s="100">
        <v>0</v>
      </c>
      <c r="H53" s="101">
        <f t="shared" si="13"/>
        <v>0</v>
      </c>
      <c r="I53" s="102"/>
      <c r="J53" s="103">
        <f t="shared" si="2"/>
        <v>0</v>
      </c>
      <c r="K53" s="103">
        <f t="shared" si="3"/>
        <v>0</v>
      </c>
      <c r="L53" s="104">
        <v>0</v>
      </c>
      <c r="M53" s="105">
        <f t="shared" si="0"/>
        <v>0</v>
      </c>
      <c r="N53" s="106">
        <v>0</v>
      </c>
      <c r="O53" s="107">
        <f t="shared" si="4"/>
        <v>0.47000000000000014</v>
      </c>
      <c r="P53" s="108">
        <f t="shared" si="5"/>
        <v>0.47000000000000014</v>
      </c>
      <c r="Q53" s="109">
        <f t="shared" si="6"/>
        <v>0.47000000000000014</v>
      </c>
      <c r="R53" s="56">
        <f t="shared" si="8"/>
        <v>0.47000000000000014</v>
      </c>
    </row>
    <row r="54" spans="2:18" ht="17.100000000000001" customHeight="1" x14ac:dyDescent="0.25">
      <c r="B54" s="90" t="s">
        <v>174</v>
      </c>
      <c r="C54" s="116">
        <f t="shared" si="11"/>
        <v>48</v>
      </c>
      <c r="D54" s="89" t="s">
        <v>85</v>
      </c>
      <c r="E54" s="89"/>
      <c r="F54" s="115">
        <v>1.1299999999999999</v>
      </c>
      <c r="G54" s="100">
        <v>0</v>
      </c>
      <c r="H54" s="101">
        <f t="shared" si="13"/>
        <v>0</v>
      </c>
      <c r="I54" s="102"/>
      <c r="J54" s="103">
        <f t="shared" si="2"/>
        <v>0</v>
      </c>
      <c r="K54" s="103">
        <f t="shared" si="3"/>
        <v>0</v>
      </c>
      <c r="L54" s="104">
        <v>0</v>
      </c>
      <c r="M54" s="105">
        <f t="shared" si="0"/>
        <v>0</v>
      </c>
      <c r="N54" s="106">
        <v>0</v>
      </c>
      <c r="O54" s="107">
        <f t="shared" si="4"/>
        <v>0.48000000000000015</v>
      </c>
      <c r="P54" s="108">
        <f t="shared" si="5"/>
        <v>1.4800000000000002</v>
      </c>
      <c r="Q54" s="109">
        <f t="shared" si="6"/>
        <v>0.48000000000000015</v>
      </c>
      <c r="R54" s="56">
        <f t="shared" si="8"/>
        <v>0.48000000000000015</v>
      </c>
    </row>
    <row r="55" spans="2:18" ht="17.100000000000001" customHeight="1" x14ac:dyDescent="0.25">
      <c r="B55" s="90" t="s">
        <v>175</v>
      </c>
      <c r="C55" s="116">
        <f t="shared" si="11"/>
        <v>49</v>
      </c>
      <c r="D55" s="89" t="s">
        <v>203</v>
      </c>
      <c r="E55" s="89"/>
      <c r="F55" s="115">
        <v>1.1299999999999999</v>
      </c>
      <c r="G55" s="100">
        <v>0</v>
      </c>
      <c r="H55" s="101">
        <f t="shared" si="13"/>
        <v>0</v>
      </c>
      <c r="I55" s="102"/>
      <c r="J55" s="103">
        <f t="shared" si="2"/>
        <v>0</v>
      </c>
      <c r="K55" s="103">
        <f t="shared" si="3"/>
        <v>0</v>
      </c>
      <c r="L55" s="104">
        <v>0</v>
      </c>
      <c r="M55" s="105">
        <f t="shared" si="0"/>
        <v>0</v>
      </c>
      <c r="N55" s="106">
        <v>0</v>
      </c>
      <c r="O55" s="107">
        <f t="shared" si="4"/>
        <v>0.49000000000000016</v>
      </c>
      <c r="P55" s="108">
        <f t="shared" si="5"/>
        <v>1.4900000000000002</v>
      </c>
      <c r="Q55" s="109">
        <f t="shared" si="6"/>
        <v>0.49000000000000016</v>
      </c>
      <c r="R55" s="56">
        <f t="shared" si="8"/>
        <v>0.49000000000000016</v>
      </c>
    </row>
    <row r="56" spans="2:18" ht="17.100000000000001" customHeight="1" x14ac:dyDescent="0.25">
      <c r="B56" s="90" t="s">
        <v>176</v>
      </c>
      <c r="C56" s="116">
        <f t="shared" si="11"/>
        <v>50</v>
      </c>
      <c r="D56" s="89" t="s">
        <v>86</v>
      </c>
      <c r="E56" s="89"/>
      <c r="F56" s="115">
        <v>1.67</v>
      </c>
      <c r="G56" s="100">
        <v>0</v>
      </c>
      <c r="H56" s="101">
        <f>G56</f>
        <v>0</v>
      </c>
      <c r="I56" s="102"/>
      <c r="J56" s="103">
        <f t="shared" si="2"/>
        <v>0</v>
      </c>
      <c r="K56" s="103">
        <f t="shared" si="3"/>
        <v>0</v>
      </c>
      <c r="L56" s="104">
        <v>0</v>
      </c>
      <c r="M56" s="105">
        <f t="shared" si="0"/>
        <v>0</v>
      </c>
      <c r="N56" s="106">
        <v>0</v>
      </c>
      <c r="O56" s="107">
        <f t="shared" si="4"/>
        <v>0.50000000000000011</v>
      </c>
      <c r="P56" s="108">
        <f t="shared" si="5"/>
        <v>1.5</v>
      </c>
      <c r="Q56" s="109">
        <f t="shared" si="6"/>
        <v>0.50000000000000011</v>
      </c>
      <c r="R56" s="56">
        <f t="shared" si="8"/>
        <v>0.50000000000000011</v>
      </c>
    </row>
    <row r="57" spans="2:18" ht="17.100000000000001" customHeight="1" x14ac:dyDescent="0.25">
      <c r="B57" s="90" t="s">
        <v>177</v>
      </c>
      <c r="C57" s="116">
        <f t="shared" si="11"/>
        <v>51</v>
      </c>
      <c r="D57" s="89" t="s">
        <v>105</v>
      </c>
      <c r="E57" s="114"/>
      <c r="F57" s="115">
        <v>1.71</v>
      </c>
      <c r="G57" s="100">
        <v>0</v>
      </c>
      <c r="H57" s="101">
        <f t="shared" ref="H57:H61" si="14">G57</f>
        <v>0</v>
      </c>
      <c r="I57" s="102"/>
      <c r="J57" s="103">
        <f t="shared" si="2"/>
        <v>0</v>
      </c>
      <c r="K57" s="103">
        <f t="shared" si="3"/>
        <v>0</v>
      </c>
      <c r="L57" s="104">
        <v>0</v>
      </c>
      <c r="M57" s="105">
        <f t="shared" si="0"/>
        <v>0</v>
      </c>
      <c r="N57" s="106">
        <v>0</v>
      </c>
      <c r="O57" s="107">
        <f t="shared" si="4"/>
        <v>0.51000000000000012</v>
      </c>
      <c r="P57" s="108">
        <f t="shared" si="5"/>
        <v>1.5100000000000002</v>
      </c>
      <c r="Q57" s="109">
        <f t="shared" si="6"/>
        <v>0.51000000000000012</v>
      </c>
      <c r="R57" s="56">
        <f t="shared" si="8"/>
        <v>0.51000000000000012</v>
      </c>
    </row>
    <row r="58" spans="2:18" ht="17.100000000000001" customHeight="1" x14ac:dyDescent="0.25">
      <c r="B58" s="90" t="s">
        <v>178</v>
      </c>
      <c r="C58" s="116">
        <f t="shared" si="11"/>
        <v>52</v>
      </c>
      <c r="D58" s="89" t="s">
        <v>104</v>
      </c>
      <c r="E58" s="114"/>
      <c r="F58" s="115">
        <v>1.1299999999999999</v>
      </c>
      <c r="G58" s="100">
        <v>0</v>
      </c>
      <c r="H58" s="101">
        <f t="shared" si="14"/>
        <v>0</v>
      </c>
      <c r="I58" s="102"/>
      <c r="J58" s="103">
        <f t="shared" si="2"/>
        <v>0</v>
      </c>
      <c r="K58" s="103">
        <f t="shared" si="3"/>
        <v>0</v>
      </c>
      <c r="L58" s="104">
        <v>0</v>
      </c>
      <c r="M58" s="105">
        <f t="shared" si="0"/>
        <v>0</v>
      </c>
      <c r="N58" s="106">
        <v>0</v>
      </c>
      <c r="O58" s="107">
        <f t="shared" si="4"/>
        <v>0.52000000000000013</v>
      </c>
      <c r="P58" s="108">
        <f t="shared" si="5"/>
        <v>1.52</v>
      </c>
      <c r="Q58" s="109">
        <f t="shared" si="6"/>
        <v>0.52000000000000013</v>
      </c>
      <c r="R58" s="56">
        <f t="shared" si="8"/>
        <v>0.52000000000000013</v>
      </c>
    </row>
    <row r="59" spans="2:18" ht="17.100000000000001" customHeight="1" x14ac:dyDescent="0.25">
      <c r="B59" s="90" t="s">
        <v>179</v>
      </c>
      <c r="C59" s="116">
        <f t="shared" si="11"/>
        <v>53</v>
      </c>
      <c r="D59" s="89" t="s">
        <v>87</v>
      </c>
      <c r="E59" s="89"/>
      <c r="F59" s="115">
        <v>1.1299999999999999</v>
      </c>
      <c r="G59" s="100">
        <v>0</v>
      </c>
      <c r="H59" s="101">
        <f t="shared" si="14"/>
        <v>0</v>
      </c>
      <c r="I59" s="102"/>
      <c r="J59" s="103">
        <f t="shared" si="2"/>
        <v>0</v>
      </c>
      <c r="K59" s="103">
        <f t="shared" si="3"/>
        <v>0</v>
      </c>
      <c r="L59" s="104">
        <v>0</v>
      </c>
      <c r="M59" s="105">
        <f t="shared" si="0"/>
        <v>0</v>
      </c>
      <c r="N59" s="106">
        <v>0</v>
      </c>
      <c r="O59" s="107">
        <f t="shared" si="4"/>
        <v>0.53000000000000014</v>
      </c>
      <c r="P59" s="108">
        <f t="shared" si="5"/>
        <v>1.5300000000000002</v>
      </c>
      <c r="Q59" s="109">
        <f t="shared" si="6"/>
        <v>0.53000000000000014</v>
      </c>
      <c r="R59" s="56">
        <f t="shared" si="8"/>
        <v>0.53000000000000014</v>
      </c>
    </row>
    <row r="60" spans="2:18" ht="17.100000000000001" customHeight="1" x14ac:dyDescent="0.25">
      <c r="B60" s="90" t="s">
        <v>180</v>
      </c>
      <c r="C60" s="116">
        <f t="shared" si="11"/>
        <v>54</v>
      </c>
      <c r="D60" s="89" t="s">
        <v>107</v>
      </c>
      <c r="E60" s="114"/>
      <c r="F60" s="115">
        <v>1.1299999999999999</v>
      </c>
      <c r="G60" s="100">
        <v>0</v>
      </c>
      <c r="H60" s="101">
        <f t="shared" si="14"/>
        <v>0</v>
      </c>
      <c r="I60" s="102"/>
      <c r="J60" s="103">
        <f t="shared" si="2"/>
        <v>0</v>
      </c>
      <c r="K60" s="103">
        <f t="shared" si="3"/>
        <v>0</v>
      </c>
      <c r="L60" s="104">
        <v>0</v>
      </c>
      <c r="M60" s="105">
        <f t="shared" si="0"/>
        <v>0</v>
      </c>
      <c r="N60" s="106">
        <v>0</v>
      </c>
      <c r="O60" s="107">
        <f t="shared" si="4"/>
        <v>0.54000000000000015</v>
      </c>
      <c r="P60" s="108">
        <f t="shared" si="5"/>
        <v>1.54</v>
      </c>
      <c r="Q60" s="109">
        <f t="shared" si="6"/>
        <v>0.54000000000000015</v>
      </c>
      <c r="R60" s="56">
        <f t="shared" si="8"/>
        <v>0.54000000000000015</v>
      </c>
    </row>
    <row r="61" spans="2:18" ht="17.100000000000001" customHeight="1" x14ac:dyDescent="0.25">
      <c r="B61" s="90" t="s">
        <v>181</v>
      </c>
      <c r="C61" s="116">
        <f t="shared" si="11"/>
        <v>55</v>
      </c>
      <c r="D61" s="89" t="s">
        <v>106</v>
      </c>
      <c r="E61" s="114"/>
      <c r="F61" s="115">
        <v>1.67</v>
      </c>
      <c r="G61" s="100"/>
      <c r="H61" s="101">
        <f t="shared" si="14"/>
        <v>0</v>
      </c>
      <c r="I61" s="102"/>
      <c r="J61" s="103">
        <f t="shared" si="2"/>
        <v>0</v>
      </c>
      <c r="K61" s="103">
        <f t="shared" si="3"/>
        <v>0</v>
      </c>
      <c r="L61" s="104">
        <v>0</v>
      </c>
      <c r="M61" s="105">
        <f t="shared" si="0"/>
        <v>0</v>
      </c>
      <c r="N61" s="106"/>
      <c r="O61" s="107">
        <f t="shared" si="4"/>
        <v>0.55000000000000016</v>
      </c>
      <c r="P61" s="108">
        <f t="shared" si="5"/>
        <v>1.5500000000000003</v>
      </c>
      <c r="Q61" s="109">
        <f t="shared" si="6"/>
        <v>0.55000000000000016</v>
      </c>
      <c r="R61" s="56">
        <f t="shared" si="8"/>
        <v>0.55000000000000016</v>
      </c>
    </row>
    <row r="62" spans="2:18" ht="17.100000000000001" customHeight="1" x14ac:dyDescent="0.25">
      <c r="B62" s="90" t="s">
        <v>182</v>
      </c>
      <c r="C62" s="116">
        <f t="shared" si="11"/>
        <v>56</v>
      </c>
      <c r="D62" s="89" t="s">
        <v>108</v>
      </c>
      <c r="E62" s="114"/>
      <c r="F62" s="115">
        <v>1.71</v>
      </c>
      <c r="G62" s="100">
        <v>0</v>
      </c>
      <c r="H62" s="101">
        <f t="shared" ref="H62:H70" si="15">G62</f>
        <v>0</v>
      </c>
      <c r="I62" s="102"/>
      <c r="J62" s="103">
        <f t="shared" si="2"/>
        <v>0</v>
      </c>
      <c r="K62" s="103">
        <f t="shared" si="3"/>
        <v>0</v>
      </c>
      <c r="L62" s="104">
        <v>0</v>
      </c>
      <c r="M62" s="105">
        <f t="shared" si="0"/>
        <v>0</v>
      </c>
      <c r="N62" s="106">
        <v>0</v>
      </c>
      <c r="O62" s="107">
        <f t="shared" si="4"/>
        <v>0.56000000000000016</v>
      </c>
      <c r="P62" s="108">
        <f t="shared" si="5"/>
        <v>1.56</v>
      </c>
      <c r="Q62" s="109">
        <f t="shared" si="6"/>
        <v>0.56000000000000016</v>
      </c>
      <c r="R62" s="56">
        <f t="shared" si="8"/>
        <v>0.56000000000000016</v>
      </c>
    </row>
    <row r="63" spans="2:18" ht="17.100000000000001" customHeight="1" x14ac:dyDescent="0.25">
      <c r="B63" s="90" t="s">
        <v>183</v>
      </c>
      <c r="C63" s="116">
        <f t="shared" si="11"/>
        <v>57</v>
      </c>
      <c r="D63" s="89" t="s">
        <v>204</v>
      </c>
      <c r="E63" s="114"/>
      <c r="F63" s="115">
        <v>1.1299999999999999</v>
      </c>
      <c r="G63" s="100">
        <v>0</v>
      </c>
      <c r="H63" s="101">
        <f t="shared" si="15"/>
        <v>0</v>
      </c>
      <c r="I63" s="102"/>
      <c r="J63" s="103">
        <f t="shared" si="2"/>
        <v>0</v>
      </c>
      <c r="K63" s="103">
        <f t="shared" si="3"/>
        <v>0</v>
      </c>
      <c r="L63" s="104">
        <v>0</v>
      </c>
      <c r="M63" s="105">
        <f t="shared" si="0"/>
        <v>0</v>
      </c>
      <c r="N63" s="106">
        <v>0</v>
      </c>
      <c r="O63" s="107">
        <f t="shared" si="4"/>
        <v>0.57000000000000017</v>
      </c>
      <c r="P63" s="108">
        <f t="shared" si="5"/>
        <v>1.5700000000000003</v>
      </c>
      <c r="Q63" s="109">
        <f t="shared" si="6"/>
        <v>0.57000000000000017</v>
      </c>
      <c r="R63" s="56">
        <f t="shared" si="8"/>
        <v>0.57000000000000017</v>
      </c>
    </row>
    <row r="64" spans="2:18" ht="17.100000000000001" customHeight="1" x14ac:dyDescent="0.25">
      <c r="B64" s="90" t="s">
        <v>184</v>
      </c>
      <c r="C64" s="116">
        <f t="shared" si="11"/>
        <v>58</v>
      </c>
      <c r="D64" s="89" t="s">
        <v>88</v>
      </c>
      <c r="E64" s="89"/>
      <c r="F64" s="115">
        <v>1.1299999999999999</v>
      </c>
      <c r="G64" s="100">
        <v>0</v>
      </c>
      <c r="H64" s="101">
        <f t="shared" si="15"/>
        <v>0</v>
      </c>
      <c r="I64" s="102"/>
      <c r="J64" s="103">
        <f t="shared" si="2"/>
        <v>0</v>
      </c>
      <c r="K64" s="103">
        <f t="shared" si="3"/>
        <v>0</v>
      </c>
      <c r="L64" s="104">
        <v>0</v>
      </c>
      <c r="M64" s="105">
        <f t="shared" si="0"/>
        <v>0</v>
      </c>
      <c r="N64" s="106">
        <v>0</v>
      </c>
      <c r="O64" s="107">
        <f t="shared" si="4"/>
        <v>0.58000000000000018</v>
      </c>
      <c r="P64" s="108">
        <f t="shared" si="5"/>
        <v>1.58</v>
      </c>
      <c r="Q64" s="109">
        <f t="shared" si="6"/>
        <v>0.58000000000000018</v>
      </c>
      <c r="R64" s="56">
        <f t="shared" si="8"/>
        <v>0.58000000000000018</v>
      </c>
    </row>
    <row r="65" spans="2:18" ht="17.100000000000001" customHeight="1" x14ac:dyDescent="0.25">
      <c r="B65" s="90" t="s">
        <v>185</v>
      </c>
      <c r="C65" s="116">
        <f t="shared" si="11"/>
        <v>59</v>
      </c>
      <c r="D65" s="89" t="s">
        <v>109</v>
      </c>
      <c r="E65" s="114"/>
      <c r="F65" s="115">
        <v>1.1299999999999999</v>
      </c>
      <c r="G65" s="100">
        <v>0</v>
      </c>
      <c r="H65" s="101">
        <f t="shared" si="15"/>
        <v>0</v>
      </c>
      <c r="I65" s="102"/>
      <c r="J65" s="103">
        <f t="shared" si="2"/>
        <v>0</v>
      </c>
      <c r="K65" s="103">
        <f t="shared" si="3"/>
        <v>0</v>
      </c>
      <c r="L65" s="104">
        <v>0</v>
      </c>
      <c r="M65" s="105">
        <f t="shared" si="0"/>
        <v>0</v>
      </c>
      <c r="N65" s="106">
        <v>0</v>
      </c>
      <c r="O65" s="107">
        <f t="shared" si="4"/>
        <v>0.59000000000000019</v>
      </c>
      <c r="P65" s="108">
        <f t="shared" si="5"/>
        <v>1.5900000000000003</v>
      </c>
      <c r="Q65" s="109">
        <f t="shared" si="6"/>
        <v>0.59000000000000019</v>
      </c>
      <c r="R65" s="56">
        <f t="shared" si="8"/>
        <v>0.59000000000000019</v>
      </c>
    </row>
    <row r="66" spans="2:18" ht="17.100000000000001" customHeight="1" x14ac:dyDescent="0.25">
      <c r="B66" s="90" t="s">
        <v>186</v>
      </c>
      <c r="C66" s="116">
        <f t="shared" si="11"/>
        <v>60</v>
      </c>
      <c r="D66" s="89" t="s">
        <v>89</v>
      </c>
      <c r="E66" s="89"/>
      <c r="F66" s="115">
        <v>1.67</v>
      </c>
      <c r="G66" s="100">
        <v>0</v>
      </c>
      <c r="H66" s="101">
        <f t="shared" si="15"/>
        <v>0</v>
      </c>
      <c r="I66" s="102"/>
      <c r="J66" s="103">
        <f t="shared" si="2"/>
        <v>0</v>
      </c>
      <c r="K66" s="103">
        <f t="shared" si="3"/>
        <v>0</v>
      </c>
      <c r="L66" s="104">
        <v>0</v>
      </c>
      <c r="M66" s="105">
        <f t="shared" si="0"/>
        <v>0</v>
      </c>
      <c r="N66" s="106">
        <v>0</v>
      </c>
      <c r="O66" s="107">
        <f t="shared" si="4"/>
        <v>0.6000000000000002</v>
      </c>
      <c r="P66" s="108">
        <f t="shared" si="5"/>
        <v>1.6</v>
      </c>
      <c r="Q66" s="109">
        <f t="shared" si="6"/>
        <v>0.6000000000000002</v>
      </c>
      <c r="R66" s="56">
        <f t="shared" si="8"/>
        <v>0.6000000000000002</v>
      </c>
    </row>
    <row r="67" spans="2:18" ht="17.100000000000001" customHeight="1" x14ac:dyDescent="0.25">
      <c r="B67" s="90" t="s">
        <v>187</v>
      </c>
      <c r="C67" s="116">
        <f t="shared" si="11"/>
        <v>61</v>
      </c>
      <c r="D67" s="89" t="s">
        <v>110</v>
      </c>
      <c r="E67" s="114"/>
      <c r="F67" s="115">
        <v>1.71</v>
      </c>
      <c r="G67" s="100">
        <v>0</v>
      </c>
      <c r="H67" s="101">
        <f t="shared" si="15"/>
        <v>0</v>
      </c>
      <c r="I67" s="102"/>
      <c r="J67" s="103">
        <f t="shared" si="2"/>
        <v>0</v>
      </c>
      <c r="K67" s="103">
        <f t="shared" si="3"/>
        <v>0</v>
      </c>
      <c r="L67" s="104">
        <v>0</v>
      </c>
      <c r="M67" s="105">
        <f t="shared" si="0"/>
        <v>0</v>
      </c>
      <c r="N67" s="106">
        <v>0</v>
      </c>
      <c r="O67" s="107">
        <f t="shared" si="4"/>
        <v>0.61000000000000021</v>
      </c>
      <c r="P67" s="108">
        <f t="shared" si="5"/>
        <v>1.6100000000000003</v>
      </c>
      <c r="Q67" s="109">
        <f t="shared" si="6"/>
        <v>0.61000000000000021</v>
      </c>
      <c r="R67" s="56">
        <f t="shared" si="8"/>
        <v>0.61000000000000021</v>
      </c>
    </row>
    <row r="68" spans="2:18" ht="17.100000000000001" customHeight="1" x14ac:dyDescent="0.25">
      <c r="B68" s="90" t="s">
        <v>188</v>
      </c>
      <c r="C68" s="116">
        <f t="shared" si="11"/>
        <v>62</v>
      </c>
      <c r="D68" s="89" t="s">
        <v>90</v>
      </c>
      <c r="E68" s="89"/>
      <c r="F68" s="115">
        <v>1.1299999999999999</v>
      </c>
      <c r="G68" s="100">
        <v>0</v>
      </c>
      <c r="H68" s="101">
        <f t="shared" si="15"/>
        <v>0</v>
      </c>
      <c r="I68" s="102"/>
      <c r="J68" s="103">
        <f t="shared" si="2"/>
        <v>0</v>
      </c>
      <c r="K68" s="103">
        <f t="shared" si="3"/>
        <v>0</v>
      </c>
      <c r="L68" s="104">
        <v>0</v>
      </c>
      <c r="M68" s="105">
        <f t="shared" si="0"/>
        <v>0</v>
      </c>
      <c r="N68" s="106">
        <v>0</v>
      </c>
      <c r="O68" s="107">
        <f t="shared" si="4"/>
        <v>0.62000000000000022</v>
      </c>
      <c r="P68" s="108">
        <f t="shared" si="5"/>
        <v>1.62</v>
      </c>
      <c r="Q68" s="109">
        <f t="shared" si="6"/>
        <v>0.62000000000000022</v>
      </c>
      <c r="R68" s="56">
        <f t="shared" si="8"/>
        <v>0.62000000000000022</v>
      </c>
    </row>
    <row r="69" spans="2:18" ht="17.100000000000001" customHeight="1" x14ac:dyDescent="0.25">
      <c r="B69" s="90" t="s">
        <v>189</v>
      </c>
      <c r="C69" s="116">
        <f t="shared" si="11"/>
        <v>63</v>
      </c>
      <c r="D69" s="89" t="s">
        <v>91</v>
      </c>
      <c r="E69" s="89"/>
      <c r="F69" s="115">
        <v>1.1299999999999999</v>
      </c>
      <c r="G69" s="100">
        <v>0</v>
      </c>
      <c r="H69" s="101">
        <f t="shared" si="15"/>
        <v>0</v>
      </c>
      <c r="I69" s="102"/>
      <c r="J69" s="103">
        <f t="shared" si="2"/>
        <v>0</v>
      </c>
      <c r="K69" s="103">
        <f t="shared" si="3"/>
        <v>0</v>
      </c>
      <c r="L69" s="104">
        <v>0</v>
      </c>
      <c r="M69" s="105">
        <f t="shared" si="0"/>
        <v>0</v>
      </c>
      <c r="N69" s="106">
        <v>0</v>
      </c>
      <c r="O69" s="107">
        <f t="shared" si="4"/>
        <v>0.63000000000000023</v>
      </c>
      <c r="P69" s="108">
        <f t="shared" si="5"/>
        <v>1.6300000000000003</v>
      </c>
      <c r="Q69" s="109">
        <f t="shared" si="6"/>
        <v>0.63000000000000023</v>
      </c>
      <c r="R69" s="56">
        <f t="shared" si="8"/>
        <v>0.63000000000000023</v>
      </c>
    </row>
    <row r="70" spans="2:18" ht="17.100000000000001" customHeight="1" x14ac:dyDescent="0.25">
      <c r="B70" s="90" t="s">
        <v>190</v>
      </c>
      <c r="C70" s="116">
        <f t="shared" si="11"/>
        <v>64</v>
      </c>
      <c r="D70" s="89" t="s">
        <v>112</v>
      </c>
      <c r="E70" s="114"/>
      <c r="F70" s="115">
        <v>1.1299999999999999</v>
      </c>
      <c r="G70" s="100">
        <v>0</v>
      </c>
      <c r="H70" s="101">
        <f t="shared" si="15"/>
        <v>0</v>
      </c>
      <c r="I70" s="102"/>
      <c r="J70" s="103">
        <f t="shared" si="2"/>
        <v>0</v>
      </c>
      <c r="K70" s="103">
        <f t="shared" si="3"/>
        <v>0</v>
      </c>
      <c r="L70" s="104">
        <v>0</v>
      </c>
      <c r="M70" s="105">
        <f t="shared" ref="M70:M80" si="16">O$2*F70%</f>
        <v>0</v>
      </c>
      <c r="N70" s="106">
        <v>0</v>
      </c>
      <c r="O70" s="107">
        <f t="shared" si="4"/>
        <v>0.64000000000000024</v>
      </c>
      <c r="P70" s="108">
        <f t="shared" si="5"/>
        <v>1.6400000000000001</v>
      </c>
      <c r="Q70" s="109">
        <f t="shared" si="6"/>
        <v>0.64000000000000024</v>
      </c>
      <c r="R70" s="56">
        <f t="shared" si="8"/>
        <v>0.64000000000000024</v>
      </c>
    </row>
    <row r="71" spans="2:18" ht="17.100000000000001" customHeight="1" x14ac:dyDescent="0.25">
      <c r="B71" s="90" t="s">
        <v>191</v>
      </c>
      <c r="C71" s="116">
        <f t="shared" si="11"/>
        <v>65</v>
      </c>
      <c r="D71" s="89" t="s">
        <v>111</v>
      </c>
      <c r="E71" s="114"/>
      <c r="F71" s="115">
        <v>1.67</v>
      </c>
      <c r="G71" s="100">
        <v>0</v>
      </c>
      <c r="H71" s="101">
        <f>G71</f>
        <v>0</v>
      </c>
      <c r="I71" s="102"/>
      <c r="J71" s="103">
        <f t="shared" ref="J71:J80" si="17">G71-H71</f>
        <v>0</v>
      </c>
      <c r="K71" s="103">
        <f t="shared" ref="K71:K80" si="18">IF(J71&gt;0,J71*3%,0)</f>
        <v>0</v>
      </c>
      <c r="L71" s="104">
        <v>0</v>
      </c>
      <c r="M71" s="105">
        <f t="shared" si="16"/>
        <v>0</v>
      </c>
      <c r="N71" s="106">
        <v>0</v>
      </c>
      <c r="O71" s="107">
        <f t="shared" ref="O71:O80" si="19">ROUND(SUM(J71:N71),0) + R71</f>
        <v>0.65000000000000024</v>
      </c>
      <c r="P71" s="108">
        <f t="shared" ref="P71:P80" si="20">ROUND(O71*6% + O71,0) + R71</f>
        <v>1.6500000000000004</v>
      </c>
      <c r="Q71" s="109">
        <f t="shared" ref="Q71:Q80" si="21">ROUND(O71*3%,0) + O71</f>
        <v>0.65000000000000024</v>
      </c>
      <c r="R71" s="56">
        <f t="shared" si="8"/>
        <v>0.65000000000000024</v>
      </c>
    </row>
    <row r="72" spans="2:18" ht="17.100000000000001" customHeight="1" x14ac:dyDescent="0.25">
      <c r="B72" s="90" t="s">
        <v>192</v>
      </c>
      <c r="C72" s="116">
        <f t="shared" si="11"/>
        <v>66</v>
      </c>
      <c r="D72" s="89" t="s">
        <v>92</v>
      </c>
      <c r="E72" s="89"/>
      <c r="F72" s="115">
        <v>1.71</v>
      </c>
      <c r="G72" s="100">
        <v>0</v>
      </c>
      <c r="H72" s="101">
        <f t="shared" ref="H72:H77" si="22">G72</f>
        <v>0</v>
      </c>
      <c r="I72" s="102"/>
      <c r="J72" s="103">
        <f t="shared" si="17"/>
        <v>0</v>
      </c>
      <c r="K72" s="103">
        <f t="shared" si="18"/>
        <v>0</v>
      </c>
      <c r="L72" s="104">
        <v>0</v>
      </c>
      <c r="M72" s="105">
        <f t="shared" si="16"/>
        <v>0</v>
      </c>
      <c r="N72" s="106">
        <v>0</v>
      </c>
      <c r="O72" s="107">
        <f t="shared" si="19"/>
        <v>0.66000000000000025</v>
      </c>
      <c r="P72" s="108">
        <f t="shared" si="20"/>
        <v>1.6600000000000001</v>
      </c>
      <c r="Q72" s="109">
        <f t="shared" si="21"/>
        <v>0.66000000000000025</v>
      </c>
      <c r="R72" s="56">
        <f t="shared" ref="R72:R80" si="23">R71+0.01</f>
        <v>0.66000000000000025</v>
      </c>
    </row>
    <row r="73" spans="2:18" ht="17.100000000000001" customHeight="1" x14ac:dyDescent="0.25">
      <c r="B73" s="90" t="s">
        <v>193</v>
      </c>
      <c r="C73" s="117">
        <f t="shared" si="11"/>
        <v>67</v>
      </c>
      <c r="D73" s="118" t="s">
        <v>93</v>
      </c>
      <c r="E73" s="118"/>
      <c r="F73" s="119">
        <v>1.1299999999999999</v>
      </c>
      <c r="G73" s="100">
        <v>0</v>
      </c>
      <c r="H73" s="121">
        <f t="shared" si="22"/>
        <v>0</v>
      </c>
      <c r="I73" s="122"/>
      <c r="J73" s="123">
        <f t="shared" si="17"/>
        <v>0</v>
      </c>
      <c r="K73" s="103">
        <f t="shared" si="18"/>
        <v>0</v>
      </c>
      <c r="L73" s="104">
        <v>0</v>
      </c>
      <c r="M73" s="124">
        <f t="shared" si="16"/>
        <v>0</v>
      </c>
      <c r="N73" s="125">
        <v>0</v>
      </c>
      <c r="O73" s="107">
        <f t="shared" si="19"/>
        <v>0.67000000000000026</v>
      </c>
      <c r="P73" s="108">
        <f t="shared" si="20"/>
        <v>1.6700000000000004</v>
      </c>
      <c r="Q73" s="109">
        <f t="shared" si="21"/>
        <v>0.67000000000000026</v>
      </c>
      <c r="R73" s="56">
        <f t="shared" si="23"/>
        <v>0.67000000000000026</v>
      </c>
    </row>
    <row r="74" spans="2:18" ht="17.100000000000001" customHeight="1" x14ac:dyDescent="0.25">
      <c r="B74" s="90" t="s">
        <v>194</v>
      </c>
      <c r="C74" s="116">
        <f t="shared" si="11"/>
        <v>68</v>
      </c>
      <c r="D74" s="90" t="s">
        <v>114</v>
      </c>
      <c r="E74" s="126"/>
      <c r="F74" s="119">
        <v>1.1299999999999999</v>
      </c>
      <c r="G74" s="100">
        <v>0</v>
      </c>
      <c r="H74" s="121">
        <f t="shared" si="22"/>
        <v>0</v>
      </c>
      <c r="I74" s="122"/>
      <c r="J74" s="123">
        <f t="shared" si="17"/>
        <v>0</v>
      </c>
      <c r="K74" s="103">
        <f t="shared" si="18"/>
        <v>0</v>
      </c>
      <c r="L74" s="104">
        <v>0</v>
      </c>
      <c r="M74" s="124">
        <f t="shared" si="16"/>
        <v>0</v>
      </c>
      <c r="N74" s="125">
        <v>0</v>
      </c>
      <c r="O74" s="107">
        <f t="shared" si="19"/>
        <v>0.68000000000000027</v>
      </c>
      <c r="P74" s="108">
        <f t="shared" si="20"/>
        <v>1.6800000000000002</v>
      </c>
      <c r="Q74" s="109">
        <f t="shared" si="21"/>
        <v>0.68000000000000027</v>
      </c>
      <c r="R74" s="56">
        <f t="shared" si="23"/>
        <v>0.68000000000000027</v>
      </c>
    </row>
    <row r="75" spans="2:18" ht="17.100000000000001" customHeight="1" x14ac:dyDescent="0.25">
      <c r="B75" s="90" t="s">
        <v>195</v>
      </c>
      <c r="C75" s="116">
        <f t="shared" si="11"/>
        <v>69</v>
      </c>
      <c r="D75" s="90" t="s">
        <v>115</v>
      </c>
      <c r="E75" s="126"/>
      <c r="F75" s="119">
        <v>1.1299999999999999</v>
      </c>
      <c r="G75" s="100">
        <v>0</v>
      </c>
      <c r="H75" s="121">
        <f t="shared" si="22"/>
        <v>0</v>
      </c>
      <c r="I75" s="122"/>
      <c r="J75" s="123">
        <f t="shared" si="17"/>
        <v>0</v>
      </c>
      <c r="K75" s="103">
        <f t="shared" si="18"/>
        <v>0</v>
      </c>
      <c r="L75" s="104">
        <v>0</v>
      </c>
      <c r="M75" s="124">
        <f t="shared" si="16"/>
        <v>0</v>
      </c>
      <c r="N75" s="125">
        <v>0</v>
      </c>
      <c r="O75" s="107">
        <f t="shared" si="19"/>
        <v>0.69000000000000028</v>
      </c>
      <c r="P75" s="108">
        <f t="shared" si="20"/>
        <v>1.6900000000000004</v>
      </c>
      <c r="Q75" s="109">
        <f t="shared" si="21"/>
        <v>0.69000000000000028</v>
      </c>
      <c r="R75" s="56">
        <f t="shared" si="23"/>
        <v>0.69000000000000028</v>
      </c>
    </row>
    <row r="76" spans="2:18" ht="17.100000000000001" customHeight="1" x14ac:dyDescent="0.25">
      <c r="B76" s="90" t="s">
        <v>196</v>
      </c>
      <c r="C76" s="116">
        <f t="shared" si="11"/>
        <v>70</v>
      </c>
      <c r="D76" s="90" t="s">
        <v>116</v>
      </c>
      <c r="E76" s="91"/>
      <c r="F76" s="99">
        <v>1.67</v>
      </c>
      <c r="G76" s="100">
        <v>0</v>
      </c>
      <c r="H76" s="121">
        <f t="shared" si="22"/>
        <v>0</v>
      </c>
      <c r="I76" s="122"/>
      <c r="J76" s="123">
        <f t="shared" si="17"/>
        <v>0</v>
      </c>
      <c r="K76" s="103">
        <f t="shared" si="18"/>
        <v>0</v>
      </c>
      <c r="L76" s="104">
        <v>0</v>
      </c>
      <c r="M76" s="124">
        <f t="shared" si="16"/>
        <v>0</v>
      </c>
      <c r="N76" s="125">
        <v>0</v>
      </c>
      <c r="O76" s="107">
        <f t="shared" si="19"/>
        <v>0.70000000000000029</v>
      </c>
      <c r="P76" s="108">
        <f t="shared" si="20"/>
        <v>1.7000000000000002</v>
      </c>
      <c r="Q76" s="109">
        <f t="shared" si="21"/>
        <v>0.70000000000000029</v>
      </c>
      <c r="R76" s="56">
        <f t="shared" si="23"/>
        <v>0.70000000000000029</v>
      </c>
    </row>
    <row r="77" spans="2:18" ht="17.100000000000001" customHeight="1" x14ac:dyDescent="0.25">
      <c r="B77" s="90" t="s">
        <v>197</v>
      </c>
      <c r="C77" s="116">
        <f t="shared" si="11"/>
        <v>71</v>
      </c>
      <c r="D77" s="90" t="s">
        <v>117</v>
      </c>
      <c r="E77" s="91"/>
      <c r="F77" s="99">
        <v>1.71</v>
      </c>
      <c r="G77" s="100">
        <v>0</v>
      </c>
      <c r="H77" s="121">
        <f t="shared" si="22"/>
        <v>0</v>
      </c>
      <c r="I77" s="122"/>
      <c r="J77" s="123">
        <f t="shared" si="17"/>
        <v>0</v>
      </c>
      <c r="K77" s="103">
        <f t="shared" si="18"/>
        <v>0</v>
      </c>
      <c r="L77" s="104">
        <v>0</v>
      </c>
      <c r="M77" s="124">
        <f t="shared" si="16"/>
        <v>0</v>
      </c>
      <c r="N77" s="125">
        <v>0</v>
      </c>
      <c r="O77" s="107">
        <f t="shared" si="19"/>
        <v>0.7100000000000003</v>
      </c>
      <c r="P77" s="108">
        <f t="shared" si="20"/>
        <v>1.7100000000000004</v>
      </c>
      <c r="Q77" s="109">
        <f t="shared" si="21"/>
        <v>0.7100000000000003</v>
      </c>
      <c r="R77" s="56">
        <f t="shared" si="23"/>
        <v>0.7100000000000003</v>
      </c>
    </row>
    <row r="78" spans="2:18" ht="22.5" customHeight="1" thickBot="1" x14ac:dyDescent="0.3">
      <c r="B78" s="90" t="s">
        <v>198</v>
      </c>
      <c r="C78" s="116">
        <f t="shared" si="11"/>
        <v>72</v>
      </c>
      <c r="D78" s="92" t="s">
        <v>118</v>
      </c>
      <c r="E78" s="91"/>
      <c r="F78" s="99">
        <v>1.1299999999999999</v>
      </c>
      <c r="G78" s="120"/>
      <c r="H78" s="121"/>
      <c r="I78" s="122"/>
      <c r="J78" s="123">
        <f t="shared" si="17"/>
        <v>0</v>
      </c>
      <c r="K78" s="103">
        <f t="shared" si="18"/>
        <v>0</v>
      </c>
      <c r="L78" s="104">
        <v>0</v>
      </c>
      <c r="M78" s="124">
        <f t="shared" si="16"/>
        <v>0</v>
      </c>
      <c r="N78" s="125">
        <v>0</v>
      </c>
      <c r="O78" s="107">
        <f t="shared" si="19"/>
        <v>0.72000000000000031</v>
      </c>
      <c r="P78" s="108">
        <f t="shared" si="20"/>
        <v>1.7200000000000002</v>
      </c>
      <c r="Q78" s="109">
        <f t="shared" si="21"/>
        <v>0.72000000000000031</v>
      </c>
      <c r="R78" s="56">
        <f t="shared" si="23"/>
        <v>0.72000000000000031</v>
      </c>
    </row>
    <row r="79" spans="2:18" ht="17.100000000000001" customHeight="1" x14ac:dyDescent="0.25">
      <c r="B79" s="127" t="s">
        <v>199</v>
      </c>
      <c r="C79" s="117">
        <f t="shared" si="11"/>
        <v>73</v>
      </c>
      <c r="D79" s="90" t="s">
        <v>119</v>
      </c>
      <c r="E79" s="91"/>
      <c r="F79" s="99">
        <v>1.1299999999999999</v>
      </c>
      <c r="G79" s="100">
        <v>0</v>
      </c>
      <c r="H79" s="121">
        <f>G79</f>
        <v>0</v>
      </c>
      <c r="I79" s="122"/>
      <c r="J79" s="123">
        <f t="shared" si="17"/>
        <v>0</v>
      </c>
      <c r="K79" s="103">
        <f t="shared" si="18"/>
        <v>0</v>
      </c>
      <c r="L79" s="104">
        <v>0</v>
      </c>
      <c r="M79" s="124">
        <f t="shared" si="16"/>
        <v>0</v>
      </c>
      <c r="N79" s="125">
        <v>0</v>
      </c>
      <c r="O79" s="107">
        <f t="shared" si="19"/>
        <v>0.73000000000000032</v>
      </c>
      <c r="P79" s="108">
        <f t="shared" si="20"/>
        <v>1.7300000000000004</v>
      </c>
      <c r="Q79" s="109">
        <f t="shared" si="21"/>
        <v>0.73000000000000032</v>
      </c>
      <c r="R79" s="56">
        <f t="shared" si="23"/>
        <v>0.73000000000000032</v>
      </c>
    </row>
    <row r="80" spans="2:18" ht="17.100000000000001" customHeight="1" thickBot="1" x14ac:dyDescent="0.3">
      <c r="B80" s="90" t="s">
        <v>200</v>
      </c>
      <c r="C80" s="90">
        <f t="shared" si="11"/>
        <v>74</v>
      </c>
      <c r="D80" s="128" t="s">
        <v>113</v>
      </c>
      <c r="E80" s="128"/>
      <c r="F80" s="99">
        <v>1.1299999999999999</v>
      </c>
      <c r="G80" s="100">
        <v>0</v>
      </c>
      <c r="H80" s="121">
        <f>G80</f>
        <v>0</v>
      </c>
      <c r="I80" s="122"/>
      <c r="J80" s="123">
        <f t="shared" si="17"/>
        <v>0</v>
      </c>
      <c r="K80" s="103">
        <f t="shared" si="18"/>
        <v>0</v>
      </c>
      <c r="L80" s="104">
        <v>0</v>
      </c>
      <c r="M80" s="124">
        <f t="shared" si="16"/>
        <v>0</v>
      </c>
      <c r="N80" s="125">
        <v>0</v>
      </c>
      <c r="O80" s="129">
        <f t="shared" si="19"/>
        <v>0.74000000000000032</v>
      </c>
      <c r="P80" s="130">
        <f t="shared" si="20"/>
        <v>1.7400000000000002</v>
      </c>
      <c r="Q80" s="131">
        <f t="shared" si="21"/>
        <v>0.74000000000000032</v>
      </c>
      <c r="R80" s="56">
        <f t="shared" si="23"/>
        <v>0.74000000000000032</v>
      </c>
    </row>
    <row r="81" spans="2:17" ht="17.100000000000001" customHeight="1" thickBot="1" x14ac:dyDescent="0.3">
      <c r="B81" s="132"/>
      <c r="C81" s="133"/>
      <c r="D81" s="134"/>
      <c r="E81" s="134"/>
      <c r="F81" s="135">
        <f>SUM(F6:F80)</f>
        <v>99.999999999999943</v>
      </c>
      <c r="G81" s="66">
        <f>SUM(G6:G80)</f>
        <v>0</v>
      </c>
      <c r="H81" s="87">
        <f>SUM(H6:H80)</f>
        <v>0</v>
      </c>
      <c r="I81" s="66">
        <f t="shared" ref="I81:P81" si="24">SUM(I6:I80)</f>
        <v>0</v>
      </c>
      <c r="J81" s="87">
        <f>SUM(J6:J80)</f>
        <v>0</v>
      </c>
      <c r="K81" s="66">
        <f t="shared" si="24"/>
        <v>0</v>
      </c>
      <c r="L81" s="87">
        <f t="shared" si="24"/>
        <v>0</v>
      </c>
      <c r="M81" s="66">
        <f t="shared" si="24"/>
        <v>0</v>
      </c>
      <c r="N81" s="87">
        <f t="shared" si="24"/>
        <v>42488</v>
      </c>
      <c r="O81" s="136">
        <f t="shared" si="24"/>
        <v>42515.75</v>
      </c>
      <c r="P81" s="136">
        <f t="shared" si="24"/>
        <v>45092.75</v>
      </c>
      <c r="Q81" s="136">
        <f>SUM(Q6:Q80)</f>
        <v>43790.75</v>
      </c>
    </row>
    <row r="82" spans="2:17" ht="12.75" customHeight="1" x14ac:dyDescent="0.25">
      <c r="D82" s="63"/>
      <c r="E82" s="63"/>
    </row>
    <row r="83" spans="2:17" hidden="1" x14ac:dyDescent="0.25"/>
    <row r="84" spans="2:17" ht="9" customHeight="1" x14ac:dyDescent="0.25">
      <c r="D84" s="214"/>
      <c r="E84" s="214"/>
      <c r="F84" s="214"/>
      <c r="G84" s="214"/>
      <c r="H84" s="214"/>
      <c r="I84" s="214"/>
      <c r="J84" s="214"/>
      <c r="K84" s="214"/>
      <c r="L84" s="214"/>
      <c r="M84" s="214"/>
      <c r="N84" s="214"/>
      <c r="O84" s="214"/>
    </row>
    <row r="85" spans="2:17" ht="12" hidden="1" customHeight="1" x14ac:dyDescent="0.25">
      <c r="D85" s="214"/>
      <c r="E85" s="214"/>
      <c r="F85" s="214"/>
      <c r="G85" s="214"/>
      <c r="H85" s="214"/>
      <c r="I85" s="214"/>
      <c r="J85" s="214"/>
      <c r="K85" s="214"/>
      <c r="L85" s="214"/>
      <c r="M85" s="214"/>
      <c r="N85" s="214"/>
      <c r="O85" s="214"/>
    </row>
    <row r="86" spans="2:17" ht="12" hidden="1" customHeight="1" x14ac:dyDescent="0.25">
      <c r="D86" s="214"/>
      <c r="E86" s="214"/>
      <c r="F86" s="214"/>
      <c r="G86" s="214"/>
      <c r="H86" s="214"/>
      <c r="I86" s="214"/>
      <c r="J86" s="214"/>
      <c r="K86" s="214"/>
      <c r="L86" s="214"/>
      <c r="M86" s="214"/>
      <c r="N86" s="214"/>
      <c r="O86" s="214"/>
    </row>
    <row r="87" spans="2:17" ht="12" hidden="1" customHeight="1" x14ac:dyDescent="0.25">
      <c r="D87" s="214"/>
      <c r="E87" s="214"/>
      <c r="F87" s="214"/>
      <c r="G87" s="214"/>
      <c r="H87" s="214"/>
      <c r="I87" s="214"/>
      <c r="J87" s="214"/>
      <c r="K87" s="214"/>
      <c r="L87" s="214"/>
      <c r="M87" s="214"/>
      <c r="N87" s="214"/>
      <c r="O87" s="214"/>
    </row>
    <row r="88" spans="2:17" ht="12" hidden="1" customHeight="1" x14ac:dyDescent="0.25">
      <c r="D88" s="214"/>
      <c r="E88" s="214"/>
      <c r="F88" s="214"/>
      <c r="G88" s="214"/>
      <c r="H88" s="214"/>
      <c r="I88" s="214"/>
      <c r="J88" s="214"/>
      <c r="K88" s="214"/>
      <c r="L88" s="214"/>
      <c r="M88" s="214"/>
      <c r="N88" s="214"/>
      <c r="O88" s="214"/>
    </row>
    <row r="89" spans="2:17" ht="39.75" customHeight="1" x14ac:dyDescent="0.25">
      <c r="D89" s="214"/>
      <c r="E89" s="214"/>
      <c r="F89" s="214"/>
      <c r="G89" s="214"/>
      <c r="H89" s="214"/>
      <c r="I89" s="214"/>
      <c r="J89" s="214"/>
      <c r="K89" s="214"/>
      <c r="L89" s="214"/>
      <c r="M89" s="214"/>
      <c r="N89" s="214"/>
      <c r="O89" s="214"/>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43" t="s">
        <v>4</v>
      </c>
      <c r="B2" s="224" t="s">
        <v>5</v>
      </c>
      <c r="C2" s="224" t="s">
        <v>6</v>
      </c>
      <c r="D2" s="224" t="s">
        <v>122</v>
      </c>
      <c r="E2" s="243" t="s">
        <v>27</v>
      </c>
      <c r="F2" s="245" t="s">
        <v>223</v>
      </c>
    </row>
    <row r="3" spans="1:6" ht="28.5" customHeight="1" thickBot="1" x14ac:dyDescent="0.3">
      <c r="A3" s="244"/>
      <c r="B3" s="235"/>
      <c r="C3" s="235"/>
      <c r="D3" s="225"/>
      <c r="E3" s="244"/>
      <c r="F3" s="246"/>
    </row>
    <row r="4" spans="1:6" x14ac:dyDescent="0.25">
      <c r="A4" s="90" t="s">
        <v>127</v>
      </c>
      <c r="B4" s="90">
        <v>1</v>
      </c>
      <c r="C4" s="90" t="s">
        <v>49</v>
      </c>
      <c r="D4" s="90"/>
      <c r="E4" s="150">
        <v>1.65</v>
      </c>
      <c r="F4" s="154">
        <f>PRORRATEO!M7+'PRORRATEO (2)'!O6</f>
        <v>204000.02000000002</v>
      </c>
    </row>
    <row r="5" spans="1:6" x14ac:dyDescent="0.25">
      <c r="A5" s="90" t="s">
        <v>128</v>
      </c>
      <c r="B5" s="90">
        <f>B4+1</f>
        <v>2</v>
      </c>
      <c r="C5" s="90" t="s">
        <v>58</v>
      </c>
      <c r="D5" s="91"/>
      <c r="E5" s="150">
        <v>1.1599999999999999</v>
      </c>
      <c r="F5" s="154">
        <f>PRORRATEO!M8+'PRORRATEO (2)'!O7</f>
        <v>153000.03999999998</v>
      </c>
    </row>
    <row r="6" spans="1:6" x14ac:dyDescent="0.25">
      <c r="A6" s="90" t="s">
        <v>129</v>
      </c>
      <c r="B6" s="90">
        <f t="shared" ref="B6:B33" si="0">B5+1</f>
        <v>3</v>
      </c>
      <c r="C6" s="90" t="s">
        <v>59</v>
      </c>
      <c r="D6" s="91"/>
      <c r="E6" s="150">
        <v>1.19</v>
      </c>
      <c r="F6" s="154">
        <f>PRORRATEO!M9+'PRORRATEO (2)'!O8</f>
        <v>168000.06</v>
      </c>
    </row>
    <row r="7" spans="1:6" x14ac:dyDescent="0.25">
      <c r="A7" s="90" t="s">
        <v>130</v>
      </c>
      <c r="B7" s="90">
        <f t="shared" si="0"/>
        <v>4</v>
      </c>
      <c r="C7" s="90" t="s">
        <v>60</v>
      </c>
      <c r="D7" s="91"/>
      <c r="E7" s="150">
        <v>1.22</v>
      </c>
      <c r="F7" s="154">
        <f>PRORRATEO!M10+'PRORRATEO (2)'!O9</f>
        <v>71176.079999999987</v>
      </c>
    </row>
    <row r="8" spans="1:6" x14ac:dyDescent="0.25">
      <c r="A8" s="90" t="s">
        <v>131</v>
      </c>
      <c r="B8" s="90">
        <f t="shared" si="0"/>
        <v>5</v>
      </c>
      <c r="C8" s="90" t="s">
        <v>61</v>
      </c>
      <c r="D8" s="91"/>
      <c r="E8" s="150">
        <v>1.67</v>
      </c>
      <c r="F8" s="154">
        <f>PRORRATEO!M11+'PRORRATEO (2)'!O10</f>
        <v>164500.09999999998</v>
      </c>
    </row>
    <row r="9" spans="1:6" x14ac:dyDescent="0.25">
      <c r="A9" s="90" t="s">
        <v>132</v>
      </c>
      <c r="B9" s="90">
        <f t="shared" si="0"/>
        <v>6</v>
      </c>
      <c r="C9" s="90" t="s">
        <v>50</v>
      </c>
      <c r="D9" s="90"/>
      <c r="E9" s="150">
        <v>1.71</v>
      </c>
      <c r="F9" s="154">
        <f>PRORRATEO!M12+'PRORRATEO (2)'!O11</f>
        <v>84000.12</v>
      </c>
    </row>
    <row r="10" spans="1:6" x14ac:dyDescent="0.25">
      <c r="A10" s="90" t="s">
        <v>133</v>
      </c>
      <c r="B10" s="90">
        <f t="shared" si="0"/>
        <v>7</v>
      </c>
      <c r="C10" s="90" t="s">
        <v>51</v>
      </c>
      <c r="D10" s="90"/>
      <c r="E10" s="150">
        <v>1.1299999999999999</v>
      </c>
      <c r="F10" s="154">
        <f>PRORRATEO!M13+'PRORRATEO (2)'!O12</f>
        <v>882232.1399999999</v>
      </c>
    </row>
    <row r="11" spans="1:6" x14ac:dyDescent="0.25">
      <c r="A11" s="90" t="s">
        <v>134</v>
      </c>
      <c r="B11" s="90">
        <f t="shared" si="0"/>
        <v>8</v>
      </c>
      <c r="C11" s="90" t="s">
        <v>62</v>
      </c>
      <c r="D11" s="91"/>
      <c r="E11" s="150">
        <v>1.1299999999999999</v>
      </c>
      <c r="F11" s="154">
        <f>PRORRATEO!M14+'PRORRATEO (2)'!O13</f>
        <v>961820.15999999992</v>
      </c>
    </row>
    <row r="12" spans="1:6" x14ac:dyDescent="0.25">
      <c r="A12" s="90" t="s">
        <v>135</v>
      </c>
      <c r="B12" s="90">
        <f t="shared" si="0"/>
        <v>9</v>
      </c>
      <c r="C12" s="90" t="s">
        <v>56</v>
      </c>
      <c r="D12" s="91"/>
      <c r="E12" s="150">
        <v>1.1299999999999999</v>
      </c>
      <c r="F12" s="154">
        <f>PRORRATEO!M15+'PRORRATEO (2)'!O14</f>
        <v>872907.17999999993</v>
      </c>
    </row>
    <row r="13" spans="1:6" x14ac:dyDescent="0.25">
      <c r="A13" s="90" t="s">
        <v>136</v>
      </c>
      <c r="B13" s="90">
        <f t="shared" si="0"/>
        <v>10</v>
      </c>
      <c r="C13" s="90" t="s">
        <v>57</v>
      </c>
      <c r="D13" s="91"/>
      <c r="E13" s="150">
        <v>1.67</v>
      </c>
      <c r="F13" s="154">
        <f>PRORRATEO!M16+'PRORRATEO (2)'!O15</f>
        <v>84000.200000000012</v>
      </c>
    </row>
    <row r="14" spans="1:6" x14ac:dyDescent="0.25">
      <c r="A14" s="90" t="s">
        <v>137</v>
      </c>
      <c r="B14" s="90">
        <f t="shared" si="0"/>
        <v>11</v>
      </c>
      <c r="C14" s="90" t="s">
        <v>63</v>
      </c>
      <c r="D14" s="91"/>
      <c r="E14" s="150">
        <v>1.71</v>
      </c>
      <c r="F14" s="154">
        <f>PRORRATEO!M17+'PRORRATEO (2)'!O16</f>
        <v>84000.22</v>
      </c>
    </row>
    <row r="15" spans="1:6" x14ac:dyDescent="0.25">
      <c r="A15" s="90" t="s">
        <v>138</v>
      </c>
      <c r="B15" s="90">
        <f t="shared" si="0"/>
        <v>12</v>
      </c>
      <c r="C15" s="90" t="s">
        <v>64</v>
      </c>
      <c r="D15" s="91"/>
      <c r="E15" s="150">
        <v>1.1299999999999999</v>
      </c>
      <c r="F15" s="154">
        <f>PRORRATEO!M18+'PRORRATEO (2)'!O17</f>
        <v>84000.239999999991</v>
      </c>
    </row>
    <row r="16" spans="1:6" x14ac:dyDescent="0.25">
      <c r="A16" s="90" t="s">
        <v>139</v>
      </c>
      <c r="B16" s="90">
        <f t="shared" si="0"/>
        <v>13</v>
      </c>
      <c r="C16" s="90" t="s">
        <v>65</v>
      </c>
      <c r="D16" s="91"/>
      <c r="E16" s="150">
        <v>1.1299999999999999</v>
      </c>
      <c r="F16" s="154">
        <f>PRORRATEO!M19+'PRORRATEO (2)'!O18</f>
        <v>769000.26</v>
      </c>
    </row>
    <row r="17" spans="1:6" x14ac:dyDescent="0.25">
      <c r="A17" s="90" t="s">
        <v>140</v>
      </c>
      <c r="B17" s="90">
        <f t="shared" si="0"/>
        <v>14</v>
      </c>
      <c r="C17" s="90" t="s">
        <v>66</v>
      </c>
      <c r="D17" s="91"/>
      <c r="E17" s="150">
        <v>1.1299999999999999</v>
      </c>
      <c r="F17" s="154">
        <f>PRORRATEO!M20+'PRORRATEO (2)'!O19</f>
        <v>649883.28</v>
      </c>
    </row>
    <row r="18" spans="1:6" x14ac:dyDescent="0.25">
      <c r="A18" s="90" t="s">
        <v>141</v>
      </c>
      <c r="B18" s="90">
        <f t="shared" si="0"/>
        <v>15</v>
      </c>
      <c r="C18" s="90" t="s">
        <v>67</v>
      </c>
      <c r="D18" s="91"/>
      <c r="E18" s="150">
        <v>1.67</v>
      </c>
      <c r="F18" s="154">
        <f>PRORRATEO!M21+'PRORRATEO (2)'!O20</f>
        <v>84000.299999999988</v>
      </c>
    </row>
    <row r="19" spans="1:6" x14ac:dyDescent="0.25">
      <c r="A19" s="90" t="s">
        <v>142</v>
      </c>
      <c r="B19" s="90">
        <f t="shared" si="0"/>
        <v>16</v>
      </c>
      <c r="C19" s="90" t="s">
        <v>52</v>
      </c>
      <c r="D19" s="90"/>
      <c r="E19" s="150">
        <v>1.71</v>
      </c>
      <c r="F19" s="154">
        <f>PRORRATEO!M22+'PRORRATEO (2)'!O21</f>
        <v>76110.320000000007</v>
      </c>
    </row>
    <row r="20" spans="1:6" x14ac:dyDescent="0.25">
      <c r="A20" s="90" t="s">
        <v>143</v>
      </c>
      <c r="B20" s="90">
        <f t="shared" si="0"/>
        <v>17</v>
      </c>
      <c r="C20" s="90" t="s">
        <v>68</v>
      </c>
      <c r="D20" s="91"/>
      <c r="E20" s="150">
        <v>1.1299999999999999</v>
      </c>
      <c r="F20" s="154">
        <f>PRORRATEO!M23+'PRORRATEO (2)'!O22</f>
        <v>686683.34000000008</v>
      </c>
    </row>
    <row r="21" spans="1:6" x14ac:dyDescent="0.25">
      <c r="A21" s="90" t="s">
        <v>144</v>
      </c>
      <c r="B21" s="90">
        <f t="shared" si="0"/>
        <v>18</v>
      </c>
      <c r="C21" s="90" t="s">
        <v>69</v>
      </c>
      <c r="D21" s="90"/>
      <c r="E21" s="150">
        <v>1.1299999999999999</v>
      </c>
      <c r="F21" s="154">
        <f>PRORRATEO!M24+'PRORRATEO (2)'!O23</f>
        <v>84000.359999999986</v>
      </c>
    </row>
    <row r="22" spans="1:6" x14ac:dyDescent="0.25">
      <c r="A22" s="90" t="s">
        <v>145</v>
      </c>
      <c r="B22" s="90">
        <f t="shared" si="0"/>
        <v>19</v>
      </c>
      <c r="C22" s="90" t="s">
        <v>70</v>
      </c>
      <c r="D22" s="91"/>
      <c r="E22" s="150">
        <v>1.1299999999999999</v>
      </c>
      <c r="F22" s="154">
        <f>PRORRATEO!M25+'PRORRATEO (2)'!O24</f>
        <v>463002.38</v>
      </c>
    </row>
    <row r="23" spans="1:6" x14ac:dyDescent="0.25">
      <c r="A23" s="90" t="s">
        <v>146</v>
      </c>
      <c r="B23" s="90">
        <f t="shared" si="0"/>
        <v>20</v>
      </c>
      <c r="C23" s="90" t="s">
        <v>53</v>
      </c>
      <c r="D23" s="90"/>
      <c r="E23" s="150">
        <v>1.67</v>
      </c>
      <c r="F23" s="154">
        <f>PRORRATEO!M26+'PRORRATEO (2)'!O25</f>
        <v>81900.399999999994</v>
      </c>
    </row>
    <row r="24" spans="1:6" x14ac:dyDescent="0.25">
      <c r="A24" s="90" t="s">
        <v>147</v>
      </c>
      <c r="B24" s="90">
        <f t="shared" si="0"/>
        <v>21</v>
      </c>
      <c r="C24" s="90" t="s">
        <v>71</v>
      </c>
      <c r="D24" s="91"/>
      <c r="E24" s="150">
        <v>1.71</v>
      </c>
      <c r="F24" s="154">
        <f>PRORRATEO!M27+'PRORRATEO (2)'!O26</f>
        <v>661674.41999999993</v>
      </c>
    </row>
    <row r="25" spans="1:6" x14ac:dyDescent="0.25">
      <c r="A25" s="90" t="s">
        <v>148</v>
      </c>
      <c r="B25" s="90">
        <f t="shared" si="0"/>
        <v>22</v>
      </c>
      <c r="C25" s="90" t="s">
        <v>72</v>
      </c>
      <c r="D25" s="91"/>
      <c r="E25" s="150">
        <v>1.1299999999999999</v>
      </c>
      <c r="F25" s="154">
        <f>PRORRATEO!M28+'PRORRATEO (2)'!O27</f>
        <v>904288.44</v>
      </c>
    </row>
    <row r="26" spans="1:6" x14ac:dyDescent="0.25">
      <c r="A26" s="90" t="s">
        <v>149</v>
      </c>
      <c r="B26" s="90">
        <f t="shared" si="0"/>
        <v>23</v>
      </c>
      <c r="C26" s="90" t="s">
        <v>73</v>
      </c>
      <c r="D26" s="91"/>
      <c r="E26" s="150">
        <v>1.1299999999999999</v>
      </c>
      <c r="F26" s="154">
        <f>PRORRATEO!M29+'PRORRATEO (2)'!O28</f>
        <v>153092.46000000002</v>
      </c>
    </row>
    <row r="27" spans="1:6" x14ac:dyDescent="0.25">
      <c r="A27" s="90" t="s">
        <v>150</v>
      </c>
      <c r="B27" s="90">
        <f t="shared" si="0"/>
        <v>24</v>
      </c>
      <c r="C27" s="90" t="s">
        <v>74</v>
      </c>
      <c r="D27" s="91"/>
      <c r="E27" s="150">
        <v>1.1299999999999999</v>
      </c>
      <c r="F27" s="154">
        <f>PRORRATEO!M30+'PRORRATEO (2)'!O29</f>
        <v>1301292.48</v>
      </c>
    </row>
    <row r="28" spans="1:6" x14ac:dyDescent="0.25">
      <c r="A28" s="90" t="s">
        <v>151</v>
      </c>
      <c r="B28" s="90">
        <f t="shared" si="0"/>
        <v>25</v>
      </c>
      <c r="C28" s="90" t="s">
        <v>75</v>
      </c>
      <c r="D28" s="90"/>
      <c r="E28" s="150">
        <v>1.67</v>
      </c>
      <c r="F28" s="154">
        <f>PRORRATEO!M31+'PRORRATEO (2)'!O30</f>
        <v>165000.5</v>
      </c>
    </row>
    <row r="29" spans="1:6" x14ac:dyDescent="0.25">
      <c r="A29" s="90" t="s">
        <v>152</v>
      </c>
      <c r="B29" s="90">
        <f t="shared" si="0"/>
        <v>26</v>
      </c>
      <c r="C29" s="90" t="s">
        <v>202</v>
      </c>
      <c r="D29" s="90"/>
      <c r="E29" s="150">
        <v>1.71</v>
      </c>
      <c r="F29" s="154">
        <f>PRORRATEO!M32+'PRORRATEO (2)'!O31</f>
        <v>1529444.52</v>
      </c>
    </row>
    <row r="30" spans="1:6" x14ac:dyDescent="0.25">
      <c r="A30" s="90" t="s">
        <v>153</v>
      </c>
      <c r="B30" s="90">
        <f t="shared" si="0"/>
        <v>27</v>
      </c>
      <c r="C30" s="90" t="s">
        <v>76</v>
      </c>
      <c r="D30" s="91"/>
      <c r="E30" s="150">
        <v>1.1299999999999999</v>
      </c>
      <c r="F30" s="154">
        <f>PRORRATEO!M33+'PRORRATEO (2)'!O32</f>
        <v>0.27000000000000007</v>
      </c>
    </row>
    <row r="31" spans="1:6" x14ac:dyDescent="0.25">
      <c r="A31" s="90" t="s">
        <v>154</v>
      </c>
      <c r="B31" s="90">
        <f t="shared" si="0"/>
        <v>28</v>
      </c>
      <c r="C31" s="90" t="s">
        <v>54</v>
      </c>
      <c r="D31" s="90"/>
      <c r="E31" s="150">
        <v>1.1299999999999999</v>
      </c>
      <c r="F31" s="154" t="e">
        <f>PRORRATEO!#REF!+'PRORRATEO (2)'!O33</f>
        <v>#REF!</v>
      </c>
    </row>
    <row r="32" spans="1:6" x14ac:dyDescent="0.25">
      <c r="A32" s="90" t="s">
        <v>155</v>
      </c>
      <c r="B32" s="90">
        <f t="shared" si="0"/>
        <v>29</v>
      </c>
      <c r="C32" s="90" t="s">
        <v>55</v>
      </c>
      <c r="D32" s="90"/>
      <c r="E32" s="150">
        <v>1.1299999999999999</v>
      </c>
      <c r="F32" s="154" t="e">
        <f>PRORRATEO!#REF!+'PRORRATEO (2)'!O34</f>
        <v>#REF!</v>
      </c>
    </row>
    <row r="33" spans="1:6" x14ac:dyDescent="0.25">
      <c r="A33" s="90" t="s">
        <v>156</v>
      </c>
      <c r="B33" s="90">
        <f t="shared" si="0"/>
        <v>30</v>
      </c>
      <c r="C33" s="90" t="s">
        <v>77</v>
      </c>
      <c r="D33" s="91"/>
      <c r="E33" s="150">
        <v>1.67</v>
      </c>
      <c r="F33" s="154" t="e">
        <f>PRORRATEO!#REF!+'PRORRATEO (2)'!O35</f>
        <v>#REF!</v>
      </c>
    </row>
    <row r="34" spans="1:6" x14ac:dyDescent="0.25">
      <c r="A34" s="90"/>
      <c r="B34" s="90"/>
      <c r="C34" s="90"/>
      <c r="D34" s="90"/>
      <c r="E34" s="150"/>
      <c r="F34" s="154" t="e">
        <f>PRORRATEO!#REF!+'PRORRATEO (2)'!O36</f>
        <v>#REF!</v>
      </c>
    </row>
    <row r="35" spans="1:6" x14ac:dyDescent="0.25">
      <c r="A35" s="90" t="s">
        <v>157</v>
      </c>
      <c r="B35" s="90">
        <v>31</v>
      </c>
      <c r="C35" s="90" t="s">
        <v>94</v>
      </c>
      <c r="D35" s="91"/>
      <c r="E35" s="150">
        <v>1.71</v>
      </c>
      <c r="F35" s="154" t="e">
        <f>PRORRATEO!#REF!+'PRORRATEO (2)'!O37</f>
        <v>#REF!</v>
      </c>
    </row>
    <row r="36" spans="1:6" x14ac:dyDescent="0.25">
      <c r="A36" s="90" t="s">
        <v>158</v>
      </c>
      <c r="B36" s="90">
        <f>B35+1</f>
        <v>32</v>
      </c>
      <c r="C36" s="90" t="s">
        <v>95</v>
      </c>
      <c r="D36" s="91"/>
      <c r="E36" s="150">
        <v>1.1299999999999999</v>
      </c>
      <c r="F36" s="154" t="e">
        <f>PRORRATEO!#REF!+'PRORRATEO (2)'!O38</f>
        <v>#REF!</v>
      </c>
    </row>
    <row r="37" spans="1:6" x14ac:dyDescent="0.25">
      <c r="A37" s="90" t="s">
        <v>159</v>
      </c>
      <c r="B37" s="90">
        <f t="shared" ref="B37:B78" si="1">B36+1</f>
        <v>33</v>
      </c>
      <c r="C37" s="90" t="s">
        <v>78</v>
      </c>
      <c r="D37" s="90"/>
      <c r="E37" s="150">
        <v>1.1299999999999999</v>
      </c>
      <c r="F37" s="154" t="e">
        <f>PRORRATEO!#REF!+'PRORRATEO (2)'!O39</f>
        <v>#REF!</v>
      </c>
    </row>
    <row r="38" spans="1:6" x14ac:dyDescent="0.25">
      <c r="A38" s="90" t="s">
        <v>160</v>
      </c>
      <c r="B38" s="90">
        <f t="shared" si="1"/>
        <v>34</v>
      </c>
      <c r="C38" s="90" t="s">
        <v>96</v>
      </c>
      <c r="D38" s="91"/>
      <c r="E38" s="150">
        <v>1.1299999999999999</v>
      </c>
      <c r="F38" s="154" t="e">
        <f>PRORRATEO!#REF!+'PRORRATEO (2)'!O40</f>
        <v>#REF!</v>
      </c>
    </row>
    <row r="39" spans="1:6" x14ac:dyDescent="0.25">
      <c r="A39" s="90" t="s">
        <v>161</v>
      </c>
      <c r="B39" s="90">
        <f t="shared" si="1"/>
        <v>35</v>
      </c>
      <c r="C39" s="90" t="s">
        <v>97</v>
      </c>
      <c r="D39" s="91"/>
      <c r="E39" s="150">
        <v>1.67</v>
      </c>
      <c r="F39" s="154" t="e">
        <f>PRORRATEO!#REF!+'PRORRATEO (2)'!O41</f>
        <v>#REF!</v>
      </c>
    </row>
    <row r="40" spans="1:6" x14ac:dyDescent="0.25">
      <c r="A40" s="89" t="s">
        <v>162</v>
      </c>
      <c r="B40" s="90">
        <f t="shared" si="1"/>
        <v>36</v>
      </c>
      <c r="C40" s="89" t="s">
        <v>98</v>
      </c>
      <c r="D40" s="114"/>
      <c r="E40" s="151">
        <v>1.71</v>
      </c>
      <c r="F40" s="154" t="e">
        <f>PRORRATEO!#REF!+'PRORRATEO (2)'!O42</f>
        <v>#REF!</v>
      </c>
    </row>
    <row r="41" spans="1:6" x14ac:dyDescent="0.25">
      <c r="A41" s="90" t="s">
        <v>163</v>
      </c>
      <c r="B41" s="116">
        <f t="shared" si="1"/>
        <v>37</v>
      </c>
      <c r="C41" s="89" t="s">
        <v>79</v>
      </c>
      <c r="D41" s="89"/>
      <c r="E41" s="151">
        <v>1.1299999999999999</v>
      </c>
      <c r="F41" s="154" t="e">
        <f>PRORRATEO!#REF!+'PRORRATEO (2)'!O43</f>
        <v>#REF!</v>
      </c>
    </row>
    <row r="42" spans="1:6" x14ac:dyDescent="0.25">
      <c r="A42" s="90" t="s">
        <v>164</v>
      </c>
      <c r="B42" s="116">
        <f t="shared" si="1"/>
        <v>38</v>
      </c>
      <c r="C42" s="89" t="s">
        <v>99</v>
      </c>
      <c r="D42" s="114"/>
      <c r="E42" s="151">
        <v>1.1299999999999999</v>
      </c>
      <c r="F42" s="154" t="e">
        <f>PRORRATEO!#REF!+'PRORRATEO (2)'!O44</f>
        <v>#REF!</v>
      </c>
    </row>
    <row r="43" spans="1:6" x14ac:dyDescent="0.25">
      <c r="A43" s="90" t="s">
        <v>165</v>
      </c>
      <c r="B43" s="116">
        <f t="shared" si="1"/>
        <v>39</v>
      </c>
      <c r="C43" s="89" t="s">
        <v>80</v>
      </c>
      <c r="D43" s="89"/>
      <c r="E43" s="151">
        <v>1.1299999999999999</v>
      </c>
      <c r="F43" s="154" t="e">
        <f>PRORRATEO!#REF!+'PRORRATEO (2)'!O45</f>
        <v>#REF!</v>
      </c>
    </row>
    <row r="44" spans="1:6" x14ac:dyDescent="0.25">
      <c r="A44" s="90" t="s">
        <v>166</v>
      </c>
      <c r="B44" s="116">
        <f t="shared" si="1"/>
        <v>40</v>
      </c>
      <c r="C44" s="89" t="s">
        <v>81</v>
      </c>
      <c r="D44" s="89"/>
      <c r="E44" s="151">
        <v>1.67</v>
      </c>
      <c r="F44" s="154" t="e">
        <f>PRORRATEO!#REF!+'PRORRATEO (2)'!O46</f>
        <v>#REF!</v>
      </c>
    </row>
    <row r="45" spans="1:6" x14ac:dyDescent="0.25">
      <c r="A45" s="90" t="s">
        <v>167</v>
      </c>
      <c r="B45" s="116">
        <f t="shared" si="1"/>
        <v>41</v>
      </c>
      <c r="C45" s="89" t="s">
        <v>100</v>
      </c>
      <c r="D45" s="114"/>
      <c r="E45" s="151">
        <v>1.71</v>
      </c>
      <c r="F45" s="154" t="e">
        <f>PRORRATEO!#REF!+'PRORRATEO (2)'!O47</f>
        <v>#REF!</v>
      </c>
    </row>
    <row r="46" spans="1:6" x14ac:dyDescent="0.25">
      <c r="A46" s="90" t="s">
        <v>168</v>
      </c>
      <c r="B46" s="116">
        <f t="shared" si="1"/>
        <v>42</v>
      </c>
      <c r="C46" s="89" t="s">
        <v>101</v>
      </c>
      <c r="D46" s="114"/>
      <c r="E46" s="151">
        <v>1.1299999999999999</v>
      </c>
      <c r="F46" s="154" t="e">
        <f>PRORRATEO!#REF!+'PRORRATEO (2)'!O48</f>
        <v>#REF!</v>
      </c>
    </row>
    <row r="47" spans="1:6" x14ac:dyDescent="0.25">
      <c r="A47" s="90" t="s">
        <v>169</v>
      </c>
      <c r="B47" s="116">
        <f t="shared" si="1"/>
        <v>43</v>
      </c>
      <c r="C47" s="89" t="s">
        <v>102</v>
      </c>
      <c r="D47" s="114"/>
      <c r="E47" s="151">
        <v>1.1299999999999999</v>
      </c>
      <c r="F47" s="154" t="e">
        <f>PRORRATEO!#REF!+'PRORRATEO (2)'!O49</f>
        <v>#REF!</v>
      </c>
    </row>
    <row r="48" spans="1:6" x14ac:dyDescent="0.25">
      <c r="A48" s="90" t="s">
        <v>170</v>
      </c>
      <c r="B48" s="116">
        <f t="shared" si="1"/>
        <v>44</v>
      </c>
      <c r="C48" s="89" t="s">
        <v>82</v>
      </c>
      <c r="D48" s="89"/>
      <c r="E48" s="151">
        <v>1.1299999999999999</v>
      </c>
      <c r="F48" s="154" t="e">
        <f>PRORRATEO!#REF!+'PRORRATEO (2)'!O50</f>
        <v>#REF!</v>
      </c>
    </row>
    <row r="49" spans="1:6" x14ac:dyDescent="0.25">
      <c r="A49" s="90" t="s">
        <v>171</v>
      </c>
      <c r="B49" s="116">
        <f t="shared" si="1"/>
        <v>45</v>
      </c>
      <c r="C49" s="89" t="s">
        <v>83</v>
      </c>
      <c r="D49" s="89"/>
      <c r="E49" s="151">
        <v>1.67</v>
      </c>
      <c r="F49" s="154" t="e">
        <f>PRORRATEO!#REF!+'PRORRATEO (2)'!O51</f>
        <v>#REF!</v>
      </c>
    </row>
    <row r="50" spans="1:6" x14ac:dyDescent="0.25">
      <c r="A50" s="90" t="s">
        <v>172</v>
      </c>
      <c r="B50" s="116">
        <f t="shared" si="1"/>
        <v>46</v>
      </c>
      <c r="C50" s="89" t="s">
        <v>103</v>
      </c>
      <c r="D50" s="114"/>
      <c r="E50" s="151">
        <v>1.71</v>
      </c>
      <c r="F50" s="154" t="e">
        <f>PRORRATEO!#REF!+'PRORRATEO (2)'!O52</f>
        <v>#REF!</v>
      </c>
    </row>
    <row r="51" spans="1:6" x14ac:dyDescent="0.25">
      <c r="A51" s="90" t="s">
        <v>173</v>
      </c>
      <c r="B51" s="116">
        <f t="shared" si="1"/>
        <v>47</v>
      </c>
      <c r="C51" s="89" t="s">
        <v>84</v>
      </c>
      <c r="D51" s="89"/>
      <c r="E51" s="151">
        <v>1.1299999999999999</v>
      </c>
      <c r="F51" s="154" t="e">
        <f>PRORRATEO!#REF!+'PRORRATEO (2)'!O53</f>
        <v>#REF!</v>
      </c>
    </row>
    <row r="52" spans="1:6" x14ac:dyDescent="0.25">
      <c r="A52" s="90" t="s">
        <v>174</v>
      </c>
      <c r="B52" s="116">
        <f t="shared" si="1"/>
        <v>48</v>
      </c>
      <c r="C52" s="89" t="s">
        <v>85</v>
      </c>
      <c r="D52" s="89"/>
      <c r="E52" s="151">
        <v>1.1299999999999999</v>
      </c>
      <c r="F52" s="154" t="e">
        <f>PRORRATEO!#REF!+'PRORRATEO (2)'!O54</f>
        <v>#REF!</v>
      </c>
    </row>
    <row r="53" spans="1:6" x14ac:dyDescent="0.25">
      <c r="A53" s="90" t="s">
        <v>175</v>
      </c>
      <c r="B53" s="116">
        <f t="shared" si="1"/>
        <v>49</v>
      </c>
      <c r="C53" s="89" t="s">
        <v>203</v>
      </c>
      <c r="D53" s="89"/>
      <c r="E53" s="151">
        <v>1.1299999999999999</v>
      </c>
      <c r="F53" s="154" t="e">
        <f>PRORRATEO!#REF!+'PRORRATEO (2)'!O55</f>
        <v>#REF!</v>
      </c>
    </row>
    <row r="54" spans="1:6" x14ac:dyDescent="0.25">
      <c r="A54" s="90" t="s">
        <v>176</v>
      </c>
      <c r="B54" s="116">
        <f t="shared" si="1"/>
        <v>50</v>
      </c>
      <c r="C54" s="89" t="s">
        <v>86</v>
      </c>
      <c r="D54" s="89"/>
      <c r="E54" s="151">
        <v>1.67</v>
      </c>
      <c r="F54" s="154" t="e">
        <f>PRORRATEO!#REF!+'PRORRATEO (2)'!O56</f>
        <v>#REF!</v>
      </c>
    </row>
    <row r="55" spans="1:6" x14ac:dyDescent="0.25">
      <c r="A55" s="90" t="s">
        <v>177</v>
      </c>
      <c r="B55" s="116">
        <f t="shared" si="1"/>
        <v>51</v>
      </c>
      <c r="C55" s="89" t="s">
        <v>105</v>
      </c>
      <c r="D55" s="114"/>
      <c r="E55" s="151">
        <v>1.71</v>
      </c>
      <c r="F55" s="154" t="e">
        <f>PRORRATEO!#REF!+'PRORRATEO (2)'!O57</f>
        <v>#REF!</v>
      </c>
    </row>
    <row r="56" spans="1:6" x14ac:dyDescent="0.25">
      <c r="A56" s="90" t="s">
        <v>178</v>
      </c>
      <c r="B56" s="116">
        <f t="shared" si="1"/>
        <v>52</v>
      </c>
      <c r="C56" s="89" t="s">
        <v>104</v>
      </c>
      <c r="D56" s="114"/>
      <c r="E56" s="151">
        <v>1.1299999999999999</v>
      </c>
      <c r="F56" s="154" t="e">
        <f>PRORRATEO!#REF!+'PRORRATEO (2)'!O58</f>
        <v>#REF!</v>
      </c>
    </row>
    <row r="57" spans="1:6" x14ac:dyDescent="0.25">
      <c r="A57" s="90" t="s">
        <v>179</v>
      </c>
      <c r="B57" s="116">
        <f t="shared" si="1"/>
        <v>53</v>
      </c>
      <c r="C57" s="89" t="s">
        <v>87</v>
      </c>
      <c r="D57" s="89"/>
      <c r="E57" s="151">
        <v>1.1299999999999999</v>
      </c>
      <c r="F57" s="154" t="e">
        <f>PRORRATEO!#REF!+'PRORRATEO (2)'!O59</f>
        <v>#REF!</v>
      </c>
    </row>
    <row r="58" spans="1:6" x14ac:dyDescent="0.25">
      <c r="A58" s="90" t="s">
        <v>180</v>
      </c>
      <c r="B58" s="116">
        <f t="shared" si="1"/>
        <v>54</v>
      </c>
      <c r="C58" s="89" t="s">
        <v>107</v>
      </c>
      <c r="D58" s="114"/>
      <c r="E58" s="151">
        <v>1.1299999999999999</v>
      </c>
      <c r="F58" s="154" t="e">
        <f>PRORRATEO!#REF!+'PRORRATEO (2)'!O60</f>
        <v>#REF!</v>
      </c>
    </row>
    <row r="59" spans="1:6" x14ac:dyDescent="0.25">
      <c r="A59" s="90" t="s">
        <v>181</v>
      </c>
      <c r="B59" s="116">
        <f t="shared" si="1"/>
        <v>55</v>
      </c>
      <c r="C59" s="89" t="s">
        <v>106</v>
      </c>
      <c r="D59" s="114"/>
      <c r="E59" s="151">
        <v>1.67</v>
      </c>
      <c r="F59" s="154" t="e">
        <f>PRORRATEO!#REF!+'PRORRATEO (2)'!O61</f>
        <v>#REF!</v>
      </c>
    </row>
    <row r="60" spans="1:6" x14ac:dyDescent="0.25">
      <c r="A60" s="90" t="s">
        <v>182</v>
      </c>
      <c r="B60" s="116">
        <f t="shared" si="1"/>
        <v>56</v>
      </c>
      <c r="C60" s="89" t="s">
        <v>108</v>
      </c>
      <c r="D60" s="114"/>
      <c r="E60" s="151">
        <v>1.71</v>
      </c>
      <c r="F60" s="154" t="e">
        <f>PRORRATEO!#REF!+'PRORRATEO (2)'!O62</f>
        <v>#REF!</v>
      </c>
    </row>
    <row r="61" spans="1:6" x14ac:dyDescent="0.25">
      <c r="A61" s="90" t="s">
        <v>183</v>
      </c>
      <c r="B61" s="116">
        <f t="shared" si="1"/>
        <v>57</v>
      </c>
      <c r="C61" s="89" t="s">
        <v>204</v>
      </c>
      <c r="D61" s="114"/>
      <c r="E61" s="151">
        <v>1.1299999999999999</v>
      </c>
      <c r="F61" s="154" t="e">
        <f>PRORRATEO!#REF!+'PRORRATEO (2)'!O63</f>
        <v>#REF!</v>
      </c>
    </row>
    <row r="62" spans="1:6" x14ac:dyDescent="0.25">
      <c r="A62" s="90" t="s">
        <v>184</v>
      </c>
      <c r="B62" s="116">
        <f t="shared" si="1"/>
        <v>58</v>
      </c>
      <c r="C62" s="89" t="s">
        <v>88</v>
      </c>
      <c r="D62" s="89"/>
      <c r="E62" s="151">
        <v>1.1299999999999999</v>
      </c>
      <c r="F62" s="154" t="e">
        <f>PRORRATEO!#REF!+'PRORRATEO (2)'!O64</f>
        <v>#REF!</v>
      </c>
    </row>
    <row r="63" spans="1:6" x14ac:dyDescent="0.25">
      <c r="A63" s="90" t="s">
        <v>185</v>
      </c>
      <c r="B63" s="116">
        <f t="shared" si="1"/>
        <v>59</v>
      </c>
      <c r="C63" s="89" t="s">
        <v>109</v>
      </c>
      <c r="D63" s="114"/>
      <c r="E63" s="151">
        <v>1.1299999999999999</v>
      </c>
      <c r="F63" s="154" t="e">
        <f>PRORRATEO!#REF!+'PRORRATEO (2)'!O65</f>
        <v>#REF!</v>
      </c>
    </row>
    <row r="64" spans="1:6" x14ac:dyDescent="0.25">
      <c r="A64" s="90" t="s">
        <v>186</v>
      </c>
      <c r="B64" s="116">
        <f t="shared" si="1"/>
        <v>60</v>
      </c>
      <c r="C64" s="89" t="s">
        <v>89</v>
      </c>
      <c r="D64" s="89"/>
      <c r="E64" s="151">
        <v>1.67</v>
      </c>
      <c r="F64" s="154" t="e">
        <f>PRORRATEO!#REF!+'PRORRATEO (2)'!O66</f>
        <v>#REF!</v>
      </c>
    </row>
    <row r="65" spans="1:6" x14ac:dyDescent="0.25">
      <c r="A65" s="90" t="s">
        <v>187</v>
      </c>
      <c r="B65" s="116">
        <f t="shared" si="1"/>
        <v>61</v>
      </c>
      <c r="C65" s="89" t="s">
        <v>110</v>
      </c>
      <c r="D65" s="114"/>
      <c r="E65" s="151">
        <v>1.71</v>
      </c>
      <c r="F65" s="154" t="e">
        <f>PRORRATEO!#REF!+'PRORRATEO (2)'!O67</f>
        <v>#REF!</v>
      </c>
    </row>
    <row r="66" spans="1:6" x14ac:dyDescent="0.25">
      <c r="A66" s="90" t="s">
        <v>188</v>
      </c>
      <c r="B66" s="116">
        <f t="shared" si="1"/>
        <v>62</v>
      </c>
      <c r="C66" s="89" t="s">
        <v>90</v>
      </c>
      <c r="D66" s="89"/>
      <c r="E66" s="151">
        <v>1.1299999999999999</v>
      </c>
      <c r="F66" s="154" t="e">
        <f>PRORRATEO!#REF!+'PRORRATEO (2)'!O68</f>
        <v>#REF!</v>
      </c>
    </row>
    <row r="67" spans="1:6" x14ac:dyDescent="0.25">
      <c r="A67" s="90" t="s">
        <v>189</v>
      </c>
      <c r="B67" s="116">
        <f t="shared" si="1"/>
        <v>63</v>
      </c>
      <c r="C67" s="89" t="s">
        <v>91</v>
      </c>
      <c r="D67" s="89"/>
      <c r="E67" s="151">
        <v>1.1299999999999999</v>
      </c>
      <c r="F67" s="154" t="e">
        <f>PRORRATEO!#REF!+'PRORRATEO (2)'!O69</f>
        <v>#REF!</v>
      </c>
    </row>
    <row r="68" spans="1:6" x14ac:dyDescent="0.25">
      <c r="A68" s="90" t="s">
        <v>190</v>
      </c>
      <c r="B68" s="116">
        <f t="shared" si="1"/>
        <v>64</v>
      </c>
      <c r="C68" s="89" t="s">
        <v>112</v>
      </c>
      <c r="D68" s="114"/>
      <c r="E68" s="151">
        <v>1.1299999999999999</v>
      </c>
      <c r="F68" s="154" t="e">
        <f>PRORRATEO!#REF!+'PRORRATEO (2)'!O70</f>
        <v>#REF!</v>
      </c>
    </row>
    <row r="69" spans="1:6" x14ac:dyDescent="0.25">
      <c r="A69" s="90" t="s">
        <v>191</v>
      </c>
      <c r="B69" s="116">
        <f t="shared" si="1"/>
        <v>65</v>
      </c>
      <c r="C69" s="89" t="s">
        <v>111</v>
      </c>
      <c r="D69" s="114"/>
      <c r="E69" s="151">
        <v>1.67</v>
      </c>
      <c r="F69" s="154" t="e">
        <f>PRORRATEO!#REF!+'PRORRATEO (2)'!O71</f>
        <v>#REF!</v>
      </c>
    </row>
    <row r="70" spans="1:6" x14ac:dyDescent="0.25">
      <c r="A70" s="90" t="s">
        <v>192</v>
      </c>
      <c r="B70" s="116">
        <f t="shared" si="1"/>
        <v>66</v>
      </c>
      <c r="C70" s="89" t="s">
        <v>92</v>
      </c>
      <c r="D70" s="89"/>
      <c r="E70" s="151">
        <v>1.71</v>
      </c>
      <c r="F70" s="154" t="e">
        <f>PRORRATEO!#REF!+'PRORRATEO (2)'!O72</f>
        <v>#REF!</v>
      </c>
    </row>
    <row r="71" spans="1:6" x14ac:dyDescent="0.25">
      <c r="A71" s="90" t="s">
        <v>193</v>
      </c>
      <c r="B71" s="117">
        <f t="shared" si="1"/>
        <v>67</v>
      </c>
      <c r="C71" s="118" t="s">
        <v>93</v>
      </c>
      <c r="D71" s="118"/>
      <c r="E71" s="152">
        <v>1.1299999999999999</v>
      </c>
      <c r="F71" s="154" t="e">
        <f>PRORRATEO!#REF!+'PRORRATEO (2)'!O73</f>
        <v>#REF!</v>
      </c>
    </row>
    <row r="72" spans="1:6" x14ac:dyDescent="0.25">
      <c r="A72" s="90" t="s">
        <v>194</v>
      </c>
      <c r="B72" s="116">
        <f t="shared" si="1"/>
        <v>68</v>
      </c>
      <c r="C72" s="90" t="s">
        <v>114</v>
      </c>
      <c r="D72" s="126"/>
      <c r="E72" s="152">
        <v>1.1299999999999999</v>
      </c>
      <c r="F72" s="154" t="e">
        <f>PRORRATEO!#REF!+'PRORRATEO (2)'!O74</f>
        <v>#REF!</v>
      </c>
    </row>
    <row r="73" spans="1:6" x14ac:dyDescent="0.25">
      <c r="A73" s="90" t="s">
        <v>195</v>
      </c>
      <c r="B73" s="116">
        <f t="shared" si="1"/>
        <v>69</v>
      </c>
      <c r="C73" s="90" t="s">
        <v>115</v>
      </c>
      <c r="D73" s="126"/>
      <c r="E73" s="152">
        <v>1.1299999999999999</v>
      </c>
      <c r="F73" s="154" t="e">
        <f>PRORRATEO!#REF!+'PRORRATEO (2)'!O75</f>
        <v>#REF!</v>
      </c>
    </row>
    <row r="74" spans="1:6" x14ac:dyDescent="0.25">
      <c r="A74" s="90" t="s">
        <v>196</v>
      </c>
      <c r="B74" s="116">
        <f t="shared" si="1"/>
        <v>70</v>
      </c>
      <c r="C74" s="90" t="s">
        <v>116</v>
      </c>
      <c r="D74" s="91"/>
      <c r="E74" s="150">
        <v>1.67</v>
      </c>
      <c r="F74" s="154" t="e">
        <f>PRORRATEO!#REF!+'PRORRATEO (2)'!O76</f>
        <v>#REF!</v>
      </c>
    </row>
    <row r="75" spans="1:6" x14ac:dyDescent="0.25">
      <c r="A75" s="90" t="s">
        <v>197</v>
      </c>
      <c r="B75" s="116">
        <f t="shared" si="1"/>
        <v>71</v>
      </c>
      <c r="C75" s="90" t="s">
        <v>117</v>
      </c>
      <c r="D75" s="91"/>
      <c r="E75" s="150">
        <v>1.71</v>
      </c>
      <c r="F75" s="154" t="e">
        <f>PRORRATEO!#REF!+'PRORRATEO (2)'!O77</f>
        <v>#REF!</v>
      </c>
    </row>
    <row r="76" spans="1:6" ht="34.5" thickBot="1" x14ac:dyDescent="0.3">
      <c r="A76" s="90" t="s">
        <v>198</v>
      </c>
      <c r="B76" s="116">
        <f t="shared" si="1"/>
        <v>72</v>
      </c>
      <c r="C76" s="92" t="s">
        <v>118</v>
      </c>
      <c r="D76" s="91"/>
      <c r="E76" s="150">
        <v>1.1299999999999999</v>
      </c>
      <c r="F76" s="154" t="e">
        <f>PRORRATEO!#REF!+'PRORRATEO (2)'!O78</f>
        <v>#REF!</v>
      </c>
    </row>
    <row r="77" spans="1:6" x14ac:dyDescent="0.25">
      <c r="A77" s="127" t="s">
        <v>199</v>
      </c>
      <c r="B77" s="117">
        <f t="shared" si="1"/>
        <v>73</v>
      </c>
      <c r="C77" s="90" t="s">
        <v>119</v>
      </c>
      <c r="D77" s="91"/>
      <c r="E77" s="150">
        <v>1.1299999999999999</v>
      </c>
      <c r="F77" s="154" t="e">
        <f>PRORRATEO!#REF!+'PRORRATEO (2)'!O79</f>
        <v>#REF!</v>
      </c>
    </row>
    <row r="78" spans="1:6" ht="15.75" thickBot="1" x14ac:dyDescent="0.3">
      <c r="A78" s="90" t="s">
        <v>200</v>
      </c>
      <c r="B78" s="90">
        <f t="shared" si="1"/>
        <v>74</v>
      </c>
      <c r="C78" s="128" t="s">
        <v>113</v>
      </c>
      <c r="D78" s="128"/>
      <c r="E78" s="150">
        <v>1.1299999999999999</v>
      </c>
      <c r="F78" s="154" t="e">
        <f>PRORRATEO!#REF!+'PRORRATEO (2)'!O80</f>
        <v>#REF!</v>
      </c>
    </row>
    <row r="79" spans="1:6" ht="15.75" thickBot="1" x14ac:dyDescent="0.3">
      <c r="A79" s="132"/>
      <c r="B79" s="133"/>
      <c r="C79" s="134"/>
      <c r="D79" s="134"/>
      <c r="E79" s="153">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59" t="s">
        <v>209</v>
      </c>
      <c r="C3" s="260"/>
      <c r="D3" s="260"/>
      <c r="E3" s="260"/>
      <c r="F3" s="260"/>
      <c r="G3" s="260"/>
      <c r="H3" s="261"/>
      <c r="I3" s="69"/>
      <c r="J3" s="70"/>
    </row>
    <row r="4" spans="2:12" ht="15.75" thickBot="1" x14ac:dyDescent="0.3">
      <c r="B4" s="251" t="s">
        <v>120</v>
      </c>
      <c r="C4" s="252"/>
      <c r="D4" s="252"/>
      <c r="E4" s="252"/>
      <c r="F4" s="252"/>
      <c r="G4" s="252"/>
      <c r="H4" s="253"/>
      <c r="I4" s="1"/>
      <c r="J4" s="2"/>
      <c r="L4" s="83"/>
    </row>
    <row r="5" spans="2:12" x14ac:dyDescent="0.25">
      <c r="B5" s="69" t="s">
        <v>215</v>
      </c>
      <c r="C5" s="80"/>
      <c r="D5" s="80"/>
      <c r="E5" s="80"/>
      <c r="G5" t="str">
        <f>RESUMEN!B4</f>
        <v>ADMINISTRADORA: CAROLINA CANCIANI  MP:1148</v>
      </c>
      <c r="H5" s="2"/>
      <c r="I5" s="1"/>
      <c r="J5" s="2"/>
    </row>
    <row r="6" spans="2:12" x14ac:dyDescent="0.25">
      <c r="B6" s="74" t="s">
        <v>214</v>
      </c>
      <c r="C6" s="72"/>
      <c r="D6" s="72"/>
      <c r="H6" s="2"/>
      <c r="I6" s="1"/>
      <c r="J6" s="2"/>
    </row>
    <row r="7" spans="2:12" x14ac:dyDescent="0.25">
      <c r="B7" s="75"/>
      <c r="C7" s="76"/>
      <c r="D7" s="76"/>
      <c r="E7" s="77"/>
      <c r="F7" s="77"/>
      <c r="G7" s="77"/>
      <c r="H7" s="78"/>
      <c r="I7" s="1"/>
      <c r="J7" s="2"/>
    </row>
    <row r="8" spans="2:12" x14ac:dyDescent="0.25">
      <c r="B8" s="254" t="s">
        <v>212</v>
      </c>
      <c r="C8" s="255"/>
      <c r="D8" s="255"/>
      <c r="E8" s="255"/>
      <c r="F8" s="255"/>
      <c r="G8" s="255"/>
      <c r="H8" s="256"/>
      <c r="I8" s="1"/>
      <c r="J8" s="2"/>
    </row>
    <row r="9" spans="2:12" x14ac:dyDescent="0.25">
      <c r="B9" s="74"/>
      <c r="C9" s="72"/>
      <c r="D9" s="72"/>
      <c r="H9" s="2"/>
      <c r="I9" s="1"/>
      <c r="J9" s="2"/>
    </row>
    <row r="10" spans="2:12" x14ac:dyDescent="0.25">
      <c r="B10" s="1" t="s">
        <v>208</v>
      </c>
      <c r="E10" t="str">
        <f>PRORRATEO!C7</f>
        <v>ZAFFINO, Fernando</v>
      </c>
      <c r="H10" s="2"/>
      <c r="I10" s="257" t="s">
        <v>213</v>
      </c>
      <c r="J10" s="258"/>
    </row>
    <row r="11" spans="2:12" x14ac:dyDescent="0.25">
      <c r="B11" s="1" t="s">
        <v>207</v>
      </c>
      <c r="C11" s="72">
        <f>PRORRATEO!B7</f>
        <v>1</v>
      </c>
      <c r="D11" s="73" t="s">
        <v>211</v>
      </c>
      <c r="E11" s="72" t="e">
        <f>PRORRATEO!#REF!</f>
        <v>#REF!</v>
      </c>
      <c r="H11" s="2"/>
      <c r="I11" s="1"/>
      <c r="J11" s="2"/>
    </row>
    <row r="12" spans="2:12" x14ac:dyDescent="0.25">
      <c r="B12" s="1"/>
      <c r="H12" s="2"/>
      <c r="I12" s="257"/>
      <c r="J12" s="258"/>
    </row>
    <row r="13" spans="2:12" ht="12.75" customHeight="1" x14ac:dyDescent="0.25">
      <c r="B13" s="1"/>
      <c r="H13" s="2"/>
      <c r="I13" s="1"/>
      <c r="J13" s="2"/>
    </row>
    <row r="14" spans="2:12" hidden="1" x14ac:dyDescent="0.25">
      <c r="B14" s="1"/>
      <c r="H14" s="2"/>
      <c r="I14" s="1"/>
      <c r="J14" s="2"/>
    </row>
    <row r="15" spans="2:12" ht="15.75" thickBot="1" x14ac:dyDescent="0.3">
      <c r="B15" s="1"/>
      <c r="H15" s="2"/>
      <c r="I15" s="79"/>
      <c r="J15" s="82"/>
    </row>
    <row r="16" spans="2:12" ht="15.75" thickBot="1" x14ac:dyDescent="0.3">
      <c r="B16" s="247" t="s">
        <v>210</v>
      </c>
      <c r="C16" s="248"/>
      <c r="D16" s="248"/>
      <c r="E16" s="248"/>
      <c r="F16" s="248"/>
      <c r="G16" s="249">
        <f>PRORRATEO!M7</f>
        <v>204000.01</v>
      </c>
      <c r="H16" s="250"/>
      <c r="I16" s="71"/>
      <c r="J16" s="81"/>
    </row>
    <row r="19" spans="2:10" ht="15.75" thickBot="1" x14ac:dyDescent="0.3"/>
    <row r="20" spans="2:10" ht="15.75" thickBot="1" x14ac:dyDescent="0.3">
      <c r="B20" s="259" t="s">
        <v>209</v>
      </c>
      <c r="C20" s="260"/>
      <c r="D20" s="260"/>
      <c r="E20" s="260"/>
      <c r="F20" s="260"/>
      <c r="G20" s="260"/>
      <c r="H20" s="261"/>
      <c r="I20" s="69"/>
      <c r="J20" s="70"/>
    </row>
    <row r="21" spans="2:10" ht="15.75" thickBot="1" x14ac:dyDescent="0.3">
      <c r="B21" s="251" t="s">
        <v>120</v>
      </c>
      <c r="C21" s="252"/>
      <c r="D21" s="252"/>
      <c r="E21" s="252"/>
      <c r="F21" s="252"/>
      <c r="G21" s="252"/>
      <c r="H21" s="253"/>
      <c r="I21" s="1"/>
      <c r="J21" s="2"/>
    </row>
    <row r="22" spans="2:10" x14ac:dyDescent="0.25">
      <c r="B22" s="69" t="s">
        <v>215</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4" t="s">
        <v>212</v>
      </c>
      <c r="C25" s="255"/>
      <c r="D25" s="255"/>
      <c r="E25" s="255"/>
      <c r="F25" s="255"/>
      <c r="G25" s="255"/>
      <c r="H25" s="256"/>
      <c r="I25" s="1"/>
      <c r="J25" s="2"/>
    </row>
    <row r="26" spans="2:10" x14ac:dyDescent="0.25">
      <c r="B26" s="74"/>
      <c r="C26" s="72"/>
      <c r="D26" s="72"/>
      <c r="H26" s="2"/>
      <c r="I26" s="1"/>
      <c r="J26" s="2"/>
    </row>
    <row r="27" spans="2:10" x14ac:dyDescent="0.25">
      <c r="B27" s="1" t="s">
        <v>208</v>
      </c>
      <c r="E27" t="str">
        <f>PRORRATEO!C8</f>
        <v>BERESTEIN, Javier</v>
      </c>
      <c r="H27" s="2"/>
      <c r="I27" s="257" t="s">
        <v>213</v>
      </c>
      <c r="J27" s="258"/>
    </row>
    <row r="28" spans="2:10" x14ac:dyDescent="0.25">
      <c r="B28" s="1" t="s">
        <v>207</v>
      </c>
      <c r="C28" s="72">
        <f>PRORRATEO!B8</f>
        <v>2</v>
      </c>
      <c r="D28" s="73" t="s">
        <v>211</v>
      </c>
      <c r="E28" s="72" t="e">
        <f>PRORRATEO!#REF!</f>
        <v>#REF!</v>
      </c>
      <c r="H28" s="2"/>
      <c r="I28" s="1"/>
      <c r="J28" s="2"/>
    </row>
    <row r="29" spans="2:10" x14ac:dyDescent="0.25">
      <c r="B29" s="1"/>
      <c r="H29" s="2"/>
      <c r="I29" s="257"/>
      <c r="J29" s="258"/>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7" t="s">
        <v>210</v>
      </c>
      <c r="C33" s="248"/>
      <c r="D33" s="248"/>
      <c r="E33" s="248"/>
      <c r="F33" s="248"/>
      <c r="G33" s="249">
        <f>PRORRATEO!M8</f>
        <v>153000.01999999999</v>
      </c>
      <c r="H33" s="250"/>
      <c r="I33" s="71"/>
      <c r="J33" s="81"/>
    </row>
    <row r="36" spans="2:10" ht="3.75" customHeight="1" thickBot="1" x14ac:dyDescent="0.3"/>
    <row r="37" spans="2:10" ht="15.75" hidden="1" thickBot="1" x14ac:dyDescent="0.3"/>
    <row r="38" spans="2:10" ht="15.75" thickBot="1" x14ac:dyDescent="0.3">
      <c r="B38" s="259" t="s">
        <v>209</v>
      </c>
      <c r="C38" s="260"/>
      <c r="D38" s="260"/>
      <c r="E38" s="260"/>
      <c r="F38" s="260"/>
      <c r="G38" s="260"/>
      <c r="H38" s="261"/>
      <c r="I38" s="69"/>
      <c r="J38" s="70"/>
    </row>
    <row r="39" spans="2:10" ht="15.75" thickBot="1" x14ac:dyDescent="0.3">
      <c r="B39" s="251" t="s">
        <v>120</v>
      </c>
      <c r="C39" s="252"/>
      <c r="D39" s="252"/>
      <c r="E39" s="252"/>
      <c r="F39" s="252"/>
      <c r="G39" s="252"/>
      <c r="H39" s="253"/>
      <c r="I39" s="1"/>
      <c r="J39" s="2"/>
    </row>
    <row r="40" spans="2:10" x14ac:dyDescent="0.25">
      <c r="B40" s="69" t="s">
        <v>215</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4" t="s">
        <v>212</v>
      </c>
      <c r="C43" s="255"/>
      <c r="D43" s="255"/>
      <c r="E43" s="255"/>
      <c r="F43" s="255"/>
      <c r="G43" s="255"/>
      <c r="H43" s="256"/>
      <c r="I43" s="1"/>
      <c r="J43" s="2"/>
    </row>
    <row r="44" spans="2:10" x14ac:dyDescent="0.25">
      <c r="B44" s="74"/>
      <c r="C44" s="72"/>
      <c r="D44" s="72"/>
      <c r="H44" s="2"/>
      <c r="I44" s="1"/>
      <c r="J44" s="2"/>
    </row>
    <row r="45" spans="2:10" x14ac:dyDescent="0.25">
      <c r="B45" s="1" t="s">
        <v>208</v>
      </c>
      <c r="E45" t="str">
        <f>PRORRATEO!C9</f>
        <v>VAZQUEZ PALLARES, Juan</v>
      </c>
      <c r="H45" s="2"/>
      <c r="I45" s="257" t="s">
        <v>213</v>
      </c>
      <c r="J45" s="258"/>
    </row>
    <row r="46" spans="2:10" x14ac:dyDescent="0.25">
      <c r="B46" s="1" t="s">
        <v>207</v>
      </c>
      <c r="C46" s="72">
        <f>PRORRATEO!B9</f>
        <v>3</v>
      </c>
      <c r="D46" s="73" t="s">
        <v>211</v>
      </c>
      <c r="E46" s="72" t="e">
        <f>PRORRATEO!#REF!</f>
        <v>#REF!</v>
      </c>
      <c r="H46" s="2"/>
      <c r="I46" s="1"/>
      <c r="J46" s="2"/>
    </row>
    <row r="47" spans="2:10" x14ac:dyDescent="0.25">
      <c r="B47" s="1"/>
      <c r="H47" s="2"/>
      <c r="I47" s="257"/>
      <c r="J47" s="258"/>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7" t="s">
        <v>210</v>
      </c>
      <c r="C51" s="248"/>
      <c r="D51" s="248"/>
      <c r="E51" s="248"/>
      <c r="F51" s="248"/>
      <c r="G51" s="249">
        <f>PRORRATEO!M9</f>
        <v>168000.03</v>
      </c>
      <c r="H51" s="250"/>
      <c r="I51" s="71"/>
      <c r="J51" s="81"/>
    </row>
    <row r="54" spans="2:10" ht="15.75" thickBot="1" x14ac:dyDescent="0.3"/>
    <row r="55" spans="2:10" ht="15.75" thickBot="1" x14ac:dyDescent="0.3">
      <c r="B55" s="259" t="s">
        <v>209</v>
      </c>
      <c r="C55" s="260"/>
      <c r="D55" s="260"/>
      <c r="E55" s="260"/>
      <c r="F55" s="260"/>
      <c r="G55" s="260"/>
      <c r="H55" s="261"/>
      <c r="I55" s="69"/>
      <c r="J55" s="70"/>
    </row>
    <row r="56" spans="2:10" ht="15.75" thickBot="1" x14ac:dyDescent="0.3">
      <c r="B56" s="251" t="s">
        <v>120</v>
      </c>
      <c r="C56" s="252"/>
      <c r="D56" s="252"/>
      <c r="E56" s="252"/>
      <c r="F56" s="252"/>
      <c r="G56" s="252"/>
      <c r="H56" s="253"/>
      <c r="I56" s="1"/>
      <c r="J56" s="2"/>
    </row>
    <row r="57" spans="2:10" x14ac:dyDescent="0.25">
      <c r="B57" s="69" t="s">
        <v>215</v>
      </c>
      <c r="C57" s="80"/>
      <c r="D57" s="80"/>
      <c r="E57" s="80"/>
      <c r="G57" t="s">
        <v>39</v>
      </c>
      <c r="H57" s="2"/>
      <c r="I57" s="1"/>
      <c r="J57" s="2"/>
    </row>
    <row r="58" spans="2:10" x14ac:dyDescent="0.25">
      <c r="B58" s="74" t="s">
        <v>214</v>
      </c>
      <c r="C58" s="72"/>
      <c r="D58" s="72"/>
      <c r="H58" s="2"/>
      <c r="I58" s="1"/>
      <c r="J58" s="2"/>
    </row>
    <row r="59" spans="2:10" x14ac:dyDescent="0.25">
      <c r="B59" s="75"/>
      <c r="C59" s="76"/>
      <c r="D59" s="76"/>
      <c r="E59" s="77"/>
      <c r="F59" s="77"/>
      <c r="G59" s="77"/>
      <c r="H59" s="78"/>
      <c r="I59" s="1"/>
      <c r="J59" s="2"/>
    </row>
    <row r="60" spans="2:10" x14ac:dyDescent="0.25">
      <c r="B60" s="254" t="s">
        <v>212</v>
      </c>
      <c r="C60" s="255"/>
      <c r="D60" s="255"/>
      <c r="E60" s="255"/>
      <c r="F60" s="255"/>
      <c r="G60" s="255"/>
      <c r="H60" s="256"/>
      <c r="I60" s="1"/>
      <c r="J60" s="2"/>
    </row>
    <row r="61" spans="2:10" x14ac:dyDescent="0.25">
      <c r="B61" s="74"/>
      <c r="C61" s="72"/>
      <c r="D61" s="72"/>
      <c r="H61" s="2"/>
      <c r="I61" s="1"/>
      <c r="J61" s="2"/>
    </row>
    <row r="62" spans="2:10" x14ac:dyDescent="0.25">
      <c r="B62" s="1" t="s">
        <v>208</v>
      </c>
      <c r="E62" t="str">
        <f>PRORRATEO!C10</f>
        <v>HUINCA HUEMUL S.A.</v>
      </c>
      <c r="H62" s="2"/>
      <c r="I62" s="257" t="s">
        <v>213</v>
      </c>
      <c r="J62" s="258"/>
    </row>
    <row r="63" spans="2:10" x14ac:dyDescent="0.25">
      <c r="B63" s="1" t="s">
        <v>207</v>
      </c>
      <c r="C63" s="72">
        <f>PRORRATEO!B10</f>
        <v>4</v>
      </c>
      <c r="D63" s="73" t="s">
        <v>211</v>
      </c>
      <c r="E63" s="72" t="e">
        <f>PRORRATEO!#REF!</f>
        <v>#REF!</v>
      </c>
      <c r="H63" s="2"/>
      <c r="I63" s="1"/>
      <c r="J63" s="2"/>
    </row>
    <row r="64" spans="2:10" x14ac:dyDescent="0.25">
      <c r="B64" s="1"/>
      <c r="H64" s="2"/>
      <c r="I64" s="257"/>
      <c r="J64" s="258"/>
    </row>
    <row r="65" spans="2:10" x14ac:dyDescent="0.25">
      <c r="B65" s="1"/>
      <c r="H65" s="2"/>
      <c r="I65" s="1"/>
      <c r="J65" s="2"/>
    </row>
    <row r="66" spans="2:10" x14ac:dyDescent="0.25">
      <c r="B66" s="1"/>
      <c r="H66" s="2"/>
      <c r="I66" s="1"/>
      <c r="J66" s="2"/>
    </row>
    <row r="67" spans="2:10" ht="15.75" thickBot="1" x14ac:dyDescent="0.3">
      <c r="B67" s="1"/>
      <c r="H67" s="2"/>
      <c r="I67" s="79"/>
      <c r="J67" s="82"/>
    </row>
    <row r="68" spans="2:10" ht="15.75" thickBot="1" x14ac:dyDescent="0.3">
      <c r="B68" s="247" t="s">
        <v>210</v>
      </c>
      <c r="C68" s="248"/>
      <c r="D68" s="248"/>
      <c r="E68" s="248"/>
      <c r="F68" s="248"/>
      <c r="G68" s="249">
        <f>PRORRATEO!M10</f>
        <v>71176.039999999994</v>
      </c>
      <c r="H68" s="250"/>
      <c r="I68" s="71"/>
      <c r="J68" s="81"/>
    </row>
    <row r="70" spans="2:10" ht="0.75" customHeight="1" x14ac:dyDescent="0.25"/>
    <row r="71" spans="2:10" hidden="1" x14ac:dyDescent="0.25"/>
    <row r="72" spans="2:10" ht="15.75" thickBot="1" x14ac:dyDescent="0.3"/>
    <row r="73" spans="2:10" ht="15.75" thickBot="1" x14ac:dyDescent="0.3">
      <c r="B73" s="259" t="s">
        <v>209</v>
      </c>
      <c r="C73" s="260"/>
      <c r="D73" s="260"/>
      <c r="E73" s="260"/>
      <c r="F73" s="260"/>
      <c r="G73" s="260"/>
      <c r="H73" s="261"/>
      <c r="I73" s="69"/>
      <c r="J73" s="70"/>
    </row>
    <row r="74" spans="2:10" ht="15.75" thickBot="1" x14ac:dyDescent="0.3">
      <c r="B74" s="251" t="s">
        <v>120</v>
      </c>
      <c r="C74" s="252"/>
      <c r="D74" s="252"/>
      <c r="E74" s="252"/>
      <c r="F74" s="252"/>
      <c r="G74" s="252"/>
      <c r="H74" s="253"/>
      <c r="I74" s="1"/>
      <c r="J74" s="2"/>
    </row>
    <row r="75" spans="2:10" x14ac:dyDescent="0.25">
      <c r="B75" s="69" t="s">
        <v>215</v>
      </c>
      <c r="C75" s="80"/>
      <c r="D75" s="80"/>
      <c r="E75" s="80"/>
      <c r="G75" t="s">
        <v>39</v>
      </c>
      <c r="H75" s="2"/>
      <c r="I75" s="1"/>
      <c r="J75" s="2"/>
    </row>
    <row r="76" spans="2:10" x14ac:dyDescent="0.25">
      <c r="B76" s="74" t="s">
        <v>214</v>
      </c>
      <c r="C76" s="72"/>
      <c r="D76" s="72"/>
      <c r="H76" s="2"/>
      <c r="I76" s="1"/>
      <c r="J76" s="2"/>
    </row>
    <row r="77" spans="2:10" x14ac:dyDescent="0.25">
      <c r="B77" s="75"/>
      <c r="C77" s="76"/>
      <c r="D77" s="76"/>
      <c r="E77" s="77"/>
      <c r="F77" s="77"/>
      <c r="G77" s="77"/>
      <c r="H77" s="78"/>
      <c r="I77" s="1"/>
      <c r="J77" s="2"/>
    </row>
    <row r="78" spans="2:10" x14ac:dyDescent="0.25">
      <c r="B78" s="254" t="s">
        <v>212</v>
      </c>
      <c r="C78" s="255"/>
      <c r="D78" s="255"/>
      <c r="E78" s="255"/>
      <c r="F78" s="255"/>
      <c r="G78" s="255"/>
      <c r="H78" s="256"/>
      <c r="I78" s="1"/>
      <c r="J78" s="2"/>
    </row>
    <row r="79" spans="2:10" x14ac:dyDescent="0.25">
      <c r="B79" s="74"/>
      <c r="C79" s="72"/>
      <c r="D79" s="72"/>
      <c r="H79" s="2"/>
      <c r="I79" s="1"/>
      <c r="J79" s="2"/>
    </row>
    <row r="80" spans="2:10" x14ac:dyDescent="0.25">
      <c r="B80" s="1" t="s">
        <v>208</v>
      </c>
      <c r="E80" t="str">
        <f>PRORRATEO!C11</f>
        <v>LAZARTE, Irma</v>
      </c>
      <c r="H80" s="2"/>
      <c r="I80" s="257" t="s">
        <v>213</v>
      </c>
      <c r="J80" s="258"/>
    </row>
    <row r="81" spans="2:10" x14ac:dyDescent="0.25">
      <c r="B81" s="1" t="s">
        <v>207</v>
      </c>
      <c r="C81" s="72">
        <f>PRORRATEO!B11</f>
        <v>5</v>
      </c>
      <c r="D81" s="73" t="s">
        <v>211</v>
      </c>
      <c r="E81" s="72" t="e">
        <f>PRORRATEO!#REF!</f>
        <v>#REF!</v>
      </c>
      <c r="H81" s="2"/>
      <c r="I81" s="1"/>
      <c r="J81" s="2"/>
    </row>
    <row r="82" spans="2:10" x14ac:dyDescent="0.25">
      <c r="B82" s="1"/>
      <c r="H82" s="2"/>
      <c r="I82" s="257"/>
      <c r="J82" s="258"/>
    </row>
    <row r="83" spans="2:10" x14ac:dyDescent="0.25">
      <c r="B83" s="1"/>
      <c r="H83" s="2"/>
      <c r="I83" s="1"/>
      <c r="J83" s="2"/>
    </row>
    <row r="84" spans="2:10" x14ac:dyDescent="0.25">
      <c r="B84" s="1"/>
      <c r="H84" s="2"/>
      <c r="I84" s="1"/>
      <c r="J84" s="2"/>
    </row>
    <row r="85" spans="2:10" ht="15.75" thickBot="1" x14ac:dyDescent="0.3">
      <c r="B85" s="1"/>
      <c r="H85" s="2"/>
      <c r="I85" s="79"/>
      <c r="J85" s="82"/>
    </row>
    <row r="86" spans="2:10" ht="15.75" thickBot="1" x14ac:dyDescent="0.3">
      <c r="B86" s="247" t="s">
        <v>210</v>
      </c>
      <c r="C86" s="248"/>
      <c r="D86" s="248"/>
      <c r="E86" s="248"/>
      <c r="F86" s="248"/>
      <c r="G86" s="249">
        <f>PRORRATEO!M11</f>
        <v>164500.04999999999</v>
      </c>
      <c r="H86" s="250"/>
      <c r="I86" s="71"/>
      <c r="J86" s="81"/>
    </row>
    <row r="87" spans="2:10" ht="14.25" customHeight="1" x14ac:dyDescent="0.25"/>
    <row r="88" spans="2:10" hidden="1" x14ac:dyDescent="0.25"/>
    <row r="89" spans="2:10" hidden="1" x14ac:dyDescent="0.25"/>
    <row r="90" spans="2:10" ht="15.75" thickBot="1" x14ac:dyDescent="0.3"/>
    <row r="91" spans="2:10" ht="15.75" thickBot="1" x14ac:dyDescent="0.3">
      <c r="B91" s="259" t="s">
        <v>209</v>
      </c>
      <c r="C91" s="260"/>
      <c r="D91" s="260"/>
      <c r="E91" s="260"/>
      <c r="F91" s="260"/>
      <c r="G91" s="260"/>
      <c r="H91" s="261"/>
      <c r="I91" s="69"/>
      <c r="J91" s="70"/>
    </row>
    <row r="92" spans="2:10" ht="15.75" thickBot="1" x14ac:dyDescent="0.3">
      <c r="B92" s="251" t="s">
        <v>120</v>
      </c>
      <c r="C92" s="252"/>
      <c r="D92" s="252"/>
      <c r="E92" s="252"/>
      <c r="F92" s="252"/>
      <c r="G92" s="252"/>
      <c r="H92" s="253"/>
      <c r="I92" s="1"/>
      <c r="J92" s="2"/>
    </row>
    <row r="93" spans="2:10" x14ac:dyDescent="0.25">
      <c r="B93" s="69" t="s">
        <v>215</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4" t="s">
        <v>212</v>
      </c>
      <c r="C96" s="255"/>
      <c r="D96" s="255"/>
      <c r="E96" s="255"/>
      <c r="F96" s="255"/>
      <c r="G96" s="255"/>
      <c r="H96" s="256"/>
      <c r="I96" s="1"/>
      <c r="J96" s="2"/>
    </row>
    <row r="97" spans="2:10" x14ac:dyDescent="0.25">
      <c r="B97" s="74"/>
      <c r="C97" s="72"/>
      <c r="D97" s="72"/>
      <c r="H97" s="2"/>
      <c r="I97" s="1"/>
      <c r="J97" s="2"/>
    </row>
    <row r="98" spans="2:10" x14ac:dyDescent="0.25">
      <c r="B98" s="1" t="s">
        <v>208</v>
      </c>
      <c r="E98" t="str">
        <f>PRORRATEO!C12</f>
        <v>MINOCHIO, Gustavo</v>
      </c>
      <c r="H98" s="2"/>
      <c r="I98" s="257" t="s">
        <v>213</v>
      </c>
      <c r="J98" s="258"/>
    </row>
    <row r="99" spans="2:10" x14ac:dyDescent="0.25">
      <c r="B99" s="1" t="s">
        <v>207</v>
      </c>
      <c r="C99" s="72">
        <f>PRORRATEO!B12</f>
        <v>6</v>
      </c>
      <c r="D99" s="73" t="s">
        <v>211</v>
      </c>
      <c r="E99" s="72" t="e">
        <f>PRORRATEO!#REF!</f>
        <v>#REF!</v>
      </c>
      <c r="H99" s="2"/>
      <c r="I99" s="1"/>
      <c r="J99" s="2"/>
    </row>
    <row r="100" spans="2:10" x14ac:dyDescent="0.25">
      <c r="B100" s="1"/>
      <c r="H100" s="2"/>
      <c r="I100" s="257"/>
      <c r="J100" s="258"/>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7" t="s">
        <v>210</v>
      </c>
      <c r="C104" s="248"/>
      <c r="D104" s="248"/>
      <c r="E104" s="248"/>
      <c r="F104" s="248"/>
      <c r="G104" s="249">
        <f>PRORRATEO!M12</f>
        <v>84000.06</v>
      </c>
      <c r="H104" s="250"/>
      <c r="I104" s="71"/>
      <c r="J104" s="81"/>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59" t="s">
        <v>209</v>
      </c>
      <c r="C3" s="260"/>
      <c r="D3" s="260"/>
      <c r="E3" s="260"/>
      <c r="F3" s="260"/>
      <c r="G3" s="260"/>
      <c r="H3" s="261"/>
      <c r="I3" s="69"/>
      <c r="J3" s="70"/>
    </row>
    <row r="4" spans="2:10" ht="15.75" thickBot="1" x14ac:dyDescent="0.3">
      <c r="B4" s="251" t="s">
        <v>120</v>
      </c>
      <c r="C4" s="252"/>
      <c r="D4" s="252"/>
      <c r="E4" s="252"/>
      <c r="F4" s="252"/>
      <c r="G4" s="252"/>
      <c r="H4" s="253"/>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4" t="s">
        <v>212</v>
      </c>
      <c r="C8" s="255"/>
      <c r="D8" s="255"/>
      <c r="E8" s="255"/>
      <c r="F8" s="255"/>
      <c r="G8" s="255"/>
      <c r="H8" s="256"/>
      <c r="I8" s="1"/>
      <c r="J8" s="2"/>
    </row>
    <row r="9" spans="2:10" x14ac:dyDescent="0.25">
      <c r="B9" s="74"/>
      <c r="C9" s="72"/>
      <c r="D9" s="72"/>
      <c r="H9" s="2"/>
      <c r="I9" s="1"/>
      <c r="J9" s="2"/>
    </row>
    <row r="10" spans="2:10" x14ac:dyDescent="0.25">
      <c r="B10" s="1" t="s">
        <v>208</v>
      </c>
      <c r="E10" t="str">
        <f>PRORRATEO!C13</f>
        <v>QUIROGA, Karina</v>
      </c>
      <c r="H10" s="2"/>
      <c r="I10" s="257" t="s">
        <v>213</v>
      </c>
      <c r="J10" s="258"/>
    </row>
    <row r="11" spans="2:10" x14ac:dyDescent="0.25">
      <c r="B11" s="1" t="s">
        <v>207</v>
      </c>
      <c r="C11" s="72">
        <f>PRORRATEO!B13</f>
        <v>7</v>
      </c>
      <c r="D11" s="73" t="s">
        <v>211</v>
      </c>
      <c r="E11" s="72" t="e">
        <f>PRORRATEO!#REF!</f>
        <v>#REF!</v>
      </c>
      <c r="H11" s="2"/>
      <c r="I11" s="1"/>
      <c r="J11" s="2"/>
    </row>
    <row r="12" spans="2:10" x14ac:dyDescent="0.25">
      <c r="B12" s="1"/>
      <c r="H12" s="2"/>
      <c r="I12" s="257"/>
      <c r="J12" s="258"/>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7" t="s">
        <v>210</v>
      </c>
      <c r="C16" s="248"/>
      <c r="D16" s="248"/>
      <c r="E16" s="248"/>
      <c r="F16" s="248"/>
      <c r="G16" s="249">
        <f>PRORRATEO!M13</f>
        <v>882232.07</v>
      </c>
      <c r="H16" s="250"/>
      <c r="I16" s="71"/>
      <c r="J16" s="81"/>
    </row>
    <row r="19" spans="2:10" ht="15.75" thickBot="1" x14ac:dyDescent="0.3"/>
    <row r="20" spans="2:10" ht="15.75" thickBot="1" x14ac:dyDescent="0.3">
      <c r="B20" s="259" t="s">
        <v>209</v>
      </c>
      <c r="C20" s="260"/>
      <c r="D20" s="260"/>
      <c r="E20" s="260"/>
      <c r="F20" s="260"/>
      <c r="G20" s="260"/>
      <c r="H20" s="261"/>
      <c r="I20" s="69"/>
      <c r="J20" s="70"/>
    </row>
    <row r="21" spans="2:10" ht="15.75" thickBot="1" x14ac:dyDescent="0.3">
      <c r="B21" s="251" t="s">
        <v>120</v>
      </c>
      <c r="C21" s="252"/>
      <c r="D21" s="252"/>
      <c r="E21" s="252"/>
      <c r="F21" s="252"/>
      <c r="G21" s="252"/>
      <c r="H21" s="253"/>
      <c r="I21" s="1"/>
      <c r="J21" s="2"/>
    </row>
    <row r="22" spans="2:10" x14ac:dyDescent="0.25">
      <c r="B22" s="69" t="s">
        <v>216</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4" t="s">
        <v>212</v>
      </c>
      <c r="C25" s="255"/>
      <c r="D25" s="255"/>
      <c r="E25" s="255"/>
      <c r="F25" s="255"/>
      <c r="G25" s="255"/>
      <c r="H25" s="256"/>
      <c r="I25" s="1"/>
      <c r="J25" s="2"/>
    </row>
    <row r="26" spans="2:10" x14ac:dyDescent="0.25">
      <c r="B26" s="74"/>
      <c r="C26" s="72"/>
      <c r="D26" s="72"/>
      <c r="H26" s="2"/>
      <c r="I26" s="1"/>
      <c r="J26" s="2"/>
    </row>
    <row r="27" spans="2:10" x14ac:dyDescent="0.25">
      <c r="B27" s="1" t="s">
        <v>208</v>
      </c>
      <c r="E27" t="str">
        <f>PRORRATEO!C14</f>
        <v>PENAS, Roberto</v>
      </c>
      <c r="H27" s="2"/>
      <c r="I27" s="257" t="s">
        <v>213</v>
      </c>
      <c r="J27" s="258"/>
    </row>
    <row r="28" spans="2:10" x14ac:dyDescent="0.25">
      <c r="B28" s="1" t="s">
        <v>207</v>
      </c>
      <c r="C28" s="72">
        <f>PRORRATEO!B14</f>
        <v>8</v>
      </c>
      <c r="D28" s="73" t="s">
        <v>211</v>
      </c>
      <c r="E28" s="72" t="e">
        <f>PRORRATEO!#REF!</f>
        <v>#REF!</v>
      </c>
      <c r="H28" s="2"/>
      <c r="I28" s="1"/>
      <c r="J28" s="2"/>
    </row>
    <row r="29" spans="2:10" x14ac:dyDescent="0.25">
      <c r="B29" s="1"/>
      <c r="H29" s="2"/>
      <c r="I29" s="257"/>
      <c r="J29" s="258"/>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7" t="s">
        <v>210</v>
      </c>
      <c r="C33" s="248"/>
      <c r="D33" s="248"/>
      <c r="E33" s="248"/>
      <c r="F33" s="248"/>
      <c r="G33" s="249">
        <f>PRORRATEO!M14</f>
        <v>961820.08</v>
      </c>
      <c r="H33" s="250"/>
      <c r="I33" s="71"/>
      <c r="J33" s="81"/>
    </row>
    <row r="35" spans="2:10" hidden="1" x14ac:dyDescent="0.25"/>
    <row r="36" spans="2:10" ht="15.75" thickBot="1" x14ac:dyDescent="0.3"/>
    <row r="37" spans="2:10" ht="15.75" thickBot="1" x14ac:dyDescent="0.3">
      <c r="B37" s="259" t="s">
        <v>209</v>
      </c>
      <c r="C37" s="260"/>
      <c r="D37" s="260"/>
      <c r="E37" s="260"/>
      <c r="F37" s="260"/>
      <c r="G37" s="260"/>
      <c r="H37" s="261"/>
      <c r="I37" s="69"/>
      <c r="J37" s="70"/>
    </row>
    <row r="38" spans="2:10" ht="15.75" thickBot="1" x14ac:dyDescent="0.3">
      <c r="B38" s="251" t="s">
        <v>120</v>
      </c>
      <c r="C38" s="252"/>
      <c r="D38" s="252"/>
      <c r="E38" s="252"/>
      <c r="F38" s="252"/>
      <c r="G38" s="252"/>
      <c r="H38" s="253"/>
      <c r="I38" s="1"/>
      <c r="J38" s="2"/>
    </row>
    <row r="39" spans="2:10" x14ac:dyDescent="0.25">
      <c r="B39" s="69" t="s">
        <v>216</v>
      </c>
      <c r="C39" s="80"/>
      <c r="D39" s="80"/>
      <c r="E39" s="80"/>
      <c r="G39" t="s">
        <v>39</v>
      </c>
      <c r="H39" s="2"/>
      <c r="I39" s="1"/>
      <c r="J39" s="2"/>
    </row>
    <row r="40" spans="2:10" x14ac:dyDescent="0.25">
      <c r="B40" s="74" t="s">
        <v>214</v>
      </c>
      <c r="C40" s="72"/>
      <c r="D40" s="72"/>
      <c r="H40" s="2"/>
      <c r="I40" s="1"/>
      <c r="J40" s="2"/>
    </row>
    <row r="41" spans="2:10" x14ac:dyDescent="0.25">
      <c r="B41" s="75"/>
      <c r="C41" s="76"/>
      <c r="D41" s="76"/>
      <c r="E41" s="77"/>
      <c r="F41" s="77"/>
      <c r="G41" s="77"/>
      <c r="H41" s="78"/>
      <c r="I41" s="1"/>
      <c r="J41" s="2"/>
    </row>
    <row r="42" spans="2:10" x14ac:dyDescent="0.25">
      <c r="B42" s="254" t="s">
        <v>212</v>
      </c>
      <c r="C42" s="255"/>
      <c r="D42" s="255"/>
      <c r="E42" s="255"/>
      <c r="F42" s="255"/>
      <c r="G42" s="255"/>
      <c r="H42" s="256"/>
      <c r="I42" s="1"/>
      <c r="J42" s="2"/>
    </row>
    <row r="43" spans="2:10" x14ac:dyDescent="0.25">
      <c r="B43" s="74"/>
      <c r="C43" s="72"/>
      <c r="D43" s="72"/>
      <c r="H43" s="2"/>
      <c r="I43" s="1"/>
      <c r="J43" s="2"/>
    </row>
    <row r="44" spans="2:10" x14ac:dyDescent="0.25">
      <c r="B44" s="1" t="s">
        <v>208</v>
      </c>
      <c r="E44" t="str">
        <f>PRORRATEO!C15</f>
        <v>MURPHY, Gabriel</v>
      </c>
      <c r="H44" s="2"/>
      <c r="I44" s="257" t="s">
        <v>213</v>
      </c>
      <c r="J44" s="258"/>
    </row>
    <row r="45" spans="2:10" x14ac:dyDescent="0.25">
      <c r="B45" s="1" t="s">
        <v>207</v>
      </c>
      <c r="C45" s="72">
        <f>PRORRATEO!B15</f>
        <v>9</v>
      </c>
      <c r="D45" s="73" t="s">
        <v>211</v>
      </c>
      <c r="E45" s="72" t="e">
        <f>PRORRATEO!#REF!</f>
        <v>#REF!</v>
      </c>
      <c r="H45" s="2"/>
      <c r="I45" s="1"/>
      <c r="J45" s="2"/>
    </row>
    <row r="46" spans="2:10" x14ac:dyDescent="0.25">
      <c r="B46" s="1"/>
      <c r="H46" s="2"/>
      <c r="I46" s="257"/>
      <c r="J46" s="258"/>
    </row>
    <row r="47" spans="2:10" x14ac:dyDescent="0.25">
      <c r="B47" s="1"/>
      <c r="H47" s="2"/>
      <c r="I47" s="1"/>
      <c r="J47" s="2"/>
    </row>
    <row r="48" spans="2:10" x14ac:dyDescent="0.25">
      <c r="B48" s="1"/>
      <c r="H48" s="2"/>
      <c r="I48" s="1"/>
      <c r="J48" s="2"/>
    </row>
    <row r="49" spans="2:10" ht="15.75" thickBot="1" x14ac:dyDescent="0.3">
      <c r="B49" s="1"/>
      <c r="H49" s="2"/>
      <c r="I49" s="79"/>
      <c r="J49" s="82"/>
    </row>
    <row r="50" spans="2:10" ht="15.75" thickBot="1" x14ac:dyDescent="0.3">
      <c r="B50" s="247" t="s">
        <v>210</v>
      </c>
      <c r="C50" s="248"/>
      <c r="D50" s="248"/>
      <c r="E50" s="248"/>
      <c r="F50" s="248"/>
      <c r="G50" s="249">
        <f>PRORRATEO!M15</f>
        <v>872907.09</v>
      </c>
      <c r="H50" s="250"/>
      <c r="I50" s="71"/>
      <c r="J50" s="81"/>
    </row>
    <row r="53" spans="2:10" ht="15.75" thickBot="1" x14ac:dyDescent="0.3"/>
    <row r="54" spans="2:10" ht="15.75" thickBot="1" x14ac:dyDescent="0.3">
      <c r="B54" s="259" t="s">
        <v>209</v>
      </c>
      <c r="C54" s="260"/>
      <c r="D54" s="260"/>
      <c r="E54" s="260"/>
      <c r="F54" s="260"/>
      <c r="G54" s="260"/>
      <c r="H54" s="261"/>
      <c r="I54" s="69"/>
      <c r="J54" s="70"/>
    </row>
    <row r="55" spans="2:10" ht="15.75" thickBot="1" x14ac:dyDescent="0.3">
      <c r="B55" s="251" t="s">
        <v>120</v>
      </c>
      <c r="C55" s="252"/>
      <c r="D55" s="252"/>
      <c r="E55" s="252"/>
      <c r="F55" s="252"/>
      <c r="G55" s="252"/>
      <c r="H55" s="253"/>
      <c r="I55" s="1"/>
      <c r="J55" s="2"/>
    </row>
    <row r="56" spans="2:10" x14ac:dyDescent="0.25">
      <c r="B56" s="69" t="s">
        <v>216</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54" t="s">
        <v>212</v>
      </c>
      <c r="C59" s="255"/>
      <c r="D59" s="255"/>
      <c r="E59" s="255"/>
      <c r="F59" s="255"/>
      <c r="G59" s="255"/>
      <c r="H59" s="256"/>
      <c r="I59" s="1"/>
      <c r="J59" s="2"/>
    </row>
    <row r="60" spans="2:10" x14ac:dyDescent="0.25">
      <c r="B60" s="74"/>
      <c r="C60" s="72"/>
      <c r="D60" s="72"/>
      <c r="H60" s="2"/>
      <c r="I60" s="1"/>
      <c r="J60" s="2"/>
    </row>
    <row r="61" spans="2:10" x14ac:dyDescent="0.25">
      <c r="B61" s="1" t="s">
        <v>208</v>
      </c>
      <c r="E61" t="str">
        <f>PRORRATEO!C16</f>
        <v>JAURETCHE, Claudio</v>
      </c>
      <c r="H61" s="2"/>
      <c r="I61" s="257" t="s">
        <v>213</v>
      </c>
      <c r="J61" s="258"/>
    </row>
    <row r="62" spans="2:10" x14ac:dyDescent="0.25">
      <c r="B62" s="1" t="s">
        <v>207</v>
      </c>
      <c r="C62" s="72">
        <f>PRORRATEO!B16</f>
        <v>10</v>
      </c>
      <c r="D62" s="73" t="s">
        <v>211</v>
      </c>
      <c r="E62" s="72" t="e">
        <f>PRORRATEO!#REF!</f>
        <v>#REF!</v>
      </c>
      <c r="H62" s="2"/>
      <c r="I62" s="1"/>
      <c r="J62" s="2"/>
    </row>
    <row r="63" spans="2:10" x14ac:dyDescent="0.25">
      <c r="B63" s="1"/>
      <c r="H63" s="2"/>
      <c r="I63" s="257"/>
      <c r="J63" s="258"/>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47" t="s">
        <v>210</v>
      </c>
      <c r="C67" s="248"/>
      <c r="D67" s="248"/>
      <c r="E67" s="248"/>
      <c r="F67" s="248"/>
      <c r="G67" s="249">
        <f>PRORRATEO!M16</f>
        <v>84000.1</v>
      </c>
      <c r="H67" s="250"/>
      <c r="I67" s="71"/>
      <c r="J67" s="81"/>
    </row>
    <row r="71" spans="2:10" ht="15.75" thickBot="1" x14ac:dyDescent="0.3"/>
    <row r="72" spans="2:10" ht="15.75" thickBot="1" x14ac:dyDescent="0.3">
      <c r="B72" s="259" t="s">
        <v>209</v>
      </c>
      <c r="C72" s="260"/>
      <c r="D72" s="260"/>
      <c r="E72" s="260"/>
      <c r="F72" s="260"/>
      <c r="G72" s="260"/>
      <c r="H72" s="261"/>
      <c r="I72" s="69"/>
      <c r="J72" s="70"/>
    </row>
    <row r="73" spans="2:10" ht="15.75" thickBot="1" x14ac:dyDescent="0.3">
      <c r="B73" s="251" t="s">
        <v>120</v>
      </c>
      <c r="C73" s="252"/>
      <c r="D73" s="252"/>
      <c r="E73" s="252"/>
      <c r="F73" s="252"/>
      <c r="G73" s="252"/>
      <c r="H73" s="253"/>
      <c r="I73" s="1"/>
      <c r="J73" s="2"/>
    </row>
    <row r="74" spans="2:10" x14ac:dyDescent="0.25">
      <c r="B74" s="69" t="s">
        <v>216</v>
      </c>
      <c r="C74" s="80"/>
      <c r="D74" s="80"/>
      <c r="E74" s="80"/>
      <c r="G74" t="s">
        <v>39</v>
      </c>
      <c r="H74" s="2"/>
      <c r="I74" s="1"/>
      <c r="J74" s="2"/>
    </row>
    <row r="75" spans="2:10" x14ac:dyDescent="0.25">
      <c r="B75" s="74" t="s">
        <v>214</v>
      </c>
      <c r="C75" s="72"/>
      <c r="D75" s="72"/>
      <c r="H75" s="2"/>
      <c r="I75" s="1"/>
      <c r="J75" s="2"/>
    </row>
    <row r="76" spans="2:10" x14ac:dyDescent="0.25">
      <c r="B76" s="75"/>
      <c r="C76" s="76"/>
      <c r="D76" s="76"/>
      <c r="E76" s="77"/>
      <c r="F76" s="77"/>
      <c r="G76" s="77"/>
      <c r="H76" s="78"/>
      <c r="I76" s="1"/>
      <c r="J76" s="2"/>
    </row>
    <row r="77" spans="2:10" x14ac:dyDescent="0.25">
      <c r="B77" s="254" t="s">
        <v>212</v>
      </c>
      <c r="C77" s="255"/>
      <c r="D77" s="255"/>
      <c r="E77" s="255"/>
      <c r="F77" s="255"/>
      <c r="G77" s="255"/>
      <c r="H77" s="256"/>
      <c r="I77" s="1"/>
      <c r="J77" s="2"/>
    </row>
    <row r="78" spans="2:10" x14ac:dyDescent="0.25">
      <c r="B78" s="74"/>
      <c r="C78" s="72"/>
      <c r="D78" s="72"/>
      <c r="H78" s="2"/>
      <c r="I78" s="1"/>
      <c r="J78" s="2"/>
    </row>
    <row r="79" spans="2:10" x14ac:dyDescent="0.25">
      <c r="B79" s="1" t="s">
        <v>208</v>
      </c>
      <c r="E79" t="str">
        <f>PRORRATEO!C17</f>
        <v>BRUZZONE, Héctor</v>
      </c>
      <c r="H79" s="2"/>
      <c r="I79" s="257" t="s">
        <v>213</v>
      </c>
      <c r="J79" s="258"/>
    </row>
    <row r="80" spans="2:10" x14ac:dyDescent="0.25">
      <c r="B80" s="1" t="s">
        <v>207</v>
      </c>
      <c r="C80" s="72">
        <f>PRORRATEO!B17</f>
        <v>11</v>
      </c>
      <c r="D80" s="73" t="s">
        <v>211</v>
      </c>
      <c r="E80" s="72" t="e">
        <f>PRORRATEO!#REF!</f>
        <v>#REF!</v>
      </c>
      <c r="H80" s="2"/>
      <c r="I80" s="1"/>
      <c r="J80" s="2"/>
    </row>
    <row r="81" spans="2:10" x14ac:dyDescent="0.25">
      <c r="B81" s="1"/>
      <c r="H81" s="2"/>
      <c r="I81" s="257"/>
      <c r="J81" s="258"/>
    </row>
    <row r="82" spans="2:10" x14ac:dyDescent="0.25">
      <c r="B82" s="1"/>
      <c r="H82" s="2"/>
      <c r="I82" s="1"/>
      <c r="J82" s="2"/>
    </row>
    <row r="83" spans="2:10" x14ac:dyDescent="0.25">
      <c r="B83" s="1"/>
      <c r="H83" s="2"/>
      <c r="I83" s="1"/>
      <c r="J83" s="2"/>
    </row>
    <row r="84" spans="2:10" ht="15.75" thickBot="1" x14ac:dyDescent="0.3">
      <c r="B84" s="1"/>
      <c r="H84" s="2"/>
      <c r="I84" s="79"/>
      <c r="J84" s="82"/>
    </row>
    <row r="85" spans="2:10" ht="15.75" thickBot="1" x14ac:dyDescent="0.3">
      <c r="B85" s="247" t="s">
        <v>210</v>
      </c>
      <c r="C85" s="248"/>
      <c r="D85" s="248"/>
      <c r="E85" s="248"/>
      <c r="F85" s="248"/>
      <c r="G85" s="249">
        <f>PRORRATEO!M17</f>
        <v>84000.11</v>
      </c>
      <c r="H85" s="250"/>
      <c r="I85" s="71"/>
      <c r="J85" s="81"/>
    </row>
    <row r="89" spans="2:10" ht="183" customHeight="1" thickBot="1" x14ac:dyDescent="0.3"/>
    <row r="90" spans="2:10" ht="15.75" thickBot="1" x14ac:dyDescent="0.3">
      <c r="B90" s="259" t="s">
        <v>209</v>
      </c>
      <c r="C90" s="260"/>
      <c r="D90" s="260"/>
      <c r="E90" s="260"/>
      <c r="F90" s="260"/>
      <c r="G90" s="260"/>
      <c r="H90" s="261"/>
      <c r="I90" s="69"/>
      <c r="J90" s="70"/>
    </row>
    <row r="91" spans="2:10" ht="15.75" thickBot="1" x14ac:dyDescent="0.3">
      <c r="B91" s="251" t="s">
        <v>120</v>
      </c>
      <c r="C91" s="252"/>
      <c r="D91" s="252"/>
      <c r="E91" s="252"/>
      <c r="F91" s="252"/>
      <c r="G91" s="252"/>
      <c r="H91" s="253"/>
      <c r="I91" s="1"/>
      <c r="J91" s="2"/>
    </row>
    <row r="92" spans="2:10" x14ac:dyDescent="0.25">
      <c r="B92" s="69" t="s">
        <v>216</v>
      </c>
      <c r="C92" s="80"/>
      <c r="D92" s="80"/>
      <c r="E92" s="80"/>
      <c r="G92" t="s">
        <v>39</v>
      </c>
      <c r="H92" s="2"/>
      <c r="I92" s="1"/>
      <c r="J92" s="2"/>
    </row>
    <row r="93" spans="2:10" x14ac:dyDescent="0.25">
      <c r="B93" s="74" t="s">
        <v>214</v>
      </c>
      <c r="C93" s="72"/>
      <c r="D93" s="72"/>
      <c r="H93" s="2"/>
      <c r="I93" s="1"/>
      <c r="J93" s="2"/>
    </row>
    <row r="94" spans="2:10" x14ac:dyDescent="0.25">
      <c r="B94" s="75"/>
      <c r="C94" s="76"/>
      <c r="D94" s="76"/>
      <c r="E94" s="77"/>
      <c r="F94" s="77"/>
      <c r="G94" s="77"/>
      <c r="H94" s="78"/>
      <c r="I94" s="1"/>
      <c r="J94" s="2"/>
    </row>
    <row r="95" spans="2:10" x14ac:dyDescent="0.25">
      <c r="B95" s="254" t="s">
        <v>212</v>
      </c>
      <c r="C95" s="255"/>
      <c r="D95" s="255"/>
      <c r="E95" s="255"/>
      <c r="F95" s="255"/>
      <c r="G95" s="255"/>
      <c r="H95" s="256"/>
      <c r="I95" s="1"/>
      <c r="J95" s="2"/>
    </row>
    <row r="96" spans="2:10" x14ac:dyDescent="0.25">
      <c r="B96" s="74"/>
      <c r="C96" s="72"/>
      <c r="D96" s="72"/>
      <c r="H96" s="2"/>
      <c r="I96" s="1"/>
      <c r="J96" s="2"/>
    </row>
    <row r="97" spans="2:10" x14ac:dyDescent="0.25">
      <c r="B97" s="1" t="s">
        <v>208</v>
      </c>
      <c r="E97" t="str">
        <f>PRORRATEO!C18</f>
        <v>HUINCA HUEMUL S.A.</v>
      </c>
      <c r="H97" s="2"/>
      <c r="I97" s="257" t="s">
        <v>213</v>
      </c>
      <c r="J97" s="258"/>
    </row>
    <row r="98" spans="2:10" x14ac:dyDescent="0.25">
      <c r="B98" s="1" t="s">
        <v>207</v>
      </c>
      <c r="C98" s="72">
        <f>PRORRATEO!B18</f>
        <v>12</v>
      </c>
      <c r="D98" s="73" t="s">
        <v>211</v>
      </c>
      <c r="E98" s="72" t="e">
        <f>PRORRATEO!#REF!</f>
        <v>#REF!</v>
      </c>
      <c r="H98" s="2"/>
      <c r="I98" s="1"/>
      <c r="J98" s="2"/>
    </row>
    <row r="99" spans="2:10" x14ac:dyDescent="0.25">
      <c r="B99" s="1"/>
      <c r="H99" s="2"/>
      <c r="I99" s="257"/>
      <c r="J99" s="258"/>
    </row>
    <row r="100" spans="2:10" x14ac:dyDescent="0.25">
      <c r="B100" s="1"/>
      <c r="H100" s="2"/>
      <c r="I100" s="1"/>
      <c r="J100" s="2"/>
    </row>
    <row r="101" spans="2:10" x14ac:dyDescent="0.25">
      <c r="B101" s="1"/>
      <c r="H101" s="2"/>
      <c r="I101" s="1"/>
      <c r="J101" s="2"/>
    </row>
    <row r="102" spans="2:10" ht="15.75" thickBot="1" x14ac:dyDescent="0.3">
      <c r="B102" s="1"/>
      <c r="H102" s="2"/>
      <c r="I102" s="79"/>
      <c r="J102" s="82"/>
    </row>
    <row r="103" spans="2:10" ht="15.75" thickBot="1" x14ac:dyDescent="0.3">
      <c r="B103" s="247" t="s">
        <v>210</v>
      </c>
      <c r="C103" s="248"/>
      <c r="D103" s="248"/>
      <c r="E103" s="248"/>
      <c r="F103" s="248"/>
      <c r="G103" s="249">
        <f>PRORRATEO!M18</f>
        <v>84000.12</v>
      </c>
      <c r="H103" s="250"/>
      <c r="I103" s="71"/>
      <c r="J103" s="81"/>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59" t="s">
        <v>209</v>
      </c>
      <c r="C3" s="260"/>
      <c r="D3" s="260"/>
      <c r="E3" s="260"/>
      <c r="F3" s="260"/>
      <c r="G3" s="260"/>
      <c r="H3" s="261"/>
      <c r="I3" s="69"/>
      <c r="J3" s="70"/>
    </row>
    <row r="4" spans="2:10" ht="15.75" thickBot="1" x14ac:dyDescent="0.3">
      <c r="B4" s="251" t="s">
        <v>120</v>
      </c>
      <c r="C4" s="252"/>
      <c r="D4" s="252"/>
      <c r="E4" s="252"/>
      <c r="F4" s="252"/>
      <c r="G4" s="252"/>
      <c r="H4" s="253"/>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4" t="s">
        <v>212</v>
      </c>
      <c r="C8" s="255"/>
      <c r="D8" s="255"/>
      <c r="E8" s="255"/>
      <c r="F8" s="255"/>
      <c r="G8" s="255"/>
      <c r="H8" s="256"/>
      <c r="I8" s="1"/>
      <c r="J8" s="2"/>
    </row>
    <row r="9" spans="2:10" x14ac:dyDescent="0.25">
      <c r="B9" s="74"/>
      <c r="C9" s="72"/>
      <c r="D9" s="72"/>
      <c r="H9" s="2"/>
      <c r="I9" s="1"/>
      <c r="J9" s="2"/>
    </row>
    <row r="10" spans="2:10" x14ac:dyDescent="0.25">
      <c r="B10" s="1" t="s">
        <v>208</v>
      </c>
      <c r="E10" t="str">
        <f>PRORRATEO!C19</f>
        <v>CALVI, José</v>
      </c>
      <c r="H10" s="2"/>
      <c r="I10" s="257" t="s">
        <v>213</v>
      </c>
      <c r="J10" s="258"/>
    </row>
    <row r="11" spans="2:10" x14ac:dyDescent="0.25">
      <c r="B11" s="1" t="s">
        <v>207</v>
      </c>
      <c r="C11" s="72">
        <f>PRORRATEO!B19</f>
        <v>13</v>
      </c>
      <c r="D11" s="73" t="s">
        <v>211</v>
      </c>
      <c r="E11" s="72" t="e">
        <f>PRORRATEO!#REF!</f>
        <v>#REF!</v>
      </c>
      <c r="H11" s="2"/>
      <c r="I11" s="1"/>
      <c r="J11" s="2"/>
    </row>
    <row r="12" spans="2:10" x14ac:dyDescent="0.25">
      <c r="B12" s="1"/>
      <c r="H12" s="2"/>
      <c r="I12" s="257"/>
      <c r="J12" s="258"/>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7" t="s">
        <v>210</v>
      </c>
      <c r="C16" s="248"/>
      <c r="D16" s="248"/>
      <c r="E16" s="248"/>
      <c r="F16" s="248"/>
      <c r="G16" s="249">
        <f>PRORRATEO!M19</f>
        <v>769000.13</v>
      </c>
      <c r="H16" s="250"/>
      <c r="I16" s="71"/>
      <c r="J16" s="81"/>
    </row>
    <row r="20" spans="2:10" ht="15.75" thickBot="1" x14ac:dyDescent="0.3"/>
    <row r="21" spans="2:10" ht="15.75" thickBot="1" x14ac:dyDescent="0.3">
      <c r="B21" s="259" t="s">
        <v>209</v>
      </c>
      <c r="C21" s="260"/>
      <c r="D21" s="260"/>
      <c r="E21" s="260"/>
      <c r="F21" s="260"/>
      <c r="G21" s="260"/>
      <c r="H21" s="261"/>
      <c r="I21" s="69"/>
      <c r="J21" s="70"/>
    </row>
    <row r="22" spans="2:10" ht="15.75" thickBot="1" x14ac:dyDescent="0.3">
      <c r="B22" s="251" t="s">
        <v>120</v>
      </c>
      <c r="C22" s="252"/>
      <c r="D22" s="252"/>
      <c r="E22" s="252"/>
      <c r="F22" s="252"/>
      <c r="G22" s="252"/>
      <c r="H22" s="253"/>
      <c r="I22" s="1"/>
      <c r="J22" s="2"/>
    </row>
    <row r="23" spans="2:10" x14ac:dyDescent="0.25">
      <c r="B23" s="69" t="s">
        <v>216</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54" t="s">
        <v>212</v>
      </c>
      <c r="C26" s="255"/>
      <c r="D26" s="255"/>
      <c r="E26" s="255"/>
      <c r="F26" s="255"/>
      <c r="G26" s="255"/>
      <c r="H26" s="256"/>
      <c r="I26" s="1"/>
      <c r="J26" s="2"/>
    </row>
    <row r="27" spans="2:10" x14ac:dyDescent="0.25">
      <c r="B27" s="74"/>
      <c r="C27" s="72"/>
      <c r="D27" s="72"/>
      <c r="H27" s="2"/>
      <c r="I27" s="1"/>
      <c r="J27" s="2"/>
    </row>
    <row r="28" spans="2:10" x14ac:dyDescent="0.25">
      <c r="B28" s="1" t="s">
        <v>208</v>
      </c>
      <c r="E28" t="str">
        <f>PRORRATEO!C20</f>
        <v>PENAS, Roberto</v>
      </c>
      <c r="H28" s="2"/>
      <c r="I28" s="257" t="s">
        <v>213</v>
      </c>
      <c r="J28" s="258"/>
    </row>
    <row r="29" spans="2:10" x14ac:dyDescent="0.25">
      <c r="B29" s="1" t="s">
        <v>207</v>
      </c>
      <c r="C29" s="72">
        <f>PRORRATEO!B20</f>
        <v>14</v>
      </c>
      <c r="D29" s="73" t="s">
        <v>211</v>
      </c>
      <c r="E29" s="72" t="e">
        <f>PRORRATEO!#REF!</f>
        <v>#REF!</v>
      </c>
      <c r="H29" s="2"/>
      <c r="I29" s="1"/>
      <c r="J29" s="2"/>
    </row>
    <row r="30" spans="2:10" x14ac:dyDescent="0.25">
      <c r="B30" s="1"/>
      <c r="H30" s="2"/>
      <c r="I30" s="257"/>
      <c r="J30" s="258"/>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47" t="s">
        <v>210</v>
      </c>
      <c r="C34" s="248"/>
      <c r="D34" s="248"/>
      <c r="E34" s="248"/>
      <c r="F34" s="248"/>
      <c r="G34" s="249">
        <f>PRORRATEO!M20</f>
        <v>649883.14</v>
      </c>
      <c r="H34" s="250"/>
      <c r="I34" s="71"/>
      <c r="J34" s="81"/>
    </row>
    <row r="35" spans="2:10" ht="6" customHeight="1" x14ac:dyDescent="0.25"/>
    <row r="36" spans="2:10" hidden="1" x14ac:dyDescent="0.25"/>
    <row r="37" spans="2:10" hidden="1" x14ac:dyDescent="0.25"/>
    <row r="38" spans="2:10" ht="15.75" thickBot="1" x14ac:dyDescent="0.3"/>
    <row r="39" spans="2:10" ht="15.75" thickBot="1" x14ac:dyDescent="0.3">
      <c r="B39" s="259" t="s">
        <v>209</v>
      </c>
      <c r="C39" s="260"/>
      <c r="D39" s="260"/>
      <c r="E39" s="260"/>
      <c r="F39" s="260"/>
      <c r="G39" s="260"/>
      <c r="H39" s="261"/>
      <c r="I39" s="69"/>
      <c r="J39" s="70"/>
    </row>
    <row r="40" spans="2:10" ht="15.75" thickBot="1" x14ac:dyDescent="0.3">
      <c r="B40" s="251" t="s">
        <v>120</v>
      </c>
      <c r="C40" s="252"/>
      <c r="D40" s="252"/>
      <c r="E40" s="252"/>
      <c r="F40" s="252"/>
      <c r="G40" s="252"/>
      <c r="H40" s="253"/>
      <c r="I40" s="1"/>
      <c r="J40" s="2"/>
    </row>
    <row r="41" spans="2:10" x14ac:dyDescent="0.25">
      <c r="B41" s="69" t="s">
        <v>216</v>
      </c>
      <c r="C41" s="80"/>
      <c r="D41" s="80"/>
      <c r="E41" s="80"/>
      <c r="G41" t="s">
        <v>39</v>
      </c>
      <c r="H41" s="2"/>
      <c r="I41" s="1"/>
      <c r="J41" s="2"/>
    </row>
    <row r="42" spans="2:10" x14ac:dyDescent="0.25">
      <c r="B42" s="74" t="s">
        <v>214</v>
      </c>
      <c r="C42" s="72"/>
      <c r="D42" s="72"/>
      <c r="H42" s="2"/>
      <c r="I42" s="1"/>
      <c r="J42" s="2"/>
    </row>
    <row r="43" spans="2:10" x14ac:dyDescent="0.25">
      <c r="B43" s="75"/>
      <c r="C43" s="76"/>
      <c r="D43" s="76"/>
      <c r="E43" s="77"/>
      <c r="F43" s="77"/>
      <c r="G43" s="77"/>
      <c r="H43" s="78"/>
      <c r="I43" s="1"/>
      <c r="J43" s="2"/>
    </row>
    <row r="44" spans="2:10" x14ac:dyDescent="0.25">
      <c r="B44" s="254" t="s">
        <v>212</v>
      </c>
      <c r="C44" s="255"/>
      <c r="D44" s="255"/>
      <c r="E44" s="255"/>
      <c r="F44" s="255"/>
      <c r="G44" s="255"/>
      <c r="H44" s="256"/>
      <c r="I44" s="1"/>
      <c r="J44" s="2"/>
    </row>
    <row r="45" spans="2:10" x14ac:dyDescent="0.25">
      <c r="B45" s="74"/>
      <c r="C45" s="72"/>
      <c r="D45" s="72"/>
      <c r="H45" s="2"/>
      <c r="I45" s="1"/>
      <c r="J45" s="2"/>
    </row>
    <row r="46" spans="2:10" x14ac:dyDescent="0.25">
      <c r="B46" s="1" t="s">
        <v>208</v>
      </c>
      <c r="E46" t="str">
        <f>PRORRATEO!C21</f>
        <v>KOCKA, José</v>
      </c>
      <c r="H46" s="2"/>
      <c r="I46" s="257" t="s">
        <v>213</v>
      </c>
      <c r="J46" s="258"/>
    </row>
    <row r="47" spans="2:10" x14ac:dyDescent="0.25">
      <c r="B47" s="1" t="s">
        <v>207</v>
      </c>
      <c r="C47" s="72">
        <f>PRORRATEO!B21</f>
        <v>15</v>
      </c>
      <c r="D47" s="73" t="s">
        <v>211</v>
      </c>
      <c r="E47" s="72" t="e">
        <f>PRORRATEO!#REF!</f>
        <v>#REF!</v>
      </c>
      <c r="H47" s="2"/>
      <c r="I47" s="1"/>
      <c r="J47" s="2"/>
    </row>
    <row r="48" spans="2:10" x14ac:dyDescent="0.25">
      <c r="B48" s="1"/>
      <c r="H48" s="2"/>
      <c r="I48" s="257"/>
      <c r="J48" s="258"/>
    </row>
    <row r="49" spans="2:10" x14ac:dyDescent="0.25">
      <c r="B49" s="1"/>
      <c r="H49" s="2"/>
      <c r="I49" s="1"/>
      <c r="J49" s="2"/>
    </row>
    <row r="50" spans="2:10" x14ac:dyDescent="0.25">
      <c r="B50" s="1"/>
      <c r="H50" s="2"/>
      <c r="I50" s="1"/>
      <c r="J50" s="2"/>
    </row>
    <row r="51" spans="2:10" ht="15.75" thickBot="1" x14ac:dyDescent="0.3">
      <c r="B51" s="1"/>
      <c r="H51" s="2"/>
      <c r="I51" s="79"/>
      <c r="J51" s="82"/>
    </row>
    <row r="52" spans="2:10" ht="15.75" thickBot="1" x14ac:dyDescent="0.3">
      <c r="B52" s="247" t="s">
        <v>210</v>
      </c>
      <c r="C52" s="248"/>
      <c r="D52" s="248"/>
      <c r="E52" s="248"/>
      <c r="F52" s="248"/>
      <c r="G52" s="249">
        <f>PRORRATEO!M21</f>
        <v>84000.15</v>
      </c>
      <c r="H52" s="250"/>
      <c r="I52" s="71"/>
      <c r="J52" s="81"/>
    </row>
    <row r="56" spans="2:10" ht="15.75" thickBot="1" x14ac:dyDescent="0.3"/>
    <row r="57" spans="2:10" ht="15.75" thickBot="1" x14ac:dyDescent="0.3">
      <c r="B57" s="259" t="s">
        <v>209</v>
      </c>
      <c r="C57" s="260"/>
      <c r="D57" s="260"/>
      <c r="E57" s="260"/>
      <c r="F57" s="260"/>
      <c r="G57" s="260"/>
      <c r="H57" s="261"/>
      <c r="I57" s="69"/>
      <c r="J57" s="70"/>
    </row>
    <row r="58" spans="2:10" ht="15.75" thickBot="1" x14ac:dyDescent="0.3">
      <c r="B58" s="251" t="s">
        <v>120</v>
      </c>
      <c r="C58" s="252"/>
      <c r="D58" s="252"/>
      <c r="E58" s="252"/>
      <c r="F58" s="252"/>
      <c r="G58" s="252"/>
      <c r="H58" s="253"/>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54" t="s">
        <v>212</v>
      </c>
      <c r="C62" s="255"/>
      <c r="D62" s="255"/>
      <c r="E62" s="255"/>
      <c r="F62" s="255"/>
      <c r="G62" s="255"/>
      <c r="H62" s="256"/>
      <c r="I62" s="1"/>
      <c r="J62" s="2"/>
    </row>
    <row r="63" spans="2:10" x14ac:dyDescent="0.25">
      <c r="B63" s="74"/>
      <c r="C63" s="72"/>
      <c r="D63" s="72"/>
      <c r="H63" s="2"/>
      <c r="I63" s="1"/>
      <c r="J63" s="2"/>
    </row>
    <row r="64" spans="2:10" x14ac:dyDescent="0.25">
      <c r="B64" s="1" t="s">
        <v>208</v>
      </c>
      <c r="E64" t="str">
        <f>PRORRATEO!C22</f>
        <v>LASSALLE, Cristina</v>
      </c>
      <c r="H64" s="2"/>
      <c r="I64" s="257" t="s">
        <v>213</v>
      </c>
      <c r="J64" s="258"/>
    </row>
    <row r="65" spans="2:10" x14ac:dyDescent="0.25">
      <c r="B65" s="1" t="s">
        <v>207</v>
      </c>
      <c r="C65" s="72">
        <f>PRORRATEO!B22</f>
        <v>16</v>
      </c>
      <c r="D65" s="73" t="s">
        <v>211</v>
      </c>
      <c r="E65" s="72" t="e">
        <f>PRORRATEO!#REF!</f>
        <v>#REF!</v>
      </c>
      <c r="H65" s="2"/>
      <c r="I65" s="1"/>
      <c r="J65" s="2"/>
    </row>
    <row r="66" spans="2:10" x14ac:dyDescent="0.25">
      <c r="B66" s="1"/>
      <c r="H66" s="2"/>
      <c r="I66" s="257"/>
      <c r="J66" s="258"/>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47" t="s">
        <v>210</v>
      </c>
      <c r="C70" s="248"/>
      <c r="D70" s="248"/>
      <c r="E70" s="248"/>
      <c r="F70" s="248"/>
      <c r="G70" s="249">
        <f>PRORRATEO!M22</f>
        <v>76110.16</v>
      </c>
      <c r="H70" s="250"/>
      <c r="I70" s="71"/>
      <c r="J70" s="81"/>
    </row>
    <row r="74" spans="2:10" ht="15.75" thickBot="1" x14ac:dyDescent="0.3"/>
    <row r="75" spans="2:10" ht="15.75" thickBot="1" x14ac:dyDescent="0.3">
      <c r="B75" s="259" t="s">
        <v>209</v>
      </c>
      <c r="C75" s="260"/>
      <c r="D75" s="260"/>
      <c r="E75" s="260"/>
      <c r="F75" s="260"/>
      <c r="G75" s="260"/>
      <c r="H75" s="261"/>
      <c r="I75" s="69"/>
      <c r="J75" s="70"/>
    </row>
    <row r="76" spans="2:10" ht="15.75" thickBot="1" x14ac:dyDescent="0.3">
      <c r="B76" s="251" t="s">
        <v>120</v>
      </c>
      <c r="C76" s="252"/>
      <c r="D76" s="252"/>
      <c r="E76" s="252"/>
      <c r="F76" s="252"/>
      <c r="G76" s="252"/>
      <c r="H76" s="253"/>
      <c r="I76" s="1"/>
      <c r="J76" s="2"/>
    </row>
    <row r="77" spans="2:10" x14ac:dyDescent="0.25">
      <c r="B77" s="69" t="s">
        <v>216</v>
      </c>
      <c r="C77" s="80"/>
      <c r="D77" s="80"/>
      <c r="E77" s="80"/>
      <c r="G77" t="s">
        <v>39</v>
      </c>
      <c r="H77" s="2"/>
      <c r="I77" s="1"/>
      <c r="J77" s="2"/>
    </row>
    <row r="78" spans="2:10" x14ac:dyDescent="0.25">
      <c r="B78" s="74" t="s">
        <v>214</v>
      </c>
      <c r="C78" s="72"/>
      <c r="D78" s="72"/>
      <c r="H78" s="2"/>
      <c r="I78" s="1"/>
      <c r="J78" s="2"/>
    </row>
    <row r="79" spans="2:10" x14ac:dyDescent="0.25">
      <c r="B79" s="75"/>
      <c r="C79" s="76"/>
      <c r="D79" s="76"/>
      <c r="E79" s="77"/>
      <c r="F79" s="77"/>
      <c r="G79" s="77"/>
      <c r="H79" s="78"/>
      <c r="I79" s="1"/>
      <c r="J79" s="2"/>
    </row>
    <row r="80" spans="2:10" x14ac:dyDescent="0.25">
      <c r="B80" s="254" t="s">
        <v>212</v>
      </c>
      <c r="C80" s="255"/>
      <c r="D80" s="255"/>
      <c r="E80" s="255"/>
      <c r="F80" s="255"/>
      <c r="G80" s="255"/>
      <c r="H80" s="256"/>
      <c r="I80" s="1"/>
      <c r="J80" s="2"/>
    </row>
    <row r="81" spans="2:10" x14ac:dyDescent="0.25">
      <c r="B81" s="74"/>
      <c r="C81" s="72"/>
      <c r="D81" s="72"/>
      <c r="H81" s="2"/>
      <c r="I81" s="1"/>
      <c r="J81" s="2"/>
    </row>
    <row r="82" spans="2:10" x14ac:dyDescent="0.25">
      <c r="B82" s="1" t="s">
        <v>208</v>
      </c>
      <c r="E82" t="str">
        <f>PRORRATEO!C23</f>
        <v>LUCERO, Olga</v>
      </c>
      <c r="H82" s="2"/>
      <c r="I82" s="257" t="s">
        <v>213</v>
      </c>
      <c r="J82" s="258"/>
    </row>
    <row r="83" spans="2:10" x14ac:dyDescent="0.25">
      <c r="B83" s="1" t="s">
        <v>207</v>
      </c>
      <c r="C83" s="72">
        <f>PRORRATEO!B23</f>
        <v>17</v>
      </c>
      <c r="D83" s="73" t="s">
        <v>211</v>
      </c>
      <c r="E83" s="72" t="e">
        <f>PRORRATEO!#REF!</f>
        <v>#REF!</v>
      </c>
      <c r="H83" s="2"/>
      <c r="I83" s="1"/>
      <c r="J83" s="2"/>
    </row>
    <row r="84" spans="2:10" x14ac:dyDescent="0.25">
      <c r="B84" s="1"/>
      <c r="H84" s="2"/>
      <c r="I84" s="257"/>
      <c r="J84" s="258"/>
    </row>
    <row r="85" spans="2:10" x14ac:dyDescent="0.25">
      <c r="B85" s="1"/>
      <c r="H85" s="2"/>
      <c r="I85" s="1"/>
      <c r="J85" s="2"/>
    </row>
    <row r="86" spans="2:10" x14ac:dyDescent="0.25">
      <c r="B86" s="1"/>
      <c r="H86" s="2"/>
      <c r="I86" s="1"/>
      <c r="J86" s="2"/>
    </row>
    <row r="87" spans="2:10" ht="15.75" thickBot="1" x14ac:dyDescent="0.3">
      <c r="B87" s="1"/>
      <c r="H87" s="2"/>
      <c r="I87" s="79"/>
      <c r="J87" s="82"/>
    </row>
    <row r="88" spans="2:10" ht="15.75" thickBot="1" x14ac:dyDescent="0.3">
      <c r="B88" s="247" t="s">
        <v>210</v>
      </c>
      <c r="C88" s="248"/>
      <c r="D88" s="248"/>
      <c r="E88" s="248"/>
      <c r="F88" s="248"/>
      <c r="G88" s="249">
        <f>PRORRATEO!M23</f>
        <v>686683.17</v>
      </c>
      <c r="H88" s="250"/>
      <c r="I88" s="71"/>
      <c r="J88" s="81"/>
    </row>
    <row r="92" spans="2:10" ht="169.5" customHeight="1" thickBot="1" x14ac:dyDescent="0.3"/>
    <row r="93" spans="2:10" ht="15.75" thickBot="1" x14ac:dyDescent="0.3">
      <c r="B93" s="259" t="s">
        <v>209</v>
      </c>
      <c r="C93" s="260"/>
      <c r="D93" s="260"/>
      <c r="E93" s="260"/>
      <c r="F93" s="260"/>
      <c r="G93" s="260"/>
      <c r="H93" s="261"/>
      <c r="I93" s="69"/>
      <c r="J93" s="70"/>
    </row>
    <row r="94" spans="2:10" ht="15.75" thickBot="1" x14ac:dyDescent="0.3">
      <c r="B94" s="251" t="s">
        <v>120</v>
      </c>
      <c r="C94" s="252"/>
      <c r="D94" s="252"/>
      <c r="E94" s="252"/>
      <c r="F94" s="252"/>
      <c r="G94" s="252"/>
      <c r="H94" s="253"/>
      <c r="I94" s="1"/>
      <c r="J94" s="2"/>
    </row>
    <row r="95" spans="2:10" x14ac:dyDescent="0.25">
      <c r="B95" s="69" t="s">
        <v>216</v>
      </c>
      <c r="C95" s="80"/>
      <c r="D95" s="80"/>
      <c r="E95" s="80"/>
      <c r="G95" t="s">
        <v>39</v>
      </c>
      <c r="H95" s="2"/>
      <c r="I95" s="1"/>
      <c r="J95" s="2"/>
    </row>
    <row r="96" spans="2:10" x14ac:dyDescent="0.25">
      <c r="B96" s="74" t="s">
        <v>214</v>
      </c>
      <c r="C96" s="72"/>
      <c r="D96" s="72"/>
      <c r="H96" s="2"/>
      <c r="I96" s="1"/>
      <c r="J96" s="2"/>
    </row>
    <row r="97" spans="2:10" x14ac:dyDescent="0.25">
      <c r="B97" s="75"/>
      <c r="C97" s="76"/>
      <c r="D97" s="76"/>
      <c r="E97" s="77"/>
      <c r="F97" s="77"/>
      <c r="G97" s="77"/>
      <c r="H97" s="78"/>
      <c r="I97" s="1"/>
      <c r="J97" s="2"/>
    </row>
    <row r="98" spans="2:10" x14ac:dyDescent="0.25">
      <c r="B98" s="254" t="s">
        <v>212</v>
      </c>
      <c r="C98" s="255"/>
      <c r="D98" s="255"/>
      <c r="E98" s="255"/>
      <c r="F98" s="255"/>
      <c r="G98" s="255"/>
      <c r="H98" s="256"/>
      <c r="I98" s="1"/>
      <c r="J98" s="2"/>
    </row>
    <row r="99" spans="2:10" x14ac:dyDescent="0.25">
      <c r="B99" s="74"/>
      <c r="C99" s="72"/>
      <c r="D99" s="72"/>
      <c r="H99" s="2"/>
      <c r="I99" s="1"/>
      <c r="J99" s="2"/>
    </row>
    <row r="100" spans="2:10" x14ac:dyDescent="0.25">
      <c r="B100" s="1" t="s">
        <v>208</v>
      </c>
      <c r="E100" t="str">
        <f>PRORRATEO!C24</f>
        <v>MINOCHIO, Gustavo</v>
      </c>
      <c r="H100" s="2"/>
      <c r="I100" s="257" t="s">
        <v>213</v>
      </c>
      <c r="J100" s="258"/>
    </row>
    <row r="101" spans="2:10" x14ac:dyDescent="0.25">
      <c r="B101" s="1" t="s">
        <v>207</v>
      </c>
      <c r="C101" s="72">
        <f>PRORRATEO!B24</f>
        <v>18</v>
      </c>
      <c r="D101" s="73" t="s">
        <v>211</v>
      </c>
      <c r="E101" s="72" t="e">
        <f>PRORRATEO!#REF!</f>
        <v>#REF!</v>
      </c>
      <c r="H101" s="2"/>
      <c r="I101" s="1"/>
      <c r="J101" s="2"/>
    </row>
    <row r="102" spans="2:10" x14ac:dyDescent="0.25">
      <c r="B102" s="1"/>
      <c r="H102" s="2"/>
      <c r="I102" s="257"/>
      <c r="J102" s="258"/>
    </row>
    <row r="103" spans="2:10" x14ac:dyDescent="0.25">
      <c r="B103" s="1"/>
      <c r="H103" s="2"/>
      <c r="I103" s="1"/>
      <c r="J103" s="2"/>
    </row>
    <row r="104" spans="2:10" x14ac:dyDescent="0.25">
      <c r="B104" s="1"/>
      <c r="H104" s="2"/>
      <c r="I104" s="1"/>
      <c r="J104" s="2"/>
    </row>
    <row r="105" spans="2:10" ht="15.75" thickBot="1" x14ac:dyDescent="0.3">
      <c r="B105" s="1"/>
      <c r="H105" s="2"/>
      <c r="I105" s="79"/>
      <c r="J105" s="82"/>
    </row>
    <row r="106" spans="2:10" ht="15.75" thickBot="1" x14ac:dyDescent="0.3">
      <c r="B106" s="247" t="s">
        <v>210</v>
      </c>
      <c r="C106" s="248"/>
      <c r="D106" s="248"/>
      <c r="E106" s="248"/>
      <c r="F106" s="248"/>
      <c r="G106" s="249">
        <f>PRORRATEO!M24</f>
        <v>84000.18</v>
      </c>
      <c r="H106" s="250"/>
      <c r="I106" s="71"/>
      <c r="J106" s="81"/>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59" t="s">
        <v>209</v>
      </c>
      <c r="C3" s="260"/>
      <c r="D3" s="260"/>
      <c r="E3" s="260"/>
      <c r="F3" s="260"/>
      <c r="G3" s="260"/>
      <c r="H3" s="261"/>
      <c r="I3" s="69"/>
      <c r="J3" s="70"/>
    </row>
    <row r="4" spans="2:10" ht="15.75" thickBot="1" x14ac:dyDescent="0.3">
      <c r="B4" s="251" t="s">
        <v>120</v>
      </c>
      <c r="C4" s="252"/>
      <c r="D4" s="252"/>
      <c r="E4" s="252"/>
      <c r="F4" s="252"/>
      <c r="G4" s="252"/>
      <c r="H4" s="253"/>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4" t="s">
        <v>212</v>
      </c>
      <c r="C8" s="255"/>
      <c r="D8" s="255"/>
      <c r="E8" s="255"/>
      <c r="F8" s="255"/>
      <c r="G8" s="255"/>
      <c r="H8" s="256"/>
      <c r="I8" s="1"/>
      <c r="J8" s="2"/>
    </row>
    <row r="9" spans="2:10" x14ac:dyDescent="0.25">
      <c r="B9" s="74"/>
      <c r="C9" s="72"/>
      <c r="D9" s="72"/>
      <c r="H9" s="2"/>
      <c r="I9" s="1"/>
      <c r="J9" s="2"/>
    </row>
    <row r="10" spans="2:10" x14ac:dyDescent="0.25">
      <c r="B10" s="1" t="s">
        <v>208</v>
      </c>
      <c r="E10" t="str">
        <f>PRORRATEO!C25</f>
        <v>VERA, Ricardo</v>
      </c>
      <c r="H10" s="2"/>
      <c r="I10" s="257" t="s">
        <v>213</v>
      </c>
      <c r="J10" s="258"/>
    </row>
    <row r="11" spans="2:10" x14ac:dyDescent="0.25">
      <c r="B11" s="1" t="s">
        <v>207</v>
      </c>
      <c r="C11" s="72">
        <f>PRORRATEO!B25</f>
        <v>19</v>
      </c>
      <c r="D11" s="73" t="s">
        <v>211</v>
      </c>
      <c r="E11" s="72" t="e">
        <f>PRORRATEO!#REF!</f>
        <v>#REF!</v>
      </c>
      <c r="H11" s="2"/>
      <c r="I11" s="1"/>
      <c r="J11" s="2"/>
    </row>
    <row r="12" spans="2:10" x14ac:dyDescent="0.25">
      <c r="B12" s="1"/>
      <c r="H12" s="2"/>
      <c r="I12" s="257"/>
      <c r="J12" s="258"/>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7" t="s">
        <v>210</v>
      </c>
      <c r="C16" s="248"/>
      <c r="D16" s="248"/>
      <c r="E16" s="248"/>
      <c r="F16" s="248"/>
      <c r="G16" s="249">
        <f>PRORRATEO!M25</f>
        <v>463002.19</v>
      </c>
      <c r="H16" s="250"/>
      <c r="I16" s="71"/>
      <c r="J16" s="81"/>
    </row>
    <row r="20" spans="2:10" ht="15.75" thickBot="1" x14ac:dyDescent="0.3"/>
    <row r="21" spans="2:10" ht="15.75" thickBot="1" x14ac:dyDescent="0.3">
      <c r="B21" s="259" t="s">
        <v>209</v>
      </c>
      <c r="C21" s="260"/>
      <c r="D21" s="260"/>
      <c r="E21" s="260"/>
      <c r="F21" s="260"/>
      <c r="G21" s="260"/>
      <c r="H21" s="261"/>
      <c r="I21" s="69"/>
      <c r="J21" s="70"/>
    </row>
    <row r="22" spans="2:10" ht="15.75" thickBot="1" x14ac:dyDescent="0.3">
      <c r="B22" s="251" t="s">
        <v>120</v>
      </c>
      <c r="C22" s="252"/>
      <c r="D22" s="252"/>
      <c r="E22" s="252"/>
      <c r="F22" s="252"/>
      <c r="G22" s="252"/>
      <c r="H22" s="253"/>
      <c r="I22" s="1"/>
      <c r="J22" s="2"/>
    </row>
    <row r="23" spans="2:10" x14ac:dyDescent="0.25">
      <c r="B23" s="69" t="s">
        <v>216</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54" t="s">
        <v>212</v>
      </c>
      <c r="C26" s="255"/>
      <c r="D26" s="255"/>
      <c r="E26" s="255"/>
      <c r="F26" s="255"/>
      <c r="G26" s="255"/>
      <c r="H26" s="256"/>
      <c r="I26" s="1"/>
      <c r="J26" s="2"/>
    </row>
    <row r="27" spans="2:10" x14ac:dyDescent="0.25">
      <c r="B27" s="74"/>
      <c r="C27" s="72"/>
      <c r="D27" s="72"/>
      <c r="H27" s="2"/>
      <c r="I27" s="1"/>
      <c r="J27" s="2"/>
    </row>
    <row r="28" spans="2:10" x14ac:dyDescent="0.25">
      <c r="B28" s="1" t="s">
        <v>208</v>
      </c>
      <c r="E28" t="str">
        <f>PRORRATEO!C26</f>
        <v>HUINCA HUEMUL S.A.</v>
      </c>
      <c r="H28" s="2"/>
      <c r="I28" s="257" t="s">
        <v>213</v>
      </c>
      <c r="J28" s="258"/>
    </row>
    <row r="29" spans="2:10" x14ac:dyDescent="0.25">
      <c r="B29" s="1" t="s">
        <v>207</v>
      </c>
      <c r="C29" s="72">
        <f>PRORRATEO!B26</f>
        <v>20</v>
      </c>
      <c r="D29" s="73" t="s">
        <v>211</v>
      </c>
      <c r="E29" s="72" t="e">
        <f>PRORRATEO!#REF!</f>
        <v>#REF!</v>
      </c>
      <c r="H29" s="2"/>
      <c r="I29" s="1"/>
      <c r="J29" s="2"/>
    </row>
    <row r="30" spans="2:10" x14ac:dyDescent="0.25">
      <c r="B30" s="1"/>
      <c r="H30" s="2"/>
      <c r="I30" s="257"/>
      <c r="J30" s="258"/>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47" t="s">
        <v>210</v>
      </c>
      <c r="C34" s="248"/>
      <c r="D34" s="248"/>
      <c r="E34" s="248"/>
      <c r="F34" s="248"/>
      <c r="G34" s="249">
        <f>PRORRATEO!M26</f>
        <v>81900.2</v>
      </c>
      <c r="H34" s="250"/>
      <c r="I34" s="71"/>
      <c r="J34" s="81"/>
    </row>
    <row r="35" spans="2:10" ht="15.75" thickBot="1" x14ac:dyDescent="0.3"/>
    <row r="36" spans="2:10" ht="15.75" hidden="1" thickBot="1" x14ac:dyDescent="0.3"/>
    <row r="37" spans="2:10" ht="15.75" hidden="1" thickBot="1" x14ac:dyDescent="0.3"/>
    <row r="38" spans="2:10" ht="15.75" thickBot="1" x14ac:dyDescent="0.3">
      <c r="B38" s="259" t="s">
        <v>209</v>
      </c>
      <c r="C38" s="260"/>
      <c r="D38" s="260"/>
      <c r="E38" s="260"/>
      <c r="F38" s="260"/>
      <c r="G38" s="260"/>
      <c r="H38" s="261"/>
      <c r="I38" s="69"/>
      <c r="J38" s="70"/>
    </row>
    <row r="39" spans="2:10" ht="15.75" thickBot="1" x14ac:dyDescent="0.3">
      <c r="B39" s="251" t="s">
        <v>120</v>
      </c>
      <c r="C39" s="252"/>
      <c r="D39" s="252"/>
      <c r="E39" s="252"/>
      <c r="F39" s="252"/>
      <c r="G39" s="252"/>
      <c r="H39" s="253"/>
      <c r="I39" s="1"/>
      <c r="J39" s="2"/>
    </row>
    <row r="40" spans="2:10" x14ac:dyDescent="0.25">
      <c r="B40" s="69" t="s">
        <v>216</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4" t="s">
        <v>212</v>
      </c>
      <c r="C43" s="255"/>
      <c r="D43" s="255"/>
      <c r="E43" s="255"/>
      <c r="F43" s="255"/>
      <c r="G43" s="255"/>
      <c r="H43" s="256"/>
      <c r="I43" s="1"/>
      <c r="J43" s="2"/>
    </row>
    <row r="44" spans="2:10" x14ac:dyDescent="0.25">
      <c r="B44" s="74"/>
      <c r="C44" s="72"/>
      <c r="D44" s="72"/>
      <c r="H44" s="2"/>
      <c r="I44" s="1"/>
      <c r="J44" s="2"/>
    </row>
    <row r="45" spans="2:10" x14ac:dyDescent="0.25">
      <c r="B45" s="1" t="s">
        <v>208</v>
      </c>
      <c r="E45" t="str">
        <f>PRORRATEO!C27</f>
        <v>QUIROGA, Karina</v>
      </c>
      <c r="H45" s="2"/>
      <c r="I45" s="257" t="s">
        <v>213</v>
      </c>
      <c r="J45" s="258"/>
    </row>
    <row r="46" spans="2:10" x14ac:dyDescent="0.25">
      <c r="B46" s="1" t="s">
        <v>207</v>
      </c>
      <c r="C46" s="72">
        <f>PRORRATEO!B27</f>
        <v>21</v>
      </c>
      <c r="D46" s="73" t="s">
        <v>211</v>
      </c>
      <c r="E46" s="72" t="e">
        <f>PRORRATEO!#REF!</f>
        <v>#REF!</v>
      </c>
      <c r="H46" s="2"/>
      <c r="I46" s="1"/>
      <c r="J46" s="2"/>
    </row>
    <row r="47" spans="2:10" x14ac:dyDescent="0.25">
      <c r="B47" s="1"/>
      <c r="H47" s="2"/>
      <c r="I47" s="257"/>
      <c r="J47" s="258"/>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7" t="s">
        <v>210</v>
      </c>
      <c r="C51" s="248"/>
      <c r="D51" s="248"/>
      <c r="E51" s="248"/>
      <c r="F51" s="248"/>
      <c r="G51" s="249">
        <f>PRORRATEO!M27</f>
        <v>661674.21</v>
      </c>
      <c r="H51" s="250"/>
      <c r="I51" s="71"/>
      <c r="J51" s="81"/>
    </row>
    <row r="56" spans="2:10" ht="15.75" thickBot="1" x14ac:dyDescent="0.3"/>
    <row r="57" spans="2:10" ht="15.75" thickBot="1" x14ac:dyDescent="0.3">
      <c r="B57" s="259" t="s">
        <v>209</v>
      </c>
      <c r="C57" s="260"/>
      <c r="D57" s="260"/>
      <c r="E57" s="260"/>
      <c r="F57" s="260"/>
      <c r="G57" s="260"/>
      <c r="H57" s="261"/>
      <c r="I57" s="69"/>
      <c r="J57" s="70"/>
    </row>
    <row r="58" spans="2:10" ht="15.75" thickBot="1" x14ac:dyDescent="0.3">
      <c r="B58" s="251" t="s">
        <v>120</v>
      </c>
      <c r="C58" s="252"/>
      <c r="D58" s="252"/>
      <c r="E58" s="252"/>
      <c r="F58" s="252"/>
      <c r="G58" s="252"/>
      <c r="H58" s="253"/>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54" t="s">
        <v>212</v>
      </c>
      <c r="C62" s="255"/>
      <c r="D62" s="255"/>
      <c r="E62" s="255"/>
      <c r="F62" s="255"/>
      <c r="G62" s="255"/>
      <c r="H62" s="256"/>
      <c r="I62" s="1"/>
      <c r="J62" s="2"/>
    </row>
    <row r="63" spans="2:10" x14ac:dyDescent="0.25">
      <c r="B63" s="74"/>
      <c r="C63" s="72"/>
      <c r="D63" s="72"/>
      <c r="H63" s="2"/>
      <c r="I63" s="1"/>
      <c r="J63" s="2"/>
    </row>
    <row r="64" spans="2:10" x14ac:dyDescent="0.25">
      <c r="B64" s="1" t="s">
        <v>208</v>
      </c>
      <c r="E64" t="str">
        <f>PRORRATEO!C28</f>
        <v>QUIROGA, Karina</v>
      </c>
      <c r="H64" s="2"/>
      <c r="I64" s="257" t="s">
        <v>213</v>
      </c>
      <c r="J64" s="258"/>
    </row>
    <row r="65" spans="2:10" x14ac:dyDescent="0.25">
      <c r="B65" s="1" t="s">
        <v>207</v>
      </c>
      <c r="C65" s="72">
        <f>PRORRATEO!B28</f>
        <v>22</v>
      </c>
      <c r="D65" s="73" t="s">
        <v>211</v>
      </c>
      <c r="E65" s="72" t="e">
        <f>PRORRATEO!#REF!</f>
        <v>#REF!</v>
      </c>
      <c r="H65" s="2"/>
      <c r="I65" s="1"/>
      <c r="J65" s="2"/>
    </row>
    <row r="66" spans="2:10" x14ac:dyDescent="0.25">
      <c r="B66" s="1"/>
      <c r="H66" s="2"/>
      <c r="I66" s="257"/>
      <c r="J66" s="258"/>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47" t="s">
        <v>210</v>
      </c>
      <c r="C70" s="248"/>
      <c r="D70" s="248"/>
      <c r="E70" s="248"/>
      <c r="F70" s="248"/>
      <c r="G70" s="249">
        <f>PRORRATEO!M28</f>
        <v>904288.22</v>
      </c>
      <c r="H70" s="250"/>
      <c r="I70" s="71"/>
      <c r="J70" s="81"/>
    </row>
    <row r="73" spans="2:10" ht="15.75" thickBot="1" x14ac:dyDescent="0.3"/>
    <row r="74" spans="2:10" ht="15.75" thickBot="1" x14ac:dyDescent="0.3">
      <c r="B74" s="259" t="s">
        <v>209</v>
      </c>
      <c r="C74" s="260"/>
      <c r="D74" s="260"/>
      <c r="E74" s="260"/>
      <c r="F74" s="260"/>
      <c r="G74" s="260"/>
      <c r="H74" s="261"/>
      <c r="I74" s="69"/>
      <c r="J74" s="70"/>
    </row>
    <row r="75" spans="2:10" ht="15.75" thickBot="1" x14ac:dyDescent="0.3">
      <c r="B75" s="251" t="s">
        <v>120</v>
      </c>
      <c r="C75" s="252"/>
      <c r="D75" s="252"/>
      <c r="E75" s="252"/>
      <c r="F75" s="252"/>
      <c r="G75" s="252"/>
      <c r="H75" s="253"/>
      <c r="I75" s="1"/>
      <c r="J75" s="2"/>
    </row>
    <row r="76" spans="2:10" x14ac:dyDescent="0.25">
      <c r="B76" s="69" t="s">
        <v>216</v>
      </c>
      <c r="C76" s="80"/>
      <c r="D76" s="80"/>
      <c r="E76" s="80"/>
      <c r="G76" t="s">
        <v>39</v>
      </c>
      <c r="H76" s="2"/>
      <c r="I76" s="1"/>
      <c r="J76" s="2"/>
    </row>
    <row r="77" spans="2:10" x14ac:dyDescent="0.25">
      <c r="B77" s="74" t="s">
        <v>214</v>
      </c>
      <c r="C77" s="72"/>
      <c r="D77" s="72"/>
      <c r="H77" s="2"/>
      <c r="I77" s="1"/>
      <c r="J77" s="2"/>
    </row>
    <row r="78" spans="2:10" x14ac:dyDescent="0.25">
      <c r="B78" s="75"/>
      <c r="C78" s="76"/>
      <c r="D78" s="76"/>
      <c r="E78" s="77"/>
      <c r="F78" s="77"/>
      <c r="G78" s="77"/>
      <c r="H78" s="78"/>
      <c r="I78" s="1"/>
      <c r="J78" s="2"/>
    </row>
    <row r="79" spans="2:10" x14ac:dyDescent="0.25">
      <c r="B79" s="254" t="s">
        <v>212</v>
      </c>
      <c r="C79" s="255"/>
      <c r="D79" s="255"/>
      <c r="E79" s="255"/>
      <c r="F79" s="255"/>
      <c r="G79" s="255"/>
      <c r="H79" s="256"/>
      <c r="I79" s="1"/>
      <c r="J79" s="2"/>
    </row>
    <row r="80" spans="2:10" x14ac:dyDescent="0.25">
      <c r="B80" s="74"/>
      <c r="C80" s="72"/>
      <c r="D80" s="72"/>
      <c r="H80" s="2"/>
      <c r="I80" s="1"/>
      <c r="J80" s="2"/>
    </row>
    <row r="81" spans="2:10" x14ac:dyDescent="0.25">
      <c r="B81" s="1" t="s">
        <v>208</v>
      </c>
      <c r="E81" t="str">
        <f>PRORRATEO!C29</f>
        <v>SALAZAR, Javier</v>
      </c>
      <c r="H81" s="2"/>
      <c r="I81" s="257" t="s">
        <v>213</v>
      </c>
      <c r="J81" s="258"/>
    </row>
    <row r="82" spans="2:10" x14ac:dyDescent="0.25">
      <c r="B82" s="1" t="s">
        <v>207</v>
      </c>
      <c r="C82" s="72">
        <f>PRORRATEO!B29</f>
        <v>23</v>
      </c>
      <c r="D82" s="73" t="s">
        <v>211</v>
      </c>
      <c r="E82" s="72" t="e">
        <f>PRORRATEO!#REF!</f>
        <v>#REF!</v>
      </c>
      <c r="H82" s="2"/>
      <c r="I82" s="1"/>
      <c r="J82" s="2"/>
    </row>
    <row r="83" spans="2:10" x14ac:dyDescent="0.25">
      <c r="B83" s="1"/>
      <c r="H83" s="2"/>
      <c r="I83" s="257"/>
      <c r="J83" s="258"/>
    </row>
    <row r="84" spans="2:10" x14ac:dyDescent="0.25">
      <c r="B84" s="1"/>
      <c r="H84" s="2"/>
      <c r="I84" s="1"/>
      <c r="J84" s="2"/>
    </row>
    <row r="85" spans="2:10" x14ac:dyDescent="0.25">
      <c r="B85" s="1"/>
      <c r="H85" s="2"/>
      <c r="I85" s="1"/>
      <c r="J85" s="2"/>
    </row>
    <row r="86" spans="2:10" ht="15.75" thickBot="1" x14ac:dyDescent="0.3">
      <c r="B86" s="1"/>
      <c r="H86" s="2"/>
      <c r="I86" s="79"/>
      <c r="J86" s="82"/>
    </row>
    <row r="87" spans="2:10" ht="15.75" thickBot="1" x14ac:dyDescent="0.3">
      <c r="B87" s="247" t="s">
        <v>210</v>
      </c>
      <c r="C87" s="248"/>
      <c r="D87" s="248"/>
      <c r="E87" s="248"/>
      <c r="F87" s="248"/>
      <c r="G87" s="249">
        <f>PRORRATEO!M29</f>
        <v>153092.23000000001</v>
      </c>
      <c r="H87" s="250"/>
      <c r="I87" s="71"/>
      <c r="J87" s="81"/>
    </row>
    <row r="90" spans="2:10" ht="213.75" customHeight="1" thickBot="1" x14ac:dyDescent="0.3"/>
    <row r="91" spans="2:10" ht="15.75" thickBot="1" x14ac:dyDescent="0.3">
      <c r="B91" s="259" t="s">
        <v>209</v>
      </c>
      <c r="C91" s="260"/>
      <c r="D91" s="260"/>
      <c r="E91" s="260"/>
      <c r="F91" s="260"/>
      <c r="G91" s="260"/>
      <c r="H91" s="261"/>
      <c r="I91" s="69"/>
      <c r="J91" s="70"/>
    </row>
    <row r="92" spans="2:10" ht="15.75" thickBot="1" x14ac:dyDescent="0.3">
      <c r="B92" s="251" t="s">
        <v>120</v>
      </c>
      <c r="C92" s="252"/>
      <c r="D92" s="252"/>
      <c r="E92" s="252"/>
      <c r="F92" s="252"/>
      <c r="G92" s="252"/>
      <c r="H92" s="253"/>
      <c r="I92" s="1"/>
      <c r="J92" s="2"/>
    </row>
    <row r="93" spans="2:10" x14ac:dyDescent="0.25">
      <c r="B93" s="69" t="s">
        <v>216</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4" t="s">
        <v>212</v>
      </c>
      <c r="C96" s="255"/>
      <c r="D96" s="255"/>
      <c r="E96" s="255"/>
      <c r="F96" s="255"/>
      <c r="G96" s="255"/>
      <c r="H96" s="256"/>
      <c r="I96" s="1"/>
      <c r="J96" s="2"/>
    </row>
    <row r="97" spans="2:10" x14ac:dyDescent="0.25">
      <c r="B97" s="74"/>
      <c r="C97" s="72"/>
      <c r="D97" s="72"/>
      <c r="H97" s="2"/>
      <c r="I97" s="1"/>
      <c r="J97" s="2"/>
    </row>
    <row r="98" spans="2:10" x14ac:dyDescent="0.25">
      <c r="B98" s="1" t="s">
        <v>208</v>
      </c>
      <c r="E98" t="str">
        <f>PRORRATEO!C30</f>
        <v>QUIROGA, Karina</v>
      </c>
      <c r="H98" s="2"/>
      <c r="I98" s="257" t="s">
        <v>213</v>
      </c>
      <c r="J98" s="258"/>
    </row>
    <row r="99" spans="2:10" x14ac:dyDescent="0.25">
      <c r="B99" s="1" t="s">
        <v>207</v>
      </c>
      <c r="C99" s="72">
        <f>PRORRATEO!B30</f>
        <v>24</v>
      </c>
      <c r="D99" s="73" t="s">
        <v>211</v>
      </c>
      <c r="E99" s="72" t="e">
        <f>PRORRATEO!#REF!</f>
        <v>#REF!</v>
      </c>
      <c r="H99" s="2"/>
      <c r="I99" s="1"/>
      <c r="J99" s="2"/>
    </row>
    <row r="100" spans="2:10" x14ac:dyDescent="0.25">
      <c r="B100" s="1"/>
      <c r="H100" s="2"/>
      <c r="I100" s="257"/>
      <c r="J100" s="258"/>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7" t="s">
        <v>210</v>
      </c>
      <c r="C104" s="248"/>
      <c r="D104" s="248"/>
      <c r="E104" s="248"/>
      <c r="F104" s="248"/>
      <c r="G104" s="249">
        <f>PRORRATEO!M30</f>
        <v>1301292.24</v>
      </c>
      <c r="H104" s="250"/>
      <c r="I104" s="71"/>
      <c r="J104" s="81"/>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59" t="s">
        <v>209</v>
      </c>
      <c r="C4" s="260"/>
      <c r="D4" s="260"/>
      <c r="E4" s="260"/>
      <c r="F4" s="260"/>
      <c r="G4" s="260"/>
      <c r="H4" s="261"/>
      <c r="I4" s="69"/>
      <c r="J4" s="70"/>
    </row>
    <row r="5" spans="2:10" ht="15.75" thickBot="1" x14ac:dyDescent="0.3">
      <c r="B5" s="251" t="s">
        <v>120</v>
      </c>
      <c r="C5" s="252"/>
      <c r="D5" s="252"/>
      <c r="E5" s="252"/>
      <c r="F5" s="252"/>
      <c r="G5" s="252"/>
      <c r="H5" s="253"/>
      <c r="I5" s="1"/>
      <c r="J5" s="2"/>
    </row>
    <row r="6" spans="2:10" x14ac:dyDescent="0.25">
      <c r="B6" s="69" t="s">
        <v>216</v>
      </c>
      <c r="C6" s="80"/>
      <c r="D6" s="80"/>
      <c r="E6" s="80"/>
      <c r="G6" t="s">
        <v>39</v>
      </c>
      <c r="H6" s="2"/>
      <c r="I6" s="1"/>
      <c r="J6" s="2"/>
    </row>
    <row r="7" spans="2:10" x14ac:dyDescent="0.25">
      <c r="B7" s="74" t="s">
        <v>214</v>
      </c>
      <c r="C7" s="72"/>
      <c r="D7" s="72"/>
      <c r="H7" s="2"/>
      <c r="I7" s="1"/>
      <c r="J7" s="2"/>
    </row>
    <row r="8" spans="2:10" x14ac:dyDescent="0.25">
      <c r="B8" s="75"/>
      <c r="C8" s="76"/>
      <c r="D8" s="76"/>
      <c r="E8" s="77"/>
      <c r="F8" s="77"/>
      <c r="G8" s="77"/>
      <c r="H8" s="78"/>
      <c r="I8" s="1"/>
      <c r="J8" s="2"/>
    </row>
    <row r="9" spans="2:10" x14ac:dyDescent="0.25">
      <c r="B9" s="254" t="s">
        <v>212</v>
      </c>
      <c r="C9" s="255"/>
      <c r="D9" s="255"/>
      <c r="E9" s="255"/>
      <c r="F9" s="255"/>
      <c r="G9" s="255"/>
      <c r="H9" s="256"/>
      <c r="I9" s="1"/>
      <c r="J9" s="2"/>
    </row>
    <row r="10" spans="2:10" x14ac:dyDescent="0.25">
      <c r="B10" s="74"/>
      <c r="C10" s="72"/>
      <c r="D10" s="72"/>
      <c r="H10" s="2"/>
      <c r="I10" s="1"/>
      <c r="J10" s="2"/>
    </row>
    <row r="11" spans="2:10" x14ac:dyDescent="0.25">
      <c r="B11" s="1" t="s">
        <v>208</v>
      </c>
      <c r="E11" t="str">
        <f>PRORRATEO!C31</f>
        <v>QUINTANA, Hector</v>
      </c>
      <c r="H11" s="2"/>
      <c r="I11" s="257" t="s">
        <v>213</v>
      </c>
      <c r="J11" s="258"/>
    </row>
    <row r="12" spans="2:10" x14ac:dyDescent="0.25">
      <c r="B12" s="1" t="s">
        <v>207</v>
      </c>
      <c r="C12" s="72">
        <f>PRORRATEO!B31</f>
        <v>25</v>
      </c>
      <c r="D12" s="73" t="s">
        <v>211</v>
      </c>
      <c r="E12" s="72" t="e">
        <f>PRORRATEO!#REF!</f>
        <v>#REF!</v>
      </c>
      <c r="H12" s="2"/>
      <c r="I12" s="1"/>
      <c r="J12" s="2"/>
    </row>
    <row r="13" spans="2:10" x14ac:dyDescent="0.25">
      <c r="B13" s="1"/>
      <c r="H13" s="2"/>
      <c r="I13" s="257"/>
      <c r="J13" s="258"/>
    </row>
    <row r="14" spans="2:10" x14ac:dyDescent="0.25">
      <c r="B14" s="1"/>
      <c r="H14" s="2"/>
      <c r="I14" s="1"/>
      <c r="J14" s="2"/>
    </row>
    <row r="15" spans="2:10" x14ac:dyDescent="0.25">
      <c r="B15" s="1"/>
      <c r="H15" s="2"/>
      <c r="I15" s="1"/>
      <c r="J15" s="2"/>
    </row>
    <row r="16" spans="2:10" ht="15.75" thickBot="1" x14ac:dyDescent="0.3">
      <c r="B16" s="1"/>
      <c r="H16" s="2"/>
      <c r="I16" s="79"/>
      <c r="J16" s="82"/>
    </row>
    <row r="17" spans="2:10" ht="15.75" thickBot="1" x14ac:dyDescent="0.3">
      <c r="B17" s="247" t="s">
        <v>210</v>
      </c>
      <c r="C17" s="248"/>
      <c r="D17" s="248"/>
      <c r="E17" s="248"/>
      <c r="F17" s="248"/>
      <c r="G17" s="249">
        <f>PRORRATEO!M31</f>
        <v>165000.25</v>
      </c>
      <c r="H17" s="250"/>
      <c r="I17" s="71"/>
      <c r="J17" s="81"/>
    </row>
    <row r="21" spans="2:10" ht="15.75" thickBot="1" x14ac:dyDescent="0.3"/>
    <row r="22" spans="2:10" ht="15.75" thickBot="1" x14ac:dyDescent="0.3">
      <c r="B22" s="259" t="s">
        <v>209</v>
      </c>
      <c r="C22" s="260"/>
      <c r="D22" s="260"/>
      <c r="E22" s="260"/>
      <c r="F22" s="260"/>
      <c r="G22" s="260"/>
      <c r="H22" s="261"/>
      <c r="I22" s="69"/>
      <c r="J22" s="70"/>
    </row>
    <row r="23" spans="2:10" ht="15.75" thickBot="1" x14ac:dyDescent="0.3">
      <c r="B23" s="251" t="s">
        <v>120</v>
      </c>
      <c r="C23" s="252"/>
      <c r="D23" s="252"/>
      <c r="E23" s="252"/>
      <c r="F23" s="252"/>
      <c r="G23" s="252"/>
      <c r="H23" s="253"/>
      <c r="I23" s="1"/>
      <c r="J23" s="2"/>
    </row>
    <row r="24" spans="2:10" x14ac:dyDescent="0.25">
      <c r="B24" s="69" t="s">
        <v>216</v>
      </c>
      <c r="C24" s="80"/>
      <c r="D24" s="80"/>
      <c r="E24" s="80"/>
      <c r="G24" t="s">
        <v>39</v>
      </c>
      <c r="H24" s="2"/>
      <c r="I24" s="1"/>
      <c r="J24" s="2"/>
    </row>
    <row r="25" spans="2:10" x14ac:dyDescent="0.25">
      <c r="B25" s="74" t="s">
        <v>214</v>
      </c>
      <c r="C25" s="72"/>
      <c r="D25" s="72"/>
      <c r="H25" s="2"/>
      <c r="I25" s="1"/>
      <c r="J25" s="2"/>
    </row>
    <row r="26" spans="2:10" x14ac:dyDescent="0.25">
      <c r="B26" s="75"/>
      <c r="C26" s="76"/>
      <c r="D26" s="76"/>
      <c r="E26" s="77"/>
      <c r="F26" s="77"/>
      <c r="G26" s="77"/>
      <c r="H26" s="78"/>
      <c r="I26" s="1"/>
      <c r="J26" s="2"/>
    </row>
    <row r="27" spans="2:10" x14ac:dyDescent="0.25">
      <c r="B27" s="254" t="s">
        <v>212</v>
      </c>
      <c r="C27" s="255"/>
      <c r="D27" s="255"/>
      <c r="E27" s="255"/>
      <c r="F27" s="255"/>
      <c r="G27" s="255"/>
      <c r="H27" s="256"/>
      <c r="I27" s="1"/>
      <c r="J27" s="2"/>
    </row>
    <row r="28" spans="2:10" x14ac:dyDescent="0.25">
      <c r="B28" s="74"/>
      <c r="C28" s="72"/>
      <c r="D28" s="72"/>
      <c r="H28" s="2"/>
      <c r="I28" s="1"/>
      <c r="J28" s="2"/>
    </row>
    <row r="29" spans="2:10" x14ac:dyDescent="0.25">
      <c r="B29" s="1" t="s">
        <v>208</v>
      </c>
      <c r="E29" t="str">
        <f>PRORRATEO!C32</f>
        <v>MURPHY, Gabriel</v>
      </c>
      <c r="H29" s="2"/>
      <c r="I29" s="257" t="s">
        <v>213</v>
      </c>
      <c r="J29" s="258"/>
    </row>
    <row r="30" spans="2:10" x14ac:dyDescent="0.25">
      <c r="B30" s="1" t="s">
        <v>207</v>
      </c>
      <c r="C30" s="72">
        <f>PRORRATEO!B32</f>
        <v>26</v>
      </c>
      <c r="D30" s="73" t="s">
        <v>211</v>
      </c>
      <c r="E30" s="72" t="e">
        <f>PRORRATEO!#REF!</f>
        <v>#REF!</v>
      </c>
      <c r="H30" s="2"/>
      <c r="I30" s="1"/>
      <c r="J30" s="2"/>
    </row>
    <row r="31" spans="2:10" x14ac:dyDescent="0.25">
      <c r="B31" s="1"/>
      <c r="H31" s="2"/>
      <c r="I31" s="257"/>
      <c r="J31" s="258"/>
    </row>
    <row r="32" spans="2:10" x14ac:dyDescent="0.25">
      <c r="B32" s="1"/>
      <c r="H32" s="2"/>
      <c r="I32" s="1"/>
      <c r="J32" s="2"/>
    </row>
    <row r="33" spans="2:10" x14ac:dyDescent="0.25">
      <c r="B33" s="1"/>
      <c r="H33" s="2"/>
      <c r="I33" s="1"/>
      <c r="J33" s="2"/>
    </row>
    <row r="34" spans="2:10" ht="15.75" thickBot="1" x14ac:dyDescent="0.3">
      <c r="B34" s="1"/>
      <c r="H34" s="2"/>
      <c r="I34" s="79"/>
      <c r="J34" s="82"/>
    </row>
    <row r="35" spans="2:10" ht="15.75" thickBot="1" x14ac:dyDescent="0.3">
      <c r="B35" s="247" t="s">
        <v>210</v>
      </c>
      <c r="C35" s="248"/>
      <c r="D35" s="248"/>
      <c r="E35" s="248"/>
      <c r="F35" s="248"/>
      <c r="G35" s="249">
        <f>PRORRATEO!M32</f>
        <v>1529444.26</v>
      </c>
      <c r="H35" s="250"/>
      <c r="I35" s="71"/>
      <c r="J35" s="81"/>
    </row>
    <row r="38" spans="2:10" ht="163.5" customHeight="1" x14ac:dyDescent="0.25"/>
    <row r="39" spans="2:10" ht="36" customHeight="1" thickBot="1" x14ac:dyDescent="0.3"/>
    <row r="40" spans="2:10" ht="15.75" thickBot="1" x14ac:dyDescent="0.3">
      <c r="B40" s="259" t="s">
        <v>209</v>
      </c>
      <c r="C40" s="260"/>
      <c r="D40" s="260"/>
      <c r="E40" s="260"/>
      <c r="F40" s="260"/>
      <c r="G40" s="260"/>
      <c r="H40" s="261"/>
      <c r="I40" s="69"/>
      <c r="J40" s="70"/>
    </row>
    <row r="41" spans="2:10" ht="15.75" thickBot="1" x14ac:dyDescent="0.3">
      <c r="B41" s="251" t="s">
        <v>120</v>
      </c>
      <c r="C41" s="252"/>
      <c r="D41" s="252"/>
      <c r="E41" s="252"/>
      <c r="F41" s="252"/>
      <c r="G41" s="252"/>
      <c r="H41" s="253"/>
      <c r="I41" s="1"/>
      <c r="J41" s="2"/>
    </row>
    <row r="42" spans="2:10" x14ac:dyDescent="0.25">
      <c r="B42" s="69" t="s">
        <v>216</v>
      </c>
      <c r="C42" s="80"/>
      <c r="D42" s="80"/>
      <c r="E42" s="80"/>
      <c r="G42" t="s">
        <v>39</v>
      </c>
      <c r="H42" s="2"/>
      <c r="I42" s="1"/>
      <c r="J42" s="2"/>
    </row>
    <row r="43" spans="2:10" x14ac:dyDescent="0.25">
      <c r="B43" s="74" t="s">
        <v>214</v>
      </c>
      <c r="C43" s="72"/>
      <c r="D43" s="72"/>
      <c r="H43" s="2"/>
      <c r="I43" s="1"/>
      <c r="J43" s="2"/>
    </row>
    <row r="44" spans="2:10" x14ac:dyDescent="0.25">
      <c r="B44" s="75"/>
      <c r="C44" s="76"/>
      <c r="D44" s="76"/>
      <c r="E44" s="77"/>
      <c r="F44" s="77"/>
      <c r="G44" s="77"/>
      <c r="H44" s="78"/>
      <c r="I44" s="1"/>
      <c r="J44" s="2"/>
    </row>
    <row r="45" spans="2:10" x14ac:dyDescent="0.25">
      <c r="B45" s="254" t="s">
        <v>212</v>
      </c>
      <c r="C45" s="255"/>
      <c r="D45" s="255"/>
      <c r="E45" s="255"/>
      <c r="F45" s="255"/>
      <c r="G45" s="255"/>
      <c r="H45" s="256"/>
      <c r="I45" s="1"/>
      <c r="J45" s="2"/>
    </row>
    <row r="46" spans="2:10" x14ac:dyDescent="0.25">
      <c r="B46" s="74"/>
      <c r="C46" s="72"/>
      <c r="D46" s="72"/>
      <c r="H46" s="2"/>
      <c r="I46" s="1"/>
      <c r="J46" s="2"/>
    </row>
    <row r="47" spans="2:10" x14ac:dyDescent="0.25">
      <c r="B47" s="1" t="s">
        <v>208</v>
      </c>
      <c r="E47">
        <f>PRORRATEO!C33</f>
        <v>0</v>
      </c>
      <c r="H47" s="2"/>
      <c r="I47" s="257" t="s">
        <v>213</v>
      </c>
      <c r="J47" s="258"/>
    </row>
    <row r="48" spans="2:10" x14ac:dyDescent="0.25">
      <c r="B48" s="1" t="s">
        <v>207</v>
      </c>
      <c r="C48" s="72">
        <f>PRORRATEO!B33</f>
        <v>0</v>
      </c>
      <c r="D48" s="73" t="s">
        <v>211</v>
      </c>
      <c r="E48" s="72" t="e">
        <f>PRORRATEO!#REF!</f>
        <v>#REF!</v>
      </c>
      <c r="H48" s="2"/>
      <c r="I48" s="1"/>
      <c r="J48" s="2"/>
    </row>
    <row r="49" spans="2:10" x14ac:dyDescent="0.25">
      <c r="B49" s="1"/>
      <c r="H49" s="2"/>
      <c r="I49" s="257"/>
      <c r="J49" s="258"/>
    </row>
    <row r="50" spans="2:10" x14ac:dyDescent="0.25">
      <c r="B50" s="1"/>
      <c r="H50" s="2"/>
      <c r="I50" s="1"/>
      <c r="J50" s="2"/>
    </row>
    <row r="51" spans="2:10" x14ac:dyDescent="0.25">
      <c r="B51" s="1"/>
      <c r="H51" s="2"/>
      <c r="I51" s="1"/>
      <c r="J51" s="2"/>
    </row>
    <row r="52" spans="2:10" ht="15.75" thickBot="1" x14ac:dyDescent="0.3">
      <c r="B52" s="1"/>
      <c r="H52" s="2"/>
      <c r="I52" s="79"/>
      <c r="J52" s="82"/>
    </row>
    <row r="53" spans="2:10" ht="15.75" thickBot="1" x14ac:dyDescent="0.3">
      <c r="B53" s="247" t="s">
        <v>210</v>
      </c>
      <c r="C53" s="248"/>
      <c r="D53" s="248"/>
      <c r="E53" s="248"/>
      <c r="F53" s="248"/>
      <c r="G53" s="249">
        <f>PRORRATEO!M33</f>
        <v>0</v>
      </c>
      <c r="H53" s="250"/>
      <c r="I53" s="71"/>
      <c r="J53" s="81"/>
    </row>
    <row r="56" spans="2:10" ht="15.75" thickBot="1" x14ac:dyDescent="0.3"/>
    <row r="57" spans="2:10" ht="15.75" thickBot="1" x14ac:dyDescent="0.3">
      <c r="B57" s="259" t="s">
        <v>209</v>
      </c>
      <c r="C57" s="260"/>
      <c r="D57" s="260"/>
      <c r="E57" s="260"/>
      <c r="F57" s="260"/>
      <c r="G57" s="260"/>
      <c r="H57" s="261"/>
      <c r="I57" s="69"/>
      <c r="J57" s="70"/>
    </row>
    <row r="58" spans="2:10" ht="15.75" thickBot="1" x14ac:dyDescent="0.3">
      <c r="B58" s="251" t="s">
        <v>120</v>
      </c>
      <c r="C58" s="252"/>
      <c r="D58" s="252"/>
      <c r="E58" s="252"/>
      <c r="F58" s="252"/>
      <c r="G58" s="252"/>
      <c r="H58" s="253"/>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54" t="s">
        <v>212</v>
      </c>
      <c r="C62" s="255"/>
      <c r="D62" s="255"/>
      <c r="E62" s="255"/>
      <c r="F62" s="255"/>
      <c r="G62" s="255"/>
      <c r="H62" s="256"/>
      <c r="I62" s="1"/>
      <c r="J62" s="2"/>
    </row>
    <row r="63" spans="2:10" x14ac:dyDescent="0.25">
      <c r="B63" s="74"/>
      <c r="C63" s="72"/>
      <c r="D63" s="72"/>
      <c r="H63" s="2"/>
      <c r="I63" s="1"/>
      <c r="J63" s="2"/>
    </row>
    <row r="64" spans="2:10" x14ac:dyDescent="0.25">
      <c r="B64" s="1" t="s">
        <v>208</v>
      </c>
      <c r="E64" t="e">
        <f>PRORRATEO!#REF!</f>
        <v>#REF!</v>
      </c>
      <c r="H64" s="2"/>
      <c r="I64" s="257" t="s">
        <v>213</v>
      </c>
      <c r="J64" s="258"/>
    </row>
    <row r="65" spans="2:10" x14ac:dyDescent="0.25">
      <c r="B65" s="1" t="s">
        <v>207</v>
      </c>
      <c r="C65" s="72" t="e">
        <f>PRORRATEO!#REF!</f>
        <v>#REF!</v>
      </c>
      <c r="D65" s="73" t="s">
        <v>211</v>
      </c>
      <c r="E65" s="72" t="e">
        <f>PRORRATEO!#REF!</f>
        <v>#REF!</v>
      </c>
      <c r="H65" s="2"/>
      <c r="I65" s="1"/>
      <c r="J65" s="2"/>
    </row>
    <row r="66" spans="2:10" x14ac:dyDescent="0.25">
      <c r="B66" s="1"/>
      <c r="H66" s="2"/>
      <c r="I66" s="257"/>
      <c r="J66" s="258"/>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47" t="s">
        <v>210</v>
      </c>
      <c r="C70" s="248"/>
      <c r="D70" s="248"/>
      <c r="E70" s="248"/>
      <c r="F70" s="248"/>
      <c r="G70" s="249" t="e">
        <f>PRORRATEO!#REF!</f>
        <v>#REF!</v>
      </c>
      <c r="H70" s="250"/>
      <c r="I70" s="71"/>
      <c r="J70" s="81"/>
    </row>
    <row r="71" spans="2:10" ht="9" customHeight="1" x14ac:dyDescent="0.25"/>
    <row r="72" spans="2:10" hidden="1" x14ac:dyDescent="0.25"/>
    <row r="73" spans="2:10" ht="15.75" thickBot="1" x14ac:dyDescent="0.3"/>
    <row r="74" spans="2:10" ht="15.75" thickBot="1" x14ac:dyDescent="0.3">
      <c r="B74" s="259" t="s">
        <v>209</v>
      </c>
      <c r="C74" s="260"/>
      <c r="D74" s="260"/>
      <c r="E74" s="260"/>
      <c r="F74" s="260"/>
      <c r="G74" s="260"/>
      <c r="H74" s="261"/>
      <c r="I74" s="69"/>
      <c r="J74" s="70"/>
    </row>
    <row r="75" spans="2:10" ht="15.75" thickBot="1" x14ac:dyDescent="0.3">
      <c r="B75" s="251" t="s">
        <v>120</v>
      </c>
      <c r="C75" s="252"/>
      <c r="D75" s="252"/>
      <c r="E75" s="252"/>
      <c r="F75" s="252"/>
      <c r="G75" s="252"/>
      <c r="H75" s="253"/>
      <c r="I75" s="1"/>
      <c r="J75" s="2"/>
    </row>
    <row r="76" spans="2:10" x14ac:dyDescent="0.25">
      <c r="B76" s="69" t="s">
        <v>216</v>
      </c>
      <c r="C76" s="80"/>
      <c r="D76" s="80"/>
      <c r="E76" s="80"/>
      <c r="G76" t="s">
        <v>39</v>
      </c>
      <c r="H76" s="2"/>
      <c r="I76" s="1"/>
      <c r="J76" s="2"/>
    </row>
    <row r="77" spans="2:10" x14ac:dyDescent="0.25">
      <c r="B77" s="74" t="s">
        <v>214</v>
      </c>
      <c r="C77" s="72"/>
      <c r="D77" s="72"/>
      <c r="H77" s="2"/>
      <c r="I77" s="1"/>
      <c r="J77" s="2"/>
    </row>
    <row r="78" spans="2:10" x14ac:dyDescent="0.25">
      <c r="B78" s="75"/>
      <c r="C78" s="76"/>
      <c r="D78" s="76"/>
      <c r="E78" s="77"/>
      <c r="F78" s="77"/>
      <c r="G78" s="77"/>
      <c r="H78" s="78"/>
      <c r="I78" s="1"/>
      <c r="J78" s="2"/>
    </row>
    <row r="79" spans="2:10" x14ac:dyDescent="0.25">
      <c r="B79" s="254" t="s">
        <v>212</v>
      </c>
      <c r="C79" s="255"/>
      <c r="D79" s="255"/>
      <c r="E79" s="255"/>
      <c r="F79" s="255"/>
      <c r="G79" s="255"/>
      <c r="H79" s="256"/>
      <c r="I79" s="1"/>
      <c r="J79" s="2"/>
    </row>
    <row r="80" spans="2:10" x14ac:dyDescent="0.25">
      <c r="B80" s="74"/>
      <c r="C80" s="72"/>
      <c r="D80" s="72"/>
      <c r="H80" s="2"/>
      <c r="I80" s="1"/>
      <c r="J80" s="2"/>
    </row>
    <row r="81" spans="2:10" x14ac:dyDescent="0.25">
      <c r="B81" s="1" t="s">
        <v>208</v>
      </c>
      <c r="E81" t="e">
        <f>PRORRATEO!#REF!</f>
        <v>#REF!</v>
      </c>
      <c r="H81" s="2"/>
      <c r="I81" s="257" t="s">
        <v>213</v>
      </c>
      <c r="J81" s="258"/>
    </row>
    <row r="82" spans="2:10" x14ac:dyDescent="0.25">
      <c r="B82" s="1" t="s">
        <v>207</v>
      </c>
      <c r="C82" s="72" t="e">
        <f>PRORRATEO!#REF!</f>
        <v>#REF!</v>
      </c>
      <c r="D82" s="73" t="s">
        <v>211</v>
      </c>
      <c r="E82" s="72" t="e">
        <f>PRORRATEO!#REF!</f>
        <v>#REF!</v>
      </c>
      <c r="H82" s="2"/>
      <c r="I82" s="1"/>
      <c r="J82" s="2"/>
    </row>
    <row r="83" spans="2:10" x14ac:dyDescent="0.25">
      <c r="B83" s="1"/>
      <c r="H83" s="2"/>
      <c r="I83" s="257"/>
      <c r="J83" s="258"/>
    </row>
    <row r="84" spans="2:10" x14ac:dyDescent="0.25">
      <c r="B84" s="1"/>
      <c r="H84" s="2"/>
      <c r="I84" s="1"/>
      <c r="J84" s="2"/>
    </row>
    <row r="85" spans="2:10" x14ac:dyDescent="0.25">
      <c r="B85" s="1"/>
      <c r="H85" s="2"/>
      <c r="I85" s="1"/>
      <c r="J85" s="2"/>
    </row>
    <row r="86" spans="2:10" ht="15.75" thickBot="1" x14ac:dyDescent="0.3">
      <c r="B86" s="1"/>
      <c r="H86" s="2"/>
      <c r="I86" s="79"/>
      <c r="J86" s="82"/>
    </row>
    <row r="87" spans="2:10" ht="15.75" thickBot="1" x14ac:dyDescent="0.3">
      <c r="B87" s="247" t="s">
        <v>210</v>
      </c>
      <c r="C87" s="248"/>
      <c r="D87" s="248"/>
      <c r="E87" s="248"/>
      <c r="F87" s="248"/>
      <c r="G87" s="249" t="e">
        <f>PRORRATEO!#REF!</f>
        <v>#REF!</v>
      </c>
      <c r="H87" s="250"/>
      <c r="I87" s="71"/>
      <c r="J87" s="81"/>
    </row>
    <row r="90" spans="2:10" ht="15.75" thickBot="1" x14ac:dyDescent="0.3"/>
    <row r="91" spans="2:10" ht="15.75" thickBot="1" x14ac:dyDescent="0.3">
      <c r="B91" s="259" t="s">
        <v>209</v>
      </c>
      <c r="C91" s="260"/>
      <c r="D91" s="260"/>
      <c r="E91" s="260"/>
      <c r="F91" s="260"/>
      <c r="G91" s="260"/>
      <c r="H91" s="261"/>
      <c r="I91" s="69"/>
      <c r="J91" s="70"/>
    </row>
    <row r="92" spans="2:10" ht="15.75" thickBot="1" x14ac:dyDescent="0.3">
      <c r="B92" s="251" t="s">
        <v>120</v>
      </c>
      <c r="C92" s="252"/>
      <c r="D92" s="252"/>
      <c r="E92" s="252"/>
      <c r="F92" s="252"/>
      <c r="G92" s="252"/>
      <c r="H92" s="253"/>
      <c r="I92" s="1"/>
      <c r="J92" s="2"/>
    </row>
    <row r="93" spans="2:10" x14ac:dyDescent="0.25">
      <c r="B93" s="69" t="s">
        <v>216</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4" t="s">
        <v>212</v>
      </c>
      <c r="C96" s="255"/>
      <c r="D96" s="255"/>
      <c r="E96" s="255"/>
      <c r="F96" s="255"/>
      <c r="G96" s="255"/>
      <c r="H96" s="256"/>
      <c r="I96" s="1"/>
      <c r="J96" s="2"/>
    </row>
    <row r="97" spans="2:10" x14ac:dyDescent="0.25">
      <c r="B97" s="74"/>
      <c r="C97" s="72"/>
      <c r="D97" s="72"/>
      <c r="H97" s="2"/>
      <c r="I97" s="1"/>
      <c r="J97" s="2"/>
    </row>
    <row r="98" spans="2:10" x14ac:dyDescent="0.25">
      <c r="B98" s="1" t="s">
        <v>208</v>
      </c>
      <c r="E98" t="e">
        <f>PRORRATEO!#REF!</f>
        <v>#REF!</v>
      </c>
      <c r="H98" s="2"/>
      <c r="I98" s="257" t="s">
        <v>213</v>
      </c>
      <c r="J98" s="258"/>
    </row>
    <row r="99" spans="2:10" x14ac:dyDescent="0.25">
      <c r="B99" s="1" t="s">
        <v>207</v>
      </c>
      <c r="C99" s="72" t="e">
        <f>PRORRATEO!#REF!</f>
        <v>#REF!</v>
      </c>
      <c r="D99" s="73" t="s">
        <v>211</v>
      </c>
      <c r="E99" s="72" t="e">
        <f>PRORRATEO!#REF!</f>
        <v>#REF!</v>
      </c>
      <c r="H99" s="2"/>
      <c r="I99" s="1"/>
      <c r="J99" s="2"/>
    </row>
    <row r="100" spans="2:10" x14ac:dyDescent="0.25">
      <c r="B100" s="1"/>
      <c r="H100" s="2"/>
      <c r="I100" s="257"/>
      <c r="J100" s="258"/>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7" t="s">
        <v>210</v>
      </c>
      <c r="C104" s="248"/>
      <c r="D104" s="248"/>
      <c r="E104" s="248"/>
      <c r="F104" s="248"/>
      <c r="G104" s="249" t="e">
        <f>PRORRATEO!#REF!</f>
        <v>#REF!</v>
      </c>
      <c r="H104" s="250"/>
      <c r="I104" s="71"/>
      <c r="J104" s="81"/>
    </row>
    <row r="107" spans="2:10" ht="15.75" thickBot="1" x14ac:dyDescent="0.3"/>
    <row r="108" spans="2:10" ht="15.75" thickBot="1" x14ac:dyDescent="0.3">
      <c r="B108" s="259" t="s">
        <v>209</v>
      </c>
      <c r="C108" s="260"/>
      <c r="D108" s="260"/>
      <c r="E108" s="260"/>
      <c r="F108" s="260"/>
      <c r="G108" s="260"/>
      <c r="H108" s="261"/>
      <c r="I108" s="69"/>
      <c r="J108" s="70"/>
    </row>
    <row r="109" spans="2:10" ht="15.75" thickBot="1" x14ac:dyDescent="0.3">
      <c r="B109" s="251" t="s">
        <v>120</v>
      </c>
      <c r="C109" s="252"/>
      <c r="D109" s="252"/>
      <c r="E109" s="252"/>
      <c r="F109" s="252"/>
      <c r="G109" s="252"/>
      <c r="H109" s="253"/>
      <c r="I109" s="1"/>
      <c r="J109" s="2"/>
    </row>
    <row r="110" spans="2:10" x14ac:dyDescent="0.25">
      <c r="B110" s="69" t="s">
        <v>216</v>
      </c>
      <c r="C110" s="80"/>
      <c r="D110" s="80"/>
      <c r="E110" s="80"/>
      <c r="G110" t="s">
        <v>39</v>
      </c>
      <c r="H110" s="2"/>
      <c r="I110" s="1"/>
      <c r="J110" s="2"/>
    </row>
    <row r="111" spans="2:10" x14ac:dyDescent="0.25">
      <c r="B111" s="74" t="s">
        <v>214</v>
      </c>
      <c r="C111" s="72"/>
      <c r="D111" s="72"/>
      <c r="H111" s="2"/>
      <c r="I111" s="1"/>
      <c r="J111" s="2"/>
    </row>
    <row r="112" spans="2:10" x14ac:dyDescent="0.25">
      <c r="B112" s="75"/>
      <c r="C112" s="76"/>
      <c r="D112" s="76"/>
      <c r="E112" s="77"/>
      <c r="F112" s="77"/>
      <c r="G112" s="77"/>
      <c r="H112" s="78"/>
      <c r="I112" s="1"/>
      <c r="J112" s="2"/>
    </row>
    <row r="113" spans="2:10" x14ac:dyDescent="0.25">
      <c r="B113" s="254" t="s">
        <v>212</v>
      </c>
      <c r="C113" s="255"/>
      <c r="D113" s="255"/>
      <c r="E113" s="255"/>
      <c r="F113" s="255"/>
      <c r="G113" s="255"/>
      <c r="H113" s="256"/>
      <c r="I113" s="1"/>
      <c r="J113" s="2"/>
    </row>
    <row r="114" spans="2:10" x14ac:dyDescent="0.25">
      <c r="B114" s="74"/>
      <c r="C114" s="72"/>
      <c r="D114" s="72"/>
      <c r="H114" s="2"/>
      <c r="I114" s="1"/>
      <c r="J114" s="2"/>
    </row>
    <row r="115" spans="2:10" x14ac:dyDescent="0.25">
      <c r="B115" s="1" t="s">
        <v>208</v>
      </c>
      <c r="E115" t="e">
        <f>PRORRATEO!#REF!</f>
        <v>#REF!</v>
      </c>
      <c r="H115" s="2"/>
      <c r="I115" s="257" t="s">
        <v>213</v>
      </c>
      <c r="J115" s="258"/>
    </row>
    <row r="116" spans="2:10" x14ac:dyDescent="0.25">
      <c r="B116" s="1" t="s">
        <v>207</v>
      </c>
      <c r="C116" s="72" t="e">
        <f>PRORRATEO!#REF!</f>
        <v>#REF!</v>
      </c>
      <c r="D116" s="73" t="s">
        <v>211</v>
      </c>
      <c r="E116" s="72" t="e">
        <f>PRORRATEO!#REF!</f>
        <v>#REF!</v>
      </c>
      <c r="H116" s="2"/>
      <c r="I116" s="1"/>
      <c r="J116" s="2"/>
    </row>
    <row r="117" spans="2:10" x14ac:dyDescent="0.25">
      <c r="B117" s="1"/>
      <c r="H117" s="2"/>
      <c r="I117" s="257"/>
      <c r="J117" s="258"/>
    </row>
    <row r="118" spans="2:10" x14ac:dyDescent="0.25">
      <c r="B118" s="1"/>
      <c r="H118" s="2"/>
      <c r="I118" s="1"/>
      <c r="J118" s="2"/>
    </row>
    <row r="119" spans="2:10" x14ac:dyDescent="0.25">
      <c r="B119" s="1"/>
      <c r="H119" s="2"/>
      <c r="I119" s="1"/>
      <c r="J119" s="2"/>
    </row>
    <row r="120" spans="2:10" ht="15.75" thickBot="1" x14ac:dyDescent="0.3">
      <c r="B120" s="1"/>
      <c r="H120" s="2"/>
      <c r="I120" s="79"/>
      <c r="J120" s="82"/>
    </row>
    <row r="121" spans="2:10" ht="15.75" thickBot="1" x14ac:dyDescent="0.3">
      <c r="B121" s="247" t="s">
        <v>210</v>
      </c>
      <c r="C121" s="248"/>
      <c r="D121" s="248"/>
      <c r="E121" s="248"/>
      <c r="F121" s="248"/>
      <c r="G121" s="249" t="e">
        <f>PRORRATEO!#REF!</f>
        <v>#REF!</v>
      </c>
      <c r="H121" s="250"/>
      <c r="I121" s="71"/>
      <c r="J121" s="81"/>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59" t="s">
        <v>209</v>
      </c>
      <c r="C2" s="260"/>
      <c r="D2" s="260"/>
      <c r="E2" s="260"/>
      <c r="F2" s="260"/>
      <c r="G2" s="260"/>
      <c r="H2" s="261"/>
      <c r="I2" s="69"/>
      <c r="J2" s="70"/>
    </row>
    <row r="3" spans="2:10" ht="15.75" thickBot="1" x14ac:dyDescent="0.3">
      <c r="B3" s="251" t="s">
        <v>120</v>
      </c>
      <c r="C3" s="252"/>
      <c r="D3" s="252"/>
      <c r="E3" s="252"/>
      <c r="F3" s="252"/>
      <c r="G3" s="252"/>
      <c r="H3" s="253"/>
      <c r="I3" s="1"/>
      <c r="J3" s="2"/>
    </row>
    <row r="4" spans="2:10" x14ac:dyDescent="0.25">
      <c r="B4" s="69" t="s">
        <v>216</v>
      </c>
      <c r="C4" s="80"/>
      <c r="D4" s="80"/>
      <c r="E4" s="80"/>
      <c r="G4" t="s">
        <v>39</v>
      </c>
      <c r="H4" s="2"/>
      <c r="I4" s="1"/>
      <c r="J4" s="2"/>
    </row>
    <row r="5" spans="2:10" x14ac:dyDescent="0.25">
      <c r="B5" s="74" t="s">
        <v>214</v>
      </c>
      <c r="C5" s="72"/>
      <c r="D5" s="72"/>
      <c r="H5" s="2"/>
      <c r="I5" s="1"/>
      <c r="J5" s="2"/>
    </row>
    <row r="6" spans="2:10" x14ac:dyDescent="0.25">
      <c r="B6" s="75"/>
      <c r="C6" s="76"/>
      <c r="D6" s="76"/>
      <c r="E6" s="77"/>
      <c r="F6" s="77"/>
      <c r="G6" s="77"/>
      <c r="H6" s="78"/>
      <c r="I6" s="1"/>
      <c r="J6" s="2"/>
    </row>
    <row r="7" spans="2:10" x14ac:dyDescent="0.25">
      <c r="B7" s="254" t="s">
        <v>212</v>
      </c>
      <c r="C7" s="255"/>
      <c r="D7" s="255"/>
      <c r="E7" s="255"/>
      <c r="F7" s="255"/>
      <c r="G7" s="255"/>
      <c r="H7" s="256"/>
      <c r="I7" s="1"/>
      <c r="J7" s="2"/>
    </row>
    <row r="8" spans="2:10" x14ac:dyDescent="0.25">
      <c r="B8" s="74"/>
      <c r="C8" s="72"/>
      <c r="D8" s="72"/>
      <c r="H8" s="2"/>
      <c r="I8" s="1"/>
      <c r="J8" s="2"/>
    </row>
    <row r="9" spans="2:10" x14ac:dyDescent="0.25">
      <c r="B9" s="1" t="s">
        <v>208</v>
      </c>
      <c r="E9" t="e">
        <f>PRORRATEO!#REF!</f>
        <v>#REF!</v>
      </c>
      <c r="H9" s="2"/>
      <c r="I9" s="257" t="s">
        <v>213</v>
      </c>
      <c r="J9" s="258"/>
    </row>
    <row r="10" spans="2:10" x14ac:dyDescent="0.25">
      <c r="B10" s="1" t="s">
        <v>207</v>
      </c>
      <c r="C10" s="72" t="e">
        <f>PRORRATEO!#REF!</f>
        <v>#REF!</v>
      </c>
      <c r="D10" s="73" t="s">
        <v>211</v>
      </c>
      <c r="E10" s="72" t="e">
        <f>PRORRATEO!#REF!</f>
        <v>#REF!</v>
      </c>
      <c r="H10" s="2"/>
      <c r="I10" s="1"/>
      <c r="J10" s="2"/>
    </row>
    <row r="11" spans="2:10" x14ac:dyDescent="0.25">
      <c r="B11" s="1"/>
      <c r="H11" s="2"/>
      <c r="I11" s="257"/>
      <c r="J11" s="258"/>
    </row>
    <row r="12" spans="2:10" x14ac:dyDescent="0.25">
      <c r="B12" s="1"/>
      <c r="H12" s="2"/>
      <c r="I12" s="1"/>
      <c r="J12" s="2"/>
    </row>
    <row r="13" spans="2:10" x14ac:dyDescent="0.25">
      <c r="B13" s="1"/>
      <c r="H13" s="2"/>
      <c r="I13" s="1"/>
      <c r="J13" s="2"/>
    </row>
    <row r="14" spans="2:10" ht="15.75" thickBot="1" x14ac:dyDescent="0.3">
      <c r="B14" s="1"/>
      <c r="H14" s="2"/>
      <c r="I14" s="79"/>
      <c r="J14" s="82"/>
    </row>
    <row r="15" spans="2:10" ht="15.75" thickBot="1" x14ac:dyDescent="0.3">
      <c r="B15" s="247" t="s">
        <v>210</v>
      </c>
      <c r="C15" s="248"/>
      <c r="D15" s="248"/>
      <c r="E15" s="248"/>
      <c r="F15" s="248"/>
      <c r="G15" s="249" t="e">
        <f>PRORRATEO!#REF!</f>
        <v>#REF!</v>
      </c>
      <c r="H15" s="250"/>
      <c r="I15" s="71"/>
      <c r="J15" s="81"/>
    </row>
    <row r="17" spans="2:10" ht="15.75" thickBot="1" x14ac:dyDescent="0.3"/>
    <row r="18" spans="2:10" ht="15.75" thickBot="1" x14ac:dyDescent="0.3">
      <c r="B18" s="259" t="s">
        <v>209</v>
      </c>
      <c r="C18" s="260"/>
      <c r="D18" s="260"/>
      <c r="E18" s="260"/>
      <c r="F18" s="260"/>
      <c r="G18" s="260"/>
      <c r="H18" s="261"/>
      <c r="I18" s="69"/>
      <c r="J18" s="70"/>
    </row>
    <row r="19" spans="2:10" ht="15.75" thickBot="1" x14ac:dyDescent="0.3">
      <c r="B19" s="251" t="s">
        <v>120</v>
      </c>
      <c r="C19" s="252"/>
      <c r="D19" s="252"/>
      <c r="E19" s="252"/>
      <c r="F19" s="252"/>
      <c r="G19" s="252"/>
      <c r="H19" s="253"/>
      <c r="I19" s="1"/>
      <c r="J19" s="2"/>
    </row>
    <row r="20" spans="2:10" x14ac:dyDescent="0.25">
      <c r="B20" s="69" t="s">
        <v>216</v>
      </c>
      <c r="C20" s="80"/>
      <c r="D20" s="80"/>
      <c r="E20" s="80"/>
      <c r="G20" t="s">
        <v>39</v>
      </c>
      <c r="H20" s="2"/>
      <c r="I20" s="1"/>
      <c r="J20" s="2"/>
    </row>
    <row r="21" spans="2:10" x14ac:dyDescent="0.25">
      <c r="B21" s="74" t="s">
        <v>214</v>
      </c>
      <c r="C21" s="72"/>
      <c r="D21" s="72"/>
      <c r="H21" s="2"/>
      <c r="I21" s="1"/>
      <c r="J21" s="2"/>
    </row>
    <row r="22" spans="2:10" x14ac:dyDescent="0.25">
      <c r="B22" s="75"/>
      <c r="C22" s="76"/>
      <c r="D22" s="76"/>
      <c r="E22" s="77"/>
      <c r="F22" s="77"/>
      <c r="G22" s="77"/>
      <c r="H22" s="78"/>
      <c r="I22" s="1"/>
      <c r="J22" s="2"/>
    </row>
    <row r="23" spans="2:10" x14ac:dyDescent="0.25">
      <c r="B23" s="254" t="s">
        <v>212</v>
      </c>
      <c r="C23" s="255"/>
      <c r="D23" s="255"/>
      <c r="E23" s="255"/>
      <c r="F23" s="255"/>
      <c r="G23" s="255"/>
      <c r="H23" s="256"/>
      <c r="I23" s="1"/>
      <c r="J23" s="2"/>
    </row>
    <row r="24" spans="2:10" x14ac:dyDescent="0.25">
      <c r="B24" s="74"/>
      <c r="C24" s="72"/>
      <c r="D24" s="72"/>
      <c r="H24" s="2"/>
      <c r="I24" s="1"/>
      <c r="J24" s="2"/>
    </row>
    <row r="25" spans="2:10" x14ac:dyDescent="0.25">
      <c r="B25" s="1" t="s">
        <v>208</v>
      </c>
      <c r="E25" t="e">
        <f>PRORRATEO!#REF!</f>
        <v>#REF!</v>
      </c>
      <c r="H25" s="2"/>
      <c r="I25" s="257" t="s">
        <v>213</v>
      </c>
      <c r="J25" s="258"/>
    </row>
    <row r="26" spans="2:10" x14ac:dyDescent="0.25">
      <c r="B26" s="1" t="s">
        <v>207</v>
      </c>
      <c r="C26" s="72" t="e">
        <f>PRORRATEO!#REF!</f>
        <v>#REF!</v>
      </c>
      <c r="D26" s="73" t="s">
        <v>211</v>
      </c>
      <c r="E26" s="72" t="e">
        <f>PRORRATEO!#REF!</f>
        <v>#REF!</v>
      </c>
      <c r="H26" s="2"/>
      <c r="I26" s="1"/>
      <c r="J26" s="2"/>
    </row>
    <row r="27" spans="2:10" x14ac:dyDescent="0.25">
      <c r="B27" s="1"/>
      <c r="H27" s="2"/>
      <c r="I27" s="257"/>
      <c r="J27" s="258"/>
    </row>
    <row r="28" spans="2:10" x14ac:dyDescent="0.25">
      <c r="B28" s="1"/>
      <c r="H28" s="2"/>
      <c r="I28" s="1"/>
      <c r="J28" s="2"/>
    </row>
    <row r="29" spans="2:10" x14ac:dyDescent="0.25">
      <c r="B29" s="1"/>
      <c r="H29" s="2"/>
      <c r="I29" s="1"/>
      <c r="J29" s="2"/>
    </row>
    <row r="30" spans="2:10" ht="15.75" thickBot="1" x14ac:dyDescent="0.3">
      <c r="B30" s="1"/>
      <c r="H30" s="2"/>
      <c r="I30" s="79"/>
      <c r="J30" s="82"/>
    </row>
    <row r="31" spans="2:10" ht="15.75" thickBot="1" x14ac:dyDescent="0.3">
      <c r="B31" s="247" t="s">
        <v>210</v>
      </c>
      <c r="C31" s="248"/>
      <c r="D31" s="248"/>
      <c r="E31" s="248"/>
      <c r="F31" s="248"/>
      <c r="G31" s="249" t="e">
        <f>PRORRATEO!#REF!</f>
        <v>#REF!</v>
      </c>
      <c r="H31" s="250"/>
      <c r="I31" s="71"/>
      <c r="J31" s="81"/>
    </row>
    <row r="34" spans="2:10" hidden="1" x14ac:dyDescent="0.25"/>
    <row r="35" spans="2:10" ht="15.75" thickBot="1" x14ac:dyDescent="0.3"/>
    <row r="36" spans="2:10" ht="15.75" thickBot="1" x14ac:dyDescent="0.3">
      <c r="B36" s="259" t="s">
        <v>209</v>
      </c>
      <c r="C36" s="260"/>
      <c r="D36" s="260"/>
      <c r="E36" s="260"/>
      <c r="F36" s="260"/>
      <c r="G36" s="260"/>
      <c r="H36" s="261"/>
      <c r="I36" s="69"/>
      <c r="J36" s="70"/>
    </row>
    <row r="37" spans="2:10" ht="15.75" thickBot="1" x14ac:dyDescent="0.3">
      <c r="B37" s="251" t="s">
        <v>120</v>
      </c>
      <c r="C37" s="252"/>
      <c r="D37" s="252"/>
      <c r="E37" s="252"/>
      <c r="F37" s="252"/>
      <c r="G37" s="252"/>
      <c r="H37" s="253"/>
      <c r="I37" s="1"/>
      <c r="J37" s="2"/>
    </row>
    <row r="38" spans="2:10" x14ac:dyDescent="0.25">
      <c r="B38" s="69" t="s">
        <v>216</v>
      </c>
      <c r="C38" s="80"/>
      <c r="D38" s="80"/>
      <c r="E38" s="80"/>
      <c r="G38" t="s">
        <v>39</v>
      </c>
      <c r="H38" s="2"/>
      <c r="I38" s="1"/>
      <c r="J38" s="2"/>
    </row>
    <row r="39" spans="2:10" x14ac:dyDescent="0.25">
      <c r="B39" s="74" t="s">
        <v>214</v>
      </c>
      <c r="C39" s="72"/>
      <c r="D39" s="72"/>
      <c r="H39" s="2"/>
      <c r="I39" s="1"/>
      <c r="J39" s="2"/>
    </row>
    <row r="40" spans="2:10" x14ac:dyDescent="0.25">
      <c r="B40" s="75"/>
      <c r="C40" s="76"/>
      <c r="D40" s="76"/>
      <c r="E40" s="77"/>
      <c r="F40" s="77"/>
      <c r="G40" s="77"/>
      <c r="H40" s="78"/>
      <c r="I40" s="1"/>
      <c r="J40" s="2"/>
    </row>
    <row r="41" spans="2:10" x14ac:dyDescent="0.25">
      <c r="B41" s="254" t="s">
        <v>212</v>
      </c>
      <c r="C41" s="255"/>
      <c r="D41" s="255"/>
      <c r="E41" s="255"/>
      <c r="F41" s="255"/>
      <c r="G41" s="255"/>
      <c r="H41" s="256"/>
      <c r="I41" s="1"/>
      <c r="J41" s="2"/>
    </row>
    <row r="42" spans="2:10" x14ac:dyDescent="0.25">
      <c r="B42" s="74"/>
      <c r="C42" s="72"/>
      <c r="D42" s="72"/>
      <c r="H42" s="2"/>
      <c r="I42" s="1"/>
      <c r="J42" s="2"/>
    </row>
    <row r="43" spans="2:10" x14ac:dyDescent="0.25">
      <c r="B43" s="1" t="s">
        <v>208</v>
      </c>
      <c r="E43" t="e">
        <f>PRORRATEO!#REF!</f>
        <v>#REF!</v>
      </c>
      <c r="H43" s="2"/>
      <c r="I43" s="257" t="s">
        <v>213</v>
      </c>
      <c r="J43" s="258"/>
    </row>
    <row r="44" spans="2:10" x14ac:dyDescent="0.25">
      <c r="B44" s="1" t="s">
        <v>207</v>
      </c>
      <c r="C44" s="72" t="e">
        <f>PRORRATEO!#REF!</f>
        <v>#REF!</v>
      </c>
      <c r="D44" s="73" t="s">
        <v>211</v>
      </c>
      <c r="E44" s="72" t="e">
        <f>PRORRATEO!#REF!</f>
        <v>#REF!</v>
      </c>
      <c r="H44" s="2"/>
      <c r="I44" s="1"/>
      <c r="J44" s="2"/>
    </row>
    <row r="45" spans="2:10" x14ac:dyDescent="0.25">
      <c r="B45" s="1"/>
      <c r="H45" s="2"/>
      <c r="I45" s="257"/>
      <c r="J45" s="258"/>
    </row>
    <row r="46" spans="2:10" x14ac:dyDescent="0.25">
      <c r="B46" s="1"/>
      <c r="H46" s="2"/>
      <c r="I46" s="1"/>
      <c r="J46" s="2"/>
    </row>
    <row r="47" spans="2:10" x14ac:dyDescent="0.25">
      <c r="B47" s="1"/>
      <c r="H47" s="2"/>
      <c r="I47" s="1"/>
      <c r="J47" s="2"/>
    </row>
    <row r="48" spans="2:10" ht="15.75" thickBot="1" x14ac:dyDescent="0.3">
      <c r="B48" s="1"/>
      <c r="H48" s="2"/>
      <c r="I48" s="79"/>
      <c r="J48" s="82"/>
    </row>
    <row r="49" spans="2:10" ht="15.75" thickBot="1" x14ac:dyDescent="0.3">
      <c r="B49" s="247" t="s">
        <v>210</v>
      </c>
      <c r="C49" s="248"/>
      <c r="D49" s="248"/>
      <c r="E49" s="248"/>
      <c r="F49" s="248"/>
      <c r="G49" s="249" t="e">
        <f>PRORRATEO!#REF!</f>
        <v>#REF!</v>
      </c>
      <c r="H49" s="250"/>
      <c r="I49" s="71"/>
      <c r="J49" s="81"/>
    </row>
    <row r="52" spans="2:10" ht="15.75" thickBot="1" x14ac:dyDescent="0.3"/>
    <row r="53" spans="2:10" ht="15.75" thickBot="1" x14ac:dyDescent="0.3">
      <c r="B53" s="259" t="s">
        <v>209</v>
      </c>
      <c r="C53" s="260"/>
      <c r="D53" s="260"/>
      <c r="E53" s="260"/>
      <c r="F53" s="260"/>
      <c r="G53" s="260"/>
      <c r="H53" s="261"/>
      <c r="I53" s="69"/>
      <c r="J53" s="70"/>
    </row>
    <row r="54" spans="2:10" ht="15.75" thickBot="1" x14ac:dyDescent="0.3">
      <c r="B54" s="251" t="s">
        <v>120</v>
      </c>
      <c r="C54" s="252"/>
      <c r="D54" s="252"/>
      <c r="E54" s="252"/>
      <c r="F54" s="252"/>
      <c r="G54" s="252"/>
      <c r="H54" s="253"/>
      <c r="I54" s="1"/>
      <c r="J54" s="2"/>
    </row>
    <row r="55" spans="2:10" x14ac:dyDescent="0.25">
      <c r="B55" s="69" t="s">
        <v>216</v>
      </c>
      <c r="C55" s="80"/>
      <c r="D55" s="80"/>
      <c r="E55" s="80"/>
      <c r="G55" t="s">
        <v>39</v>
      </c>
      <c r="H55" s="2"/>
      <c r="I55" s="1"/>
      <c r="J55" s="2"/>
    </row>
    <row r="56" spans="2:10" x14ac:dyDescent="0.25">
      <c r="B56" s="74" t="s">
        <v>214</v>
      </c>
      <c r="C56" s="72"/>
      <c r="D56" s="72"/>
      <c r="H56" s="2"/>
      <c r="I56" s="1"/>
      <c r="J56" s="2"/>
    </row>
    <row r="57" spans="2:10" x14ac:dyDescent="0.25">
      <c r="B57" s="75"/>
      <c r="C57" s="76"/>
      <c r="D57" s="76"/>
      <c r="E57" s="77"/>
      <c r="F57" s="77"/>
      <c r="G57" s="77"/>
      <c r="H57" s="78"/>
      <c r="I57" s="1"/>
      <c r="J57" s="2"/>
    </row>
    <row r="58" spans="2:10" x14ac:dyDescent="0.25">
      <c r="B58" s="254" t="s">
        <v>212</v>
      </c>
      <c r="C58" s="255"/>
      <c r="D58" s="255"/>
      <c r="E58" s="255"/>
      <c r="F58" s="255"/>
      <c r="G58" s="255"/>
      <c r="H58" s="256"/>
      <c r="I58" s="1"/>
      <c r="J58" s="2"/>
    </row>
    <row r="59" spans="2:10" x14ac:dyDescent="0.25">
      <c r="B59" s="74"/>
      <c r="C59" s="72"/>
      <c r="D59" s="72"/>
      <c r="H59" s="2"/>
      <c r="I59" s="1"/>
      <c r="J59" s="2"/>
    </row>
    <row r="60" spans="2:10" x14ac:dyDescent="0.25">
      <c r="B60" s="1" t="s">
        <v>208</v>
      </c>
      <c r="E60" t="e">
        <f>PRORRATEO!#REF!</f>
        <v>#REF!</v>
      </c>
      <c r="H60" s="2"/>
      <c r="I60" s="257" t="s">
        <v>213</v>
      </c>
      <c r="J60" s="258"/>
    </row>
    <row r="61" spans="2:10" x14ac:dyDescent="0.25">
      <c r="B61" s="1" t="s">
        <v>207</v>
      </c>
      <c r="C61" s="72" t="e">
        <f>PRORRATEO!#REF!</f>
        <v>#REF!</v>
      </c>
      <c r="D61" s="73" t="s">
        <v>211</v>
      </c>
      <c r="E61" s="72" t="e">
        <f>PRORRATEO!#REF!</f>
        <v>#REF!</v>
      </c>
      <c r="H61" s="2"/>
      <c r="I61" s="1"/>
      <c r="J61" s="2"/>
    </row>
    <row r="62" spans="2:10" x14ac:dyDescent="0.25">
      <c r="B62" s="1"/>
      <c r="H62" s="2"/>
      <c r="I62" s="257"/>
      <c r="J62" s="258"/>
    </row>
    <row r="63" spans="2:10" x14ac:dyDescent="0.25">
      <c r="B63" s="1"/>
      <c r="H63" s="2"/>
      <c r="I63" s="1"/>
      <c r="J63" s="2"/>
    </row>
    <row r="64" spans="2:10" x14ac:dyDescent="0.25">
      <c r="B64" s="1"/>
      <c r="H64" s="2"/>
      <c r="I64" s="1"/>
      <c r="J64" s="2"/>
    </row>
    <row r="65" spans="2:10" ht="15.75" thickBot="1" x14ac:dyDescent="0.3">
      <c r="B65" s="1"/>
      <c r="H65" s="2"/>
      <c r="I65" s="79"/>
      <c r="J65" s="82"/>
    </row>
    <row r="66" spans="2:10" ht="15.75" thickBot="1" x14ac:dyDescent="0.3">
      <c r="B66" s="247" t="s">
        <v>210</v>
      </c>
      <c r="C66" s="248"/>
      <c r="D66" s="248"/>
      <c r="E66" s="248"/>
      <c r="F66" s="248"/>
      <c r="G66" s="249" t="e">
        <f>PRORRATEO!#REF!</f>
        <v>#REF!</v>
      </c>
      <c r="H66" s="250"/>
      <c r="I66" s="71"/>
      <c r="J66" s="81"/>
    </row>
    <row r="70" spans="2:10" ht="15.75" thickBot="1" x14ac:dyDescent="0.3"/>
    <row r="71" spans="2:10" ht="15.75" thickBot="1" x14ac:dyDescent="0.3">
      <c r="B71" s="259" t="s">
        <v>209</v>
      </c>
      <c r="C71" s="260"/>
      <c r="D71" s="260"/>
      <c r="E71" s="260"/>
      <c r="F71" s="260"/>
      <c r="G71" s="260"/>
      <c r="H71" s="261"/>
      <c r="I71" s="69"/>
      <c r="J71" s="70"/>
    </row>
    <row r="72" spans="2:10" ht="15.75" thickBot="1" x14ac:dyDescent="0.3">
      <c r="B72" s="251" t="s">
        <v>120</v>
      </c>
      <c r="C72" s="252"/>
      <c r="D72" s="252"/>
      <c r="E72" s="252"/>
      <c r="F72" s="252"/>
      <c r="G72" s="252"/>
      <c r="H72" s="253"/>
      <c r="I72" s="1"/>
      <c r="J72" s="2"/>
    </row>
    <row r="73" spans="2:10" x14ac:dyDescent="0.25">
      <c r="B73" s="69" t="s">
        <v>216</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54" t="s">
        <v>212</v>
      </c>
      <c r="C76" s="255"/>
      <c r="D76" s="255"/>
      <c r="E76" s="255"/>
      <c r="F76" s="255"/>
      <c r="G76" s="255"/>
      <c r="H76" s="256"/>
      <c r="I76" s="1"/>
      <c r="J76" s="2"/>
    </row>
    <row r="77" spans="2:10" x14ac:dyDescent="0.25">
      <c r="B77" s="74"/>
      <c r="C77" s="72"/>
      <c r="D77" s="72"/>
      <c r="H77" s="2"/>
      <c r="I77" s="1"/>
      <c r="J77" s="2"/>
    </row>
    <row r="78" spans="2:10" x14ac:dyDescent="0.25">
      <c r="B78" s="1" t="s">
        <v>208</v>
      </c>
      <c r="E78" t="e">
        <f>PRORRATEO!#REF!</f>
        <v>#REF!</v>
      </c>
      <c r="H78" s="2"/>
      <c r="I78" s="257" t="s">
        <v>213</v>
      </c>
      <c r="J78" s="258"/>
    </row>
    <row r="79" spans="2:10" x14ac:dyDescent="0.25">
      <c r="B79" s="1" t="s">
        <v>207</v>
      </c>
      <c r="C79" s="72" t="e">
        <f>PRORRATEO!#REF!</f>
        <v>#REF!</v>
      </c>
      <c r="D79" s="73" t="s">
        <v>211</v>
      </c>
      <c r="E79" s="72" t="e">
        <f>PRORRATEO!#REF!</f>
        <v>#REF!</v>
      </c>
      <c r="H79" s="2"/>
      <c r="I79" s="1"/>
      <c r="J79" s="2"/>
    </row>
    <row r="80" spans="2:10" x14ac:dyDescent="0.25">
      <c r="B80" s="1"/>
      <c r="H80" s="2"/>
      <c r="I80" s="257"/>
      <c r="J80" s="258"/>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47" t="s">
        <v>210</v>
      </c>
      <c r="C84" s="248"/>
      <c r="D84" s="248"/>
      <c r="E84" s="248"/>
      <c r="F84" s="248"/>
      <c r="G84" s="249" t="e">
        <f>PRORRATEO!#REF!</f>
        <v>#REF!</v>
      </c>
      <c r="H84" s="250"/>
      <c r="I84" s="71"/>
      <c r="J84" s="81"/>
    </row>
    <row r="86" spans="2:10" ht="136.5" customHeight="1" x14ac:dyDescent="0.25"/>
    <row r="87" spans="2:10" ht="74.25" customHeight="1" x14ac:dyDescent="0.25"/>
    <row r="88" spans="2:10" ht="15.75" thickBot="1" x14ac:dyDescent="0.3"/>
    <row r="89" spans="2:10" ht="15.75" thickBot="1" x14ac:dyDescent="0.3">
      <c r="B89" s="259" t="s">
        <v>209</v>
      </c>
      <c r="C89" s="260"/>
      <c r="D89" s="260"/>
      <c r="E89" s="260"/>
      <c r="F89" s="260"/>
      <c r="G89" s="260"/>
      <c r="H89" s="261"/>
      <c r="I89" s="69"/>
      <c r="J89" s="70"/>
    </row>
    <row r="90" spans="2:10" ht="15.75" thickBot="1" x14ac:dyDescent="0.3">
      <c r="B90" s="251" t="s">
        <v>120</v>
      </c>
      <c r="C90" s="252"/>
      <c r="D90" s="252"/>
      <c r="E90" s="252"/>
      <c r="F90" s="252"/>
      <c r="G90" s="252"/>
      <c r="H90" s="253"/>
      <c r="I90" s="1"/>
      <c r="J90" s="2"/>
    </row>
    <row r="91" spans="2:10" x14ac:dyDescent="0.25">
      <c r="B91" s="69" t="s">
        <v>216</v>
      </c>
      <c r="C91" s="80"/>
      <c r="D91" s="80"/>
      <c r="E91" s="80"/>
      <c r="G91" t="s">
        <v>39</v>
      </c>
      <c r="H91" s="2"/>
      <c r="I91" s="1"/>
      <c r="J91" s="2"/>
    </row>
    <row r="92" spans="2:10" x14ac:dyDescent="0.25">
      <c r="B92" s="74" t="s">
        <v>214</v>
      </c>
      <c r="C92" s="72"/>
      <c r="D92" s="72"/>
      <c r="H92" s="2"/>
      <c r="I92" s="1"/>
      <c r="J92" s="2"/>
    </row>
    <row r="93" spans="2:10" x14ac:dyDescent="0.25">
      <c r="B93" s="75"/>
      <c r="C93" s="76"/>
      <c r="D93" s="76"/>
      <c r="E93" s="77"/>
      <c r="F93" s="77"/>
      <c r="G93" s="77"/>
      <c r="H93" s="78"/>
      <c r="I93" s="1"/>
      <c r="J93" s="2"/>
    </row>
    <row r="94" spans="2:10" x14ac:dyDescent="0.25">
      <c r="B94" s="254" t="s">
        <v>212</v>
      </c>
      <c r="C94" s="255"/>
      <c r="D94" s="255"/>
      <c r="E94" s="255"/>
      <c r="F94" s="255"/>
      <c r="G94" s="255"/>
      <c r="H94" s="256"/>
      <c r="I94" s="1"/>
      <c r="J94" s="2"/>
    </row>
    <row r="95" spans="2:10" x14ac:dyDescent="0.25">
      <c r="B95" s="74"/>
      <c r="C95" s="72"/>
      <c r="D95" s="72"/>
      <c r="H95" s="2"/>
      <c r="I95" s="1"/>
      <c r="J95" s="2"/>
    </row>
    <row r="96" spans="2:10" x14ac:dyDescent="0.25">
      <c r="B96" s="1" t="s">
        <v>208</v>
      </c>
      <c r="E96" t="e">
        <f>PRORRATEO!#REF!</f>
        <v>#REF!</v>
      </c>
      <c r="H96" s="2"/>
      <c r="I96" s="257" t="s">
        <v>213</v>
      </c>
      <c r="J96" s="258"/>
    </row>
    <row r="97" spans="2:10" x14ac:dyDescent="0.25">
      <c r="B97" s="1" t="s">
        <v>207</v>
      </c>
      <c r="C97" s="72" t="e">
        <f>PRORRATEO!#REF!</f>
        <v>#REF!</v>
      </c>
      <c r="D97" s="73" t="s">
        <v>211</v>
      </c>
      <c r="E97" s="72" t="e">
        <f>PRORRATEO!#REF!</f>
        <v>#REF!</v>
      </c>
      <c r="H97" s="2"/>
      <c r="I97" s="1"/>
      <c r="J97" s="2"/>
    </row>
    <row r="98" spans="2:10" x14ac:dyDescent="0.25">
      <c r="B98" s="1"/>
      <c r="H98" s="2"/>
      <c r="I98" s="257"/>
      <c r="J98" s="258"/>
    </row>
    <row r="99" spans="2:10" x14ac:dyDescent="0.25">
      <c r="B99" s="1"/>
      <c r="H99" s="2"/>
      <c r="I99" s="1"/>
      <c r="J99" s="2"/>
    </row>
    <row r="100" spans="2:10" x14ac:dyDescent="0.25">
      <c r="B100" s="1"/>
      <c r="H100" s="2"/>
      <c r="I100" s="1"/>
      <c r="J100" s="2"/>
    </row>
    <row r="101" spans="2:10" ht="15.75" thickBot="1" x14ac:dyDescent="0.3">
      <c r="B101" s="1"/>
      <c r="H101" s="2"/>
      <c r="I101" s="79"/>
      <c r="J101" s="82"/>
    </row>
    <row r="102" spans="2:10" ht="15.75" thickBot="1" x14ac:dyDescent="0.3">
      <c r="B102" s="247" t="s">
        <v>210</v>
      </c>
      <c r="C102" s="248"/>
      <c r="D102" s="248"/>
      <c r="E102" s="248"/>
      <c r="F102" s="248"/>
      <c r="G102" s="249" t="e">
        <f>PRORRATEO!#REF!</f>
        <v>#REF!</v>
      </c>
      <c r="H102" s="250"/>
      <c r="I102" s="71"/>
      <c r="J102" s="81"/>
    </row>
    <row r="105" spans="2:10" ht="15.75" thickBot="1" x14ac:dyDescent="0.3"/>
    <row r="106" spans="2:10" ht="15.75" thickBot="1" x14ac:dyDescent="0.3">
      <c r="B106" s="259" t="s">
        <v>209</v>
      </c>
      <c r="C106" s="260"/>
      <c r="D106" s="260"/>
      <c r="E106" s="260"/>
      <c r="F106" s="260"/>
      <c r="G106" s="260"/>
      <c r="H106" s="261"/>
      <c r="I106" s="69"/>
      <c r="J106" s="70"/>
    </row>
    <row r="107" spans="2:10" ht="15.75" thickBot="1" x14ac:dyDescent="0.3">
      <c r="B107" s="251" t="s">
        <v>120</v>
      </c>
      <c r="C107" s="252"/>
      <c r="D107" s="252"/>
      <c r="E107" s="252"/>
      <c r="F107" s="252"/>
      <c r="G107" s="252"/>
      <c r="H107" s="253"/>
      <c r="I107" s="1"/>
      <c r="J107" s="2"/>
    </row>
    <row r="108" spans="2:10" x14ac:dyDescent="0.25">
      <c r="B108" s="69" t="s">
        <v>216</v>
      </c>
      <c r="C108" s="80"/>
      <c r="D108" s="80"/>
      <c r="E108" s="80"/>
      <c r="G108" t="s">
        <v>39</v>
      </c>
      <c r="H108" s="2"/>
      <c r="I108" s="1"/>
      <c r="J108" s="2"/>
    </row>
    <row r="109" spans="2:10" x14ac:dyDescent="0.25">
      <c r="B109" s="74" t="s">
        <v>214</v>
      </c>
      <c r="C109" s="72"/>
      <c r="D109" s="72"/>
      <c r="H109" s="2"/>
      <c r="I109" s="1"/>
      <c r="J109" s="2"/>
    </row>
    <row r="110" spans="2:10" x14ac:dyDescent="0.25">
      <c r="B110" s="75"/>
      <c r="C110" s="76"/>
      <c r="D110" s="76"/>
      <c r="E110" s="77"/>
      <c r="F110" s="77"/>
      <c r="G110" s="77"/>
      <c r="H110" s="78"/>
      <c r="I110" s="1"/>
      <c r="J110" s="2"/>
    </row>
    <row r="111" spans="2:10" x14ac:dyDescent="0.25">
      <c r="B111" s="254" t="s">
        <v>212</v>
      </c>
      <c r="C111" s="255"/>
      <c r="D111" s="255"/>
      <c r="E111" s="255"/>
      <c r="F111" s="255"/>
      <c r="G111" s="255"/>
      <c r="H111" s="256"/>
      <c r="I111" s="1"/>
      <c r="J111" s="2"/>
    </row>
    <row r="112" spans="2:10" x14ac:dyDescent="0.25">
      <c r="B112" s="74"/>
      <c r="C112" s="72"/>
      <c r="D112" s="72"/>
      <c r="H112" s="2"/>
      <c r="I112" s="1"/>
      <c r="J112" s="2"/>
    </row>
    <row r="113" spans="2:10" x14ac:dyDescent="0.25">
      <c r="B113" s="1" t="s">
        <v>208</v>
      </c>
      <c r="E113" t="e">
        <f>PRORRATEO!#REF!</f>
        <v>#REF!</v>
      </c>
      <c r="H113" s="2"/>
      <c r="I113" s="257" t="s">
        <v>213</v>
      </c>
      <c r="J113" s="258"/>
    </row>
    <row r="114" spans="2:10" x14ac:dyDescent="0.25">
      <c r="B114" s="1" t="s">
        <v>207</v>
      </c>
      <c r="C114" s="72" t="e">
        <f>PRORRATEO!#REF!</f>
        <v>#REF!</v>
      </c>
      <c r="D114" s="73" t="s">
        <v>211</v>
      </c>
      <c r="E114" s="72" t="e">
        <f>PRORRATEO!#REF!</f>
        <v>#REF!</v>
      </c>
      <c r="H114" s="2"/>
      <c r="I114" s="1"/>
      <c r="J114" s="2"/>
    </row>
    <row r="115" spans="2:10" x14ac:dyDescent="0.25">
      <c r="B115" s="1"/>
      <c r="H115" s="2"/>
      <c r="I115" s="257"/>
      <c r="J115" s="258"/>
    </row>
    <row r="116" spans="2:10" x14ac:dyDescent="0.25">
      <c r="B116" s="1"/>
      <c r="H116" s="2"/>
      <c r="I116" s="1"/>
      <c r="J116" s="2"/>
    </row>
    <row r="117" spans="2:10" x14ac:dyDescent="0.25">
      <c r="B117" s="1"/>
      <c r="H117" s="2"/>
      <c r="I117" s="1"/>
      <c r="J117" s="2"/>
    </row>
    <row r="118" spans="2:10" ht="15.75" thickBot="1" x14ac:dyDescent="0.3">
      <c r="B118" s="1"/>
      <c r="H118" s="2"/>
      <c r="I118" s="79"/>
      <c r="J118" s="82"/>
    </row>
    <row r="119" spans="2:10" ht="15.75" thickBot="1" x14ac:dyDescent="0.3">
      <c r="B119" s="247" t="s">
        <v>210</v>
      </c>
      <c r="C119" s="248"/>
      <c r="D119" s="248"/>
      <c r="E119" s="248"/>
      <c r="F119" s="248"/>
      <c r="G119" s="249" t="e">
        <f>PRORRATEO!#REF!</f>
        <v>#REF!</v>
      </c>
      <c r="H119" s="250"/>
      <c r="I119" s="71"/>
      <c r="J119" s="81"/>
    </row>
    <row r="121" spans="2:10" ht="0.75" customHeight="1" x14ac:dyDescent="0.25"/>
    <row r="122" spans="2:10" ht="15.75" thickBot="1" x14ac:dyDescent="0.3"/>
    <row r="123" spans="2:10" ht="15.75" thickBot="1" x14ac:dyDescent="0.3">
      <c r="B123" s="259" t="s">
        <v>209</v>
      </c>
      <c r="C123" s="260"/>
      <c r="D123" s="260"/>
      <c r="E123" s="260"/>
      <c r="F123" s="260"/>
      <c r="G123" s="260"/>
      <c r="H123" s="261"/>
      <c r="I123" s="69"/>
      <c r="J123" s="70"/>
    </row>
    <row r="124" spans="2:10" ht="15.75" thickBot="1" x14ac:dyDescent="0.3">
      <c r="B124" s="251" t="s">
        <v>120</v>
      </c>
      <c r="C124" s="252"/>
      <c r="D124" s="252"/>
      <c r="E124" s="252"/>
      <c r="F124" s="252"/>
      <c r="G124" s="252"/>
      <c r="H124" s="253"/>
      <c r="I124" s="1"/>
      <c r="J124" s="2"/>
    </row>
    <row r="125" spans="2:10" x14ac:dyDescent="0.25">
      <c r="B125" s="69" t="s">
        <v>216</v>
      </c>
      <c r="C125" s="80"/>
      <c r="D125" s="80"/>
      <c r="E125" s="80"/>
      <c r="G125" t="s">
        <v>39</v>
      </c>
      <c r="H125" s="2"/>
      <c r="I125" s="1"/>
      <c r="J125" s="2"/>
    </row>
    <row r="126" spans="2:10" x14ac:dyDescent="0.25">
      <c r="B126" s="74" t="s">
        <v>214</v>
      </c>
      <c r="C126" s="72"/>
      <c r="D126" s="72"/>
      <c r="H126" s="2"/>
      <c r="I126" s="1"/>
      <c r="J126" s="2"/>
    </row>
    <row r="127" spans="2:10" x14ac:dyDescent="0.25">
      <c r="B127" s="75"/>
      <c r="C127" s="76"/>
      <c r="D127" s="76"/>
      <c r="E127" s="77"/>
      <c r="F127" s="77"/>
      <c r="G127" s="77"/>
      <c r="H127" s="78"/>
      <c r="I127" s="1"/>
      <c r="J127" s="2"/>
    </row>
    <row r="128" spans="2:10" x14ac:dyDescent="0.25">
      <c r="B128" s="254" t="s">
        <v>212</v>
      </c>
      <c r="C128" s="255"/>
      <c r="D128" s="255"/>
      <c r="E128" s="255"/>
      <c r="F128" s="255"/>
      <c r="G128" s="255"/>
      <c r="H128" s="256"/>
      <c r="I128" s="1"/>
      <c r="J128" s="2"/>
    </row>
    <row r="129" spans="2:10" x14ac:dyDescent="0.25">
      <c r="B129" s="74"/>
      <c r="C129" s="72"/>
      <c r="D129" s="72"/>
      <c r="H129" s="2"/>
      <c r="I129" s="1"/>
      <c r="J129" s="2"/>
    </row>
    <row r="130" spans="2:10" x14ac:dyDescent="0.25">
      <c r="B130" s="1" t="s">
        <v>208</v>
      </c>
      <c r="E130" t="e">
        <f>PRORRATEO!#REF!</f>
        <v>#REF!</v>
      </c>
      <c r="H130" s="2"/>
      <c r="I130" s="257" t="s">
        <v>213</v>
      </c>
      <c r="J130" s="258"/>
    </row>
    <row r="131" spans="2:10" x14ac:dyDescent="0.25">
      <c r="B131" s="1" t="s">
        <v>207</v>
      </c>
      <c r="C131" s="72" t="e">
        <f>PRORRATEO!#REF!</f>
        <v>#REF!</v>
      </c>
      <c r="D131" s="73" t="s">
        <v>211</v>
      </c>
      <c r="E131" s="72" t="e">
        <f>PRORRATEO!#REF!</f>
        <v>#REF!</v>
      </c>
      <c r="H131" s="2"/>
      <c r="I131" s="1"/>
      <c r="J131" s="2"/>
    </row>
    <row r="132" spans="2:10" x14ac:dyDescent="0.25">
      <c r="B132" s="1"/>
      <c r="H132" s="2"/>
      <c r="I132" s="257"/>
      <c r="J132" s="258"/>
    </row>
    <row r="133" spans="2:10" x14ac:dyDescent="0.25">
      <c r="B133" s="1"/>
      <c r="H133" s="2"/>
      <c r="I133" s="1"/>
      <c r="J133" s="2"/>
    </row>
    <row r="134" spans="2:10" x14ac:dyDescent="0.25">
      <c r="B134" s="1"/>
      <c r="H134" s="2"/>
      <c r="I134" s="1"/>
      <c r="J134" s="2"/>
    </row>
    <row r="135" spans="2:10" ht="15.75" thickBot="1" x14ac:dyDescent="0.3">
      <c r="B135" s="1"/>
      <c r="H135" s="2"/>
      <c r="I135" s="79"/>
      <c r="J135" s="82"/>
    </row>
    <row r="136" spans="2:10" ht="15.75" thickBot="1" x14ac:dyDescent="0.3">
      <c r="B136" s="247" t="s">
        <v>210</v>
      </c>
      <c r="C136" s="248"/>
      <c r="D136" s="248"/>
      <c r="E136" s="248"/>
      <c r="F136" s="248"/>
      <c r="G136" s="249" t="e">
        <f>PRORRATEO!#REF!</f>
        <v>#REF!</v>
      </c>
      <c r="H136" s="250"/>
      <c r="I136" s="71"/>
      <c r="J136" s="81"/>
    </row>
    <row r="140" spans="2:10" ht="15.75" thickBot="1" x14ac:dyDescent="0.3"/>
    <row r="141" spans="2:10" ht="15.75" thickBot="1" x14ac:dyDescent="0.3">
      <c r="B141" s="259" t="s">
        <v>209</v>
      </c>
      <c r="C141" s="260"/>
      <c r="D141" s="260"/>
      <c r="E141" s="260"/>
      <c r="F141" s="260"/>
      <c r="G141" s="260"/>
      <c r="H141" s="261"/>
      <c r="I141" s="69"/>
      <c r="J141" s="70"/>
    </row>
    <row r="142" spans="2:10" ht="15.75" thickBot="1" x14ac:dyDescent="0.3">
      <c r="B142" s="251" t="s">
        <v>120</v>
      </c>
      <c r="C142" s="252"/>
      <c r="D142" s="252"/>
      <c r="E142" s="252"/>
      <c r="F142" s="252"/>
      <c r="G142" s="252"/>
      <c r="H142" s="253"/>
      <c r="I142" s="1"/>
      <c r="J142" s="2"/>
    </row>
    <row r="143" spans="2:10" x14ac:dyDescent="0.25">
      <c r="B143" s="69" t="s">
        <v>216</v>
      </c>
      <c r="C143" s="80"/>
      <c r="D143" s="80"/>
      <c r="E143" s="80"/>
      <c r="G143" t="s">
        <v>39</v>
      </c>
      <c r="H143" s="2"/>
      <c r="I143" s="1"/>
      <c r="J143" s="2"/>
    </row>
    <row r="144" spans="2:10" x14ac:dyDescent="0.25">
      <c r="B144" s="74" t="s">
        <v>214</v>
      </c>
      <c r="C144" s="72"/>
      <c r="D144" s="72"/>
      <c r="H144" s="2"/>
      <c r="I144" s="1"/>
      <c r="J144" s="2"/>
    </row>
    <row r="145" spans="2:10" x14ac:dyDescent="0.25">
      <c r="B145" s="75"/>
      <c r="C145" s="76"/>
      <c r="D145" s="76"/>
      <c r="E145" s="77"/>
      <c r="F145" s="77"/>
      <c r="G145" s="77"/>
      <c r="H145" s="78"/>
      <c r="I145" s="1"/>
      <c r="J145" s="2"/>
    </row>
    <row r="146" spans="2:10" x14ac:dyDescent="0.25">
      <c r="B146" s="254" t="s">
        <v>212</v>
      </c>
      <c r="C146" s="255"/>
      <c r="D146" s="255"/>
      <c r="E146" s="255"/>
      <c r="F146" s="255"/>
      <c r="G146" s="255"/>
      <c r="H146" s="256"/>
      <c r="I146" s="1"/>
      <c r="J146" s="2"/>
    </row>
    <row r="147" spans="2:10" x14ac:dyDescent="0.25">
      <c r="B147" s="74"/>
      <c r="C147" s="72"/>
      <c r="D147" s="72"/>
      <c r="H147" s="2"/>
      <c r="I147" s="1"/>
      <c r="J147" s="2"/>
    </row>
    <row r="148" spans="2:10" x14ac:dyDescent="0.25">
      <c r="B148" s="1" t="s">
        <v>208</v>
      </c>
      <c r="E148" t="e">
        <f>PRORRATEO!#REF!</f>
        <v>#REF!</v>
      </c>
      <c r="H148" s="2"/>
      <c r="I148" s="257" t="s">
        <v>213</v>
      </c>
      <c r="J148" s="258"/>
    </row>
    <row r="149" spans="2:10" x14ac:dyDescent="0.25">
      <c r="B149" s="1" t="s">
        <v>207</v>
      </c>
      <c r="C149" s="72" t="e">
        <f>PRORRATEO!#REF!</f>
        <v>#REF!</v>
      </c>
      <c r="D149" s="73" t="s">
        <v>211</v>
      </c>
      <c r="E149" s="72" t="e">
        <f>PRORRATEO!#REF!</f>
        <v>#REF!</v>
      </c>
      <c r="H149" s="2"/>
      <c r="I149" s="1"/>
      <c r="J149" s="2"/>
    </row>
    <row r="150" spans="2:10" x14ac:dyDescent="0.25">
      <c r="B150" s="1"/>
      <c r="H150" s="2"/>
      <c r="I150" s="257"/>
      <c r="J150" s="258"/>
    </row>
    <row r="151" spans="2:10" x14ac:dyDescent="0.25">
      <c r="B151" s="1"/>
      <c r="H151" s="2"/>
      <c r="I151" s="1"/>
      <c r="J151" s="2"/>
    </row>
    <row r="152" spans="2:10" x14ac:dyDescent="0.25">
      <c r="B152" s="1"/>
      <c r="H152" s="2"/>
      <c r="I152" s="1"/>
      <c r="J152" s="2"/>
    </row>
    <row r="153" spans="2:10" ht="15.75" thickBot="1" x14ac:dyDescent="0.3">
      <c r="B153" s="1"/>
      <c r="H153" s="2"/>
      <c r="I153" s="79"/>
      <c r="J153" s="82"/>
    </row>
    <row r="154" spans="2:10" ht="15.75" thickBot="1" x14ac:dyDescent="0.3">
      <c r="B154" s="247" t="s">
        <v>210</v>
      </c>
      <c r="C154" s="248"/>
      <c r="D154" s="248"/>
      <c r="E154" s="248"/>
      <c r="F154" s="248"/>
      <c r="G154" s="249" t="e">
        <f>PRORRATEO!#REF!</f>
        <v>#REF!</v>
      </c>
      <c r="H154" s="250"/>
      <c r="I154" s="71"/>
      <c r="J154" s="81"/>
    </row>
    <row r="157" spans="2:10" ht="15.75" thickBot="1" x14ac:dyDescent="0.3"/>
    <row r="158" spans="2:10" ht="15.75" thickBot="1" x14ac:dyDescent="0.3">
      <c r="B158" s="259" t="s">
        <v>209</v>
      </c>
      <c r="C158" s="260"/>
      <c r="D158" s="260"/>
      <c r="E158" s="260"/>
      <c r="F158" s="260"/>
      <c r="G158" s="260"/>
      <c r="H158" s="261"/>
      <c r="I158" s="69"/>
      <c r="J158" s="70"/>
    </row>
    <row r="159" spans="2:10" ht="15.75" thickBot="1" x14ac:dyDescent="0.3">
      <c r="B159" s="251" t="s">
        <v>120</v>
      </c>
      <c r="C159" s="252"/>
      <c r="D159" s="252"/>
      <c r="E159" s="252"/>
      <c r="F159" s="252"/>
      <c r="G159" s="252"/>
      <c r="H159" s="253"/>
      <c r="I159" s="1"/>
      <c r="J159" s="2"/>
    </row>
    <row r="160" spans="2:10" x14ac:dyDescent="0.25">
      <c r="B160" s="69" t="s">
        <v>216</v>
      </c>
      <c r="C160" s="80"/>
      <c r="D160" s="80"/>
      <c r="E160" s="80"/>
      <c r="G160" t="s">
        <v>39</v>
      </c>
      <c r="H160" s="2"/>
      <c r="I160" s="1"/>
      <c r="J160" s="2"/>
    </row>
    <row r="161" spans="2:10" x14ac:dyDescent="0.25">
      <c r="B161" s="74" t="s">
        <v>214</v>
      </c>
      <c r="C161" s="72"/>
      <c r="D161" s="72"/>
      <c r="H161" s="2"/>
      <c r="I161" s="1"/>
      <c r="J161" s="2"/>
    </row>
    <row r="162" spans="2:10" x14ac:dyDescent="0.25">
      <c r="B162" s="75"/>
      <c r="C162" s="76"/>
      <c r="D162" s="76"/>
      <c r="E162" s="77"/>
      <c r="F162" s="77"/>
      <c r="G162" s="77"/>
      <c r="H162" s="78"/>
      <c r="I162" s="1"/>
      <c r="J162" s="2"/>
    </row>
    <row r="163" spans="2:10" x14ac:dyDescent="0.25">
      <c r="B163" s="254" t="s">
        <v>212</v>
      </c>
      <c r="C163" s="255"/>
      <c r="D163" s="255"/>
      <c r="E163" s="255"/>
      <c r="F163" s="255"/>
      <c r="G163" s="255"/>
      <c r="H163" s="256"/>
      <c r="I163" s="1"/>
      <c r="J163" s="2"/>
    </row>
    <row r="164" spans="2:10" x14ac:dyDescent="0.25">
      <c r="B164" s="74"/>
      <c r="C164" s="72"/>
      <c r="D164" s="72"/>
      <c r="H164" s="2"/>
      <c r="I164" s="1"/>
      <c r="J164" s="2"/>
    </row>
    <row r="165" spans="2:10" x14ac:dyDescent="0.25">
      <c r="B165" s="1" t="s">
        <v>208</v>
      </c>
      <c r="E165" t="e">
        <f>PRORRATEO!#REF!</f>
        <v>#REF!</v>
      </c>
      <c r="H165" s="2"/>
      <c r="I165" s="257" t="s">
        <v>213</v>
      </c>
      <c r="J165" s="258"/>
    </row>
    <row r="166" spans="2:10" x14ac:dyDescent="0.25">
      <c r="B166" s="1" t="s">
        <v>207</v>
      </c>
      <c r="C166" s="72" t="e">
        <f>PRORRATEO!#REF!</f>
        <v>#REF!</v>
      </c>
      <c r="D166" s="73" t="s">
        <v>211</v>
      </c>
      <c r="E166" s="72" t="e">
        <f>PRORRATEO!#REF!</f>
        <v>#REF!</v>
      </c>
      <c r="H166" s="2"/>
      <c r="I166" s="1"/>
      <c r="J166" s="2"/>
    </row>
    <row r="167" spans="2:10" x14ac:dyDescent="0.25">
      <c r="B167" s="1"/>
      <c r="H167" s="2"/>
      <c r="I167" s="257"/>
      <c r="J167" s="258"/>
    </row>
    <row r="168" spans="2:10" x14ac:dyDescent="0.25">
      <c r="B168" s="1"/>
      <c r="H168" s="2"/>
      <c r="I168" s="1"/>
      <c r="J168" s="2"/>
    </row>
    <row r="169" spans="2:10" x14ac:dyDescent="0.25">
      <c r="B169" s="1"/>
      <c r="H169" s="2"/>
      <c r="I169" s="1"/>
      <c r="J169" s="2"/>
    </row>
    <row r="170" spans="2:10" ht="15.75" thickBot="1" x14ac:dyDescent="0.3">
      <c r="B170" s="1"/>
      <c r="H170" s="2"/>
      <c r="I170" s="79"/>
      <c r="J170" s="82"/>
    </row>
    <row r="171" spans="2:10" ht="15.75" thickBot="1" x14ac:dyDescent="0.3">
      <c r="B171" s="247" t="s">
        <v>210</v>
      </c>
      <c r="C171" s="248"/>
      <c r="D171" s="248"/>
      <c r="E171" s="248"/>
      <c r="F171" s="248"/>
      <c r="G171" s="249" t="e">
        <f>PRORRATEO!#REF!</f>
        <v>#REF!</v>
      </c>
      <c r="H171" s="250"/>
      <c r="I171" s="71"/>
      <c r="J171" s="81"/>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59" t="s">
        <v>209</v>
      </c>
      <c r="C4" s="260"/>
      <c r="D4" s="260"/>
      <c r="E4" s="260"/>
      <c r="F4" s="260"/>
      <c r="G4" s="260"/>
      <c r="H4" s="261"/>
      <c r="I4" s="69"/>
      <c r="J4" s="70"/>
    </row>
    <row r="5" spans="2:10" ht="15.75" thickBot="1" x14ac:dyDescent="0.3">
      <c r="B5" s="251" t="s">
        <v>120</v>
      </c>
      <c r="C5" s="252"/>
      <c r="D5" s="252"/>
      <c r="E5" s="252"/>
      <c r="F5" s="252"/>
      <c r="G5" s="252"/>
      <c r="H5" s="253"/>
      <c r="I5" s="1"/>
      <c r="J5" s="2"/>
    </row>
    <row r="6" spans="2:10" x14ac:dyDescent="0.25">
      <c r="B6" s="69" t="s">
        <v>216</v>
      </c>
      <c r="C6" s="80"/>
      <c r="D6" s="80"/>
      <c r="E6" s="80"/>
      <c r="G6" t="s">
        <v>39</v>
      </c>
      <c r="H6" s="2"/>
      <c r="I6" s="1"/>
      <c r="J6" s="2"/>
    </row>
    <row r="7" spans="2:10" x14ac:dyDescent="0.25">
      <c r="B7" s="74" t="s">
        <v>214</v>
      </c>
      <c r="C7" s="72"/>
      <c r="D7" s="72"/>
      <c r="H7" s="2"/>
      <c r="I7" s="1"/>
      <c r="J7" s="2"/>
    </row>
    <row r="8" spans="2:10" x14ac:dyDescent="0.25">
      <c r="B8" s="75"/>
      <c r="C8" s="76"/>
      <c r="D8" s="76"/>
      <c r="E8" s="77"/>
      <c r="F8" s="77"/>
      <c r="G8" s="77"/>
      <c r="H8" s="78"/>
      <c r="I8" s="1"/>
      <c r="J8" s="2"/>
    </row>
    <row r="9" spans="2:10" x14ac:dyDescent="0.25">
      <c r="B9" s="254" t="s">
        <v>212</v>
      </c>
      <c r="C9" s="255"/>
      <c r="D9" s="255"/>
      <c r="E9" s="255"/>
      <c r="F9" s="255"/>
      <c r="G9" s="255"/>
      <c r="H9" s="256"/>
      <c r="I9" s="1"/>
      <c r="J9" s="2"/>
    </row>
    <row r="10" spans="2:10" x14ac:dyDescent="0.25">
      <c r="B10" s="74"/>
      <c r="C10" s="72"/>
      <c r="D10" s="72"/>
      <c r="H10" s="2"/>
      <c r="I10" s="1"/>
      <c r="J10" s="2"/>
    </row>
    <row r="11" spans="2:10" x14ac:dyDescent="0.25">
      <c r="B11" s="1" t="s">
        <v>208</v>
      </c>
      <c r="E11" t="e">
        <f>PRORRATEO!#REF!</f>
        <v>#REF!</v>
      </c>
      <c r="H11" s="2"/>
      <c r="I11" s="257" t="s">
        <v>213</v>
      </c>
      <c r="J11" s="258"/>
    </row>
    <row r="12" spans="2:10" x14ac:dyDescent="0.25">
      <c r="B12" s="1" t="s">
        <v>207</v>
      </c>
      <c r="C12" s="72" t="e">
        <f>PRORRATEO!#REF!</f>
        <v>#REF!</v>
      </c>
      <c r="D12" s="73" t="s">
        <v>211</v>
      </c>
      <c r="E12" s="72" t="e">
        <f>PRORRATEO!#REF!</f>
        <v>#REF!</v>
      </c>
      <c r="H12" s="2"/>
      <c r="I12" s="1"/>
      <c r="J12" s="2"/>
    </row>
    <row r="13" spans="2:10" x14ac:dyDescent="0.25">
      <c r="B13" s="1"/>
      <c r="H13" s="2"/>
      <c r="I13" s="257"/>
      <c r="J13" s="258"/>
    </row>
    <row r="14" spans="2:10" x14ac:dyDescent="0.25">
      <c r="B14" s="1"/>
      <c r="H14" s="2"/>
      <c r="I14" s="1"/>
      <c r="J14" s="2"/>
    </row>
    <row r="15" spans="2:10" x14ac:dyDescent="0.25">
      <c r="B15" s="1"/>
      <c r="H15" s="2"/>
      <c r="I15" s="1"/>
      <c r="J15" s="2"/>
    </row>
    <row r="16" spans="2:10" ht="15.75" thickBot="1" x14ac:dyDescent="0.3">
      <c r="B16" s="1"/>
      <c r="H16" s="2"/>
      <c r="I16" s="79"/>
      <c r="J16" s="82"/>
    </row>
    <row r="17" spans="2:10" ht="15.75" thickBot="1" x14ac:dyDescent="0.3">
      <c r="B17" s="247" t="s">
        <v>210</v>
      </c>
      <c r="C17" s="248"/>
      <c r="D17" s="248"/>
      <c r="E17" s="248"/>
      <c r="F17" s="248"/>
      <c r="G17" s="249" t="e">
        <f>PRORRATEO!#REF!</f>
        <v>#REF!</v>
      </c>
      <c r="H17" s="250"/>
      <c r="I17" s="71"/>
      <c r="J17" s="81"/>
    </row>
    <row r="19" spans="2:10" ht="15.75" thickBot="1" x14ac:dyDescent="0.3"/>
    <row r="20" spans="2:10" ht="15.75" thickBot="1" x14ac:dyDescent="0.3">
      <c r="B20" s="259" t="s">
        <v>209</v>
      </c>
      <c r="C20" s="260"/>
      <c r="D20" s="260"/>
      <c r="E20" s="260"/>
      <c r="F20" s="260"/>
      <c r="G20" s="260"/>
      <c r="H20" s="261"/>
      <c r="I20" s="69"/>
      <c r="J20" s="70"/>
    </row>
    <row r="21" spans="2:10" ht="15.75" thickBot="1" x14ac:dyDescent="0.3">
      <c r="B21" s="251" t="s">
        <v>120</v>
      </c>
      <c r="C21" s="252"/>
      <c r="D21" s="252"/>
      <c r="E21" s="252"/>
      <c r="F21" s="252"/>
      <c r="G21" s="252"/>
      <c r="H21" s="253"/>
      <c r="I21" s="1"/>
      <c r="J21" s="2"/>
    </row>
    <row r="22" spans="2:10" x14ac:dyDescent="0.25">
      <c r="B22" s="69" t="s">
        <v>216</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4" t="s">
        <v>212</v>
      </c>
      <c r="C25" s="255"/>
      <c r="D25" s="255"/>
      <c r="E25" s="255"/>
      <c r="F25" s="255"/>
      <c r="G25" s="255"/>
      <c r="H25" s="256"/>
      <c r="I25" s="1"/>
      <c r="J25" s="2"/>
    </row>
    <row r="26" spans="2:10" x14ac:dyDescent="0.25">
      <c r="B26" s="74"/>
      <c r="C26" s="72"/>
      <c r="D26" s="72"/>
      <c r="H26" s="2"/>
      <c r="I26" s="1"/>
      <c r="J26" s="2"/>
    </row>
    <row r="27" spans="2:10" x14ac:dyDescent="0.25">
      <c r="B27" s="1" t="s">
        <v>208</v>
      </c>
      <c r="E27" t="e">
        <f>PRORRATEO!#REF!</f>
        <v>#REF!</v>
      </c>
      <c r="H27" s="2"/>
      <c r="I27" s="257" t="s">
        <v>213</v>
      </c>
      <c r="J27" s="258"/>
    </row>
    <row r="28" spans="2:10" x14ac:dyDescent="0.25">
      <c r="B28" s="1" t="s">
        <v>207</v>
      </c>
      <c r="C28" s="72" t="e">
        <f>PRORRATEO!#REF!</f>
        <v>#REF!</v>
      </c>
      <c r="D28" s="73" t="s">
        <v>211</v>
      </c>
      <c r="E28" s="72" t="e">
        <f>PRORRATEO!#REF!</f>
        <v>#REF!</v>
      </c>
      <c r="H28" s="2"/>
      <c r="I28" s="1"/>
      <c r="J28" s="2"/>
    </row>
    <row r="29" spans="2:10" x14ac:dyDescent="0.25">
      <c r="B29" s="1"/>
      <c r="H29" s="2"/>
      <c r="I29" s="257"/>
      <c r="J29" s="258"/>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7" t="s">
        <v>210</v>
      </c>
      <c r="C33" s="248"/>
      <c r="D33" s="248"/>
      <c r="E33" s="248"/>
      <c r="F33" s="248"/>
      <c r="G33" s="249" t="e">
        <f>PRORRATEO!#REF!</f>
        <v>#REF!</v>
      </c>
      <c r="H33" s="250"/>
      <c r="I33" s="71"/>
      <c r="J33" s="81"/>
    </row>
    <row r="34" spans="2:10" ht="12" customHeight="1" x14ac:dyDescent="0.25"/>
    <row r="35" spans="2:10" hidden="1" x14ac:dyDescent="0.25"/>
    <row r="36" spans="2:10" ht="15.75" thickBot="1" x14ac:dyDescent="0.3"/>
    <row r="37" spans="2:10" ht="15.75" thickBot="1" x14ac:dyDescent="0.3">
      <c r="B37" s="259" t="s">
        <v>209</v>
      </c>
      <c r="C37" s="260"/>
      <c r="D37" s="260"/>
      <c r="E37" s="260"/>
      <c r="F37" s="260"/>
      <c r="G37" s="260"/>
      <c r="H37" s="261"/>
      <c r="I37" s="69"/>
      <c r="J37" s="70"/>
    </row>
    <row r="38" spans="2:10" ht="15.75" thickBot="1" x14ac:dyDescent="0.3">
      <c r="B38" s="251" t="s">
        <v>120</v>
      </c>
      <c r="C38" s="252"/>
      <c r="D38" s="252"/>
      <c r="E38" s="252"/>
      <c r="F38" s="252"/>
      <c r="G38" s="252"/>
      <c r="H38" s="253"/>
      <c r="I38" s="1"/>
      <c r="J38" s="2"/>
    </row>
    <row r="39" spans="2:10" x14ac:dyDescent="0.25">
      <c r="B39" s="69" t="s">
        <v>216</v>
      </c>
      <c r="C39" s="80"/>
      <c r="D39" s="80"/>
      <c r="E39" s="80"/>
      <c r="G39" t="s">
        <v>39</v>
      </c>
      <c r="H39" s="2"/>
      <c r="I39" s="1"/>
      <c r="J39" s="2"/>
    </row>
    <row r="40" spans="2:10" x14ac:dyDescent="0.25">
      <c r="B40" s="74" t="s">
        <v>214</v>
      </c>
      <c r="C40" s="72"/>
      <c r="D40" s="72"/>
      <c r="H40" s="2"/>
      <c r="I40" s="1"/>
      <c r="J40" s="2"/>
    </row>
    <row r="41" spans="2:10" x14ac:dyDescent="0.25">
      <c r="B41" s="75"/>
      <c r="C41" s="76"/>
      <c r="D41" s="76"/>
      <c r="E41" s="77"/>
      <c r="F41" s="77"/>
      <c r="G41" s="77"/>
      <c r="H41" s="78"/>
      <c r="I41" s="1"/>
      <c r="J41" s="2"/>
    </row>
    <row r="42" spans="2:10" x14ac:dyDescent="0.25">
      <c r="B42" s="254" t="s">
        <v>212</v>
      </c>
      <c r="C42" s="255"/>
      <c r="D42" s="255"/>
      <c r="E42" s="255"/>
      <c r="F42" s="255"/>
      <c r="G42" s="255"/>
      <c r="H42" s="256"/>
      <c r="I42" s="1"/>
      <c r="J42" s="2"/>
    </row>
    <row r="43" spans="2:10" x14ac:dyDescent="0.25">
      <c r="B43" s="74"/>
      <c r="C43" s="72"/>
      <c r="D43" s="72"/>
      <c r="H43" s="2"/>
      <c r="I43" s="1"/>
      <c r="J43" s="2"/>
    </row>
    <row r="44" spans="2:10" x14ac:dyDescent="0.25">
      <c r="B44" s="1" t="s">
        <v>208</v>
      </c>
      <c r="E44" t="e">
        <f>PRORRATEO!#REF!</f>
        <v>#REF!</v>
      </c>
      <c r="H44" s="2"/>
      <c r="I44" s="257" t="s">
        <v>213</v>
      </c>
      <c r="J44" s="258"/>
    </row>
    <row r="45" spans="2:10" x14ac:dyDescent="0.25">
      <c r="B45" s="1" t="s">
        <v>207</v>
      </c>
      <c r="C45" s="72" t="e">
        <f>PRORRATEO!#REF!</f>
        <v>#REF!</v>
      </c>
      <c r="D45" s="73" t="s">
        <v>211</v>
      </c>
      <c r="E45" s="72" t="e">
        <f>PRORRATEO!#REF!</f>
        <v>#REF!</v>
      </c>
      <c r="H45" s="2"/>
      <c r="I45" s="1"/>
      <c r="J45" s="2"/>
    </row>
    <row r="46" spans="2:10" x14ac:dyDescent="0.25">
      <c r="B46" s="1"/>
      <c r="H46" s="2"/>
      <c r="I46" s="257"/>
      <c r="J46" s="258"/>
    </row>
    <row r="47" spans="2:10" x14ac:dyDescent="0.25">
      <c r="B47" s="1"/>
      <c r="H47" s="2"/>
      <c r="I47" s="1"/>
      <c r="J47" s="2"/>
    </row>
    <row r="48" spans="2:10" x14ac:dyDescent="0.25">
      <c r="B48" s="1"/>
      <c r="H48" s="2"/>
      <c r="I48" s="1"/>
      <c r="J48" s="2"/>
    </row>
    <row r="49" spans="2:10" ht="15.75" thickBot="1" x14ac:dyDescent="0.3">
      <c r="B49" s="1"/>
      <c r="H49" s="2"/>
      <c r="I49" s="79"/>
      <c r="J49" s="82"/>
    </row>
    <row r="50" spans="2:10" ht="15.75" thickBot="1" x14ac:dyDescent="0.3">
      <c r="B50" s="247" t="s">
        <v>210</v>
      </c>
      <c r="C50" s="248"/>
      <c r="D50" s="248"/>
      <c r="E50" s="248"/>
      <c r="F50" s="248"/>
      <c r="G50" s="249" t="e">
        <f>PRORRATEO!#REF!</f>
        <v>#REF!</v>
      </c>
      <c r="H50" s="250"/>
      <c r="I50" s="71"/>
      <c r="J50" s="81"/>
    </row>
    <row r="53" spans="2:10" ht="15.75" thickBot="1" x14ac:dyDescent="0.3"/>
    <row r="54" spans="2:10" ht="15.75" thickBot="1" x14ac:dyDescent="0.3">
      <c r="B54" s="259" t="s">
        <v>209</v>
      </c>
      <c r="C54" s="260"/>
      <c r="D54" s="260"/>
      <c r="E54" s="260"/>
      <c r="F54" s="260"/>
      <c r="G54" s="260"/>
      <c r="H54" s="261"/>
      <c r="I54" s="69"/>
      <c r="J54" s="70"/>
    </row>
    <row r="55" spans="2:10" ht="15.75" thickBot="1" x14ac:dyDescent="0.3">
      <c r="B55" s="251" t="s">
        <v>120</v>
      </c>
      <c r="C55" s="252"/>
      <c r="D55" s="252"/>
      <c r="E55" s="252"/>
      <c r="F55" s="252"/>
      <c r="G55" s="252"/>
      <c r="H55" s="253"/>
      <c r="I55" s="1"/>
      <c r="J55" s="2"/>
    </row>
    <row r="56" spans="2:10" x14ac:dyDescent="0.25">
      <c r="B56" s="69" t="s">
        <v>216</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54" t="s">
        <v>212</v>
      </c>
      <c r="C59" s="255"/>
      <c r="D59" s="255"/>
      <c r="E59" s="255"/>
      <c r="F59" s="255"/>
      <c r="G59" s="255"/>
      <c r="H59" s="256"/>
      <c r="I59" s="1"/>
      <c r="J59" s="2"/>
    </row>
    <row r="60" spans="2:10" x14ac:dyDescent="0.25">
      <c r="B60" s="74"/>
      <c r="C60" s="72"/>
      <c r="D60" s="72"/>
      <c r="H60" s="2"/>
      <c r="I60" s="1"/>
      <c r="J60" s="2"/>
    </row>
    <row r="61" spans="2:10" x14ac:dyDescent="0.25">
      <c r="B61" s="1" t="s">
        <v>208</v>
      </c>
      <c r="E61" t="e">
        <f>PRORRATEO!#REF!</f>
        <v>#REF!</v>
      </c>
      <c r="H61" s="2"/>
      <c r="I61" s="257" t="s">
        <v>213</v>
      </c>
      <c r="J61" s="258"/>
    </row>
    <row r="62" spans="2:10" x14ac:dyDescent="0.25">
      <c r="B62" s="1" t="s">
        <v>207</v>
      </c>
      <c r="C62" s="72" t="e">
        <f>PRORRATEO!#REF!</f>
        <v>#REF!</v>
      </c>
      <c r="D62" s="73" t="s">
        <v>211</v>
      </c>
      <c r="E62" s="72" t="e">
        <f>PRORRATEO!#REF!</f>
        <v>#REF!</v>
      </c>
      <c r="H62" s="2"/>
      <c r="I62" s="1"/>
      <c r="J62" s="2"/>
    </row>
    <row r="63" spans="2:10" x14ac:dyDescent="0.25">
      <c r="B63" s="1"/>
      <c r="H63" s="2"/>
      <c r="I63" s="257"/>
      <c r="J63" s="258"/>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47" t="s">
        <v>210</v>
      </c>
      <c r="C67" s="248"/>
      <c r="D67" s="248"/>
      <c r="E67" s="248"/>
      <c r="F67" s="248"/>
      <c r="G67" s="249" t="e">
        <f>PRORRATEO!#REF!</f>
        <v>#REF!</v>
      </c>
      <c r="H67" s="250"/>
      <c r="I67" s="71"/>
      <c r="J67" s="81"/>
    </row>
    <row r="70" spans="2:10" ht="15.75" thickBot="1" x14ac:dyDescent="0.3"/>
    <row r="71" spans="2:10" ht="15.75" thickBot="1" x14ac:dyDescent="0.3">
      <c r="B71" s="259" t="s">
        <v>209</v>
      </c>
      <c r="C71" s="260"/>
      <c r="D71" s="260"/>
      <c r="E71" s="260"/>
      <c r="F71" s="260"/>
      <c r="G71" s="260"/>
      <c r="H71" s="261"/>
      <c r="I71" s="69"/>
      <c r="J71" s="70"/>
    </row>
    <row r="72" spans="2:10" ht="15.75" thickBot="1" x14ac:dyDescent="0.3">
      <c r="B72" s="251" t="s">
        <v>120</v>
      </c>
      <c r="C72" s="252"/>
      <c r="D72" s="252"/>
      <c r="E72" s="252"/>
      <c r="F72" s="252"/>
      <c r="G72" s="252"/>
      <c r="H72" s="253"/>
      <c r="I72" s="1"/>
      <c r="J72" s="2"/>
    </row>
    <row r="73" spans="2:10" x14ac:dyDescent="0.25">
      <c r="B73" s="69" t="s">
        <v>216</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54" t="s">
        <v>212</v>
      </c>
      <c r="C76" s="255"/>
      <c r="D76" s="255"/>
      <c r="E76" s="255"/>
      <c r="F76" s="255"/>
      <c r="G76" s="255"/>
      <c r="H76" s="256"/>
      <c r="I76" s="1"/>
      <c r="J76" s="2"/>
    </row>
    <row r="77" spans="2:10" x14ac:dyDescent="0.25">
      <c r="B77" s="74"/>
      <c r="C77" s="72"/>
      <c r="D77" s="72"/>
      <c r="H77" s="2"/>
      <c r="I77" s="1"/>
      <c r="J77" s="2"/>
    </row>
    <row r="78" spans="2:10" x14ac:dyDescent="0.25">
      <c r="B78" s="1" t="s">
        <v>208</v>
      </c>
      <c r="E78" t="e">
        <f>PRORRATEO!#REF!</f>
        <v>#REF!</v>
      </c>
      <c r="H78" s="2"/>
      <c r="I78" s="257" t="s">
        <v>213</v>
      </c>
      <c r="J78" s="258"/>
    </row>
    <row r="79" spans="2:10" x14ac:dyDescent="0.25">
      <c r="B79" s="1" t="s">
        <v>207</v>
      </c>
      <c r="C79" s="72" t="e">
        <f>PRORRATEO!#REF!</f>
        <v>#REF!</v>
      </c>
      <c r="D79" s="73" t="s">
        <v>211</v>
      </c>
      <c r="E79" s="72" t="e">
        <f>PRORRATEO!#REF!</f>
        <v>#REF!</v>
      </c>
      <c r="H79" s="2"/>
      <c r="I79" s="1"/>
      <c r="J79" s="2"/>
    </row>
    <row r="80" spans="2:10" x14ac:dyDescent="0.25">
      <c r="B80" s="1"/>
      <c r="H80" s="2"/>
      <c r="I80" s="257"/>
      <c r="J80" s="258"/>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47" t="s">
        <v>210</v>
      </c>
      <c r="C84" s="248"/>
      <c r="D84" s="248"/>
      <c r="E84" s="248"/>
      <c r="F84" s="248"/>
      <c r="G84" s="249" t="e">
        <f>PRORRATEO!#REF!</f>
        <v>#REF!</v>
      </c>
      <c r="H84" s="250"/>
      <c r="I84" s="71"/>
      <c r="J84" s="81"/>
    </row>
    <row r="86" spans="2:10" ht="201" customHeight="1" x14ac:dyDescent="0.25"/>
    <row r="88" spans="2:10" ht="15.75" thickBot="1" x14ac:dyDescent="0.3"/>
    <row r="89" spans="2:10" ht="15.75" thickBot="1" x14ac:dyDescent="0.3">
      <c r="B89" s="259" t="s">
        <v>209</v>
      </c>
      <c r="C89" s="260"/>
      <c r="D89" s="260"/>
      <c r="E89" s="260"/>
      <c r="F89" s="260"/>
      <c r="G89" s="260"/>
      <c r="H89" s="261"/>
      <c r="I89" s="69"/>
      <c r="J89" s="70"/>
    </row>
    <row r="90" spans="2:10" ht="15.75" thickBot="1" x14ac:dyDescent="0.3">
      <c r="B90" s="251" t="s">
        <v>120</v>
      </c>
      <c r="C90" s="252"/>
      <c r="D90" s="252"/>
      <c r="E90" s="252"/>
      <c r="F90" s="252"/>
      <c r="G90" s="252"/>
      <c r="H90" s="253"/>
      <c r="I90" s="1"/>
      <c r="J90" s="2"/>
    </row>
    <row r="91" spans="2:10" x14ac:dyDescent="0.25">
      <c r="B91" s="69" t="s">
        <v>216</v>
      </c>
      <c r="C91" s="80"/>
      <c r="D91" s="80"/>
      <c r="E91" s="80"/>
      <c r="G91" t="s">
        <v>39</v>
      </c>
      <c r="H91" s="2"/>
      <c r="I91" s="1"/>
      <c r="J91" s="2"/>
    </row>
    <row r="92" spans="2:10" x14ac:dyDescent="0.25">
      <c r="B92" s="74" t="s">
        <v>214</v>
      </c>
      <c r="C92" s="72"/>
      <c r="D92" s="72"/>
      <c r="H92" s="2"/>
      <c r="I92" s="1"/>
      <c r="J92" s="2"/>
    </row>
    <row r="93" spans="2:10" x14ac:dyDescent="0.25">
      <c r="B93" s="75"/>
      <c r="C93" s="76"/>
      <c r="D93" s="76"/>
      <c r="E93" s="77"/>
      <c r="F93" s="77"/>
      <c r="G93" s="77"/>
      <c r="H93" s="78"/>
      <c r="I93" s="1"/>
      <c r="J93" s="2"/>
    </row>
    <row r="94" spans="2:10" x14ac:dyDescent="0.25">
      <c r="B94" s="254" t="s">
        <v>212</v>
      </c>
      <c r="C94" s="255"/>
      <c r="D94" s="255"/>
      <c r="E94" s="255"/>
      <c r="F94" s="255"/>
      <c r="G94" s="255"/>
      <c r="H94" s="256"/>
      <c r="I94" s="1"/>
      <c r="J94" s="2"/>
    </row>
    <row r="95" spans="2:10" x14ac:dyDescent="0.25">
      <c r="B95" s="74"/>
      <c r="C95" s="72"/>
      <c r="D95" s="72"/>
      <c r="H95" s="2"/>
      <c r="I95" s="1"/>
      <c r="J95" s="2"/>
    </row>
    <row r="96" spans="2:10" x14ac:dyDescent="0.25">
      <c r="B96" s="1" t="s">
        <v>208</v>
      </c>
      <c r="E96" t="e">
        <f>PRORRATEO!#REF!</f>
        <v>#REF!</v>
      </c>
      <c r="H96" s="2"/>
      <c r="I96" s="257" t="s">
        <v>213</v>
      </c>
      <c r="J96" s="258"/>
    </row>
    <row r="97" spans="2:10" x14ac:dyDescent="0.25">
      <c r="B97" s="1" t="s">
        <v>207</v>
      </c>
      <c r="C97" s="72" t="e">
        <f>PRORRATEO!#REF!</f>
        <v>#REF!</v>
      </c>
      <c r="D97" s="73" t="s">
        <v>211</v>
      </c>
      <c r="E97" s="72" t="e">
        <f>PRORRATEO!#REF!</f>
        <v>#REF!</v>
      </c>
      <c r="H97" s="2"/>
      <c r="I97" s="1"/>
      <c r="J97" s="2"/>
    </row>
    <row r="98" spans="2:10" x14ac:dyDescent="0.25">
      <c r="B98" s="1"/>
      <c r="H98" s="2"/>
      <c r="I98" s="257"/>
      <c r="J98" s="258"/>
    </row>
    <row r="99" spans="2:10" x14ac:dyDescent="0.25">
      <c r="B99" s="1"/>
      <c r="H99" s="2"/>
      <c r="I99" s="1"/>
      <c r="J99" s="2"/>
    </row>
    <row r="100" spans="2:10" x14ac:dyDescent="0.25">
      <c r="B100" s="1"/>
      <c r="H100" s="2"/>
      <c r="I100" s="1"/>
      <c r="J100" s="2"/>
    </row>
    <row r="101" spans="2:10" ht="15.75" thickBot="1" x14ac:dyDescent="0.3">
      <c r="B101" s="1"/>
      <c r="H101" s="2"/>
      <c r="I101" s="79"/>
      <c r="J101" s="82"/>
    </row>
    <row r="102" spans="2:10" ht="15.75" thickBot="1" x14ac:dyDescent="0.3">
      <c r="B102" s="247" t="s">
        <v>210</v>
      </c>
      <c r="C102" s="248"/>
      <c r="D102" s="248"/>
      <c r="E102" s="248"/>
      <c r="F102" s="248"/>
      <c r="G102" s="249" t="e">
        <f>PRORRATEO!#REF!</f>
        <v>#REF!</v>
      </c>
      <c r="H102" s="250"/>
      <c r="I102" s="71"/>
      <c r="J102" s="81"/>
    </row>
    <row r="106" spans="2:10" ht="15.75" thickBot="1" x14ac:dyDescent="0.3"/>
    <row r="107" spans="2:10" ht="15.75" thickBot="1" x14ac:dyDescent="0.3">
      <c r="B107" s="259" t="s">
        <v>209</v>
      </c>
      <c r="C107" s="260"/>
      <c r="D107" s="260"/>
      <c r="E107" s="260"/>
      <c r="F107" s="260"/>
      <c r="G107" s="260"/>
      <c r="H107" s="261"/>
      <c r="I107" s="69"/>
      <c r="J107" s="70"/>
    </row>
    <row r="108" spans="2:10" ht="15.75" thickBot="1" x14ac:dyDescent="0.3">
      <c r="B108" s="251" t="s">
        <v>120</v>
      </c>
      <c r="C108" s="252"/>
      <c r="D108" s="252"/>
      <c r="E108" s="252"/>
      <c r="F108" s="252"/>
      <c r="G108" s="252"/>
      <c r="H108" s="253"/>
      <c r="I108" s="1"/>
      <c r="J108" s="2"/>
    </row>
    <row r="109" spans="2:10" x14ac:dyDescent="0.25">
      <c r="B109" s="69" t="s">
        <v>216</v>
      </c>
      <c r="C109" s="80"/>
      <c r="D109" s="80"/>
      <c r="E109" s="80"/>
      <c r="G109" t="s">
        <v>39</v>
      </c>
      <c r="H109" s="2"/>
      <c r="I109" s="1"/>
      <c r="J109" s="2"/>
    </row>
    <row r="110" spans="2:10" x14ac:dyDescent="0.25">
      <c r="B110" s="74" t="s">
        <v>214</v>
      </c>
      <c r="C110" s="72"/>
      <c r="D110" s="72"/>
      <c r="H110" s="2"/>
      <c r="I110" s="1"/>
      <c r="J110" s="2"/>
    </row>
    <row r="111" spans="2:10" x14ac:dyDescent="0.25">
      <c r="B111" s="75"/>
      <c r="C111" s="76"/>
      <c r="D111" s="76"/>
      <c r="E111" s="77"/>
      <c r="F111" s="77"/>
      <c r="G111" s="77"/>
      <c r="H111" s="78"/>
      <c r="I111" s="1"/>
      <c r="J111" s="2"/>
    </row>
    <row r="112" spans="2:10" x14ac:dyDescent="0.25">
      <c r="B112" s="254" t="s">
        <v>212</v>
      </c>
      <c r="C112" s="255"/>
      <c r="D112" s="255"/>
      <c r="E112" s="255"/>
      <c r="F112" s="255"/>
      <c r="G112" s="255"/>
      <c r="H112" s="256"/>
      <c r="I112" s="1"/>
      <c r="J112" s="2"/>
    </row>
    <row r="113" spans="2:10" x14ac:dyDescent="0.25">
      <c r="B113" s="74"/>
      <c r="C113" s="72"/>
      <c r="D113" s="72"/>
      <c r="H113" s="2"/>
      <c r="I113" s="1"/>
      <c r="J113" s="2"/>
    </row>
    <row r="114" spans="2:10" x14ac:dyDescent="0.25">
      <c r="B114" s="1" t="s">
        <v>208</v>
      </c>
      <c r="E114" t="e">
        <f>PRORRATEO!#REF!</f>
        <v>#REF!</v>
      </c>
      <c r="H114" s="2"/>
      <c r="I114" s="257" t="s">
        <v>213</v>
      </c>
      <c r="J114" s="258"/>
    </row>
    <row r="115" spans="2:10" x14ac:dyDescent="0.25">
      <c r="B115" s="1" t="s">
        <v>207</v>
      </c>
      <c r="C115" s="72" t="e">
        <f>PRORRATEO!#REF!</f>
        <v>#REF!</v>
      </c>
      <c r="D115" s="73" t="s">
        <v>211</v>
      </c>
      <c r="E115" s="72" t="e">
        <f>PRORRATEO!#REF!</f>
        <v>#REF!</v>
      </c>
      <c r="H115" s="2"/>
      <c r="I115" s="1"/>
      <c r="J115" s="2"/>
    </row>
    <row r="116" spans="2:10" x14ac:dyDescent="0.25">
      <c r="B116" s="1"/>
      <c r="H116" s="2"/>
      <c r="I116" s="257"/>
      <c r="J116" s="258"/>
    </row>
    <row r="117" spans="2:10" x14ac:dyDescent="0.25">
      <c r="B117" s="1"/>
      <c r="H117" s="2"/>
      <c r="I117" s="1"/>
      <c r="J117" s="2"/>
    </row>
    <row r="118" spans="2:10" x14ac:dyDescent="0.25">
      <c r="B118" s="1"/>
      <c r="H118" s="2"/>
      <c r="I118" s="1"/>
      <c r="J118" s="2"/>
    </row>
    <row r="119" spans="2:10" ht="15.75" thickBot="1" x14ac:dyDescent="0.3">
      <c r="B119" s="1"/>
      <c r="H119" s="2"/>
      <c r="I119" s="79"/>
      <c r="J119" s="82"/>
    </row>
    <row r="120" spans="2:10" ht="15.75" thickBot="1" x14ac:dyDescent="0.3">
      <c r="B120" s="247" t="s">
        <v>210</v>
      </c>
      <c r="C120" s="248"/>
      <c r="D120" s="248"/>
      <c r="E120" s="248"/>
      <c r="F120" s="248"/>
      <c r="G120" s="249" t="e">
        <f>PRORRATEO!#REF!</f>
        <v>#REF!</v>
      </c>
      <c r="H120" s="250"/>
      <c r="I120" s="71"/>
      <c r="J120" s="81"/>
    </row>
    <row r="121" spans="2:10" ht="7.5" customHeight="1" x14ac:dyDescent="0.25"/>
    <row r="122" spans="2:10" hidden="1" x14ac:dyDescent="0.25"/>
    <row r="124" spans="2:10" ht="3" customHeight="1" thickBot="1" x14ac:dyDescent="0.3"/>
    <row r="125" spans="2:10" ht="15.75" thickBot="1" x14ac:dyDescent="0.3">
      <c r="B125" s="259" t="s">
        <v>209</v>
      </c>
      <c r="C125" s="260"/>
      <c r="D125" s="260"/>
      <c r="E125" s="260"/>
      <c r="F125" s="260"/>
      <c r="G125" s="260"/>
      <c r="H125" s="261"/>
      <c r="I125" s="69"/>
      <c r="J125" s="70"/>
    </row>
    <row r="126" spans="2:10" ht="15.75" thickBot="1" x14ac:dyDescent="0.3">
      <c r="B126" s="251" t="s">
        <v>120</v>
      </c>
      <c r="C126" s="252"/>
      <c r="D126" s="252"/>
      <c r="E126" s="252"/>
      <c r="F126" s="252"/>
      <c r="G126" s="252"/>
      <c r="H126" s="253"/>
      <c r="I126" s="1"/>
      <c r="J126" s="2"/>
    </row>
    <row r="127" spans="2:10" x14ac:dyDescent="0.25">
      <c r="B127" s="69" t="s">
        <v>216</v>
      </c>
      <c r="C127" s="80"/>
      <c r="D127" s="80"/>
      <c r="E127" s="80"/>
      <c r="G127" t="s">
        <v>39</v>
      </c>
      <c r="H127" s="2"/>
      <c r="I127" s="1"/>
      <c r="J127" s="2"/>
    </row>
    <row r="128" spans="2:10" x14ac:dyDescent="0.25">
      <c r="B128" s="74" t="s">
        <v>214</v>
      </c>
      <c r="C128" s="72"/>
      <c r="D128" s="72"/>
      <c r="H128" s="2"/>
      <c r="I128" s="1"/>
      <c r="J128" s="2"/>
    </row>
    <row r="129" spans="2:10" x14ac:dyDescent="0.25">
      <c r="B129" s="75"/>
      <c r="C129" s="76"/>
      <c r="D129" s="76"/>
      <c r="E129" s="77"/>
      <c r="F129" s="77"/>
      <c r="G129" s="77"/>
      <c r="H129" s="78"/>
      <c r="I129" s="1"/>
      <c r="J129" s="2"/>
    </row>
    <row r="130" spans="2:10" x14ac:dyDescent="0.25">
      <c r="B130" s="254" t="s">
        <v>212</v>
      </c>
      <c r="C130" s="255"/>
      <c r="D130" s="255"/>
      <c r="E130" s="255"/>
      <c r="F130" s="255"/>
      <c r="G130" s="255"/>
      <c r="H130" s="256"/>
      <c r="I130" s="1"/>
      <c r="J130" s="2"/>
    </row>
    <row r="131" spans="2:10" x14ac:dyDescent="0.25">
      <c r="B131" s="74"/>
      <c r="C131" s="72"/>
      <c r="D131" s="72"/>
      <c r="H131" s="2"/>
      <c r="I131" s="1"/>
      <c r="J131" s="2"/>
    </row>
    <row r="132" spans="2:10" x14ac:dyDescent="0.25">
      <c r="B132" s="1" t="s">
        <v>208</v>
      </c>
      <c r="E132" t="e">
        <f>PRORRATEO!#REF!</f>
        <v>#REF!</v>
      </c>
      <c r="H132" s="2"/>
      <c r="I132" s="257" t="s">
        <v>213</v>
      </c>
      <c r="J132" s="258"/>
    </row>
    <row r="133" spans="2:10" x14ac:dyDescent="0.25">
      <c r="B133" s="1" t="s">
        <v>207</v>
      </c>
      <c r="C133" s="72" t="e">
        <f>PRORRATEO!#REF!</f>
        <v>#REF!</v>
      </c>
      <c r="D133" s="73" t="s">
        <v>211</v>
      </c>
      <c r="E133" s="72" t="e">
        <f>PRORRATEO!#REF!</f>
        <v>#REF!</v>
      </c>
      <c r="H133" s="2"/>
      <c r="I133" s="1"/>
      <c r="J133" s="2"/>
    </row>
    <row r="134" spans="2:10" x14ac:dyDescent="0.25">
      <c r="B134" s="1"/>
      <c r="H134" s="2"/>
      <c r="I134" s="257"/>
      <c r="J134" s="258"/>
    </row>
    <row r="135" spans="2:10" x14ac:dyDescent="0.25">
      <c r="B135" s="1"/>
      <c r="H135" s="2"/>
      <c r="I135" s="1"/>
      <c r="J135" s="2"/>
    </row>
    <row r="136" spans="2:10" x14ac:dyDescent="0.25">
      <c r="B136" s="1"/>
      <c r="H136" s="2"/>
      <c r="I136" s="1"/>
      <c r="J136" s="2"/>
    </row>
    <row r="137" spans="2:10" ht="15.75" thickBot="1" x14ac:dyDescent="0.3">
      <c r="B137" s="1"/>
      <c r="H137" s="2"/>
      <c r="I137" s="79"/>
      <c r="J137" s="82"/>
    </row>
    <row r="138" spans="2:10" ht="15.75" thickBot="1" x14ac:dyDescent="0.3">
      <c r="B138" s="247" t="s">
        <v>210</v>
      </c>
      <c r="C138" s="248"/>
      <c r="D138" s="248"/>
      <c r="E138" s="248"/>
      <c r="F138" s="248"/>
      <c r="G138" s="249" t="e">
        <f>PRORRATEO!#REF!</f>
        <v>#REF!</v>
      </c>
      <c r="H138" s="250"/>
      <c r="I138" s="71"/>
      <c r="J138" s="81"/>
    </row>
    <row r="141" spans="2:10" ht="15.75" thickBot="1" x14ac:dyDescent="0.3"/>
    <row r="142" spans="2:10" ht="15.75" thickBot="1" x14ac:dyDescent="0.3">
      <c r="B142" s="259" t="s">
        <v>209</v>
      </c>
      <c r="C142" s="260"/>
      <c r="D142" s="260"/>
      <c r="E142" s="260"/>
      <c r="F142" s="260"/>
      <c r="G142" s="260"/>
      <c r="H142" s="261"/>
      <c r="I142" s="69"/>
      <c r="J142" s="70"/>
    </row>
    <row r="143" spans="2:10" ht="15.75" thickBot="1" x14ac:dyDescent="0.3">
      <c r="B143" s="251" t="s">
        <v>120</v>
      </c>
      <c r="C143" s="252"/>
      <c r="D143" s="252"/>
      <c r="E143" s="252"/>
      <c r="F143" s="252"/>
      <c r="G143" s="252"/>
      <c r="H143" s="253"/>
      <c r="I143" s="1"/>
      <c r="J143" s="2"/>
    </row>
    <row r="144" spans="2:10" x14ac:dyDescent="0.25">
      <c r="B144" s="69" t="s">
        <v>216</v>
      </c>
      <c r="C144" s="80"/>
      <c r="D144" s="80"/>
      <c r="E144" s="80"/>
      <c r="G144" t="s">
        <v>39</v>
      </c>
      <c r="H144" s="2"/>
      <c r="I144" s="1"/>
      <c r="J144" s="2"/>
    </row>
    <row r="145" spans="2:10" x14ac:dyDescent="0.25">
      <c r="B145" s="74" t="s">
        <v>214</v>
      </c>
      <c r="C145" s="72"/>
      <c r="D145" s="72"/>
      <c r="H145" s="2"/>
      <c r="I145" s="1"/>
      <c r="J145" s="2"/>
    </row>
    <row r="146" spans="2:10" x14ac:dyDescent="0.25">
      <c r="B146" s="75"/>
      <c r="C146" s="76"/>
      <c r="D146" s="76"/>
      <c r="E146" s="77"/>
      <c r="F146" s="77"/>
      <c r="G146" s="77"/>
      <c r="H146" s="78"/>
      <c r="I146" s="1"/>
      <c r="J146" s="2"/>
    </row>
    <row r="147" spans="2:10" x14ac:dyDescent="0.25">
      <c r="B147" s="254" t="s">
        <v>212</v>
      </c>
      <c r="C147" s="255"/>
      <c r="D147" s="255"/>
      <c r="E147" s="255"/>
      <c r="F147" s="255"/>
      <c r="G147" s="255"/>
      <c r="H147" s="256"/>
      <c r="I147" s="1"/>
      <c r="J147" s="2"/>
    </row>
    <row r="148" spans="2:10" x14ac:dyDescent="0.25">
      <c r="B148" s="74"/>
      <c r="C148" s="72"/>
      <c r="D148" s="72"/>
      <c r="H148" s="2"/>
      <c r="I148" s="1"/>
      <c r="J148" s="2"/>
    </row>
    <row r="149" spans="2:10" x14ac:dyDescent="0.25">
      <c r="B149" s="1" t="s">
        <v>208</v>
      </c>
      <c r="E149" t="e">
        <f>PRORRATEO!#REF!</f>
        <v>#REF!</v>
      </c>
      <c r="H149" s="2"/>
      <c r="I149" s="257" t="s">
        <v>213</v>
      </c>
      <c r="J149" s="258"/>
    </row>
    <row r="150" spans="2:10" x14ac:dyDescent="0.25">
      <c r="B150" s="1" t="s">
        <v>207</v>
      </c>
      <c r="C150" s="72" t="e">
        <f>PRORRATEO!#REF!</f>
        <v>#REF!</v>
      </c>
      <c r="D150" s="73" t="s">
        <v>211</v>
      </c>
      <c r="E150" s="72" t="e">
        <f>PRORRATEO!#REF!</f>
        <v>#REF!</v>
      </c>
      <c r="H150" s="2"/>
      <c r="I150" s="1"/>
      <c r="J150" s="2"/>
    </row>
    <row r="151" spans="2:10" x14ac:dyDescent="0.25">
      <c r="B151" s="1"/>
      <c r="H151" s="2"/>
      <c r="I151" s="257"/>
      <c r="J151" s="258"/>
    </row>
    <row r="152" spans="2:10" x14ac:dyDescent="0.25">
      <c r="B152" s="1"/>
      <c r="H152" s="2"/>
      <c r="I152" s="1"/>
      <c r="J152" s="2"/>
    </row>
    <row r="153" spans="2:10" x14ac:dyDescent="0.25">
      <c r="B153" s="1"/>
      <c r="H153" s="2"/>
      <c r="I153" s="1"/>
      <c r="J153" s="2"/>
    </row>
    <row r="154" spans="2:10" ht="15.75" thickBot="1" x14ac:dyDescent="0.3">
      <c r="B154" s="1"/>
      <c r="H154" s="2"/>
      <c r="I154" s="79"/>
      <c r="J154" s="82"/>
    </row>
    <row r="155" spans="2:10" ht="15.75" thickBot="1" x14ac:dyDescent="0.3">
      <c r="B155" s="247" t="s">
        <v>210</v>
      </c>
      <c r="C155" s="248"/>
      <c r="D155" s="248"/>
      <c r="E155" s="248"/>
      <c r="F155" s="248"/>
      <c r="G155" s="249" t="e">
        <f>PRORRATEO!#REF!</f>
        <v>#REF!</v>
      </c>
      <c r="H155" s="250"/>
      <c r="I155" s="71"/>
      <c r="J155" s="81"/>
    </row>
    <row r="159" spans="2:10" ht="15.75" thickBot="1" x14ac:dyDescent="0.3"/>
    <row r="160" spans="2:10" ht="15.75" thickBot="1" x14ac:dyDescent="0.3">
      <c r="B160" s="259" t="s">
        <v>209</v>
      </c>
      <c r="C160" s="260"/>
      <c r="D160" s="260"/>
      <c r="E160" s="260"/>
      <c r="F160" s="260"/>
      <c r="G160" s="260"/>
      <c r="H160" s="261"/>
      <c r="I160" s="69"/>
      <c r="J160" s="70"/>
    </row>
    <row r="161" spans="2:10" ht="15.75" thickBot="1" x14ac:dyDescent="0.3">
      <c r="B161" s="251" t="s">
        <v>120</v>
      </c>
      <c r="C161" s="252"/>
      <c r="D161" s="252"/>
      <c r="E161" s="252"/>
      <c r="F161" s="252"/>
      <c r="G161" s="252"/>
      <c r="H161" s="253"/>
      <c r="I161" s="1"/>
      <c r="J161" s="2"/>
    </row>
    <row r="162" spans="2:10" x14ac:dyDescent="0.25">
      <c r="B162" s="69" t="s">
        <v>216</v>
      </c>
      <c r="C162" s="80"/>
      <c r="D162" s="80"/>
      <c r="E162" s="80"/>
      <c r="G162" t="s">
        <v>39</v>
      </c>
      <c r="H162" s="2"/>
      <c r="I162" s="1"/>
      <c r="J162" s="2"/>
    </row>
    <row r="163" spans="2:10" x14ac:dyDescent="0.25">
      <c r="B163" s="74" t="s">
        <v>214</v>
      </c>
      <c r="C163" s="72"/>
      <c r="D163" s="72"/>
      <c r="H163" s="2"/>
      <c r="I163" s="1"/>
      <c r="J163" s="2"/>
    </row>
    <row r="164" spans="2:10" x14ac:dyDescent="0.25">
      <c r="B164" s="75"/>
      <c r="C164" s="76"/>
      <c r="D164" s="76"/>
      <c r="E164" s="77"/>
      <c r="F164" s="77"/>
      <c r="G164" s="77"/>
      <c r="H164" s="78"/>
      <c r="I164" s="1"/>
      <c r="J164" s="2"/>
    </row>
    <row r="165" spans="2:10" x14ac:dyDescent="0.25">
      <c r="B165" s="254" t="s">
        <v>212</v>
      </c>
      <c r="C165" s="255"/>
      <c r="D165" s="255"/>
      <c r="E165" s="255"/>
      <c r="F165" s="255"/>
      <c r="G165" s="255"/>
      <c r="H165" s="256"/>
      <c r="I165" s="1"/>
      <c r="J165" s="2"/>
    </row>
    <row r="166" spans="2:10" x14ac:dyDescent="0.25">
      <c r="B166" s="74"/>
      <c r="C166" s="72"/>
      <c r="D166" s="72"/>
      <c r="H166" s="2"/>
      <c r="I166" s="1"/>
      <c r="J166" s="2"/>
    </row>
    <row r="167" spans="2:10" x14ac:dyDescent="0.25">
      <c r="B167" s="1" t="s">
        <v>208</v>
      </c>
      <c r="E167" t="e">
        <f>PRORRATEO!#REF!</f>
        <v>#REF!</v>
      </c>
      <c r="H167" s="2"/>
      <c r="I167" s="257" t="s">
        <v>213</v>
      </c>
      <c r="J167" s="258"/>
    </row>
    <row r="168" spans="2:10" x14ac:dyDescent="0.25">
      <c r="B168" s="1" t="s">
        <v>207</v>
      </c>
      <c r="C168" s="72" t="e">
        <f>PRORRATEO!#REF!</f>
        <v>#REF!</v>
      </c>
      <c r="D168" s="73" t="s">
        <v>211</v>
      </c>
      <c r="E168" s="72" t="e">
        <f>PRORRATEO!#REF!</f>
        <v>#REF!</v>
      </c>
      <c r="H168" s="2"/>
      <c r="I168" s="1"/>
      <c r="J168" s="2"/>
    </row>
    <row r="169" spans="2:10" x14ac:dyDescent="0.25">
      <c r="B169" s="1"/>
      <c r="H169" s="2"/>
      <c r="I169" s="257"/>
      <c r="J169" s="258"/>
    </row>
    <row r="170" spans="2:10" x14ac:dyDescent="0.25">
      <c r="B170" s="1"/>
      <c r="H170" s="2"/>
      <c r="I170" s="1"/>
      <c r="J170" s="2"/>
    </row>
    <row r="171" spans="2:10" x14ac:dyDescent="0.25">
      <c r="B171" s="1"/>
      <c r="H171" s="2"/>
      <c r="I171" s="1"/>
      <c r="J171" s="2"/>
    </row>
    <row r="172" spans="2:10" ht="15.75" thickBot="1" x14ac:dyDescent="0.3">
      <c r="B172" s="1"/>
      <c r="H172" s="2"/>
      <c r="I172" s="79"/>
      <c r="J172" s="82"/>
    </row>
    <row r="173" spans="2:10" ht="15.75" thickBot="1" x14ac:dyDescent="0.3">
      <c r="B173" s="247" t="s">
        <v>210</v>
      </c>
      <c r="C173" s="248"/>
      <c r="D173" s="248"/>
      <c r="E173" s="248"/>
      <c r="F173" s="248"/>
      <c r="G173" s="249" t="e">
        <f>PRORRATEO!#REF!</f>
        <v>#REF!</v>
      </c>
      <c r="H173" s="250"/>
      <c r="I173" s="71"/>
      <c r="J173" s="81"/>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59" t="s">
        <v>209</v>
      </c>
      <c r="C3" s="260"/>
      <c r="D3" s="260"/>
      <c r="E3" s="260"/>
      <c r="F3" s="260"/>
      <c r="G3" s="260"/>
      <c r="H3" s="261"/>
      <c r="I3" s="69"/>
      <c r="J3" s="70"/>
    </row>
    <row r="4" spans="2:10" ht="15.75" thickBot="1" x14ac:dyDescent="0.3">
      <c r="B4" s="251" t="s">
        <v>120</v>
      </c>
      <c r="C4" s="252"/>
      <c r="D4" s="252"/>
      <c r="E4" s="252"/>
      <c r="F4" s="252"/>
      <c r="G4" s="252"/>
      <c r="H4" s="253"/>
      <c r="I4" s="1"/>
      <c r="J4" s="2"/>
    </row>
    <row r="5" spans="2:10" x14ac:dyDescent="0.25">
      <c r="B5" s="69" t="s">
        <v>217</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4" t="s">
        <v>212</v>
      </c>
      <c r="C8" s="255"/>
      <c r="D8" s="255"/>
      <c r="E8" s="255"/>
      <c r="F8" s="255"/>
      <c r="G8" s="255"/>
      <c r="H8" s="256"/>
      <c r="I8" s="1"/>
      <c r="J8" s="2"/>
    </row>
    <row r="9" spans="2:10" x14ac:dyDescent="0.25">
      <c r="B9" s="74"/>
      <c r="C9" s="72"/>
      <c r="D9" s="72"/>
      <c r="H9" s="2"/>
      <c r="I9" s="1"/>
      <c r="J9" s="2"/>
    </row>
    <row r="10" spans="2:10" x14ac:dyDescent="0.25">
      <c r="B10" s="1" t="s">
        <v>208</v>
      </c>
      <c r="E10" t="e">
        <f>PRORRATEO!#REF!</f>
        <v>#REF!</v>
      </c>
      <c r="H10" s="2"/>
      <c r="I10" s="257" t="s">
        <v>213</v>
      </c>
      <c r="J10" s="258"/>
    </row>
    <row r="11" spans="2:10" x14ac:dyDescent="0.25">
      <c r="B11" s="1" t="s">
        <v>207</v>
      </c>
      <c r="C11" s="72" t="e">
        <f>PRORRATEO!#REF!</f>
        <v>#REF!</v>
      </c>
      <c r="D11" s="73" t="s">
        <v>211</v>
      </c>
      <c r="E11" s="72" t="e">
        <f>PRORRATEO!#REF!</f>
        <v>#REF!</v>
      </c>
      <c r="H11" s="2"/>
      <c r="I11" s="1"/>
      <c r="J11" s="2"/>
    </row>
    <row r="12" spans="2:10" x14ac:dyDescent="0.25">
      <c r="B12" s="1"/>
      <c r="H12" s="2"/>
      <c r="I12" s="257"/>
      <c r="J12" s="258"/>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7" t="s">
        <v>210</v>
      </c>
      <c r="C16" s="248"/>
      <c r="D16" s="248"/>
      <c r="E16" s="248"/>
      <c r="F16" s="248"/>
      <c r="G16" s="249" t="e">
        <f>PRORRATEO!#REF!</f>
        <v>#REF!</v>
      </c>
      <c r="H16" s="250"/>
      <c r="I16" s="71"/>
      <c r="J16" s="81"/>
    </row>
    <row r="19" spans="2:10" ht="15.75" thickBot="1" x14ac:dyDescent="0.3"/>
    <row r="20" spans="2:10" ht="15.75" thickBot="1" x14ac:dyDescent="0.3">
      <c r="B20" s="259" t="s">
        <v>209</v>
      </c>
      <c r="C20" s="260"/>
      <c r="D20" s="260"/>
      <c r="E20" s="260"/>
      <c r="F20" s="260"/>
      <c r="G20" s="260"/>
      <c r="H20" s="261"/>
      <c r="I20" s="69"/>
      <c r="J20" s="70"/>
    </row>
    <row r="21" spans="2:10" ht="15.75" thickBot="1" x14ac:dyDescent="0.3">
      <c r="B21" s="251" t="s">
        <v>120</v>
      </c>
      <c r="C21" s="252"/>
      <c r="D21" s="252"/>
      <c r="E21" s="252"/>
      <c r="F21" s="252"/>
      <c r="G21" s="252"/>
      <c r="H21" s="253"/>
      <c r="I21" s="1"/>
      <c r="J21" s="2"/>
    </row>
    <row r="22" spans="2:10" x14ac:dyDescent="0.25">
      <c r="B22" s="69" t="s">
        <v>217</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4" t="s">
        <v>212</v>
      </c>
      <c r="C25" s="255"/>
      <c r="D25" s="255"/>
      <c r="E25" s="255"/>
      <c r="F25" s="255"/>
      <c r="G25" s="255"/>
      <c r="H25" s="256"/>
      <c r="I25" s="1"/>
      <c r="J25" s="2"/>
    </row>
    <row r="26" spans="2:10" x14ac:dyDescent="0.25">
      <c r="B26" s="74"/>
      <c r="C26" s="72"/>
      <c r="D26" s="72"/>
      <c r="H26" s="2"/>
      <c r="I26" s="1"/>
      <c r="J26" s="2"/>
    </row>
    <row r="27" spans="2:10" x14ac:dyDescent="0.25">
      <c r="B27" s="1" t="s">
        <v>208</v>
      </c>
      <c r="E27" t="e">
        <f>PRORRATEO!#REF!</f>
        <v>#REF!</v>
      </c>
      <c r="H27" s="2"/>
      <c r="I27" s="257" t="s">
        <v>213</v>
      </c>
      <c r="J27" s="258"/>
    </row>
    <row r="28" spans="2:10" x14ac:dyDescent="0.25">
      <c r="B28" s="1" t="s">
        <v>207</v>
      </c>
      <c r="C28" s="72" t="e">
        <f>PRORRATEO!#REF!</f>
        <v>#REF!</v>
      </c>
      <c r="D28" s="73" t="s">
        <v>211</v>
      </c>
      <c r="E28" s="72" t="e">
        <f>PRORRATEO!#REF!</f>
        <v>#REF!</v>
      </c>
      <c r="H28" s="2"/>
      <c r="I28" s="1"/>
      <c r="J28" s="2"/>
    </row>
    <row r="29" spans="2:10" x14ac:dyDescent="0.25">
      <c r="B29" s="1"/>
      <c r="H29" s="2"/>
      <c r="I29" s="257"/>
      <c r="J29" s="258"/>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7" t="s">
        <v>210</v>
      </c>
      <c r="C33" s="248"/>
      <c r="D33" s="248"/>
      <c r="E33" s="248"/>
      <c r="F33" s="248"/>
      <c r="G33" s="249" t="e">
        <f>PRORRATEO!#REF!</f>
        <v>#REF!</v>
      </c>
      <c r="H33" s="250"/>
      <c r="I33" s="71"/>
      <c r="J33" s="81"/>
    </row>
    <row r="35" spans="2:10" ht="1.5" customHeight="1" x14ac:dyDescent="0.25"/>
    <row r="36" spans="2:10" hidden="1" x14ac:dyDescent="0.25"/>
    <row r="37" spans="2:10" ht="15.75" thickBot="1" x14ac:dyDescent="0.3"/>
    <row r="38" spans="2:10" ht="15.75" thickBot="1" x14ac:dyDescent="0.3">
      <c r="B38" s="259" t="s">
        <v>209</v>
      </c>
      <c r="C38" s="260"/>
      <c r="D38" s="260"/>
      <c r="E38" s="260"/>
      <c r="F38" s="260"/>
      <c r="G38" s="260"/>
      <c r="H38" s="261"/>
      <c r="I38" s="69"/>
      <c r="J38" s="70"/>
    </row>
    <row r="39" spans="2:10" ht="15.75" thickBot="1" x14ac:dyDescent="0.3">
      <c r="B39" s="251" t="s">
        <v>120</v>
      </c>
      <c r="C39" s="252"/>
      <c r="D39" s="252"/>
      <c r="E39" s="252"/>
      <c r="F39" s="252"/>
      <c r="G39" s="252"/>
      <c r="H39" s="253"/>
      <c r="I39" s="1"/>
      <c r="J39" s="2"/>
    </row>
    <row r="40" spans="2:10" x14ac:dyDescent="0.25">
      <c r="B40" s="69" t="s">
        <v>217</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4" t="s">
        <v>212</v>
      </c>
      <c r="C43" s="255"/>
      <c r="D43" s="255"/>
      <c r="E43" s="255"/>
      <c r="F43" s="255"/>
      <c r="G43" s="255"/>
      <c r="H43" s="256"/>
      <c r="I43" s="1"/>
      <c r="J43" s="2"/>
    </row>
    <row r="44" spans="2:10" x14ac:dyDescent="0.25">
      <c r="B44" s="74"/>
      <c r="C44" s="72"/>
      <c r="D44" s="72"/>
      <c r="H44" s="2"/>
      <c r="I44" s="1"/>
      <c r="J44" s="2"/>
    </row>
    <row r="45" spans="2:10" x14ac:dyDescent="0.25">
      <c r="B45" s="1" t="s">
        <v>208</v>
      </c>
      <c r="E45" t="e">
        <f>PRORRATEO!#REF!</f>
        <v>#REF!</v>
      </c>
      <c r="H45" s="2"/>
      <c r="I45" s="257" t="s">
        <v>213</v>
      </c>
      <c r="J45" s="258"/>
    </row>
    <row r="46" spans="2:10" x14ac:dyDescent="0.25">
      <c r="B46" s="1" t="s">
        <v>207</v>
      </c>
      <c r="C46" s="72" t="e">
        <f>PRORRATEO!#REF!</f>
        <v>#REF!</v>
      </c>
      <c r="D46" s="73" t="s">
        <v>211</v>
      </c>
      <c r="E46" s="72" t="e">
        <f>PRORRATEO!#REF!</f>
        <v>#REF!</v>
      </c>
      <c r="H46" s="2"/>
      <c r="I46" s="1"/>
      <c r="J46" s="2"/>
    </row>
    <row r="47" spans="2:10" x14ac:dyDescent="0.25">
      <c r="B47" s="1"/>
      <c r="H47" s="2"/>
      <c r="I47" s="257"/>
      <c r="J47" s="258"/>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7" t="s">
        <v>210</v>
      </c>
      <c r="C51" s="248"/>
      <c r="D51" s="248"/>
      <c r="E51" s="248"/>
      <c r="F51" s="248"/>
      <c r="G51" s="249" t="e">
        <f>PRORRATEO!#REF!</f>
        <v>#REF!</v>
      </c>
      <c r="H51" s="250"/>
      <c r="I51" s="71"/>
      <c r="J51" s="81"/>
    </row>
    <row r="55" spans="2:10" ht="15.75" thickBot="1" x14ac:dyDescent="0.3"/>
    <row r="56" spans="2:10" ht="15.75" thickBot="1" x14ac:dyDescent="0.3">
      <c r="B56" s="259" t="s">
        <v>209</v>
      </c>
      <c r="C56" s="260"/>
      <c r="D56" s="260"/>
      <c r="E56" s="260"/>
      <c r="F56" s="260"/>
      <c r="G56" s="260"/>
      <c r="H56" s="261"/>
      <c r="I56" s="69"/>
      <c r="J56" s="70"/>
    </row>
    <row r="57" spans="2:10" ht="15.75" thickBot="1" x14ac:dyDescent="0.3">
      <c r="B57" s="251" t="s">
        <v>120</v>
      </c>
      <c r="C57" s="252"/>
      <c r="D57" s="252"/>
      <c r="E57" s="252"/>
      <c r="F57" s="252"/>
      <c r="G57" s="252"/>
      <c r="H57" s="253"/>
      <c r="I57" s="1"/>
      <c r="J57" s="2"/>
    </row>
    <row r="58" spans="2:10" x14ac:dyDescent="0.25">
      <c r="B58" s="69" t="s">
        <v>217</v>
      </c>
      <c r="C58" s="80"/>
      <c r="D58" s="80"/>
      <c r="E58" s="80"/>
      <c r="G58" t="s">
        <v>39</v>
      </c>
      <c r="H58" s="2"/>
      <c r="I58" s="1"/>
      <c r="J58" s="2"/>
    </row>
    <row r="59" spans="2:10" x14ac:dyDescent="0.25">
      <c r="B59" s="74" t="s">
        <v>214</v>
      </c>
      <c r="C59" s="72"/>
      <c r="D59" s="72"/>
      <c r="H59" s="2"/>
      <c r="I59" s="1"/>
      <c r="J59" s="2"/>
    </row>
    <row r="60" spans="2:10" x14ac:dyDescent="0.25">
      <c r="B60" s="75"/>
      <c r="C60" s="76"/>
      <c r="D60" s="76"/>
      <c r="E60" s="77"/>
      <c r="F60" s="77"/>
      <c r="G60" s="77"/>
      <c r="H60" s="78"/>
      <c r="I60" s="1"/>
      <c r="J60" s="2"/>
    </row>
    <row r="61" spans="2:10" x14ac:dyDescent="0.25">
      <c r="B61" s="254" t="s">
        <v>212</v>
      </c>
      <c r="C61" s="255"/>
      <c r="D61" s="255"/>
      <c r="E61" s="255"/>
      <c r="F61" s="255"/>
      <c r="G61" s="255"/>
      <c r="H61" s="256"/>
      <c r="I61" s="1"/>
      <c r="J61" s="2"/>
    </row>
    <row r="62" spans="2:10" x14ac:dyDescent="0.25">
      <c r="B62" s="74"/>
      <c r="C62" s="72"/>
      <c r="D62" s="72"/>
      <c r="H62" s="2"/>
      <c r="I62" s="1"/>
      <c r="J62" s="2"/>
    </row>
    <row r="63" spans="2:10" x14ac:dyDescent="0.25">
      <c r="B63" s="1" t="s">
        <v>208</v>
      </c>
      <c r="E63" t="e">
        <f>PRORRATEO!#REF!</f>
        <v>#REF!</v>
      </c>
      <c r="H63" s="2"/>
      <c r="I63" s="257" t="s">
        <v>213</v>
      </c>
      <c r="J63" s="258"/>
    </row>
    <row r="64" spans="2:10" x14ac:dyDescent="0.25">
      <c r="B64" s="1" t="s">
        <v>207</v>
      </c>
      <c r="C64" s="72" t="e">
        <f>PRORRATEO!#REF!</f>
        <v>#REF!</v>
      </c>
      <c r="D64" s="73" t="s">
        <v>211</v>
      </c>
      <c r="E64" s="72" t="e">
        <f>PRORRATEO!#REF!</f>
        <v>#REF!</v>
      </c>
      <c r="H64" s="2"/>
      <c r="I64" s="1"/>
      <c r="J64" s="2"/>
    </row>
    <row r="65" spans="2:10" x14ac:dyDescent="0.25">
      <c r="B65" s="1"/>
      <c r="H65" s="2"/>
      <c r="I65" s="257"/>
      <c r="J65" s="258"/>
    </row>
    <row r="66" spans="2:10" x14ac:dyDescent="0.25">
      <c r="B66" s="1"/>
      <c r="H66" s="2"/>
      <c r="I66" s="1"/>
      <c r="J66" s="2"/>
    </row>
    <row r="67" spans="2:10" x14ac:dyDescent="0.25">
      <c r="B67" s="1"/>
      <c r="H67" s="2"/>
      <c r="I67" s="1"/>
      <c r="J67" s="2"/>
    </row>
    <row r="68" spans="2:10" ht="15.75" thickBot="1" x14ac:dyDescent="0.3">
      <c r="B68" s="1"/>
      <c r="H68" s="2"/>
      <c r="I68" s="79"/>
      <c r="J68" s="82"/>
    </row>
    <row r="69" spans="2:10" ht="15.75" thickBot="1" x14ac:dyDescent="0.3">
      <c r="B69" s="247" t="s">
        <v>210</v>
      </c>
      <c r="C69" s="248"/>
      <c r="D69" s="248"/>
      <c r="E69" s="248"/>
      <c r="F69" s="248"/>
      <c r="G69" s="249" t="e">
        <f>PRORRATEO!#REF!</f>
        <v>#REF!</v>
      </c>
      <c r="H69" s="250"/>
      <c r="I69" s="71"/>
      <c r="J69" s="81"/>
    </row>
    <row r="72" spans="2:10" ht="15.75" thickBot="1" x14ac:dyDescent="0.3"/>
    <row r="73" spans="2:10" ht="15.75" thickBot="1" x14ac:dyDescent="0.3">
      <c r="B73" s="259" t="s">
        <v>209</v>
      </c>
      <c r="C73" s="260"/>
      <c r="D73" s="260"/>
      <c r="E73" s="260"/>
      <c r="F73" s="260"/>
      <c r="G73" s="260"/>
      <c r="H73" s="261"/>
      <c r="I73" s="69"/>
      <c r="J73" s="70"/>
    </row>
    <row r="74" spans="2:10" ht="15.75" thickBot="1" x14ac:dyDescent="0.3">
      <c r="B74" s="251" t="s">
        <v>120</v>
      </c>
      <c r="C74" s="252"/>
      <c r="D74" s="252"/>
      <c r="E74" s="252"/>
      <c r="F74" s="252"/>
      <c r="G74" s="252"/>
      <c r="H74" s="253"/>
      <c r="I74" s="1"/>
      <c r="J74" s="2"/>
    </row>
    <row r="75" spans="2:10" x14ac:dyDescent="0.25">
      <c r="B75" s="69" t="s">
        <v>217</v>
      </c>
      <c r="C75" s="80"/>
      <c r="D75" s="80"/>
      <c r="E75" s="80"/>
      <c r="G75" t="s">
        <v>39</v>
      </c>
      <c r="H75" s="2"/>
      <c r="I75" s="1"/>
      <c r="J75" s="2"/>
    </row>
    <row r="76" spans="2:10" x14ac:dyDescent="0.25">
      <c r="B76" s="74" t="s">
        <v>214</v>
      </c>
      <c r="C76" s="72"/>
      <c r="D76" s="72"/>
      <c r="H76" s="2"/>
      <c r="I76" s="1"/>
      <c r="J76" s="2"/>
    </row>
    <row r="77" spans="2:10" x14ac:dyDescent="0.25">
      <c r="B77" s="75"/>
      <c r="C77" s="76"/>
      <c r="D77" s="76"/>
      <c r="E77" s="77"/>
      <c r="F77" s="77"/>
      <c r="G77" s="77"/>
      <c r="H77" s="78"/>
      <c r="I77" s="1"/>
      <c r="J77" s="2"/>
    </row>
    <row r="78" spans="2:10" x14ac:dyDescent="0.25">
      <c r="B78" s="254" t="s">
        <v>212</v>
      </c>
      <c r="C78" s="255"/>
      <c r="D78" s="255"/>
      <c r="E78" s="255"/>
      <c r="F78" s="255"/>
      <c r="G78" s="255"/>
      <c r="H78" s="256"/>
      <c r="I78" s="1"/>
      <c r="J78" s="2"/>
    </row>
    <row r="79" spans="2:10" x14ac:dyDescent="0.25">
      <c r="B79" s="74"/>
      <c r="C79" s="72"/>
      <c r="D79" s="72"/>
      <c r="H79" s="2"/>
      <c r="I79" s="1"/>
      <c r="J79" s="2"/>
    </row>
    <row r="80" spans="2:10" x14ac:dyDescent="0.25">
      <c r="B80" s="1" t="s">
        <v>208</v>
      </c>
      <c r="E80" t="e">
        <f>PRORRATEO!#REF!</f>
        <v>#REF!</v>
      </c>
      <c r="H80" s="2"/>
      <c r="I80" s="257" t="s">
        <v>213</v>
      </c>
      <c r="J80" s="258"/>
    </row>
    <row r="81" spans="2:10" x14ac:dyDescent="0.25">
      <c r="B81" s="1" t="s">
        <v>207</v>
      </c>
      <c r="C81" s="72" t="e">
        <f>PRORRATEO!#REF!</f>
        <v>#REF!</v>
      </c>
      <c r="D81" s="73" t="s">
        <v>211</v>
      </c>
      <c r="E81" s="72" t="e">
        <f>PRORRATEO!#REF!</f>
        <v>#REF!</v>
      </c>
      <c r="H81" s="2"/>
      <c r="I81" s="1"/>
      <c r="J81" s="2"/>
    </row>
    <row r="82" spans="2:10" x14ac:dyDescent="0.25">
      <c r="B82" s="1"/>
      <c r="H82" s="2"/>
      <c r="I82" s="257"/>
      <c r="J82" s="258"/>
    </row>
    <row r="83" spans="2:10" x14ac:dyDescent="0.25">
      <c r="B83" s="1"/>
      <c r="H83" s="2"/>
      <c r="I83" s="1"/>
      <c r="J83" s="2"/>
    </row>
    <row r="84" spans="2:10" x14ac:dyDescent="0.25">
      <c r="B84" s="1"/>
      <c r="H84" s="2"/>
      <c r="I84" s="1"/>
      <c r="J84" s="2"/>
    </row>
    <row r="85" spans="2:10" ht="15.75" thickBot="1" x14ac:dyDescent="0.3">
      <c r="B85" s="1"/>
      <c r="H85" s="2"/>
      <c r="I85" s="79"/>
      <c r="J85" s="82"/>
    </row>
    <row r="86" spans="2:10" ht="15.75" thickBot="1" x14ac:dyDescent="0.3">
      <c r="B86" s="247" t="s">
        <v>210</v>
      </c>
      <c r="C86" s="248"/>
      <c r="D86" s="248"/>
      <c r="E86" s="248"/>
      <c r="F86" s="248"/>
      <c r="G86" s="249" t="e">
        <f>PRORRATEO!#REF!</f>
        <v>#REF!</v>
      </c>
      <c r="H86" s="250"/>
      <c r="I86" s="71"/>
      <c r="J86" s="81"/>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59" t="s">
        <v>209</v>
      </c>
      <c r="C91" s="260"/>
      <c r="D91" s="260"/>
      <c r="E91" s="260"/>
      <c r="F91" s="260"/>
      <c r="G91" s="260"/>
      <c r="H91" s="261"/>
      <c r="I91" s="69"/>
      <c r="J91" s="70"/>
    </row>
    <row r="92" spans="2:10" ht="15.75" thickBot="1" x14ac:dyDescent="0.3">
      <c r="B92" s="251" t="s">
        <v>120</v>
      </c>
      <c r="C92" s="252"/>
      <c r="D92" s="252"/>
      <c r="E92" s="252"/>
      <c r="F92" s="252"/>
      <c r="G92" s="252"/>
      <c r="H92" s="253"/>
      <c r="I92" s="1"/>
      <c r="J92" s="2"/>
    </row>
    <row r="93" spans="2:10" x14ac:dyDescent="0.25">
      <c r="B93" s="69" t="s">
        <v>217</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4" t="s">
        <v>212</v>
      </c>
      <c r="C96" s="255"/>
      <c r="D96" s="255"/>
      <c r="E96" s="255"/>
      <c r="F96" s="255"/>
      <c r="G96" s="255"/>
      <c r="H96" s="256"/>
      <c r="I96" s="1"/>
      <c r="J96" s="2"/>
    </row>
    <row r="97" spans="2:10" x14ac:dyDescent="0.25">
      <c r="B97" s="74"/>
      <c r="C97" s="72"/>
      <c r="D97" s="72"/>
      <c r="H97" s="2"/>
      <c r="I97" s="1"/>
      <c r="J97" s="2"/>
    </row>
    <row r="98" spans="2:10" x14ac:dyDescent="0.25">
      <c r="B98" s="1" t="s">
        <v>208</v>
      </c>
      <c r="E98" t="e">
        <f>PRORRATEO!#REF!</f>
        <v>#REF!</v>
      </c>
      <c r="H98" s="2"/>
      <c r="I98" s="257" t="s">
        <v>213</v>
      </c>
      <c r="J98" s="258"/>
    </row>
    <row r="99" spans="2:10" x14ac:dyDescent="0.25">
      <c r="B99" s="1" t="s">
        <v>207</v>
      </c>
      <c r="C99" s="72" t="e">
        <f>PRORRATEO!#REF!</f>
        <v>#REF!</v>
      </c>
      <c r="D99" s="73" t="s">
        <v>211</v>
      </c>
      <c r="E99" s="72" t="e">
        <f>PRORRATEO!#REF!</f>
        <v>#REF!</v>
      </c>
      <c r="H99" s="2"/>
      <c r="I99" s="1"/>
      <c r="J99" s="2"/>
    </row>
    <row r="100" spans="2:10" x14ac:dyDescent="0.25">
      <c r="B100" s="1"/>
      <c r="H100" s="2"/>
      <c r="I100" s="257"/>
      <c r="J100" s="258"/>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7" t="s">
        <v>210</v>
      </c>
      <c r="C104" s="248"/>
      <c r="D104" s="248"/>
      <c r="E104" s="248"/>
      <c r="F104" s="248"/>
      <c r="G104" s="249" t="e">
        <f>PRORRATEO!#REF!</f>
        <v>#REF!</v>
      </c>
      <c r="H104" s="250"/>
      <c r="I104" s="71"/>
      <c r="J104" s="81"/>
    </row>
    <row r="107" spans="2:10" ht="15.75" thickBot="1" x14ac:dyDescent="0.3"/>
    <row r="108" spans="2:10" ht="15.75" thickBot="1" x14ac:dyDescent="0.3">
      <c r="B108" s="259" t="s">
        <v>209</v>
      </c>
      <c r="C108" s="260"/>
      <c r="D108" s="260"/>
      <c r="E108" s="260"/>
      <c r="F108" s="260"/>
      <c r="G108" s="260"/>
      <c r="H108" s="261"/>
      <c r="I108" s="69"/>
      <c r="J108" s="70"/>
    </row>
    <row r="109" spans="2:10" ht="15.75" thickBot="1" x14ac:dyDescent="0.3">
      <c r="B109" s="251" t="s">
        <v>120</v>
      </c>
      <c r="C109" s="252"/>
      <c r="D109" s="252"/>
      <c r="E109" s="252"/>
      <c r="F109" s="252"/>
      <c r="G109" s="252"/>
      <c r="H109" s="253"/>
      <c r="I109" s="1"/>
      <c r="J109" s="2"/>
    </row>
    <row r="110" spans="2:10" x14ac:dyDescent="0.25">
      <c r="B110" s="69" t="s">
        <v>217</v>
      </c>
      <c r="C110" s="80"/>
      <c r="D110" s="80"/>
      <c r="E110" s="80"/>
      <c r="G110" t="s">
        <v>39</v>
      </c>
      <c r="H110" s="2"/>
      <c r="I110" s="1"/>
      <c r="J110" s="2"/>
    </row>
    <row r="111" spans="2:10" x14ac:dyDescent="0.25">
      <c r="B111" s="74" t="s">
        <v>214</v>
      </c>
      <c r="C111" s="72"/>
      <c r="D111" s="72"/>
      <c r="H111" s="2"/>
      <c r="I111" s="1"/>
      <c r="J111" s="2"/>
    </row>
    <row r="112" spans="2:10" x14ac:dyDescent="0.25">
      <c r="B112" s="75"/>
      <c r="C112" s="76"/>
      <c r="D112" s="76"/>
      <c r="E112" s="77"/>
      <c r="F112" s="77"/>
      <c r="G112" s="77"/>
      <c r="H112" s="78"/>
      <c r="I112" s="1"/>
      <c r="J112" s="2"/>
    </row>
    <row r="113" spans="2:10" x14ac:dyDescent="0.25">
      <c r="B113" s="254" t="s">
        <v>212</v>
      </c>
      <c r="C113" s="255"/>
      <c r="D113" s="255"/>
      <c r="E113" s="255"/>
      <c r="F113" s="255"/>
      <c r="G113" s="255"/>
      <c r="H113" s="256"/>
      <c r="I113" s="1"/>
      <c r="J113" s="2"/>
    </row>
    <row r="114" spans="2:10" x14ac:dyDescent="0.25">
      <c r="B114" s="74"/>
      <c r="C114" s="72"/>
      <c r="D114" s="72"/>
      <c r="H114" s="2"/>
      <c r="I114" s="1"/>
      <c r="J114" s="2"/>
    </row>
    <row r="115" spans="2:10" x14ac:dyDescent="0.25">
      <c r="B115" s="1" t="s">
        <v>208</v>
      </c>
      <c r="E115" t="e">
        <f>PRORRATEO!#REF!</f>
        <v>#REF!</v>
      </c>
      <c r="H115" s="2"/>
      <c r="I115" s="257" t="s">
        <v>213</v>
      </c>
      <c r="J115" s="258"/>
    </row>
    <row r="116" spans="2:10" x14ac:dyDescent="0.25">
      <c r="B116" s="1" t="s">
        <v>207</v>
      </c>
      <c r="C116" s="72" t="e">
        <f>PRORRATEO!#REF!</f>
        <v>#REF!</v>
      </c>
      <c r="D116" s="73" t="s">
        <v>211</v>
      </c>
      <c r="E116" s="72" t="e">
        <f>PRORRATEO!#REF!</f>
        <v>#REF!</v>
      </c>
      <c r="H116" s="2"/>
      <c r="I116" s="1"/>
      <c r="J116" s="2"/>
    </row>
    <row r="117" spans="2:10" x14ac:dyDescent="0.25">
      <c r="B117" s="1"/>
      <c r="H117" s="2"/>
      <c r="I117" s="257"/>
      <c r="J117" s="258"/>
    </row>
    <row r="118" spans="2:10" x14ac:dyDescent="0.25">
      <c r="B118" s="1"/>
      <c r="H118" s="2"/>
      <c r="I118" s="1"/>
      <c r="J118" s="2"/>
    </row>
    <row r="119" spans="2:10" x14ac:dyDescent="0.25">
      <c r="B119" s="1"/>
      <c r="H119" s="2"/>
      <c r="I119" s="1"/>
      <c r="J119" s="2"/>
    </row>
    <row r="120" spans="2:10" ht="15.75" thickBot="1" x14ac:dyDescent="0.3">
      <c r="B120" s="1"/>
      <c r="H120" s="2"/>
      <c r="I120" s="79"/>
      <c r="J120" s="82"/>
    </row>
    <row r="121" spans="2:10" ht="15.75" thickBot="1" x14ac:dyDescent="0.3">
      <c r="B121" s="247" t="s">
        <v>210</v>
      </c>
      <c r="C121" s="248"/>
      <c r="D121" s="248"/>
      <c r="E121" s="248"/>
      <c r="F121" s="248"/>
      <c r="G121" s="249" t="e">
        <f>PRORRATEO!#REF!</f>
        <v>#REF!</v>
      </c>
      <c r="H121" s="250"/>
      <c r="I121" s="71"/>
      <c r="J121" s="81"/>
    </row>
    <row r="124" spans="2:10" ht="15.75" thickBot="1" x14ac:dyDescent="0.3"/>
    <row r="125" spans="2:10" ht="15.75" thickBot="1" x14ac:dyDescent="0.3">
      <c r="B125" s="259" t="s">
        <v>209</v>
      </c>
      <c r="C125" s="260"/>
      <c r="D125" s="260"/>
      <c r="E125" s="260"/>
      <c r="F125" s="260"/>
      <c r="G125" s="260"/>
      <c r="H125" s="261"/>
      <c r="I125" s="69"/>
      <c r="J125" s="70"/>
    </row>
    <row r="126" spans="2:10" ht="15.75" thickBot="1" x14ac:dyDescent="0.3">
      <c r="B126" s="251" t="s">
        <v>120</v>
      </c>
      <c r="C126" s="252"/>
      <c r="D126" s="252"/>
      <c r="E126" s="252"/>
      <c r="F126" s="252"/>
      <c r="G126" s="252"/>
      <c r="H126" s="253"/>
      <c r="I126" s="1"/>
      <c r="J126" s="2"/>
    </row>
    <row r="127" spans="2:10" x14ac:dyDescent="0.25">
      <c r="B127" s="69" t="s">
        <v>217</v>
      </c>
      <c r="C127" s="80"/>
      <c r="D127" s="80"/>
      <c r="E127" s="80"/>
      <c r="G127" t="s">
        <v>39</v>
      </c>
      <c r="H127" s="2"/>
      <c r="I127" s="1"/>
      <c r="J127" s="2"/>
    </row>
    <row r="128" spans="2:10" x14ac:dyDescent="0.25">
      <c r="B128" s="74" t="s">
        <v>214</v>
      </c>
      <c r="C128" s="72"/>
      <c r="D128" s="72"/>
      <c r="H128" s="2"/>
      <c r="I128" s="1"/>
      <c r="J128" s="2"/>
    </row>
    <row r="129" spans="2:10" x14ac:dyDescent="0.25">
      <c r="B129" s="75"/>
      <c r="C129" s="76"/>
      <c r="D129" s="76"/>
      <c r="E129" s="77"/>
      <c r="F129" s="77"/>
      <c r="G129" s="77"/>
      <c r="H129" s="78"/>
      <c r="I129" s="1"/>
      <c r="J129" s="2"/>
    </row>
    <row r="130" spans="2:10" x14ac:dyDescent="0.25">
      <c r="B130" s="254" t="s">
        <v>212</v>
      </c>
      <c r="C130" s="255"/>
      <c r="D130" s="255"/>
      <c r="E130" s="255"/>
      <c r="F130" s="255"/>
      <c r="G130" s="255"/>
      <c r="H130" s="256"/>
      <c r="I130" s="1"/>
      <c r="J130" s="2"/>
    </row>
    <row r="131" spans="2:10" x14ac:dyDescent="0.25">
      <c r="B131" s="74"/>
      <c r="C131" s="72"/>
      <c r="D131" s="72"/>
      <c r="H131" s="2"/>
      <c r="I131" s="1"/>
      <c r="J131" s="2"/>
    </row>
    <row r="132" spans="2:10" x14ac:dyDescent="0.25">
      <c r="B132" s="1" t="s">
        <v>208</v>
      </c>
      <c r="E132" t="e">
        <f>PRORRATEO!#REF!</f>
        <v>#REF!</v>
      </c>
      <c r="H132" s="2"/>
      <c r="I132" s="257" t="s">
        <v>213</v>
      </c>
      <c r="J132" s="258"/>
    </row>
    <row r="133" spans="2:10" x14ac:dyDescent="0.25">
      <c r="B133" s="1" t="s">
        <v>207</v>
      </c>
      <c r="C133" s="72" t="e">
        <f>PRORRATEO!#REF!</f>
        <v>#REF!</v>
      </c>
      <c r="D133" s="73" t="s">
        <v>211</v>
      </c>
      <c r="E133" s="72" t="e">
        <f>PRORRATEO!#REF!</f>
        <v>#REF!</v>
      </c>
      <c r="H133" s="2"/>
      <c r="I133" s="1"/>
      <c r="J133" s="2"/>
    </row>
    <row r="134" spans="2:10" x14ac:dyDescent="0.25">
      <c r="B134" s="1"/>
      <c r="H134" s="2"/>
      <c r="I134" s="257"/>
      <c r="J134" s="258"/>
    </row>
    <row r="135" spans="2:10" x14ac:dyDescent="0.25">
      <c r="B135" s="1"/>
      <c r="H135" s="2"/>
      <c r="I135" s="1"/>
      <c r="J135" s="2"/>
    </row>
    <row r="136" spans="2:10" x14ac:dyDescent="0.25">
      <c r="B136" s="1"/>
      <c r="H136" s="2"/>
      <c r="I136" s="1"/>
      <c r="J136" s="2"/>
    </row>
    <row r="137" spans="2:10" ht="15.75" thickBot="1" x14ac:dyDescent="0.3">
      <c r="B137" s="1"/>
      <c r="H137" s="2"/>
      <c r="I137" s="79"/>
      <c r="J137" s="82"/>
    </row>
    <row r="138" spans="2:10" ht="15.75" thickBot="1" x14ac:dyDescent="0.3">
      <c r="B138" s="247" t="s">
        <v>210</v>
      </c>
      <c r="C138" s="248"/>
      <c r="D138" s="248"/>
      <c r="E138" s="248"/>
      <c r="F138" s="248"/>
      <c r="G138" s="249" t="e">
        <f>PRORRATEO!#REF!</f>
        <v>#REF!</v>
      </c>
      <c r="H138" s="250"/>
      <c r="I138" s="71"/>
      <c r="J138" s="81"/>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59" t="s">
        <v>209</v>
      </c>
      <c r="C3" s="260"/>
      <c r="D3" s="260"/>
      <c r="E3" s="260"/>
      <c r="F3" s="260"/>
      <c r="G3" s="260"/>
      <c r="H3" s="261"/>
      <c r="I3" s="69"/>
      <c r="J3" s="70"/>
    </row>
    <row r="4" spans="2:10" ht="15.75" thickBot="1" x14ac:dyDescent="0.3">
      <c r="B4" s="251" t="s">
        <v>120</v>
      </c>
      <c r="C4" s="252"/>
      <c r="D4" s="252"/>
      <c r="E4" s="252"/>
      <c r="F4" s="252"/>
      <c r="G4" s="252"/>
      <c r="H4" s="253"/>
      <c r="I4" s="1"/>
      <c r="J4" s="2"/>
    </row>
    <row r="5" spans="2:10" x14ac:dyDescent="0.25">
      <c r="B5" s="69" t="s">
        <v>217</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4" t="s">
        <v>212</v>
      </c>
      <c r="C8" s="255"/>
      <c r="D8" s="255"/>
      <c r="E8" s="255"/>
      <c r="F8" s="255"/>
      <c r="G8" s="255"/>
      <c r="H8" s="256"/>
      <c r="I8" s="1"/>
      <c r="J8" s="2"/>
    </row>
    <row r="9" spans="2:10" x14ac:dyDescent="0.25">
      <c r="B9" s="74"/>
      <c r="C9" s="72"/>
      <c r="D9" s="72"/>
      <c r="H9" s="2"/>
      <c r="I9" s="1"/>
      <c r="J9" s="2"/>
    </row>
    <row r="10" spans="2:10" x14ac:dyDescent="0.25">
      <c r="B10" s="1" t="s">
        <v>208</v>
      </c>
      <c r="E10" t="e">
        <f>PRORRATEO!#REF!</f>
        <v>#REF!</v>
      </c>
      <c r="H10" s="2"/>
      <c r="I10" s="257" t="s">
        <v>213</v>
      </c>
      <c r="J10" s="258"/>
    </row>
    <row r="11" spans="2:10" x14ac:dyDescent="0.25">
      <c r="B11" s="1" t="s">
        <v>207</v>
      </c>
      <c r="C11" s="72" t="e">
        <f>PRORRATEO!#REF!</f>
        <v>#REF!</v>
      </c>
      <c r="D11" s="73" t="s">
        <v>211</v>
      </c>
      <c r="E11" s="72" t="e">
        <f>PRORRATEO!#REF!</f>
        <v>#REF!</v>
      </c>
      <c r="H11" s="2"/>
      <c r="I11" s="1"/>
      <c r="J11" s="2"/>
    </row>
    <row r="12" spans="2:10" x14ac:dyDescent="0.25">
      <c r="B12" s="1"/>
      <c r="H12" s="2"/>
      <c r="I12" s="257"/>
      <c r="J12" s="258"/>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7" t="s">
        <v>210</v>
      </c>
      <c r="C16" s="248"/>
      <c r="D16" s="248"/>
      <c r="E16" s="248"/>
      <c r="F16" s="248"/>
      <c r="G16" s="249" t="e">
        <f>PRORRATEO!#REF!</f>
        <v>#REF!</v>
      </c>
      <c r="H16" s="250"/>
      <c r="I16" s="71"/>
      <c r="J16" s="81"/>
    </row>
    <row r="20" spans="2:10" ht="15.75" thickBot="1" x14ac:dyDescent="0.3"/>
    <row r="21" spans="2:10" ht="15.75" thickBot="1" x14ac:dyDescent="0.3">
      <c r="B21" s="259" t="s">
        <v>209</v>
      </c>
      <c r="C21" s="260"/>
      <c r="D21" s="260"/>
      <c r="E21" s="260"/>
      <c r="F21" s="260"/>
      <c r="G21" s="260"/>
      <c r="H21" s="261"/>
      <c r="I21" s="69"/>
      <c r="J21" s="70"/>
    </row>
    <row r="22" spans="2:10" ht="15.75" thickBot="1" x14ac:dyDescent="0.3">
      <c r="B22" s="251" t="s">
        <v>120</v>
      </c>
      <c r="C22" s="252"/>
      <c r="D22" s="252"/>
      <c r="E22" s="252"/>
      <c r="F22" s="252"/>
      <c r="G22" s="252"/>
      <c r="H22" s="253"/>
      <c r="I22" s="1"/>
      <c r="J22" s="2"/>
    </row>
    <row r="23" spans="2:10" x14ac:dyDescent="0.25">
      <c r="B23" s="69" t="s">
        <v>217</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54" t="s">
        <v>212</v>
      </c>
      <c r="C26" s="255"/>
      <c r="D26" s="255"/>
      <c r="E26" s="255"/>
      <c r="F26" s="255"/>
      <c r="G26" s="255"/>
      <c r="H26" s="256"/>
      <c r="I26" s="1"/>
      <c r="J26" s="2"/>
    </row>
    <row r="27" spans="2:10" x14ac:dyDescent="0.25">
      <c r="B27" s="74"/>
      <c r="C27" s="72"/>
      <c r="D27" s="72"/>
      <c r="H27" s="2"/>
      <c r="I27" s="1"/>
      <c r="J27" s="2"/>
    </row>
    <row r="28" spans="2:10" x14ac:dyDescent="0.25">
      <c r="B28" s="1" t="s">
        <v>208</v>
      </c>
      <c r="E28" t="e">
        <f>PRORRATEO!#REF!</f>
        <v>#REF!</v>
      </c>
      <c r="H28" s="2"/>
      <c r="I28" s="257" t="s">
        <v>213</v>
      </c>
      <c r="J28" s="258"/>
    </row>
    <row r="29" spans="2:10" x14ac:dyDescent="0.25">
      <c r="B29" s="1" t="s">
        <v>207</v>
      </c>
      <c r="C29" s="72" t="e">
        <f>PRORRATEO!#REF!</f>
        <v>#REF!</v>
      </c>
      <c r="D29" s="73" t="s">
        <v>211</v>
      </c>
      <c r="E29" s="72" t="e">
        <f>PRORRATEO!#REF!</f>
        <v>#REF!</v>
      </c>
      <c r="H29" s="2"/>
      <c r="I29" s="1"/>
      <c r="J29" s="2"/>
    </row>
    <row r="30" spans="2:10" x14ac:dyDescent="0.25">
      <c r="B30" s="1"/>
      <c r="H30" s="2"/>
      <c r="I30" s="257"/>
      <c r="J30" s="258"/>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47" t="s">
        <v>210</v>
      </c>
      <c r="C34" s="248"/>
      <c r="D34" s="248"/>
      <c r="E34" s="248"/>
      <c r="F34" s="248"/>
      <c r="G34" s="249" t="e">
        <f>PRORRATEO!#REF!</f>
        <v>#REF!</v>
      </c>
      <c r="H34" s="250"/>
      <c r="I34" s="71"/>
      <c r="J34" s="81"/>
    </row>
    <row r="36" spans="2:10" ht="295.5" customHeight="1" x14ac:dyDescent="0.25"/>
    <row r="37" spans="2:10" ht="15.75" thickBot="1" x14ac:dyDescent="0.3"/>
    <row r="38" spans="2:10" ht="15.75" thickBot="1" x14ac:dyDescent="0.3">
      <c r="B38" s="259" t="s">
        <v>209</v>
      </c>
      <c r="C38" s="260"/>
      <c r="D38" s="260"/>
      <c r="E38" s="260"/>
      <c r="F38" s="260"/>
      <c r="G38" s="260"/>
      <c r="H38" s="261"/>
      <c r="I38" s="69"/>
      <c r="J38" s="70"/>
    </row>
    <row r="39" spans="2:10" ht="15.75" thickBot="1" x14ac:dyDescent="0.3">
      <c r="B39" s="251" t="s">
        <v>120</v>
      </c>
      <c r="C39" s="252"/>
      <c r="D39" s="252"/>
      <c r="E39" s="252"/>
      <c r="F39" s="252"/>
      <c r="G39" s="252"/>
      <c r="H39" s="253"/>
      <c r="I39" s="1"/>
      <c r="J39" s="2"/>
    </row>
    <row r="40" spans="2:10" x14ac:dyDescent="0.25">
      <c r="B40" s="69" t="s">
        <v>217</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4" t="s">
        <v>212</v>
      </c>
      <c r="C43" s="255"/>
      <c r="D43" s="255"/>
      <c r="E43" s="255"/>
      <c r="F43" s="255"/>
      <c r="G43" s="255"/>
      <c r="H43" s="256"/>
      <c r="I43" s="1"/>
      <c r="J43" s="2"/>
    </row>
    <row r="44" spans="2:10" x14ac:dyDescent="0.25">
      <c r="B44" s="74"/>
      <c r="C44" s="72"/>
      <c r="D44" s="72"/>
      <c r="H44" s="2"/>
      <c r="I44" s="1"/>
      <c r="J44" s="2"/>
    </row>
    <row r="45" spans="2:10" x14ac:dyDescent="0.25">
      <c r="B45" s="1" t="s">
        <v>208</v>
      </c>
      <c r="E45" t="e">
        <f>PRORRATEO!#REF!</f>
        <v>#REF!</v>
      </c>
      <c r="H45" s="2"/>
      <c r="I45" s="257" t="s">
        <v>213</v>
      </c>
      <c r="J45" s="258"/>
    </row>
    <row r="46" spans="2:10" x14ac:dyDescent="0.25">
      <c r="B46" s="1" t="s">
        <v>207</v>
      </c>
      <c r="C46" s="72" t="e">
        <f>PRORRATEO!#REF!</f>
        <v>#REF!</v>
      </c>
      <c r="D46" s="73" t="s">
        <v>211</v>
      </c>
      <c r="E46" s="72" t="e">
        <f>PRORRATEO!#REF!</f>
        <v>#REF!</v>
      </c>
      <c r="H46" s="2"/>
      <c r="I46" s="1"/>
      <c r="J46" s="2"/>
    </row>
    <row r="47" spans="2:10" x14ac:dyDescent="0.25">
      <c r="B47" s="1"/>
      <c r="H47" s="2"/>
      <c r="I47" s="257"/>
      <c r="J47" s="258"/>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7" t="s">
        <v>210</v>
      </c>
      <c r="C51" s="248"/>
      <c r="D51" s="248"/>
      <c r="E51" s="248"/>
      <c r="F51" s="248"/>
      <c r="G51" s="249" t="e">
        <f>PRORRATEO!#REF!</f>
        <v>#REF!</v>
      </c>
      <c r="H51" s="250"/>
      <c r="I51" s="71"/>
      <c r="J51" s="81"/>
    </row>
    <row r="52" spans="2:10" ht="1.5" customHeight="1" x14ac:dyDescent="0.25"/>
    <row r="53" spans="2:10" ht="15.75" thickBot="1" x14ac:dyDescent="0.3"/>
    <row r="54" spans="2:10" ht="15.75" thickBot="1" x14ac:dyDescent="0.3">
      <c r="B54" s="259" t="s">
        <v>209</v>
      </c>
      <c r="C54" s="260"/>
      <c r="D54" s="260"/>
      <c r="E54" s="260"/>
      <c r="F54" s="260"/>
      <c r="G54" s="260"/>
      <c r="H54" s="261"/>
      <c r="I54" s="69"/>
      <c r="J54" s="70"/>
    </row>
    <row r="55" spans="2:10" ht="15.75" thickBot="1" x14ac:dyDescent="0.3">
      <c r="B55" s="251" t="s">
        <v>120</v>
      </c>
      <c r="C55" s="252"/>
      <c r="D55" s="252"/>
      <c r="E55" s="252"/>
      <c r="F55" s="252"/>
      <c r="G55" s="252"/>
      <c r="H55" s="253"/>
      <c r="I55" s="1"/>
      <c r="J55" s="2"/>
    </row>
    <row r="56" spans="2:10" x14ac:dyDescent="0.25">
      <c r="B56" s="69" t="s">
        <v>217</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54" t="s">
        <v>212</v>
      </c>
      <c r="C59" s="255"/>
      <c r="D59" s="255"/>
      <c r="E59" s="255"/>
      <c r="F59" s="255"/>
      <c r="G59" s="255"/>
      <c r="H59" s="256"/>
      <c r="I59" s="1"/>
      <c r="J59" s="2"/>
    </row>
    <row r="60" spans="2:10" x14ac:dyDescent="0.25">
      <c r="B60" s="74"/>
      <c r="C60" s="72"/>
      <c r="D60" s="72"/>
      <c r="H60" s="2"/>
      <c r="I60" s="1"/>
      <c r="J60" s="2"/>
    </row>
    <row r="61" spans="2:10" x14ac:dyDescent="0.25">
      <c r="B61" s="1" t="s">
        <v>208</v>
      </c>
      <c r="E61" t="e">
        <f>PRORRATEO!#REF!</f>
        <v>#REF!</v>
      </c>
      <c r="H61" s="2"/>
      <c r="I61" s="257" t="s">
        <v>213</v>
      </c>
      <c r="J61" s="258"/>
    </row>
    <row r="62" spans="2:10" x14ac:dyDescent="0.25">
      <c r="B62" s="1" t="s">
        <v>207</v>
      </c>
      <c r="C62" s="72" t="e">
        <f>PRORRATEO!#REF!</f>
        <v>#REF!</v>
      </c>
      <c r="D62" s="73" t="s">
        <v>211</v>
      </c>
      <c r="E62" s="72" t="e">
        <f>PRORRATEO!#REF!</f>
        <v>#REF!</v>
      </c>
      <c r="H62" s="2"/>
      <c r="I62" s="1"/>
      <c r="J62" s="2"/>
    </row>
    <row r="63" spans="2:10" x14ac:dyDescent="0.25">
      <c r="B63" s="1"/>
      <c r="H63" s="2"/>
      <c r="I63" s="257"/>
      <c r="J63" s="258"/>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47" t="s">
        <v>210</v>
      </c>
      <c r="C67" s="248"/>
      <c r="D67" s="248"/>
      <c r="E67" s="248"/>
      <c r="F67" s="248"/>
      <c r="G67" s="249" t="e">
        <f>PRORRATEO!#REF!</f>
        <v>#REF!</v>
      </c>
      <c r="H67" s="250"/>
      <c r="I67" s="71"/>
      <c r="J67" s="81"/>
    </row>
    <row r="70" spans="2:10" ht="15.75" thickBot="1" x14ac:dyDescent="0.3"/>
    <row r="71" spans="2:10" ht="15.75" thickBot="1" x14ac:dyDescent="0.3">
      <c r="B71" s="259" t="s">
        <v>209</v>
      </c>
      <c r="C71" s="260"/>
      <c r="D71" s="260"/>
      <c r="E71" s="260"/>
      <c r="F71" s="260"/>
      <c r="G71" s="260"/>
      <c r="H71" s="261"/>
      <c r="I71" s="69"/>
      <c r="J71" s="70"/>
    </row>
    <row r="72" spans="2:10" ht="15.75" thickBot="1" x14ac:dyDescent="0.3">
      <c r="B72" s="251" t="s">
        <v>120</v>
      </c>
      <c r="C72" s="252"/>
      <c r="D72" s="252"/>
      <c r="E72" s="252"/>
      <c r="F72" s="252"/>
      <c r="G72" s="252"/>
      <c r="H72" s="253"/>
      <c r="I72" s="1"/>
      <c r="J72" s="2"/>
    </row>
    <row r="73" spans="2:10" x14ac:dyDescent="0.25">
      <c r="B73" s="69" t="s">
        <v>217</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54" t="s">
        <v>212</v>
      </c>
      <c r="C76" s="255"/>
      <c r="D76" s="255"/>
      <c r="E76" s="255"/>
      <c r="F76" s="255"/>
      <c r="G76" s="255"/>
      <c r="H76" s="256"/>
      <c r="I76" s="1"/>
      <c r="J76" s="2"/>
    </row>
    <row r="77" spans="2:10" x14ac:dyDescent="0.25">
      <c r="B77" s="74"/>
      <c r="C77" s="72"/>
      <c r="D77" s="72"/>
      <c r="H77" s="2"/>
      <c r="I77" s="1"/>
      <c r="J77" s="2"/>
    </row>
    <row r="78" spans="2:10" x14ac:dyDescent="0.25">
      <c r="B78" s="1" t="s">
        <v>208</v>
      </c>
      <c r="E78" t="e">
        <f>PRORRATEO!#REF!</f>
        <v>#REF!</v>
      </c>
      <c r="H78" s="2"/>
      <c r="I78" s="257" t="s">
        <v>213</v>
      </c>
      <c r="J78" s="258"/>
    </row>
    <row r="79" spans="2:10" x14ac:dyDescent="0.25">
      <c r="B79" s="1" t="s">
        <v>207</v>
      </c>
      <c r="C79" s="72" t="e">
        <f>PRORRATEO!#REF!</f>
        <v>#REF!</v>
      </c>
      <c r="D79" s="73" t="s">
        <v>211</v>
      </c>
      <c r="E79" s="72" t="e">
        <f>PRORRATEO!#REF!</f>
        <v>#REF!</v>
      </c>
      <c r="H79" s="2"/>
      <c r="I79" s="1"/>
      <c r="J79" s="2"/>
    </row>
    <row r="80" spans="2:10" x14ac:dyDescent="0.25">
      <c r="B80" s="1"/>
      <c r="H80" s="2"/>
      <c r="I80" s="257"/>
      <c r="J80" s="258"/>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47" t="s">
        <v>210</v>
      </c>
      <c r="C84" s="248"/>
      <c r="D84" s="248"/>
      <c r="E84" s="248"/>
      <c r="F84" s="248"/>
      <c r="G84" s="249" t="e">
        <f>PRORRATEO!#REF!</f>
        <v>#REF!</v>
      </c>
      <c r="H84" s="250"/>
      <c r="I84" s="71"/>
      <c r="J84" s="81"/>
    </row>
    <row r="87" spans="2:10" ht="15.75" thickBot="1" x14ac:dyDescent="0.3"/>
    <row r="88" spans="2:10" ht="15.75" thickBot="1" x14ac:dyDescent="0.3">
      <c r="B88" s="259" t="s">
        <v>209</v>
      </c>
      <c r="C88" s="260"/>
      <c r="D88" s="260"/>
      <c r="E88" s="260"/>
      <c r="F88" s="260"/>
      <c r="G88" s="260"/>
      <c r="H88" s="261"/>
      <c r="I88" s="69"/>
      <c r="J88" s="70"/>
    </row>
    <row r="89" spans="2:10" ht="15.75" thickBot="1" x14ac:dyDescent="0.3">
      <c r="B89" s="251" t="s">
        <v>120</v>
      </c>
      <c r="C89" s="252"/>
      <c r="D89" s="252"/>
      <c r="E89" s="252"/>
      <c r="F89" s="252"/>
      <c r="G89" s="252"/>
      <c r="H89" s="253"/>
      <c r="I89" s="1"/>
      <c r="J89" s="2"/>
    </row>
    <row r="90" spans="2:10" x14ac:dyDescent="0.25">
      <c r="B90" s="69" t="s">
        <v>217</v>
      </c>
      <c r="C90" s="80"/>
      <c r="D90" s="80"/>
      <c r="E90" s="80"/>
      <c r="G90" t="s">
        <v>39</v>
      </c>
      <c r="H90" s="2"/>
      <c r="I90" s="1"/>
      <c r="J90" s="2"/>
    </row>
    <row r="91" spans="2:10" x14ac:dyDescent="0.25">
      <c r="B91" s="74" t="s">
        <v>214</v>
      </c>
      <c r="C91" s="72"/>
      <c r="D91" s="72"/>
      <c r="H91" s="2"/>
      <c r="I91" s="1"/>
      <c r="J91" s="2"/>
    </row>
    <row r="92" spans="2:10" x14ac:dyDescent="0.25">
      <c r="B92" s="75"/>
      <c r="C92" s="76"/>
      <c r="D92" s="76"/>
      <c r="E92" s="77"/>
      <c r="F92" s="77"/>
      <c r="G92" s="77"/>
      <c r="H92" s="78"/>
      <c r="I92" s="1"/>
      <c r="J92" s="2"/>
    </row>
    <row r="93" spans="2:10" x14ac:dyDescent="0.25">
      <c r="B93" s="254" t="s">
        <v>212</v>
      </c>
      <c r="C93" s="255"/>
      <c r="D93" s="255"/>
      <c r="E93" s="255"/>
      <c r="F93" s="255"/>
      <c r="G93" s="255"/>
      <c r="H93" s="256"/>
      <c r="I93" s="1"/>
      <c r="J93" s="2"/>
    </row>
    <row r="94" spans="2:10" x14ac:dyDescent="0.25">
      <c r="B94" s="74"/>
      <c r="C94" s="72"/>
      <c r="D94" s="72"/>
      <c r="H94" s="2"/>
      <c r="I94" s="1"/>
      <c r="J94" s="2"/>
    </row>
    <row r="95" spans="2:10" x14ac:dyDescent="0.25">
      <c r="B95" s="1" t="s">
        <v>208</v>
      </c>
      <c r="E95" t="e">
        <f>PRORRATEO!#REF!</f>
        <v>#REF!</v>
      </c>
      <c r="H95" s="2"/>
      <c r="I95" s="257" t="s">
        <v>213</v>
      </c>
      <c r="J95" s="258"/>
    </row>
    <row r="96" spans="2:10" x14ac:dyDescent="0.25">
      <c r="B96" s="1" t="s">
        <v>207</v>
      </c>
      <c r="C96" s="72" t="e">
        <f>PRORRATEO!#REF!</f>
        <v>#REF!</v>
      </c>
      <c r="D96" s="73" t="s">
        <v>211</v>
      </c>
      <c r="E96" s="72" t="e">
        <f>PRORRATEO!#REF!</f>
        <v>#REF!</v>
      </c>
      <c r="H96" s="2"/>
      <c r="I96" s="1"/>
      <c r="J96" s="2"/>
    </row>
    <row r="97" spans="2:10" x14ac:dyDescent="0.25">
      <c r="B97" s="1"/>
      <c r="H97" s="2"/>
      <c r="I97" s="257"/>
      <c r="J97" s="258"/>
    </row>
    <row r="98" spans="2:10" x14ac:dyDescent="0.25">
      <c r="B98" s="1"/>
      <c r="H98" s="2"/>
      <c r="I98" s="1"/>
      <c r="J98" s="2"/>
    </row>
    <row r="99" spans="2:10" x14ac:dyDescent="0.25">
      <c r="B99" s="1"/>
      <c r="H99" s="2"/>
      <c r="I99" s="1"/>
      <c r="J99" s="2"/>
    </row>
    <row r="100" spans="2:10" ht="15.75" thickBot="1" x14ac:dyDescent="0.3">
      <c r="B100" s="1"/>
      <c r="H100" s="2"/>
      <c r="I100" s="79"/>
      <c r="J100" s="82"/>
    </row>
    <row r="101" spans="2:10" ht="15.75" thickBot="1" x14ac:dyDescent="0.3">
      <c r="B101" s="247" t="s">
        <v>210</v>
      </c>
      <c r="C101" s="248"/>
      <c r="D101" s="248"/>
      <c r="E101" s="248"/>
      <c r="F101" s="248"/>
      <c r="G101" s="249" t="e">
        <f>PRORRATEO!#REF!</f>
        <v>#REF!</v>
      </c>
      <c r="H101" s="250"/>
      <c r="I101" s="71"/>
      <c r="J101" s="81"/>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59" t="s">
        <v>209</v>
      </c>
      <c r="C2" s="260"/>
      <c r="D2" s="260"/>
      <c r="E2" s="260"/>
      <c r="F2" s="260"/>
      <c r="G2" s="260"/>
      <c r="H2" s="261"/>
      <c r="I2" s="69"/>
      <c r="J2" s="70"/>
    </row>
    <row r="3" spans="2:10" ht="15.75" thickBot="1" x14ac:dyDescent="0.3">
      <c r="B3" s="251" t="s">
        <v>120</v>
      </c>
      <c r="C3" s="252"/>
      <c r="D3" s="252"/>
      <c r="E3" s="252"/>
      <c r="F3" s="252"/>
      <c r="G3" s="252"/>
      <c r="H3" s="253"/>
      <c r="I3" s="1"/>
      <c r="J3" s="2"/>
    </row>
    <row r="4" spans="2:10" x14ac:dyDescent="0.25">
      <c r="B4" s="69" t="s">
        <v>217</v>
      </c>
      <c r="C4" s="80"/>
      <c r="D4" s="80"/>
      <c r="E4" s="80"/>
      <c r="G4" t="s">
        <v>39</v>
      </c>
      <c r="H4" s="2"/>
      <c r="I4" s="1"/>
      <c r="J4" s="2"/>
    </row>
    <row r="5" spans="2:10" x14ac:dyDescent="0.25">
      <c r="B5" s="74" t="s">
        <v>214</v>
      </c>
      <c r="C5" s="72"/>
      <c r="D5" s="72"/>
      <c r="H5" s="2"/>
      <c r="I5" s="1"/>
      <c r="J5" s="2"/>
    </row>
    <row r="6" spans="2:10" x14ac:dyDescent="0.25">
      <c r="B6" s="75"/>
      <c r="C6" s="76"/>
      <c r="D6" s="76"/>
      <c r="E6" s="77"/>
      <c r="F6" s="77"/>
      <c r="G6" s="77"/>
      <c r="H6" s="78"/>
      <c r="I6" s="1"/>
      <c r="J6" s="2"/>
    </row>
    <row r="7" spans="2:10" x14ac:dyDescent="0.25">
      <c r="B7" s="254" t="s">
        <v>212</v>
      </c>
      <c r="C7" s="255"/>
      <c r="D7" s="255"/>
      <c r="E7" s="255"/>
      <c r="F7" s="255"/>
      <c r="G7" s="255"/>
      <c r="H7" s="256"/>
      <c r="I7" s="1"/>
      <c r="J7" s="2"/>
    </row>
    <row r="8" spans="2:10" x14ac:dyDescent="0.25">
      <c r="B8" s="74"/>
      <c r="C8" s="72"/>
      <c r="D8" s="72"/>
      <c r="H8" s="2"/>
      <c r="I8" s="1"/>
      <c r="J8" s="2"/>
    </row>
    <row r="9" spans="2:10" x14ac:dyDescent="0.25">
      <c r="B9" s="1" t="s">
        <v>208</v>
      </c>
      <c r="E9" t="e">
        <f>PRORRATEO!#REF!</f>
        <v>#REF!</v>
      </c>
      <c r="H9" s="2"/>
      <c r="I9" s="257" t="s">
        <v>213</v>
      </c>
      <c r="J9" s="258"/>
    </row>
    <row r="10" spans="2:10" x14ac:dyDescent="0.25">
      <c r="B10" s="1" t="s">
        <v>207</v>
      </c>
      <c r="C10" s="72" t="e">
        <f>PRORRATEO!#REF!</f>
        <v>#REF!</v>
      </c>
      <c r="D10" s="73" t="s">
        <v>211</v>
      </c>
      <c r="E10" s="72" t="e">
        <f>PRORRATEO!#REF!</f>
        <v>#REF!</v>
      </c>
      <c r="H10" s="2"/>
      <c r="I10" s="1"/>
      <c r="J10" s="2"/>
    </row>
    <row r="11" spans="2:10" x14ac:dyDescent="0.25">
      <c r="B11" s="1"/>
      <c r="H11" s="2"/>
      <c r="I11" s="257"/>
      <c r="J11" s="258"/>
    </row>
    <row r="12" spans="2:10" x14ac:dyDescent="0.25">
      <c r="B12" s="1"/>
      <c r="H12" s="2"/>
      <c r="I12" s="1"/>
      <c r="J12" s="2"/>
    </row>
    <row r="13" spans="2:10" x14ac:dyDescent="0.25">
      <c r="B13" s="1"/>
      <c r="H13" s="2"/>
      <c r="I13" s="1"/>
      <c r="J13" s="2"/>
    </row>
    <row r="14" spans="2:10" ht="15.75" thickBot="1" x14ac:dyDescent="0.3">
      <c r="B14" s="1"/>
      <c r="H14" s="2"/>
      <c r="I14" s="79"/>
      <c r="J14" s="82"/>
    </row>
    <row r="15" spans="2:10" ht="15.75" thickBot="1" x14ac:dyDescent="0.3">
      <c r="B15" s="247" t="s">
        <v>210</v>
      </c>
      <c r="C15" s="248"/>
      <c r="D15" s="248"/>
      <c r="E15" s="248"/>
      <c r="F15" s="248"/>
      <c r="G15" s="249" t="e">
        <f>PRORRATEO!#REF!</f>
        <v>#REF!</v>
      </c>
      <c r="H15" s="250"/>
      <c r="I15" s="71"/>
      <c r="J15" s="81"/>
    </row>
    <row r="17" spans="2:10" ht="15.75" thickBot="1" x14ac:dyDescent="0.3"/>
    <row r="18" spans="2:10" ht="15.75" thickBot="1" x14ac:dyDescent="0.3">
      <c r="B18" s="259" t="s">
        <v>209</v>
      </c>
      <c r="C18" s="260"/>
      <c r="D18" s="260"/>
      <c r="E18" s="260"/>
      <c r="F18" s="260"/>
      <c r="G18" s="260"/>
      <c r="H18" s="261"/>
      <c r="I18" s="69"/>
      <c r="J18" s="70"/>
    </row>
    <row r="19" spans="2:10" ht="15.75" thickBot="1" x14ac:dyDescent="0.3">
      <c r="B19" s="251" t="s">
        <v>120</v>
      </c>
      <c r="C19" s="252"/>
      <c r="D19" s="252"/>
      <c r="E19" s="252"/>
      <c r="F19" s="252"/>
      <c r="G19" s="252"/>
      <c r="H19" s="253"/>
      <c r="I19" s="1"/>
      <c r="J19" s="2"/>
    </row>
    <row r="20" spans="2:10" x14ac:dyDescent="0.25">
      <c r="B20" s="69" t="s">
        <v>217</v>
      </c>
      <c r="C20" s="80"/>
      <c r="D20" s="80"/>
      <c r="E20" s="80"/>
      <c r="G20" t="s">
        <v>39</v>
      </c>
      <c r="H20" s="2"/>
      <c r="I20" s="1"/>
      <c r="J20" s="2"/>
    </row>
    <row r="21" spans="2:10" x14ac:dyDescent="0.25">
      <c r="B21" s="74" t="s">
        <v>214</v>
      </c>
      <c r="C21" s="72"/>
      <c r="D21" s="72"/>
      <c r="H21" s="2"/>
      <c r="I21" s="1"/>
      <c r="J21" s="2"/>
    </row>
    <row r="22" spans="2:10" x14ac:dyDescent="0.25">
      <c r="B22" s="75"/>
      <c r="C22" s="76"/>
      <c r="D22" s="76"/>
      <c r="E22" s="77"/>
      <c r="F22" s="77"/>
      <c r="G22" s="77"/>
      <c r="H22" s="78"/>
      <c r="I22" s="1"/>
      <c r="J22" s="2"/>
    </row>
    <row r="23" spans="2:10" x14ac:dyDescent="0.25">
      <c r="B23" s="254" t="s">
        <v>212</v>
      </c>
      <c r="C23" s="255"/>
      <c r="D23" s="255"/>
      <c r="E23" s="255"/>
      <c r="F23" s="255"/>
      <c r="G23" s="255"/>
      <c r="H23" s="256"/>
      <c r="I23" s="1"/>
      <c r="J23" s="2"/>
    </row>
    <row r="24" spans="2:10" x14ac:dyDescent="0.25">
      <c r="B24" s="74"/>
      <c r="C24" s="72"/>
      <c r="D24" s="72"/>
      <c r="H24" s="2"/>
      <c r="I24" s="1"/>
      <c r="J24" s="2"/>
    </row>
    <row r="25" spans="2:10" x14ac:dyDescent="0.25">
      <c r="B25" s="1" t="s">
        <v>208</v>
      </c>
      <c r="E25" t="e">
        <f>PRORRATEO!#REF!</f>
        <v>#REF!</v>
      </c>
      <c r="H25" s="2"/>
      <c r="I25" s="257" t="s">
        <v>213</v>
      </c>
      <c r="J25" s="258"/>
    </row>
    <row r="26" spans="2:10" x14ac:dyDescent="0.25">
      <c r="B26" s="1" t="s">
        <v>207</v>
      </c>
      <c r="C26" s="72" t="e">
        <f>PRORRATEO!#REF!</f>
        <v>#REF!</v>
      </c>
      <c r="D26" s="73" t="s">
        <v>211</v>
      </c>
      <c r="E26" s="72" t="e">
        <f>PRORRATEO!#REF!</f>
        <v>#REF!</v>
      </c>
      <c r="H26" s="2"/>
      <c r="I26" s="1"/>
      <c r="J26" s="2"/>
    </row>
    <row r="27" spans="2:10" x14ac:dyDescent="0.25">
      <c r="B27" s="1"/>
      <c r="H27" s="2"/>
      <c r="I27" s="257"/>
      <c r="J27" s="258"/>
    </row>
    <row r="28" spans="2:10" x14ac:dyDescent="0.25">
      <c r="B28" s="1"/>
      <c r="H28" s="2"/>
      <c r="I28" s="1"/>
      <c r="J28" s="2"/>
    </row>
    <row r="29" spans="2:10" x14ac:dyDescent="0.25">
      <c r="B29" s="1"/>
      <c r="H29" s="2"/>
      <c r="I29" s="1"/>
      <c r="J29" s="2"/>
    </row>
    <row r="30" spans="2:10" ht="15.75" thickBot="1" x14ac:dyDescent="0.3">
      <c r="B30" s="1"/>
      <c r="H30" s="2"/>
      <c r="I30" s="79"/>
      <c r="J30" s="82"/>
    </row>
    <row r="31" spans="2:10" ht="15.75" thickBot="1" x14ac:dyDescent="0.3">
      <c r="B31" s="247" t="s">
        <v>210</v>
      </c>
      <c r="C31" s="248"/>
      <c r="D31" s="248"/>
      <c r="E31" s="248"/>
      <c r="F31" s="248"/>
      <c r="G31" s="249" t="e">
        <f>PRORRATEO!#REF!</f>
        <v>#REF!</v>
      </c>
      <c r="H31" s="250"/>
      <c r="I31" s="71"/>
      <c r="J31" s="81"/>
    </row>
    <row r="33" spans="2:10" ht="15.75" thickBot="1" x14ac:dyDescent="0.3"/>
    <row r="34" spans="2:10" ht="15.75" thickBot="1" x14ac:dyDescent="0.3">
      <c r="B34" s="259" t="s">
        <v>209</v>
      </c>
      <c r="C34" s="260"/>
      <c r="D34" s="260"/>
      <c r="E34" s="260"/>
      <c r="F34" s="260"/>
      <c r="G34" s="260"/>
      <c r="H34" s="261"/>
      <c r="I34" s="69"/>
      <c r="J34" s="70"/>
    </row>
    <row r="35" spans="2:10" ht="15.75" thickBot="1" x14ac:dyDescent="0.3">
      <c r="B35" s="251" t="s">
        <v>120</v>
      </c>
      <c r="C35" s="252"/>
      <c r="D35" s="252"/>
      <c r="E35" s="252"/>
      <c r="F35" s="252"/>
      <c r="G35" s="252"/>
      <c r="H35" s="253"/>
      <c r="I35" s="1"/>
      <c r="J35" s="2"/>
    </row>
    <row r="36" spans="2:10" x14ac:dyDescent="0.25">
      <c r="B36" s="69" t="s">
        <v>217</v>
      </c>
      <c r="C36" s="80"/>
      <c r="D36" s="80"/>
      <c r="E36" s="80"/>
      <c r="G36" t="s">
        <v>39</v>
      </c>
      <c r="H36" s="2"/>
      <c r="I36" s="1"/>
      <c r="J36" s="2"/>
    </row>
    <row r="37" spans="2:10" x14ac:dyDescent="0.25">
      <c r="B37" s="74" t="s">
        <v>214</v>
      </c>
      <c r="C37" s="72"/>
      <c r="D37" s="72"/>
      <c r="H37" s="2"/>
      <c r="I37" s="1"/>
      <c r="J37" s="2"/>
    </row>
    <row r="38" spans="2:10" x14ac:dyDescent="0.25">
      <c r="B38" s="75"/>
      <c r="C38" s="76"/>
      <c r="D38" s="76"/>
      <c r="E38" s="77"/>
      <c r="F38" s="77"/>
      <c r="G38" s="77"/>
      <c r="H38" s="78"/>
      <c r="I38" s="1"/>
      <c r="J38" s="2"/>
    </row>
    <row r="39" spans="2:10" x14ac:dyDescent="0.25">
      <c r="B39" s="254" t="s">
        <v>212</v>
      </c>
      <c r="C39" s="255"/>
      <c r="D39" s="255"/>
      <c r="E39" s="255"/>
      <c r="F39" s="255"/>
      <c r="G39" s="255"/>
      <c r="H39" s="256"/>
      <c r="I39" s="1"/>
      <c r="J39" s="2"/>
    </row>
    <row r="40" spans="2:10" x14ac:dyDescent="0.25">
      <c r="B40" s="74"/>
      <c r="C40" s="72"/>
      <c r="D40" s="72"/>
      <c r="H40" s="2"/>
      <c r="I40" s="1"/>
      <c r="J40" s="2"/>
    </row>
    <row r="41" spans="2:10" x14ac:dyDescent="0.25">
      <c r="B41" s="1" t="s">
        <v>208</v>
      </c>
      <c r="E41" t="e">
        <f>PRORRATEO!#REF!</f>
        <v>#REF!</v>
      </c>
      <c r="H41" s="2"/>
      <c r="I41" s="257" t="s">
        <v>213</v>
      </c>
      <c r="J41" s="258"/>
    </row>
    <row r="42" spans="2:10" x14ac:dyDescent="0.25">
      <c r="B42" s="1" t="s">
        <v>207</v>
      </c>
      <c r="C42" s="72" t="e">
        <f>PRORRATEO!#REF!</f>
        <v>#REF!</v>
      </c>
      <c r="D42" s="73" t="s">
        <v>211</v>
      </c>
      <c r="E42" s="72" t="e">
        <f>PRORRATEO!#REF!</f>
        <v>#REF!</v>
      </c>
      <c r="H42" s="2"/>
      <c r="I42" s="1"/>
      <c r="J42" s="2"/>
    </row>
    <row r="43" spans="2:10" x14ac:dyDescent="0.25">
      <c r="B43" s="1"/>
      <c r="H43" s="2"/>
      <c r="I43" s="257"/>
      <c r="J43" s="258"/>
    </row>
    <row r="44" spans="2:10" x14ac:dyDescent="0.25">
      <c r="B44" s="1"/>
      <c r="H44" s="2"/>
      <c r="I44" s="1"/>
      <c r="J44" s="2"/>
    </row>
    <row r="45" spans="2:10" x14ac:dyDescent="0.25">
      <c r="B45" s="1"/>
      <c r="H45" s="2"/>
      <c r="I45" s="1"/>
      <c r="J45" s="2"/>
    </row>
    <row r="46" spans="2:10" ht="15.75" thickBot="1" x14ac:dyDescent="0.3">
      <c r="B46" s="1"/>
      <c r="H46" s="2"/>
      <c r="I46" s="79"/>
      <c r="J46" s="82"/>
    </row>
    <row r="47" spans="2:10" ht="15.75" thickBot="1" x14ac:dyDescent="0.3">
      <c r="B47" s="247" t="s">
        <v>210</v>
      </c>
      <c r="C47" s="248"/>
      <c r="D47" s="248"/>
      <c r="E47" s="248"/>
      <c r="F47" s="248"/>
      <c r="G47" s="249" t="e">
        <f>PRORRATEO!#REF!</f>
        <v>#REF!</v>
      </c>
      <c r="H47" s="250"/>
      <c r="I47" s="71"/>
      <c r="J47" s="81"/>
    </row>
    <row r="51" spans="2:10" ht="15.75" thickBot="1" x14ac:dyDescent="0.3"/>
    <row r="52" spans="2:10" ht="15.75" thickBot="1" x14ac:dyDescent="0.3">
      <c r="B52" s="259" t="s">
        <v>209</v>
      </c>
      <c r="C52" s="260"/>
      <c r="D52" s="260"/>
      <c r="E52" s="260"/>
      <c r="F52" s="260"/>
      <c r="G52" s="260"/>
      <c r="H52" s="261"/>
      <c r="I52" s="69"/>
      <c r="J52" s="70"/>
    </row>
    <row r="53" spans="2:10" ht="15.75" thickBot="1" x14ac:dyDescent="0.3">
      <c r="B53" s="251" t="s">
        <v>120</v>
      </c>
      <c r="C53" s="252"/>
      <c r="D53" s="252"/>
      <c r="E53" s="252"/>
      <c r="F53" s="252"/>
      <c r="G53" s="252"/>
      <c r="H53" s="253"/>
      <c r="I53" s="1"/>
      <c r="J53" s="2"/>
    </row>
    <row r="54" spans="2:10" x14ac:dyDescent="0.25">
      <c r="B54" s="69" t="s">
        <v>217</v>
      </c>
      <c r="C54" s="80"/>
      <c r="D54" s="80"/>
      <c r="E54" s="80"/>
      <c r="G54" t="s">
        <v>39</v>
      </c>
      <c r="H54" s="2"/>
      <c r="I54" s="1"/>
      <c r="J54" s="2"/>
    </row>
    <row r="55" spans="2:10" x14ac:dyDescent="0.25">
      <c r="B55" s="74" t="s">
        <v>214</v>
      </c>
      <c r="C55" s="72"/>
      <c r="D55" s="72"/>
      <c r="H55" s="2"/>
      <c r="I55" s="1"/>
      <c r="J55" s="2"/>
    </row>
    <row r="56" spans="2:10" x14ac:dyDescent="0.25">
      <c r="B56" s="75"/>
      <c r="C56" s="76"/>
      <c r="D56" s="76"/>
      <c r="E56" s="77"/>
      <c r="F56" s="77"/>
      <c r="G56" s="77"/>
      <c r="H56" s="78"/>
      <c r="I56" s="1"/>
      <c r="J56" s="2"/>
    </row>
    <row r="57" spans="2:10" x14ac:dyDescent="0.25">
      <c r="B57" s="254" t="s">
        <v>212</v>
      </c>
      <c r="C57" s="255"/>
      <c r="D57" s="255"/>
      <c r="E57" s="255"/>
      <c r="F57" s="255"/>
      <c r="G57" s="255"/>
      <c r="H57" s="256"/>
      <c r="I57" s="1"/>
      <c r="J57" s="2"/>
    </row>
    <row r="58" spans="2:10" x14ac:dyDescent="0.25">
      <c r="B58" s="74"/>
      <c r="C58" s="72"/>
      <c r="D58" s="72"/>
      <c r="H58" s="2"/>
      <c r="I58" s="1"/>
      <c r="J58" s="2"/>
    </row>
    <row r="59" spans="2:10" x14ac:dyDescent="0.25">
      <c r="B59" s="1" t="s">
        <v>208</v>
      </c>
      <c r="E59" t="e">
        <f>PRORRATEO!#REF!</f>
        <v>#REF!</v>
      </c>
      <c r="H59" s="2"/>
      <c r="I59" s="257" t="s">
        <v>213</v>
      </c>
      <c r="J59" s="258"/>
    </row>
    <row r="60" spans="2:10" x14ac:dyDescent="0.25">
      <c r="B60" s="1" t="s">
        <v>207</v>
      </c>
      <c r="C60" s="72" t="e">
        <f>PRORRATEO!#REF!</f>
        <v>#REF!</v>
      </c>
      <c r="D60" s="73" t="s">
        <v>211</v>
      </c>
      <c r="E60" s="72" t="e">
        <f>PRORRATEO!#REF!</f>
        <v>#REF!</v>
      </c>
      <c r="H60" s="2"/>
      <c r="I60" s="1"/>
      <c r="J60" s="2"/>
    </row>
    <row r="61" spans="2:10" x14ac:dyDescent="0.25">
      <c r="B61" s="1"/>
      <c r="H61" s="2"/>
      <c r="I61" s="257"/>
      <c r="J61" s="258"/>
    </row>
    <row r="62" spans="2:10" x14ac:dyDescent="0.25">
      <c r="B62" s="1"/>
      <c r="H62" s="2"/>
      <c r="I62" s="1"/>
      <c r="J62" s="2"/>
    </row>
    <row r="63" spans="2:10" x14ac:dyDescent="0.25">
      <c r="B63" s="1"/>
      <c r="H63" s="2"/>
      <c r="I63" s="1"/>
      <c r="J63" s="2"/>
    </row>
    <row r="64" spans="2:10" ht="15.75" thickBot="1" x14ac:dyDescent="0.3">
      <c r="B64" s="1"/>
      <c r="H64" s="2"/>
      <c r="I64" s="79"/>
      <c r="J64" s="82"/>
    </row>
    <row r="65" spans="2:10" ht="15.75" thickBot="1" x14ac:dyDescent="0.3">
      <c r="B65" s="247" t="s">
        <v>210</v>
      </c>
      <c r="C65" s="248"/>
      <c r="D65" s="248"/>
      <c r="E65" s="248"/>
      <c r="F65" s="248"/>
      <c r="G65" s="249" t="e">
        <f>PRORRATEO!#REF!</f>
        <v>#REF!</v>
      </c>
      <c r="H65" s="250"/>
      <c r="I65" s="71"/>
      <c r="J65" s="81"/>
    </row>
    <row r="69" spans="2:10" ht="15.75" thickBot="1" x14ac:dyDescent="0.3"/>
    <row r="70" spans="2:10" ht="15.75" thickBot="1" x14ac:dyDescent="0.3">
      <c r="B70" s="259" t="s">
        <v>209</v>
      </c>
      <c r="C70" s="260"/>
      <c r="D70" s="260"/>
      <c r="E70" s="260"/>
      <c r="F70" s="260"/>
      <c r="G70" s="260"/>
      <c r="H70" s="261"/>
      <c r="I70" s="69"/>
      <c r="J70" s="70"/>
    </row>
    <row r="71" spans="2:10" ht="15.75" thickBot="1" x14ac:dyDescent="0.3">
      <c r="B71" s="251" t="s">
        <v>120</v>
      </c>
      <c r="C71" s="252"/>
      <c r="D71" s="252"/>
      <c r="E71" s="252"/>
      <c r="F71" s="252"/>
      <c r="G71" s="252"/>
      <c r="H71" s="253"/>
      <c r="I71" s="1"/>
      <c r="J71" s="2"/>
    </row>
    <row r="72" spans="2:10" x14ac:dyDescent="0.25">
      <c r="B72" s="69" t="s">
        <v>217</v>
      </c>
      <c r="C72" s="80"/>
      <c r="D72" s="80"/>
      <c r="E72" s="80"/>
      <c r="G72" t="s">
        <v>39</v>
      </c>
      <c r="H72" s="2"/>
      <c r="I72" s="1"/>
      <c r="J72" s="2"/>
    </row>
    <row r="73" spans="2:10" x14ac:dyDescent="0.25">
      <c r="B73" s="74" t="s">
        <v>214</v>
      </c>
      <c r="C73" s="72"/>
      <c r="D73" s="72"/>
      <c r="H73" s="2"/>
      <c r="I73" s="1"/>
      <c r="J73" s="2"/>
    </row>
    <row r="74" spans="2:10" x14ac:dyDescent="0.25">
      <c r="B74" s="75"/>
      <c r="C74" s="76"/>
      <c r="D74" s="76"/>
      <c r="E74" s="77"/>
      <c r="F74" s="77"/>
      <c r="G74" s="77"/>
      <c r="H74" s="78"/>
      <c r="I74" s="1"/>
      <c r="J74" s="2"/>
    </row>
    <row r="75" spans="2:10" x14ac:dyDescent="0.25">
      <c r="B75" s="254" t="s">
        <v>212</v>
      </c>
      <c r="C75" s="255"/>
      <c r="D75" s="255"/>
      <c r="E75" s="255"/>
      <c r="F75" s="255"/>
      <c r="G75" s="255"/>
      <c r="H75" s="256"/>
      <c r="I75" s="1"/>
      <c r="J75" s="2"/>
    </row>
    <row r="76" spans="2:10" x14ac:dyDescent="0.25">
      <c r="B76" s="74"/>
      <c r="C76" s="72"/>
      <c r="D76" s="72"/>
      <c r="H76" s="2"/>
      <c r="I76" s="1"/>
      <c r="J76" s="2"/>
    </row>
    <row r="77" spans="2:10" x14ac:dyDescent="0.25">
      <c r="B77" s="1" t="s">
        <v>208</v>
      </c>
      <c r="E77" t="e">
        <f>PRORRATEO!#REF!</f>
        <v>#REF!</v>
      </c>
      <c r="H77" s="2"/>
      <c r="I77" s="257" t="s">
        <v>213</v>
      </c>
      <c r="J77" s="258"/>
    </row>
    <row r="78" spans="2:10" x14ac:dyDescent="0.25">
      <c r="B78" s="1" t="s">
        <v>207</v>
      </c>
      <c r="C78" s="72" t="e">
        <f>PRORRATEO!#REF!</f>
        <v>#REF!</v>
      </c>
      <c r="D78" s="73" t="s">
        <v>211</v>
      </c>
      <c r="E78" s="72" t="e">
        <f>PRORRATEO!#REF!</f>
        <v>#REF!</v>
      </c>
      <c r="H78" s="2"/>
      <c r="I78" s="1"/>
      <c r="J78" s="2"/>
    </row>
    <row r="79" spans="2:10" x14ac:dyDescent="0.25">
      <c r="B79" s="1"/>
      <c r="H79" s="2"/>
      <c r="I79" s="257"/>
      <c r="J79" s="258"/>
    </row>
    <row r="80" spans="2:10" x14ac:dyDescent="0.25">
      <c r="B80" s="1"/>
      <c r="H80" s="2"/>
      <c r="I80" s="1"/>
      <c r="J80" s="2"/>
    </row>
    <row r="81" spans="2:10" x14ac:dyDescent="0.25">
      <c r="B81" s="1"/>
      <c r="H81" s="2"/>
      <c r="I81" s="1"/>
      <c r="J81" s="2"/>
    </row>
    <row r="82" spans="2:10" ht="15.75" thickBot="1" x14ac:dyDescent="0.3">
      <c r="B82" s="1"/>
      <c r="H82" s="2"/>
      <c r="I82" s="79"/>
      <c r="J82" s="82"/>
    </row>
    <row r="83" spans="2:10" ht="15.75" thickBot="1" x14ac:dyDescent="0.3">
      <c r="B83" s="247" t="s">
        <v>210</v>
      </c>
      <c r="C83" s="248"/>
      <c r="D83" s="248"/>
      <c r="E83" s="248"/>
      <c r="F83" s="248"/>
      <c r="G83" s="249" t="e">
        <f>PRORRATEO!#REF!</f>
        <v>#REF!</v>
      </c>
      <c r="H83" s="250"/>
      <c r="I83" s="71"/>
      <c r="J83" s="81"/>
    </row>
    <row r="86" spans="2:10" ht="228" customHeight="1" thickBot="1" x14ac:dyDescent="0.3"/>
    <row r="87" spans="2:10" ht="15.75" thickBot="1" x14ac:dyDescent="0.3">
      <c r="B87" s="259" t="s">
        <v>209</v>
      </c>
      <c r="C87" s="260"/>
      <c r="D87" s="260"/>
      <c r="E87" s="260"/>
      <c r="F87" s="260"/>
      <c r="G87" s="260"/>
      <c r="H87" s="261"/>
      <c r="I87" s="69"/>
      <c r="J87" s="70"/>
    </row>
    <row r="88" spans="2:10" ht="15.75" thickBot="1" x14ac:dyDescent="0.3">
      <c r="B88" s="251" t="s">
        <v>120</v>
      </c>
      <c r="C88" s="252"/>
      <c r="D88" s="252"/>
      <c r="E88" s="252"/>
      <c r="F88" s="252"/>
      <c r="G88" s="252"/>
      <c r="H88" s="253"/>
      <c r="I88" s="1"/>
      <c r="J88" s="2"/>
    </row>
    <row r="89" spans="2:10" x14ac:dyDescent="0.25">
      <c r="B89" s="69" t="s">
        <v>217</v>
      </c>
      <c r="C89" s="80"/>
      <c r="D89" s="80"/>
      <c r="E89" s="80"/>
      <c r="G89" t="s">
        <v>39</v>
      </c>
      <c r="H89" s="2"/>
      <c r="I89" s="1"/>
      <c r="J89" s="2"/>
    </row>
    <row r="90" spans="2:10" x14ac:dyDescent="0.25">
      <c r="B90" s="74" t="s">
        <v>214</v>
      </c>
      <c r="C90" s="72"/>
      <c r="D90" s="72"/>
      <c r="H90" s="2"/>
      <c r="I90" s="1"/>
      <c r="J90" s="2"/>
    </row>
    <row r="91" spans="2:10" x14ac:dyDescent="0.25">
      <c r="B91" s="75"/>
      <c r="C91" s="76"/>
      <c r="D91" s="76"/>
      <c r="E91" s="77"/>
      <c r="F91" s="77"/>
      <c r="G91" s="77"/>
      <c r="H91" s="78"/>
      <c r="I91" s="1"/>
      <c r="J91" s="2"/>
    </row>
    <row r="92" spans="2:10" x14ac:dyDescent="0.25">
      <c r="B92" s="254" t="s">
        <v>212</v>
      </c>
      <c r="C92" s="255"/>
      <c r="D92" s="255"/>
      <c r="E92" s="255"/>
      <c r="F92" s="255"/>
      <c r="G92" s="255"/>
      <c r="H92" s="256"/>
      <c r="I92" s="1"/>
      <c r="J92" s="2"/>
    </row>
    <row r="93" spans="2:10" x14ac:dyDescent="0.25">
      <c r="B93" s="74"/>
      <c r="C93" s="72"/>
      <c r="D93" s="72"/>
      <c r="H93" s="2"/>
      <c r="I93" s="1"/>
      <c r="J93" s="2"/>
    </row>
    <row r="94" spans="2:10" x14ac:dyDescent="0.25">
      <c r="B94" s="1" t="s">
        <v>208</v>
      </c>
      <c r="E94" t="e">
        <f>PRORRATEO!#REF!</f>
        <v>#REF!</v>
      </c>
      <c r="H94" s="2"/>
      <c r="I94" s="257" t="s">
        <v>213</v>
      </c>
      <c r="J94" s="258"/>
    </row>
    <row r="95" spans="2:10" x14ac:dyDescent="0.25">
      <c r="B95" s="1" t="s">
        <v>207</v>
      </c>
      <c r="C95" s="72" t="e">
        <f>PRORRATEO!#REF!</f>
        <v>#REF!</v>
      </c>
      <c r="D95" s="73" t="s">
        <v>211</v>
      </c>
      <c r="E95" s="72" t="e">
        <f>PRORRATEO!#REF!</f>
        <v>#REF!</v>
      </c>
      <c r="H95" s="2"/>
      <c r="I95" s="1"/>
      <c r="J95" s="2"/>
    </row>
    <row r="96" spans="2:10" x14ac:dyDescent="0.25">
      <c r="B96" s="1"/>
      <c r="H96" s="2"/>
      <c r="I96" s="257"/>
      <c r="J96" s="258"/>
    </row>
    <row r="97" spans="2:10" x14ac:dyDescent="0.25">
      <c r="B97" s="1"/>
      <c r="H97" s="2"/>
      <c r="I97" s="1"/>
      <c r="J97" s="2"/>
    </row>
    <row r="98" spans="2:10" x14ac:dyDescent="0.25">
      <c r="B98" s="1"/>
      <c r="H98" s="2"/>
      <c r="I98" s="1"/>
      <c r="J98" s="2"/>
    </row>
    <row r="99" spans="2:10" ht="15.75" thickBot="1" x14ac:dyDescent="0.3">
      <c r="B99" s="1"/>
      <c r="H99" s="2"/>
      <c r="I99" s="79"/>
      <c r="J99" s="82"/>
    </row>
    <row r="100" spans="2:10" ht="15.75" thickBot="1" x14ac:dyDescent="0.3">
      <c r="B100" s="247" t="s">
        <v>210</v>
      </c>
      <c r="C100" s="248"/>
      <c r="D100" s="248"/>
      <c r="E100" s="248"/>
      <c r="F100" s="248"/>
      <c r="G100" s="249" t="e">
        <f>PRORRATEO!#REF!</f>
        <v>#REF!</v>
      </c>
      <c r="H100" s="250"/>
      <c r="I100" s="71"/>
      <c r="J100" s="81"/>
    </row>
    <row r="103" spans="2:10" ht="15.75" thickBot="1" x14ac:dyDescent="0.3"/>
    <row r="104" spans="2:10" ht="15.75" thickBot="1" x14ac:dyDescent="0.3">
      <c r="B104" s="259" t="s">
        <v>209</v>
      </c>
      <c r="C104" s="260"/>
      <c r="D104" s="260"/>
      <c r="E104" s="260"/>
      <c r="F104" s="260"/>
      <c r="G104" s="260"/>
      <c r="H104" s="261"/>
      <c r="I104" s="69"/>
      <c r="J104" s="70"/>
    </row>
    <row r="105" spans="2:10" ht="15.75" thickBot="1" x14ac:dyDescent="0.3">
      <c r="B105" s="251" t="s">
        <v>120</v>
      </c>
      <c r="C105" s="252"/>
      <c r="D105" s="252"/>
      <c r="E105" s="252"/>
      <c r="F105" s="252"/>
      <c r="G105" s="252"/>
      <c r="H105" s="253"/>
      <c r="I105" s="1"/>
      <c r="J105" s="2"/>
    </row>
    <row r="106" spans="2:10" x14ac:dyDescent="0.25">
      <c r="B106" s="69" t="s">
        <v>217</v>
      </c>
      <c r="C106" s="80"/>
      <c r="D106" s="80"/>
      <c r="E106" s="80"/>
      <c r="G106" t="s">
        <v>39</v>
      </c>
      <c r="H106" s="2"/>
      <c r="I106" s="1"/>
      <c r="J106" s="2"/>
    </row>
    <row r="107" spans="2:10" x14ac:dyDescent="0.25">
      <c r="B107" s="74" t="s">
        <v>214</v>
      </c>
      <c r="C107" s="72"/>
      <c r="D107" s="72"/>
      <c r="H107" s="2"/>
      <c r="I107" s="1"/>
      <c r="J107" s="2"/>
    </row>
    <row r="108" spans="2:10" x14ac:dyDescent="0.25">
      <c r="B108" s="75"/>
      <c r="C108" s="76"/>
      <c r="D108" s="76"/>
      <c r="E108" s="77"/>
      <c r="F108" s="77"/>
      <c r="G108" s="77"/>
      <c r="H108" s="78"/>
      <c r="I108" s="1"/>
      <c r="J108" s="2"/>
    </row>
    <row r="109" spans="2:10" x14ac:dyDescent="0.25">
      <c r="B109" s="254" t="s">
        <v>212</v>
      </c>
      <c r="C109" s="255"/>
      <c r="D109" s="255"/>
      <c r="E109" s="255"/>
      <c r="F109" s="255"/>
      <c r="G109" s="255"/>
      <c r="H109" s="256"/>
      <c r="I109" s="1"/>
      <c r="J109" s="2"/>
    </row>
    <row r="110" spans="2:10" x14ac:dyDescent="0.25">
      <c r="B110" s="74"/>
      <c r="C110" s="72"/>
      <c r="D110" s="72"/>
      <c r="H110" s="2"/>
      <c r="I110" s="1"/>
      <c r="J110" s="2"/>
    </row>
    <row r="111" spans="2:10" x14ac:dyDescent="0.25">
      <c r="B111" s="1" t="s">
        <v>208</v>
      </c>
      <c r="E111" t="e">
        <f>PRORRATEO!#REF!</f>
        <v>#REF!</v>
      </c>
      <c r="H111" s="2"/>
      <c r="I111" s="257" t="s">
        <v>213</v>
      </c>
      <c r="J111" s="258"/>
    </row>
    <row r="112" spans="2:10" x14ac:dyDescent="0.25">
      <c r="B112" s="1" t="s">
        <v>207</v>
      </c>
      <c r="C112" s="72" t="e">
        <f>PRORRATEO!#REF!</f>
        <v>#REF!</v>
      </c>
      <c r="D112" s="73" t="s">
        <v>211</v>
      </c>
      <c r="E112" s="72" t="e">
        <f>PRORRATEO!#REF!</f>
        <v>#REF!</v>
      </c>
      <c r="H112" s="2"/>
      <c r="I112" s="1"/>
      <c r="J112" s="2"/>
    </row>
    <row r="113" spans="2:10" x14ac:dyDescent="0.25">
      <c r="B113" s="1"/>
      <c r="H113" s="2"/>
      <c r="I113" s="257"/>
      <c r="J113" s="258"/>
    </row>
    <row r="114" spans="2:10" x14ac:dyDescent="0.25">
      <c r="B114" s="1"/>
      <c r="H114" s="2"/>
      <c r="I114" s="1"/>
      <c r="J114" s="2"/>
    </row>
    <row r="115" spans="2:10" x14ac:dyDescent="0.25">
      <c r="B115" s="1"/>
      <c r="H115" s="2"/>
      <c r="I115" s="1"/>
      <c r="J115" s="2"/>
    </row>
    <row r="116" spans="2:10" ht="15.75" thickBot="1" x14ac:dyDescent="0.3">
      <c r="B116" s="1"/>
      <c r="H116" s="2"/>
      <c r="I116" s="79"/>
      <c r="J116" s="82"/>
    </row>
    <row r="117" spans="2:10" ht="15.75" thickBot="1" x14ac:dyDescent="0.3">
      <c r="B117" s="247" t="s">
        <v>210</v>
      </c>
      <c r="C117" s="248"/>
      <c r="D117" s="248"/>
      <c r="E117" s="248"/>
      <c r="F117" s="248"/>
      <c r="G117" s="249" t="e">
        <f>PRORRATEO!#REF!</f>
        <v>#REF!</v>
      </c>
      <c r="H117" s="250"/>
      <c r="I117" s="71"/>
      <c r="J117" s="81"/>
    </row>
    <row r="120" spans="2:10" ht="15.75" thickBot="1" x14ac:dyDescent="0.3"/>
    <row r="121" spans="2:10" ht="15.75" thickBot="1" x14ac:dyDescent="0.3">
      <c r="B121" s="259" t="s">
        <v>209</v>
      </c>
      <c r="C121" s="260"/>
      <c r="D121" s="260"/>
      <c r="E121" s="260"/>
      <c r="F121" s="260"/>
      <c r="G121" s="260"/>
      <c r="H121" s="261"/>
      <c r="I121" s="69"/>
      <c r="J121" s="70"/>
    </row>
    <row r="122" spans="2:10" ht="15.75" thickBot="1" x14ac:dyDescent="0.3">
      <c r="B122" s="251" t="s">
        <v>120</v>
      </c>
      <c r="C122" s="252"/>
      <c r="D122" s="252"/>
      <c r="E122" s="252"/>
      <c r="F122" s="252"/>
      <c r="G122" s="252"/>
      <c r="H122" s="253"/>
      <c r="I122" s="1"/>
      <c r="J122" s="2"/>
    </row>
    <row r="123" spans="2:10" x14ac:dyDescent="0.25">
      <c r="B123" s="69" t="s">
        <v>217</v>
      </c>
      <c r="C123" s="80"/>
      <c r="D123" s="80"/>
      <c r="E123" s="80"/>
      <c r="G123" t="s">
        <v>39</v>
      </c>
      <c r="H123" s="2"/>
      <c r="I123" s="1"/>
      <c r="J123" s="2"/>
    </row>
    <row r="124" spans="2:10" x14ac:dyDescent="0.25">
      <c r="B124" s="74" t="s">
        <v>214</v>
      </c>
      <c r="C124" s="72"/>
      <c r="D124" s="72"/>
      <c r="H124" s="2"/>
      <c r="I124" s="1"/>
      <c r="J124" s="2"/>
    </row>
    <row r="125" spans="2:10" x14ac:dyDescent="0.25">
      <c r="B125" s="75"/>
      <c r="C125" s="76"/>
      <c r="D125" s="76"/>
      <c r="E125" s="77"/>
      <c r="F125" s="77"/>
      <c r="G125" s="77"/>
      <c r="H125" s="78"/>
      <c r="I125" s="1"/>
      <c r="J125" s="2"/>
    </row>
    <row r="126" spans="2:10" x14ac:dyDescent="0.25">
      <c r="B126" s="254" t="s">
        <v>212</v>
      </c>
      <c r="C126" s="255"/>
      <c r="D126" s="255"/>
      <c r="E126" s="255"/>
      <c r="F126" s="255"/>
      <c r="G126" s="255"/>
      <c r="H126" s="256"/>
      <c r="I126" s="1"/>
      <c r="J126" s="2"/>
    </row>
    <row r="127" spans="2:10" x14ac:dyDescent="0.25">
      <c r="B127" s="74"/>
      <c r="C127" s="72"/>
      <c r="D127" s="72"/>
      <c r="H127" s="2"/>
      <c r="I127" s="1"/>
      <c r="J127" s="2"/>
    </row>
    <row r="128" spans="2:10" x14ac:dyDescent="0.25">
      <c r="B128" s="1" t="s">
        <v>208</v>
      </c>
      <c r="E128" t="e">
        <f>PRORRATEO!#REF!</f>
        <v>#REF!</v>
      </c>
      <c r="H128" s="2"/>
      <c r="I128" s="257" t="s">
        <v>213</v>
      </c>
      <c r="J128" s="258"/>
    </row>
    <row r="129" spans="2:10" x14ac:dyDescent="0.25">
      <c r="B129" s="1" t="s">
        <v>207</v>
      </c>
      <c r="C129" s="72" t="e">
        <f>PRORRATEO!#REF!</f>
        <v>#REF!</v>
      </c>
      <c r="D129" s="73" t="s">
        <v>211</v>
      </c>
      <c r="E129" s="72" t="e">
        <f>PRORRATEO!#REF!</f>
        <v>#REF!</v>
      </c>
      <c r="H129" s="2"/>
      <c r="I129" s="1"/>
      <c r="J129" s="2"/>
    </row>
    <row r="130" spans="2:10" x14ac:dyDescent="0.25">
      <c r="B130" s="1"/>
      <c r="H130" s="2"/>
      <c r="I130" s="257"/>
      <c r="J130" s="258"/>
    </row>
    <row r="131" spans="2:10" x14ac:dyDescent="0.25">
      <c r="B131" s="1"/>
      <c r="H131" s="2"/>
      <c r="I131" s="1"/>
      <c r="J131" s="2"/>
    </row>
    <row r="132" spans="2:10" x14ac:dyDescent="0.25">
      <c r="B132" s="1"/>
      <c r="H132" s="2"/>
      <c r="I132" s="1"/>
      <c r="J132" s="2"/>
    </row>
    <row r="133" spans="2:10" ht="15.75" thickBot="1" x14ac:dyDescent="0.3">
      <c r="B133" s="1"/>
      <c r="H133" s="2"/>
      <c r="I133" s="79"/>
      <c r="J133" s="82"/>
    </row>
    <row r="134" spans="2:10" ht="15.75" thickBot="1" x14ac:dyDescent="0.3">
      <c r="B134" s="247" t="s">
        <v>210</v>
      </c>
      <c r="C134" s="248"/>
      <c r="D134" s="248"/>
      <c r="E134" s="248"/>
      <c r="F134" s="248"/>
      <c r="G134" s="249" t="e">
        <f>PRORRATEO!#REF!</f>
        <v>#REF!</v>
      </c>
      <c r="H134" s="250"/>
      <c r="I134" s="71"/>
      <c r="J134" s="81"/>
    </row>
    <row r="138" spans="2:10" ht="15.75" thickBot="1" x14ac:dyDescent="0.3"/>
    <row r="139" spans="2:10" ht="15.75" thickBot="1" x14ac:dyDescent="0.3">
      <c r="B139" s="259" t="s">
        <v>209</v>
      </c>
      <c r="C139" s="260"/>
      <c r="D139" s="260"/>
      <c r="E139" s="260"/>
      <c r="F139" s="260"/>
      <c r="G139" s="260"/>
      <c r="H139" s="261"/>
      <c r="I139" s="69"/>
      <c r="J139" s="70"/>
    </row>
    <row r="140" spans="2:10" ht="15.75" thickBot="1" x14ac:dyDescent="0.3">
      <c r="B140" s="251" t="s">
        <v>120</v>
      </c>
      <c r="C140" s="252"/>
      <c r="D140" s="252"/>
      <c r="E140" s="252"/>
      <c r="F140" s="252"/>
      <c r="G140" s="252"/>
      <c r="H140" s="253"/>
      <c r="I140" s="1"/>
      <c r="J140" s="2"/>
    </row>
    <row r="141" spans="2:10" x14ac:dyDescent="0.25">
      <c r="B141" s="69" t="s">
        <v>217</v>
      </c>
      <c r="C141" s="80"/>
      <c r="D141" s="80"/>
      <c r="E141" s="80"/>
      <c r="G141" t="s">
        <v>39</v>
      </c>
      <c r="H141" s="2"/>
      <c r="I141" s="1"/>
      <c r="J141" s="2"/>
    </row>
    <row r="142" spans="2:10" x14ac:dyDescent="0.25">
      <c r="B142" s="74" t="s">
        <v>214</v>
      </c>
      <c r="C142" s="72"/>
      <c r="D142" s="72"/>
      <c r="H142" s="2"/>
      <c r="I142" s="1"/>
      <c r="J142" s="2"/>
    </row>
    <row r="143" spans="2:10" x14ac:dyDescent="0.25">
      <c r="B143" s="75"/>
      <c r="C143" s="76"/>
      <c r="D143" s="76"/>
      <c r="E143" s="77"/>
      <c r="F143" s="77"/>
      <c r="G143" s="77"/>
      <c r="H143" s="78"/>
      <c r="I143" s="1"/>
      <c r="J143" s="2"/>
    </row>
    <row r="144" spans="2:10" x14ac:dyDescent="0.25">
      <c r="B144" s="254" t="s">
        <v>212</v>
      </c>
      <c r="C144" s="255"/>
      <c r="D144" s="255"/>
      <c r="E144" s="255"/>
      <c r="F144" s="255"/>
      <c r="G144" s="255"/>
      <c r="H144" s="256"/>
      <c r="I144" s="1"/>
      <c r="J144" s="2"/>
    </row>
    <row r="145" spans="2:10" x14ac:dyDescent="0.25">
      <c r="B145" s="74"/>
      <c r="C145" s="72"/>
      <c r="D145" s="72"/>
      <c r="H145" s="2"/>
      <c r="I145" s="1"/>
      <c r="J145" s="2"/>
    </row>
    <row r="146" spans="2:10" x14ac:dyDescent="0.25">
      <c r="B146" s="1" t="s">
        <v>208</v>
      </c>
      <c r="E146" t="e">
        <f>PRORRATEO!#REF!</f>
        <v>#REF!</v>
      </c>
      <c r="H146" s="2"/>
      <c r="I146" s="257" t="s">
        <v>213</v>
      </c>
      <c r="J146" s="258"/>
    </row>
    <row r="147" spans="2:10" x14ac:dyDescent="0.25">
      <c r="B147" s="1" t="s">
        <v>207</v>
      </c>
      <c r="C147" s="72" t="e">
        <f>PRORRATEO!#REF!</f>
        <v>#REF!</v>
      </c>
      <c r="D147" s="73" t="s">
        <v>211</v>
      </c>
      <c r="E147" s="72" t="e">
        <f>PRORRATEO!#REF!</f>
        <v>#REF!</v>
      </c>
      <c r="H147" s="2"/>
      <c r="I147" s="1"/>
      <c r="J147" s="2"/>
    </row>
    <row r="148" spans="2:10" x14ac:dyDescent="0.25">
      <c r="B148" s="1"/>
      <c r="H148" s="2"/>
      <c r="I148" s="257"/>
      <c r="J148" s="258"/>
    </row>
    <row r="149" spans="2:10" x14ac:dyDescent="0.25">
      <c r="B149" s="1"/>
      <c r="H149" s="2"/>
      <c r="I149" s="1"/>
      <c r="J149" s="2"/>
    </row>
    <row r="150" spans="2:10" x14ac:dyDescent="0.25">
      <c r="B150" s="1"/>
      <c r="H150" s="2"/>
      <c r="I150" s="1"/>
      <c r="J150" s="2"/>
    </row>
    <row r="151" spans="2:10" ht="15.75" thickBot="1" x14ac:dyDescent="0.3">
      <c r="B151" s="1"/>
      <c r="H151" s="2"/>
      <c r="I151" s="79"/>
      <c r="J151" s="82"/>
    </row>
    <row r="152" spans="2:10" ht="15.75" thickBot="1" x14ac:dyDescent="0.3">
      <c r="B152" s="247" t="s">
        <v>210</v>
      </c>
      <c r="C152" s="248"/>
      <c r="D152" s="248"/>
      <c r="E152" s="248"/>
      <c r="F152" s="248"/>
      <c r="G152" s="249" t="e">
        <f>PRORRATEO!#REF!</f>
        <v>#REF!</v>
      </c>
      <c r="H152" s="250"/>
      <c r="I152" s="71"/>
      <c r="J152" s="81"/>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2025-11-03T17:13:33Z</cp:lastPrinted>
  <dcterms:created xsi:type="dcterms:W3CDTF">2023-09-17T12:29:07Z</dcterms:created>
  <dcterms:modified xsi:type="dcterms:W3CDTF">2025-11-03T17:13:37Z</dcterms:modified>
</cp:coreProperties>
</file>