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\Desktop\rc-consorcio2025\GALERIA\"/>
    </mc:Choice>
  </mc:AlternateContent>
  <xr:revisionPtr revIDLastSave="0" documentId="13_ncr:1_{67AB761E-27BF-4488-AF93-FDA0186F5526}" xr6:coauthVersionLast="47" xr6:coauthVersionMax="47" xr10:uidLastSave="{00000000-0000-0000-0000-000000000000}"/>
  <bookViews>
    <workbookView xWindow="-108" yWindow="-108" windowWidth="23256" windowHeight="12576" xr2:uid="{8F1AF50A-3D5A-4AA7-9C02-0BC7EBCDB2F5}"/>
  </bookViews>
  <sheets>
    <sheet name="Hoja1" sheetId="1" r:id="rId1"/>
  </sheets>
  <definedNames>
    <definedName name="_xlnm.Print_Area" localSheetId="0">Hoja1!$D$4:$H$131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1" i="1" l="1"/>
  <c r="G128" i="1"/>
  <c r="D128" i="1"/>
  <c r="H121" i="1"/>
  <c r="H118" i="1"/>
  <c r="H115" i="1"/>
  <c r="H112" i="1"/>
  <c r="H109" i="1"/>
  <c r="H106" i="1"/>
  <c r="H97" i="1"/>
  <c r="H94" i="1"/>
  <c r="H91" i="1"/>
  <c r="H88" i="1"/>
  <c r="H85" i="1"/>
  <c r="H82" i="1"/>
  <c r="H79" i="1"/>
  <c r="H76" i="1"/>
  <c r="H73" i="1"/>
  <c r="H70" i="1"/>
  <c r="H67" i="1"/>
  <c r="H64" i="1"/>
  <c r="H61" i="1"/>
  <c r="H58" i="1"/>
  <c r="H55" i="1"/>
  <c r="H52" i="1"/>
  <c r="H49" i="1"/>
  <c r="H46" i="1"/>
  <c r="H43" i="1"/>
  <c r="H40" i="1"/>
  <c r="H37" i="1"/>
  <c r="H34" i="1"/>
  <c r="H31" i="1"/>
  <c r="H28" i="1"/>
  <c r="H25" i="1"/>
  <c r="H22" i="1"/>
  <c r="H19" i="1"/>
  <c r="H16" i="1"/>
  <c r="H13" i="1"/>
  <c r="H10" i="1"/>
  <c r="H8" i="1"/>
  <c r="E106" i="1" l="1"/>
  <c r="D13" i="1" l="1"/>
  <c r="D16" i="1" s="1"/>
  <c r="D19" i="1" s="1"/>
  <c r="D22" i="1" s="1"/>
  <c r="D25" i="1" s="1"/>
  <c r="D28" i="1" s="1"/>
  <c r="D31" i="1" s="1"/>
  <c r="D34" i="1" s="1"/>
  <c r="D37" i="1" s="1"/>
  <c r="D40" i="1" s="1"/>
  <c r="D43" i="1" s="1"/>
  <c r="D46" i="1" s="1"/>
  <c r="D49" i="1" s="1"/>
  <c r="D52" i="1" s="1"/>
  <c r="D55" i="1" s="1"/>
  <c r="D58" i="1" s="1"/>
  <c r="D61" i="1" s="1"/>
  <c r="D64" i="1" s="1"/>
  <c r="D67" i="1" s="1"/>
  <c r="D70" i="1" s="1"/>
  <c r="D73" i="1" s="1"/>
  <c r="D76" i="1" s="1"/>
  <c r="D79" i="1" s="1"/>
  <c r="D82" i="1" s="1"/>
  <c r="D85" i="1" s="1"/>
  <c r="D88" i="1" s="1"/>
  <c r="D91" i="1" s="1"/>
  <c r="D94" i="1" s="1"/>
  <c r="D97" i="1" s="1"/>
  <c r="D100" i="1" s="1"/>
  <c r="D103" i="1" s="1"/>
  <c r="D112" i="1" s="1"/>
  <c r="D115" i="1" s="1"/>
  <c r="D118" i="1" s="1"/>
  <c r="D121" i="1" s="1"/>
  <c r="D124" i="1" s="1"/>
</calcChain>
</file>

<file path=xl/sharedStrings.xml><?xml version="1.0" encoding="utf-8"?>
<sst xmlns="http://schemas.openxmlformats.org/spreadsheetml/2006/main" count="88" uniqueCount="10">
  <si>
    <t>Mes:</t>
  </si>
  <si>
    <t>Expensas:</t>
  </si>
  <si>
    <t>Expensas Extra.</t>
  </si>
  <si>
    <t>Inicio deuda pre-octubre 2022 - Convenio No pago:</t>
  </si>
  <si>
    <t>Abril - Mayo - Junio 2025</t>
  </si>
  <si>
    <t>Interes - 15% Mensual</t>
  </si>
  <si>
    <t>Desglose de Deuda - UF nro. 3 - Propietario: VAZQUEZ PALLARES, JUAN</t>
  </si>
  <si>
    <t>TOTAL EXPENSAS</t>
  </si>
  <si>
    <t>TOTAL PUNITORIOS</t>
  </si>
  <si>
    <t>TOTAL (EXPENSAS + PUNITORIOS):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</si>
</sst>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left"/>
    </xf>
    <xf numFmtId="0" fontId="3" fillId="5" borderId="2" xfId="0" applyFont="1" applyFill="1" applyBorder="1" applyAlignment="1">
      <alignment horizontal="left"/>
    </xf>
    <xf numFmtId="44" fontId="3" fillId="5" borderId="2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left"/>
    </xf>
    <xf numFmtId="0" fontId="0" fillId="0" borderId="4" xfId="0" applyBorder="1"/>
    <xf numFmtId="0" fontId="0" fillId="0" borderId="0" xfId="0" applyBorder="1"/>
    <xf numFmtId="0" fontId="0" fillId="0" borderId="5" xfId="0" applyBorder="1"/>
    <xf numFmtId="44" fontId="0" fillId="0" borderId="0" xfId="1" applyFont="1" applyBorder="1"/>
    <xf numFmtId="44" fontId="0" fillId="0" borderId="5" xfId="0" applyNumberFormat="1" applyBorder="1"/>
    <xf numFmtId="17" fontId="0" fillId="0" borderId="4" xfId="0" applyNumberFormat="1" applyBorder="1"/>
    <xf numFmtId="17" fontId="0" fillId="0" borderId="4" xfId="0" applyNumberFormat="1" applyBorder="1" applyAlignment="1">
      <alignment vertical="center" wrapText="1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44" fontId="0" fillId="0" borderId="0" xfId="0" applyNumberFormat="1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ED908-669A-45B6-A771-84DC3A3FD613}">
  <dimension ref="C3:H131"/>
  <sheetViews>
    <sheetView tabSelected="1" topLeftCell="A31" workbookViewId="0">
      <selection activeCell="D4" sqref="D4:H131"/>
    </sheetView>
  </sheetViews>
  <sheetFormatPr baseColWidth="10" defaultRowHeight="14.4" x14ac:dyDescent="0.3"/>
  <cols>
    <col min="2" max="2" width="0.88671875" customWidth="1"/>
    <col min="3" max="3" width="11.5546875" hidden="1" customWidth="1"/>
    <col min="5" max="5" width="13" customWidth="1"/>
    <col min="6" max="6" width="14.109375" customWidth="1"/>
    <col min="8" max="8" width="25" customWidth="1"/>
  </cols>
  <sheetData>
    <row r="3" spans="4:8" ht="15" thickBot="1" x14ac:dyDescent="0.35"/>
    <row r="4" spans="4:8" ht="16.2" thickBot="1" x14ac:dyDescent="0.35">
      <c r="D4" s="1" t="s">
        <v>6</v>
      </c>
      <c r="E4" s="2"/>
      <c r="F4" s="2"/>
      <c r="G4" s="2"/>
      <c r="H4" s="3"/>
    </row>
    <row r="5" spans="4:8" x14ac:dyDescent="0.3">
      <c r="D5" s="9"/>
      <c r="E5" s="10"/>
      <c r="F5" s="10"/>
      <c r="G5" s="10"/>
      <c r="H5" s="11"/>
    </row>
    <row r="6" spans="4:8" x14ac:dyDescent="0.3">
      <c r="D6" s="9"/>
      <c r="E6" s="10"/>
      <c r="F6" s="10"/>
      <c r="G6" s="10"/>
      <c r="H6" s="11"/>
    </row>
    <row r="7" spans="4:8" x14ac:dyDescent="0.3">
      <c r="D7" s="9" t="s">
        <v>3</v>
      </c>
      <c r="E7" s="10"/>
      <c r="F7" s="10"/>
      <c r="G7" s="10"/>
      <c r="H7" s="11" t="s">
        <v>5</v>
      </c>
    </row>
    <row r="8" spans="4:8" x14ac:dyDescent="0.3">
      <c r="D8" s="9"/>
      <c r="E8" s="12">
        <v>57536</v>
      </c>
      <c r="F8" s="10"/>
      <c r="G8" s="10"/>
      <c r="H8" s="13">
        <f>E8*15%</f>
        <v>8630.4</v>
      </c>
    </row>
    <row r="9" spans="4:8" x14ac:dyDescent="0.3">
      <c r="D9" s="9" t="s">
        <v>0</v>
      </c>
      <c r="E9" s="10" t="s">
        <v>1</v>
      </c>
      <c r="F9" s="10"/>
      <c r="G9" s="10"/>
      <c r="H9" s="11"/>
    </row>
    <row r="10" spans="4:8" x14ac:dyDescent="0.3">
      <c r="D10" s="14">
        <v>44835</v>
      </c>
      <c r="E10" s="12">
        <v>8400</v>
      </c>
      <c r="F10" s="10"/>
      <c r="G10" s="10"/>
      <c r="H10" s="13">
        <f>E10*15%</f>
        <v>1260</v>
      </c>
    </row>
    <row r="11" spans="4:8" x14ac:dyDescent="0.3">
      <c r="D11" s="9"/>
      <c r="E11" s="12"/>
      <c r="F11" s="10"/>
      <c r="G11" s="10"/>
      <c r="H11" s="11"/>
    </row>
    <row r="12" spans="4:8" x14ac:dyDescent="0.3">
      <c r="D12" s="9" t="s">
        <v>0</v>
      </c>
      <c r="E12" s="12" t="s">
        <v>1</v>
      </c>
      <c r="F12" s="10"/>
      <c r="G12" s="10"/>
      <c r="H12" s="11"/>
    </row>
    <row r="13" spans="4:8" x14ac:dyDescent="0.3">
      <c r="D13" s="14">
        <f>D10+31</f>
        <v>44866</v>
      </c>
      <c r="E13" s="12">
        <v>8400</v>
      </c>
      <c r="F13" s="10"/>
      <c r="G13" s="10"/>
      <c r="H13" s="13">
        <f>E13*15%</f>
        <v>1260</v>
      </c>
    </row>
    <row r="14" spans="4:8" x14ac:dyDescent="0.3">
      <c r="D14" s="9"/>
      <c r="E14" s="12"/>
      <c r="F14" s="10"/>
      <c r="G14" s="10"/>
      <c r="H14" s="11"/>
    </row>
    <row r="15" spans="4:8" x14ac:dyDescent="0.3">
      <c r="D15" s="9" t="s">
        <v>0</v>
      </c>
      <c r="E15" s="12" t="s">
        <v>1</v>
      </c>
      <c r="F15" s="10"/>
      <c r="G15" s="10"/>
      <c r="H15" s="11"/>
    </row>
    <row r="16" spans="4:8" x14ac:dyDescent="0.3">
      <c r="D16" s="14">
        <f>D13+31</f>
        <v>44897</v>
      </c>
      <c r="E16" s="12">
        <v>10800</v>
      </c>
      <c r="F16" s="10"/>
      <c r="G16" s="10"/>
      <c r="H16" s="13">
        <f>E16*15%</f>
        <v>1620</v>
      </c>
    </row>
    <row r="17" spans="4:8" x14ac:dyDescent="0.3">
      <c r="D17" s="9"/>
      <c r="E17" s="12"/>
      <c r="F17" s="10"/>
      <c r="G17" s="10"/>
      <c r="H17" s="11"/>
    </row>
    <row r="18" spans="4:8" x14ac:dyDescent="0.3">
      <c r="D18" s="9" t="s">
        <v>0</v>
      </c>
      <c r="E18" s="12" t="s">
        <v>1</v>
      </c>
      <c r="F18" s="10"/>
      <c r="G18" s="10"/>
      <c r="H18" s="11"/>
    </row>
    <row r="19" spans="4:8" x14ac:dyDescent="0.3">
      <c r="D19" s="14">
        <f>D16+31</f>
        <v>44928</v>
      </c>
      <c r="E19" s="12">
        <v>15680</v>
      </c>
      <c r="F19" s="10"/>
      <c r="G19" s="10"/>
      <c r="H19" s="13">
        <f>E19*15%</f>
        <v>2352</v>
      </c>
    </row>
    <row r="20" spans="4:8" x14ac:dyDescent="0.3">
      <c r="D20" s="9"/>
      <c r="E20" s="12"/>
      <c r="F20" s="10"/>
      <c r="G20" s="10"/>
      <c r="H20" s="11"/>
    </row>
    <row r="21" spans="4:8" x14ac:dyDescent="0.3">
      <c r="D21" s="9" t="s">
        <v>0</v>
      </c>
      <c r="E21" s="12" t="s">
        <v>1</v>
      </c>
      <c r="F21" s="10"/>
      <c r="G21" s="10"/>
      <c r="H21" s="11"/>
    </row>
    <row r="22" spans="4:8" x14ac:dyDescent="0.3">
      <c r="D22" s="14">
        <f>D19+31</f>
        <v>44959</v>
      </c>
      <c r="E22" s="12">
        <v>21280</v>
      </c>
      <c r="F22" s="10"/>
      <c r="G22" s="10"/>
      <c r="H22" s="13">
        <f>E22*15%</f>
        <v>3192</v>
      </c>
    </row>
    <row r="23" spans="4:8" x14ac:dyDescent="0.3">
      <c r="D23" s="9"/>
      <c r="E23" s="12"/>
      <c r="F23" s="10"/>
      <c r="G23" s="10"/>
      <c r="H23" s="11"/>
    </row>
    <row r="24" spans="4:8" x14ac:dyDescent="0.3">
      <c r="D24" s="9" t="s">
        <v>0</v>
      </c>
      <c r="E24" s="12" t="s">
        <v>1</v>
      </c>
      <c r="F24" s="10"/>
      <c r="G24" s="10"/>
      <c r="H24" s="11"/>
    </row>
    <row r="25" spans="4:8" x14ac:dyDescent="0.3">
      <c r="D25" s="14">
        <f>D22+31</f>
        <v>44990</v>
      </c>
      <c r="E25" s="12">
        <v>21280</v>
      </c>
      <c r="F25" s="10"/>
      <c r="G25" s="10"/>
      <c r="H25" s="13">
        <f>E25*15%</f>
        <v>3192</v>
      </c>
    </row>
    <row r="26" spans="4:8" x14ac:dyDescent="0.3">
      <c r="D26" s="9"/>
      <c r="E26" s="12"/>
      <c r="F26" s="10"/>
      <c r="G26" s="10"/>
      <c r="H26" s="11"/>
    </row>
    <row r="27" spans="4:8" x14ac:dyDescent="0.3">
      <c r="D27" s="9" t="s">
        <v>0</v>
      </c>
      <c r="E27" s="12" t="s">
        <v>1</v>
      </c>
      <c r="F27" s="10"/>
      <c r="G27" s="10"/>
      <c r="H27" s="11"/>
    </row>
    <row r="28" spans="4:8" x14ac:dyDescent="0.3">
      <c r="D28" s="14">
        <f t="shared" ref="D28" si="0">D25+31</f>
        <v>45021</v>
      </c>
      <c r="E28" s="12">
        <v>21280</v>
      </c>
      <c r="F28" s="10"/>
      <c r="G28" s="10"/>
      <c r="H28" s="13">
        <f>E28*15%</f>
        <v>3192</v>
      </c>
    </row>
    <row r="29" spans="4:8" x14ac:dyDescent="0.3">
      <c r="D29" s="9"/>
      <c r="E29" s="12"/>
      <c r="F29" s="10"/>
      <c r="G29" s="10"/>
      <c r="H29" s="11"/>
    </row>
    <row r="30" spans="4:8" x14ac:dyDescent="0.3">
      <c r="D30" s="9" t="s">
        <v>0</v>
      </c>
      <c r="E30" s="12" t="s">
        <v>1</v>
      </c>
      <c r="F30" s="10"/>
      <c r="G30" s="10"/>
      <c r="H30" s="11"/>
    </row>
    <row r="31" spans="4:8" x14ac:dyDescent="0.3">
      <c r="D31" s="14">
        <f t="shared" ref="D31" si="1">D28+31</f>
        <v>45052</v>
      </c>
      <c r="E31" s="12">
        <v>25200</v>
      </c>
      <c r="F31" s="10"/>
      <c r="G31" s="10"/>
      <c r="H31" s="13">
        <f>E31*15%</f>
        <v>3780</v>
      </c>
    </row>
    <row r="32" spans="4:8" x14ac:dyDescent="0.3">
      <c r="D32" s="9"/>
      <c r="E32" s="12"/>
      <c r="F32" s="10"/>
      <c r="G32" s="10"/>
      <c r="H32" s="11"/>
    </row>
    <row r="33" spans="4:8" x14ac:dyDescent="0.3">
      <c r="D33" s="9" t="s">
        <v>0</v>
      </c>
      <c r="E33" s="12" t="s">
        <v>1</v>
      </c>
      <c r="F33" s="10"/>
      <c r="G33" s="10"/>
      <c r="H33" s="11"/>
    </row>
    <row r="34" spans="4:8" x14ac:dyDescent="0.3">
      <c r="D34" s="14">
        <f t="shared" ref="D34" si="2">D31+31</f>
        <v>45083</v>
      </c>
      <c r="E34" s="12">
        <v>25200</v>
      </c>
      <c r="F34" s="10"/>
      <c r="G34" s="10"/>
      <c r="H34" s="13">
        <f>E34*15%</f>
        <v>3780</v>
      </c>
    </row>
    <row r="35" spans="4:8" x14ac:dyDescent="0.3">
      <c r="D35" s="9"/>
      <c r="E35" s="12"/>
      <c r="F35" s="10"/>
      <c r="G35" s="10"/>
      <c r="H35" s="11"/>
    </row>
    <row r="36" spans="4:8" x14ac:dyDescent="0.3">
      <c r="D36" s="9" t="s">
        <v>0</v>
      </c>
      <c r="E36" s="12" t="s">
        <v>1</v>
      </c>
      <c r="F36" s="10"/>
      <c r="G36" s="10"/>
      <c r="H36" s="11"/>
    </row>
    <row r="37" spans="4:8" x14ac:dyDescent="0.3">
      <c r="D37" s="14">
        <f t="shared" ref="D37" si="3">D34+31</f>
        <v>45114</v>
      </c>
      <c r="E37" s="12">
        <v>25200</v>
      </c>
      <c r="F37" s="10"/>
      <c r="G37" s="10"/>
      <c r="H37" s="13">
        <f>E37*15%</f>
        <v>3780</v>
      </c>
    </row>
    <row r="38" spans="4:8" x14ac:dyDescent="0.3">
      <c r="D38" s="9"/>
      <c r="E38" s="12"/>
      <c r="F38" s="10"/>
      <c r="G38" s="10"/>
      <c r="H38" s="11"/>
    </row>
    <row r="39" spans="4:8" x14ac:dyDescent="0.3">
      <c r="D39" s="9" t="s">
        <v>0</v>
      </c>
      <c r="E39" s="12" t="s">
        <v>1</v>
      </c>
      <c r="F39" s="10"/>
      <c r="G39" s="10"/>
      <c r="H39" s="11"/>
    </row>
    <row r="40" spans="4:8" x14ac:dyDescent="0.3">
      <c r="D40" s="14">
        <f t="shared" ref="D40" si="4">D37+31</f>
        <v>45145</v>
      </c>
      <c r="E40" s="12">
        <v>25200</v>
      </c>
      <c r="F40" s="10"/>
      <c r="G40" s="10"/>
      <c r="H40" s="13">
        <f>E40*15%</f>
        <v>3780</v>
      </c>
    </row>
    <row r="41" spans="4:8" x14ac:dyDescent="0.3">
      <c r="D41" s="9"/>
      <c r="E41" s="12"/>
      <c r="F41" s="10"/>
      <c r="G41" s="10"/>
      <c r="H41" s="11"/>
    </row>
    <row r="42" spans="4:8" x14ac:dyDescent="0.3">
      <c r="D42" s="9" t="s">
        <v>0</v>
      </c>
      <c r="E42" s="12" t="s">
        <v>1</v>
      </c>
      <c r="F42" s="10"/>
      <c r="G42" s="10"/>
      <c r="H42" s="11"/>
    </row>
    <row r="43" spans="4:8" x14ac:dyDescent="0.3">
      <c r="D43" s="14">
        <f t="shared" ref="D43" si="5">D40+31</f>
        <v>45176</v>
      </c>
      <c r="E43" s="12">
        <v>25200</v>
      </c>
      <c r="F43" s="10"/>
      <c r="G43" s="10"/>
      <c r="H43" s="13">
        <f>E43*15%</f>
        <v>3780</v>
      </c>
    </row>
    <row r="44" spans="4:8" x14ac:dyDescent="0.3">
      <c r="D44" s="9"/>
      <c r="E44" s="12"/>
      <c r="F44" s="10"/>
      <c r="G44" s="10"/>
      <c r="H44" s="11"/>
    </row>
    <row r="45" spans="4:8" x14ac:dyDescent="0.3">
      <c r="D45" s="9" t="s">
        <v>0</v>
      </c>
      <c r="E45" s="12" t="s">
        <v>1</v>
      </c>
      <c r="F45" s="10"/>
      <c r="G45" s="10"/>
      <c r="H45" s="11"/>
    </row>
    <row r="46" spans="4:8" x14ac:dyDescent="0.3">
      <c r="D46" s="14">
        <f t="shared" ref="D46" si="6">D43+31</f>
        <v>45207</v>
      </c>
      <c r="E46" s="12">
        <v>25200</v>
      </c>
      <c r="F46" s="10"/>
      <c r="G46" s="10"/>
      <c r="H46" s="13">
        <f>E46*15%</f>
        <v>3780</v>
      </c>
    </row>
    <row r="47" spans="4:8" x14ac:dyDescent="0.3">
      <c r="D47" s="9"/>
      <c r="E47" s="12"/>
      <c r="F47" s="10"/>
      <c r="G47" s="10"/>
      <c r="H47" s="11"/>
    </row>
    <row r="48" spans="4:8" x14ac:dyDescent="0.3">
      <c r="D48" s="9" t="s">
        <v>0</v>
      </c>
      <c r="E48" s="12" t="s">
        <v>1</v>
      </c>
      <c r="F48" s="10"/>
      <c r="G48" s="10"/>
      <c r="H48" s="11"/>
    </row>
    <row r="49" spans="4:8" x14ac:dyDescent="0.3">
      <c r="D49" s="14">
        <f t="shared" ref="D49" si="7">D46+31</f>
        <v>45238</v>
      </c>
      <c r="E49" s="12">
        <v>30800</v>
      </c>
      <c r="F49" s="10"/>
      <c r="G49" s="10"/>
      <c r="H49" s="13">
        <f>E49*15%</f>
        <v>4620</v>
      </c>
    </row>
    <row r="50" spans="4:8" x14ac:dyDescent="0.3">
      <c r="D50" s="9"/>
      <c r="E50" s="12"/>
      <c r="F50" s="10"/>
      <c r="G50" s="10"/>
      <c r="H50" s="11"/>
    </row>
    <row r="51" spans="4:8" x14ac:dyDescent="0.3">
      <c r="D51" s="9" t="s">
        <v>0</v>
      </c>
      <c r="E51" s="12" t="s">
        <v>1</v>
      </c>
      <c r="F51" s="10"/>
      <c r="G51" s="10"/>
      <c r="H51" s="11"/>
    </row>
    <row r="52" spans="4:8" x14ac:dyDescent="0.3">
      <c r="D52" s="14">
        <f t="shared" ref="D52" si="8">D49+31</f>
        <v>45269</v>
      </c>
      <c r="E52" s="12">
        <v>36400</v>
      </c>
      <c r="F52" s="10"/>
      <c r="G52" s="10"/>
      <c r="H52" s="13">
        <f>E52*15%</f>
        <v>5460</v>
      </c>
    </row>
    <row r="53" spans="4:8" x14ac:dyDescent="0.3">
      <c r="D53" s="9"/>
      <c r="E53" s="10"/>
      <c r="F53" s="10"/>
      <c r="G53" s="10"/>
      <c r="H53" s="11"/>
    </row>
    <row r="54" spans="4:8" x14ac:dyDescent="0.3">
      <c r="D54" s="9" t="s">
        <v>0</v>
      </c>
      <c r="E54" s="12" t="s">
        <v>1</v>
      </c>
      <c r="F54" s="10"/>
      <c r="G54" s="10"/>
      <c r="H54" s="11"/>
    </row>
    <row r="55" spans="4:8" x14ac:dyDescent="0.3">
      <c r="D55" s="14">
        <f t="shared" ref="D55" si="9">D52+31</f>
        <v>45300</v>
      </c>
      <c r="E55" s="12">
        <v>36400</v>
      </c>
      <c r="F55" s="10"/>
      <c r="G55" s="10"/>
      <c r="H55" s="13">
        <f>E55*15%</f>
        <v>5460</v>
      </c>
    </row>
    <row r="56" spans="4:8" x14ac:dyDescent="0.3">
      <c r="D56" s="9"/>
      <c r="E56" s="10"/>
      <c r="F56" s="10"/>
      <c r="G56" s="10"/>
      <c r="H56" s="11"/>
    </row>
    <row r="57" spans="4:8" x14ac:dyDescent="0.3">
      <c r="D57" s="9" t="s">
        <v>0</v>
      </c>
      <c r="E57" s="12" t="s">
        <v>1</v>
      </c>
      <c r="F57" s="10"/>
      <c r="G57" s="10"/>
      <c r="H57" s="11"/>
    </row>
    <row r="58" spans="4:8" x14ac:dyDescent="0.3">
      <c r="D58" s="14">
        <f t="shared" ref="D58" si="10">D55+31</f>
        <v>45331</v>
      </c>
      <c r="E58" s="12">
        <v>43680</v>
      </c>
      <c r="F58" s="10"/>
      <c r="G58" s="10"/>
      <c r="H58" s="13">
        <f>E58*15%</f>
        <v>6552</v>
      </c>
    </row>
    <row r="59" spans="4:8" x14ac:dyDescent="0.3">
      <c r="D59" s="9"/>
      <c r="E59" s="10"/>
      <c r="F59" s="10"/>
      <c r="G59" s="10"/>
      <c r="H59" s="11"/>
    </row>
    <row r="60" spans="4:8" x14ac:dyDescent="0.3">
      <c r="D60" s="9" t="s">
        <v>0</v>
      </c>
      <c r="E60" s="12" t="s">
        <v>1</v>
      </c>
      <c r="F60" s="10"/>
      <c r="G60" s="10"/>
      <c r="H60" s="11"/>
    </row>
    <row r="61" spans="4:8" x14ac:dyDescent="0.3">
      <c r="D61" s="14">
        <f t="shared" ref="D61" si="11">D58+31</f>
        <v>45362</v>
      </c>
      <c r="E61" s="12">
        <v>43680</v>
      </c>
      <c r="F61" s="10"/>
      <c r="G61" s="10"/>
      <c r="H61" s="13">
        <f>E61*15%</f>
        <v>6552</v>
      </c>
    </row>
    <row r="62" spans="4:8" x14ac:dyDescent="0.3">
      <c r="D62" s="9"/>
      <c r="E62" s="10"/>
      <c r="F62" s="10"/>
      <c r="G62" s="10"/>
      <c r="H62" s="11"/>
    </row>
    <row r="63" spans="4:8" x14ac:dyDescent="0.3">
      <c r="D63" s="9" t="s">
        <v>0</v>
      </c>
      <c r="E63" s="12" t="s">
        <v>1</v>
      </c>
      <c r="F63" s="10"/>
      <c r="G63" s="10"/>
      <c r="H63" s="11"/>
    </row>
    <row r="64" spans="4:8" x14ac:dyDescent="0.3">
      <c r="D64" s="14">
        <f t="shared" ref="D64" si="12">D61+31</f>
        <v>45393</v>
      </c>
      <c r="E64" s="12">
        <v>43680</v>
      </c>
      <c r="F64" s="10"/>
      <c r="G64" s="10"/>
      <c r="H64" s="13">
        <f>E64*15%</f>
        <v>6552</v>
      </c>
    </row>
    <row r="65" spans="4:8" x14ac:dyDescent="0.3">
      <c r="D65" s="9"/>
      <c r="E65" s="10"/>
      <c r="F65" s="10"/>
      <c r="G65" s="10"/>
      <c r="H65" s="11"/>
    </row>
    <row r="66" spans="4:8" x14ac:dyDescent="0.3">
      <c r="D66" s="9" t="s">
        <v>0</v>
      </c>
      <c r="E66" s="12" t="s">
        <v>1</v>
      </c>
      <c r="F66" s="10"/>
      <c r="G66" s="10"/>
      <c r="H66" s="11"/>
    </row>
    <row r="67" spans="4:8" x14ac:dyDescent="0.3">
      <c r="D67" s="14">
        <f t="shared" ref="D67" si="13">D64+31</f>
        <v>45424</v>
      </c>
      <c r="E67" s="12">
        <v>43680</v>
      </c>
      <c r="F67" s="10"/>
      <c r="G67" s="10"/>
      <c r="H67" s="13">
        <f>E67*15%</f>
        <v>6552</v>
      </c>
    </row>
    <row r="68" spans="4:8" x14ac:dyDescent="0.3">
      <c r="D68" s="9"/>
      <c r="E68" s="10"/>
      <c r="F68" s="10"/>
      <c r="G68" s="10"/>
      <c r="H68" s="11"/>
    </row>
    <row r="69" spans="4:8" x14ac:dyDescent="0.3">
      <c r="D69" s="9" t="s">
        <v>0</v>
      </c>
      <c r="E69" s="12" t="s">
        <v>1</v>
      </c>
      <c r="F69" s="10"/>
      <c r="G69" s="10"/>
      <c r="H69" s="11"/>
    </row>
    <row r="70" spans="4:8" x14ac:dyDescent="0.3">
      <c r="D70" s="14">
        <f t="shared" ref="D70" si="14">D67+31</f>
        <v>45455</v>
      </c>
      <c r="E70" s="12">
        <v>43680</v>
      </c>
      <c r="F70" s="10"/>
      <c r="G70" s="10"/>
      <c r="H70" s="13">
        <f>E70*15%</f>
        <v>6552</v>
      </c>
    </row>
    <row r="71" spans="4:8" x14ac:dyDescent="0.3">
      <c r="D71" s="9"/>
      <c r="E71" s="10"/>
      <c r="F71" s="10"/>
      <c r="G71" s="10"/>
      <c r="H71" s="11"/>
    </row>
    <row r="72" spans="4:8" x14ac:dyDescent="0.3">
      <c r="D72" s="9" t="s">
        <v>0</v>
      </c>
      <c r="E72" s="12" t="s">
        <v>1</v>
      </c>
      <c r="F72" s="10"/>
      <c r="G72" s="10"/>
      <c r="H72" s="11"/>
    </row>
    <row r="73" spans="4:8" x14ac:dyDescent="0.3">
      <c r="D73" s="14">
        <f t="shared" ref="D73" si="15">D70+31</f>
        <v>45486</v>
      </c>
      <c r="E73" s="12">
        <v>43680</v>
      </c>
      <c r="F73" s="10"/>
      <c r="G73" s="10"/>
      <c r="H73" s="13">
        <f>E73*15%</f>
        <v>6552</v>
      </c>
    </row>
    <row r="74" spans="4:8" x14ac:dyDescent="0.3">
      <c r="D74" s="9"/>
      <c r="E74" s="10"/>
      <c r="F74" s="10"/>
      <c r="G74" s="10"/>
      <c r="H74" s="11"/>
    </row>
    <row r="75" spans="4:8" x14ac:dyDescent="0.3">
      <c r="D75" s="9" t="s">
        <v>0</v>
      </c>
      <c r="E75" s="12" t="s">
        <v>1</v>
      </c>
      <c r="F75" s="10"/>
      <c r="G75" s="10"/>
      <c r="H75" s="11"/>
    </row>
    <row r="76" spans="4:8" x14ac:dyDescent="0.3">
      <c r="D76" s="14">
        <f t="shared" ref="D76" si="16">D73+31</f>
        <v>45517</v>
      </c>
      <c r="E76" s="12">
        <v>43680</v>
      </c>
      <c r="F76" s="10"/>
      <c r="G76" s="10"/>
      <c r="H76" s="13">
        <f>E76*15%</f>
        <v>6552</v>
      </c>
    </row>
    <row r="77" spans="4:8" x14ac:dyDescent="0.3">
      <c r="D77" s="9"/>
      <c r="E77" s="10"/>
      <c r="F77" s="10"/>
      <c r="G77" s="10"/>
      <c r="H77" s="11"/>
    </row>
    <row r="78" spans="4:8" x14ac:dyDescent="0.3">
      <c r="D78" s="9" t="s">
        <v>0</v>
      </c>
      <c r="E78" s="12" t="s">
        <v>1</v>
      </c>
      <c r="F78" s="10" t="s">
        <v>2</v>
      </c>
      <c r="G78" s="10"/>
      <c r="H78" s="11"/>
    </row>
    <row r="79" spans="4:8" x14ac:dyDescent="0.3">
      <c r="D79" s="14">
        <f t="shared" ref="D79" si="17">D76+31</f>
        <v>45548</v>
      </c>
      <c r="E79" s="12">
        <v>56000</v>
      </c>
      <c r="F79" s="12">
        <v>56000</v>
      </c>
      <c r="G79" s="10"/>
      <c r="H79" s="13">
        <f>E79*15%+F79*15%</f>
        <v>16800</v>
      </c>
    </row>
    <row r="80" spans="4:8" x14ac:dyDescent="0.3">
      <c r="D80" s="9"/>
      <c r="E80" s="10"/>
      <c r="F80" s="10"/>
      <c r="G80" s="10"/>
      <c r="H80" s="11"/>
    </row>
    <row r="81" spans="4:8" x14ac:dyDescent="0.3">
      <c r="D81" s="9" t="s">
        <v>0</v>
      </c>
      <c r="E81" s="12" t="s">
        <v>1</v>
      </c>
      <c r="F81" s="10" t="s">
        <v>2</v>
      </c>
      <c r="G81" s="10"/>
      <c r="H81" s="11"/>
    </row>
    <row r="82" spans="4:8" x14ac:dyDescent="0.3">
      <c r="D82" s="14">
        <f t="shared" ref="D82" si="18">D79+31</f>
        <v>45579</v>
      </c>
      <c r="E82" s="12">
        <v>56000</v>
      </c>
      <c r="F82" s="12">
        <v>56000</v>
      </c>
      <c r="G82" s="10"/>
      <c r="H82" s="13">
        <f>E82*15%+F82*15%</f>
        <v>16800</v>
      </c>
    </row>
    <row r="83" spans="4:8" x14ac:dyDescent="0.3">
      <c r="D83" s="9"/>
      <c r="E83" s="10"/>
      <c r="F83" s="10"/>
      <c r="G83" s="10"/>
      <c r="H83" s="11"/>
    </row>
    <row r="84" spans="4:8" x14ac:dyDescent="0.3">
      <c r="D84" s="9" t="s">
        <v>0</v>
      </c>
      <c r="E84" s="12" t="s">
        <v>1</v>
      </c>
      <c r="F84" s="10" t="s">
        <v>2</v>
      </c>
      <c r="G84" s="10"/>
      <c r="H84" s="11"/>
    </row>
    <row r="85" spans="4:8" x14ac:dyDescent="0.3">
      <c r="D85" s="14">
        <f t="shared" ref="D85" si="19">D82+31</f>
        <v>45610</v>
      </c>
      <c r="E85" s="12">
        <v>56000</v>
      </c>
      <c r="F85" s="12">
        <v>56000</v>
      </c>
      <c r="G85" s="10"/>
      <c r="H85" s="13">
        <f>E85*15%+F85*15%</f>
        <v>16800</v>
      </c>
    </row>
    <row r="86" spans="4:8" x14ac:dyDescent="0.3">
      <c r="D86" s="9"/>
      <c r="E86" s="10"/>
      <c r="F86" s="10"/>
      <c r="G86" s="10"/>
      <c r="H86" s="11"/>
    </row>
    <row r="87" spans="4:8" x14ac:dyDescent="0.3">
      <c r="D87" s="9" t="s">
        <v>0</v>
      </c>
      <c r="E87" s="12" t="s">
        <v>1</v>
      </c>
      <c r="F87" s="10"/>
      <c r="G87" s="10"/>
      <c r="H87" s="11"/>
    </row>
    <row r="88" spans="4:8" x14ac:dyDescent="0.3">
      <c r="D88" s="14">
        <f t="shared" ref="D88" si="20">D85+31</f>
        <v>45641</v>
      </c>
      <c r="E88" s="12">
        <v>56000</v>
      </c>
      <c r="F88" s="10"/>
      <c r="G88" s="10"/>
      <c r="H88" s="13">
        <f>E88*15%</f>
        <v>8400</v>
      </c>
    </row>
    <row r="89" spans="4:8" x14ac:dyDescent="0.3">
      <c r="D89" s="9"/>
      <c r="E89" s="10"/>
      <c r="F89" s="10"/>
      <c r="G89" s="10"/>
      <c r="H89" s="11"/>
    </row>
    <row r="90" spans="4:8" x14ac:dyDescent="0.3">
      <c r="D90" s="9" t="s">
        <v>0</v>
      </c>
      <c r="E90" s="12" t="s">
        <v>1</v>
      </c>
      <c r="F90" s="10"/>
      <c r="G90" s="10"/>
      <c r="H90" s="11"/>
    </row>
    <row r="91" spans="4:8" x14ac:dyDescent="0.3">
      <c r="D91" s="14">
        <f t="shared" ref="D91" si="21">D88+31</f>
        <v>45672</v>
      </c>
      <c r="E91" s="12">
        <v>56000</v>
      </c>
      <c r="F91" s="10"/>
      <c r="G91" s="10"/>
      <c r="H91" s="13">
        <f>E91*15%</f>
        <v>8400</v>
      </c>
    </row>
    <row r="92" spans="4:8" x14ac:dyDescent="0.3">
      <c r="D92" s="9"/>
      <c r="E92" s="10"/>
      <c r="F92" s="10"/>
      <c r="G92" s="10"/>
      <c r="H92" s="11"/>
    </row>
    <row r="93" spans="4:8" x14ac:dyDescent="0.3">
      <c r="D93" s="9" t="s">
        <v>0</v>
      </c>
      <c r="E93" s="12" t="s">
        <v>1</v>
      </c>
      <c r="F93" s="10"/>
      <c r="G93" s="10"/>
      <c r="H93" s="11"/>
    </row>
    <row r="94" spans="4:8" x14ac:dyDescent="0.3">
      <c r="D94" s="14">
        <f t="shared" ref="D94" si="22">D91+31</f>
        <v>45703</v>
      </c>
      <c r="E94" s="12">
        <v>84000</v>
      </c>
      <c r="F94" s="10"/>
      <c r="G94" s="10"/>
      <c r="H94" s="13">
        <f>E94*15%</f>
        <v>12600</v>
      </c>
    </row>
    <row r="95" spans="4:8" x14ac:dyDescent="0.3">
      <c r="D95" s="9"/>
      <c r="E95" s="10"/>
      <c r="F95" s="10"/>
      <c r="G95" s="10"/>
      <c r="H95" s="11"/>
    </row>
    <row r="96" spans="4:8" x14ac:dyDescent="0.3">
      <c r="D96" s="9" t="s">
        <v>0</v>
      </c>
      <c r="E96" s="12" t="s">
        <v>1</v>
      </c>
      <c r="F96" s="10"/>
      <c r="G96" s="10"/>
      <c r="H96" s="11"/>
    </row>
    <row r="97" spans="4:8" x14ac:dyDescent="0.3">
      <c r="D97" s="14">
        <f t="shared" ref="D97" si="23">D94+31</f>
        <v>45734</v>
      </c>
      <c r="E97" s="12">
        <v>84000</v>
      </c>
      <c r="F97" s="10"/>
      <c r="G97" s="10"/>
      <c r="H97" s="13">
        <f>E97*15%</f>
        <v>12600</v>
      </c>
    </row>
    <row r="98" spans="4:8" x14ac:dyDescent="0.3">
      <c r="D98" s="9"/>
      <c r="E98" s="10"/>
      <c r="F98" s="10"/>
      <c r="G98" s="10"/>
      <c r="H98" s="11"/>
    </row>
    <row r="99" spans="4:8" hidden="1" x14ac:dyDescent="0.3">
      <c r="D99" s="9" t="s">
        <v>0</v>
      </c>
      <c r="E99" s="12" t="s">
        <v>1</v>
      </c>
      <c r="F99" s="10"/>
      <c r="G99" s="10"/>
      <c r="H99" s="11"/>
    </row>
    <row r="100" spans="4:8" hidden="1" x14ac:dyDescent="0.3">
      <c r="D100" s="14">
        <f t="shared" ref="D100" si="24">D97+31</f>
        <v>45765</v>
      </c>
      <c r="E100" s="12"/>
      <c r="F100" s="10"/>
      <c r="G100" s="10"/>
      <c r="H100" s="11"/>
    </row>
    <row r="101" spans="4:8" hidden="1" x14ac:dyDescent="0.3">
      <c r="D101" s="9"/>
      <c r="E101" s="10"/>
      <c r="F101" s="10"/>
      <c r="G101" s="10"/>
      <c r="H101" s="11"/>
    </row>
    <row r="102" spans="4:8" hidden="1" x14ac:dyDescent="0.3">
      <c r="D102" s="9" t="s">
        <v>0</v>
      </c>
      <c r="E102" s="12" t="s">
        <v>1</v>
      </c>
      <c r="F102" s="10"/>
      <c r="G102" s="10"/>
      <c r="H102" s="11"/>
    </row>
    <row r="103" spans="4:8" hidden="1" x14ac:dyDescent="0.3">
      <c r="D103" s="14">
        <f t="shared" ref="D103" si="25">D100+31</f>
        <v>45796</v>
      </c>
      <c r="E103" s="12"/>
      <c r="F103" s="10"/>
      <c r="G103" s="10"/>
      <c r="H103" s="11"/>
    </row>
    <row r="104" spans="4:8" hidden="1" x14ac:dyDescent="0.3">
      <c r="D104" s="9"/>
      <c r="E104" s="10"/>
      <c r="F104" s="10"/>
      <c r="G104" s="10"/>
      <c r="H104" s="11"/>
    </row>
    <row r="105" spans="4:8" x14ac:dyDescent="0.3">
      <c r="D105" s="9" t="s">
        <v>0</v>
      </c>
      <c r="E105" s="12" t="s">
        <v>1</v>
      </c>
      <c r="F105" s="10"/>
      <c r="G105" s="10"/>
      <c r="H105" s="11"/>
    </row>
    <row r="106" spans="4:8" ht="31.8" customHeight="1" x14ac:dyDescent="0.3">
      <c r="D106" s="15" t="s">
        <v>4</v>
      </c>
      <c r="E106" s="12">
        <f>252000</f>
        <v>252000</v>
      </c>
      <c r="F106" s="10"/>
      <c r="G106" s="10"/>
      <c r="H106" s="13">
        <f>E106*15%</f>
        <v>37800</v>
      </c>
    </row>
    <row r="107" spans="4:8" x14ac:dyDescent="0.3">
      <c r="D107" s="9"/>
      <c r="E107" s="10"/>
      <c r="F107" s="10"/>
      <c r="G107" s="10"/>
      <c r="H107" s="11"/>
    </row>
    <row r="108" spans="4:8" x14ac:dyDescent="0.3">
      <c r="D108" s="9" t="s">
        <v>0</v>
      </c>
      <c r="E108" s="12" t="s">
        <v>1</v>
      </c>
      <c r="F108" s="10"/>
      <c r="G108" s="10"/>
      <c r="H108" s="11"/>
    </row>
    <row r="109" spans="4:8" x14ac:dyDescent="0.3">
      <c r="D109" s="14">
        <v>45839</v>
      </c>
      <c r="E109" s="12">
        <v>112000</v>
      </c>
      <c r="F109" s="10"/>
      <c r="G109" s="10"/>
      <c r="H109" s="13">
        <f>E109*15%</f>
        <v>16800</v>
      </c>
    </row>
    <row r="110" spans="4:8" x14ac:dyDescent="0.3">
      <c r="D110" s="9"/>
      <c r="E110" s="10"/>
      <c r="F110" s="10"/>
      <c r="G110" s="10"/>
      <c r="H110" s="11"/>
    </row>
    <row r="111" spans="4:8" x14ac:dyDescent="0.3">
      <c r="D111" s="9" t="s">
        <v>0</v>
      </c>
      <c r="E111" s="12" t="s">
        <v>1</v>
      </c>
      <c r="F111" s="10"/>
      <c r="G111" s="10"/>
      <c r="H111" s="11"/>
    </row>
    <row r="112" spans="4:8" x14ac:dyDescent="0.3">
      <c r="D112" s="14">
        <f t="shared" ref="D112" si="26">D109+31</f>
        <v>45870</v>
      </c>
      <c r="E112" s="12">
        <v>112000</v>
      </c>
      <c r="F112" s="10"/>
      <c r="G112" s="10"/>
      <c r="H112" s="13">
        <f>E112*15%</f>
        <v>16800</v>
      </c>
    </row>
    <row r="113" spans="4:8" x14ac:dyDescent="0.3">
      <c r="D113" s="9"/>
      <c r="E113" s="10"/>
      <c r="F113" s="10"/>
      <c r="G113" s="10"/>
      <c r="H113" s="11"/>
    </row>
    <row r="114" spans="4:8" x14ac:dyDescent="0.3">
      <c r="D114" s="9" t="s">
        <v>0</v>
      </c>
      <c r="E114" s="12" t="s">
        <v>1</v>
      </c>
      <c r="F114" s="10"/>
      <c r="G114" s="10"/>
      <c r="H114" s="11"/>
    </row>
    <row r="115" spans="4:8" x14ac:dyDescent="0.3">
      <c r="D115" s="14">
        <f t="shared" ref="D115" si="27">D112+31</f>
        <v>45901</v>
      </c>
      <c r="E115" s="12">
        <v>140000</v>
      </c>
      <c r="F115" s="10"/>
      <c r="G115" s="10"/>
      <c r="H115" s="13">
        <f>E115*15%</f>
        <v>21000</v>
      </c>
    </row>
    <row r="116" spans="4:8" x14ac:dyDescent="0.3">
      <c r="D116" s="9"/>
      <c r="E116" s="10"/>
      <c r="F116" s="10"/>
      <c r="G116" s="10"/>
      <c r="H116" s="11"/>
    </row>
    <row r="117" spans="4:8" x14ac:dyDescent="0.3">
      <c r="D117" s="9" t="s">
        <v>0</v>
      </c>
      <c r="E117" s="12" t="s">
        <v>1</v>
      </c>
      <c r="F117" s="10"/>
      <c r="G117" s="10"/>
      <c r="H117" s="11"/>
    </row>
    <row r="118" spans="4:8" x14ac:dyDescent="0.3">
      <c r="D118" s="14">
        <f t="shared" ref="D118" si="28">D115+31</f>
        <v>45932</v>
      </c>
      <c r="E118" s="12">
        <v>168000</v>
      </c>
      <c r="F118" s="10"/>
      <c r="G118" s="10"/>
      <c r="H118" s="13">
        <f>E118*15%</f>
        <v>25200</v>
      </c>
    </row>
    <row r="119" spans="4:8" x14ac:dyDescent="0.3">
      <c r="D119" s="9"/>
      <c r="E119" s="10"/>
      <c r="F119" s="10"/>
      <c r="G119" s="10"/>
      <c r="H119" s="11"/>
    </row>
    <row r="120" spans="4:8" x14ac:dyDescent="0.3">
      <c r="D120" s="9" t="s">
        <v>0</v>
      </c>
      <c r="E120" s="12" t="s">
        <v>1</v>
      </c>
      <c r="F120" s="10"/>
      <c r="G120" s="10"/>
      <c r="H120" s="11"/>
    </row>
    <row r="121" spans="4:8" x14ac:dyDescent="0.3">
      <c r="D121" s="14">
        <f t="shared" ref="D121" si="29">D118+31</f>
        <v>45963</v>
      </c>
      <c r="E121" s="12">
        <v>168000</v>
      </c>
      <c r="F121" s="10"/>
      <c r="G121" s="10"/>
      <c r="H121" s="13">
        <f>E121*15%</f>
        <v>25200</v>
      </c>
    </row>
    <row r="122" spans="4:8" x14ac:dyDescent="0.3">
      <c r="D122" s="9"/>
      <c r="E122" s="10"/>
      <c r="F122" s="10"/>
      <c r="G122" s="10"/>
      <c r="H122" s="11"/>
    </row>
    <row r="123" spans="4:8" x14ac:dyDescent="0.3">
      <c r="D123" s="9" t="s">
        <v>0</v>
      </c>
      <c r="E123" s="12" t="s">
        <v>1</v>
      </c>
      <c r="F123" s="10"/>
      <c r="G123" s="10"/>
      <c r="H123" s="11"/>
    </row>
    <row r="124" spans="4:8" x14ac:dyDescent="0.3">
      <c r="D124" s="14">
        <f t="shared" ref="D124" si="30">D121+31</f>
        <v>45994</v>
      </c>
      <c r="E124" s="12"/>
      <c r="F124" s="10"/>
      <c r="G124" s="10"/>
      <c r="H124" s="11"/>
    </row>
    <row r="125" spans="4:8" x14ac:dyDescent="0.3">
      <c r="D125" s="9"/>
      <c r="E125" s="10"/>
      <c r="F125" s="10"/>
      <c r="G125" s="10"/>
      <c r="H125" s="11"/>
    </row>
    <row r="126" spans="4:8" x14ac:dyDescent="0.3">
      <c r="D126" s="9"/>
      <c r="E126" s="10"/>
      <c r="F126" s="10"/>
      <c r="G126" s="10"/>
      <c r="H126" s="11"/>
    </row>
    <row r="127" spans="4:8" x14ac:dyDescent="0.3">
      <c r="D127" s="16" t="s">
        <v>7</v>
      </c>
      <c r="E127" s="17"/>
      <c r="F127" s="17"/>
      <c r="G127" s="18" t="s">
        <v>8</v>
      </c>
      <c r="H127" s="19"/>
    </row>
    <row r="128" spans="4:8" x14ac:dyDescent="0.3">
      <c r="D128" s="20">
        <f>SUM(E8:E124)+F79+F82+F85</f>
        <v>2293216</v>
      </c>
      <c r="E128" s="21"/>
      <c r="F128" s="21"/>
      <c r="G128" s="22">
        <f>SUM(H8:H124)</f>
        <v>343982.4</v>
      </c>
      <c r="H128" s="23"/>
    </row>
    <row r="129" spans="4:8" x14ac:dyDescent="0.3">
      <c r="D129" s="9"/>
      <c r="E129" s="10"/>
      <c r="F129" s="10"/>
      <c r="G129" s="10"/>
      <c r="H129" s="11"/>
    </row>
    <row r="130" spans="4:8" ht="15" thickBot="1" x14ac:dyDescent="0.35">
      <c r="D130" s="9"/>
      <c r="E130" s="10"/>
      <c r="F130" s="10"/>
      <c r="G130" s="10"/>
      <c r="H130" s="11"/>
    </row>
    <row r="131" spans="4:8" ht="15" thickBot="1" x14ac:dyDescent="0.35">
      <c r="D131" s="4" t="s">
        <v>9</v>
      </c>
      <c r="E131" s="5"/>
      <c r="F131" s="8"/>
      <c r="G131" s="6">
        <f>D128+G128</f>
        <v>2637198.4</v>
      </c>
      <c r="H131" s="7"/>
    </row>
  </sheetData>
  <mergeCells count="7">
    <mergeCell ref="D131:F131"/>
    <mergeCell ref="G131:H131"/>
    <mergeCell ref="D4:H4"/>
    <mergeCell ref="D127:F127"/>
    <mergeCell ref="G127:H127"/>
    <mergeCell ref="D128:F128"/>
    <mergeCell ref="G128:H12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Quotteri</dc:creator>
  <cp:lastModifiedBy>Mateo Quotteri</cp:lastModifiedBy>
  <dcterms:created xsi:type="dcterms:W3CDTF">2025-12-17T14:59:07Z</dcterms:created>
  <dcterms:modified xsi:type="dcterms:W3CDTF">2025-12-18T00:19:52Z</dcterms:modified>
</cp:coreProperties>
</file>