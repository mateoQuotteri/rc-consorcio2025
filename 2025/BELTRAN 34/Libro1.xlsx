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5\BELTRAN 34\"/>
    </mc:Choice>
  </mc:AlternateContent>
  <xr:revisionPtr revIDLastSave="0" documentId="13_ncr:1_{50904A39-403D-474E-8965-62CEE6B7710F}" xr6:coauthVersionLast="47" xr6:coauthVersionMax="47" xr10:uidLastSave="{00000000-0000-0000-0000-000000000000}"/>
  <bookViews>
    <workbookView xWindow="-108" yWindow="-108" windowWidth="23256" windowHeight="12576" xr2:uid="{40F7CB68-AA62-4B90-B02B-2F8168283C84}"/>
  </bookViews>
  <sheets>
    <sheet name="Hoja1" sheetId="1" r:id="rId1"/>
  </sheets>
  <definedNames>
    <definedName name="_xlnm.Print_Area" localSheetId="0">Hoja1!$E$4:$K$59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1" l="1"/>
  <c r="E56" i="1"/>
  <c r="G59" i="1" s="1"/>
  <c r="K51" i="1"/>
  <c r="K47" i="1"/>
  <c r="K43" i="1"/>
  <c r="K39" i="1"/>
  <c r="K35" i="1"/>
  <c r="K31" i="1"/>
  <c r="K27" i="1"/>
  <c r="K23" i="1"/>
  <c r="K19" i="1"/>
  <c r="K15" i="1"/>
  <c r="K11" i="1"/>
  <c r="K7" i="1"/>
  <c r="E51" i="1"/>
  <c r="E47" i="1"/>
  <c r="E43" i="1"/>
  <c r="E39" i="1"/>
  <c r="E35" i="1"/>
  <c r="E31" i="1"/>
  <c r="E27" i="1"/>
  <c r="E23" i="1"/>
  <c r="E19" i="1"/>
  <c r="E15" i="1"/>
  <c r="E11" i="1"/>
</calcChain>
</file>

<file path=xl/sharedStrings.xml><?xml version="1.0" encoding="utf-8"?>
<sst xmlns="http://schemas.openxmlformats.org/spreadsheetml/2006/main" count="53" uniqueCount="9">
  <si>
    <t>DESGLOSE DEUDA - UF 1 - Local 1/ Entrep. - BELTRAN 34</t>
  </si>
  <si>
    <t>Mes - Año:</t>
  </si>
  <si>
    <t>Expensa ordinaria</t>
  </si>
  <si>
    <t>Expensas Extraord.</t>
  </si>
  <si>
    <t>Interes</t>
  </si>
  <si>
    <t>TOTALES:</t>
  </si>
  <si>
    <t>TOTAL EXPENSAS:</t>
  </si>
  <si>
    <t>TOTAL INTERESES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</si>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</sst>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0" fillId="3" borderId="0" xfId="0" applyFill="1"/>
    <xf numFmtId="44" fontId="0" fillId="0" borderId="0" xfId="0" applyNumberFormat="1"/>
    <xf numFmtId="0" fontId="3" fillId="0" borderId="0" xfId="0" applyFont="1"/>
    <xf numFmtId="4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868C-F56B-4272-A7E5-AB78808DF362}">
  <dimension ref="C4:K59"/>
  <sheetViews>
    <sheetView tabSelected="1" topLeftCell="A40" workbookViewId="0">
      <selection activeCell="F51" sqref="F51:G51"/>
    </sheetView>
  </sheetViews>
  <sheetFormatPr baseColWidth="10" defaultRowHeight="14.4" x14ac:dyDescent="0.3"/>
  <cols>
    <col min="2" max="2" width="4.5546875" customWidth="1"/>
    <col min="3" max="4" width="11.5546875" hidden="1" customWidth="1"/>
    <col min="5" max="5" width="12.77734375" bestFit="1" customWidth="1"/>
    <col min="7" max="7" width="12.77734375" bestFit="1" customWidth="1"/>
    <col min="11" max="11" width="11.77734375" bestFit="1" customWidth="1"/>
  </cols>
  <sheetData>
    <row r="4" spans="5:11" x14ac:dyDescent="0.3">
      <c r="E4" s="9" t="s">
        <v>0</v>
      </c>
      <c r="F4" s="9"/>
      <c r="G4" s="9"/>
      <c r="H4" s="9"/>
      <c r="I4" s="9"/>
      <c r="J4" s="9"/>
      <c r="K4" s="9"/>
    </row>
    <row r="6" spans="5:11" x14ac:dyDescent="0.3">
      <c r="E6" t="s">
        <v>1</v>
      </c>
      <c r="F6" s="6" t="s">
        <v>2</v>
      </c>
      <c r="G6" s="6"/>
      <c r="H6" s="6" t="s">
        <v>3</v>
      </c>
      <c r="I6" s="6"/>
      <c r="K6" t="s">
        <v>4</v>
      </c>
    </row>
    <row r="7" spans="5:11" x14ac:dyDescent="0.3">
      <c r="E7" s="1">
        <v>45658</v>
      </c>
      <c r="F7" s="12">
        <v>43440</v>
      </c>
      <c r="G7" s="12"/>
      <c r="H7" s="12">
        <v>23892</v>
      </c>
      <c r="I7" s="12"/>
      <c r="K7" s="3">
        <f>(F7+H7)*3%</f>
        <v>2019.96</v>
      </c>
    </row>
    <row r="10" spans="5:11" x14ac:dyDescent="0.3">
      <c r="E10" t="s">
        <v>1</v>
      </c>
      <c r="F10" s="6" t="s">
        <v>2</v>
      </c>
      <c r="G10" s="6"/>
      <c r="H10" s="6" t="s">
        <v>3</v>
      </c>
      <c r="I10" s="6"/>
      <c r="K10" t="s">
        <v>4</v>
      </c>
    </row>
    <row r="11" spans="5:11" x14ac:dyDescent="0.3">
      <c r="E11" s="1">
        <f>E7+31</f>
        <v>45689</v>
      </c>
      <c r="F11" s="12">
        <v>54300</v>
      </c>
      <c r="G11" s="12"/>
      <c r="H11" s="12">
        <v>23892</v>
      </c>
      <c r="I11" s="12"/>
      <c r="K11" s="3">
        <f>(F11+H11)*3%</f>
        <v>2345.7599999999998</v>
      </c>
    </row>
    <row r="14" spans="5:11" x14ac:dyDescent="0.3">
      <c r="E14" t="s">
        <v>1</v>
      </c>
      <c r="F14" s="6" t="s">
        <v>2</v>
      </c>
      <c r="G14" s="6"/>
      <c r="H14" s="6" t="s">
        <v>3</v>
      </c>
      <c r="I14" s="6"/>
      <c r="K14" t="s">
        <v>4</v>
      </c>
    </row>
    <row r="15" spans="5:11" x14ac:dyDescent="0.3">
      <c r="E15" s="1">
        <f>E11+31</f>
        <v>45720</v>
      </c>
      <c r="F15" s="12">
        <v>70590</v>
      </c>
      <c r="G15" s="12"/>
      <c r="H15" s="12">
        <v>23892</v>
      </c>
      <c r="I15" s="12"/>
      <c r="K15" s="3">
        <f>(F15+H15)*3%</f>
        <v>2834.46</v>
      </c>
    </row>
    <row r="18" spans="5:11" x14ac:dyDescent="0.3">
      <c r="E18" t="s">
        <v>1</v>
      </c>
      <c r="F18" s="6" t="s">
        <v>2</v>
      </c>
      <c r="G18" s="6"/>
      <c r="H18" s="6" t="s">
        <v>3</v>
      </c>
      <c r="I18" s="6"/>
      <c r="K18" t="s">
        <v>4</v>
      </c>
    </row>
    <row r="19" spans="5:11" x14ac:dyDescent="0.3">
      <c r="E19" s="1">
        <f>E15+31</f>
        <v>45751</v>
      </c>
      <c r="F19" s="12">
        <v>86880</v>
      </c>
      <c r="G19" s="12"/>
      <c r="H19" s="6"/>
      <c r="I19" s="6"/>
      <c r="K19" s="3">
        <f>(F19+H19)*3%</f>
        <v>2606.4</v>
      </c>
    </row>
    <row r="22" spans="5:11" x14ac:dyDescent="0.3">
      <c r="E22" t="s">
        <v>1</v>
      </c>
      <c r="F22" s="6" t="s">
        <v>2</v>
      </c>
      <c r="G22" s="6"/>
      <c r="H22" s="6" t="s">
        <v>3</v>
      </c>
      <c r="I22" s="6"/>
      <c r="K22" t="s">
        <v>4</v>
      </c>
    </row>
    <row r="23" spans="5:11" x14ac:dyDescent="0.3">
      <c r="E23" s="1">
        <f>E19+31</f>
        <v>45782</v>
      </c>
      <c r="F23" s="12">
        <v>86880</v>
      </c>
      <c r="G23" s="12"/>
      <c r="H23" s="6"/>
      <c r="I23" s="6"/>
      <c r="K23" s="3">
        <f>(F23+H23)*3%</f>
        <v>2606.4</v>
      </c>
    </row>
    <row r="26" spans="5:11" x14ac:dyDescent="0.3">
      <c r="E26" t="s">
        <v>1</v>
      </c>
      <c r="F26" s="10" t="s">
        <v>2</v>
      </c>
      <c r="G26" s="10"/>
      <c r="H26" s="10" t="s">
        <v>3</v>
      </c>
      <c r="I26" s="10"/>
      <c r="K26" t="s">
        <v>4</v>
      </c>
    </row>
    <row r="27" spans="5:11" x14ac:dyDescent="0.3">
      <c r="E27" s="1">
        <f>E23+31</f>
        <v>45813</v>
      </c>
      <c r="F27" s="11">
        <v>97740</v>
      </c>
      <c r="G27" s="11"/>
      <c r="H27" s="10"/>
      <c r="I27" s="10"/>
      <c r="K27" s="3">
        <f>(F27+H27)*3%</f>
        <v>2932.2</v>
      </c>
    </row>
    <row r="30" spans="5:11" x14ac:dyDescent="0.3">
      <c r="E30" t="s">
        <v>1</v>
      </c>
      <c r="F30" s="6" t="s">
        <v>2</v>
      </c>
      <c r="G30" s="6"/>
      <c r="H30" s="6" t="s">
        <v>3</v>
      </c>
      <c r="I30" s="6"/>
      <c r="K30" t="s">
        <v>4</v>
      </c>
    </row>
    <row r="31" spans="5:11" x14ac:dyDescent="0.3">
      <c r="E31" s="1">
        <f>E27+31</f>
        <v>45844</v>
      </c>
      <c r="F31" s="12">
        <v>55903.81</v>
      </c>
      <c r="G31" s="12"/>
      <c r="H31" s="6"/>
      <c r="I31" s="6"/>
      <c r="K31" s="3">
        <f>(F31+H31)*3%</f>
        <v>1677.1143</v>
      </c>
    </row>
    <row r="33" spans="5:11" x14ac:dyDescent="0.3">
      <c r="F33" s="2"/>
      <c r="G33" s="2"/>
      <c r="H33" s="2"/>
      <c r="I33" s="2"/>
    </row>
    <row r="34" spans="5:11" x14ac:dyDescent="0.3">
      <c r="E34" t="s">
        <v>1</v>
      </c>
      <c r="F34" s="10" t="s">
        <v>2</v>
      </c>
      <c r="G34" s="10"/>
      <c r="H34" s="10" t="s">
        <v>3</v>
      </c>
      <c r="I34" s="10"/>
      <c r="K34" t="s">
        <v>4</v>
      </c>
    </row>
    <row r="35" spans="5:11" x14ac:dyDescent="0.3">
      <c r="E35" s="1">
        <f>E31+31</f>
        <v>45875</v>
      </c>
      <c r="F35" s="11">
        <v>124890</v>
      </c>
      <c r="G35" s="11"/>
      <c r="H35" s="10"/>
      <c r="I35" s="10"/>
      <c r="K35" s="3">
        <f>(F35+H35)*3%</f>
        <v>3746.7</v>
      </c>
    </row>
    <row r="38" spans="5:11" x14ac:dyDescent="0.3">
      <c r="E38" t="s">
        <v>1</v>
      </c>
      <c r="F38" s="10" t="s">
        <v>2</v>
      </c>
      <c r="G38" s="10"/>
      <c r="H38" s="10" t="s">
        <v>3</v>
      </c>
      <c r="I38" s="10"/>
      <c r="K38" t="s">
        <v>4</v>
      </c>
    </row>
    <row r="39" spans="5:11" x14ac:dyDescent="0.3">
      <c r="E39" s="1">
        <f>E35+31</f>
        <v>45906</v>
      </c>
      <c r="F39" s="11"/>
      <c r="G39" s="11"/>
      <c r="H39" s="10"/>
      <c r="I39" s="10"/>
      <c r="K39" s="3">
        <f>(F39+H39)*3%</f>
        <v>0</v>
      </c>
    </row>
    <row r="42" spans="5:11" x14ac:dyDescent="0.3">
      <c r="E42" t="s">
        <v>1</v>
      </c>
      <c r="F42" s="6" t="s">
        <v>2</v>
      </c>
      <c r="G42" s="6"/>
      <c r="H42" s="6" t="s">
        <v>3</v>
      </c>
      <c r="I42" s="6"/>
      <c r="K42" t="s">
        <v>4</v>
      </c>
    </row>
    <row r="43" spans="5:11" x14ac:dyDescent="0.3">
      <c r="E43" s="1">
        <f>E39+31</f>
        <v>45937</v>
      </c>
      <c r="F43" s="12">
        <v>106428</v>
      </c>
      <c r="G43" s="12"/>
      <c r="H43" s="6"/>
      <c r="I43" s="6"/>
      <c r="K43" s="3">
        <f>(F43+H43)*3%</f>
        <v>3192.8399999999997</v>
      </c>
    </row>
    <row r="46" spans="5:11" x14ac:dyDescent="0.3">
      <c r="E46" t="s">
        <v>1</v>
      </c>
      <c r="F46" s="6" t="s">
        <v>2</v>
      </c>
      <c r="G46" s="6"/>
      <c r="H46" s="6" t="s">
        <v>3</v>
      </c>
      <c r="I46" s="6"/>
      <c r="K46" t="s">
        <v>4</v>
      </c>
    </row>
    <row r="47" spans="5:11" x14ac:dyDescent="0.3">
      <c r="E47" s="1">
        <f>E43+31</f>
        <v>45968</v>
      </c>
      <c r="F47" s="12">
        <v>157470</v>
      </c>
      <c r="G47" s="12"/>
      <c r="H47" s="6"/>
      <c r="I47" s="6"/>
      <c r="K47" s="3">
        <f>(F47+H47)*3%</f>
        <v>4724.0999999999995</v>
      </c>
    </row>
    <row r="50" spans="5:11" x14ac:dyDescent="0.3">
      <c r="E50" t="s">
        <v>1</v>
      </c>
      <c r="F50" s="6" t="s">
        <v>2</v>
      </c>
      <c r="G50" s="6"/>
      <c r="H50" s="6" t="s">
        <v>3</v>
      </c>
      <c r="I50" s="6"/>
      <c r="K50" t="s">
        <v>4</v>
      </c>
    </row>
    <row r="51" spans="5:11" x14ac:dyDescent="0.3">
      <c r="E51" s="1">
        <f>E47+31</f>
        <v>45999</v>
      </c>
      <c r="F51" s="12">
        <v>195480</v>
      </c>
      <c r="G51" s="12"/>
      <c r="H51" s="6"/>
      <c r="I51" s="6"/>
      <c r="K51" s="3">
        <f>(F51+H51)*3%</f>
        <v>5864.4</v>
      </c>
    </row>
    <row r="54" spans="5:11" x14ac:dyDescent="0.3">
      <c r="E54" t="s">
        <v>5</v>
      </c>
    </row>
    <row r="55" spans="5:11" x14ac:dyDescent="0.3">
      <c r="E55" t="s">
        <v>6</v>
      </c>
      <c r="H55" s="6" t="s">
        <v>7</v>
      </c>
      <c r="I55" s="6"/>
      <c r="J55" s="6"/>
      <c r="K55" s="6"/>
    </row>
    <row r="56" spans="5:11" x14ac:dyDescent="0.3">
      <c r="E56" s="5">
        <f>F7+H7+H11+F11+F15+H15+H19+F19+F23+H23+H27+F27+F31+H35+F35+H32+H31+H39+F39+F43+H43+H47+F47+F51+H51</f>
        <v>1151677.81</v>
      </c>
      <c r="F56" s="5"/>
      <c r="G56" s="5"/>
      <c r="H56" s="5">
        <f>SUM(K7:K51)</f>
        <v>34550.334300000002</v>
      </c>
      <c r="I56" s="7"/>
      <c r="J56" s="7"/>
    </row>
    <row r="58" spans="5:11" x14ac:dyDescent="0.3">
      <c r="G58" s="4" t="s">
        <v>8</v>
      </c>
    </row>
    <row r="59" spans="5:11" x14ac:dyDescent="0.3">
      <c r="G59" s="8">
        <f>E56+H56</f>
        <v>1186228.1443</v>
      </c>
      <c r="H59" s="8"/>
      <c r="I59" s="8"/>
    </row>
  </sheetData>
  <mergeCells count="53">
    <mergeCell ref="H51:I51"/>
    <mergeCell ref="H39:I39"/>
    <mergeCell ref="H43:I43"/>
    <mergeCell ref="H46:I46"/>
    <mergeCell ref="H47:I47"/>
    <mergeCell ref="H50:I50"/>
    <mergeCell ref="H30:I30"/>
    <mergeCell ref="H31:I31"/>
    <mergeCell ref="H34:I34"/>
    <mergeCell ref="H35:I35"/>
    <mergeCell ref="H38:I38"/>
    <mergeCell ref="H19:I19"/>
    <mergeCell ref="H22:I22"/>
    <mergeCell ref="H23:I23"/>
    <mergeCell ref="H26:I26"/>
    <mergeCell ref="H27:I27"/>
    <mergeCell ref="F47:G47"/>
    <mergeCell ref="F51:G51"/>
    <mergeCell ref="H6:I6"/>
    <mergeCell ref="H7:I7"/>
    <mergeCell ref="H10:I10"/>
    <mergeCell ref="H11:I11"/>
    <mergeCell ref="H14:I14"/>
    <mergeCell ref="H15:I15"/>
    <mergeCell ref="H18:I18"/>
    <mergeCell ref="F46:G46"/>
    <mergeCell ref="F50:G50"/>
    <mergeCell ref="F7:G7"/>
    <mergeCell ref="F11:G11"/>
    <mergeCell ref="F15:G15"/>
    <mergeCell ref="F19:G19"/>
    <mergeCell ref="H42:I42"/>
    <mergeCell ref="F22:G22"/>
    <mergeCell ref="F26:G26"/>
    <mergeCell ref="F30:G30"/>
    <mergeCell ref="F34:G34"/>
    <mergeCell ref="F43:G43"/>
    <mergeCell ref="E56:G56"/>
    <mergeCell ref="H55:K55"/>
    <mergeCell ref="H56:J56"/>
    <mergeCell ref="G59:I59"/>
    <mergeCell ref="E4:K4"/>
    <mergeCell ref="F38:G38"/>
    <mergeCell ref="F42:G42"/>
    <mergeCell ref="F39:G39"/>
    <mergeCell ref="F6:G6"/>
    <mergeCell ref="F10:G10"/>
    <mergeCell ref="F14:G14"/>
    <mergeCell ref="F18:G18"/>
    <mergeCell ref="F23:G23"/>
    <mergeCell ref="F27:G27"/>
    <mergeCell ref="F31:G31"/>
    <mergeCell ref="F35:G35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2026-01-13T12:00:20Z</cp:lastPrinted>
  <dcterms:created xsi:type="dcterms:W3CDTF">2026-01-02T23:15:29Z</dcterms:created>
  <dcterms:modified xsi:type="dcterms:W3CDTF">2026-01-30T17:02:44Z</dcterms:modified>
</cp:coreProperties>
</file>