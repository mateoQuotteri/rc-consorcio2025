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0" yWindow="0" windowWidth="20490" windowHeight="7155" activeTab="1"/>
  </bookViews>
  <sheets>
    <sheet name="detalle y gastos" sheetId="3" r:id="rId1"/>
    <sheet name="prorrateo " sheetId="1" r:id="rId2"/>
    <sheet name="extraordinaria" sheetId="4" r:id="rId3"/>
  </sheets>
  <calcPr calcId="144525"/>
</workbook>
</file>

<file path=xl/calcChain.xml><?xml version="1.0" encoding="utf-8"?>
<calcChain xmlns="http://schemas.openxmlformats.org/spreadsheetml/2006/main">
  <c r="C34" i="3" l="1"/>
  <c r="C36" i="3"/>
  <c r="C18" i="3" l="1"/>
  <c r="C23" i="3" l="1"/>
  <c r="C16" i="3" l="1"/>
  <c r="C24" i="3" s="1"/>
  <c r="A2" i="1" l="1"/>
  <c r="F6" i="1" l="1"/>
  <c r="C35" i="3" l="1"/>
  <c r="F5" i="1"/>
  <c r="F7" i="1" l="1"/>
  <c r="F8" i="1" l="1"/>
  <c r="F9" i="1"/>
  <c r="C33" i="3" l="1"/>
  <c r="F14" i="3" s="1"/>
  <c r="K8" i="1" l="1"/>
  <c r="K7" i="1"/>
  <c r="K10" i="1"/>
  <c r="K6" i="1"/>
  <c r="K9" i="1"/>
  <c r="K5" i="1"/>
  <c r="G5" i="1"/>
  <c r="H5" i="1" s="1"/>
  <c r="G6" i="1" l="1"/>
  <c r="H6" i="1" s="1"/>
  <c r="G7" i="1"/>
  <c r="H7" i="1" s="1"/>
  <c r="K11" i="1" l="1"/>
  <c r="I11" i="1"/>
  <c r="J10" i="1" l="1"/>
  <c r="J6" i="1"/>
  <c r="L6" i="1" s="1"/>
  <c r="J9" i="1"/>
  <c r="J5" i="1"/>
  <c r="L5" i="1" s="1"/>
  <c r="J8" i="1"/>
  <c r="J7" i="1"/>
  <c r="L7" i="1" s="1"/>
  <c r="G10" i="1"/>
  <c r="H10" i="1" s="1"/>
  <c r="G9" i="1"/>
  <c r="H9" i="1" s="1"/>
  <c r="G8" i="1"/>
  <c r="H8" i="1" s="1"/>
  <c r="F11" i="1"/>
  <c r="D11" i="1"/>
  <c r="E11" i="1"/>
  <c r="F13" i="3" l="1"/>
  <c r="F16" i="3" s="1"/>
  <c r="L9" i="1"/>
  <c r="L10" i="1"/>
  <c r="J11" i="1"/>
  <c r="L8" i="1"/>
  <c r="G11" i="1"/>
  <c r="H11" i="1"/>
  <c r="L11" i="1" l="1"/>
</calcChain>
</file>

<file path=xl/sharedStrings.xml><?xml version="1.0" encoding="utf-8"?>
<sst xmlns="http://schemas.openxmlformats.org/spreadsheetml/2006/main" count="95" uniqueCount="74">
  <si>
    <t>UF</t>
  </si>
  <si>
    <t>Dpto.</t>
  </si>
  <si>
    <t>Propietario</t>
  </si>
  <si>
    <t>Pagos</t>
  </si>
  <si>
    <t>TOTAL</t>
  </si>
  <si>
    <t>EXPENSAS</t>
  </si>
  <si>
    <t>porcentaje</t>
  </si>
  <si>
    <t>%</t>
  </si>
  <si>
    <t>consorciosrc13@gmail.com</t>
  </si>
  <si>
    <t>Ingreso por pago de expensas en término</t>
  </si>
  <si>
    <t>TOTALES</t>
  </si>
  <si>
    <t>Tel. 11 5320-2676</t>
  </si>
  <si>
    <t>ABONOS y SERVICIOS</t>
  </si>
  <si>
    <t>GASTOS ORDINARIOS</t>
  </si>
  <si>
    <t>TOTAL GASTOS ORDINARIOS (A)</t>
  </si>
  <si>
    <t>TOTAL GENERAL DE GASTOS (A) + (B)</t>
  </si>
  <si>
    <t>Expensas</t>
  </si>
  <si>
    <t>Ordinarias</t>
  </si>
  <si>
    <t xml:space="preserve">Saldo </t>
  </si>
  <si>
    <t>Anterior</t>
  </si>
  <si>
    <t>CANCIANI, Carolina</t>
  </si>
  <si>
    <t>RC Adm Cons CANCIANI, Carolina</t>
  </si>
  <si>
    <t>Egresos por gastos del mes</t>
  </si>
  <si>
    <t>LIMPIEZA / MANTENIMIENTO / GASTOS GENERALES</t>
  </si>
  <si>
    <t>ESTADO FINACIERO</t>
  </si>
  <si>
    <t>TOTAL GASTOS EXTRAORDINARIOS (B)</t>
  </si>
  <si>
    <t>EDESUR</t>
  </si>
  <si>
    <t>GASTOS EXTRAORDINARIOS</t>
  </si>
  <si>
    <t>Intereses</t>
  </si>
  <si>
    <t>A</t>
  </si>
  <si>
    <t>B</t>
  </si>
  <si>
    <t>C</t>
  </si>
  <si>
    <t>E</t>
  </si>
  <si>
    <t>D</t>
  </si>
  <si>
    <t>F</t>
  </si>
  <si>
    <t>SPERANZA</t>
  </si>
  <si>
    <t>BACHETTI</t>
  </si>
  <si>
    <t>DUARTE</t>
  </si>
  <si>
    <t>BESARON</t>
  </si>
  <si>
    <t>LASTERO</t>
  </si>
  <si>
    <t>ECHICHURRE</t>
  </si>
  <si>
    <t>EDIFICIO SAENZ PEÑA</t>
  </si>
  <si>
    <t>Servicio de Limpieza Srta. Nancy</t>
  </si>
  <si>
    <t>SAENZ PEÑA  57 - Remedios de Escalada, LANUS</t>
  </si>
  <si>
    <t xml:space="preserve">Expensas </t>
  </si>
  <si>
    <t>Extraordinarias</t>
  </si>
  <si>
    <t xml:space="preserve">Expensa </t>
  </si>
  <si>
    <t>Ext. Por OBRA</t>
  </si>
  <si>
    <t xml:space="preserve">Saldo anterior - </t>
  </si>
  <si>
    <t xml:space="preserve">Saldo al cierre $ (pesos) </t>
  </si>
  <si>
    <t>DEUDA</t>
  </si>
  <si>
    <t>Exp.</t>
  </si>
  <si>
    <t>GASTOS ORDINARIOS A PRORRATEAR:</t>
  </si>
  <si>
    <t>GASTOS EXTRAORDINARIOS A PRORRATEAR:</t>
  </si>
  <si>
    <t>Total gastos ordinarios a prorratear</t>
  </si>
  <si>
    <t>USD:</t>
  </si>
  <si>
    <t>CUOTA 1</t>
  </si>
  <si>
    <t>INTERES</t>
  </si>
  <si>
    <t>$ -</t>
  </si>
  <si>
    <t>Egresos ordinarios</t>
  </si>
  <si>
    <t>CORRESPONDE A:</t>
  </si>
  <si>
    <t>Zurich</t>
  </si>
  <si>
    <t xml:space="preserve">Pago efectivo </t>
  </si>
  <si>
    <t>MP:1148</t>
  </si>
  <si>
    <t>Domicilio : Dr melo 2958 - 8vo piso  - con cita previa</t>
  </si>
  <si>
    <t>Poliza Nro. 001170625</t>
  </si>
  <si>
    <t>Honorarios período agosto 2024</t>
  </si>
  <si>
    <t>JPL ARTICULOS DE LIMPIEZA</t>
  </si>
  <si>
    <t>Mercantil Andina</t>
  </si>
  <si>
    <t xml:space="preserve">Poliza 8356156-0 </t>
  </si>
  <si>
    <t>Liquidacion mes de ENERO</t>
  </si>
  <si>
    <t xml:space="preserve">Período ENERO </t>
  </si>
  <si>
    <t>Colocacion de dos baldosas en departamento A - Material y mano de obra</t>
  </si>
  <si>
    <t>PREVISION ORDINARIA CAMION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</si>
</sst>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_ &quot;$&quot;\ * #,##0.00_ ;_ &quot;$&quot;\ * \-#,##0.00_ ;_ &quot;$&quot;\ * &quot;-&quot;??_ ;_ @_ "/>
    <numFmt numFmtId="165" formatCode="#,##0.0000"/>
    <numFmt numFmtId="166" formatCode="_ &quot;$&quot;\ * #,##0_ ;_ &quot;$&quot;\ * \-#,##0_ ;_ &quot;$&quot;\ * &quot;-&quot;??_ ;_ @_ "/>
  </numFmts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rgb="FF000000"/>
      <name val="Arial"/>
      <family val="2"/>
    </font>
    <font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0"/>
      <color theme="1"/>
      <name val="Arial"/>
      <family val="2"/>
    </font>
    <font>
      <sz val="10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D8D8D8"/>
        <bgColor indexed="64"/>
      </patternFill>
    </fill>
    <fill>
      <patternFill patternType="solid">
        <fgColor rgb="FFBFBFBF"/>
        <bgColor indexed="64"/>
      </patternFill>
    </fill>
  </fills>
  <borders count="5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thick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thick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thick">
        <color rgb="FF000000"/>
      </bottom>
      <diagonal/>
    </border>
    <border>
      <left style="medium">
        <color rgb="FFCCCCCC"/>
      </left>
      <right style="thick">
        <color rgb="FF000000"/>
      </right>
      <top style="medium">
        <color rgb="FFCCCCCC"/>
      </top>
      <bottom style="thick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thick">
        <color rgb="FF000000"/>
      </right>
      <top style="medium">
        <color rgb="FFCCCCCC"/>
      </top>
      <bottom style="medium">
        <color rgb="FF000000"/>
      </bottom>
      <diagonal/>
    </border>
    <border>
      <left style="thick">
        <color rgb="FF000000"/>
      </left>
      <right style="medium">
        <color rgb="FFCCCCCC"/>
      </right>
      <top style="medium">
        <color rgb="FFCCCCCC"/>
      </top>
      <bottom style="thick">
        <color rgb="FF000000"/>
      </bottom>
      <diagonal/>
    </border>
    <border>
      <left style="medium">
        <color rgb="FFCCCCCC"/>
      </left>
      <right/>
      <top style="medium">
        <color rgb="FFCCCCCC"/>
      </top>
      <bottom style="medium">
        <color rgb="FF000000"/>
      </bottom>
      <diagonal/>
    </border>
    <border>
      <left/>
      <right/>
      <top style="medium">
        <color rgb="FFCCCCCC"/>
      </top>
      <bottom style="medium">
        <color rgb="FF000000"/>
      </bottom>
      <diagonal/>
    </border>
    <border>
      <left/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thick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ck">
        <color rgb="FF000000"/>
      </bottom>
      <diagonal/>
    </border>
    <border>
      <left/>
      <right/>
      <top style="medium">
        <color rgb="FF000000"/>
      </top>
      <bottom style="thick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ck">
        <color rgb="FF000000"/>
      </bottom>
      <diagonal/>
    </border>
    <border>
      <left style="medium">
        <color rgb="FF000000"/>
      </left>
      <right style="medium">
        <color rgb="FF000000"/>
      </right>
      <top style="thick">
        <color rgb="FF000000"/>
      </top>
      <bottom/>
      <diagonal/>
    </border>
    <border>
      <left style="medium">
        <color rgb="FF000000"/>
      </left>
      <right style="thick">
        <color rgb="FF000000"/>
      </right>
      <top style="thick">
        <color rgb="FF000000"/>
      </top>
      <bottom/>
      <diagonal/>
    </border>
    <border>
      <left style="medium">
        <color rgb="FF000000"/>
      </left>
      <right style="thick">
        <color rgb="FF000000"/>
      </right>
      <top/>
      <bottom style="thick">
        <color rgb="FF000000"/>
      </bottom>
      <diagonal/>
    </border>
    <border>
      <left style="thick">
        <color rgb="FF000000"/>
      </left>
      <right style="thick">
        <color rgb="FF000000"/>
      </right>
      <top style="thick">
        <color rgb="FF000000"/>
      </top>
      <bottom/>
      <diagonal/>
    </border>
    <border>
      <left style="thick">
        <color rgb="FF000000"/>
      </left>
      <right style="thick">
        <color rgb="FF000000"/>
      </right>
      <top/>
      <bottom style="thick">
        <color rgb="FF000000"/>
      </bottom>
      <diagonal/>
    </border>
    <border>
      <left style="medium">
        <color rgb="FFCCCCCC"/>
      </left>
      <right/>
      <top style="thick">
        <color rgb="FF000000"/>
      </top>
      <bottom style="medium">
        <color rgb="FFCCCCCC"/>
      </bottom>
      <diagonal/>
    </border>
    <border>
      <left/>
      <right/>
      <top style="thick">
        <color rgb="FF000000"/>
      </top>
      <bottom style="medium">
        <color rgb="FFCCCCCC"/>
      </bottom>
      <diagonal/>
    </border>
    <border>
      <left/>
      <right style="medium">
        <color rgb="FFCCCCCC"/>
      </right>
      <top style="thick">
        <color rgb="FF000000"/>
      </top>
      <bottom style="medium">
        <color rgb="FFCCCCCC"/>
      </bottom>
      <diagonal/>
    </border>
  </borders>
  <cellStyleXfs count="3">
    <xf numFmtId="0" fontId="0" fillId="0" borderId="0"/>
    <xf numFmtId="0" fontId="2" fillId="0" borderId="0" applyNumberFormat="0" applyFill="0" applyBorder="0" applyAlignment="0" applyProtection="0"/>
    <xf numFmtId="164" fontId="4" fillId="0" borderId="0" applyFont="0" applyFill="0" applyBorder="0" applyAlignment="0" applyProtection="0"/>
  </cellStyleXfs>
  <cellXfs count="148">
    <xf numFmtId="0" fontId="0" fillId="0" borderId="0" xfId="0"/>
    <xf numFmtId="0" fontId="0" fillId="0" borderId="0" xfId="0" applyAlignment="1">
      <alignment horizontal="center"/>
    </xf>
    <xf numFmtId="0" fontId="0" fillId="0" borderId="8" xfId="0" applyBorder="1" applyAlignment="1">
      <alignment horizontal="center"/>
    </xf>
    <xf numFmtId="0" fontId="0" fillId="0" borderId="4" xfId="0" applyBorder="1"/>
    <xf numFmtId="0" fontId="2" fillId="0" borderId="0" xfId="1"/>
    <xf numFmtId="0" fontId="1" fillId="0" borderId="0" xfId="0" applyFont="1"/>
    <xf numFmtId="164" fontId="0" fillId="0" borderId="0" xfId="0" applyNumberFormat="1"/>
    <xf numFmtId="0" fontId="0" fillId="0" borderId="7" xfId="0" applyBorder="1" applyAlignment="1">
      <alignment horizontal="center"/>
    </xf>
    <xf numFmtId="0" fontId="1" fillId="3" borderId="3" xfId="0" applyFont="1" applyFill="1" applyBorder="1" applyAlignment="1">
      <alignment horizontal="left"/>
    </xf>
    <xf numFmtId="0" fontId="0" fillId="3" borderId="4" xfId="0" applyFill="1" applyBorder="1" applyAlignment="1">
      <alignment horizontal="center"/>
    </xf>
    <xf numFmtId="0" fontId="0" fillId="3" borderId="4" xfId="0" applyFill="1" applyBorder="1"/>
    <xf numFmtId="164" fontId="1" fillId="3" borderId="6" xfId="2" applyFont="1" applyFill="1" applyBorder="1"/>
    <xf numFmtId="0" fontId="0" fillId="0" borderId="1" xfId="0" applyBorder="1" applyAlignment="1">
      <alignment horizontal="center"/>
    </xf>
    <xf numFmtId="0" fontId="3" fillId="0" borderId="1" xfId="0" applyFont="1" applyBorder="1" applyAlignment="1">
      <alignment horizontal="center" wrapText="1"/>
    </xf>
    <xf numFmtId="0" fontId="3" fillId="0" borderId="1" xfId="0" applyFont="1" applyBorder="1" applyAlignment="1">
      <alignment wrapText="1"/>
    </xf>
    <xf numFmtId="4" fontId="0" fillId="0" borderId="1" xfId="0" applyNumberFormat="1" applyBorder="1"/>
    <xf numFmtId="4" fontId="0" fillId="0" borderId="0" xfId="0" applyNumberFormat="1"/>
    <xf numFmtId="0" fontId="0" fillId="0" borderId="0" xfId="0" applyFont="1"/>
    <xf numFmtId="165" fontId="0" fillId="0" borderId="9" xfId="0" applyNumberFormat="1" applyBorder="1"/>
    <xf numFmtId="0" fontId="7" fillId="0" borderId="0" xfId="0" applyFont="1"/>
    <xf numFmtId="0" fontId="6" fillId="0" borderId="0" xfId="0" applyFont="1" applyBorder="1"/>
    <xf numFmtId="0" fontId="7" fillId="0" borderId="0" xfId="0" applyFont="1" applyBorder="1"/>
    <xf numFmtId="4" fontId="7" fillId="0" borderId="0" xfId="0" applyNumberFormat="1" applyFont="1" applyBorder="1"/>
    <xf numFmtId="2" fontId="0" fillId="0" borderId="0" xfId="0" applyNumberFormat="1"/>
    <xf numFmtId="0" fontId="8" fillId="4" borderId="0" xfId="0" applyFont="1" applyFill="1"/>
    <xf numFmtId="0" fontId="2" fillId="0" borderId="4" xfId="1" applyBorder="1"/>
    <xf numFmtId="0" fontId="1" fillId="5" borderId="0" xfId="0" applyFont="1" applyFill="1"/>
    <xf numFmtId="0" fontId="1" fillId="2" borderId="10" xfId="0" applyFont="1" applyFill="1" applyBorder="1"/>
    <xf numFmtId="0" fontId="0" fillId="2" borderId="10" xfId="0" applyFill="1" applyBorder="1"/>
    <xf numFmtId="0" fontId="0" fillId="2" borderId="11" xfId="0" applyFill="1" applyBorder="1"/>
    <xf numFmtId="0" fontId="5" fillId="0" borderId="2" xfId="0" applyFont="1" applyBorder="1"/>
    <xf numFmtId="0" fontId="0" fillId="0" borderId="12" xfId="0" applyFont="1" applyBorder="1"/>
    <xf numFmtId="0" fontId="0" fillId="0" borderId="5" xfId="0" applyFont="1" applyBorder="1" applyAlignment="1">
      <alignment horizontal="center"/>
    </xf>
    <xf numFmtId="0" fontId="0" fillId="0" borderId="8" xfId="0" applyFont="1" applyBorder="1"/>
    <xf numFmtId="0" fontId="0" fillId="0" borderId="0" xfId="0" applyFont="1" applyBorder="1"/>
    <xf numFmtId="0" fontId="0" fillId="0" borderId="0" xfId="0" applyFont="1" applyFill="1" applyBorder="1"/>
    <xf numFmtId="0" fontId="1" fillId="2" borderId="8" xfId="0" applyFont="1" applyFill="1" applyBorder="1"/>
    <xf numFmtId="0" fontId="0" fillId="2" borderId="0" xfId="0" applyFont="1" applyFill="1" applyBorder="1"/>
    <xf numFmtId="0" fontId="5" fillId="0" borderId="8" xfId="0" applyFont="1" applyBorder="1"/>
    <xf numFmtId="0" fontId="0" fillId="0" borderId="7" xfId="0" applyFont="1" applyBorder="1" applyAlignment="1">
      <alignment horizontal="center"/>
    </xf>
    <xf numFmtId="17" fontId="0" fillId="0" borderId="0" xfId="0" applyNumberFormat="1" applyFont="1" applyBorder="1"/>
    <xf numFmtId="9" fontId="0" fillId="0" borderId="8" xfId="0" applyNumberFormat="1" applyBorder="1" applyAlignment="1">
      <alignment horizontal="center"/>
    </xf>
    <xf numFmtId="0" fontId="0" fillId="0" borderId="13" xfId="0" applyBorder="1" applyAlignment="1">
      <alignment horizontal="center"/>
    </xf>
    <xf numFmtId="3" fontId="0" fillId="0" borderId="13" xfId="0" applyNumberFormat="1" applyBorder="1"/>
    <xf numFmtId="3" fontId="0" fillId="0" borderId="14" xfId="0" applyNumberFormat="1" applyFont="1" applyBorder="1"/>
    <xf numFmtId="0" fontId="0" fillId="0" borderId="16" xfId="0" applyBorder="1" applyAlignment="1">
      <alignment horizontal="center"/>
    </xf>
    <xf numFmtId="3" fontId="0" fillId="0" borderId="1" xfId="0" applyNumberFormat="1" applyBorder="1"/>
    <xf numFmtId="166" fontId="1" fillId="3" borderId="6" xfId="2" applyNumberFormat="1" applyFont="1" applyFill="1" applyBorder="1"/>
    <xf numFmtId="4" fontId="1" fillId="0" borderId="0" xfId="0" applyNumberFormat="1" applyFont="1"/>
    <xf numFmtId="0" fontId="0" fillId="0" borderId="2" xfId="0" applyFont="1" applyBorder="1"/>
    <xf numFmtId="0" fontId="0" fillId="0" borderId="12" xfId="0" applyFont="1" applyFill="1" applyBorder="1"/>
    <xf numFmtId="165" fontId="1" fillId="3" borderId="4" xfId="0" applyNumberFormat="1" applyFont="1" applyFill="1" applyBorder="1"/>
    <xf numFmtId="3" fontId="1" fillId="3" borderId="15" xfId="2" applyNumberFormat="1" applyFont="1" applyFill="1" applyBorder="1"/>
    <xf numFmtId="0" fontId="9" fillId="6" borderId="9" xfId="0" applyFont="1" applyFill="1" applyBorder="1"/>
    <xf numFmtId="0" fontId="9" fillId="6" borderId="10" xfId="0" applyFont="1" applyFill="1" applyBorder="1"/>
    <xf numFmtId="164" fontId="9" fillId="6" borderId="11" xfId="0" applyNumberFormat="1" applyFont="1" applyFill="1" applyBorder="1"/>
    <xf numFmtId="166" fontId="1" fillId="3" borderId="1" xfId="2" applyNumberFormat="1" applyFont="1" applyFill="1" applyBorder="1"/>
    <xf numFmtId="0" fontId="10" fillId="6" borderId="0" xfId="0" applyFont="1" applyFill="1" applyBorder="1"/>
    <xf numFmtId="0" fontId="10" fillId="6" borderId="8" xfId="0" applyFont="1" applyFill="1" applyBorder="1"/>
    <xf numFmtId="164" fontId="10" fillId="6" borderId="18" xfId="2" applyFont="1" applyFill="1" applyBorder="1"/>
    <xf numFmtId="4" fontId="0" fillId="0" borderId="17" xfId="0" applyNumberFormat="1" applyFont="1" applyBorder="1"/>
    <xf numFmtId="0" fontId="0" fillId="0" borderId="0" xfId="0" applyBorder="1"/>
    <xf numFmtId="0" fontId="1" fillId="0" borderId="0" xfId="0" applyFont="1" applyBorder="1"/>
    <xf numFmtId="164" fontId="9" fillId="0" borderId="0" xfId="2" applyFont="1" applyBorder="1"/>
    <xf numFmtId="164" fontId="0" fillId="0" borderId="0" xfId="0" applyNumberFormat="1" applyBorder="1"/>
    <xf numFmtId="0" fontId="1" fillId="0" borderId="19" xfId="0" applyFont="1" applyBorder="1"/>
    <xf numFmtId="164" fontId="10" fillId="0" borderId="20" xfId="2" applyFont="1" applyBorder="1"/>
    <xf numFmtId="0" fontId="0" fillId="0" borderId="16" xfId="0" applyFont="1" applyBorder="1"/>
    <xf numFmtId="4" fontId="0" fillId="0" borderId="21" xfId="0" applyNumberFormat="1" applyFont="1" applyBorder="1"/>
    <xf numFmtId="0" fontId="1" fillId="0" borderId="15" xfId="0" applyFont="1" applyBorder="1"/>
    <xf numFmtId="164" fontId="9" fillId="0" borderId="22" xfId="2" applyFont="1" applyBorder="1"/>
    <xf numFmtId="0" fontId="10" fillId="6" borderId="0" xfId="0" applyFont="1" applyFill="1" applyBorder="1" applyAlignment="1">
      <alignment horizontal="left" vertical="center" wrapText="1"/>
    </xf>
    <xf numFmtId="0" fontId="10" fillId="6" borderId="0" xfId="0" applyFont="1" applyFill="1" applyBorder="1" applyAlignment="1">
      <alignment horizontal="left" wrapText="1"/>
    </xf>
    <xf numFmtId="0" fontId="9" fillId="2" borderId="9" xfId="0" applyFont="1" applyFill="1" applyBorder="1"/>
    <xf numFmtId="0" fontId="9" fillId="2" borderId="10" xfId="0" applyFont="1" applyFill="1" applyBorder="1"/>
    <xf numFmtId="164" fontId="9" fillId="2" borderId="11" xfId="2" applyFont="1" applyFill="1" applyBorder="1"/>
    <xf numFmtId="0" fontId="0" fillId="0" borderId="6" xfId="0" applyFont="1" applyBorder="1" applyAlignment="1">
      <alignment horizontal="center"/>
    </xf>
    <xf numFmtId="166" fontId="0" fillId="0" borderId="9" xfId="2" applyNumberFormat="1" applyFont="1" applyBorder="1" applyAlignment="1">
      <alignment horizontal="center"/>
    </xf>
    <xf numFmtId="0" fontId="1" fillId="6" borderId="0" xfId="0" applyFont="1" applyFill="1"/>
    <xf numFmtId="0" fontId="8" fillId="4" borderId="12" xfId="0" applyFont="1" applyFill="1" applyBorder="1" applyAlignment="1"/>
    <xf numFmtId="0" fontId="0" fillId="0" borderId="12" xfId="0" applyBorder="1"/>
    <xf numFmtId="166" fontId="0" fillId="0" borderId="9" xfId="2" applyNumberFormat="1" applyFont="1" applyBorder="1"/>
    <xf numFmtId="164" fontId="1" fillId="2" borderId="10" xfId="2" applyFont="1" applyFill="1" applyBorder="1"/>
    <xf numFmtId="17" fontId="1" fillId="2" borderId="24" xfId="0" applyNumberFormat="1" applyFont="1" applyFill="1" applyBorder="1" applyAlignment="1">
      <alignment horizontal="left"/>
    </xf>
    <xf numFmtId="17" fontId="1" fillId="2" borderId="25" xfId="0" applyNumberFormat="1" applyFont="1" applyFill="1" applyBorder="1" applyAlignment="1">
      <alignment horizontal="left"/>
    </xf>
    <xf numFmtId="0" fontId="0" fillId="2" borderId="25" xfId="0" applyFill="1" applyBorder="1"/>
    <xf numFmtId="0" fontId="1" fillId="2" borderId="25" xfId="0" applyFont="1" applyFill="1" applyBorder="1"/>
    <xf numFmtId="164" fontId="1" fillId="2" borderId="25" xfId="2" applyFont="1" applyFill="1" applyBorder="1"/>
    <xf numFmtId="0" fontId="0" fillId="2" borderId="26" xfId="0" applyFill="1" applyBorder="1"/>
    <xf numFmtId="164" fontId="9" fillId="6" borderId="18" xfId="2" applyFont="1" applyFill="1" applyBorder="1"/>
    <xf numFmtId="0" fontId="10" fillId="6" borderId="3" xfId="0" applyFont="1" applyFill="1" applyBorder="1"/>
    <xf numFmtId="16" fontId="10" fillId="6" borderId="4" xfId="0" applyNumberFormat="1" applyFont="1" applyFill="1" applyBorder="1" applyAlignment="1">
      <alignment horizontal="left" vertical="center" wrapText="1"/>
    </xf>
    <xf numFmtId="4" fontId="10" fillId="0" borderId="1" xfId="0" applyNumberFormat="1" applyFont="1" applyBorder="1"/>
    <xf numFmtId="164" fontId="10" fillId="6" borderId="27" xfId="2" applyFont="1" applyFill="1" applyBorder="1"/>
    <xf numFmtId="0" fontId="0" fillId="4" borderId="10" xfId="0" applyFont="1" applyFill="1" applyBorder="1" applyAlignment="1"/>
    <xf numFmtId="0" fontId="0" fillId="4" borderId="11" xfId="0" applyFont="1" applyFill="1" applyBorder="1" applyAlignment="1"/>
    <xf numFmtId="0" fontId="10" fillId="6" borderId="4" xfId="0" applyFont="1" applyFill="1" applyBorder="1"/>
    <xf numFmtId="16" fontId="10" fillId="6" borderId="10" xfId="0" applyNumberFormat="1" applyFont="1" applyFill="1" applyBorder="1" applyAlignment="1">
      <alignment horizontal="left" vertical="center" wrapText="1"/>
    </xf>
    <xf numFmtId="164" fontId="10" fillId="6" borderId="11" xfId="2" applyFont="1" applyFill="1" applyBorder="1"/>
    <xf numFmtId="164" fontId="9" fillId="2" borderId="1" xfId="2" applyFont="1" applyFill="1" applyBorder="1"/>
    <xf numFmtId="0" fontId="10" fillId="0" borderId="7" xfId="0" applyFont="1" applyBorder="1" applyAlignment="1">
      <alignment horizontal="center"/>
    </xf>
    <xf numFmtId="0" fontId="0" fillId="0" borderId="28" xfId="0" applyBorder="1" applyAlignment="1">
      <alignment wrapText="1"/>
    </xf>
    <xf numFmtId="0" fontId="0" fillId="0" borderId="31" xfId="0" applyBorder="1" applyAlignment="1">
      <alignment wrapText="1"/>
    </xf>
    <xf numFmtId="0" fontId="0" fillId="0" borderId="33" xfId="0" applyBorder="1" applyAlignment="1">
      <alignment horizontal="center" wrapText="1"/>
    </xf>
    <xf numFmtId="0" fontId="0" fillId="0" borderId="34" xfId="0" applyBorder="1" applyAlignment="1">
      <alignment horizontal="center" wrapText="1"/>
    </xf>
    <xf numFmtId="0" fontId="12" fillId="0" borderId="34" xfId="0" applyFont="1" applyBorder="1" applyAlignment="1">
      <alignment horizontal="center" wrapText="1"/>
    </xf>
    <xf numFmtId="0" fontId="12" fillId="0" borderId="34" xfId="0" applyFont="1" applyBorder="1" applyAlignment="1">
      <alignment wrapText="1"/>
    </xf>
    <xf numFmtId="0" fontId="0" fillId="0" borderId="35" xfId="0" applyBorder="1" applyAlignment="1">
      <alignment horizontal="center" wrapText="1"/>
    </xf>
    <xf numFmtId="0" fontId="0" fillId="0" borderId="29" xfId="0" applyBorder="1" applyAlignment="1">
      <alignment horizontal="center" wrapText="1"/>
    </xf>
    <xf numFmtId="0" fontId="0" fillId="0" borderId="30" xfId="0" applyBorder="1" applyAlignment="1">
      <alignment horizontal="center" wrapText="1"/>
    </xf>
    <xf numFmtId="0" fontId="12" fillId="0" borderId="30" xfId="0" applyFont="1" applyBorder="1" applyAlignment="1">
      <alignment horizontal="center" wrapText="1"/>
    </xf>
    <xf numFmtId="0" fontId="12" fillId="0" borderId="30" xfId="0" applyFont="1" applyBorder="1" applyAlignment="1">
      <alignment wrapText="1"/>
    </xf>
    <xf numFmtId="0" fontId="0" fillId="0" borderId="32" xfId="0" applyBorder="1" applyAlignment="1">
      <alignment horizontal="center" wrapText="1"/>
    </xf>
    <xf numFmtId="0" fontId="1" fillId="8" borderId="36" xfId="0" applyFont="1" applyFill="1" applyBorder="1" applyAlignment="1">
      <alignment vertical="center"/>
    </xf>
    <xf numFmtId="0" fontId="0" fillId="8" borderId="31" xfId="0" applyFill="1" applyBorder="1" applyAlignment="1">
      <alignment wrapText="1"/>
    </xf>
    <xf numFmtId="0" fontId="1" fillId="8" borderId="32" xfId="0" applyFont="1" applyFill="1" applyBorder="1" applyAlignment="1">
      <alignment horizontal="center" wrapText="1"/>
    </xf>
    <xf numFmtId="0" fontId="1" fillId="8" borderId="30" xfId="0" applyFont="1" applyFill="1" applyBorder="1" applyAlignment="1">
      <alignment horizontal="center" wrapText="1"/>
    </xf>
    <xf numFmtId="0" fontId="13" fillId="0" borderId="34" xfId="0" applyFont="1" applyBorder="1" applyAlignment="1">
      <alignment wrapText="1"/>
    </xf>
    <xf numFmtId="17" fontId="1" fillId="2" borderId="9" xfId="0" applyNumberFormat="1" applyFont="1" applyFill="1" applyBorder="1" applyAlignment="1"/>
    <xf numFmtId="17" fontId="1" fillId="2" borderId="10" xfId="0" applyNumberFormat="1" applyFont="1" applyFill="1" applyBorder="1" applyAlignment="1"/>
    <xf numFmtId="164" fontId="9" fillId="2" borderId="5" xfId="2" applyFont="1" applyFill="1" applyBorder="1"/>
    <xf numFmtId="0" fontId="0" fillId="0" borderId="1" xfId="0" applyBorder="1"/>
    <xf numFmtId="0" fontId="1" fillId="5" borderId="0" xfId="0" applyFont="1" applyFill="1" applyAlignment="1">
      <alignment horizontal="right"/>
    </xf>
    <xf numFmtId="4" fontId="10" fillId="0" borderId="6" xfId="0" applyNumberFormat="1" applyFont="1" applyBorder="1"/>
    <xf numFmtId="4" fontId="10" fillId="6" borderId="7" xfId="0" applyNumberFormat="1" applyFont="1" applyFill="1" applyBorder="1"/>
    <xf numFmtId="0" fontId="0" fillId="6" borderId="1" xfId="0" applyFont="1" applyFill="1" applyBorder="1"/>
    <xf numFmtId="0" fontId="0" fillId="0" borderId="1" xfId="0" applyFont="1" applyBorder="1"/>
    <xf numFmtId="4" fontId="10" fillId="6" borderId="6" xfId="0" applyNumberFormat="1" applyFont="1" applyFill="1" applyBorder="1"/>
    <xf numFmtId="0" fontId="8" fillId="4" borderId="23" xfId="0" applyFont="1" applyFill="1" applyBorder="1" applyAlignment="1">
      <alignment horizontal="center"/>
    </xf>
    <xf numFmtId="0" fontId="0" fillId="0" borderId="0" xfId="0" applyAlignment="1">
      <alignment horizontal="center" vertical="center" wrapText="1"/>
    </xf>
    <xf numFmtId="0" fontId="1" fillId="0" borderId="47" xfId="0" applyFont="1" applyBorder="1" applyAlignment="1">
      <alignment horizontal="center" vertical="center" wrapText="1"/>
    </xf>
    <xf numFmtId="0" fontId="1" fillId="0" borderId="48" xfId="0" applyFont="1" applyBorder="1" applyAlignment="1">
      <alignment horizontal="center" vertical="center" wrapText="1"/>
    </xf>
    <xf numFmtId="0" fontId="0" fillId="0" borderId="49" xfId="0" applyBorder="1" applyAlignment="1">
      <alignment vertical="center" wrapText="1"/>
    </xf>
    <xf numFmtId="0" fontId="0" fillId="0" borderId="50" xfId="0" applyBorder="1" applyAlignment="1">
      <alignment vertical="center" wrapText="1"/>
    </xf>
    <xf numFmtId="0" fontId="0" fillId="0" borderId="51" xfId="0" applyBorder="1" applyAlignment="1">
      <alignment vertical="center" wrapText="1"/>
    </xf>
    <xf numFmtId="0" fontId="11" fillId="0" borderId="37" xfId="0" applyFont="1" applyBorder="1" applyAlignment="1">
      <alignment horizontal="center" wrapText="1"/>
    </xf>
    <xf numFmtId="0" fontId="11" fillId="0" borderId="38" xfId="0" applyFont="1" applyBorder="1" applyAlignment="1">
      <alignment horizontal="center" wrapText="1"/>
    </xf>
    <xf numFmtId="0" fontId="11" fillId="0" borderId="39" xfId="0" applyFont="1" applyBorder="1" applyAlignment="1">
      <alignment horizontal="center" wrapText="1"/>
    </xf>
    <xf numFmtId="0" fontId="1" fillId="7" borderId="41" xfId="0" applyFont="1" applyFill="1" applyBorder="1" applyAlignment="1">
      <alignment horizontal="right" wrapText="1"/>
    </xf>
    <xf numFmtId="0" fontId="1" fillId="7" borderId="42" xfId="0" applyFont="1" applyFill="1" applyBorder="1" applyAlignment="1">
      <alignment horizontal="right" wrapText="1"/>
    </xf>
    <xf numFmtId="0" fontId="1" fillId="7" borderId="43" xfId="0" applyFont="1" applyFill="1" applyBorder="1" applyAlignment="1">
      <alignment horizontal="right" wrapText="1"/>
    </xf>
    <xf numFmtId="0" fontId="1" fillId="7" borderId="41" xfId="0" applyFont="1" applyFill="1" applyBorder="1" applyAlignment="1">
      <alignment horizontal="left" wrapText="1"/>
    </xf>
    <xf numFmtId="0" fontId="1" fillId="7" borderId="43" xfId="0" applyFont="1" applyFill="1" applyBorder="1" applyAlignment="1">
      <alignment horizontal="left" wrapText="1"/>
    </xf>
    <xf numFmtId="0" fontId="1" fillId="0" borderId="44" xfId="0" applyFont="1" applyBorder="1" applyAlignment="1">
      <alignment horizontal="center" vertical="center" wrapText="1"/>
    </xf>
    <xf numFmtId="0" fontId="1" fillId="0" borderId="40" xfId="0" applyFont="1" applyBorder="1" applyAlignment="1">
      <alignment horizontal="center" vertical="center" wrapText="1"/>
    </xf>
    <xf numFmtId="0" fontId="1" fillId="0" borderId="45" xfId="0" applyFont="1" applyBorder="1" applyAlignment="1">
      <alignment horizontal="center" vertical="center" wrapText="1"/>
    </xf>
    <xf numFmtId="0" fontId="1" fillId="0" borderId="46" xfId="0" applyFont="1" applyBorder="1" applyAlignment="1">
      <alignment horizontal="center" vertical="center" wrapText="1"/>
    </xf>
    <xf numFmtId="4" fontId="10" fillId="6" borderId="1" xfId="0" applyNumberFormat="1" applyFont="1" applyFill="1" applyBorder="1"/>
  </cellXfs>
  <cellStyles count="3">
    <cellStyle name="Hipervínculo" xfId="1" builtinId="8"/>
    <cellStyle name="Moneda" xfId="2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142875</xdr:colOff>
      <xdr:row>0</xdr:row>
      <xdr:rowOff>38100</xdr:rowOff>
    </xdr:from>
    <xdr:to>
      <xdr:col>0</xdr:col>
      <xdr:colOff>1809750</xdr:colOff>
      <xdr:row>3</xdr:row>
      <xdr:rowOff>171450</xdr:rowOff>
    </xdr:to>
    <xdr:pic>
      <xdr:nvPicPr>
        <xdr:cNvPr id="2" name="1 Imagen" descr="C:\Users\Particular\Desktop\NATI\CONSORCIOS RC\WhatsApp Image 2020-12-10 at 14.53.20.jpeg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875" y="38100"/>
          <a:ext cx="1666875" cy="70485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consorciosrc13@gmail.com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64"/>
  <sheetViews>
    <sheetView topLeftCell="A14" workbookViewId="0">
      <selection activeCell="A23" sqref="A23"/>
    </sheetView>
  </sheetViews>
  <sheetFormatPr baseColWidth="10" defaultRowHeight="15" x14ac:dyDescent="0.25"/>
  <cols>
    <col min="1" max="1" width="38" customWidth="1"/>
    <col min="2" max="2" width="40.28515625" customWidth="1"/>
    <col min="3" max="3" width="13.5703125" customWidth="1"/>
    <col min="4" max="4" width="7.5703125" customWidth="1"/>
    <col min="5" max="5" width="58.140625" bestFit="1" customWidth="1"/>
    <col min="6" max="6" width="13.5703125" customWidth="1"/>
  </cols>
  <sheetData>
    <row r="1" spans="1:7" x14ac:dyDescent="0.25">
      <c r="B1" t="s">
        <v>64</v>
      </c>
    </row>
    <row r="2" spans="1:7" x14ac:dyDescent="0.25">
      <c r="B2" t="s">
        <v>20</v>
      </c>
      <c r="C2" s="121" t="s">
        <v>63</v>
      </c>
    </row>
    <row r="3" spans="1:7" x14ac:dyDescent="0.25">
      <c r="B3" t="s">
        <v>11</v>
      </c>
    </row>
    <row r="4" spans="1:7" x14ac:dyDescent="0.25">
      <c r="B4" s="4" t="s">
        <v>8</v>
      </c>
    </row>
    <row r="5" spans="1:7" ht="8.25" customHeight="1" x14ac:dyDescent="0.25">
      <c r="A5" s="3"/>
      <c r="B5" s="25"/>
      <c r="C5" s="3"/>
      <c r="D5" s="61"/>
      <c r="E5" s="61"/>
      <c r="F5" s="61"/>
    </row>
    <row r="6" spans="1:7" x14ac:dyDescent="0.25">
      <c r="D6" s="80"/>
      <c r="E6" s="80"/>
      <c r="F6" s="80"/>
    </row>
    <row r="7" spans="1:7" x14ac:dyDescent="0.25">
      <c r="A7" s="26" t="s">
        <v>43</v>
      </c>
      <c r="B7" s="26"/>
      <c r="C7" s="78"/>
      <c r="D7" s="78"/>
      <c r="E7" s="26" t="s">
        <v>70</v>
      </c>
      <c r="F7" s="122"/>
    </row>
    <row r="8" spans="1:7" x14ac:dyDescent="0.25">
      <c r="A8" s="3"/>
      <c r="B8" s="3"/>
      <c r="C8" s="3"/>
      <c r="D8" s="3"/>
      <c r="E8" s="3"/>
      <c r="F8" s="3"/>
    </row>
    <row r="9" spans="1:7" x14ac:dyDescent="0.25">
      <c r="C9" s="17"/>
    </row>
    <row r="10" spans="1:7" x14ac:dyDescent="0.25">
      <c r="A10" s="24" t="s">
        <v>13</v>
      </c>
      <c r="B10" s="17"/>
    </row>
    <row r="11" spans="1:7" ht="15.75" thickBot="1" x14ac:dyDescent="0.3">
      <c r="A11" s="30" t="s">
        <v>12</v>
      </c>
      <c r="B11" s="31"/>
      <c r="C11" s="32"/>
      <c r="D11" s="5"/>
      <c r="E11" s="128" t="s">
        <v>24</v>
      </c>
      <c r="F11" s="128"/>
    </row>
    <row r="12" spans="1:7" x14ac:dyDescent="0.25">
      <c r="A12" s="125" t="s">
        <v>61</v>
      </c>
      <c r="B12" s="125" t="s">
        <v>65</v>
      </c>
      <c r="C12" s="127">
        <v>26302</v>
      </c>
      <c r="D12" s="5"/>
      <c r="E12" s="65" t="s">
        <v>48</v>
      </c>
      <c r="F12" s="66">
        <v>117610.75461061104</v>
      </c>
    </row>
    <row r="13" spans="1:7" x14ac:dyDescent="0.25">
      <c r="A13" s="126" t="s">
        <v>68</v>
      </c>
      <c r="B13" s="126" t="s">
        <v>69</v>
      </c>
      <c r="C13" s="127">
        <v>29246.720000000001</v>
      </c>
      <c r="D13" s="48"/>
      <c r="E13" s="67" t="s">
        <v>9</v>
      </c>
      <c r="F13" s="68">
        <f>'prorrateo '!F11</f>
        <v>152508.20602500002</v>
      </c>
    </row>
    <row r="14" spans="1:7" x14ac:dyDescent="0.25">
      <c r="A14" s="126" t="s">
        <v>26</v>
      </c>
      <c r="B14" s="126" t="s">
        <v>62</v>
      </c>
      <c r="C14" s="147">
        <v>22402.86</v>
      </c>
      <c r="D14" s="5"/>
      <c r="E14" s="67" t="s">
        <v>22</v>
      </c>
      <c r="F14" s="68">
        <f>-(C36)</f>
        <v>-182079.68</v>
      </c>
    </row>
    <row r="15" spans="1:7" x14ac:dyDescent="0.25">
      <c r="A15" s="33" t="s">
        <v>21</v>
      </c>
      <c r="B15" s="35" t="s">
        <v>66</v>
      </c>
      <c r="C15" s="92">
        <v>32800</v>
      </c>
      <c r="E15" s="67"/>
      <c r="F15" s="68"/>
    </row>
    <row r="16" spans="1:7" ht="15.75" thickBot="1" x14ac:dyDescent="0.3">
      <c r="A16" s="36"/>
      <c r="B16" s="37"/>
      <c r="C16" s="99">
        <f>SUM(C12:C15)</f>
        <v>110751.58</v>
      </c>
      <c r="E16" s="69" t="s">
        <v>49</v>
      </c>
      <c r="F16" s="70">
        <f>SUM(F12:F15)</f>
        <v>88039.280635611096</v>
      </c>
      <c r="G16" s="61"/>
    </row>
    <row r="17" spans="1:7" x14ac:dyDescent="0.25">
      <c r="A17" s="38" t="s">
        <v>23</v>
      </c>
      <c r="B17" s="34"/>
      <c r="C17" s="100"/>
      <c r="D17" s="5"/>
      <c r="E17" s="20"/>
      <c r="F17" s="22"/>
      <c r="G17" s="61"/>
    </row>
    <row r="18" spans="1:7" ht="13.5" customHeight="1" x14ac:dyDescent="0.25">
      <c r="A18" s="33" t="s">
        <v>42</v>
      </c>
      <c r="B18" s="40" t="s">
        <v>71</v>
      </c>
      <c r="C18" s="123">
        <f xml:space="preserve"> 51328.1</f>
        <v>51328.1</v>
      </c>
      <c r="D18" s="5"/>
      <c r="E18" s="20"/>
      <c r="F18" s="22"/>
      <c r="G18" s="61"/>
    </row>
    <row r="19" spans="1:7" x14ac:dyDescent="0.25">
      <c r="A19" s="33" t="s">
        <v>72</v>
      </c>
      <c r="B19" s="40"/>
      <c r="C19" s="124">
        <v>20000</v>
      </c>
      <c r="D19" s="5"/>
      <c r="E19" s="20"/>
      <c r="F19" s="22"/>
      <c r="G19" s="61"/>
    </row>
    <row r="20" spans="1:7" ht="14.25" customHeight="1" x14ac:dyDescent="0.25">
      <c r="A20" s="33" t="s">
        <v>67</v>
      </c>
      <c r="B20" s="40"/>
      <c r="C20" s="124">
        <v>0</v>
      </c>
      <c r="D20" s="5"/>
      <c r="E20" s="20"/>
      <c r="F20" s="22"/>
      <c r="G20" s="61"/>
    </row>
    <row r="21" spans="1:7" ht="14.25" customHeight="1" x14ac:dyDescent="0.25">
      <c r="A21" s="33"/>
      <c r="B21" s="40"/>
      <c r="C21" s="124"/>
      <c r="D21" s="5"/>
      <c r="E21" s="20"/>
      <c r="F21" s="22"/>
      <c r="G21" s="61"/>
    </row>
    <row r="22" spans="1:7" x14ac:dyDescent="0.25">
      <c r="A22" s="33" t="s">
        <v>73</v>
      </c>
      <c r="B22" s="40"/>
      <c r="C22" s="124">
        <v>150000</v>
      </c>
      <c r="D22" s="5"/>
      <c r="E22" s="20"/>
      <c r="F22" s="22"/>
      <c r="G22" s="61"/>
    </row>
    <row r="23" spans="1:7" x14ac:dyDescent="0.25">
      <c r="A23" s="36"/>
      <c r="B23" s="37"/>
      <c r="C23" s="120">
        <f>SUM(C17:C22)</f>
        <v>221328.1</v>
      </c>
      <c r="D23" s="5"/>
      <c r="E23" s="62"/>
      <c r="F23" s="63"/>
      <c r="G23" s="64"/>
    </row>
    <row r="24" spans="1:7" x14ac:dyDescent="0.25">
      <c r="A24" s="53" t="s">
        <v>14</v>
      </c>
      <c r="B24" s="54"/>
      <c r="C24" s="55">
        <f>+C23+C16</f>
        <v>332079.68</v>
      </c>
      <c r="D24" s="5"/>
      <c r="E24" s="20"/>
      <c r="F24" s="22"/>
      <c r="G24" s="61"/>
    </row>
    <row r="25" spans="1:7" ht="14.25" customHeight="1" x14ac:dyDescent="0.25">
      <c r="A25" s="79" t="s">
        <v>27</v>
      </c>
      <c r="B25" s="94"/>
      <c r="C25" s="95"/>
      <c r="E25" s="20"/>
      <c r="F25" s="22"/>
      <c r="G25" s="61"/>
    </row>
    <row r="26" spans="1:7" hidden="1" x14ac:dyDescent="0.25">
      <c r="A26" s="24" t="s">
        <v>27</v>
      </c>
      <c r="B26" s="34"/>
      <c r="C26" s="34"/>
    </row>
    <row r="27" spans="1:7" hidden="1" x14ac:dyDescent="0.25">
      <c r="A27" s="49"/>
      <c r="B27" s="50"/>
      <c r="C27" s="60"/>
      <c r="F27" s="6"/>
    </row>
    <row r="28" spans="1:7" hidden="1" x14ac:dyDescent="0.25">
      <c r="A28" s="58"/>
      <c r="B28" s="57"/>
      <c r="C28" s="59">
        <v>0</v>
      </c>
      <c r="F28" s="6"/>
    </row>
    <row r="29" spans="1:7" hidden="1" x14ac:dyDescent="0.25">
      <c r="A29" s="71"/>
      <c r="B29" s="72"/>
      <c r="C29" s="59">
        <v>0</v>
      </c>
      <c r="F29" s="6"/>
    </row>
    <row r="30" spans="1:7" x14ac:dyDescent="0.25">
      <c r="A30" s="90"/>
      <c r="B30" s="91"/>
      <c r="C30" s="93"/>
      <c r="F30" s="6"/>
    </row>
    <row r="31" spans="1:7" x14ac:dyDescent="0.25">
      <c r="A31" s="90"/>
      <c r="B31" s="97"/>
      <c r="C31" s="98"/>
      <c r="F31" s="6"/>
    </row>
    <row r="32" spans="1:7" x14ac:dyDescent="0.25">
      <c r="A32" s="90"/>
      <c r="B32" s="96"/>
      <c r="C32" s="93">
        <v>0</v>
      </c>
      <c r="F32" s="6"/>
    </row>
    <row r="33" spans="1:6" x14ac:dyDescent="0.25">
      <c r="A33" s="73" t="s">
        <v>25</v>
      </c>
      <c r="B33" s="74"/>
      <c r="C33" s="75">
        <f>SUM(C28:C32)</f>
        <v>0</v>
      </c>
    </row>
    <row r="34" spans="1:6" x14ac:dyDescent="0.25">
      <c r="A34" s="17" t="s">
        <v>59</v>
      </c>
      <c r="B34" s="17"/>
      <c r="C34" s="59">
        <f>C24-C22</f>
        <v>182079.68</v>
      </c>
      <c r="F34" s="6"/>
    </row>
    <row r="35" spans="1:6" x14ac:dyDescent="0.25">
      <c r="A35" s="5" t="s">
        <v>54</v>
      </c>
      <c r="B35" s="17"/>
      <c r="C35" s="89">
        <f>+C24</f>
        <v>332079.68</v>
      </c>
      <c r="F35" s="6"/>
    </row>
    <row r="36" spans="1:6" x14ac:dyDescent="0.25">
      <c r="A36" s="73" t="s">
        <v>15</v>
      </c>
      <c r="B36" s="74"/>
      <c r="C36" s="75">
        <f>C34</f>
        <v>182079.68</v>
      </c>
      <c r="E36" s="16"/>
    </row>
    <row r="40" spans="1:6" x14ac:dyDescent="0.25">
      <c r="C40" s="17"/>
    </row>
    <row r="41" spans="1:6" x14ac:dyDescent="0.25">
      <c r="D41" s="6"/>
    </row>
    <row r="42" spans="1:6" x14ac:dyDescent="0.25">
      <c r="D42" s="16"/>
      <c r="E42" s="16"/>
    </row>
    <row r="43" spans="1:6" x14ac:dyDescent="0.25">
      <c r="D43" s="16"/>
      <c r="E43" s="16"/>
    </row>
    <row r="44" spans="1:6" x14ac:dyDescent="0.25">
      <c r="D44" s="16"/>
    </row>
    <row r="45" spans="1:6" x14ac:dyDescent="0.25">
      <c r="D45" s="16"/>
    </row>
    <row r="57" spans="1:3" x14ac:dyDescent="0.25">
      <c r="A57" s="20"/>
      <c r="B57" s="21"/>
      <c r="C57" s="22"/>
    </row>
    <row r="58" spans="1:3" x14ac:dyDescent="0.25">
      <c r="A58" s="19"/>
      <c r="B58" s="19"/>
      <c r="C58" s="19"/>
    </row>
    <row r="59" spans="1:3" x14ac:dyDescent="0.25">
      <c r="A59" s="19"/>
      <c r="B59" s="19"/>
      <c r="C59" s="19"/>
    </row>
    <row r="60" spans="1:3" x14ac:dyDescent="0.25">
      <c r="A60" s="19"/>
      <c r="B60" s="19"/>
      <c r="C60" s="19"/>
    </row>
    <row r="61" spans="1:3" x14ac:dyDescent="0.25">
      <c r="A61" s="19"/>
      <c r="B61" s="19"/>
      <c r="C61" s="19"/>
    </row>
    <row r="62" spans="1:3" x14ac:dyDescent="0.25">
      <c r="A62" s="19"/>
      <c r="B62" s="19"/>
      <c r="C62" s="19"/>
    </row>
    <row r="63" spans="1:3" x14ac:dyDescent="0.25">
      <c r="A63" s="19"/>
      <c r="B63" s="19"/>
      <c r="C63" s="19"/>
    </row>
    <row r="64" spans="1:3" x14ac:dyDescent="0.25">
      <c r="A64" s="19"/>
      <c r="B64" s="19"/>
      <c r="C64" s="19"/>
    </row>
  </sheetData>
  <mergeCells count="1">
    <mergeCell ref="E11:F11"/>
  </mergeCells>
  <hyperlinks>
    <hyperlink ref="B4" r:id="rId1"/>
  </hyperlinks>
  <printOptions horizontalCentered="1"/>
  <pageMargins left="0.23622047244094491" right="0.23622047244094491" top="0.19685039370078741" bottom="0.74803149606299213" header="0.31496062992125984" footer="0.31496062992125984"/>
  <pageSetup paperSize="9" scale="83" orientation="landscape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N16"/>
  <sheetViews>
    <sheetView tabSelected="1" topLeftCell="A2" workbookViewId="0">
      <selection activeCell="M11" sqref="M11"/>
    </sheetView>
  </sheetViews>
  <sheetFormatPr baseColWidth="10" defaultRowHeight="15" x14ac:dyDescent="0.25"/>
  <cols>
    <col min="1" max="1" width="5.28515625" style="1" customWidth="1"/>
    <col min="2" max="2" width="8.42578125" style="1" customWidth="1"/>
    <col min="3" max="3" width="19.28515625" customWidth="1"/>
    <col min="4" max="4" width="10.5703125" bestFit="1" customWidth="1"/>
    <col min="5" max="5" width="13.7109375" customWidth="1"/>
    <col min="6" max="6" width="12.42578125" bestFit="1" customWidth="1"/>
    <col min="7" max="7" width="12.42578125" customWidth="1"/>
    <col min="8" max="8" width="9.28515625" bestFit="1" customWidth="1"/>
    <col min="9" max="9" width="12.42578125" hidden="1" customWidth="1"/>
    <col min="10" max="10" width="12.7109375" customWidth="1"/>
    <col min="11" max="11" width="14.28515625" bestFit="1" customWidth="1"/>
    <col min="12" max="12" width="12.42578125" bestFit="1" customWidth="1"/>
    <col min="14" max="14" width="11.42578125" style="23"/>
  </cols>
  <sheetData>
    <row r="1" spans="1:12" x14ac:dyDescent="0.25">
      <c r="A1" s="118" t="s">
        <v>60</v>
      </c>
      <c r="B1" s="119"/>
      <c r="C1" s="119"/>
      <c r="D1" s="28"/>
      <c r="E1" s="27" t="s">
        <v>41</v>
      </c>
      <c r="F1" s="28"/>
      <c r="G1" s="27" t="s">
        <v>52</v>
      </c>
      <c r="H1" s="28"/>
      <c r="I1" s="28"/>
      <c r="J1" s="28"/>
      <c r="K1" s="82">
        <v>332079.68</v>
      </c>
      <c r="L1" s="29"/>
    </row>
    <row r="2" spans="1:12" ht="15.75" thickBot="1" x14ac:dyDescent="0.3">
      <c r="A2" s="83" t="str">
        <f>'detalle y gastos'!E7</f>
        <v>Liquidacion mes de ENERO</v>
      </c>
      <c r="B2" s="84"/>
      <c r="C2" s="84"/>
      <c r="D2" s="85"/>
      <c r="E2" s="86"/>
      <c r="F2" s="85"/>
      <c r="G2" s="86" t="s">
        <v>53</v>
      </c>
      <c r="H2" s="85"/>
      <c r="I2" s="85"/>
      <c r="J2" s="85"/>
      <c r="K2" s="87"/>
      <c r="L2" s="88"/>
    </row>
    <row r="3" spans="1:12" x14ac:dyDescent="0.25">
      <c r="A3" s="2" t="s">
        <v>0</v>
      </c>
      <c r="B3" s="7" t="s">
        <v>1</v>
      </c>
      <c r="C3" s="7" t="s">
        <v>2</v>
      </c>
      <c r="D3" s="2" t="s">
        <v>6</v>
      </c>
      <c r="E3" s="7" t="s">
        <v>18</v>
      </c>
      <c r="F3" s="7" t="s">
        <v>3</v>
      </c>
      <c r="G3" s="2" t="s">
        <v>50</v>
      </c>
      <c r="H3" s="2" t="s">
        <v>28</v>
      </c>
      <c r="I3" s="7" t="s">
        <v>46</v>
      </c>
      <c r="J3" s="45" t="s">
        <v>16</v>
      </c>
      <c r="K3" s="45" t="s">
        <v>44</v>
      </c>
      <c r="L3" s="39" t="s">
        <v>4</v>
      </c>
    </row>
    <row r="4" spans="1:12" x14ac:dyDescent="0.25">
      <c r="A4" s="2"/>
      <c r="B4" s="7"/>
      <c r="C4" s="7"/>
      <c r="D4" s="2" t="s">
        <v>7</v>
      </c>
      <c r="E4" s="7" t="s">
        <v>19</v>
      </c>
      <c r="F4" s="7" t="s">
        <v>51</v>
      </c>
      <c r="G4" s="2"/>
      <c r="H4" s="41">
        <v>7.6999999999999999E-2</v>
      </c>
      <c r="I4" s="7" t="s">
        <v>47</v>
      </c>
      <c r="J4" s="42" t="s">
        <v>17</v>
      </c>
      <c r="K4" s="42" t="s">
        <v>45</v>
      </c>
      <c r="L4" s="76" t="s">
        <v>5</v>
      </c>
    </row>
    <row r="5" spans="1:12" x14ac:dyDescent="0.25">
      <c r="A5" s="12">
        <v>1</v>
      </c>
      <c r="B5" s="13" t="s">
        <v>29</v>
      </c>
      <c r="C5" s="14" t="s">
        <v>37</v>
      </c>
      <c r="D5" s="18">
        <v>0.1512</v>
      </c>
      <c r="E5" s="46">
        <v>28001.506679999999</v>
      </c>
      <c r="F5" s="92">
        <f t="shared" ref="F5:F9" si="0">E5</f>
        <v>28001.506679999999</v>
      </c>
      <c r="G5" s="77">
        <f>E5-F5</f>
        <v>0</v>
      </c>
      <c r="H5" s="81">
        <f>IF(G5&gt;0,G5*8.4%,0)</f>
        <v>0</v>
      </c>
      <c r="I5" s="15">
        <v>0</v>
      </c>
      <c r="J5" s="43">
        <f>K1*D5</f>
        <v>50210.447615999998</v>
      </c>
      <c r="K5" s="15">
        <f>K2*D5</f>
        <v>0</v>
      </c>
      <c r="L5" s="44">
        <f>J5+K5+H5+G5</f>
        <v>50210.447615999998</v>
      </c>
    </row>
    <row r="6" spans="1:12" x14ac:dyDescent="0.25">
      <c r="A6" s="12">
        <v>2</v>
      </c>
      <c r="B6" s="13" t="s">
        <v>30</v>
      </c>
      <c r="C6" s="14" t="s">
        <v>38</v>
      </c>
      <c r="D6" s="18">
        <v>0.15690000000000001</v>
      </c>
      <c r="E6" s="46">
        <v>29057.119035</v>
      </c>
      <c r="F6" s="92">
        <f>E6</f>
        <v>29057.119035</v>
      </c>
      <c r="G6" s="77">
        <f t="shared" ref="G6:G10" si="1">E6-F6</f>
        <v>0</v>
      </c>
      <c r="H6" s="81">
        <f t="shared" ref="H6:H10" si="2">IF(G6&gt;0,G6*8.4%,0)</f>
        <v>0</v>
      </c>
      <c r="I6" s="15">
        <v>0</v>
      </c>
      <c r="J6" s="43">
        <f>K1*D6</f>
        <v>52103.301792000006</v>
      </c>
      <c r="K6" s="15">
        <f>K2*D6</f>
        <v>0</v>
      </c>
      <c r="L6" s="44">
        <f>J6+K6+H6+G6</f>
        <v>52103.301792000006</v>
      </c>
    </row>
    <row r="7" spans="1:12" x14ac:dyDescent="0.25">
      <c r="A7" s="12">
        <v>3</v>
      </c>
      <c r="B7" s="13" t="s">
        <v>31</v>
      </c>
      <c r="C7" s="14" t="s">
        <v>39</v>
      </c>
      <c r="D7" s="18">
        <v>0.15820000000000001</v>
      </c>
      <c r="E7" s="46">
        <v>29297.872729999999</v>
      </c>
      <c r="F7" s="92">
        <f t="shared" si="0"/>
        <v>29297.872729999999</v>
      </c>
      <c r="G7" s="77">
        <f t="shared" si="1"/>
        <v>0</v>
      </c>
      <c r="H7" s="81">
        <f t="shared" si="2"/>
        <v>0</v>
      </c>
      <c r="I7" s="15">
        <v>0</v>
      </c>
      <c r="J7" s="43">
        <f>K1*D7</f>
        <v>52535.005376000001</v>
      </c>
      <c r="K7" s="15">
        <f>K2*D7</f>
        <v>0</v>
      </c>
      <c r="L7" s="44">
        <f t="shared" ref="L7:L9" si="3">J7+K7+H7+G7</f>
        <v>52535.005376000001</v>
      </c>
    </row>
    <row r="8" spans="1:12" x14ac:dyDescent="0.25">
      <c r="A8" s="12">
        <v>4</v>
      </c>
      <c r="B8" s="13" t="s">
        <v>33</v>
      </c>
      <c r="C8" s="14" t="s">
        <v>40</v>
      </c>
      <c r="D8" s="18">
        <v>0.19800000000000001</v>
      </c>
      <c r="E8" s="46">
        <v>36668.6397</v>
      </c>
      <c r="F8" s="92">
        <f t="shared" si="0"/>
        <v>36668.6397</v>
      </c>
      <c r="G8" s="77">
        <f t="shared" si="1"/>
        <v>0</v>
      </c>
      <c r="H8" s="81">
        <f t="shared" si="2"/>
        <v>0</v>
      </c>
      <c r="I8" s="15">
        <v>0</v>
      </c>
      <c r="J8" s="43">
        <f>K1*D8</f>
        <v>65751.776639999996</v>
      </c>
      <c r="K8" s="15">
        <f>K2*D8</f>
        <v>0</v>
      </c>
      <c r="L8" s="44">
        <f t="shared" si="3"/>
        <v>65751.776639999996</v>
      </c>
    </row>
    <row r="9" spans="1:12" x14ac:dyDescent="0.25">
      <c r="A9" s="12">
        <v>5</v>
      </c>
      <c r="B9" s="13" t="s">
        <v>32</v>
      </c>
      <c r="C9" s="14" t="s">
        <v>35</v>
      </c>
      <c r="D9" s="18">
        <v>0.15920000000000001</v>
      </c>
      <c r="E9" s="46">
        <v>29483.067880000002</v>
      </c>
      <c r="F9" s="92">
        <f t="shared" si="0"/>
        <v>29483.067880000002</v>
      </c>
      <c r="G9" s="77">
        <f t="shared" si="1"/>
        <v>0</v>
      </c>
      <c r="H9" s="81">
        <f t="shared" si="2"/>
        <v>0</v>
      </c>
      <c r="I9" s="15">
        <v>0</v>
      </c>
      <c r="J9" s="43">
        <f>K1*D9</f>
        <v>52867.085056000004</v>
      </c>
      <c r="K9" s="15">
        <f>K2*D9</f>
        <v>0</v>
      </c>
      <c r="L9" s="44">
        <f t="shared" si="3"/>
        <v>52867.085056000004</v>
      </c>
    </row>
    <row r="10" spans="1:12" x14ac:dyDescent="0.25">
      <c r="A10" s="12">
        <v>6</v>
      </c>
      <c r="B10" s="13" t="s">
        <v>34</v>
      </c>
      <c r="C10" s="14" t="s">
        <v>36</v>
      </c>
      <c r="D10" s="18">
        <v>0.17649999999999999</v>
      </c>
      <c r="E10" s="46">
        <v>75218.431757395272</v>
      </c>
      <c r="F10" s="92"/>
      <c r="G10" s="77">
        <f t="shared" si="1"/>
        <v>75218.431757395272</v>
      </c>
      <c r="H10" s="81">
        <f t="shared" si="2"/>
        <v>6318.3482676212034</v>
      </c>
      <c r="I10" s="15">
        <v>0</v>
      </c>
      <c r="J10" s="43">
        <f>K1*D10</f>
        <v>58612.063519999996</v>
      </c>
      <c r="K10" s="15">
        <f>K2*D10</f>
        <v>0</v>
      </c>
      <c r="L10" s="44">
        <f>J10+K10+H10+G10</f>
        <v>140148.84354501648</v>
      </c>
    </row>
    <row r="11" spans="1:12" ht="15" customHeight="1" thickBot="1" x14ac:dyDescent="0.3">
      <c r="A11" s="8" t="s">
        <v>10</v>
      </c>
      <c r="B11" s="9"/>
      <c r="C11" s="10"/>
      <c r="D11" s="51">
        <f>SUM(D5:D10)</f>
        <v>1</v>
      </c>
      <c r="E11" s="47">
        <f t="shared" ref="E11" si="4">SUM(E5:E10)</f>
        <v>227726.63778239529</v>
      </c>
      <c r="F11" s="47">
        <f t="shared" ref="F11:K11" si="5">SUM(F5:F10)</f>
        <v>152508.20602500002</v>
      </c>
      <c r="G11" s="56">
        <f>SUM(G5:G10)</f>
        <v>75218.431757395272</v>
      </c>
      <c r="H11" s="56">
        <f t="shared" si="5"/>
        <v>6318.3482676212034</v>
      </c>
      <c r="I11" s="11">
        <f t="shared" si="5"/>
        <v>0</v>
      </c>
      <c r="J11" s="52">
        <f t="shared" si="5"/>
        <v>332079.67999999993</v>
      </c>
      <c r="K11" s="52">
        <f t="shared" si="5"/>
        <v>0</v>
      </c>
      <c r="L11" s="56">
        <f>SUM(L5:L10)</f>
        <v>413616.46002501645</v>
      </c>
    </row>
    <row r="12" spans="1:12" ht="51.75" hidden="1" customHeight="1" x14ac:dyDescent="0.25">
      <c r="A12" s="129"/>
      <c r="B12" s="129"/>
      <c r="C12" s="129"/>
      <c r="D12" s="129"/>
      <c r="E12" s="129"/>
      <c r="F12" s="129"/>
      <c r="G12" s="129"/>
      <c r="H12" s="129"/>
      <c r="I12" s="129"/>
      <c r="J12" s="129"/>
      <c r="K12" s="129"/>
      <c r="L12" s="129"/>
    </row>
    <row r="13" spans="1:12" x14ac:dyDescent="0.25">
      <c r="L13" s="6"/>
    </row>
    <row r="16" spans="1:12" x14ac:dyDescent="0.25">
      <c r="F16" s="6"/>
      <c r="G16" s="6"/>
    </row>
  </sheetData>
  <mergeCells count="1">
    <mergeCell ref="A12:L12"/>
  </mergeCells>
  <printOptions horizontalCentered="1" verticalCentered="1"/>
  <pageMargins left="0.19685039370078741" right="0.19685039370078741" top="0.19685039370078741" bottom="0.19685039370078741" header="0.31496062992125984" footer="0.31496062992125984"/>
  <pageSetup paperSize="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2"/>
  <sheetViews>
    <sheetView workbookViewId="0">
      <selection activeCell="E6" sqref="E6"/>
    </sheetView>
  </sheetViews>
  <sheetFormatPr baseColWidth="10" defaultRowHeight="15" x14ac:dyDescent="0.25"/>
  <cols>
    <col min="3" max="3" width="13.140625" customWidth="1"/>
  </cols>
  <sheetData>
    <row r="1" spans="1:7" ht="19.5" thickBot="1" x14ac:dyDescent="0.35">
      <c r="A1" s="135" t="s">
        <v>27</v>
      </c>
      <c r="B1" s="136"/>
      <c r="C1" s="136"/>
      <c r="D1" s="136"/>
      <c r="E1" s="137"/>
      <c r="F1" s="101"/>
      <c r="G1" s="101"/>
    </row>
    <row r="2" spans="1:7" ht="15.75" thickBot="1" x14ac:dyDescent="0.3">
      <c r="A2" s="138" t="s">
        <v>55</v>
      </c>
      <c r="B2" s="139"/>
      <c r="C2" s="140"/>
      <c r="D2" s="141">
        <v>565</v>
      </c>
      <c r="E2" s="142"/>
      <c r="F2" s="102"/>
      <c r="G2" s="102"/>
    </row>
    <row r="3" spans="1:7" ht="15.75" thickTop="1" x14ac:dyDescent="0.25">
      <c r="A3" s="143" t="s">
        <v>0</v>
      </c>
      <c r="B3" s="143" t="s">
        <v>1</v>
      </c>
      <c r="C3" s="143" t="s">
        <v>2</v>
      </c>
      <c r="D3" s="145" t="s">
        <v>6</v>
      </c>
      <c r="E3" s="130" t="s">
        <v>56</v>
      </c>
      <c r="F3" s="130" t="s">
        <v>57</v>
      </c>
      <c r="G3" s="130" t="s">
        <v>50</v>
      </c>
    </row>
    <row r="4" spans="1:7" ht="15.75" thickBot="1" x14ac:dyDescent="0.3">
      <c r="A4" s="144"/>
      <c r="B4" s="144"/>
      <c r="C4" s="144"/>
      <c r="D4" s="146"/>
      <c r="E4" s="131"/>
      <c r="F4" s="131"/>
      <c r="G4" s="131"/>
    </row>
    <row r="5" spans="1:7" ht="16.5" thickTop="1" thickBot="1" x14ac:dyDescent="0.3">
      <c r="A5" s="103">
        <v>1</v>
      </c>
      <c r="B5" s="105" t="s">
        <v>29</v>
      </c>
      <c r="C5" s="106" t="s">
        <v>37</v>
      </c>
      <c r="D5" s="104">
        <v>0.1512</v>
      </c>
      <c r="E5" s="107">
        <v>85</v>
      </c>
      <c r="F5" s="107">
        <v>0</v>
      </c>
      <c r="G5" s="107">
        <v>0</v>
      </c>
    </row>
    <row r="6" spans="1:7" ht="15.75" thickBot="1" x14ac:dyDescent="0.3">
      <c r="A6" s="103">
        <v>2</v>
      </c>
      <c r="B6" s="105" t="s">
        <v>30</v>
      </c>
      <c r="C6" s="106" t="s">
        <v>38</v>
      </c>
      <c r="D6" s="104">
        <v>0.15690000000000001</v>
      </c>
      <c r="E6" s="107">
        <v>89</v>
      </c>
      <c r="F6" s="107">
        <v>0</v>
      </c>
      <c r="G6" s="107">
        <v>0</v>
      </c>
    </row>
    <row r="7" spans="1:7" ht="15.75" thickBot="1" x14ac:dyDescent="0.3">
      <c r="A7" s="103">
        <v>3</v>
      </c>
      <c r="B7" s="105" t="s">
        <v>31</v>
      </c>
      <c r="C7" s="106" t="s">
        <v>39</v>
      </c>
      <c r="D7" s="104">
        <v>0.15820000000000001</v>
      </c>
      <c r="E7" s="107">
        <v>89</v>
      </c>
      <c r="F7" s="107">
        <v>0</v>
      </c>
      <c r="G7" s="107">
        <v>0</v>
      </c>
    </row>
    <row r="8" spans="1:7" ht="18" customHeight="1" thickBot="1" x14ac:dyDescent="0.3">
      <c r="A8" s="103">
        <v>4</v>
      </c>
      <c r="B8" s="105" t="s">
        <v>33</v>
      </c>
      <c r="C8" s="117" t="s">
        <v>40</v>
      </c>
      <c r="D8" s="104">
        <v>0.19800000000000001</v>
      </c>
      <c r="E8" s="107">
        <v>112</v>
      </c>
      <c r="F8" s="107">
        <v>0</v>
      </c>
      <c r="G8" s="107">
        <v>0</v>
      </c>
    </row>
    <row r="9" spans="1:7" ht="15.75" thickBot="1" x14ac:dyDescent="0.3">
      <c r="A9" s="103">
        <v>5</v>
      </c>
      <c r="B9" s="105" t="s">
        <v>32</v>
      </c>
      <c r="C9" s="106" t="s">
        <v>35</v>
      </c>
      <c r="D9" s="104">
        <v>0.15920000000000001</v>
      </c>
      <c r="E9" s="107">
        <v>90</v>
      </c>
      <c r="F9" s="107">
        <v>0</v>
      </c>
      <c r="G9" s="107">
        <v>0</v>
      </c>
    </row>
    <row r="10" spans="1:7" ht="15.75" thickBot="1" x14ac:dyDescent="0.3">
      <c r="A10" s="108">
        <v>6</v>
      </c>
      <c r="B10" s="110" t="s">
        <v>34</v>
      </c>
      <c r="C10" s="111" t="s">
        <v>36</v>
      </c>
      <c r="D10" s="109">
        <v>0.17649999999999999</v>
      </c>
      <c r="E10" s="112">
        <v>100</v>
      </c>
      <c r="F10" s="112">
        <v>0</v>
      </c>
      <c r="G10" s="112">
        <v>0</v>
      </c>
    </row>
    <row r="11" spans="1:7" ht="16.5" thickTop="1" thickBot="1" x14ac:dyDescent="0.3">
      <c r="A11" s="113" t="s">
        <v>10</v>
      </c>
      <c r="B11" s="114"/>
      <c r="C11" s="114"/>
      <c r="D11" s="115">
        <v>1</v>
      </c>
      <c r="E11" s="115">
        <v>565</v>
      </c>
      <c r="F11" s="115" t="s">
        <v>58</v>
      </c>
      <c r="G11" s="116" t="s">
        <v>58</v>
      </c>
    </row>
    <row r="12" spans="1:7" ht="16.5" thickTop="1" thickBot="1" x14ac:dyDescent="0.3">
      <c r="A12" s="132"/>
      <c r="B12" s="133"/>
      <c r="C12" s="133"/>
      <c r="D12" s="133"/>
      <c r="E12" s="134"/>
      <c r="F12" s="101"/>
      <c r="G12" s="101"/>
    </row>
  </sheetData>
  <mergeCells count="11">
    <mergeCell ref="F3:F4"/>
    <mergeCell ref="G3:G4"/>
    <mergeCell ref="A12:E12"/>
    <mergeCell ref="A1:E1"/>
    <mergeCell ref="A2:C2"/>
    <mergeCell ref="D2:E2"/>
    <mergeCell ref="A3:A4"/>
    <mergeCell ref="B3:B4"/>
    <mergeCell ref="C3:C4"/>
    <mergeCell ref="D3:D4"/>
    <mergeCell ref="E3:E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detalle y gastos</vt:lpstr>
      <vt:lpstr>prorrateo </vt:lpstr>
      <vt:lpstr>extraordinaria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Particular</dc:creator>
  <cp:lastModifiedBy>Sistemax</cp:lastModifiedBy>
  <cp:lastPrinted>2025-01-28T16:03:14Z</cp:lastPrinted>
  <dcterms:created xsi:type="dcterms:W3CDTF">2020-12-10T00:27:53Z</dcterms:created>
  <dcterms:modified xsi:type="dcterms:W3CDTF">2025-01-28T16:47:25Z</dcterms:modified>
</cp:coreProperties>
</file>