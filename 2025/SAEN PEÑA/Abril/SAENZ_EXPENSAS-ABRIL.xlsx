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EN PEÑA\Abril\"/>
    </mc:Choice>
  </mc:AlternateContent>
  <xr:revisionPtr revIDLastSave="0" documentId="13_ncr:1_{57CB6DF8-214F-4689-BD91-3BE260ACB28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" sheetId="4" r:id="rId3"/>
  </sheets>
  <calcPr calcId="181029"/>
</workbook>
</file>

<file path=xl/calcChain.xml><?xml version="1.0" encoding="utf-8"?>
<calcChain xmlns="http://schemas.openxmlformats.org/spreadsheetml/2006/main">
  <c r="C18" i="3" l="1"/>
  <c r="C21" i="3" l="1"/>
  <c r="C16" i="3" l="1"/>
  <c r="C22" i="3" s="1"/>
  <c r="C32" i="3" s="1"/>
  <c r="C34" i="3" s="1"/>
  <c r="A2" i="1" l="1"/>
  <c r="F6" i="1" l="1"/>
  <c r="C33" i="3" l="1"/>
  <c r="F5" i="1"/>
  <c r="F7" i="1" l="1"/>
  <c r="F8" i="1" l="1"/>
  <c r="F9" i="1"/>
  <c r="C31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6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<sst xmlns="http://schemas.openxmlformats.org/spreadsheetml/2006/main" count="93" uniqueCount="72">
  <si>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</si>
  <si>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</si>
  <si>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</si>
  <si>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</si>
  <si>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</si>
  <si>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</si>
  <si>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</si>
  <si>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</si>
  <si>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</si>
  <si>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</si>
  <si>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</si>
  <si>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</si>
  <si>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</si>
  <si>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</si>
  <si>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</si>
  <si>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</si>
  <si>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</si>
  <si>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</si>
  <si>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</si>
  <si>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</si>
  <si>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</si>
  <si>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</si>
  <si>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</si>
  <si>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</si>
  <si>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</si>
  <si>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</si>
  <si>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</si>
  <si>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</si>
  <si>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</si>
  <si>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</si>
  <si>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</si>
  <si>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</si>
  <si>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</si>
  <si>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</si>
  <si>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</si>
  <si>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</si>
  <si>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</si>
  <si>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</si>
  <si>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</si>
  <si>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</si>
  <si>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</si>
  <si>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</si>
  <si>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</si>
  <si>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</si>
  <si>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</si>
  <si>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</si>
  <si>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</si>
  <si>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</si>
  <si>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</si>
  <si>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</si>
  <si>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</si>
  <si>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</si>
  <si>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</si>
  <si>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</si>
  <si>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</si>
  <si>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</si>
  <si>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</si>
  <si>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</si>
  <si>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</si>
  <si>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</si>
  <si>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</si>
  <si>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Zurich</t>
  </si>
  <si>
    <t xml:space="preserve">Pago efectivo </t>
  </si>
  <si>
    <t>MP:1148</t>
  </si>
  <si>
    <t>Domicilio : Dr melo 2958 - 8vo piso  - con cita previa</t>
  </si>
  <si>
    <t>Poliza Nro. 001170625</t>
  </si>
  <si>
    <t>Mercantil Andina</t>
  </si>
  <si>
    <t xml:space="preserve">Poliza 8356156-0 </t>
  </si>
  <si>
    <t>Honorarios</t>
  </si>
  <si>
    <t>Liquidacion mes de ABRIL</t>
  </si>
  <si>
    <t xml:space="preserve">Período ABRIL </t>
  </si>
  <si>
    <t>Distribuidora Barbiero -  compra de automatico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</si>
</sst>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4" fontId="9" fillId="6" borderId="10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164" fontId="10" fillId="0" borderId="19" xfId="2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164" fontId="9" fillId="0" borderId="21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164" fontId="9" fillId="6" borderId="17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164" fontId="9" fillId="2" borderId="1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horizontal="center"/>
    </xf>
    <xf numFmtId="17" fontId="0" fillId="0" borderId="1" xfId="0" applyNumberFormat="1" applyBorder="1"/>
    <xf numFmtId="4" fontId="10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topLeftCell="A10" workbookViewId="0">
      <selection activeCell="C12" sqref="C12:C19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6" x14ac:dyDescent="0.25">
      <c r="B1" t="s">
        <v>64</v>
      </c>
    </row>
    <row r="2" spans="1:6" x14ac:dyDescent="0.25">
      <c r="B2" t="s">
        <v>20</v>
      </c>
      <c r="C2" s="102" t="s">
        <v>63</v>
      </c>
    </row>
    <row r="3" spans="1:6" x14ac:dyDescent="0.25">
      <c r="B3" t="s">
        <v>11</v>
      </c>
    </row>
    <row r="4" spans="1:6" x14ac:dyDescent="0.25">
      <c r="B4" s="4" t="s">
        <v>8</v>
      </c>
    </row>
    <row r="5" spans="1:6" ht="8.25" customHeight="1" x14ac:dyDescent="0.25">
      <c r="A5" s="3"/>
      <c r="B5" s="23"/>
      <c r="C5" s="3"/>
    </row>
    <row r="6" spans="1:6" x14ac:dyDescent="0.25">
      <c r="D6" s="28"/>
      <c r="E6" s="28"/>
      <c r="F6" s="28"/>
    </row>
    <row r="7" spans="1:6" x14ac:dyDescent="0.25">
      <c r="A7" s="24" t="s">
        <v>43</v>
      </c>
      <c r="B7" s="24"/>
      <c r="C7" s="62"/>
      <c r="D7" s="62"/>
      <c r="E7" s="24" t="s">
        <v>69</v>
      </c>
      <c r="F7" s="103"/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13</v>
      </c>
    </row>
    <row r="11" spans="1:6" ht="15.75" thickBot="1" x14ac:dyDescent="0.3">
      <c r="A11" s="125" t="s">
        <v>12</v>
      </c>
      <c r="B11" s="102"/>
      <c r="C11" s="12"/>
      <c r="D11" s="5"/>
      <c r="E11" s="106" t="s">
        <v>24</v>
      </c>
      <c r="F11" s="106"/>
    </row>
    <row r="12" spans="1:6" x14ac:dyDescent="0.25">
      <c r="A12" s="104" t="s">
        <v>61</v>
      </c>
      <c r="B12" s="104" t="s">
        <v>65</v>
      </c>
      <c r="C12" s="130">
        <v>32362.99</v>
      </c>
      <c r="D12" s="5"/>
      <c r="E12" s="49" t="s">
        <v>48</v>
      </c>
      <c r="F12" s="50">
        <v>398111.03351840901</v>
      </c>
    </row>
    <row r="13" spans="1:6" x14ac:dyDescent="0.25">
      <c r="A13" s="102" t="s">
        <v>66</v>
      </c>
      <c r="B13" s="102" t="s">
        <v>67</v>
      </c>
      <c r="C13" s="130">
        <v>29247</v>
      </c>
      <c r="D13" s="36"/>
      <c r="E13" s="51" t="s">
        <v>9</v>
      </c>
      <c r="F13" s="52">
        <f>'prorrateo '!F11</f>
        <v>293744.47581000003</v>
      </c>
    </row>
    <row r="14" spans="1:6" x14ac:dyDescent="0.25">
      <c r="A14" s="102" t="s">
        <v>26</v>
      </c>
      <c r="B14" s="102" t="s">
        <v>62</v>
      </c>
      <c r="C14" s="130">
        <v>23460.01</v>
      </c>
      <c r="D14" s="5"/>
      <c r="E14" s="51" t="s">
        <v>22</v>
      </c>
      <c r="F14" s="52">
        <f>-(C34)</f>
        <v>-203893.44</v>
      </c>
    </row>
    <row r="15" spans="1:6" x14ac:dyDescent="0.25">
      <c r="A15" s="102" t="s">
        <v>21</v>
      </c>
      <c r="B15" s="102" t="s">
        <v>68</v>
      </c>
      <c r="C15" s="75">
        <v>32800</v>
      </c>
      <c r="E15" s="51"/>
      <c r="F15" s="52"/>
    </row>
    <row r="16" spans="1:6" ht="15.75" thickBot="1" x14ac:dyDescent="0.3">
      <c r="A16" s="126"/>
      <c r="B16" s="127"/>
      <c r="C16" s="82">
        <f>SUM(C12:C15)</f>
        <v>117870</v>
      </c>
      <c r="E16" s="53" t="s">
        <v>49</v>
      </c>
      <c r="F16" s="54">
        <f>SUM(F12:F15)</f>
        <v>487962.0693284091</v>
      </c>
    </row>
    <row r="17" spans="1:7" x14ac:dyDescent="0.25">
      <c r="A17" s="125" t="s">
        <v>23</v>
      </c>
      <c r="B17" s="102"/>
      <c r="C17" s="128"/>
      <c r="D17" s="5"/>
      <c r="E17" s="19"/>
      <c r="F17" s="20"/>
    </row>
    <row r="18" spans="1:7" ht="13.5" customHeight="1" x14ac:dyDescent="0.25">
      <c r="A18" s="102" t="s">
        <v>42</v>
      </c>
      <c r="B18" s="129" t="s">
        <v>70</v>
      </c>
      <c r="C18" s="75">
        <f xml:space="preserve"> 51328.1</f>
        <v>51328.1</v>
      </c>
      <c r="D18" s="5"/>
      <c r="E18" s="19"/>
      <c r="F18" s="20"/>
    </row>
    <row r="19" spans="1:7" ht="13.5" customHeight="1" x14ac:dyDescent="0.25">
      <c r="A19" s="102" t="s">
        <v>71</v>
      </c>
      <c r="B19" s="129"/>
      <c r="C19" s="75">
        <v>34695.339999999997</v>
      </c>
      <c r="D19" s="5"/>
      <c r="E19" s="19"/>
      <c r="F19" s="20"/>
    </row>
    <row r="20" spans="1:7" x14ac:dyDescent="0.25">
      <c r="A20" s="102"/>
      <c r="B20" s="129"/>
      <c r="C20" s="130"/>
      <c r="D20" s="5"/>
      <c r="E20" s="19"/>
      <c r="F20" s="20"/>
    </row>
    <row r="21" spans="1:7" x14ac:dyDescent="0.25">
      <c r="A21" s="126"/>
      <c r="B21" s="127"/>
      <c r="C21" s="82">
        <f>SUM(C17:C20)</f>
        <v>86023.44</v>
      </c>
      <c r="D21" s="5"/>
      <c r="E21" s="5"/>
      <c r="F21" s="48"/>
      <c r="G21" s="6"/>
    </row>
    <row r="22" spans="1:7" x14ac:dyDescent="0.25">
      <c r="A22" s="40" t="s">
        <v>14</v>
      </c>
      <c r="B22" s="41"/>
      <c r="C22" s="42">
        <f>+C21+C16</f>
        <v>203893.44</v>
      </c>
      <c r="D22" s="5"/>
      <c r="E22" s="19"/>
      <c r="F22" s="20"/>
    </row>
    <row r="23" spans="1:7" ht="14.25" customHeight="1" x14ac:dyDescent="0.25">
      <c r="A23" s="63" t="s">
        <v>27</v>
      </c>
      <c r="B23" s="77"/>
      <c r="C23" s="78"/>
      <c r="E23" s="19"/>
      <c r="F23" s="20"/>
    </row>
    <row r="24" spans="1:7" hidden="1" x14ac:dyDescent="0.25">
      <c r="A24" s="22" t="s">
        <v>27</v>
      </c>
    </row>
    <row r="25" spans="1:7" hidden="1" x14ac:dyDescent="0.25">
      <c r="A25" s="37"/>
      <c r="B25" s="28"/>
      <c r="C25" s="47"/>
      <c r="F25" s="6"/>
    </row>
    <row r="26" spans="1:7" hidden="1" x14ac:dyDescent="0.25">
      <c r="A26" s="45"/>
      <c r="B26" s="44"/>
      <c r="C26" s="46">
        <v>0</v>
      </c>
      <c r="F26" s="6"/>
    </row>
    <row r="27" spans="1:7" hidden="1" x14ac:dyDescent="0.25">
      <c r="A27" s="55"/>
      <c r="B27" s="56"/>
      <c r="C27" s="46">
        <v>0</v>
      </c>
      <c r="F27" s="6"/>
    </row>
    <row r="28" spans="1:7" x14ac:dyDescent="0.25">
      <c r="A28" s="73"/>
      <c r="B28" s="74"/>
      <c r="C28" s="76"/>
      <c r="F28" s="6"/>
    </row>
    <row r="29" spans="1:7" x14ac:dyDescent="0.25">
      <c r="A29" s="73"/>
      <c r="B29" s="80"/>
      <c r="C29" s="81"/>
      <c r="F29" s="6"/>
    </row>
    <row r="30" spans="1:7" x14ac:dyDescent="0.25">
      <c r="A30" s="73"/>
      <c r="B30" s="79"/>
      <c r="C30" s="76">
        <v>0</v>
      </c>
      <c r="F30" s="6"/>
    </row>
    <row r="31" spans="1:7" x14ac:dyDescent="0.25">
      <c r="A31" s="57" t="s">
        <v>25</v>
      </c>
      <c r="B31" s="58"/>
      <c r="C31" s="59">
        <f>SUM(C26:C30)</f>
        <v>0</v>
      </c>
    </row>
    <row r="32" spans="1:7" x14ac:dyDescent="0.25">
      <c r="A32" t="s">
        <v>59</v>
      </c>
      <c r="C32" s="46">
        <f>C22-C20</f>
        <v>203893.44</v>
      </c>
      <c r="F32" s="6"/>
    </row>
    <row r="33" spans="1:6" x14ac:dyDescent="0.25">
      <c r="A33" s="5" t="s">
        <v>54</v>
      </c>
      <c r="C33" s="72">
        <f>+C22</f>
        <v>203893.44</v>
      </c>
      <c r="E33" s="105"/>
      <c r="F33" s="6"/>
    </row>
    <row r="34" spans="1:6" x14ac:dyDescent="0.25">
      <c r="A34" s="57" t="s">
        <v>15</v>
      </c>
      <c r="B34" s="58"/>
      <c r="C34" s="59">
        <f>C32</f>
        <v>203893.44</v>
      </c>
      <c r="E34" s="16"/>
    </row>
    <row r="39" spans="1:6" x14ac:dyDescent="0.25">
      <c r="D39" s="6"/>
    </row>
    <row r="40" spans="1:6" x14ac:dyDescent="0.25">
      <c r="D40" s="16"/>
      <c r="E40" s="16"/>
    </row>
    <row r="41" spans="1:6" x14ac:dyDescent="0.25">
      <c r="D41" s="16"/>
      <c r="E41" s="16"/>
    </row>
    <row r="42" spans="1:6" x14ac:dyDescent="0.25">
      <c r="D42" s="16"/>
    </row>
    <row r="43" spans="1:6" x14ac:dyDescent="0.25">
      <c r="D43" s="16"/>
    </row>
    <row r="55" spans="1:3" x14ac:dyDescent="0.25">
      <c r="A55" s="19"/>
      <c r="B55" s="18"/>
      <c r="C55" s="20"/>
    </row>
    <row r="56" spans="1:3" x14ac:dyDescent="0.25">
      <c r="A56" s="18"/>
      <c r="B56" s="18"/>
      <c r="C56" s="18"/>
    </row>
    <row r="57" spans="1:3" x14ac:dyDescent="0.25">
      <c r="A57" s="18"/>
      <c r="B57" s="18"/>
      <c r="C57" s="18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tabSelected="1"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100" t="s">
        <v>60</v>
      </c>
      <c r="B1" s="101"/>
      <c r="C1" s="101"/>
      <c r="D1" s="26"/>
      <c r="E1" s="25" t="s">
        <v>41</v>
      </c>
      <c r="F1" s="26"/>
      <c r="G1" s="25" t="s">
        <v>52</v>
      </c>
      <c r="H1" s="26"/>
      <c r="I1" s="26"/>
      <c r="J1" s="26"/>
      <c r="K1" s="65">
        <v>203893.44</v>
      </c>
      <c r="L1" s="27"/>
    </row>
    <row r="2" spans="1:12" ht="15.75" thickBot="1" x14ac:dyDescent="0.3">
      <c r="A2" s="66" t="str">
        <f>'detalle y gastos'!E7</f>
        <v>Liquidacion mes de ABRIL</v>
      </c>
      <c r="B2" s="67"/>
      <c r="C2" s="67"/>
      <c r="D2" s="68"/>
      <c r="E2" s="69"/>
      <c r="F2" s="68"/>
      <c r="G2" s="69" t="s">
        <v>53</v>
      </c>
      <c r="H2" s="68"/>
      <c r="I2" s="68"/>
      <c r="J2" s="68"/>
      <c r="K2" s="70"/>
      <c r="L2" s="71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60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34">
        <v>53933.411952000002</v>
      </c>
      <c r="F5" s="75">
        <f t="shared" ref="F5:F8" si="0">E5</f>
        <v>53933.411952000002</v>
      </c>
      <c r="G5" s="61">
        <f>E5-F5</f>
        <v>0</v>
      </c>
      <c r="H5" s="64">
        <f>IF(G5&gt;0,G5*8.4%,0)</f>
        <v>0</v>
      </c>
      <c r="I5" s="15">
        <v>0</v>
      </c>
      <c r="J5" s="31">
        <f>K1*D5</f>
        <v>30828.688128000002</v>
      </c>
      <c r="K5" s="15">
        <f>K2*D5</f>
        <v>0</v>
      </c>
      <c r="L5" s="32">
        <f>J5+K5+H5+G5</f>
        <v>30828.688128000002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34">
        <v>55966.615974000008</v>
      </c>
      <c r="F6" s="75">
        <f>E6</f>
        <v>55966.615974000008</v>
      </c>
      <c r="G6" s="61">
        <f t="shared" ref="G6:G8" si="1">E6-F6</f>
        <v>0</v>
      </c>
      <c r="H6" s="64">
        <f t="shared" ref="H6:H10" si="2">IF(G6&gt;0,G6*8.4%,0)</f>
        <v>0</v>
      </c>
      <c r="I6" s="15">
        <v>0</v>
      </c>
      <c r="J6" s="31">
        <f>K1*D6</f>
        <v>31990.880736000003</v>
      </c>
      <c r="K6" s="15">
        <f>K2*D6</f>
        <v>0</v>
      </c>
      <c r="L6" s="32">
        <f>J6+K6+H6+G6</f>
        <v>31990.880736000003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34">
        <v>56430.329172000005</v>
      </c>
      <c r="F7" s="75">
        <f t="shared" si="0"/>
        <v>56430.329172000005</v>
      </c>
      <c r="G7" s="61">
        <f t="shared" si="1"/>
        <v>0</v>
      </c>
      <c r="H7" s="64">
        <f t="shared" si="2"/>
        <v>0</v>
      </c>
      <c r="I7" s="15">
        <v>0</v>
      </c>
      <c r="J7" s="31">
        <f>K1*D7</f>
        <v>32255.942208</v>
      </c>
      <c r="K7" s="15">
        <f>K2*D7</f>
        <v>0</v>
      </c>
      <c r="L7" s="32">
        <f t="shared" ref="L7:L9" si="3">J7+K7+H7+G7</f>
        <v>32255.942208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34">
        <v>70627.087080000012</v>
      </c>
      <c r="F8" s="75">
        <f t="shared" si="0"/>
        <v>70627.087080000012</v>
      </c>
      <c r="G8" s="61">
        <f t="shared" si="1"/>
        <v>0</v>
      </c>
      <c r="H8" s="64">
        <f t="shared" si="2"/>
        <v>0</v>
      </c>
      <c r="I8" s="15">
        <v>0</v>
      </c>
      <c r="J8" s="31">
        <f>K1*D8</f>
        <v>40370.901120000002</v>
      </c>
      <c r="K8" s="15">
        <f>K2*D8</f>
        <v>0</v>
      </c>
      <c r="L8" s="32">
        <f t="shared" si="3"/>
        <v>40370.901120000002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34">
        <v>56787.031632000006</v>
      </c>
      <c r="F9" s="75">
        <f>E9</f>
        <v>56787.031632000006</v>
      </c>
      <c r="G9" s="61">
        <f>E9-F9</f>
        <v>0</v>
      </c>
      <c r="H9" s="64">
        <f t="shared" si="2"/>
        <v>0</v>
      </c>
      <c r="I9" s="15">
        <v>0</v>
      </c>
      <c r="J9" s="31">
        <f>K1*D9</f>
        <v>32459.835648</v>
      </c>
      <c r="K9" s="15">
        <f>K2*D9</f>
        <v>0</v>
      </c>
      <c r="L9" s="32">
        <f t="shared" si="3"/>
        <v>32459.835648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62957.984190000003</v>
      </c>
      <c r="F10" s="75"/>
      <c r="G10" s="61">
        <f>E10-F10</f>
        <v>62957.984190000003</v>
      </c>
      <c r="H10" s="64">
        <f t="shared" si="2"/>
        <v>5288.4706719600008</v>
      </c>
      <c r="I10" s="15">
        <v>0</v>
      </c>
      <c r="J10" s="31">
        <f>K1*D10</f>
        <v>35987.192159999999</v>
      </c>
      <c r="K10" s="15">
        <f>K2*D10</f>
        <v>0</v>
      </c>
      <c r="L10" s="32">
        <f>J10+K10+H10+G10</f>
        <v>104233.64702196</v>
      </c>
    </row>
    <row r="11" spans="1:12" ht="15" customHeight="1" thickBot="1" x14ac:dyDescent="0.3">
      <c r="A11" s="8" t="s">
        <v>10</v>
      </c>
      <c r="B11" s="9"/>
      <c r="C11" s="10"/>
      <c r="D11" s="38">
        <f>SUM(D5:D10)</f>
        <v>1</v>
      </c>
      <c r="E11" s="35">
        <f t="shared" ref="E11" si="4">SUM(E5:E10)</f>
        <v>356702.46</v>
      </c>
      <c r="F11" s="35">
        <f>SUM(F5:F10)</f>
        <v>293744.47581000003</v>
      </c>
      <c r="G11" s="43">
        <f>SUM(G5:G10)</f>
        <v>62957.984190000003</v>
      </c>
      <c r="H11" s="43">
        <f t="shared" ref="H11:K11" si="5">SUM(H5:H10)</f>
        <v>5288.4706719600008</v>
      </c>
      <c r="I11" s="11">
        <f t="shared" si="5"/>
        <v>0</v>
      </c>
      <c r="J11" s="39">
        <f t="shared" si="5"/>
        <v>203893.44</v>
      </c>
      <c r="K11" s="39">
        <f t="shared" si="5"/>
        <v>0</v>
      </c>
      <c r="L11" s="43">
        <f>SUM(L5:L10)</f>
        <v>272139.89486195997</v>
      </c>
    </row>
    <row r="12" spans="1:12" ht="51.75" hidden="1" customHeight="1" x14ac:dyDescent="0.25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13" t="s">
        <v>27</v>
      </c>
      <c r="B1" s="114"/>
      <c r="C1" s="114"/>
      <c r="D1" s="114"/>
      <c r="E1" s="115"/>
      <c r="F1" s="83"/>
      <c r="G1" s="83"/>
    </row>
    <row r="2" spans="1:7" ht="15.75" thickBot="1" x14ac:dyDescent="0.3">
      <c r="A2" s="116" t="s">
        <v>55</v>
      </c>
      <c r="B2" s="117"/>
      <c r="C2" s="118"/>
      <c r="D2" s="119">
        <v>565</v>
      </c>
      <c r="E2" s="120"/>
      <c r="F2" s="84"/>
      <c r="G2" s="84"/>
    </row>
    <row r="3" spans="1:7" ht="15.75" thickTop="1" x14ac:dyDescent="0.25">
      <c r="A3" s="121" t="s">
        <v>0</v>
      </c>
      <c r="B3" s="121" t="s">
        <v>1</v>
      </c>
      <c r="C3" s="121" t="s">
        <v>2</v>
      </c>
      <c r="D3" s="123" t="s">
        <v>6</v>
      </c>
      <c r="E3" s="108" t="s">
        <v>56</v>
      </c>
      <c r="F3" s="108" t="s">
        <v>57</v>
      </c>
      <c r="G3" s="108" t="s">
        <v>50</v>
      </c>
    </row>
    <row r="4" spans="1:7" ht="15.75" thickBot="1" x14ac:dyDescent="0.3">
      <c r="A4" s="122"/>
      <c r="B4" s="122"/>
      <c r="C4" s="122"/>
      <c r="D4" s="124"/>
      <c r="E4" s="109"/>
      <c r="F4" s="109"/>
      <c r="G4" s="109"/>
    </row>
    <row r="5" spans="1:7" ht="16.5" thickTop="1" thickBot="1" x14ac:dyDescent="0.3">
      <c r="A5" s="85">
        <v>1</v>
      </c>
      <c r="B5" s="87" t="s">
        <v>29</v>
      </c>
      <c r="C5" s="88" t="s">
        <v>37</v>
      </c>
      <c r="D5" s="86">
        <v>0.1512</v>
      </c>
      <c r="E5" s="89">
        <v>85</v>
      </c>
      <c r="F5" s="89">
        <v>0</v>
      </c>
      <c r="G5" s="89">
        <v>0</v>
      </c>
    </row>
    <row r="6" spans="1:7" ht="15.75" thickBot="1" x14ac:dyDescent="0.3">
      <c r="A6" s="85">
        <v>2</v>
      </c>
      <c r="B6" s="87" t="s">
        <v>30</v>
      </c>
      <c r="C6" s="88" t="s">
        <v>38</v>
      </c>
      <c r="D6" s="86">
        <v>0.15690000000000001</v>
      </c>
      <c r="E6" s="89">
        <v>89</v>
      </c>
      <c r="F6" s="89">
        <v>0</v>
      </c>
      <c r="G6" s="89">
        <v>0</v>
      </c>
    </row>
    <row r="7" spans="1:7" ht="15.75" thickBot="1" x14ac:dyDescent="0.3">
      <c r="A7" s="85">
        <v>3</v>
      </c>
      <c r="B7" s="87" t="s">
        <v>31</v>
      </c>
      <c r="C7" s="88" t="s">
        <v>39</v>
      </c>
      <c r="D7" s="86">
        <v>0.15820000000000001</v>
      </c>
      <c r="E7" s="89">
        <v>89</v>
      </c>
      <c r="F7" s="89">
        <v>0</v>
      </c>
      <c r="G7" s="89">
        <v>0</v>
      </c>
    </row>
    <row r="8" spans="1:7" ht="18" customHeight="1" thickBot="1" x14ac:dyDescent="0.3">
      <c r="A8" s="85">
        <v>4</v>
      </c>
      <c r="B8" s="87" t="s">
        <v>33</v>
      </c>
      <c r="C8" s="99" t="s">
        <v>40</v>
      </c>
      <c r="D8" s="86">
        <v>0.19800000000000001</v>
      </c>
      <c r="E8" s="89">
        <v>112</v>
      </c>
      <c r="F8" s="89">
        <v>0</v>
      </c>
      <c r="G8" s="89">
        <v>0</v>
      </c>
    </row>
    <row r="9" spans="1:7" ht="15.75" thickBot="1" x14ac:dyDescent="0.3">
      <c r="A9" s="85">
        <v>5</v>
      </c>
      <c r="B9" s="87" t="s">
        <v>32</v>
      </c>
      <c r="C9" s="88" t="s">
        <v>35</v>
      </c>
      <c r="D9" s="86">
        <v>0.15920000000000001</v>
      </c>
      <c r="E9" s="89">
        <v>90</v>
      </c>
      <c r="F9" s="89">
        <v>0</v>
      </c>
      <c r="G9" s="89">
        <v>0</v>
      </c>
    </row>
    <row r="10" spans="1:7" ht="15.75" thickBot="1" x14ac:dyDescent="0.3">
      <c r="A10" s="90">
        <v>6</v>
      </c>
      <c r="B10" s="92" t="s">
        <v>34</v>
      </c>
      <c r="C10" s="93" t="s">
        <v>36</v>
      </c>
      <c r="D10" s="91">
        <v>0.17649999999999999</v>
      </c>
      <c r="E10" s="94">
        <v>100</v>
      </c>
      <c r="F10" s="94">
        <v>0</v>
      </c>
      <c r="G10" s="94">
        <v>0</v>
      </c>
    </row>
    <row r="11" spans="1:7" ht="16.5" thickTop="1" thickBot="1" x14ac:dyDescent="0.3">
      <c r="A11" s="95" t="s">
        <v>10</v>
      </c>
      <c r="B11" s="96"/>
      <c r="C11" s="96"/>
      <c r="D11" s="97">
        <v>1</v>
      </c>
      <c r="E11" s="97">
        <v>565</v>
      </c>
      <c r="F11" s="97" t="s">
        <v>58</v>
      </c>
      <c r="G11" s="98" t="s">
        <v>58</v>
      </c>
    </row>
    <row r="12" spans="1:7" ht="16.5" thickTop="1" thickBot="1" x14ac:dyDescent="0.3">
      <c r="A12" s="110"/>
      <c r="B12" s="111"/>
      <c r="C12" s="111"/>
      <c r="D12" s="111"/>
      <c r="E12" s="112"/>
      <c r="F12" s="83"/>
      <c r="G12" s="83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y gastos</vt:lpstr>
      <vt:lpstr>prorrateo </vt:lpstr>
      <vt:lpstr>extraordinaria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2025-04-30T14:23:36Z</cp:lastPrinted>
  <dcterms:created xsi:type="dcterms:W3CDTF">2020-12-10T00:27:53Z</dcterms:created>
  <dcterms:modified xsi:type="dcterms:W3CDTF">2025-04-30T14:27:23Z</dcterms:modified>
</cp:coreProperties>
</file>