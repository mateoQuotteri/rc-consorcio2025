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Abril\"/>
    </mc:Choice>
  </mc:AlternateContent>
  <xr:revisionPtr revIDLastSave="0" documentId="13_ncr:1_{27545A95-DBC4-4757-9C1D-0476A1270F7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gastos'!$A$1:$F$44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O4" i="6" l="1"/>
  <c r="F21" i="6"/>
  <c r="E22" i="6"/>
  <c r="E21" i="6"/>
  <c r="E20" i="6"/>
  <c r="H20" i="6" s="1"/>
  <c r="E18" i="6"/>
  <c r="L4" i="1"/>
  <c r="F6" i="1"/>
  <c r="F5" i="1" l="1"/>
  <c r="M3" i="6"/>
  <c r="K6" i="6"/>
  <c r="C22" i="3"/>
  <c r="F9" i="1" l="1"/>
  <c r="E24" i="6"/>
  <c r="F16" i="3" s="1"/>
  <c r="K7" i="6"/>
  <c r="K9" i="6"/>
  <c r="K10" i="6"/>
  <c r="L9" i="6" l="1"/>
  <c r="N9" i="6" s="1"/>
  <c r="H21" i="6" s="1"/>
  <c r="L7" i="6"/>
  <c r="N7" i="6" s="1"/>
  <c r="L8" i="6"/>
  <c r="N8" i="6" s="1"/>
  <c r="F20" i="6" s="1"/>
  <c r="L10" i="6"/>
  <c r="N10" i="6" s="1"/>
  <c r="F22" i="6" s="1"/>
  <c r="H22" i="6" s="1"/>
  <c r="L11" i="6"/>
  <c r="L6" i="6"/>
  <c r="N6" i="6" s="1"/>
  <c r="F18" i="6" s="1"/>
  <c r="E7" i="6"/>
  <c r="F15" i="3" s="1"/>
  <c r="F19" i="6" l="1"/>
  <c r="H19" i="6" s="1"/>
  <c r="H18" i="6"/>
  <c r="N14" i="6"/>
  <c r="C20" i="3"/>
  <c r="C26" i="3"/>
  <c r="G8" i="1"/>
  <c r="H8" i="1" s="1"/>
  <c r="G7" i="1"/>
  <c r="G6" i="1"/>
  <c r="J9" i="1" l="1"/>
  <c r="J6" i="1"/>
  <c r="J7" i="1"/>
  <c r="J8" i="1"/>
  <c r="J5" i="1"/>
  <c r="C27" i="3" l="1"/>
  <c r="C37" i="3" s="1"/>
  <c r="F14" i="3" l="1"/>
  <c r="C38" i="3"/>
  <c r="A2" i="1"/>
  <c r="G9" i="1" l="1"/>
  <c r="C36" i="3" l="1"/>
  <c r="C39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<sst xmlns="http://schemas.openxmlformats.org/spreadsheetml/2006/main" count="112" uniqueCount="90">
  <si>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</si>
  <si>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</si>
  <si>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</si>
  <si>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</si>
  <si>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</si>
  <si>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</si>
  <si>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</si>
  <si>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</si>
  <si>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</si>
  <si>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</si>
  <si>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</si>
  <si>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</si>
  <si>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</si>
  <si>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</si>
  <si>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</si>
  <si>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</si>
  <si>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</si>
  <si>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</si>
  <si>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</si>
  <si>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</si>
  <si>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</si>
  <si>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</si>
  <si>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</si>
  <si>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</si>
  <si>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</si>
  <si>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</si>
  <si>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</si>
  <si>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</si>
  <si>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</si>
  <si>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</si>
  <si>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</si>
  <si>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</si>
  <si>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</si>
  <si>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</si>
  <si>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</si>
  <si>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</si>
  <si>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</si>
  <si>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</si>
  <si>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</si>
  <si>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</si>
  <si>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</si>
  <si>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</si>
  <si>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</si>
  <si>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</si>
  <si>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</si>
  <si>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</si>
  <si>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</si>
  <si>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</si>
  <si>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</si>
  <si>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</si>
  <si>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</si>
  <si>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</si>
  <si>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</si>
  <si>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</si>
  <si>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</si>
  <si>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</si>
  <si>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</si>
  <si>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</si>
  <si>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</si>
  <si>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</si>
  <si>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</si>
  <si>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</si>
  <si>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</si>
  <si>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</si>
  <si>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</si>
  <si>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</si>
  <si>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</si>
  <si>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</si>
  <si>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FLOW - INTERNET CAMARA</t>
  </si>
  <si>
    <t>VTO</t>
  </si>
  <si>
    <t>SEGUNDO</t>
  </si>
  <si>
    <t>PRIMER VTO</t>
  </si>
  <si>
    <t xml:space="preserve">Edesur </t>
  </si>
  <si>
    <t>EDESUR FACTURA 1:</t>
  </si>
  <si>
    <t>EDESUR FACTURA 2:</t>
  </si>
  <si>
    <t>EDESUR FACTURA 3: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</si>
  <si>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</si>
  <si>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</si>
  <si>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</si>
  <si>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</si>
  <si>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</si>
  <si>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</si>
  <si>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</si>
  <si>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</si>
  <si>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Vto. 14/05</t>
  </si>
  <si>
    <t>Liquidacion mes de ABRIL</t>
  </si>
  <si>
    <t>TSG - MES DE ABRIL</t>
  </si>
  <si>
    <t>METROGAS</t>
  </si>
  <si>
    <t>tsg y flow a ajustar - repetimos montos</t>
  </si>
  <si>
    <t>CERRRAJERIA - ARREGLO CERRADURA PUERTA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</si>
</sst>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4" fontId="10" fillId="6" borderId="1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0" fontId="0" fillId="0" borderId="0" xfId="0" applyAlignment="1">
      <alignment horizontal="center" vertical="center" wrapText="1"/>
    </xf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43" fontId="0" fillId="0" borderId="0" xfId="0" applyNumberFormat="1"/>
    <xf numFmtId="164" fontId="14" fillId="0" borderId="53" xfId="0" applyNumberFormat="1" applyFont="1" applyBorder="1"/>
    <xf numFmtId="0" fontId="0" fillId="0" borderId="54" xfId="0" applyBorder="1"/>
    <xf numFmtId="164" fontId="14" fillId="0" borderId="55" xfId="0" applyNumberFormat="1" applyFont="1" applyBorder="1"/>
    <xf numFmtId="164" fontId="0" fillId="0" borderId="52" xfId="0" applyNumberFormat="1" applyBorder="1"/>
    <xf numFmtId="164" fontId="14" fillId="0" borderId="52" xfId="0" applyNumberFormat="1" applyFont="1" applyBorder="1"/>
    <xf numFmtId="0" fontId="8" fillId="12" borderId="0" xfId="0" applyFont="1" applyFill="1"/>
    <xf numFmtId="164" fontId="14" fillId="9" borderId="52" xfId="0" applyNumberFormat="1" applyFont="1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164" fontId="10" fillId="10" borderId="0" xfId="2" applyFont="1" applyFill="1"/>
    <xf numFmtId="164" fontId="10" fillId="2" borderId="0" xfId="2" applyFont="1" applyFill="1"/>
    <xf numFmtId="164" fontId="10" fillId="6" borderId="0" xfId="2" applyFont="1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opLeftCell="A10" workbookViewId="0">
      <selection activeCell="C27" sqref="C27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85</v>
      </c>
      <c r="F7" s="111" t="s">
        <v>84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36" t="s">
        <v>22</v>
      </c>
      <c r="F11" s="136"/>
    </row>
    <row r="12" spans="1:6" x14ac:dyDescent="0.25">
      <c r="A12" s="107" t="s">
        <v>67</v>
      </c>
      <c r="B12" s="108"/>
      <c r="C12" s="135">
        <v>80236.31</v>
      </c>
      <c r="D12" s="5"/>
      <c r="E12" s="56" t="s">
        <v>42</v>
      </c>
      <c r="F12" s="57">
        <v>-1387513.66056</v>
      </c>
    </row>
    <row r="13" spans="1:6" x14ac:dyDescent="0.25">
      <c r="A13" s="31" t="s">
        <v>45</v>
      </c>
      <c r="C13" s="135">
        <v>92086</v>
      </c>
      <c r="D13" s="43"/>
      <c r="E13" s="58" t="s">
        <v>7</v>
      </c>
      <c r="F13" s="59">
        <f>'prorrateo '!F10</f>
        <v>380193.28760000004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-(C37)</f>
        <v>-430183.76</v>
      </c>
    </row>
    <row r="15" spans="1:6" x14ac:dyDescent="0.25">
      <c r="A15" s="31" t="s">
        <v>68</v>
      </c>
      <c r="C15" s="113">
        <v>39374.1</v>
      </c>
      <c r="D15" s="5"/>
      <c r="E15" s="58" t="s">
        <v>72</v>
      </c>
      <c r="F15" s="59">
        <f>-EDESUR!E7</f>
        <v>-538257.21</v>
      </c>
    </row>
    <row r="16" spans="1:6" x14ac:dyDescent="0.25">
      <c r="A16" s="31" t="s">
        <v>87</v>
      </c>
      <c r="C16" s="113">
        <v>47396.4</v>
      </c>
      <c r="D16" s="5"/>
      <c r="E16" s="58" t="s">
        <v>83</v>
      </c>
      <c r="F16" s="59">
        <f>EDESUR!E24</f>
        <v>491608.95800000004</v>
      </c>
    </row>
    <row r="17" spans="1:8" hidden="1" x14ac:dyDescent="0.25">
      <c r="A17" s="31"/>
      <c r="C17" s="113"/>
      <c r="D17" s="5"/>
      <c r="E17" s="58"/>
      <c r="F17" s="59"/>
    </row>
    <row r="18" spans="1:8" x14ac:dyDescent="0.25">
      <c r="A18" s="31" t="s">
        <v>86</v>
      </c>
      <c r="C18" s="113">
        <v>12287</v>
      </c>
      <c r="D18" s="5"/>
      <c r="E18" s="58"/>
      <c r="F18" s="59"/>
    </row>
    <row r="19" spans="1:8" x14ac:dyDescent="0.25">
      <c r="A19" s="31"/>
      <c r="C19" s="80"/>
      <c r="E19" s="58"/>
      <c r="F19" s="59"/>
      <c r="H19" s="123" t="s">
        <v>88</v>
      </c>
    </row>
    <row r="20" spans="1:8" ht="15.75" thickBot="1" x14ac:dyDescent="0.3">
      <c r="A20" s="32"/>
      <c r="B20" s="33"/>
      <c r="C20" s="87">
        <f>SUM(C12:C19)</f>
        <v>304979.81</v>
      </c>
      <c r="E20" s="60" t="s">
        <v>43</v>
      </c>
      <c r="F20" s="122">
        <f>SUM(F12:F19)</f>
        <v>-1484152.3849599999</v>
      </c>
    </row>
    <row r="21" spans="1:8" x14ac:dyDescent="0.25">
      <c r="A21" s="34" t="s">
        <v>21</v>
      </c>
      <c r="C21" s="114"/>
      <c r="D21" s="5"/>
      <c r="E21" s="19"/>
      <c r="F21" s="20"/>
    </row>
    <row r="22" spans="1:8" x14ac:dyDescent="0.25">
      <c r="A22" s="31" t="s">
        <v>66</v>
      </c>
      <c r="B22" s="35"/>
      <c r="C22" s="113">
        <f>62099*5%+62099</f>
        <v>65203.95</v>
      </c>
      <c r="D22" s="5"/>
      <c r="E22" s="19"/>
      <c r="F22" s="20"/>
    </row>
    <row r="23" spans="1:8" x14ac:dyDescent="0.25">
      <c r="A23" s="31" t="s">
        <v>89</v>
      </c>
      <c r="B23" s="35"/>
      <c r="C23" s="113">
        <v>60000</v>
      </c>
      <c r="D23" s="5"/>
      <c r="E23" s="19"/>
      <c r="F23" s="20"/>
    </row>
    <row r="24" spans="1:8" ht="14.25" customHeight="1" x14ac:dyDescent="0.25">
      <c r="A24" s="31"/>
      <c r="B24" s="35"/>
      <c r="C24" s="113"/>
      <c r="D24" s="5"/>
      <c r="E24" s="19"/>
      <c r="F24" s="20"/>
    </row>
    <row r="25" spans="1:8" x14ac:dyDescent="0.25">
      <c r="A25" s="31" t="s">
        <v>60</v>
      </c>
      <c r="B25" s="35"/>
      <c r="C25" s="112">
        <v>0</v>
      </c>
      <c r="D25" s="5"/>
      <c r="E25" s="19"/>
      <c r="F25" s="20"/>
    </row>
    <row r="26" spans="1:8" x14ac:dyDescent="0.25">
      <c r="A26" s="32"/>
      <c r="B26" s="33"/>
      <c r="C26" s="109">
        <f>SUM(C21:C25)</f>
        <v>125203.95</v>
      </c>
      <c r="D26" s="5"/>
      <c r="E26" s="5"/>
      <c r="F26" s="55"/>
      <c r="G26" s="6"/>
    </row>
    <row r="27" spans="1:8" x14ac:dyDescent="0.25">
      <c r="A27" s="47" t="s">
        <v>12</v>
      </c>
      <c r="B27" s="48"/>
      <c r="C27" s="49">
        <f>+C26+C20</f>
        <v>430183.76</v>
      </c>
      <c r="D27" s="5"/>
      <c r="E27" s="19"/>
      <c r="F27" s="20"/>
    </row>
    <row r="28" spans="1:8" ht="14.25" customHeight="1" x14ac:dyDescent="0.25">
      <c r="A28" s="69" t="s">
        <v>24</v>
      </c>
      <c r="B28" s="82"/>
      <c r="C28" s="83"/>
      <c r="E28" s="19"/>
      <c r="F28" s="20"/>
    </row>
    <row r="29" spans="1:8" hidden="1" x14ac:dyDescent="0.25">
      <c r="A29" s="22" t="s">
        <v>24</v>
      </c>
    </row>
    <row r="30" spans="1:8" hidden="1" x14ac:dyDescent="0.25">
      <c r="A30" s="44"/>
      <c r="B30" s="29"/>
      <c r="C30" s="54"/>
      <c r="F30" s="6"/>
    </row>
    <row r="31" spans="1:8" hidden="1" x14ac:dyDescent="0.25">
      <c r="A31" s="52"/>
      <c r="B31" s="51"/>
      <c r="C31" s="53">
        <v>0</v>
      </c>
      <c r="F31" s="6"/>
    </row>
    <row r="32" spans="1:8" hidden="1" x14ac:dyDescent="0.25">
      <c r="A32" s="61"/>
      <c r="B32" s="62"/>
      <c r="C32" s="53">
        <v>0</v>
      </c>
      <c r="F32" s="6"/>
    </row>
    <row r="33" spans="1:6" x14ac:dyDescent="0.25">
      <c r="A33" s="78"/>
      <c r="B33" s="79"/>
      <c r="C33" s="81"/>
      <c r="F33" s="6"/>
    </row>
    <row r="34" spans="1:6" x14ac:dyDescent="0.25">
      <c r="A34" s="78"/>
      <c r="B34" s="85"/>
      <c r="C34" s="86"/>
      <c r="F34" s="6"/>
    </row>
    <row r="35" spans="1:6" x14ac:dyDescent="0.25">
      <c r="A35" s="78"/>
      <c r="B35" s="84"/>
      <c r="C35" s="81">
        <v>0</v>
      </c>
      <c r="F35" s="6"/>
    </row>
    <row r="36" spans="1:6" x14ac:dyDescent="0.25">
      <c r="A36" s="63" t="s">
        <v>23</v>
      </c>
      <c r="B36" s="64"/>
      <c r="C36" s="65">
        <f>SUM(C31:C35)</f>
        <v>0</v>
      </c>
    </row>
    <row r="37" spans="1:6" x14ac:dyDescent="0.25">
      <c r="A37" t="s">
        <v>54</v>
      </c>
      <c r="C37" s="53">
        <f>C27-C25</f>
        <v>430183.76</v>
      </c>
      <c r="F37" s="6"/>
    </row>
    <row r="38" spans="1:6" x14ac:dyDescent="0.25">
      <c r="A38" s="5" t="s">
        <v>49</v>
      </c>
      <c r="C38" s="77">
        <f>+C27</f>
        <v>430183.76</v>
      </c>
      <c r="F38" s="6"/>
    </row>
    <row r="39" spans="1:6" x14ac:dyDescent="0.25">
      <c r="A39" s="63" t="s">
        <v>13</v>
      </c>
      <c r="B39" s="64"/>
      <c r="C39" s="65">
        <f>+C27+C36</f>
        <v>430183.76</v>
      </c>
      <c r="E39" s="16"/>
    </row>
    <row r="44" spans="1:6" x14ac:dyDescent="0.25">
      <c r="D44" s="6"/>
    </row>
    <row r="45" spans="1:6" x14ac:dyDescent="0.25">
      <c r="D45" s="16"/>
      <c r="E45" s="16"/>
    </row>
    <row r="46" spans="1:6" x14ac:dyDescent="0.25">
      <c r="B46" s="137"/>
      <c r="C46" s="137"/>
      <c r="D46" s="137"/>
      <c r="E46" s="137"/>
    </row>
    <row r="47" spans="1:6" x14ac:dyDescent="0.25">
      <c r="B47" s="137"/>
      <c r="C47" s="137"/>
      <c r="D47" s="137"/>
      <c r="E47" s="137"/>
    </row>
    <row r="48" spans="1:6" x14ac:dyDescent="0.25">
      <c r="B48" s="137"/>
      <c r="C48" s="137"/>
      <c r="D48" s="137"/>
      <c r="E48" s="137"/>
    </row>
    <row r="60" spans="1:3" x14ac:dyDescent="0.25">
      <c r="A60" s="19"/>
      <c r="B60" s="18"/>
      <c r="C60" s="20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</sheetData>
  <mergeCells count="2">
    <mergeCell ref="E11:F11"/>
    <mergeCell ref="B46:E4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430183.76</v>
      </c>
      <c r="L1" s="71"/>
      <c r="M1" s="27"/>
    </row>
    <row r="2" spans="1:13" ht="15.75" thickBot="1" x14ac:dyDescent="0.3">
      <c r="A2" s="72" t="str">
        <f>'detalle y gastos'!E7</f>
        <v>Liquidacion mes de ABRIL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5"/>
      <c r="L2" s="115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6" t="s">
        <v>38</v>
      </c>
      <c r="L3" s="30" t="s">
        <v>71</v>
      </c>
      <c r="M3" s="7" t="s">
        <v>70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7" t="s">
        <v>39</v>
      </c>
      <c r="L4" s="66" t="str">
        <f>'detalle y gastos'!F7</f>
        <v>Vto. 14/05</v>
      </c>
      <c r="M4" s="66" t="s">
        <v>69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70681.856</v>
      </c>
      <c r="F5" s="80">
        <f>E5</f>
        <v>70681.856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86036.752000000008</v>
      </c>
      <c r="K5" s="118">
        <f>K2*D5</f>
        <v>0</v>
      </c>
      <c r="L5" s="15">
        <f>J5+K5+H5+G5</f>
        <v>86036.752000000008</v>
      </c>
      <c r="M5" s="39">
        <f>L5*4%+L5</f>
        <v>89478.222080000007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159397.48559999999</v>
      </c>
      <c r="F6" s="80">
        <f>E6</f>
        <v>159397.48559999999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86036.752000000008</v>
      </c>
      <c r="K6" s="118">
        <f>K2*D6</f>
        <v>0</v>
      </c>
      <c r="L6" s="15">
        <f t="shared" ref="L6:L9" si="3">J6+K6+H6+G6</f>
        <v>86036.752000000008</v>
      </c>
      <c r="M6" s="39">
        <f t="shared" ref="M6:M9" si="4">L6*4%+L6</f>
        <v>89478.222080000007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70681.856</v>
      </c>
      <c r="F7" s="80"/>
      <c r="G7" s="67">
        <f t="shared" si="0"/>
        <v>70681.856</v>
      </c>
      <c r="H7" s="70">
        <f t="shared" si="1"/>
        <v>2827.2742400000002</v>
      </c>
      <c r="I7" s="15">
        <v>0</v>
      </c>
      <c r="J7" s="38">
        <f t="shared" si="2"/>
        <v>86036.752000000008</v>
      </c>
      <c r="K7" s="118">
        <f>K2*D7</f>
        <v>0</v>
      </c>
      <c r="L7" s="15">
        <f t="shared" si="3"/>
        <v>159545.88224000001</v>
      </c>
      <c r="M7" s="39">
        <f t="shared" si="4"/>
        <v>165927.71752960002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418239.95708031999</v>
      </c>
      <c r="F8" s="80">
        <v>79432.09</v>
      </c>
      <c r="G8" s="67">
        <f t="shared" si="0"/>
        <v>338807.86708032002</v>
      </c>
      <c r="H8" s="70">
        <f t="shared" si="1"/>
        <v>13552.3146832128</v>
      </c>
      <c r="I8" s="15">
        <v>0</v>
      </c>
      <c r="J8" s="38">
        <f t="shared" si="2"/>
        <v>86036.752000000008</v>
      </c>
      <c r="K8" s="118">
        <f>K2*D8</f>
        <v>0</v>
      </c>
      <c r="L8" s="15">
        <f t="shared" si="3"/>
        <v>438396.93376353284</v>
      </c>
      <c r="M8" s="39">
        <f t="shared" si="4"/>
        <v>455932.81111407414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70681.856</v>
      </c>
      <c r="F9" s="80">
        <f>E9</f>
        <v>70681.856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86036.752000000008</v>
      </c>
      <c r="K9" s="118">
        <f>K2*D9</f>
        <v>0</v>
      </c>
      <c r="L9" s="15">
        <f t="shared" si="3"/>
        <v>86036.752000000008</v>
      </c>
      <c r="M9" s="39">
        <f t="shared" si="4"/>
        <v>89478.222080000007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789683.01068031997</v>
      </c>
      <c r="F10" s="42">
        <f t="shared" si="5"/>
        <v>380193.28760000004</v>
      </c>
      <c r="G10" s="50">
        <f t="shared" si="5"/>
        <v>409489.72308032005</v>
      </c>
      <c r="H10" s="50">
        <f t="shared" si="5"/>
        <v>16379.588923212801</v>
      </c>
      <c r="I10" s="11">
        <f t="shared" si="5"/>
        <v>0</v>
      </c>
      <c r="J10" s="46">
        <f t="shared" si="5"/>
        <v>430183.76</v>
      </c>
      <c r="K10" s="46">
        <f t="shared" si="5"/>
        <v>0</v>
      </c>
      <c r="L10" s="119">
        <f t="shared" si="5"/>
        <v>856053.07200353278</v>
      </c>
      <c r="M10" s="119">
        <f t="shared" si="5"/>
        <v>890295.19488367415</v>
      </c>
    </row>
    <row r="11" spans="1:13" ht="51.75" hidden="1" customHeight="1" x14ac:dyDescent="0.25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</row>
    <row r="12" spans="1:13" ht="14.25" customHeight="1" x14ac:dyDescent="0.25">
      <c r="M12" s="6"/>
    </row>
    <row r="13" spans="1:13" hidden="1" x14ac:dyDescent="0.25">
      <c r="C13" s="139"/>
      <c r="D13" s="139"/>
      <c r="E13" s="139"/>
      <c r="F13" s="139"/>
      <c r="G13" s="139"/>
      <c r="H13" s="139"/>
      <c r="I13" s="139"/>
      <c r="J13" s="139"/>
      <c r="K13" s="139"/>
      <c r="L13" s="139"/>
    </row>
    <row r="14" spans="1:13" hidden="1" x14ac:dyDescent="0.25">
      <c r="C14" s="139"/>
      <c r="D14" s="139"/>
      <c r="E14" s="139"/>
      <c r="F14" s="139"/>
      <c r="G14" s="139"/>
      <c r="H14" s="139"/>
      <c r="I14" s="139"/>
      <c r="J14" s="139"/>
      <c r="K14" s="139"/>
      <c r="L14" s="139"/>
    </row>
    <row r="15" spans="1:13" hidden="1" x14ac:dyDescent="0.25">
      <c r="C15" s="139"/>
      <c r="D15" s="139"/>
      <c r="E15" s="139"/>
      <c r="F15" s="139"/>
      <c r="G15" s="139"/>
      <c r="H15" s="139"/>
      <c r="I15" s="139"/>
      <c r="J15" s="139"/>
      <c r="K15" s="139"/>
      <c r="L15" s="139"/>
    </row>
    <row r="16" spans="1:13" hidden="1" x14ac:dyDescent="0.25">
      <c r="C16" s="139"/>
      <c r="D16" s="139"/>
      <c r="E16" s="139"/>
      <c r="F16" s="139"/>
      <c r="G16" s="139"/>
      <c r="H16" s="139"/>
      <c r="I16" s="139"/>
      <c r="J16" s="139"/>
      <c r="K16" s="139"/>
      <c r="L16" s="139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abSelected="1" topLeftCell="C1" workbookViewId="0">
      <selection activeCell="E4" sqref="E4:E6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76</v>
      </c>
      <c r="M3" s="6">
        <f>E6</f>
        <v>154256.57</v>
      </c>
    </row>
    <row r="4" spans="1:15" x14ac:dyDescent="0.25">
      <c r="A4"/>
      <c r="B4"/>
      <c r="C4" s="125" t="s">
        <v>73</v>
      </c>
      <c r="D4" s="125"/>
      <c r="E4" s="166">
        <v>148758.26</v>
      </c>
      <c r="G4" t="s">
        <v>0</v>
      </c>
      <c r="H4" t="s">
        <v>1</v>
      </c>
      <c r="I4" t="s">
        <v>2</v>
      </c>
      <c r="K4" t="s">
        <v>77</v>
      </c>
      <c r="O4" s="121">
        <f>M3-K8</f>
        <v>71763.12000000001</v>
      </c>
    </row>
    <row r="5" spans="1:15" ht="15.75" thickBot="1" x14ac:dyDescent="0.3">
      <c r="A5"/>
      <c r="B5"/>
      <c r="C5" s="33" t="s">
        <v>74</v>
      </c>
      <c r="D5" s="33"/>
      <c r="E5" s="167">
        <v>235242.38</v>
      </c>
    </row>
    <row r="6" spans="1:15" ht="15.75" thickBot="1" x14ac:dyDescent="0.3">
      <c r="A6"/>
      <c r="B6"/>
      <c r="C6" s="108" t="s">
        <v>75</v>
      </c>
      <c r="D6" s="108"/>
      <c r="E6" s="168">
        <v>154256.57</v>
      </c>
      <c r="G6" s="125">
        <v>1</v>
      </c>
      <c r="H6" s="125">
        <v>1</v>
      </c>
      <c r="I6" t="s">
        <v>62</v>
      </c>
      <c r="J6" s="125" t="s">
        <v>62</v>
      </c>
      <c r="K6" s="121">
        <f>E4/2</f>
        <v>74379.13</v>
      </c>
      <c r="L6" s="127">
        <f>O$4/5</f>
        <v>14352.624000000002</v>
      </c>
      <c r="N6" s="128">
        <f>SUM(K6:M6)</f>
        <v>88731.754000000001</v>
      </c>
    </row>
    <row r="7" spans="1:15" ht="15.75" thickBot="1" x14ac:dyDescent="0.3">
      <c r="A7"/>
      <c r="B7"/>
      <c r="C7" s="123"/>
      <c r="D7" s="123"/>
      <c r="E7" s="124">
        <f>SUM(E4:E6)</f>
        <v>538257.21</v>
      </c>
      <c r="G7" s="126">
        <v>2</v>
      </c>
      <c r="H7" s="126">
        <v>2</v>
      </c>
      <c r="I7" s="126" t="s">
        <v>65</v>
      </c>
      <c r="J7" s="126" t="s">
        <v>65</v>
      </c>
      <c r="K7" s="121">
        <f>E5/2</f>
        <v>117621.19</v>
      </c>
      <c r="L7" s="127">
        <f>O$4/5</f>
        <v>14352.624000000002</v>
      </c>
      <c r="N7" s="134">
        <f t="shared" ref="N7:N10" si="0">SUM(K7:M7)</f>
        <v>131973.81400000001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1">
        <v>82493.45</v>
      </c>
      <c r="L8" s="127">
        <f t="shared" ref="L8:L11" si="1">O$4/5</f>
        <v>14352.624000000002</v>
      </c>
      <c r="N8" s="132">
        <f t="shared" si="0"/>
        <v>96846.073999999993</v>
      </c>
    </row>
    <row r="9" spans="1:15" ht="15.75" thickBot="1" x14ac:dyDescent="0.3">
      <c r="A9"/>
      <c r="B9"/>
      <c r="G9" s="126">
        <v>4</v>
      </c>
      <c r="H9" s="126">
        <v>4</v>
      </c>
      <c r="I9" s="126" t="s">
        <v>61</v>
      </c>
      <c r="J9" s="126" t="s">
        <v>61</v>
      </c>
      <c r="K9" s="121">
        <f>E5/2</f>
        <v>117621.19</v>
      </c>
      <c r="L9" s="127">
        <f t="shared" si="1"/>
        <v>14352.624000000002</v>
      </c>
      <c r="N9" s="134">
        <f t="shared" si="0"/>
        <v>131973.81400000001</v>
      </c>
    </row>
    <row r="10" spans="1:15" ht="15" customHeight="1" thickBot="1" x14ac:dyDescent="0.3">
      <c r="A10"/>
      <c r="B10"/>
      <c r="G10" s="125">
        <v>5</v>
      </c>
      <c r="H10" s="125">
        <v>5</v>
      </c>
      <c r="I10" t="s">
        <v>64</v>
      </c>
      <c r="J10" s="125" t="s">
        <v>64</v>
      </c>
      <c r="K10" s="121">
        <f>E4/2</f>
        <v>74379.13</v>
      </c>
      <c r="L10" s="127">
        <f t="shared" si="1"/>
        <v>14352.624000000002</v>
      </c>
      <c r="N10" s="130">
        <f t="shared" si="0"/>
        <v>88731.754000000001</v>
      </c>
    </row>
    <row r="11" spans="1:15" ht="51.75" hidden="1" customHeight="1" x14ac:dyDescent="0.25">
      <c r="A11"/>
      <c r="B11"/>
      <c r="L11" s="127">
        <f t="shared" si="1"/>
        <v>14352.624000000002</v>
      </c>
      <c r="N11" s="129"/>
    </row>
    <row r="12" spans="1:15" x14ac:dyDescent="0.25">
      <c r="A12"/>
      <c r="B12"/>
      <c r="N12" s="129"/>
    </row>
    <row r="13" spans="1:15" ht="15.75" thickBot="1" x14ac:dyDescent="0.3">
      <c r="A13"/>
      <c r="B13"/>
      <c r="C13" s="133" t="s">
        <v>78</v>
      </c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29"/>
    </row>
    <row r="14" spans="1:15" ht="15.75" thickBot="1" x14ac:dyDescent="0.3">
      <c r="A14"/>
      <c r="B14"/>
      <c r="N14" s="131">
        <f>SUM(N6:N13)</f>
        <v>538257.21</v>
      </c>
    </row>
    <row r="15" spans="1:15" x14ac:dyDescent="0.25">
      <c r="F15" s="6"/>
      <c r="G15" s="6"/>
    </row>
    <row r="16" spans="1:15" ht="15.75" thickBot="1" x14ac:dyDescent="0.3"/>
    <row r="17" spans="3:10" ht="30.75" customHeight="1" thickBot="1" x14ac:dyDescent="0.3">
      <c r="C17" s="120" t="s">
        <v>81</v>
      </c>
      <c r="E17" s="120" t="s">
        <v>80</v>
      </c>
      <c r="F17" s="120" t="s">
        <v>79</v>
      </c>
      <c r="H17" s="143" t="s">
        <v>82</v>
      </c>
      <c r="I17" s="144"/>
      <c r="J17" s="145"/>
    </row>
    <row r="18" spans="3:10" x14ac:dyDescent="0.25">
      <c r="C18" s="121">
        <v>110347.016</v>
      </c>
      <c r="E18" s="6">
        <f>C18</f>
        <v>110347.016</v>
      </c>
      <c r="F18" s="6">
        <f>N6</f>
        <v>88731.754000000001</v>
      </c>
      <c r="H18" s="146">
        <f>C18-E18+F18</f>
        <v>88731.754000000001</v>
      </c>
      <c r="I18" s="147"/>
      <c r="J18" s="148"/>
    </row>
    <row r="19" spans="3:10" x14ac:dyDescent="0.25">
      <c r="C19" s="121">
        <v>160567.91</v>
      </c>
      <c r="E19" s="6"/>
      <c r="F19" s="6">
        <f>N7</f>
        <v>131973.81400000001</v>
      </c>
      <c r="H19" s="146">
        <f t="shared" ref="H19:H22" si="2">C19-E19+F19</f>
        <v>292541.72400000005</v>
      </c>
      <c r="I19" s="147"/>
      <c r="J19" s="148"/>
    </row>
    <row r="20" spans="3:10" x14ac:dyDescent="0.25">
      <c r="C20" s="121">
        <v>110347.016</v>
      </c>
      <c r="E20" s="6">
        <f>C20</f>
        <v>110347.016</v>
      </c>
      <c r="F20" s="6">
        <f t="shared" ref="F20:F22" si="3">N8</f>
        <v>96846.073999999993</v>
      </c>
      <c r="H20" s="146">
        <f>C20-E20+F20</f>
        <v>96846.073999999993</v>
      </c>
      <c r="I20" s="147"/>
      <c r="J20" s="148"/>
    </row>
    <row r="21" spans="3:10" x14ac:dyDescent="0.25">
      <c r="C21" s="121">
        <v>160567.91</v>
      </c>
      <c r="E21" s="6">
        <f>C21</f>
        <v>160567.91</v>
      </c>
      <c r="F21" s="6">
        <f>N9</f>
        <v>131973.81400000001</v>
      </c>
      <c r="H21" s="146">
        <f t="shared" si="2"/>
        <v>131973.81400000001</v>
      </c>
      <c r="I21" s="147"/>
      <c r="J21" s="148"/>
    </row>
    <row r="22" spans="3:10" ht="15.75" thickBot="1" x14ac:dyDescent="0.3">
      <c r="C22" s="121">
        <v>110347.016</v>
      </c>
      <c r="E22" s="6">
        <f>C22</f>
        <v>110347.016</v>
      </c>
      <c r="F22" s="6">
        <f t="shared" si="3"/>
        <v>88731.754000000001</v>
      </c>
      <c r="H22" s="140">
        <f t="shared" si="2"/>
        <v>88731.754000000001</v>
      </c>
      <c r="I22" s="141"/>
      <c r="J22" s="142"/>
    </row>
    <row r="24" spans="3:10" x14ac:dyDescent="0.25">
      <c r="E24" s="6">
        <f>SUM(E18:E23)</f>
        <v>491608.95800000004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4" t="s">
        <v>24</v>
      </c>
      <c r="B1" s="155"/>
      <c r="C1" s="155"/>
      <c r="D1" s="155"/>
      <c r="E1" s="156"/>
      <c r="F1" s="88"/>
      <c r="G1" s="88"/>
    </row>
    <row r="2" spans="1:7" ht="15.75" thickBot="1" x14ac:dyDescent="0.3">
      <c r="A2" s="157" t="s">
        <v>50</v>
      </c>
      <c r="B2" s="158"/>
      <c r="C2" s="159"/>
      <c r="D2" s="160">
        <v>565</v>
      </c>
      <c r="E2" s="161"/>
      <c r="F2" s="89"/>
      <c r="G2" s="89"/>
    </row>
    <row r="3" spans="1:7" ht="15.75" thickTop="1" x14ac:dyDescent="0.25">
      <c r="A3" s="162" t="s">
        <v>0</v>
      </c>
      <c r="B3" s="162" t="s">
        <v>1</v>
      </c>
      <c r="C3" s="162" t="s">
        <v>2</v>
      </c>
      <c r="D3" s="164" t="s">
        <v>4</v>
      </c>
      <c r="E3" s="149" t="s">
        <v>51</v>
      </c>
      <c r="F3" s="149" t="s">
        <v>52</v>
      </c>
      <c r="G3" s="149" t="s">
        <v>44</v>
      </c>
    </row>
    <row r="4" spans="1:7" ht="15.75" thickBot="1" x14ac:dyDescent="0.3">
      <c r="A4" s="163"/>
      <c r="B4" s="163"/>
      <c r="C4" s="163"/>
      <c r="D4" s="165"/>
      <c r="E4" s="150"/>
      <c r="F4" s="150"/>
      <c r="G4" s="150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1"/>
      <c r="B12" s="152"/>
      <c r="C12" s="152"/>
      <c r="D12" s="152"/>
      <c r="E12" s="153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2025-04-30T17:07:05Z</cp:lastPrinted>
  <dcterms:created xsi:type="dcterms:W3CDTF">2020-12-10T00:27:53Z</dcterms:created>
  <dcterms:modified xsi:type="dcterms:W3CDTF">2025-04-30T17:07:16Z</dcterms:modified>
</cp:coreProperties>
</file>