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ICHINCHA\marzo\"/>
    </mc:Choice>
  </mc:AlternateContent>
  <xr:revisionPtr revIDLastSave="0" documentId="13_ncr:1_{53D2D980-01CB-4C41-B289-75F95FED62CA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etalle y gastos" sheetId="3" r:id="rId1"/>
    <sheet name="prorrateo " sheetId="1" r:id="rId2"/>
    <sheet name="EDESUR" sheetId="6" r:id="rId3"/>
    <sheet name="Hoja1" sheetId="5" r:id="rId4"/>
    <sheet name="extraordinaria" sheetId="4" r:id="rId5"/>
  </sheets>
  <definedNames>
    <definedName name="_xlnm.Print_Area" localSheetId="0">'detalle y gastos'!$A$1:$F$47</definedName>
    <definedName name="_xlnm.Print_Area" localSheetId="2">EDESUR!$A$1:$O$25</definedName>
    <definedName name="_xlnm.Print_Area" localSheetId="1">'prorrateo '!$A$1:$M$12</definedName>
  </definedNames>
  <calcPr calcId="181029"/>
</workbook>
</file>

<file path=xl/calcChain.xml><?xml version="1.0" encoding="utf-8"?>
<calcChain xmlns="http://schemas.openxmlformats.org/spreadsheetml/2006/main">
  <c r="F16" i="3" l="1"/>
  <c r="E22" i="6"/>
  <c r="E20" i="6"/>
  <c r="E18" i="6"/>
  <c r="F5" i="1"/>
  <c r="F7" i="1"/>
  <c r="O4" i="6"/>
  <c r="M3" i="6"/>
  <c r="K6" i="6"/>
  <c r="C22" i="3"/>
  <c r="F9" i="1" l="1"/>
  <c r="E24" i="6"/>
  <c r="K7" i="6"/>
  <c r="K9" i="6"/>
  <c r="K10" i="6"/>
  <c r="L9" i="6" l="1"/>
  <c r="N9" i="6" s="1"/>
  <c r="F21" i="6" s="1"/>
  <c r="H21" i="6" s="1"/>
  <c r="L7" i="6"/>
  <c r="N7" i="6" s="1"/>
  <c r="F19" i="6" s="1"/>
  <c r="H19" i="6" s="1"/>
  <c r="L8" i="6"/>
  <c r="N8" i="6" s="1"/>
  <c r="F20" i="6" s="1"/>
  <c r="H20" i="6" s="1"/>
  <c r="L10" i="6"/>
  <c r="N10" i="6" s="1"/>
  <c r="F22" i="6" s="1"/>
  <c r="H22" i="6" s="1"/>
  <c r="L11" i="6"/>
  <c r="L6" i="6"/>
  <c r="N6" i="6" s="1"/>
  <c r="E7" i="6"/>
  <c r="F15" i="3" s="1"/>
  <c r="F18" i="6" l="1"/>
  <c r="H18" i="6" s="1"/>
  <c r="N14" i="6"/>
  <c r="C20" i="3"/>
  <c r="C29" i="3"/>
  <c r="G8" i="1"/>
  <c r="H8" i="1" s="1"/>
  <c r="G7" i="1"/>
  <c r="G6" i="1"/>
  <c r="J9" i="1" l="1"/>
  <c r="J6" i="1"/>
  <c r="J7" i="1"/>
  <c r="J8" i="1"/>
  <c r="J5" i="1"/>
  <c r="C30" i="3" l="1"/>
  <c r="C40" i="3" s="1"/>
  <c r="F14" i="3" l="1"/>
  <c r="C41" i="3"/>
  <c r="A2" i="1"/>
  <c r="G9" i="1" l="1"/>
  <c r="C39" i="3" l="1"/>
  <c r="C42" i="3" s="1"/>
  <c r="K8" i="1" l="1"/>
  <c r="L8" i="1" s="1"/>
  <c r="M8" i="1" s="1"/>
  <c r="K7" i="1"/>
  <c r="K6" i="1"/>
  <c r="K9" i="1"/>
  <c r="K5" i="1"/>
  <c r="G5" i="1"/>
  <c r="H5" i="1" s="1"/>
  <c r="L5" i="1" s="1"/>
  <c r="M5" i="1" s="1"/>
  <c r="H6" i="1" l="1"/>
  <c r="L6" i="1" s="1"/>
  <c r="M6" i="1" s="1"/>
  <c r="H7" i="1"/>
  <c r="L7" i="1" s="1"/>
  <c r="M7" i="1" s="1"/>
  <c r="K10" i="1" l="1"/>
  <c r="I10" i="1"/>
  <c r="H9" i="1" l="1"/>
  <c r="L9" i="1" s="1"/>
  <c r="M9" i="1" s="1"/>
  <c r="F10" i="1"/>
  <c r="D10" i="1"/>
  <c r="E10" i="1"/>
  <c r="F13" i="3" l="1"/>
  <c r="F20" i="3" s="1"/>
  <c r="J10" i="1"/>
  <c r="G10" i="1"/>
  <c r="H10" i="1"/>
  <c r="M10" i="1" l="1"/>
</calcChain>
</file>

<file path=xl/sharedStrings.xml><?xml version="1.0" encoding="utf-8"?>
<sst xmlns="http://schemas.openxmlformats.org/spreadsheetml/2006/main" count="115" uniqueCount="91">
  <si>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</si>
  <si>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</si>
  <si>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</si>
  <si>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</si>
  <si>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</si>
  <si>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</si>
  <si>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</si>
  <si>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</si>
  <si>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</si>
  <si>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</si>
  <si>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</si>
  <si>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</si>
  <si>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</si>
  <si>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</si>
  <si>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</si>
  <si>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</si>
  <si>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</si>
  <si>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</si>
  <si>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</si>
  <si>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</si>
  <si>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</si>
  <si>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</si>
  <si>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</si>
  <si>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</si>
  <si>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</si>
  <si>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</si>
  <si>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</si>
  <si>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</si>
  <si>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</si>
  <si>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</si>
  <si>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</si>
  <si>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</si>
  <si>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</si>
  <si>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</si>
  <si>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</si>
  <si>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</si>
  <si>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</si>
  <si>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</si>
  <si>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</si>
  <si>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</si>
  <si>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</si>
  <si>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</si>
  <si>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</si>
  <si>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</si>
  <si>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</si>
  <si>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FEDERACION PATRONAL SEGUROS S.A.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</si>
  <si>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</si>
  <si>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</si>
  <si>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</si>
  <si>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</si>
  <si>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</si>
  <si>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</si>
  <si>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</si>
  <si>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</si>
  <si>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</si>
  <si>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</si>
  <si>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MP:1148</t>
  </si>
  <si>
    <t>Domicilio : Dr melo 2958 - 8vo piso  - con cita previa</t>
  </si>
  <si>
    <t>PICHINCHA  267 - LANUS OESTE</t>
  </si>
  <si>
    <t xml:space="preserve">Honorarios Administracion </t>
  </si>
  <si>
    <t>PREVISION ORDINARIA</t>
  </si>
  <si>
    <t>AGUSTIN</t>
  </si>
  <si>
    <t>GABRIEL</t>
  </si>
  <si>
    <t>MARY</t>
  </si>
  <si>
    <t>MARTIN</t>
  </si>
  <si>
    <t>CAMILA</t>
  </si>
  <si>
    <t>SERVICIO DE LIMPIEZA SRA. MONICA GOROSITO</t>
  </si>
  <si>
    <t>AYSA</t>
  </si>
  <si>
    <t>METROGAS - TERMO</t>
  </si>
  <si>
    <t>FLOW - INTERNET CAMARA</t>
  </si>
  <si>
    <t>VTO</t>
  </si>
  <si>
    <t>SEGUNDO</t>
  </si>
  <si>
    <t>PRIMER VTO</t>
  </si>
  <si>
    <t xml:space="preserve">Edesur </t>
  </si>
  <si>
    <t>EDESUR FACTURA 1:</t>
  </si>
  <si>
    <t>EDESUR FACTURA 2:</t>
  </si>
  <si>
    <t>EDESUR FACTURA 3:</t>
  </si>
  <si>
    <t>GASTOS COMUNES</t>
  </si>
  <si>
    <t>GASTOS COMUNES (SIN INCLUIR CONSUMO DE UF 3)</t>
  </si>
  <si>
    <t>LOS GASTOS COMUNES INCLUYEN: CONSUMO DE LA BOMBA, LUCES DE ESCALERAS, TERRAZAS, COCHERAS Y PUERTAS, CAMARAS E INTERNET</t>
  </si>
  <si>
    <t>SALDO A ABONAR</t>
  </si>
  <si>
    <t>ABONADO</t>
  </si>
  <si>
    <t>SALDO ANTERIOR</t>
  </si>
  <si>
    <t>TOTAL</t>
  </si>
  <si>
    <t>Total abonado de Edesur</t>
  </si>
  <si>
    <t>Vto. 14/04</t>
  </si>
  <si>
    <t>Liquidacion mes de MARZO</t>
  </si>
  <si>
    <t>TSG - MES DE MARZO</t>
  </si>
  <si>
    <t>ARBA CUOTA 1</t>
  </si>
  <si>
    <t>DESTAPACION VEREDA AYSA</t>
  </si>
  <si>
    <t>DEBE EDESUR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</si>
</sst>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70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6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10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0" fontId="1" fillId="2" borderId="8" xfId="0" applyFont="1" applyFill="1" applyBorder="1"/>
    <xf numFmtId="0" fontId="0" fillId="2" borderId="0" xfId="0" applyFill="1"/>
    <xf numFmtId="0" fontId="5" fillId="0" borderId="8" xfId="0" applyFont="1" applyBorder="1"/>
    <xf numFmtId="17" fontId="0" fillId="0" borderId="0" xfId="0" applyNumberFormat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6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5" xfId="2" applyNumberFormat="1" applyFont="1" applyFill="1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64" fontId="1" fillId="2" borderId="10" xfId="2" applyFont="1" applyFill="1" applyBorder="1"/>
    <xf numFmtId="17" fontId="1" fillId="2" borderId="24" xfId="0" applyNumberFormat="1" applyFont="1" applyFill="1" applyBorder="1" applyAlignment="1">
      <alignment horizontal="left"/>
    </xf>
    <xf numFmtId="17" fontId="1" fillId="2" borderId="25" xfId="0" applyNumberFormat="1" applyFont="1" applyFill="1" applyBorder="1" applyAlignment="1">
      <alignment horizontal="left"/>
    </xf>
    <xf numFmtId="0" fontId="0" fillId="2" borderId="25" xfId="0" applyFill="1" applyBorder="1"/>
    <xf numFmtId="0" fontId="1" fillId="2" borderId="25" xfId="0" applyFont="1" applyFill="1" applyBorder="1"/>
    <xf numFmtId="0" fontId="0" fillId="2" borderId="26" xfId="0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7" xfId="2" applyFont="1" applyFill="1" applyBorder="1"/>
    <xf numFmtId="0" fontId="0" fillId="4" borderId="10" xfId="0" applyFill="1" applyBorder="1"/>
    <xf numFmtId="0" fontId="0" fillId="4" borderId="11" xfId="0" applyFill="1" applyBorder="1"/>
    <xf numFmtId="0" fontId="10" fillId="6" borderId="4" xfId="0" applyFont="1" applyFill="1" applyBorder="1"/>
    <xf numFmtId="16" fontId="10" fillId="6" borderId="10" xfId="0" applyNumberFormat="1" applyFont="1" applyFill="1" applyBorder="1" applyAlignment="1">
      <alignment horizontal="left" vertical="center" wrapText="1"/>
    </xf>
    <xf numFmtId="164" fontId="10" fillId="6" borderId="11" xfId="2" applyFont="1" applyFill="1" applyBorder="1"/>
    <xf numFmtId="164" fontId="9" fillId="2" borderId="1" xfId="2" applyFont="1" applyFill="1" applyBorder="1"/>
    <xf numFmtId="0" fontId="0" fillId="0" borderId="28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  <xf numFmtId="0" fontId="12" fillId="0" borderId="34" xfId="0" applyFont="1" applyBorder="1" applyAlignment="1">
      <alignment wrapText="1"/>
    </xf>
    <xf numFmtId="0" fontId="0" fillId="0" borderId="35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0" xfId="0" applyFont="1" applyBorder="1" applyAlignment="1">
      <alignment wrapText="1"/>
    </xf>
    <xf numFmtId="0" fontId="0" fillId="0" borderId="32" xfId="0" applyBorder="1" applyAlignment="1">
      <alignment horizontal="center" wrapText="1"/>
    </xf>
    <xf numFmtId="0" fontId="1" fillId="8" borderId="36" xfId="0" applyFont="1" applyFill="1" applyBorder="1" applyAlignment="1">
      <alignment vertical="center"/>
    </xf>
    <xf numFmtId="0" fontId="0" fillId="8" borderId="31" xfId="0" applyFill="1" applyBorder="1" applyAlignment="1">
      <alignment wrapText="1"/>
    </xf>
    <xf numFmtId="0" fontId="1" fillId="8" borderId="32" xfId="0" applyFont="1" applyFill="1" applyBorder="1" applyAlignment="1">
      <alignment horizontal="center" wrapText="1"/>
    </xf>
    <xf numFmtId="0" fontId="1" fillId="8" borderId="30" xfId="0" applyFont="1" applyFill="1" applyBorder="1" applyAlignment="1">
      <alignment horizontal="center" wrapText="1"/>
    </xf>
    <xf numFmtId="0" fontId="13" fillId="0" borderId="34" xfId="0" applyFont="1" applyBorder="1" applyAlignment="1">
      <alignment wrapText="1"/>
    </xf>
    <xf numFmtId="17" fontId="1" fillId="2" borderId="9" xfId="0" applyNumberFormat="1" applyFont="1" applyFill="1" applyBorder="1"/>
    <xf numFmtId="17" fontId="1" fillId="2" borderId="10" xfId="0" applyNumberFormat="1" applyFont="1" applyFill="1" applyBorder="1"/>
    <xf numFmtId="0" fontId="0" fillId="6" borderId="8" xfId="0" applyFill="1" applyBorder="1"/>
    <xf numFmtId="0" fontId="0" fillId="6" borderId="0" xfId="0" applyFill="1"/>
    <xf numFmtId="164" fontId="9" fillId="2" borderId="5" xfId="2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4" fontId="10" fillId="6" borderId="7" xfId="0" applyNumberFormat="1" applyFont="1" applyFill="1" applyBorder="1"/>
    <xf numFmtId="4" fontId="10" fillId="6" borderId="1" xfId="0" applyNumberFormat="1" applyFont="1" applyFill="1" applyBorder="1"/>
    <xf numFmtId="0" fontId="10" fillId="0" borderId="1" xfId="0" applyFont="1" applyBorder="1" applyAlignment="1">
      <alignment horizontal="center"/>
    </xf>
    <xf numFmtId="164" fontId="1" fillId="2" borderId="12" xfId="2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" fontId="0" fillId="0" borderId="9" xfId="0" applyNumberFormat="1" applyBorder="1"/>
    <xf numFmtId="166" fontId="1" fillId="3" borderId="11" xfId="2" applyNumberFormat="1" applyFont="1" applyFill="1" applyBorder="1"/>
    <xf numFmtId="3" fontId="1" fillId="3" borderId="1" xfId="2" applyNumberFormat="1" applyFont="1" applyFill="1" applyBorder="1"/>
    <xf numFmtId="0" fontId="0" fillId="0" borderId="0" xfId="0" applyAlignment="1">
      <alignment horizontal="center" vertical="center" wrapText="1"/>
    </xf>
    <xf numFmtId="164" fontId="0" fillId="0" borderId="0" xfId="2" applyFont="1"/>
    <xf numFmtId="166" fontId="9" fillId="0" borderId="22" xfId="2" applyNumberFormat="1" applyFont="1" applyBorder="1"/>
    <xf numFmtId="0" fontId="0" fillId="9" borderId="0" xfId="0" applyFill="1"/>
    <xf numFmtId="164" fontId="0" fillId="9" borderId="0" xfId="0" applyNumberFormat="1" applyFill="1"/>
    <xf numFmtId="0" fontId="0" fillId="10" borderId="0" xfId="0" applyFill="1"/>
    <xf numFmtId="0" fontId="0" fillId="11" borderId="0" xfId="0" applyFill="1"/>
    <xf numFmtId="43" fontId="0" fillId="0" borderId="0" xfId="0" applyNumberFormat="1"/>
    <xf numFmtId="164" fontId="14" fillId="0" borderId="53" xfId="0" applyNumberFormat="1" applyFont="1" applyBorder="1"/>
    <xf numFmtId="0" fontId="0" fillId="0" borderId="54" xfId="0" applyBorder="1"/>
    <xf numFmtId="164" fontId="14" fillId="0" borderId="55" xfId="0" applyNumberFormat="1" applyFont="1" applyBorder="1"/>
    <xf numFmtId="164" fontId="0" fillId="0" borderId="52" xfId="0" applyNumberFormat="1" applyBorder="1"/>
    <xf numFmtId="164" fontId="14" fillId="0" borderId="52" xfId="0" applyNumberFormat="1" applyFont="1" applyBorder="1"/>
    <xf numFmtId="0" fontId="8" fillId="12" borderId="0" xfId="0" applyFont="1" applyFill="1"/>
    <xf numFmtId="0" fontId="8" fillId="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164" fontId="1" fillId="0" borderId="57" xfId="2" applyFont="1" applyBorder="1"/>
    <xf numFmtId="164" fontId="1" fillId="0" borderId="23" xfId="2" applyFont="1" applyBorder="1"/>
    <xf numFmtId="164" fontId="1" fillId="0" borderId="58" xfId="2" applyFont="1" applyBorder="1"/>
    <xf numFmtId="0" fontId="1" fillId="0" borderId="59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 wrapText="1"/>
    </xf>
    <xf numFmtId="164" fontId="1" fillId="0" borderId="16" xfId="2" applyFont="1" applyBorder="1"/>
    <xf numFmtId="164" fontId="1" fillId="0" borderId="0" xfId="2" applyFont="1" applyBorder="1"/>
    <xf numFmtId="164" fontId="1" fillId="0" borderId="56" xfId="2" applyFont="1" applyBorder="1"/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1" fillId="0" borderId="39" xfId="0" applyFont="1" applyBorder="1" applyAlignment="1">
      <alignment horizontal="center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3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left" wrapText="1"/>
    </xf>
    <xf numFmtId="0" fontId="1" fillId="7" borderId="43" xfId="0" applyFont="1" applyFill="1" applyBorder="1" applyAlignment="1">
      <alignment horizontal="left" wrapText="1"/>
    </xf>
    <xf numFmtId="0" fontId="1" fillId="0" borderId="4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164" fontId="10" fillId="10" borderId="0" xfId="2" applyFont="1" applyFill="1"/>
    <xf numFmtId="164" fontId="10" fillId="2" borderId="0" xfId="2" applyFont="1" applyFill="1"/>
    <xf numFmtId="164" fontId="10" fillId="6" borderId="0" xfId="2" applyFont="1" applyFill="1"/>
    <xf numFmtId="4" fontId="10" fillId="6" borderId="6" xfId="0" applyNumberFormat="1" applyFont="1" applyFill="1" applyBorder="1"/>
    <xf numFmtId="164" fontId="14" fillId="9" borderId="52" xfId="0" applyNumberFormat="1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0"/>
  <sheetViews>
    <sheetView topLeftCell="A19" workbookViewId="0">
      <selection activeCell="B30" sqref="B30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5" customWidth="1"/>
  </cols>
  <sheetData>
    <row r="1" spans="1:6" x14ac:dyDescent="0.25">
      <c r="B1" t="s">
        <v>57</v>
      </c>
    </row>
    <row r="2" spans="1:6" x14ac:dyDescent="0.25">
      <c r="B2" t="s">
        <v>18</v>
      </c>
      <c r="C2" s="110" t="s">
        <v>56</v>
      </c>
    </row>
    <row r="3" spans="1:6" x14ac:dyDescent="0.25">
      <c r="B3" t="s">
        <v>9</v>
      </c>
    </row>
    <row r="4" spans="1:6" x14ac:dyDescent="0.25">
      <c r="B4" s="4" t="s">
        <v>6</v>
      </c>
    </row>
    <row r="5" spans="1:6" ht="8.25" customHeight="1" x14ac:dyDescent="0.25">
      <c r="A5" s="3"/>
      <c r="B5" s="23"/>
      <c r="C5" s="3"/>
    </row>
    <row r="6" spans="1:6" x14ac:dyDescent="0.25">
      <c r="D6" s="29"/>
      <c r="E6" s="29"/>
      <c r="F6" s="29"/>
    </row>
    <row r="7" spans="1:6" x14ac:dyDescent="0.25">
      <c r="A7" s="24" t="s">
        <v>58</v>
      </c>
      <c r="B7" s="24"/>
      <c r="C7" s="68"/>
      <c r="D7" s="68"/>
      <c r="E7" s="24" t="s">
        <v>86</v>
      </c>
      <c r="F7" s="111" t="s">
        <v>85</v>
      </c>
    </row>
    <row r="8" spans="1:6" x14ac:dyDescent="0.25">
      <c r="A8" s="3"/>
      <c r="B8" s="3"/>
      <c r="C8" s="3"/>
      <c r="D8" s="3"/>
      <c r="E8" s="3"/>
      <c r="F8" s="3"/>
    </row>
    <row r="10" spans="1:6" x14ac:dyDescent="0.25">
      <c r="A10" s="22" t="s">
        <v>11</v>
      </c>
    </row>
    <row r="11" spans="1:6" ht="15.75" thickBot="1" x14ac:dyDescent="0.3">
      <c r="A11" s="28" t="s">
        <v>10</v>
      </c>
      <c r="B11" s="29"/>
      <c r="C11" s="30"/>
      <c r="D11" s="5"/>
      <c r="E11" s="135" t="s">
        <v>22</v>
      </c>
      <c r="F11" s="135"/>
    </row>
    <row r="12" spans="1:6" x14ac:dyDescent="0.25">
      <c r="A12" s="107" t="s">
        <v>67</v>
      </c>
      <c r="B12" s="108"/>
      <c r="C12" s="168">
        <v>24028.17</v>
      </c>
      <c r="D12" s="5"/>
      <c r="E12" s="56" t="s">
        <v>42</v>
      </c>
      <c r="F12" s="57">
        <v>-1320414.8147999998</v>
      </c>
    </row>
    <row r="13" spans="1:6" x14ac:dyDescent="0.25">
      <c r="A13" s="31" t="s">
        <v>45</v>
      </c>
      <c r="C13" s="168">
        <v>75901</v>
      </c>
      <c r="D13" s="43"/>
      <c r="E13" s="58" t="s">
        <v>7</v>
      </c>
      <c r="F13" s="59">
        <f>'prorrateo '!F10</f>
        <v>645610.59223999991</v>
      </c>
    </row>
    <row r="14" spans="1:6" ht="15.75" customHeight="1" x14ac:dyDescent="0.25">
      <c r="A14" s="31" t="s">
        <v>19</v>
      </c>
      <c r="B14" t="s">
        <v>59</v>
      </c>
      <c r="C14" s="80">
        <v>33600</v>
      </c>
      <c r="D14" s="5"/>
      <c r="E14" s="58" t="s">
        <v>20</v>
      </c>
      <c r="F14" s="59">
        <f>-(C40)</f>
        <v>-353409.27999999997</v>
      </c>
    </row>
    <row r="15" spans="1:6" x14ac:dyDescent="0.25">
      <c r="A15" s="31" t="s">
        <v>69</v>
      </c>
      <c r="C15" s="113">
        <v>39374.1</v>
      </c>
      <c r="D15" s="5"/>
      <c r="E15" s="58" t="s">
        <v>73</v>
      </c>
      <c r="F15" s="59">
        <f>-EDESUR!E7</f>
        <v>-529208.31000000006</v>
      </c>
    </row>
    <row r="16" spans="1:6" x14ac:dyDescent="0.25">
      <c r="A16" s="31" t="s">
        <v>68</v>
      </c>
      <c r="C16" s="113">
        <v>47252.46</v>
      </c>
      <c r="D16" s="5"/>
      <c r="E16" s="58" t="s">
        <v>84</v>
      </c>
      <c r="F16" s="59">
        <f>EDESUR!E24</f>
        <v>169908.152</v>
      </c>
    </row>
    <row r="17" spans="1:7" hidden="1" x14ac:dyDescent="0.25">
      <c r="A17" s="31"/>
      <c r="C17" s="113"/>
      <c r="D17" s="5"/>
      <c r="E17" s="58"/>
      <c r="F17" s="59"/>
    </row>
    <row r="18" spans="1:7" x14ac:dyDescent="0.25">
      <c r="A18" s="31" t="s">
        <v>87</v>
      </c>
      <c r="C18" s="113">
        <v>12287</v>
      </c>
      <c r="D18" s="5"/>
      <c r="E18" s="58"/>
      <c r="F18" s="59"/>
    </row>
    <row r="19" spans="1:7" x14ac:dyDescent="0.25">
      <c r="A19" s="31"/>
      <c r="C19" s="80"/>
      <c r="E19" s="58"/>
      <c r="F19" s="59"/>
    </row>
    <row r="20" spans="1:7" ht="15.75" thickBot="1" x14ac:dyDescent="0.3">
      <c r="A20" s="32"/>
      <c r="B20" s="33"/>
      <c r="C20" s="87">
        <f>SUM(C12:C19)</f>
        <v>232442.72999999998</v>
      </c>
      <c r="E20" s="60" t="s">
        <v>43</v>
      </c>
      <c r="F20" s="123">
        <f>SUM(F12:F19)</f>
        <v>-1387513.66056</v>
      </c>
    </row>
    <row r="21" spans="1:7" x14ac:dyDescent="0.25">
      <c r="A21" s="34" t="s">
        <v>21</v>
      </c>
      <c r="C21" s="114"/>
      <c r="D21" s="5"/>
      <c r="E21" s="19"/>
      <c r="F21" s="20"/>
    </row>
    <row r="22" spans="1:7" x14ac:dyDescent="0.25">
      <c r="A22" s="31" t="s">
        <v>66</v>
      </c>
      <c r="B22" s="35"/>
      <c r="C22" s="113">
        <f>62099*5%+62099</f>
        <v>65203.95</v>
      </c>
      <c r="D22" s="5"/>
      <c r="E22" s="19"/>
      <c r="F22" s="20"/>
    </row>
    <row r="23" spans="1:7" x14ac:dyDescent="0.25">
      <c r="A23" s="31" t="s">
        <v>88</v>
      </c>
      <c r="B23" s="35"/>
      <c r="C23" s="113">
        <v>5762.6</v>
      </c>
      <c r="D23" s="5"/>
      <c r="E23" s="19"/>
      <c r="F23" s="20"/>
    </row>
    <row r="24" spans="1:7" x14ac:dyDescent="0.25">
      <c r="A24" s="31" t="s">
        <v>89</v>
      </c>
      <c r="B24" s="35"/>
      <c r="C24" s="113">
        <v>50000</v>
      </c>
      <c r="D24" s="5"/>
      <c r="E24" s="19"/>
      <c r="F24" s="20"/>
    </row>
    <row r="25" spans="1:7" x14ac:dyDescent="0.25">
      <c r="A25" s="31"/>
      <c r="B25" s="35"/>
      <c r="C25" s="113"/>
      <c r="D25" s="5"/>
      <c r="E25" s="19"/>
      <c r="F25" s="20"/>
    </row>
    <row r="26" spans="1:7" ht="14.25" customHeight="1" x14ac:dyDescent="0.25">
      <c r="A26" s="31"/>
      <c r="B26" s="35"/>
      <c r="C26" s="113"/>
      <c r="D26" s="5"/>
      <c r="E26" s="19"/>
      <c r="F26" s="20"/>
    </row>
    <row r="27" spans="1:7" ht="14.25" customHeight="1" x14ac:dyDescent="0.25">
      <c r="A27" s="31"/>
      <c r="B27" s="35"/>
      <c r="C27" s="113"/>
      <c r="D27" s="5"/>
      <c r="E27" s="19"/>
      <c r="F27" s="20"/>
    </row>
    <row r="28" spans="1:7" x14ac:dyDescent="0.25">
      <c r="A28" s="31" t="s">
        <v>60</v>
      </c>
      <c r="B28" s="35"/>
      <c r="C28" s="112">
        <v>0</v>
      </c>
      <c r="D28" s="5"/>
      <c r="E28" s="19"/>
      <c r="F28" s="20"/>
    </row>
    <row r="29" spans="1:7" x14ac:dyDescent="0.25">
      <c r="A29" s="32"/>
      <c r="B29" s="33"/>
      <c r="C29" s="109">
        <f>SUM(C21:C28)</f>
        <v>120966.55</v>
      </c>
      <c r="D29" s="5"/>
      <c r="E29" s="5"/>
      <c r="F29" s="55"/>
      <c r="G29" s="6"/>
    </row>
    <row r="30" spans="1:7" x14ac:dyDescent="0.25">
      <c r="A30" s="47" t="s">
        <v>12</v>
      </c>
      <c r="B30" s="48"/>
      <c r="C30" s="49">
        <f>+C29+C20</f>
        <v>353409.27999999997</v>
      </c>
      <c r="D30" s="5"/>
      <c r="E30" s="19"/>
      <c r="F30" s="20"/>
    </row>
    <row r="31" spans="1:7" ht="14.25" customHeight="1" x14ac:dyDescent="0.25">
      <c r="A31" s="69" t="s">
        <v>24</v>
      </c>
      <c r="B31" s="82"/>
      <c r="C31" s="83"/>
      <c r="E31" s="19"/>
      <c r="F31" s="20"/>
    </row>
    <row r="32" spans="1:7" hidden="1" x14ac:dyDescent="0.25">
      <c r="A32" s="22" t="s">
        <v>24</v>
      </c>
    </row>
    <row r="33" spans="1:6" hidden="1" x14ac:dyDescent="0.25">
      <c r="A33" s="44"/>
      <c r="B33" s="29"/>
      <c r="C33" s="54"/>
      <c r="F33" s="6"/>
    </row>
    <row r="34" spans="1:6" hidden="1" x14ac:dyDescent="0.25">
      <c r="A34" s="52"/>
      <c r="B34" s="51"/>
      <c r="C34" s="53">
        <v>0</v>
      </c>
      <c r="F34" s="6"/>
    </row>
    <row r="35" spans="1:6" hidden="1" x14ac:dyDescent="0.25">
      <c r="A35" s="61"/>
      <c r="B35" s="62"/>
      <c r="C35" s="53">
        <v>0</v>
      </c>
      <c r="F35" s="6"/>
    </row>
    <row r="36" spans="1:6" x14ac:dyDescent="0.25">
      <c r="A36" s="78"/>
      <c r="B36" s="79"/>
      <c r="C36" s="81"/>
      <c r="F36" s="6"/>
    </row>
    <row r="37" spans="1:6" x14ac:dyDescent="0.25">
      <c r="A37" s="78"/>
      <c r="B37" s="85"/>
      <c r="C37" s="86"/>
      <c r="F37" s="6"/>
    </row>
    <row r="38" spans="1:6" x14ac:dyDescent="0.25">
      <c r="A38" s="78"/>
      <c r="B38" s="84"/>
      <c r="C38" s="81">
        <v>0</v>
      </c>
      <c r="F38" s="6"/>
    </row>
    <row r="39" spans="1:6" x14ac:dyDescent="0.25">
      <c r="A39" s="63" t="s">
        <v>23</v>
      </c>
      <c r="B39" s="64"/>
      <c r="C39" s="65">
        <f>SUM(C34:C38)</f>
        <v>0</v>
      </c>
    </row>
    <row r="40" spans="1:6" x14ac:dyDescent="0.25">
      <c r="A40" t="s">
        <v>54</v>
      </c>
      <c r="C40" s="53">
        <f>C30-C28</f>
        <v>353409.27999999997</v>
      </c>
      <c r="F40" s="6"/>
    </row>
    <row r="41" spans="1:6" x14ac:dyDescent="0.25">
      <c r="A41" s="5" t="s">
        <v>49</v>
      </c>
      <c r="C41" s="77">
        <f>+C30</f>
        <v>353409.27999999997</v>
      </c>
      <c r="F41" s="6"/>
    </row>
    <row r="42" spans="1:6" x14ac:dyDescent="0.25">
      <c r="A42" s="63" t="s">
        <v>13</v>
      </c>
      <c r="B42" s="64"/>
      <c r="C42" s="65">
        <f>+C30+C39</f>
        <v>353409.27999999997</v>
      </c>
      <c r="E42" s="16"/>
    </row>
    <row r="47" spans="1:6" x14ac:dyDescent="0.25">
      <c r="D47" s="6"/>
    </row>
    <row r="48" spans="1:6" x14ac:dyDescent="0.25">
      <c r="D48" s="16"/>
      <c r="E48" s="16"/>
    </row>
    <row r="49" spans="1:5" x14ac:dyDescent="0.25">
      <c r="B49" s="136"/>
      <c r="C49" s="136"/>
      <c r="D49" s="136"/>
      <c r="E49" s="136"/>
    </row>
    <row r="50" spans="1:5" x14ac:dyDescent="0.25">
      <c r="B50" s="136"/>
      <c r="C50" s="136"/>
      <c r="D50" s="136"/>
      <c r="E50" s="136"/>
    </row>
    <row r="51" spans="1:5" x14ac:dyDescent="0.25">
      <c r="B51" s="136"/>
      <c r="C51" s="136"/>
      <c r="D51" s="136"/>
      <c r="E51" s="136"/>
    </row>
    <row r="63" spans="1:5" x14ac:dyDescent="0.25">
      <c r="A63" s="19"/>
      <c r="B63" s="18"/>
      <c r="C63" s="20"/>
    </row>
    <row r="64" spans="1:5" x14ac:dyDescent="0.25">
      <c r="A64" s="18"/>
      <c r="B64" s="18"/>
      <c r="C64" s="18"/>
    </row>
    <row r="65" spans="1:3" x14ac:dyDescent="0.25">
      <c r="A65" s="18"/>
      <c r="B65" s="18"/>
      <c r="C65" s="18"/>
    </row>
    <row r="66" spans="1:3" x14ac:dyDescent="0.25">
      <c r="A66" s="18"/>
      <c r="B66" s="18"/>
      <c r="C66" s="18"/>
    </row>
    <row r="67" spans="1:3" x14ac:dyDescent="0.25">
      <c r="A67" s="18"/>
      <c r="B67" s="18"/>
      <c r="C67" s="18"/>
    </row>
    <row r="68" spans="1:3" x14ac:dyDescent="0.25">
      <c r="A68" s="18"/>
      <c r="B68" s="18"/>
      <c r="C68" s="18"/>
    </row>
    <row r="69" spans="1:3" x14ac:dyDescent="0.25">
      <c r="A69" s="18"/>
      <c r="B69" s="18"/>
      <c r="C69" s="18"/>
    </row>
    <row r="70" spans="1:3" x14ac:dyDescent="0.25">
      <c r="A70" s="18"/>
      <c r="B70" s="18"/>
      <c r="C70" s="18"/>
    </row>
  </sheetData>
  <mergeCells count="2">
    <mergeCell ref="E11:F11"/>
    <mergeCell ref="B49:E51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2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6"/>
  <sheetViews>
    <sheetView workbookViewId="0">
      <selection activeCell="K1" sqref="K1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8.5703125" customWidth="1"/>
    <col min="4" max="4" width="0.140625" hidden="1" customWidth="1"/>
    <col min="5" max="5" width="13.7109375" customWidth="1"/>
    <col min="6" max="6" width="12.42578125" bestFit="1" customWidth="1"/>
    <col min="7" max="7" width="12.42578125" customWidth="1"/>
    <col min="8" max="8" width="9.28515625" customWidth="1"/>
    <col min="9" max="9" width="13.140625" hidden="1" customWidth="1"/>
    <col min="10" max="10" width="19.4257812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21"/>
  </cols>
  <sheetData>
    <row r="1" spans="1:13" x14ac:dyDescent="0.25">
      <c r="A1" s="105" t="s">
        <v>55</v>
      </c>
      <c r="B1" s="106"/>
      <c r="C1" s="106"/>
      <c r="D1" s="26"/>
      <c r="E1" s="25"/>
      <c r="F1" s="26"/>
      <c r="G1" s="25" t="s">
        <v>47</v>
      </c>
      <c r="H1" s="26"/>
      <c r="I1" s="26"/>
      <c r="J1" s="26"/>
      <c r="K1" s="71">
        <v>353409.27999999997</v>
      </c>
      <c r="L1" s="71"/>
      <c r="M1" s="27"/>
    </row>
    <row r="2" spans="1:13" ht="15.75" thickBot="1" x14ac:dyDescent="0.3">
      <c r="A2" s="72" t="str">
        <f>'detalle y gastos'!E7</f>
        <v>Liquidacion mes de MARZO</v>
      </c>
      <c r="B2" s="73"/>
      <c r="C2" s="73"/>
      <c r="D2" s="74"/>
      <c r="E2" s="75"/>
      <c r="F2" s="74"/>
      <c r="G2" s="75" t="s">
        <v>48</v>
      </c>
      <c r="H2" s="74"/>
      <c r="I2" s="74"/>
      <c r="J2" s="74"/>
      <c r="K2" s="115"/>
      <c r="L2" s="115"/>
      <c r="M2" s="76"/>
    </row>
    <row r="3" spans="1:13" x14ac:dyDescent="0.25">
      <c r="A3" s="2" t="s">
        <v>0</v>
      </c>
      <c r="B3" s="7" t="s">
        <v>1</v>
      </c>
      <c r="C3" s="7" t="s">
        <v>2</v>
      </c>
      <c r="D3" s="2" t="s">
        <v>4</v>
      </c>
      <c r="E3" s="7" t="s">
        <v>16</v>
      </c>
      <c r="F3" s="7" t="s">
        <v>3</v>
      </c>
      <c r="G3" s="2" t="s">
        <v>44</v>
      </c>
      <c r="H3" s="2" t="s">
        <v>25</v>
      </c>
      <c r="I3" s="7" t="s">
        <v>40</v>
      </c>
      <c r="J3" s="40" t="s">
        <v>14</v>
      </c>
      <c r="K3" s="116" t="s">
        <v>38</v>
      </c>
      <c r="L3" s="30" t="s">
        <v>72</v>
      </c>
      <c r="M3" s="7" t="s">
        <v>71</v>
      </c>
    </row>
    <row r="4" spans="1:13" x14ac:dyDescent="0.25">
      <c r="A4" s="2"/>
      <c r="B4" s="7"/>
      <c r="C4" s="7"/>
      <c r="D4" s="2" t="s">
        <v>5</v>
      </c>
      <c r="E4" s="7" t="s">
        <v>17</v>
      </c>
      <c r="F4" s="7" t="s">
        <v>46</v>
      </c>
      <c r="G4" s="2"/>
      <c r="H4" s="36">
        <v>0.04</v>
      </c>
      <c r="I4" s="7" t="s">
        <v>41</v>
      </c>
      <c r="J4" s="37" t="s">
        <v>15</v>
      </c>
      <c r="K4" s="117" t="s">
        <v>39</v>
      </c>
      <c r="L4" s="66" t="s">
        <v>70</v>
      </c>
      <c r="M4" s="66" t="s">
        <v>70</v>
      </c>
    </row>
    <row r="5" spans="1:13" x14ac:dyDescent="0.25">
      <c r="A5" s="12">
        <v>1</v>
      </c>
      <c r="B5" s="13">
        <v>1</v>
      </c>
      <c r="C5" s="14" t="s">
        <v>62</v>
      </c>
      <c r="D5" s="17"/>
      <c r="E5" s="41">
        <v>338694.06952000002</v>
      </c>
      <c r="F5" s="80">
        <f>E5</f>
        <v>338694.06952000002</v>
      </c>
      <c r="G5" s="67">
        <f>E5-F5</f>
        <v>0</v>
      </c>
      <c r="H5" s="70">
        <f>IF(G5&gt;0,G5*4%,0)</f>
        <v>0</v>
      </c>
      <c r="I5" s="15">
        <v>0</v>
      </c>
      <c r="J5" s="38">
        <f>K$1/5</f>
        <v>70681.856</v>
      </c>
      <c r="K5" s="118">
        <f>K2*D5</f>
        <v>0</v>
      </c>
      <c r="L5" s="15">
        <f>J5+K5+H5+G5</f>
        <v>70681.856</v>
      </c>
      <c r="M5" s="39">
        <f>L5*4%+L5</f>
        <v>73509.130239999999</v>
      </c>
    </row>
    <row r="6" spans="1:13" x14ac:dyDescent="0.25">
      <c r="A6" s="12">
        <v>2</v>
      </c>
      <c r="B6" s="13">
        <v>2</v>
      </c>
      <c r="C6" s="14" t="s">
        <v>65</v>
      </c>
      <c r="D6" s="17"/>
      <c r="E6" s="41">
        <v>85303.489999999991</v>
      </c>
      <c r="F6" s="15"/>
      <c r="G6" s="67">
        <f t="shared" ref="G6:G9" si="0">E6-F6</f>
        <v>85303.489999999991</v>
      </c>
      <c r="H6" s="70">
        <f t="shared" ref="H6:H9" si="1">IF(G6&gt;0,G6*4%,0)</f>
        <v>3412.1395999999995</v>
      </c>
      <c r="I6" s="15">
        <v>0</v>
      </c>
      <c r="J6" s="38">
        <f t="shared" ref="J6:J9" si="2">K$1/5</f>
        <v>70681.856</v>
      </c>
      <c r="K6" s="118">
        <f>K2*D6</f>
        <v>0</v>
      </c>
      <c r="L6" s="15">
        <f t="shared" ref="L6:L9" si="3">J6+K6+H6+G6</f>
        <v>159397.48559999999</v>
      </c>
      <c r="M6" s="39">
        <f t="shared" ref="M6:M9" si="4">L6*4%+L6</f>
        <v>165773.38502399999</v>
      </c>
    </row>
    <row r="7" spans="1:13" x14ac:dyDescent="0.25">
      <c r="A7" s="12">
        <v>3</v>
      </c>
      <c r="B7" s="13">
        <v>3</v>
      </c>
      <c r="C7" s="14" t="s">
        <v>63</v>
      </c>
      <c r="D7" s="17"/>
      <c r="E7" s="41">
        <v>221613.03271999996</v>
      </c>
      <c r="F7" s="15">
        <f>E7</f>
        <v>221613.03271999996</v>
      </c>
      <c r="G7" s="67">
        <f t="shared" si="0"/>
        <v>0</v>
      </c>
      <c r="H7" s="70">
        <f t="shared" si="1"/>
        <v>0</v>
      </c>
      <c r="I7" s="15">
        <v>0</v>
      </c>
      <c r="J7" s="38">
        <f t="shared" si="2"/>
        <v>70681.856</v>
      </c>
      <c r="K7" s="118">
        <f>K2*D7</f>
        <v>0</v>
      </c>
      <c r="L7" s="15">
        <f t="shared" si="3"/>
        <v>70681.856</v>
      </c>
      <c r="M7" s="39">
        <f t="shared" si="4"/>
        <v>73509.130239999999</v>
      </c>
    </row>
    <row r="8" spans="1:13" x14ac:dyDescent="0.25">
      <c r="A8" s="12">
        <v>4</v>
      </c>
      <c r="B8" s="13">
        <v>4</v>
      </c>
      <c r="C8" s="14" t="s">
        <v>61</v>
      </c>
      <c r="D8" s="17"/>
      <c r="E8" s="41">
        <v>334190.48180800001</v>
      </c>
      <c r="F8" s="15"/>
      <c r="G8" s="67">
        <f t="shared" si="0"/>
        <v>334190.48180800001</v>
      </c>
      <c r="H8" s="70">
        <f t="shared" si="1"/>
        <v>13367.61927232</v>
      </c>
      <c r="I8" s="15">
        <v>0</v>
      </c>
      <c r="J8" s="38">
        <f t="shared" si="2"/>
        <v>70681.856</v>
      </c>
      <c r="K8" s="118">
        <f>K2*D8</f>
        <v>0</v>
      </c>
      <c r="L8" s="15">
        <f t="shared" si="3"/>
        <v>418239.95708031999</v>
      </c>
      <c r="M8" s="39">
        <f t="shared" si="4"/>
        <v>434969.5553635328</v>
      </c>
    </row>
    <row r="9" spans="1:13" x14ac:dyDescent="0.25">
      <c r="A9" s="12">
        <v>5</v>
      </c>
      <c r="B9" s="13">
        <v>5</v>
      </c>
      <c r="C9" s="14" t="s">
        <v>64</v>
      </c>
      <c r="D9" s="17"/>
      <c r="E9" s="41">
        <v>85303.489999999991</v>
      </c>
      <c r="F9" s="15">
        <f>E9</f>
        <v>85303.489999999991</v>
      </c>
      <c r="G9" s="67">
        <f t="shared" si="0"/>
        <v>0</v>
      </c>
      <c r="H9" s="70">
        <f t="shared" si="1"/>
        <v>0</v>
      </c>
      <c r="I9" s="15">
        <v>0</v>
      </c>
      <c r="J9" s="38">
        <f t="shared" si="2"/>
        <v>70681.856</v>
      </c>
      <c r="K9" s="118">
        <f>K2*D9</f>
        <v>0</v>
      </c>
      <c r="L9" s="15">
        <f t="shared" si="3"/>
        <v>70681.856</v>
      </c>
      <c r="M9" s="39">
        <f t="shared" si="4"/>
        <v>73509.130239999999</v>
      </c>
    </row>
    <row r="10" spans="1:13" ht="15" customHeight="1" thickBot="1" x14ac:dyDescent="0.3">
      <c r="A10" s="8" t="s">
        <v>8</v>
      </c>
      <c r="B10" s="9"/>
      <c r="C10" s="10"/>
      <c r="D10" s="45">
        <f t="shared" ref="D10:M10" si="5">SUM(D5:D9)</f>
        <v>0</v>
      </c>
      <c r="E10" s="42">
        <f t="shared" si="5"/>
        <v>1065104.5640479999</v>
      </c>
      <c r="F10" s="42">
        <f t="shared" si="5"/>
        <v>645610.59223999991</v>
      </c>
      <c r="G10" s="50">
        <f t="shared" si="5"/>
        <v>419493.971808</v>
      </c>
      <c r="H10" s="50">
        <f t="shared" si="5"/>
        <v>16779.758872319999</v>
      </c>
      <c r="I10" s="11">
        <f t="shared" si="5"/>
        <v>0</v>
      </c>
      <c r="J10" s="46">
        <f t="shared" si="5"/>
        <v>353409.28000000003</v>
      </c>
      <c r="K10" s="46">
        <f t="shared" si="5"/>
        <v>0</v>
      </c>
      <c r="L10" s="120"/>
      <c r="M10" s="119">
        <f t="shared" si="5"/>
        <v>821270.33110753272</v>
      </c>
    </row>
    <row r="11" spans="1:13" ht="51.75" hidden="1" customHeight="1" x14ac:dyDescent="0.25">
      <c r="A11" s="137"/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</row>
    <row r="12" spans="1:13" ht="14.25" customHeight="1" x14ac:dyDescent="0.25">
      <c r="M12" s="6"/>
    </row>
    <row r="13" spans="1:13" hidden="1" x14ac:dyDescent="0.25">
      <c r="C13" s="138"/>
      <c r="D13" s="138"/>
      <c r="E13" s="138"/>
      <c r="F13" s="138"/>
      <c r="G13" s="138"/>
      <c r="H13" s="138"/>
      <c r="I13" s="138"/>
      <c r="J13" s="138"/>
      <c r="K13" s="138"/>
      <c r="L13" s="138"/>
    </row>
    <row r="14" spans="1:13" hidden="1" x14ac:dyDescent="0.25">
      <c r="C14" s="138"/>
      <c r="D14" s="138"/>
      <c r="E14" s="138"/>
      <c r="F14" s="138"/>
      <c r="G14" s="138"/>
      <c r="H14" s="138"/>
      <c r="I14" s="138"/>
      <c r="J14" s="138"/>
      <c r="K14" s="138"/>
      <c r="L14" s="138"/>
    </row>
    <row r="15" spans="1:13" hidden="1" x14ac:dyDescent="0.25">
      <c r="C15" s="138"/>
      <c r="D15" s="138"/>
      <c r="E15" s="138"/>
      <c r="F15" s="138"/>
      <c r="G15" s="138"/>
      <c r="H15" s="138"/>
      <c r="I15" s="138"/>
      <c r="J15" s="138"/>
      <c r="K15" s="138"/>
      <c r="L15" s="138"/>
    </row>
    <row r="16" spans="1:13" hidden="1" x14ac:dyDescent="0.25">
      <c r="C16" s="138"/>
      <c r="D16" s="138"/>
      <c r="E16" s="138"/>
      <c r="F16" s="138"/>
      <c r="G16" s="138"/>
      <c r="H16" s="138"/>
      <c r="I16" s="138"/>
      <c r="J16" s="138"/>
      <c r="K16" s="138"/>
      <c r="L16" s="138"/>
    </row>
  </sheetData>
  <mergeCells count="2">
    <mergeCell ref="A11:M11"/>
    <mergeCell ref="C13:L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6844-9F76-4FEE-994B-56DA20848B8C}">
  <sheetPr>
    <pageSetUpPr fitToPage="1"/>
  </sheetPr>
  <dimension ref="A1:O24"/>
  <sheetViews>
    <sheetView tabSelected="1" topLeftCell="C4" workbookViewId="0">
      <selection activeCell="F19" sqref="F19"/>
    </sheetView>
  </sheetViews>
  <sheetFormatPr baseColWidth="10" defaultRowHeight="15" x14ac:dyDescent="0.25"/>
  <cols>
    <col min="1" max="1" width="5.28515625" style="1" hidden="1" customWidth="1"/>
    <col min="2" max="2" width="8.42578125" style="1" hidden="1" customWidth="1"/>
    <col min="3" max="3" width="18.5703125" customWidth="1"/>
    <col min="4" max="4" width="0.140625" hidden="1" customWidth="1"/>
    <col min="5" max="5" width="15" customWidth="1"/>
    <col min="6" max="6" width="12.42578125" bestFit="1" customWidth="1"/>
    <col min="7" max="7" width="12.42578125" customWidth="1"/>
    <col min="8" max="8" width="9.28515625" customWidth="1"/>
    <col min="9" max="9" width="13.140625" hidden="1" customWidth="1"/>
    <col min="10" max="10" width="19.42578125" customWidth="1"/>
    <col min="11" max="11" width="14.28515625" bestFit="1" customWidth="1"/>
    <col min="12" max="12" width="14.28515625" customWidth="1"/>
    <col min="13" max="14" width="12.42578125" bestFit="1" customWidth="1"/>
    <col min="15" max="15" width="12.42578125" style="21" bestFit="1" customWidth="1"/>
  </cols>
  <sheetData>
    <row r="1" spans="1:15" x14ac:dyDescent="0.25">
      <c r="A1"/>
      <c r="B1"/>
    </row>
    <row r="2" spans="1:15" x14ac:dyDescent="0.25">
      <c r="A2"/>
      <c r="B2"/>
    </row>
    <row r="3" spans="1:15" x14ac:dyDescent="0.25">
      <c r="A3"/>
      <c r="B3"/>
      <c r="K3" t="s">
        <v>77</v>
      </c>
      <c r="M3" s="6">
        <f>E6</f>
        <v>221761.28</v>
      </c>
    </row>
    <row r="4" spans="1:15" x14ac:dyDescent="0.25">
      <c r="A4"/>
      <c r="B4"/>
      <c r="C4" s="126" t="s">
        <v>74</v>
      </c>
      <c r="D4" s="126"/>
      <c r="E4" s="165">
        <v>164986.9</v>
      </c>
      <c r="G4" t="s">
        <v>0</v>
      </c>
      <c r="H4" t="s">
        <v>1</v>
      </c>
      <c r="I4" t="s">
        <v>2</v>
      </c>
      <c r="K4" t="s">
        <v>78</v>
      </c>
      <c r="O4" s="122">
        <f>M3-K8</f>
        <v>139267.83000000002</v>
      </c>
    </row>
    <row r="5" spans="1:15" ht="15.75" thickBot="1" x14ac:dyDescent="0.3">
      <c r="A5"/>
      <c r="B5"/>
      <c r="C5" s="33" t="s">
        <v>75</v>
      </c>
      <c r="D5" s="33"/>
      <c r="E5" s="166">
        <v>142460.13</v>
      </c>
    </row>
    <row r="6" spans="1:15" ht="15.75" thickBot="1" x14ac:dyDescent="0.3">
      <c r="A6"/>
      <c r="B6"/>
      <c r="C6" s="108" t="s">
        <v>76</v>
      </c>
      <c r="D6" s="108"/>
      <c r="E6" s="167">
        <v>221761.28</v>
      </c>
      <c r="G6" s="126">
        <v>1</v>
      </c>
      <c r="H6" s="126">
        <v>1</v>
      </c>
      <c r="I6" t="s">
        <v>62</v>
      </c>
      <c r="J6" s="126" t="s">
        <v>62</v>
      </c>
      <c r="K6" s="122">
        <f>E4/2</f>
        <v>82493.45</v>
      </c>
      <c r="L6" s="128">
        <f>O$4/5</f>
        <v>27853.566000000003</v>
      </c>
      <c r="N6" s="129">
        <f>SUM(K6:M6)</f>
        <v>110347.016</v>
      </c>
    </row>
    <row r="7" spans="1:15" ht="15.75" thickBot="1" x14ac:dyDescent="0.3">
      <c r="A7"/>
      <c r="B7"/>
      <c r="C7" s="124"/>
      <c r="D7" s="124"/>
      <c r="E7" s="125">
        <f>SUM(E4:E6)</f>
        <v>529208.31000000006</v>
      </c>
      <c r="G7" s="127">
        <v>2</v>
      </c>
      <c r="H7" s="127">
        <v>2</v>
      </c>
      <c r="I7" s="127" t="s">
        <v>65</v>
      </c>
      <c r="J7" s="127" t="s">
        <v>65</v>
      </c>
      <c r="K7" s="122">
        <f>E5/2</f>
        <v>71230.065000000002</v>
      </c>
      <c r="L7" s="128">
        <f>O$4/5</f>
        <v>27853.566000000003</v>
      </c>
      <c r="N7" s="169">
        <f t="shared" ref="N7:N10" si="0">SUM(K7:M7)</f>
        <v>99083.631000000008</v>
      </c>
    </row>
    <row r="8" spans="1:15" ht="15.75" thickBot="1" x14ac:dyDescent="0.3">
      <c r="A8"/>
      <c r="B8"/>
      <c r="G8">
        <v>3</v>
      </c>
      <c r="H8">
        <v>3</v>
      </c>
      <c r="I8" t="s">
        <v>63</v>
      </c>
      <c r="J8" t="s">
        <v>63</v>
      </c>
      <c r="K8" s="122">
        <v>82493.45</v>
      </c>
      <c r="L8" s="128">
        <f t="shared" ref="L8:L11" si="1">O$4/5</f>
        <v>27853.566000000003</v>
      </c>
      <c r="N8" s="133">
        <f t="shared" si="0"/>
        <v>110347.016</v>
      </c>
    </row>
    <row r="9" spans="1:15" ht="15.75" thickBot="1" x14ac:dyDescent="0.3">
      <c r="A9"/>
      <c r="B9"/>
      <c r="G9" s="127">
        <v>4</v>
      </c>
      <c r="H9" s="127">
        <v>4</v>
      </c>
      <c r="I9" s="127" t="s">
        <v>61</v>
      </c>
      <c r="J9" s="127" t="s">
        <v>61</v>
      </c>
      <c r="K9" s="122">
        <f>E5/2</f>
        <v>71230.065000000002</v>
      </c>
      <c r="L9" s="128">
        <f t="shared" si="1"/>
        <v>27853.566000000003</v>
      </c>
      <c r="N9" s="169">
        <f t="shared" si="0"/>
        <v>99083.631000000008</v>
      </c>
    </row>
    <row r="10" spans="1:15" ht="15" customHeight="1" thickBot="1" x14ac:dyDescent="0.3">
      <c r="A10"/>
      <c r="B10"/>
      <c r="G10" s="126">
        <v>5</v>
      </c>
      <c r="H10" s="126">
        <v>5</v>
      </c>
      <c r="I10" t="s">
        <v>64</v>
      </c>
      <c r="J10" s="126" t="s">
        <v>64</v>
      </c>
      <c r="K10" s="122">
        <f>E4/2</f>
        <v>82493.45</v>
      </c>
      <c r="L10" s="128">
        <f t="shared" si="1"/>
        <v>27853.566000000003</v>
      </c>
      <c r="N10" s="131">
        <f t="shared" si="0"/>
        <v>110347.016</v>
      </c>
    </row>
    <row r="11" spans="1:15" ht="51.75" hidden="1" customHeight="1" x14ac:dyDescent="0.25">
      <c r="A11"/>
      <c r="B11"/>
      <c r="L11" s="128">
        <f t="shared" si="1"/>
        <v>27853.566000000003</v>
      </c>
      <c r="N11" s="130"/>
    </row>
    <row r="12" spans="1:15" x14ac:dyDescent="0.25">
      <c r="A12"/>
      <c r="B12"/>
      <c r="N12" s="130"/>
    </row>
    <row r="13" spans="1:15" ht="15.75" thickBot="1" x14ac:dyDescent="0.3">
      <c r="A13"/>
      <c r="B13"/>
      <c r="C13" s="134" t="s">
        <v>79</v>
      </c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0"/>
    </row>
    <row r="14" spans="1:15" ht="15.75" thickBot="1" x14ac:dyDescent="0.3">
      <c r="A14"/>
      <c r="B14"/>
      <c r="N14" s="132">
        <f>SUM(N6:N13)</f>
        <v>529208.31000000006</v>
      </c>
    </row>
    <row r="15" spans="1:15" x14ac:dyDescent="0.25">
      <c r="F15" s="6"/>
      <c r="G15" s="6"/>
    </row>
    <row r="16" spans="1:15" ht="15.75" thickBot="1" x14ac:dyDescent="0.3"/>
    <row r="17" spans="3:11" ht="30.75" customHeight="1" thickBot="1" x14ac:dyDescent="0.3">
      <c r="C17" s="121" t="s">
        <v>82</v>
      </c>
      <c r="E17" s="121" t="s">
        <v>81</v>
      </c>
      <c r="F17" s="121" t="s">
        <v>80</v>
      </c>
      <c r="H17" s="142" t="s">
        <v>83</v>
      </c>
      <c r="I17" s="143"/>
      <c r="J17" s="144"/>
    </row>
    <row r="18" spans="3:11" x14ac:dyDescent="0.25">
      <c r="C18" s="122">
        <v>54214.433999999994</v>
      </c>
      <c r="E18" s="6">
        <f>C18</f>
        <v>54214.433999999994</v>
      </c>
      <c r="F18" s="6">
        <f>N6</f>
        <v>110347.016</v>
      </c>
      <c r="H18" s="145">
        <f>C18-E18+F18</f>
        <v>110347.016</v>
      </c>
      <c r="I18" s="146"/>
      <c r="J18" s="147"/>
    </row>
    <row r="19" spans="3:11" x14ac:dyDescent="0.25">
      <c r="C19" s="122">
        <v>61484.278999999995</v>
      </c>
      <c r="E19" s="6">
        <v>0</v>
      </c>
      <c r="F19" s="6">
        <f t="shared" ref="F19:F22" si="2">N7</f>
        <v>99083.631000000008</v>
      </c>
      <c r="H19" s="145">
        <f t="shared" ref="H19:H22" si="3">C19-E19+F19</f>
        <v>160567.91</v>
      </c>
      <c r="I19" s="146"/>
      <c r="J19" s="147"/>
      <c r="K19" t="s">
        <v>90</v>
      </c>
    </row>
    <row r="20" spans="3:11" x14ac:dyDescent="0.25">
      <c r="C20" s="122">
        <v>61479.284</v>
      </c>
      <c r="E20" s="6">
        <f>C20</f>
        <v>61479.284</v>
      </c>
      <c r="F20" s="6">
        <f t="shared" si="2"/>
        <v>110347.016</v>
      </c>
      <c r="H20" s="145">
        <f t="shared" si="3"/>
        <v>110347.016</v>
      </c>
      <c r="I20" s="146"/>
      <c r="J20" s="147"/>
    </row>
    <row r="21" spans="3:11" x14ac:dyDescent="0.25">
      <c r="C21" s="122">
        <v>61484.278999999995</v>
      </c>
      <c r="E21" s="6">
        <v>0</v>
      </c>
      <c r="F21" s="6">
        <f t="shared" si="2"/>
        <v>99083.631000000008</v>
      </c>
      <c r="H21" s="145">
        <f t="shared" si="3"/>
        <v>160567.91</v>
      </c>
      <c r="I21" s="146"/>
      <c r="J21" s="147"/>
      <c r="K21" t="s">
        <v>90</v>
      </c>
    </row>
    <row r="22" spans="3:11" ht="15.75" thickBot="1" x14ac:dyDescent="0.3">
      <c r="C22" s="122">
        <v>54214.433999999994</v>
      </c>
      <c r="E22" s="6">
        <f>C22</f>
        <v>54214.433999999994</v>
      </c>
      <c r="F22" s="6">
        <f t="shared" si="2"/>
        <v>110347.016</v>
      </c>
      <c r="H22" s="139">
        <f t="shared" si="3"/>
        <v>110347.016</v>
      </c>
      <c r="I22" s="140"/>
      <c r="J22" s="141"/>
    </row>
    <row r="24" spans="3:11" x14ac:dyDescent="0.25">
      <c r="E24" s="6">
        <f>SUM(E18:E23)</f>
        <v>169908.152</v>
      </c>
    </row>
  </sheetData>
  <mergeCells count="6">
    <mergeCell ref="H22:J22"/>
    <mergeCell ref="H17:J17"/>
    <mergeCell ref="H18:J18"/>
    <mergeCell ref="H19:J19"/>
    <mergeCell ref="H20:J20"/>
    <mergeCell ref="H21:J21"/>
  </mergeCells>
  <printOptions horizontalCentered="1" verticalCentered="1"/>
  <pageMargins left="0.25" right="0.25" top="0.75" bottom="0.75" header="0.3" footer="0.3"/>
  <pageSetup paperSize="9" scale="9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F83D-EB65-4E23-8775-704ADF1A523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5" x14ac:dyDescent="0.25"/>
  <cols>
    <col min="3" max="3" width="13.140625" customWidth="1"/>
  </cols>
  <sheetData>
    <row r="1" spans="1:7" ht="19.5" thickBot="1" x14ac:dyDescent="0.35">
      <c r="A1" s="153" t="s">
        <v>24</v>
      </c>
      <c r="B1" s="154"/>
      <c r="C1" s="154"/>
      <c r="D1" s="154"/>
      <c r="E1" s="155"/>
      <c r="F1" s="88"/>
      <c r="G1" s="88"/>
    </row>
    <row r="2" spans="1:7" ht="15.75" thickBot="1" x14ac:dyDescent="0.3">
      <c r="A2" s="156" t="s">
        <v>50</v>
      </c>
      <c r="B2" s="157"/>
      <c r="C2" s="158"/>
      <c r="D2" s="159">
        <v>565</v>
      </c>
      <c r="E2" s="160"/>
      <c r="F2" s="89"/>
      <c r="G2" s="89"/>
    </row>
    <row r="3" spans="1:7" ht="15.75" thickTop="1" x14ac:dyDescent="0.25">
      <c r="A3" s="161" t="s">
        <v>0</v>
      </c>
      <c r="B3" s="161" t="s">
        <v>1</v>
      </c>
      <c r="C3" s="161" t="s">
        <v>2</v>
      </c>
      <c r="D3" s="163" t="s">
        <v>4</v>
      </c>
      <c r="E3" s="148" t="s">
        <v>51</v>
      </c>
      <c r="F3" s="148" t="s">
        <v>52</v>
      </c>
      <c r="G3" s="148" t="s">
        <v>44</v>
      </c>
    </row>
    <row r="4" spans="1:7" ht="15.75" thickBot="1" x14ac:dyDescent="0.3">
      <c r="A4" s="162"/>
      <c r="B4" s="162"/>
      <c r="C4" s="162"/>
      <c r="D4" s="164"/>
      <c r="E4" s="149"/>
      <c r="F4" s="149"/>
      <c r="G4" s="149"/>
    </row>
    <row r="5" spans="1:7" ht="16.5" thickTop="1" thickBot="1" x14ac:dyDescent="0.3">
      <c r="A5" s="90">
        <v>1</v>
      </c>
      <c r="B5" s="92" t="s">
        <v>26</v>
      </c>
      <c r="C5" s="93" t="s">
        <v>34</v>
      </c>
      <c r="D5" s="91">
        <v>0.1512</v>
      </c>
      <c r="E5" s="94">
        <v>85</v>
      </c>
      <c r="F5" s="94">
        <v>0</v>
      </c>
      <c r="G5" s="94">
        <v>0</v>
      </c>
    </row>
    <row r="6" spans="1:7" ht="15.75" thickBot="1" x14ac:dyDescent="0.3">
      <c r="A6" s="90">
        <v>2</v>
      </c>
      <c r="B6" s="92" t="s">
        <v>27</v>
      </c>
      <c r="C6" s="93" t="s">
        <v>35</v>
      </c>
      <c r="D6" s="91">
        <v>0.15690000000000001</v>
      </c>
      <c r="E6" s="94">
        <v>89</v>
      </c>
      <c r="F6" s="94">
        <v>0</v>
      </c>
      <c r="G6" s="94">
        <v>0</v>
      </c>
    </row>
    <row r="7" spans="1:7" ht="15.75" thickBot="1" x14ac:dyDescent="0.3">
      <c r="A7" s="90">
        <v>3</v>
      </c>
      <c r="B7" s="92" t="s">
        <v>28</v>
      </c>
      <c r="C7" s="93" t="s">
        <v>36</v>
      </c>
      <c r="D7" s="91">
        <v>0.15820000000000001</v>
      </c>
      <c r="E7" s="94">
        <v>89</v>
      </c>
      <c r="F7" s="94">
        <v>0</v>
      </c>
      <c r="G7" s="94">
        <v>0</v>
      </c>
    </row>
    <row r="8" spans="1:7" ht="18" customHeight="1" thickBot="1" x14ac:dyDescent="0.3">
      <c r="A8" s="90">
        <v>4</v>
      </c>
      <c r="B8" s="92" t="s">
        <v>30</v>
      </c>
      <c r="C8" s="104" t="s">
        <v>37</v>
      </c>
      <c r="D8" s="91">
        <v>0.19800000000000001</v>
      </c>
      <c r="E8" s="94">
        <v>112</v>
      </c>
      <c r="F8" s="94">
        <v>0</v>
      </c>
      <c r="G8" s="94">
        <v>0</v>
      </c>
    </row>
    <row r="9" spans="1:7" ht="15.75" thickBot="1" x14ac:dyDescent="0.3">
      <c r="A9" s="90">
        <v>5</v>
      </c>
      <c r="B9" s="92" t="s">
        <v>29</v>
      </c>
      <c r="C9" s="93" t="s">
        <v>32</v>
      </c>
      <c r="D9" s="91">
        <v>0.15920000000000001</v>
      </c>
      <c r="E9" s="94">
        <v>90</v>
      </c>
      <c r="F9" s="94">
        <v>0</v>
      </c>
      <c r="G9" s="94">
        <v>0</v>
      </c>
    </row>
    <row r="10" spans="1:7" ht="15.75" thickBot="1" x14ac:dyDescent="0.3">
      <c r="A10" s="95">
        <v>6</v>
      </c>
      <c r="B10" s="97" t="s">
        <v>31</v>
      </c>
      <c r="C10" s="98" t="s">
        <v>33</v>
      </c>
      <c r="D10" s="96">
        <v>0.17649999999999999</v>
      </c>
      <c r="E10" s="99">
        <v>100</v>
      </c>
      <c r="F10" s="99">
        <v>0</v>
      </c>
      <c r="G10" s="99">
        <v>0</v>
      </c>
    </row>
    <row r="11" spans="1:7" ht="16.5" thickTop="1" thickBot="1" x14ac:dyDescent="0.3">
      <c r="A11" s="100" t="s">
        <v>8</v>
      </c>
      <c r="B11" s="101"/>
      <c r="C11" s="101"/>
      <c r="D11" s="102">
        <v>1</v>
      </c>
      <c r="E11" s="102">
        <v>565</v>
      </c>
      <c r="F11" s="102" t="s">
        <v>53</v>
      </c>
      <c r="G11" s="103" t="s">
        <v>53</v>
      </c>
    </row>
    <row r="12" spans="1:7" ht="16.5" thickTop="1" thickBot="1" x14ac:dyDescent="0.3">
      <c r="A12" s="150"/>
      <c r="B12" s="151"/>
      <c r="C12" s="151"/>
      <c r="D12" s="151"/>
      <c r="E12" s="152"/>
      <c r="F12" s="88"/>
      <c r="G12" s="8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detalle y gastos</vt:lpstr>
      <vt:lpstr>prorrateo </vt:lpstr>
      <vt:lpstr>EDESUR</vt:lpstr>
      <vt:lpstr>Hoja1</vt:lpstr>
      <vt:lpstr>extraordinaria</vt:lpstr>
      <vt:lpstr>'detalle y gastos'!Área_de_impresión</vt:lpstr>
      <vt:lpstr>EDESUR!Área_de_impresión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2025-03-30T15:16:10Z</cp:lastPrinted>
  <dcterms:created xsi:type="dcterms:W3CDTF">2020-12-10T00:27:53Z</dcterms:created>
  <dcterms:modified xsi:type="dcterms:W3CDTF">2025-03-30T15:16:24Z</dcterms:modified>
</cp:coreProperties>
</file>