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ICHINCHA\febrero\"/>
    </mc:Choice>
  </mc:AlternateContent>
  <xr:revisionPtr revIDLastSave="0" documentId="13_ncr:1_{9703452F-BC78-4671-B977-74E6732722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DESUR" sheetId="6" r:id="rId3"/>
    <sheet name="Hoja1" sheetId="5" r:id="rId4"/>
    <sheet name="extraordinaria" sheetId="4" r:id="rId5"/>
  </sheets>
  <definedNames>
    <definedName name="_xlnm.Print_Area" localSheetId="0">'detalle y gastos'!$A$1:$F$47</definedName>
    <definedName name="_xlnm.Print_Area" localSheetId="2">EDESUR!$A$1:$O$25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F9" i="1" l="1"/>
  <c r="F16" i="3"/>
  <c r="E24" i="6"/>
  <c r="H19" i="6"/>
  <c r="H20" i="6"/>
  <c r="H21" i="6"/>
  <c r="H22" i="6"/>
  <c r="H18" i="6"/>
  <c r="F19" i="6"/>
  <c r="F20" i="6"/>
  <c r="F21" i="6"/>
  <c r="F22" i="6"/>
  <c r="F18" i="6"/>
  <c r="N14" i="6"/>
  <c r="N7" i="6"/>
  <c r="N8" i="6"/>
  <c r="N9" i="6"/>
  <c r="N10" i="6"/>
  <c r="N6" i="6"/>
  <c r="L8" i="6"/>
  <c r="L9" i="6"/>
  <c r="L10" i="6"/>
  <c r="L11" i="6"/>
  <c r="L6" i="6"/>
  <c r="L7" i="6"/>
  <c r="O4" i="6"/>
  <c r="K7" i="6"/>
  <c r="K9" i="6"/>
  <c r="K10" i="6"/>
  <c r="K6" i="6"/>
  <c r="M3" i="6"/>
  <c r="F15" i="3" l="1"/>
  <c r="E7" i="6"/>
  <c r="C20" i="3" l="1"/>
  <c r="C29" i="3"/>
  <c r="G8" i="1"/>
  <c r="H8" i="1" s="1"/>
  <c r="G7" i="1"/>
  <c r="F6" i="1"/>
  <c r="G6" i="1" s="1"/>
  <c r="J9" i="1" l="1"/>
  <c r="J6" i="1"/>
  <c r="J7" i="1"/>
  <c r="J8" i="1"/>
  <c r="J5" i="1"/>
  <c r="C30" i="3" l="1"/>
  <c r="C40" i="3" s="1"/>
  <c r="F14" i="3" l="1"/>
  <c r="C41" i="3"/>
  <c r="A2" i="1"/>
  <c r="G9" i="1" l="1"/>
  <c r="C39" i="3" l="1"/>
  <c r="C42" i="3" s="1"/>
  <c r="K8" i="1" l="1"/>
  <c r="L8" i="1" s="1"/>
  <c r="M8" i="1" s="1"/>
  <c r="K7" i="1"/>
  <c r="K6" i="1"/>
  <c r="K9" i="1"/>
  <c r="K5" i="1"/>
  <c r="G5" i="1"/>
  <c r="H5" i="1" s="1"/>
  <c r="L5" i="1" s="1"/>
  <c r="M5" i="1" s="1"/>
  <c r="H6" i="1" l="1"/>
  <c r="L6" i="1" s="1"/>
  <c r="M6" i="1" s="1"/>
  <c r="H7" i="1"/>
  <c r="L7" i="1" s="1"/>
  <c r="M7" i="1" s="1"/>
  <c r="K10" i="1" l="1"/>
  <c r="I10" i="1"/>
  <c r="H9" i="1" l="1"/>
  <c r="L9" i="1" s="1"/>
  <c r="M9" i="1" s="1"/>
  <c r="F10" i="1"/>
  <c r="D10" i="1"/>
  <c r="E10" i="1"/>
  <c r="F13" i="3" l="1"/>
  <c r="F20" i="3" s="1"/>
  <c r="J10" i="1"/>
  <c r="G10" i="1"/>
  <c r="H10" i="1"/>
  <c r="M10" i="1" l="1"/>
</calcChain>
</file>

<file path=xl/sharedStrings.xml><?xml version="1.0" encoding="utf-8"?>
<sst xmlns="http://schemas.openxmlformats.org/spreadsheetml/2006/main" count="117" uniqueCount="94">
  <si>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</si>
  <si>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</si>
  <si>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</si>
  <si>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</si>
  <si>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</si>
  <si>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</si>
  <si>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</si>
  <si>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</si>
  <si>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</si>
  <si>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</si>
  <si>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</si>
  <si>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</si>
  <si>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</si>
  <si>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</si>
  <si>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</si>
  <si>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</si>
  <si>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</si>
  <si>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</si>
  <si>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</si>
  <si>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</si>
  <si>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</si>
  <si>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</si>
  <si>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</si>
  <si>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</si>
  <si>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</si>
  <si>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</si>
  <si>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</si>
  <si>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</si>
  <si>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</si>
  <si>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</si>
  <si>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</si>
  <si>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</si>
  <si>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</si>
  <si>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</si>
  <si>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</si>
  <si>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</si>
  <si>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</si>
  <si>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</si>
  <si>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</si>
  <si>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</si>
  <si>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</si>
  <si>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</si>
  <si>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</si>
  <si>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</si>
  <si>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</si>
  <si>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</si>
  <si>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</si>
  <si>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</si>
  <si>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</si>
  <si>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</si>
  <si>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</si>
  <si>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</si>
  <si>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</si>
  <si>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</si>
  <si>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</si>
  <si>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</si>
  <si>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</si>
  <si>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</si>
  <si>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</si>
  <si>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 xml:space="preserve">Honorarios Administracion 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</si>
  <si>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</si>
  <si>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</si>
  <si>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</si>
  <si>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</si>
  <si>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</si>
  <si>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</si>
  <si>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</si>
  <si>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 xml:space="preserve">SEGURO DE ACCIDENTES PERSONALES SRA. MONICA </t>
  </si>
  <si>
    <t xml:space="preserve">JPL ARTICULOS DE LIMPIEZA </t>
  </si>
  <si>
    <t>AYSA</t>
  </si>
  <si>
    <t>METROGAS - TERMO</t>
  </si>
  <si>
    <t>FLOW - INTERNET CAMARA</t>
  </si>
  <si>
    <t>VTO</t>
  </si>
  <si>
    <t>SEGUNDO</t>
  </si>
  <si>
    <t>PRIMER VTO</t>
  </si>
  <si>
    <t>SERVISUR -MANO DE OBRA ARREGLO ELECTRICIDAD</t>
  </si>
  <si>
    <t>Vto. 12/3</t>
  </si>
  <si>
    <t>Liquidacion mes de FEBRERO</t>
  </si>
  <si>
    <t>TSG - MES DE FEBRERO</t>
  </si>
  <si>
    <t xml:space="preserve">CASA RUAN FOTOCELULA </t>
  </si>
  <si>
    <t xml:space="preserve">Edesur </t>
  </si>
  <si>
    <t>EDESUR FACTURA 1:</t>
  </si>
  <si>
    <t>EDESUR FACTURA 2:</t>
  </si>
  <si>
    <t>EDESUR FACTURA 3:</t>
  </si>
  <si>
    <t xml:space="preserve">HERRERO JULIO DOARTERO </t>
  </si>
  <si>
    <t>GASTOS COMUNES</t>
  </si>
  <si>
    <t>GASTOS COMUNES (SIN INCLUIR CONSUMO DE UF 3)</t>
  </si>
  <si>
    <t>LOS GASTOS COMUNES INCLUYEN: CONSUMO DE LA BOMBA, LUCES DE ESCALERAS, TERRAZAS, COCHERAS Y PUERTAS, CAMARAS E INTERNET</t>
  </si>
  <si>
    <t>SALDO A ABONAR</t>
  </si>
  <si>
    <t>ABONADO</t>
  </si>
  <si>
    <t>SALDO ANTERIOR</t>
  </si>
  <si>
    <t>TOTAL</t>
  </si>
  <si>
    <t>Total abonado de Edesur</t>
  </si>
  <si>
    <t>dinero a recuperar arreglo aysa : 50 mil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</si>
</sst>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4" fontId="10" fillId="6" borderId="1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3" fontId="1" fillId="3" borderId="1" xfId="2" applyNumberFormat="1" applyFont="1" applyFill="1" applyBorder="1"/>
    <xf numFmtId="0" fontId="0" fillId="0" borderId="0" xfId="0" applyAlignment="1">
      <alignment horizontal="center" vertical="center" wrapText="1"/>
    </xf>
    <xf numFmtId="4" fontId="10" fillId="6" borderId="6" xfId="0" applyNumberFormat="1" applyFont="1" applyFill="1" applyBorder="1"/>
    <xf numFmtId="164" fontId="0" fillId="0" borderId="0" xfId="2" applyFont="1"/>
    <xf numFmtId="166" fontId="9" fillId="0" borderId="22" xfId="2" applyNumberFormat="1" applyFont="1" applyBorder="1"/>
    <xf numFmtId="0" fontId="0" fillId="9" borderId="0" xfId="0" applyFill="1"/>
    <xf numFmtId="164" fontId="0" fillId="9" borderId="0" xfId="0" applyNumberFormat="1" applyFill="1"/>
    <xf numFmtId="0" fontId="0" fillId="10" borderId="0" xfId="0" applyFill="1"/>
    <xf numFmtId="0" fontId="0" fillId="11" borderId="0" xfId="0" applyFill="1"/>
    <xf numFmtId="164" fontId="0" fillId="10" borderId="0" xfId="2" applyFont="1" applyFill="1"/>
    <xf numFmtId="164" fontId="0" fillId="2" borderId="0" xfId="2" applyFont="1" applyFill="1"/>
    <xf numFmtId="164" fontId="0" fillId="6" borderId="0" xfId="2" applyFont="1" applyFill="1"/>
    <xf numFmtId="43" fontId="0" fillId="0" borderId="0" xfId="0" applyNumberFormat="1"/>
    <xf numFmtId="164" fontId="14" fillId="0" borderId="53" xfId="0" applyNumberFormat="1" applyFont="1" applyBorder="1"/>
    <xf numFmtId="0" fontId="0" fillId="0" borderId="54" xfId="0" applyBorder="1"/>
    <xf numFmtId="164" fontId="14" fillId="0" borderId="55" xfId="0" applyNumberFormat="1" applyFont="1" applyBorder="1"/>
    <xf numFmtId="164" fontId="0" fillId="0" borderId="52" xfId="0" applyNumberFormat="1" applyBorder="1"/>
    <xf numFmtId="164" fontId="14" fillId="0" borderId="52" xfId="0" applyNumberFormat="1" applyFont="1" applyBorder="1"/>
    <xf numFmtId="0" fontId="8" fillId="12" borderId="0" xfId="0" applyFont="1" applyFill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164" fontId="1" fillId="0" borderId="57" xfId="2" applyFont="1" applyBorder="1"/>
    <xf numFmtId="164" fontId="1" fillId="0" borderId="23" xfId="2" applyFont="1" applyBorder="1"/>
    <xf numFmtId="164" fontId="1" fillId="0" borderId="58" xfId="2" applyFont="1" applyBorder="1"/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164" fontId="1" fillId="0" borderId="16" xfId="2" applyFont="1" applyBorder="1"/>
    <xf numFmtId="164" fontId="1" fillId="0" borderId="0" xfId="2" applyFont="1" applyBorder="1"/>
    <xf numFmtId="164" fontId="1" fillId="0" borderId="56" xfId="2" applyFont="1" applyBorder="1"/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0"/>
  <sheetViews>
    <sheetView tabSelected="1" topLeftCell="A28" workbookViewId="0">
      <selection activeCell="B52" sqref="B52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6" x14ac:dyDescent="0.25">
      <c r="B1" t="s">
        <v>57</v>
      </c>
    </row>
    <row r="2" spans="1:6" x14ac:dyDescent="0.25">
      <c r="B2" t="s">
        <v>18</v>
      </c>
      <c r="C2" s="110" t="s">
        <v>56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58</v>
      </c>
      <c r="B7" s="24"/>
      <c r="C7" s="68"/>
      <c r="D7" s="68"/>
      <c r="E7" s="24" t="s">
        <v>77</v>
      </c>
      <c r="F7" s="111" t="s">
        <v>76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8" t="s">
        <v>10</v>
      </c>
      <c r="B11" s="29"/>
      <c r="C11" s="30"/>
      <c r="D11" s="5"/>
      <c r="E11" s="139" t="s">
        <v>22</v>
      </c>
      <c r="F11" s="139"/>
    </row>
    <row r="12" spans="1:6" x14ac:dyDescent="0.25">
      <c r="A12" s="107" t="s">
        <v>69</v>
      </c>
      <c r="B12" s="108"/>
      <c r="C12" s="122">
        <v>23573</v>
      </c>
      <c r="D12" s="5"/>
      <c r="E12" s="56" t="s">
        <v>42</v>
      </c>
      <c r="F12" s="57">
        <v>-858990.57079999999</v>
      </c>
    </row>
    <row r="13" spans="1:6" x14ac:dyDescent="0.25">
      <c r="A13" s="31" t="s">
        <v>45</v>
      </c>
      <c r="C13" s="122">
        <v>75901</v>
      </c>
      <c r="D13" s="43"/>
      <c r="E13" s="58" t="s">
        <v>7</v>
      </c>
      <c r="F13" s="59">
        <f>'prorrateo '!F10</f>
        <v>257969.91599999997</v>
      </c>
    </row>
    <row r="14" spans="1:6" ht="15.75" customHeight="1" x14ac:dyDescent="0.25">
      <c r="A14" s="31" t="s">
        <v>19</v>
      </c>
      <c r="B14" t="s">
        <v>59</v>
      </c>
      <c r="C14" s="80">
        <v>33600</v>
      </c>
      <c r="D14" s="5"/>
      <c r="E14" s="58" t="s">
        <v>20</v>
      </c>
      <c r="F14" s="59">
        <f>-(C40)</f>
        <v>-426517.44999999995</v>
      </c>
    </row>
    <row r="15" spans="1:6" x14ac:dyDescent="0.25">
      <c r="A15" s="31" t="s">
        <v>71</v>
      </c>
      <c r="C15" s="113">
        <v>39299.800000000003</v>
      </c>
      <c r="D15" s="5"/>
      <c r="E15" s="58" t="s">
        <v>80</v>
      </c>
      <c r="F15" s="59">
        <f>-EDESUR!E7</f>
        <v>-292876.70999999996</v>
      </c>
    </row>
    <row r="16" spans="1:6" x14ac:dyDescent="0.25">
      <c r="A16" s="31" t="s">
        <v>70</v>
      </c>
      <c r="C16" s="113">
        <v>50521.65</v>
      </c>
      <c r="D16" s="5"/>
      <c r="E16" s="58" t="s">
        <v>92</v>
      </c>
      <c r="F16" s="59">
        <f>EDESUR!E24</f>
        <v>0</v>
      </c>
    </row>
    <row r="17" spans="1:7" hidden="1" x14ac:dyDescent="0.25">
      <c r="A17" s="31"/>
      <c r="C17" s="113"/>
      <c r="D17" s="5"/>
      <c r="E17" s="58"/>
      <c r="F17" s="59"/>
    </row>
    <row r="18" spans="1:7" x14ac:dyDescent="0.25">
      <c r="A18" s="31" t="s">
        <v>78</v>
      </c>
      <c r="C18" s="113">
        <v>12287</v>
      </c>
      <c r="D18" s="5"/>
      <c r="E18" s="58"/>
      <c r="F18" s="59"/>
    </row>
    <row r="19" spans="1:7" x14ac:dyDescent="0.25">
      <c r="A19" s="31"/>
      <c r="C19" s="80"/>
      <c r="E19" s="58"/>
      <c r="F19" s="59"/>
    </row>
    <row r="20" spans="1:7" ht="15.75" thickBot="1" x14ac:dyDescent="0.3">
      <c r="A20" s="32"/>
      <c r="B20" s="33"/>
      <c r="C20" s="87">
        <f>SUM(C12:C19)</f>
        <v>235182.44999999998</v>
      </c>
      <c r="E20" s="60" t="s">
        <v>43</v>
      </c>
      <c r="F20" s="124">
        <f>SUM(F12:F19)</f>
        <v>-1320414.8147999998</v>
      </c>
    </row>
    <row r="21" spans="1:7" x14ac:dyDescent="0.25">
      <c r="A21" s="34" t="s">
        <v>21</v>
      </c>
      <c r="C21" s="114"/>
      <c r="D21" s="5"/>
      <c r="E21" s="19"/>
      <c r="F21" s="20"/>
    </row>
    <row r="22" spans="1:7" x14ac:dyDescent="0.25">
      <c r="A22" s="31" t="s">
        <v>66</v>
      </c>
      <c r="B22" s="35"/>
      <c r="C22" s="113">
        <v>62099</v>
      </c>
      <c r="D22" s="5"/>
      <c r="E22" s="19"/>
      <c r="F22" s="20"/>
    </row>
    <row r="23" spans="1:7" x14ac:dyDescent="0.25">
      <c r="A23" s="31" t="s">
        <v>84</v>
      </c>
      <c r="B23" s="35"/>
      <c r="C23" s="113">
        <v>55000</v>
      </c>
      <c r="D23" s="5"/>
      <c r="E23" s="19"/>
      <c r="F23" s="20"/>
    </row>
    <row r="24" spans="1:7" x14ac:dyDescent="0.25">
      <c r="A24" s="31" t="s">
        <v>79</v>
      </c>
      <c r="B24" s="35"/>
      <c r="C24" s="113">
        <v>6000</v>
      </c>
      <c r="D24" s="5"/>
      <c r="E24" s="19"/>
      <c r="F24" s="20"/>
    </row>
    <row r="25" spans="1:7" x14ac:dyDescent="0.25">
      <c r="A25" s="31" t="s">
        <v>75</v>
      </c>
      <c r="B25" s="35"/>
      <c r="C25" s="113">
        <v>25000</v>
      </c>
      <c r="D25" s="5"/>
      <c r="E25" s="19"/>
      <c r="F25" s="20"/>
    </row>
    <row r="26" spans="1:7" ht="14.25" customHeight="1" x14ac:dyDescent="0.25">
      <c r="A26" s="31" t="s">
        <v>67</v>
      </c>
      <c r="B26" s="35"/>
      <c r="C26" s="113">
        <v>3036</v>
      </c>
      <c r="D26" s="5"/>
      <c r="E26" s="19"/>
      <c r="F26" s="20"/>
    </row>
    <row r="27" spans="1:7" ht="14.25" customHeight="1" x14ac:dyDescent="0.25">
      <c r="A27" s="31" t="s">
        <v>68</v>
      </c>
      <c r="B27" s="35"/>
      <c r="C27" s="113">
        <v>40200</v>
      </c>
      <c r="D27" s="5"/>
      <c r="E27" s="19"/>
      <c r="F27" s="20"/>
    </row>
    <row r="28" spans="1:7" x14ac:dyDescent="0.25">
      <c r="A28" s="31" t="s">
        <v>60</v>
      </c>
      <c r="B28" s="35"/>
      <c r="C28" s="112">
        <v>0</v>
      </c>
      <c r="D28" s="5"/>
      <c r="E28" s="19"/>
      <c r="F28" s="20"/>
    </row>
    <row r="29" spans="1:7" x14ac:dyDescent="0.25">
      <c r="A29" s="32"/>
      <c r="B29" s="33"/>
      <c r="C29" s="109">
        <f>SUM(C21:C28)</f>
        <v>191335</v>
      </c>
      <c r="D29" s="5"/>
      <c r="E29" s="5"/>
      <c r="F29" s="55"/>
      <c r="G29" s="6"/>
    </row>
    <row r="30" spans="1:7" x14ac:dyDescent="0.25">
      <c r="A30" s="47" t="s">
        <v>12</v>
      </c>
      <c r="B30" s="48"/>
      <c r="C30" s="49">
        <f>+C29+C20</f>
        <v>426517.44999999995</v>
      </c>
      <c r="D30" s="5"/>
      <c r="E30" s="19"/>
      <c r="F30" s="20"/>
    </row>
    <row r="31" spans="1:7" ht="14.25" customHeight="1" x14ac:dyDescent="0.25">
      <c r="A31" s="69" t="s">
        <v>24</v>
      </c>
      <c r="B31" s="82"/>
      <c r="C31" s="83"/>
      <c r="E31" s="19"/>
      <c r="F31" s="20"/>
    </row>
    <row r="32" spans="1:7" hidden="1" x14ac:dyDescent="0.25">
      <c r="A32" s="22" t="s">
        <v>24</v>
      </c>
    </row>
    <row r="33" spans="1:6" hidden="1" x14ac:dyDescent="0.25">
      <c r="A33" s="44"/>
      <c r="B33" s="29"/>
      <c r="C33" s="54"/>
      <c r="F33" s="6"/>
    </row>
    <row r="34" spans="1:6" hidden="1" x14ac:dyDescent="0.25">
      <c r="A34" s="52"/>
      <c r="B34" s="51"/>
      <c r="C34" s="53">
        <v>0</v>
      </c>
      <c r="F34" s="6"/>
    </row>
    <row r="35" spans="1:6" hidden="1" x14ac:dyDescent="0.25">
      <c r="A35" s="61"/>
      <c r="B35" s="62"/>
      <c r="C35" s="53">
        <v>0</v>
      </c>
      <c r="F35" s="6"/>
    </row>
    <row r="36" spans="1:6" x14ac:dyDescent="0.25">
      <c r="A36" s="78"/>
      <c r="B36" s="79"/>
      <c r="C36" s="81"/>
      <c r="F36" s="6"/>
    </row>
    <row r="37" spans="1:6" x14ac:dyDescent="0.25">
      <c r="A37" s="78"/>
      <c r="B37" s="85"/>
      <c r="C37" s="86"/>
      <c r="F37" s="6"/>
    </row>
    <row r="38" spans="1:6" x14ac:dyDescent="0.25">
      <c r="A38" s="78"/>
      <c r="B38" s="84"/>
      <c r="C38" s="81">
        <v>0</v>
      </c>
      <c r="F38" s="6"/>
    </row>
    <row r="39" spans="1:6" x14ac:dyDescent="0.25">
      <c r="A39" s="63" t="s">
        <v>23</v>
      </c>
      <c r="B39" s="64"/>
      <c r="C39" s="65">
        <f>SUM(C34:C38)</f>
        <v>0</v>
      </c>
    </row>
    <row r="40" spans="1:6" x14ac:dyDescent="0.25">
      <c r="A40" t="s">
        <v>54</v>
      </c>
      <c r="C40" s="53">
        <f>C30-C28</f>
        <v>426517.44999999995</v>
      </c>
      <c r="F40" s="6"/>
    </row>
    <row r="41" spans="1:6" x14ac:dyDescent="0.25">
      <c r="A41" s="5" t="s">
        <v>49</v>
      </c>
      <c r="C41" s="77">
        <f>+C30</f>
        <v>426517.44999999995</v>
      </c>
      <c r="F41" s="6"/>
    </row>
    <row r="42" spans="1:6" x14ac:dyDescent="0.25">
      <c r="A42" s="63" t="s">
        <v>13</v>
      </c>
      <c r="B42" s="64"/>
      <c r="C42" s="65">
        <f>+C30+C39</f>
        <v>426517.44999999995</v>
      </c>
      <c r="E42" s="16"/>
    </row>
    <row r="47" spans="1:6" x14ac:dyDescent="0.25">
      <c r="D47" s="6"/>
    </row>
    <row r="48" spans="1:6" x14ac:dyDescent="0.25">
      <c r="D48" s="16"/>
      <c r="E48" s="16"/>
    </row>
    <row r="49" spans="1:5" x14ac:dyDescent="0.25">
      <c r="B49" s="168" t="s">
        <v>93</v>
      </c>
      <c r="C49" s="168"/>
      <c r="D49" s="168"/>
      <c r="E49" s="168"/>
    </row>
    <row r="50" spans="1:5" x14ac:dyDescent="0.25">
      <c r="B50" s="168"/>
      <c r="C50" s="168"/>
      <c r="D50" s="168"/>
      <c r="E50" s="168"/>
    </row>
    <row r="51" spans="1:5" x14ac:dyDescent="0.25">
      <c r="B51" s="168"/>
      <c r="C51" s="168"/>
      <c r="D51" s="168"/>
      <c r="E51" s="168"/>
    </row>
    <row r="63" spans="1:5" x14ac:dyDescent="0.25">
      <c r="A63" s="19"/>
      <c r="B63" s="18"/>
      <c r="C63" s="20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  <row r="69" spans="1:3" x14ac:dyDescent="0.25">
      <c r="A69" s="18"/>
      <c r="B69" s="18"/>
      <c r="C69" s="18"/>
    </row>
    <row r="70" spans="1:3" x14ac:dyDescent="0.25">
      <c r="A70" s="18"/>
      <c r="B70" s="18"/>
      <c r="C70" s="18"/>
    </row>
  </sheetData>
  <mergeCells count="2">
    <mergeCell ref="E11:F11"/>
    <mergeCell ref="B49:E5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F6" sqref="F6:F9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26"/>
      <c r="G1" s="25" t="s">
        <v>47</v>
      </c>
      <c r="H1" s="26"/>
      <c r="I1" s="26"/>
      <c r="J1" s="26"/>
      <c r="K1" s="71">
        <v>426517.44999999995</v>
      </c>
      <c r="L1" s="71"/>
      <c r="M1" s="27"/>
    </row>
    <row r="2" spans="1:13" ht="15.75" thickBot="1" x14ac:dyDescent="0.3">
      <c r="A2" s="72" t="str">
        <f>'detalle y gastos'!E7</f>
        <v>Liquidacion mes de FEBRERO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5"/>
      <c r="L2" s="115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6" t="s">
        <v>38</v>
      </c>
      <c r="L3" s="30" t="s">
        <v>74</v>
      </c>
      <c r="M3" s="7" t="s">
        <v>73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7" t="s">
        <v>39</v>
      </c>
      <c r="L4" s="66" t="s">
        <v>72</v>
      </c>
      <c r="M4" s="66" t="s">
        <v>72</v>
      </c>
    </row>
    <row r="5" spans="1:13" x14ac:dyDescent="0.25">
      <c r="A5" s="12">
        <v>1</v>
      </c>
      <c r="B5" s="13">
        <v>1</v>
      </c>
      <c r="C5" s="14" t="s">
        <v>62</v>
      </c>
      <c r="D5" s="17"/>
      <c r="E5" s="41">
        <v>243644.788</v>
      </c>
      <c r="F5" s="80"/>
      <c r="G5" s="67">
        <f>E5-F5</f>
        <v>243644.788</v>
      </c>
      <c r="H5" s="70">
        <f>IF(G5&gt;0,G5*4%,0)</f>
        <v>9745.7915200000007</v>
      </c>
      <c r="I5" s="15">
        <v>0</v>
      </c>
      <c r="J5" s="38">
        <f>K$1/5</f>
        <v>85303.489999999991</v>
      </c>
      <c r="K5" s="118">
        <f>K2*D5</f>
        <v>0</v>
      </c>
      <c r="L5" s="15">
        <f>J5+K5+H5+G5</f>
        <v>338694.06952000002</v>
      </c>
      <c r="M5" s="39">
        <f>L5*4%+L5</f>
        <v>352241.83230080002</v>
      </c>
    </row>
    <row r="6" spans="1:13" x14ac:dyDescent="0.25">
      <c r="A6" s="12">
        <v>2</v>
      </c>
      <c r="B6" s="13">
        <v>2</v>
      </c>
      <c r="C6" s="14" t="s">
        <v>65</v>
      </c>
      <c r="D6" s="17"/>
      <c r="E6" s="41">
        <v>131066.86799999999</v>
      </c>
      <c r="F6" s="15">
        <f>E6</f>
        <v>131066.86799999999</v>
      </c>
      <c r="G6" s="67">
        <f t="shared" ref="G6:G9" si="0">E6-F6</f>
        <v>0</v>
      </c>
      <c r="H6" s="70">
        <f t="shared" ref="H6:H9" si="1">IF(G6&gt;0,G6*4%,0)</f>
        <v>0</v>
      </c>
      <c r="I6" s="15">
        <v>0</v>
      </c>
      <c r="J6" s="38">
        <f t="shared" ref="J6:J9" si="2">K$1/5</f>
        <v>85303.489999999991</v>
      </c>
      <c r="K6" s="118">
        <f>K2*D6</f>
        <v>0</v>
      </c>
      <c r="L6" s="15">
        <f t="shared" ref="L6:L9" si="3">J6+K6+H6+G6</f>
        <v>85303.489999999991</v>
      </c>
      <c r="M6" s="39">
        <f t="shared" ref="M6:M9" si="4">L6*4%+L6</f>
        <v>88715.629599999986</v>
      </c>
    </row>
    <row r="7" spans="1:13" x14ac:dyDescent="0.25">
      <c r="A7" s="12">
        <v>3</v>
      </c>
      <c r="B7" s="13">
        <v>3</v>
      </c>
      <c r="C7" s="14" t="s">
        <v>63</v>
      </c>
      <c r="D7" s="17"/>
      <c r="E7" s="41">
        <v>131066.86799999999</v>
      </c>
      <c r="F7" s="15"/>
      <c r="G7" s="67">
        <f t="shared" si="0"/>
        <v>131066.86799999999</v>
      </c>
      <c r="H7" s="70">
        <f t="shared" si="1"/>
        <v>5242.67472</v>
      </c>
      <c r="I7" s="15">
        <v>0</v>
      </c>
      <c r="J7" s="38">
        <f t="shared" si="2"/>
        <v>85303.489999999991</v>
      </c>
      <c r="K7" s="118">
        <f>K2*D7</f>
        <v>0</v>
      </c>
      <c r="L7" s="15">
        <f t="shared" si="3"/>
        <v>221613.03271999996</v>
      </c>
      <c r="M7" s="39">
        <f t="shared" si="4"/>
        <v>230477.55402879996</v>
      </c>
    </row>
    <row r="8" spans="1:13" x14ac:dyDescent="0.25">
      <c r="A8" s="12">
        <v>4</v>
      </c>
      <c r="B8" s="13">
        <v>4</v>
      </c>
      <c r="C8" s="14" t="s">
        <v>61</v>
      </c>
      <c r="D8" s="17"/>
      <c r="E8" s="41">
        <v>239314.41519999999</v>
      </c>
      <c r="F8" s="15"/>
      <c r="G8" s="67">
        <f t="shared" si="0"/>
        <v>239314.41519999999</v>
      </c>
      <c r="H8" s="70">
        <f t="shared" si="1"/>
        <v>9572.5766079999994</v>
      </c>
      <c r="I8" s="15">
        <v>0</v>
      </c>
      <c r="J8" s="38">
        <f t="shared" si="2"/>
        <v>85303.489999999991</v>
      </c>
      <c r="K8" s="118">
        <f>K2*D8</f>
        <v>0</v>
      </c>
      <c r="L8" s="15">
        <f t="shared" si="3"/>
        <v>334190.48180800001</v>
      </c>
      <c r="M8" s="39">
        <f t="shared" si="4"/>
        <v>347558.10108032002</v>
      </c>
    </row>
    <row r="9" spans="1:13" x14ac:dyDescent="0.25">
      <c r="A9" s="12">
        <v>5</v>
      </c>
      <c r="B9" s="13">
        <v>5</v>
      </c>
      <c r="C9" s="14" t="s">
        <v>64</v>
      </c>
      <c r="D9" s="17"/>
      <c r="E9" s="41">
        <v>126903.048</v>
      </c>
      <c r="F9" s="15">
        <f>E9</f>
        <v>126903.048</v>
      </c>
      <c r="G9" s="67">
        <f t="shared" si="0"/>
        <v>0</v>
      </c>
      <c r="H9" s="70">
        <f t="shared" si="1"/>
        <v>0</v>
      </c>
      <c r="I9" s="15">
        <v>0</v>
      </c>
      <c r="J9" s="38">
        <f t="shared" si="2"/>
        <v>85303.489999999991</v>
      </c>
      <c r="K9" s="118">
        <f>K2*D9</f>
        <v>0</v>
      </c>
      <c r="L9" s="15">
        <f t="shared" si="3"/>
        <v>85303.489999999991</v>
      </c>
      <c r="M9" s="39">
        <f t="shared" si="4"/>
        <v>88715.629599999986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5">SUM(D5:D9)</f>
        <v>0</v>
      </c>
      <c r="E10" s="42">
        <f t="shared" si="5"/>
        <v>871995.98719999986</v>
      </c>
      <c r="F10" s="42">
        <f t="shared" si="5"/>
        <v>257969.91599999997</v>
      </c>
      <c r="G10" s="50">
        <f t="shared" si="5"/>
        <v>614026.07119999989</v>
      </c>
      <c r="H10" s="50">
        <f t="shared" si="5"/>
        <v>24561.042848000001</v>
      </c>
      <c r="I10" s="11">
        <f t="shared" si="5"/>
        <v>0</v>
      </c>
      <c r="J10" s="46">
        <f t="shared" si="5"/>
        <v>426517.44999999995</v>
      </c>
      <c r="K10" s="46">
        <f t="shared" si="5"/>
        <v>0</v>
      </c>
      <c r="L10" s="120"/>
      <c r="M10" s="119">
        <f t="shared" si="5"/>
        <v>1107708.7466099202</v>
      </c>
    </row>
    <row r="11" spans="1:13" ht="51.75" hidden="1" customHeight="1" x14ac:dyDescent="0.25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</row>
    <row r="12" spans="1:13" ht="14.25" customHeight="1" x14ac:dyDescent="0.25">
      <c r="M12" s="6"/>
    </row>
    <row r="13" spans="1:13" hidden="1" x14ac:dyDescent="0.25">
      <c r="C13" s="141"/>
      <c r="D13" s="141"/>
      <c r="E13" s="141"/>
      <c r="F13" s="141"/>
      <c r="G13" s="141"/>
      <c r="H13" s="141"/>
      <c r="I13" s="141"/>
      <c r="J13" s="141"/>
      <c r="K13" s="141"/>
      <c r="L13" s="141"/>
    </row>
    <row r="14" spans="1:13" hidden="1" x14ac:dyDescent="0.25">
      <c r="C14" s="141"/>
      <c r="D14" s="141"/>
      <c r="E14" s="141"/>
      <c r="F14" s="141"/>
      <c r="G14" s="141"/>
      <c r="H14" s="141"/>
      <c r="I14" s="141"/>
      <c r="J14" s="141"/>
      <c r="K14" s="141"/>
      <c r="L14" s="141"/>
    </row>
    <row r="15" spans="1:13" hidden="1" x14ac:dyDescent="0.25">
      <c r="C15" s="141"/>
      <c r="D15" s="141"/>
      <c r="E15" s="141"/>
      <c r="F15" s="141"/>
      <c r="G15" s="141"/>
      <c r="H15" s="141"/>
      <c r="I15" s="141"/>
      <c r="J15" s="141"/>
      <c r="K15" s="141"/>
      <c r="L15" s="141"/>
    </row>
    <row r="16" spans="1:13" hidden="1" x14ac:dyDescent="0.25">
      <c r="C16" s="141"/>
      <c r="D16" s="141"/>
      <c r="E16" s="141"/>
      <c r="F16" s="141"/>
      <c r="G16" s="141"/>
      <c r="H16" s="141"/>
      <c r="I16" s="141"/>
      <c r="J16" s="141"/>
      <c r="K16" s="141"/>
      <c r="L16" s="141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6844-9F76-4FEE-994B-56DA20848B8C}">
  <sheetPr>
    <pageSetUpPr fitToPage="1"/>
  </sheetPr>
  <dimension ref="A1:O24"/>
  <sheetViews>
    <sheetView topLeftCell="C3" workbookViewId="0">
      <selection activeCell="E17" sqref="E17"/>
    </sheetView>
  </sheetViews>
  <sheetFormatPr baseColWidth="10" defaultRowHeight="15" x14ac:dyDescent="0.25"/>
  <cols>
    <col min="1" max="1" width="5.28515625" style="1" hidden="1" customWidth="1"/>
    <col min="2" max="2" width="8.42578125" style="1" hidden="1" customWidth="1"/>
    <col min="3" max="3" width="18.5703125" customWidth="1"/>
    <col min="4" max="4" width="0.140625" hidden="1" customWidth="1"/>
    <col min="5" max="5" width="1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4" width="12.42578125" bestFit="1" customWidth="1"/>
    <col min="15" max="15" width="12.42578125" style="21" bestFit="1" customWidth="1"/>
  </cols>
  <sheetData>
    <row r="1" spans="1:15" x14ac:dyDescent="0.25">
      <c r="A1"/>
      <c r="B1"/>
    </row>
    <row r="2" spans="1:15" x14ac:dyDescent="0.25">
      <c r="A2"/>
      <c r="B2"/>
    </row>
    <row r="3" spans="1:15" x14ac:dyDescent="0.25">
      <c r="A3"/>
      <c r="B3"/>
      <c r="K3" t="s">
        <v>85</v>
      </c>
      <c r="M3" s="6">
        <f>E6</f>
        <v>157500.62</v>
      </c>
    </row>
    <row r="4" spans="1:15" x14ac:dyDescent="0.25">
      <c r="A4"/>
      <c r="B4"/>
      <c r="C4" s="127" t="s">
        <v>81</v>
      </c>
      <c r="D4" s="127"/>
      <c r="E4" s="129">
        <v>60418.2</v>
      </c>
      <c r="G4" t="s">
        <v>0</v>
      </c>
      <c r="H4" t="s">
        <v>1</v>
      </c>
      <c r="I4" t="s">
        <v>2</v>
      </c>
      <c r="K4" t="s">
        <v>86</v>
      </c>
      <c r="O4" s="123">
        <f>M3-K8</f>
        <v>120026.67</v>
      </c>
    </row>
    <row r="5" spans="1:15" ht="15.75" thickBot="1" x14ac:dyDescent="0.3">
      <c r="A5"/>
      <c r="B5"/>
      <c r="C5" s="33" t="s">
        <v>82</v>
      </c>
      <c r="D5" s="33"/>
      <c r="E5" s="130">
        <v>74957.89</v>
      </c>
    </row>
    <row r="6" spans="1:15" ht="15.75" thickBot="1" x14ac:dyDescent="0.3">
      <c r="A6"/>
      <c r="B6"/>
      <c r="C6" s="108" t="s">
        <v>83</v>
      </c>
      <c r="D6" s="108"/>
      <c r="E6" s="131">
        <v>157500.62</v>
      </c>
      <c r="G6" s="127">
        <v>1</v>
      </c>
      <c r="H6" s="127">
        <v>1</v>
      </c>
      <c r="I6" t="s">
        <v>62</v>
      </c>
      <c r="J6" s="127" t="s">
        <v>62</v>
      </c>
      <c r="K6" s="123">
        <f>E4/2</f>
        <v>30209.1</v>
      </c>
      <c r="L6" s="132">
        <f>O$4/5</f>
        <v>24005.333999999999</v>
      </c>
      <c r="N6" s="133">
        <f>SUM(K6:M6)</f>
        <v>54214.433999999994</v>
      </c>
    </row>
    <row r="7" spans="1:15" ht="15.75" thickBot="1" x14ac:dyDescent="0.3">
      <c r="A7"/>
      <c r="B7"/>
      <c r="C7" s="125"/>
      <c r="D7" s="125"/>
      <c r="E7" s="126">
        <f>SUM(E4:E6)</f>
        <v>292876.70999999996</v>
      </c>
      <c r="G7" s="128">
        <v>2</v>
      </c>
      <c r="H7" s="128">
        <v>2</v>
      </c>
      <c r="I7" s="128" t="s">
        <v>65</v>
      </c>
      <c r="J7" s="128" t="s">
        <v>65</v>
      </c>
      <c r="K7" s="123">
        <f>E5/2</f>
        <v>37478.945</v>
      </c>
      <c r="L7" s="132">
        <f>O$4/5</f>
        <v>24005.333999999999</v>
      </c>
      <c r="N7" s="137">
        <f t="shared" ref="N7:N10" si="0">SUM(K7:M7)</f>
        <v>61484.278999999995</v>
      </c>
    </row>
    <row r="8" spans="1:15" ht="15.75" thickBot="1" x14ac:dyDescent="0.3">
      <c r="A8"/>
      <c r="B8"/>
      <c r="G8">
        <v>3</v>
      </c>
      <c r="H8">
        <v>3</v>
      </c>
      <c r="I8" t="s">
        <v>63</v>
      </c>
      <c r="J8" t="s">
        <v>63</v>
      </c>
      <c r="K8" s="123">
        <v>37473.949999999997</v>
      </c>
      <c r="L8" s="132">
        <f t="shared" ref="L8:L11" si="1">O$4/5</f>
        <v>24005.333999999999</v>
      </c>
      <c r="N8" s="137">
        <f t="shared" si="0"/>
        <v>61479.284</v>
      </c>
    </row>
    <row r="9" spans="1:15" ht="15.75" thickBot="1" x14ac:dyDescent="0.3">
      <c r="A9"/>
      <c r="B9"/>
      <c r="G9" s="128">
        <v>4</v>
      </c>
      <c r="H9" s="128">
        <v>4</v>
      </c>
      <c r="I9" s="128" t="s">
        <v>61</v>
      </c>
      <c r="J9" s="128" t="s">
        <v>61</v>
      </c>
      <c r="K9" s="123">
        <f>E5/2</f>
        <v>37478.945</v>
      </c>
      <c r="L9" s="132">
        <f t="shared" si="1"/>
        <v>24005.333999999999</v>
      </c>
      <c r="N9" s="137">
        <f t="shared" si="0"/>
        <v>61484.278999999995</v>
      </c>
    </row>
    <row r="10" spans="1:15" ht="15" customHeight="1" thickBot="1" x14ac:dyDescent="0.3">
      <c r="A10"/>
      <c r="B10"/>
      <c r="G10" s="127">
        <v>5</v>
      </c>
      <c r="H10" s="127">
        <v>5</v>
      </c>
      <c r="I10" t="s">
        <v>64</v>
      </c>
      <c r="J10" s="127" t="s">
        <v>64</v>
      </c>
      <c r="K10" s="123">
        <f>E4/2</f>
        <v>30209.1</v>
      </c>
      <c r="L10" s="132">
        <f t="shared" si="1"/>
        <v>24005.333999999999</v>
      </c>
      <c r="N10" s="135">
        <f t="shared" si="0"/>
        <v>54214.433999999994</v>
      </c>
    </row>
    <row r="11" spans="1:15" ht="51.75" hidden="1" customHeight="1" x14ac:dyDescent="0.25">
      <c r="A11"/>
      <c r="B11"/>
      <c r="L11" s="132">
        <f t="shared" si="1"/>
        <v>24005.333999999999</v>
      </c>
      <c r="N11" s="134"/>
    </row>
    <row r="12" spans="1:15" x14ac:dyDescent="0.25">
      <c r="A12"/>
      <c r="B12"/>
      <c r="N12" s="134"/>
    </row>
    <row r="13" spans="1:15" ht="15.75" thickBot="1" x14ac:dyDescent="0.3">
      <c r="A13"/>
      <c r="B13"/>
      <c r="C13" s="138" t="s">
        <v>87</v>
      </c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4"/>
    </row>
    <row r="14" spans="1:15" ht="15.75" thickBot="1" x14ac:dyDescent="0.3">
      <c r="A14"/>
      <c r="B14"/>
      <c r="N14" s="136">
        <f>SUM(N6:N13)</f>
        <v>292876.70999999996</v>
      </c>
    </row>
    <row r="15" spans="1:15" x14ac:dyDescent="0.25">
      <c r="F15" s="6"/>
      <c r="G15" s="6"/>
    </row>
    <row r="16" spans="1:15" ht="15.75" thickBot="1" x14ac:dyDescent="0.3"/>
    <row r="17" spans="3:10" ht="30.75" customHeight="1" thickBot="1" x14ac:dyDescent="0.3">
      <c r="C17" s="121" t="s">
        <v>90</v>
      </c>
      <c r="E17" s="121" t="s">
        <v>89</v>
      </c>
      <c r="F17" s="121" t="s">
        <v>88</v>
      </c>
      <c r="H17" s="145" t="s">
        <v>91</v>
      </c>
      <c r="I17" s="146"/>
      <c r="J17" s="147"/>
    </row>
    <row r="18" spans="3:10" x14ac:dyDescent="0.25">
      <c r="C18" s="123">
        <v>0</v>
      </c>
      <c r="E18" s="6">
        <v>0</v>
      </c>
      <c r="F18" s="6">
        <f>N6</f>
        <v>54214.433999999994</v>
      </c>
      <c r="H18" s="148">
        <f>C18-E18+F18</f>
        <v>54214.433999999994</v>
      </c>
      <c r="I18" s="149"/>
      <c r="J18" s="150"/>
    </row>
    <row r="19" spans="3:10" x14ac:dyDescent="0.25">
      <c r="C19" s="123">
        <v>0</v>
      </c>
      <c r="E19" s="6">
        <v>0</v>
      </c>
      <c r="F19" s="6">
        <f t="shared" ref="F19:F22" si="2">N7</f>
        <v>61484.278999999995</v>
      </c>
      <c r="H19" s="148">
        <f t="shared" ref="H19:H22" si="3">C19-E19+F19</f>
        <v>61484.278999999995</v>
      </c>
      <c r="I19" s="149"/>
      <c r="J19" s="150"/>
    </row>
    <row r="20" spans="3:10" x14ac:dyDescent="0.25">
      <c r="C20" s="123">
        <v>0</v>
      </c>
      <c r="E20" s="6">
        <v>0</v>
      </c>
      <c r="F20" s="6">
        <f t="shared" si="2"/>
        <v>61479.284</v>
      </c>
      <c r="H20" s="148">
        <f t="shared" si="3"/>
        <v>61479.284</v>
      </c>
      <c r="I20" s="149"/>
      <c r="J20" s="150"/>
    </row>
    <row r="21" spans="3:10" x14ac:dyDescent="0.25">
      <c r="C21" s="123">
        <v>0</v>
      </c>
      <c r="E21" s="6">
        <v>0</v>
      </c>
      <c r="F21" s="6">
        <f t="shared" si="2"/>
        <v>61484.278999999995</v>
      </c>
      <c r="H21" s="148">
        <f t="shared" si="3"/>
        <v>61484.278999999995</v>
      </c>
      <c r="I21" s="149"/>
      <c r="J21" s="150"/>
    </row>
    <row r="22" spans="3:10" ht="15.75" thickBot="1" x14ac:dyDescent="0.3">
      <c r="C22" s="123">
        <v>0</v>
      </c>
      <c r="E22" s="6">
        <v>0</v>
      </c>
      <c r="F22" s="6">
        <f t="shared" si="2"/>
        <v>54214.433999999994</v>
      </c>
      <c r="H22" s="142">
        <f t="shared" si="3"/>
        <v>54214.433999999994</v>
      </c>
      <c r="I22" s="143"/>
      <c r="J22" s="144"/>
    </row>
    <row r="24" spans="3:10" x14ac:dyDescent="0.25">
      <c r="E24" s="6">
        <f>SUM(E18:E23)</f>
        <v>0</v>
      </c>
    </row>
  </sheetData>
  <mergeCells count="6">
    <mergeCell ref="H22:J22"/>
    <mergeCell ref="H17:J17"/>
    <mergeCell ref="H18:J18"/>
    <mergeCell ref="H19:J19"/>
    <mergeCell ref="H20:J20"/>
    <mergeCell ref="H21:J21"/>
  </mergeCells>
  <printOptions horizontalCentered="1" verticalCentered="1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F83D-EB65-4E23-8775-704ADF1A523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56" t="s">
        <v>24</v>
      </c>
      <c r="B1" s="157"/>
      <c r="C1" s="157"/>
      <c r="D1" s="157"/>
      <c r="E1" s="158"/>
      <c r="F1" s="88"/>
      <c r="G1" s="88"/>
    </row>
    <row r="2" spans="1:7" ht="15.75" thickBot="1" x14ac:dyDescent="0.3">
      <c r="A2" s="159" t="s">
        <v>50</v>
      </c>
      <c r="B2" s="160"/>
      <c r="C2" s="161"/>
      <c r="D2" s="162">
        <v>565</v>
      </c>
      <c r="E2" s="163"/>
      <c r="F2" s="89"/>
      <c r="G2" s="89"/>
    </row>
    <row r="3" spans="1:7" ht="15.75" thickTop="1" x14ac:dyDescent="0.25">
      <c r="A3" s="164" t="s">
        <v>0</v>
      </c>
      <c r="B3" s="164" t="s">
        <v>1</v>
      </c>
      <c r="C3" s="164" t="s">
        <v>2</v>
      </c>
      <c r="D3" s="166" t="s">
        <v>4</v>
      </c>
      <c r="E3" s="151" t="s">
        <v>51</v>
      </c>
      <c r="F3" s="151" t="s">
        <v>52</v>
      </c>
      <c r="G3" s="151" t="s">
        <v>44</v>
      </c>
    </row>
    <row r="4" spans="1:7" ht="15.75" thickBot="1" x14ac:dyDescent="0.3">
      <c r="A4" s="165"/>
      <c r="B4" s="165"/>
      <c r="C4" s="165"/>
      <c r="D4" s="167"/>
      <c r="E4" s="152"/>
      <c r="F4" s="152"/>
      <c r="G4" s="152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53"/>
      <c r="B12" s="154"/>
      <c r="C12" s="154"/>
      <c r="D12" s="154"/>
      <c r="E12" s="155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detalle y gastos</vt:lpstr>
      <vt:lpstr>prorrateo </vt:lpstr>
      <vt:lpstr>EDESUR</vt:lpstr>
      <vt:lpstr>Hoja1</vt:lpstr>
      <vt:lpstr>extraordinaria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2025-02-28T14:40:39Z</cp:lastPrinted>
  <dcterms:created xsi:type="dcterms:W3CDTF">2020-12-10T00:27:53Z</dcterms:created>
  <dcterms:modified xsi:type="dcterms:W3CDTF">2025-03-02T00:03:02Z</dcterms:modified>
</cp:coreProperties>
</file>