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Agosto\"/>
    </mc:Choice>
  </mc:AlternateContent>
  <xr:revisionPtr revIDLastSave="0" documentId="13_ncr:1_{517FEE79-3C32-463B-BD15-7B46B95F2F84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RESUMEN!$A$1:$D$121</definedName>
  </definedNames>
  <calcPr calcId="181029"/>
</workbook>
</file>

<file path=xl/calcChain.xml><?xml version="1.0" encoding="utf-8"?>
<calcChain xmlns="http://schemas.openxmlformats.org/spreadsheetml/2006/main">
  <c r="H14" i="2" l="1"/>
  <c r="C42" i="1"/>
  <c r="H17" i="2"/>
  <c r="B106" i="1"/>
  <c r="H12" i="2"/>
  <c r="H9" i="2"/>
  <c r="H20" i="2"/>
  <c r="H24" i="2"/>
  <c r="H30" i="2"/>
  <c r="H27" i="2"/>
  <c r="H28" i="2"/>
  <c r="M32" i="2" l="1"/>
  <c r="M6" i="2"/>
  <c r="C27" i="1"/>
  <c r="C32" i="1"/>
  <c r="C37" i="1"/>
  <c r="D70" i="1"/>
  <c r="J24" i="2"/>
  <c r="K24" i="2" s="1"/>
  <c r="K21" i="2"/>
  <c r="J28" i="2"/>
  <c r="K28" i="2" s="1"/>
  <c r="J31" i="2"/>
  <c r="K31" i="2" s="1"/>
  <c r="J7" i="2"/>
  <c r="K7" i="2" s="1"/>
  <c r="H25" i="2"/>
  <c r="J25" i="2" s="1"/>
  <c r="K25" i="2" s="1"/>
  <c r="H22" i="2"/>
  <c r="J22" i="2" s="1"/>
  <c r="K22" i="2" s="1"/>
  <c r="J23" i="2"/>
  <c r="K23" i="2" s="1"/>
  <c r="H29" i="2"/>
  <c r="J29" i="2" s="1"/>
  <c r="K29" i="2" s="1"/>
  <c r="H19" i="2"/>
  <c r="J19" i="2" s="1"/>
  <c r="K19" i="2" s="1"/>
  <c r="H18" i="2"/>
  <c r="J18" i="2" s="1"/>
  <c r="K18" i="2" s="1"/>
  <c r="J32" i="2"/>
  <c r="K32" i="2" s="1"/>
  <c r="H21" i="2"/>
  <c r="J26" i="2"/>
  <c r="K26" i="2" s="1"/>
  <c r="H16" i="2"/>
  <c r="J16" i="2" s="1"/>
  <c r="K16" i="2" s="1"/>
  <c r="J11" i="2"/>
  <c r="K11" i="2" s="1"/>
  <c r="D52" i="1"/>
  <c r="D53" i="1" s="1"/>
  <c r="J8" i="2"/>
  <c r="K8" i="2" s="1"/>
  <c r="J9" i="2"/>
  <c r="K9" i="2" s="1"/>
  <c r="J10" i="2"/>
  <c r="K10" i="2" s="1"/>
  <c r="J12" i="2"/>
  <c r="K12" i="2" s="1"/>
  <c r="J13" i="2"/>
  <c r="K13" i="2" s="1"/>
  <c r="J14" i="2"/>
  <c r="K14" i="2" s="1"/>
  <c r="J15" i="2"/>
  <c r="K15" i="2" s="1"/>
  <c r="J17" i="2"/>
  <c r="K17" i="2" s="1"/>
  <c r="J20" i="2"/>
  <c r="K20" i="2" s="1"/>
  <c r="J21" i="2"/>
  <c r="J27" i="2"/>
  <c r="K27" i="2" s="1"/>
  <c r="J30" i="2"/>
  <c r="K30" i="2" s="1"/>
  <c r="D38" i="1" l="1"/>
  <c r="I34" i="2"/>
  <c r="D54" i="1"/>
  <c r="H33" i="2" l="1"/>
  <c r="J33" i="2" s="1"/>
  <c r="O33" i="2" s="1"/>
  <c r="L33" i="2"/>
  <c r="M33" i="2"/>
  <c r="D62" i="1"/>
  <c r="P33" i="2" l="1"/>
  <c r="K33" i="2"/>
  <c r="D44" i="1" l="1"/>
  <c r="D48" i="1"/>
  <c r="B12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1" i="1" l="1"/>
  <c r="D86" i="1" s="1"/>
  <c r="B90" i="1" s="1"/>
  <c r="B108" i="1" s="1"/>
  <c r="B101" i="1" l="1"/>
  <c r="D66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0" i="1" s="1"/>
  <c r="F34" i="2"/>
  <c r="G34" i="2"/>
  <c r="J6" i="2" l="1"/>
  <c r="K6" i="2" s="1"/>
  <c r="B91" i="1" l="1"/>
  <c r="L34" i="2"/>
  <c r="D74" i="1" l="1"/>
  <c r="B89" i="1" l="1"/>
  <c r="B107" i="1" s="1"/>
  <c r="B109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88" i="1" l="1"/>
  <c r="N34" i="2" l="1"/>
</calcChain>
</file>

<file path=xl/sharedStrings.xml><?xml version="1.0" encoding="utf-8"?>
<sst xmlns="http://schemas.openxmlformats.org/spreadsheetml/2006/main" count="209" uniqueCount="173">
  <si>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</si>
  <si>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</si>
  <si>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</si>
  <si>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</si>
  <si>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</si>
  <si>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</si>
  <si>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</si>
  <si>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</si>
  <si>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</si>
  <si>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</si>
  <si>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</si>
  <si>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</si>
  <si>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</si>
  <si>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</si>
  <si>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</si>
  <si>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</si>
  <si>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</si>
  <si>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</si>
  <si>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</si>
  <si>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</si>
  <si>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</si>
  <si>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</si>
  <si>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</si>
  <si>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</si>
  <si>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</si>
  <si>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</si>
  <si>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</si>
  <si>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</si>
  <si>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</si>
  <si>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</si>
  <si>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</si>
  <si>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</si>
  <si>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</si>
  <si>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</si>
  <si>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</si>
  <si>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</si>
  <si>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</si>
  <si>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</si>
  <si>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</si>
  <si>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</si>
  <si>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</si>
  <si>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</si>
  <si>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</si>
  <si>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</si>
  <si>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</si>
  <si>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</si>
  <si>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</si>
  <si>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</si>
  <si>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</si>
  <si>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</si>
  <si>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</si>
  <si>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</si>
  <si>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</si>
  <si>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</si>
  <si>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</si>
  <si>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</si>
  <si>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</si>
  <si>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</si>
  <si>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</si>
  <si>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</si>
  <si>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</si>
  <si>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</si>
  <si>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</si>
  <si>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</si>
  <si>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</si>
  <si>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</si>
  <si>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</si>
  <si>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</si>
  <si>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</si>
  <si>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</si>
  <si>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</si>
  <si>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</si>
  <si>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</si>
  <si>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</si>
  <si>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</si>
  <si>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</si>
  <si>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</si>
  <si>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</si>
  <si>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</si>
  <si>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</si>
  <si>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</si>
  <si>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</si>
  <si>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</si>
  <si>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</si>
  <si>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</si>
  <si>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</si>
  <si>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</si>
  <si>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</si>
  <si>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</si>
  <si>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</si>
  <si>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</si>
  <si>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</si>
  <si>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</si>
  <si>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</si>
  <si>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</si>
  <si>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</si>
  <si>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</si>
  <si>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</si>
  <si>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</si>
  <si>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</si>
  <si>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</si>
  <si>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</si>
  <si>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</si>
  <si>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</si>
  <si>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</si>
  <si>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</si>
  <si>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</si>
  <si>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</si>
  <si>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</si>
  <si>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</si>
  <si>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</si>
  <si>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</si>
  <si>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</si>
  <si>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</si>
  <si>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</si>
  <si>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</si>
  <si>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</si>
  <si>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</si>
  <si>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</si>
  <si>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</si>
  <si>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</si>
  <si>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</si>
  <si>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</si>
  <si>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</si>
  <si>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</si>
  <si>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</si>
  <si>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</si>
  <si>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Ortega Daniel O. - CUIT 20-22388558-7 - Servicio - Fumigación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</si>
  <si>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</si>
  <si>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</si>
  <si>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</si>
  <si>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</si>
  <si>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</si>
  <si>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</si>
  <si>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</si>
  <si>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</si>
  <si>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</si>
  <si>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</si>
  <si>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</si>
  <si>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</si>
  <si>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</si>
  <si>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</si>
  <si>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</si>
  <si>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</si>
  <si>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SAC neto</t>
  </si>
  <si>
    <t>VTO 15/09</t>
  </si>
  <si>
    <t>Librería - papelera</t>
  </si>
  <si>
    <t>Transf 20/08</t>
  </si>
  <si>
    <t>Transf 03/08</t>
  </si>
  <si>
    <t>Debito 06/08</t>
  </si>
  <si>
    <t>Transf 11/08</t>
  </si>
  <si>
    <t>Debito 08/08</t>
  </si>
  <si>
    <t>Traspaso administracion anterior</t>
  </si>
  <si>
    <t>Debito 14/08</t>
  </si>
  <si>
    <t>FAGUAR - Uniforme porteria - CUIT 00-02381237-3 - Gestionado por administracion anterior, pagado por Diego y transferido a su cuenta</t>
  </si>
  <si>
    <t>Frank Matias Wallace - Mantenimiento ascensor Julio</t>
  </si>
  <si>
    <t>Frank Matias Wallace- Reparacion y reinstalacion de indicador de posicion según preupuesto aprobado</t>
  </si>
  <si>
    <t>Efectivo Administracion</t>
  </si>
  <si>
    <t>Deposito ya identificado mes anterior</t>
  </si>
  <si>
    <t>SONIA</t>
  </si>
  <si>
    <t>Colombres Sur</t>
  </si>
  <si>
    <t>Punitorios mal cobrados</t>
  </si>
  <si>
    <t>PREVISION ORDINARIA</t>
  </si>
  <si>
    <t>Transf 31/08</t>
  </si>
  <si>
    <t xml:space="preserve">Honorarios administracion RC </t>
  </si>
  <si>
    <t>Mes de julio</t>
  </si>
  <si>
    <t>Mes de agosto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</si>
  <si>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</si>
  <si>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</si>
  <si>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</si>
  <si>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Mes de JULIO</t>
  </si>
  <si>
    <t>MES QUE VIENE PENDIENTE UNA FACTURA DE TAUGE Y OTRA FACTURA QUE DEBEMOS EDITAR DE 4600</t>
  </si>
  <si>
    <t>Hay que sacarle $16,000 de punitorios debe quedar sin deuda - Pagando $319,139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</si>
</sst>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4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4" fillId="2" borderId="1" xfId="1" applyFont="1" applyFill="1" applyBorder="1"/>
    <xf numFmtId="44" fontId="23" fillId="2" borderId="1" xfId="1" applyFont="1" applyFill="1" applyBorder="1" applyAlignment="1">
      <alignment wrapText="1"/>
    </xf>
    <xf numFmtId="0" fontId="0" fillId="9" borderId="0" xfId="0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166" fontId="20" fillId="2" borderId="1" xfId="1" applyNumberFormat="1" applyFont="1" applyFill="1" applyBorder="1"/>
    <xf numFmtId="44" fontId="1" fillId="0" borderId="1" xfId="1" applyFont="1" applyBorder="1" applyAlignment="1">
      <alignment vertical="center"/>
    </xf>
    <xf numFmtId="165" fontId="0" fillId="3" borderId="0" xfId="1" applyNumberFormat="1" applyFont="1" applyFill="1" applyAlignment="1"/>
    <xf numFmtId="43" fontId="0" fillId="0" borderId="0" xfId="0" applyNumberFormat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165" fontId="14" fillId="9" borderId="1" xfId="0" applyNumberFormat="1" applyFont="1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31" workbookViewId="0">
      <selection activeCell="G43" sqref="G4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32" t="s">
        <v>122</v>
      </c>
      <c r="B1" s="124"/>
      <c r="C1" s="6"/>
      <c r="D1" s="6"/>
    </row>
    <row r="2" spans="1:4" x14ac:dyDescent="0.25">
      <c r="A2" s="125" t="s">
        <v>124</v>
      </c>
      <c r="B2" s="125"/>
      <c r="C2" s="125"/>
      <c r="D2" s="125"/>
    </row>
    <row r="3" spans="1:4" ht="16.899999999999999" customHeight="1" x14ac:dyDescent="0.25">
      <c r="A3" s="125" t="s">
        <v>123</v>
      </c>
      <c r="B3" s="125"/>
      <c r="C3" s="125"/>
      <c r="D3" s="125"/>
    </row>
    <row r="4" spans="1:4" ht="32.25" customHeight="1" x14ac:dyDescent="0.25">
      <c r="A4" s="164" t="s">
        <v>125</v>
      </c>
      <c r="B4" s="164"/>
      <c r="C4" s="126"/>
      <c r="D4" s="126"/>
    </row>
    <row r="5" spans="1:4" x14ac:dyDescent="0.25">
      <c r="A5" s="164"/>
      <c r="B5" s="164"/>
      <c r="C5" s="126"/>
      <c r="D5" s="126"/>
    </row>
    <row r="6" spans="1:4" x14ac:dyDescent="0.25">
      <c r="A6" s="164"/>
      <c r="B6" s="164"/>
      <c r="C6" s="126"/>
      <c r="D6" s="126"/>
    </row>
    <row r="7" spans="1:4" ht="27" customHeight="1" x14ac:dyDescent="0.25">
      <c r="A7" s="164"/>
      <c r="B7" s="164"/>
      <c r="C7" s="126"/>
      <c r="D7" s="126"/>
    </row>
    <row r="9" spans="1:4" x14ac:dyDescent="0.25">
      <c r="B9" s="163" t="s">
        <v>145</v>
      </c>
    </row>
    <row r="10" spans="1:4" x14ac:dyDescent="0.25">
      <c r="B10" s="163"/>
    </row>
    <row r="11" spans="1:4" x14ac:dyDescent="0.25">
      <c r="B11" s="163"/>
    </row>
    <row r="13" spans="1:4" hidden="1" x14ac:dyDescent="0.25"/>
    <row r="14" spans="1:4" ht="15" customHeight="1" x14ac:dyDescent="0.25">
      <c r="A14" s="153" t="s">
        <v>92</v>
      </c>
      <c r="B14" s="153"/>
      <c r="C14" s="153"/>
      <c r="D14" s="153"/>
    </row>
    <row r="15" spans="1:4" ht="15" customHeight="1" x14ac:dyDescent="0.25">
      <c r="A15" s="153"/>
      <c r="B15" s="153"/>
      <c r="C15" s="153"/>
      <c r="D15" s="153"/>
    </row>
    <row r="16" spans="1:4" ht="15" customHeight="1" x14ac:dyDescent="0.25">
      <c r="A16" s="153"/>
      <c r="B16" s="153"/>
      <c r="C16" s="153"/>
      <c r="D16" s="153"/>
    </row>
    <row r="17" spans="1:7" ht="53.25" customHeight="1" x14ac:dyDescent="0.25">
      <c r="A17" s="153"/>
      <c r="B17" s="153"/>
      <c r="C17" s="153"/>
      <c r="D17" s="153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132</v>
      </c>
      <c r="B23" s="5" t="s">
        <v>170</v>
      </c>
      <c r="C23" s="119">
        <v>1193249.3999999999</v>
      </c>
      <c r="D23" s="84"/>
    </row>
    <row r="24" spans="1:7" x14ac:dyDescent="0.25">
      <c r="A24" s="5" t="s">
        <v>84</v>
      </c>
      <c r="B24" s="5"/>
      <c r="C24" s="119">
        <v>-233429.42</v>
      </c>
      <c r="D24" s="84"/>
    </row>
    <row r="25" spans="1:7" x14ac:dyDescent="0.25">
      <c r="A25" s="5" t="s">
        <v>83</v>
      </c>
      <c r="B25" s="5"/>
      <c r="C25" s="119">
        <v>0.75</v>
      </c>
      <c r="D25" s="84"/>
      <c r="G25" s="14"/>
    </row>
    <row r="26" spans="1:7" x14ac:dyDescent="0.25">
      <c r="A26" s="5"/>
      <c r="B26" s="5"/>
      <c r="C26" s="119"/>
      <c r="D26" s="84"/>
      <c r="G26" s="14"/>
    </row>
    <row r="27" spans="1:7" x14ac:dyDescent="0.25">
      <c r="A27" s="50" t="s">
        <v>82</v>
      </c>
      <c r="B27" s="50"/>
      <c r="C27" s="120">
        <f>SUM(C23:C26)</f>
        <v>959820.72999999986</v>
      </c>
      <c r="D27" s="85"/>
      <c r="F27" s="161" t="s">
        <v>167</v>
      </c>
      <c r="G27" s="162"/>
    </row>
    <row r="28" spans="1:7" x14ac:dyDescent="0.25">
      <c r="A28" s="131" t="s">
        <v>133</v>
      </c>
      <c r="B28" s="5" t="s">
        <v>170</v>
      </c>
      <c r="C28" s="119">
        <v>886097.5</v>
      </c>
      <c r="D28" s="84"/>
      <c r="F28" s="161"/>
      <c r="G28" s="162"/>
    </row>
    <row r="29" spans="1:7" x14ac:dyDescent="0.25">
      <c r="A29" s="5" t="s">
        <v>81</v>
      </c>
      <c r="B29" s="5"/>
      <c r="C29" s="115">
        <v>-192726.21</v>
      </c>
      <c r="D29" s="84"/>
      <c r="G29" s="14"/>
    </row>
    <row r="30" spans="1:7" x14ac:dyDescent="0.25">
      <c r="A30" s="5" t="s">
        <v>83</v>
      </c>
      <c r="B30" s="5"/>
      <c r="C30" s="115">
        <v>0.71</v>
      </c>
      <c r="D30" s="84"/>
      <c r="G30" s="14"/>
    </row>
    <row r="31" spans="1:7" x14ac:dyDescent="0.25">
      <c r="A31" s="5" t="s">
        <v>144</v>
      </c>
      <c r="B31" s="5"/>
      <c r="C31" s="115"/>
      <c r="D31" s="84"/>
      <c r="G31" s="14"/>
    </row>
    <row r="32" spans="1:7" x14ac:dyDescent="0.25">
      <c r="A32" s="50" t="s">
        <v>82</v>
      </c>
      <c r="B32" s="50"/>
      <c r="C32" s="51">
        <f>SUM(C28:C31)</f>
        <v>693372</v>
      </c>
      <c r="D32" s="85"/>
    </row>
    <row r="33" spans="1:7" x14ac:dyDescent="0.25">
      <c r="A33" s="5" t="s">
        <v>131</v>
      </c>
      <c r="B33" s="5" t="s">
        <v>170</v>
      </c>
      <c r="C33" s="119">
        <v>1377300.26</v>
      </c>
      <c r="D33" s="130"/>
    </row>
    <row r="34" spans="1:7" x14ac:dyDescent="0.25">
      <c r="A34" s="5" t="s">
        <v>81</v>
      </c>
      <c r="B34" s="5"/>
      <c r="C34" s="119">
        <v>-299562.81</v>
      </c>
      <c r="D34" s="130"/>
    </row>
    <row r="35" spans="1:7" x14ac:dyDescent="0.25">
      <c r="A35" s="5" t="s">
        <v>83</v>
      </c>
      <c r="B35" s="5"/>
      <c r="C35" s="119">
        <v>0.55000000000000004</v>
      </c>
      <c r="D35" s="130"/>
    </row>
    <row r="36" spans="1:7" x14ac:dyDescent="0.25">
      <c r="A36" s="5"/>
      <c r="B36" s="5"/>
      <c r="C36" s="115"/>
      <c r="D36" s="130"/>
    </row>
    <row r="37" spans="1:7" x14ac:dyDescent="0.25">
      <c r="A37" s="50" t="s">
        <v>82</v>
      </c>
      <c r="B37" s="129"/>
      <c r="C37" s="51">
        <f>SUM(C33:C36)</f>
        <v>1077738</v>
      </c>
      <c r="D37" s="85"/>
    </row>
    <row r="38" spans="1:7" ht="14.25" customHeight="1" thickBot="1" x14ac:dyDescent="0.3">
      <c r="A38" s="18" t="s">
        <v>0</v>
      </c>
      <c r="B38" s="18"/>
      <c r="C38" s="20"/>
      <c r="D38" s="86">
        <f>C27+C32+C37</f>
        <v>2730930.73</v>
      </c>
      <c r="E38" s="14"/>
      <c r="F38" s="14"/>
    </row>
    <row r="39" spans="1:7" x14ac:dyDescent="0.25">
      <c r="A39" s="27" t="s">
        <v>38</v>
      </c>
      <c r="B39" s="27"/>
      <c r="C39" s="28"/>
      <c r="D39" s="87"/>
      <c r="F39" s="14"/>
    </row>
    <row r="40" spans="1:7" ht="22.5" customHeight="1" x14ac:dyDescent="0.25">
      <c r="A40" s="59" t="s">
        <v>39</v>
      </c>
      <c r="B40" s="5"/>
      <c r="C40" s="119"/>
      <c r="D40" s="88"/>
      <c r="G40" s="14"/>
    </row>
    <row r="41" spans="1:7" ht="21" customHeight="1" x14ac:dyDescent="0.25">
      <c r="A41" s="133" t="s">
        <v>134</v>
      </c>
      <c r="B41" s="123" t="s">
        <v>166</v>
      </c>
      <c r="C41" s="119">
        <v>195000</v>
      </c>
      <c r="D41" s="88" t="s">
        <v>163</v>
      </c>
      <c r="G41" s="14"/>
    </row>
    <row r="42" spans="1:7" ht="21" customHeight="1" x14ac:dyDescent="0.25">
      <c r="A42" s="133" t="s">
        <v>164</v>
      </c>
      <c r="B42" s="123" t="s">
        <v>165</v>
      </c>
      <c r="C42" s="119">
        <f>C41/2</f>
        <v>97500</v>
      </c>
      <c r="D42" s="88" t="s">
        <v>163</v>
      </c>
      <c r="G42" s="14"/>
    </row>
    <row r="43" spans="1:7" ht="21.75" customHeight="1" thickBot="1" x14ac:dyDescent="0.3">
      <c r="A43" s="133" t="s">
        <v>152</v>
      </c>
      <c r="B43" s="123"/>
      <c r="C43" s="119">
        <v>180000</v>
      </c>
      <c r="D43" s="88" t="s">
        <v>163</v>
      </c>
      <c r="G43" t="s">
        <v>171</v>
      </c>
    </row>
    <row r="44" spans="1:7" ht="15.75" thickBot="1" x14ac:dyDescent="0.3">
      <c r="A44" s="18" t="s">
        <v>34</v>
      </c>
      <c r="B44" s="18"/>
      <c r="C44" s="32"/>
      <c r="D44" s="89">
        <f>SUM(C40:C43)</f>
        <v>472500</v>
      </c>
    </row>
    <row r="45" spans="1:7" x14ac:dyDescent="0.25">
      <c r="A45" s="25" t="s">
        <v>77</v>
      </c>
      <c r="B45" s="26"/>
      <c r="C45" s="29"/>
      <c r="D45" s="61"/>
    </row>
    <row r="46" spans="1:7" s="35" customFormat="1" ht="29.25" customHeight="1" x14ac:dyDescent="0.25">
      <c r="A46" s="151" t="s">
        <v>129</v>
      </c>
      <c r="B46" s="152"/>
      <c r="C46" s="139">
        <v>175052</v>
      </c>
      <c r="D46" s="116" t="s">
        <v>153</v>
      </c>
    </row>
    <row r="47" spans="1:7" ht="30" customHeight="1" x14ac:dyDescent="0.25">
      <c r="A47" s="151" t="s">
        <v>130</v>
      </c>
      <c r="B47" s="152"/>
      <c r="C47" s="140">
        <v>4203</v>
      </c>
      <c r="D47" s="111" t="s">
        <v>149</v>
      </c>
    </row>
    <row r="48" spans="1:7" ht="15.75" thickBot="1" x14ac:dyDescent="0.3">
      <c r="A48" s="18" t="s">
        <v>1</v>
      </c>
      <c r="B48" s="18"/>
      <c r="C48" s="32"/>
      <c r="D48" s="90">
        <f>SUM(C46:C47)</f>
        <v>179255</v>
      </c>
    </row>
    <row r="49" spans="1:6" x14ac:dyDescent="0.25">
      <c r="A49" s="27" t="s">
        <v>35</v>
      </c>
      <c r="B49" s="19"/>
      <c r="C49" s="33"/>
      <c r="D49" s="91"/>
    </row>
    <row r="50" spans="1:6" x14ac:dyDescent="0.25">
      <c r="A50" s="5" t="s">
        <v>135</v>
      </c>
      <c r="B50" s="5" t="s">
        <v>170</v>
      </c>
      <c r="C50" s="31">
        <v>1494923.37</v>
      </c>
      <c r="D50" s="116" t="s">
        <v>151</v>
      </c>
      <c r="F50" s="134"/>
    </row>
    <row r="51" spans="1:6" x14ac:dyDescent="0.25">
      <c r="A51" s="5" t="s">
        <v>136</v>
      </c>
      <c r="B51" s="5" t="s">
        <v>170</v>
      </c>
      <c r="C51" s="110">
        <v>17314.93</v>
      </c>
      <c r="D51" s="116" t="s">
        <v>153</v>
      </c>
    </row>
    <row r="52" spans="1:6" x14ac:dyDescent="0.25">
      <c r="A52" s="5" t="s">
        <v>137</v>
      </c>
      <c r="B52" s="5" t="s">
        <v>170</v>
      </c>
      <c r="C52" s="110">
        <v>155834.29999999999</v>
      </c>
      <c r="D52" s="116" t="str">
        <f>D51</f>
        <v>Debito 14/08</v>
      </c>
    </row>
    <row r="53" spans="1:6" x14ac:dyDescent="0.25">
      <c r="A53" s="5" t="s">
        <v>138</v>
      </c>
      <c r="B53" s="5" t="s">
        <v>170</v>
      </c>
      <c r="C53" s="110">
        <v>299113.43</v>
      </c>
      <c r="D53" s="117" t="str">
        <f>D52</f>
        <v>Debito 14/08</v>
      </c>
    </row>
    <row r="54" spans="1:6" ht="15" customHeight="1" thickBot="1" x14ac:dyDescent="0.3">
      <c r="A54" s="18" t="s">
        <v>2</v>
      </c>
      <c r="B54" s="19"/>
      <c r="C54" s="34"/>
      <c r="D54" s="90">
        <f>SUM(C50:C53)</f>
        <v>1967186.03</v>
      </c>
    </row>
    <row r="55" spans="1:6" x14ac:dyDescent="0.25">
      <c r="A55" s="27" t="s">
        <v>37</v>
      </c>
      <c r="B55" s="19"/>
      <c r="C55" s="33"/>
      <c r="D55" s="91"/>
    </row>
    <row r="56" spans="1:6" ht="14.25" customHeight="1" x14ac:dyDescent="0.25">
      <c r="A56" t="s">
        <v>139</v>
      </c>
      <c r="B56" s="5"/>
      <c r="C56" s="110">
        <v>519920.12</v>
      </c>
      <c r="D56" s="95" t="s">
        <v>148</v>
      </c>
    </row>
    <row r="57" spans="1:6" ht="14.25" customHeight="1" x14ac:dyDescent="0.25">
      <c r="A57" s="5" t="s">
        <v>126</v>
      </c>
      <c r="B57" s="5"/>
      <c r="C57" s="110">
        <v>50410.45</v>
      </c>
      <c r="D57" s="117" t="s">
        <v>150</v>
      </c>
    </row>
    <row r="58" spans="1:6" ht="14.25" customHeight="1" x14ac:dyDescent="0.25">
      <c r="A58" s="5" t="s">
        <v>141</v>
      </c>
      <c r="B58" s="5"/>
      <c r="C58" s="110">
        <v>713548.29</v>
      </c>
      <c r="D58" s="95" t="s">
        <v>150</v>
      </c>
    </row>
    <row r="59" spans="1:6" ht="33" customHeight="1" x14ac:dyDescent="0.25">
      <c r="A59" s="151" t="s">
        <v>156</v>
      </c>
      <c r="B59" s="152"/>
      <c r="C59" s="110">
        <v>308630</v>
      </c>
      <c r="D59" s="128" t="s">
        <v>147</v>
      </c>
    </row>
    <row r="60" spans="1:6" ht="14.25" customHeight="1" x14ac:dyDescent="0.25">
      <c r="A60" s="159" t="s">
        <v>155</v>
      </c>
      <c r="B60" s="160"/>
      <c r="C60" s="110">
        <v>158501</v>
      </c>
      <c r="D60" s="128" t="s">
        <v>147</v>
      </c>
    </row>
    <row r="61" spans="1:6" x14ac:dyDescent="0.25">
      <c r="A61" s="5" t="s">
        <v>127</v>
      </c>
      <c r="B61" s="122"/>
      <c r="C61" s="110"/>
      <c r="D61" s="95"/>
    </row>
    <row r="62" spans="1:6" ht="15.75" thickBot="1" x14ac:dyDescent="0.3">
      <c r="A62" s="18" t="s">
        <v>3</v>
      </c>
      <c r="B62" s="18"/>
      <c r="C62" s="32"/>
      <c r="D62" s="90">
        <f>SUM(C56:C61)</f>
        <v>1751009.8599999999</v>
      </c>
    </row>
    <row r="63" spans="1:6" ht="15.75" thickBot="1" x14ac:dyDescent="0.3">
      <c r="A63" s="27" t="s">
        <v>36</v>
      </c>
      <c r="B63" s="18"/>
      <c r="C63" s="32"/>
      <c r="D63" s="93"/>
    </row>
    <row r="64" spans="1:6" ht="39" customHeight="1" x14ac:dyDescent="0.25">
      <c r="A64" s="141" t="s">
        <v>146</v>
      </c>
      <c r="B64" s="142"/>
      <c r="C64" s="110">
        <v>11000</v>
      </c>
      <c r="D64" s="143" t="s">
        <v>157</v>
      </c>
    </row>
    <row r="65" spans="1:6" ht="39" customHeight="1" x14ac:dyDescent="0.25">
      <c r="A65" s="157" t="s">
        <v>154</v>
      </c>
      <c r="B65" s="158"/>
      <c r="C65" s="31">
        <v>99268</v>
      </c>
      <c r="D65" s="128" t="s">
        <v>147</v>
      </c>
    </row>
    <row r="66" spans="1:6" ht="15.75" thickBot="1" x14ac:dyDescent="0.3">
      <c r="A66" s="18" t="s">
        <v>11</v>
      </c>
      <c r="B66" s="27"/>
      <c r="C66" s="25"/>
      <c r="D66" s="97">
        <f>SUM(C64:C64)</f>
        <v>11000</v>
      </c>
    </row>
    <row r="67" spans="1:6" ht="15.75" thickBot="1" x14ac:dyDescent="0.3">
      <c r="A67" s="27" t="s">
        <v>29</v>
      </c>
      <c r="B67" s="60"/>
      <c r="C67" s="20"/>
      <c r="D67" s="93"/>
    </row>
    <row r="68" spans="1:6" x14ac:dyDescent="0.25">
      <c r="A68" s="5" t="s">
        <v>140</v>
      </c>
      <c r="B68" s="5"/>
      <c r="C68" s="110">
        <v>56820.35</v>
      </c>
      <c r="D68" s="98"/>
    </row>
    <row r="69" spans="1:6" x14ac:dyDescent="0.25">
      <c r="A69" s="5" t="s">
        <v>128</v>
      </c>
      <c r="B69" s="5"/>
      <c r="C69" s="110">
        <v>115051.34</v>
      </c>
      <c r="D69" s="96"/>
    </row>
    <row r="70" spans="1:6" ht="15.75" thickBot="1" x14ac:dyDescent="0.3">
      <c r="A70" s="46" t="s">
        <v>34</v>
      </c>
      <c r="B70" s="46"/>
      <c r="C70" s="99"/>
      <c r="D70" s="90">
        <f>SUM(C68:C69)</f>
        <v>171871.69</v>
      </c>
    </row>
    <row r="71" spans="1:6" ht="15.75" thickBot="1" x14ac:dyDescent="0.3">
      <c r="A71" s="5"/>
      <c r="B71" s="5"/>
      <c r="C71" s="84"/>
      <c r="D71" s="100"/>
    </row>
    <row r="72" spans="1:6" ht="22.5" customHeight="1" thickBot="1" x14ac:dyDescent="0.3">
      <c r="A72" s="154" t="s">
        <v>162</v>
      </c>
      <c r="B72" s="155"/>
      <c r="C72" s="156"/>
      <c r="D72" s="101"/>
    </row>
    <row r="73" spans="1:6" ht="15.75" thickBot="1" x14ac:dyDescent="0.3">
      <c r="A73" s="1"/>
      <c r="C73" s="102"/>
      <c r="D73" s="103"/>
      <c r="E73" s="41"/>
    </row>
    <row r="74" spans="1:6" ht="15.75" thickBot="1" x14ac:dyDescent="0.3">
      <c r="A74" s="3" t="s">
        <v>30</v>
      </c>
      <c r="B74" s="10"/>
      <c r="C74" s="104"/>
      <c r="D74" s="105">
        <f>(SUM(D29:D72))</f>
        <v>7283753.3099999996</v>
      </c>
      <c r="E74" s="41"/>
    </row>
    <row r="75" spans="1:6" x14ac:dyDescent="0.25">
      <c r="C75" s="102"/>
      <c r="D75" s="102"/>
      <c r="F75" s="138"/>
    </row>
    <row r="76" spans="1:6" ht="15.75" thickBot="1" x14ac:dyDescent="0.3">
      <c r="C76" s="102"/>
      <c r="D76" s="102"/>
    </row>
    <row r="77" spans="1:6" x14ac:dyDescent="0.25">
      <c r="A77" s="11" t="s">
        <v>40</v>
      </c>
      <c r="B77" s="12"/>
      <c r="C77" s="106"/>
      <c r="D77" s="107"/>
    </row>
    <row r="78" spans="1:6" x14ac:dyDescent="0.25">
      <c r="A78" s="151"/>
      <c r="B78" s="152"/>
      <c r="C78" s="94"/>
      <c r="D78" s="92"/>
    </row>
    <row r="79" spans="1:6" x14ac:dyDescent="0.25">
      <c r="A79" s="151"/>
      <c r="B79" s="152"/>
      <c r="C79" s="94"/>
      <c r="D79" s="92"/>
    </row>
    <row r="80" spans="1:6" x14ac:dyDescent="0.25">
      <c r="A80" s="113"/>
      <c r="B80" s="114"/>
      <c r="C80" s="94"/>
      <c r="D80" s="92"/>
    </row>
    <row r="81" spans="1:4" x14ac:dyDescent="0.25">
      <c r="A81" s="44"/>
      <c r="B81" s="43"/>
      <c r="C81" s="52"/>
      <c r="D81" s="52">
        <f>SUM(C78:C80)</f>
        <v>0</v>
      </c>
    </row>
    <row r="82" spans="1:4" ht="15" customHeight="1" x14ac:dyDescent="0.25"/>
    <row r="83" spans="1:4" hidden="1" x14ac:dyDescent="0.25"/>
    <row r="84" spans="1:4" x14ac:dyDescent="0.25">
      <c r="A84" s="21" t="s">
        <v>41</v>
      </c>
      <c r="B84" s="21"/>
      <c r="C84" s="22"/>
      <c r="D84" s="121"/>
    </row>
    <row r="85" spans="1:4" ht="15.75" thickBot="1" x14ac:dyDescent="0.3"/>
    <row r="86" spans="1:4" ht="15.75" thickBot="1" x14ac:dyDescent="0.3">
      <c r="A86" s="3" t="s">
        <v>42</v>
      </c>
      <c r="B86" s="10"/>
      <c r="C86" s="4"/>
      <c r="D86" s="62">
        <f>D81+D84</f>
        <v>0</v>
      </c>
    </row>
    <row r="87" spans="1:4" ht="15.75" thickBot="1" x14ac:dyDescent="0.3"/>
    <row r="88" spans="1:4" ht="15.75" thickBot="1" x14ac:dyDescent="0.3">
      <c r="A88" s="82" t="s">
        <v>31</v>
      </c>
      <c r="B88" s="83">
        <f>D74</f>
        <v>7283753.3099999996</v>
      </c>
      <c r="C88" s="41"/>
    </row>
    <row r="89" spans="1:4" ht="15.75" thickBot="1" x14ac:dyDescent="0.3">
      <c r="A89" s="82" t="s">
        <v>32</v>
      </c>
      <c r="B89" s="83">
        <f>D74-D72</f>
        <v>7283753.3099999996</v>
      </c>
    </row>
    <row r="90" spans="1:4" ht="15.75" thickBot="1" x14ac:dyDescent="0.3">
      <c r="A90" s="82" t="s">
        <v>43</v>
      </c>
      <c r="B90" s="83">
        <f>D86-D84</f>
        <v>0</v>
      </c>
    </row>
    <row r="91" spans="1:4" ht="15.75" thickBot="1" x14ac:dyDescent="0.3">
      <c r="A91" s="82" t="s">
        <v>88</v>
      </c>
      <c r="B91" s="83">
        <f>D86</f>
        <v>0</v>
      </c>
    </row>
    <row r="92" spans="1:4" ht="14.25" customHeight="1" x14ac:dyDescent="0.25"/>
    <row r="93" spans="1:4" hidden="1" x14ac:dyDescent="0.25"/>
    <row r="94" spans="1:4" hidden="1" x14ac:dyDescent="0.25">
      <c r="A94" s="150"/>
      <c r="B94" s="150"/>
      <c r="C94" s="150"/>
      <c r="D94" s="150"/>
    </row>
    <row r="95" spans="1:4" hidden="1" x14ac:dyDescent="0.25">
      <c r="A95" s="150"/>
      <c r="B95" s="150"/>
      <c r="C95" s="150"/>
      <c r="D95" s="150"/>
    </row>
    <row r="96" spans="1:4" ht="38.25" hidden="1" customHeight="1" x14ac:dyDescent="0.25">
      <c r="A96" s="150"/>
      <c r="B96" s="150"/>
      <c r="C96" s="150"/>
      <c r="D96" s="150"/>
    </row>
    <row r="98" spans="1:3" x14ac:dyDescent="0.25">
      <c r="A98" s="15" t="s">
        <v>79</v>
      </c>
      <c r="B98" s="37"/>
    </row>
    <row r="99" spans="1:3" ht="25.5" customHeight="1" x14ac:dyDescent="0.25">
      <c r="A99" s="24" t="s">
        <v>33</v>
      </c>
      <c r="B99" s="118">
        <v>-298549.79999999888</v>
      </c>
    </row>
    <row r="100" spans="1:3" ht="14.25" customHeight="1" x14ac:dyDescent="0.25">
      <c r="A100" s="16" t="s">
        <v>91</v>
      </c>
      <c r="B100" s="38">
        <f>PRORRATEO!H34</f>
        <v>13720738.269999998</v>
      </c>
    </row>
    <row r="101" spans="1:3" ht="14.25" customHeight="1" x14ac:dyDescent="0.25">
      <c r="A101" s="16" t="s">
        <v>90</v>
      </c>
      <c r="B101" s="96">
        <f>B120</f>
        <v>0</v>
      </c>
    </row>
    <row r="102" spans="1:3" ht="24.75" customHeight="1" x14ac:dyDescent="0.25">
      <c r="A102" s="17" t="s">
        <v>158</v>
      </c>
      <c r="B102" s="145">
        <v>-545000</v>
      </c>
    </row>
    <row r="103" spans="1:3" ht="21.75" customHeight="1" x14ac:dyDescent="0.25">
      <c r="A103" s="17" t="s">
        <v>158</v>
      </c>
      <c r="B103" s="145">
        <v>-562800</v>
      </c>
    </row>
    <row r="104" spans="1:3" ht="21.75" customHeight="1" x14ac:dyDescent="0.25">
      <c r="A104" s="17" t="s">
        <v>158</v>
      </c>
      <c r="B104" s="145">
        <v>-400000</v>
      </c>
    </row>
    <row r="105" spans="1:3" ht="21.75" customHeight="1" x14ac:dyDescent="0.25">
      <c r="A105" s="17" t="s">
        <v>158</v>
      </c>
      <c r="B105" s="145">
        <v>-146000</v>
      </c>
    </row>
    <row r="106" spans="1:3" ht="18" customHeight="1" x14ac:dyDescent="0.25">
      <c r="A106" s="17" t="s">
        <v>161</v>
      </c>
      <c r="B106" s="145">
        <f>-16037-23540</f>
        <v>-39577</v>
      </c>
    </row>
    <row r="107" spans="1:3" x14ac:dyDescent="0.25">
      <c r="A107" s="36" t="s">
        <v>44</v>
      </c>
      <c r="B107" s="96">
        <f>-B89</f>
        <v>-7283753.3099999996</v>
      </c>
    </row>
    <row r="108" spans="1:3" x14ac:dyDescent="0.25">
      <c r="A108" s="17" t="s">
        <v>45</v>
      </c>
      <c r="B108" s="96">
        <f>-(B90)</f>
        <v>0</v>
      </c>
    </row>
    <row r="109" spans="1:3" x14ac:dyDescent="0.25">
      <c r="A109" s="23" t="s">
        <v>11</v>
      </c>
      <c r="B109" s="118">
        <f>SUM(B99:B108)</f>
        <v>4445058.1599999992</v>
      </c>
    </row>
    <row r="110" spans="1:3" ht="34.5" customHeight="1" x14ac:dyDescent="0.25">
      <c r="B110" s="39"/>
      <c r="C110" s="41"/>
    </row>
    <row r="112" spans="1:3" x14ac:dyDescent="0.25">
      <c r="A112" s="149" t="s">
        <v>78</v>
      </c>
      <c r="B112" s="149"/>
    </row>
    <row r="113" spans="1:12" ht="27.75" customHeight="1" x14ac:dyDescent="0.25">
      <c r="A113" s="149"/>
      <c r="B113" s="149"/>
    </row>
    <row r="114" spans="1:12" ht="32.25" customHeight="1" x14ac:dyDescent="0.25">
      <c r="A114" s="108"/>
      <c r="B114" s="30"/>
    </row>
    <row r="115" spans="1:12" ht="32.25" customHeight="1" x14ac:dyDescent="0.25">
      <c r="A115" s="108"/>
      <c r="B115" s="30"/>
    </row>
    <row r="116" spans="1:12" ht="32.25" customHeight="1" x14ac:dyDescent="0.25">
      <c r="A116" s="108"/>
      <c r="B116" s="30"/>
    </row>
    <row r="117" spans="1:12" ht="32.25" customHeight="1" x14ac:dyDescent="0.25">
      <c r="A117" s="108"/>
      <c r="B117" s="30"/>
    </row>
    <row r="118" spans="1:12" ht="32.25" customHeight="1" x14ac:dyDescent="0.25">
      <c r="A118" s="108"/>
      <c r="B118" s="30"/>
    </row>
    <row r="119" spans="1:12" ht="24.75" customHeight="1" x14ac:dyDescent="0.25">
      <c r="A119" s="108"/>
      <c r="B119" s="136"/>
    </row>
    <row r="120" spans="1:12" x14ac:dyDescent="0.25">
      <c r="A120" s="42" t="s">
        <v>11</v>
      </c>
      <c r="B120" s="109">
        <f>SUM(B114:B119)</f>
        <v>0</v>
      </c>
    </row>
    <row r="121" spans="1:12" x14ac:dyDescent="0.25">
      <c r="L121" s="8"/>
    </row>
    <row r="122" spans="1:12" ht="15" customHeight="1" x14ac:dyDescent="0.25">
      <c r="A122" s="148"/>
      <c r="B122" s="148"/>
      <c r="C122" s="148"/>
      <c r="D122" s="148"/>
    </row>
    <row r="123" spans="1:12" x14ac:dyDescent="0.25">
      <c r="A123" s="148"/>
      <c r="B123" s="148"/>
      <c r="C123" s="148"/>
      <c r="D123" s="148"/>
    </row>
    <row r="124" spans="1:12" x14ac:dyDescent="0.25">
      <c r="A124" s="148"/>
      <c r="B124" s="148"/>
      <c r="C124" s="148"/>
      <c r="D124" s="148"/>
    </row>
    <row r="125" spans="1:12" x14ac:dyDescent="0.25">
      <c r="A125" s="148"/>
      <c r="B125" s="148"/>
      <c r="C125" s="148"/>
      <c r="D125" s="148"/>
    </row>
  </sheetData>
  <mergeCells count="15">
    <mergeCell ref="F27:G28"/>
    <mergeCell ref="B9:B11"/>
    <mergeCell ref="A46:B46"/>
    <mergeCell ref="A4:B7"/>
    <mergeCell ref="A47:B47"/>
    <mergeCell ref="A59:B59"/>
    <mergeCell ref="A14:D17"/>
    <mergeCell ref="A72:C72"/>
    <mergeCell ref="A65:B65"/>
    <mergeCell ref="A60:B60"/>
    <mergeCell ref="A122:D125"/>
    <mergeCell ref="A112:B113"/>
    <mergeCell ref="A94:D96"/>
    <mergeCell ref="A79:B79"/>
    <mergeCell ref="A78:B7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17" zoomScaleNormal="100" workbookViewId="0">
      <selection activeCell="O6" sqref="O6:O3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71" t="s">
        <v>169</v>
      </c>
      <c r="C1" s="171"/>
      <c r="D1" s="171"/>
      <c r="E1" s="171"/>
      <c r="F1" s="171"/>
      <c r="G1" s="171"/>
      <c r="H1" s="171"/>
      <c r="I1" s="171"/>
      <c r="J1" s="171"/>
      <c r="K1" s="171"/>
      <c r="L1" s="6"/>
      <c r="M1" s="6"/>
      <c r="N1" s="6"/>
      <c r="O1" s="6"/>
      <c r="P1" s="6"/>
    </row>
    <row r="2" spans="1:19" ht="33.75" customHeight="1" x14ac:dyDescent="0.25">
      <c r="A2" s="6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7" t="s">
        <v>4</v>
      </c>
      <c r="M2" s="6"/>
      <c r="N2" s="6"/>
      <c r="O2" s="137">
        <v>7000000</v>
      </c>
      <c r="P2" s="48"/>
      <c r="Q2" s="14"/>
    </row>
    <row r="3" spans="1:19" ht="15.75" customHeight="1" thickBot="1" x14ac:dyDescent="0.3">
      <c r="A3" s="6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7" t="s">
        <v>93</v>
      </c>
      <c r="M3" s="6"/>
      <c r="N3" s="6"/>
      <c r="O3" s="49"/>
      <c r="P3" s="53"/>
    </row>
    <row r="4" spans="1:19" x14ac:dyDescent="0.25">
      <c r="A4" s="165" t="s">
        <v>5</v>
      </c>
      <c r="B4" s="167" t="s">
        <v>6</v>
      </c>
      <c r="C4" s="169" t="s">
        <v>7</v>
      </c>
      <c r="D4" s="169" t="s">
        <v>8</v>
      </c>
      <c r="E4" s="169" t="s">
        <v>48</v>
      </c>
      <c r="F4" s="169" t="s">
        <v>28</v>
      </c>
      <c r="G4" s="169" t="s">
        <v>89</v>
      </c>
      <c r="H4" s="169" t="s">
        <v>9</v>
      </c>
      <c r="I4" s="169" t="s">
        <v>49</v>
      </c>
      <c r="J4" s="178" t="s">
        <v>50</v>
      </c>
      <c r="K4" s="176" t="s">
        <v>47</v>
      </c>
      <c r="L4" s="176" t="s">
        <v>10</v>
      </c>
      <c r="M4" s="176" t="s">
        <v>46</v>
      </c>
      <c r="N4" s="181" t="s">
        <v>87</v>
      </c>
      <c r="O4" s="56" t="s">
        <v>86</v>
      </c>
      <c r="P4" s="173" t="s">
        <v>85</v>
      </c>
      <c r="S4" s="41"/>
    </row>
    <row r="5" spans="1:19" ht="15.75" customHeight="1" x14ac:dyDescent="0.25">
      <c r="A5" s="166"/>
      <c r="B5" s="168"/>
      <c r="C5" s="170"/>
      <c r="D5" s="170"/>
      <c r="E5" s="175"/>
      <c r="F5" s="170"/>
      <c r="G5" s="170"/>
      <c r="H5" s="170"/>
      <c r="I5" s="175"/>
      <c r="J5" s="179"/>
      <c r="K5" s="177"/>
      <c r="L5" s="180"/>
      <c r="M5" s="177"/>
      <c r="N5" s="182"/>
      <c r="O5" s="54" t="str">
        <f>RESUMEN!B9</f>
        <v>VTO 15/09</v>
      </c>
      <c r="P5" s="174"/>
    </row>
    <row r="6" spans="1:19" ht="17.100000000000001" customHeight="1" x14ac:dyDescent="0.25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553400.01</v>
      </c>
      <c r="H6" s="65">
        <v>553400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319900.00000000006</v>
      </c>
      <c r="N6" s="69">
        <v>5000</v>
      </c>
      <c r="O6" s="70">
        <f t="shared" ref="O6:O33" si="0">ROUND(SUM(J6:N6),0) + Q6</f>
        <v>324900.01</v>
      </c>
      <c r="P6" s="71">
        <f t="shared" ref="P6:P33" si="1">ROUND(O6*3%,0) + O6</f>
        <v>334647.01</v>
      </c>
      <c r="Q6" s="41">
        <v>0.01</v>
      </c>
    </row>
    <row r="7" spans="1:19" ht="17.100000000000001" customHeight="1" x14ac:dyDescent="0.25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192203</v>
      </c>
      <c r="H7" s="65">
        <v>192203</v>
      </c>
      <c r="I7" s="66"/>
      <c r="J7" s="67">
        <f t="shared" ref="J7:J31" si="2">G7-H7</f>
        <v>0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7:M33" si="5">O$2*F7%</f>
        <v>214900</v>
      </c>
      <c r="N7" s="69">
        <v>5000</v>
      </c>
      <c r="O7" s="70">
        <f t="shared" si="0"/>
        <v>219900.02</v>
      </c>
      <c r="P7" s="71">
        <f t="shared" si="1"/>
        <v>226497.02</v>
      </c>
      <c r="Q7" s="41">
        <f>Q6+0.01</f>
        <v>0.02</v>
      </c>
      <c r="R7" s="41"/>
    </row>
    <row r="8" spans="1:19" ht="32.25" customHeight="1" x14ac:dyDescent="0.25">
      <c r="A8" s="5" t="s">
        <v>13</v>
      </c>
      <c r="B8" s="57">
        <v>3</v>
      </c>
      <c r="C8" s="57" t="s">
        <v>53</v>
      </c>
      <c r="D8" s="146" t="s">
        <v>168</v>
      </c>
      <c r="E8" s="58"/>
      <c r="F8" s="63">
        <v>4.55</v>
      </c>
      <c r="G8" s="64">
        <v>2315921.0299999998</v>
      </c>
      <c r="H8" s="65">
        <v>546000</v>
      </c>
      <c r="I8" s="66"/>
      <c r="J8" s="67">
        <f t="shared" si="2"/>
        <v>1769921.0299999998</v>
      </c>
      <c r="K8" s="67">
        <f t="shared" si="3"/>
        <v>52212.670384999998</v>
      </c>
      <c r="L8" s="68">
        <f t="shared" si="4"/>
        <v>0</v>
      </c>
      <c r="M8" s="68">
        <f t="shared" si="5"/>
        <v>318500</v>
      </c>
      <c r="N8" s="69"/>
      <c r="O8" s="70">
        <f t="shared" si="0"/>
        <v>2140634.0299999998</v>
      </c>
      <c r="P8" s="71">
        <f t="shared" si="1"/>
        <v>2204853.0299999998</v>
      </c>
      <c r="Q8" s="41">
        <f t="shared" ref="Q8:Q32" si="6">Q7+0.01</f>
        <v>0.03</v>
      </c>
    </row>
    <row r="9" spans="1:19" ht="17.100000000000001" customHeight="1" x14ac:dyDescent="0.25">
      <c r="A9" s="5" t="s">
        <v>14</v>
      </c>
      <c r="B9" s="57">
        <v>4</v>
      </c>
      <c r="C9" s="57" t="s">
        <v>54</v>
      </c>
      <c r="D9" s="57" t="s">
        <v>97</v>
      </c>
      <c r="E9" s="58"/>
      <c r="F9" s="63">
        <v>3.05</v>
      </c>
      <c r="G9" s="64">
        <v>318902.03999999998</v>
      </c>
      <c r="H9" s="65">
        <f>300000+100000</f>
        <v>400000</v>
      </c>
      <c r="I9" s="66"/>
      <c r="J9" s="67">
        <f t="shared" si="2"/>
        <v>-81097.960000000021</v>
      </c>
      <c r="K9" s="67">
        <f t="shared" si="3"/>
        <v>0</v>
      </c>
      <c r="L9" s="68">
        <f t="shared" si="4"/>
        <v>0</v>
      </c>
      <c r="M9" s="68">
        <f t="shared" si="5"/>
        <v>213500</v>
      </c>
      <c r="N9" s="69">
        <v>0</v>
      </c>
      <c r="O9" s="70">
        <f t="shared" si="0"/>
        <v>132402.04</v>
      </c>
      <c r="P9" s="71">
        <f t="shared" si="1"/>
        <v>136374.04</v>
      </c>
      <c r="Q9" s="41">
        <f t="shared" si="6"/>
        <v>0.04</v>
      </c>
      <c r="R9" t="s">
        <v>159</v>
      </c>
      <c r="S9" s="41"/>
    </row>
    <row r="10" spans="1:19" ht="17.100000000000001" customHeight="1" x14ac:dyDescent="0.25">
      <c r="A10" s="5" t="s">
        <v>14</v>
      </c>
      <c r="B10" s="57">
        <v>5</v>
      </c>
      <c r="C10" s="57" t="s">
        <v>55</v>
      </c>
      <c r="D10" s="57" t="s">
        <v>98</v>
      </c>
      <c r="E10" s="58"/>
      <c r="F10" s="63">
        <v>4.55</v>
      </c>
      <c r="G10" s="64">
        <v>541848.05000000005</v>
      </c>
      <c r="H10" s="65">
        <v>542000</v>
      </c>
      <c r="I10" s="66"/>
      <c r="J10" s="67">
        <f t="shared" si="2"/>
        <v>-151.94999999995343</v>
      </c>
      <c r="K10" s="67">
        <f t="shared" si="3"/>
        <v>0</v>
      </c>
      <c r="L10" s="68">
        <f t="shared" si="4"/>
        <v>0</v>
      </c>
      <c r="M10" s="68">
        <f t="shared" si="5"/>
        <v>318500</v>
      </c>
      <c r="N10" s="69">
        <v>0</v>
      </c>
      <c r="O10" s="70">
        <f t="shared" si="0"/>
        <v>318348.05</v>
      </c>
      <c r="P10" s="71">
        <f t="shared" si="1"/>
        <v>327898.05</v>
      </c>
      <c r="Q10" s="41">
        <f t="shared" si="6"/>
        <v>0.05</v>
      </c>
      <c r="S10" s="41"/>
    </row>
    <row r="11" spans="1:19" ht="17.100000000000001" customHeight="1" x14ac:dyDescent="0.25">
      <c r="A11" s="5" t="s">
        <v>15</v>
      </c>
      <c r="B11" s="57">
        <v>6</v>
      </c>
      <c r="C11" s="57" t="s">
        <v>56</v>
      </c>
      <c r="D11" s="57" t="s">
        <v>99</v>
      </c>
      <c r="E11" s="57"/>
      <c r="F11" s="63">
        <v>3.05</v>
      </c>
      <c r="G11" s="64">
        <v>371000.06</v>
      </c>
      <c r="H11" s="65">
        <v>382130.06</v>
      </c>
      <c r="I11" s="66"/>
      <c r="J11" s="67">
        <f t="shared" si="2"/>
        <v>-11130</v>
      </c>
      <c r="K11" s="67">
        <f t="shared" si="3"/>
        <v>0</v>
      </c>
      <c r="L11" s="68">
        <f t="shared" si="4"/>
        <v>0</v>
      </c>
      <c r="M11" s="68">
        <f t="shared" si="5"/>
        <v>213500</v>
      </c>
      <c r="N11" s="69">
        <v>5000</v>
      </c>
      <c r="O11" s="70">
        <f t="shared" si="0"/>
        <v>207370.06</v>
      </c>
      <c r="P11" s="71">
        <f t="shared" si="1"/>
        <v>213591.06</v>
      </c>
      <c r="Q11" s="41">
        <f t="shared" si="6"/>
        <v>6.0000000000000005E-2</v>
      </c>
    </row>
    <row r="12" spans="1:19" ht="17.100000000000001" customHeight="1" x14ac:dyDescent="0.25">
      <c r="A12" s="5" t="s">
        <v>15</v>
      </c>
      <c r="B12" s="57">
        <v>7</v>
      </c>
      <c r="C12" s="144" t="s">
        <v>57</v>
      </c>
      <c r="D12" s="144" t="s">
        <v>100</v>
      </c>
      <c r="E12" s="57"/>
      <c r="F12" s="63">
        <v>4.55</v>
      </c>
      <c r="G12" s="64">
        <v>1105676.07</v>
      </c>
      <c r="H12" s="65">
        <f>400000+144000+545000</f>
        <v>1089000</v>
      </c>
      <c r="I12" s="66"/>
      <c r="J12" s="67">
        <f t="shared" si="2"/>
        <v>16676.070000000065</v>
      </c>
      <c r="K12" s="67">
        <f t="shared" si="3"/>
        <v>491.94406500000196</v>
      </c>
      <c r="L12" s="68">
        <f t="shared" si="4"/>
        <v>0</v>
      </c>
      <c r="M12" s="68">
        <f t="shared" si="5"/>
        <v>318500</v>
      </c>
      <c r="N12" s="69">
        <v>0</v>
      </c>
      <c r="O12" s="70">
        <f t="shared" si="0"/>
        <v>335668.07</v>
      </c>
      <c r="P12" s="71">
        <f t="shared" si="1"/>
        <v>345738.07</v>
      </c>
      <c r="Q12" s="41">
        <f t="shared" si="6"/>
        <v>7.0000000000000007E-2</v>
      </c>
      <c r="R12" s="138"/>
      <c r="S12" s="134"/>
    </row>
    <row r="13" spans="1:19" ht="17.100000000000001" customHeight="1" x14ac:dyDescent="0.25">
      <c r="A13" s="5" t="s">
        <v>16</v>
      </c>
      <c r="B13" s="57">
        <v>8</v>
      </c>
      <c r="C13" s="57" t="s">
        <v>58</v>
      </c>
      <c r="D13" s="57" t="s">
        <v>101</v>
      </c>
      <c r="E13" s="58"/>
      <c r="F13" s="63">
        <v>3.05</v>
      </c>
      <c r="G13" s="64">
        <v>742797.08</v>
      </c>
      <c r="H13" s="65">
        <v>366000</v>
      </c>
      <c r="I13" s="66"/>
      <c r="J13" s="67">
        <f t="shared" si="2"/>
        <v>376797.07999999996</v>
      </c>
      <c r="K13" s="67">
        <f t="shared" si="3"/>
        <v>11115.513859999999</v>
      </c>
      <c r="L13" s="68">
        <f t="shared" si="4"/>
        <v>0</v>
      </c>
      <c r="M13" s="68">
        <f t="shared" si="5"/>
        <v>213500</v>
      </c>
      <c r="N13" s="69">
        <v>0</v>
      </c>
      <c r="O13" s="70">
        <f t="shared" si="0"/>
        <v>601413.07999999996</v>
      </c>
      <c r="P13" s="71">
        <f t="shared" si="1"/>
        <v>619455.07999999996</v>
      </c>
      <c r="Q13" s="41">
        <f t="shared" si="6"/>
        <v>0.08</v>
      </c>
    </row>
    <row r="14" spans="1:19" ht="17.100000000000001" customHeight="1" x14ac:dyDescent="0.25">
      <c r="A14" s="5" t="s">
        <v>16</v>
      </c>
      <c r="B14" s="57">
        <v>9</v>
      </c>
      <c r="C14" s="57" t="s">
        <v>59</v>
      </c>
      <c r="D14" s="57" t="s">
        <v>102</v>
      </c>
      <c r="E14" s="58"/>
      <c r="F14" s="63">
        <v>4.5599999999999996</v>
      </c>
      <c r="G14" s="64">
        <v>1109005.0900000001</v>
      </c>
      <c r="H14" s="66">
        <f>400000+146000+547000</f>
        <v>1093000</v>
      </c>
      <c r="I14" s="66"/>
      <c r="J14" s="147">
        <f t="shared" si="2"/>
        <v>16005.090000000084</v>
      </c>
      <c r="K14" s="67">
        <f t="shared" si="3"/>
        <v>472.15015500000248</v>
      </c>
      <c r="L14" s="68">
        <f t="shared" si="4"/>
        <v>0</v>
      </c>
      <c r="M14" s="68">
        <f t="shared" si="5"/>
        <v>319199.99999999994</v>
      </c>
      <c r="N14" s="69">
        <v>0</v>
      </c>
      <c r="O14" s="70">
        <f t="shared" si="0"/>
        <v>335677.09</v>
      </c>
      <c r="P14" s="71">
        <f t="shared" si="1"/>
        <v>345747.09</v>
      </c>
      <c r="Q14" s="41">
        <f t="shared" si="6"/>
        <v>0.09</v>
      </c>
      <c r="S14" t="s">
        <v>172</v>
      </c>
    </row>
    <row r="15" spans="1:19" ht="17.100000000000001" customHeight="1" x14ac:dyDescent="0.25">
      <c r="A15" s="5" t="s">
        <v>17</v>
      </c>
      <c r="B15" s="57">
        <v>10</v>
      </c>
      <c r="C15" s="57" t="s">
        <v>60</v>
      </c>
      <c r="D15" s="57" t="s">
        <v>103</v>
      </c>
      <c r="E15" s="58"/>
      <c r="F15" s="63">
        <v>3.05</v>
      </c>
      <c r="G15" s="64">
        <v>365999.1</v>
      </c>
      <c r="H15" s="65">
        <v>365999.1</v>
      </c>
      <c r="I15" s="66"/>
      <c r="J15" s="67">
        <f t="shared" si="2"/>
        <v>0</v>
      </c>
      <c r="K15" s="67">
        <f t="shared" si="3"/>
        <v>0</v>
      </c>
      <c r="L15" s="68">
        <f t="shared" si="4"/>
        <v>0</v>
      </c>
      <c r="M15" s="68">
        <f t="shared" si="5"/>
        <v>213500</v>
      </c>
      <c r="N15" s="69">
        <v>0</v>
      </c>
      <c r="O15" s="70">
        <f t="shared" si="0"/>
        <v>213500.1</v>
      </c>
      <c r="P15" s="71">
        <f t="shared" si="1"/>
        <v>219905.1</v>
      </c>
      <c r="Q15" s="41">
        <f t="shared" si="6"/>
        <v>9.9999999999999992E-2</v>
      </c>
    </row>
    <row r="16" spans="1:19" ht="17.100000000000001" customHeight="1" x14ac:dyDescent="0.25">
      <c r="A16" s="5" t="s">
        <v>17</v>
      </c>
      <c r="B16" s="57">
        <v>11</v>
      </c>
      <c r="C16" s="57" t="s">
        <v>61</v>
      </c>
      <c r="D16" s="57" t="s">
        <v>104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318500</v>
      </c>
      <c r="N16" s="69">
        <v>0</v>
      </c>
      <c r="O16" s="70">
        <f t="shared" si="0"/>
        <v>318500.11</v>
      </c>
      <c r="P16" s="71">
        <f t="shared" si="1"/>
        <v>328055.11</v>
      </c>
      <c r="Q16" s="41">
        <f t="shared" si="6"/>
        <v>0.10999999999999999</v>
      </c>
    </row>
    <row r="17" spans="1:19" ht="17.100000000000001" customHeight="1" x14ac:dyDescent="0.25">
      <c r="A17" s="5" t="s">
        <v>18</v>
      </c>
      <c r="B17" s="57">
        <v>12</v>
      </c>
      <c r="C17" s="57" t="s">
        <v>62</v>
      </c>
      <c r="D17" s="57" t="s">
        <v>105</v>
      </c>
      <c r="E17" s="58"/>
      <c r="F17" s="63">
        <v>3.05</v>
      </c>
      <c r="G17" s="64">
        <v>495641.12</v>
      </c>
      <c r="H17" s="65">
        <f>200000+300000</f>
        <v>500000</v>
      </c>
      <c r="I17" s="66"/>
      <c r="J17" s="67">
        <f t="shared" si="2"/>
        <v>-4358.8800000000047</v>
      </c>
      <c r="K17" s="67">
        <f t="shared" si="3"/>
        <v>0</v>
      </c>
      <c r="L17" s="68">
        <f t="shared" si="4"/>
        <v>0</v>
      </c>
      <c r="M17" s="68">
        <f t="shared" si="5"/>
        <v>213500</v>
      </c>
      <c r="N17" s="69">
        <v>0</v>
      </c>
      <c r="O17" s="70">
        <f t="shared" si="0"/>
        <v>209141.12</v>
      </c>
      <c r="P17" s="71">
        <f t="shared" si="1"/>
        <v>215415.12</v>
      </c>
      <c r="Q17" s="41">
        <f t="shared" si="6"/>
        <v>0.11999999999999998</v>
      </c>
    </row>
    <row r="18" spans="1:19" ht="17.100000000000001" customHeight="1" x14ac:dyDescent="0.25">
      <c r="A18" s="5" t="s">
        <v>18</v>
      </c>
      <c r="B18" s="57">
        <v>13</v>
      </c>
      <c r="C18" s="57" t="s">
        <v>63</v>
      </c>
      <c r="D18" s="57" t="s">
        <v>106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318500</v>
      </c>
      <c r="N18" s="69">
        <v>0</v>
      </c>
      <c r="O18" s="70">
        <f t="shared" si="0"/>
        <v>318500.13</v>
      </c>
      <c r="P18" s="71">
        <f t="shared" si="1"/>
        <v>328055.13</v>
      </c>
      <c r="Q18" s="41">
        <f t="shared" si="6"/>
        <v>0.12999999999999998</v>
      </c>
    </row>
    <row r="19" spans="1:19" ht="17.100000000000001" customHeight="1" x14ac:dyDescent="0.25">
      <c r="A19" s="5" t="s">
        <v>19</v>
      </c>
      <c r="B19" s="57">
        <v>14</v>
      </c>
      <c r="C19" s="57" t="s">
        <v>64</v>
      </c>
      <c r="D19" s="57" t="s">
        <v>107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222600</v>
      </c>
      <c r="N19" s="69">
        <v>0</v>
      </c>
      <c r="O19" s="70">
        <f t="shared" si="0"/>
        <v>222600.14</v>
      </c>
      <c r="P19" s="71">
        <f t="shared" si="1"/>
        <v>229278.14</v>
      </c>
      <c r="Q19" s="41">
        <f t="shared" si="6"/>
        <v>0.13999999999999999</v>
      </c>
    </row>
    <row r="20" spans="1:19" ht="17.100000000000001" customHeight="1" x14ac:dyDescent="0.25">
      <c r="A20" s="5" t="s">
        <v>19</v>
      </c>
      <c r="B20" s="57">
        <v>15</v>
      </c>
      <c r="C20" s="57" t="s">
        <v>65</v>
      </c>
      <c r="D20" s="57" t="s">
        <v>108</v>
      </c>
      <c r="E20" s="58"/>
      <c r="F20" s="63">
        <v>4.55</v>
      </c>
      <c r="G20" s="64">
        <v>518700.15</v>
      </c>
      <c r="H20" s="65">
        <f>G20</f>
        <v>518700.15</v>
      </c>
      <c r="I20" s="66"/>
      <c r="J20" s="67">
        <f t="shared" si="2"/>
        <v>0</v>
      </c>
      <c r="K20" s="67">
        <f t="shared" si="3"/>
        <v>0</v>
      </c>
      <c r="L20" s="68">
        <f t="shared" si="4"/>
        <v>0</v>
      </c>
      <c r="M20" s="68">
        <f t="shared" si="5"/>
        <v>318500</v>
      </c>
      <c r="N20" s="69">
        <v>0</v>
      </c>
      <c r="O20" s="70">
        <f t="shared" si="0"/>
        <v>318500.15000000002</v>
      </c>
      <c r="P20" s="71">
        <f t="shared" si="1"/>
        <v>328055.15000000002</v>
      </c>
      <c r="Q20" s="41">
        <f t="shared" si="6"/>
        <v>0.15</v>
      </c>
    </row>
    <row r="21" spans="1:19" ht="17.100000000000001" customHeight="1" x14ac:dyDescent="0.25">
      <c r="A21" s="5" t="s">
        <v>20</v>
      </c>
      <c r="B21" s="57">
        <v>16</v>
      </c>
      <c r="C21" s="57" t="s">
        <v>66</v>
      </c>
      <c r="D21" s="57" t="s">
        <v>109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221900</v>
      </c>
      <c r="N21" s="69">
        <v>0</v>
      </c>
      <c r="O21" s="70">
        <f t="shared" si="0"/>
        <v>221900.16</v>
      </c>
      <c r="P21" s="71">
        <f t="shared" si="1"/>
        <v>228557.16</v>
      </c>
      <c r="Q21" s="41">
        <f t="shared" si="6"/>
        <v>0.16</v>
      </c>
      <c r="S21" s="40"/>
    </row>
    <row r="22" spans="1:19" ht="17.100000000000001" customHeight="1" x14ac:dyDescent="0.25">
      <c r="A22" s="5" t="s">
        <v>20</v>
      </c>
      <c r="B22" s="57">
        <v>17</v>
      </c>
      <c r="C22" s="57" t="s">
        <v>67</v>
      </c>
      <c r="D22" s="57" t="s">
        <v>110</v>
      </c>
      <c r="E22" s="58"/>
      <c r="F22" s="63">
        <v>4.55</v>
      </c>
      <c r="G22" s="65">
        <v>562380.17000000004</v>
      </c>
      <c r="H22" s="65">
        <f>G22</f>
        <v>562380.17000000004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318500</v>
      </c>
      <c r="N22" s="69">
        <v>0</v>
      </c>
      <c r="O22" s="70">
        <f t="shared" si="0"/>
        <v>318500.17</v>
      </c>
      <c r="P22" s="71">
        <f t="shared" si="1"/>
        <v>328055.17</v>
      </c>
      <c r="Q22" s="41">
        <f t="shared" si="6"/>
        <v>0.17</v>
      </c>
    </row>
    <row r="23" spans="1:19" ht="17.100000000000001" customHeight="1" x14ac:dyDescent="0.25">
      <c r="A23" s="5" t="s">
        <v>21</v>
      </c>
      <c r="B23" s="57">
        <v>18</v>
      </c>
      <c r="C23" s="57" t="s">
        <v>68</v>
      </c>
      <c r="D23" s="57" t="s">
        <v>111</v>
      </c>
      <c r="E23" s="57"/>
      <c r="F23" s="63">
        <v>3.17</v>
      </c>
      <c r="G23" s="64">
        <v>380400.18</v>
      </c>
      <c r="H23" s="65">
        <v>391312.18</v>
      </c>
      <c r="I23" s="66"/>
      <c r="J23" s="67">
        <f t="shared" si="2"/>
        <v>-10912</v>
      </c>
      <c r="K23" s="67">
        <f t="shared" si="3"/>
        <v>0</v>
      </c>
      <c r="L23" s="68">
        <f t="shared" si="4"/>
        <v>0</v>
      </c>
      <c r="M23" s="68">
        <f t="shared" si="5"/>
        <v>221900</v>
      </c>
      <c r="N23" s="69">
        <v>0</v>
      </c>
      <c r="O23" s="70">
        <f t="shared" si="0"/>
        <v>210988.18</v>
      </c>
      <c r="P23" s="71">
        <f t="shared" si="1"/>
        <v>217318.18</v>
      </c>
      <c r="Q23" s="41">
        <f t="shared" si="6"/>
        <v>0.18000000000000002</v>
      </c>
    </row>
    <row r="24" spans="1:19" ht="17.100000000000001" customHeight="1" x14ac:dyDescent="0.25">
      <c r="A24" s="5" t="s">
        <v>21</v>
      </c>
      <c r="B24" s="57">
        <v>19</v>
      </c>
      <c r="C24" s="57" t="s">
        <v>69</v>
      </c>
      <c r="D24" s="57" t="s">
        <v>112</v>
      </c>
      <c r="E24" s="58"/>
      <c r="F24" s="63">
        <v>4.55</v>
      </c>
      <c r="G24" s="64">
        <v>546000.18999999994</v>
      </c>
      <c r="H24" s="135">
        <f>G24</f>
        <v>546000.18999999994</v>
      </c>
      <c r="I24" s="66"/>
      <c r="J24" s="67">
        <f t="shared" si="2"/>
        <v>0</v>
      </c>
      <c r="K24" s="67">
        <f t="shared" si="3"/>
        <v>0</v>
      </c>
      <c r="L24" s="68">
        <f t="shared" si="4"/>
        <v>0</v>
      </c>
      <c r="M24" s="68">
        <f t="shared" si="5"/>
        <v>318500</v>
      </c>
      <c r="N24" s="69">
        <v>0</v>
      </c>
      <c r="O24" s="70">
        <f t="shared" si="0"/>
        <v>318500.19</v>
      </c>
      <c r="P24" s="71">
        <f t="shared" si="1"/>
        <v>328055.19</v>
      </c>
      <c r="Q24" s="41">
        <f t="shared" si="6"/>
        <v>0.19000000000000003</v>
      </c>
    </row>
    <row r="25" spans="1:19" ht="17.100000000000001" customHeight="1" x14ac:dyDescent="0.25">
      <c r="A25" s="5" t="s">
        <v>22</v>
      </c>
      <c r="B25" s="57">
        <v>20</v>
      </c>
      <c r="C25" s="57" t="s">
        <v>70</v>
      </c>
      <c r="D25" s="57" t="s">
        <v>113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221900</v>
      </c>
      <c r="N25" s="69">
        <v>0</v>
      </c>
      <c r="O25" s="70">
        <f t="shared" si="0"/>
        <v>221900.2</v>
      </c>
      <c r="P25" s="71">
        <f t="shared" si="1"/>
        <v>228557.2</v>
      </c>
      <c r="Q25" s="41">
        <f t="shared" si="6"/>
        <v>0.20000000000000004</v>
      </c>
      <c r="S25" t="s">
        <v>142</v>
      </c>
    </row>
    <row r="26" spans="1:19" ht="17.100000000000001" customHeight="1" x14ac:dyDescent="0.25">
      <c r="A26" s="5" t="s">
        <v>23</v>
      </c>
      <c r="B26" s="57">
        <v>21</v>
      </c>
      <c r="C26" s="57" t="s">
        <v>71</v>
      </c>
      <c r="D26" s="57" t="s">
        <v>114</v>
      </c>
      <c r="E26" s="58"/>
      <c r="F26" s="63">
        <v>4.55</v>
      </c>
      <c r="G26" s="64">
        <v>546000.21</v>
      </c>
      <c r="H26" s="65">
        <v>550000.21</v>
      </c>
      <c r="I26" s="66"/>
      <c r="J26" s="67">
        <f t="shared" si="2"/>
        <v>-4000</v>
      </c>
      <c r="K26" s="67">
        <f t="shared" si="3"/>
        <v>0</v>
      </c>
      <c r="L26" s="68">
        <f t="shared" si="4"/>
        <v>0</v>
      </c>
      <c r="M26" s="68">
        <f t="shared" si="5"/>
        <v>318500</v>
      </c>
      <c r="N26" s="69">
        <v>0</v>
      </c>
      <c r="O26" s="70">
        <f t="shared" si="0"/>
        <v>314500.21000000002</v>
      </c>
      <c r="P26" s="71">
        <f t="shared" si="1"/>
        <v>323935.21000000002</v>
      </c>
      <c r="Q26" s="41">
        <f t="shared" si="6"/>
        <v>0.21000000000000005</v>
      </c>
    </row>
    <row r="27" spans="1:19" ht="17.100000000000001" customHeight="1" x14ac:dyDescent="0.25">
      <c r="A27" s="5" t="s">
        <v>24</v>
      </c>
      <c r="B27" s="57">
        <v>22</v>
      </c>
      <c r="C27" s="57" t="s">
        <v>72</v>
      </c>
      <c r="D27" s="57" t="s">
        <v>115</v>
      </c>
      <c r="E27" s="58"/>
      <c r="F27" s="63">
        <v>3.17</v>
      </c>
      <c r="G27" s="64">
        <v>378930.22</v>
      </c>
      <c r="H27" s="65">
        <f>381870.22</f>
        <v>381870.22</v>
      </c>
      <c r="I27" s="66"/>
      <c r="J27" s="67">
        <f t="shared" si="2"/>
        <v>-2940</v>
      </c>
      <c r="K27" s="67">
        <f t="shared" si="3"/>
        <v>0</v>
      </c>
      <c r="L27" s="68">
        <f t="shared" si="4"/>
        <v>0</v>
      </c>
      <c r="M27" s="68">
        <f t="shared" si="5"/>
        <v>221900</v>
      </c>
      <c r="N27" s="69">
        <v>0</v>
      </c>
      <c r="O27" s="70">
        <f t="shared" si="0"/>
        <v>218960.22</v>
      </c>
      <c r="P27" s="71">
        <f t="shared" si="1"/>
        <v>225529.22</v>
      </c>
      <c r="Q27" s="41">
        <f t="shared" si="6"/>
        <v>0.22000000000000006</v>
      </c>
    </row>
    <row r="28" spans="1:19" ht="17.100000000000001" customHeight="1" x14ac:dyDescent="0.25">
      <c r="A28" s="5" t="s">
        <v>25</v>
      </c>
      <c r="B28" s="57">
        <v>23</v>
      </c>
      <c r="C28" s="57" t="s">
        <v>73</v>
      </c>
      <c r="D28" s="57" t="s">
        <v>116</v>
      </c>
      <c r="E28" s="58"/>
      <c r="F28" s="63">
        <v>4.66</v>
      </c>
      <c r="G28" s="64">
        <v>559200.23</v>
      </c>
      <c r="H28" s="65">
        <f>486837.23+72363</f>
        <v>559200.23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326200</v>
      </c>
      <c r="N28" s="69">
        <v>0</v>
      </c>
      <c r="O28" s="70">
        <f t="shared" si="0"/>
        <v>326200.23</v>
      </c>
      <c r="P28" s="71">
        <f t="shared" si="1"/>
        <v>335986.23</v>
      </c>
      <c r="Q28" s="41">
        <f t="shared" si="6"/>
        <v>0.23000000000000007</v>
      </c>
    </row>
    <row r="29" spans="1:19" ht="17.100000000000001" customHeight="1" x14ac:dyDescent="0.25">
      <c r="A29" s="5" t="s">
        <v>27</v>
      </c>
      <c r="B29" s="57">
        <v>24</v>
      </c>
      <c r="C29" s="57" t="s">
        <v>74</v>
      </c>
      <c r="D29" s="57" t="s">
        <v>117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224699.99999999997</v>
      </c>
      <c r="N29" s="69">
        <v>0</v>
      </c>
      <c r="O29" s="70">
        <f t="shared" si="0"/>
        <v>224700.24</v>
      </c>
      <c r="P29" s="71">
        <f t="shared" si="1"/>
        <v>231441.24</v>
      </c>
      <c r="Q29" s="41">
        <f t="shared" si="6"/>
        <v>0.24000000000000007</v>
      </c>
    </row>
    <row r="30" spans="1:19" ht="17.100000000000001" customHeight="1" x14ac:dyDescent="0.25">
      <c r="A30" s="5" t="s">
        <v>27</v>
      </c>
      <c r="B30" s="57">
        <v>25</v>
      </c>
      <c r="C30" s="57" t="s">
        <v>75</v>
      </c>
      <c r="D30" s="57" t="s">
        <v>118</v>
      </c>
      <c r="E30" s="57"/>
      <c r="F30" s="63">
        <v>4.6900000000000004</v>
      </c>
      <c r="G30" s="64">
        <v>1142203.25</v>
      </c>
      <c r="H30" s="66">
        <f>613669.25+562800</f>
        <v>1176469.25</v>
      </c>
      <c r="I30" s="66"/>
      <c r="J30" s="67">
        <f t="shared" si="2"/>
        <v>-34266</v>
      </c>
      <c r="K30" s="67">
        <f t="shared" si="3"/>
        <v>0</v>
      </c>
      <c r="L30" s="68">
        <f t="shared" si="4"/>
        <v>0</v>
      </c>
      <c r="M30" s="68">
        <f t="shared" si="5"/>
        <v>328300.00000000006</v>
      </c>
      <c r="N30" s="69">
        <v>0</v>
      </c>
      <c r="O30" s="70">
        <f t="shared" si="0"/>
        <v>294034.25</v>
      </c>
      <c r="P30" s="71">
        <f t="shared" si="1"/>
        <v>302855.25</v>
      </c>
      <c r="Q30" s="41">
        <f t="shared" si="6"/>
        <v>0.25000000000000006</v>
      </c>
      <c r="R30" t="s">
        <v>160</v>
      </c>
    </row>
    <row r="31" spans="1:19" ht="17.100000000000001" customHeight="1" x14ac:dyDescent="0.25">
      <c r="A31" s="5" t="s">
        <v>27</v>
      </c>
      <c r="B31" s="57">
        <v>26</v>
      </c>
      <c r="C31" s="57" t="s">
        <v>76</v>
      </c>
      <c r="D31" s="57" t="s">
        <v>119</v>
      </c>
      <c r="E31" s="57"/>
      <c r="F31" s="63">
        <v>3.02</v>
      </c>
      <c r="G31" s="64">
        <v>362400.26</v>
      </c>
      <c r="H31" s="65">
        <v>373272.26</v>
      </c>
      <c r="I31" s="66"/>
      <c r="J31" s="67">
        <f t="shared" si="2"/>
        <v>-10872</v>
      </c>
      <c r="K31" s="67">
        <f t="shared" si="3"/>
        <v>0</v>
      </c>
      <c r="L31" s="68">
        <f t="shared" si="4"/>
        <v>0</v>
      </c>
      <c r="M31" s="68">
        <f t="shared" si="5"/>
        <v>211400</v>
      </c>
      <c r="N31" s="69">
        <v>0</v>
      </c>
      <c r="O31" s="70">
        <f t="shared" si="0"/>
        <v>200528.26</v>
      </c>
      <c r="P31" s="71">
        <f t="shared" si="1"/>
        <v>206544.26</v>
      </c>
      <c r="Q31" s="127">
        <f t="shared" si="6"/>
        <v>0.26000000000000006</v>
      </c>
      <c r="R31" s="112"/>
      <c r="S31" t="s">
        <v>143</v>
      </c>
    </row>
    <row r="32" spans="1:19" ht="17.100000000000001" customHeight="1" thickBot="1" x14ac:dyDescent="0.3">
      <c r="A32" s="5" t="s">
        <v>27</v>
      </c>
      <c r="B32" s="57">
        <v>27</v>
      </c>
      <c r="C32" s="57" t="s">
        <v>120</v>
      </c>
      <c r="D32" s="57" t="s">
        <v>121</v>
      </c>
      <c r="E32" s="58"/>
      <c r="F32" s="63">
        <v>0.16</v>
      </c>
      <c r="G32" s="64">
        <v>19200.27</v>
      </c>
      <c r="H32" s="65">
        <v>12200.27</v>
      </c>
      <c r="I32" s="66"/>
      <c r="J32" s="67">
        <f>G32-H32</f>
        <v>7000</v>
      </c>
      <c r="K32" s="67">
        <f t="shared" si="3"/>
        <v>206.5</v>
      </c>
      <c r="L32" s="68">
        <f t="shared" si="4"/>
        <v>0</v>
      </c>
      <c r="M32" s="68">
        <f>O$2*F32%</f>
        <v>11200</v>
      </c>
      <c r="N32" s="69">
        <v>0</v>
      </c>
      <c r="O32" s="70">
        <f t="shared" si="0"/>
        <v>18407.27</v>
      </c>
      <c r="P32" s="71">
        <f t="shared" si="1"/>
        <v>18959.27</v>
      </c>
      <c r="Q32" s="41">
        <f t="shared" si="6"/>
        <v>0.27000000000000007</v>
      </c>
    </row>
    <row r="33" spans="1:17" ht="15.75" hidden="1" thickBot="1" x14ac:dyDescent="0.3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">
      <c r="B34" s="77"/>
      <c r="C34" s="78"/>
      <c r="D34" s="79"/>
      <c r="E34" s="79"/>
      <c r="F34" s="80">
        <f>SUM(F6:F33)</f>
        <v>99.999999999999972</v>
      </c>
      <c r="G34" s="47">
        <f>SUM(G6:G33)</f>
        <v>15747408.76</v>
      </c>
      <c r="H34" s="55">
        <f>SUM(H6:H33)</f>
        <v>13720738.269999998</v>
      </c>
      <c r="I34" s="55">
        <f t="shared" ref="I34" si="10">SUM(I6:I33)</f>
        <v>0</v>
      </c>
      <c r="J34" s="55"/>
      <c r="K34" s="55"/>
      <c r="L34" s="55">
        <f>SUM(L6:L33)</f>
        <v>0</v>
      </c>
      <c r="M34" s="55">
        <f>SUM(M6:M33)</f>
        <v>7000000</v>
      </c>
      <c r="N34" s="55">
        <f>SUM(N6:N33)</f>
        <v>15000</v>
      </c>
      <c r="O34" s="81">
        <f>SUM(O6:O32)</f>
        <v>9106173.7799999993</v>
      </c>
      <c r="P34" s="81">
        <f>SUM(P6:P32)</f>
        <v>9379357.7799999993</v>
      </c>
    </row>
    <row r="35" spans="1:17" ht="12.75" customHeight="1" x14ac:dyDescent="0.25">
      <c r="D35" s="45"/>
      <c r="E35" s="45"/>
    </row>
    <row r="36" spans="1:17" hidden="1" x14ac:dyDescent="0.25"/>
    <row r="37" spans="1:17" ht="9" customHeight="1" x14ac:dyDescent="0.25"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</row>
    <row r="38" spans="1:17" ht="12" hidden="1" customHeight="1" x14ac:dyDescent="0.25"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</row>
    <row r="39" spans="1:17" ht="12" hidden="1" customHeight="1" x14ac:dyDescent="0.25"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7" ht="12" hidden="1" customHeight="1" x14ac:dyDescent="0.25"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</row>
    <row r="41" spans="1:17" ht="12" hidden="1" customHeight="1" x14ac:dyDescent="0.25"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1:17" ht="65.25" customHeight="1" x14ac:dyDescent="0.25"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2025-09-02T12:32:16Z</cp:lastPrinted>
  <dcterms:created xsi:type="dcterms:W3CDTF">2023-09-17T12:29:07Z</dcterms:created>
  <dcterms:modified xsi:type="dcterms:W3CDTF">2025-10-02T14:07:45Z</dcterms:modified>
</cp:coreProperties>
</file>