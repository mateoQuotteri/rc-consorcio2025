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colombres\Octubre\"/>
    </mc:Choice>
  </mc:AlternateContent>
  <xr:revisionPtr revIDLastSave="0" documentId="13_ncr:1_{FBB0F7F9-75AF-4A10-ABA8-056D216C4DE1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RESUMEN!$A$1:$D$117</definedName>
  </definedNames>
  <calcPr calcId="181029"/>
</workbook>
</file>

<file path=xl/calcChain.xml><?xml version="1.0" encoding="utf-8"?>
<calcChain xmlns="http://schemas.openxmlformats.org/spreadsheetml/2006/main">
  <c r="D72" i="1" l="1"/>
  <c r="D46" i="1"/>
  <c r="D60" i="1"/>
  <c r="D66" i="1"/>
  <c r="C24" i="1"/>
  <c r="H14" i="2"/>
  <c r="H10" i="2"/>
  <c r="H17" i="2"/>
  <c r="H28" i="2" l="1"/>
  <c r="H29" i="2"/>
  <c r="H24" i="2"/>
  <c r="H32" i="2"/>
  <c r="H23" i="2"/>
  <c r="H22" i="2"/>
  <c r="F55" i="1"/>
  <c r="C40" i="1"/>
  <c r="J14" i="2" l="1"/>
  <c r="H31" i="2"/>
  <c r="H26" i="2"/>
  <c r="H16" i="2"/>
  <c r="D52" i="1"/>
  <c r="H20" i="2" l="1"/>
  <c r="H27" i="2"/>
  <c r="M32" i="2" l="1"/>
  <c r="M6" i="2"/>
  <c r="C27" i="1"/>
  <c r="C32" i="1"/>
  <c r="C37" i="1"/>
  <c r="D70" i="1"/>
  <c r="J24" i="2"/>
  <c r="K24" i="2" s="1"/>
  <c r="J28" i="2"/>
  <c r="K28" i="2" s="1"/>
  <c r="J31" i="2"/>
  <c r="K31" i="2" s="1"/>
  <c r="J7" i="2"/>
  <c r="K7" i="2" s="1"/>
  <c r="H25" i="2"/>
  <c r="J25" i="2" s="1"/>
  <c r="K25" i="2" s="1"/>
  <c r="J22" i="2"/>
  <c r="K22" i="2" s="1"/>
  <c r="J23" i="2"/>
  <c r="K23" i="2" s="1"/>
  <c r="J29" i="2"/>
  <c r="K29" i="2" s="1"/>
  <c r="J19" i="2"/>
  <c r="K19" i="2" s="1"/>
  <c r="J18" i="2"/>
  <c r="K18" i="2" s="1"/>
  <c r="J32" i="2"/>
  <c r="K32" i="2" s="1"/>
  <c r="J21" i="2"/>
  <c r="K21" i="2" s="1"/>
  <c r="J26" i="2"/>
  <c r="K26" i="2" s="1"/>
  <c r="J16" i="2"/>
  <c r="K16" i="2" s="1"/>
  <c r="J11" i="2"/>
  <c r="K11" i="2" s="1"/>
  <c r="D50" i="1"/>
  <c r="D51" i="1" s="1"/>
  <c r="J8" i="2"/>
  <c r="K8" i="2" s="1"/>
  <c r="J9" i="2"/>
  <c r="K9" i="2" s="1"/>
  <c r="J10" i="2"/>
  <c r="K10" i="2" s="1"/>
  <c r="J12" i="2"/>
  <c r="K12" i="2" s="1"/>
  <c r="J13" i="2"/>
  <c r="K13" i="2" s="1"/>
  <c r="K14" i="2"/>
  <c r="J15" i="2"/>
  <c r="K15" i="2" s="1"/>
  <c r="J17" i="2"/>
  <c r="K17" i="2" s="1"/>
  <c r="J20" i="2"/>
  <c r="K20" i="2" s="1"/>
  <c r="J27" i="2"/>
  <c r="K27" i="2" s="1"/>
  <c r="J30" i="2"/>
  <c r="K30" i="2" s="1"/>
  <c r="D38" i="1" l="1"/>
  <c r="I34" i="2"/>
  <c r="H33" i="2" l="1"/>
  <c r="J33" i="2" s="1"/>
  <c r="O33" i="2" s="1"/>
  <c r="L33" i="2"/>
  <c r="M33" i="2"/>
  <c r="P33" i="2" l="1"/>
  <c r="K33" i="2"/>
  <c r="D42" i="1" l="1"/>
  <c r="B116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1" i="1" l="1"/>
  <c r="D86" i="1" s="1"/>
  <c r="B90" i="1" s="1"/>
  <c r="B104" i="1" s="1"/>
  <c r="B101" i="1" l="1"/>
  <c r="D74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0" i="1" s="1"/>
  <c r="F34" i="2"/>
  <c r="G34" i="2"/>
  <c r="J6" i="2" l="1"/>
  <c r="K6" i="2" s="1"/>
  <c r="B91" i="1" l="1"/>
  <c r="L34" i="2"/>
  <c r="B89" i="1" l="1"/>
  <c r="B103" i="1" s="1"/>
  <c r="B105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88" i="1" l="1"/>
  <c r="N34" i="2" l="1"/>
</calcChain>
</file>

<file path=xl/sharedStrings.xml><?xml version="1.0" encoding="utf-8"?>
<sst xmlns="http://schemas.openxmlformats.org/spreadsheetml/2006/main" count="202" uniqueCount="174">
  <si>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</si>
  <si>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</si>
  <si>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</si>
  <si>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</si>
  <si>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</si>
  <si>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</si>
  <si>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</si>
  <si>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</si>
  <si>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</si>
  <si>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</si>
  <si>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</si>
  <si>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</si>
  <si>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</si>
  <si>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</si>
  <si>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</si>
  <si>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</si>
  <si>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</si>
  <si>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</si>
  <si>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</si>
  <si>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</si>
  <si>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</si>
  <si>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</si>
  <si>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</si>
  <si>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</si>
  <si>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</si>
  <si>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</si>
  <si>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</si>
  <si>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</si>
  <si>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</si>
  <si>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</si>
  <si>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</si>
  <si>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</si>
  <si>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</si>
  <si>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</si>
  <si>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</si>
  <si>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</si>
  <si>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</si>
  <si>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</si>
  <si>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</si>
  <si>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</si>
  <si>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</si>
  <si>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</si>
  <si>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</si>
  <si>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</si>
  <si>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</si>
  <si>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</si>
  <si>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</si>
  <si>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</si>
  <si>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</si>
  <si>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</si>
  <si>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</si>
  <si>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</si>
  <si>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</si>
  <si>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</si>
  <si>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</si>
  <si>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</si>
  <si>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</si>
  <si>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</si>
  <si>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</si>
  <si>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</si>
  <si>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</si>
  <si>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</si>
  <si>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</si>
  <si>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</si>
  <si>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</si>
  <si>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</si>
  <si>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</si>
  <si>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</si>
  <si>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</si>
  <si>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</si>
  <si>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</si>
  <si>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</si>
  <si>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</si>
  <si>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</si>
  <si>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</si>
  <si>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</si>
  <si>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</si>
  <si>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</si>
  <si>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</si>
  <si>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</si>
  <si>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</si>
  <si>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</si>
  <si>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</si>
  <si>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</si>
  <si>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</si>
  <si>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</si>
  <si>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</si>
  <si>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</si>
  <si>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</si>
  <si>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</si>
  <si>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</si>
  <si>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</si>
  <si>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</si>
  <si>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</si>
  <si>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</si>
  <si>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</si>
  <si>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</si>
  <si>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</si>
  <si>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</si>
  <si>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</si>
  <si>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</si>
  <si>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</si>
  <si>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</si>
  <si>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</si>
  <si>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</si>
  <si>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</si>
  <si>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</si>
  <si>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</si>
  <si>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</si>
  <si>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</si>
  <si>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</si>
  <si>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</si>
  <si>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</si>
  <si>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</si>
  <si>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</si>
  <si>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</si>
  <si>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</si>
  <si>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</si>
  <si>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</si>
  <si>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</si>
  <si>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</si>
  <si>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</si>
  <si>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</si>
  <si>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HORARIOS DE ATENCION: 10 A 16HS - LUNES A VIERNES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</si>
  <si>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</si>
  <si>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</si>
  <si>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 xml:space="preserve">METROGAS - Cliente 30008873781 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</si>
  <si>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</si>
  <si>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</si>
  <si>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</si>
  <si>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</si>
  <si>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</si>
  <si>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Espinola Savoia Pablo Damian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</si>
  <si>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</si>
  <si>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</si>
  <si>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</si>
  <si>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</si>
  <si>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</si>
  <si>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</si>
  <si>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</si>
  <si>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</si>
  <si>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María Josefina Conti y Nicolás Massaro</t>
  </si>
  <si>
    <t>Mozart Srl</t>
  </si>
  <si>
    <t>Efectivo Administracion</t>
  </si>
  <si>
    <t>SONIA</t>
  </si>
  <si>
    <t>Colombres Sur</t>
  </si>
  <si>
    <t>Punitorios mal cobrados</t>
  </si>
  <si>
    <t>PREVISION ORDINARIA</t>
  </si>
  <si>
    <t>ellos cobran a mes vencido</t>
  </si>
  <si>
    <t>MAGRO LAUTARO - MAGRO DANIELA</t>
  </si>
  <si>
    <t>Titular: CONS. DE PROPIETARIOS COLOMBRES 360 Banco: SUPERVIELLE Sucursal: Lomas de Zamora CBU: 02700151 10040979780018 Nº de cuenta: 04097978-001 Código de Pago Electrónico: abonar con los centavos de la UF</t>
  </si>
  <si>
    <t>Mes de SEPTIEMBRE</t>
  </si>
  <si>
    <t>Fotocopias - tauge</t>
  </si>
  <si>
    <t>SI EN LA COLUMNA LLAMADA DEUDA O SALDO A FAVOR FIGURA UN NUMERO EN NEGATIVO SIGNIFICA QUE LA UF POSEE DINERO A FAVOR (ES DECIR PAGO DE MAS)</t>
  </si>
  <si>
    <t>VTO 14/11</t>
  </si>
  <si>
    <t>Articulos de limpieza -  Mes de OCTUBRE</t>
  </si>
  <si>
    <t>Debito 06/10</t>
  </si>
  <si>
    <t>Transf 07/10</t>
  </si>
  <si>
    <t>Debito 08/10</t>
  </si>
  <si>
    <t>Transf 14/10</t>
  </si>
  <si>
    <t>Transf 13/10</t>
  </si>
  <si>
    <t>Liquidacion por Renuncia:</t>
  </si>
  <si>
    <t>Debito 13/10</t>
  </si>
  <si>
    <t>Debito 16/10</t>
  </si>
  <si>
    <t>Doartero Julio - Cambio de semaforo y cableado del mismo</t>
  </si>
  <si>
    <t>Transf 17/10</t>
  </si>
  <si>
    <t>Se debe octubre</t>
  </si>
  <si>
    <t>Frank Matias Wallace - Mantenimiento ascensor - Se debe OCTUBRE</t>
  </si>
  <si>
    <t>TecnoComp - Pagado por 3A - REPARACION ESTABILIZADOR PC</t>
  </si>
  <si>
    <t xml:space="preserve">TecnoComp - Pagado por 3A - CAMBIO DE DISCO RIGIDO 1 TB Y CONFIGURACION DVR </t>
  </si>
  <si>
    <t>Claudia Guidobono</t>
  </si>
  <si>
    <t>PABLO GARCIA</t>
  </si>
  <si>
    <t xml:space="preserve">
Raquel Martinez</t>
  </si>
  <si>
    <t>Diego Varas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</si>
</sst>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2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8" fontId="4" fillId="2" borderId="6" xfId="0" applyNumberFormat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7" fillId="0" borderId="1" xfId="1" applyFont="1" applyBorder="1"/>
    <xf numFmtId="8" fontId="4" fillId="2" borderId="1" xfId="0" applyNumberFormat="1" applyFont="1" applyFill="1" applyBorder="1"/>
    <xf numFmtId="8" fontId="19" fillId="11" borderId="1" xfId="0" applyNumberFormat="1" applyFont="1" applyFill="1" applyBorder="1"/>
    <xf numFmtId="44" fontId="24" fillId="8" borderId="1" xfId="1" applyFont="1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44" fontId="23" fillId="0" borderId="2" xfId="1" applyFont="1" applyBorder="1"/>
    <xf numFmtId="0" fontId="18" fillId="11" borderId="3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4" fontId="1" fillId="0" borderId="1" xfId="1" applyFont="1" applyBorder="1" applyAlignment="1">
      <alignment vertical="center"/>
    </xf>
    <xf numFmtId="165" fontId="0" fillId="3" borderId="0" xfId="1" applyNumberFormat="1" applyFont="1" applyFill="1" applyAlignment="1"/>
    <xf numFmtId="43" fontId="0" fillId="0" borderId="0" xfId="0" applyNumberFormat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5" fillId="2" borderId="1" xfId="1" applyFont="1" applyFill="1" applyBorder="1"/>
    <xf numFmtId="0" fontId="14" fillId="0" borderId="1" xfId="0" applyFont="1" applyBorder="1" applyAlignment="1">
      <alignment horizontal="left" vertical="center" wrapText="1"/>
    </xf>
    <xf numFmtId="0" fontId="23" fillId="2" borderId="2" xfId="1" applyNumberFormat="1" applyFont="1" applyFill="1" applyBorder="1" applyAlignment="1">
      <alignment horizontal="left"/>
    </xf>
    <xf numFmtId="165" fontId="20" fillId="2" borderId="1" xfId="0" applyNumberFormat="1" applyFont="1" applyFill="1" applyBorder="1"/>
    <xf numFmtId="166" fontId="20" fillId="2" borderId="1" xfId="1" applyNumberFormat="1" applyFont="1" applyFill="1" applyBorder="1"/>
    <xf numFmtId="44" fontId="4" fillId="2" borderId="1" xfId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4" fillId="0" borderId="1" xfId="1" applyFont="1" applyBorder="1"/>
    <xf numFmtId="44" fontId="23" fillId="0" borderId="1" xfId="1" applyFont="1" applyBorder="1"/>
    <xf numFmtId="0" fontId="15" fillId="2" borderId="2" xfId="1" applyNumberFormat="1" applyFont="1" applyFill="1" applyBorder="1" applyAlignment="1">
      <alignment wrapText="1"/>
    </xf>
    <xf numFmtId="0" fontId="0" fillId="9" borderId="0" xfId="0" applyFill="1" applyAlignment="1">
      <alignment horizontal="center"/>
    </xf>
    <xf numFmtId="0" fontId="0" fillId="9" borderId="29" xfId="0" applyFill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62" workbookViewId="0">
      <selection activeCell="D73" sqref="D73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 x14ac:dyDescent="0.25">
      <c r="A1" s="126" t="s">
        <v>122</v>
      </c>
      <c r="B1" s="118"/>
      <c r="C1" s="6"/>
      <c r="D1" s="6"/>
    </row>
    <row r="2" spans="1:4" x14ac:dyDescent="0.25">
      <c r="A2" s="119" t="s">
        <v>124</v>
      </c>
      <c r="B2" s="119"/>
      <c r="C2" s="119"/>
      <c r="D2" s="119"/>
    </row>
    <row r="3" spans="1:4" ht="16.899999999999999" customHeight="1" x14ac:dyDescent="0.25">
      <c r="A3" s="119" t="s">
        <v>123</v>
      </c>
      <c r="B3" s="119"/>
      <c r="C3" s="119"/>
      <c r="D3" s="119"/>
    </row>
    <row r="4" spans="1:4" ht="32.25" customHeight="1" x14ac:dyDescent="0.25">
      <c r="A4" s="152" t="s">
        <v>125</v>
      </c>
      <c r="B4" s="152"/>
      <c r="C4" s="120"/>
      <c r="D4" s="120"/>
    </row>
    <row r="5" spans="1:4" x14ac:dyDescent="0.25">
      <c r="A5" s="152"/>
      <c r="B5" s="152"/>
      <c r="C5" s="120"/>
      <c r="D5" s="120"/>
    </row>
    <row r="6" spans="1:4" x14ac:dyDescent="0.25">
      <c r="A6" s="152"/>
      <c r="B6" s="152"/>
      <c r="C6" s="120"/>
      <c r="D6" s="120"/>
    </row>
    <row r="7" spans="1:4" ht="27" customHeight="1" x14ac:dyDescent="0.25">
      <c r="A7" s="152"/>
      <c r="B7" s="152"/>
      <c r="C7" s="120"/>
      <c r="D7" s="120"/>
    </row>
    <row r="9" spans="1:4" x14ac:dyDescent="0.25">
      <c r="B9" s="149" t="s">
        <v>154</v>
      </c>
    </row>
    <row r="10" spans="1:4" x14ac:dyDescent="0.25">
      <c r="B10" s="149"/>
    </row>
    <row r="11" spans="1:4" x14ac:dyDescent="0.25">
      <c r="B11" s="149"/>
    </row>
    <row r="13" spans="1:4" hidden="1" x14ac:dyDescent="0.25"/>
    <row r="14" spans="1:4" ht="15" customHeight="1" x14ac:dyDescent="0.25">
      <c r="A14" s="153" t="s">
        <v>92</v>
      </c>
      <c r="B14" s="153"/>
      <c r="C14" s="153"/>
      <c r="D14" s="153"/>
    </row>
    <row r="15" spans="1:4" ht="15" customHeight="1" x14ac:dyDescent="0.25">
      <c r="A15" s="153"/>
      <c r="B15" s="153"/>
      <c r="C15" s="153"/>
      <c r="D15" s="153"/>
    </row>
    <row r="16" spans="1:4" ht="15" customHeight="1" x14ac:dyDescent="0.25">
      <c r="A16" s="153"/>
      <c r="B16" s="153"/>
      <c r="C16" s="153"/>
      <c r="D16" s="153"/>
    </row>
    <row r="17" spans="1:7" ht="53.25" customHeight="1" x14ac:dyDescent="0.25">
      <c r="A17" s="153"/>
      <c r="B17" s="153"/>
      <c r="C17" s="153"/>
      <c r="D17" s="153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7" t="s">
        <v>80</v>
      </c>
      <c r="B22" s="27"/>
      <c r="C22" s="25"/>
      <c r="D22" s="25"/>
    </row>
    <row r="23" spans="1:7" ht="14.25" customHeight="1" x14ac:dyDescent="0.25">
      <c r="A23" s="5" t="s">
        <v>131</v>
      </c>
      <c r="B23" s="5" t="s">
        <v>151</v>
      </c>
      <c r="C23" s="113">
        <v>1268327.8999999999</v>
      </c>
      <c r="D23" s="83"/>
    </row>
    <row r="24" spans="1:7" x14ac:dyDescent="0.25">
      <c r="A24" s="5" t="s">
        <v>84</v>
      </c>
      <c r="B24" s="5"/>
      <c r="C24" s="113">
        <f>-523977.97+248116.64</f>
        <v>-275861.32999999996</v>
      </c>
      <c r="D24" s="83"/>
    </row>
    <row r="25" spans="1:7" x14ac:dyDescent="0.25">
      <c r="A25" s="5" t="s">
        <v>83</v>
      </c>
      <c r="B25" s="5"/>
      <c r="C25" s="113">
        <v>7.0000000000000007E-2</v>
      </c>
      <c r="D25" s="83"/>
      <c r="G25" s="14"/>
    </row>
    <row r="26" spans="1:7" x14ac:dyDescent="0.25">
      <c r="A26" s="5"/>
      <c r="B26" s="5"/>
      <c r="C26" s="113"/>
      <c r="D26" s="83"/>
      <c r="G26" s="14"/>
    </row>
    <row r="27" spans="1:7" x14ac:dyDescent="0.25">
      <c r="A27" s="49" t="s">
        <v>82</v>
      </c>
      <c r="B27" s="49"/>
      <c r="C27" s="114">
        <f>SUM(C23:C26)</f>
        <v>992466.6399999999</v>
      </c>
      <c r="D27" s="84"/>
      <c r="F27" s="147" t="s">
        <v>148</v>
      </c>
      <c r="G27" s="148"/>
    </row>
    <row r="28" spans="1:7" x14ac:dyDescent="0.25">
      <c r="A28" s="125" t="s">
        <v>132</v>
      </c>
      <c r="B28" s="5" t="s">
        <v>151</v>
      </c>
      <c r="C28" s="113">
        <v>971916.1</v>
      </c>
      <c r="D28" s="83"/>
      <c r="F28" s="147"/>
      <c r="G28" s="148"/>
    </row>
    <row r="29" spans="1:7" x14ac:dyDescent="0.25">
      <c r="A29" s="5" t="s">
        <v>81</v>
      </c>
      <c r="B29" s="5"/>
      <c r="C29" s="109">
        <v>-211391.74</v>
      </c>
      <c r="D29" s="83"/>
      <c r="G29" s="14"/>
    </row>
    <row r="30" spans="1:7" x14ac:dyDescent="0.25">
      <c r="A30" s="5" t="s">
        <v>83</v>
      </c>
      <c r="B30" s="5"/>
      <c r="C30" s="109">
        <v>0.64</v>
      </c>
      <c r="D30" s="83"/>
      <c r="G30" s="14"/>
    </row>
    <row r="31" spans="1:7" x14ac:dyDescent="0.25">
      <c r="A31" s="5" t="s">
        <v>161</v>
      </c>
      <c r="B31" s="5"/>
      <c r="C31" s="109">
        <v>862842</v>
      </c>
      <c r="D31" s="83"/>
      <c r="G31" s="14"/>
    </row>
    <row r="32" spans="1:7" x14ac:dyDescent="0.25">
      <c r="A32" s="49" t="s">
        <v>82</v>
      </c>
      <c r="B32" s="49"/>
      <c r="C32" s="50">
        <f>SUM(C28:C31)</f>
        <v>1623367</v>
      </c>
      <c r="D32" s="84"/>
    </row>
    <row r="33" spans="1:7" x14ac:dyDescent="0.25">
      <c r="A33" s="5" t="s">
        <v>130</v>
      </c>
      <c r="B33" s="5" t="s">
        <v>151</v>
      </c>
      <c r="C33" s="113">
        <v>1034599.1</v>
      </c>
      <c r="D33" s="124"/>
    </row>
    <row r="34" spans="1:7" x14ac:dyDescent="0.25">
      <c r="A34" s="5" t="s">
        <v>81</v>
      </c>
      <c r="B34" s="5"/>
      <c r="C34" s="113">
        <v>-225025.29</v>
      </c>
      <c r="D34" s="124"/>
    </row>
    <row r="35" spans="1:7" x14ac:dyDescent="0.25">
      <c r="A35" s="5" t="s">
        <v>83</v>
      </c>
      <c r="B35" s="5"/>
      <c r="C35" s="113">
        <v>0.19</v>
      </c>
      <c r="D35" s="124"/>
    </row>
    <row r="36" spans="1:7" x14ac:dyDescent="0.25">
      <c r="A36" s="5"/>
      <c r="B36" s="5"/>
      <c r="C36" s="109"/>
      <c r="D36" s="124"/>
    </row>
    <row r="37" spans="1:7" x14ac:dyDescent="0.25">
      <c r="A37" s="49" t="s">
        <v>82</v>
      </c>
      <c r="B37" s="123"/>
      <c r="C37" s="50">
        <f>SUM(C33:C36)</f>
        <v>809573.99999999988</v>
      </c>
      <c r="D37" s="84"/>
    </row>
    <row r="38" spans="1:7" ht="14.25" customHeight="1" thickBot="1" x14ac:dyDescent="0.3">
      <c r="A38" s="18" t="s">
        <v>0</v>
      </c>
      <c r="B38" s="18"/>
      <c r="C38" s="20"/>
      <c r="D38" s="85">
        <f>C27+C32+C37</f>
        <v>3425407.6399999997</v>
      </c>
      <c r="E38" s="14"/>
      <c r="F38" s="14"/>
    </row>
    <row r="39" spans="1:7" x14ac:dyDescent="0.25">
      <c r="A39" s="27" t="s">
        <v>38</v>
      </c>
      <c r="B39" s="27"/>
      <c r="C39" s="28"/>
      <c r="D39" s="86"/>
      <c r="F39" s="14"/>
    </row>
    <row r="40" spans="1:7" ht="22.5" customHeight="1" x14ac:dyDescent="0.25">
      <c r="A40" s="58" t="s">
        <v>39</v>
      </c>
      <c r="B40" s="5"/>
      <c r="C40" s="113">
        <f>35000*3</f>
        <v>105000</v>
      </c>
      <c r="D40" s="145" t="s">
        <v>159</v>
      </c>
      <c r="G40" s="14"/>
    </row>
    <row r="41" spans="1:7" ht="21" customHeight="1" x14ac:dyDescent="0.25">
      <c r="A41" s="127" t="s">
        <v>133</v>
      </c>
      <c r="B41" s="117" t="s">
        <v>166</v>
      </c>
      <c r="C41" s="113"/>
      <c r="D41" s="145"/>
      <c r="G41" s="14"/>
    </row>
    <row r="42" spans="1:7" ht="15.75" thickBot="1" x14ac:dyDescent="0.3">
      <c r="A42" s="18" t="s">
        <v>34</v>
      </c>
      <c r="B42" s="18"/>
      <c r="C42" s="31"/>
      <c r="D42" s="85">
        <f>SUM(C40:C41)</f>
        <v>105000</v>
      </c>
    </row>
    <row r="43" spans="1:7" x14ac:dyDescent="0.25">
      <c r="A43" s="25" t="s">
        <v>77</v>
      </c>
      <c r="B43" s="26"/>
      <c r="C43" s="29"/>
      <c r="D43" s="60"/>
    </row>
    <row r="44" spans="1:7" s="34" customFormat="1" ht="29.25" customHeight="1" x14ac:dyDescent="0.25">
      <c r="A44" s="150" t="s">
        <v>128</v>
      </c>
      <c r="B44" s="151"/>
      <c r="C44" s="142">
        <v>175052</v>
      </c>
      <c r="D44" s="110" t="s">
        <v>163</v>
      </c>
    </row>
    <row r="45" spans="1:7" ht="30" customHeight="1" x14ac:dyDescent="0.25">
      <c r="A45" s="150" t="s">
        <v>129</v>
      </c>
      <c r="B45" s="151"/>
      <c r="C45" s="143">
        <v>4203</v>
      </c>
      <c r="D45" s="110" t="s">
        <v>156</v>
      </c>
    </row>
    <row r="46" spans="1:7" ht="15.75" thickBot="1" x14ac:dyDescent="0.3">
      <c r="A46" s="18" t="s">
        <v>1</v>
      </c>
      <c r="B46" s="18"/>
      <c r="C46" s="31"/>
      <c r="D46" s="87">
        <f>SUM(C44:C45)</f>
        <v>179255</v>
      </c>
    </row>
    <row r="47" spans="1:7" x14ac:dyDescent="0.25">
      <c r="A47" s="27" t="s">
        <v>35</v>
      </c>
      <c r="B47" s="19"/>
      <c r="C47" s="32"/>
      <c r="D47" s="88"/>
    </row>
    <row r="48" spans="1:7" x14ac:dyDescent="0.25">
      <c r="A48" s="5" t="s">
        <v>134</v>
      </c>
      <c r="B48" s="5" t="s">
        <v>151</v>
      </c>
      <c r="C48" s="144">
        <v>1424079.5</v>
      </c>
      <c r="D48" s="110" t="s">
        <v>158</v>
      </c>
      <c r="F48" s="128"/>
    </row>
    <row r="49" spans="1:6" x14ac:dyDescent="0.25">
      <c r="A49" s="5" t="s">
        <v>135</v>
      </c>
      <c r="B49" s="5" t="s">
        <v>151</v>
      </c>
      <c r="C49" s="141">
        <v>16459.22</v>
      </c>
      <c r="D49" s="110" t="s">
        <v>162</v>
      </c>
    </row>
    <row r="50" spans="1:6" x14ac:dyDescent="0.25">
      <c r="A50" s="5" t="s">
        <v>136</v>
      </c>
      <c r="B50" s="5" t="s">
        <v>151</v>
      </c>
      <c r="C50" s="141">
        <v>148132.94</v>
      </c>
      <c r="D50" s="110" t="str">
        <f>D49</f>
        <v>Debito 13/10</v>
      </c>
    </row>
    <row r="51" spans="1:6" x14ac:dyDescent="0.25">
      <c r="A51" s="5" t="s">
        <v>137</v>
      </c>
      <c r="B51" s="5" t="s">
        <v>151</v>
      </c>
      <c r="C51" s="141">
        <v>290229.78999999998</v>
      </c>
      <c r="D51" s="111" t="str">
        <f>D50</f>
        <v>Debito 13/10</v>
      </c>
    </row>
    <row r="52" spans="1:6" ht="15" customHeight="1" thickBot="1" x14ac:dyDescent="0.3">
      <c r="A52" s="18" t="s">
        <v>2</v>
      </c>
      <c r="B52" s="19"/>
      <c r="C52" s="33"/>
      <c r="D52" s="87">
        <f>SUM(C48:C51)</f>
        <v>1878901.45</v>
      </c>
    </row>
    <row r="53" spans="1:6" x14ac:dyDescent="0.25">
      <c r="A53" s="27" t="s">
        <v>37</v>
      </c>
      <c r="B53" s="19"/>
      <c r="C53" s="32"/>
      <c r="D53" s="88"/>
    </row>
    <row r="54" spans="1:6" ht="14.25" customHeight="1" x14ac:dyDescent="0.25">
      <c r="A54" t="s">
        <v>138</v>
      </c>
      <c r="B54" s="5"/>
      <c r="C54" s="141"/>
      <c r="D54" s="138"/>
    </row>
    <row r="55" spans="1:6" ht="14.25" customHeight="1" x14ac:dyDescent="0.25">
      <c r="A55" s="5" t="s">
        <v>126</v>
      </c>
      <c r="B55" s="5"/>
      <c r="C55" s="141">
        <v>35883.19</v>
      </c>
      <c r="D55" s="111" t="s">
        <v>160</v>
      </c>
      <c r="F55">
        <f>180000+82000</f>
        <v>262000</v>
      </c>
    </row>
    <row r="56" spans="1:6" ht="14.25" customHeight="1" x14ac:dyDescent="0.25">
      <c r="A56" s="5" t="s">
        <v>140</v>
      </c>
      <c r="B56" s="5"/>
      <c r="C56" s="141">
        <v>728258.14</v>
      </c>
      <c r="D56" s="92" t="s">
        <v>157</v>
      </c>
    </row>
    <row r="57" spans="1:6" ht="14.25" customHeight="1" x14ac:dyDescent="0.25">
      <c r="A57" s="159" t="s">
        <v>167</v>
      </c>
      <c r="B57" s="160"/>
      <c r="C57" s="141"/>
      <c r="D57" s="122"/>
    </row>
    <row r="58" spans="1:6" ht="14.25" customHeight="1" x14ac:dyDescent="0.25">
      <c r="A58" s="5" t="s">
        <v>164</v>
      </c>
      <c r="B58" s="133"/>
      <c r="C58" s="122">
        <v>262000</v>
      </c>
      <c r="D58" s="122" t="s">
        <v>165</v>
      </c>
    </row>
    <row r="59" spans="1:6" x14ac:dyDescent="0.25">
      <c r="A59" s="5"/>
      <c r="B59" s="116"/>
      <c r="C59" s="141"/>
      <c r="D59" s="122"/>
    </row>
    <row r="60" spans="1:6" ht="15.75" thickBot="1" x14ac:dyDescent="0.3">
      <c r="A60" s="18" t="s">
        <v>3</v>
      </c>
      <c r="B60" s="18"/>
      <c r="C60" s="31"/>
      <c r="D60" s="87">
        <f>SUM(C54:C59)</f>
        <v>1026141.3300000001</v>
      </c>
    </row>
    <row r="61" spans="1:6" ht="15.75" thickBot="1" x14ac:dyDescent="0.3">
      <c r="A61" s="27" t="s">
        <v>36</v>
      </c>
      <c r="B61" s="18"/>
      <c r="C61" s="31"/>
      <c r="D61" s="90"/>
    </row>
    <row r="62" spans="1:6" ht="28.5" customHeight="1" x14ac:dyDescent="0.25">
      <c r="A62" s="132" t="s">
        <v>152</v>
      </c>
      <c r="B62" s="133"/>
      <c r="C62" s="141">
        <v>11200</v>
      </c>
      <c r="D62" s="134" t="s">
        <v>143</v>
      </c>
    </row>
    <row r="63" spans="1:6" ht="28.5" customHeight="1" x14ac:dyDescent="0.25">
      <c r="A63" s="150" t="s">
        <v>168</v>
      </c>
      <c r="B63" s="151"/>
      <c r="C63" s="141">
        <v>15000</v>
      </c>
      <c r="D63" s="146"/>
    </row>
    <row r="64" spans="1:6" ht="28.5" customHeight="1" x14ac:dyDescent="0.25">
      <c r="A64" s="150" t="s">
        <v>169</v>
      </c>
      <c r="B64" s="151"/>
      <c r="C64" s="141">
        <v>175000</v>
      </c>
      <c r="D64" s="146"/>
    </row>
    <row r="65" spans="1:6" ht="16.5" customHeight="1" x14ac:dyDescent="0.25">
      <c r="A65" s="157" t="s">
        <v>155</v>
      </c>
      <c r="B65" s="158"/>
      <c r="C65" s="144">
        <v>67950</v>
      </c>
      <c r="D65" s="122" t="s">
        <v>165</v>
      </c>
    </row>
    <row r="66" spans="1:6" ht="15.75" thickBot="1" x14ac:dyDescent="0.3">
      <c r="A66" s="18" t="s">
        <v>11</v>
      </c>
      <c r="B66" s="27"/>
      <c r="C66" s="25"/>
      <c r="D66" s="94">
        <f>SUM(C62:C65)</f>
        <v>269150</v>
      </c>
    </row>
    <row r="67" spans="1:6" ht="15.75" thickBot="1" x14ac:dyDescent="0.3">
      <c r="A67" s="27" t="s">
        <v>29</v>
      </c>
      <c r="B67" s="59"/>
      <c r="C67" s="20"/>
      <c r="D67" s="90"/>
    </row>
    <row r="68" spans="1:6" x14ac:dyDescent="0.25">
      <c r="A68" s="5" t="s">
        <v>139</v>
      </c>
      <c r="B68" s="5"/>
      <c r="C68" s="141">
        <v>56820.35</v>
      </c>
      <c r="D68" s="95"/>
    </row>
    <row r="69" spans="1:6" x14ac:dyDescent="0.25">
      <c r="A69" s="5" t="s">
        <v>127</v>
      </c>
      <c r="B69" s="5"/>
      <c r="C69" s="141">
        <v>80545.34</v>
      </c>
      <c r="D69" s="93"/>
    </row>
    <row r="70" spans="1:6" ht="15.75" thickBot="1" x14ac:dyDescent="0.3">
      <c r="A70" s="45" t="s">
        <v>34</v>
      </c>
      <c r="B70" s="45"/>
      <c r="C70" s="96"/>
      <c r="D70" s="87">
        <f>SUM(C68:C69)</f>
        <v>137365.69</v>
      </c>
    </row>
    <row r="71" spans="1:6" ht="15.75" thickBot="1" x14ac:dyDescent="0.3">
      <c r="A71" s="5"/>
      <c r="B71" s="5"/>
      <c r="C71" s="83"/>
      <c r="D71" s="97"/>
    </row>
    <row r="72" spans="1:6" ht="22.5" customHeight="1" thickBot="1" x14ac:dyDescent="0.3">
      <c r="A72" s="154" t="s">
        <v>147</v>
      </c>
      <c r="B72" s="155"/>
      <c r="C72" s="156"/>
      <c r="D72" s="98">
        <f>9000000-6763271.11-257950</f>
        <v>1978778.8899999997</v>
      </c>
    </row>
    <row r="73" spans="1:6" ht="15.75" thickBot="1" x14ac:dyDescent="0.3">
      <c r="A73" s="1"/>
      <c r="C73" s="99"/>
      <c r="D73" s="100"/>
      <c r="E73" s="40"/>
    </row>
    <row r="74" spans="1:6" ht="15.75" thickBot="1" x14ac:dyDescent="0.3">
      <c r="A74" s="3" t="s">
        <v>30</v>
      </c>
      <c r="B74" s="10"/>
      <c r="C74" s="101"/>
      <c r="D74" s="102">
        <f>(SUM(D29:D72))</f>
        <v>9000000</v>
      </c>
      <c r="E74" s="40"/>
    </row>
    <row r="75" spans="1:6" x14ac:dyDescent="0.25">
      <c r="C75" s="99"/>
      <c r="D75" s="99"/>
      <c r="F75" s="131"/>
    </row>
    <row r="76" spans="1:6" ht="15.75" thickBot="1" x14ac:dyDescent="0.3">
      <c r="C76" s="99"/>
      <c r="D76" s="99"/>
    </row>
    <row r="77" spans="1:6" x14ac:dyDescent="0.25">
      <c r="A77" s="11" t="s">
        <v>40</v>
      </c>
      <c r="B77" s="12"/>
      <c r="C77" s="103"/>
      <c r="D77" s="104"/>
    </row>
    <row r="78" spans="1:6" x14ac:dyDescent="0.25">
      <c r="A78" s="150"/>
      <c r="B78" s="151"/>
      <c r="C78" s="91"/>
      <c r="D78" s="89"/>
    </row>
    <row r="79" spans="1:6" x14ac:dyDescent="0.25">
      <c r="A79" s="150"/>
      <c r="B79" s="151"/>
      <c r="C79" s="91"/>
      <c r="D79" s="89"/>
    </row>
    <row r="80" spans="1:6" x14ac:dyDescent="0.25">
      <c r="A80" s="107"/>
      <c r="B80" s="108"/>
      <c r="C80" s="91"/>
      <c r="D80" s="89"/>
    </row>
    <row r="81" spans="1:4" x14ac:dyDescent="0.25">
      <c r="A81" s="43"/>
      <c r="B81" s="42"/>
      <c r="C81" s="51"/>
      <c r="D81" s="51">
        <f>SUM(C78:C80)</f>
        <v>0</v>
      </c>
    </row>
    <row r="82" spans="1:4" ht="15" customHeight="1" x14ac:dyDescent="0.25"/>
    <row r="83" spans="1:4" hidden="1" x14ac:dyDescent="0.25"/>
    <row r="84" spans="1:4" x14ac:dyDescent="0.25">
      <c r="A84" s="21" t="s">
        <v>41</v>
      </c>
      <c r="B84" s="21"/>
      <c r="C84" s="22"/>
      <c r="D84" s="115"/>
    </row>
    <row r="85" spans="1:4" ht="15.75" thickBot="1" x14ac:dyDescent="0.3"/>
    <row r="86" spans="1:4" ht="15.75" thickBot="1" x14ac:dyDescent="0.3">
      <c r="A86" s="3" t="s">
        <v>42</v>
      </c>
      <c r="B86" s="10"/>
      <c r="C86" s="4"/>
      <c r="D86" s="61">
        <f>D81+D84</f>
        <v>0</v>
      </c>
    </row>
    <row r="87" spans="1:4" ht="15.75" thickBot="1" x14ac:dyDescent="0.3"/>
    <row r="88" spans="1:4" ht="15.75" thickBot="1" x14ac:dyDescent="0.3">
      <c r="A88" s="81" t="s">
        <v>31</v>
      </c>
      <c r="B88" s="82">
        <f>D74</f>
        <v>9000000</v>
      </c>
      <c r="C88" s="40"/>
    </row>
    <row r="89" spans="1:4" ht="15.75" thickBot="1" x14ac:dyDescent="0.3">
      <c r="A89" s="81" t="s">
        <v>32</v>
      </c>
      <c r="B89" s="82">
        <f>D74-D72</f>
        <v>7021221.1100000003</v>
      </c>
    </row>
    <row r="90" spans="1:4" ht="15.75" thickBot="1" x14ac:dyDescent="0.3">
      <c r="A90" s="81" t="s">
        <v>43</v>
      </c>
      <c r="B90" s="82">
        <f>D86-D84</f>
        <v>0</v>
      </c>
    </row>
    <row r="91" spans="1:4" ht="15.75" thickBot="1" x14ac:dyDescent="0.3">
      <c r="A91" s="81" t="s">
        <v>88</v>
      </c>
      <c r="B91" s="82">
        <f>D86</f>
        <v>0</v>
      </c>
    </row>
    <row r="92" spans="1:4" ht="14.25" customHeight="1" x14ac:dyDescent="0.25"/>
    <row r="93" spans="1:4" hidden="1" x14ac:dyDescent="0.25"/>
    <row r="94" spans="1:4" hidden="1" x14ac:dyDescent="0.25">
      <c r="A94" s="163"/>
      <c r="B94" s="163"/>
      <c r="C94" s="163"/>
      <c r="D94" s="163"/>
    </row>
    <row r="95" spans="1:4" hidden="1" x14ac:dyDescent="0.25">
      <c r="A95" s="163"/>
      <c r="B95" s="163"/>
      <c r="C95" s="163"/>
      <c r="D95" s="163"/>
    </row>
    <row r="96" spans="1:4" ht="38.25" hidden="1" customHeight="1" x14ac:dyDescent="0.25">
      <c r="A96" s="163"/>
      <c r="B96" s="163"/>
      <c r="C96" s="163"/>
      <c r="D96" s="163"/>
    </row>
    <row r="98" spans="1:3" x14ac:dyDescent="0.25">
      <c r="A98" s="15" t="s">
        <v>79</v>
      </c>
      <c r="B98" s="36"/>
    </row>
    <row r="99" spans="1:3" ht="25.5" customHeight="1" x14ac:dyDescent="0.25">
      <c r="A99" s="24" t="s">
        <v>33</v>
      </c>
      <c r="B99" s="112">
        <v>3268631.95</v>
      </c>
    </row>
    <row r="100" spans="1:3" ht="14.25" customHeight="1" x14ac:dyDescent="0.25">
      <c r="A100" s="16" t="s">
        <v>91</v>
      </c>
      <c r="B100" s="37">
        <f>PRORRATEO!H34</f>
        <v>7504571.0899999999</v>
      </c>
    </row>
    <row r="101" spans="1:3" ht="14.25" customHeight="1" x14ac:dyDescent="0.25">
      <c r="A101" s="16" t="s">
        <v>90</v>
      </c>
      <c r="B101" s="93">
        <f>B116</f>
        <v>0</v>
      </c>
    </row>
    <row r="102" spans="1:3" ht="18" customHeight="1" x14ac:dyDescent="0.25">
      <c r="A102" s="17" t="s">
        <v>146</v>
      </c>
      <c r="B102" s="136">
        <v>-46641</v>
      </c>
    </row>
    <row r="103" spans="1:3" x14ac:dyDescent="0.25">
      <c r="A103" s="35" t="s">
        <v>44</v>
      </c>
      <c r="B103" s="93">
        <f>-B89</f>
        <v>-7021221.1100000003</v>
      </c>
    </row>
    <row r="104" spans="1:3" x14ac:dyDescent="0.25">
      <c r="A104" s="17" t="s">
        <v>45</v>
      </c>
      <c r="B104" s="93">
        <f>-(B90)</f>
        <v>0</v>
      </c>
    </row>
    <row r="105" spans="1:3" x14ac:dyDescent="0.25">
      <c r="A105" s="23" t="s">
        <v>11</v>
      </c>
      <c r="B105" s="112">
        <f>SUM(B99:B104)</f>
        <v>3705340.9299999988</v>
      </c>
    </row>
    <row r="106" spans="1:3" ht="34.5" customHeight="1" x14ac:dyDescent="0.25">
      <c r="B106" s="38"/>
      <c r="C106" s="40"/>
    </row>
    <row r="108" spans="1:3" x14ac:dyDescent="0.25">
      <c r="A108" s="162" t="s">
        <v>78</v>
      </c>
      <c r="B108" s="162"/>
    </row>
    <row r="109" spans="1:3" ht="27.75" customHeight="1" x14ac:dyDescent="0.25">
      <c r="A109" s="162"/>
      <c r="B109" s="162"/>
    </row>
    <row r="110" spans="1:3" ht="32.25" customHeight="1" x14ac:dyDescent="0.25">
      <c r="A110" s="105"/>
      <c r="B110" s="30"/>
    </row>
    <row r="111" spans="1:3" ht="32.25" customHeight="1" x14ac:dyDescent="0.25">
      <c r="A111" s="105"/>
      <c r="B111" s="30"/>
    </row>
    <row r="112" spans="1:3" ht="32.25" customHeight="1" x14ac:dyDescent="0.25">
      <c r="A112" s="105"/>
      <c r="B112" s="30"/>
    </row>
    <row r="113" spans="1:12" ht="32.25" customHeight="1" x14ac:dyDescent="0.25">
      <c r="A113" s="105"/>
      <c r="B113" s="30"/>
    </row>
    <row r="114" spans="1:12" ht="32.25" customHeight="1" x14ac:dyDescent="0.25">
      <c r="A114" s="105"/>
      <c r="B114" s="30"/>
    </row>
    <row r="115" spans="1:12" ht="24.75" customHeight="1" x14ac:dyDescent="0.25">
      <c r="A115" s="105"/>
      <c r="B115" s="129"/>
    </row>
    <row r="116" spans="1:12" x14ac:dyDescent="0.25">
      <c r="A116" s="41" t="s">
        <v>11</v>
      </c>
      <c r="B116" s="106">
        <f>SUM(B110:B115)</f>
        <v>0</v>
      </c>
    </row>
    <row r="117" spans="1:12" x14ac:dyDescent="0.25">
      <c r="L117" s="8"/>
    </row>
    <row r="118" spans="1:12" ht="15" customHeight="1" x14ac:dyDescent="0.25">
      <c r="A118" s="161"/>
      <c r="B118" s="161"/>
      <c r="C118" s="161"/>
      <c r="D118" s="161"/>
    </row>
    <row r="119" spans="1:12" x14ac:dyDescent="0.25">
      <c r="A119" s="161"/>
      <c r="B119" s="161"/>
      <c r="C119" s="161"/>
      <c r="D119" s="161"/>
    </row>
    <row r="120" spans="1:12" x14ac:dyDescent="0.25">
      <c r="A120" s="161"/>
      <c r="B120" s="161"/>
      <c r="C120" s="161"/>
      <c r="D120" s="161"/>
    </row>
    <row r="121" spans="1:12" x14ac:dyDescent="0.25">
      <c r="A121" s="161"/>
      <c r="B121" s="161"/>
      <c r="C121" s="161"/>
      <c r="D121" s="161"/>
    </row>
  </sheetData>
  <mergeCells count="16">
    <mergeCell ref="A118:D121"/>
    <mergeCell ref="A108:B109"/>
    <mergeCell ref="A94:D96"/>
    <mergeCell ref="A79:B79"/>
    <mergeCell ref="A78:B78"/>
    <mergeCell ref="A72:C72"/>
    <mergeCell ref="A65:B65"/>
    <mergeCell ref="A57:B57"/>
    <mergeCell ref="A63:B63"/>
    <mergeCell ref="A64:B64"/>
    <mergeCell ref="F27:G28"/>
    <mergeCell ref="B9:B11"/>
    <mergeCell ref="A44:B44"/>
    <mergeCell ref="A4:B7"/>
    <mergeCell ref="A45:B45"/>
    <mergeCell ref="A14:D1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opLeftCell="B1" zoomScaleNormal="100" workbookViewId="0">
      <selection activeCell="O3" sqref="O3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4.710937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64" t="s">
        <v>150</v>
      </c>
      <c r="C1" s="164"/>
      <c r="D1" s="164"/>
      <c r="E1" s="164"/>
      <c r="F1" s="164"/>
      <c r="G1" s="164"/>
      <c r="H1" s="164"/>
      <c r="I1" s="164"/>
      <c r="J1" s="164"/>
      <c r="K1" s="164"/>
      <c r="L1" s="6"/>
      <c r="M1" s="6"/>
      <c r="N1" s="6"/>
      <c r="O1" s="6"/>
      <c r="P1" s="6"/>
    </row>
    <row r="2" spans="1:19" ht="33.75" customHeight="1" x14ac:dyDescent="0.25">
      <c r="A2" s="6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7" t="s">
        <v>4</v>
      </c>
      <c r="M2" s="6"/>
      <c r="N2" s="6"/>
      <c r="O2" s="130">
        <v>9000000</v>
      </c>
      <c r="P2" s="47"/>
      <c r="Q2" s="14"/>
    </row>
    <row r="3" spans="1:19" ht="15.75" customHeight="1" thickBot="1" x14ac:dyDescent="0.3">
      <c r="A3" s="6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7" t="s">
        <v>93</v>
      </c>
      <c r="M3" s="6"/>
      <c r="N3" s="6"/>
      <c r="O3" s="48"/>
      <c r="P3" s="52"/>
    </row>
    <row r="4" spans="1:19" x14ac:dyDescent="0.25">
      <c r="A4" s="178" t="s">
        <v>5</v>
      </c>
      <c r="B4" s="180" t="s">
        <v>6</v>
      </c>
      <c r="C4" s="168" t="s">
        <v>7</v>
      </c>
      <c r="D4" s="168" t="s">
        <v>8</v>
      </c>
      <c r="E4" s="168" t="s">
        <v>48</v>
      </c>
      <c r="F4" s="168" t="s">
        <v>28</v>
      </c>
      <c r="G4" s="168" t="s">
        <v>89</v>
      </c>
      <c r="H4" s="168" t="s">
        <v>9</v>
      </c>
      <c r="I4" s="168" t="s">
        <v>49</v>
      </c>
      <c r="J4" s="173" t="s">
        <v>50</v>
      </c>
      <c r="K4" s="170" t="s">
        <v>47</v>
      </c>
      <c r="L4" s="170" t="s">
        <v>10</v>
      </c>
      <c r="M4" s="170" t="s">
        <v>46</v>
      </c>
      <c r="N4" s="176" t="s">
        <v>87</v>
      </c>
      <c r="O4" s="55" t="s">
        <v>86</v>
      </c>
      <c r="P4" s="166" t="s">
        <v>85</v>
      </c>
      <c r="S4" s="40"/>
    </row>
    <row r="5" spans="1:19" ht="15.75" customHeight="1" x14ac:dyDescent="0.25">
      <c r="A5" s="179"/>
      <c r="B5" s="181"/>
      <c r="C5" s="172"/>
      <c r="D5" s="172"/>
      <c r="E5" s="169"/>
      <c r="F5" s="172"/>
      <c r="G5" s="172"/>
      <c r="H5" s="172"/>
      <c r="I5" s="169"/>
      <c r="J5" s="174"/>
      <c r="K5" s="171"/>
      <c r="L5" s="175"/>
      <c r="M5" s="171"/>
      <c r="N5" s="177"/>
      <c r="O5" s="53" t="str">
        <f>RESUMEN!B9</f>
        <v>VTO 14/11</v>
      </c>
      <c r="P5" s="167"/>
    </row>
    <row r="6" spans="1:19" ht="17.100000000000001" customHeight="1" x14ac:dyDescent="0.25">
      <c r="A6" s="5" t="s">
        <v>12</v>
      </c>
      <c r="B6" s="56">
        <v>1</v>
      </c>
      <c r="C6" s="56" t="s">
        <v>51</v>
      </c>
      <c r="D6" s="56" t="s">
        <v>95</v>
      </c>
      <c r="E6" s="56"/>
      <c r="F6" s="62">
        <v>4.57</v>
      </c>
      <c r="G6" s="63">
        <v>309800.01</v>
      </c>
      <c r="H6" s="64">
        <v>300000</v>
      </c>
      <c r="I6" s="65"/>
      <c r="J6" s="66">
        <f>G6-H6</f>
        <v>9800.0100000000093</v>
      </c>
      <c r="K6" s="66">
        <f>IF(J6&gt;0,J6*2.95%,0)</f>
        <v>289.1002950000003</v>
      </c>
      <c r="L6" s="67">
        <f>O$3*F6%</f>
        <v>0</v>
      </c>
      <c r="M6" s="67">
        <f>O$2*F6%</f>
        <v>411300.00000000006</v>
      </c>
      <c r="N6" s="68">
        <v>0</v>
      </c>
      <c r="O6" s="69">
        <f t="shared" ref="O6:O33" si="0">ROUND(SUM(J6:N6),0) + Q6</f>
        <v>421389.01</v>
      </c>
      <c r="P6" s="70">
        <f t="shared" ref="P6:P33" si="1">ROUND(O6*3%,0) + O6</f>
        <v>434031.01</v>
      </c>
      <c r="Q6" s="40">
        <v>0.01</v>
      </c>
    </row>
    <row r="7" spans="1:19" ht="17.100000000000001" customHeight="1" x14ac:dyDescent="0.25">
      <c r="A7" s="5" t="s">
        <v>13</v>
      </c>
      <c r="B7" s="56">
        <v>2</v>
      </c>
      <c r="C7" s="56" t="s">
        <v>52</v>
      </c>
      <c r="D7" s="56" t="s">
        <v>96</v>
      </c>
      <c r="E7" s="57"/>
      <c r="F7" s="62">
        <v>3.07</v>
      </c>
      <c r="G7" s="63">
        <v>441287.02</v>
      </c>
      <c r="H7" s="64">
        <v>214900</v>
      </c>
      <c r="I7" s="65"/>
      <c r="J7" s="66">
        <f t="shared" ref="J7:J31" si="2">G7-H7</f>
        <v>226387.02000000002</v>
      </c>
      <c r="K7" s="66">
        <f t="shared" ref="K7:K32" si="3">IF(J7&gt;0,J7*2.95%,0)</f>
        <v>6678.4170900000008</v>
      </c>
      <c r="L7" s="67">
        <f t="shared" ref="L7:L33" si="4">O$3*F7%</f>
        <v>0</v>
      </c>
      <c r="M7" s="67">
        <f t="shared" ref="M7:M33" si="5">O$2*F7%</f>
        <v>276300</v>
      </c>
      <c r="N7" s="68">
        <v>0</v>
      </c>
      <c r="O7" s="69">
        <f t="shared" si="0"/>
        <v>509365.02</v>
      </c>
      <c r="P7" s="70">
        <f t="shared" si="1"/>
        <v>524646.02</v>
      </c>
      <c r="Q7" s="40">
        <f>Q6+0.01</f>
        <v>0.02</v>
      </c>
      <c r="R7" s="40" t="s">
        <v>171</v>
      </c>
    </row>
    <row r="8" spans="1:19" ht="32.25" customHeight="1" x14ac:dyDescent="0.25">
      <c r="A8" s="5" t="s">
        <v>13</v>
      </c>
      <c r="B8" s="56">
        <v>3</v>
      </c>
      <c r="C8" s="56" t="s">
        <v>53</v>
      </c>
      <c r="D8" s="137" t="s">
        <v>149</v>
      </c>
      <c r="E8" s="57"/>
      <c r="F8" s="62">
        <v>4.55</v>
      </c>
      <c r="G8" s="63">
        <v>2192843.0299999998</v>
      </c>
      <c r="H8" s="64">
        <v>318500</v>
      </c>
      <c r="I8" s="65"/>
      <c r="J8" s="66">
        <f t="shared" si="2"/>
        <v>1874343.0299999998</v>
      </c>
      <c r="K8" s="66">
        <f t="shared" si="3"/>
        <v>55293.119384999998</v>
      </c>
      <c r="L8" s="67">
        <f t="shared" si="4"/>
        <v>0</v>
      </c>
      <c r="M8" s="67">
        <f t="shared" si="5"/>
        <v>409500</v>
      </c>
      <c r="N8" s="68">
        <v>0</v>
      </c>
      <c r="O8" s="69">
        <f t="shared" si="0"/>
        <v>2339136.0299999998</v>
      </c>
      <c r="P8" s="70">
        <f t="shared" si="1"/>
        <v>2409310.0299999998</v>
      </c>
      <c r="Q8" s="40">
        <f t="shared" ref="Q8:Q32" si="6">Q7+0.01</f>
        <v>0.03</v>
      </c>
    </row>
    <row r="9" spans="1:19" ht="17.100000000000001" customHeight="1" x14ac:dyDescent="0.25">
      <c r="A9" s="5" t="s">
        <v>14</v>
      </c>
      <c r="B9" s="56">
        <v>4</v>
      </c>
      <c r="C9" s="56" t="s">
        <v>54</v>
      </c>
      <c r="D9" s="56" t="s">
        <v>97</v>
      </c>
      <c r="E9" s="57"/>
      <c r="F9" s="62">
        <v>3.05</v>
      </c>
      <c r="G9" s="63">
        <v>191479.04000000001</v>
      </c>
      <c r="H9" s="64">
        <v>220000</v>
      </c>
      <c r="I9" s="65"/>
      <c r="J9" s="66">
        <f t="shared" si="2"/>
        <v>-28520.959999999992</v>
      </c>
      <c r="K9" s="66">
        <f t="shared" si="3"/>
        <v>0</v>
      </c>
      <c r="L9" s="67">
        <f t="shared" si="4"/>
        <v>0</v>
      </c>
      <c r="M9" s="67">
        <f t="shared" si="5"/>
        <v>274500</v>
      </c>
      <c r="N9" s="68">
        <v>0</v>
      </c>
      <c r="O9" s="69">
        <f t="shared" si="0"/>
        <v>245979.04</v>
      </c>
      <c r="P9" s="70">
        <f t="shared" si="1"/>
        <v>253358.04</v>
      </c>
      <c r="Q9" s="40">
        <f t="shared" si="6"/>
        <v>0.04</v>
      </c>
      <c r="R9" t="s">
        <v>144</v>
      </c>
      <c r="S9" s="40"/>
    </row>
    <row r="10" spans="1:19" ht="17.100000000000001" customHeight="1" x14ac:dyDescent="0.25">
      <c r="A10" s="5" t="s">
        <v>14</v>
      </c>
      <c r="B10" s="56">
        <v>5</v>
      </c>
      <c r="C10" s="56" t="s">
        <v>55</v>
      </c>
      <c r="D10" s="56" t="s">
        <v>98</v>
      </c>
      <c r="E10" s="57"/>
      <c r="F10" s="62">
        <v>4.55</v>
      </c>
      <c r="G10" s="63">
        <v>316848.05</v>
      </c>
      <c r="H10" s="64">
        <f>127000+RESUMEN!C63+RESUMEN!C64</f>
        <v>317000</v>
      </c>
      <c r="I10" s="65"/>
      <c r="J10" s="66">
        <f t="shared" si="2"/>
        <v>-151.95000000001164</v>
      </c>
      <c r="K10" s="66">
        <f t="shared" si="3"/>
        <v>0</v>
      </c>
      <c r="L10" s="67">
        <f t="shared" si="4"/>
        <v>0</v>
      </c>
      <c r="M10" s="67">
        <f t="shared" si="5"/>
        <v>409500</v>
      </c>
      <c r="N10" s="68">
        <v>0</v>
      </c>
      <c r="O10" s="69">
        <f t="shared" si="0"/>
        <v>409348.05</v>
      </c>
      <c r="P10" s="70">
        <f t="shared" si="1"/>
        <v>421628.05</v>
      </c>
      <c r="Q10" s="40">
        <f t="shared" si="6"/>
        <v>0.05</v>
      </c>
      <c r="S10" s="40"/>
    </row>
    <row r="11" spans="1:19" ht="17.100000000000001" customHeight="1" x14ac:dyDescent="0.25">
      <c r="A11" s="5" t="s">
        <v>15</v>
      </c>
      <c r="B11" s="56">
        <v>6</v>
      </c>
      <c r="C11" s="56" t="s">
        <v>56</v>
      </c>
      <c r="D11" s="56" t="s">
        <v>99</v>
      </c>
      <c r="E11" s="56"/>
      <c r="F11" s="62">
        <v>3.05</v>
      </c>
      <c r="G11" s="63">
        <v>213500.06</v>
      </c>
      <c r="H11" s="64">
        <v>219905.06</v>
      </c>
      <c r="I11" s="65"/>
      <c r="J11" s="66">
        <f t="shared" si="2"/>
        <v>-6405</v>
      </c>
      <c r="K11" s="66">
        <f t="shared" si="3"/>
        <v>0</v>
      </c>
      <c r="L11" s="67">
        <f t="shared" si="4"/>
        <v>0</v>
      </c>
      <c r="M11" s="67">
        <f t="shared" si="5"/>
        <v>274500</v>
      </c>
      <c r="N11" s="68">
        <v>0</v>
      </c>
      <c r="O11" s="69">
        <f t="shared" si="0"/>
        <v>268095.06</v>
      </c>
      <c r="P11" s="70">
        <f t="shared" si="1"/>
        <v>276138.06</v>
      </c>
      <c r="Q11" s="40">
        <f t="shared" si="6"/>
        <v>6.0000000000000005E-2</v>
      </c>
    </row>
    <row r="12" spans="1:19" ht="17.100000000000001" customHeight="1" x14ac:dyDescent="0.25">
      <c r="A12" s="5" t="s">
        <v>15</v>
      </c>
      <c r="B12" s="56">
        <v>7</v>
      </c>
      <c r="C12" s="135" t="s">
        <v>57</v>
      </c>
      <c r="D12" s="135" t="s">
        <v>100</v>
      </c>
      <c r="E12" s="56"/>
      <c r="F12" s="62">
        <v>4.55</v>
      </c>
      <c r="G12" s="63">
        <v>318500.07</v>
      </c>
      <c r="H12" s="64">
        <v>320000</v>
      </c>
      <c r="I12" s="65"/>
      <c r="J12" s="66">
        <f t="shared" si="2"/>
        <v>-1499.929999999993</v>
      </c>
      <c r="K12" s="66">
        <f t="shared" si="3"/>
        <v>0</v>
      </c>
      <c r="L12" s="67">
        <f t="shared" si="4"/>
        <v>0</v>
      </c>
      <c r="M12" s="67">
        <f t="shared" si="5"/>
        <v>409500</v>
      </c>
      <c r="N12" s="68">
        <v>0</v>
      </c>
      <c r="O12" s="69">
        <f t="shared" si="0"/>
        <v>408000.07</v>
      </c>
      <c r="P12" s="70">
        <f t="shared" si="1"/>
        <v>420240.07</v>
      </c>
      <c r="Q12" s="40">
        <f t="shared" si="6"/>
        <v>7.0000000000000007E-2</v>
      </c>
      <c r="R12" s="131"/>
      <c r="S12" s="128"/>
    </row>
    <row r="13" spans="1:19" ht="17.100000000000001" customHeight="1" x14ac:dyDescent="0.25">
      <c r="A13" s="5" t="s">
        <v>16</v>
      </c>
      <c r="B13" s="56">
        <v>8</v>
      </c>
      <c r="C13" s="56" t="s">
        <v>58</v>
      </c>
      <c r="D13" s="56" t="s">
        <v>101</v>
      </c>
      <c r="E13" s="57"/>
      <c r="F13" s="62">
        <v>3.05</v>
      </c>
      <c r="G13" s="63">
        <v>213500.08</v>
      </c>
      <c r="H13" s="64">
        <v>219305.08</v>
      </c>
      <c r="I13" s="65"/>
      <c r="J13" s="66">
        <f t="shared" si="2"/>
        <v>-5805</v>
      </c>
      <c r="K13" s="66">
        <f t="shared" si="3"/>
        <v>0</v>
      </c>
      <c r="L13" s="67">
        <f t="shared" si="4"/>
        <v>0</v>
      </c>
      <c r="M13" s="67">
        <f t="shared" si="5"/>
        <v>274500</v>
      </c>
      <c r="N13" s="68">
        <v>0</v>
      </c>
      <c r="O13" s="69">
        <f t="shared" si="0"/>
        <v>268695.08</v>
      </c>
      <c r="P13" s="70">
        <f t="shared" si="1"/>
        <v>276756.08</v>
      </c>
      <c r="Q13" s="40">
        <f t="shared" si="6"/>
        <v>0.08</v>
      </c>
    </row>
    <row r="14" spans="1:19" ht="17.100000000000001" customHeight="1" x14ac:dyDescent="0.25">
      <c r="A14" s="5" t="s">
        <v>16</v>
      </c>
      <c r="B14" s="56">
        <v>9</v>
      </c>
      <c r="C14" s="56" t="s">
        <v>59</v>
      </c>
      <c r="D14" s="56" t="s">
        <v>102</v>
      </c>
      <c r="E14" s="57"/>
      <c r="F14" s="62">
        <v>4.5599999999999996</v>
      </c>
      <c r="G14" s="63">
        <v>319200.09000000003</v>
      </c>
      <c r="H14" s="139">
        <f>176000+80000+64000</f>
        <v>320000</v>
      </c>
      <c r="I14" s="65"/>
      <c r="J14" s="66">
        <f t="shared" si="2"/>
        <v>-799.90999999997439</v>
      </c>
      <c r="K14" s="66">
        <f t="shared" si="3"/>
        <v>0</v>
      </c>
      <c r="L14" s="67">
        <f t="shared" si="4"/>
        <v>0</v>
      </c>
      <c r="M14" s="67">
        <f t="shared" si="5"/>
        <v>410399.99999999994</v>
      </c>
      <c r="N14" s="68">
        <v>0</v>
      </c>
      <c r="O14" s="69">
        <f t="shared" si="0"/>
        <v>409600.09</v>
      </c>
      <c r="P14" s="70">
        <f t="shared" si="1"/>
        <v>421888.09</v>
      </c>
      <c r="Q14" s="40">
        <f t="shared" si="6"/>
        <v>0.09</v>
      </c>
      <c r="R14" t="s">
        <v>170</v>
      </c>
    </row>
    <row r="15" spans="1:19" ht="17.100000000000001" customHeight="1" x14ac:dyDescent="0.25">
      <c r="A15" s="5" t="s">
        <v>17</v>
      </c>
      <c r="B15" s="56">
        <v>10</v>
      </c>
      <c r="C15" s="56" t="s">
        <v>60</v>
      </c>
      <c r="D15" s="56" t="s">
        <v>103</v>
      </c>
      <c r="E15" s="57"/>
      <c r="F15" s="62">
        <v>3.05</v>
      </c>
      <c r="G15" s="63">
        <v>438298.1</v>
      </c>
      <c r="H15" s="64">
        <v>213500</v>
      </c>
      <c r="I15" s="65"/>
      <c r="J15" s="66">
        <f t="shared" si="2"/>
        <v>224798.09999999998</v>
      </c>
      <c r="K15" s="66">
        <f t="shared" si="3"/>
        <v>6631.5439499999993</v>
      </c>
      <c r="L15" s="67">
        <f t="shared" si="4"/>
        <v>0</v>
      </c>
      <c r="M15" s="67">
        <f t="shared" si="5"/>
        <v>274500</v>
      </c>
      <c r="N15" s="68">
        <v>0</v>
      </c>
      <c r="O15" s="69">
        <f t="shared" si="0"/>
        <v>505930.1</v>
      </c>
      <c r="P15" s="70">
        <f t="shared" si="1"/>
        <v>521108.1</v>
      </c>
      <c r="Q15" s="40">
        <f t="shared" si="6"/>
        <v>9.9999999999999992E-2</v>
      </c>
      <c r="R15" t="s">
        <v>173</v>
      </c>
    </row>
    <row r="16" spans="1:19" ht="17.100000000000001" customHeight="1" x14ac:dyDescent="0.25">
      <c r="A16" s="5" t="s">
        <v>17</v>
      </c>
      <c r="B16" s="56">
        <v>11</v>
      </c>
      <c r="C16" s="56" t="s">
        <v>61</v>
      </c>
      <c r="D16" s="56" t="s">
        <v>104</v>
      </c>
      <c r="E16" s="57"/>
      <c r="F16" s="62">
        <v>4.55</v>
      </c>
      <c r="G16" s="63">
        <v>318500.11</v>
      </c>
      <c r="H16" s="65">
        <f>G16</f>
        <v>318500.11</v>
      </c>
      <c r="I16" s="65"/>
      <c r="J16" s="66">
        <f t="shared" si="2"/>
        <v>0</v>
      </c>
      <c r="K16" s="66">
        <f t="shared" si="3"/>
        <v>0</v>
      </c>
      <c r="L16" s="67">
        <f t="shared" si="4"/>
        <v>0</v>
      </c>
      <c r="M16" s="67">
        <f t="shared" si="5"/>
        <v>409500</v>
      </c>
      <c r="N16" s="68">
        <v>0</v>
      </c>
      <c r="O16" s="69">
        <f t="shared" si="0"/>
        <v>409500.11</v>
      </c>
      <c r="P16" s="70">
        <f t="shared" si="1"/>
        <v>421785.11</v>
      </c>
      <c r="Q16" s="40">
        <f t="shared" si="6"/>
        <v>0.10999999999999999</v>
      </c>
    </row>
    <row r="17" spans="1:19" ht="17.100000000000001" customHeight="1" x14ac:dyDescent="0.25">
      <c r="A17" s="5" t="s">
        <v>18</v>
      </c>
      <c r="B17" s="56">
        <v>12</v>
      </c>
      <c r="C17" s="56" t="s">
        <v>62</v>
      </c>
      <c r="D17" s="56" t="s">
        <v>105</v>
      </c>
      <c r="E17" s="57"/>
      <c r="F17" s="62">
        <v>3.05</v>
      </c>
      <c r="G17" s="63">
        <v>212641.12</v>
      </c>
      <c r="H17" s="64">
        <f>166000+46641</f>
        <v>212641</v>
      </c>
      <c r="I17" s="65"/>
      <c r="J17" s="66">
        <f t="shared" si="2"/>
        <v>0.11999999999534339</v>
      </c>
      <c r="K17" s="66">
        <f t="shared" si="3"/>
        <v>3.53999999986263E-3</v>
      </c>
      <c r="L17" s="67">
        <f t="shared" si="4"/>
        <v>0</v>
      </c>
      <c r="M17" s="67">
        <f t="shared" si="5"/>
        <v>274500</v>
      </c>
      <c r="N17" s="68">
        <v>0</v>
      </c>
      <c r="O17" s="69">
        <f t="shared" si="0"/>
        <v>274500.12</v>
      </c>
      <c r="P17" s="70">
        <f t="shared" si="1"/>
        <v>282735.12</v>
      </c>
      <c r="Q17" s="40">
        <f t="shared" si="6"/>
        <v>0.11999999999999998</v>
      </c>
    </row>
    <row r="18" spans="1:19" ht="17.100000000000001" customHeight="1" x14ac:dyDescent="0.25">
      <c r="A18" s="5" t="s">
        <v>18</v>
      </c>
      <c r="B18" s="56">
        <v>13</v>
      </c>
      <c r="C18" s="56" t="s">
        <v>63</v>
      </c>
      <c r="D18" s="56" t="s">
        <v>106</v>
      </c>
      <c r="E18" s="57"/>
      <c r="F18" s="62">
        <v>4.55</v>
      </c>
      <c r="G18" s="63">
        <v>308945.13</v>
      </c>
      <c r="H18" s="65">
        <v>318213.13</v>
      </c>
      <c r="I18" s="65"/>
      <c r="J18" s="66">
        <f t="shared" si="2"/>
        <v>-9268</v>
      </c>
      <c r="K18" s="66">
        <f t="shared" si="3"/>
        <v>0</v>
      </c>
      <c r="L18" s="67">
        <f t="shared" si="4"/>
        <v>0</v>
      </c>
      <c r="M18" s="67">
        <f t="shared" si="5"/>
        <v>409500</v>
      </c>
      <c r="N18" s="68">
        <v>0</v>
      </c>
      <c r="O18" s="69">
        <f t="shared" si="0"/>
        <v>400232.13</v>
      </c>
      <c r="P18" s="70">
        <f t="shared" si="1"/>
        <v>412239.13</v>
      </c>
      <c r="Q18" s="40">
        <f t="shared" si="6"/>
        <v>0.12999999999999998</v>
      </c>
    </row>
    <row r="19" spans="1:19" ht="17.100000000000001" customHeight="1" x14ac:dyDescent="0.25">
      <c r="A19" s="5" t="s">
        <v>19</v>
      </c>
      <c r="B19" s="56">
        <v>14</v>
      </c>
      <c r="C19" s="56" t="s">
        <v>64</v>
      </c>
      <c r="D19" s="56" t="s">
        <v>107</v>
      </c>
      <c r="E19" s="57"/>
      <c r="F19" s="62">
        <v>3.18</v>
      </c>
      <c r="G19" s="63">
        <v>222600.14</v>
      </c>
      <c r="H19" s="64">
        <v>229278.14</v>
      </c>
      <c r="I19" s="65"/>
      <c r="J19" s="66">
        <f t="shared" si="2"/>
        <v>-6678</v>
      </c>
      <c r="K19" s="66">
        <f t="shared" si="3"/>
        <v>0</v>
      </c>
      <c r="L19" s="67">
        <f t="shared" si="4"/>
        <v>0</v>
      </c>
      <c r="M19" s="67">
        <f t="shared" si="5"/>
        <v>286200</v>
      </c>
      <c r="N19" s="68">
        <v>0</v>
      </c>
      <c r="O19" s="69">
        <f t="shared" si="0"/>
        <v>279522.14</v>
      </c>
      <c r="P19" s="70">
        <f t="shared" si="1"/>
        <v>287908.14</v>
      </c>
      <c r="Q19" s="40">
        <f t="shared" si="6"/>
        <v>0.13999999999999999</v>
      </c>
    </row>
    <row r="20" spans="1:19" ht="17.100000000000001" customHeight="1" x14ac:dyDescent="0.25">
      <c r="A20" s="5" t="s">
        <v>19</v>
      </c>
      <c r="B20" s="56">
        <v>15</v>
      </c>
      <c r="C20" s="56" t="s">
        <v>65</v>
      </c>
      <c r="D20" s="56" t="s">
        <v>108</v>
      </c>
      <c r="E20" s="57"/>
      <c r="F20" s="62">
        <v>4.55</v>
      </c>
      <c r="G20" s="63">
        <v>318500.15000000002</v>
      </c>
      <c r="H20" s="64">
        <f>G20</f>
        <v>318500.15000000002</v>
      </c>
      <c r="I20" s="65"/>
      <c r="J20" s="66">
        <f t="shared" si="2"/>
        <v>0</v>
      </c>
      <c r="K20" s="66">
        <f t="shared" si="3"/>
        <v>0</v>
      </c>
      <c r="L20" s="67">
        <f t="shared" si="4"/>
        <v>0</v>
      </c>
      <c r="M20" s="67">
        <f t="shared" si="5"/>
        <v>409500</v>
      </c>
      <c r="N20" s="68">
        <v>0</v>
      </c>
      <c r="O20" s="69">
        <f t="shared" si="0"/>
        <v>409500.15</v>
      </c>
      <c r="P20" s="70">
        <f t="shared" si="1"/>
        <v>421785.15</v>
      </c>
      <c r="Q20" s="40">
        <f t="shared" si="6"/>
        <v>0.15</v>
      </c>
    </row>
    <row r="21" spans="1:19" ht="17.100000000000001" customHeight="1" x14ac:dyDescent="0.25">
      <c r="A21" s="5" t="s">
        <v>20</v>
      </c>
      <c r="B21" s="56">
        <v>16</v>
      </c>
      <c r="C21" s="56" t="s">
        <v>66</v>
      </c>
      <c r="D21" s="56" t="s">
        <v>109</v>
      </c>
      <c r="E21" s="56"/>
      <c r="F21" s="62">
        <v>3.17</v>
      </c>
      <c r="G21" s="63">
        <v>221900.16</v>
      </c>
      <c r="H21" s="64">
        <v>229000</v>
      </c>
      <c r="I21" s="65"/>
      <c r="J21" s="66">
        <f t="shared" si="2"/>
        <v>-7099.8399999999965</v>
      </c>
      <c r="K21" s="66">
        <f t="shared" si="3"/>
        <v>0</v>
      </c>
      <c r="L21" s="67">
        <f t="shared" si="4"/>
        <v>0</v>
      </c>
      <c r="M21" s="67">
        <f t="shared" si="5"/>
        <v>285300</v>
      </c>
      <c r="N21" s="68">
        <v>0</v>
      </c>
      <c r="O21" s="69">
        <f t="shared" si="0"/>
        <v>278200.15999999997</v>
      </c>
      <c r="P21" s="70">
        <f t="shared" si="1"/>
        <v>286546.15999999997</v>
      </c>
      <c r="Q21" s="40">
        <f t="shared" si="6"/>
        <v>0.16</v>
      </c>
      <c r="R21" t="s">
        <v>172</v>
      </c>
      <c r="S21" s="39"/>
    </row>
    <row r="22" spans="1:19" ht="17.100000000000001" customHeight="1" x14ac:dyDescent="0.25">
      <c r="A22" s="5" t="s">
        <v>20</v>
      </c>
      <c r="B22" s="56">
        <v>17</v>
      </c>
      <c r="C22" s="56" t="s">
        <v>67</v>
      </c>
      <c r="D22" s="56" t="s">
        <v>110</v>
      </c>
      <c r="E22" s="57"/>
      <c r="F22" s="62">
        <v>4.55</v>
      </c>
      <c r="G22" s="64">
        <v>646396.17000000004</v>
      </c>
      <c r="H22" s="64">
        <f>G22</f>
        <v>646396.17000000004</v>
      </c>
      <c r="I22" s="65"/>
      <c r="J22" s="66">
        <f t="shared" si="2"/>
        <v>0</v>
      </c>
      <c r="K22" s="66">
        <f t="shared" si="3"/>
        <v>0</v>
      </c>
      <c r="L22" s="67">
        <f t="shared" si="4"/>
        <v>0</v>
      </c>
      <c r="M22" s="67">
        <f t="shared" si="5"/>
        <v>409500</v>
      </c>
      <c r="N22" s="68">
        <v>0</v>
      </c>
      <c r="O22" s="69">
        <f t="shared" si="0"/>
        <v>409500.17</v>
      </c>
      <c r="P22" s="70">
        <f t="shared" si="1"/>
        <v>421785.17</v>
      </c>
      <c r="Q22" s="40">
        <f t="shared" si="6"/>
        <v>0.17</v>
      </c>
    </row>
    <row r="23" spans="1:19" ht="17.100000000000001" customHeight="1" x14ac:dyDescent="0.25">
      <c r="A23" s="5" t="s">
        <v>21</v>
      </c>
      <c r="B23" s="56">
        <v>18</v>
      </c>
      <c r="C23" s="56" t="s">
        <v>68</v>
      </c>
      <c r="D23" s="56" t="s">
        <v>111</v>
      </c>
      <c r="E23" s="56"/>
      <c r="F23" s="62">
        <v>3.17</v>
      </c>
      <c r="G23" s="63">
        <v>215570.18</v>
      </c>
      <c r="H23" s="64">
        <f>G23</f>
        <v>215570.18</v>
      </c>
      <c r="I23" s="65"/>
      <c r="J23" s="66">
        <f t="shared" si="2"/>
        <v>0</v>
      </c>
      <c r="K23" s="66">
        <f t="shared" si="3"/>
        <v>0</v>
      </c>
      <c r="L23" s="67">
        <f t="shared" si="4"/>
        <v>0</v>
      </c>
      <c r="M23" s="67">
        <f t="shared" si="5"/>
        <v>285300</v>
      </c>
      <c r="N23" s="68">
        <v>0</v>
      </c>
      <c r="O23" s="69">
        <f t="shared" si="0"/>
        <v>285300.18</v>
      </c>
      <c r="P23" s="70">
        <f t="shared" si="1"/>
        <v>293859.18</v>
      </c>
      <c r="Q23" s="40">
        <f t="shared" si="6"/>
        <v>0.18000000000000002</v>
      </c>
    </row>
    <row r="24" spans="1:19" ht="17.100000000000001" customHeight="1" x14ac:dyDescent="0.25">
      <c r="A24" s="5" t="s">
        <v>21</v>
      </c>
      <c r="B24" s="56">
        <v>19</v>
      </c>
      <c r="C24" s="56" t="s">
        <v>69</v>
      </c>
      <c r="D24" s="56" t="s">
        <v>112</v>
      </c>
      <c r="E24" s="57"/>
      <c r="F24" s="62">
        <v>4.55</v>
      </c>
      <c r="G24" s="63">
        <v>308945.19</v>
      </c>
      <c r="H24" s="140">
        <f>G24</f>
        <v>308945.19</v>
      </c>
      <c r="I24" s="65"/>
      <c r="J24" s="66">
        <f t="shared" si="2"/>
        <v>0</v>
      </c>
      <c r="K24" s="66">
        <f t="shared" si="3"/>
        <v>0</v>
      </c>
      <c r="L24" s="67">
        <f t="shared" si="4"/>
        <v>0</v>
      </c>
      <c r="M24" s="67">
        <f t="shared" si="5"/>
        <v>409500</v>
      </c>
      <c r="N24" s="68">
        <v>0</v>
      </c>
      <c r="O24" s="69">
        <f t="shared" si="0"/>
        <v>409500.19</v>
      </c>
      <c r="P24" s="70">
        <f t="shared" si="1"/>
        <v>421785.19</v>
      </c>
      <c r="Q24" s="40">
        <f t="shared" si="6"/>
        <v>0.19000000000000003</v>
      </c>
    </row>
    <row r="25" spans="1:19" ht="17.100000000000001" customHeight="1" x14ac:dyDescent="0.25">
      <c r="A25" s="5" t="s">
        <v>22</v>
      </c>
      <c r="B25" s="56">
        <v>20</v>
      </c>
      <c r="C25" s="56" t="s">
        <v>70</v>
      </c>
      <c r="D25" s="56" t="s">
        <v>113</v>
      </c>
      <c r="E25" s="56"/>
      <c r="F25" s="62">
        <v>3.17</v>
      </c>
      <c r="G25" s="64">
        <v>226900.2</v>
      </c>
      <c r="H25" s="64">
        <f>G25</f>
        <v>226900.2</v>
      </c>
      <c r="I25" s="65"/>
      <c r="J25" s="66">
        <f t="shared" si="2"/>
        <v>0</v>
      </c>
      <c r="K25" s="66">
        <f t="shared" si="3"/>
        <v>0</v>
      </c>
      <c r="L25" s="67">
        <f t="shared" si="4"/>
        <v>0</v>
      </c>
      <c r="M25" s="67">
        <f t="shared" si="5"/>
        <v>285300</v>
      </c>
      <c r="N25" s="68">
        <v>0</v>
      </c>
      <c r="O25" s="69">
        <f t="shared" si="0"/>
        <v>285300.2</v>
      </c>
      <c r="P25" s="70">
        <f t="shared" si="1"/>
        <v>293859.20000000001</v>
      </c>
      <c r="Q25" s="40">
        <f t="shared" si="6"/>
        <v>0.20000000000000004</v>
      </c>
      <c r="S25" t="s">
        <v>141</v>
      </c>
    </row>
    <row r="26" spans="1:19" ht="17.100000000000001" customHeight="1" x14ac:dyDescent="0.25">
      <c r="A26" s="5" t="s">
        <v>23</v>
      </c>
      <c r="B26" s="56">
        <v>21</v>
      </c>
      <c r="C26" s="56" t="s">
        <v>71</v>
      </c>
      <c r="D26" s="56" t="s">
        <v>114</v>
      </c>
      <c r="E26" s="57"/>
      <c r="F26" s="62">
        <v>4.55</v>
      </c>
      <c r="G26" s="63">
        <v>318500.21000000002</v>
      </c>
      <c r="H26" s="65">
        <f>G26</f>
        <v>318500.21000000002</v>
      </c>
      <c r="I26" s="65"/>
      <c r="J26" s="66">
        <f t="shared" si="2"/>
        <v>0</v>
      </c>
      <c r="K26" s="66">
        <f t="shared" si="3"/>
        <v>0</v>
      </c>
      <c r="L26" s="67">
        <f t="shared" si="4"/>
        <v>0</v>
      </c>
      <c r="M26" s="67">
        <f t="shared" si="5"/>
        <v>409500</v>
      </c>
      <c r="N26" s="68">
        <v>0</v>
      </c>
      <c r="O26" s="69">
        <f t="shared" si="0"/>
        <v>409500.21</v>
      </c>
      <c r="P26" s="70">
        <f t="shared" si="1"/>
        <v>421785.21</v>
      </c>
      <c r="Q26" s="40">
        <f t="shared" si="6"/>
        <v>0.21000000000000005</v>
      </c>
    </row>
    <row r="27" spans="1:19" ht="17.100000000000001" customHeight="1" x14ac:dyDescent="0.25">
      <c r="A27" s="5" t="s">
        <v>24</v>
      </c>
      <c r="B27" s="56">
        <v>22</v>
      </c>
      <c r="C27" s="56" t="s">
        <v>72</v>
      </c>
      <c r="D27" s="56" t="s">
        <v>115</v>
      </c>
      <c r="E27" s="57"/>
      <c r="F27" s="62">
        <v>3.17</v>
      </c>
      <c r="G27" s="63">
        <v>58990.22</v>
      </c>
      <c r="H27" s="64">
        <f>381870.22</f>
        <v>381870.22</v>
      </c>
      <c r="I27" s="65"/>
      <c r="J27" s="66">
        <f t="shared" si="2"/>
        <v>-322880</v>
      </c>
      <c r="K27" s="66">
        <f t="shared" si="3"/>
        <v>0</v>
      </c>
      <c r="L27" s="67">
        <f t="shared" si="4"/>
        <v>0</v>
      </c>
      <c r="M27" s="67">
        <f t="shared" si="5"/>
        <v>285300</v>
      </c>
      <c r="N27" s="68">
        <v>0</v>
      </c>
      <c r="O27" s="69">
        <f t="shared" si="0"/>
        <v>-37579.78</v>
      </c>
      <c r="P27" s="70">
        <f t="shared" si="1"/>
        <v>-38706.78</v>
      </c>
      <c r="Q27" s="40">
        <f t="shared" si="6"/>
        <v>0.22000000000000006</v>
      </c>
    </row>
    <row r="28" spans="1:19" ht="17.100000000000001" customHeight="1" x14ac:dyDescent="0.25">
      <c r="A28" s="5" t="s">
        <v>25</v>
      </c>
      <c r="B28" s="56">
        <v>23</v>
      </c>
      <c r="C28" s="56" t="s">
        <v>73</v>
      </c>
      <c r="D28" s="56" t="s">
        <v>116</v>
      </c>
      <c r="E28" s="57"/>
      <c r="F28" s="62">
        <v>4.66</v>
      </c>
      <c r="G28" s="63">
        <v>325906.23</v>
      </c>
      <c r="H28" s="65">
        <f>G28</f>
        <v>325906.23</v>
      </c>
      <c r="I28" s="65"/>
      <c r="J28" s="66">
        <f t="shared" si="2"/>
        <v>0</v>
      </c>
      <c r="K28" s="66">
        <f t="shared" si="3"/>
        <v>0</v>
      </c>
      <c r="L28" s="67">
        <f t="shared" si="4"/>
        <v>0</v>
      </c>
      <c r="M28" s="67">
        <f t="shared" si="5"/>
        <v>419400</v>
      </c>
      <c r="N28" s="68">
        <v>0</v>
      </c>
      <c r="O28" s="69">
        <f t="shared" si="0"/>
        <v>419400.23</v>
      </c>
      <c r="P28" s="70">
        <f t="shared" si="1"/>
        <v>431982.23</v>
      </c>
      <c r="Q28" s="40">
        <f t="shared" si="6"/>
        <v>0.23000000000000007</v>
      </c>
    </row>
    <row r="29" spans="1:19" ht="17.100000000000001" customHeight="1" x14ac:dyDescent="0.25">
      <c r="A29" s="5" t="s">
        <v>27</v>
      </c>
      <c r="B29" s="56">
        <v>24</v>
      </c>
      <c r="C29" s="56" t="s">
        <v>74</v>
      </c>
      <c r="D29" s="56" t="s">
        <v>117</v>
      </c>
      <c r="E29" s="57"/>
      <c r="F29" s="62">
        <v>3.21</v>
      </c>
      <c r="G29" s="63">
        <v>224700.24</v>
      </c>
      <c r="H29" s="65">
        <f>G29</f>
        <v>224700.24</v>
      </c>
      <c r="I29" s="65"/>
      <c r="J29" s="66">
        <f t="shared" si="2"/>
        <v>0</v>
      </c>
      <c r="K29" s="66">
        <f t="shared" si="3"/>
        <v>0</v>
      </c>
      <c r="L29" s="67">
        <f t="shared" si="4"/>
        <v>0</v>
      </c>
      <c r="M29" s="67">
        <f t="shared" si="5"/>
        <v>288899.99999999994</v>
      </c>
      <c r="N29" s="68">
        <v>0</v>
      </c>
      <c r="O29" s="69">
        <f t="shared" si="0"/>
        <v>288900.24</v>
      </c>
      <c r="P29" s="70">
        <f t="shared" si="1"/>
        <v>297567.24</v>
      </c>
      <c r="Q29" s="40">
        <f t="shared" si="6"/>
        <v>0.24000000000000007</v>
      </c>
    </row>
    <row r="30" spans="1:19" ht="17.100000000000001" customHeight="1" x14ac:dyDescent="0.25">
      <c r="A30" s="5" t="s">
        <v>27</v>
      </c>
      <c r="B30" s="56">
        <v>25</v>
      </c>
      <c r="C30" s="56" t="s">
        <v>75</v>
      </c>
      <c r="D30" s="56" t="s">
        <v>118</v>
      </c>
      <c r="E30" s="56"/>
      <c r="F30" s="62">
        <v>4.6900000000000004</v>
      </c>
      <c r="G30" s="63">
        <v>328300.25</v>
      </c>
      <c r="H30" s="65">
        <v>338149.25</v>
      </c>
      <c r="I30" s="65"/>
      <c r="J30" s="66">
        <f t="shared" si="2"/>
        <v>-9849</v>
      </c>
      <c r="K30" s="66">
        <f t="shared" si="3"/>
        <v>0</v>
      </c>
      <c r="L30" s="67">
        <f t="shared" si="4"/>
        <v>0</v>
      </c>
      <c r="M30" s="67">
        <f t="shared" si="5"/>
        <v>422100.00000000006</v>
      </c>
      <c r="N30" s="68">
        <v>0</v>
      </c>
      <c r="O30" s="69">
        <f t="shared" si="0"/>
        <v>412251.25</v>
      </c>
      <c r="P30" s="70">
        <f t="shared" si="1"/>
        <v>424619.25</v>
      </c>
      <c r="Q30" s="40">
        <f t="shared" si="6"/>
        <v>0.25000000000000006</v>
      </c>
      <c r="R30" t="s">
        <v>145</v>
      </c>
    </row>
    <row r="31" spans="1:19" ht="17.100000000000001" customHeight="1" x14ac:dyDescent="0.25">
      <c r="A31" s="5" t="s">
        <v>27</v>
      </c>
      <c r="B31" s="56">
        <v>26</v>
      </c>
      <c r="C31" s="56" t="s">
        <v>76</v>
      </c>
      <c r="D31" s="56" t="s">
        <v>119</v>
      </c>
      <c r="E31" s="56"/>
      <c r="F31" s="62">
        <v>3.02</v>
      </c>
      <c r="G31" s="63">
        <v>217742.26</v>
      </c>
      <c r="H31" s="65">
        <f>G31</f>
        <v>217742.26</v>
      </c>
      <c r="I31" s="65"/>
      <c r="J31" s="66">
        <f t="shared" si="2"/>
        <v>0</v>
      </c>
      <c r="K31" s="66">
        <f t="shared" si="3"/>
        <v>0</v>
      </c>
      <c r="L31" s="67">
        <f t="shared" si="4"/>
        <v>0</v>
      </c>
      <c r="M31" s="67">
        <f t="shared" si="5"/>
        <v>271800</v>
      </c>
      <c r="N31" s="68">
        <v>0</v>
      </c>
      <c r="O31" s="69">
        <f t="shared" si="0"/>
        <v>271800.26</v>
      </c>
      <c r="P31" s="70">
        <f t="shared" si="1"/>
        <v>279954.26</v>
      </c>
      <c r="Q31" s="121">
        <f t="shared" si="6"/>
        <v>0.26000000000000006</v>
      </c>
      <c r="R31" s="128"/>
      <c r="S31" t="s">
        <v>142</v>
      </c>
    </row>
    <row r="32" spans="1:19" ht="17.100000000000001" customHeight="1" thickBot="1" x14ac:dyDescent="0.3">
      <c r="A32" s="5" t="s">
        <v>27</v>
      </c>
      <c r="B32" s="56">
        <v>27</v>
      </c>
      <c r="C32" s="56" t="s">
        <v>120</v>
      </c>
      <c r="D32" s="56" t="s">
        <v>121</v>
      </c>
      <c r="E32" s="57"/>
      <c r="F32" s="62">
        <v>0.16</v>
      </c>
      <c r="G32" s="63">
        <v>10648.27</v>
      </c>
      <c r="H32" s="65">
        <f>G32</f>
        <v>10648.27</v>
      </c>
      <c r="I32" s="65"/>
      <c r="J32" s="66">
        <f>G32-H32</f>
        <v>0</v>
      </c>
      <c r="K32" s="66">
        <f t="shared" si="3"/>
        <v>0</v>
      </c>
      <c r="L32" s="67">
        <f t="shared" si="4"/>
        <v>0</v>
      </c>
      <c r="M32" s="67">
        <f>O$2*F32%</f>
        <v>14400</v>
      </c>
      <c r="N32" s="68">
        <v>0</v>
      </c>
      <c r="O32" s="69">
        <f t="shared" si="0"/>
        <v>14400.27</v>
      </c>
      <c r="P32" s="70">
        <f t="shared" si="1"/>
        <v>14832.27</v>
      </c>
      <c r="Q32" s="40">
        <f t="shared" si="6"/>
        <v>0.27000000000000007</v>
      </c>
    </row>
    <row r="33" spans="1:17" ht="15.75" hidden="1" thickBot="1" x14ac:dyDescent="0.3">
      <c r="A33" s="5" t="s">
        <v>27</v>
      </c>
      <c r="B33" s="56"/>
      <c r="C33" s="56"/>
      <c r="D33" s="56"/>
      <c r="E33" s="56"/>
      <c r="F33" s="62"/>
      <c r="G33" s="71" t="s">
        <v>94</v>
      </c>
      <c r="H33" s="64" t="str">
        <f t="shared" ref="H33" si="7">G33</f>
        <v>162450.31</v>
      </c>
      <c r="I33" s="72"/>
      <c r="J33" s="73" t="e">
        <f t="shared" ref="J33" si="8">G33-H33</f>
        <v>#VALUE!</v>
      </c>
      <c r="K33" s="66" t="e">
        <f t="shared" ref="K33" si="9">IF(J33&gt;0,J33*3%,0)</f>
        <v>#VALUE!</v>
      </c>
      <c r="L33" s="67">
        <f t="shared" si="4"/>
        <v>0</v>
      </c>
      <c r="M33" s="74">
        <f t="shared" si="5"/>
        <v>0</v>
      </c>
      <c r="N33" s="75">
        <v>0</v>
      </c>
      <c r="O33" s="69" t="e">
        <f t="shared" si="0"/>
        <v>#VALUE!</v>
      </c>
      <c r="P33" s="70" t="e">
        <f t="shared" si="1"/>
        <v>#VALUE!</v>
      </c>
      <c r="Q33" s="40"/>
    </row>
    <row r="34" spans="1:17" ht="17.100000000000001" customHeight="1" thickBot="1" x14ac:dyDescent="0.3">
      <c r="B34" s="76"/>
      <c r="C34" s="77"/>
      <c r="D34" s="78"/>
      <c r="E34" s="78"/>
      <c r="F34" s="79">
        <f>SUM(F6:F33)</f>
        <v>99.999999999999972</v>
      </c>
      <c r="G34" s="46">
        <f>SUM(G6:G33)</f>
        <v>9440941.7799999993</v>
      </c>
      <c r="H34" s="54">
        <f>SUM(H6:H33)</f>
        <v>7504571.0899999999</v>
      </c>
      <c r="I34" s="54">
        <f t="shared" ref="I34" si="10">SUM(I6:I33)</f>
        <v>0</v>
      </c>
      <c r="J34" s="54"/>
      <c r="K34" s="54"/>
      <c r="L34" s="54">
        <f>SUM(L6:L33)</f>
        <v>0</v>
      </c>
      <c r="M34" s="54">
        <f>SUM(M6:M33)</f>
        <v>9000000</v>
      </c>
      <c r="N34" s="54">
        <f>SUM(N6:N33)</f>
        <v>0</v>
      </c>
      <c r="O34" s="80">
        <f>SUM(O6:O32)</f>
        <v>11005265.779999999</v>
      </c>
      <c r="P34" s="80">
        <f>SUM(P6:P32)</f>
        <v>11335424.779999999</v>
      </c>
    </row>
    <row r="35" spans="1:17" ht="12.75" customHeight="1" x14ac:dyDescent="0.25">
      <c r="D35" s="44"/>
      <c r="E35" s="44"/>
    </row>
    <row r="36" spans="1:17" hidden="1" x14ac:dyDescent="0.25"/>
    <row r="37" spans="1:17" ht="9" customHeight="1" x14ac:dyDescent="0.25">
      <c r="D37" s="161" t="s">
        <v>153</v>
      </c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</row>
    <row r="38" spans="1:17" ht="12" hidden="1" customHeight="1" x14ac:dyDescent="0.25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</row>
    <row r="39" spans="1:17" ht="12" hidden="1" customHeight="1" x14ac:dyDescent="0.25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</row>
    <row r="40" spans="1:17" ht="12" hidden="1" customHeight="1" x14ac:dyDescent="0.25"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</row>
    <row r="41" spans="1:17" ht="12" hidden="1" customHeight="1" x14ac:dyDescent="0.25"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</row>
    <row r="42" spans="1:17" ht="65.25" customHeight="1" x14ac:dyDescent="0.25"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</row>
  </sheetData>
  <mergeCells count="17">
    <mergeCell ref="A4:A5"/>
    <mergeCell ref="B4:B5"/>
    <mergeCell ref="C4:C5"/>
    <mergeCell ref="D4:D5"/>
    <mergeCell ref="F4:F5"/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2025-11-06T13:49:30Z</cp:lastPrinted>
  <dcterms:created xsi:type="dcterms:W3CDTF">2023-09-17T12:29:07Z</dcterms:created>
  <dcterms:modified xsi:type="dcterms:W3CDTF">2025-11-06T13:49:36Z</dcterms:modified>
</cp:coreProperties>
</file>