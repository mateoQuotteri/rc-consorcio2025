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RIN 3219\Mayo\"/>
    </mc:Choice>
  </mc:AlternateContent>
  <xr:revisionPtr revIDLastSave="0" documentId="13_ncr:1_{92574E53-6E0E-4603-AEC4-7801896C9B2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Planilla!$A$1:$N$33</definedName>
    <definedName name="_xlnm.Print_Area" localSheetId="2">RESUMEN!$A$1:$H$103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1" i="27" l="1"/>
  <c r="H78" i="27"/>
  <c r="H55" i="27"/>
  <c r="H33" i="27"/>
  <c r="H21" i="27"/>
  <c r="H42" i="27"/>
  <c r="H50" i="27"/>
  <c r="G26" i="1"/>
  <c r="G32" i="1"/>
  <c r="G13" i="1"/>
  <c r="G9" i="1"/>
  <c r="G11" i="1"/>
  <c r="H72" i="27"/>
  <c r="G1" i="1" l="1"/>
  <c r="H36" i="27"/>
  <c r="F4" i="1"/>
  <c r="G17" i="1"/>
  <c r="G16" i="1"/>
  <c r="G20" i="1" l="1"/>
  <c r="G23" i="1" l="1"/>
  <c r="G22" i="1"/>
  <c r="G31" i="1"/>
  <c r="M9" i="1" l="1"/>
  <c r="K10" i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9" i="27"/>
  <c r="B5" i="1" l="1"/>
  <c r="H73" i="27"/>
  <c r="G29" i="1" l="1"/>
  <c r="G25" i="1" l="1"/>
  <c r="F1" i="1" l="1"/>
  <c r="H38" i="27" l="1"/>
  <c r="H18" i="1" l="1"/>
  <c r="I18" i="1" s="1"/>
  <c r="G10" i="1" l="1"/>
  <c r="H102" i="27" l="1"/>
  <c r="H58" i="27" l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5" i="27" l="1"/>
  <c r="H80" i="27" s="1"/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3" i="27"/>
  <c r="H68" i="27" s="1"/>
  <c r="H91" i="27" s="1"/>
  <c r="H90" i="27" l="1"/>
  <c r="F32" i="1"/>
  <c r="E32" i="1"/>
  <c r="B32" i="1"/>
  <c r="H79" i="27" l="1"/>
  <c r="H67" i="27"/>
  <c r="H82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89" i="27"/>
  <c r="H95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<sst xmlns="http://schemas.openxmlformats.org/spreadsheetml/2006/main" count="239" uniqueCount="162">
  <si>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</si>
  <si>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</si>
  <si>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</si>
  <si>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</si>
  <si>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</si>
  <si>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</si>
  <si>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</si>
  <si>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</si>
  <si>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</si>
  <si>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</si>
  <si>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</si>
  <si>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</si>
  <si>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</si>
  <si>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</si>
  <si>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</si>
  <si>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</si>
  <si>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</si>
  <si>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</si>
  <si>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</si>
  <si>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</si>
  <si>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</si>
  <si>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</si>
  <si>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</si>
  <si>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</si>
  <si>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</si>
  <si>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</si>
  <si>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</si>
  <si>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</si>
  <si>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</si>
  <si>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</si>
  <si>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</si>
  <si>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</si>
  <si>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</si>
  <si>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</si>
  <si>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</si>
  <si>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</si>
  <si>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</si>
  <si>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</si>
  <si>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</si>
  <si>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</si>
  <si>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</si>
  <si>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</si>
  <si>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</si>
  <si>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</si>
  <si>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</si>
  <si>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</si>
  <si>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</si>
  <si>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</si>
  <si>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</si>
  <si>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</si>
  <si>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</si>
  <si>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</si>
  <si>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</si>
  <si>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</si>
  <si>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</si>
  <si>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</si>
  <si>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</si>
  <si>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</si>
  <si>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</si>
  <si>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</si>
  <si>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</si>
  <si>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</si>
  <si>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</si>
  <si>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</si>
  <si>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</si>
  <si>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</si>
  <si>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</si>
  <si>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</si>
  <si>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</si>
  <si>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>Sueldo Sra Monica Forment</t>
  </si>
  <si>
    <t>AFIP NO SE PAGA HASTA RESOLVER LA SITUACION CUENTA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</si>
  <si>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</si>
  <si>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</si>
  <si>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</si>
  <si>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</si>
  <si>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</si>
  <si>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</si>
  <si>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</si>
  <si>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</si>
  <si>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</si>
  <si>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</si>
  <si>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</si>
  <si>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</si>
  <si>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</si>
  <si>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</si>
  <si>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</si>
  <si>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</si>
  <si>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</si>
  <si>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</si>
  <si>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</si>
  <si>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</si>
  <si>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</si>
  <si>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 xml:space="preserve">Plus antigüedad </t>
  </si>
  <si>
    <t xml:space="preserve">Plus retiro residuos 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</si>
  <si>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</si>
  <si>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</si>
  <si>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</si>
  <si>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</si>
  <si>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</si>
  <si>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</si>
  <si>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</si>
  <si>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</si>
  <si>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</si>
  <si>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</si>
  <si>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</si>
  <si>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</si>
  <si>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</si>
  <si>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</si>
  <si>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</si>
  <si>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</si>
  <si>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</si>
  <si>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</si>
  <si>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</si>
  <si>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</si>
  <si>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</si>
  <si>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</si>
  <si>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</si>
  <si>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</si>
  <si>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</si>
  <si>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</si>
  <si>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</si>
  <si>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</si>
  <si>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</si>
  <si>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</si>
  <si>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</si>
  <si>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</si>
  <si>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</si>
  <si>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</si>
  <si>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</si>
  <si>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</si>
  <si>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</si>
  <si>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</si>
  <si>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</si>
  <si>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</si>
  <si>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</si>
  <si>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</si>
  <si>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</si>
  <si>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</si>
  <si>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Eliseo</t>
  </si>
  <si>
    <t>Asignacion remunerativa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</si>
  <si>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</si>
  <si>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</si>
  <si>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</si>
  <si>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</si>
  <si>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</si>
  <si>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</si>
  <si>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</si>
  <si>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</si>
  <si>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</si>
  <si>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GASTOS EXTR. ASCENSOR Y LIBROS</t>
  </si>
  <si>
    <t>MAYO</t>
  </si>
  <si>
    <t>Damato fumigaciones - MAYO</t>
  </si>
  <si>
    <t>Egresos por gastos mes - MAYO</t>
  </si>
  <si>
    <t>VTO: 16/05</t>
  </si>
  <si>
    <t>Caleb - Trabajo de plomeria, arreglo de contactora, revision de tanques y reparacion de automaticos 12/05</t>
  </si>
  <si>
    <t>Ezequiel Sarro - escrito presentado ante la camara</t>
  </si>
  <si>
    <t xml:space="preserve">Julio doartero - visitas de emergencia falta de agua </t>
  </si>
  <si>
    <t>Horas extra fumigacion</t>
  </si>
  <si>
    <t>AYSA - Vto 30/04</t>
  </si>
  <si>
    <t>Acuerdo banco galicia con el estudio palmero de belizan y asociados por el embargo de la cuenta realizado por la Sra. Elena Graciela</t>
  </si>
  <si>
    <t>Colocacion ceramicos en el 1er piso - Fernando Parra</t>
  </si>
  <si>
    <t>EN MAY LOS CERRAMOS ADEUDANDO LOS SINDICATOS YA QUE SE NOS PASO PAGARLOS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</si>
</sst>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[$-F800]dddd\,\ mmmm\ dd\,\ yyyy"/>
    <numFmt numFmtId="169" formatCode="0.0"/>
    <numFmt numFmtId="170" formatCode="#,##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1">
    <xf numFmtId="0" fontId="0" fillId="0" borderId="0" xfId="0"/>
    <xf numFmtId="0" fontId="4" fillId="0" borderId="0" xfId="0" applyFont="1"/>
    <xf numFmtId="167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166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166" fontId="0" fillId="0" borderId="0" xfId="1" applyFont="1" applyBorder="1"/>
    <xf numFmtId="166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166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7" fontId="0" fillId="0" borderId="13" xfId="1" applyNumberFormat="1" applyFont="1" applyBorder="1"/>
    <xf numFmtId="166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66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9" fontId="12" fillId="0" borderId="1" xfId="0" applyNumberFormat="1" applyFont="1" applyBorder="1" applyAlignment="1">
      <alignment horizontal="center"/>
    </xf>
    <xf numFmtId="170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9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7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166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166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166" fontId="18" fillId="0" borderId="0" xfId="1" applyFont="1" applyBorder="1" applyAlignment="1">
      <alignment horizontal="left"/>
    </xf>
    <xf numFmtId="167" fontId="0" fillId="2" borderId="13" xfId="1" applyNumberFormat="1" applyFont="1" applyFill="1" applyBorder="1"/>
    <xf numFmtId="166" fontId="21" fillId="0" borderId="13" xfId="1" applyFont="1" applyBorder="1"/>
    <xf numFmtId="166" fontId="22" fillId="2" borderId="1" xfId="1" applyFont="1" applyFill="1" applyBorder="1"/>
    <xf numFmtId="167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166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166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165" fontId="6" fillId="2" borderId="1" xfId="1" applyNumberFormat="1" applyFont="1" applyFill="1" applyBorder="1"/>
    <xf numFmtId="0" fontId="0" fillId="6" borderId="1" xfId="0" applyFill="1" applyBorder="1"/>
    <xf numFmtId="166" fontId="0" fillId="6" borderId="1" xfId="1" applyFont="1" applyFill="1" applyBorder="1"/>
    <xf numFmtId="0" fontId="0" fillId="6" borderId="13" xfId="0" applyFill="1" applyBorder="1"/>
    <xf numFmtId="166" fontId="8" fillId="6" borderId="13" xfId="1" applyFont="1" applyFill="1" applyBorder="1"/>
    <xf numFmtId="17" fontId="6" fillId="3" borderId="5" xfId="0" applyNumberFormat="1" applyFont="1" applyFill="1" applyBorder="1"/>
    <xf numFmtId="167" fontId="2" fillId="3" borderId="4" xfId="0" applyNumberFormat="1" applyFont="1" applyFill="1" applyBorder="1" applyAlignment="1">
      <alignment horizontal="center"/>
    </xf>
    <xf numFmtId="164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164" fontId="0" fillId="2" borderId="1" xfId="0" applyNumberFormat="1" applyFill="1" applyBorder="1"/>
    <xf numFmtId="166" fontId="0" fillId="2" borderId="13" xfId="1" applyFont="1" applyFill="1" applyBorder="1"/>
    <xf numFmtId="167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7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7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7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166" fontId="18" fillId="0" borderId="1" xfId="1" applyFont="1" applyBorder="1" applyAlignment="1">
      <alignment horizontal="left"/>
    </xf>
    <xf numFmtId="166" fontId="2" fillId="0" borderId="1" xfId="1" applyFont="1" applyBorder="1" applyAlignment="1">
      <alignment horizontal="left"/>
    </xf>
    <xf numFmtId="167" fontId="9" fillId="0" borderId="1" xfId="1" applyNumberFormat="1" applyFont="1" applyBorder="1"/>
    <xf numFmtId="166" fontId="21" fillId="2" borderId="13" xfId="1" applyFont="1" applyFill="1" applyBorder="1"/>
    <xf numFmtId="167" fontId="16" fillId="3" borderId="4" xfId="0" applyNumberFormat="1" applyFont="1" applyFill="1" applyBorder="1" applyAlignment="1">
      <alignment horizontal="center"/>
    </xf>
    <xf numFmtId="167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166" fontId="0" fillId="2" borderId="1" xfId="1" applyFont="1" applyFill="1" applyBorder="1"/>
    <xf numFmtId="166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166" fontId="22" fillId="2" borderId="0" xfId="1" applyFont="1" applyFill="1" applyBorder="1"/>
    <xf numFmtId="166" fontId="24" fillId="3" borderId="24" xfId="0" applyNumberFormat="1" applyFont="1" applyFill="1" applyBorder="1"/>
    <xf numFmtId="166" fontId="24" fillId="3" borderId="34" xfId="0" applyNumberFormat="1" applyFont="1" applyFill="1" applyBorder="1"/>
    <xf numFmtId="166" fontId="24" fillId="3" borderId="31" xfId="0" applyNumberFormat="1" applyFont="1" applyFill="1" applyBorder="1"/>
    <xf numFmtId="166" fontId="24" fillId="3" borderId="27" xfId="0" applyNumberFormat="1" applyFont="1" applyFill="1" applyBorder="1"/>
    <xf numFmtId="166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166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165" fontId="29" fillId="0" borderId="1" xfId="0" applyNumberFormat="1" applyFont="1" applyBorder="1"/>
    <xf numFmtId="166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166" fontId="0" fillId="8" borderId="13" xfId="1" applyFont="1" applyFill="1" applyBorder="1"/>
    <xf numFmtId="167" fontId="0" fillId="8" borderId="13" xfId="1" applyNumberFormat="1" applyFont="1" applyFill="1" applyBorder="1"/>
    <xf numFmtId="166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70" fontId="12" fillId="8" borderId="1" xfId="0" applyNumberFormat="1" applyFont="1" applyFill="1" applyBorder="1" applyAlignment="1">
      <alignment horizontal="center"/>
    </xf>
    <xf numFmtId="167" fontId="21" fillId="2" borderId="1" xfId="1" applyNumberFormat="1" applyFont="1" applyFill="1" applyBorder="1"/>
    <xf numFmtId="167" fontId="21" fillId="8" borderId="1" xfId="1" applyNumberFormat="1" applyFont="1" applyFill="1" applyBorder="1"/>
    <xf numFmtId="166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166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166" fontId="24" fillId="3" borderId="6" xfId="0" applyNumberFormat="1" applyFont="1" applyFill="1" applyBorder="1"/>
    <xf numFmtId="166" fontId="24" fillId="3" borderId="1" xfId="0" applyNumberFormat="1" applyFont="1" applyFill="1" applyBorder="1"/>
    <xf numFmtId="1" fontId="23" fillId="5" borderId="0" xfId="0" applyNumberFormat="1" applyFont="1" applyFill="1" applyAlignment="1">
      <alignment horizontal="center" vertical="center" wrapText="1"/>
    </xf>
    <xf numFmtId="166" fontId="9" fillId="0" borderId="1" xfId="1" applyFont="1" applyBorder="1" applyAlignment="1">
      <alignment horizontal="center"/>
    </xf>
    <xf numFmtId="167" fontId="22" fillId="5" borderId="0" xfId="1" applyNumberFormat="1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168" fontId="21" fillId="0" borderId="1" xfId="0" applyNumberFormat="1" applyFont="1" applyBorder="1"/>
    <xf numFmtId="168" fontId="22" fillId="3" borderId="1" xfId="0" applyNumberFormat="1" applyFont="1" applyFill="1" applyBorder="1" applyAlignment="1">
      <alignment horizontal="center" wrapText="1"/>
    </xf>
    <xf numFmtId="0" fontId="22" fillId="3" borderId="1" xfId="0" applyFont="1" applyFill="1" applyBorder="1" applyAlignment="1">
      <alignment horizontal="center" vertical="center"/>
    </xf>
    <xf numFmtId="168" fontId="22" fillId="3" borderId="1" xfId="0" applyNumberFormat="1" applyFont="1" applyFill="1" applyBorder="1" applyAlignment="1">
      <alignment horizontal="center"/>
    </xf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166" fontId="22" fillId="0" borderId="1" xfId="1" applyFont="1" applyBorder="1"/>
    <xf numFmtId="0" fontId="0" fillId="2" borderId="1" xfId="0" applyFill="1" applyBorder="1" applyAlignment="1">
      <alignment horizontal="right"/>
    </xf>
    <xf numFmtId="169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166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7" fontId="21" fillId="2" borderId="13" xfId="1" applyNumberFormat="1" applyFont="1" applyFill="1" applyBorder="1"/>
    <xf numFmtId="0" fontId="0" fillId="5" borderId="0" xfId="0" applyFill="1"/>
    <xf numFmtId="167" fontId="17" fillId="8" borderId="13" xfId="1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opLeftCell="A24" zoomScaleNormal="100" workbookViewId="0">
      <selection activeCell="N33" sqref="A1:N33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5.28515625" style="2" customWidth="1"/>
    <col min="7" max="8" width="12.28515625" style="2" customWidth="1"/>
    <col min="9" max="9" width="12.5703125" style="2" customWidth="1"/>
    <col min="10" max="10" width="11" style="2" customWidth="1"/>
    <col min="11" max="11" width="10.5703125" style="2" customWidth="1"/>
    <col min="12" max="12" width="14.5703125" customWidth="1"/>
    <col min="13" max="13" width="13.42578125" customWidth="1"/>
    <col min="14" max="14" width="15.140625" customWidth="1"/>
    <col min="15" max="15" width="12" bestFit="1" customWidth="1"/>
  </cols>
  <sheetData>
    <row r="1" spans="1:14" ht="26.25" customHeight="1">
      <c r="A1" s="103"/>
      <c r="B1" s="104"/>
      <c r="C1" s="104"/>
      <c r="D1" s="104"/>
      <c r="E1" s="105" t="s">
        <v>68</v>
      </c>
      <c r="F1" s="106" t="str">
        <f>RESUMEN!F8</f>
        <v>MAYO</v>
      </c>
      <c r="G1" s="107" t="str">
        <f>RESUMEN!G8</f>
        <v>VTO: 16/05</v>
      </c>
      <c r="H1" s="104"/>
      <c r="I1" s="104"/>
      <c r="J1" s="104"/>
      <c r="K1" s="104"/>
      <c r="L1" s="104"/>
      <c r="M1" s="104"/>
      <c r="N1" s="108"/>
    </row>
    <row r="2" spans="1:14">
      <c r="A2" s="61"/>
      <c r="B2" s="61"/>
      <c r="C2" s="128">
        <v>1333150</v>
      </c>
      <c r="D2" s="61"/>
      <c r="E2" s="61"/>
      <c r="F2" s="115"/>
      <c r="G2" s="115"/>
      <c r="H2" s="115"/>
      <c r="I2" s="115"/>
      <c r="J2" s="115"/>
      <c r="K2" s="115"/>
      <c r="L2" s="61"/>
      <c r="M2" s="61"/>
      <c r="N2" s="61"/>
    </row>
    <row r="3" spans="1:14">
      <c r="A3" s="116"/>
      <c r="B3" s="117"/>
      <c r="C3" s="102">
        <v>1886797.93</v>
      </c>
      <c r="D3" s="61"/>
      <c r="E3" s="61"/>
      <c r="F3" s="118"/>
      <c r="G3" s="118"/>
      <c r="H3" s="118"/>
      <c r="I3" s="118"/>
      <c r="J3" s="118"/>
      <c r="K3" s="118"/>
      <c r="L3" s="61" t="s">
        <v>81</v>
      </c>
      <c r="M3" s="61"/>
      <c r="N3" s="61"/>
    </row>
    <row r="4" spans="1:14" ht="18.75" customHeight="1">
      <c r="A4" s="119"/>
      <c r="B4" s="120" t="s">
        <v>82</v>
      </c>
      <c r="C4" s="61"/>
      <c r="D4" s="61"/>
      <c r="E4" s="120" t="s">
        <v>85</v>
      </c>
      <c r="F4" s="124">
        <f>105400+260-8</f>
        <v>105652</v>
      </c>
      <c r="G4" s="118"/>
      <c r="H4" s="118"/>
      <c r="I4" s="118"/>
      <c r="J4" s="118"/>
      <c r="K4" s="118"/>
      <c r="L4" s="61" t="s">
        <v>80</v>
      </c>
      <c r="M4" s="61"/>
      <c r="N4" s="61"/>
    </row>
    <row r="5" spans="1:14" ht="15.75" customHeight="1">
      <c r="A5" s="121"/>
      <c r="B5" s="171">
        <f>C3</f>
        <v>1886797.93</v>
      </c>
      <c r="C5" s="171"/>
      <c r="D5" s="21"/>
      <c r="E5" s="122">
        <v>70000</v>
      </c>
      <c r="F5" s="115"/>
      <c r="G5" s="115"/>
      <c r="H5" s="115"/>
      <c r="I5" s="115"/>
      <c r="J5" s="115"/>
      <c r="K5" s="115"/>
      <c r="L5" s="61"/>
      <c r="M5" s="61"/>
      <c r="N5" s="61"/>
    </row>
    <row r="6" spans="1:14" ht="15.75" customHeight="1">
      <c r="A6" s="121"/>
      <c r="B6" s="123" t="s">
        <v>83</v>
      </c>
      <c r="C6" s="21"/>
      <c r="D6" s="21"/>
      <c r="E6" s="120" t="s">
        <v>109</v>
      </c>
      <c r="F6" s="115"/>
      <c r="G6" s="115"/>
      <c r="H6" s="115"/>
      <c r="I6" s="115"/>
      <c r="J6" s="115"/>
      <c r="K6" s="115"/>
      <c r="L6" s="61"/>
      <c r="M6" s="61"/>
      <c r="N6" s="61"/>
    </row>
    <row r="7" spans="1:14" ht="18.75" customHeight="1">
      <c r="A7" s="121"/>
      <c r="B7" s="171">
        <v>1800000</v>
      </c>
      <c r="C7" s="171"/>
      <c r="D7" s="21"/>
      <c r="E7" s="21"/>
      <c r="F7" s="115"/>
      <c r="G7" s="115"/>
      <c r="H7" s="115"/>
      <c r="I7" s="115"/>
      <c r="J7" s="115"/>
      <c r="K7" s="115"/>
      <c r="L7" s="61"/>
      <c r="M7" s="61"/>
      <c r="N7" s="61"/>
    </row>
    <row r="8" spans="1:14" ht="53.25" customHeight="1" thickBot="1">
      <c r="A8" s="109" t="s">
        <v>0</v>
      </c>
      <c r="B8" s="110" t="s">
        <v>3</v>
      </c>
      <c r="C8" s="111" t="s">
        <v>1</v>
      </c>
      <c r="D8" s="112" t="s">
        <v>111</v>
      </c>
      <c r="E8" s="110" t="s">
        <v>2</v>
      </c>
      <c r="F8" s="113" t="s">
        <v>16</v>
      </c>
      <c r="G8" s="113" t="s">
        <v>63</v>
      </c>
      <c r="H8" s="113" t="s">
        <v>64</v>
      </c>
      <c r="I8" s="113" t="s">
        <v>148</v>
      </c>
      <c r="J8" s="113" t="s">
        <v>65</v>
      </c>
      <c r="K8" s="127" t="s">
        <v>135</v>
      </c>
      <c r="L8" s="110" t="s">
        <v>7</v>
      </c>
      <c r="M8" s="110" t="s">
        <v>149</v>
      </c>
      <c r="N8" s="114" t="s">
        <v>8</v>
      </c>
    </row>
    <row r="9" spans="1:14" ht="15" customHeight="1">
      <c r="A9" s="227">
        <v>1</v>
      </c>
      <c r="B9" s="223" t="s">
        <v>40</v>
      </c>
      <c r="C9" s="224" t="s">
        <v>19</v>
      </c>
      <c r="D9" s="224" t="s">
        <v>110</v>
      </c>
      <c r="E9" s="225">
        <v>4.0500000000000001E-2</v>
      </c>
      <c r="F9" s="99">
        <v>654594.59569455055</v>
      </c>
      <c r="G9" s="228">
        <f>F9</f>
        <v>654594.59569455055</v>
      </c>
      <c r="H9" s="68">
        <f>IF(F9&gt;G9,F9-G9,0)</f>
        <v>0</v>
      </c>
      <c r="I9" s="68">
        <f>H9*3.7%</f>
        <v>0</v>
      </c>
      <c r="J9" s="68">
        <f>IF(G9&gt;F9,G9-F9,0)</f>
        <v>0</v>
      </c>
      <c r="K9" s="68">
        <f>F$4*E9</f>
        <v>4278.9059999999999</v>
      </c>
      <c r="L9" s="226">
        <f>B$5*E9</f>
        <v>76415.316164999997</v>
      </c>
      <c r="M9" s="226">
        <f>B$7*E9</f>
        <v>72900</v>
      </c>
      <c r="N9" s="226">
        <f>H9+I9-J9+K9+L9+M9</f>
        <v>153594.22216499998</v>
      </c>
    </row>
    <row r="10" spans="1:14" ht="15" customHeight="1">
      <c r="A10" s="51">
        <v>2</v>
      </c>
      <c r="B10" s="38" t="s">
        <v>41</v>
      </c>
      <c r="C10" s="93" t="s">
        <v>20</v>
      </c>
      <c r="D10" s="93"/>
      <c r="E10" s="45">
        <v>6.4799999999999996E-2</v>
      </c>
      <c r="F10" s="17">
        <v>245750.75546399999</v>
      </c>
      <c r="G10" s="160">
        <f>F10</f>
        <v>245750.75546399999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6846.2495999999992</v>
      </c>
      <c r="L10" s="25">
        <f t="shared" ref="L10:L31" si="3">B$5*E10</f>
        <v>122264.50586399999</v>
      </c>
      <c r="M10" s="25">
        <f t="shared" ref="M10:M31" si="4">B$7*E10</f>
        <v>116640</v>
      </c>
      <c r="N10" s="25">
        <f t="shared" ref="N10:N31" si="5">H10+I10-J10+K10+L10+M10</f>
        <v>245750.75546399999</v>
      </c>
    </row>
    <row r="11" spans="1:14" ht="15" customHeight="1">
      <c r="A11" s="222">
        <v>3</v>
      </c>
      <c r="B11" s="223" t="s">
        <v>42</v>
      </c>
      <c r="C11" s="224" t="s">
        <v>21</v>
      </c>
      <c r="D11" s="224" t="s">
        <v>112</v>
      </c>
      <c r="E11" s="225">
        <v>4.82E-2</v>
      </c>
      <c r="F11" s="99">
        <v>787860.93475176918</v>
      </c>
      <c r="G11" s="160">
        <f>606000+182796</f>
        <v>788796</v>
      </c>
      <c r="H11" s="68">
        <f t="shared" si="0"/>
        <v>0</v>
      </c>
      <c r="I11" s="68">
        <f t="shared" ref="I11:I31" si="6">H11*3.7%</f>
        <v>0</v>
      </c>
      <c r="J11" s="68">
        <f t="shared" si="1"/>
        <v>935.06524823082145</v>
      </c>
      <c r="K11" s="68">
        <f t="shared" si="2"/>
        <v>5092.4264000000003</v>
      </c>
      <c r="L11" s="226">
        <f t="shared" si="3"/>
        <v>90943.660225999993</v>
      </c>
      <c r="M11" s="226">
        <f t="shared" si="4"/>
        <v>86760</v>
      </c>
      <c r="N11" s="226">
        <f>H11+I11-J11+K11+L11+M11+E7</f>
        <v>181861.02137776918</v>
      </c>
    </row>
    <row r="12" spans="1:14" ht="15" customHeight="1">
      <c r="A12" s="147">
        <v>4</v>
      </c>
      <c r="B12" s="159" t="s">
        <v>43</v>
      </c>
      <c r="C12" s="157" t="s">
        <v>107</v>
      </c>
      <c r="D12" s="157" t="s">
        <v>113</v>
      </c>
      <c r="E12" s="158">
        <v>5.3499999999999999E-2</v>
      </c>
      <c r="F12" s="151">
        <v>1322857.8579191184</v>
      </c>
      <c r="G12" s="161"/>
      <c r="H12" s="152">
        <f t="shared" si="0"/>
        <v>1322857.8579191184</v>
      </c>
      <c r="I12" s="152">
        <f t="shared" si="6"/>
        <v>48945.740743007387</v>
      </c>
      <c r="J12" s="152">
        <f t="shared" si="1"/>
        <v>0</v>
      </c>
      <c r="K12" s="152">
        <f t="shared" si="2"/>
        <v>5652.3819999999996</v>
      </c>
      <c r="L12" s="153">
        <f t="shared" si="3"/>
        <v>100943.68925499999</v>
      </c>
      <c r="M12" s="153">
        <f t="shared" si="4"/>
        <v>96300</v>
      </c>
      <c r="N12" s="153">
        <f t="shared" si="5"/>
        <v>1574699.6699171257</v>
      </c>
    </row>
    <row r="13" spans="1:14" ht="15" customHeight="1">
      <c r="A13" s="51">
        <v>5</v>
      </c>
      <c r="B13" s="38" t="s">
        <v>44</v>
      </c>
      <c r="C13" s="94" t="s">
        <v>23</v>
      </c>
      <c r="D13" s="93"/>
      <c r="E13" s="45">
        <v>3.85E-2</v>
      </c>
      <c r="F13" s="17">
        <v>146009.32230499998</v>
      </c>
      <c r="G13" s="160">
        <f>F13</f>
        <v>146009.32230499998</v>
      </c>
      <c r="H13" s="24">
        <f t="shared" si="0"/>
        <v>0</v>
      </c>
      <c r="I13" s="24">
        <f t="shared" si="6"/>
        <v>0</v>
      </c>
      <c r="J13" s="24">
        <f t="shared" si="1"/>
        <v>0</v>
      </c>
      <c r="K13" s="24">
        <f t="shared" si="2"/>
        <v>4067.6019999999999</v>
      </c>
      <c r="L13" s="25">
        <f t="shared" si="3"/>
        <v>72641.720304999995</v>
      </c>
      <c r="M13" s="25">
        <f t="shared" si="4"/>
        <v>69300</v>
      </c>
      <c r="N13" s="25">
        <f t="shared" si="5"/>
        <v>146009.32230499998</v>
      </c>
    </row>
    <row r="14" spans="1:14" ht="15" customHeight="1">
      <c r="A14" s="51">
        <v>6</v>
      </c>
      <c r="B14" s="40" t="s">
        <v>45</v>
      </c>
      <c r="C14" s="94" t="s">
        <v>24</v>
      </c>
      <c r="D14" s="93" t="s">
        <v>114</v>
      </c>
      <c r="E14" s="45">
        <v>3.5900000000000001E-2</v>
      </c>
      <c r="F14" s="17">
        <v>136148.952487</v>
      </c>
      <c r="G14" s="160">
        <f>F14</f>
        <v>136148.952487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3792.9068000000002</v>
      </c>
      <c r="L14" s="25">
        <f t="shared" si="3"/>
        <v>67736.045687000005</v>
      </c>
      <c r="M14" s="25">
        <f t="shared" si="4"/>
        <v>64620</v>
      </c>
      <c r="N14" s="25">
        <f t="shared" si="5"/>
        <v>136148.952487</v>
      </c>
    </row>
    <row r="15" spans="1:14" ht="15" customHeight="1">
      <c r="A15" s="51">
        <v>7</v>
      </c>
      <c r="B15" s="40" t="s">
        <v>46</v>
      </c>
      <c r="C15" s="94" t="s">
        <v>25</v>
      </c>
      <c r="D15" s="93" t="s">
        <v>115</v>
      </c>
      <c r="E15" s="45">
        <v>4.1399999999999999E-2</v>
      </c>
      <c r="F15" s="17">
        <v>157007.42710199999</v>
      </c>
      <c r="G15" s="160">
        <v>157000</v>
      </c>
      <c r="H15" s="24">
        <f t="shared" si="0"/>
        <v>7.4271019999869168</v>
      </c>
      <c r="I15" s="24">
        <f t="shared" si="6"/>
        <v>0.27480277399951597</v>
      </c>
      <c r="J15" s="24">
        <f t="shared" si="1"/>
        <v>0</v>
      </c>
      <c r="K15" s="24">
        <f t="shared" si="2"/>
        <v>4373.9928</v>
      </c>
      <c r="L15" s="25">
        <f t="shared" si="3"/>
        <v>78113.434301999994</v>
      </c>
      <c r="M15" s="25">
        <f t="shared" si="4"/>
        <v>74520</v>
      </c>
      <c r="N15" s="25">
        <f t="shared" si="5"/>
        <v>157015.12900677399</v>
      </c>
    </row>
    <row r="16" spans="1:14" ht="15" customHeight="1">
      <c r="A16" s="51">
        <v>8</v>
      </c>
      <c r="B16" s="40" t="s">
        <v>47</v>
      </c>
      <c r="C16" s="94" t="s">
        <v>79</v>
      </c>
      <c r="D16" s="93" t="s">
        <v>116</v>
      </c>
      <c r="E16" s="45">
        <v>5.3499999999999999E-2</v>
      </c>
      <c r="F16" s="17">
        <v>202896.07125499999</v>
      </c>
      <c r="G16" s="160">
        <f>F16</f>
        <v>202896.07125499999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5652.3819999999996</v>
      </c>
      <c r="L16" s="25">
        <f t="shared" si="3"/>
        <v>100943.68925499999</v>
      </c>
      <c r="M16" s="25">
        <f t="shared" si="4"/>
        <v>96300</v>
      </c>
      <c r="N16" s="25">
        <f t="shared" si="5"/>
        <v>202896.07125499999</v>
      </c>
    </row>
    <row r="17" spans="1:15" ht="15" customHeight="1">
      <c r="A17" s="51">
        <v>9</v>
      </c>
      <c r="B17" s="40" t="s">
        <v>48</v>
      </c>
      <c r="C17" s="94" t="s">
        <v>26</v>
      </c>
      <c r="D17" s="93" t="s">
        <v>117</v>
      </c>
      <c r="E17" s="45">
        <v>3.85E-2</v>
      </c>
      <c r="F17" s="17">
        <v>146009.32230499998</v>
      </c>
      <c r="G17" s="160">
        <f>F17</f>
        <v>146009.32230499998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4067.6019999999999</v>
      </c>
      <c r="L17" s="25">
        <f t="shared" si="3"/>
        <v>72641.720304999995</v>
      </c>
      <c r="M17" s="25">
        <f t="shared" si="4"/>
        <v>69300</v>
      </c>
      <c r="N17" s="25">
        <f t="shared" si="5"/>
        <v>146009.32230499998</v>
      </c>
    </row>
    <row r="18" spans="1:15" ht="15" customHeight="1">
      <c r="A18" s="147">
        <v>10</v>
      </c>
      <c r="B18" s="154" t="s">
        <v>49</v>
      </c>
      <c r="C18" s="155" t="s">
        <v>27</v>
      </c>
      <c r="D18" s="157"/>
      <c r="E18" s="158">
        <v>3.5900000000000001E-2</v>
      </c>
      <c r="F18" s="151">
        <v>1037840.4322724235</v>
      </c>
      <c r="G18" s="161">
        <v>400000</v>
      </c>
      <c r="H18" s="152">
        <f>IF(F18&gt;G18,F18-G18,0)</f>
        <v>637840.43227242352</v>
      </c>
      <c r="I18" s="152">
        <f t="shared" si="6"/>
        <v>23600.095994079675</v>
      </c>
      <c r="J18" s="152">
        <f t="shared" si="1"/>
        <v>0</v>
      </c>
      <c r="K18" s="152">
        <f t="shared" si="2"/>
        <v>3792.9068000000002</v>
      </c>
      <c r="L18" s="153">
        <f t="shared" si="3"/>
        <v>67736.045687000005</v>
      </c>
      <c r="M18" s="153">
        <f t="shared" si="4"/>
        <v>64620</v>
      </c>
      <c r="N18" s="153">
        <f t="shared" si="5"/>
        <v>797589.48075350327</v>
      </c>
    </row>
    <row r="19" spans="1:15" ht="15" customHeight="1">
      <c r="A19" s="147">
        <v>11</v>
      </c>
      <c r="B19" s="154" t="s">
        <v>50</v>
      </c>
      <c r="C19" s="155" t="s">
        <v>28</v>
      </c>
      <c r="D19" s="157" t="s">
        <v>118</v>
      </c>
      <c r="E19" s="158">
        <v>4.1399999999999999E-2</v>
      </c>
      <c r="F19" s="151">
        <v>797425.60751237522</v>
      </c>
      <c r="G19" s="161"/>
      <c r="H19" s="152">
        <f t="shared" si="0"/>
        <v>797425.60751237522</v>
      </c>
      <c r="I19" s="152">
        <f t="shared" si="6"/>
        <v>29504.747477957888</v>
      </c>
      <c r="J19" s="152">
        <f t="shared" si="1"/>
        <v>0</v>
      </c>
      <c r="K19" s="152">
        <f t="shared" si="2"/>
        <v>4373.9928</v>
      </c>
      <c r="L19" s="153">
        <f t="shared" si="3"/>
        <v>78113.434301999994</v>
      </c>
      <c r="M19" s="153">
        <f t="shared" si="4"/>
        <v>74520</v>
      </c>
      <c r="N19" s="153">
        <f t="shared" si="5"/>
        <v>983937.78209233307</v>
      </c>
    </row>
    <row r="20" spans="1:15" ht="15" customHeight="1">
      <c r="A20" s="51">
        <v>12</v>
      </c>
      <c r="B20" s="41" t="s">
        <v>51</v>
      </c>
      <c r="C20" s="101" t="s">
        <v>124</v>
      </c>
      <c r="D20" s="97" t="s">
        <v>133</v>
      </c>
      <c r="E20" s="46">
        <v>5.3499999999999999E-2</v>
      </c>
      <c r="F20" s="17">
        <v>202896.07125499999</v>
      </c>
      <c r="G20" s="160">
        <f>F20</f>
        <v>202896.07125499999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5652.3819999999996</v>
      </c>
      <c r="L20" s="25">
        <f t="shared" si="3"/>
        <v>100943.68925499999</v>
      </c>
      <c r="M20" s="25">
        <f t="shared" si="4"/>
        <v>96300</v>
      </c>
      <c r="N20" s="25">
        <f t="shared" si="5"/>
        <v>202896.07125499999</v>
      </c>
    </row>
    <row r="21" spans="1:15" ht="15" customHeight="1">
      <c r="A21" s="147">
        <v>13</v>
      </c>
      <c r="B21" s="154" t="s">
        <v>52</v>
      </c>
      <c r="C21" s="155" t="s">
        <v>30</v>
      </c>
      <c r="D21" s="155" t="s">
        <v>147</v>
      </c>
      <c r="E21" s="156">
        <v>3.85E-2</v>
      </c>
      <c r="F21" s="151">
        <v>468960.78194434626</v>
      </c>
      <c r="G21" s="161"/>
      <c r="H21" s="152">
        <f t="shared" si="0"/>
        <v>468960.78194434626</v>
      </c>
      <c r="I21" s="152">
        <f t="shared" si="6"/>
        <v>17351.548931940815</v>
      </c>
      <c r="J21" s="152">
        <f t="shared" si="1"/>
        <v>0</v>
      </c>
      <c r="K21" s="152">
        <f t="shared" si="2"/>
        <v>4067.6019999999999</v>
      </c>
      <c r="L21" s="153">
        <f t="shared" si="3"/>
        <v>72641.720304999995</v>
      </c>
      <c r="M21" s="153">
        <f t="shared" si="4"/>
        <v>69300</v>
      </c>
      <c r="N21" s="153">
        <f t="shared" si="5"/>
        <v>632321.65318128711</v>
      </c>
    </row>
    <row r="22" spans="1:15" ht="15" customHeight="1">
      <c r="A22" s="51">
        <v>14</v>
      </c>
      <c r="B22" s="40" t="s">
        <v>53</v>
      </c>
      <c r="C22" s="94" t="s">
        <v>31</v>
      </c>
      <c r="D22" s="94" t="s">
        <v>119</v>
      </c>
      <c r="E22" s="47">
        <v>3.5900000000000001E-2</v>
      </c>
      <c r="F22" s="17">
        <v>136148.952487</v>
      </c>
      <c r="G22" s="160">
        <f>F22</f>
        <v>136148.952487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3792.9068000000002</v>
      </c>
      <c r="L22" s="25">
        <f t="shared" si="3"/>
        <v>67736.045687000005</v>
      </c>
      <c r="M22" s="25">
        <f t="shared" si="4"/>
        <v>64620</v>
      </c>
      <c r="N22" s="25">
        <f t="shared" si="5"/>
        <v>136148.952487</v>
      </c>
    </row>
    <row r="23" spans="1:15" ht="15" customHeight="1">
      <c r="A23" s="51">
        <v>15</v>
      </c>
      <c r="B23" s="42" t="s">
        <v>54</v>
      </c>
      <c r="C23" s="95" t="s">
        <v>32</v>
      </c>
      <c r="D23" s="95" t="s">
        <v>120</v>
      </c>
      <c r="E23" s="48">
        <v>4.1399999999999999E-2</v>
      </c>
      <c r="F23" s="17">
        <v>157007.42710199999</v>
      </c>
      <c r="G23" s="160">
        <f>F23</f>
        <v>157007.42710199999</v>
      </c>
      <c r="H23" s="24">
        <f t="shared" si="0"/>
        <v>0</v>
      </c>
      <c r="I23" s="24">
        <f t="shared" si="6"/>
        <v>0</v>
      </c>
      <c r="J23" s="24">
        <f t="shared" si="1"/>
        <v>0</v>
      </c>
      <c r="K23" s="24">
        <f t="shared" si="2"/>
        <v>4373.9928</v>
      </c>
      <c r="L23" s="25">
        <f t="shared" si="3"/>
        <v>78113.434301999994</v>
      </c>
      <c r="M23" s="25">
        <f t="shared" si="4"/>
        <v>74520</v>
      </c>
      <c r="N23" s="25">
        <f t="shared" si="5"/>
        <v>157007.42710199999</v>
      </c>
    </row>
    <row r="24" spans="1:15" ht="15" customHeight="1">
      <c r="A24" s="51">
        <v>16</v>
      </c>
      <c r="B24" s="43" t="s">
        <v>55</v>
      </c>
      <c r="C24" s="96" t="s">
        <v>33</v>
      </c>
      <c r="D24" s="96"/>
      <c r="E24" s="49">
        <v>5.3499999999999999E-2</v>
      </c>
      <c r="F24" s="17">
        <v>202896.07125499999</v>
      </c>
      <c r="G24" s="160">
        <f>F24</f>
        <v>202896.07125499999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5652.3819999999996</v>
      </c>
      <c r="L24" s="25">
        <f t="shared" si="3"/>
        <v>100943.68925499999</v>
      </c>
      <c r="M24" s="25">
        <f t="shared" si="4"/>
        <v>96300</v>
      </c>
      <c r="N24" s="25">
        <f t="shared" si="5"/>
        <v>202896.07125499999</v>
      </c>
    </row>
    <row r="25" spans="1:15" s="1" customFormat="1" ht="15.75" customHeight="1">
      <c r="A25" s="51">
        <v>17</v>
      </c>
      <c r="B25" s="66" t="s">
        <v>56</v>
      </c>
      <c r="C25" s="96" t="s">
        <v>99</v>
      </c>
      <c r="D25" s="96" t="s">
        <v>121</v>
      </c>
      <c r="E25" s="49">
        <v>3.85E-2</v>
      </c>
      <c r="F25" s="17">
        <v>146009.32230499998</v>
      </c>
      <c r="G25" s="160">
        <f t="shared" ref="G25:G26" si="7">F25</f>
        <v>146009.32230499998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4067.6019999999999</v>
      </c>
      <c r="L25" s="25">
        <f t="shared" si="3"/>
        <v>72641.720304999995</v>
      </c>
      <c r="M25" s="25">
        <f t="shared" si="4"/>
        <v>69300</v>
      </c>
      <c r="N25" s="25">
        <f t="shared" si="5"/>
        <v>146009.32230499998</v>
      </c>
    </row>
    <row r="26" spans="1:15" ht="15" customHeight="1">
      <c r="A26" s="51">
        <v>18</v>
      </c>
      <c r="B26" s="44" t="s">
        <v>57</v>
      </c>
      <c r="C26" s="96" t="s">
        <v>34</v>
      </c>
      <c r="D26" s="96"/>
      <c r="E26" s="49">
        <v>3.5900000000000001E-2</v>
      </c>
      <c r="F26" s="17">
        <v>136148.952487</v>
      </c>
      <c r="G26" s="160">
        <f t="shared" si="7"/>
        <v>136148.952487</v>
      </c>
      <c r="H26" s="24">
        <f t="shared" si="0"/>
        <v>0</v>
      </c>
      <c r="I26" s="24">
        <f t="shared" si="6"/>
        <v>0</v>
      </c>
      <c r="J26" s="24">
        <f t="shared" si="1"/>
        <v>0</v>
      </c>
      <c r="K26" s="24">
        <f t="shared" si="2"/>
        <v>3792.9068000000002</v>
      </c>
      <c r="L26" s="25">
        <f t="shared" si="3"/>
        <v>67736.045687000005</v>
      </c>
      <c r="M26" s="25">
        <f t="shared" si="4"/>
        <v>64620</v>
      </c>
      <c r="N26" s="25">
        <f t="shared" si="5"/>
        <v>136148.952487</v>
      </c>
    </row>
    <row r="27" spans="1:15" ht="15" customHeight="1">
      <c r="A27" s="147">
        <v>19</v>
      </c>
      <c r="B27" s="148" t="s">
        <v>58</v>
      </c>
      <c r="C27" s="149" t="s">
        <v>35</v>
      </c>
      <c r="D27" s="149" t="s">
        <v>134</v>
      </c>
      <c r="E27" s="150">
        <v>4.1399999999999999E-2</v>
      </c>
      <c r="F27" s="151">
        <v>2287408.8640416628</v>
      </c>
      <c r="G27" s="161">
        <v>157007.43</v>
      </c>
      <c r="H27" s="230">
        <f t="shared" si="0"/>
        <v>2130401.4340416626</v>
      </c>
      <c r="I27" s="152">
        <f t="shared" si="6"/>
        <v>78824.853059541521</v>
      </c>
      <c r="J27" s="152">
        <f t="shared" si="1"/>
        <v>0</v>
      </c>
      <c r="K27" s="152">
        <f t="shared" si="2"/>
        <v>4373.9928</v>
      </c>
      <c r="L27" s="153">
        <f t="shared" si="3"/>
        <v>78113.434301999994</v>
      </c>
      <c r="M27" s="153">
        <f t="shared" si="4"/>
        <v>74520</v>
      </c>
      <c r="N27" s="153">
        <f t="shared" si="5"/>
        <v>2366233.714203204</v>
      </c>
    </row>
    <row r="28" spans="1:15" ht="17.25" customHeight="1">
      <c r="A28" s="51">
        <v>20</v>
      </c>
      <c r="B28" s="44" t="s">
        <v>59</v>
      </c>
      <c r="C28" s="96" t="s">
        <v>36</v>
      </c>
      <c r="D28" s="96"/>
      <c r="E28" s="49">
        <v>5.3499999999999999E-2</v>
      </c>
      <c r="F28" s="17">
        <v>197243.68925499998</v>
      </c>
      <c r="G28" s="160">
        <v>197250</v>
      </c>
      <c r="H28" s="68">
        <f t="shared" si="0"/>
        <v>0</v>
      </c>
      <c r="I28" s="24">
        <f t="shared" si="6"/>
        <v>0</v>
      </c>
      <c r="J28" s="24">
        <f t="shared" si="1"/>
        <v>6.3107450000243261</v>
      </c>
      <c r="K28" s="24"/>
      <c r="L28" s="25">
        <f t="shared" si="3"/>
        <v>100943.68925499999</v>
      </c>
      <c r="M28" s="25">
        <f t="shared" si="4"/>
        <v>96300</v>
      </c>
      <c r="N28" s="25">
        <f t="shared" si="5"/>
        <v>197237.37850999995</v>
      </c>
    </row>
    <row r="29" spans="1:15" ht="15" customHeight="1">
      <c r="A29" s="51">
        <v>21</v>
      </c>
      <c r="B29" s="43" t="s">
        <v>60</v>
      </c>
      <c r="C29" s="96" t="s">
        <v>108</v>
      </c>
      <c r="D29" s="96"/>
      <c r="E29" s="49">
        <v>3.85E-2</v>
      </c>
      <c r="F29" s="17">
        <v>146009.32230499998</v>
      </c>
      <c r="G29" s="160">
        <f>F29</f>
        <v>146009.32230499998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4067.6019999999999</v>
      </c>
      <c r="L29" s="25">
        <f t="shared" si="3"/>
        <v>72641.720304999995</v>
      </c>
      <c r="M29" s="25">
        <f t="shared" si="4"/>
        <v>69300</v>
      </c>
      <c r="N29" s="25">
        <f t="shared" si="5"/>
        <v>146009.32230499998</v>
      </c>
      <c r="O29" s="7"/>
    </row>
    <row r="30" spans="1:15" ht="15" customHeight="1">
      <c r="A30" s="51">
        <v>22</v>
      </c>
      <c r="B30" s="43" t="s">
        <v>61</v>
      </c>
      <c r="C30" s="96" t="s">
        <v>131</v>
      </c>
      <c r="D30" s="96" t="s">
        <v>138</v>
      </c>
      <c r="E30" s="49">
        <v>3.5900000000000001E-2</v>
      </c>
      <c r="F30" s="17">
        <v>136148.952487</v>
      </c>
      <c r="G30" s="160">
        <v>136200</v>
      </c>
      <c r="H30" s="24">
        <f t="shared" si="0"/>
        <v>0</v>
      </c>
      <c r="I30" s="24">
        <f t="shared" si="6"/>
        <v>0</v>
      </c>
      <c r="J30" s="24">
        <f t="shared" si="1"/>
        <v>51.047512999997707</v>
      </c>
      <c r="K30" s="24">
        <f t="shared" si="2"/>
        <v>3792.9068000000002</v>
      </c>
      <c r="L30" s="25">
        <f t="shared" si="3"/>
        <v>67736.045687000005</v>
      </c>
      <c r="M30" s="25">
        <f t="shared" si="4"/>
        <v>64620</v>
      </c>
      <c r="N30" s="25">
        <f t="shared" si="5"/>
        <v>136097.904974</v>
      </c>
    </row>
    <row r="31" spans="1:15" ht="15" customHeight="1">
      <c r="A31" s="51">
        <v>23</v>
      </c>
      <c r="B31" s="43" t="s">
        <v>62</v>
      </c>
      <c r="C31" s="96" t="s">
        <v>39</v>
      </c>
      <c r="D31" s="96"/>
      <c r="E31" s="49">
        <v>4.1399999999999999E-2</v>
      </c>
      <c r="F31" s="17">
        <v>157007.42710199999</v>
      </c>
      <c r="G31" s="160">
        <f>F31</f>
        <v>157007.42710199999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4373.9928</v>
      </c>
      <c r="L31" s="25">
        <f t="shared" si="3"/>
        <v>78113.434301999994</v>
      </c>
      <c r="M31" s="25">
        <f t="shared" si="4"/>
        <v>74520</v>
      </c>
      <c r="N31" s="25">
        <f t="shared" si="5"/>
        <v>157007.42710199999</v>
      </c>
    </row>
    <row r="32" spans="1:15" ht="15.75">
      <c r="A32" s="37"/>
      <c r="B32" s="52">
        <f>SUM(B9:B31)</f>
        <v>0</v>
      </c>
      <c r="C32" s="37"/>
      <c r="D32" s="37"/>
      <c r="E32" s="53">
        <f>SUM(E9:E31)</f>
        <v>1</v>
      </c>
      <c r="F32" s="100">
        <f>SUM(F9:F31)</f>
        <v>10008287.113094246</v>
      </c>
      <c r="G32" s="100">
        <f>SUM(G9:G31)</f>
        <v>4651785.9958085511</v>
      </c>
      <c r="H32" s="126">
        <f>SUM(H9:H31)</f>
        <v>5357493.540791926</v>
      </c>
      <c r="I32" s="54">
        <f>SUM(I9:I31)</f>
        <v>198227.26100930129</v>
      </c>
      <c r="J32" s="100">
        <f t="shared" ref="J32" si="8">SUM(J9:J31)</f>
        <v>992.42350623084349</v>
      </c>
      <c r="K32" s="91">
        <f>SUM(K9:K31)</f>
        <v>99999.617999999959</v>
      </c>
      <c r="L32" s="54">
        <f>SUM(L9:L31)</f>
        <v>1886797.9300000004</v>
      </c>
      <c r="M32" s="91">
        <f>SUM(M9:M31)</f>
        <v>1800000</v>
      </c>
      <c r="N32" s="54">
        <f>SUM(N9:N31)</f>
        <v>9341525.9262949992</v>
      </c>
    </row>
    <row r="33" spans="1:14" ht="14.25" customHeight="1"/>
    <row r="34" spans="1:14" hidden="1"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</row>
    <row r="35" spans="1:14" hidden="1"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</row>
    <row r="36" spans="1:14" hidden="1"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</row>
    <row r="37" spans="1:14" hidden="1"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</row>
    <row r="38" spans="1:14" hidden="1">
      <c r="A38" s="172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</row>
    <row r="39" spans="1:14" hidden="1">
      <c r="A39" s="172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</row>
    <row r="40" spans="1:14" hidden="1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</row>
    <row r="41" spans="1:14">
      <c r="N41" s="7"/>
    </row>
  </sheetData>
  <mergeCells count="4">
    <mergeCell ref="B34:N37"/>
    <mergeCell ref="B5:C5"/>
    <mergeCell ref="B7:C7"/>
    <mergeCell ref="A38:N40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173" t="s">
        <v>98</v>
      </c>
      <c r="B1" s="174"/>
      <c r="C1" s="174"/>
      <c r="D1" s="174"/>
      <c r="E1" s="174"/>
      <c r="F1" s="174"/>
      <c r="G1" s="175"/>
    </row>
    <row r="2" spans="1:7">
      <c r="A2" s="30"/>
      <c r="G2" s="31"/>
    </row>
    <row r="3" spans="1:7">
      <c r="A3" s="57"/>
      <c r="B3" s="59" t="s">
        <v>97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3"/>
      <c r="B6" s="64"/>
      <c r="C6" s="16"/>
      <c r="G6" s="31"/>
    </row>
    <row r="7" spans="1:7" ht="15.75" thickBot="1">
      <c r="A7" s="62"/>
      <c r="B7" s="32"/>
      <c r="C7" s="16"/>
      <c r="G7" s="31"/>
    </row>
    <row r="8" spans="1:7" ht="30.75" thickBot="1">
      <c r="A8" s="26" t="s">
        <v>0</v>
      </c>
      <c r="B8" s="27" t="s">
        <v>3</v>
      </c>
      <c r="C8" s="28" t="s">
        <v>1</v>
      </c>
      <c r="D8" s="72" t="s">
        <v>2</v>
      </c>
      <c r="E8" s="27" t="s">
        <v>15</v>
      </c>
      <c r="F8" s="75" t="s">
        <v>102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1">
        <f>B$4*D9</f>
        <v>16200</v>
      </c>
      <c r="F9" s="71"/>
      <c r="G9" s="71" t="s">
        <v>104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1">
        <f t="shared" ref="E10:E31" si="0">B$4*D10</f>
        <v>25920</v>
      </c>
      <c r="F10" s="71"/>
      <c r="G10" s="71" t="s">
        <v>104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1">
        <f t="shared" si="0"/>
        <v>19280</v>
      </c>
      <c r="F11" s="71"/>
      <c r="G11" s="71" t="s">
        <v>104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1">
        <f t="shared" si="0"/>
        <v>21400</v>
      </c>
      <c r="F12" s="71"/>
      <c r="G12" s="71" t="s">
        <v>104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1">
        <f t="shared" si="0"/>
        <v>15400</v>
      </c>
      <c r="F13" s="71"/>
      <c r="G13" s="71" t="s">
        <v>104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1">
        <f t="shared" si="0"/>
        <v>14360</v>
      </c>
      <c r="F14" s="71">
        <f>E14*6.3%</f>
        <v>904.68</v>
      </c>
      <c r="G14" s="71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1">
        <f t="shared" si="0"/>
        <v>16560</v>
      </c>
      <c r="F15" s="71"/>
      <c r="G15" s="71" t="s">
        <v>104</v>
      </c>
    </row>
    <row r="16" spans="1:7">
      <c r="A16" s="51">
        <v>8</v>
      </c>
      <c r="B16" s="40" t="s">
        <v>47</v>
      </c>
      <c r="C16" s="34" t="s">
        <v>79</v>
      </c>
      <c r="D16" s="45">
        <v>5.3499999999999999E-2</v>
      </c>
      <c r="E16" s="71">
        <f t="shared" si="0"/>
        <v>21400</v>
      </c>
      <c r="F16" s="71"/>
      <c r="G16" s="71" t="s">
        <v>104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1">
        <f t="shared" si="0"/>
        <v>15400</v>
      </c>
      <c r="F17" s="71"/>
      <c r="G17" s="71" t="s">
        <v>104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1">
        <f t="shared" si="0"/>
        <v>14360</v>
      </c>
      <c r="F18" s="71"/>
      <c r="G18" s="71" t="s">
        <v>104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1">
        <f t="shared" si="0"/>
        <v>16560</v>
      </c>
      <c r="F19" s="71">
        <f>E19*6.3%</f>
        <v>1043.28</v>
      </c>
      <c r="G19" s="71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1">
        <f t="shared" si="0"/>
        <v>21400</v>
      </c>
      <c r="F20" s="71"/>
      <c r="G20" s="71" t="s">
        <v>104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1">
        <f t="shared" si="0"/>
        <v>15400</v>
      </c>
      <c r="F21" s="71"/>
      <c r="G21" s="71" t="s">
        <v>104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1">
        <f t="shared" si="0"/>
        <v>14360</v>
      </c>
      <c r="F22" s="71"/>
      <c r="G22" s="71" t="s">
        <v>104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1">
        <f t="shared" si="0"/>
        <v>16560</v>
      </c>
      <c r="F23" s="71"/>
      <c r="G23" s="71" t="s">
        <v>104</v>
      </c>
    </row>
    <row r="24" spans="1:7" ht="15.75">
      <c r="A24" s="51">
        <v>16</v>
      </c>
      <c r="B24" s="43" t="s">
        <v>55</v>
      </c>
      <c r="C24" s="65" t="s">
        <v>33</v>
      </c>
      <c r="D24" s="49">
        <v>5.3499999999999999E-2</v>
      </c>
      <c r="E24" s="71">
        <f t="shared" si="0"/>
        <v>21400</v>
      </c>
      <c r="F24" s="71"/>
      <c r="G24" s="71" t="s">
        <v>104</v>
      </c>
    </row>
    <row r="25" spans="1:7" ht="15.75">
      <c r="A25" s="51">
        <v>17</v>
      </c>
      <c r="B25" s="66" t="s">
        <v>56</v>
      </c>
      <c r="C25" s="65" t="s">
        <v>99</v>
      </c>
      <c r="D25" s="49">
        <v>3.85E-2</v>
      </c>
      <c r="E25" s="71">
        <f t="shared" si="0"/>
        <v>15400</v>
      </c>
      <c r="F25" s="71"/>
      <c r="G25" s="71" t="s">
        <v>104</v>
      </c>
    </row>
    <row r="26" spans="1:7" ht="15.75">
      <c r="A26" s="51">
        <v>18</v>
      </c>
      <c r="B26" s="44" t="s">
        <v>57</v>
      </c>
      <c r="C26" s="65" t="s">
        <v>34</v>
      </c>
      <c r="D26" s="49">
        <v>3.5900000000000001E-2</v>
      </c>
      <c r="E26" s="71">
        <f t="shared" si="0"/>
        <v>14360</v>
      </c>
      <c r="F26" s="71"/>
      <c r="G26" s="71" t="s">
        <v>104</v>
      </c>
    </row>
    <row r="27" spans="1:7" ht="15.75">
      <c r="A27" s="51">
        <v>19</v>
      </c>
      <c r="B27" s="43" t="s">
        <v>58</v>
      </c>
      <c r="C27" s="65" t="s">
        <v>35</v>
      </c>
      <c r="D27" s="49">
        <v>4.1399999999999999E-2</v>
      </c>
      <c r="E27" s="71">
        <f t="shared" si="0"/>
        <v>16560</v>
      </c>
      <c r="F27" s="71">
        <f>E27*6.3%</f>
        <v>1043.28</v>
      </c>
      <c r="G27" s="71">
        <f t="shared" si="1"/>
        <v>17603.28</v>
      </c>
    </row>
    <row r="28" spans="1:7" ht="15.75">
      <c r="A28" s="51">
        <v>20</v>
      </c>
      <c r="B28" s="44" t="s">
        <v>59</v>
      </c>
      <c r="C28" s="65" t="s">
        <v>36</v>
      </c>
      <c r="D28" s="49">
        <v>5.3499999999999999E-2</v>
      </c>
      <c r="E28" s="71">
        <f t="shared" si="0"/>
        <v>21400</v>
      </c>
      <c r="F28" s="71"/>
      <c r="G28" s="71" t="s">
        <v>104</v>
      </c>
    </row>
    <row r="29" spans="1:7" ht="15.75">
      <c r="A29" s="51">
        <v>21</v>
      </c>
      <c r="B29" s="43" t="s">
        <v>60</v>
      </c>
      <c r="C29" s="65" t="s">
        <v>37</v>
      </c>
      <c r="D29" s="49">
        <v>3.85E-2</v>
      </c>
      <c r="E29" s="71">
        <f t="shared" si="0"/>
        <v>15400</v>
      </c>
      <c r="F29" s="71"/>
      <c r="G29" s="71" t="s">
        <v>104</v>
      </c>
    </row>
    <row r="30" spans="1:7" ht="15.75">
      <c r="A30" s="51">
        <v>22</v>
      </c>
      <c r="B30" s="43" t="s">
        <v>61</v>
      </c>
      <c r="C30" s="65" t="s">
        <v>38</v>
      </c>
      <c r="D30" s="49">
        <v>3.5900000000000001E-2</v>
      </c>
      <c r="E30" s="71">
        <f t="shared" si="0"/>
        <v>14360</v>
      </c>
      <c r="F30" s="71"/>
      <c r="G30" s="71" t="s">
        <v>104</v>
      </c>
    </row>
    <row r="31" spans="1:7" ht="15.75">
      <c r="A31" s="51">
        <v>23</v>
      </c>
      <c r="B31" s="43" t="s">
        <v>62</v>
      </c>
      <c r="C31" s="65" t="s">
        <v>39</v>
      </c>
      <c r="D31" s="49">
        <v>4.1399999999999999E-2</v>
      </c>
      <c r="E31" s="71">
        <f t="shared" si="0"/>
        <v>16560</v>
      </c>
      <c r="F31" s="71"/>
      <c r="G31" s="71" t="s">
        <v>104</v>
      </c>
    </row>
    <row r="32" spans="1:7" ht="15.75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8" t="s">
        <v>103</v>
      </c>
      <c r="D34" s="76"/>
      <c r="E34" s="77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8"/>
  <sheetViews>
    <sheetView tabSelected="1" topLeftCell="A86" zoomScaleNormal="100" workbookViewId="0">
      <selection activeCell="H94" sqref="H94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2.85546875" bestFit="1" customWidth="1"/>
  </cols>
  <sheetData>
    <row r="1" spans="1:8">
      <c r="A1" s="8"/>
      <c r="B1" s="3"/>
      <c r="C1" s="3"/>
      <c r="D1" s="3"/>
      <c r="E1" s="3"/>
      <c r="F1" s="3"/>
      <c r="G1" s="3"/>
      <c r="H1" s="9"/>
    </row>
    <row r="2" spans="1:8" ht="48" customHeight="1">
      <c r="A2" s="10"/>
      <c r="D2" s="176"/>
      <c r="E2" s="177"/>
      <c r="F2" s="177"/>
      <c r="G2" s="177"/>
      <c r="H2" s="178"/>
    </row>
    <row r="3" spans="1:8">
      <c r="A3" s="10"/>
      <c r="D3" s="14" t="s">
        <v>6</v>
      </c>
      <c r="E3" s="207">
        <v>1153202676</v>
      </c>
      <c r="F3" s="207"/>
      <c r="G3" s="207"/>
      <c r="H3" s="208"/>
    </row>
    <row r="4" spans="1:8">
      <c r="A4" s="10"/>
      <c r="D4" s="14" t="s">
        <v>4</v>
      </c>
      <c r="E4" s="55" t="s">
        <v>66</v>
      </c>
      <c r="H4" s="11"/>
    </row>
    <row r="5" spans="1:8">
      <c r="A5" s="10"/>
      <c r="D5" s="14" t="s">
        <v>18</v>
      </c>
      <c r="E5" s="56">
        <v>30707328890</v>
      </c>
      <c r="H5" s="11"/>
    </row>
    <row r="6" spans="1:8">
      <c r="A6" s="10"/>
      <c r="D6" s="14" t="s">
        <v>9</v>
      </c>
      <c r="G6" t="s">
        <v>123</v>
      </c>
      <c r="H6" s="11"/>
    </row>
    <row r="7" spans="1:8">
      <c r="A7" s="10"/>
      <c r="H7" s="11"/>
    </row>
    <row r="8" spans="1:8" s="5" customFormat="1" ht="18.75">
      <c r="A8" s="18" t="s">
        <v>5</v>
      </c>
      <c r="B8" s="19"/>
      <c r="C8" s="19"/>
      <c r="D8" s="19"/>
      <c r="E8" s="19" t="s">
        <v>67</v>
      </c>
      <c r="F8" s="90" t="s">
        <v>150</v>
      </c>
      <c r="G8" s="19" t="s">
        <v>153</v>
      </c>
      <c r="H8" s="20"/>
    </row>
    <row r="9" spans="1:8">
      <c r="A9" s="8"/>
      <c r="B9" s="3"/>
      <c r="C9" s="3"/>
      <c r="D9" s="3"/>
      <c r="E9" s="3"/>
      <c r="F9" s="3"/>
      <c r="G9" s="3"/>
      <c r="H9" s="9"/>
    </row>
    <row r="10" spans="1:8">
      <c r="A10" s="15" t="s">
        <v>14</v>
      </c>
      <c r="E10" s="14" t="s">
        <v>13</v>
      </c>
      <c r="H10" s="11"/>
    </row>
    <row r="11" spans="1:8" ht="14.25" customHeight="1">
      <c r="A11" s="15"/>
      <c r="E11" s="14"/>
      <c r="H11" s="11"/>
    </row>
    <row r="12" spans="1:8" ht="67.5" hidden="1" customHeight="1">
      <c r="A12" s="185"/>
      <c r="B12" s="186"/>
      <c r="C12" s="186"/>
      <c r="D12" s="186"/>
      <c r="E12" s="186"/>
      <c r="F12" s="186"/>
      <c r="G12" s="186"/>
      <c r="H12" s="187"/>
    </row>
    <row r="13" spans="1:8" ht="13.5" customHeight="1">
      <c r="A13" s="12"/>
      <c r="B13" s="4"/>
      <c r="C13" s="4"/>
      <c r="D13" s="4"/>
      <c r="E13" s="4"/>
      <c r="F13" s="4"/>
      <c r="G13" s="4"/>
      <c r="H13" s="13"/>
    </row>
    <row r="14" spans="1:8" ht="15.75">
      <c r="A14" s="211" t="s">
        <v>132</v>
      </c>
      <c r="B14" s="211"/>
      <c r="C14" s="211"/>
      <c r="D14" s="211"/>
      <c r="E14" s="211"/>
      <c r="F14" s="211"/>
      <c r="G14" s="211"/>
      <c r="H14" s="211"/>
    </row>
    <row r="15" spans="1:8">
      <c r="A15" s="215" t="s">
        <v>69</v>
      </c>
      <c r="B15" s="141"/>
      <c r="C15" s="141"/>
      <c r="D15" s="141"/>
      <c r="E15" s="141"/>
      <c r="F15" s="141"/>
      <c r="G15" s="141"/>
      <c r="H15" s="74">
        <v>194212.8</v>
      </c>
    </row>
    <row r="16" spans="1:8">
      <c r="A16" s="215" t="s">
        <v>92</v>
      </c>
      <c r="B16" s="141"/>
      <c r="C16" s="141"/>
      <c r="D16" s="141"/>
      <c r="E16" s="141"/>
      <c r="F16" s="141"/>
      <c r="G16" s="141"/>
      <c r="H16" s="74">
        <v>23811.3</v>
      </c>
    </row>
    <row r="17" spans="1:9" ht="14.25" customHeight="1">
      <c r="A17" s="215" t="s">
        <v>93</v>
      </c>
      <c r="B17" s="141"/>
      <c r="C17" s="141"/>
      <c r="D17" s="141"/>
      <c r="E17" s="141"/>
      <c r="F17" s="141"/>
      <c r="G17" s="141"/>
      <c r="H17" s="74">
        <v>33304</v>
      </c>
    </row>
    <row r="18" spans="1:9">
      <c r="A18" s="215" t="s">
        <v>139</v>
      </c>
      <c r="B18" s="141"/>
      <c r="C18" s="141"/>
      <c r="D18" s="141"/>
      <c r="E18" s="141"/>
      <c r="F18" s="141"/>
      <c r="G18" s="141"/>
      <c r="H18" s="74">
        <v>6666.67</v>
      </c>
    </row>
    <row r="19" spans="1:9">
      <c r="A19" s="215" t="s">
        <v>91</v>
      </c>
      <c r="B19" s="141"/>
      <c r="C19" s="141"/>
      <c r="D19" s="141"/>
      <c r="E19" s="141"/>
      <c r="F19" s="141"/>
      <c r="G19" s="141"/>
      <c r="H19" s="74">
        <v>-40634.18</v>
      </c>
      <c r="I19" s="7"/>
    </row>
    <row r="20" spans="1:9">
      <c r="A20" s="215" t="s">
        <v>126</v>
      </c>
      <c r="B20" s="141"/>
      <c r="C20" s="141"/>
      <c r="D20" s="141"/>
      <c r="E20" s="141"/>
      <c r="F20" s="141"/>
      <c r="G20" s="141"/>
      <c r="H20" s="74">
        <v>0.41</v>
      </c>
      <c r="I20" s="7"/>
    </row>
    <row r="21" spans="1:9">
      <c r="A21" s="215" t="s">
        <v>77</v>
      </c>
      <c r="B21" s="141"/>
      <c r="C21" s="141"/>
      <c r="D21" s="141"/>
      <c r="E21" s="141"/>
      <c r="F21" s="141"/>
      <c r="G21" s="141"/>
      <c r="H21" s="74">
        <f>SUM(H15:H20)</f>
        <v>217361</v>
      </c>
      <c r="I21" s="7"/>
    </row>
    <row r="22" spans="1:9" ht="0.75" customHeight="1">
      <c r="A22" s="216" t="s">
        <v>136</v>
      </c>
      <c r="B22" s="216"/>
      <c r="C22" s="216"/>
      <c r="D22" s="216"/>
      <c r="E22" s="216"/>
      <c r="F22" s="216"/>
      <c r="G22" s="216"/>
      <c r="H22" s="216"/>
    </row>
    <row r="23" spans="1:9" hidden="1">
      <c r="A23" s="215" t="s">
        <v>136</v>
      </c>
      <c r="B23" s="141"/>
      <c r="C23" s="141"/>
      <c r="D23" s="141"/>
      <c r="E23" s="141"/>
      <c r="F23" s="141"/>
      <c r="G23" s="141"/>
      <c r="H23" s="74"/>
    </row>
    <row r="24" spans="1:9" hidden="1">
      <c r="A24" s="215"/>
      <c r="B24" s="141"/>
      <c r="C24" s="141"/>
      <c r="D24" s="141"/>
      <c r="E24" s="141"/>
      <c r="F24" s="141"/>
      <c r="G24" s="141"/>
      <c r="H24" s="74">
        <v>0</v>
      </c>
    </row>
    <row r="25" spans="1:9" hidden="1">
      <c r="A25" s="215"/>
      <c r="B25" s="141"/>
      <c r="C25" s="141"/>
      <c r="D25" s="141"/>
      <c r="E25" s="141"/>
      <c r="F25" s="141"/>
      <c r="G25" s="141"/>
      <c r="H25" s="74">
        <v>0</v>
      </c>
    </row>
    <row r="26" spans="1:9" hidden="1">
      <c r="A26" s="215"/>
      <c r="B26" s="141"/>
      <c r="C26" s="141"/>
      <c r="D26" s="141"/>
      <c r="E26" s="141"/>
      <c r="F26" s="141"/>
      <c r="G26" s="141"/>
      <c r="H26" s="74">
        <v>0</v>
      </c>
    </row>
    <row r="27" spans="1:9" hidden="1">
      <c r="A27" s="215" t="s">
        <v>137</v>
      </c>
      <c r="B27" s="141"/>
      <c r="C27" s="141"/>
      <c r="D27" s="141"/>
      <c r="E27" s="141"/>
      <c r="F27" s="141"/>
      <c r="G27" s="141"/>
      <c r="H27" s="74"/>
    </row>
    <row r="28" spans="1:9" hidden="1">
      <c r="A28" s="215" t="s">
        <v>91</v>
      </c>
      <c r="B28" s="141"/>
      <c r="C28" s="141"/>
      <c r="D28" s="141"/>
      <c r="E28" s="141"/>
      <c r="F28" s="141"/>
      <c r="G28" s="141"/>
      <c r="H28" s="74"/>
    </row>
    <row r="29" spans="1:9" hidden="1">
      <c r="A29" s="215" t="s">
        <v>77</v>
      </c>
      <c r="B29" s="141"/>
      <c r="C29" s="141"/>
      <c r="D29" s="141"/>
      <c r="E29" s="141"/>
      <c r="F29" s="141"/>
      <c r="G29" s="141"/>
      <c r="H29" s="70">
        <f>SUM(H23:H28)</f>
        <v>0</v>
      </c>
    </row>
    <row r="30" spans="1:9">
      <c r="A30" s="217" t="s">
        <v>141</v>
      </c>
      <c r="B30" s="217"/>
      <c r="C30" s="217"/>
      <c r="D30" s="217"/>
      <c r="E30" s="217"/>
      <c r="F30" s="217"/>
      <c r="G30" s="217"/>
      <c r="H30" s="217"/>
    </row>
    <row r="31" spans="1:9">
      <c r="A31" s="141" t="s">
        <v>157</v>
      </c>
      <c r="B31" s="141"/>
      <c r="C31" s="141"/>
      <c r="D31" s="141"/>
      <c r="E31" s="141"/>
      <c r="F31" s="141"/>
      <c r="G31" s="141"/>
      <c r="H31" s="74">
        <v>32000</v>
      </c>
    </row>
    <row r="32" spans="1:9">
      <c r="A32" s="141"/>
      <c r="B32" s="141"/>
      <c r="C32" s="141"/>
      <c r="D32" s="141"/>
      <c r="E32" s="141"/>
      <c r="F32" s="141"/>
      <c r="G32" s="141"/>
      <c r="H32" s="74"/>
    </row>
    <row r="33" spans="1:8">
      <c r="A33" s="141" t="s">
        <v>77</v>
      </c>
      <c r="B33" s="141"/>
      <c r="C33" s="141"/>
      <c r="D33" s="141"/>
      <c r="E33" s="141"/>
      <c r="F33" s="141"/>
      <c r="G33" s="141"/>
      <c r="H33" s="74">
        <f>SUM(H31:H32)</f>
        <v>32000</v>
      </c>
    </row>
    <row r="34" spans="1:8" ht="14.25" customHeight="1">
      <c r="A34" s="218" t="s">
        <v>94</v>
      </c>
      <c r="B34" s="218"/>
      <c r="C34" s="218"/>
      <c r="D34" s="218"/>
      <c r="E34" s="218"/>
      <c r="F34" s="218"/>
      <c r="G34" s="218"/>
      <c r="H34" s="218"/>
    </row>
    <row r="35" spans="1:8" hidden="1">
      <c r="A35" s="215"/>
      <c r="B35" s="141"/>
      <c r="C35" s="141"/>
      <c r="D35" s="141"/>
      <c r="E35" s="141"/>
      <c r="F35" s="141"/>
      <c r="G35" s="141"/>
      <c r="H35" s="74"/>
    </row>
    <row r="36" spans="1:8">
      <c r="A36" s="215" t="s">
        <v>84</v>
      </c>
      <c r="B36" s="219"/>
      <c r="C36" s="141"/>
      <c r="D36" s="141"/>
      <c r="E36" s="141"/>
      <c r="F36" s="141"/>
      <c r="G36" s="141"/>
      <c r="H36" s="74">
        <f>28769.66+1289.97+11609.77</f>
        <v>41669.4</v>
      </c>
    </row>
    <row r="37" spans="1:8">
      <c r="A37" s="141" t="s">
        <v>70</v>
      </c>
      <c r="B37" s="141"/>
      <c r="C37" s="141"/>
      <c r="D37" s="141"/>
      <c r="E37" s="141"/>
      <c r="F37" s="141"/>
      <c r="G37" s="141"/>
      <c r="H37" s="74">
        <v>0</v>
      </c>
    </row>
    <row r="38" spans="1:8">
      <c r="A38" s="141" t="s">
        <v>76</v>
      </c>
      <c r="B38" s="141"/>
      <c r="C38" s="141"/>
      <c r="D38" s="141"/>
      <c r="E38" s="141"/>
      <c r="F38" s="141"/>
      <c r="G38" s="141"/>
      <c r="H38" s="74">
        <f>SUM(H35:H37)</f>
        <v>41669.4</v>
      </c>
    </row>
    <row r="39" spans="1:8">
      <c r="A39" s="218" t="s">
        <v>142</v>
      </c>
      <c r="B39" s="218"/>
      <c r="C39" s="218"/>
      <c r="D39" s="218"/>
      <c r="E39" s="218"/>
      <c r="F39" s="218"/>
      <c r="G39" s="218"/>
      <c r="H39" s="218"/>
    </row>
    <row r="40" spans="1:8" ht="14.25" customHeight="1">
      <c r="A40" s="141" t="s">
        <v>158</v>
      </c>
      <c r="B40" s="141"/>
      <c r="C40" s="141"/>
      <c r="D40" s="141"/>
      <c r="E40" s="141"/>
      <c r="F40" s="141"/>
      <c r="G40" s="141"/>
      <c r="H40" s="74">
        <v>937121.46</v>
      </c>
    </row>
    <row r="41" spans="1:8">
      <c r="A41" s="220" t="s">
        <v>106</v>
      </c>
      <c r="B41" s="141"/>
      <c r="C41" s="141"/>
      <c r="D41" s="141"/>
      <c r="E41" s="141"/>
      <c r="F41" s="141"/>
      <c r="G41" s="141"/>
      <c r="H41" s="74">
        <v>75376.820000000007</v>
      </c>
    </row>
    <row r="42" spans="1:8">
      <c r="A42" s="141" t="s">
        <v>77</v>
      </c>
      <c r="B42" s="141"/>
      <c r="C42" s="141"/>
      <c r="D42" s="141"/>
      <c r="E42" s="141"/>
      <c r="F42" s="141"/>
      <c r="G42" s="141"/>
      <c r="H42" s="145">
        <f>SUM(H40:H41)</f>
        <v>1012498.28</v>
      </c>
    </row>
    <row r="43" spans="1:8">
      <c r="A43" s="211" t="s">
        <v>143</v>
      </c>
      <c r="B43" s="211"/>
      <c r="C43" s="211"/>
      <c r="D43" s="211"/>
      <c r="E43" s="211"/>
      <c r="F43" s="211"/>
      <c r="G43" s="211"/>
      <c r="H43" s="211"/>
    </row>
    <row r="44" spans="1:8">
      <c r="A44" s="81" t="s">
        <v>71</v>
      </c>
      <c r="B44" s="141"/>
      <c r="C44" s="141"/>
      <c r="D44" s="141"/>
      <c r="E44" s="141"/>
      <c r="F44" s="141"/>
      <c r="G44" s="141"/>
      <c r="H44" s="74">
        <v>47700</v>
      </c>
    </row>
    <row r="45" spans="1:8">
      <c r="A45" s="141" t="s">
        <v>72</v>
      </c>
      <c r="B45" s="141"/>
      <c r="C45" s="141"/>
      <c r="D45" s="141"/>
      <c r="E45" s="141"/>
      <c r="F45" s="141"/>
      <c r="G45" s="141"/>
      <c r="H45" s="74">
        <v>18611.07</v>
      </c>
    </row>
    <row r="46" spans="1:8">
      <c r="A46" s="141" t="s">
        <v>160</v>
      </c>
      <c r="B46" s="141"/>
      <c r="C46" s="141"/>
      <c r="D46" s="141"/>
      <c r="E46" s="141"/>
      <c r="F46" s="141"/>
      <c r="G46" s="141"/>
      <c r="H46" s="74">
        <v>180000</v>
      </c>
    </row>
    <row r="47" spans="1:8">
      <c r="A47" s="141" t="s">
        <v>151</v>
      </c>
      <c r="B47" s="141"/>
      <c r="C47" s="141"/>
      <c r="D47" s="141"/>
      <c r="E47" s="141"/>
      <c r="F47" s="141"/>
      <c r="G47" s="141"/>
      <c r="H47" s="74">
        <v>55000</v>
      </c>
    </row>
    <row r="48" spans="1:8">
      <c r="A48" s="141" t="s">
        <v>156</v>
      </c>
      <c r="B48" s="141"/>
      <c r="C48" s="141"/>
      <c r="D48" s="141"/>
      <c r="E48" s="141"/>
      <c r="F48" s="141"/>
      <c r="G48" s="141"/>
      <c r="H48" s="74">
        <v>165000</v>
      </c>
    </row>
    <row r="49" spans="1:11">
      <c r="A49" s="141" t="s">
        <v>154</v>
      </c>
      <c r="B49" s="141"/>
      <c r="C49" s="141"/>
      <c r="D49" s="141"/>
      <c r="E49" s="141"/>
      <c r="F49" s="141"/>
      <c r="G49" s="141"/>
      <c r="H49" s="74">
        <v>330000</v>
      </c>
    </row>
    <row r="50" spans="1:11">
      <c r="A50" s="141" t="s">
        <v>77</v>
      </c>
      <c r="B50" s="141"/>
      <c r="C50" s="141"/>
      <c r="D50" s="141"/>
      <c r="E50" s="141"/>
      <c r="F50" s="141"/>
      <c r="G50" s="141"/>
      <c r="H50" s="70">
        <f>SUM(H44:H49)</f>
        <v>796311.07000000007</v>
      </c>
    </row>
    <row r="51" spans="1:11">
      <c r="A51" s="211" t="s">
        <v>144</v>
      </c>
      <c r="B51" s="211"/>
      <c r="C51" s="211"/>
      <c r="D51" s="211"/>
      <c r="E51" s="211"/>
      <c r="F51" s="211"/>
      <c r="G51" s="211"/>
      <c r="H51" s="211"/>
    </row>
    <row r="52" spans="1:11">
      <c r="A52" s="141" t="s">
        <v>73</v>
      </c>
      <c r="B52" s="141"/>
      <c r="C52" s="141"/>
      <c r="D52" s="141"/>
      <c r="E52" s="141"/>
      <c r="F52" s="141"/>
      <c r="G52" s="141"/>
      <c r="H52" s="74">
        <v>139785.35999999999</v>
      </c>
    </row>
    <row r="53" spans="1:11">
      <c r="A53" s="141" t="s">
        <v>125</v>
      </c>
      <c r="B53" s="141"/>
      <c r="C53" s="141"/>
      <c r="D53" s="141"/>
      <c r="E53" s="141"/>
      <c r="F53" s="141"/>
      <c r="G53" s="141"/>
      <c r="H53" s="74">
        <v>28000</v>
      </c>
    </row>
    <row r="54" spans="1:11">
      <c r="A54" s="141"/>
      <c r="B54" s="141"/>
      <c r="C54" s="141"/>
      <c r="D54" s="141"/>
      <c r="E54" s="141"/>
      <c r="F54" s="141"/>
      <c r="G54" s="141"/>
      <c r="H54" s="74"/>
    </row>
    <row r="55" spans="1:11">
      <c r="A55" s="141" t="s">
        <v>76</v>
      </c>
      <c r="B55" s="141"/>
      <c r="C55" s="141"/>
      <c r="D55" s="141"/>
      <c r="E55" s="141"/>
      <c r="F55" s="141"/>
      <c r="G55" s="141"/>
      <c r="H55" s="221">
        <f>SUM(H52:H54)</f>
        <v>167785.36</v>
      </c>
      <c r="K55" s="7"/>
    </row>
    <row r="56" spans="1:11" s="6" customFormat="1">
      <c r="A56" s="212" t="s">
        <v>145</v>
      </c>
      <c r="B56" s="213"/>
      <c r="C56" s="213"/>
      <c r="D56" s="213"/>
      <c r="E56" s="213"/>
      <c r="F56" s="213"/>
      <c r="G56" s="213"/>
      <c r="H56" s="214"/>
    </row>
    <row r="57" spans="1:11" s="6" customFormat="1">
      <c r="A57" s="81" t="s">
        <v>127</v>
      </c>
      <c r="B57" s="81"/>
      <c r="C57" s="81"/>
      <c r="D57" s="81"/>
      <c r="E57" s="81"/>
      <c r="F57" s="81"/>
      <c r="G57" s="81"/>
      <c r="H57" s="70">
        <v>20546.41</v>
      </c>
      <c r="I57" s="60"/>
    </row>
    <row r="58" spans="1:11" s="6" customFormat="1">
      <c r="A58" s="81" t="s">
        <v>77</v>
      </c>
      <c r="B58" s="81"/>
      <c r="C58" s="81"/>
      <c r="D58" s="81"/>
      <c r="E58" s="81"/>
      <c r="F58" s="81"/>
      <c r="G58" s="81"/>
      <c r="H58" s="70">
        <f>SUM(H57)</f>
        <v>20546.41</v>
      </c>
    </row>
    <row r="59" spans="1:11" s="6" customFormat="1">
      <c r="A59" s="211" t="s">
        <v>146</v>
      </c>
      <c r="B59" s="211"/>
      <c r="C59" s="211"/>
      <c r="D59" s="211"/>
      <c r="E59" s="211"/>
      <c r="F59" s="211"/>
      <c r="G59" s="211"/>
      <c r="H59" s="211"/>
    </row>
    <row r="60" spans="1:11" s="6" customFormat="1">
      <c r="A60" s="81" t="s">
        <v>155</v>
      </c>
      <c r="B60" s="81"/>
      <c r="C60" s="81"/>
      <c r="D60" s="81"/>
      <c r="E60" s="81"/>
      <c r="F60" s="81"/>
      <c r="G60" s="81"/>
      <c r="H60" s="70">
        <v>100000</v>
      </c>
    </row>
    <row r="61" spans="1:11" s="6" customFormat="1">
      <c r="A61" s="81"/>
      <c r="B61" s="81"/>
      <c r="C61" s="81"/>
      <c r="D61" s="81"/>
      <c r="E61" s="81"/>
      <c r="F61" s="81"/>
      <c r="G61" s="81"/>
      <c r="H61" s="70"/>
    </row>
    <row r="62" spans="1:11" s="6" customFormat="1">
      <c r="A62" s="81"/>
      <c r="B62" s="81"/>
      <c r="C62" s="81"/>
      <c r="D62" s="81"/>
      <c r="E62" s="81"/>
      <c r="F62" s="81"/>
      <c r="G62" s="81"/>
      <c r="H62" s="70">
        <v>0</v>
      </c>
    </row>
    <row r="63" spans="1:11" s="6" customFormat="1" ht="21" customHeight="1">
      <c r="A63" s="81" t="s">
        <v>78</v>
      </c>
      <c r="B63" s="81"/>
      <c r="C63" s="81"/>
      <c r="D63" s="81"/>
      <c r="E63" s="81"/>
      <c r="F63" s="81"/>
      <c r="G63" s="81"/>
      <c r="H63" s="70">
        <f>SUM(H60:H62)</f>
        <v>100000</v>
      </c>
      <c r="I63" s="60"/>
    </row>
    <row r="64" spans="1:11" s="6" customFormat="1" ht="18" customHeight="1">
      <c r="A64" s="212"/>
      <c r="B64" s="213"/>
      <c r="C64" s="213"/>
      <c r="D64" s="213"/>
      <c r="E64" s="213"/>
      <c r="F64" s="213"/>
      <c r="G64" s="213"/>
      <c r="H64" s="214"/>
    </row>
    <row r="65" spans="1:11" s="6" customFormat="1" ht="23.25" hidden="1" customHeight="1">
      <c r="A65" s="82"/>
      <c r="B65" s="83"/>
      <c r="C65" s="83"/>
      <c r="D65" s="83"/>
      <c r="E65" s="83"/>
      <c r="F65" s="83"/>
      <c r="G65" s="83"/>
      <c r="H65" s="162">
        <v>0</v>
      </c>
    </row>
    <row r="66" spans="1:11" s="6" customFormat="1" ht="20.25" hidden="1" customHeight="1">
      <c r="A66" s="163"/>
      <c r="B66" s="164"/>
      <c r="C66" s="164"/>
      <c r="D66" s="164"/>
      <c r="E66" s="164"/>
      <c r="F66" s="164"/>
      <c r="G66" s="164"/>
      <c r="H66" s="165">
        <v>0</v>
      </c>
    </row>
    <row r="67" spans="1:11" s="6" customFormat="1" ht="18" hidden="1" customHeight="1">
      <c r="A67" s="166"/>
      <c r="B67" s="167"/>
      <c r="C67" s="167"/>
      <c r="D67" s="167"/>
      <c r="E67" s="167"/>
      <c r="F67" s="167"/>
      <c r="G67" s="167"/>
      <c r="H67" s="162">
        <f>H65+H66</f>
        <v>0</v>
      </c>
    </row>
    <row r="68" spans="1:11" s="6" customFormat="1" ht="18" hidden="1" customHeight="1">
      <c r="A68" s="193" t="s">
        <v>86</v>
      </c>
      <c r="B68" s="194"/>
      <c r="C68" s="194"/>
      <c r="D68" s="194"/>
      <c r="E68" s="194"/>
      <c r="F68" s="194"/>
      <c r="G68" s="194"/>
      <c r="H68" s="168">
        <f>H63</f>
        <v>100000</v>
      </c>
    </row>
    <row r="69" spans="1:11" s="6" customFormat="1" ht="18" customHeight="1">
      <c r="A69" s="198"/>
      <c r="B69" s="198"/>
      <c r="C69" s="198"/>
      <c r="D69" s="198"/>
      <c r="E69" s="198"/>
      <c r="F69" s="198"/>
      <c r="G69" s="198"/>
      <c r="H69" s="198"/>
    </row>
    <row r="70" spans="1:11" s="6" customFormat="1" ht="86.25" hidden="1" customHeight="1">
      <c r="A70" s="199"/>
      <c r="B70" s="199"/>
      <c r="C70" s="199"/>
      <c r="D70" s="199"/>
      <c r="E70" s="199"/>
      <c r="F70" s="199"/>
      <c r="G70" s="199"/>
      <c r="H70" s="199"/>
    </row>
    <row r="71" spans="1:11" s="6" customFormat="1" ht="18" customHeight="1">
      <c r="A71" s="197" t="s">
        <v>88</v>
      </c>
      <c r="B71" s="197"/>
      <c r="C71" s="197"/>
      <c r="D71" s="197"/>
      <c r="E71" s="197"/>
      <c r="F71" s="197"/>
      <c r="G71" s="197"/>
      <c r="H71" s="169"/>
    </row>
    <row r="72" spans="1:11" s="6" customFormat="1" ht="26.25" customHeight="1">
      <c r="A72" s="182" t="s">
        <v>159</v>
      </c>
      <c r="B72" s="183"/>
      <c r="C72" s="183"/>
      <c r="D72" s="183"/>
      <c r="E72" s="183"/>
      <c r="F72" s="183"/>
      <c r="G72" s="184"/>
      <c r="H72" s="74">
        <f>19000+81000</f>
        <v>100000</v>
      </c>
    </row>
    <row r="73" spans="1:11" s="6" customFormat="1" ht="18" customHeight="1">
      <c r="A73" s="131" t="s">
        <v>77</v>
      </c>
      <c r="B73" s="81"/>
      <c r="C73" s="81"/>
      <c r="D73" s="81"/>
      <c r="E73" s="81"/>
      <c r="F73" s="81"/>
      <c r="G73" s="81"/>
      <c r="H73" s="70">
        <f>SUM(H72:H72)</f>
        <v>100000</v>
      </c>
    </row>
    <row r="74" spans="1:11" s="6" customFormat="1" ht="18" customHeight="1" thickBot="1">
      <c r="A74" s="132"/>
      <c r="B74" s="132"/>
      <c r="C74" s="132"/>
      <c r="D74" s="132"/>
      <c r="E74" s="132"/>
      <c r="F74" s="132"/>
      <c r="G74" s="132"/>
      <c r="H74" s="133"/>
    </row>
    <row r="75" spans="1:11" s="6" customFormat="1" ht="18" customHeight="1" thickBot="1">
      <c r="A75" s="195" t="s">
        <v>87</v>
      </c>
      <c r="B75" s="196"/>
      <c r="C75" s="196"/>
      <c r="D75" s="196"/>
      <c r="E75" s="196"/>
      <c r="F75" s="196"/>
      <c r="G75" s="196"/>
      <c r="H75" s="134">
        <f>H73</f>
        <v>100000</v>
      </c>
    </row>
    <row r="76" spans="1:11" s="6" customFormat="1" ht="18" customHeight="1" thickBot="1">
      <c r="A76" s="179" t="s">
        <v>95</v>
      </c>
      <c r="B76" s="180"/>
      <c r="C76" s="180"/>
      <c r="D76" s="180"/>
      <c r="E76" s="180"/>
      <c r="F76" s="180"/>
      <c r="G76" s="181"/>
      <c r="H76" s="134"/>
    </row>
    <row r="77" spans="1:11" s="6" customFormat="1" ht="18" customHeight="1" thickBot="1">
      <c r="A77" s="179" t="s">
        <v>100</v>
      </c>
      <c r="B77" s="180"/>
      <c r="C77" s="180"/>
      <c r="D77" s="180"/>
      <c r="E77" s="180"/>
      <c r="F77" s="180"/>
      <c r="G77" s="181"/>
      <c r="H77" s="134">
        <v>1700000</v>
      </c>
    </row>
    <row r="78" spans="1:11" ht="18.75">
      <c r="A78" s="195" t="s">
        <v>96</v>
      </c>
      <c r="B78" s="196"/>
      <c r="C78" s="196"/>
      <c r="D78" s="196"/>
      <c r="E78" s="196"/>
      <c r="F78" s="196"/>
      <c r="G78" s="196"/>
      <c r="H78" s="134">
        <f>H33+H42+H50+H55+H58+H38+H21+H29</f>
        <v>2288171.5199999996</v>
      </c>
      <c r="J78" s="7"/>
      <c r="K78" s="146"/>
    </row>
    <row r="79" spans="1:11" ht="18.75">
      <c r="A79" s="188" t="s">
        <v>130</v>
      </c>
      <c r="B79" s="189"/>
      <c r="C79" s="189"/>
      <c r="D79" s="189"/>
      <c r="E79" s="189"/>
      <c r="F79" s="189"/>
      <c r="G79" s="190"/>
      <c r="H79" s="135">
        <f>H76+H78</f>
        <v>2288171.5199999996</v>
      </c>
      <c r="I79" s="130"/>
      <c r="J79" s="200"/>
      <c r="K79" s="200"/>
    </row>
    <row r="80" spans="1:11" ht="18.75">
      <c r="A80" s="188" t="s">
        <v>101</v>
      </c>
      <c r="B80" s="189"/>
      <c r="C80" s="189"/>
      <c r="D80" s="189"/>
      <c r="E80" s="189"/>
      <c r="F80" s="189"/>
      <c r="G80" s="190"/>
      <c r="H80" s="136">
        <f>H77+H75</f>
        <v>1800000</v>
      </c>
    </row>
    <row r="81" spans="1:11" ht="20.25" customHeight="1" thickBot="1">
      <c r="A81" s="191" t="s">
        <v>89</v>
      </c>
      <c r="B81" s="192"/>
      <c r="C81" s="192"/>
      <c r="D81" s="192"/>
      <c r="E81" s="192"/>
      <c r="F81" s="192"/>
      <c r="G81" s="192"/>
      <c r="H81" s="137">
        <f>H78+H75</f>
        <v>2388171.5199999996</v>
      </c>
      <c r="J81" s="7"/>
    </row>
    <row r="82" spans="1:11" ht="18.75" hidden="1">
      <c r="A82" s="209" t="s">
        <v>17</v>
      </c>
      <c r="B82" s="210"/>
      <c r="C82" s="210"/>
      <c r="D82" s="210"/>
      <c r="E82" s="210"/>
      <c r="F82" s="210"/>
      <c r="G82" s="210"/>
      <c r="H82" s="138">
        <f>H67</f>
        <v>0</v>
      </c>
      <c r="J82" s="7"/>
    </row>
    <row r="83" spans="1:11" ht="18.75" hidden="1">
      <c r="A83" s="139"/>
      <c r="B83" s="139"/>
      <c r="C83" s="139"/>
      <c r="D83" s="139"/>
      <c r="E83" s="139"/>
      <c r="F83" s="139"/>
      <c r="G83" s="139"/>
      <c r="H83" s="140"/>
      <c r="J83" s="7"/>
    </row>
    <row r="84" spans="1:11" ht="18.75" hidden="1">
      <c r="A84" s="139"/>
      <c r="B84" s="139"/>
      <c r="C84" s="139"/>
      <c r="D84" s="139"/>
      <c r="E84" s="139"/>
      <c r="F84" s="139"/>
      <c r="G84" s="139"/>
      <c r="H84" s="140"/>
      <c r="J84" s="7"/>
    </row>
    <row r="85" spans="1:11" ht="18.75" hidden="1">
      <c r="A85" s="139"/>
      <c r="B85" s="139"/>
      <c r="C85" s="139"/>
      <c r="D85" s="139"/>
      <c r="E85" s="139"/>
      <c r="F85" s="139"/>
      <c r="G85" s="139"/>
      <c r="H85" s="140"/>
      <c r="J85" s="7"/>
    </row>
    <row r="86" spans="1:11" ht="14.25" customHeight="1">
      <c r="A86" s="141"/>
      <c r="B86" s="141"/>
      <c r="C86" s="141"/>
      <c r="D86" s="141"/>
      <c r="E86" s="141"/>
      <c r="F86" s="141"/>
      <c r="G86" s="141"/>
      <c r="H86" s="141"/>
    </row>
    <row r="87" spans="1:11" ht="18.75">
      <c r="A87" s="204" t="s">
        <v>10</v>
      </c>
      <c r="B87" s="205"/>
      <c r="C87" s="205"/>
      <c r="D87" s="205"/>
      <c r="E87" s="205"/>
      <c r="F87" s="205"/>
      <c r="G87" s="205"/>
      <c r="H87" s="206"/>
    </row>
    <row r="88" spans="1:11" ht="18.75">
      <c r="A88" s="142" t="s">
        <v>12</v>
      </c>
      <c r="B88" s="143"/>
      <c r="C88" s="143"/>
      <c r="D88" s="143"/>
      <c r="E88" s="143"/>
      <c r="F88" s="143"/>
      <c r="G88" s="143"/>
      <c r="H88" s="144">
        <v>839961.22447473579</v>
      </c>
    </row>
    <row r="89" spans="1:11">
      <c r="A89" s="82" t="s">
        <v>140</v>
      </c>
      <c r="B89" s="83"/>
      <c r="C89" s="83"/>
      <c r="D89" s="83"/>
      <c r="E89" s="83"/>
      <c r="F89" s="83"/>
      <c r="G89" s="83"/>
      <c r="H89" s="145">
        <f>Planilla!G32</f>
        <v>4651785.9958085511</v>
      </c>
    </row>
    <row r="90" spans="1:11">
      <c r="A90" s="79" t="s">
        <v>152</v>
      </c>
      <c r="B90" s="80"/>
      <c r="C90" s="80"/>
      <c r="D90" s="80"/>
      <c r="E90" s="80"/>
      <c r="F90" s="80"/>
      <c r="G90" s="80"/>
      <c r="H90" s="69">
        <f>-(H81)</f>
        <v>-2388171.5199999996</v>
      </c>
    </row>
    <row r="91" spans="1:11">
      <c r="A91" s="79" t="s">
        <v>90</v>
      </c>
      <c r="B91" s="80"/>
      <c r="C91" s="80"/>
      <c r="D91" s="80"/>
      <c r="E91" s="80"/>
      <c r="F91" s="80"/>
      <c r="G91" s="80"/>
      <c r="H91" s="69">
        <f>-H68</f>
        <v>-100000</v>
      </c>
      <c r="K91" s="229" t="s">
        <v>161</v>
      </c>
    </row>
    <row r="92" spans="1:11">
      <c r="A92" s="79" t="s">
        <v>75</v>
      </c>
      <c r="B92" s="80" t="s">
        <v>122</v>
      </c>
      <c r="C92" s="80"/>
      <c r="D92" s="80"/>
      <c r="E92" s="80"/>
      <c r="F92" s="80"/>
      <c r="G92" s="80"/>
      <c r="H92" s="125">
        <v>115393.04</v>
      </c>
    </row>
    <row r="93" spans="1:11">
      <c r="A93" s="79" t="s">
        <v>74</v>
      </c>
      <c r="B93" s="80"/>
      <c r="C93" s="80"/>
      <c r="D93" s="80"/>
      <c r="E93" s="80"/>
      <c r="F93" s="80"/>
      <c r="G93" s="80"/>
      <c r="H93" s="125">
        <v>36320.800000000003</v>
      </c>
      <c r="I93" s="146"/>
    </row>
    <row r="94" spans="1:11">
      <c r="A94" s="12" t="s">
        <v>128</v>
      </c>
      <c r="B94" s="84"/>
      <c r="C94" s="4"/>
      <c r="D94" s="4"/>
      <c r="E94" s="4"/>
      <c r="F94" s="4"/>
      <c r="G94" s="4"/>
      <c r="H94" s="99">
        <v>0</v>
      </c>
    </row>
    <row r="95" spans="1:11" ht="18.75">
      <c r="A95" s="22" t="s">
        <v>11</v>
      </c>
      <c r="B95" s="23"/>
      <c r="C95" s="23"/>
      <c r="D95" s="23"/>
      <c r="E95" s="23"/>
      <c r="F95" s="23"/>
      <c r="G95" s="23"/>
      <c r="H95" s="85">
        <f>SUM(H88:H94)</f>
        <v>3155289.5402832869</v>
      </c>
    </row>
    <row r="96" spans="1:11" ht="15.75" thickBot="1"/>
    <row r="97" spans="1:8" ht="16.5" thickBot="1">
      <c r="A97" s="201" t="s">
        <v>105</v>
      </c>
      <c r="B97" s="202"/>
      <c r="C97" s="202"/>
      <c r="D97" s="202"/>
      <c r="E97" s="202"/>
      <c r="F97" s="202"/>
      <c r="G97" s="202"/>
      <c r="H97" s="203"/>
    </row>
    <row r="98" spans="1:8" ht="15.75">
      <c r="A98" s="88" t="s">
        <v>12</v>
      </c>
      <c r="B98" s="88"/>
      <c r="C98" s="88"/>
      <c r="D98" s="88"/>
      <c r="E98" s="88"/>
      <c r="F98" s="88"/>
      <c r="G98" s="88"/>
      <c r="H98" s="89">
        <v>0</v>
      </c>
    </row>
    <row r="99" spans="1:8">
      <c r="A99" s="61" t="s">
        <v>129</v>
      </c>
      <c r="B99" s="92"/>
      <c r="C99" s="4"/>
      <c r="D99" s="61"/>
      <c r="E99" s="61"/>
      <c r="F99" s="61"/>
      <c r="G99" s="61"/>
      <c r="H99" s="129"/>
    </row>
    <row r="100" spans="1:8">
      <c r="A100" s="61"/>
      <c r="B100" s="98"/>
      <c r="C100" s="61"/>
      <c r="D100" s="61"/>
      <c r="E100" s="61"/>
      <c r="F100" s="61"/>
      <c r="G100" s="61"/>
      <c r="H100" s="21"/>
    </row>
    <row r="101" spans="1:8">
      <c r="A101" s="61"/>
      <c r="B101" s="61"/>
      <c r="C101" s="61"/>
      <c r="D101" s="61"/>
      <c r="E101" s="61"/>
      <c r="F101" s="61"/>
      <c r="G101" s="61"/>
      <c r="H101" s="21"/>
    </row>
    <row r="102" spans="1:8">
      <c r="A102" s="86" t="s">
        <v>11</v>
      </c>
      <c r="B102" s="86"/>
      <c r="C102" s="86"/>
      <c r="D102" s="86"/>
      <c r="E102" s="86"/>
      <c r="F102" s="86"/>
      <c r="G102" s="86"/>
      <c r="H102" s="87">
        <f>SUM(H98:H101)</f>
        <v>0</v>
      </c>
    </row>
    <row r="105" spans="1:8" hidden="1">
      <c r="A105" s="186"/>
      <c r="B105" s="186"/>
      <c r="C105" s="186"/>
      <c r="D105" s="186"/>
      <c r="E105" s="186"/>
      <c r="F105" s="186"/>
      <c r="G105" s="186"/>
      <c r="H105" s="186"/>
    </row>
    <row r="106" spans="1:8" hidden="1">
      <c r="A106" s="186"/>
      <c r="B106" s="186"/>
      <c r="C106" s="186"/>
      <c r="D106" s="186"/>
      <c r="E106" s="186"/>
      <c r="F106" s="186"/>
      <c r="G106" s="186"/>
      <c r="H106" s="186"/>
    </row>
    <row r="107" spans="1:8" hidden="1">
      <c r="A107" s="186"/>
      <c r="B107" s="186"/>
      <c r="C107" s="186"/>
      <c r="D107" s="186"/>
      <c r="E107" s="186"/>
      <c r="F107" s="186"/>
      <c r="G107" s="186"/>
      <c r="H107" s="186"/>
    </row>
    <row r="108" spans="1:8" hidden="1">
      <c r="A108" s="186"/>
      <c r="B108" s="186"/>
      <c r="C108" s="186"/>
      <c r="D108" s="186"/>
      <c r="E108" s="186"/>
      <c r="F108" s="186"/>
      <c r="G108" s="186"/>
      <c r="H108" s="186"/>
    </row>
  </sheetData>
  <mergeCells count="29">
    <mergeCell ref="J79:K79"/>
    <mergeCell ref="A105:H108"/>
    <mergeCell ref="A97:H97"/>
    <mergeCell ref="A87:H87"/>
    <mergeCell ref="E3:H3"/>
    <mergeCell ref="A78:G78"/>
    <mergeCell ref="A82:G82"/>
    <mergeCell ref="A14:H14"/>
    <mergeCell ref="A39:H39"/>
    <mergeCell ref="A43:H43"/>
    <mergeCell ref="A51:H51"/>
    <mergeCell ref="A56:H56"/>
    <mergeCell ref="A59:H59"/>
    <mergeCell ref="A64:H64"/>
    <mergeCell ref="A80:G80"/>
    <mergeCell ref="A76:G76"/>
    <mergeCell ref="A79:G79"/>
    <mergeCell ref="A81:G81"/>
    <mergeCell ref="A68:G68"/>
    <mergeCell ref="A75:G75"/>
    <mergeCell ref="A71:G71"/>
    <mergeCell ref="A69:H70"/>
    <mergeCell ref="D2:H2"/>
    <mergeCell ref="A34:H34"/>
    <mergeCell ref="A77:G77"/>
    <mergeCell ref="A30:H30"/>
    <mergeCell ref="A22:H22"/>
    <mergeCell ref="A72:G72"/>
    <mergeCell ref="A12:H12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2025-06-01T18:20:26Z</cp:lastPrinted>
  <dcterms:created xsi:type="dcterms:W3CDTF">2021-10-25T13:53:39Z</dcterms:created>
  <dcterms:modified xsi:type="dcterms:W3CDTF">2025-06-01T18:22:13Z</dcterms:modified>
</cp:coreProperties>
</file>