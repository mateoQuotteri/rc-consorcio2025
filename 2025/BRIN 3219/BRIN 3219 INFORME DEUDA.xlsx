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8915" windowHeight="699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B48" i="1" l="1"/>
  <c r="D194" i="1" l="1"/>
  <c r="J195" i="1" s="1"/>
  <c r="D185" i="1"/>
  <c r="J186" i="1"/>
  <c r="J177" i="1"/>
  <c r="J168" i="1"/>
  <c r="J159" i="1"/>
  <c r="D149" i="1"/>
  <c r="D140" i="1"/>
  <c r="D131" i="1"/>
  <c r="D122" i="1"/>
  <c r="J123" i="1"/>
  <c r="J114" i="1"/>
  <c r="J105" i="1"/>
  <c r="J96" i="1"/>
  <c r="J87" i="1"/>
  <c r="J78" i="1"/>
  <c r="J69" i="1"/>
  <c r="J60" i="1"/>
  <c r="J51" i="1"/>
  <c r="J42" i="1"/>
  <c r="J33" i="1"/>
  <c r="J24" i="1"/>
  <c r="J15" i="1"/>
  <c r="J150" i="1" l="1"/>
  <c r="J141" i="1"/>
  <c r="J132" i="1"/>
  <c r="D86" i="1"/>
  <c r="D68" i="1"/>
  <c r="D59" i="1" l="1"/>
  <c r="D50" i="1"/>
  <c r="D41" i="1"/>
  <c r="D32" i="1"/>
  <c r="D23" i="1"/>
  <c r="G26" i="1" s="1"/>
  <c r="B30" i="1" s="1"/>
  <c r="B21" i="1"/>
  <c r="D14" i="1"/>
  <c r="G17" i="1" s="1"/>
  <c r="G35" i="1" l="1"/>
  <c r="B39" i="1"/>
  <c r="G44" i="1" s="1"/>
  <c r="G53" i="1" s="1"/>
  <c r="B57" i="1" s="1"/>
  <c r="G62" i="1" s="1"/>
  <c r="B66" i="1" s="1"/>
  <c r="G71" i="1" s="1"/>
  <c r="B75" i="1" s="1"/>
  <c r="G80" i="1" s="1"/>
  <c r="B84" i="1" s="1"/>
  <c r="G89" i="1" s="1"/>
  <c r="B93" i="1" s="1"/>
  <c r="G98" i="1" s="1"/>
  <c r="B102" i="1" s="1"/>
  <c r="G107" i="1" s="1"/>
  <c r="B111" i="1" s="1"/>
  <c r="G116" i="1" s="1"/>
  <c r="B120" i="1" s="1"/>
  <c r="G125" i="1" s="1"/>
  <c r="B129" i="1" s="1"/>
  <c r="G134" i="1" s="1"/>
  <c r="B138" i="1" s="1"/>
  <c r="G143" i="1" s="1"/>
  <c r="B147" i="1" s="1"/>
  <c r="G152" i="1" s="1"/>
  <c r="B156" i="1" s="1"/>
  <c r="G161" i="1" s="1"/>
  <c r="B165" i="1" s="1"/>
  <c r="G170" i="1" s="1"/>
  <c r="B174" i="1" s="1"/>
  <c r="G179" i="1" s="1"/>
  <c r="B183" i="1" s="1"/>
  <c r="G188" i="1" s="1"/>
  <c r="B192" i="1" s="1"/>
  <c r="G197" i="1" s="1"/>
</calcChain>
</file>

<file path=xl/sharedStrings.xml><?xml version="1.0" encoding="utf-8"?>
<sst xmlns="http://schemas.openxmlformats.org/spreadsheetml/2006/main" count="235" uniqueCount="35">
  <si>
    <t>UF</t>
  </si>
  <si>
    <t>4.19</t>
  </si>
  <si>
    <t>BRIN 3219 - INFORME DE DEUDA</t>
  </si>
  <si>
    <t>DPTO</t>
  </si>
  <si>
    <t>Mes:</t>
  </si>
  <si>
    <t>Deuda inicial:</t>
  </si>
  <si>
    <t>Prorrateo ordinario:</t>
  </si>
  <si>
    <t>Prorrateo extraordinario:</t>
  </si>
  <si>
    <t>Expensas ord a pagar por la uf:</t>
  </si>
  <si>
    <t>Intereses deuda inicial:</t>
  </si>
  <si>
    <t>Deuda total al finalizar el mes:</t>
  </si>
  <si>
    <t>2023 ABRIL</t>
  </si>
  <si>
    <t>Abono:</t>
  </si>
  <si>
    <t>2023 MAYO</t>
  </si>
  <si>
    <t>Expensas ord + legales a pagar por la uf:</t>
  </si>
  <si>
    <t>2023 JUNIO</t>
  </si>
  <si>
    <t>2023 JULIO</t>
  </si>
  <si>
    <t>2023 AGOSTO</t>
  </si>
  <si>
    <t>2023 SEPTIEMBRE</t>
  </si>
  <si>
    <t>2023 OCTUBRE</t>
  </si>
  <si>
    <t>2023 NOVIEMBRE</t>
  </si>
  <si>
    <t>2023 DICIEMBRE</t>
  </si>
  <si>
    <t>LO QUE GASTA UNA UF CON EL MISMO %</t>
  </si>
  <si>
    <t>2024 ENERO</t>
  </si>
  <si>
    <t>2024 FEBRERO</t>
  </si>
  <si>
    <t>2024 MARZO</t>
  </si>
  <si>
    <t>2024 ABRIL</t>
  </si>
  <si>
    <t>2024 MAYO</t>
  </si>
  <si>
    <t>2024 JUNIO</t>
  </si>
  <si>
    <t>2024 JULIO</t>
  </si>
  <si>
    <t>2024 AGOSTO</t>
  </si>
  <si>
    <t>2024 SEPTIEMBRE</t>
  </si>
  <si>
    <t>2024 OCTUBRE</t>
  </si>
  <si>
    <t>2024 NOVIEMBRE</t>
  </si>
  <si>
    <t>2024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</si>
</sst>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1" xfId="0" applyBorder="1"/>
    <xf numFmtId="17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44" fontId="0" fillId="0" borderId="4" xfId="1" applyFont="1" applyBorder="1"/>
    <xf numFmtId="44" fontId="0" fillId="0" borderId="0" xfId="1" applyFont="1" applyBorder="1"/>
    <xf numFmtId="0" fontId="0" fillId="0" borderId="8" xfId="0" applyBorder="1"/>
    <xf numFmtId="44" fontId="0" fillId="0" borderId="6" xfId="1" applyFont="1" applyBorder="1"/>
    <xf numFmtId="44" fontId="0" fillId="0" borderId="7" xfId="1" applyFont="1" applyBorder="1"/>
    <xf numFmtId="0" fontId="0" fillId="0" borderId="6" xfId="0" applyBorder="1"/>
    <xf numFmtId="0" fontId="0" fillId="0" borderId="7" xfId="0" applyBorder="1"/>
    <xf numFmtId="44" fontId="0" fillId="2" borderId="7" xfId="1" applyFont="1" applyFill="1" applyBorder="1" applyAlignment="1">
      <alignment horizontal="center"/>
    </xf>
    <xf numFmtId="6" fontId="0" fillId="0" borderId="4" xfId="1" applyNumberFormat="1" applyFont="1" applyBorder="1" applyAlignment="1">
      <alignment horizontal="center"/>
    </xf>
    <xf numFmtId="44" fontId="0" fillId="0" borderId="0" xfId="1" applyFont="1" applyBorder="1" applyAlignment="1">
      <alignment horizontal="center"/>
    </xf>
    <xf numFmtId="8" fontId="0" fillId="0" borderId="4" xfId="1" applyNumberFormat="1" applyFont="1" applyBorder="1" applyAlignment="1">
      <alignment horizontal="center"/>
    </xf>
    <xf numFmtId="44" fontId="0" fillId="0" borderId="5" xfId="1" applyFont="1" applyBorder="1" applyAlignment="1">
      <alignment horizontal="center"/>
    </xf>
    <xf numFmtId="8" fontId="0" fillId="0" borderId="0" xfId="1" applyNumberFormat="1" applyFont="1" applyBorder="1" applyAlignment="1">
      <alignment horizontal="center"/>
    </xf>
    <xf numFmtId="44" fontId="0" fillId="0" borderId="4" xfId="1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4" fontId="0" fillId="0" borderId="4" xfId="1" applyFont="1" applyBorder="1" applyAlignment="1">
      <alignment horizontal="center"/>
    </xf>
    <xf numFmtId="44" fontId="0" fillId="0" borderId="4" xfId="1" applyFont="1" applyBorder="1" applyAlignment="1">
      <alignment horizontal="left"/>
    </xf>
    <xf numFmtId="44" fontId="0" fillId="0" borderId="0" xfId="1" applyFont="1" applyBorder="1" applyAlignment="1">
      <alignment horizontal="left"/>
    </xf>
    <xf numFmtId="8" fontId="0" fillId="2" borderId="0" xfId="1" applyNumberFormat="1" applyFont="1" applyFill="1" applyBorder="1" applyAlignment="1">
      <alignment horizontal="center"/>
    </xf>
    <xf numFmtId="44" fontId="0" fillId="2" borderId="0" xfId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197"/>
  <sheetViews>
    <sheetView tabSelected="1" topLeftCell="A56" workbookViewId="0">
      <selection activeCell="B4" sqref="B4:L197"/>
    </sheetView>
  </sheetViews>
  <sheetFormatPr baseColWidth="10" defaultRowHeight="15" x14ac:dyDescent="0.25"/>
  <cols>
    <col min="1" max="1" width="6.140625" customWidth="1"/>
    <col min="6" max="6" width="18.85546875" customWidth="1"/>
  </cols>
  <sheetData>
    <row r="4" spans="2:12" ht="18.75" x14ac:dyDescent="0.3">
      <c r="C4" s="32" t="s">
        <v>2</v>
      </c>
      <c r="D4" s="32"/>
      <c r="E4" s="32"/>
      <c r="F4" s="32"/>
      <c r="G4" s="32"/>
    </row>
    <row r="7" spans="2:12" x14ac:dyDescent="0.25">
      <c r="C7" s="2" t="s">
        <v>3</v>
      </c>
      <c r="D7" s="1" t="s">
        <v>1</v>
      </c>
      <c r="E7" s="2"/>
      <c r="F7" s="2" t="s">
        <v>0</v>
      </c>
      <c r="G7" s="2">
        <v>19</v>
      </c>
    </row>
    <row r="8" spans="2:12" ht="15.75" thickBot="1" x14ac:dyDescent="0.3"/>
    <row r="9" spans="2:12" x14ac:dyDescent="0.25">
      <c r="B9" s="3" t="s">
        <v>4</v>
      </c>
      <c r="C9" s="4" t="s">
        <v>11</v>
      </c>
      <c r="D9" s="5"/>
      <c r="E9" s="5"/>
      <c r="F9" s="5"/>
      <c r="G9" s="5"/>
      <c r="H9" s="5"/>
      <c r="I9" s="6"/>
      <c r="J9" s="3"/>
      <c r="K9" s="5"/>
      <c r="L9" s="6"/>
    </row>
    <row r="10" spans="2:12" x14ac:dyDescent="0.25">
      <c r="B10" s="7"/>
      <c r="C10" s="8"/>
      <c r="D10" s="8"/>
      <c r="E10" s="8"/>
      <c r="F10" s="8"/>
      <c r="G10" s="8"/>
      <c r="H10" s="8"/>
      <c r="I10" s="9"/>
      <c r="J10" s="7"/>
      <c r="K10" s="8"/>
      <c r="L10" s="9"/>
    </row>
    <row r="11" spans="2:12" x14ac:dyDescent="0.25">
      <c r="B11" s="10" t="s">
        <v>5</v>
      </c>
      <c r="C11" s="11"/>
      <c r="D11" s="11" t="s">
        <v>6</v>
      </c>
      <c r="E11" s="11"/>
      <c r="F11" s="11"/>
      <c r="G11" s="11" t="s">
        <v>7</v>
      </c>
      <c r="H11" s="11"/>
      <c r="I11" s="9"/>
      <c r="J11" s="24" t="s">
        <v>22</v>
      </c>
      <c r="K11" s="25"/>
      <c r="L11" s="26"/>
    </row>
    <row r="12" spans="2:12" x14ac:dyDescent="0.25">
      <c r="B12" s="27">
        <v>92666.1</v>
      </c>
      <c r="C12" s="19"/>
      <c r="D12" s="22">
        <v>293901.88</v>
      </c>
      <c r="E12" s="19"/>
      <c r="F12" s="11"/>
      <c r="G12" s="22">
        <v>45589.919999999998</v>
      </c>
      <c r="H12" s="19"/>
      <c r="I12" s="9"/>
      <c r="J12" s="24"/>
      <c r="K12" s="25"/>
      <c r="L12" s="26"/>
    </row>
    <row r="13" spans="2:12" x14ac:dyDescent="0.25">
      <c r="B13" s="28" t="s">
        <v>9</v>
      </c>
      <c r="C13" s="29"/>
      <c r="D13" s="11" t="s">
        <v>8</v>
      </c>
      <c r="E13" s="11"/>
      <c r="F13" s="11"/>
      <c r="G13" s="11" t="s">
        <v>8</v>
      </c>
      <c r="H13" s="11"/>
      <c r="I13" s="9"/>
      <c r="J13" s="7"/>
      <c r="K13" s="8"/>
      <c r="L13" s="9"/>
    </row>
    <row r="14" spans="2:12" x14ac:dyDescent="0.25">
      <c r="B14" s="27"/>
      <c r="C14" s="19"/>
      <c r="D14" s="22">
        <f>289.8+12167.54</f>
        <v>12457.34</v>
      </c>
      <c r="E14" s="19"/>
      <c r="F14" s="11"/>
      <c r="G14" s="22">
        <v>1887.42</v>
      </c>
      <c r="H14" s="19"/>
      <c r="I14" s="9"/>
      <c r="J14" s="7"/>
      <c r="K14" s="8"/>
      <c r="L14" s="9"/>
    </row>
    <row r="15" spans="2:12" x14ac:dyDescent="0.25">
      <c r="B15" s="10" t="s">
        <v>12</v>
      </c>
      <c r="C15" s="11"/>
      <c r="D15" s="11"/>
      <c r="E15" s="11"/>
      <c r="F15" s="11"/>
      <c r="G15" s="11"/>
      <c r="H15" s="11"/>
      <c r="I15" s="9"/>
      <c r="J15" s="20">
        <f>G14+D14</f>
        <v>14344.76</v>
      </c>
      <c r="K15" s="19"/>
      <c r="L15" s="21"/>
    </row>
    <row r="16" spans="2:12" x14ac:dyDescent="0.25">
      <c r="B16" s="27">
        <v>20000</v>
      </c>
      <c r="C16" s="19"/>
      <c r="D16" s="11"/>
      <c r="E16" s="11" t="s">
        <v>10</v>
      </c>
      <c r="F16" s="11"/>
      <c r="G16" s="11"/>
      <c r="H16" s="11"/>
      <c r="I16" s="9"/>
      <c r="J16" s="7"/>
      <c r="K16" s="8"/>
      <c r="L16" s="9"/>
    </row>
    <row r="17" spans="2:12" ht="15.75" thickBot="1" x14ac:dyDescent="0.3">
      <c r="B17" s="10"/>
      <c r="C17" s="11"/>
      <c r="D17" s="11"/>
      <c r="E17" s="11"/>
      <c r="F17" s="11"/>
      <c r="G17" s="30">
        <f>G14+D14+B12-B16</f>
        <v>87010.86</v>
      </c>
      <c r="H17" s="31"/>
      <c r="I17" s="9"/>
      <c r="J17" s="15"/>
      <c r="K17" s="16"/>
      <c r="L17" s="12"/>
    </row>
    <row r="18" spans="2:12" x14ac:dyDescent="0.25">
      <c r="B18" s="3" t="s">
        <v>4</v>
      </c>
      <c r="C18" s="5" t="s">
        <v>13</v>
      </c>
      <c r="D18" s="5"/>
      <c r="E18" s="5"/>
      <c r="F18" s="5"/>
      <c r="G18" s="5"/>
      <c r="H18" s="5"/>
      <c r="I18" s="6"/>
      <c r="J18" s="3"/>
      <c r="K18" s="5"/>
      <c r="L18" s="6"/>
    </row>
    <row r="19" spans="2:12" x14ac:dyDescent="0.25">
      <c r="B19" s="7"/>
      <c r="C19" s="8"/>
      <c r="D19" s="8"/>
      <c r="E19" s="8"/>
      <c r="F19" s="8"/>
      <c r="G19" s="8"/>
      <c r="H19" s="8"/>
      <c r="I19" s="9"/>
      <c r="J19" s="7"/>
      <c r="K19" s="8"/>
      <c r="L19" s="9"/>
    </row>
    <row r="20" spans="2:12" ht="15" customHeight="1" x14ac:dyDescent="0.25">
      <c r="B20" s="10" t="s">
        <v>5</v>
      </c>
      <c r="C20" s="11"/>
      <c r="D20" s="11" t="s">
        <v>6</v>
      </c>
      <c r="E20" s="11"/>
      <c r="F20" s="11"/>
      <c r="G20" s="11" t="s">
        <v>7</v>
      </c>
      <c r="H20" s="11"/>
      <c r="I20" s="9"/>
      <c r="J20" s="24" t="s">
        <v>22</v>
      </c>
      <c r="K20" s="25"/>
      <c r="L20" s="26"/>
    </row>
    <row r="21" spans="2:12" x14ac:dyDescent="0.25">
      <c r="B21" s="20">
        <f>G17</f>
        <v>87010.86</v>
      </c>
      <c r="C21" s="19"/>
      <c r="D21" s="22">
        <v>425071.51</v>
      </c>
      <c r="E21" s="19"/>
      <c r="F21" s="11"/>
      <c r="G21" s="19"/>
      <c r="H21" s="19"/>
      <c r="I21" s="9"/>
      <c r="J21" s="24"/>
      <c r="K21" s="25"/>
      <c r="L21" s="26"/>
    </row>
    <row r="22" spans="2:12" x14ac:dyDescent="0.25">
      <c r="B22" s="10" t="s">
        <v>9</v>
      </c>
      <c r="C22" s="11"/>
      <c r="D22" s="11" t="s">
        <v>14</v>
      </c>
      <c r="E22" s="11"/>
      <c r="F22" s="11"/>
      <c r="G22" s="11" t="s">
        <v>8</v>
      </c>
      <c r="H22" s="11"/>
      <c r="I22" s="9"/>
      <c r="J22" s="7"/>
      <c r="K22" s="8"/>
      <c r="L22" s="9"/>
    </row>
    <row r="23" spans="2:12" x14ac:dyDescent="0.25">
      <c r="B23" s="27">
        <v>0</v>
      </c>
      <c r="C23" s="19"/>
      <c r="D23" s="22">
        <f>17597.96+787</f>
        <v>18384.96</v>
      </c>
      <c r="E23" s="19"/>
      <c r="F23" s="11"/>
      <c r="G23" s="19"/>
      <c r="H23" s="19"/>
      <c r="I23" s="9"/>
      <c r="J23" s="7"/>
      <c r="K23" s="8"/>
      <c r="L23" s="9"/>
    </row>
    <row r="24" spans="2:12" x14ac:dyDescent="0.25">
      <c r="B24" s="10" t="s">
        <v>12</v>
      </c>
      <c r="C24" s="11"/>
      <c r="D24" s="11"/>
      <c r="E24" s="11"/>
      <c r="F24" s="11"/>
      <c r="G24" s="11"/>
      <c r="H24" s="11"/>
      <c r="I24" s="9"/>
      <c r="J24" s="20">
        <f>G23+D23</f>
        <v>18384.96</v>
      </c>
      <c r="K24" s="19"/>
      <c r="L24" s="21"/>
    </row>
    <row r="25" spans="2:12" x14ac:dyDescent="0.25">
      <c r="B25" s="27">
        <v>0</v>
      </c>
      <c r="C25" s="19"/>
      <c r="D25" s="11"/>
      <c r="E25" s="11" t="s">
        <v>10</v>
      </c>
      <c r="F25" s="11"/>
      <c r="G25" s="11"/>
      <c r="H25" s="11"/>
      <c r="I25" s="9"/>
      <c r="J25" s="7"/>
      <c r="K25" s="8"/>
      <c r="L25" s="9"/>
    </row>
    <row r="26" spans="2:12" ht="15.75" thickBot="1" x14ac:dyDescent="0.3">
      <c r="B26" s="13"/>
      <c r="C26" s="14"/>
      <c r="D26" s="14"/>
      <c r="E26" s="14"/>
      <c r="F26" s="14"/>
      <c r="G26" s="17">
        <f>G23+D23+B21-B25+B23</f>
        <v>105395.82</v>
      </c>
      <c r="H26" s="17"/>
      <c r="I26" s="12"/>
      <c r="J26" s="15"/>
      <c r="K26" s="16"/>
      <c r="L26" s="12"/>
    </row>
    <row r="27" spans="2:12" x14ac:dyDescent="0.25">
      <c r="B27" s="3" t="s">
        <v>4</v>
      </c>
      <c r="C27" s="4" t="s">
        <v>15</v>
      </c>
      <c r="D27" s="5"/>
      <c r="E27" s="5"/>
      <c r="F27" s="5"/>
      <c r="G27" s="5"/>
      <c r="H27" s="5"/>
      <c r="I27" s="6"/>
      <c r="J27" s="3"/>
      <c r="K27" s="5"/>
      <c r="L27" s="6"/>
    </row>
    <row r="28" spans="2:12" x14ac:dyDescent="0.25">
      <c r="B28" s="7"/>
      <c r="C28" s="8"/>
      <c r="D28" s="8"/>
      <c r="E28" s="8"/>
      <c r="F28" s="8"/>
      <c r="G28" s="8"/>
      <c r="H28" s="8"/>
      <c r="I28" s="9"/>
      <c r="J28" s="7"/>
      <c r="K28" s="8"/>
      <c r="L28" s="9"/>
    </row>
    <row r="29" spans="2:12" ht="15" customHeight="1" x14ac:dyDescent="0.25">
      <c r="B29" s="10" t="s">
        <v>5</v>
      </c>
      <c r="C29" s="11"/>
      <c r="D29" s="11" t="s">
        <v>6</v>
      </c>
      <c r="E29" s="11"/>
      <c r="F29" s="11"/>
      <c r="G29" s="11" t="s">
        <v>7</v>
      </c>
      <c r="H29" s="11"/>
      <c r="I29" s="9"/>
      <c r="J29" s="24" t="s">
        <v>22</v>
      </c>
      <c r="K29" s="25"/>
      <c r="L29" s="26"/>
    </row>
    <row r="30" spans="2:12" x14ac:dyDescent="0.25">
      <c r="B30" s="27">
        <f>G26</f>
        <v>105395.82</v>
      </c>
      <c r="C30" s="19"/>
      <c r="D30" s="22">
        <v>379953.48</v>
      </c>
      <c r="E30" s="19"/>
      <c r="F30" s="11"/>
      <c r="G30" s="22">
        <v>107945.55</v>
      </c>
      <c r="H30" s="19"/>
      <c r="I30" s="9"/>
      <c r="J30" s="24"/>
      <c r="K30" s="25"/>
      <c r="L30" s="26"/>
    </row>
    <row r="31" spans="2:12" x14ac:dyDescent="0.25">
      <c r="B31" s="28" t="s">
        <v>9</v>
      </c>
      <c r="C31" s="29"/>
      <c r="D31" s="11" t="s">
        <v>14</v>
      </c>
      <c r="E31" s="11"/>
      <c r="F31" s="11"/>
      <c r="G31" s="11" t="s">
        <v>8</v>
      </c>
      <c r="H31" s="11"/>
      <c r="I31" s="9"/>
      <c r="J31" s="7"/>
      <c r="K31" s="8"/>
      <c r="L31" s="9"/>
    </row>
    <row r="32" spans="2:12" x14ac:dyDescent="0.25">
      <c r="B32" s="18">
        <v>1434.02</v>
      </c>
      <c r="C32" s="19"/>
      <c r="D32" s="22">
        <f>394+15730.07</f>
        <v>16124.07</v>
      </c>
      <c r="E32" s="19"/>
      <c r="F32" s="11"/>
      <c r="G32" s="22">
        <v>4468.95</v>
      </c>
      <c r="H32" s="19"/>
      <c r="I32" s="9"/>
      <c r="J32" s="7"/>
      <c r="K32" s="8"/>
      <c r="L32" s="9"/>
    </row>
    <row r="33" spans="2:12" x14ac:dyDescent="0.25">
      <c r="B33" s="10" t="s">
        <v>12</v>
      </c>
      <c r="C33" s="11"/>
      <c r="D33" s="11"/>
      <c r="E33" s="11"/>
      <c r="F33" s="11"/>
      <c r="G33" s="11"/>
      <c r="H33" s="11"/>
      <c r="I33" s="9"/>
      <c r="J33" s="20">
        <f t="shared" ref="J33" si="0">G32+D32</f>
        <v>20593.02</v>
      </c>
      <c r="K33" s="19"/>
      <c r="L33" s="21"/>
    </row>
    <row r="34" spans="2:12" x14ac:dyDescent="0.25">
      <c r="B34" s="27">
        <v>20000</v>
      </c>
      <c r="C34" s="19"/>
      <c r="D34" s="11"/>
      <c r="E34" s="11" t="s">
        <v>10</v>
      </c>
      <c r="F34" s="11"/>
      <c r="G34" s="11"/>
      <c r="H34" s="11"/>
      <c r="I34" s="9"/>
      <c r="J34" s="7"/>
      <c r="K34" s="8"/>
      <c r="L34" s="9"/>
    </row>
    <row r="35" spans="2:12" ht="15.75" thickBot="1" x14ac:dyDescent="0.3">
      <c r="B35" s="10"/>
      <c r="C35" s="11"/>
      <c r="D35" s="11"/>
      <c r="E35" s="11"/>
      <c r="F35" s="11"/>
      <c r="G35" s="30">
        <f>G32+D32+B30-B34+B32</f>
        <v>107422.86000000002</v>
      </c>
      <c r="H35" s="31"/>
      <c r="I35" s="9"/>
      <c r="J35" s="15"/>
      <c r="K35" s="16"/>
      <c r="L35" s="12"/>
    </row>
    <row r="36" spans="2:12" x14ac:dyDescent="0.25">
      <c r="B36" s="3" t="s">
        <v>4</v>
      </c>
      <c r="C36" s="5" t="s">
        <v>16</v>
      </c>
      <c r="D36" s="5"/>
      <c r="E36" s="5"/>
      <c r="F36" s="5"/>
      <c r="G36" s="5"/>
      <c r="H36" s="5"/>
      <c r="I36" s="6"/>
      <c r="J36" s="3"/>
      <c r="K36" s="5"/>
      <c r="L36" s="6"/>
    </row>
    <row r="37" spans="2:12" x14ac:dyDescent="0.25">
      <c r="B37" s="7"/>
      <c r="C37" s="8"/>
      <c r="D37" s="8"/>
      <c r="E37" s="8"/>
      <c r="F37" s="8"/>
      <c r="G37" s="8"/>
      <c r="H37" s="8"/>
      <c r="I37" s="9"/>
      <c r="J37" s="7"/>
      <c r="K37" s="8"/>
      <c r="L37" s="9"/>
    </row>
    <row r="38" spans="2:12" ht="15" customHeight="1" x14ac:dyDescent="0.25">
      <c r="B38" s="10" t="s">
        <v>5</v>
      </c>
      <c r="C38" s="11"/>
      <c r="D38" s="11" t="s">
        <v>6</v>
      </c>
      <c r="E38" s="11"/>
      <c r="F38" s="11"/>
      <c r="G38" s="11" t="s">
        <v>7</v>
      </c>
      <c r="H38" s="11"/>
      <c r="I38" s="9"/>
      <c r="J38" s="24" t="s">
        <v>22</v>
      </c>
      <c r="K38" s="25"/>
      <c r="L38" s="26"/>
    </row>
    <row r="39" spans="2:12" x14ac:dyDescent="0.25">
      <c r="B39" s="20">
        <f>G35</f>
        <v>107422.86000000002</v>
      </c>
      <c r="C39" s="19"/>
      <c r="D39" s="22">
        <v>457865</v>
      </c>
      <c r="E39" s="19"/>
      <c r="F39" s="11"/>
      <c r="G39" s="22">
        <v>19339.849999999999</v>
      </c>
      <c r="H39" s="19"/>
      <c r="I39" s="9"/>
      <c r="J39" s="24"/>
      <c r="K39" s="25"/>
      <c r="L39" s="26"/>
    </row>
    <row r="40" spans="2:12" x14ac:dyDescent="0.25">
      <c r="B40" s="10" t="s">
        <v>9</v>
      </c>
      <c r="C40" s="11"/>
      <c r="D40" s="11" t="s">
        <v>14</v>
      </c>
      <c r="E40" s="11"/>
      <c r="F40" s="11"/>
      <c r="G40" s="11" t="s">
        <v>8</v>
      </c>
      <c r="H40" s="11"/>
      <c r="I40" s="9"/>
      <c r="J40" s="7"/>
      <c r="K40" s="8"/>
      <c r="L40" s="9"/>
    </row>
    <row r="41" spans="2:12" x14ac:dyDescent="0.25">
      <c r="B41" s="18">
        <v>35.58</v>
      </c>
      <c r="C41" s="19"/>
      <c r="D41" s="22">
        <f>394+18955.61</f>
        <v>19349.61</v>
      </c>
      <c r="E41" s="19"/>
      <c r="F41" s="11"/>
      <c r="G41" s="19">
        <v>800.67</v>
      </c>
      <c r="H41" s="19"/>
      <c r="I41" s="9"/>
      <c r="J41" s="7"/>
      <c r="K41" s="8"/>
      <c r="L41" s="9"/>
    </row>
    <row r="42" spans="2:12" x14ac:dyDescent="0.25">
      <c r="B42" s="10" t="s">
        <v>12</v>
      </c>
      <c r="C42" s="11"/>
      <c r="D42" s="11"/>
      <c r="E42" s="11"/>
      <c r="F42" s="11"/>
      <c r="G42" s="11"/>
      <c r="H42" s="11"/>
      <c r="I42" s="9"/>
      <c r="J42" s="20">
        <f t="shared" ref="J42" si="1">G41+D41</f>
        <v>20150.28</v>
      </c>
      <c r="K42" s="19"/>
      <c r="L42" s="21"/>
    </row>
    <row r="43" spans="2:12" x14ac:dyDescent="0.25">
      <c r="B43" s="27">
        <v>0</v>
      </c>
      <c r="C43" s="19"/>
      <c r="D43" s="11"/>
      <c r="E43" s="11" t="s">
        <v>10</v>
      </c>
      <c r="F43" s="11"/>
      <c r="G43" s="11"/>
      <c r="H43" s="11"/>
      <c r="I43" s="9"/>
      <c r="J43" s="7"/>
      <c r="K43" s="8"/>
      <c r="L43" s="9"/>
    </row>
    <row r="44" spans="2:12" ht="15.75" thickBot="1" x14ac:dyDescent="0.3">
      <c r="B44" s="13"/>
      <c r="C44" s="14"/>
      <c r="D44" s="14"/>
      <c r="E44" s="14"/>
      <c r="F44" s="14"/>
      <c r="G44" s="17">
        <f>G41+D41+B39-B43+B41</f>
        <v>127608.72000000002</v>
      </c>
      <c r="H44" s="17"/>
      <c r="I44" s="12"/>
      <c r="J44" s="15"/>
      <c r="K44" s="16"/>
      <c r="L44" s="12"/>
    </row>
    <row r="45" spans="2:12" x14ac:dyDescent="0.25">
      <c r="B45" s="3" t="s">
        <v>4</v>
      </c>
      <c r="C45" s="5" t="s">
        <v>17</v>
      </c>
      <c r="D45" s="5"/>
      <c r="E45" s="5"/>
      <c r="F45" s="5"/>
      <c r="G45" s="5"/>
      <c r="H45" s="5"/>
      <c r="I45" s="6"/>
      <c r="J45" s="3"/>
      <c r="K45" s="5"/>
      <c r="L45" s="6"/>
    </row>
    <row r="46" spans="2:12" x14ac:dyDescent="0.25">
      <c r="B46" s="7"/>
      <c r="C46" s="8"/>
      <c r="D46" s="8"/>
      <c r="E46" s="8"/>
      <c r="F46" s="8"/>
      <c r="G46" s="8"/>
      <c r="H46" s="8"/>
      <c r="I46" s="9"/>
      <c r="J46" s="7"/>
      <c r="K46" s="8"/>
      <c r="L46" s="9"/>
    </row>
    <row r="47" spans="2:12" ht="15" customHeight="1" x14ac:dyDescent="0.25">
      <c r="B47" s="10" t="s">
        <v>5</v>
      </c>
      <c r="C47" s="11"/>
      <c r="D47" s="11" t="s">
        <v>6</v>
      </c>
      <c r="E47" s="11"/>
      <c r="F47" s="11"/>
      <c r="G47" s="11" t="s">
        <v>7</v>
      </c>
      <c r="H47" s="11"/>
      <c r="I47" s="9"/>
      <c r="J47" s="24" t="s">
        <v>22</v>
      </c>
      <c r="K47" s="25"/>
      <c r="L47" s="26"/>
    </row>
    <row r="48" spans="2:12" x14ac:dyDescent="0.25">
      <c r="B48" s="23">
        <f>G44</f>
        <v>127608.72000000002</v>
      </c>
      <c r="C48" s="19"/>
      <c r="D48" s="22">
        <v>414638.39</v>
      </c>
      <c r="E48" s="19"/>
      <c r="F48" s="11"/>
      <c r="G48" s="22">
        <v>379100</v>
      </c>
      <c r="H48" s="19"/>
      <c r="I48" s="9"/>
      <c r="J48" s="24"/>
      <c r="K48" s="25"/>
      <c r="L48" s="26"/>
    </row>
    <row r="49" spans="2:12" x14ac:dyDescent="0.25">
      <c r="B49" s="10" t="s">
        <v>9</v>
      </c>
      <c r="C49" s="11"/>
      <c r="D49" s="11" t="s">
        <v>14</v>
      </c>
      <c r="E49" s="11"/>
      <c r="F49" s="11"/>
      <c r="G49" s="11" t="s">
        <v>8</v>
      </c>
      <c r="H49" s="11"/>
      <c r="I49" s="9"/>
      <c r="J49" s="7"/>
      <c r="K49" s="8"/>
      <c r="L49" s="9"/>
    </row>
    <row r="50" spans="2:12" x14ac:dyDescent="0.25">
      <c r="B50" s="18">
        <v>2489.63</v>
      </c>
      <c r="C50" s="19"/>
      <c r="D50" s="22">
        <f>394+17166.03</f>
        <v>17560.03</v>
      </c>
      <c r="E50" s="19"/>
      <c r="F50" s="11"/>
      <c r="G50" s="22">
        <v>15694.74</v>
      </c>
      <c r="H50" s="19"/>
      <c r="I50" s="9"/>
      <c r="J50" s="7"/>
      <c r="K50" s="8"/>
      <c r="L50" s="9"/>
    </row>
    <row r="51" spans="2:12" x14ac:dyDescent="0.25">
      <c r="B51" s="10" t="s">
        <v>12</v>
      </c>
      <c r="C51" s="11"/>
      <c r="D51" s="11"/>
      <c r="E51" s="11"/>
      <c r="F51" s="11"/>
      <c r="G51" s="11"/>
      <c r="H51" s="11"/>
      <c r="I51" s="9"/>
      <c r="J51" s="20">
        <f t="shared" ref="J51" si="2">G50+D50</f>
        <v>33254.769999999997</v>
      </c>
      <c r="K51" s="19"/>
      <c r="L51" s="21"/>
    </row>
    <row r="52" spans="2:12" x14ac:dyDescent="0.25">
      <c r="B52" s="27">
        <v>20000</v>
      </c>
      <c r="C52" s="19"/>
      <c r="D52" s="11"/>
      <c r="E52" s="11" t="s">
        <v>10</v>
      </c>
      <c r="F52" s="11"/>
      <c r="G52" s="11"/>
      <c r="H52" s="11"/>
      <c r="I52" s="9"/>
      <c r="J52" s="7"/>
      <c r="K52" s="8"/>
      <c r="L52" s="9"/>
    </row>
    <row r="53" spans="2:12" ht="15.75" thickBot="1" x14ac:dyDescent="0.3">
      <c r="B53" s="13"/>
      <c r="C53" s="14"/>
      <c r="D53" s="14"/>
      <c r="E53" s="14"/>
      <c r="F53" s="14"/>
      <c r="G53" s="17">
        <f>G50+D50+B48-B52+B50</f>
        <v>143353.12000000002</v>
      </c>
      <c r="H53" s="17"/>
      <c r="I53" s="12"/>
      <c r="J53" s="15"/>
      <c r="K53" s="16"/>
      <c r="L53" s="12"/>
    </row>
    <row r="54" spans="2:12" x14ac:dyDescent="0.25">
      <c r="B54" s="3" t="s">
        <v>4</v>
      </c>
      <c r="C54" s="5" t="s">
        <v>18</v>
      </c>
      <c r="D54" s="5"/>
      <c r="E54" s="5"/>
      <c r="F54" s="5"/>
      <c r="G54" s="5"/>
      <c r="H54" s="5"/>
      <c r="I54" s="6"/>
      <c r="J54" s="3"/>
      <c r="K54" s="5"/>
      <c r="L54" s="6"/>
    </row>
    <row r="55" spans="2:12" x14ac:dyDescent="0.25">
      <c r="B55" s="7"/>
      <c r="C55" s="8"/>
      <c r="D55" s="8"/>
      <c r="E55" s="8"/>
      <c r="F55" s="8"/>
      <c r="G55" s="8"/>
      <c r="H55" s="8"/>
      <c r="I55" s="9"/>
      <c r="J55" s="7"/>
      <c r="K55" s="8"/>
      <c r="L55" s="9"/>
    </row>
    <row r="56" spans="2:12" ht="15" customHeight="1" x14ac:dyDescent="0.25">
      <c r="B56" s="10" t="s">
        <v>5</v>
      </c>
      <c r="C56" s="11"/>
      <c r="D56" s="11" t="s">
        <v>6</v>
      </c>
      <c r="E56" s="11"/>
      <c r="F56" s="11"/>
      <c r="G56" s="11" t="s">
        <v>7</v>
      </c>
      <c r="H56" s="11"/>
      <c r="I56" s="9"/>
      <c r="J56" s="24" t="s">
        <v>22</v>
      </c>
      <c r="K56" s="25"/>
      <c r="L56" s="26"/>
    </row>
    <row r="57" spans="2:12" x14ac:dyDescent="0.25">
      <c r="B57" s="20">
        <f>G53</f>
        <v>143353.12000000002</v>
      </c>
      <c r="C57" s="19"/>
      <c r="D57" s="22">
        <v>415968.33</v>
      </c>
      <c r="E57" s="19"/>
      <c r="F57" s="11"/>
      <c r="G57" s="22">
        <v>266000</v>
      </c>
      <c r="H57" s="19"/>
      <c r="I57" s="9"/>
      <c r="J57" s="24"/>
      <c r="K57" s="25"/>
      <c r="L57" s="26"/>
    </row>
    <row r="58" spans="2:12" x14ac:dyDescent="0.25">
      <c r="B58" s="10" t="s">
        <v>9</v>
      </c>
      <c r="C58" s="11"/>
      <c r="D58" s="11" t="s">
        <v>14</v>
      </c>
      <c r="E58" s="11"/>
      <c r="F58" s="11"/>
      <c r="G58" s="11" t="s">
        <v>8</v>
      </c>
      <c r="H58" s="11"/>
      <c r="I58" s="9"/>
      <c r="J58" s="7"/>
      <c r="K58" s="8"/>
      <c r="L58" s="9"/>
    </row>
    <row r="59" spans="2:12" x14ac:dyDescent="0.25">
      <c r="B59" s="18">
        <v>1683.35</v>
      </c>
      <c r="C59" s="19"/>
      <c r="D59" s="22">
        <f>1137+ 17221.09</f>
        <v>18358.09</v>
      </c>
      <c r="E59" s="19"/>
      <c r="F59" s="11"/>
      <c r="G59" s="22">
        <v>11012.4</v>
      </c>
      <c r="H59" s="19"/>
      <c r="I59" s="9"/>
      <c r="J59" s="7"/>
      <c r="K59" s="8"/>
      <c r="L59" s="9"/>
    </row>
    <row r="60" spans="2:12" x14ac:dyDescent="0.25">
      <c r="B60" s="10" t="s">
        <v>12</v>
      </c>
      <c r="C60" s="11"/>
      <c r="D60" s="11"/>
      <c r="E60" s="11"/>
      <c r="F60" s="11"/>
      <c r="G60" s="11"/>
      <c r="H60" s="11"/>
      <c r="I60" s="9"/>
      <c r="J60" s="20">
        <f t="shared" ref="J60" si="3">G59+D59</f>
        <v>29370.489999999998</v>
      </c>
      <c r="K60" s="19"/>
      <c r="L60" s="21"/>
    </row>
    <row r="61" spans="2:12" x14ac:dyDescent="0.25">
      <c r="B61" s="27">
        <v>0</v>
      </c>
      <c r="C61" s="19"/>
      <c r="D61" s="11"/>
      <c r="E61" s="11" t="s">
        <v>10</v>
      </c>
      <c r="F61" s="11"/>
      <c r="G61" s="11"/>
      <c r="H61" s="11"/>
      <c r="I61" s="9"/>
      <c r="J61" s="7"/>
      <c r="K61" s="8"/>
      <c r="L61" s="9"/>
    </row>
    <row r="62" spans="2:12" ht="15.75" thickBot="1" x14ac:dyDescent="0.3">
      <c r="B62" s="13"/>
      <c r="C62" s="14"/>
      <c r="D62" s="14"/>
      <c r="E62" s="14"/>
      <c r="F62" s="14"/>
      <c r="G62" s="17">
        <f>G59+D59+B57-B61+B59</f>
        <v>174406.96000000002</v>
      </c>
      <c r="H62" s="17"/>
      <c r="I62" s="12"/>
      <c r="J62" s="15"/>
      <c r="K62" s="16"/>
      <c r="L62" s="12"/>
    </row>
    <row r="63" spans="2:12" x14ac:dyDescent="0.25">
      <c r="B63" s="3" t="s">
        <v>4</v>
      </c>
      <c r="C63" s="5" t="s">
        <v>19</v>
      </c>
      <c r="D63" s="5"/>
      <c r="E63" s="5"/>
      <c r="F63" s="5"/>
      <c r="G63" s="5"/>
      <c r="H63" s="5"/>
      <c r="I63" s="6"/>
      <c r="J63" s="3"/>
      <c r="K63" s="5"/>
      <c r="L63" s="6"/>
    </row>
    <row r="64" spans="2:12" x14ac:dyDescent="0.25">
      <c r="B64" s="7"/>
      <c r="C64" s="8"/>
      <c r="D64" s="8"/>
      <c r="E64" s="8"/>
      <c r="F64" s="8"/>
      <c r="G64" s="8"/>
      <c r="H64" s="8"/>
      <c r="I64" s="9"/>
      <c r="J64" s="7"/>
      <c r="K64" s="8"/>
      <c r="L64" s="9"/>
    </row>
    <row r="65" spans="2:12" ht="15" customHeight="1" x14ac:dyDescent="0.25">
      <c r="B65" s="10" t="s">
        <v>5</v>
      </c>
      <c r="C65" s="11"/>
      <c r="D65" s="11" t="s">
        <v>6</v>
      </c>
      <c r="E65" s="11"/>
      <c r="F65" s="11"/>
      <c r="G65" s="11" t="s">
        <v>7</v>
      </c>
      <c r="H65" s="11"/>
      <c r="I65" s="9"/>
      <c r="J65" s="24" t="s">
        <v>22</v>
      </c>
      <c r="K65" s="25"/>
      <c r="L65" s="26"/>
    </row>
    <row r="66" spans="2:12" x14ac:dyDescent="0.25">
      <c r="B66" s="20">
        <f>G62</f>
        <v>174406.96000000002</v>
      </c>
      <c r="C66" s="19"/>
      <c r="D66" s="22">
        <v>446261.78</v>
      </c>
      <c r="E66" s="19"/>
      <c r="F66" s="11"/>
      <c r="G66" s="22">
        <v>315000</v>
      </c>
      <c r="H66" s="19"/>
      <c r="I66" s="9"/>
      <c r="J66" s="24"/>
      <c r="K66" s="25"/>
      <c r="L66" s="26"/>
    </row>
    <row r="67" spans="2:12" x14ac:dyDescent="0.25">
      <c r="B67" s="10" t="s">
        <v>9</v>
      </c>
      <c r="C67" s="11"/>
      <c r="D67" s="11" t="s">
        <v>14</v>
      </c>
      <c r="E67" s="11"/>
      <c r="F67" s="11"/>
      <c r="G67" s="11" t="s">
        <v>8</v>
      </c>
      <c r="H67" s="11"/>
      <c r="I67" s="9"/>
      <c r="J67" s="7"/>
      <c r="K67" s="8"/>
      <c r="L67" s="9"/>
    </row>
    <row r="68" spans="2:12" x14ac:dyDescent="0.25">
      <c r="B68" s="18">
        <v>3759.42</v>
      </c>
      <c r="C68" s="19"/>
      <c r="D68" s="22">
        <f>1137+ 18475.24</f>
        <v>19612.240000000002</v>
      </c>
      <c r="E68" s="19"/>
      <c r="F68" s="11"/>
      <c r="G68" s="22">
        <v>13041</v>
      </c>
      <c r="H68" s="19"/>
      <c r="I68" s="9"/>
      <c r="J68" s="7"/>
      <c r="K68" s="8"/>
      <c r="L68" s="9"/>
    </row>
    <row r="69" spans="2:12" x14ac:dyDescent="0.25">
      <c r="B69" s="10" t="s">
        <v>12</v>
      </c>
      <c r="C69" s="11"/>
      <c r="D69" s="11"/>
      <c r="E69" s="11"/>
      <c r="F69" s="11"/>
      <c r="G69" s="11"/>
      <c r="H69" s="11"/>
      <c r="I69" s="9"/>
      <c r="J69" s="20">
        <f t="shared" ref="J69" si="4">G68+D68</f>
        <v>32653.24</v>
      </c>
      <c r="K69" s="19"/>
      <c r="L69" s="21"/>
    </row>
    <row r="70" spans="2:12" x14ac:dyDescent="0.25">
      <c r="B70" s="18">
        <v>20000</v>
      </c>
      <c r="C70" s="19"/>
      <c r="D70" s="11"/>
      <c r="E70" s="11" t="s">
        <v>10</v>
      </c>
      <c r="F70" s="11"/>
      <c r="G70" s="11"/>
      <c r="H70" s="11"/>
      <c r="I70" s="9"/>
      <c r="J70" s="7"/>
      <c r="K70" s="8"/>
      <c r="L70" s="9"/>
    </row>
    <row r="71" spans="2:12" ht="15.75" thickBot="1" x14ac:dyDescent="0.3">
      <c r="B71" s="13"/>
      <c r="C71" s="14"/>
      <c r="D71" s="14"/>
      <c r="E71" s="14"/>
      <c r="F71" s="14"/>
      <c r="G71" s="17">
        <f>G68+D68+B66-B70+B68</f>
        <v>190819.62000000002</v>
      </c>
      <c r="H71" s="17"/>
      <c r="I71" s="12"/>
      <c r="J71" s="15"/>
      <c r="K71" s="16"/>
      <c r="L71" s="12"/>
    </row>
    <row r="72" spans="2:12" x14ac:dyDescent="0.25">
      <c r="B72" s="3" t="s">
        <v>4</v>
      </c>
      <c r="C72" s="5" t="s">
        <v>20</v>
      </c>
      <c r="D72" s="5"/>
      <c r="E72" s="5"/>
      <c r="F72" s="5"/>
      <c r="G72" s="5"/>
      <c r="H72" s="5"/>
      <c r="I72" s="6"/>
      <c r="J72" s="3"/>
      <c r="K72" s="5"/>
      <c r="L72" s="6"/>
    </row>
    <row r="73" spans="2:12" x14ac:dyDescent="0.25">
      <c r="B73" s="7"/>
      <c r="C73" s="8"/>
      <c r="D73" s="8"/>
      <c r="E73" s="8"/>
      <c r="F73" s="8"/>
      <c r="G73" s="8"/>
      <c r="H73" s="8"/>
      <c r="I73" s="9"/>
      <c r="J73" s="7"/>
      <c r="K73" s="8"/>
      <c r="L73" s="9"/>
    </row>
    <row r="74" spans="2:12" ht="15" customHeight="1" x14ac:dyDescent="0.25">
      <c r="B74" s="10" t="s">
        <v>5</v>
      </c>
      <c r="C74" s="11"/>
      <c r="D74" s="11" t="s">
        <v>6</v>
      </c>
      <c r="E74" s="11"/>
      <c r="F74" s="11"/>
      <c r="G74" s="11" t="s">
        <v>7</v>
      </c>
      <c r="H74" s="11"/>
      <c r="I74" s="9"/>
      <c r="J74" s="24" t="s">
        <v>22</v>
      </c>
      <c r="K74" s="25"/>
      <c r="L74" s="26"/>
    </row>
    <row r="75" spans="2:12" x14ac:dyDescent="0.25">
      <c r="B75" s="20">
        <f>G71</f>
        <v>190819.62000000002</v>
      </c>
      <c r="C75" s="19"/>
      <c r="D75" s="22">
        <v>478186.3</v>
      </c>
      <c r="E75" s="19"/>
      <c r="F75" s="11"/>
      <c r="G75" s="22">
        <v>421229.61</v>
      </c>
      <c r="H75" s="19"/>
      <c r="I75" s="9"/>
      <c r="J75" s="24"/>
      <c r="K75" s="25"/>
      <c r="L75" s="26"/>
    </row>
    <row r="76" spans="2:12" x14ac:dyDescent="0.25">
      <c r="B76" s="10" t="s">
        <v>9</v>
      </c>
      <c r="C76" s="11"/>
      <c r="D76" s="11" t="s">
        <v>14</v>
      </c>
      <c r="E76" s="11"/>
      <c r="F76" s="11"/>
      <c r="G76" s="11" t="s">
        <v>8</v>
      </c>
      <c r="H76" s="11"/>
      <c r="I76" s="9"/>
      <c r="J76" s="7"/>
      <c r="K76" s="8"/>
      <c r="L76" s="9"/>
    </row>
    <row r="77" spans="2:12" x14ac:dyDescent="0.25">
      <c r="B77" s="18">
        <v>1505.73</v>
      </c>
      <c r="C77" s="19"/>
      <c r="D77" s="22">
        <v>19796.91</v>
      </c>
      <c r="E77" s="19"/>
      <c r="F77" s="11"/>
      <c r="G77" s="22">
        <v>17438.91</v>
      </c>
      <c r="H77" s="19"/>
      <c r="I77" s="9"/>
      <c r="J77" s="7"/>
      <c r="K77" s="8"/>
      <c r="L77" s="9"/>
    </row>
    <row r="78" spans="2:12" x14ac:dyDescent="0.25">
      <c r="B78" s="10" t="s">
        <v>12</v>
      </c>
      <c r="C78" s="11"/>
      <c r="D78" s="11"/>
      <c r="E78" s="11"/>
      <c r="F78" s="11"/>
      <c r="G78" s="11"/>
      <c r="H78" s="11"/>
      <c r="I78" s="9"/>
      <c r="J78" s="20">
        <f t="shared" ref="J78" si="5">G77+D77</f>
        <v>37235.82</v>
      </c>
      <c r="K78" s="19"/>
      <c r="L78" s="21"/>
    </row>
    <row r="79" spans="2:12" x14ac:dyDescent="0.25">
      <c r="B79" s="27">
        <v>0</v>
      </c>
      <c r="C79" s="19"/>
      <c r="D79" s="11"/>
      <c r="E79" s="11" t="s">
        <v>10</v>
      </c>
      <c r="F79" s="11"/>
      <c r="G79" s="11"/>
      <c r="H79" s="11"/>
      <c r="I79" s="9"/>
      <c r="J79" s="7"/>
      <c r="K79" s="8"/>
      <c r="L79" s="9"/>
    </row>
    <row r="80" spans="2:12" ht="15.75" thickBot="1" x14ac:dyDescent="0.3">
      <c r="B80" s="13"/>
      <c r="C80" s="14"/>
      <c r="D80" s="14"/>
      <c r="E80" s="14"/>
      <c r="F80" s="14"/>
      <c r="G80" s="17">
        <f>G77+D77+B75-B79+B77</f>
        <v>229561.17000000004</v>
      </c>
      <c r="H80" s="17"/>
      <c r="I80" s="12"/>
      <c r="J80" s="15"/>
      <c r="K80" s="16"/>
      <c r="L80" s="12"/>
    </row>
    <row r="81" spans="2:12" x14ac:dyDescent="0.25">
      <c r="B81" s="3" t="s">
        <v>4</v>
      </c>
      <c r="C81" s="5" t="s">
        <v>21</v>
      </c>
      <c r="D81" s="5"/>
      <c r="E81" s="5"/>
      <c r="F81" s="5"/>
      <c r="G81" s="5"/>
      <c r="H81" s="5"/>
      <c r="I81" s="6"/>
      <c r="J81" s="3"/>
      <c r="K81" s="5"/>
      <c r="L81" s="6"/>
    </row>
    <row r="82" spans="2:12" x14ac:dyDescent="0.25">
      <c r="B82" s="7"/>
      <c r="C82" s="8"/>
      <c r="D82" s="8"/>
      <c r="E82" s="8"/>
      <c r="F82" s="8"/>
      <c r="G82" s="8"/>
      <c r="H82" s="8"/>
      <c r="I82" s="9"/>
      <c r="J82" s="7"/>
      <c r="K82" s="8"/>
      <c r="L82" s="9"/>
    </row>
    <row r="83" spans="2:12" ht="15" customHeight="1" x14ac:dyDescent="0.25">
      <c r="B83" s="10" t="s">
        <v>5</v>
      </c>
      <c r="C83" s="11"/>
      <c r="D83" s="11" t="s">
        <v>6</v>
      </c>
      <c r="E83" s="11"/>
      <c r="F83" s="11"/>
      <c r="G83" s="11" t="s">
        <v>7</v>
      </c>
      <c r="H83" s="11"/>
      <c r="I83" s="9"/>
      <c r="J83" s="24" t="s">
        <v>22</v>
      </c>
      <c r="K83" s="25"/>
      <c r="L83" s="26"/>
    </row>
    <row r="84" spans="2:12" x14ac:dyDescent="0.25">
      <c r="B84" s="20">
        <f>G80</f>
        <v>229561.17000000004</v>
      </c>
      <c r="C84" s="19"/>
      <c r="D84" s="22">
        <v>521131.57</v>
      </c>
      <c r="E84" s="19"/>
      <c r="F84" s="11"/>
      <c r="G84" s="22">
        <v>495189</v>
      </c>
      <c r="H84" s="19"/>
      <c r="I84" s="9"/>
      <c r="J84" s="24"/>
      <c r="K84" s="25"/>
      <c r="L84" s="26"/>
    </row>
    <row r="85" spans="2:12" x14ac:dyDescent="0.25">
      <c r="B85" s="10" t="s">
        <v>9</v>
      </c>
      <c r="C85" s="11"/>
      <c r="D85" s="11" t="s">
        <v>14</v>
      </c>
      <c r="E85" s="11"/>
      <c r="F85" s="11"/>
      <c r="G85" s="11" t="s">
        <v>8</v>
      </c>
      <c r="H85" s="11"/>
      <c r="I85" s="9"/>
      <c r="J85" s="7"/>
      <c r="K85" s="8"/>
      <c r="L85" s="9"/>
    </row>
    <row r="86" spans="2:12" x14ac:dyDescent="0.25">
      <c r="B86" s="18">
        <v>4393.82</v>
      </c>
      <c r="C86" s="19"/>
      <c r="D86" s="22">
        <f>875+ 21574.85</f>
        <v>22449.85</v>
      </c>
      <c r="E86" s="19"/>
      <c r="F86" s="11"/>
      <c r="G86" s="22">
        <v>20500.82</v>
      </c>
      <c r="H86" s="19"/>
      <c r="I86" s="9"/>
      <c r="J86" s="7"/>
      <c r="K86" s="8"/>
      <c r="L86" s="9"/>
    </row>
    <row r="87" spans="2:12" x14ac:dyDescent="0.25">
      <c r="B87" s="10" t="s">
        <v>12</v>
      </c>
      <c r="C87" s="11"/>
      <c r="D87" s="11"/>
      <c r="E87" s="11"/>
      <c r="F87" s="11"/>
      <c r="G87" s="11"/>
      <c r="H87" s="11"/>
      <c r="I87" s="9"/>
      <c r="J87" s="20">
        <f t="shared" ref="J87" si="6">G86+D86</f>
        <v>42950.67</v>
      </c>
      <c r="K87" s="19"/>
      <c r="L87" s="21"/>
    </row>
    <row r="88" spans="2:12" x14ac:dyDescent="0.25">
      <c r="B88" s="27">
        <v>10000</v>
      </c>
      <c r="C88" s="19"/>
      <c r="D88" s="11"/>
      <c r="E88" s="11" t="s">
        <v>10</v>
      </c>
      <c r="F88" s="11"/>
      <c r="G88" s="11"/>
      <c r="H88" s="11"/>
      <c r="I88" s="9"/>
      <c r="J88" s="7"/>
      <c r="K88" s="8"/>
      <c r="L88" s="9"/>
    </row>
    <row r="89" spans="2:12" ht="15.75" thickBot="1" x14ac:dyDescent="0.3">
      <c r="B89" s="13"/>
      <c r="C89" s="14"/>
      <c r="D89" s="14"/>
      <c r="E89" s="14"/>
      <c r="F89" s="14"/>
      <c r="G89" s="17">
        <f>G86+D86+B84-B88+B86</f>
        <v>266905.66000000003</v>
      </c>
      <c r="H89" s="17"/>
      <c r="I89" s="12"/>
      <c r="J89" s="15"/>
      <c r="K89" s="16"/>
      <c r="L89" s="12"/>
    </row>
    <row r="90" spans="2:12" x14ac:dyDescent="0.25">
      <c r="B90" s="3" t="s">
        <v>4</v>
      </c>
      <c r="C90" s="5" t="s">
        <v>23</v>
      </c>
      <c r="D90" s="5"/>
      <c r="E90" s="5"/>
      <c r="F90" s="5"/>
      <c r="G90" s="5"/>
      <c r="H90" s="5"/>
      <c r="I90" s="6"/>
      <c r="J90" s="3"/>
      <c r="K90" s="5"/>
      <c r="L90" s="6"/>
    </row>
    <row r="91" spans="2:12" x14ac:dyDescent="0.25">
      <c r="B91" s="7"/>
      <c r="C91" s="8"/>
      <c r="D91" s="8"/>
      <c r="E91" s="8"/>
      <c r="F91" s="8"/>
      <c r="G91" s="8"/>
      <c r="H91" s="8"/>
      <c r="I91" s="9"/>
      <c r="J91" s="7"/>
      <c r="K91" s="8"/>
      <c r="L91" s="9"/>
    </row>
    <row r="92" spans="2:12" x14ac:dyDescent="0.25">
      <c r="B92" s="10" t="s">
        <v>5</v>
      </c>
      <c r="C92" s="11"/>
      <c r="D92" s="11" t="s">
        <v>6</v>
      </c>
      <c r="E92" s="11"/>
      <c r="F92" s="11"/>
      <c r="G92" s="11" t="s">
        <v>7</v>
      </c>
      <c r="H92" s="11"/>
      <c r="I92" s="9"/>
      <c r="J92" s="24" t="s">
        <v>22</v>
      </c>
      <c r="K92" s="25"/>
      <c r="L92" s="26"/>
    </row>
    <row r="93" spans="2:12" x14ac:dyDescent="0.25">
      <c r="B93" s="23">
        <f>G89</f>
        <v>266905.66000000003</v>
      </c>
      <c r="C93" s="19"/>
      <c r="D93" s="22">
        <v>421007.84</v>
      </c>
      <c r="E93" s="19"/>
      <c r="F93" s="11"/>
      <c r="G93" s="22">
        <v>200000</v>
      </c>
      <c r="H93" s="19"/>
      <c r="I93" s="9"/>
      <c r="J93" s="24"/>
      <c r="K93" s="25"/>
      <c r="L93" s="26"/>
    </row>
    <row r="94" spans="2:12" x14ac:dyDescent="0.25">
      <c r="B94" s="10" t="s">
        <v>9</v>
      </c>
      <c r="C94" s="11"/>
      <c r="D94" s="11" t="s">
        <v>14</v>
      </c>
      <c r="E94" s="11"/>
      <c r="F94" s="11"/>
      <c r="G94" s="11" t="s">
        <v>8</v>
      </c>
      <c r="H94" s="11"/>
      <c r="I94" s="9"/>
      <c r="J94" s="7"/>
      <c r="K94" s="8"/>
      <c r="L94" s="9"/>
    </row>
    <row r="95" spans="2:12" x14ac:dyDescent="0.25">
      <c r="B95" s="18">
        <v>4217.68</v>
      </c>
      <c r="C95" s="19"/>
      <c r="D95" s="22">
        <v>17429.72</v>
      </c>
      <c r="E95" s="19"/>
      <c r="F95" s="11"/>
      <c r="G95" s="22">
        <v>8280</v>
      </c>
      <c r="H95" s="19"/>
      <c r="I95" s="9"/>
      <c r="J95" s="7"/>
      <c r="K95" s="8"/>
      <c r="L95" s="9"/>
    </row>
    <row r="96" spans="2:12" x14ac:dyDescent="0.25">
      <c r="B96" s="10" t="s">
        <v>12</v>
      </c>
      <c r="C96" s="11"/>
      <c r="D96" s="11"/>
      <c r="E96" s="11"/>
      <c r="F96" s="11"/>
      <c r="G96" s="11"/>
      <c r="H96" s="11"/>
      <c r="I96" s="9"/>
      <c r="J96" s="20">
        <f t="shared" ref="J96" si="7">G95+D95</f>
        <v>25709.72</v>
      </c>
      <c r="K96" s="19"/>
      <c r="L96" s="21"/>
    </row>
    <row r="97" spans="2:12" x14ac:dyDescent="0.25">
      <c r="B97" s="27">
        <v>0</v>
      </c>
      <c r="C97" s="19"/>
      <c r="D97" s="11"/>
      <c r="E97" s="11" t="s">
        <v>10</v>
      </c>
      <c r="F97" s="11"/>
      <c r="G97" s="11"/>
      <c r="H97" s="11"/>
      <c r="I97" s="9"/>
      <c r="J97" s="7"/>
      <c r="K97" s="8"/>
      <c r="L97" s="9"/>
    </row>
    <row r="98" spans="2:12" ht="15.75" thickBot="1" x14ac:dyDescent="0.3">
      <c r="B98" s="13"/>
      <c r="C98" s="14"/>
      <c r="D98" s="14"/>
      <c r="E98" s="14"/>
      <c r="F98" s="14"/>
      <c r="G98" s="17">
        <f>G95+D95+B93-B97+B95</f>
        <v>296833.06</v>
      </c>
      <c r="H98" s="17"/>
      <c r="I98" s="12"/>
      <c r="J98" s="15"/>
      <c r="K98" s="16"/>
      <c r="L98" s="12"/>
    </row>
    <row r="99" spans="2:12" x14ac:dyDescent="0.25">
      <c r="B99" s="3" t="s">
        <v>4</v>
      </c>
      <c r="C99" s="5" t="s">
        <v>24</v>
      </c>
      <c r="D99" s="5"/>
      <c r="E99" s="5"/>
      <c r="F99" s="5"/>
      <c r="G99" s="5"/>
      <c r="H99" s="5"/>
      <c r="I99" s="6"/>
      <c r="J99" s="3"/>
      <c r="K99" s="5"/>
      <c r="L99" s="6"/>
    </row>
    <row r="100" spans="2:12" x14ac:dyDescent="0.25">
      <c r="B100" s="7"/>
      <c r="C100" s="8"/>
      <c r="D100" s="8"/>
      <c r="E100" s="8"/>
      <c r="F100" s="8"/>
      <c r="G100" s="8"/>
      <c r="H100" s="8"/>
      <c r="I100" s="9"/>
      <c r="J100" s="7"/>
      <c r="K100" s="8"/>
      <c r="L100" s="9"/>
    </row>
    <row r="101" spans="2:12" x14ac:dyDescent="0.25">
      <c r="B101" s="10" t="s">
        <v>5</v>
      </c>
      <c r="C101" s="11"/>
      <c r="D101" s="11" t="s">
        <v>6</v>
      </c>
      <c r="E101" s="11"/>
      <c r="F101" s="11"/>
      <c r="G101" s="11" t="s">
        <v>7</v>
      </c>
      <c r="H101" s="11"/>
      <c r="I101" s="9"/>
      <c r="J101" s="24" t="s">
        <v>22</v>
      </c>
      <c r="K101" s="25"/>
      <c r="L101" s="26"/>
    </row>
    <row r="102" spans="2:12" x14ac:dyDescent="0.25">
      <c r="B102" s="23">
        <f>G98</f>
        <v>296833.06</v>
      </c>
      <c r="C102" s="19"/>
      <c r="D102" s="22">
        <v>501011.3</v>
      </c>
      <c r="E102" s="19"/>
      <c r="F102" s="11"/>
      <c r="G102" s="22">
        <v>400000</v>
      </c>
      <c r="H102" s="19"/>
      <c r="I102" s="9"/>
      <c r="J102" s="24"/>
      <c r="K102" s="25"/>
      <c r="L102" s="26"/>
    </row>
    <row r="103" spans="2:12" x14ac:dyDescent="0.25">
      <c r="B103" s="10" t="s">
        <v>9</v>
      </c>
      <c r="C103" s="11"/>
      <c r="D103" s="11" t="s">
        <v>14</v>
      </c>
      <c r="E103" s="11"/>
      <c r="F103" s="11"/>
      <c r="G103" s="11" t="s">
        <v>8</v>
      </c>
      <c r="H103" s="11"/>
      <c r="I103" s="9"/>
      <c r="J103" s="7"/>
      <c r="K103" s="8"/>
      <c r="L103" s="9"/>
    </row>
    <row r="104" spans="2:12" x14ac:dyDescent="0.25">
      <c r="B104" s="18">
        <v>2828.06</v>
      </c>
      <c r="C104" s="19"/>
      <c r="D104" s="22">
        <v>20741.87</v>
      </c>
      <c r="E104" s="19"/>
      <c r="F104" s="11"/>
      <c r="G104" s="22">
        <v>16560</v>
      </c>
      <c r="H104" s="19"/>
      <c r="I104" s="9"/>
      <c r="J104" s="7"/>
      <c r="K104" s="8"/>
      <c r="L104" s="9"/>
    </row>
    <row r="105" spans="2:12" x14ac:dyDescent="0.25">
      <c r="B105" s="10" t="s">
        <v>12</v>
      </c>
      <c r="C105" s="11"/>
      <c r="D105" s="11"/>
      <c r="E105" s="11"/>
      <c r="F105" s="11"/>
      <c r="G105" s="11"/>
      <c r="H105" s="11"/>
      <c r="I105" s="9"/>
      <c r="J105" s="20">
        <f t="shared" ref="J105" si="8">G104+D104</f>
        <v>37301.869999999995</v>
      </c>
      <c r="K105" s="19"/>
      <c r="L105" s="21"/>
    </row>
    <row r="106" spans="2:12" x14ac:dyDescent="0.25">
      <c r="B106" s="27">
        <v>10000</v>
      </c>
      <c r="C106" s="19"/>
      <c r="D106" s="11"/>
      <c r="E106" s="11" t="s">
        <v>10</v>
      </c>
      <c r="F106" s="11"/>
      <c r="G106" s="11"/>
      <c r="H106" s="11"/>
      <c r="I106" s="9"/>
      <c r="J106" s="7"/>
      <c r="K106" s="8"/>
      <c r="L106" s="9"/>
    </row>
    <row r="107" spans="2:12" ht="15.75" thickBot="1" x14ac:dyDescent="0.3">
      <c r="B107" s="13"/>
      <c r="C107" s="14"/>
      <c r="D107" s="14"/>
      <c r="E107" s="14"/>
      <c r="F107" s="14"/>
      <c r="G107" s="17">
        <f>G104+D104+B102-B106+B104</f>
        <v>326962.99</v>
      </c>
      <c r="H107" s="17"/>
      <c r="I107" s="12"/>
      <c r="J107" s="15"/>
      <c r="K107" s="16"/>
      <c r="L107" s="12"/>
    </row>
    <row r="108" spans="2:12" x14ac:dyDescent="0.25">
      <c r="B108" s="3" t="s">
        <v>4</v>
      </c>
      <c r="C108" s="5" t="s">
        <v>25</v>
      </c>
      <c r="D108" s="5"/>
      <c r="E108" s="5"/>
      <c r="F108" s="5"/>
      <c r="G108" s="5"/>
      <c r="H108" s="5"/>
      <c r="I108" s="6"/>
      <c r="J108" s="3"/>
      <c r="K108" s="5"/>
      <c r="L108" s="6"/>
    </row>
    <row r="109" spans="2:12" x14ac:dyDescent="0.25">
      <c r="B109" s="7"/>
      <c r="C109" s="8"/>
      <c r="D109" s="8"/>
      <c r="E109" s="8"/>
      <c r="F109" s="8"/>
      <c r="G109" s="8"/>
      <c r="H109" s="8"/>
      <c r="I109" s="9"/>
      <c r="J109" s="7"/>
      <c r="K109" s="8"/>
      <c r="L109" s="9"/>
    </row>
    <row r="110" spans="2:12" x14ac:dyDescent="0.25">
      <c r="B110" s="10" t="s">
        <v>5</v>
      </c>
      <c r="C110" s="11"/>
      <c r="D110" s="11" t="s">
        <v>6</v>
      </c>
      <c r="E110" s="11"/>
      <c r="F110" s="11"/>
      <c r="G110" s="11" t="s">
        <v>7</v>
      </c>
      <c r="H110" s="11"/>
      <c r="I110" s="9"/>
      <c r="J110" s="24" t="s">
        <v>22</v>
      </c>
      <c r="K110" s="25"/>
      <c r="L110" s="26"/>
    </row>
    <row r="111" spans="2:12" x14ac:dyDescent="0.25">
      <c r="B111" s="23">
        <f>G107</f>
        <v>326962.99</v>
      </c>
      <c r="C111" s="19"/>
      <c r="D111" s="22">
        <v>648215.86</v>
      </c>
      <c r="E111" s="19"/>
      <c r="F111" s="11"/>
      <c r="G111" s="22">
        <v>400000</v>
      </c>
      <c r="H111" s="19"/>
      <c r="I111" s="9"/>
      <c r="J111" s="24"/>
      <c r="K111" s="25"/>
      <c r="L111" s="26"/>
    </row>
    <row r="112" spans="2:12" x14ac:dyDescent="0.25">
      <c r="B112" s="10" t="s">
        <v>9</v>
      </c>
      <c r="C112" s="11"/>
      <c r="D112" s="11" t="s">
        <v>14</v>
      </c>
      <c r="E112" s="11"/>
      <c r="F112" s="11"/>
      <c r="G112" s="11" t="s">
        <v>8</v>
      </c>
      <c r="H112" s="11"/>
      <c r="I112" s="9"/>
      <c r="J112" s="7"/>
      <c r="K112" s="8"/>
      <c r="L112" s="9"/>
    </row>
    <row r="113" spans="2:12" x14ac:dyDescent="0.25">
      <c r="B113" s="18">
        <v>2839.39</v>
      </c>
      <c r="C113" s="19"/>
      <c r="D113" s="22">
        <v>26836.14</v>
      </c>
      <c r="E113" s="19"/>
      <c r="F113" s="11"/>
      <c r="G113" s="22">
        <v>16560</v>
      </c>
      <c r="H113" s="19"/>
      <c r="I113" s="9"/>
      <c r="J113" s="7"/>
      <c r="K113" s="8"/>
      <c r="L113" s="9"/>
    </row>
    <row r="114" spans="2:12" x14ac:dyDescent="0.25">
      <c r="B114" s="10" t="s">
        <v>12</v>
      </c>
      <c r="C114" s="11"/>
      <c r="D114" s="11"/>
      <c r="E114" s="11"/>
      <c r="F114" s="11"/>
      <c r="G114" s="11"/>
      <c r="H114" s="11"/>
      <c r="I114" s="9"/>
      <c r="J114" s="20">
        <f t="shared" ref="J114" si="9">G113+D113</f>
        <v>43396.14</v>
      </c>
      <c r="K114" s="19"/>
      <c r="L114" s="21"/>
    </row>
    <row r="115" spans="2:12" x14ac:dyDescent="0.25">
      <c r="B115" s="27">
        <v>0</v>
      </c>
      <c r="C115" s="19"/>
      <c r="D115" s="11"/>
      <c r="E115" s="11" t="s">
        <v>10</v>
      </c>
      <c r="F115" s="11"/>
      <c r="G115" s="11"/>
      <c r="H115" s="11"/>
      <c r="I115" s="9"/>
      <c r="J115" s="7"/>
      <c r="K115" s="8"/>
      <c r="L115" s="9"/>
    </row>
    <row r="116" spans="2:12" ht="15.75" thickBot="1" x14ac:dyDescent="0.3">
      <c r="B116" s="13"/>
      <c r="C116" s="14"/>
      <c r="D116" s="14"/>
      <c r="E116" s="14"/>
      <c r="F116" s="14"/>
      <c r="G116" s="17">
        <f>G113+D113+B111-B115+B113</f>
        <v>373198.52</v>
      </c>
      <c r="H116" s="17"/>
      <c r="I116" s="12"/>
      <c r="J116" s="15"/>
      <c r="K116" s="16"/>
      <c r="L116" s="12"/>
    </row>
    <row r="117" spans="2:12" x14ac:dyDescent="0.25">
      <c r="B117" s="3" t="s">
        <v>4</v>
      </c>
      <c r="C117" s="5" t="s">
        <v>26</v>
      </c>
      <c r="D117" s="5"/>
      <c r="E117" s="5"/>
      <c r="F117" s="5"/>
      <c r="G117" s="5"/>
      <c r="H117" s="5"/>
      <c r="I117" s="6"/>
      <c r="J117" s="3"/>
      <c r="K117" s="5"/>
      <c r="L117" s="6"/>
    </row>
    <row r="118" spans="2:12" x14ac:dyDescent="0.25">
      <c r="B118" s="7"/>
      <c r="C118" s="8"/>
      <c r="D118" s="8"/>
      <c r="E118" s="8"/>
      <c r="F118" s="8"/>
      <c r="G118" s="8"/>
      <c r="H118" s="8"/>
      <c r="I118" s="9"/>
      <c r="J118" s="7"/>
      <c r="K118" s="8"/>
      <c r="L118" s="9"/>
    </row>
    <row r="119" spans="2:12" x14ac:dyDescent="0.25">
      <c r="B119" s="10" t="s">
        <v>5</v>
      </c>
      <c r="C119" s="11"/>
      <c r="D119" s="11" t="s">
        <v>6</v>
      </c>
      <c r="E119" s="11"/>
      <c r="F119" s="11"/>
      <c r="G119" s="11" t="s">
        <v>7</v>
      </c>
      <c r="H119" s="11"/>
      <c r="I119" s="9"/>
      <c r="J119" s="24" t="s">
        <v>22</v>
      </c>
      <c r="K119" s="25"/>
      <c r="L119" s="26"/>
    </row>
    <row r="120" spans="2:12" x14ac:dyDescent="0.25">
      <c r="B120" s="23">
        <f>G116</f>
        <v>373198.52</v>
      </c>
      <c r="C120" s="19"/>
      <c r="D120" s="22">
        <v>969314.94</v>
      </c>
      <c r="E120" s="19"/>
      <c r="F120" s="11"/>
      <c r="G120" s="22">
        <v>800000</v>
      </c>
      <c r="H120" s="19"/>
      <c r="I120" s="9"/>
      <c r="J120" s="24"/>
      <c r="K120" s="25"/>
      <c r="L120" s="26"/>
    </row>
    <row r="121" spans="2:12" x14ac:dyDescent="0.25">
      <c r="B121" s="10" t="s">
        <v>9</v>
      </c>
      <c r="C121" s="11"/>
      <c r="D121" s="11" t="s">
        <v>14</v>
      </c>
      <c r="E121" s="11"/>
      <c r="F121" s="11"/>
      <c r="G121" s="11" t="s">
        <v>8</v>
      </c>
      <c r="H121" s="11"/>
      <c r="I121" s="9"/>
      <c r="J121" s="7"/>
      <c r="K121" s="8"/>
      <c r="L121" s="9"/>
    </row>
    <row r="122" spans="2:12" x14ac:dyDescent="0.25">
      <c r="B122" s="18">
        <v>5038.3999999999996</v>
      </c>
      <c r="C122" s="19"/>
      <c r="D122" s="22">
        <f>1312+40129.64</f>
        <v>41441.64</v>
      </c>
      <c r="E122" s="19"/>
      <c r="F122" s="11"/>
      <c r="G122" s="22">
        <v>33120</v>
      </c>
      <c r="H122" s="19"/>
      <c r="I122" s="9"/>
      <c r="J122" s="7"/>
      <c r="K122" s="8"/>
      <c r="L122" s="9"/>
    </row>
    <row r="123" spans="2:12" x14ac:dyDescent="0.25">
      <c r="B123" s="10" t="s">
        <v>12</v>
      </c>
      <c r="C123" s="11"/>
      <c r="D123" s="11"/>
      <c r="E123" s="11"/>
      <c r="F123" s="11"/>
      <c r="G123" s="11"/>
      <c r="H123" s="11"/>
      <c r="I123" s="9"/>
      <c r="J123" s="20">
        <f t="shared" ref="J123" si="10">G122+D122</f>
        <v>74561.64</v>
      </c>
      <c r="K123" s="19"/>
      <c r="L123" s="21"/>
    </row>
    <row r="124" spans="2:12" x14ac:dyDescent="0.25">
      <c r="B124" s="27">
        <v>0</v>
      </c>
      <c r="C124" s="19"/>
      <c r="D124" s="11"/>
      <c r="E124" s="11" t="s">
        <v>10</v>
      </c>
      <c r="F124" s="11"/>
      <c r="G124" s="11"/>
      <c r="H124" s="11"/>
      <c r="I124" s="9"/>
      <c r="J124" s="7"/>
      <c r="K124" s="8"/>
      <c r="L124" s="9"/>
    </row>
    <row r="125" spans="2:12" ht="15.75" thickBot="1" x14ac:dyDescent="0.3">
      <c r="B125" s="13"/>
      <c r="C125" s="14"/>
      <c r="D125" s="14"/>
      <c r="E125" s="14"/>
      <c r="F125" s="14"/>
      <c r="G125" s="17">
        <f>G122+D122+B120-B124+B122</f>
        <v>452798.56000000006</v>
      </c>
      <c r="H125" s="17"/>
      <c r="I125" s="12"/>
      <c r="J125" s="15"/>
      <c r="K125" s="16"/>
      <c r="L125" s="12"/>
    </row>
    <row r="126" spans="2:12" x14ac:dyDescent="0.25">
      <c r="B126" s="3" t="s">
        <v>4</v>
      </c>
      <c r="C126" s="5" t="s">
        <v>27</v>
      </c>
      <c r="D126" s="5"/>
      <c r="E126" s="5"/>
      <c r="F126" s="5"/>
      <c r="G126" s="5"/>
      <c r="H126" s="5"/>
      <c r="I126" s="6"/>
      <c r="J126" s="3"/>
      <c r="K126" s="5"/>
      <c r="L126" s="6"/>
    </row>
    <row r="127" spans="2:12" x14ac:dyDescent="0.25">
      <c r="B127" s="7"/>
      <c r="C127" s="8"/>
      <c r="D127" s="8"/>
      <c r="E127" s="8"/>
      <c r="F127" s="8"/>
      <c r="G127" s="8"/>
      <c r="H127" s="8"/>
      <c r="I127" s="9"/>
      <c r="J127" s="7"/>
      <c r="K127" s="8"/>
      <c r="L127" s="9"/>
    </row>
    <row r="128" spans="2:12" x14ac:dyDescent="0.25">
      <c r="B128" s="10" t="s">
        <v>5</v>
      </c>
      <c r="C128" s="11"/>
      <c r="D128" s="11" t="s">
        <v>6</v>
      </c>
      <c r="E128" s="11"/>
      <c r="F128" s="11"/>
      <c r="G128" s="11" t="s">
        <v>7</v>
      </c>
      <c r="H128" s="11"/>
      <c r="I128" s="9"/>
      <c r="J128" s="24" t="s">
        <v>22</v>
      </c>
      <c r="K128" s="25"/>
      <c r="L128" s="26"/>
    </row>
    <row r="129" spans="2:12" x14ac:dyDescent="0.25">
      <c r="B129" s="23">
        <f>G125</f>
        <v>452798.56000000006</v>
      </c>
      <c r="C129" s="19"/>
      <c r="D129" s="22">
        <v>828167.3</v>
      </c>
      <c r="E129" s="19"/>
      <c r="F129" s="11"/>
      <c r="G129" s="22">
        <v>1000000</v>
      </c>
      <c r="H129" s="19"/>
      <c r="I129" s="9"/>
      <c r="J129" s="24"/>
      <c r="K129" s="25"/>
      <c r="L129" s="26"/>
    </row>
    <row r="130" spans="2:12" x14ac:dyDescent="0.25">
      <c r="B130" s="10" t="s">
        <v>9</v>
      </c>
      <c r="C130" s="11"/>
      <c r="D130" s="11" t="s">
        <v>14</v>
      </c>
      <c r="E130" s="11"/>
      <c r="F130" s="11"/>
      <c r="G130" s="11" t="s">
        <v>8</v>
      </c>
      <c r="H130" s="11"/>
      <c r="I130" s="9"/>
      <c r="J130" s="7"/>
      <c r="K130" s="8"/>
      <c r="L130" s="9"/>
    </row>
    <row r="131" spans="2:12" x14ac:dyDescent="0.25">
      <c r="B131" s="18">
        <v>6583.79</v>
      </c>
      <c r="C131" s="19"/>
      <c r="D131" s="22">
        <f>1312+34286.13</f>
        <v>35598.129999999997</v>
      </c>
      <c r="E131" s="19"/>
      <c r="F131" s="11"/>
      <c r="G131" s="22">
        <v>41400</v>
      </c>
      <c r="H131" s="19"/>
      <c r="I131" s="9"/>
      <c r="J131" s="7"/>
      <c r="K131" s="8"/>
      <c r="L131" s="9"/>
    </row>
    <row r="132" spans="2:12" x14ac:dyDescent="0.25">
      <c r="B132" s="10" t="s">
        <v>12</v>
      </c>
      <c r="C132" s="11"/>
      <c r="D132" s="11"/>
      <c r="E132" s="11"/>
      <c r="F132" s="11"/>
      <c r="G132" s="11"/>
      <c r="H132" s="11"/>
      <c r="I132" s="9"/>
      <c r="J132" s="20">
        <f t="shared" ref="J132" si="11">G131+D131</f>
        <v>76998.13</v>
      </c>
      <c r="K132" s="19"/>
      <c r="L132" s="21"/>
    </row>
    <row r="133" spans="2:12" x14ac:dyDescent="0.25">
      <c r="B133" s="27">
        <v>0</v>
      </c>
      <c r="C133" s="19"/>
      <c r="D133" s="11"/>
      <c r="E133" s="11" t="s">
        <v>10</v>
      </c>
      <c r="F133" s="11"/>
      <c r="G133" s="11"/>
      <c r="H133" s="11"/>
      <c r="I133" s="9"/>
      <c r="J133" s="7"/>
      <c r="K133" s="8"/>
      <c r="L133" s="9"/>
    </row>
    <row r="134" spans="2:12" ht="15.75" thickBot="1" x14ac:dyDescent="0.3">
      <c r="B134" s="13"/>
      <c r="C134" s="14"/>
      <c r="D134" s="14"/>
      <c r="E134" s="14"/>
      <c r="F134" s="14"/>
      <c r="G134" s="17">
        <f>G131+D131+B129-B133+B131</f>
        <v>536380.4800000001</v>
      </c>
      <c r="H134" s="17"/>
      <c r="I134" s="12"/>
      <c r="J134" s="15"/>
      <c r="K134" s="16"/>
      <c r="L134" s="12"/>
    </row>
    <row r="135" spans="2:12" x14ac:dyDescent="0.25">
      <c r="B135" s="3" t="s">
        <v>4</v>
      </c>
      <c r="C135" s="5" t="s">
        <v>28</v>
      </c>
      <c r="D135" s="5"/>
      <c r="E135" s="5"/>
      <c r="F135" s="5"/>
      <c r="G135" s="5"/>
      <c r="H135" s="5"/>
      <c r="I135" s="6"/>
      <c r="J135" s="3"/>
      <c r="K135" s="5"/>
      <c r="L135" s="6"/>
    </row>
    <row r="136" spans="2:12" x14ac:dyDescent="0.25">
      <c r="B136" s="7"/>
      <c r="C136" s="8"/>
      <c r="D136" s="8"/>
      <c r="E136" s="8"/>
      <c r="F136" s="8"/>
      <c r="G136" s="8"/>
      <c r="H136" s="8"/>
      <c r="I136" s="9"/>
      <c r="J136" s="7"/>
      <c r="K136" s="8"/>
      <c r="L136" s="9"/>
    </row>
    <row r="137" spans="2:12" x14ac:dyDescent="0.25">
      <c r="B137" s="10" t="s">
        <v>5</v>
      </c>
      <c r="C137" s="11"/>
      <c r="D137" s="11" t="s">
        <v>6</v>
      </c>
      <c r="E137" s="11"/>
      <c r="F137" s="11"/>
      <c r="G137" s="11" t="s">
        <v>7</v>
      </c>
      <c r="H137" s="11"/>
      <c r="I137" s="9"/>
      <c r="J137" s="24" t="s">
        <v>22</v>
      </c>
      <c r="K137" s="25"/>
      <c r="L137" s="26"/>
    </row>
    <row r="138" spans="2:12" x14ac:dyDescent="0.25">
      <c r="B138" s="23">
        <f>G134</f>
        <v>536380.4800000001</v>
      </c>
      <c r="C138" s="19"/>
      <c r="D138" s="22">
        <v>769392.17</v>
      </c>
      <c r="E138" s="19"/>
      <c r="F138" s="11"/>
      <c r="G138" s="22">
        <v>1514000</v>
      </c>
      <c r="H138" s="19"/>
      <c r="I138" s="9"/>
      <c r="J138" s="24"/>
      <c r="K138" s="25"/>
      <c r="L138" s="26"/>
    </row>
    <row r="139" spans="2:12" x14ac:dyDescent="0.25">
      <c r="B139" s="10" t="s">
        <v>9</v>
      </c>
      <c r="C139" s="11"/>
      <c r="D139" s="11" t="s">
        <v>14</v>
      </c>
      <c r="E139" s="11"/>
      <c r="F139" s="11"/>
      <c r="G139" s="11" t="s">
        <v>8</v>
      </c>
      <c r="H139" s="11"/>
      <c r="I139" s="9"/>
      <c r="J139" s="7"/>
      <c r="K139" s="8"/>
      <c r="L139" s="9"/>
    </row>
    <row r="140" spans="2:12" x14ac:dyDescent="0.25">
      <c r="B140" s="18">
        <v>3218.52</v>
      </c>
      <c r="C140" s="19"/>
      <c r="D140" s="22">
        <f>1312+31852.84</f>
        <v>33164.839999999997</v>
      </c>
      <c r="E140" s="19"/>
      <c r="F140" s="11"/>
      <c r="G140" s="22">
        <v>62679.6</v>
      </c>
      <c r="H140" s="19"/>
      <c r="I140" s="9"/>
      <c r="J140" s="7"/>
      <c r="K140" s="8"/>
      <c r="L140" s="9"/>
    </row>
    <row r="141" spans="2:12" x14ac:dyDescent="0.25">
      <c r="B141" s="10" t="s">
        <v>12</v>
      </c>
      <c r="C141" s="11"/>
      <c r="D141" s="11"/>
      <c r="E141" s="11"/>
      <c r="F141" s="11"/>
      <c r="G141" s="11"/>
      <c r="H141" s="11"/>
      <c r="I141" s="9"/>
      <c r="J141" s="20">
        <f t="shared" ref="J141" si="12">G140+D140</f>
        <v>95844.44</v>
      </c>
      <c r="K141" s="19"/>
      <c r="L141" s="21"/>
    </row>
    <row r="142" spans="2:12" x14ac:dyDescent="0.25">
      <c r="B142" s="27">
        <v>0</v>
      </c>
      <c r="C142" s="19"/>
      <c r="D142" s="11"/>
      <c r="E142" s="11" t="s">
        <v>10</v>
      </c>
      <c r="F142" s="11"/>
      <c r="G142" s="11"/>
      <c r="H142" s="11"/>
      <c r="I142" s="9"/>
      <c r="J142" s="7"/>
      <c r="K142" s="8"/>
      <c r="L142" s="9"/>
    </row>
    <row r="143" spans="2:12" ht="15.75" thickBot="1" x14ac:dyDescent="0.3">
      <c r="B143" s="13"/>
      <c r="C143" s="14"/>
      <c r="D143" s="14"/>
      <c r="E143" s="14"/>
      <c r="F143" s="14"/>
      <c r="G143" s="17">
        <f>G140+D140+B138-B142+B140</f>
        <v>635443.44000000018</v>
      </c>
      <c r="H143" s="17"/>
      <c r="I143" s="12"/>
      <c r="J143" s="15"/>
      <c r="K143" s="16"/>
      <c r="L143" s="12"/>
    </row>
    <row r="144" spans="2:12" x14ac:dyDescent="0.25">
      <c r="B144" s="3" t="s">
        <v>4</v>
      </c>
      <c r="C144" s="5" t="s">
        <v>29</v>
      </c>
      <c r="D144" s="5"/>
      <c r="E144" s="5"/>
      <c r="F144" s="5"/>
      <c r="G144" s="5"/>
      <c r="H144" s="5"/>
      <c r="I144" s="6"/>
      <c r="J144" s="3"/>
      <c r="K144" s="5"/>
      <c r="L144" s="6"/>
    </row>
    <row r="145" spans="2:12" x14ac:dyDescent="0.25">
      <c r="B145" s="7"/>
      <c r="C145" s="8"/>
      <c r="D145" s="8"/>
      <c r="E145" s="8"/>
      <c r="F145" s="8"/>
      <c r="G145" s="8"/>
      <c r="H145" s="8"/>
      <c r="I145" s="9"/>
      <c r="J145" s="7"/>
      <c r="K145" s="8"/>
      <c r="L145" s="9"/>
    </row>
    <row r="146" spans="2:12" x14ac:dyDescent="0.25">
      <c r="B146" s="10" t="s">
        <v>5</v>
      </c>
      <c r="C146" s="11"/>
      <c r="D146" s="11" t="s">
        <v>6</v>
      </c>
      <c r="E146" s="11"/>
      <c r="F146" s="11"/>
      <c r="G146" s="11" t="s">
        <v>7</v>
      </c>
      <c r="H146" s="11"/>
      <c r="I146" s="9"/>
      <c r="J146" s="24" t="s">
        <v>22</v>
      </c>
      <c r="K146" s="25"/>
      <c r="L146" s="26"/>
    </row>
    <row r="147" spans="2:12" x14ac:dyDescent="0.25">
      <c r="B147" s="23">
        <f>G143</f>
        <v>635443.44000000018</v>
      </c>
      <c r="C147" s="19"/>
      <c r="D147" s="22">
        <v>799475.79</v>
      </c>
      <c r="E147" s="19"/>
      <c r="F147" s="11"/>
      <c r="G147" s="22">
        <v>1000000</v>
      </c>
      <c r="H147" s="19"/>
      <c r="I147" s="9"/>
      <c r="J147" s="24"/>
      <c r="K147" s="25"/>
      <c r="L147" s="26"/>
    </row>
    <row r="148" spans="2:12" x14ac:dyDescent="0.25">
      <c r="B148" s="10" t="s">
        <v>9</v>
      </c>
      <c r="C148" s="11"/>
      <c r="D148" s="11" t="s">
        <v>14</v>
      </c>
      <c r="E148" s="11"/>
      <c r="F148" s="11"/>
      <c r="G148" s="11" t="s">
        <v>8</v>
      </c>
      <c r="H148" s="11"/>
      <c r="I148" s="9"/>
      <c r="J148" s="7"/>
      <c r="K148" s="8"/>
      <c r="L148" s="9"/>
    </row>
    <row r="149" spans="2:12" x14ac:dyDescent="0.25">
      <c r="B149" s="18">
        <v>4389.67</v>
      </c>
      <c r="C149" s="19"/>
      <c r="D149" s="22">
        <f>1968+33098.3</f>
        <v>35066.300000000003</v>
      </c>
      <c r="E149" s="19"/>
      <c r="F149" s="11"/>
      <c r="G149" s="22">
        <v>41400</v>
      </c>
      <c r="H149" s="19"/>
      <c r="I149" s="9"/>
      <c r="J149" s="7"/>
      <c r="K149" s="8"/>
      <c r="L149" s="9"/>
    </row>
    <row r="150" spans="2:12" x14ac:dyDescent="0.25">
      <c r="B150" s="10" t="s">
        <v>12</v>
      </c>
      <c r="C150" s="11"/>
      <c r="D150" s="11"/>
      <c r="E150" s="11"/>
      <c r="F150" s="11"/>
      <c r="G150" s="11"/>
      <c r="H150" s="11"/>
      <c r="I150" s="9"/>
      <c r="J150" s="20">
        <f t="shared" ref="J150" si="13">G149+D149</f>
        <v>76466.3</v>
      </c>
      <c r="K150" s="19"/>
      <c r="L150" s="21"/>
    </row>
    <row r="151" spans="2:12" x14ac:dyDescent="0.25">
      <c r="B151" s="27">
        <v>0</v>
      </c>
      <c r="C151" s="19"/>
      <c r="D151" s="11"/>
      <c r="E151" s="11" t="s">
        <v>10</v>
      </c>
      <c r="F151" s="11"/>
      <c r="G151" s="11"/>
      <c r="H151" s="11"/>
      <c r="I151" s="9"/>
      <c r="J151" s="7"/>
      <c r="K151" s="8"/>
      <c r="L151" s="9"/>
    </row>
    <row r="152" spans="2:12" ht="15.75" thickBot="1" x14ac:dyDescent="0.3">
      <c r="B152" s="13"/>
      <c r="C152" s="14"/>
      <c r="D152" s="14"/>
      <c r="E152" s="14"/>
      <c r="F152" s="14"/>
      <c r="G152" s="17">
        <f>G149+D149+B147-B151+B149</f>
        <v>716299.41000000027</v>
      </c>
      <c r="H152" s="17"/>
      <c r="I152" s="12"/>
      <c r="J152" s="15"/>
      <c r="K152" s="16"/>
      <c r="L152" s="12"/>
    </row>
    <row r="153" spans="2:12" x14ac:dyDescent="0.25">
      <c r="B153" s="3" t="s">
        <v>4</v>
      </c>
      <c r="C153" s="5" t="s">
        <v>30</v>
      </c>
      <c r="D153" s="5"/>
      <c r="E153" s="5"/>
      <c r="F153" s="5"/>
      <c r="G153" s="5"/>
      <c r="H153" s="5"/>
      <c r="I153" s="6"/>
      <c r="J153" s="3"/>
      <c r="K153" s="5"/>
      <c r="L153" s="6"/>
    </row>
    <row r="154" spans="2:12" x14ac:dyDescent="0.25">
      <c r="B154" s="7"/>
      <c r="C154" s="8"/>
      <c r="D154" s="8"/>
      <c r="E154" s="8"/>
      <c r="F154" s="8"/>
      <c r="G154" s="8"/>
      <c r="H154" s="8"/>
      <c r="I154" s="9"/>
      <c r="J154" s="7"/>
      <c r="K154" s="8"/>
      <c r="L154" s="9"/>
    </row>
    <row r="155" spans="2:12" x14ac:dyDescent="0.25">
      <c r="B155" s="10" t="s">
        <v>5</v>
      </c>
      <c r="C155" s="11"/>
      <c r="D155" s="11" t="s">
        <v>6</v>
      </c>
      <c r="E155" s="11"/>
      <c r="F155" s="11"/>
      <c r="G155" s="11" t="s">
        <v>7</v>
      </c>
      <c r="H155" s="11"/>
      <c r="I155" s="9"/>
      <c r="J155" s="24" t="s">
        <v>22</v>
      </c>
      <c r="K155" s="25"/>
      <c r="L155" s="26"/>
    </row>
    <row r="156" spans="2:12" x14ac:dyDescent="0.25">
      <c r="B156" s="23">
        <f>G152</f>
        <v>716299.41000000027</v>
      </c>
      <c r="C156" s="19"/>
      <c r="D156" s="22">
        <v>1173396.8700000001</v>
      </c>
      <c r="E156" s="19"/>
      <c r="F156" s="11"/>
      <c r="G156" s="22">
        <v>819167.95</v>
      </c>
      <c r="H156" s="19"/>
      <c r="I156" s="9"/>
      <c r="J156" s="24"/>
      <c r="K156" s="25"/>
      <c r="L156" s="26"/>
    </row>
    <row r="157" spans="2:12" x14ac:dyDescent="0.25">
      <c r="B157" s="10" t="s">
        <v>9</v>
      </c>
      <c r="C157" s="11"/>
      <c r="D157" s="11" t="s">
        <v>14</v>
      </c>
      <c r="E157" s="11"/>
      <c r="F157" s="11"/>
      <c r="G157" s="11" t="s">
        <v>8</v>
      </c>
      <c r="H157" s="11"/>
      <c r="I157" s="9"/>
      <c r="J157" s="7"/>
      <c r="K157" s="8"/>
      <c r="L157" s="9"/>
    </row>
    <row r="158" spans="2:12" x14ac:dyDescent="0.25">
      <c r="B158" s="18">
        <v>3081.59</v>
      </c>
      <c r="C158" s="19"/>
      <c r="D158" s="22">
        <v>48578.63</v>
      </c>
      <c r="E158" s="19"/>
      <c r="F158" s="11"/>
      <c r="G158" s="22">
        <v>33913.550000000003</v>
      </c>
      <c r="H158" s="19"/>
      <c r="I158" s="9"/>
      <c r="J158" s="7"/>
      <c r="K158" s="8"/>
      <c r="L158" s="9"/>
    </row>
    <row r="159" spans="2:12" x14ac:dyDescent="0.25">
      <c r="B159" s="10" t="s">
        <v>12</v>
      </c>
      <c r="C159" s="11"/>
      <c r="D159" s="11"/>
      <c r="E159" s="11"/>
      <c r="F159" s="11"/>
      <c r="G159" s="11"/>
      <c r="H159" s="11"/>
      <c r="I159" s="9"/>
      <c r="J159" s="20">
        <f t="shared" ref="J159" si="14">G158+D158</f>
        <v>82492.179999999993</v>
      </c>
      <c r="K159" s="19"/>
      <c r="L159" s="21"/>
    </row>
    <row r="160" spans="2:12" x14ac:dyDescent="0.25">
      <c r="B160" s="27">
        <v>0</v>
      </c>
      <c r="C160" s="19"/>
      <c r="D160" s="11"/>
      <c r="E160" s="11" t="s">
        <v>10</v>
      </c>
      <c r="F160" s="11"/>
      <c r="G160" s="11"/>
      <c r="H160" s="11"/>
      <c r="I160" s="9"/>
      <c r="J160" s="7"/>
      <c r="K160" s="8"/>
      <c r="L160" s="9"/>
    </row>
    <row r="161" spans="2:12" ht="15.75" thickBot="1" x14ac:dyDescent="0.3">
      <c r="B161" s="13"/>
      <c r="C161" s="14"/>
      <c r="D161" s="14"/>
      <c r="E161" s="14"/>
      <c r="F161" s="14"/>
      <c r="G161" s="17">
        <f>G158+D158+B156-B160+B158</f>
        <v>801873.18000000028</v>
      </c>
      <c r="H161" s="17"/>
      <c r="I161" s="12"/>
      <c r="J161" s="15"/>
      <c r="K161" s="16"/>
      <c r="L161" s="12"/>
    </row>
    <row r="162" spans="2:12" x14ac:dyDescent="0.25">
      <c r="B162" s="3" t="s">
        <v>4</v>
      </c>
      <c r="C162" s="5" t="s">
        <v>31</v>
      </c>
      <c r="D162" s="5"/>
      <c r="E162" s="5"/>
      <c r="F162" s="5"/>
      <c r="G162" s="5"/>
      <c r="H162" s="5"/>
      <c r="I162" s="6"/>
      <c r="J162" s="3"/>
      <c r="K162" s="5"/>
      <c r="L162" s="6"/>
    </row>
    <row r="163" spans="2:12" x14ac:dyDescent="0.25">
      <c r="B163" s="7"/>
      <c r="C163" s="8"/>
      <c r="D163" s="8"/>
      <c r="E163" s="8"/>
      <c r="F163" s="8"/>
      <c r="G163" s="8"/>
      <c r="H163" s="8"/>
      <c r="I163" s="9"/>
      <c r="J163" s="7"/>
      <c r="K163" s="8"/>
      <c r="L163" s="9"/>
    </row>
    <row r="164" spans="2:12" x14ac:dyDescent="0.25">
      <c r="B164" s="10" t="s">
        <v>5</v>
      </c>
      <c r="C164" s="11"/>
      <c r="D164" s="11" t="s">
        <v>6</v>
      </c>
      <c r="E164" s="11"/>
      <c r="F164" s="11"/>
      <c r="G164" s="11" t="s">
        <v>7</v>
      </c>
      <c r="H164" s="11"/>
      <c r="I164" s="9"/>
      <c r="J164" s="24" t="s">
        <v>22</v>
      </c>
      <c r="K164" s="25"/>
      <c r="L164" s="26"/>
    </row>
    <row r="165" spans="2:12" x14ac:dyDescent="0.25">
      <c r="B165" s="23">
        <f>G161</f>
        <v>801873.18000000028</v>
      </c>
      <c r="C165" s="19"/>
      <c r="D165" s="22">
        <v>1705656.96</v>
      </c>
      <c r="E165" s="19"/>
      <c r="F165" s="11"/>
      <c r="G165" s="22">
        <v>286907.86</v>
      </c>
      <c r="H165" s="19"/>
      <c r="I165" s="9"/>
      <c r="J165" s="24"/>
      <c r="K165" s="25"/>
      <c r="L165" s="26"/>
    </row>
    <row r="166" spans="2:12" x14ac:dyDescent="0.25">
      <c r="B166" s="10" t="s">
        <v>9</v>
      </c>
      <c r="C166" s="11"/>
      <c r="D166" s="11" t="s">
        <v>14</v>
      </c>
      <c r="E166" s="11"/>
      <c r="F166" s="11"/>
      <c r="G166" s="11" t="s">
        <v>8</v>
      </c>
      <c r="H166" s="11"/>
      <c r="I166" s="9"/>
      <c r="J166" s="7"/>
      <c r="K166" s="8"/>
      <c r="L166" s="9"/>
    </row>
    <row r="167" spans="2:12" x14ac:dyDescent="0.25">
      <c r="B167" s="18">
        <v>3439.92</v>
      </c>
      <c r="C167" s="19"/>
      <c r="D167" s="22">
        <v>70614.2</v>
      </c>
      <c r="E167" s="19"/>
      <c r="F167" s="11"/>
      <c r="G167" s="22">
        <v>11877.99</v>
      </c>
      <c r="H167" s="19"/>
      <c r="I167" s="9"/>
      <c r="J167" s="7"/>
      <c r="K167" s="8"/>
      <c r="L167" s="9"/>
    </row>
    <row r="168" spans="2:12" x14ac:dyDescent="0.25">
      <c r="B168" s="10" t="s">
        <v>12</v>
      </c>
      <c r="C168" s="11"/>
      <c r="D168" s="11"/>
      <c r="E168" s="11"/>
      <c r="F168" s="11"/>
      <c r="G168" s="11"/>
      <c r="H168" s="11"/>
      <c r="I168" s="9"/>
      <c r="J168" s="20">
        <f t="shared" ref="J168" si="15">G167+D167</f>
        <v>82492.19</v>
      </c>
      <c r="K168" s="19"/>
      <c r="L168" s="21"/>
    </row>
    <row r="169" spans="2:12" x14ac:dyDescent="0.25">
      <c r="B169" s="27">
        <v>0</v>
      </c>
      <c r="C169" s="19"/>
      <c r="D169" s="11"/>
      <c r="E169" s="11" t="s">
        <v>10</v>
      </c>
      <c r="F169" s="11"/>
      <c r="G169" s="11"/>
      <c r="H169" s="11"/>
      <c r="I169" s="9"/>
      <c r="J169" s="7"/>
      <c r="K169" s="8"/>
      <c r="L169" s="9"/>
    </row>
    <row r="170" spans="2:12" ht="15.75" thickBot="1" x14ac:dyDescent="0.3">
      <c r="B170" s="13"/>
      <c r="C170" s="14"/>
      <c r="D170" s="14"/>
      <c r="E170" s="14"/>
      <c r="F170" s="14"/>
      <c r="G170" s="17">
        <f>G167+D167+B165-B169+B167</f>
        <v>887805.29000000039</v>
      </c>
      <c r="H170" s="17"/>
      <c r="I170" s="12"/>
      <c r="J170" s="15"/>
      <c r="K170" s="16"/>
      <c r="L170" s="12"/>
    </row>
    <row r="171" spans="2:12" x14ac:dyDescent="0.25">
      <c r="B171" s="3" t="s">
        <v>4</v>
      </c>
      <c r="C171" s="5" t="s">
        <v>32</v>
      </c>
      <c r="D171" s="5"/>
      <c r="E171" s="5"/>
      <c r="F171" s="5"/>
      <c r="G171" s="5"/>
      <c r="H171" s="5"/>
      <c r="I171" s="6"/>
      <c r="J171" s="3"/>
      <c r="K171" s="5"/>
      <c r="L171" s="6"/>
    </row>
    <row r="172" spans="2:12" x14ac:dyDescent="0.25">
      <c r="B172" s="7"/>
      <c r="C172" s="8"/>
      <c r="D172" s="8"/>
      <c r="E172" s="8"/>
      <c r="F172" s="8"/>
      <c r="G172" s="8"/>
      <c r="H172" s="8"/>
      <c r="I172" s="9"/>
      <c r="J172" s="7"/>
      <c r="K172" s="8"/>
      <c r="L172" s="9"/>
    </row>
    <row r="173" spans="2:12" x14ac:dyDescent="0.25">
      <c r="B173" s="10" t="s">
        <v>5</v>
      </c>
      <c r="C173" s="11"/>
      <c r="D173" s="11" t="s">
        <v>6</v>
      </c>
      <c r="E173" s="11"/>
      <c r="F173" s="11"/>
      <c r="G173" s="11" t="s">
        <v>7</v>
      </c>
      <c r="H173" s="11"/>
      <c r="I173" s="9"/>
      <c r="J173" s="24" t="s">
        <v>22</v>
      </c>
      <c r="K173" s="25"/>
      <c r="L173" s="26"/>
    </row>
    <row r="174" spans="2:12" x14ac:dyDescent="0.25">
      <c r="B174" s="23">
        <f>G170</f>
        <v>887805.29000000039</v>
      </c>
      <c r="C174" s="19"/>
      <c r="D174" s="22">
        <v>1583913.97</v>
      </c>
      <c r="E174" s="19"/>
      <c r="F174" s="11"/>
      <c r="G174" s="22">
        <v>200000</v>
      </c>
      <c r="H174" s="19"/>
      <c r="I174" s="9"/>
      <c r="J174" s="24"/>
      <c r="K174" s="25"/>
      <c r="L174" s="26"/>
    </row>
    <row r="175" spans="2:12" x14ac:dyDescent="0.25">
      <c r="B175" s="10" t="s">
        <v>9</v>
      </c>
      <c r="C175" s="11"/>
      <c r="D175" s="11" t="s">
        <v>14</v>
      </c>
      <c r="E175" s="11"/>
      <c r="F175" s="11"/>
      <c r="G175" s="11" t="s">
        <v>8</v>
      </c>
      <c r="H175" s="11"/>
      <c r="I175" s="9"/>
      <c r="J175" s="7"/>
      <c r="K175" s="8"/>
      <c r="L175" s="9"/>
    </row>
    <row r="176" spans="2:12" x14ac:dyDescent="0.25">
      <c r="B176" s="18">
        <v>2862.47</v>
      </c>
      <c r="C176" s="19"/>
      <c r="D176" s="22">
        <v>65574.039999999994</v>
      </c>
      <c r="E176" s="19"/>
      <c r="F176" s="11"/>
      <c r="G176" s="22">
        <v>28980</v>
      </c>
      <c r="H176" s="19"/>
      <c r="I176" s="9"/>
      <c r="J176" s="7"/>
      <c r="K176" s="8"/>
      <c r="L176" s="9"/>
    </row>
    <row r="177" spans="2:12" x14ac:dyDescent="0.25">
      <c r="B177" s="10" t="s">
        <v>12</v>
      </c>
      <c r="C177" s="11"/>
      <c r="D177" s="11"/>
      <c r="E177" s="11"/>
      <c r="F177" s="11"/>
      <c r="G177" s="11"/>
      <c r="H177" s="11"/>
      <c r="I177" s="9"/>
      <c r="J177" s="20">
        <f t="shared" ref="J177" si="16">G176+D176</f>
        <v>94554.04</v>
      </c>
      <c r="K177" s="19"/>
      <c r="L177" s="21"/>
    </row>
    <row r="178" spans="2:12" x14ac:dyDescent="0.25">
      <c r="B178" s="18">
        <v>182492</v>
      </c>
      <c r="C178" s="19"/>
      <c r="D178" s="11"/>
      <c r="E178" s="11" t="s">
        <v>10</v>
      </c>
      <c r="F178" s="11"/>
      <c r="G178" s="11"/>
      <c r="H178" s="11"/>
      <c r="I178" s="9"/>
      <c r="J178" s="7"/>
      <c r="K178" s="8"/>
      <c r="L178" s="9"/>
    </row>
    <row r="179" spans="2:12" ht="15.75" thickBot="1" x14ac:dyDescent="0.3">
      <c r="B179" s="13"/>
      <c r="C179" s="14"/>
      <c r="D179" s="14"/>
      <c r="E179" s="14"/>
      <c r="F179" s="14"/>
      <c r="G179" s="17">
        <f>G176+D176+B174-B178+B176</f>
        <v>802729.8000000004</v>
      </c>
      <c r="H179" s="17"/>
      <c r="I179" s="12"/>
      <c r="J179" s="15"/>
      <c r="K179" s="16"/>
      <c r="L179" s="12"/>
    </row>
    <row r="180" spans="2:12" x14ac:dyDescent="0.25">
      <c r="B180" s="3" t="s">
        <v>4</v>
      </c>
      <c r="C180" s="5" t="s">
        <v>33</v>
      </c>
      <c r="D180" s="5"/>
      <c r="E180" s="5"/>
      <c r="F180" s="5"/>
      <c r="G180" s="5"/>
      <c r="H180" s="5"/>
      <c r="I180" s="6"/>
      <c r="J180" s="3"/>
      <c r="K180" s="5"/>
      <c r="L180" s="6"/>
    </row>
    <row r="181" spans="2:12" x14ac:dyDescent="0.25">
      <c r="B181" s="7"/>
      <c r="C181" s="8"/>
      <c r="D181" s="8"/>
      <c r="E181" s="8"/>
      <c r="F181" s="8"/>
      <c r="G181" s="8"/>
      <c r="H181" s="8"/>
      <c r="I181" s="9"/>
      <c r="J181" s="7"/>
      <c r="K181" s="8"/>
      <c r="L181" s="9"/>
    </row>
    <row r="182" spans="2:12" x14ac:dyDescent="0.25">
      <c r="B182" s="10" t="s">
        <v>5</v>
      </c>
      <c r="C182" s="11"/>
      <c r="D182" s="11" t="s">
        <v>6</v>
      </c>
      <c r="E182" s="11"/>
      <c r="F182" s="11"/>
      <c r="G182" s="11" t="s">
        <v>7</v>
      </c>
      <c r="H182" s="11"/>
      <c r="I182" s="9"/>
      <c r="J182" s="24" t="s">
        <v>22</v>
      </c>
      <c r="K182" s="25"/>
      <c r="L182" s="26"/>
    </row>
    <row r="183" spans="2:12" x14ac:dyDescent="0.25">
      <c r="B183" s="23">
        <f>G179</f>
        <v>802729.8000000004</v>
      </c>
      <c r="C183" s="19"/>
      <c r="D183" s="22">
        <v>2143533.21</v>
      </c>
      <c r="E183" s="19"/>
      <c r="F183" s="11"/>
      <c r="G183" s="22">
        <v>0</v>
      </c>
      <c r="H183" s="19"/>
      <c r="I183" s="9"/>
      <c r="J183" s="24"/>
      <c r="K183" s="25"/>
      <c r="L183" s="26"/>
    </row>
    <row r="184" spans="2:12" x14ac:dyDescent="0.25">
      <c r="B184" s="10" t="s">
        <v>9</v>
      </c>
      <c r="C184" s="11"/>
      <c r="D184" s="11" t="s">
        <v>14</v>
      </c>
      <c r="E184" s="11"/>
      <c r="F184" s="11"/>
      <c r="G184" s="11" t="s">
        <v>8</v>
      </c>
      <c r="H184" s="11"/>
      <c r="I184" s="9"/>
      <c r="J184" s="7"/>
      <c r="K184" s="8"/>
      <c r="L184" s="9"/>
    </row>
    <row r="185" spans="2:12" x14ac:dyDescent="0.25">
      <c r="B185" s="18">
        <v>0</v>
      </c>
      <c r="C185" s="19"/>
      <c r="D185" s="22">
        <f>88742.27+4374</f>
        <v>93116.27</v>
      </c>
      <c r="E185" s="19"/>
      <c r="F185" s="11"/>
      <c r="G185" s="22">
        <v>0</v>
      </c>
      <c r="H185" s="19"/>
      <c r="I185" s="9"/>
      <c r="J185" s="7"/>
      <c r="K185" s="8"/>
      <c r="L185" s="9"/>
    </row>
    <row r="186" spans="2:12" x14ac:dyDescent="0.25">
      <c r="B186" s="10" t="s">
        <v>12</v>
      </c>
      <c r="C186" s="11"/>
      <c r="D186" s="11"/>
      <c r="E186" s="11"/>
      <c r="F186" s="11"/>
      <c r="G186" s="11"/>
      <c r="H186" s="11"/>
      <c r="I186" s="9"/>
      <c r="J186" s="20">
        <f t="shared" ref="J186" si="17">G185+D185</f>
        <v>93116.27</v>
      </c>
      <c r="K186" s="19"/>
      <c r="L186" s="21"/>
    </row>
    <row r="187" spans="2:12" x14ac:dyDescent="0.25">
      <c r="B187" s="18">
        <v>0</v>
      </c>
      <c r="C187" s="19"/>
      <c r="D187" s="11"/>
      <c r="E187" s="11" t="s">
        <v>10</v>
      </c>
      <c r="F187" s="11"/>
      <c r="G187" s="11"/>
      <c r="H187" s="11"/>
      <c r="I187" s="9"/>
      <c r="J187" s="7"/>
      <c r="K187" s="8"/>
      <c r="L187" s="9"/>
    </row>
    <row r="188" spans="2:12" ht="15.75" thickBot="1" x14ac:dyDescent="0.3">
      <c r="B188" s="13"/>
      <c r="C188" s="14"/>
      <c r="D188" s="14"/>
      <c r="E188" s="14"/>
      <c r="F188" s="14"/>
      <c r="G188" s="17">
        <f>G185+D185+B183-B187+B185</f>
        <v>895846.07000000041</v>
      </c>
      <c r="H188" s="17"/>
      <c r="I188" s="12"/>
      <c r="J188" s="15"/>
      <c r="K188" s="16"/>
      <c r="L188" s="12"/>
    </row>
    <row r="189" spans="2:12" x14ac:dyDescent="0.25">
      <c r="B189" s="3" t="s">
        <v>4</v>
      </c>
      <c r="C189" s="5" t="s">
        <v>34</v>
      </c>
      <c r="D189" s="5"/>
      <c r="E189" s="5"/>
      <c r="F189" s="5"/>
      <c r="G189" s="5"/>
      <c r="H189" s="5"/>
      <c r="I189" s="6"/>
      <c r="J189" s="3"/>
      <c r="K189" s="5"/>
      <c r="L189" s="6"/>
    </row>
    <row r="190" spans="2:12" x14ac:dyDescent="0.25">
      <c r="B190" s="7"/>
      <c r="C190" s="8"/>
      <c r="D190" s="8"/>
      <c r="E190" s="8"/>
      <c r="F190" s="8"/>
      <c r="G190" s="8"/>
      <c r="H190" s="8"/>
      <c r="I190" s="9"/>
      <c r="J190" s="7"/>
      <c r="K190" s="8"/>
      <c r="L190" s="9"/>
    </row>
    <row r="191" spans="2:12" x14ac:dyDescent="0.25">
      <c r="B191" s="10" t="s">
        <v>5</v>
      </c>
      <c r="C191" s="11"/>
      <c r="D191" s="11" t="s">
        <v>6</v>
      </c>
      <c r="E191" s="11"/>
      <c r="F191" s="11"/>
      <c r="G191" s="11" t="s">
        <v>7</v>
      </c>
      <c r="H191" s="11"/>
      <c r="I191" s="9"/>
      <c r="J191" s="24" t="s">
        <v>22</v>
      </c>
      <c r="K191" s="25"/>
      <c r="L191" s="26"/>
    </row>
    <row r="192" spans="2:12" x14ac:dyDescent="0.25">
      <c r="B192" s="23">
        <f>G188</f>
        <v>895846.07000000041</v>
      </c>
      <c r="C192" s="19"/>
      <c r="D192" s="22">
        <v>2213073.21</v>
      </c>
      <c r="E192" s="19"/>
      <c r="F192" s="11"/>
      <c r="G192" s="22">
        <v>0</v>
      </c>
      <c r="H192" s="19"/>
      <c r="I192" s="9"/>
      <c r="J192" s="24"/>
      <c r="K192" s="25"/>
      <c r="L192" s="26"/>
    </row>
    <row r="193" spans="2:12" x14ac:dyDescent="0.25">
      <c r="B193" s="10" t="s">
        <v>9</v>
      </c>
      <c r="C193" s="11"/>
      <c r="D193" s="11" t="s">
        <v>14</v>
      </c>
      <c r="E193" s="11"/>
      <c r="F193" s="11"/>
      <c r="G193" s="11" t="s">
        <v>8</v>
      </c>
      <c r="H193" s="11"/>
      <c r="I193" s="9"/>
      <c r="J193" s="7"/>
      <c r="K193" s="8"/>
      <c r="L193" s="9"/>
    </row>
    <row r="194" spans="2:12" x14ac:dyDescent="0.25">
      <c r="B194" s="18">
        <v>2262.7199999999998</v>
      </c>
      <c r="C194" s="19"/>
      <c r="D194" s="22">
        <f>91621.23+2624</f>
        <v>94245.23</v>
      </c>
      <c r="E194" s="19"/>
      <c r="F194" s="11"/>
      <c r="G194" s="22">
        <v>0</v>
      </c>
      <c r="H194" s="19"/>
      <c r="I194" s="9"/>
      <c r="J194" s="7"/>
      <c r="K194" s="8"/>
      <c r="L194" s="9"/>
    </row>
    <row r="195" spans="2:12" x14ac:dyDescent="0.25">
      <c r="B195" s="10" t="s">
        <v>12</v>
      </c>
      <c r="C195" s="11"/>
      <c r="D195" s="11"/>
      <c r="E195" s="11"/>
      <c r="F195" s="11"/>
      <c r="G195" s="11"/>
      <c r="H195" s="11"/>
      <c r="I195" s="9"/>
      <c r="J195" s="20">
        <f t="shared" ref="J195" si="18">G194+D194</f>
        <v>94245.23</v>
      </c>
      <c r="K195" s="19"/>
      <c r="L195" s="21"/>
    </row>
    <row r="196" spans="2:12" x14ac:dyDescent="0.25">
      <c r="B196" s="18">
        <v>0</v>
      </c>
      <c r="C196" s="19"/>
      <c r="D196" s="11"/>
      <c r="E196" s="11" t="s">
        <v>10</v>
      </c>
      <c r="F196" s="11"/>
      <c r="G196" s="11"/>
      <c r="H196" s="11"/>
      <c r="I196" s="9"/>
      <c r="J196" s="7"/>
      <c r="K196" s="8"/>
      <c r="L196" s="9"/>
    </row>
    <row r="197" spans="2:12" ht="15.75" thickBot="1" x14ac:dyDescent="0.3">
      <c r="B197" s="13"/>
      <c r="C197" s="14"/>
      <c r="D197" s="14"/>
      <c r="E197" s="14"/>
      <c r="F197" s="14"/>
      <c r="G197" s="17">
        <f>G194+D194+B192-B196+B194</f>
        <v>992354.02000000037</v>
      </c>
      <c r="H197" s="17"/>
      <c r="I197" s="12"/>
      <c r="J197" s="15"/>
      <c r="K197" s="16"/>
      <c r="L197" s="12"/>
    </row>
  </sheetData>
  <mergeCells count="213">
    <mergeCell ref="B77:C77"/>
    <mergeCell ref="D77:E77"/>
    <mergeCell ref="G77:H77"/>
    <mergeCell ref="B79:C79"/>
    <mergeCell ref="G80:H80"/>
    <mergeCell ref="B84:C84"/>
    <mergeCell ref="D84:E84"/>
    <mergeCell ref="G84:H84"/>
    <mergeCell ref="B86:C86"/>
    <mergeCell ref="D86:E86"/>
    <mergeCell ref="G86:H86"/>
    <mergeCell ref="C4:G4"/>
    <mergeCell ref="D12:E12"/>
    <mergeCell ref="G12:H12"/>
    <mergeCell ref="D14:E14"/>
    <mergeCell ref="G14:H14"/>
    <mergeCell ref="B12:C12"/>
    <mergeCell ref="B13:C13"/>
    <mergeCell ref="B14:C14"/>
    <mergeCell ref="B75:C75"/>
    <mergeCell ref="D75:E75"/>
    <mergeCell ref="G75:H75"/>
    <mergeCell ref="B39:C39"/>
    <mergeCell ref="D39:E39"/>
    <mergeCell ref="G39:H39"/>
    <mergeCell ref="G17:H17"/>
    <mergeCell ref="B16:C16"/>
    <mergeCell ref="G26:H26"/>
    <mergeCell ref="B21:C21"/>
    <mergeCell ref="D21:E21"/>
    <mergeCell ref="G21:H21"/>
    <mergeCell ref="G23:H23"/>
    <mergeCell ref="D23:E23"/>
    <mergeCell ref="B23:C23"/>
    <mergeCell ref="B25:C25"/>
    <mergeCell ref="B30:C30"/>
    <mergeCell ref="D30:E30"/>
    <mergeCell ref="G30:H30"/>
    <mergeCell ref="B31:C31"/>
    <mergeCell ref="B32:C32"/>
    <mergeCell ref="D32:E32"/>
    <mergeCell ref="G32:H32"/>
    <mergeCell ref="B34:C34"/>
    <mergeCell ref="G35:H35"/>
    <mergeCell ref="D50:E50"/>
    <mergeCell ref="G50:H50"/>
    <mergeCell ref="B52:C52"/>
    <mergeCell ref="G53:H53"/>
    <mergeCell ref="B57:C57"/>
    <mergeCell ref="D57:E57"/>
    <mergeCell ref="G57:H57"/>
    <mergeCell ref="B41:C41"/>
    <mergeCell ref="D41:E41"/>
    <mergeCell ref="G41:H41"/>
    <mergeCell ref="J11:L12"/>
    <mergeCell ref="J15:L15"/>
    <mergeCell ref="J20:L21"/>
    <mergeCell ref="J24:L24"/>
    <mergeCell ref="J29:L30"/>
    <mergeCell ref="B70:C70"/>
    <mergeCell ref="G71:H71"/>
    <mergeCell ref="B61:C61"/>
    <mergeCell ref="G62:H62"/>
    <mergeCell ref="B66:C66"/>
    <mergeCell ref="D66:E66"/>
    <mergeCell ref="G66:H66"/>
    <mergeCell ref="B68:C68"/>
    <mergeCell ref="D68:E68"/>
    <mergeCell ref="G68:H68"/>
    <mergeCell ref="B59:C59"/>
    <mergeCell ref="D59:E59"/>
    <mergeCell ref="G59:H59"/>
    <mergeCell ref="B43:C43"/>
    <mergeCell ref="G44:H44"/>
    <mergeCell ref="B48:C48"/>
    <mergeCell ref="D48:E48"/>
    <mergeCell ref="G48:H48"/>
    <mergeCell ref="B50:C50"/>
    <mergeCell ref="J56:L57"/>
    <mergeCell ref="J60:L60"/>
    <mergeCell ref="J65:L66"/>
    <mergeCell ref="J69:L69"/>
    <mergeCell ref="J74:L75"/>
    <mergeCell ref="J33:L33"/>
    <mergeCell ref="J38:L39"/>
    <mergeCell ref="J42:L42"/>
    <mergeCell ref="J47:L48"/>
    <mergeCell ref="J51:L51"/>
    <mergeCell ref="B95:C95"/>
    <mergeCell ref="D95:E95"/>
    <mergeCell ref="G95:H95"/>
    <mergeCell ref="J96:L96"/>
    <mergeCell ref="B97:C97"/>
    <mergeCell ref="J78:L78"/>
    <mergeCell ref="J83:L84"/>
    <mergeCell ref="J87:L87"/>
    <mergeCell ref="J92:L93"/>
    <mergeCell ref="B93:C93"/>
    <mergeCell ref="D93:E93"/>
    <mergeCell ref="G93:H93"/>
    <mergeCell ref="B88:C88"/>
    <mergeCell ref="G89:H89"/>
    <mergeCell ref="B104:C104"/>
    <mergeCell ref="D104:E104"/>
    <mergeCell ref="G104:H104"/>
    <mergeCell ref="J105:L105"/>
    <mergeCell ref="B106:C106"/>
    <mergeCell ref="G98:H98"/>
    <mergeCell ref="J101:L102"/>
    <mergeCell ref="B102:C102"/>
    <mergeCell ref="D102:E102"/>
    <mergeCell ref="G102:H102"/>
    <mergeCell ref="B113:C113"/>
    <mergeCell ref="D113:E113"/>
    <mergeCell ref="G113:H113"/>
    <mergeCell ref="J114:L114"/>
    <mergeCell ref="B115:C115"/>
    <mergeCell ref="G107:H107"/>
    <mergeCell ref="J110:L111"/>
    <mergeCell ref="B111:C111"/>
    <mergeCell ref="D111:E111"/>
    <mergeCell ref="G111:H111"/>
    <mergeCell ref="B122:C122"/>
    <mergeCell ref="D122:E122"/>
    <mergeCell ref="G122:H122"/>
    <mergeCell ref="J123:L123"/>
    <mergeCell ref="B124:C124"/>
    <mergeCell ref="G116:H116"/>
    <mergeCell ref="J119:L120"/>
    <mergeCell ref="B120:C120"/>
    <mergeCell ref="D120:E120"/>
    <mergeCell ref="G120:H120"/>
    <mergeCell ref="B131:C131"/>
    <mergeCell ref="D131:E131"/>
    <mergeCell ref="G131:H131"/>
    <mergeCell ref="J132:L132"/>
    <mergeCell ref="B133:C133"/>
    <mergeCell ref="G125:H125"/>
    <mergeCell ref="J128:L129"/>
    <mergeCell ref="B129:C129"/>
    <mergeCell ref="D129:E129"/>
    <mergeCell ref="G129:H129"/>
    <mergeCell ref="B140:C140"/>
    <mergeCell ref="D140:E140"/>
    <mergeCell ref="G140:H140"/>
    <mergeCell ref="J141:L141"/>
    <mergeCell ref="B142:C142"/>
    <mergeCell ref="G134:H134"/>
    <mergeCell ref="J137:L138"/>
    <mergeCell ref="B138:C138"/>
    <mergeCell ref="D138:E138"/>
    <mergeCell ref="G138:H138"/>
    <mergeCell ref="B149:C149"/>
    <mergeCell ref="D149:E149"/>
    <mergeCell ref="G149:H149"/>
    <mergeCell ref="J150:L150"/>
    <mergeCell ref="B151:C151"/>
    <mergeCell ref="G143:H143"/>
    <mergeCell ref="J146:L147"/>
    <mergeCell ref="B147:C147"/>
    <mergeCell ref="D147:E147"/>
    <mergeCell ref="G147:H147"/>
    <mergeCell ref="J164:L165"/>
    <mergeCell ref="B165:C165"/>
    <mergeCell ref="D165:E165"/>
    <mergeCell ref="G165:H165"/>
    <mergeCell ref="B167:C167"/>
    <mergeCell ref="D167:E167"/>
    <mergeCell ref="G167:H167"/>
    <mergeCell ref="G152:H152"/>
    <mergeCell ref="G161:H161"/>
    <mergeCell ref="B160:C160"/>
    <mergeCell ref="J159:L159"/>
    <mergeCell ref="G158:H158"/>
    <mergeCell ref="D158:E158"/>
    <mergeCell ref="B158:C158"/>
    <mergeCell ref="G156:H156"/>
    <mergeCell ref="D156:E156"/>
    <mergeCell ref="B156:C156"/>
    <mergeCell ref="J155:L156"/>
    <mergeCell ref="B176:C176"/>
    <mergeCell ref="D176:E176"/>
    <mergeCell ref="G176:H176"/>
    <mergeCell ref="J177:L177"/>
    <mergeCell ref="B178:C178"/>
    <mergeCell ref="J168:L168"/>
    <mergeCell ref="B169:C169"/>
    <mergeCell ref="G170:H170"/>
    <mergeCell ref="J173:L174"/>
    <mergeCell ref="B174:C174"/>
    <mergeCell ref="D174:E174"/>
    <mergeCell ref="G174:H174"/>
    <mergeCell ref="B185:C185"/>
    <mergeCell ref="D185:E185"/>
    <mergeCell ref="G185:H185"/>
    <mergeCell ref="J186:L186"/>
    <mergeCell ref="B187:C187"/>
    <mergeCell ref="G179:H179"/>
    <mergeCell ref="J182:L183"/>
    <mergeCell ref="B183:C183"/>
    <mergeCell ref="D183:E183"/>
    <mergeCell ref="G183:H183"/>
    <mergeCell ref="G188:H188"/>
    <mergeCell ref="G197:H197"/>
    <mergeCell ref="B196:C196"/>
    <mergeCell ref="J195:L195"/>
    <mergeCell ref="G194:H194"/>
    <mergeCell ref="D194:E194"/>
    <mergeCell ref="B194:C194"/>
    <mergeCell ref="G192:H192"/>
    <mergeCell ref="D192:E192"/>
    <mergeCell ref="B192:C192"/>
    <mergeCell ref="J191:L192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2025-01-16T13:36:07Z</cp:lastPrinted>
  <dcterms:created xsi:type="dcterms:W3CDTF">2025-01-15T02:00:18Z</dcterms:created>
  <dcterms:modified xsi:type="dcterms:W3CDTF">2025-01-16T13:36:56Z</dcterms:modified>
</cp:coreProperties>
</file>