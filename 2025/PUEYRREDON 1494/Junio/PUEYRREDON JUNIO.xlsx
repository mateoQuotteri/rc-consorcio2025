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UEYRREDON 1494\Junio\"/>
    </mc:Choice>
  </mc:AlternateContent>
  <xr:revisionPtr revIDLastSave="0" documentId="13_ncr:1_{727C1377-427C-4D1F-B5C0-18B587D2FCCE}" xr6:coauthVersionLast="47" xr6:coauthVersionMax="47" xr10:uidLastSave="{00000000-0000-0000-0000-000000000000}"/>
  <bookViews>
    <workbookView xWindow="-120" yWindow="-120" windowWidth="20730" windowHeight="11160" tabRatio="793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PRORRATEO!$A$1:$P$34</definedName>
    <definedName name="_xlnm.Print_Area" localSheetId="0">RESUMEN!$A$1:$E$112</definedName>
  </definedNames>
  <calcPr calcId="181029"/>
</workbook>
</file>

<file path=xl/calcChain.xml><?xml version="1.0" encoding="utf-8"?>
<calcChain xmlns="http://schemas.openxmlformats.org/spreadsheetml/2006/main">
  <c r="H20" i="2" l="1"/>
  <c r="O2" i="2"/>
  <c r="O3" i="2"/>
  <c r="H10" i="2"/>
  <c r="H8" i="2"/>
  <c r="H13" i="2"/>
  <c r="H11" i="2"/>
  <c r="D30" i="1"/>
  <c r="E31" i="1" s="1"/>
  <c r="H6" i="2" l="1"/>
  <c r="J6" i="2" s="1"/>
  <c r="L6" i="2"/>
  <c r="M6" i="2"/>
  <c r="Q6" i="2"/>
  <c r="J7" i="2"/>
  <c r="K7" i="2" s="1"/>
  <c r="L7" i="2"/>
  <c r="M7" i="2"/>
  <c r="Q7" i="2"/>
  <c r="J8" i="2"/>
  <c r="K8" i="2" s="1"/>
  <c r="L8" i="2"/>
  <c r="M8" i="2"/>
  <c r="Q8" i="2"/>
  <c r="J9" i="2"/>
  <c r="K9" i="2" s="1"/>
  <c r="L9" i="2"/>
  <c r="M9" i="2"/>
  <c r="Q9" i="2"/>
  <c r="J10" i="2"/>
  <c r="K10" i="2" s="1"/>
  <c r="L10" i="2"/>
  <c r="M10" i="2"/>
  <c r="Q10" i="2"/>
  <c r="J11" i="2"/>
  <c r="K11" i="2" s="1"/>
  <c r="L11" i="2"/>
  <c r="M11" i="2"/>
  <c r="Q11" i="2"/>
  <c r="J12" i="2"/>
  <c r="L12" i="2"/>
  <c r="M12" i="2"/>
  <c r="Q12" i="2"/>
  <c r="J13" i="2"/>
  <c r="K13" i="2" s="1"/>
  <c r="L13" i="2"/>
  <c r="M13" i="2"/>
  <c r="Q13" i="2"/>
  <c r="J14" i="2"/>
  <c r="K14" i="2" s="1"/>
  <c r="L14" i="2"/>
  <c r="M14" i="2"/>
  <c r="Q14" i="2"/>
  <c r="J15" i="2"/>
  <c r="K15" i="2" s="1"/>
  <c r="L15" i="2"/>
  <c r="M15" i="2"/>
  <c r="Q15" i="2"/>
  <c r="H16" i="2"/>
  <c r="J16" i="2"/>
  <c r="K16" i="2"/>
  <c r="L16" i="2"/>
  <c r="M16" i="2"/>
  <c r="Q16" i="2"/>
  <c r="J17" i="2"/>
  <c r="K17" i="2" s="1"/>
  <c r="L17" i="2"/>
  <c r="M17" i="2"/>
  <c r="Q17" i="2"/>
  <c r="J18" i="2"/>
  <c r="K18" i="2" s="1"/>
  <c r="L18" i="2"/>
  <c r="M18" i="2"/>
  <c r="Q18" i="2"/>
  <c r="J19" i="2"/>
  <c r="K19" i="2" s="1"/>
  <c r="L19" i="2"/>
  <c r="M19" i="2"/>
  <c r="Q19" i="2"/>
  <c r="J20" i="2"/>
  <c r="K20" i="2" s="1"/>
  <c r="L20" i="2"/>
  <c r="M20" i="2"/>
  <c r="Q20" i="2"/>
  <c r="J21" i="2"/>
  <c r="L21" i="2"/>
  <c r="M21" i="2"/>
  <c r="Q21" i="2"/>
  <c r="H22" i="2"/>
  <c r="J22" i="2"/>
  <c r="K22" i="2"/>
  <c r="L22" i="2"/>
  <c r="M22" i="2"/>
  <c r="Q22" i="2"/>
  <c r="H23" i="2"/>
  <c r="J23" i="2"/>
  <c r="K23" i="2"/>
  <c r="L23" i="2"/>
  <c r="M23" i="2"/>
  <c r="Q23" i="2"/>
  <c r="H24" i="2"/>
  <c r="J24" i="2"/>
  <c r="K24" i="2" s="1"/>
  <c r="L24" i="2"/>
  <c r="M24" i="2"/>
  <c r="Q24" i="2"/>
  <c r="N23" i="2" l="1"/>
  <c r="P23" i="2" s="1"/>
  <c r="N20" i="2"/>
  <c r="P20" i="2" s="1"/>
  <c r="N19" i="2"/>
  <c r="P19" i="2" s="1"/>
  <c r="N18" i="2"/>
  <c r="P18" i="2" s="1"/>
  <c r="N16" i="2"/>
  <c r="O16" i="2" s="1"/>
  <c r="N15" i="2"/>
  <c r="O15" i="2" s="1"/>
  <c r="N13" i="2"/>
  <c r="P13" i="2" s="1"/>
  <c r="N11" i="2"/>
  <c r="P11" i="2" s="1"/>
  <c r="N10" i="2"/>
  <c r="O10" i="2" s="1"/>
  <c r="N7" i="2"/>
  <c r="P7" i="2" s="1"/>
  <c r="N14" i="2"/>
  <c r="P14" i="2" s="1"/>
  <c r="N24" i="2"/>
  <c r="O24" i="2" s="1"/>
  <c r="N22" i="2"/>
  <c r="O22" i="2" s="1"/>
  <c r="P22" i="2"/>
  <c r="K12" i="2"/>
  <c r="N12" i="2" s="1"/>
  <c r="O11" i="2"/>
  <c r="K21" i="2"/>
  <c r="N21" i="2" s="1"/>
  <c r="O20" i="2"/>
  <c r="O19" i="2"/>
  <c r="O18" i="2"/>
  <c r="P16" i="2"/>
  <c r="O14" i="2"/>
  <c r="K6" i="2"/>
  <c r="N6" i="2"/>
  <c r="N17" i="2"/>
  <c r="N8" i="2"/>
  <c r="N9" i="2"/>
  <c r="O13" i="2" l="1"/>
  <c r="O7" i="2"/>
  <c r="O23" i="2"/>
  <c r="P15" i="2"/>
  <c r="P10" i="2"/>
  <c r="P24" i="2"/>
  <c r="P12" i="2"/>
  <c r="O12" i="2"/>
  <c r="P21" i="2"/>
  <c r="O21" i="2"/>
  <c r="P6" i="2"/>
  <c r="O6" i="2"/>
  <c r="O9" i="2"/>
  <c r="P9" i="2"/>
  <c r="O8" i="2"/>
  <c r="P8" i="2"/>
  <c r="O17" i="2"/>
  <c r="P17" i="2"/>
  <c r="I25" i="2" l="1"/>
  <c r="G25" i="2"/>
  <c r="F25" i="2"/>
  <c r="O5" i="2"/>
  <c r="D2" i="2"/>
  <c r="B111" i="1"/>
  <c r="B92" i="1" s="1"/>
  <c r="B104" i="1"/>
  <c r="E71" i="1"/>
  <c r="E75" i="1" s="1"/>
  <c r="E60" i="1"/>
  <c r="E56" i="1"/>
  <c r="E53" i="1"/>
  <c r="E45" i="1"/>
  <c r="E43" i="1"/>
  <c r="E44" i="1" s="1"/>
  <c r="A43" i="1"/>
  <c r="A44" i="1" s="1"/>
  <c r="E39" i="1"/>
  <c r="E35" i="1"/>
  <c r="D27" i="1"/>
  <c r="H25" i="2" l="1"/>
  <c r="B89" i="1" s="1"/>
  <c r="B79" i="1"/>
  <c r="B94" i="1" s="1"/>
  <c r="B80" i="1"/>
  <c r="E64" i="1"/>
  <c r="L25" i="2"/>
  <c r="M25" i="2" l="1"/>
  <c r="J25" i="2"/>
  <c r="K25" i="2"/>
  <c r="B78" i="1"/>
  <c r="B93" i="1" s="1"/>
  <c r="B95" i="1" s="1"/>
  <c r="B77" i="1"/>
  <c r="O25" i="2" l="1"/>
  <c r="P25" i="2"/>
</calcChain>
</file>

<file path=xl/sharedStrings.xml><?xml version="1.0" encoding="utf-8"?>
<sst xmlns="http://schemas.openxmlformats.org/spreadsheetml/2006/main" count="184" uniqueCount="166">
  <si>
    <t>MAIL: consorciopueyrredon1494@gmail.com</t>
  </si>
  <si>
    <t>CUIT ADMINISTRACION: 27231256879</t>
  </si>
  <si>
    <t>CBU 2990024602400048530006</t>
  </si>
  <si>
    <t>TELEFONO: 11 5320-2676</t>
  </si>
  <si>
    <t>LIQUIDACION DE EXPENSAS</t>
  </si>
  <si>
    <t>ADMINISTRADORA: CAROLINA CANCIANI MP:1148</t>
  </si>
  <si>
    <t>CUIT DEL EDIFICIO: 30-68041540-0</t>
  </si>
  <si>
    <t>HORARIOS DE ATENCION: LUNES A VIERNES</t>
  </si>
  <si>
    <t>CONSORCIO DE COPROPIETARIOS PUEYRREDON 1494</t>
  </si>
  <si>
    <t>VTO 14/07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</si>
  <si>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</t>
  </si>
  <si>
    <t>GASTOS ORDINARIOS UNIDADES FUNCIONALES:</t>
  </si>
  <si>
    <t>HABERES ENCARGADOS</t>
  </si>
  <si>
    <t xml:space="preserve">Ayala Mirta Encargada </t>
  </si>
  <si>
    <t xml:space="preserve">Retenciones </t>
  </si>
  <si>
    <t>Redondeo</t>
  </si>
  <si>
    <t>Neto</t>
  </si>
  <si>
    <t>TOTAL SUELDO</t>
  </si>
  <si>
    <t>HONORARIOS</t>
  </si>
  <si>
    <t>Marcela Di Biase- Sra. Contadora</t>
  </si>
  <si>
    <t>HONORARIOS administracion RC</t>
  </si>
  <si>
    <t>Mes de MAYO</t>
  </si>
  <si>
    <t xml:space="preserve">TOTAL </t>
  </si>
  <si>
    <t xml:space="preserve">SEGUROS </t>
  </si>
  <si>
    <t>Seguro Mercantil Andina - Poliza Nro. 001183277</t>
  </si>
  <si>
    <t xml:space="preserve">Seguro Vida colectivo personal de limpieza </t>
  </si>
  <si>
    <t>TOTAL IMPUESTO</t>
  </si>
  <si>
    <t>APORTES Y CONTRIBUCIONES</t>
  </si>
  <si>
    <t xml:space="preserve">ARCA </t>
  </si>
  <si>
    <t>Suther</t>
  </si>
  <si>
    <t>Fathery</t>
  </si>
  <si>
    <t>Seracarh</t>
  </si>
  <si>
    <t>TOTAL Aportes y Contribuciones - Sindicato</t>
  </si>
  <si>
    <t>ABONOS Y SERVICIOS</t>
  </si>
  <si>
    <t xml:space="preserve">Edesur </t>
  </si>
  <si>
    <t>Metrogas</t>
  </si>
  <si>
    <t>TOTAL ABONOS Y SERVICIOS</t>
  </si>
  <si>
    <t>GASTOS GENERALES / MANTENIMIENTO</t>
  </si>
  <si>
    <t>TOTAL</t>
  </si>
  <si>
    <t>GASTOS BANCARIOS</t>
  </si>
  <si>
    <t>COMISION POR CUENTA</t>
  </si>
  <si>
    <t>PREVISION ORDINARIA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</si>
  <si>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</si>
  <si>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</si>
  <si>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</si>
  <si>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</si>
  <si>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</si>
  <si>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</si>
  <si>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</si>
  <si>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</si>
  <si>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</si>
  <si>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anterior</t>
  </si>
  <si>
    <t>Ingreso</t>
  </si>
  <si>
    <t>Depisitos ya identificados</t>
  </si>
  <si>
    <t>Punitorios mal cobrados de depositos identificados</t>
  </si>
  <si>
    <t xml:space="preserve">Deposito sin identificar </t>
  </si>
  <si>
    <t>Egresos Ordinarios</t>
  </si>
  <si>
    <t>Egresos Extraordinarios</t>
  </si>
  <si>
    <t>RESUMEN CAJA</t>
  </si>
  <si>
    <t>Ingresos</t>
  </si>
  <si>
    <t>Saldo final</t>
  </si>
  <si>
    <t>DEPOSITOS NO IDENTIFICADOS</t>
  </si>
  <si>
    <t>Formas de Pago:</t>
  </si>
  <si>
    <t>Las expensas deberán abonarse en el Banco Comafi. Cuenta Corriente en pesos.</t>
  </si>
  <si>
    <t>Gastos Ordinarios:</t>
  </si>
  <si>
    <t>Efectivo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</si>
  <si>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</si>
  <si>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</si>
  <si>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</si>
  <si>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</si>
  <si>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</si>
  <si>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</si>
  <si>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</si>
  <si>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>Saldo Ord</t>
  </si>
  <si>
    <t xml:space="preserve">Ingreso </t>
  </si>
  <si>
    <t>Pago por</t>
  </si>
  <si>
    <t>Deuda o Saldo a favor</t>
  </si>
  <si>
    <t>Interes</t>
  </si>
  <si>
    <t>Expensas extraor.</t>
  </si>
  <si>
    <t>Expensas ord.</t>
  </si>
  <si>
    <t>TOTAL DE EXPENSAS, INTERESES, DEUDA, EXTRAORDINARIAS, ETC</t>
  </si>
  <si>
    <t>Total 1er Vto</t>
  </si>
  <si>
    <t>Total 2do Vto</t>
  </si>
  <si>
    <t>PB</t>
  </si>
  <si>
    <t>L.1º PB</t>
  </si>
  <si>
    <t>Hakim Faks, G. y S.</t>
  </si>
  <si>
    <t>Pablo gonzalez</t>
  </si>
  <si>
    <t>3º</t>
  </si>
  <si>
    <t>L.2º PB</t>
  </si>
  <si>
    <t>Lloret Maria Ines.</t>
  </si>
  <si>
    <t>Daniela Ferino</t>
  </si>
  <si>
    <t>L.3º PB</t>
  </si>
  <si>
    <t>Abbatángelo Marta.</t>
  </si>
  <si>
    <t>Malandra Natalia</t>
  </si>
  <si>
    <t>4º</t>
  </si>
  <si>
    <t>L.4º PB</t>
  </si>
  <si>
    <t>Noemí Espósito</t>
  </si>
  <si>
    <t>Ezequiel Oscar Jose</t>
  </si>
  <si>
    <t>L.5º PB</t>
  </si>
  <si>
    <t>Spotorno Osvaldo.</t>
  </si>
  <si>
    <t>Gonzalez Castillo Giglio</t>
  </si>
  <si>
    <t>5º</t>
  </si>
  <si>
    <t>L.6º PB</t>
  </si>
  <si>
    <t>Rivas Noemí</t>
  </si>
  <si>
    <t>L.7º PB</t>
  </si>
  <si>
    <t>Cecilia Nizzero</t>
  </si>
  <si>
    <t>Roxana Mazze</t>
  </si>
  <si>
    <t>6º</t>
  </si>
  <si>
    <t>1ºA</t>
  </si>
  <si>
    <t>Patanella Miguel</t>
  </si>
  <si>
    <t>Britez Nicolas</t>
  </si>
  <si>
    <t>El dueño es sanabria</t>
  </si>
  <si>
    <t>1ºB</t>
  </si>
  <si>
    <t>Iglesias Norma</t>
  </si>
  <si>
    <t>Gonzalo Emanuel Gonzalez</t>
  </si>
  <si>
    <t>7º</t>
  </si>
  <si>
    <t>1ºC</t>
  </si>
  <si>
    <t>Verdejo Graciela</t>
  </si>
  <si>
    <t>2ºA</t>
  </si>
  <si>
    <t>Moltoni Yolanda M.</t>
  </si>
  <si>
    <t>Maria Eugenia Mauturano</t>
  </si>
  <si>
    <t>8º</t>
  </si>
  <si>
    <t>2ºB</t>
  </si>
  <si>
    <t>Ben Ada</t>
  </si>
  <si>
    <t>2ºC</t>
  </si>
  <si>
    <t>Marin Carlos</t>
  </si>
  <si>
    <t>Nahuel Cattani</t>
  </si>
  <si>
    <t>9º</t>
  </si>
  <si>
    <t>3ºA</t>
  </si>
  <si>
    <t>3ºB</t>
  </si>
  <si>
    <t>Santoro Miguél Angel</t>
  </si>
  <si>
    <t>Valeria</t>
  </si>
  <si>
    <t>10º</t>
  </si>
  <si>
    <t>3ºC</t>
  </si>
  <si>
    <t>Salman, Yasmin</t>
  </si>
  <si>
    <t>4ºA</t>
  </si>
  <si>
    <t>Ortalli Laura</t>
  </si>
  <si>
    <t>Martin Bonjour</t>
  </si>
  <si>
    <t>11º</t>
  </si>
  <si>
    <t>4ºB</t>
  </si>
  <si>
    <t>Ricciardi Nicolás</t>
  </si>
  <si>
    <t>4ºC</t>
  </si>
  <si>
    <t>Freijedo Gonzalo</t>
  </si>
  <si>
    <t>Raton mariela es la mujer</t>
  </si>
  <si>
    <t>Las expensas deberán abonarse en el Banco Comafi. Cuenta Corriente en pesos.                                                                                                                                                               Número 0240-00485/3 CUIT: 30-68041540-0 a nombre del Con. De Prop. C Pueyrredon 1494 - CBU 2990024602400048530006</t>
  </si>
  <si>
    <t>PERÍODO: JUNIO</t>
  </si>
  <si>
    <t>Mes de JUNIO</t>
  </si>
  <si>
    <t>Sindicatos mes de JUNIO</t>
  </si>
  <si>
    <t>Mantenimiento Ascensores - Mes de JUNIO</t>
  </si>
  <si>
    <t>Articulos de limpieza</t>
  </si>
  <si>
    <t>Tanque cuota 2 de 3 limpieza, recapeo, cambio de tapas</t>
  </si>
  <si>
    <t>Limpieza marquesina</t>
  </si>
  <si>
    <t>Efect 12/06</t>
  </si>
  <si>
    <t>Debito 04/06</t>
  </si>
  <si>
    <t>Transf 30/06</t>
  </si>
  <si>
    <t>Debito 12/06</t>
  </si>
  <si>
    <t>PMC 10/06</t>
  </si>
  <si>
    <t>Transf 11/06</t>
  </si>
  <si>
    <t xml:space="preserve">Seguro de vida </t>
  </si>
  <si>
    <t>Reemplazo Vacaciones Mirtha - Sra. Gisela</t>
  </si>
  <si>
    <t>PMC 07/06</t>
  </si>
  <si>
    <t>METROGAS LO VENIMOS DIBUJANDO HACE 1 MES - HAY QUE ARREGLARLO</t>
  </si>
  <si>
    <t>DEBEMOS MANTENIMIENTO DE ASCENSORES JUN</t>
  </si>
  <si>
    <t xml:space="preserve">4/9 arreglo terraza Sr. Luis (Total a abonar $1.250.000) </t>
  </si>
  <si>
    <t>DEPOSITA SIEMPRE VALERIA</t>
  </si>
  <si>
    <t>el mes pasado valeria hizo tres depositos (uno de 118mil, otro de 5mil y un ultimo de 10mil) de los cuales nosotros si bien se los pusimos, le escribimos mal el ultimo, en lugar de haberle puesto que hizo un deposito de 118mil, de 5mil y de 10 mil le pusimos de 118mil de 5mil y de mil, por lo que no debe tener deuda alguna, es mas, el mes anterior si le hubiesemos imputado bien los pagos le hubiesen quedado 171 pesos a favor)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</si>
</sst>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.00;[Red]\-&quot;$&quot;\ #,##0.00"/>
    <numFmt numFmtId="165" formatCode="_ &quot;$&quot;\ * #,##0.00_ ;_ &quot;$&quot;\ * \-#,##0.00_ ;_ &quot;$&quot;\ * &quot;-&quot;??_ ;_ @_ 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&quot;Bs&quot;#,##0.00"/>
    <numFmt numFmtId="169" formatCode="_-[$$-2C0A]\ * #,##0.00_-;\-[$$-2C0A]\ * #,##0.00_-;_-[$$-2C0A]\ * &quot;-&quot;??_-;_-@_-"/>
    <numFmt numFmtId="170" formatCode="_-&quot;$&quot;\ * #,##0.0_-;\-&quot;$&quot;\ * #,##0.0_-;_-&quot;$&quot;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6" fontId="1" fillId="0" borderId="0"/>
    <xf numFmtId="165" fontId="1" fillId="0" borderId="0"/>
    <xf numFmtId="43" fontId="1" fillId="0" borderId="0"/>
  </cellStyleXfs>
  <cellXfs count="184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0" fontId="5" fillId="6" borderId="0" xfId="0" applyFont="1" applyFill="1"/>
    <xf numFmtId="165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5" fontId="0" fillId="0" borderId="0" xfId="0" applyNumberFormat="1"/>
    <xf numFmtId="0" fontId="2" fillId="4" borderId="1" xfId="0" applyFont="1" applyFill="1" applyBorder="1"/>
    <xf numFmtId="0" fontId="0" fillId="4" borderId="1" xfId="0" applyFill="1" applyBorder="1"/>
    <xf numFmtId="43" fontId="0" fillId="3" borderId="0" xfId="3" applyFont="1" applyFill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9" fillId="6" borderId="1" xfId="0" applyFont="1" applyFill="1" applyBorder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166" fontId="0" fillId="0" borderId="1" xfId="1" applyFont="1" applyBorder="1"/>
    <xf numFmtId="166" fontId="4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6" fontId="6" fillId="2" borderId="1" xfId="1" applyFont="1" applyFill="1" applyBorder="1"/>
    <xf numFmtId="166" fontId="3" fillId="2" borderId="1" xfId="1" applyFont="1" applyFill="1" applyBorder="1"/>
    <xf numFmtId="166" fontId="0" fillId="0" borderId="0" xfId="1" applyFont="1"/>
    <xf numFmtId="166" fontId="3" fillId="0" borderId="0" xfId="1" applyFont="1"/>
    <xf numFmtId="0" fontId="8" fillId="2" borderId="0" xfId="0" applyFont="1" applyFill="1"/>
    <xf numFmtId="166" fontId="0" fillId="0" borderId="0" xfId="0" applyNumberFormat="1"/>
    <xf numFmtId="0" fontId="9" fillId="6" borderId="0" xfId="0" applyFont="1" applyFill="1"/>
    <xf numFmtId="166" fontId="9" fillId="6" borderId="0" xfId="1" applyFont="1" applyFill="1"/>
    <xf numFmtId="166" fontId="0" fillId="0" borderId="0" xfId="0" applyNumberFormat="1" applyAlignment="1">
      <alignment wrapText="1"/>
    </xf>
    <xf numFmtId="166" fontId="14" fillId="2" borderId="1" xfId="1" applyFont="1" applyFill="1" applyBorder="1"/>
    <xf numFmtId="166" fontId="15" fillId="0" borderId="1" xfId="1" applyFont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166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20" fillId="11" borderId="1" xfId="0" applyFont="1" applyFill="1" applyBorder="1"/>
    <xf numFmtId="166" fontId="0" fillId="4" borderId="0" xfId="1" applyFont="1" applyFill="1"/>
    <xf numFmtId="0" fontId="17" fillId="3" borderId="20" xfId="0" applyFont="1" applyFill="1" applyBorder="1" applyAlignment="1">
      <alignment horizontal="center" vertical="center" wrapText="1"/>
    </xf>
    <xf numFmtId="167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166" fontId="10" fillId="4" borderId="1" xfId="1" applyFont="1" applyFill="1" applyBorder="1"/>
    <xf numFmtId="166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166" fontId="21" fillId="0" borderId="1" xfId="1" applyFont="1" applyBorder="1"/>
    <xf numFmtId="166" fontId="21" fillId="2" borderId="1" xfId="1" applyFont="1" applyFill="1" applyBorder="1"/>
    <xf numFmtId="167" fontId="21" fillId="2" borderId="1" xfId="1" applyNumberFormat="1" applyFont="1" applyFill="1" applyBorder="1"/>
    <xf numFmtId="167" fontId="16" fillId="0" borderId="1" xfId="0" applyNumberFormat="1" applyFont="1" applyBorder="1"/>
    <xf numFmtId="167" fontId="16" fillId="0" borderId="1" xfId="1" applyNumberFormat="1" applyFont="1" applyBorder="1"/>
    <xf numFmtId="0" fontId="16" fillId="10" borderId="21" xfId="0" applyFont="1" applyFill="1" applyBorder="1"/>
    <xf numFmtId="0" fontId="16" fillId="4" borderId="25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166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6" fillId="7" borderId="9" xfId="0" applyFont="1" applyFill="1" applyBorder="1"/>
    <xf numFmtId="166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164" fontId="10" fillId="4" borderId="21" xfId="1" applyNumberFormat="1" applyFont="1" applyFill="1" applyBorder="1"/>
    <xf numFmtId="166" fontId="22" fillId="4" borderId="3" xfId="1" applyFont="1" applyFill="1" applyBorder="1"/>
    <xf numFmtId="166" fontId="23" fillId="0" borderId="3" xfId="1" applyFont="1" applyBorder="1"/>
    <xf numFmtId="164" fontId="10" fillId="4" borderId="13" xfId="1" applyNumberFormat="1" applyFont="1" applyFill="1" applyBorder="1"/>
    <xf numFmtId="166" fontId="10" fillId="4" borderId="21" xfId="1" applyFont="1" applyFill="1" applyBorder="1"/>
    <xf numFmtId="166" fontId="23" fillId="4" borderId="3" xfId="1" applyFont="1" applyFill="1" applyBorder="1"/>
    <xf numFmtId="166" fontId="23" fillId="0" borderId="1" xfId="1" applyFont="1" applyBorder="1"/>
    <xf numFmtId="166" fontId="10" fillId="4" borderId="13" xfId="1" applyFont="1" applyFill="1" applyBorder="1"/>
    <xf numFmtId="0" fontId="23" fillId="2" borderId="1" xfId="1" applyNumberFormat="1" applyFont="1" applyFill="1" applyBorder="1" applyAlignment="1">
      <alignment horizontal="left"/>
    </xf>
    <xf numFmtId="166" fontId="23" fillId="2" borderId="1" xfId="1" applyFont="1" applyFill="1" applyBorder="1"/>
    <xf numFmtId="166" fontId="10" fillId="4" borderId="2" xfId="1" applyFont="1" applyFill="1" applyBorder="1"/>
    <xf numFmtId="166" fontId="23" fillId="2" borderId="3" xfId="1" applyFont="1" applyFill="1" applyBorder="1"/>
    <xf numFmtId="164" fontId="7" fillId="4" borderId="22" xfId="0" applyNumberFormat="1" applyFont="1" applyFill="1" applyBorder="1"/>
    <xf numFmtId="0" fontId="23" fillId="0" borderId="4" xfId="0" applyFont="1" applyBorder="1"/>
    <xf numFmtId="0" fontId="7" fillId="8" borderId="6" xfId="0" applyFont="1" applyFill="1" applyBorder="1"/>
    <xf numFmtId="166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166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0" fillId="2" borderId="0" xfId="0" applyFill="1"/>
    <xf numFmtId="166" fontId="9" fillId="6" borderId="0" xfId="0" applyNumberFormat="1" applyFont="1" applyFill="1"/>
    <xf numFmtId="166" fontId="23" fillId="2" borderId="1" xfId="1" applyFont="1" applyFill="1" applyBorder="1" applyAlignment="1">
      <alignment wrapText="1"/>
    </xf>
    <xf numFmtId="0" fontId="23" fillId="2" borderId="1" xfId="0" applyFont="1" applyFill="1" applyBorder="1"/>
    <xf numFmtId="0" fontId="23" fillId="2" borderId="1" xfId="1" applyNumberFormat="1" applyFont="1" applyFill="1" applyBorder="1"/>
    <xf numFmtId="0" fontId="23" fillId="2" borderId="2" xfId="1" applyNumberFormat="1" applyFont="1" applyFill="1" applyBorder="1"/>
    <xf numFmtId="166" fontId="7" fillId="0" borderId="1" xfId="1" applyFont="1" applyBorder="1"/>
    <xf numFmtId="166" fontId="2" fillId="0" borderId="1" xfId="1" applyFont="1" applyBorder="1"/>
    <xf numFmtId="43" fontId="0" fillId="0" borderId="0" xfId="0" applyNumberFormat="1"/>
    <xf numFmtId="166" fontId="24" fillId="8" borderId="23" xfId="1" applyFont="1" applyFill="1" applyBorder="1" applyAlignment="1">
      <alignment vertical="center"/>
    </xf>
    <xf numFmtId="167" fontId="16" fillId="0" borderId="7" xfId="1" applyNumberFormat="1" applyFont="1" applyBorder="1"/>
    <xf numFmtId="167" fontId="16" fillId="4" borderId="21" xfId="0" applyNumberFormat="1" applyFont="1" applyFill="1" applyBorder="1"/>
    <xf numFmtId="168" fontId="23" fillId="0" borderId="24" xfId="1" applyNumberFormat="1" applyFont="1" applyBorder="1" applyAlignment="1">
      <alignment horizontal="right"/>
    </xf>
    <xf numFmtId="0" fontId="6" fillId="0" borderId="1" xfId="0" applyFont="1" applyBorder="1" applyAlignment="1">
      <alignment wrapText="1"/>
    </xf>
    <xf numFmtId="167" fontId="16" fillId="2" borderId="1" xfId="0" applyNumberFormat="1" applyFont="1" applyFill="1" applyBorder="1"/>
    <xf numFmtId="4" fontId="23" fillId="0" borderId="24" xfId="1" applyNumberFormat="1" applyFont="1" applyBorder="1" applyAlignment="1">
      <alignment horizontal="right"/>
    </xf>
    <xf numFmtId="169" fontId="23" fillId="0" borderId="26" xfId="1" applyNumberFormat="1" applyFont="1" applyBorder="1" applyAlignment="1">
      <alignment horizontal="right"/>
    </xf>
    <xf numFmtId="164" fontId="4" fillId="2" borderId="1" xfId="0" applyNumberFormat="1" applyFont="1" applyFill="1" applyBorder="1"/>
    <xf numFmtId="164" fontId="25" fillId="11" borderId="1" xfId="0" applyNumberFormat="1" applyFont="1" applyFill="1" applyBorder="1"/>
    <xf numFmtId="164" fontId="7" fillId="4" borderId="6" xfId="0" applyNumberFormat="1" applyFont="1" applyFill="1" applyBorder="1"/>
    <xf numFmtId="164" fontId="11" fillId="4" borderId="1" xfId="0" applyNumberFormat="1" applyFont="1" applyFill="1" applyBorder="1"/>
    <xf numFmtId="166" fontId="7" fillId="4" borderId="6" xfId="1" applyFont="1" applyFill="1" applyBorder="1"/>
    <xf numFmtId="166" fontId="7" fillId="4" borderId="1" xfId="1" applyFont="1" applyFill="1" applyBorder="1"/>
    <xf numFmtId="166" fontId="4" fillId="2" borderId="1" xfId="1" applyFont="1" applyFill="1" applyBorder="1" applyAlignment="1">
      <alignment wrapText="1"/>
    </xf>
    <xf numFmtId="166" fontId="4" fillId="2" borderId="1" xfId="1" applyFont="1" applyFill="1" applyBorder="1"/>
    <xf numFmtId="166" fontId="4" fillId="4" borderId="1" xfId="1" applyFont="1" applyFill="1" applyBorder="1"/>
    <xf numFmtId="166" fontId="4" fillId="4" borderId="6" xfId="1" applyFont="1" applyFill="1" applyBorder="1"/>
    <xf numFmtId="170" fontId="21" fillId="0" borderId="1" xfId="1" applyNumberFormat="1" applyFont="1" applyBorder="1"/>
    <xf numFmtId="170" fontId="21" fillId="2" borderId="1" xfId="1" applyNumberFormat="1" applyFont="1" applyFill="1" applyBorder="1"/>
    <xf numFmtId="0" fontId="23" fillId="0" borderId="1" xfId="1" applyNumberFormat="1" applyFont="1" applyBorder="1" applyAlignment="1">
      <alignment horizontal="center"/>
    </xf>
    <xf numFmtId="164" fontId="25" fillId="11" borderId="6" xfId="0" applyNumberFormat="1" applyFont="1" applyFill="1" applyBorder="1"/>
    <xf numFmtId="166" fontId="4" fillId="2" borderId="6" xfId="1" applyFont="1" applyFill="1" applyBorder="1"/>
    <xf numFmtId="0" fontId="0" fillId="9" borderId="0" xfId="0" applyFill="1" applyAlignment="1">
      <alignment horizontal="center" vertical="center" wrapText="1"/>
    </xf>
    <xf numFmtId="0" fontId="0" fillId="0" borderId="0" xfId="0"/>
    <xf numFmtId="0" fontId="9" fillId="6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7" xfId="0" applyBorder="1"/>
    <xf numFmtId="0" fontId="0" fillId="0" borderId="27" xfId="0" applyBorder="1"/>
    <xf numFmtId="0" fontId="0" fillId="0" borderId="22" xfId="0" applyBorder="1"/>
    <xf numFmtId="0" fontId="0" fillId="0" borderId="28" xfId="0" applyBorder="1"/>
    <xf numFmtId="0" fontId="2" fillId="9" borderId="0" xfId="0" applyFont="1" applyFill="1" applyAlignment="1">
      <alignment horizontal="center" vertical="center" wrapText="1"/>
    </xf>
    <xf numFmtId="166" fontId="4" fillId="2" borderId="1" xfId="1" applyFont="1" applyFill="1" applyBorder="1" applyAlignment="1">
      <alignment horizontal="center"/>
    </xf>
    <xf numFmtId="0" fontId="0" fillId="0" borderId="3" xfId="0" applyBorder="1"/>
    <xf numFmtId="0" fontId="23" fillId="0" borderId="1" xfId="1" applyNumberFormat="1" applyFont="1" applyBorder="1" applyAlignment="1">
      <alignment horizontal="center"/>
    </xf>
    <xf numFmtId="0" fontId="19" fillId="9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/>
    </xf>
    <xf numFmtId="0" fontId="0" fillId="0" borderId="19" xfId="0" applyBorder="1"/>
    <xf numFmtId="0" fontId="13" fillId="3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0" fillId="0" borderId="20" xfId="0" applyBorder="1"/>
    <xf numFmtId="0" fontId="13" fillId="3" borderId="29" xfId="0" applyFont="1" applyFill="1" applyBorder="1" applyAlignment="1">
      <alignment horizontal="center" vertical="center" wrapText="1"/>
    </xf>
    <xf numFmtId="166" fontId="0" fillId="3" borderId="0" xfId="1" applyFont="1" applyFill="1" applyAlignment="1">
      <alignment horizontal="center"/>
    </xf>
    <xf numFmtId="0" fontId="13" fillId="3" borderId="14" xfId="0" applyFont="1" applyFill="1" applyBorder="1" applyAlignment="1">
      <alignment horizontal="center" vertical="center"/>
    </xf>
    <xf numFmtId="0" fontId="0" fillId="0" borderId="16" xfId="0" applyBorder="1"/>
    <xf numFmtId="0" fontId="17" fillId="3" borderId="18" xfId="0" applyFont="1" applyFill="1" applyBorder="1" applyAlignment="1">
      <alignment horizontal="center" vertical="center" wrapText="1"/>
    </xf>
    <xf numFmtId="166" fontId="0" fillId="3" borderId="8" xfId="1" applyFont="1" applyFill="1" applyBorder="1" applyAlignment="1">
      <alignment horizontal="center" vertical="center"/>
    </xf>
    <xf numFmtId="0" fontId="0" fillId="0" borderId="8" xfId="0" applyBorder="1"/>
    <xf numFmtId="0" fontId="0" fillId="3" borderId="0" xfId="0" applyFill="1" applyAlignment="1">
      <alignment horizontal="left"/>
    </xf>
    <xf numFmtId="0" fontId="16" fillId="3" borderId="2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166" fontId="21" fillId="12" borderId="1" xfId="1" applyFont="1" applyFill="1" applyBorder="1"/>
    <xf numFmtId="0" fontId="0" fillId="12" borderId="0" xfId="0" applyFill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6"/>
  <sheetViews>
    <sheetView workbookViewId="0">
      <selection activeCell="B95" sqref="B95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140625" customWidth="1"/>
    <col min="6" max="6" width="13" bestFit="1" customWidth="1"/>
    <col min="7" max="7" width="13.140625" bestFit="1" customWidth="1"/>
    <col min="11" max="11" width="18" customWidth="1"/>
    <col min="12" max="12" width="18.28515625" customWidth="1"/>
  </cols>
  <sheetData>
    <row r="1" spans="1:5" ht="15.75" customHeight="1" thickBot="1" x14ac:dyDescent="0.3">
      <c r="A1" s="6"/>
      <c r="B1" s="32"/>
      <c r="C1" s="6"/>
      <c r="D1" s="6"/>
      <c r="E1" s="6"/>
    </row>
    <row r="2" spans="1:5" x14ac:dyDescent="0.25">
      <c r="A2" s="15"/>
      <c r="B2" s="76" t="s">
        <v>0</v>
      </c>
      <c r="C2" s="76"/>
      <c r="D2" s="76"/>
      <c r="E2" s="77"/>
    </row>
    <row r="3" spans="1:5" x14ac:dyDescent="0.25">
      <c r="A3" s="16"/>
      <c r="B3" s="78" t="s">
        <v>1</v>
      </c>
      <c r="C3" s="78"/>
      <c r="D3" s="78"/>
      <c r="E3" s="79"/>
    </row>
    <row r="4" spans="1:5" ht="32.25" customHeight="1" thickBot="1" x14ac:dyDescent="0.3">
      <c r="A4" s="16"/>
      <c r="B4" s="93" t="s">
        <v>2</v>
      </c>
      <c r="C4" s="78"/>
      <c r="D4" s="92" t="s">
        <v>3</v>
      </c>
      <c r="E4" s="79"/>
    </row>
    <row r="5" spans="1:5" ht="15.75" customHeight="1" thickBot="1" x14ac:dyDescent="0.3">
      <c r="A5" s="19" t="s">
        <v>4</v>
      </c>
      <c r="B5" s="91" t="s">
        <v>5</v>
      </c>
      <c r="C5" s="20"/>
      <c r="D5" s="20"/>
      <c r="E5" s="21"/>
    </row>
    <row r="6" spans="1:5" ht="15.75" customHeight="1" thickBot="1" x14ac:dyDescent="0.3">
      <c r="A6" s="16" t="s">
        <v>6</v>
      </c>
      <c r="B6" s="20" t="s">
        <v>145</v>
      </c>
      <c r="C6" s="17"/>
      <c r="D6" s="78" t="s">
        <v>7</v>
      </c>
      <c r="E6" s="18"/>
    </row>
    <row r="7" spans="1:5" ht="15.75" customHeight="1" thickBot="1" x14ac:dyDescent="0.3">
      <c r="A7" s="19" t="s">
        <v>8</v>
      </c>
      <c r="B7" s="20"/>
      <c r="C7" s="20"/>
      <c r="D7" s="20"/>
      <c r="E7" s="21"/>
    </row>
    <row r="9" spans="1:5" x14ac:dyDescent="0.25">
      <c r="B9" s="164" t="s">
        <v>9</v>
      </c>
      <c r="C9" s="153"/>
    </row>
    <row r="10" spans="1:5" x14ac:dyDescent="0.25">
      <c r="B10" s="153"/>
      <c r="C10" s="153"/>
    </row>
    <row r="11" spans="1:5" x14ac:dyDescent="0.25">
      <c r="B11" s="153"/>
      <c r="C11" s="153"/>
    </row>
    <row r="13" spans="1:5" hidden="1" x14ac:dyDescent="0.25"/>
    <row r="14" spans="1:5" ht="15" customHeight="1" x14ac:dyDescent="0.25">
      <c r="A14" s="165" t="s">
        <v>10</v>
      </c>
      <c r="B14" s="153"/>
      <c r="C14" s="153"/>
      <c r="D14" s="153"/>
      <c r="E14" s="153"/>
    </row>
    <row r="15" spans="1:5" ht="15" customHeight="1" x14ac:dyDescent="0.25">
      <c r="A15" s="153"/>
      <c r="B15" s="153"/>
      <c r="C15" s="153"/>
      <c r="D15" s="153"/>
      <c r="E15" s="153"/>
    </row>
    <row r="16" spans="1:5" ht="15" customHeight="1" x14ac:dyDescent="0.25">
      <c r="A16" s="153"/>
      <c r="B16" s="153"/>
      <c r="C16" s="153"/>
      <c r="D16" s="153"/>
      <c r="E16" s="153"/>
    </row>
    <row r="17" spans="1:8" ht="53.25" customHeight="1" x14ac:dyDescent="0.25">
      <c r="A17" s="153"/>
      <c r="B17" s="153"/>
      <c r="C17" s="153"/>
      <c r="D17" s="153"/>
      <c r="E17" s="153"/>
    </row>
    <row r="18" spans="1:8" ht="14.25" customHeight="1" thickBot="1" x14ac:dyDescent="0.3"/>
    <row r="19" spans="1:8" hidden="1" x14ac:dyDescent="0.25">
      <c r="A19" s="2"/>
    </row>
    <row r="20" spans="1:8" ht="15.75" hidden="1" customHeight="1" thickBot="1" x14ac:dyDescent="0.3"/>
    <row r="21" spans="1:8" x14ac:dyDescent="0.25">
      <c r="A21" s="11" t="s">
        <v>11</v>
      </c>
      <c r="B21" s="12"/>
      <c r="C21" s="13"/>
      <c r="D21" s="9"/>
      <c r="E21" s="14"/>
    </row>
    <row r="22" spans="1:8" x14ac:dyDescent="0.25">
      <c r="A22" s="40" t="s">
        <v>12</v>
      </c>
      <c r="B22" s="40"/>
      <c r="C22" s="40"/>
      <c r="D22" s="38"/>
      <c r="E22" s="38"/>
    </row>
    <row r="23" spans="1:8" ht="14.25" customHeight="1" x14ac:dyDescent="0.25">
      <c r="A23" s="5" t="s">
        <v>13</v>
      </c>
      <c r="B23" s="5"/>
      <c r="C23" s="5"/>
      <c r="D23" s="137">
        <v>1292761.2</v>
      </c>
      <c r="E23" s="96"/>
    </row>
    <row r="24" spans="1:8" x14ac:dyDescent="0.25">
      <c r="A24" s="5" t="s">
        <v>14</v>
      </c>
      <c r="B24" s="5"/>
      <c r="C24" s="5"/>
      <c r="D24" s="137">
        <v>-281175.56</v>
      </c>
      <c r="E24" s="96"/>
    </row>
    <row r="25" spans="1:8" x14ac:dyDescent="0.25">
      <c r="A25" s="5" t="s">
        <v>15</v>
      </c>
      <c r="B25" s="5"/>
      <c r="C25" s="5"/>
      <c r="D25" s="137">
        <v>0.36</v>
      </c>
      <c r="E25" s="96"/>
      <c r="H25" s="22"/>
    </row>
    <row r="26" spans="1:8" x14ac:dyDescent="0.25">
      <c r="A26" s="5"/>
      <c r="B26" s="5"/>
      <c r="C26" s="5"/>
      <c r="D26" s="137"/>
      <c r="E26" s="96"/>
      <c r="H26" s="5"/>
    </row>
    <row r="27" spans="1:8" x14ac:dyDescent="0.25">
      <c r="A27" s="65" t="s">
        <v>16</v>
      </c>
      <c r="B27" s="65"/>
      <c r="C27" s="65"/>
      <c r="D27" s="138">
        <f>SUM(D23:D26)</f>
        <v>1011585.9999999999</v>
      </c>
      <c r="E27" s="97"/>
      <c r="H27" s="5"/>
    </row>
    <row r="28" spans="1:8" x14ac:dyDescent="0.25">
      <c r="A28" s="5" t="s">
        <v>159</v>
      </c>
      <c r="B28" s="5"/>
      <c r="C28" s="5"/>
      <c r="D28" s="137">
        <v>300000</v>
      </c>
      <c r="E28" s="96"/>
      <c r="H28" s="22"/>
    </row>
    <row r="29" spans="1:8" x14ac:dyDescent="0.25">
      <c r="A29" s="5" t="s">
        <v>158</v>
      </c>
      <c r="B29" s="5"/>
      <c r="C29" s="5"/>
      <c r="D29" s="137">
        <v>10989</v>
      </c>
      <c r="E29" s="96"/>
      <c r="H29" s="5"/>
    </row>
    <row r="30" spans="1:8" x14ac:dyDescent="0.25">
      <c r="A30" s="65" t="s">
        <v>16</v>
      </c>
      <c r="B30" s="65"/>
      <c r="C30" s="65"/>
      <c r="D30" s="150">
        <f>SUM(D28:D29)</f>
        <v>310989</v>
      </c>
      <c r="E30" s="97"/>
    </row>
    <row r="31" spans="1:8" ht="14.25" customHeight="1" thickBot="1" x14ac:dyDescent="0.3">
      <c r="A31" s="30" t="s">
        <v>17</v>
      </c>
      <c r="B31" s="30"/>
      <c r="C31" s="30"/>
      <c r="D31" s="139"/>
      <c r="E31" s="98">
        <f>D27+D30</f>
        <v>1322575</v>
      </c>
      <c r="F31" s="22"/>
    </row>
    <row r="32" spans="1:8" x14ac:dyDescent="0.25">
      <c r="A32" s="40" t="s">
        <v>18</v>
      </c>
      <c r="B32" s="40"/>
      <c r="C32" s="40"/>
      <c r="D32" s="140"/>
      <c r="E32" s="99"/>
    </row>
    <row r="33" spans="1:7" ht="28.5" customHeight="1" x14ac:dyDescent="0.25">
      <c r="A33" s="72" t="s">
        <v>19</v>
      </c>
      <c r="B33" s="5" t="s">
        <v>21</v>
      </c>
      <c r="C33" s="5"/>
      <c r="D33" s="137">
        <v>35000</v>
      </c>
      <c r="E33" s="100"/>
    </row>
    <row r="34" spans="1:7" ht="15.75" customHeight="1" thickBot="1" x14ac:dyDescent="0.3">
      <c r="A34" s="5" t="s">
        <v>20</v>
      </c>
      <c r="B34" s="5" t="s">
        <v>146</v>
      </c>
      <c r="C34" s="5"/>
      <c r="D34" s="137">
        <v>120000</v>
      </c>
      <c r="E34" s="100"/>
    </row>
    <row r="35" spans="1:7" ht="15.75" customHeight="1" thickBot="1" x14ac:dyDescent="0.3">
      <c r="A35" s="30" t="s">
        <v>22</v>
      </c>
      <c r="B35" s="30"/>
      <c r="C35" s="30"/>
      <c r="D35" s="141"/>
      <c r="E35" s="101">
        <f>SUM(D33:D34)</f>
        <v>155000</v>
      </c>
    </row>
    <row r="36" spans="1:7" x14ac:dyDescent="0.25">
      <c r="A36" s="38" t="s">
        <v>23</v>
      </c>
      <c r="B36" s="39"/>
      <c r="C36" s="39"/>
      <c r="D36" s="142"/>
      <c r="E36" s="74"/>
    </row>
    <row r="37" spans="1:7" s="44" customFormat="1" ht="17.25" customHeight="1" x14ac:dyDescent="0.25">
      <c r="A37" s="166" t="s">
        <v>24</v>
      </c>
      <c r="B37" s="156"/>
      <c r="C37" s="63"/>
      <c r="D37" s="143">
        <v>87562.7</v>
      </c>
      <c r="E37" s="122"/>
    </row>
    <row r="38" spans="1:7" ht="14.25" customHeight="1" x14ac:dyDescent="0.25">
      <c r="A38" s="166" t="s">
        <v>25</v>
      </c>
      <c r="B38" s="156"/>
      <c r="C38" s="63"/>
      <c r="D38" s="144">
        <v>6646.91</v>
      </c>
      <c r="E38" s="122"/>
    </row>
    <row r="39" spans="1:7" ht="15.75" customHeight="1" thickBot="1" x14ac:dyDescent="0.3">
      <c r="A39" s="30" t="s">
        <v>26</v>
      </c>
      <c r="B39" s="30"/>
      <c r="C39" s="30"/>
      <c r="D39" s="141"/>
      <c r="E39" s="102">
        <f>SUM(D37:D38)</f>
        <v>94209.61</v>
      </c>
    </row>
    <row r="40" spans="1:7" x14ac:dyDescent="0.25">
      <c r="A40" s="40" t="s">
        <v>27</v>
      </c>
      <c r="B40" s="31"/>
      <c r="C40" s="31"/>
      <c r="D40" s="145"/>
      <c r="E40" s="103"/>
    </row>
    <row r="41" spans="1:7" x14ac:dyDescent="0.25">
      <c r="A41" s="5" t="s">
        <v>28</v>
      </c>
      <c r="B41" s="5"/>
      <c r="C41" s="61"/>
      <c r="D41" s="144">
        <v>371183.27</v>
      </c>
      <c r="E41" s="123" t="s">
        <v>156</v>
      </c>
      <c r="G41" s="120"/>
    </row>
    <row r="42" spans="1:7" x14ac:dyDescent="0.25">
      <c r="A42" s="5" t="s">
        <v>147</v>
      </c>
      <c r="B42" s="5" t="s">
        <v>29</v>
      </c>
      <c r="C42" s="5"/>
      <c r="D42" s="144">
        <v>19236.05</v>
      </c>
      <c r="E42" s="124" t="s">
        <v>155</v>
      </c>
    </row>
    <row r="43" spans="1:7" x14ac:dyDescent="0.25">
      <c r="A43" s="5" t="str">
        <f>A42</f>
        <v>Sindicatos mes de JUNIO</v>
      </c>
      <c r="B43" s="5" t="s">
        <v>30</v>
      </c>
      <c r="C43" s="5"/>
      <c r="D43" s="144">
        <v>62013.71</v>
      </c>
      <c r="E43" s="124" t="str">
        <f>E42</f>
        <v>Debito 12/06</v>
      </c>
    </row>
    <row r="44" spans="1:7" x14ac:dyDescent="0.25">
      <c r="A44" s="5" t="str">
        <f>A43</f>
        <v>Sindicatos mes de JUNIO</v>
      </c>
      <c r="B44" s="5" t="s">
        <v>31</v>
      </c>
      <c r="C44" s="5"/>
      <c r="D44" s="144">
        <v>3847.21</v>
      </c>
      <c r="E44" s="125" t="str">
        <f>E43</f>
        <v>Debito 12/06</v>
      </c>
    </row>
    <row r="45" spans="1:7" ht="15" customHeight="1" thickBot="1" x14ac:dyDescent="0.3">
      <c r="A45" s="30" t="s">
        <v>32</v>
      </c>
      <c r="B45" s="31"/>
      <c r="C45" s="31"/>
      <c r="D45" s="146"/>
      <c r="E45" s="102">
        <f>SUM(D41:D44)</f>
        <v>456280.24000000005</v>
      </c>
    </row>
    <row r="46" spans="1:7" x14ac:dyDescent="0.25">
      <c r="A46" s="40" t="s">
        <v>33</v>
      </c>
      <c r="B46" s="31"/>
      <c r="C46" s="31"/>
      <c r="D46" s="145"/>
      <c r="E46" s="103"/>
    </row>
    <row r="47" spans="1:7" ht="14.25" customHeight="1" x14ac:dyDescent="0.25">
      <c r="A47" s="61" t="s">
        <v>148</v>
      </c>
      <c r="B47" s="5"/>
      <c r="C47" s="5"/>
      <c r="D47" s="144"/>
      <c r="E47" s="106"/>
      <c r="G47" s="128" t="s">
        <v>162</v>
      </c>
    </row>
    <row r="48" spans="1:7" ht="14.25" customHeight="1" x14ac:dyDescent="0.25">
      <c r="A48" s="5" t="s">
        <v>34</v>
      </c>
      <c r="B48" s="5"/>
      <c r="C48" s="5"/>
      <c r="D48" s="144">
        <v>69753.66</v>
      </c>
      <c r="E48" s="106" t="s">
        <v>153</v>
      </c>
    </row>
    <row r="49" spans="1:7" x14ac:dyDescent="0.25">
      <c r="A49" s="5" t="s">
        <v>35</v>
      </c>
      <c r="B49" s="5"/>
      <c r="C49" s="5"/>
      <c r="D49" s="144">
        <v>25000</v>
      </c>
      <c r="E49" s="106" t="s">
        <v>160</v>
      </c>
      <c r="G49" t="s">
        <v>161</v>
      </c>
    </row>
    <row r="50" spans="1:7" x14ac:dyDescent="0.25">
      <c r="A50" s="5" t="s">
        <v>151</v>
      </c>
      <c r="B50" s="5"/>
      <c r="C50" s="5"/>
      <c r="D50" s="144">
        <v>25000</v>
      </c>
      <c r="E50" s="106" t="s">
        <v>152</v>
      </c>
    </row>
    <row r="51" spans="1:7" x14ac:dyDescent="0.25">
      <c r="A51" s="61" t="s">
        <v>150</v>
      </c>
      <c r="B51" s="5"/>
      <c r="C51" s="5"/>
      <c r="D51" s="144">
        <v>1000000</v>
      </c>
      <c r="E51" s="106" t="s">
        <v>154</v>
      </c>
    </row>
    <row r="52" spans="1:7" x14ac:dyDescent="0.25">
      <c r="A52" s="155" t="s">
        <v>149</v>
      </c>
      <c r="B52" s="156"/>
      <c r="C52" s="64"/>
      <c r="D52" s="151">
        <v>54750</v>
      </c>
      <c r="E52" s="124" t="s">
        <v>157</v>
      </c>
    </row>
    <row r="53" spans="1:7" ht="15.75" customHeight="1" thickBot="1" x14ac:dyDescent="0.3">
      <c r="A53" s="30" t="s">
        <v>36</v>
      </c>
      <c r="B53" s="30"/>
      <c r="C53" s="30"/>
      <c r="D53" s="141"/>
      <c r="E53" s="102">
        <f>SUM(D47:D52)</f>
        <v>1174503.6599999999</v>
      </c>
    </row>
    <row r="54" spans="1:7" ht="15.75" customHeight="1" thickBot="1" x14ac:dyDescent="0.3">
      <c r="A54" s="40" t="s">
        <v>37</v>
      </c>
      <c r="B54" s="30"/>
      <c r="C54" s="30"/>
      <c r="D54" s="141"/>
      <c r="E54" s="105"/>
    </row>
    <row r="55" spans="1:7" x14ac:dyDescent="0.25">
      <c r="A55" s="61"/>
      <c r="B55" s="5"/>
      <c r="C55" s="5"/>
      <c r="D55" s="42"/>
      <c r="E55" s="104"/>
    </row>
    <row r="56" spans="1:7" ht="15.75" customHeight="1" thickBot="1" x14ac:dyDescent="0.3">
      <c r="A56" s="30" t="s">
        <v>38</v>
      </c>
      <c r="B56" s="40"/>
      <c r="C56" s="40"/>
      <c r="D56" s="38"/>
      <c r="E56" s="108">
        <f>SUM(D55:D55)</f>
        <v>0</v>
      </c>
    </row>
    <row r="57" spans="1:7" ht="15.75" customHeight="1" thickBot="1" x14ac:dyDescent="0.3">
      <c r="A57" s="40" t="s">
        <v>39</v>
      </c>
      <c r="B57" s="73"/>
      <c r="C57" s="30"/>
      <c r="D57" s="139"/>
      <c r="E57" s="105"/>
    </row>
    <row r="58" spans="1:7" x14ac:dyDescent="0.25">
      <c r="A58" s="5" t="s">
        <v>39</v>
      </c>
      <c r="B58" s="5"/>
      <c r="C58" s="5"/>
      <c r="D58" s="144">
        <v>57039.4</v>
      </c>
      <c r="E58" s="109"/>
    </row>
    <row r="59" spans="1:7" x14ac:dyDescent="0.25">
      <c r="A59" s="5" t="s">
        <v>40</v>
      </c>
      <c r="B59" s="5"/>
      <c r="C59" s="5"/>
      <c r="D59" s="144">
        <v>49082</v>
      </c>
      <c r="E59" s="107"/>
    </row>
    <row r="60" spans="1:7" ht="15.75" customHeight="1" thickBot="1" x14ac:dyDescent="0.3">
      <c r="A60" s="60" t="s">
        <v>22</v>
      </c>
      <c r="B60" s="60"/>
      <c r="C60" s="60"/>
      <c r="D60" s="110"/>
      <c r="E60" s="102">
        <f>SUM(D58:D59)</f>
        <v>106121.4</v>
      </c>
    </row>
    <row r="61" spans="1:7" ht="15.75" customHeight="1" thickBot="1" x14ac:dyDescent="0.3">
      <c r="A61" s="5"/>
      <c r="B61" s="5"/>
      <c r="C61" s="5"/>
      <c r="D61" s="96"/>
      <c r="E61" s="111"/>
    </row>
    <row r="62" spans="1:7" ht="15.75" customHeight="1" thickBot="1" x14ac:dyDescent="0.3">
      <c r="A62" s="33" t="s">
        <v>41</v>
      </c>
      <c r="B62" s="33"/>
      <c r="C62" s="33"/>
      <c r="D62" s="112"/>
      <c r="E62" s="113"/>
    </row>
    <row r="63" spans="1:7" ht="15.75" customHeight="1" thickBot="1" x14ac:dyDescent="0.3">
      <c r="A63" s="1"/>
      <c r="D63" s="114"/>
      <c r="E63" s="115"/>
      <c r="F63" s="51"/>
    </row>
    <row r="64" spans="1:7" ht="15.75" customHeight="1" thickBot="1" x14ac:dyDescent="0.3">
      <c r="A64" s="3" t="s">
        <v>42</v>
      </c>
      <c r="B64" s="10"/>
      <c r="C64" s="4"/>
      <c r="D64" s="116"/>
      <c r="E64" s="117">
        <f>(SUM(E31:E62))</f>
        <v>3308689.9099999997</v>
      </c>
      <c r="F64" s="51"/>
      <c r="G64" s="128"/>
    </row>
    <row r="65" spans="1:7" x14ac:dyDescent="0.25">
      <c r="D65" s="114"/>
      <c r="E65" s="114"/>
      <c r="G65" s="128"/>
    </row>
    <row r="66" spans="1:7" ht="15.75" customHeight="1" thickBot="1" x14ac:dyDescent="0.3">
      <c r="D66" s="114"/>
      <c r="E66" s="114"/>
    </row>
    <row r="67" spans="1:7" ht="14.25" customHeight="1" x14ac:dyDescent="0.25">
      <c r="A67" s="11" t="s">
        <v>43</v>
      </c>
      <c r="B67" s="12"/>
      <c r="C67" s="13"/>
      <c r="D67" s="118"/>
      <c r="E67" s="119"/>
    </row>
    <row r="68" spans="1:7" ht="15" customHeight="1" x14ac:dyDescent="0.25">
      <c r="A68" s="155" t="s">
        <v>163</v>
      </c>
      <c r="B68" s="157"/>
      <c r="C68" s="5"/>
      <c r="D68" s="161">
        <v>181000</v>
      </c>
      <c r="E68" s="163"/>
    </row>
    <row r="69" spans="1:7" x14ac:dyDescent="0.25">
      <c r="A69" s="158"/>
      <c r="B69" s="159"/>
      <c r="C69" s="61"/>
      <c r="D69" s="162"/>
      <c r="E69" s="162"/>
    </row>
    <row r="70" spans="1:7" x14ac:dyDescent="0.25">
      <c r="A70" s="155"/>
      <c r="B70" s="156"/>
      <c r="C70" s="61"/>
      <c r="D70" s="42"/>
      <c r="E70" s="149"/>
    </row>
    <row r="71" spans="1:7" x14ac:dyDescent="0.25">
      <c r="A71" s="58"/>
      <c r="B71" s="57"/>
      <c r="C71" s="57"/>
      <c r="D71" s="66"/>
      <c r="E71" s="66">
        <f>SUM(D68:D70)</f>
        <v>181000</v>
      </c>
    </row>
    <row r="73" spans="1:7" x14ac:dyDescent="0.25">
      <c r="A73" s="33" t="s">
        <v>44</v>
      </c>
      <c r="B73" s="33"/>
      <c r="C73" s="33"/>
      <c r="D73" s="34"/>
      <c r="E73" s="129"/>
    </row>
    <row r="74" spans="1:7" ht="15.75" customHeight="1" thickBot="1" x14ac:dyDescent="0.3"/>
    <row r="75" spans="1:7" ht="15.75" customHeight="1" thickBot="1" x14ac:dyDescent="0.3">
      <c r="A75" s="3" t="s">
        <v>45</v>
      </c>
      <c r="B75" s="10"/>
      <c r="C75" s="4"/>
      <c r="D75" s="4"/>
      <c r="E75" s="75">
        <f>E71+E73</f>
        <v>181000</v>
      </c>
    </row>
    <row r="76" spans="1:7" ht="15.75" customHeight="1" thickBot="1" x14ac:dyDescent="0.3"/>
    <row r="77" spans="1:7" ht="15.75" customHeight="1" thickBot="1" x14ac:dyDescent="0.3">
      <c r="A77" s="94" t="s">
        <v>46</v>
      </c>
      <c r="B77" s="95">
        <f>E64</f>
        <v>3308689.9099999997</v>
      </c>
      <c r="D77" s="51"/>
    </row>
    <row r="78" spans="1:7" ht="15.75" customHeight="1" thickBot="1" x14ac:dyDescent="0.3">
      <c r="A78" s="94" t="s">
        <v>47</v>
      </c>
      <c r="B78" s="95">
        <f>E64-E62</f>
        <v>3308689.9099999997</v>
      </c>
    </row>
    <row r="79" spans="1:7" ht="15.75" customHeight="1" thickBot="1" x14ac:dyDescent="0.3">
      <c r="A79" s="94" t="s">
        <v>48</v>
      </c>
      <c r="B79" s="95">
        <f>E75-E73</f>
        <v>181000</v>
      </c>
    </row>
    <row r="80" spans="1:7" ht="15.75" customHeight="1" thickBot="1" x14ac:dyDescent="0.3">
      <c r="A80" s="94" t="s">
        <v>49</v>
      </c>
      <c r="B80" s="95">
        <f>E75</f>
        <v>181000</v>
      </c>
    </row>
    <row r="81" spans="1:5" ht="14.25" customHeight="1" x14ac:dyDescent="0.25"/>
    <row r="82" spans="1:5" hidden="1" x14ac:dyDescent="0.25"/>
    <row r="83" spans="1:5" hidden="1" x14ac:dyDescent="0.25">
      <c r="A83" s="152"/>
      <c r="B83" s="153"/>
      <c r="C83" s="153"/>
      <c r="D83" s="153"/>
      <c r="E83" s="153"/>
    </row>
    <row r="84" spans="1:5" hidden="1" x14ac:dyDescent="0.25">
      <c r="A84" s="153"/>
      <c r="B84" s="153"/>
      <c r="C84" s="153"/>
      <c r="D84" s="153"/>
      <c r="E84" s="153"/>
    </row>
    <row r="85" spans="1:5" ht="38.25" hidden="1" customHeight="1" x14ac:dyDescent="0.25">
      <c r="A85" s="153"/>
      <c r="B85" s="153"/>
      <c r="C85" s="153"/>
      <c r="D85" s="153"/>
      <c r="E85" s="153"/>
    </row>
    <row r="87" spans="1:5" x14ac:dyDescent="0.25">
      <c r="A87" s="23" t="s">
        <v>50</v>
      </c>
      <c r="B87" s="46"/>
      <c r="C87" s="24"/>
    </row>
    <row r="88" spans="1:5" ht="18" customHeight="1" x14ac:dyDescent="0.25">
      <c r="A88" s="36" t="s">
        <v>51</v>
      </c>
      <c r="B88" s="127">
        <v>-149600.7575000003</v>
      </c>
      <c r="C88" s="26"/>
    </row>
    <row r="89" spans="1:5" ht="14.25" customHeight="1" x14ac:dyDescent="0.25">
      <c r="A89" s="25" t="s">
        <v>52</v>
      </c>
      <c r="B89" s="47">
        <f>PRORRATEO!H25</f>
        <v>2639132.91</v>
      </c>
      <c r="C89" s="24"/>
    </row>
    <row r="90" spans="1:5" ht="14.25" customHeight="1" x14ac:dyDescent="0.25">
      <c r="A90" s="25" t="s">
        <v>53</v>
      </c>
      <c r="B90" s="55"/>
      <c r="C90" s="24"/>
    </row>
    <row r="91" spans="1:5" ht="25.5" customHeight="1" x14ac:dyDescent="0.25">
      <c r="A91" s="133" t="s">
        <v>54</v>
      </c>
      <c r="B91" s="55"/>
      <c r="C91" s="24"/>
    </row>
    <row r="92" spans="1:5" x14ac:dyDescent="0.25">
      <c r="A92" s="25" t="s">
        <v>55</v>
      </c>
      <c r="B92" s="107">
        <f>B111</f>
        <v>0</v>
      </c>
      <c r="C92" s="24"/>
    </row>
    <row r="93" spans="1:5" x14ac:dyDescent="0.25">
      <c r="A93" s="45" t="s">
        <v>56</v>
      </c>
      <c r="B93" s="55">
        <f>-B78</f>
        <v>-3308689.9099999997</v>
      </c>
      <c r="C93" s="24"/>
    </row>
    <row r="94" spans="1:5" x14ac:dyDescent="0.25">
      <c r="A94" s="28" t="s">
        <v>57</v>
      </c>
      <c r="B94" s="55">
        <f>-(B79)</f>
        <v>-181000</v>
      </c>
      <c r="C94" s="24"/>
    </row>
    <row r="95" spans="1:5" x14ac:dyDescent="0.25">
      <c r="A95" s="35" t="s">
        <v>38</v>
      </c>
      <c r="B95" s="126">
        <f>SUM(B88:B94)</f>
        <v>-1000157.7574999998</v>
      </c>
      <c r="C95" s="27"/>
    </row>
    <row r="96" spans="1:5" ht="34.5" customHeight="1" x14ac:dyDescent="0.25">
      <c r="B96" s="48"/>
      <c r="C96" s="27"/>
      <c r="D96" s="51"/>
    </row>
    <row r="97" spans="1:13" ht="14.25" hidden="1" customHeight="1" x14ac:dyDescent="0.25">
      <c r="B97" s="49"/>
      <c r="C97" s="27"/>
    </row>
    <row r="98" spans="1:13" s="44" customFormat="1" ht="27" hidden="1" customHeight="1" x14ac:dyDescent="0.25">
      <c r="B98" s="48"/>
      <c r="C98" s="43"/>
    </row>
    <row r="99" spans="1:13" s="44" customFormat="1" ht="27" hidden="1" customHeight="1" x14ac:dyDescent="0.25">
      <c r="A99" s="37" t="s">
        <v>58</v>
      </c>
      <c r="B99" s="41"/>
      <c r="C99" s="43"/>
      <c r="D99" s="54"/>
    </row>
    <row r="100" spans="1:13" s="44" customFormat="1" ht="27" hidden="1" customHeight="1" x14ac:dyDescent="0.25">
      <c r="A100" s="5" t="s">
        <v>51</v>
      </c>
      <c r="B100" s="42">
        <v>0</v>
      </c>
      <c r="C100" s="43"/>
    </row>
    <row r="101" spans="1:13" ht="14.25" hidden="1" customHeight="1" x14ac:dyDescent="0.25">
      <c r="A101" s="5" t="s">
        <v>59</v>
      </c>
      <c r="B101" s="41">
        <v>0</v>
      </c>
      <c r="C101" s="27"/>
      <c r="D101" s="51"/>
    </row>
    <row r="102" spans="1:13" hidden="1" x14ac:dyDescent="0.25">
      <c r="A102" s="5" t="s">
        <v>56</v>
      </c>
      <c r="B102" s="41">
        <v>0</v>
      </c>
      <c r="C102" s="27"/>
    </row>
    <row r="103" spans="1:13" hidden="1" x14ac:dyDescent="0.25">
      <c r="A103" s="5" t="s">
        <v>57</v>
      </c>
      <c r="B103" s="41">
        <v>0</v>
      </c>
      <c r="C103" s="29"/>
    </row>
    <row r="104" spans="1:13" hidden="1" x14ac:dyDescent="0.25">
      <c r="A104" s="37" t="s">
        <v>60</v>
      </c>
      <c r="B104" s="56">
        <f>SUM(B100:B103)</f>
        <v>0</v>
      </c>
      <c r="C104" s="24"/>
    </row>
    <row r="105" spans="1:13" hidden="1" x14ac:dyDescent="0.25"/>
    <row r="106" spans="1:13" ht="60.75" hidden="1" customHeight="1" x14ac:dyDescent="0.25"/>
    <row r="107" spans="1:13" x14ac:dyDescent="0.25">
      <c r="A107" s="154" t="s">
        <v>61</v>
      </c>
      <c r="B107" s="153"/>
      <c r="C107" s="153"/>
    </row>
    <row r="108" spans="1:13" x14ac:dyDescent="0.25">
      <c r="A108" s="153"/>
      <c r="B108" s="153"/>
      <c r="C108" s="153"/>
    </row>
    <row r="109" spans="1:13" ht="15.75" customHeight="1" x14ac:dyDescent="0.25">
      <c r="A109" s="63"/>
      <c r="B109" s="41"/>
      <c r="C109" s="41">
        <v>40000</v>
      </c>
    </row>
    <row r="110" spans="1:13" ht="15.75" customHeight="1" x14ac:dyDescent="0.25">
      <c r="A110" s="63"/>
      <c r="B110" s="41"/>
      <c r="C110" s="48"/>
    </row>
    <row r="111" spans="1:13" x14ac:dyDescent="0.25">
      <c r="A111" s="52" t="s">
        <v>38</v>
      </c>
      <c r="B111" s="121">
        <f>SUM(B109:B110)</f>
        <v>0</v>
      </c>
      <c r="C111" s="53"/>
    </row>
    <row r="112" spans="1:13" x14ac:dyDescent="0.25">
      <c r="M112" s="8"/>
    </row>
    <row r="113" spans="1:5" ht="15" hidden="1" customHeight="1" x14ac:dyDescent="0.25">
      <c r="A113" s="160"/>
      <c r="B113" s="153"/>
      <c r="C113" s="153"/>
      <c r="D113" s="153"/>
      <c r="E113" s="153"/>
    </row>
    <row r="114" spans="1:5" hidden="1" x14ac:dyDescent="0.25">
      <c r="A114" s="153"/>
      <c r="B114" s="153"/>
      <c r="C114" s="153"/>
      <c r="D114" s="153"/>
      <c r="E114" s="153"/>
    </row>
    <row r="115" spans="1:5" hidden="1" x14ac:dyDescent="0.25">
      <c r="A115" s="153"/>
      <c r="B115" s="153"/>
      <c r="C115" s="153"/>
      <c r="D115" s="153"/>
      <c r="E115" s="153"/>
    </row>
    <row r="116" spans="1:5" hidden="1" x14ac:dyDescent="0.25">
      <c r="A116" s="153"/>
      <c r="B116" s="153"/>
      <c r="C116" s="153"/>
      <c r="D116" s="153"/>
      <c r="E116" s="153"/>
    </row>
  </sheetData>
  <mergeCells count="12">
    <mergeCell ref="B9:C11"/>
    <mergeCell ref="A52:B52"/>
    <mergeCell ref="A14:E17"/>
    <mergeCell ref="A37:B37"/>
    <mergeCell ref="A38:B38"/>
    <mergeCell ref="A83:E85"/>
    <mergeCell ref="A107:C108"/>
    <mergeCell ref="A70:B70"/>
    <mergeCell ref="A68:B69"/>
    <mergeCell ref="A113:E116"/>
    <mergeCell ref="D68:D69"/>
    <mergeCell ref="E68:E69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tabSelected="1" topLeftCell="B13" zoomScaleNormal="100" workbookViewId="0">
      <selection activeCell="H21" sqref="H21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6.85546875" customWidth="1"/>
    <col min="4" max="4" width="18.5703125" customWidth="1"/>
    <col min="5" max="5" width="9.140625" bestFit="1" customWidth="1"/>
    <col min="6" max="6" width="5.140625" customWidth="1"/>
    <col min="7" max="7" width="14.140625" customWidth="1"/>
    <col min="8" max="8" width="11.5703125" customWidth="1"/>
    <col min="9" max="9" width="7.7109375" hidden="1" customWidth="1"/>
    <col min="10" max="10" width="10.5703125" customWidth="1"/>
    <col min="11" max="11" width="9.85546875" customWidth="1"/>
    <col min="12" max="12" width="11.28515625" customWidth="1"/>
    <col min="13" max="13" width="10.5703125" customWidth="1"/>
    <col min="14" max="14" width="10.5703125" hidden="1" customWidth="1"/>
    <col min="15" max="15" width="14" customWidth="1"/>
    <col min="16" max="16" width="13.5703125" customWidth="1"/>
    <col min="17" max="17" width="4.42578125" hidden="1" customWidth="1"/>
    <col min="18" max="18" width="12" bestFit="1" customWidth="1"/>
    <col min="19" max="19" width="13" bestFit="1" customWidth="1"/>
  </cols>
  <sheetData>
    <row r="1" spans="1:20" ht="12.95" customHeight="1" x14ac:dyDescent="0.25">
      <c r="A1" s="6"/>
      <c r="B1" s="6"/>
      <c r="C1" s="6"/>
      <c r="D1" s="6" t="s">
        <v>62</v>
      </c>
      <c r="E1" s="6"/>
      <c r="F1" s="179" t="s">
        <v>63</v>
      </c>
      <c r="G1" s="153"/>
      <c r="H1" s="153"/>
      <c r="I1" s="153"/>
      <c r="J1" s="153"/>
      <c r="K1" s="153"/>
      <c r="L1" s="153"/>
      <c r="M1" s="153"/>
      <c r="N1" s="153"/>
      <c r="O1" s="153"/>
      <c r="P1" s="6"/>
    </row>
    <row r="2" spans="1:20" ht="12.95" customHeight="1" x14ac:dyDescent="0.25">
      <c r="A2" s="6"/>
      <c r="B2" s="6"/>
      <c r="C2" s="6"/>
      <c r="D2" s="6" t="str">
        <f>RESUMEN!B4</f>
        <v>CBU 2990024602400048530006</v>
      </c>
      <c r="E2" s="6"/>
      <c r="F2" s="6"/>
      <c r="G2" s="6"/>
      <c r="H2" s="6"/>
      <c r="I2" s="6"/>
      <c r="J2" s="6"/>
      <c r="K2" s="6"/>
      <c r="L2" s="7" t="s">
        <v>64</v>
      </c>
      <c r="M2" s="6"/>
      <c r="N2" s="6"/>
      <c r="O2" s="173">
        <f>T4</f>
        <v>3000000</v>
      </c>
      <c r="P2" s="153"/>
      <c r="Q2" s="22"/>
    </row>
    <row r="3" spans="1:20" ht="12.95" customHeight="1" thickBot="1" x14ac:dyDescent="0.3">
      <c r="A3" s="6"/>
      <c r="B3" s="6"/>
      <c r="C3" s="6"/>
      <c r="D3" s="6" t="s">
        <v>65</v>
      </c>
      <c r="E3" s="6"/>
      <c r="F3" s="6"/>
      <c r="G3" s="6"/>
      <c r="H3" s="6"/>
      <c r="I3" s="6"/>
      <c r="J3" s="6"/>
      <c r="K3" s="6"/>
      <c r="L3" s="7" t="s">
        <v>66</v>
      </c>
      <c r="M3" s="6"/>
      <c r="N3" s="6"/>
      <c r="O3" s="177">
        <f>S6</f>
        <v>181000</v>
      </c>
      <c r="P3" s="178"/>
    </row>
    <row r="4" spans="1:20" x14ac:dyDescent="0.25">
      <c r="A4" s="167" t="s">
        <v>67</v>
      </c>
      <c r="B4" s="174" t="s">
        <v>68</v>
      </c>
      <c r="C4" s="169" t="s">
        <v>69</v>
      </c>
      <c r="D4" s="169" t="s">
        <v>70</v>
      </c>
      <c r="E4" s="170" t="s">
        <v>71</v>
      </c>
      <c r="F4" s="169" t="s">
        <v>72</v>
      </c>
      <c r="G4" s="169" t="s">
        <v>73</v>
      </c>
      <c r="H4" s="169" t="s">
        <v>74</v>
      </c>
      <c r="I4" s="170" t="s">
        <v>75</v>
      </c>
      <c r="J4" s="180" t="s">
        <v>76</v>
      </c>
      <c r="K4" s="172" t="s">
        <v>77</v>
      </c>
      <c r="L4" s="181" t="s">
        <v>78</v>
      </c>
      <c r="M4" s="172" t="s">
        <v>79</v>
      </c>
      <c r="N4" s="172" t="s">
        <v>80</v>
      </c>
      <c r="O4" s="69" t="s">
        <v>81</v>
      </c>
      <c r="P4" s="176" t="s">
        <v>82</v>
      </c>
      <c r="S4" s="51"/>
      <c r="T4">
        <v>3000000</v>
      </c>
    </row>
    <row r="5" spans="1:20" ht="15.75" customHeight="1" x14ac:dyDescent="0.25">
      <c r="A5" s="168"/>
      <c r="B5" s="175"/>
      <c r="C5" s="168"/>
      <c r="D5" s="168"/>
      <c r="E5" s="171"/>
      <c r="F5" s="168"/>
      <c r="G5" s="168"/>
      <c r="H5" s="168"/>
      <c r="I5" s="171"/>
      <c r="J5" s="171"/>
      <c r="K5" s="171"/>
      <c r="L5" s="168"/>
      <c r="M5" s="171"/>
      <c r="N5" s="171"/>
      <c r="O5" s="67" t="str">
        <f>RESUMEN!B9</f>
        <v>VTO 14/07</v>
      </c>
      <c r="P5" s="168"/>
    </row>
    <row r="6" spans="1:20" ht="17.100000000000001" customHeight="1" x14ac:dyDescent="0.25">
      <c r="A6" s="5" t="s">
        <v>83</v>
      </c>
      <c r="B6" s="70">
        <v>1</v>
      </c>
      <c r="C6" s="70" t="s">
        <v>84</v>
      </c>
      <c r="D6" s="70" t="s">
        <v>85</v>
      </c>
      <c r="E6" s="70" t="s">
        <v>86</v>
      </c>
      <c r="F6" s="80">
        <v>3</v>
      </c>
      <c r="G6" s="147">
        <v>79697.100000000006</v>
      </c>
      <c r="H6" s="148">
        <f>G6</f>
        <v>79697.100000000006</v>
      </c>
      <c r="I6" s="83"/>
      <c r="J6" s="134">
        <f t="shared" ref="J6:J24" si="0">G6-H6</f>
        <v>0</v>
      </c>
      <c r="K6" s="84">
        <f t="shared" ref="K6:K24" si="1">IF(J6&gt;0,J6*5%,0)</f>
        <v>0</v>
      </c>
      <c r="L6" s="85">
        <f t="shared" ref="L6:L24" si="2">O$3*F6%</f>
        <v>5430</v>
      </c>
      <c r="M6" s="85">
        <f t="shared" ref="M6:M24" si="3">O$2*F6%</f>
        <v>90000</v>
      </c>
      <c r="N6" s="130">
        <f t="shared" ref="N6:N24" si="4">SUM(J6:M6)</f>
        <v>95430</v>
      </c>
      <c r="O6" s="135" t="str">
        <f t="shared" ref="O6:O24" si="5">CONCATENATE("$",ROUND(N6,0), ",", Q6)</f>
        <v>$95430,1</v>
      </c>
      <c r="P6" s="136" t="str">
        <f t="shared" ref="P6:P24" si="6">CONCATENATE("$",ROUND(N6*3%+ N6,0), ",", Q6)</f>
        <v>$98293,1</v>
      </c>
      <c r="Q6" s="51" t="str">
        <f t="shared" ref="Q6:Q24" si="7">CONCATENATE(B6)</f>
        <v>1</v>
      </c>
      <c r="S6">
        <v>181000</v>
      </c>
    </row>
    <row r="7" spans="1:20" ht="17.100000000000001" customHeight="1" x14ac:dyDescent="0.25">
      <c r="A7" s="5" t="s">
        <v>87</v>
      </c>
      <c r="B7" s="70">
        <v>2</v>
      </c>
      <c r="C7" s="70" t="s">
        <v>88</v>
      </c>
      <c r="D7" s="70" t="s">
        <v>89</v>
      </c>
      <c r="E7" s="70" t="s">
        <v>90</v>
      </c>
      <c r="F7" s="80">
        <v>3.8</v>
      </c>
      <c r="G7" s="147">
        <v>100950.2</v>
      </c>
      <c r="H7" s="148">
        <v>103979.02</v>
      </c>
      <c r="I7" s="83"/>
      <c r="J7" s="134">
        <f t="shared" si="0"/>
        <v>-3028.820000000007</v>
      </c>
      <c r="K7" s="84">
        <f t="shared" si="1"/>
        <v>0</v>
      </c>
      <c r="L7" s="85">
        <f t="shared" si="2"/>
        <v>6878</v>
      </c>
      <c r="M7" s="85">
        <f t="shared" si="3"/>
        <v>114000</v>
      </c>
      <c r="N7" s="130">
        <f t="shared" si="4"/>
        <v>117849.18</v>
      </c>
      <c r="O7" s="132" t="str">
        <f t="shared" si="5"/>
        <v>$117849,2</v>
      </c>
      <c r="P7" s="136" t="str">
        <f t="shared" si="6"/>
        <v>$121385,2</v>
      </c>
      <c r="Q7" s="51" t="str">
        <f t="shared" si="7"/>
        <v>2</v>
      </c>
      <c r="R7" s="51"/>
    </row>
    <row r="8" spans="1:20" ht="17.100000000000001" customHeight="1" x14ac:dyDescent="0.25">
      <c r="A8" s="5" t="s">
        <v>87</v>
      </c>
      <c r="B8" s="70">
        <v>3</v>
      </c>
      <c r="C8" s="70" t="s">
        <v>91</v>
      </c>
      <c r="D8" s="70" t="s">
        <v>92</v>
      </c>
      <c r="E8" s="70" t="s">
        <v>93</v>
      </c>
      <c r="F8" s="80">
        <v>3</v>
      </c>
      <c r="G8" s="147">
        <v>82088.3</v>
      </c>
      <c r="H8" s="148">
        <f>G8</f>
        <v>82088.3</v>
      </c>
      <c r="I8" s="83"/>
      <c r="J8" s="134">
        <f t="shared" si="0"/>
        <v>0</v>
      </c>
      <c r="K8" s="84">
        <f t="shared" si="1"/>
        <v>0</v>
      </c>
      <c r="L8" s="85">
        <f t="shared" si="2"/>
        <v>5430</v>
      </c>
      <c r="M8" s="85">
        <f t="shared" si="3"/>
        <v>90000</v>
      </c>
      <c r="N8" s="130">
        <f t="shared" si="4"/>
        <v>95430</v>
      </c>
      <c r="O8" s="132" t="str">
        <f t="shared" si="5"/>
        <v>$95430,3</v>
      </c>
      <c r="P8" s="136" t="str">
        <f t="shared" si="6"/>
        <v>$98293,3</v>
      </c>
      <c r="Q8" s="51" t="str">
        <f t="shared" si="7"/>
        <v>3</v>
      </c>
    </row>
    <row r="9" spans="1:20" ht="17.100000000000001" customHeight="1" x14ac:dyDescent="0.25">
      <c r="A9" s="5" t="s">
        <v>94</v>
      </c>
      <c r="B9" s="70">
        <v>4</v>
      </c>
      <c r="C9" s="70" t="s">
        <v>95</v>
      </c>
      <c r="D9" s="70" t="s">
        <v>96</v>
      </c>
      <c r="E9" s="70" t="s">
        <v>97</v>
      </c>
      <c r="F9" s="80">
        <v>3.1</v>
      </c>
      <c r="G9" s="147">
        <v>235782.39999999999</v>
      </c>
      <c r="H9" s="148">
        <v>80000.039999999994</v>
      </c>
      <c r="I9" s="83"/>
      <c r="J9" s="134">
        <f t="shared" si="0"/>
        <v>155782.35999999999</v>
      </c>
      <c r="K9" s="84">
        <f t="shared" si="1"/>
        <v>7789.1179999999995</v>
      </c>
      <c r="L9" s="85">
        <f t="shared" si="2"/>
        <v>5611</v>
      </c>
      <c r="M9" s="85">
        <f t="shared" si="3"/>
        <v>93000</v>
      </c>
      <c r="N9" s="130">
        <f t="shared" si="4"/>
        <v>262182.478</v>
      </c>
      <c r="O9" s="132" t="str">
        <f t="shared" si="5"/>
        <v>$262182,4</v>
      </c>
      <c r="P9" s="136" t="str">
        <f t="shared" si="6"/>
        <v>$270048,4</v>
      </c>
      <c r="Q9" s="51" t="str">
        <f t="shared" si="7"/>
        <v>4</v>
      </c>
      <c r="S9" s="51"/>
    </row>
    <row r="10" spans="1:20" ht="17.100000000000001" customHeight="1" x14ac:dyDescent="0.25">
      <c r="A10" s="5" t="s">
        <v>94</v>
      </c>
      <c r="B10" s="70">
        <v>5</v>
      </c>
      <c r="C10" s="70" t="s">
        <v>98</v>
      </c>
      <c r="D10" s="70" t="s">
        <v>99</v>
      </c>
      <c r="E10" s="70" t="s">
        <v>100</v>
      </c>
      <c r="F10" s="80">
        <v>3.1</v>
      </c>
      <c r="G10" s="147">
        <v>224424.5</v>
      </c>
      <c r="H10" s="148">
        <f>G10</f>
        <v>224424.5</v>
      </c>
      <c r="I10" s="83"/>
      <c r="J10" s="134">
        <f t="shared" si="0"/>
        <v>0</v>
      </c>
      <c r="K10" s="84">
        <f t="shared" si="1"/>
        <v>0</v>
      </c>
      <c r="L10" s="85">
        <f t="shared" si="2"/>
        <v>5611</v>
      </c>
      <c r="M10" s="85">
        <f t="shared" si="3"/>
        <v>93000</v>
      </c>
      <c r="N10" s="130">
        <f t="shared" si="4"/>
        <v>98611</v>
      </c>
      <c r="O10" s="132" t="str">
        <f t="shared" si="5"/>
        <v>$98611,5</v>
      </c>
      <c r="P10" s="136" t="str">
        <f t="shared" si="6"/>
        <v>$101569,5</v>
      </c>
      <c r="Q10" s="51" t="str">
        <f t="shared" si="7"/>
        <v>5</v>
      </c>
      <c r="S10" s="51"/>
    </row>
    <row r="11" spans="1:20" ht="17.100000000000001" customHeight="1" x14ac:dyDescent="0.25">
      <c r="A11" s="5" t="s">
        <v>101</v>
      </c>
      <c r="B11" s="70">
        <v>6</v>
      </c>
      <c r="C11" s="70" t="s">
        <v>102</v>
      </c>
      <c r="D11" s="70" t="s">
        <v>103</v>
      </c>
      <c r="E11" s="70"/>
      <c r="F11" s="80">
        <v>3.2</v>
      </c>
      <c r="G11" s="147">
        <v>81011.600000000006</v>
      </c>
      <c r="H11" s="148">
        <f>G11</f>
        <v>81011.600000000006</v>
      </c>
      <c r="I11" s="83"/>
      <c r="J11" s="134">
        <f t="shared" si="0"/>
        <v>0</v>
      </c>
      <c r="K11" s="84">
        <f t="shared" si="1"/>
        <v>0</v>
      </c>
      <c r="L11" s="85">
        <f t="shared" si="2"/>
        <v>5792</v>
      </c>
      <c r="M11" s="85">
        <f t="shared" si="3"/>
        <v>96000</v>
      </c>
      <c r="N11" s="130">
        <f t="shared" si="4"/>
        <v>101792</v>
      </c>
      <c r="O11" s="132" t="str">
        <f t="shared" si="5"/>
        <v>$101792,6</v>
      </c>
      <c r="P11" s="136" t="str">
        <f t="shared" si="6"/>
        <v>$104846,6</v>
      </c>
      <c r="Q11" s="51" t="str">
        <f t="shared" si="7"/>
        <v>6</v>
      </c>
    </row>
    <row r="12" spans="1:20" ht="17.100000000000001" customHeight="1" x14ac:dyDescent="0.25">
      <c r="A12" s="5" t="s">
        <v>101</v>
      </c>
      <c r="B12" s="70">
        <v>7</v>
      </c>
      <c r="C12" s="70" t="s">
        <v>104</v>
      </c>
      <c r="D12" s="70" t="s">
        <v>105</v>
      </c>
      <c r="E12" s="70" t="s">
        <v>106</v>
      </c>
      <c r="F12" s="80">
        <v>3.3</v>
      </c>
      <c r="G12" s="147">
        <v>87667.7</v>
      </c>
      <c r="H12" s="148">
        <v>90297.7</v>
      </c>
      <c r="I12" s="83"/>
      <c r="J12" s="134">
        <f t="shared" si="0"/>
        <v>-2630</v>
      </c>
      <c r="K12" s="84">
        <f t="shared" si="1"/>
        <v>0</v>
      </c>
      <c r="L12" s="85">
        <f t="shared" si="2"/>
        <v>5973</v>
      </c>
      <c r="M12" s="85">
        <f t="shared" si="3"/>
        <v>99000</v>
      </c>
      <c r="N12" s="130">
        <f t="shared" si="4"/>
        <v>102343</v>
      </c>
      <c r="O12" s="132" t="str">
        <f t="shared" si="5"/>
        <v>$102343,7</v>
      </c>
      <c r="P12" s="136" t="str">
        <f t="shared" si="6"/>
        <v>$105413,7</v>
      </c>
      <c r="Q12" s="51" t="str">
        <f t="shared" si="7"/>
        <v>7</v>
      </c>
    </row>
    <row r="13" spans="1:20" ht="17.100000000000001" customHeight="1" x14ac:dyDescent="0.25">
      <c r="A13" s="5" t="s">
        <v>107</v>
      </c>
      <c r="B13" s="70">
        <v>23</v>
      </c>
      <c r="C13" s="70" t="s">
        <v>108</v>
      </c>
      <c r="D13" s="70" t="s">
        <v>109</v>
      </c>
      <c r="E13" s="70" t="s">
        <v>110</v>
      </c>
      <c r="F13" s="80">
        <v>6.3</v>
      </c>
      <c r="G13" s="81">
        <v>180595.23</v>
      </c>
      <c r="H13" s="82">
        <f>177613+2982.23</f>
        <v>180595.23</v>
      </c>
      <c r="I13" s="83"/>
      <c r="J13" s="134">
        <f t="shared" si="0"/>
        <v>0</v>
      </c>
      <c r="K13" s="84">
        <f t="shared" si="1"/>
        <v>0</v>
      </c>
      <c r="L13" s="85">
        <f t="shared" si="2"/>
        <v>11403</v>
      </c>
      <c r="M13" s="85">
        <f t="shared" si="3"/>
        <v>189000</v>
      </c>
      <c r="N13" s="130">
        <f t="shared" si="4"/>
        <v>200403</v>
      </c>
      <c r="O13" s="132" t="str">
        <f t="shared" si="5"/>
        <v>$200403,23</v>
      </c>
      <c r="P13" s="136" t="str">
        <f t="shared" si="6"/>
        <v>$206415,23</v>
      </c>
      <c r="Q13" s="51" t="str">
        <f t="shared" si="7"/>
        <v>23</v>
      </c>
      <c r="S13" t="s">
        <v>111</v>
      </c>
    </row>
    <row r="14" spans="1:20" ht="17.100000000000001" customHeight="1" x14ac:dyDescent="0.25">
      <c r="A14" s="5" t="s">
        <v>107</v>
      </c>
      <c r="B14" s="70">
        <v>22</v>
      </c>
      <c r="C14" s="70" t="s">
        <v>112</v>
      </c>
      <c r="D14" s="70" t="s">
        <v>113</v>
      </c>
      <c r="E14" s="70" t="s">
        <v>114</v>
      </c>
      <c r="F14" s="80">
        <v>5.0999999999999996</v>
      </c>
      <c r="G14" s="81">
        <v>135696.22</v>
      </c>
      <c r="H14" s="82">
        <v>135696.22</v>
      </c>
      <c r="I14" s="83"/>
      <c r="J14" s="134">
        <f t="shared" si="0"/>
        <v>0</v>
      </c>
      <c r="K14" s="84">
        <f t="shared" si="1"/>
        <v>0</v>
      </c>
      <c r="L14" s="85">
        <f t="shared" si="2"/>
        <v>9231</v>
      </c>
      <c r="M14" s="85">
        <f t="shared" si="3"/>
        <v>153000</v>
      </c>
      <c r="N14" s="130">
        <f t="shared" si="4"/>
        <v>162231</v>
      </c>
      <c r="O14" s="132" t="str">
        <f t="shared" si="5"/>
        <v>$162231,22</v>
      </c>
      <c r="P14" s="136" t="str">
        <f t="shared" si="6"/>
        <v>$167098,22</v>
      </c>
      <c r="Q14" s="51" t="str">
        <f t="shared" si="7"/>
        <v>22</v>
      </c>
    </row>
    <row r="15" spans="1:20" ht="17.100000000000001" customHeight="1" x14ac:dyDescent="0.25">
      <c r="A15" s="5" t="s">
        <v>115</v>
      </c>
      <c r="B15" s="70">
        <v>21</v>
      </c>
      <c r="C15" s="70" t="s">
        <v>116</v>
      </c>
      <c r="D15" s="70" t="s">
        <v>117</v>
      </c>
      <c r="E15" s="71"/>
      <c r="F15" s="80">
        <v>8.1999999999999993</v>
      </c>
      <c r="G15" s="81">
        <v>217840.21</v>
      </c>
      <c r="H15" s="82">
        <v>213958.21</v>
      </c>
      <c r="I15" s="83"/>
      <c r="J15" s="134">
        <f t="shared" si="0"/>
        <v>3882</v>
      </c>
      <c r="K15" s="84">
        <f t="shared" si="1"/>
        <v>194.10000000000002</v>
      </c>
      <c r="L15" s="85">
        <f t="shared" si="2"/>
        <v>14841.999999999998</v>
      </c>
      <c r="M15" s="85">
        <f t="shared" si="3"/>
        <v>245999.99999999997</v>
      </c>
      <c r="N15" s="130">
        <f t="shared" si="4"/>
        <v>264918.09999999998</v>
      </c>
      <c r="O15" s="132" t="str">
        <f t="shared" si="5"/>
        <v>$264918,21</v>
      </c>
      <c r="P15" s="136" t="str">
        <f t="shared" si="6"/>
        <v>$272866,21</v>
      </c>
      <c r="Q15" s="51" t="str">
        <f t="shared" si="7"/>
        <v>21</v>
      </c>
    </row>
    <row r="16" spans="1:20" ht="17.100000000000001" customHeight="1" x14ac:dyDescent="0.25">
      <c r="A16" s="5" t="s">
        <v>115</v>
      </c>
      <c r="B16" s="70">
        <v>14</v>
      </c>
      <c r="C16" s="70" t="s">
        <v>118</v>
      </c>
      <c r="D16" s="70" t="s">
        <v>119</v>
      </c>
      <c r="E16" s="70" t="s">
        <v>120</v>
      </c>
      <c r="F16" s="80">
        <v>6.1</v>
      </c>
      <c r="G16" s="81">
        <v>162052.14000000001</v>
      </c>
      <c r="H16" s="82">
        <f>G16</f>
        <v>162052.14000000001</v>
      </c>
      <c r="I16" s="83"/>
      <c r="J16" s="134">
        <f t="shared" si="0"/>
        <v>0</v>
      </c>
      <c r="K16" s="84">
        <f t="shared" si="1"/>
        <v>0</v>
      </c>
      <c r="L16" s="85">
        <f t="shared" si="2"/>
        <v>11041</v>
      </c>
      <c r="M16" s="85">
        <f t="shared" si="3"/>
        <v>183000</v>
      </c>
      <c r="N16" s="130">
        <f t="shared" si="4"/>
        <v>194041</v>
      </c>
      <c r="O16" s="132" t="str">
        <f t="shared" si="5"/>
        <v>$194041,14</v>
      </c>
      <c r="P16" s="136" t="str">
        <f t="shared" si="6"/>
        <v>$199862,14</v>
      </c>
      <c r="Q16" s="51" t="str">
        <f t="shared" si="7"/>
        <v>14</v>
      </c>
    </row>
    <row r="17" spans="1:20" ht="17.100000000000001" customHeight="1" x14ac:dyDescent="0.25">
      <c r="A17" s="5" t="s">
        <v>121</v>
      </c>
      <c r="B17" s="70">
        <v>13</v>
      </c>
      <c r="C17" s="70" t="s">
        <v>122</v>
      </c>
      <c r="D17" s="70" t="s">
        <v>123</v>
      </c>
      <c r="E17" s="71"/>
      <c r="F17" s="80">
        <v>5</v>
      </c>
      <c r="G17" s="81">
        <v>132829.13</v>
      </c>
      <c r="H17" s="82">
        <v>136814.13</v>
      </c>
      <c r="I17" s="83"/>
      <c r="J17" s="134">
        <f t="shared" si="0"/>
        <v>-3985</v>
      </c>
      <c r="K17" s="84">
        <f t="shared" si="1"/>
        <v>0</v>
      </c>
      <c r="L17" s="85">
        <f t="shared" si="2"/>
        <v>9050</v>
      </c>
      <c r="M17" s="85">
        <f t="shared" si="3"/>
        <v>150000</v>
      </c>
      <c r="N17" s="130">
        <f t="shared" si="4"/>
        <v>155065</v>
      </c>
      <c r="O17" s="132" t="str">
        <f t="shared" si="5"/>
        <v>$155065,13</v>
      </c>
      <c r="P17" s="136" t="str">
        <f t="shared" si="6"/>
        <v>$159717,13</v>
      </c>
      <c r="Q17" s="51" t="str">
        <f t="shared" si="7"/>
        <v>13</v>
      </c>
    </row>
    <row r="18" spans="1:20" ht="17.100000000000001" customHeight="1" x14ac:dyDescent="0.25">
      <c r="A18" s="5" t="s">
        <v>121</v>
      </c>
      <c r="B18" s="70">
        <v>12</v>
      </c>
      <c r="C18" s="70" t="s">
        <v>124</v>
      </c>
      <c r="D18" s="70" t="s">
        <v>125</v>
      </c>
      <c r="E18" s="70" t="s">
        <v>126</v>
      </c>
      <c r="F18" s="80">
        <v>8.1999999999999993</v>
      </c>
      <c r="G18" s="81">
        <v>13646491.119999999</v>
      </c>
      <c r="H18" s="82">
        <v>217839</v>
      </c>
      <c r="I18" s="83"/>
      <c r="J18" s="134">
        <f t="shared" si="0"/>
        <v>13428652.119999999</v>
      </c>
      <c r="K18" s="84">
        <f t="shared" si="1"/>
        <v>671432.60600000003</v>
      </c>
      <c r="L18" s="85">
        <f t="shared" si="2"/>
        <v>14841.999999999998</v>
      </c>
      <c r="M18" s="85">
        <f t="shared" si="3"/>
        <v>245999.99999999997</v>
      </c>
      <c r="N18" s="130">
        <f t="shared" si="4"/>
        <v>14360926.726</v>
      </c>
      <c r="O18" s="132" t="str">
        <f t="shared" si="5"/>
        <v>$14360927,12</v>
      </c>
      <c r="P18" s="136" t="str">
        <f t="shared" si="6"/>
        <v>$14791755,12</v>
      </c>
      <c r="Q18" s="51" t="str">
        <f t="shared" si="7"/>
        <v>12</v>
      </c>
    </row>
    <row r="19" spans="1:20" ht="17.100000000000001" customHeight="1" x14ac:dyDescent="0.25">
      <c r="A19" s="5" t="s">
        <v>127</v>
      </c>
      <c r="B19" s="70">
        <v>17</v>
      </c>
      <c r="C19" s="70" t="s">
        <v>128</v>
      </c>
      <c r="D19" s="70" t="s">
        <v>125</v>
      </c>
      <c r="E19" s="71"/>
      <c r="F19" s="80">
        <v>6.1</v>
      </c>
      <c r="G19" s="81">
        <v>9523810.1699999999</v>
      </c>
      <c r="H19" s="82"/>
      <c r="I19" s="83"/>
      <c r="J19" s="134">
        <f t="shared" si="0"/>
        <v>9523810.1699999999</v>
      </c>
      <c r="K19" s="84">
        <f t="shared" si="1"/>
        <v>476190.5085</v>
      </c>
      <c r="L19" s="85">
        <f t="shared" si="2"/>
        <v>11041</v>
      </c>
      <c r="M19" s="85">
        <f t="shared" si="3"/>
        <v>183000</v>
      </c>
      <c r="N19" s="130">
        <f t="shared" si="4"/>
        <v>10194041.6785</v>
      </c>
      <c r="O19" s="132" t="str">
        <f t="shared" si="5"/>
        <v>$10194042,17</v>
      </c>
      <c r="P19" s="136" t="str">
        <f t="shared" si="6"/>
        <v>$10499863,17</v>
      </c>
      <c r="Q19" s="51" t="str">
        <f t="shared" si="7"/>
        <v>17</v>
      </c>
    </row>
    <row r="20" spans="1:20" ht="17.100000000000001" customHeight="1" x14ac:dyDescent="0.25">
      <c r="A20" s="5" t="s">
        <v>127</v>
      </c>
      <c r="B20" s="70">
        <v>16</v>
      </c>
      <c r="C20" s="70" t="s">
        <v>129</v>
      </c>
      <c r="D20" s="70" t="s">
        <v>130</v>
      </c>
      <c r="E20" s="71" t="s">
        <v>131</v>
      </c>
      <c r="F20" s="80">
        <v>5</v>
      </c>
      <c r="G20" s="182">
        <v>132829.16</v>
      </c>
      <c r="H20" s="182">
        <f>118000+5000+1000</f>
        <v>124000</v>
      </c>
      <c r="I20" s="83"/>
      <c r="J20" s="134">
        <f t="shared" si="0"/>
        <v>8829.1600000000035</v>
      </c>
      <c r="K20" s="84">
        <f t="shared" si="1"/>
        <v>441.4580000000002</v>
      </c>
      <c r="L20" s="85">
        <f t="shared" si="2"/>
        <v>9050</v>
      </c>
      <c r="M20" s="85">
        <f t="shared" si="3"/>
        <v>150000</v>
      </c>
      <c r="N20" s="130">
        <f t="shared" si="4"/>
        <v>168320.61800000002</v>
      </c>
      <c r="O20" s="132" t="str">
        <f t="shared" si="5"/>
        <v>$168321,16</v>
      </c>
      <c r="P20" s="136" t="str">
        <f t="shared" si="6"/>
        <v>$173370,16</v>
      </c>
      <c r="Q20" s="51" t="str">
        <f t="shared" si="7"/>
        <v>16</v>
      </c>
      <c r="S20" t="s">
        <v>164</v>
      </c>
    </row>
    <row r="21" spans="1:20" ht="17.100000000000001" customHeight="1" x14ac:dyDescent="0.25">
      <c r="A21" s="5" t="s">
        <v>132</v>
      </c>
      <c r="B21" s="70">
        <v>15</v>
      </c>
      <c r="C21" s="70" t="s">
        <v>133</v>
      </c>
      <c r="D21" s="70" t="s">
        <v>134</v>
      </c>
      <c r="E21" s="70"/>
      <c r="F21" s="80">
        <v>8.1999999999999993</v>
      </c>
      <c r="G21" s="81">
        <v>217840.15</v>
      </c>
      <c r="H21" s="82">
        <v>213958.15</v>
      </c>
      <c r="I21" s="83"/>
      <c r="J21" s="134">
        <f t="shared" si="0"/>
        <v>3882</v>
      </c>
      <c r="K21" s="84">
        <f t="shared" si="1"/>
        <v>194.10000000000002</v>
      </c>
      <c r="L21" s="85">
        <f t="shared" si="2"/>
        <v>14841.999999999998</v>
      </c>
      <c r="M21" s="85">
        <f t="shared" si="3"/>
        <v>245999.99999999997</v>
      </c>
      <c r="N21" s="130">
        <f t="shared" si="4"/>
        <v>264918.09999999998</v>
      </c>
      <c r="O21" s="132" t="str">
        <f t="shared" si="5"/>
        <v>$264918,15</v>
      </c>
      <c r="P21" s="136" t="str">
        <f t="shared" si="6"/>
        <v>$272866,15</v>
      </c>
      <c r="Q21" s="51" t="str">
        <f t="shared" si="7"/>
        <v>15</v>
      </c>
      <c r="S21" s="50"/>
    </row>
    <row r="22" spans="1:20" ht="17.100000000000001" customHeight="1" x14ac:dyDescent="0.25">
      <c r="A22" s="5" t="s">
        <v>132</v>
      </c>
      <c r="B22" s="70">
        <v>20</v>
      </c>
      <c r="C22" s="70" t="s">
        <v>135</v>
      </c>
      <c r="D22" s="70" t="s">
        <v>136</v>
      </c>
      <c r="E22" s="71"/>
      <c r="F22" s="80">
        <v>6.1</v>
      </c>
      <c r="G22" s="82">
        <v>162052.20000000001</v>
      </c>
      <c r="H22" s="82">
        <f>G22</f>
        <v>162052.20000000001</v>
      </c>
      <c r="I22" s="83"/>
      <c r="J22" s="84">
        <f t="shared" si="0"/>
        <v>0</v>
      </c>
      <c r="K22" s="84">
        <f t="shared" si="1"/>
        <v>0</v>
      </c>
      <c r="L22" s="85">
        <f t="shared" si="2"/>
        <v>11041</v>
      </c>
      <c r="M22" s="85">
        <f t="shared" si="3"/>
        <v>183000</v>
      </c>
      <c r="N22" s="130">
        <f t="shared" si="4"/>
        <v>194041</v>
      </c>
      <c r="O22" s="132" t="str">
        <f t="shared" si="5"/>
        <v>$194041,20</v>
      </c>
      <c r="P22" s="136" t="str">
        <f t="shared" si="6"/>
        <v>$199862,20</v>
      </c>
      <c r="Q22" s="51" t="str">
        <f t="shared" si="7"/>
        <v>20</v>
      </c>
      <c r="T22" t="s">
        <v>137</v>
      </c>
    </row>
    <row r="23" spans="1:20" ht="17.100000000000001" customHeight="1" x14ac:dyDescent="0.25">
      <c r="A23" s="5" t="s">
        <v>138</v>
      </c>
      <c r="B23" s="70">
        <v>19</v>
      </c>
      <c r="C23" s="70" t="s">
        <v>139</v>
      </c>
      <c r="D23" s="70" t="s">
        <v>140</v>
      </c>
      <c r="E23" s="70"/>
      <c r="F23" s="80">
        <v>5</v>
      </c>
      <c r="G23" s="81">
        <v>132829.19</v>
      </c>
      <c r="H23" s="82">
        <f>G23</f>
        <v>132829.19</v>
      </c>
      <c r="I23" s="83"/>
      <c r="J23" s="84">
        <f t="shared" si="0"/>
        <v>0</v>
      </c>
      <c r="K23" s="84">
        <f t="shared" si="1"/>
        <v>0</v>
      </c>
      <c r="L23" s="85">
        <f t="shared" si="2"/>
        <v>9050</v>
      </c>
      <c r="M23" s="85">
        <f t="shared" si="3"/>
        <v>150000</v>
      </c>
      <c r="N23" s="130">
        <f t="shared" si="4"/>
        <v>159050</v>
      </c>
      <c r="O23" s="132" t="str">
        <f t="shared" si="5"/>
        <v>$159050,19</v>
      </c>
      <c r="P23" s="136" t="str">
        <f t="shared" si="6"/>
        <v>$163822,19</v>
      </c>
      <c r="Q23" s="51" t="str">
        <f t="shared" si="7"/>
        <v>19</v>
      </c>
    </row>
    <row r="24" spans="1:20" ht="17.100000000000001" customHeight="1" thickBot="1" x14ac:dyDescent="0.3">
      <c r="A24" s="5" t="s">
        <v>138</v>
      </c>
      <c r="B24" s="70">
        <v>18</v>
      </c>
      <c r="C24" s="70" t="s">
        <v>141</v>
      </c>
      <c r="D24" s="70" t="s">
        <v>142</v>
      </c>
      <c r="E24" s="71"/>
      <c r="F24" s="80">
        <v>8.1999999999999993</v>
      </c>
      <c r="G24" s="81">
        <v>217840.18</v>
      </c>
      <c r="H24" s="82">
        <f>G24</f>
        <v>217840.18</v>
      </c>
      <c r="I24" s="83"/>
      <c r="J24" s="84">
        <f t="shared" si="0"/>
        <v>0</v>
      </c>
      <c r="K24" s="84">
        <f t="shared" si="1"/>
        <v>0</v>
      </c>
      <c r="L24" s="85">
        <f t="shared" si="2"/>
        <v>14841.999999999998</v>
      </c>
      <c r="M24" s="85">
        <f t="shared" si="3"/>
        <v>245999.99999999997</v>
      </c>
      <c r="N24" s="130">
        <f t="shared" si="4"/>
        <v>260841.99999999997</v>
      </c>
      <c r="O24" s="132" t="str">
        <f t="shared" si="5"/>
        <v>$260842,18</v>
      </c>
      <c r="P24" s="136" t="str">
        <f t="shared" si="6"/>
        <v>$268667,18</v>
      </c>
      <c r="Q24" s="51" t="str">
        <f t="shared" si="7"/>
        <v>18</v>
      </c>
      <c r="T24" t="s">
        <v>143</v>
      </c>
    </row>
    <row r="25" spans="1:20" ht="17.100000000000001" customHeight="1" thickBot="1" x14ac:dyDescent="0.3">
      <c r="B25" s="86"/>
      <c r="C25" s="87"/>
      <c r="D25" s="88"/>
      <c r="E25" s="88"/>
      <c r="F25" s="89">
        <f t="shared" ref="F25:M25" si="8">SUM(F6:F24)</f>
        <v>99.999999999999986</v>
      </c>
      <c r="G25" s="62">
        <f t="shared" si="8"/>
        <v>25754326.899999999</v>
      </c>
      <c r="H25" s="68">
        <f t="shared" si="8"/>
        <v>2639132.91</v>
      </c>
      <c r="I25" s="62">
        <f t="shared" si="8"/>
        <v>0</v>
      </c>
      <c r="J25" s="68">
        <f t="shared" si="8"/>
        <v>23115193.989999998</v>
      </c>
      <c r="K25" s="68">
        <f t="shared" si="8"/>
        <v>1156241.8905000002</v>
      </c>
      <c r="L25" s="68">
        <f t="shared" si="8"/>
        <v>181000</v>
      </c>
      <c r="M25" s="68">
        <f t="shared" si="8"/>
        <v>3000000</v>
      </c>
      <c r="N25" s="131"/>
      <c r="O25" s="90">
        <f>SUM(O6:O24)</f>
        <v>0</v>
      </c>
      <c r="P25" s="90">
        <f>SUM(P6:P24)</f>
        <v>0</v>
      </c>
    </row>
    <row r="26" spans="1:20" ht="12.75" customHeight="1" x14ac:dyDescent="0.25">
      <c r="D26" s="59"/>
      <c r="E26" s="59"/>
    </row>
    <row r="27" spans="1:20" hidden="1" x14ac:dyDescent="0.25"/>
    <row r="28" spans="1:20" ht="9" customHeight="1" x14ac:dyDescent="0.25">
      <c r="D28" s="160" t="s">
        <v>144</v>
      </c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</row>
    <row r="29" spans="1:20" ht="12" hidden="1" customHeight="1" x14ac:dyDescent="0.25"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</row>
    <row r="30" spans="1:20" ht="12" hidden="1" customHeight="1" x14ac:dyDescent="0.25"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</row>
    <row r="31" spans="1:20" ht="12" hidden="1" customHeight="1" x14ac:dyDescent="0.25"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</row>
    <row r="32" spans="1:20" ht="12" hidden="1" customHeight="1" x14ac:dyDescent="0.25"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</row>
    <row r="33" spans="4:21" ht="65.25" customHeight="1" x14ac:dyDescent="0.25"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R33" s="183" t="s">
        <v>165</v>
      </c>
      <c r="S33" s="183"/>
      <c r="T33" s="183"/>
      <c r="U33" s="183"/>
    </row>
  </sheetData>
  <mergeCells count="19">
    <mergeCell ref="D28:O33"/>
    <mergeCell ref="C4:C5"/>
    <mergeCell ref="E4:E5"/>
    <mergeCell ref="F1:O1"/>
    <mergeCell ref="D4:D5"/>
    <mergeCell ref="J4:J5"/>
    <mergeCell ref="L4:L5"/>
    <mergeCell ref="A4:A5"/>
    <mergeCell ref="G4:G5"/>
    <mergeCell ref="I4:I5"/>
    <mergeCell ref="K4:K5"/>
    <mergeCell ref="O2:P2"/>
    <mergeCell ref="M4:M5"/>
    <mergeCell ref="B4:B5"/>
    <mergeCell ref="F4:F5"/>
    <mergeCell ref="H4:H5"/>
    <mergeCell ref="N4:N5"/>
    <mergeCell ref="P4:P5"/>
    <mergeCell ref="O3:P3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2025-07-03T15:30:56Z</cp:lastPrinted>
  <dcterms:created xsi:type="dcterms:W3CDTF">2023-09-17T12:29:07Z</dcterms:created>
  <dcterms:modified xsi:type="dcterms:W3CDTF">2025-07-07T14:44:39Z</dcterms:modified>
</cp:coreProperties>
</file>